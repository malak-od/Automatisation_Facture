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00C81165-67ED-4186-A796-173ED613EC75}" xr6:coauthVersionLast="47" xr6:coauthVersionMax="47" xr10:uidLastSave="{00000000-0000-0000-0000-000000000000}"/>
  <bookViews>
    <workbookView xWindow="-120" yWindow="-120" windowWidth="29040" windowHeight="15720" activeTab="2" xr2:uid="{492B16FB-9457-4CF7-8956-F1A94E7E377E}"/>
  </bookViews>
  <sheets>
    <sheet name="Factures BLS" sheetId="1" r:id="rId1"/>
    <sheet name="Bilan PDF" sheetId="8" r:id="rId2"/>
    <sheet name="Import CSV" sheetId="3" r:id="rId3"/>
    <sheet name="Bilan client" sheetId="9" r:id="rId4"/>
    <sheet name="Avoir" sheetId="10" r:id="rId5"/>
  </sheets>
  <definedNames>
    <definedName name="_xlnm._FilterDatabase" localSheetId="0" hidden="1">'Factures BLS'!$A$1:$K$1</definedName>
    <definedName name="_xlnm._FilterDatabase" localSheetId="2" hidden="1">'Import CSV'!$A$1:$W$7</definedName>
  </definedNames>
  <calcPr calcId="191029"/>
  <pivotCaches>
    <pivotCache cacheId="1" r:id="rId6"/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G4" i="3"/>
  <c r="T4" i="3"/>
  <c r="F5" i="3"/>
  <c r="G5" i="3"/>
  <c r="T5" i="3"/>
  <c r="F6" i="3"/>
  <c r="G6" i="3"/>
  <c r="T6" i="3"/>
  <c r="F7" i="3"/>
  <c r="G7" i="3"/>
  <c r="T7" i="3"/>
  <c r="F8" i="3"/>
  <c r="G8" i="3"/>
  <c r="T8" i="3"/>
  <c r="F9" i="3"/>
  <c r="G9" i="3"/>
  <c r="T9" i="3"/>
  <c r="F10" i="3"/>
  <c r="G10" i="3"/>
  <c r="T10" i="3"/>
  <c r="F11" i="3"/>
  <c r="G11" i="3"/>
  <c r="T11" i="3"/>
  <c r="F12" i="3"/>
  <c r="G12" i="3"/>
  <c r="T12" i="3"/>
  <c r="F13" i="3"/>
  <c r="G13" i="3"/>
  <c r="T13" i="3"/>
  <c r="F14" i="3"/>
  <c r="G14" i="3"/>
  <c r="T14" i="3"/>
  <c r="F15" i="3"/>
  <c r="G15" i="3"/>
  <c r="T15" i="3"/>
  <c r="F16" i="3"/>
  <c r="G16" i="3"/>
  <c r="T16" i="3"/>
  <c r="T3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F2" i="3"/>
  <c r="G2" i="3"/>
  <c r="T2" i="3"/>
  <c r="F3" i="3"/>
  <c r="G3" i="3"/>
  <c r="E4" i="8"/>
  <c r="N3" i="3" l="1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</calcChain>
</file>

<file path=xl/sharedStrings.xml><?xml version="1.0" encoding="utf-8"?>
<sst xmlns="http://schemas.openxmlformats.org/spreadsheetml/2006/main" count="168" uniqueCount="63">
  <si>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</si>
  <si>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</si>
  <si>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</si>
  <si>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</si>
  <si>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</si>
  <si>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</si>
  <si>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</si>
  <si>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</si>
  <si>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</si>
  <si>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</si>
  <si>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</si>
  <si>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</si>
  <si>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</si>
  <si>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</si>
  <si>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</si>
  <si>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</si>
  <si>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</si>
  <si>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</si>
  <si>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</si>
  <si>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</si>
  <si>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</si>
  <si>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Gazole</t>
  </si>
  <si>
    <t>Nb Colis</t>
  </si>
  <si>
    <t>Étiquettes de lignes</t>
  </si>
  <si>
    <t>Total général</t>
  </si>
  <si>
    <t>France</t>
  </si>
  <si>
    <t>PDF</t>
  </si>
  <si>
    <t>(vide)</t>
  </si>
  <si>
    <t>ST</t>
  </si>
  <si>
    <t>ID Client</t>
  </si>
  <si>
    <t>Date Prestation</t>
  </si>
  <si>
    <t>Dossier</t>
  </si>
  <si>
    <t>Libellé</t>
  </si>
  <si>
    <t>Impact CO2</t>
  </si>
  <si>
    <t>Unité</t>
  </si>
  <si>
    <t>Quantité</t>
  </si>
  <si>
    <t>Prix Unitaire</t>
  </si>
  <si>
    <t>Code Tva</t>
  </si>
  <si>
    <t>n° facture</t>
  </si>
  <si>
    <t>Ecart</t>
  </si>
  <si>
    <t>BLS</t>
  </si>
  <si>
    <t>E</t>
  </si>
  <si>
    <t>Tracking</t>
  </si>
  <si>
    <t>Transport</t>
  </si>
  <si>
    <t>Raison</t>
  </si>
  <si>
    <t>Avoir</t>
  </si>
  <si>
    <t>Montant H,T,</t>
  </si>
  <si>
    <t>Somme de Montant H,T,</t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</si>
  <si>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13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Aubagne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</si>
  <si>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60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Grandvilliers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</si>
  <si>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49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Saint-Jean-de-Linières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</si>
  <si>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76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Grand-Couronne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</si>
  <si>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Paris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</si>
  <si>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34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Castelnau-le-Lez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</si>
  <si>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95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Vémars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</si>
  <si>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Savigny-lès-Beaune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I00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Roma-00176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</si>
  <si>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Pontarlier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</si>
  <si>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75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Paris/16ème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Arrondissement</t>
    </r>
  </si>
  <si>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Créancey</t>
    </r>
    <r>
      <rPr>
        <sz val="8"/>
        <rFont val="Times New Roman"/>
        <family val="1"/>
      </rPr>
      <t xml:space="preserve">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13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Marseille/16ème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Arrondissement</t>
    </r>
  </si>
  <si>
    <r>
      <rPr>
        <sz val="8"/>
        <rFont val="Arial"/>
        <family val="2"/>
      </rPr>
      <t>M</t>
    </r>
  </si>
  <si>
    <t>2601458</t>
  </si>
  <si>
    <r>
      <rPr>
        <sz val="8"/>
        <rFont val="Arial"/>
        <family val="2"/>
      </rPr>
      <t>V/Réf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HYD06260004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2764316</t>
    </r>
    <r>
      <rPr>
        <sz val="11"/>
        <color theme="1"/>
        <rFont val="Calibri"/>
        <family val="2"/>
        <scheme val="minor"/>
      </rPr>
      <t xml:space="preserve">
De 21 Créancey  A 21 Ouges</t>
    </r>
  </si>
  <si>
    <r>
      <rPr>
        <sz val="8"/>
        <rFont val="Arial"/>
        <family val="2"/>
      </rPr>
      <t>V/Réf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ALPEXPO</t>
    </r>
    <r>
      <rPr>
        <sz val="8"/>
        <rFont val="Times New Roman"/>
        <family val="1"/>
      </rPr>
      <t xml:space="preserve"> </t>
    </r>
    <r>
      <rPr>
        <sz val="8"/>
        <rFont val="Arial"/>
        <family val="2"/>
      </rPr>
      <t>GRENOBLE</t>
    </r>
    <r>
      <rPr>
        <sz val="11"/>
        <color theme="1"/>
        <rFont val="Calibri"/>
        <family val="2"/>
        <scheme val="minor"/>
      </rPr>
      <t xml:space="preserve">
De 21 Créancey  A 38 Grenoble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</si>
</sst>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8"/>
      <color rgb="FF000000"/>
      <name val="Microsoft Sans Serif"/>
      <family val="2"/>
    </font>
    <font>
      <sz val="8"/>
      <name val="Times New Roman"/>
      <family val="1"/>
    </font>
    <font>
      <sz val="8"/>
      <color rgb="FF000000"/>
      <name val="Arial"/>
      <family val="2"/>
    </font>
    <font>
      <sz val="8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200E6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4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49" fontId="4" fillId="4" borderId="1" xfId="0" applyNumberFormat="1" applyFont="1" applyFill="1" applyBorder="1" applyAlignment="1">
      <alignment vertical="center" wrapText="1"/>
    </xf>
    <xf numFmtId="49" fontId="1" fillId="0" borderId="0" xfId="0" applyNumberFormat="1" applyFont="1"/>
    <xf numFmtId="14" fontId="0" fillId="0" borderId="0" xfId="0" applyNumberFormat="1"/>
    <xf numFmtId="0" fontId="0" fillId="0" borderId="0" xfId="0" applyAlignment="1">
      <alignment wrapText="1"/>
    </xf>
    <xf numFmtId="0" fontId="6" fillId="0" borderId="0" xfId="0" applyFont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2" fontId="2" fillId="3" borderId="1" xfId="0" applyNumberFormat="1" applyFont="1" applyFill="1" applyBorder="1" applyAlignment="1">
      <alignment horizontal="center" vertical="center"/>
    </xf>
    <xf numFmtId="2" fontId="7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14" fontId="0" fillId="7" borderId="0" xfId="0" applyNumberFormat="1" applyFill="1"/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vertical="top" wrapText="1"/>
    </xf>
    <xf numFmtId="2" fontId="10" fillId="0" borderId="3" xfId="0" applyNumberFormat="1" applyFont="1" applyBorder="1" applyAlignment="1">
      <alignment horizontal="right" vertical="top" shrinkToFit="1"/>
    </xf>
    <xf numFmtId="2" fontId="10" fillId="0" borderId="4" xfId="0" applyNumberFormat="1" applyFont="1" applyBorder="1" applyAlignment="1">
      <alignment horizontal="right" vertical="top" shrinkToFit="1"/>
    </xf>
    <xf numFmtId="1" fontId="10" fillId="0" borderId="2" xfId="0" applyNumberFormat="1" applyFont="1" applyBorder="1" applyAlignment="1">
      <alignment horizontal="right" vertical="top" shrinkToFit="1"/>
    </xf>
    <xf numFmtId="1" fontId="10" fillId="0" borderId="3" xfId="0" applyNumberFormat="1" applyFont="1" applyBorder="1" applyAlignment="1">
      <alignment horizontal="right" vertical="top" shrinkToFit="1"/>
    </xf>
    <xf numFmtId="1" fontId="10" fillId="0" borderId="4" xfId="0" applyNumberFormat="1" applyFont="1" applyBorder="1" applyAlignment="1">
      <alignment horizontal="right" vertical="top" shrinkToFit="1"/>
    </xf>
    <xf numFmtId="0" fontId="0" fillId="0" borderId="7" xfId="0" applyBorder="1" applyAlignment="1">
      <alignment wrapText="1"/>
    </xf>
    <xf numFmtId="2" fontId="10" fillId="0" borderId="5" xfId="0" applyNumberFormat="1" applyFont="1" applyBorder="1" applyAlignment="1">
      <alignment vertical="top" shrinkToFit="1"/>
    </xf>
    <xf numFmtId="2" fontId="10" fillId="0" borderId="6" xfId="0" applyNumberFormat="1" applyFont="1" applyBorder="1" applyAlignment="1">
      <alignment vertical="top" shrinkToFit="1"/>
    </xf>
    <xf numFmtId="0" fontId="0" fillId="0" borderId="2" xfId="0" applyBorder="1" applyAlignment="1">
      <alignment horizontal="left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7" fontId="8" fillId="0" borderId="2" xfId="0" applyNumberFormat="1" applyFont="1" applyBorder="1" applyAlignment="1">
      <alignment horizontal="center" vertical="top" shrinkToFit="1"/>
    </xf>
    <xf numFmtId="167" fontId="8" fillId="0" borderId="3" xfId="0" applyNumberFormat="1" applyFont="1" applyBorder="1" applyAlignment="1">
      <alignment horizontal="center" vertical="top" shrinkToFit="1"/>
    </xf>
    <xf numFmtId="167" fontId="8" fillId="0" borderId="4" xfId="0" applyNumberFormat="1" applyFont="1" applyBorder="1" applyAlignment="1">
      <alignment horizontal="center" vertical="top" shrinkToFit="1"/>
    </xf>
    <xf numFmtId="167" fontId="0" fillId="0" borderId="0" xfId="0" applyNumberFormat="1"/>
    <xf numFmtId="167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4" fontId="0" fillId="0" borderId="2" xfId="0" applyNumberFormat="1" applyBorder="1" applyAlignment="1">
      <alignment horizontal="right" vertical="top" wrapText="1"/>
    </xf>
  </cellXfs>
  <cellStyles count="3">
    <cellStyle name="Normal" xfId="0" builtinId="0"/>
    <cellStyle name="Normal 2" xfId="1" xr:uid="{2CB5442D-3EAD-448F-8F96-6A2708A241CF}"/>
    <cellStyle name="Normal 3" xfId="2" xr:uid="{76853BE5-93B6-4B8A-806C-CB973BE5A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ëtan BEUTEAU" refreshedDate="46190.478859259259" createdVersion="8" refreshedVersion="8" minRefreshableVersion="3" recordCount="11" xr:uid="{A26777FE-F863-4FC3-A00A-4F03574D4A71}">
  <cacheSource type="worksheet">
    <worksheetSource ref="A1:K1048576" sheet="Factures BLS"/>
  </cacheSource>
  <cacheFields count="11">
    <cacheField name="ID Client" numFmtId="0">
      <sharedItems containsString="0" containsBlank="1" containsNumber="1" containsInteger="1" minValue="361" maxValue="9294" count="13">
        <n v="8484"/>
        <n v="3888"/>
        <n v="3752"/>
        <n v="8041"/>
        <n v="6071"/>
        <n v="7261"/>
        <n v="361"/>
        <m/>
        <n v="4991" u="1"/>
        <n v="7510" u="1"/>
        <n v="9294" u="1"/>
        <n v="596" u="1"/>
        <n v="8568" u="1"/>
      </sharedItems>
    </cacheField>
    <cacheField name="n° facture" numFmtId="49">
      <sharedItems containsBlank="1"/>
    </cacheField>
    <cacheField name="Date Prestation" numFmtId="0">
      <sharedItems containsNonDate="0" containsDate="1" containsString="0" containsBlank="1" minDate="2026-05-07T00:00:00" maxDate="2026-05-30T00:00:00"/>
    </cacheField>
    <cacheField name="Dossier" numFmtId="0">
      <sharedItems containsString="0" containsBlank="1" containsNumber="1" containsInteger="1" minValue="11681" maxValue="12033"/>
    </cacheField>
    <cacheField name="Libellé" numFmtId="0">
      <sharedItems containsBlank="1"/>
    </cacheField>
    <cacheField name="Impact CO2" numFmtId="0">
      <sharedItems containsNonDate="0" containsString="0" containsBlank="1"/>
    </cacheField>
    <cacheField name="Unité" numFmtId="0">
      <sharedItems containsBlank="1"/>
    </cacheField>
    <cacheField name="Quantité" numFmtId="0">
      <sharedItems containsString="0" containsBlank="1" containsNumber="1" minValue="0.4" maxValue="3.7"/>
    </cacheField>
    <cacheField name="Prix Unitaire" numFmtId="0">
      <sharedItems containsNonDate="0" containsString="0" containsBlank="1"/>
    </cacheField>
    <cacheField name="Montant H,T," numFmtId="2">
      <sharedItems containsString="0" containsBlank="1" containsNumber="1" containsInteger="1" minValue="145" maxValue="1100"/>
    </cacheField>
    <cacheField name="Code Tv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0.411137847223" createdVersion="8" refreshedVersion="8" minRefreshableVersion="3" recordCount="17" xr:uid="{F9E8E5B1-842C-4582-BED0-492152721559}">
  <cacheSource type="worksheet">
    <worksheetSource ref="B1:K1048576" sheet="Factures BLS"/>
  </cacheSource>
  <cacheFields count="10">
    <cacheField name="n° facture" numFmtId="49">
      <sharedItems containsBlank="1" containsMixedTypes="1" containsNumber="1" containsInteger="1" minValue="2600513" maxValue="2600772" count="4">
        <s v="2601458"/>
        <m/>
        <n v="2600772" u="1"/>
        <n v="2600513" u="1"/>
      </sharedItems>
    </cacheField>
    <cacheField name="Date Prestation" numFmtId="167">
      <sharedItems containsNonDate="0" containsDate="1" containsString="0" containsBlank="1" minDate="2026-06-01T00:00:00" maxDate="2026-07-01T00:00:00"/>
    </cacheField>
    <cacheField name="Dossier" numFmtId="0">
      <sharedItems containsString="0" containsBlank="1" containsNumber="1" containsInteger="1" minValue="12116" maxValue="12676"/>
    </cacheField>
    <cacheField name="Libellé" numFmtId="0">
      <sharedItems containsBlank="1"/>
    </cacheField>
    <cacheField name="Impact CO2" numFmtId="0">
      <sharedItems containsNonDate="0" containsString="0" containsBlank="1"/>
    </cacheField>
    <cacheField name="Unité" numFmtId="0">
      <sharedItems containsBlank="1"/>
    </cacheField>
    <cacheField name="Quantité" numFmtId="0">
      <sharedItems containsString="0" containsBlank="1" containsNumber="1" minValue="0.01" maxValue="6"/>
    </cacheField>
    <cacheField name="Prix Unitaire" numFmtId="0">
      <sharedItems containsNonDate="0" containsString="0" containsBlank="1"/>
    </cacheField>
    <cacheField name="Montant H,T," numFmtId="0">
      <sharedItems containsString="0" containsBlank="1" containsNumber="1" containsInteger="1" minValue="135" maxValue="1300"/>
    </cacheField>
    <cacheField name="Code Tv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2601090"/>
    <d v="2026-05-07T00:00:00"/>
    <n v="11681"/>
    <s v="De 16 Salles-d'Angles  A 77 Compans_x000a_V/Réf SAS04260001  SAS M&amp;I Spirits"/>
    <m/>
    <s v="M"/>
    <n v="0.4"/>
    <m/>
    <n v="180"/>
    <n v="1"/>
  </r>
  <r>
    <x v="1"/>
    <s v="2601090"/>
    <d v="2026-05-11T00:00:00"/>
    <n v="11719"/>
    <s v="De 93 Courneuve (la)  A 21 Créancey"/>
    <m/>
    <s v="M"/>
    <n v="3.7"/>
    <m/>
    <n v="495"/>
    <n v="1"/>
  </r>
  <r>
    <x v="2"/>
    <s v="2601090"/>
    <d v="2026-05-13T00:00:00"/>
    <n v="11806"/>
    <s v="De 21 Créancey  A 34 Montpellier"/>
    <m/>
    <s v="M"/>
    <n v="0.4"/>
    <m/>
    <n v="350"/>
    <n v="1"/>
  </r>
  <r>
    <x v="2"/>
    <s v="2601090"/>
    <d v="2026-05-13T00:00:00"/>
    <n v="11809"/>
    <s v="De 21 Créancey  A 91 Wissous"/>
    <m/>
    <s v="M"/>
    <n v="0.4"/>
    <m/>
    <n v="145"/>
    <n v="1"/>
  </r>
  <r>
    <x v="2"/>
    <s v="2601090"/>
    <d v="2026-05-15T00:00:00"/>
    <n v="11823"/>
    <s v="De 21 Créancey  A 64 Bayonne"/>
    <m/>
    <s v="M"/>
    <n v="1.2"/>
    <m/>
    <n v="1100"/>
    <m/>
  </r>
  <r>
    <x v="2"/>
    <s v="2601090"/>
    <d v="2026-05-21T00:00:00"/>
    <n v="11914"/>
    <s v="De 21 Créancey  A 93 TREMBLAY EN FRANCE"/>
    <m/>
    <m/>
    <n v="0.8"/>
    <m/>
    <n v="225"/>
    <m/>
  </r>
  <r>
    <x v="3"/>
    <s v="2601090"/>
    <d v="2026-05-22T00:00:00"/>
    <n v="11905"/>
    <s v="De 75 Paris  A 21 Créancey"/>
    <m/>
    <s v="M"/>
    <n v="0.8"/>
    <m/>
    <n v="315"/>
    <n v="1"/>
  </r>
  <r>
    <x v="4"/>
    <s v="2601090"/>
    <d v="2026-05-27T00:00:00"/>
    <n v="12000"/>
    <s v="De 21 Créancey  A 33 Mérignac"/>
    <m/>
    <s v="M"/>
    <n v="1.6"/>
    <m/>
    <n v="340"/>
    <n v="1"/>
  </r>
  <r>
    <x v="5"/>
    <s v="2601090"/>
    <d v="2026-05-28T00:00:00"/>
    <n v="12033"/>
    <s v="De 77 Brie-Comte-Robert  A 21 Créancey"/>
    <m/>
    <s v="M"/>
    <n v="1.6"/>
    <m/>
    <n v="250"/>
    <n v="1"/>
  </r>
  <r>
    <x v="6"/>
    <s v="2601090"/>
    <d v="2026-05-29T00:00:00"/>
    <n v="12030"/>
    <s v="De 21 Créancey  A I20 Milano-20149"/>
    <m/>
    <s v="M"/>
    <n v="0.4"/>
    <m/>
    <n v="700"/>
    <n v="1"/>
  </r>
  <r>
    <x v="7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d v="2026-06-01T00:00:00"/>
    <n v="12118"/>
    <s v="De 21 Créancey  A 13 Aubagne"/>
    <m/>
    <m/>
    <m/>
    <m/>
    <n v="1300"/>
    <n v="1"/>
  </r>
  <r>
    <x v="0"/>
    <d v="2026-06-03T00:00:00"/>
    <n v="12116"/>
    <s v="De 21 Créancey  A 60 Grandvilliers"/>
    <m/>
    <s v="M"/>
    <n v="1.6"/>
    <m/>
    <n v="325"/>
    <n v="1"/>
  </r>
  <r>
    <x v="0"/>
    <d v="2026-06-03T00:00:00"/>
    <n v="12144"/>
    <s v="De 21 Créancey  A 49 Saint-Jean-de-Linières"/>
    <m/>
    <s v="M"/>
    <n v="1.6"/>
    <m/>
    <n v="340"/>
    <n v="1"/>
  </r>
  <r>
    <x v="0"/>
    <d v="2026-06-03T00:00:00"/>
    <n v="12145"/>
    <s v="De 21 Créancey  A 76 Grand-Couronne"/>
    <m/>
    <s v="M"/>
    <n v="0.4"/>
    <m/>
    <n v="180"/>
    <n v="1"/>
  </r>
  <r>
    <x v="0"/>
    <d v="2026-06-03T00:00:00"/>
    <n v="12147"/>
    <s v="De 75 Paris  A 21 Créancey"/>
    <m/>
    <s v="M"/>
    <n v="0.8"/>
    <m/>
    <n v="300"/>
    <n v="1"/>
  </r>
  <r>
    <x v="0"/>
    <d v="2026-06-04T00:00:00"/>
    <n v="12165"/>
    <s v="V/Réf HYD06260004 2764316_x000a_De 21 Créancey  A 21 Ouges"/>
    <m/>
    <s v="M"/>
    <n v="1.2"/>
    <m/>
    <n v="200"/>
    <n v="1"/>
  </r>
  <r>
    <x v="0"/>
    <d v="2026-06-04T00:00:00"/>
    <n v="12204"/>
    <s v="De 21 Créancey  A 34 Castelnau-le-Lez"/>
    <m/>
    <s v="M"/>
    <n v="1.2"/>
    <m/>
    <n v="995"/>
    <n v="1"/>
  </r>
  <r>
    <x v="0"/>
    <d v="2026-06-08T00:00:00"/>
    <n v="12245"/>
    <s v="De 21 Créancey  A 95 Vémars"/>
    <m/>
    <s v="M"/>
    <n v="0.5"/>
    <m/>
    <n v="195"/>
    <n v="1"/>
  </r>
  <r>
    <x v="0"/>
    <d v="2026-06-09T00:00:00"/>
    <n v="12201"/>
    <s v="De 21 Savigny-lès-Beaune  A I00 Roma-00176"/>
    <m/>
    <s v="M"/>
    <n v="0.8"/>
    <m/>
    <n v="480"/>
    <n v="1"/>
  </r>
  <r>
    <x v="0"/>
    <d v="2026-06-12T00:00:00"/>
    <n v="12339"/>
    <s v="V/Réf ALPEXPO GRENOBLE_x000a_De 21 Créancey  A 38 Grenoble"/>
    <m/>
    <s v="M"/>
    <n v="0.01"/>
    <m/>
    <n v="575"/>
    <n v="1"/>
  </r>
  <r>
    <x v="0"/>
    <d v="2026-06-16T00:00:00"/>
    <n v="12414"/>
    <s v="De 21 Créancey  A 25 Pontarlier"/>
    <m/>
    <s v="M"/>
    <n v="0.8"/>
    <m/>
    <n v="550"/>
    <n v="1"/>
  </r>
  <r>
    <x v="0"/>
    <d v="2026-06-24T00:00:00"/>
    <n v="12532"/>
    <s v="De 75 Paris  A 21 Créancey"/>
    <m/>
    <s v="M"/>
    <n v="0.8"/>
    <m/>
    <n v="190"/>
    <n v="1"/>
  </r>
  <r>
    <x v="0"/>
    <d v="2026-06-25T00:00:00"/>
    <n v="12550"/>
    <s v="De 21 Créancey  A 75 Paris/16ème Arrondissement"/>
    <m/>
    <s v="M"/>
    <n v="1.2"/>
    <m/>
    <n v="265"/>
    <n v="1"/>
  </r>
  <r>
    <x v="0"/>
    <d v="2026-06-25T00:00:00"/>
    <n v="12574"/>
    <s v="De 75 Paris  A 21 Créancey"/>
    <m/>
    <s v="M"/>
    <n v="0.4"/>
    <m/>
    <n v="135"/>
    <n v="1"/>
  </r>
  <r>
    <x v="0"/>
    <d v="2026-06-30T00:00:00"/>
    <n v="12676"/>
    <s v="De 21 Créancey  A 13 Marseille/16ème Arrondissement"/>
    <m/>
    <s v="M"/>
    <n v="6"/>
    <m/>
    <n v="800"/>
    <n v="1"/>
  </r>
  <r>
    <x v="1"/>
    <m/>
    <m/>
    <m/>
    <m/>
    <m/>
    <m/>
    <m/>
    <m/>
    <m/>
  </r>
  <r>
    <x v="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1EBD3-3F1D-417C-B674-64398C047046}" name="Tableau croisé dynamique1" cacheId="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showAll="0">
      <items count="5">
        <item x="1"/>
        <item m="1" x="3"/>
        <item m="1"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3"/>
    </i>
    <i t="grand">
      <x/>
    </i>
  </rowItems>
  <colItems count="1">
    <i/>
  </colItems>
  <dataFields count="1">
    <dataField name="Somme de Montant H,T,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2188F-DFF3-49BE-848C-EACAE2FB5F24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axis="axisRow" showAll="0">
      <items count="14">
        <item x="7"/>
        <item x="2"/>
        <item x="3"/>
        <item x="5"/>
        <item x="4"/>
        <item x="6"/>
        <item m="1" x="8"/>
        <item m="1" x="9"/>
        <item m="1" x="10"/>
        <item m="1" x="11"/>
        <item m="1" x="1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Items count="1">
    <i/>
  </colItems>
  <dataFields count="1">
    <dataField name="Somme de Montant H,T,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1D50-D357-4643-B83C-33A31637B5AA}">
  <dimension ref="A1:K16"/>
  <sheetViews>
    <sheetView workbookViewId="0">
      <selection activeCell="J2" sqref="J2:J16"/>
    </sheetView>
  </sheetViews>
  <sheetFormatPr baseColWidth="10" defaultRowHeight="15" x14ac:dyDescent="0.25"/>
  <cols>
    <col min="1" max="1" width="11.42578125" style="1"/>
    <col min="2" max="2" width="11.42578125" style="4"/>
    <col min="3" max="3" width="11.42578125" style="44"/>
    <col min="4" max="4" width="15.5703125" style="40" bestFit="1" customWidth="1"/>
    <col min="5" max="5" width="44.7109375" style="8" bestFit="1" customWidth="1"/>
    <col min="8" max="8" width="11.42578125" style="8"/>
    <col min="10" max="10" width="11.42578125" style="9"/>
    <col min="11" max="11" width="16" bestFit="1" customWidth="1"/>
  </cols>
  <sheetData>
    <row r="1" spans="1:11" s="5" customFormat="1" ht="23.25" customHeight="1" x14ac:dyDescent="0.25">
      <c r="A1" s="6" t="s">
        <v>29</v>
      </c>
      <c r="B1" s="7" t="s">
        <v>38</v>
      </c>
      <c r="C1" s="45" t="s">
        <v>30</v>
      </c>
      <c r="D1" s="39" t="s">
        <v>31</v>
      </c>
      <c r="E1" s="7" t="s">
        <v>32</v>
      </c>
      <c r="F1" s="7" t="s">
        <v>33</v>
      </c>
      <c r="G1" s="13" t="s">
        <v>34</v>
      </c>
      <c r="H1" s="7" t="s">
        <v>35</v>
      </c>
      <c r="I1" s="7" t="s">
        <v>36</v>
      </c>
      <c r="J1" s="10" t="s">
        <v>46</v>
      </c>
      <c r="K1" s="7" t="s">
        <v>37</v>
      </c>
    </row>
    <row r="2" spans="1:11" x14ac:dyDescent="0.25">
      <c r="B2" s="14" t="s">
        <v>60</v>
      </c>
      <c r="C2" s="41">
        <v>46174</v>
      </c>
      <c r="D2" s="22">
        <v>12118</v>
      </c>
      <c r="E2" s="27" t="s">
        <v>48</v>
      </c>
      <c r="F2" s="11"/>
      <c r="G2" s="36"/>
      <c r="H2" s="33"/>
      <c r="I2" s="20"/>
      <c r="J2" s="47">
        <v>1300</v>
      </c>
      <c r="K2" s="30">
        <v>1</v>
      </c>
    </row>
    <row r="3" spans="1:11" x14ac:dyDescent="0.25">
      <c r="B3" s="14" t="s">
        <v>60</v>
      </c>
      <c r="C3" s="42">
        <v>46176</v>
      </c>
      <c r="D3" s="22">
        <v>12116</v>
      </c>
      <c r="E3" s="18" t="s">
        <v>49</v>
      </c>
      <c r="F3" s="11"/>
      <c r="G3" s="37" t="s">
        <v>59</v>
      </c>
      <c r="H3" s="34">
        <v>1.6</v>
      </c>
      <c r="I3" s="20"/>
      <c r="J3" s="28">
        <v>325</v>
      </c>
      <c r="K3" s="31">
        <v>1</v>
      </c>
    </row>
    <row r="4" spans="1:11" x14ac:dyDescent="0.25">
      <c r="B4" s="14" t="s">
        <v>60</v>
      </c>
      <c r="C4" s="42">
        <v>46176</v>
      </c>
      <c r="D4" s="22">
        <v>12144</v>
      </c>
      <c r="E4" s="18" t="s">
        <v>50</v>
      </c>
      <c r="F4" s="11"/>
      <c r="G4" s="37" t="s">
        <v>59</v>
      </c>
      <c r="H4" s="34">
        <v>1.6</v>
      </c>
      <c r="I4" s="20"/>
      <c r="J4" s="28">
        <v>340</v>
      </c>
      <c r="K4" s="31">
        <v>1</v>
      </c>
    </row>
    <row r="5" spans="1:11" x14ac:dyDescent="0.25">
      <c r="B5" s="14" t="s">
        <v>60</v>
      </c>
      <c r="C5" s="42">
        <v>46176</v>
      </c>
      <c r="D5" s="22">
        <v>12145</v>
      </c>
      <c r="E5" s="18" t="s">
        <v>51</v>
      </c>
      <c r="F5" s="11"/>
      <c r="G5" s="37" t="s">
        <v>59</v>
      </c>
      <c r="H5" s="34">
        <v>0.4</v>
      </c>
      <c r="I5" s="20"/>
      <c r="J5" s="28">
        <v>180</v>
      </c>
      <c r="K5" s="31">
        <v>1</v>
      </c>
    </row>
    <row r="6" spans="1:11" x14ac:dyDescent="0.25">
      <c r="B6" s="14" t="s">
        <v>60</v>
      </c>
      <c r="C6" s="42">
        <v>46176</v>
      </c>
      <c r="D6" s="22">
        <v>12147</v>
      </c>
      <c r="E6" s="18" t="s">
        <v>52</v>
      </c>
      <c r="F6" s="11"/>
      <c r="G6" s="37" t="s">
        <v>59</v>
      </c>
      <c r="H6" s="34">
        <v>0.8</v>
      </c>
      <c r="I6" s="20"/>
      <c r="J6" s="28">
        <v>300</v>
      </c>
      <c r="K6" s="31">
        <v>1</v>
      </c>
    </row>
    <row r="7" spans="1:11" ht="30" x14ac:dyDescent="0.25">
      <c r="B7" s="14" t="s">
        <v>60</v>
      </c>
      <c r="C7" s="42">
        <v>46177</v>
      </c>
      <c r="D7" s="22">
        <v>12165</v>
      </c>
      <c r="E7" s="18" t="s">
        <v>61</v>
      </c>
      <c r="F7" s="11"/>
      <c r="G7" s="37" t="s">
        <v>59</v>
      </c>
      <c r="H7" s="34">
        <v>1.2</v>
      </c>
      <c r="I7" s="21"/>
      <c r="J7" s="28">
        <v>200</v>
      </c>
      <c r="K7" s="26">
        <v>1</v>
      </c>
    </row>
    <row r="8" spans="1:11" x14ac:dyDescent="0.25">
      <c r="B8" s="14" t="s">
        <v>60</v>
      </c>
      <c r="C8" s="42">
        <v>46177</v>
      </c>
      <c r="D8" s="23">
        <v>12204</v>
      </c>
      <c r="E8" s="18" t="s">
        <v>53</v>
      </c>
      <c r="F8" s="12"/>
      <c r="G8" s="37" t="s">
        <v>59</v>
      </c>
      <c r="H8" s="34">
        <v>1.2</v>
      </c>
      <c r="I8" s="21"/>
      <c r="J8" s="28">
        <v>995</v>
      </c>
      <c r="K8" s="31">
        <v>1</v>
      </c>
    </row>
    <row r="9" spans="1:11" x14ac:dyDescent="0.25">
      <c r="B9" s="14" t="s">
        <v>60</v>
      </c>
      <c r="C9" s="42">
        <v>46181</v>
      </c>
      <c r="D9" s="24">
        <v>12245</v>
      </c>
      <c r="E9" s="18" t="s">
        <v>54</v>
      </c>
      <c r="F9" s="12"/>
      <c r="G9" s="37" t="s">
        <v>59</v>
      </c>
      <c r="H9" s="34">
        <v>0.5</v>
      </c>
      <c r="I9" s="21"/>
      <c r="J9" s="28">
        <v>195</v>
      </c>
      <c r="K9" s="31">
        <v>1</v>
      </c>
    </row>
    <row r="10" spans="1:11" x14ac:dyDescent="0.25">
      <c r="B10" s="14" t="s">
        <v>60</v>
      </c>
      <c r="C10" s="43">
        <v>46182</v>
      </c>
      <c r="D10" s="24">
        <v>12201</v>
      </c>
      <c r="E10" s="18" t="s">
        <v>55</v>
      </c>
      <c r="F10" s="12"/>
      <c r="G10" s="37" t="s">
        <v>59</v>
      </c>
      <c r="H10" s="34">
        <v>0.8</v>
      </c>
      <c r="I10" s="21"/>
      <c r="J10" s="28">
        <v>480</v>
      </c>
      <c r="K10" s="31">
        <v>1</v>
      </c>
    </row>
    <row r="11" spans="1:11" ht="30" x14ac:dyDescent="0.25">
      <c r="B11" s="14" t="s">
        <v>60</v>
      </c>
      <c r="C11" s="44">
        <v>46185</v>
      </c>
      <c r="D11" s="40">
        <v>12339</v>
      </c>
      <c r="E11" s="18" t="s">
        <v>62</v>
      </c>
      <c r="G11" s="37" t="s">
        <v>59</v>
      </c>
      <c r="H11" s="34">
        <v>0.01</v>
      </c>
      <c r="J11" s="28">
        <v>575</v>
      </c>
      <c r="K11" s="31">
        <v>1</v>
      </c>
    </row>
    <row r="12" spans="1:11" x14ac:dyDescent="0.25">
      <c r="B12" s="14" t="s">
        <v>60</v>
      </c>
      <c r="C12" s="44">
        <v>46189</v>
      </c>
      <c r="D12" s="40">
        <v>12414</v>
      </c>
      <c r="E12" s="18" t="s">
        <v>56</v>
      </c>
      <c r="G12" s="37" t="s">
        <v>59</v>
      </c>
      <c r="H12" s="34">
        <v>0.8</v>
      </c>
      <c r="J12" s="28">
        <v>550</v>
      </c>
      <c r="K12" s="31">
        <v>1</v>
      </c>
    </row>
    <row r="13" spans="1:11" x14ac:dyDescent="0.25">
      <c r="B13" s="14" t="s">
        <v>60</v>
      </c>
      <c r="C13" s="44">
        <v>46197</v>
      </c>
      <c r="D13" s="40">
        <v>12532</v>
      </c>
      <c r="E13" s="18" t="s">
        <v>52</v>
      </c>
      <c r="G13" s="37" t="s">
        <v>59</v>
      </c>
      <c r="H13" s="34">
        <v>0.8</v>
      </c>
      <c r="J13" s="28">
        <v>190</v>
      </c>
      <c r="K13" s="31">
        <v>1</v>
      </c>
    </row>
    <row r="14" spans="1:11" x14ac:dyDescent="0.25">
      <c r="B14" s="14" t="s">
        <v>60</v>
      </c>
      <c r="C14" s="44">
        <v>46198</v>
      </c>
      <c r="D14" s="40">
        <v>12550</v>
      </c>
      <c r="E14" s="18" t="s">
        <v>57</v>
      </c>
      <c r="G14" s="37" t="s">
        <v>59</v>
      </c>
      <c r="H14" s="34">
        <v>1.2</v>
      </c>
      <c r="J14" s="28">
        <v>265</v>
      </c>
      <c r="K14" s="31">
        <v>1</v>
      </c>
    </row>
    <row r="15" spans="1:11" x14ac:dyDescent="0.25">
      <c r="B15" s="14" t="s">
        <v>60</v>
      </c>
      <c r="C15" s="44">
        <v>46198</v>
      </c>
      <c r="D15" s="40">
        <v>12574</v>
      </c>
      <c r="E15" s="18" t="s">
        <v>52</v>
      </c>
      <c r="G15" s="37" t="s">
        <v>59</v>
      </c>
      <c r="H15" s="34">
        <v>0.4</v>
      </c>
      <c r="J15" s="28">
        <v>135</v>
      </c>
      <c r="K15" s="31">
        <v>1</v>
      </c>
    </row>
    <row r="16" spans="1:11" x14ac:dyDescent="0.25">
      <c r="B16" s="14" t="s">
        <v>60</v>
      </c>
      <c r="C16" s="44">
        <v>46203</v>
      </c>
      <c r="D16" s="40">
        <v>12676</v>
      </c>
      <c r="E16" s="19" t="s">
        <v>58</v>
      </c>
      <c r="G16" s="38" t="s">
        <v>59</v>
      </c>
      <c r="H16" s="35">
        <v>6</v>
      </c>
      <c r="J16" s="29">
        <v>800</v>
      </c>
      <c r="K16" s="32">
        <v>1</v>
      </c>
    </row>
  </sheetData>
  <autoFilter ref="A1:K1" xr:uid="{450D1D50-D357-4643-B83C-33A31637B5AA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0613-BD45-4FF7-8687-EB252AC90E04}">
  <dimension ref="A3:E6"/>
  <sheetViews>
    <sheetView workbookViewId="0">
      <selection activeCell="B4" sqref="B4"/>
    </sheetView>
  </sheetViews>
  <sheetFormatPr baseColWidth="10" defaultRowHeight="15" x14ac:dyDescent="0.25"/>
  <cols>
    <col min="1" max="1" width="21" bestFit="1" customWidth="1"/>
    <col min="2" max="2" width="22.7109375" bestFit="1" customWidth="1"/>
  </cols>
  <sheetData>
    <row r="3" spans="1:5" x14ac:dyDescent="0.25">
      <c r="A3" s="2" t="s">
        <v>23</v>
      </c>
      <c r="B3" t="s">
        <v>47</v>
      </c>
      <c r="D3" t="s">
        <v>26</v>
      </c>
      <c r="E3" t="s">
        <v>39</v>
      </c>
    </row>
    <row r="4" spans="1:5" x14ac:dyDescent="0.25">
      <c r="A4" s="3" t="s">
        <v>27</v>
      </c>
      <c r="B4" s="46"/>
      <c r="D4">
        <v>6830</v>
      </c>
      <c r="E4">
        <f>B5-D4</f>
        <v>0</v>
      </c>
    </row>
    <row r="5" spans="1:5" x14ac:dyDescent="0.25">
      <c r="A5" s="3" t="s">
        <v>60</v>
      </c>
      <c r="B5" s="46">
        <v>6830</v>
      </c>
    </row>
    <row r="6" spans="1:5" x14ac:dyDescent="0.25">
      <c r="A6" s="3" t="s">
        <v>24</v>
      </c>
      <c r="B6" s="46">
        <v>6830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6914-10F5-4D38-96D7-69DC95ED7341}">
  <dimension ref="A1:X16"/>
  <sheetViews>
    <sheetView tabSelected="1" zoomScale="73" zoomScaleNormal="73" workbookViewId="0">
      <selection activeCell="L25" sqref="L25"/>
    </sheetView>
  </sheetViews>
  <sheetFormatPr baseColWidth="10" defaultRowHeight="15" x14ac:dyDescent="0.25"/>
  <cols>
    <col min="2" max="2" width="16.5703125" bestFit="1" customWidth="1"/>
    <col min="7" max="7" width="45.7109375" bestFit="1" customWidth="1"/>
    <col min="21" max="21" width="15.7109375" bestFit="1" customWidth="1"/>
    <col min="24" max="24" width="44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25">
      <c r="A2" t="s">
        <v>40</v>
      </c>
      <c r="B2" s="25">
        <v>46174</v>
      </c>
      <c r="F2">
        <f>'Factures BLS'!D2</f>
        <v>12118</v>
      </c>
      <c r="G2" s="4" t="str">
        <f>'Factures BLS'!E2</f>
        <v>De 21 Créancey  A 13 Aubagne</v>
      </c>
      <c r="H2" t="s">
        <v>41</v>
      </c>
      <c r="I2" t="s">
        <v>25</v>
      </c>
      <c r="J2" t="s">
        <v>25</v>
      </c>
      <c r="K2">
        <v>1</v>
      </c>
      <c r="L2">
        <v>100</v>
      </c>
      <c r="M2" t="s">
        <v>28</v>
      </c>
      <c r="N2">
        <v>0.2</v>
      </c>
      <c r="T2" s="4">
        <f>'Factures BLS'!J2</f>
        <v>1300</v>
      </c>
    </row>
    <row r="3" spans="1:24" x14ac:dyDescent="0.25">
      <c r="A3" t="s">
        <v>40</v>
      </c>
      <c r="B3" s="15">
        <f t="shared" ref="B3:B16" si="0">B2</f>
        <v>46174</v>
      </c>
      <c r="F3">
        <f>'Factures BLS'!D3</f>
        <v>12116</v>
      </c>
      <c r="G3" s="4" t="str">
        <f>'Factures BLS'!E3</f>
        <v>De 21 Créancey  A 60 Grandvilliers</v>
      </c>
      <c r="H3" t="s">
        <v>41</v>
      </c>
      <c r="I3" t="s">
        <v>25</v>
      </c>
      <c r="J3" t="s">
        <v>25</v>
      </c>
      <c r="K3">
        <v>4</v>
      </c>
      <c r="L3">
        <v>1157</v>
      </c>
      <c r="M3" t="s">
        <v>28</v>
      </c>
      <c r="N3">
        <f t="shared" ref="N3:N16" si="1">N2</f>
        <v>0.2</v>
      </c>
      <c r="T3" s="4">
        <f>'Factures BLS'!J3</f>
        <v>325</v>
      </c>
    </row>
    <row r="4" spans="1:24" x14ac:dyDescent="0.25">
      <c r="A4" t="s">
        <v>40</v>
      </c>
      <c r="B4" s="15">
        <f t="shared" si="0"/>
        <v>46174</v>
      </c>
      <c r="F4">
        <f>'Factures BLS'!D4</f>
        <v>12144</v>
      </c>
      <c r="G4" s="4" t="str">
        <f>'Factures BLS'!E4</f>
        <v>De 21 Créancey  A 49 Saint-Jean-de-Linières</v>
      </c>
      <c r="H4" t="s">
        <v>41</v>
      </c>
      <c r="I4" t="s">
        <v>25</v>
      </c>
      <c r="J4" t="s">
        <v>25</v>
      </c>
      <c r="K4">
        <v>4</v>
      </c>
      <c r="L4">
        <v>1161</v>
      </c>
      <c r="M4" t="s">
        <v>28</v>
      </c>
      <c r="N4">
        <f t="shared" si="1"/>
        <v>0.2</v>
      </c>
      <c r="T4" s="4">
        <f>'Factures BLS'!J4</f>
        <v>340</v>
      </c>
    </row>
    <row r="5" spans="1:24" x14ac:dyDescent="0.25">
      <c r="A5" t="s">
        <v>40</v>
      </c>
      <c r="B5" s="15">
        <f t="shared" si="0"/>
        <v>46174</v>
      </c>
      <c r="F5">
        <f>'Factures BLS'!D5</f>
        <v>12145</v>
      </c>
      <c r="G5" s="4" t="str">
        <f>'Factures BLS'!E5</f>
        <v>De 21 Créancey  A 76 Grand-Couronne</v>
      </c>
      <c r="H5" t="s">
        <v>41</v>
      </c>
      <c r="I5" t="s">
        <v>25</v>
      </c>
      <c r="J5" t="s">
        <v>25</v>
      </c>
      <c r="K5">
        <v>1</v>
      </c>
      <c r="L5">
        <v>270</v>
      </c>
      <c r="M5" t="s">
        <v>28</v>
      </c>
      <c r="N5">
        <f t="shared" si="1"/>
        <v>0.2</v>
      </c>
      <c r="T5" s="4">
        <f>'Factures BLS'!J5</f>
        <v>180</v>
      </c>
    </row>
    <row r="6" spans="1:24" x14ac:dyDescent="0.25">
      <c r="A6" t="s">
        <v>40</v>
      </c>
      <c r="B6" s="15">
        <f t="shared" si="0"/>
        <v>46174</v>
      </c>
      <c r="F6">
        <f>'Factures BLS'!D6</f>
        <v>12147</v>
      </c>
      <c r="G6" s="4" t="str">
        <f>'Factures BLS'!E6</f>
        <v>De 75 Paris  A 21 Créancey</v>
      </c>
      <c r="H6" t="s">
        <v>41</v>
      </c>
      <c r="I6" t="s">
        <v>25</v>
      </c>
      <c r="J6" t="s">
        <v>25</v>
      </c>
      <c r="K6">
        <v>2</v>
      </c>
      <c r="L6">
        <v>347</v>
      </c>
      <c r="M6" t="s">
        <v>28</v>
      </c>
      <c r="N6">
        <f t="shared" si="1"/>
        <v>0.2</v>
      </c>
      <c r="T6" s="4">
        <f>'Factures BLS'!J6</f>
        <v>300</v>
      </c>
      <c r="X6" s="16"/>
    </row>
    <row r="7" spans="1:24" s="17" customFormat="1" x14ac:dyDescent="0.25">
      <c r="A7" t="s">
        <v>40</v>
      </c>
      <c r="B7" s="15">
        <f t="shared" si="0"/>
        <v>46174</v>
      </c>
      <c r="C7"/>
      <c r="D7"/>
      <c r="E7"/>
      <c r="F7">
        <f>'Factures BLS'!D7</f>
        <v>12165</v>
      </c>
      <c r="G7" s="4" t="str">
        <f>'Factures BLS'!E7</f>
        <v>V/Réf HYD06260004 2764316
De 21 Créancey  A 21 Ouges</v>
      </c>
      <c r="H7" t="s">
        <v>41</v>
      </c>
      <c r="I7" t="s">
        <v>25</v>
      </c>
      <c r="J7" t="s">
        <v>25</v>
      </c>
      <c r="K7">
        <v>1</v>
      </c>
      <c r="L7">
        <v>100</v>
      </c>
      <c r="M7" t="s">
        <v>28</v>
      </c>
      <c r="N7">
        <f t="shared" si="1"/>
        <v>0.2</v>
      </c>
      <c r="O7"/>
      <c r="P7"/>
      <c r="Q7"/>
      <c r="R7"/>
      <c r="S7"/>
      <c r="T7" s="4">
        <f>'Factures BLS'!J7</f>
        <v>200</v>
      </c>
      <c r="U7"/>
      <c r="V7"/>
      <c r="W7"/>
    </row>
    <row r="8" spans="1:24" x14ac:dyDescent="0.25">
      <c r="A8" t="s">
        <v>40</v>
      </c>
      <c r="B8" s="15">
        <f t="shared" si="0"/>
        <v>46174</v>
      </c>
      <c r="F8">
        <f>'Factures BLS'!D8</f>
        <v>12204</v>
      </c>
      <c r="G8" s="4" t="str">
        <f>'Factures BLS'!E8</f>
        <v>De 21 Créancey  A 34 Castelnau-le-Lez</v>
      </c>
      <c r="H8" t="s">
        <v>41</v>
      </c>
      <c r="I8" t="s">
        <v>25</v>
      </c>
      <c r="J8" t="s">
        <v>25</v>
      </c>
      <c r="K8">
        <v>3</v>
      </c>
      <c r="L8">
        <v>775.5</v>
      </c>
      <c r="M8" t="s">
        <v>28</v>
      </c>
      <c r="N8">
        <f t="shared" si="1"/>
        <v>0.2</v>
      </c>
      <c r="T8" s="4">
        <f>'Factures BLS'!J8</f>
        <v>995</v>
      </c>
    </row>
    <row r="9" spans="1:24" x14ac:dyDescent="0.25">
      <c r="A9" t="s">
        <v>40</v>
      </c>
      <c r="B9" s="15">
        <f t="shared" si="0"/>
        <v>46174</v>
      </c>
      <c r="F9">
        <f>'Factures BLS'!D9</f>
        <v>12245</v>
      </c>
      <c r="G9" s="4" t="str">
        <f>'Factures BLS'!E9</f>
        <v>De 21 Créancey  A 95 Vémars</v>
      </c>
      <c r="H9" t="s">
        <v>41</v>
      </c>
      <c r="I9" t="s">
        <v>25</v>
      </c>
      <c r="J9" t="s">
        <v>25</v>
      </c>
      <c r="K9">
        <v>1</v>
      </c>
      <c r="L9">
        <v>100</v>
      </c>
      <c r="M9" t="s">
        <v>28</v>
      </c>
      <c r="N9">
        <f t="shared" si="1"/>
        <v>0.2</v>
      </c>
      <c r="T9" s="4">
        <f>'Factures BLS'!J9</f>
        <v>195</v>
      </c>
    </row>
    <row r="10" spans="1:24" x14ac:dyDescent="0.25">
      <c r="A10" t="s">
        <v>40</v>
      </c>
      <c r="B10" s="15">
        <f t="shared" si="0"/>
        <v>46174</v>
      </c>
      <c r="F10">
        <f>'Factures BLS'!D10</f>
        <v>12201</v>
      </c>
      <c r="G10" s="4" t="str">
        <f>'Factures BLS'!E10</f>
        <v>De 21 Savigny-lès-Beaune  A I00 Roma-00176</v>
      </c>
      <c r="H10" t="s">
        <v>41</v>
      </c>
      <c r="I10" t="s">
        <v>25</v>
      </c>
      <c r="J10" t="s">
        <v>25</v>
      </c>
      <c r="K10">
        <v>2</v>
      </c>
      <c r="L10">
        <v>1050</v>
      </c>
      <c r="M10" t="s">
        <v>28</v>
      </c>
      <c r="N10">
        <f t="shared" si="1"/>
        <v>0.2</v>
      </c>
      <c r="T10" s="4">
        <f>'Factures BLS'!J10</f>
        <v>480</v>
      </c>
    </row>
    <row r="11" spans="1:24" x14ac:dyDescent="0.25">
      <c r="A11" t="s">
        <v>40</v>
      </c>
      <c r="B11" s="15">
        <f t="shared" si="0"/>
        <v>46174</v>
      </c>
      <c r="F11">
        <f>'Factures BLS'!D11</f>
        <v>12339</v>
      </c>
      <c r="G11" s="4" t="str">
        <f>'Factures BLS'!E11</f>
        <v>V/Réf ALPEXPO GRENOBLE
De 21 Créancey  A 38 Grenoble</v>
      </c>
      <c r="H11" t="s">
        <v>41</v>
      </c>
      <c r="I11" t="s">
        <v>25</v>
      </c>
      <c r="J11" t="s">
        <v>25</v>
      </c>
      <c r="K11">
        <v>4</v>
      </c>
      <c r="L11">
        <v>30</v>
      </c>
      <c r="M11" t="s">
        <v>28</v>
      </c>
      <c r="N11">
        <f t="shared" si="1"/>
        <v>0.2</v>
      </c>
      <c r="T11" s="4">
        <f>'Factures BLS'!J11</f>
        <v>575</v>
      </c>
    </row>
    <row r="12" spans="1:24" x14ac:dyDescent="0.25">
      <c r="A12" t="s">
        <v>40</v>
      </c>
      <c r="B12" s="15">
        <f t="shared" si="0"/>
        <v>46174</v>
      </c>
      <c r="F12">
        <f>'Factures BLS'!D12</f>
        <v>12414</v>
      </c>
      <c r="G12" s="4" t="str">
        <f>'Factures BLS'!E12</f>
        <v>De 21 Créancey  A 25 Pontarlier</v>
      </c>
      <c r="H12" t="s">
        <v>41</v>
      </c>
      <c r="I12" t="s">
        <v>25</v>
      </c>
      <c r="J12" t="s">
        <v>25</v>
      </c>
      <c r="K12">
        <v>2</v>
      </c>
      <c r="L12">
        <v>275</v>
      </c>
      <c r="M12" t="s">
        <v>28</v>
      </c>
      <c r="N12">
        <f t="shared" si="1"/>
        <v>0.2</v>
      </c>
      <c r="T12" s="4">
        <f>'Factures BLS'!J12</f>
        <v>550</v>
      </c>
    </row>
    <row r="13" spans="1:24" x14ac:dyDescent="0.25">
      <c r="A13" t="s">
        <v>40</v>
      </c>
      <c r="B13" s="15">
        <f t="shared" si="0"/>
        <v>46174</v>
      </c>
      <c r="F13">
        <f>'Factures BLS'!D13</f>
        <v>12532</v>
      </c>
      <c r="G13" s="4" t="str">
        <f>'Factures BLS'!E13</f>
        <v>De 75 Paris  A 21 Créancey</v>
      </c>
      <c r="H13" t="s">
        <v>41</v>
      </c>
      <c r="I13" t="s">
        <v>25</v>
      </c>
      <c r="J13" t="s">
        <v>25</v>
      </c>
      <c r="K13">
        <v>3</v>
      </c>
      <c r="L13">
        <v>681</v>
      </c>
      <c r="M13" t="s">
        <v>28</v>
      </c>
      <c r="N13">
        <f t="shared" si="1"/>
        <v>0.2</v>
      </c>
      <c r="T13" s="4">
        <f>'Factures BLS'!J13</f>
        <v>190</v>
      </c>
    </row>
    <row r="14" spans="1:24" x14ac:dyDescent="0.25">
      <c r="A14" t="s">
        <v>40</v>
      </c>
      <c r="B14" s="15">
        <f t="shared" si="0"/>
        <v>46174</v>
      </c>
      <c r="F14">
        <f>'Factures BLS'!D14</f>
        <v>12550</v>
      </c>
      <c r="G14" s="4" t="str">
        <f>'Factures BLS'!E14</f>
        <v>De 21 Créancey  A 75 Paris/16ème Arrondissement</v>
      </c>
      <c r="H14" t="s">
        <v>41</v>
      </c>
      <c r="I14" t="s">
        <v>25</v>
      </c>
      <c r="J14" t="s">
        <v>25</v>
      </c>
      <c r="K14">
        <v>1</v>
      </c>
      <c r="L14">
        <v>100</v>
      </c>
      <c r="M14" t="s">
        <v>28</v>
      </c>
      <c r="N14">
        <f t="shared" si="1"/>
        <v>0.2</v>
      </c>
      <c r="T14" s="4">
        <f>'Factures BLS'!J14</f>
        <v>265</v>
      </c>
    </row>
    <row r="15" spans="1:24" x14ac:dyDescent="0.25">
      <c r="A15" t="s">
        <v>40</v>
      </c>
      <c r="B15" s="15">
        <f t="shared" si="0"/>
        <v>46174</v>
      </c>
      <c r="F15">
        <f>'Factures BLS'!D15</f>
        <v>12574</v>
      </c>
      <c r="G15" s="4" t="str">
        <f>'Factures BLS'!E15</f>
        <v>De 75 Paris  A 21 Créancey</v>
      </c>
      <c r="H15" t="s">
        <v>41</v>
      </c>
      <c r="I15" t="s">
        <v>25</v>
      </c>
      <c r="J15" t="s">
        <v>25</v>
      </c>
      <c r="K15">
        <v>3</v>
      </c>
      <c r="L15">
        <v>750</v>
      </c>
      <c r="M15" t="s">
        <v>28</v>
      </c>
      <c r="N15">
        <f t="shared" si="1"/>
        <v>0.2</v>
      </c>
      <c r="T15" s="4">
        <f>'Factures BLS'!J15</f>
        <v>135</v>
      </c>
    </row>
    <row r="16" spans="1:24" x14ac:dyDescent="0.25">
      <c r="A16" t="s">
        <v>40</v>
      </c>
      <c r="B16" s="15">
        <f t="shared" si="0"/>
        <v>46174</v>
      </c>
      <c r="F16">
        <f>'Factures BLS'!D16</f>
        <v>12676</v>
      </c>
      <c r="G16" s="4" t="str">
        <f>'Factures BLS'!E16</f>
        <v>De 21 Créancey  A 13 Marseille/16ème Arrondissement</v>
      </c>
      <c r="H16" t="s">
        <v>41</v>
      </c>
      <c r="I16" t="s">
        <v>25</v>
      </c>
      <c r="J16" t="s">
        <v>25</v>
      </c>
      <c r="K16">
        <v>15</v>
      </c>
      <c r="L16">
        <v>3000</v>
      </c>
      <c r="M16" t="s">
        <v>28</v>
      </c>
      <c r="N16">
        <f t="shared" si="1"/>
        <v>0.2</v>
      </c>
      <c r="T16" s="4">
        <f>'Factures BLS'!J16</f>
        <v>800</v>
      </c>
    </row>
  </sheetData>
  <autoFilter ref="A1:W7" xr:uid="{47966914-10F5-4D38-96D7-69DC95ED7341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ACA0-1604-4328-91E5-448CA2E8A528}">
  <dimension ref="A3:B12"/>
  <sheetViews>
    <sheetView workbookViewId="0">
      <selection activeCell="F11" sqref="F11"/>
    </sheetView>
  </sheetViews>
  <sheetFormatPr baseColWidth="10" defaultRowHeight="15" x14ac:dyDescent="0.25"/>
  <cols>
    <col min="1" max="1" width="21" bestFit="1" customWidth="1"/>
    <col min="2" max="3" width="22.7109375" bestFit="1" customWidth="1"/>
  </cols>
  <sheetData>
    <row r="3" spans="1:2" x14ac:dyDescent="0.25">
      <c r="A3" s="2" t="s">
        <v>23</v>
      </c>
      <c r="B3" t="s">
        <v>47</v>
      </c>
    </row>
    <row r="4" spans="1:2" x14ac:dyDescent="0.25">
      <c r="A4" s="3" t="s">
        <v>27</v>
      </c>
    </row>
    <row r="5" spans="1:2" x14ac:dyDescent="0.25">
      <c r="A5" s="3">
        <v>3752</v>
      </c>
      <c r="B5">
        <v>1820</v>
      </c>
    </row>
    <row r="6" spans="1:2" x14ac:dyDescent="0.25">
      <c r="A6" s="3">
        <v>8041</v>
      </c>
      <c r="B6">
        <v>315</v>
      </c>
    </row>
    <row r="7" spans="1:2" x14ac:dyDescent="0.25">
      <c r="A7" s="3">
        <v>7261</v>
      </c>
      <c r="B7">
        <v>250</v>
      </c>
    </row>
    <row r="8" spans="1:2" x14ac:dyDescent="0.25">
      <c r="A8" s="3">
        <v>6071</v>
      </c>
      <c r="B8">
        <v>340</v>
      </c>
    </row>
    <row r="9" spans="1:2" x14ac:dyDescent="0.25">
      <c r="A9" s="3">
        <v>361</v>
      </c>
      <c r="B9">
        <v>700</v>
      </c>
    </row>
    <row r="10" spans="1:2" x14ac:dyDescent="0.25">
      <c r="A10" s="3">
        <v>8484</v>
      </c>
      <c r="B10">
        <v>180</v>
      </c>
    </row>
    <row r="11" spans="1:2" x14ac:dyDescent="0.25">
      <c r="A11" s="3">
        <v>3888</v>
      </c>
      <c r="B11">
        <v>495</v>
      </c>
    </row>
    <row r="12" spans="1:2" x14ac:dyDescent="0.25">
      <c r="A12" s="3" t="s">
        <v>24</v>
      </c>
      <c r="B12">
        <v>4100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CB82-A380-4C3F-B28D-A1055B3A4082}">
  <dimension ref="A1:D1"/>
  <sheetViews>
    <sheetView workbookViewId="0">
      <selection activeCell="B7" sqref="B7"/>
    </sheetView>
  </sheetViews>
  <sheetFormatPr baseColWidth="10" defaultRowHeight="15" x14ac:dyDescent="0.25"/>
  <cols>
    <col min="2" max="2" width="28" bestFit="1" customWidth="1"/>
  </cols>
  <sheetData>
    <row r="1" spans="1:4" x14ac:dyDescent="0.25">
      <c r="A1" t="s">
        <v>42</v>
      </c>
      <c r="B1" t="s">
        <v>43</v>
      </c>
      <c r="C1" t="s">
        <v>45</v>
      </c>
      <c r="D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Factures BLS</vt:lpstr>
      <vt:lpstr>Bilan PDF</vt:lpstr>
      <vt:lpstr>Import CSV</vt:lpstr>
      <vt:lpstr>Bilan client</vt:lpstr>
      <vt:lpstr>Avoir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</dc:creator>
  <cp:lastModifiedBy>Contact</cp:lastModifiedBy>
  <dcterms:created xsi:type="dcterms:W3CDTF">2025-09-16T08:03:46Z</dcterms:created>
  <dcterms:modified xsi:type="dcterms:W3CDTF">2026-07-07T08:06:31Z</dcterms:modified>
</cp:coreProperties>
</file>