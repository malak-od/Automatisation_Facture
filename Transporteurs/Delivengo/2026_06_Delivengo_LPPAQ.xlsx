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5.3\Comptabilité La Ruche\$Facturation automatique\1 - Factures transporteurs + calculs\2026\2026 06\"/>
    </mc:Choice>
  </mc:AlternateContent>
  <xr:revisionPtr revIDLastSave="0" documentId="13_ncr:1_{5C44C9B9-8070-4124-8444-EBE99453E63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ays" sheetId="2" r:id="rId1"/>
    <sheet name="Fichier import" sheetId="1" r:id="rId2"/>
  </sheets>
  <definedNames>
    <definedName name="_xlnm._FilterDatabase" localSheetId="1" hidden="1">'Fichier import'!$A$1:$X$936</definedName>
    <definedName name="_xlnm._FilterDatabase" localSheetId="0" hidden="1">Pays!$A$1:$E$64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35" i="1" l="1"/>
  <c r="M905" i="1"/>
  <c r="M718" i="1"/>
  <c r="M678" i="1"/>
  <c r="M664" i="1"/>
  <c r="M411" i="1"/>
  <c r="M148" i="1"/>
  <c r="M130" i="1"/>
  <c r="M124" i="1"/>
  <c r="M116" i="1"/>
  <c r="M101" i="1"/>
  <c r="M100" i="1"/>
  <c r="M99" i="1"/>
  <c r="M98" i="1"/>
  <c r="M97" i="1"/>
  <c r="M96" i="1"/>
  <c r="M95" i="1"/>
  <c r="M91" i="1"/>
  <c r="M90" i="1"/>
  <c r="M88" i="1"/>
  <c r="M87" i="1"/>
  <c r="M86" i="1"/>
  <c r="M85" i="1"/>
  <c r="M83" i="1"/>
  <c r="M82" i="1"/>
  <c r="M80" i="1"/>
  <c r="M77" i="1"/>
  <c r="M75" i="1"/>
  <c r="M73" i="1"/>
  <c r="M72" i="1"/>
  <c r="M68" i="1"/>
  <c r="M65" i="1"/>
  <c r="M64" i="1"/>
  <c r="M42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37" i="1"/>
  <c r="M38" i="1"/>
  <c r="M39" i="1"/>
  <c r="M40" i="1"/>
  <c r="M41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6" i="1"/>
  <c r="M67" i="1"/>
  <c r="M69" i="1"/>
  <c r="M70" i="1"/>
  <c r="M71" i="1"/>
  <c r="M74" i="1"/>
  <c r="M76" i="1"/>
  <c r="M78" i="1"/>
  <c r="M79" i="1"/>
  <c r="M81" i="1"/>
  <c r="M84" i="1"/>
  <c r="M89" i="1"/>
  <c r="M92" i="1"/>
  <c r="M93" i="1"/>
  <c r="M94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7" i="1"/>
  <c r="M118" i="1"/>
  <c r="M119" i="1"/>
  <c r="M120" i="1"/>
  <c r="M121" i="1"/>
  <c r="M122" i="1"/>
  <c r="M123" i="1"/>
  <c r="M125" i="1"/>
  <c r="M126" i="1"/>
  <c r="M127" i="1"/>
  <c r="M128" i="1"/>
  <c r="M129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6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W9" i="1"/>
  <c r="W10" i="1"/>
  <c r="W11" i="1"/>
  <c r="O9" i="1"/>
  <c r="O10" i="1"/>
  <c r="O11" i="1"/>
  <c r="J9" i="1"/>
  <c r="K9" i="1"/>
  <c r="J10" i="1"/>
  <c r="K10" i="1"/>
  <c r="J11" i="1"/>
  <c r="K11" i="1"/>
  <c r="K3" i="1"/>
  <c r="K4" i="1"/>
  <c r="K5" i="1"/>
  <c r="K6" i="1"/>
  <c r="K7" i="1"/>
  <c r="K8" i="1"/>
  <c r="K2" i="1"/>
  <c r="J3" i="1"/>
  <c r="J4" i="1"/>
  <c r="J5" i="1"/>
  <c r="J6" i="1"/>
  <c r="J7" i="1"/>
  <c r="J8" i="1"/>
  <c r="J2" i="1"/>
  <c r="W3" i="1"/>
  <c r="W4" i="1"/>
  <c r="W5" i="1"/>
  <c r="W6" i="1"/>
  <c r="W7" i="1"/>
  <c r="W8" i="1"/>
  <c r="O5" i="1"/>
  <c r="O6" i="1"/>
  <c r="O7" i="1"/>
  <c r="O8" i="1"/>
  <c r="O3" i="1"/>
  <c r="O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O2" i="1"/>
  <c r="W2" i="1"/>
  <c r="M4" i="1" l="1"/>
  <c r="M3" i="1"/>
  <c r="M6" i="1"/>
  <c r="M5" i="1"/>
  <c r="M11" i="1"/>
  <c r="M8" i="1"/>
  <c r="M2" i="1"/>
  <c r="M10" i="1"/>
  <c r="M9" i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M1" authorId="0" shapeId="0" xr:uid="{3E9941D3-5F72-4E5B-AD69-C3657FC94D4C}">
      <text>
        <r>
          <rPr>
            <b/>
            <sz val="9"/>
            <color indexed="81"/>
            <rFont val="Tahoma"/>
            <family val="2"/>
          </rPr>
          <t>Thomas:</t>
        </r>
        <r>
          <rPr>
            <sz val="9"/>
            <color indexed="81"/>
            <rFont val="Tahoma"/>
            <family val="2"/>
          </rPr>
          <t xml:space="preserve">
max de 0,15 et du poids réel -&gt; export des expés</t>
        </r>
      </text>
    </comment>
  </commentList>
</comments>
</file>

<file path=xl/sharedStrings.xml><?xml version="1.0" encoding="utf-8"?>
<sst xmlns="http://schemas.openxmlformats.org/spreadsheetml/2006/main" count="7716" uniqueCount="2008">
  <si>
    <t xml:space="preserve"> Transporteur </t>
  </si>
  <si>
    <t>Date validité tarif</t>
  </si>
  <si>
    <t>Réf.1</t>
  </si>
  <si>
    <t>Réf. 2</t>
  </si>
  <si>
    <t>E / P</t>
  </si>
  <si>
    <t>Pays</t>
  </si>
  <si>
    <t xml:space="preserve"> Zone </t>
  </si>
  <si>
    <t xml:space="preserve"> Nbr Colis </t>
  </si>
  <si>
    <t xml:space="preserve"> Poids </t>
  </si>
  <si>
    <t>mode envoi</t>
  </si>
  <si>
    <t xml:space="preserve"> TVA </t>
  </si>
  <si>
    <t xml:space="preserve"> Droits et taxes </t>
  </si>
  <si>
    <t xml:space="preserve"> Assurance </t>
  </si>
  <si>
    <t xml:space="preserve"> Zones éloignées </t>
  </si>
  <si>
    <t xml:space="preserve"> Colis volumineux </t>
  </si>
  <si>
    <t xml:space="preserve"> Adresses </t>
  </si>
  <si>
    <t xml:space="preserve"> Frêt </t>
  </si>
  <si>
    <t xml:space="preserve"> plus-value BtoC </t>
  </si>
  <si>
    <t>P</t>
  </si>
  <si>
    <t>BE</t>
  </si>
  <si>
    <t>avecsuivi</t>
  </si>
  <si>
    <t>DE</t>
  </si>
  <si>
    <t>LU</t>
  </si>
  <si>
    <t>IT</t>
  </si>
  <si>
    <t>GB</t>
  </si>
  <si>
    <t>NL</t>
  </si>
  <si>
    <t>CH</t>
  </si>
  <si>
    <t>ES</t>
  </si>
  <si>
    <t>BELGIQUE</t>
  </si>
  <si>
    <t>ESPAGNE</t>
  </si>
  <si>
    <t>ROYAUME-UNI</t>
  </si>
  <si>
    <t>PAYS-BAS</t>
  </si>
  <si>
    <t>LUXEMBOURG</t>
  </si>
  <si>
    <t>ITALIE</t>
  </si>
  <si>
    <t>PORTUGAL</t>
  </si>
  <si>
    <t>ALLEMAGNE</t>
  </si>
  <si>
    <t>IRLANDE</t>
  </si>
  <si>
    <t>SUISSE</t>
  </si>
  <si>
    <t>Zone</t>
  </si>
  <si>
    <t>Code</t>
  </si>
  <si>
    <t>GR</t>
  </si>
  <si>
    <t>IE</t>
  </si>
  <si>
    <t>PT</t>
  </si>
  <si>
    <t>AUTRICHE</t>
  </si>
  <si>
    <t>CANADA</t>
  </si>
  <si>
    <t>ROUMANIE</t>
  </si>
  <si>
    <t>AUSTRALIE</t>
  </si>
  <si>
    <t>PANAMA</t>
  </si>
  <si>
    <t>FINLANDE</t>
  </si>
  <si>
    <t>POLOGNE</t>
  </si>
  <si>
    <t>1_GB</t>
  </si>
  <si>
    <t>1_CH</t>
  </si>
  <si>
    <t>1_BE</t>
  </si>
  <si>
    <t>US</t>
  </si>
  <si>
    <t>2_US</t>
  </si>
  <si>
    <t>ETATS-UNIS</t>
  </si>
  <si>
    <t>GRECE</t>
  </si>
  <si>
    <t>LAO, REPUBLIQUE DEMOCRATIQUE POPULAIRE</t>
  </si>
  <si>
    <t>SLOVENIE</t>
  </si>
  <si>
    <t>TCHEQUE, REPUBLIQUE</t>
  </si>
  <si>
    <t>TVA</t>
  </si>
  <si>
    <t>AU</t>
  </si>
  <si>
    <t>CA</t>
  </si>
  <si>
    <t>FI</t>
  </si>
  <si>
    <t>LA</t>
  </si>
  <si>
    <t>PA</t>
  </si>
  <si>
    <t>RO</t>
  </si>
  <si>
    <t>AT</t>
  </si>
  <si>
    <t>PL</t>
  </si>
  <si>
    <t>SI</t>
  </si>
  <si>
    <t>CZ</t>
  </si>
  <si>
    <t>Taxe Gasoil</t>
  </si>
  <si>
    <t>CROATIE</t>
  </si>
  <si>
    <t>GRÈCE</t>
  </si>
  <si>
    <t>CAMBODGE</t>
  </si>
  <si>
    <t>HR</t>
  </si>
  <si>
    <t>KH</t>
  </si>
  <si>
    <t>DANEMARK</t>
  </si>
  <si>
    <t>SUÈDE</t>
  </si>
  <si>
    <t>ÉTATS-UNIS</t>
  </si>
  <si>
    <t>SINGAPOUR</t>
  </si>
  <si>
    <t>DK</t>
  </si>
  <si>
    <t>SE</t>
  </si>
  <si>
    <t>SG</t>
  </si>
  <si>
    <t>JAPON</t>
  </si>
  <si>
    <t>JP</t>
  </si>
  <si>
    <t>CHINE</t>
  </si>
  <si>
    <t>TCHÈQUE, RÉPUBLIQUE</t>
  </si>
  <si>
    <t>SLOVAQUIE</t>
  </si>
  <si>
    <t>CN</t>
  </si>
  <si>
    <t>SK</t>
  </si>
  <si>
    <t>MEXIQUE</t>
  </si>
  <si>
    <t>ESTONIE</t>
  </si>
  <si>
    <t>MX</t>
  </si>
  <si>
    <t>EE</t>
  </si>
  <si>
    <t>COLOMBIE</t>
  </si>
  <si>
    <t>CO</t>
  </si>
  <si>
    <t>BULGARIE</t>
  </si>
  <si>
    <t>MALTE</t>
  </si>
  <si>
    <t>LITUANIE</t>
  </si>
  <si>
    <t>Surcharge carburant :</t>
  </si>
  <si>
    <t>US : 1,50€/kg</t>
  </si>
  <si>
    <t>Canada : 1,50€/kg</t>
  </si>
  <si>
    <t>Australie : 1,50€/kg</t>
  </si>
  <si>
    <t>Nouvelle Zélande : 1,50€/kg</t>
  </si>
  <si>
    <t>Japon :1,50€/kg</t>
  </si>
  <si>
    <t>Gazole</t>
  </si>
  <si>
    <t>BG</t>
  </si>
  <si>
    <t>MT</t>
  </si>
  <si>
    <t>LT</t>
  </si>
  <si>
    <t>En cours</t>
  </si>
  <si>
    <t>ISRAËL</t>
  </si>
  <si>
    <t>NORVÈGE</t>
  </si>
  <si>
    <t>IL</t>
  </si>
  <si>
    <t>NO</t>
  </si>
  <si>
    <t>CHILI</t>
  </si>
  <si>
    <t>MAURICE</t>
  </si>
  <si>
    <t>LETTONIE</t>
  </si>
  <si>
    <t>TURQUIE</t>
  </si>
  <si>
    <t>CL</t>
  </si>
  <si>
    <t>MU</t>
  </si>
  <si>
    <t>LV</t>
  </si>
  <si>
    <t>TR</t>
  </si>
  <si>
    <t>HONGRIE</t>
  </si>
  <si>
    <t>HU</t>
  </si>
  <si>
    <t>CHYPRE</t>
  </si>
  <si>
    <t>BRÉSIL</t>
  </si>
  <si>
    <t>CY</t>
  </si>
  <si>
    <t>BR</t>
  </si>
  <si>
    <t>ÉMIRATS ARABES UNIS</t>
  </si>
  <si>
    <t>UAE</t>
  </si>
  <si>
    <t>INDE</t>
  </si>
  <si>
    <t>IN</t>
  </si>
  <si>
    <t>SERBIE</t>
  </si>
  <si>
    <t>CS</t>
  </si>
  <si>
    <t>SLOVÉNIE</t>
  </si>
  <si>
    <t>ARABIE SAOUDITE</t>
  </si>
  <si>
    <t>SA</t>
  </si>
  <si>
    <t>VIET NAM</t>
  </si>
  <si>
    <t>INDONÉSIE</t>
  </si>
  <si>
    <t>VN</t>
  </si>
  <si>
    <t>ID</t>
  </si>
  <si>
    <t>Date remise</t>
  </si>
  <si>
    <t>BOSNIE-HERZÉGOVINE</t>
  </si>
  <si>
    <t>BA</t>
  </si>
  <si>
    <t>GÉORGIE</t>
  </si>
  <si>
    <t>GE</t>
  </si>
  <si>
    <t>LIECHTENSTEIN</t>
  </si>
  <si>
    <t>LI</t>
  </si>
  <si>
    <t>RWANDA</t>
  </si>
  <si>
    <t>MAROC</t>
  </si>
  <si>
    <t>MA</t>
  </si>
  <si>
    <t>RW</t>
  </si>
  <si>
    <t>KOWEIT</t>
  </si>
  <si>
    <t>KW</t>
  </si>
  <si>
    <t>Distribué</t>
  </si>
  <si>
    <t>KAZAKHSTAN</t>
  </si>
  <si>
    <t>KZ</t>
  </si>
  <si>
    <t>PHILIPPINES</t>
  </si>
  <si>
    <t>PH</t>
  </si>
  <si>
    <t>ISLANDE</t>
  </si>
  <si>
    <t>GUATEMALA</t>
  </si>
  <si>
    <t>HONG KONG</t>
  </si>
  <si>
    <t>NOUVELLE-ZÉLANDE</t>
  </si>
  <si>
    <t>IS</t>
  </si>
  <si>
    <t>GT</t>
  </si>
  <si>
    <t>HK</t>
  </si>
  <si>
    <t>NZ</t>
  </si>
  <si>
    <t>Statut Général</t>
  </si>
  <si>
    <t>Numéro de suivi</t>
  </si>
  <si>
    <t>Destinataire nom</t>
  </si>
  <si>
    <t>TAÏWAN</t>
  </si>
  <si>
    <t>TW</t>
  </si>
  <si>
    <t>SA ANA</t>
  </si>
  <si>
    <t>LONGO UMBERTO</t>
  </si>
  <si>
    <t>BAUVIR DIMITRI</t>
  </si>
  <si>
    <t>CUPPENS AMAURY</t>
  </si>
  <si>
    <t>KUKANZA THOMAS</t>
  </si>
  <si>
    <t>LAH AMADEJ</t>
  </si>
  <si>
    <t>RIO DELPHINE</t>
  </si>
  <si>
    <t>BORRI KENZO</t>
  </si>
  <si>
    <t>Déposé</t>
  </si>
  <si>
    <t>DELIVENGO-LPPQ</t>
  </si>
  <si>
    <t>Incident</t>
  </si>
  <si>
    <t>WALTER JEANNINE</t>
  </si>
  <si>
    <t>PIPER JOAN</t>
  </si>
  <si>
    <t>GENOT NADINE</t>
  </si>
  <si>
    <t>ALVES BRUNO</t>
  </si>
  <si>
    <t>KARSENTI SOPHIE</t>
  </si>
  <si>
    <t>ARVANITAKIS JULIA</t>
  </si>
  <si>
    <t>MULLAJ LORETA</t>
  </si>
  <si>
    <t>VERCELLINI ERIKA</t>
  </si>
  <si>
    <t>PIRARD PATRICIA</t>
  </si>
  <si>
    <t>BENN LUCIE</t>
  </si>
  <si>
    <t>WYSS MARINA</t>
  </si>
  <si>
    <t>BEN YAKAR ADVA</t>
  </si>
  <si>
    <t>RATT EMMA</t>
  </si>
  <si>
    <t>MUELLER PETER</t>
  </si>
  <si>
    <t>WOTTRENG EVA</t>
  </si>
  <si>
    <t>COSTA MARIA</t>
  </si>
  <si>
    <t>TABART SAM</t>
  </si>
  <si>
    <t>BISSAT SANDRINE</t>
  </si>
  <si>
    <t>COOPER JILL</t>
  </si>
  <si>
    <t>JOST-WAMBACH ASTRID</t>
  </si>
  <si>
    <t>BRENNEIS SIMONE</t>
  </si>
  <si>
    <t>JAMES SHIRLEY</t>
  </si>
  <si>
    <t>HAYWARD ANDY</t>
  </si>
  <si>
    <t>DE LA MORA DANIEL</t>
  </si>
  <si>
    <t>LANTZ JENNY</t>
  </si>
  <si>
    <t>ZAGURY TATJANA</t>
  </si>
  <si>
    <t>PARDINI PATRIZIA</t>
  </si>
  <si>
    <t>LEADLEY RACHEL</t>
  </si>
  <si>
    <t>MEODED ROY</t>
  </si>
  <si>
    <t>VAN DER ELST JUDITH</t>
  </si>
  <si>
    <t>GRZIN KLARA</t>
  </si>
  <si>
    <t>LD248499501FR</t>
  </si>
  <si>
    <t>LD248499696FR</t>
  </si>
  <si>
    <t>LD248499767FR</t>
  </si>
  <si>
    <t>LD248500814FR</t>
  </si>
  <si>
    <t>LD248604139FR</t>
  </si>
  <si>
    <t>LD248602345FR</t>
  </si>
  <si>
    <t>LD248607064FR</t>
  </si>
  <si>
    <t>LD248608538FR</t>
  </si>
  <si>
    <t>LD248609533FR</t>
  </si>
  <si>
    <t>LD248611510FR</t>
  </si>
  <si>
    <t>LD248614140FR</t>
  </si>
  <si>
    <t>LD248617530FR</t>
  </si>
  <si>
    <t>LD248622614FR</t>
  </si>
  <si>
    <t>LD248623668FR</t>
  </si>
  <si>
    <t>LD248625730FR</t>
  </si>
  <si>
    <t>LD248628183FR</t>
  </si>
  <si>
    <t>LD248632302FR</t>
  </si>
  <si>
    <t>LD248633121FR</t>
  </si>
  <si>
    <t>LD248640309FR</t>
  </si>
  <si>
    <t>LD248644359FR</t>
  </si>
  <si>
    <t>LD248649095FR</t>
  </si>
  <si>
    <t>LD248649489FR</t>
  </si>
  <si>
    <t>LD248649585FR</t>
  </si>
  <si>
    <t>LD248649798FR</t>
  </si>
  <si>
    <t>LD248649841FR</t>
  </si>
  <si>
    <t>LD248649912FR</t>
  </si>
  <si>
    <t>LD248650615FR</t>
  </si>
  <si>
    <t>LD248664849FR</t>
  </si>
  <si>
    <t>LD248667978FR</t>
  </si>
  <si>
    <t>LD248668307FR</t>
  </si>
  <si>
    <t>LD248672156FR</t>
  </si>
  <si>
    <t>LD248680152FR</t>
  </si>
  <si>
    <t>LD248690217FR</t>
  </si>
  <si>
    <t>LD248691570FR</t>
  </si>
  <si>
    <t>LD248694695FR</t>
  </si>
  <si>
    <t>LD248703162FR</t>
  </si>
  <si>
    <t>LD248703321FR</t>
  </si>
  <si>
    <t>LD248704826FR</t>
  </si>
  <si>
    <t>LD248718555FR</t>
  </si>
  <si>
    <t>LD248718900FR</t>
  </si>
  <si>
    <t>LD248719953FR</t>
  </si>
  <si>
    <t>LD248721081FR</t>
  </si>
  <si>
    <t>LD248722609FR</t>
  </si>
  <si>
    <t>LD248722921FR</t>
  </si>
  <si>
    <t>LD248723618FR</t>
  </si>
  <si>
    <t>LD248723666FR</t>
  </si>
  <si>
    <t>LD248724689FR</t>
  </si>
  <si>
    <t>LD248725066FR</t>
  </si>
  <si>
    <t>LD248725636FR</t>
  </si>
  <si>
    <t>LD248726469FR</t>
  </si>
  <si>
    <t>LD248729173FR</t>
  </si>
  <si>
    <t>LD248730389FR</t>
  </si>
  <si>
    <t>LD248730928FR</t>
  </si>
  <si>
    <t>LD248733629FR</t>
  </si>
  <si>
    <t>LD248734261FR</t>
  </si>
  <si>
    <t>LD248734774FR</t>
  </si>
  <si>
    <t>LD248737890FR</t>
  </si>
  <si>
    <t>LD248738793FR</t>
  </si>
  <si>
    <t>LD248739737FR</t>
  </si>
  <si>
    <t>LD248745556FR</t>
  </si>
  <si>
    <t>LD248745692FR</t>
  </si>
  <si>
    <t>LD248745865FR</t>
  </si>
  <si>
    <t>LD248746928FR</t>
  </si>
  <si>
    <t>LD248747897FR</t>
  </si>
  <si>
    <t>LD248750349FR</t>
  </si>
  <si>
    <t>LD248750627FR</t>
  </si>
  <si>
    <t>LD248751070FR</t>
  </si>
  <si>
    <t>LD248752000FR</t>
  </si>
  <si>
    <t>LD248752075FR</t>
  </si>
  <si>
    <t>LD248753708FR</t>
  </si>
  <si>
    <t>LD248754796FR</t>
  </si>
  <si>
    <t>LD248757483FR</t>
  </si>
  <si>
    <t>LD248758197FR</t>
  </si>
  <si>
    <t>LD248758926FR</t>
  </si>
  <si>
    <t>LD248759144FR</t>
  </si>
  <si>
    <t>LD248759250FR</t>
  </si>
  <si>
    <t>LD248759436FR</t>
  </si>
  <si>
    <t>LD248759921FR</t>
  </si>
  <si>
    <t>LD248760125FR</t>
  </si>
  <si>
    <t>LD248760213FR</t>
  </si>
  <si>
    <t>LD248760363FR</t>
  </si>
  <si>
    <t>LD248760584FR</t>
  </si>
  <si>
    <t>LD248760880FR</t>
  </si>
  <si>
    <t>LD248761117FR</t>
  </si>
  <si>
    <t>LD248761620FR</t>
  </si>
  <si>
    <t>LD248761806FR</t>
  </si>
  <si>
    <t>LD248761854FR</t>
  </si>
  <si>
    <t>LD248761885FR</t>
  </si>
  <si>
    <t>LD248762863FR</t>
  </si>
  <si>
    <t>LD248762951FR</t>
  </si>
  <si>
    <t>LD248763020FR</t>
  </si>
  <si>
    <t>LD248763395FR</t>
  </si>
  <si>
    <t>LD248763461FR</t>
  </si>
  <si>
    <t>LD248764285FR</t>
  </si>
  <si>
    <t>LD248764691FR</t>
  </si>
  <si>
    <t>LD248765326FR</t>
  </si>
  <si>
    <t>LD248765578FR</t>
  </si>
  <si>
    <t>LD248766043FR</t>
  </si>
  <si>
    <t>LD248803191FR</t>
  </si>
  <si>
    <t>LD248810780FR</t>
  </si>
  <si>
    <t>LD248815376FR</t>
  </si>
  <si>
    <t>LD248818718FR</t>
  </si>
  <si>
    <t>LD248822451FR</t>
  </si>
  <si>
    <t>LD248837045FR</t>
  </si>
  <si>
    <t>LD248840614FR</t>
  </si>
  <si>
    <t>LD248843641FR</t>
  </si>
  <si>
    <t>LD248844956FR</t>
  </si>
  <si>
    <t>LD248854281FR</t>
  </si>
  <si>
    <t>LD248854508FR</t>
  </si>
  <si>
    <t>LD248855640FR</t>
  </si>
  <si>
    <t>LD248855888FR</t>
  </si>
  <si>
    <t>LD248857291FR</t>
  </si>
  <si>
    <t>LD248867033FR</t>
  </si>
  <si>
    <t>LD248867529FR</t>
  </si>
  <si>
    <t>LD248872577FR</t>
  </si>
  <si>
    <t>LD248891528FR</t>
  </si>
  <si>
    <t>LD248892041FR</t>
  </si>
  <si>
    <t>LD248894728FR</t>
  </si>
  <si>
    <t>LD248895184FR</t>
  </si>
  <si>
    <t>LD248901653FR</t>
  </si>
  <si>
    <t>LD248906094FR</t>
  </si>
  <si>
    <t>LD248907364FR</t>
  </si>
  <si>
    <t>LD248907608FR</t>
  </si>
  <si>
    <t>LD248960400FR</t>
  </si>
  <si>
    <t>LD248961422FR</t>
  </si>
  <si>
    <t>LD248966230FR</t>
  </si>
  <si>
    <t>LD248967779FR</t>
  </si>
  <si>
    <t>LD248969355FR</t>
  </si>
  <si>
    <t>LD248982759FR</t>
  </si>
  <si>
    <t>LD248982878FR</t>
  </si>
  <si>
    <t>LD248985931FR</t>
  </si>
  <si>
    <t>LD248985959FR</t>
  </si>
  <si>
    <t>LD248986716FR</t>
  </si>
  <si>
    <t>LD248987835FR</t>
  </si>
  <si>
    <t>LD248996435FR</t>
  </si>
  <si>
    <t>LD248997651FR</t>
  </si>
  <si>
    <t>LD249004745FR</t>
  </si>
  <si>
    <t>LD249008800FR</t>
  </si>
  <si>
    <t>LD249010176FR</t>
  </si>
  <si>
    <t>LD249010825FR</t>
  </si>
  <si>
    <t>LD249011208FR</t>
  </si>
  <si>
    <t>LD249013314FR</t>
  </si>
  <si>
    <t>LD249015862FR</t>
  </si>
  <si>
    <t>LD249018648FR</t>
  </si>
  <si>
    <t>LD249025034FR</t>
  </si>
  <si>
    <t>LD249033194FR</t>
  </si>
  <si>
    <t>LD249034416FR</t>
  </si>
  <si>
    <t>LD249035045FR</t>
  </si>
  <si>
    <t>LD249035650FR</t>
  </si>
  <si>
    <t>LD249036085FR</t>
  </si>
  <si>
    <t>LD249036108FR</t>
  </si>
  <si>
    <t>LD249036465FR</t>
  </si>
  <si>
    <t>LD249036536FR</t>
  </si>
  <si>
    <t>LD249037426FR</t>
  </si>
  <si>
    <t>LD249037749FR</t>
  </si>
  <si>
    <t>LD249041814FR</t>
  </si>
  <si>
    <t>LD249042899FR</t>
  </si>
  <si>
    <t>LD249081075FR</t>
  </si>
  <si>
    <t>LD249083598FR</t>
  </si>
  <si>
    <t>LD249087215FR</t>
  </si>
  <si>
    <t>LD249087881FR</t>
  </si>
  <si>
    <t>LD249102884FR</t>
  </si>
  <si>
    <t>LD249118500FR</t>
  </si>
  <si>
    <t>LD249118527FR</t>
  </si>
  <si>
    <t>LD249120477FR</t>
  </si>
  <si>
    <t>LD249122835FR</t>
  </si>
  <si>
    <t>LD249128762FR</t>
  </si>
  <si>
    <t>LD249129493FR</t>
  </si>
  <si>
    <t>LD249138040FR</t>
  </si>
  <si>
    <t>LD249147381FR</t>
  </si>
  <si>
    <t>LD249150261FR</t>
  </si>
  <si>
    <t>LD249152245FR</t>
  </si>
  <si>
    <t>LD249154630FR</t>
  </si>
  <si>
    <t>LD249157185FR</t>
  </si>
  <si>
    <t>LD249169886FR</t>
  </si>
  <si>
    <t>LD249170031FR</t>
  </si>
  <si>
    <t>LD249171142FR</t>
  </si>
  <si>
    <t>LD249171139FR</t>
  </si>
  <si>
    <t>LD249171669FR</t>
  </si>
  <si>
    <t>LD249172854FR</t>
  </si>
  <si>
    <t>LD249173015FR</t>
  </si>
  <si>
    <t>LD249173497FR</t>
  </si>
  <si>
    <t>LD249173656FR</t>
  </si>
  <si>
    <t>LD249174149FR</t>
  </si>
  <si>
    <t>LD249174532FR</t>
  </si>
  <si>
    <t>LD249174886FR</t>
  </si>
  <si>
    <t>LD249175215FR</t>
  </si>
  <si>
    <t>LD249175303FR</t>
  </si>
  <si>
    <t>LD249175379FR</t>
  </si>
  <si>
    <t>LD249176737FR</t>
  </si>
  <si>
    <t>LD249177750FR</t>
  </si>
  <si>
    <t>LD249178392FR</t>
  </si>
  <si>
    <t>LD249230716FR</t>
  </si>
  <si>
    <t>LD249249615FR</t>
  </si>
  <si>
    <t>LD249254880FR</t>
  </si>
  <si>
    <t>LD249256214FR</t>
  </si>
  <si>
    <t>LD249260868FR</t>
  </si>
  <si>
    <t>LD249261126FR</t>
  </si>
  <si>
    <t>LD249261165FR</t>
  </si>
  <si>
    <t>LD249261293FR</t>
  </si>
  <si>
    <t>LD249262841FR</t>
  </si>
  <si>
    <t>LD249263643FR</t>
  </si>
  <si>
    <t>LD249274164FR</t>
  </si>
  <si>
    <t>LD249274460FR</t>
  </si>
  <si>
    <t>LD249278435FR</t>
  </si>
  <si>
    <t>LD249281412FR</t>
  </si>
  <si>
    <t>LD249293937FR</t>
  </si>
  <si>
    <t>LD249429317FR</t>
  </si>
  <si>
    <t>LD249431324FR</t>
  </si>
  <si>
    <t>LD249431845FR</t>
  </si>
  <si>
    <t>LD249440771FR</t>
  </si>
  <si>
    <t>LD249442287FR</t>
  </si>
  <si>
    <t>LD249444552FR</t>
  </si>
  <si>
    <t>LD249446023FR</t>
  </si>
  <si>
    <t>LD249447148FR</t>
  </si>
  <si>
    <t>LD249447267FR</t>
  </si>
  <si>
    <t>LD249448228FR</t>
  </si>
  <si>
    <t>LD249450252FR</t>
  </si>
  <si>
    <t>LD249451289FR</t>
  </si>
  <si>
    <t>LD249453069FR</t>
  </si>
  <si>
    <t>LD249454002FR</t>
  </si>
  <si>
    <t>LD249454254FR</t>
  </si>
  <si>
    <t>LD249462026FR</t>
  </si>
  <si>
    <t>LD249462278FR</t>
  </si>
  <si>
    <t>LD249462423FR</t>
  </si>
  <si>
    <t>LD249463018FR</t>
  </si>
  <si>
    <t>LD249463891FR</t>
  </si>
  <si>
    <t>LD249464870FR</t>
  </si>
  <si>
    <t>LD249468488FR</t>
  </si>
  <si>
    <t>LD249471561FR</t>
  </si>
  <si>
    <t>LD249471629FR</t>
  </si>
  <si>
    <t>LD249474775FR</t>
  </si>
  <si>
    <t>LD249475271FR</t>
  </si>
  <si>
    <t>LD249486169FR</t>
  </si>
  <si>
    <t>LD249487805FR</t>
  </si>
  <si>
    <t>LD249487884FR</t>
  </si>
  <si>
    <t>LD249498096FR</t>
  </si>
  <si>
    <t>LD249501572FR</t>
  </si>
  <si>
    <t>LD249501728FR</t>
  </si>
  <si>
    <t>LD249501970FR</t>
  </si>
  <si>
    <t>LD249504928FR</t>
  </si>
  <si>
    <t>LD249506610FR</t>
  </si>
  <si>
    <t>LD249506875FR</t>
  </si>
  <si>
    <t>LD249508880FR</t>
  </si>
  <si>
    <t>LD249512663FR</t>
  </si>
  <si>
    <t>LD249515333FR</t>
  </si>
  <si>
    <t>LD249517100FR</t>
  </si>
  <si>
    <t>LD249517970FR</t>
  </si>
  <si>
    <t>LD249518944FR</t>
  </si>
  <si>
    <t>LD249520112FR</t>
  </si>
  <si>
    <t>LD249522555FR</t>
  </si>
  <si>
    <t>LD249524940FR</t>
  </si>
  <si>
    <t>LD249525667FR</t>
  </si>
  <si>
    <t>LD249526282FR</t>
  </si>
  <si>
    <t>LD249528080FR</t>
  </si>
  <si>
    <t>LD249532416FR</t>
  </si>
  <si>
    <t>LD249538158FR</t>
  </si>
  <si>
    <t>LD249540655FR</t>
  </si>
  <si>
    <t>LD249541449FR</t>
  </si>
  <si>
    <t>LD249542682FR</t>
  </si>
  <si>
    <t>LD249544048FR</t>
  </si>
  <si>
    <t>LD249543665FR</t>
  </si>
  <si>
    <t>LD249544547FR</t>
  </si>
  <si>
    <t>LD249547557FR</t>
  </si>
  <si>
    <t>LD249550057FR</t>
  </si>
  <si>
    <t>LD249551066FR</t>
  </si>
  <si>
    <t>LD249551980FR</t>
  </si>
  <si>
    <t>LD249554822FR</t>
  </si>
  <si>
    <t>LD249554898FR</t>
  </si>
  <si>
    <t>LD249558665FR</t>
  </si>
  <si>
    <t>LD249558974FR</t>
  </si>
  <si>
    <t>LD249560054FR</t>
  </si>
  <si>
    <t>LD249560068FR</t>
  </si>
  <si>
    <t>LD249562090FR</t>
  </si>
  <si>
    <t>LD249562280FR</t>
  </si>
  <si>
    <t>LD249564498FR</t>
  </si>
  <si>
    <t>LD249564515FR</t>
  </si>
  <si>
    <t>LD249564970FR</t>
  </si>
  <si>
    <t>LD249565082FR</t>
  </si>
  <si>
    <t>LD249565326FR</t>
  </si>
  <si>
    <t>LD249566587FR</t>
  </si>
  <si>
    <t>LD249566600FR</t>
  </si>
  <si>
    <t>LD249604648FR</t>
  </si>
  <si>
    <t>LD249605762FR</t>
  </si>
  <si>
    <t>LD249606839FR</t>
  </si>
  <si>
    <t>LD249608446FR</t>
  </si>
  <si>
    <t>LD249617275FR</t>
  </si>
  <si>
    <t>LD249621685FR</t>
  </si>
  <si>
    <t>LD249624302FR</t>
  </si>
  <si>
    <t>LD249627768FR</t>
  </si>
  <si>
    <t>LD249628848FR</t>
  </si>
  <si>
    <t>LD249632895FR</t>
  </si>
  <si>
    <t>LD249640058FR</t>
  </si>
  <si>
    <t>LD249640954FR</t>
  </si>
  <si>
    <t>LD249642310FR</t>
  </si>
  <si>
    <t>LD249657606FR</t>
  </si>
  <si>
    <t>LD249658487FR</t>
  </si>
  <si>
    <t>LD249660083FR</t>
  </si>
  <si>
    <t>LD249661415FR</t>
  </si>
  <si>
    <t>LD249661605FR</t>
  </si>
  <si>
    <t>LD249662124FR</t>
  </si>
  <si>
    <t>LD249662946FR</t>
  </si>
  <si>
    <t>LD249664791FR</t>
  </si>
  <si>
    <t>LD249666571FR</t>
  </si>
  <si>
    <t>LD249669975FR</t>
  </si>
  <si>
    <t>LD249671599FR</t>
  </si>
  <si>
    <t>LD249672617FR</t>
  </si>
  <si>
    <t>LD249673087FR</t>
  </si>
  <si>
    <t>LD249681738FR</t>
  </si>
  <si>
    <t>LD249682194FR</t>
  </si>
  <si>
    <t>LD249696922FR</t>
  </si>
  <si>
    <t>LD249699393FR</t>
  </si>
  <si>
    <t>LD249701256FR</t>
  </si>
  <si>
    <t>LD249702676FR</t>
  </si>
  <si>
    <t>LD249750671FR</t>
  </si>
  <si>
    <t>LD249752403FR</t>
  </si>
  <si>
    <t>LD249775568FR</t>
  </si>
  <si>
    <t>LD249780024FR</t>
  </si>
  <si>
    <t>LD249781152FR</t>
  </si>
  <si>
    <t>LD249782011FR</t>
  </si>
  <si>
    <t>LD249782918FR</t>
  </si>
  <si>
    <t>LD249784896FR</t>
  </si>
  <si>
    <t>LD249786512FR</t>
  </si>
  <si>
    <t>LD249792929FR</t>
  </si>
  <si>
    <t>LD249802714FR</t>
  </si>
  <si>
    <t>LD249803649FR</t>
  </si>
  <si>
    <t>LD249803670FR</t>
  </si>
  <si>
    <t>LD249804777FR</t>
  </si>
  <si>
    <t>LD249815032FR</t>
  </si>
  <si>
    <t>LD249815219FR</t>
  </si>
  <si>
    <t>LD249817696FR</t>
  </si>
  <si>
    <t>LD249862165FR</t>
  </si>
  <si>
    <t>LD249865419FR</t>
  </si>
  <si>
    <t>LD249869910FR</t>
  </si>
  <si>
    <t>LD249893556FR</t>
  </si>
  <si>
    <t>LD249894097FR</t>
  </si>
  <si>
    <t>LD249897836FR</t>
  </si>
  <si>
    <t>LD249898981FR</t>
  </si>
  <si>
    <t>LD249899094FR</t>
  </si>
  <si>
    <t>LD249899103FR</t>
  </si>
  <si>
    <t>LD249900994FR</t>
  </si>
  <si>
    <t>LD249901751FR</t>
  </si>
  <si>
    <t>LD249901028FR</t>
  </si>
  <si>
    <t>LD249902743FR</t>
  </si>
  <si>
    <t>LD249903134FR</t>
  </si>
  <si>
    <t>LD249904126FR</t>
  </si>
  <si>
    <t>LD249905767FR</t>
  </si>
  <si>
    <t>LD249906878FR</t>
  </si>
  <si>
    <t>LD249920129FR</t>
  </si>
  <si>
    <t>LD249920530FR</t>
  </si>
  <si>
    <t>LD249925276FR</t>
  </si>
  <si>
    <t>LD249926775FR</t>
  </si>
  <si>
    <t>LD249927657FR</t>
  </si>
  <si>
    <t>LD249928003FR</t>
  </si>
  <si>
    <t>LD249929794FR</t>
  </si>
  <si>
    <t>LD249937155FR</t>
  </si>
  <si>
    <t>LD249937331FR</t>
  </si>
  <si>
    <t>LD249985805FR</t>
  </si>
  <si>
    <t>LD249987412FR</t>
  </si>
  <si>
    <t>LD250013909FR</t>
  </si>
  <si>
    <t>LD250014277FR</t>
  </si>
  <si>
    <t>LD250020428FR</t>
  </si>
  <si>
    <t>LD250023455FR</t>
  </si>
  <si>
    <t>LD250030062FR</t>
  </si>
  <si>
    <t>LD250034020FR</t>
  </si>
  <si>
    <t>LD250034501FR</t>
  </si>
  <si>
    <t>LD250034634FR</t>
  </si>
  <si>
    <t>LD250035586FR</t>
  </si>
  <si>
    <t>LD250038239FR</t>
  </si>
  <si>
    <t>LD250039044FR</t>
  </si>
  <si>
    <t>LD250051677FR</t>
  </si>
  <si>
    <t>LD250053355FR</t>
  </si>
  <si>
    <t>LD250054687FR</t>
  </si>
  <si>
    <t>LD250057581FR</t>
  </si>
  <si>
    <t>LD250058057FR</t>
  </si>
  <si>
    <t>LD250060002FR</t>
  </si>
  <si>
    <t>LD250155734FR</t>
  </si>
  <si>
    <t>LD250157134FR</t>
  </si>
  <si>
    <t>LD250158713FR</t>
  </si>
  <si>
    <t>LD250160270FR</t>
  </si>
  <si>
    <t>LD250160306FR</t>
  </si>
  <si>
    <t>LD250161108FR</t>
  </si>
  <si>
    <t>LD250166388FR</t>
  </si>
  <si>
    <t>LD250169512FR</t>
  </si>
  <si>
    <t>LD250171927FR</t>
  </si>
  <si>
    <t>LD250176677FR</t>
  </si>
  <si>
    <t>LD250179829FR</t>
  </si>
  <si>
    <t>LD250180495FR</t>
  </si>
  <si>
    <t>LD250184815FR</t>
  </si>
  <si>
    <t>LD250186379FR</t>
  </si>
  <si>
    <t>LD250190775FR</t>
  </si>
  <si>
    <t>LD250191379FR</t>
  </si>
  <si>
    <t>LD250200932FR</t>
  </si>
  <si>
    <t>LD250201411FR</t>
  </si>
  <si>
    <t>LD250215716FR</t>
  </si>
  <si>
    <t>LD250216606FR</t>
  </si>
  <si>
    <t>LD250217969FR</t>
  </si>
  <si>
    <t>LD250226373FR</t>
  </si>
  <si>
    <t>LD250227192FR</t>
  </si>
  <si>
    <t>LD250228618FR</t>
  </si>
  <si>
    <t>LD250232419FR</t>
  </si>
  <si>
    <t>LD250237773FR</t>
  </si>
  <si>
    <t>LD250238822FR</t>
  </si>
  <si>
    <t>LD250239301FR</t>
  </si>
  <si>
    <t>LD250239482FR</t>
  </si>
  <si>
    <t>LD250239743FR</t>
  </si>
  <si>
    <t>LD250240684FR</t>
  </si>
  <si>
    <t>LD250241000FR</t>
  </si>
  <si>
    <t>LD250249003FR</t>
  </si>
  <si>
    <t>LD250249887FR</t>
  </si>
  <si>
    <t>LD250251404FR</t>
  </si>
  <si>
    <t>LD250251700FR</t>
  </si>
  <si>
    <t>LD250273815FR</t>
  </si>
  <si>
    <t>LD250276281FR</t>
  </si>
  <si>
    <t>LD250277004FR</t>
  </si>
  <si>
    <t>LD250289095FR</t>
  </si>
  <si>
    <t>LD250290513FR</t>
  </si>
  <si>
    <t>LD250293072FR</t>
  </si>
  <si>
    <t>LD250295688FR</t>
  </si>
  <si>
    <t>LD250303778FR</t>
  </si>
  <si>
    <t>LD250303849FR</t>
  </si>
  <si>
    <t>LD250304447FR</t>
  </si>
  <si>
    <t>LD250305990FR</t>
  </si>
  <si>
    <t>LD250307678FR</t>
  </si>
  <si>
    <t>LD250308421FR</t>
  </si>
  <si>
    <t>LD250308656FR</t>
  </si>
  <si>
    <t>LD250309081FR</t>
  </si>
  <si>
    <t>LD250315011FR</t>
  </si>
  <si>
    <t>LD250315674FR</t>
  </si>
  <si>
    <t>LD250317542FR</t>
  </si>
  <si>
    <t>LD250319999FR</t>
  </si>
  <si>
    <t>LD250322304FR</t>
  </si>
  <si>
    <t>LD250322587FR</t>
  </si>
  <si>
    <t>LD250361245FR</t>
  </si>
  <si>
    <t>LD250361492FR</t>
  </si>
  <si>
    <t>LD250393359FR</t>
  </si>
  <si>
    <t>LD250394535FR</t>
  </si>
  <si>
    <t>LD250397660FR</t>
  </si>
  <si>
    <t>LD250399250FR</t>
  </si>
  <si>
    <t>LD250401585FR</t>
  </si>
  <si>
    <t>LD250402492FR</t>
  </si>
  <si>
    <t>LD250402991FR</t>
  </si>
  <si>
    <t>LD250403440FR</t>
  </si>
  <si>
    <t>LD250404034FR</t>
  </si>
  <si>
    <t>LD250405057FR</t>
  </si>
  <si>
    <t>LD250405159FR</t>
  </si>
  <si>
    <t>LD250405216FR</t>
  </si>
  <si>
    <t>LD250406830FR</t>
  </si>
  <si>
    <t>LD250407044FR</t>
  </si>
  <si>
    <t>LD250414014FR</t>
  </si>
  <si>
    <t>LD250417744FR</t>
  </si>
  <si>
    <t>LD250417850FR</t>
  </si>
  <si>
    <t>LD250418679FR</t>
  </si>
  <si>
    <t>LD250420108FR</t>
  </si>
  <si>
    <t>LD250420451FR</t>
  </si>
  <si>
    <t>LD250423501FR</t>
  </si>
  <si>
    <t>LD250426410FR</t>
  </si>
  <si>
    <t>LD250426508FR</t>
  </si>
  <si>
    <t>LD250431701FR</t>
  </si>
  <si>
    <t>LD250431953FR</t>
  </si>
  <si>
    <t>LD250432137FR</t>
  </si>
  <si>
    <t>LD250439308FR</t>
  </si>
  <si>
    <t>LD250441505FR</t>
  </si>
  <si>
    <t>LD250441575FR</t>
  </si>
  <si>
    <t>LD250442205FR</t>
  </si>
  <si>
    <t>LD250442372FR</t>
  </si>
  <si>
    <t>LD250442412FR</t>
  </si>
  <si>
    <t>LD250442718FR</t>
  </si>
  <si>
    <t>LD250442810FR</t>
  </si>
  <si>
    <t>LD250442911FR</t>
  </si>
  <si>
    <t>LD250443015FR</t>
  </si>
  <si>
    <t>LD250443174FR</t>
  </si>
  <si>
    <t>LD250500804FR</t>
  </si>
  <si>
    <t>LD250500778FR</t>
  </si>
  <si>
    <t>LD250501305FR</t>
  </si>
  <si>
    <t>LD250501645FR</t>
  </si>
  <si>
    <t>LD250501606FR</t>
  </si>
  <si>
    <t>LD250501875FR</t>
  </si>
  <si>
    <t>LD250502005FR</t>
  </si>
  <si>
    <t>LD250502796FR</t>
  </si>
  <si>
    <t>LD250502907FR</t>
  </si>
  <si>
    <t>LD250503099FR</t>
  </si>
  <si>
    <t>LD250503828FR</t>
  </si>
  <si>
    <t>LD250505894FR</t>
  </si>
  <si>
    <t>LD250506047FR</t>
  </si>
  <si>
    <t>LD250506767FR</t>
  </si>
  <si>
    <t>LD250507158FR</t>
  </si>
  <si>
    <t>LD250507396FR</t>
  </si>
  <si>
    <t>LD250507541FR</t>
  </si>
  <si>
    <t>LD250508493FR</t>
  </si>
  <si>
    <t>LD250510280FR</t>
  </si>
  <si>
    <t>LD250512688FR</t>
  </si>
  <si>
    <t>LD250521225FR</t>
  </si>
  <si>
    <t>LD250522257FR</t>
  </si>
  <si>
    <t>LD250523076FR</t>
  </si>
  <si>
    <t>LD250523725FR</t>
  </si>
  <si>
    <t>LD250527577FR</t>
  </si>
  <si>
    <t>LD250527682FR</t>
  </si>
  <si>
    <t>LD250543447FR</t>
  </si>
  <si>
    <t>LD250544840FR</t>
  </si>
  <si>
    <t>LD250547231FR</t>
  </si>
  <si>
    <t>LD250549060FR</t>
  </si>
  <si>
    <t>LD250549731FR</t>
  </si>
  <si>
    <t>LD250549688FR</t>
  </si>
  <si>
    <t>LD250549745FR</t>
  </si>
  <si>
    <t>LD250550394FR</t>
  </si>
  <si>
    <t>LD250550567FR</t>
  </si>
  <si>
    <t>LD250555357FR</t>
  </si>
  <si>
    <t>LD250555670FR</t>
  </si>
  <si>
    <t>LD250558044FR</t>
  </si>
  <si>
    <t>LD250558146FR</t>
  </si>
  <si>
    <t>LD250558194FR</t>
  </si>
  <si>
    <t>LD250558305FR</t>
  </si>
  <si>
    <t>LD250558353FR</t>
  </si>
  <si>
    <t>LD250593562FR</t>
  </si>
  <si>
    <t>LD250594639FR</t>
  </si>
  <si>
    <t>LD250597595FR</t>
  </si>
  <si>
    <t>LD250597683FR</t>
  </si>
  <si>
    <t>LD250602613FR</t>
  </si>
  <si>
    <t>LD250604645FR</t>
  </si>
  <si>
    <t>LD250605331FR</t>
  </si>
  <si>
    <t>LD250606796FR</t>
  </si>
  <si>
    <t>LD250607726FR</t>
  </si>
  <si>
    <t>LD250610314FR</t>
  </si>
  <si>
    <t>LD250610932FR</t>
  </si>
  <si>
    <t>LD250611907FR</t>
  </si>
  <si>
    <t>LD250611955FR</t>
  </si>
  <si>
    <t>LD250612363FR</t>
  </si>
  <si>
    <t>LD250616263FR</t>
  </si>
  <si>
    <t>LD250619295FR</t>
  </si>
  <si>
    <t>LD250619477FR</t>
  </si>
  <si>
    <t>LD250622405FR</t>
  </si>
  <si>
    <t>LD250623587FR</t>
  </si>
  <si>
    <t>LD250624962FR</t>
  </si>
  <si>
    <t>LD250625720FR</t>
  </si>
  <si>
    <t>LD250626464FR</t>
  </si>
  <si>
    <t>LD250626875FR</t>
  </si>
  <si>
    <t>LD250629372FR</t>
  </si>
  <si>
    <t>LD250631844FR</t>
  </si>
  <si>
    <t>LD250632120FR</t>
  </si>
  <si>
    <t>LD250641815FR</t>
  </si>
  <si>
    <t>LD250643516FR</t>
  </si>
  <si>
    <t>LD250646367FR</t>
  </si>
  <si>
    <t>LD250646693FR</t>
  </si>
  <si>
    <t>LD250647186FR</t>
  </si>
  <si>
    <t>LD250647606FR</t>
  </si>
  <si>
    <t>LD250648632FR</t>
  </si>
  <si>
    <t>LD250650463FR</t>
  </si>
  <si>
    <t>LD250650786FR</t>
  </si>
  <si>
    <t>LD250657413FR</t>
  </si>
  <si>
    <t>LD250657492FR</t>
  </si>
  <si>
    <t>LD250657841FR</t>
  </si>
  <si>
    <t>LD250657974FR</t>
  </si>
  <si>
    <t>LD250658127FR</t>
  </si>
  <si>
    <t>LD250658144FR</t>
  </si>
  <si>
    <t>LD250686998FR</t>
  </si>
  <si>
    <t>LD250691423FR</t>
  </si>
  <si>
    <t>LD250700981FR</t>
  </si>
  <si>
    <t>LD250710414FR</t>
  </si>
  <si>
    <t>LD250714861FR</t>
  </si>
  <si>
    <t>LD250714946FR</t>
  </si>
  <si>
    <t>LD250715500FR</t>
  </si>
  <si>
    <t>LD250718449FR</t>
  </si>
  <si>
    <t>LD250718506FR</t>
  </si>
  <si>
    <t>LD250718585FR</t>
  </si>
  <si>
    <t>LD250719784FR</t>
  </si>
  <si>
    <t>LD250719912FR</t>
  </si>
  <si>
    <t>LD250720076FR</t>
  </si>
  <si>
    <t>LD250723316FR</t>
  </si>
  <si>
    <t>LD250725325FR</t>
  </si>
  <si>
    <t>LD250726618FR</t>
  </si>
  <si>
    <t>LD250726992FR</t>
  </si>
  <si>
    <t>LD250727074FR</t>
  </si>
  <si>
    <t>LD250829630FR</t>
  </si>
  <si>
    <t>LD250829674FR</t>
  </si>
  <si>
    <t>LD250830346FR</t>
  </si>
  <si>
    <t>LD250830350FR</t>
  </si>
  <si>
    <t>LD250831973FR</t>
  </si>
  <si>
    <t>LD250832072FR</t>
  </si>
  <si>
    <t>LD250841485FR</t>
  </si>
  <si>
    <t>LD250844858FR</t>
  </si>
  <si>
    <t>LD250851686FR</t>
  </si>
  <si>
    <t>LD250856706FR</t>
  </si>
  <si>
    <t>LD250858790FR</t>
  </si>
  <si>
    <t>LD250860365FR</t>
  </si>
  <si>
    <t>LD250861153FR</t>
  </si>
  <si>
    <t>LD250866941FR</t>
  </si>
  <si>
    <t>LD250871093FR</t>
  </si>
  <si>
    <t>LD250873341FR</t>
  </si>
  <si>
    <t>LD250875648FR</t>
  </si>
  <si>
    <t>LD250876277FR</t>
  </si>
  <si>
    <t>LD250876334FR</t>
  </si>
  <si>
    <t>LD250878318FR</t>
  </si>
  <si>
    <t>LD250881325FR</t>
  </si>
  <si>
    <t>LD250881422FR</t>
  </si>
  <si>
    <t>LD250882799FR</t>
  </si>
  <si>
    <t>LD250886892FR</t>
  </si>
  <si>
    <t>LD250887836FR</t>
  </si>
  <si>
    <t>LD250889390FR</t>
  </si>
  <si>
    <t>LD250891209FR</t>
  </si>
  <si>
    <t>LD250896237FR</t>
  </si>
  <si>
    <t>LD250896515FR</t>
  </si>
  <si>
    <t>LD250900872FR</t>
  </si>
  <si>
    <t>LD250905398FR</t>
  </si>
  <si>
    <t>LD250910849FR</t>
  </si>
  <si>
    <t>LD250911756FR</t>
  </si>
  <si>
    <t>LD250913125FR</t>
  </si>
  <si>
    <t>LD250914545FR</t>
  </si>
  <si>
    <t>LD250916912FR</t>
  </si>
  <si>
    <t>LD250918516FR</t>
  </si>
  <si>
    <t>LD250920038FR</t>
  </si>
  <si>
    <t>LD250922135FR</t>
  </si>
  <si>
    <t>LD250923184FR</t>
  </si>
  <si>
    <t>LD250923578FR</t>
  </si>
  <si>
    <t>LD250924202FR</t>
  </si>
  <si>
    <t>LD250925551FR</t>
  </si>
  <si>
    <t>LD250927892FR</t>
  </si>
  <si>
    <t>LD250928080FR</t>
  </si>
  <si>
    <t>LD250929258FR</t>
  </si>
  <si>
    <t>LD250931000FR</t>
  </si>
  <si>
    <t>LD250931075FR</t>
  </si>
  <si>
    <t>LD250931089FR</t>
  </si>
  <si>
    <t>LD250931234FR</t>
  </si>
  <si>
    <t>LD250934289FR</t>
  </si>
  <si>
    <t>LD250935559FR</t>
  </si>
  <si>
    <t>LD250936024FR</t>
  </si>
  <si>
    <t>LD250936537FR</t>
  </si>
  <si>
    <t>LD250936625FR</t>
  </si>
  <si>
    <t>LD250939839FR</t>
  </si>
  <si>
    <t>LD250940236FR</t>
  </si>
  <si>
    <t>LD250943396FR</t>
  </si>
  <si>
    <t>LD250943541FR</t>
  </si>
  <si>
    <t>LD250945220FR</t>
  </si>
  <si>
    <t>LD250945410FR</t>
  </si>
  <si>
    <t>LD250945595FR</t>
  </si>
  <si>
    <t>LD250945613FR</t>
  </si>
  <si>
    <t>LD250945675FR</t>
  </si>
  <si>
    <t>LD250946260FR</t>
  </si>
  <si>
    <t>LD250947282FR</t>
  </si>
  <si>
    <t>LD250947319FR</t>
  </si>
  <si>
    <t>LD250947407FR</t>
  </si>
  <si>
    <t>LD250947530FR</t>
  </si>
  <si>
    <t>LD250947866FR</t>
  </si>
  <si>
    <t>LD250948495FR</t>
  </si>
  <si>
    <t>LD250948773FR</t>
  </si>
  <si>
    <t>LD250957832FR</t>
  </si>
  <si>
    <t>LD250958798FR</t>
  </si>
  <si>
    <t>LD250958974FR</t>
  </si>
  <si>
    <t>LD250960329FR</t>
  </si>
  <si>
    <t>LD250960757FR</t>
  </si>
  <si>
    <t>LD250961032FR</t>
  </si>
  <si>
    <t>LD250982077FR</t>
  </si>
  <si>
    <t>LD250982908FR</t>
  </si>
  <si>
    <t>LD250992922FR</t>
  </si>
  <si>
    <t>LD250993826FR</t>
  </si>
  <si>
    <t>LD250994089FR</t>
  </si>
  <si>
    <t>LD250994322FR</t>
  </si>
  <si>
    <t>LD250995566FR</t>
  </si>
  <si>
    <t>LD250996204FR</t>
  </si>
  <si>
    <t>LD250996535FR</t>
  </si>
  <si>
    <t>LD250996898FR</t>
  </si>
  <si>
    <t>LD251007771FR</t>
  </si>
  <si>
    <t>LD251008423FR</t>
  </si>
  <si>
    <t>LD251013882FR</t>
  </si>
  <si>
    <t>LD251017147FR</t>
  </si>
  <si>
    <t>LD251021288FR</t>
  </si>
  <si>
    <t>LD251027011FR</t>
  </si>
  <si>
    <t>LD251041194FR</t>
  </si>
  <si>
    <t>LD251041659FR</t>
  </si>
  <si>
    <t>LD251043062FR</t>
  </si>
  <si>
    <t>LD251043270FR</t>
  </si>
  <si>
    <t>LD251044791FR</t>
  </si>
  <si>
    <t>LD251045085FR</t>
  </si>
  <si>
    <t>LD251045205FR</t>
  </si>
  <si>
    <t>LD251047020FR</t>
  </si>
  <si>
    <t>LD251048630FR</t>
  </si>
  <si>
    <t>LD251049140FR</t>
  </si>
  <si>
    <t>LD251068634FR</t>
  </si>
  <si>
    <t>LD251069060FR</t>
  </si>
  <si>
    <t>LD251070244FR</t>
  </si>
  <si>
    <t>LD251071871FR</t>
  </si>
  <si>
    <t>LD251073055FR</t>
  </si>
  <si>
    <t>LD251075895FR</t>
  </si>
  <si>
    <t>LD251078985FR</t>
  </si>
  <si>
    <t>LD251082389FR</t>
  </si>
  <si>
    <t>LD251088483FR</t>
  </si>
  <si>
    <t>LD251088510FR</t>
  </si>
  <si>
    <t>LD251091482FR</t>
  </si>
  <si>
    <t>LD251096388FR</t>
  </si>
  <si>
    <t>LD251098684FR</t>
  </si>
  <si>
    <t>LD251100343FR</t>
  </si>
  <si>
    <t>LD251101176FR</t>
  </si>
  <si>
    <t>LD251104022FR</t>
  </si>
  <si>
    <t>LD251106434FR</t>
  </si>
  <si>
    <t>LD251107531FR</t>
  </si>
  <si>
    <t>LD251109869FR</t>
  </si>
  <si>
    <t>LD251109909FR</t>
  </si>
  <si>
    <t>LD251110748FR</t>
  </si>
  <si>
    <t>LD251111417FR</t>
  </si>
  <si>
    <t>LD251112899FR</t>
  </si>
  <si>
    <t>LD251115612FR</t>
  </si>
  <si>
    <t>LD251122905FR</t>
  </si>
  <si>
    <t>LD251123004FR</t>
  </si>
  <si>
    <t>LD251123021FR</t>
  </si>
  <si>
    <t>LD251129789FR</t>
  </si>
  <si>
    <t>LD251132496FR</t>
  </si>
  <si>
    <t>LD251133633FR</t>
  </si>
  <si>
    <t>LD251137241FR</t>
  </si>
  <si>
    <t>LD251137269FR</t>
  </si>
  <si>
    <t>LD251137388FR</t>
  </si>
  <si>
    <t>LD251143573FR</t>
  </si>
  <si>
    <t>LD251143936FR</t>
  </si>
  <si>
    <t>LD251145438FR</t>
  </si>
  <si>
    <t>LD251145999FR</t>
  </si>
  <si>
    <t>LD251148315FR</t>
  </si>
  <si>
    <t>LD251148880FR</t>
  </si>
  <si>
    <t>LD251164202FR</t>
  </si>
  <si>
    <t>LD251172892FR</t>
  </si>
  <si>
    <t>LD251174505FR</t>
  </si>
  <si>
    <t>LD251175029FR</t>
  </si>
  <si>
    <t>LD251176801FR</t>
  </si>
  <si>
    <t>LD251178484FR</t>
  </si>
  <si>
    <t>LD251180324FR</t>
  </si>
  <si>
    <t>LD251181687FR</t>
  </si>
  <si>
    <t>LD251182152FR</t>
  </si>
  <si>
    <t>LD251186874FR</t>
  </si>
  <si>
    <t>LD251187132FR</t>
  </si>
  <si>
    <t>LD251187375FR</t>
  </si>
  <si>
    <t>LD251187530FR</t>
  </si>
  <si>
    <t>LD251188098FR</t>
  </si>
  <si>
    <t>LD251188243FR</t>
  </si>
  <si>
    <t>LD251192000FR</t>
  </si>
  <si>
    <t>LD251194062FR</t>
  </si>
  <si>
    <t>LD251195655FR</t>
  </si>
  <si>
    <t>LD251197143FR</t>
  </si>
  <si>
    <t>LD251197333FR</t>
  </si>
  <si>
    <t>LD251197801FR</t>
  </si>
  <si>
    <t>LD251200050FR</t>
  </si>
  <si>
    <t>LD251200267FR</t>
  </si>
  <si>
    <t>LD251200372FR</t>
  </si>
  <si>
    <t>LD251201951FR</t>
  </si>
  <si>
    <t>LD251202360FR</t>
  </si>
  <si>
    <t>LD251203263FR</t>
  </si>
  <si>
    <t>LD251203688FR</t>
  </si>
  <si>
    <t>LD251205573FR</t>
  </si>
  <si>
    <t>LD251207818FR</t>
  </si>
  <si>
    <t>LD251208209FR</t>
  </si>
  <si>
    <t>LD251209028FR</t>
  </si>
  <si>
    <t>LD251211931FR</t>
  </si>
  <si>
    <t>LD251213985FR</t>
  </si>
  <si>
    <t>LD251215085FR</t>
  </si>
  <si>
    <t>LD251215743FR</t>
  </si>
  <si>
    <t>LD251215757FR</t>
  </si>
  <si>
    <t>LD251216545FR</t>
  </si>
  <si>
    <t>LD251216899FR</t>
  </si>
  <si>
    <t>LD251217789FR</t>
  </si>
  <si>
    <t>LD251227273FR</t>
  </si>
  <si>
    <t>LD251228044FR</t>
  </si>
  <si>
    <t>LD251228194FR</t>
  </si>
  <si>
    <t>LD251229067FR</t>
  </si>
  <si>
    <t>LD251229155FR</t>
  </si>
  <si>
    <t>LD251231026FR</t>
  </si>
  <si>
    <t>LD251237412FR</t>
  </si>
  <si>
    <t>LD251238660FR</t>
  </si>
  <si>
    <t>LD251239078FR</t>
  </si>
  <si>
    <t>LD251239501FR</t>
  </si>
  <si>
    <t>LD251239926FR</t>
  </si>
  <si>
    <t>LD251240544FR</t>
  </si>
  <si>
    <t>LD251241173FR</t>
  </si>
  <si>
    <t>LD251241690FR</t>
  </si>
  <si>
    <t>LD251241743FR</t>
  </si>
  <si>
    <t>LD251242148FR</t>
  </si>
  <si>
    <t>LD251242752FR</t>
  </si>
  <si>
    <t>LD251242911FR</t>
  </si>
  <si>
    <t>LD251247777FR</t>
  </si>
  <si>
    <t>LD251249557FR</t>
  </si>
  <si>
    <t>LD251249733FR</t>
  </si>
  <si>
    <t>LD251250348FR</t>
  </si>
  <si>
    <t>LD251251167FR</t>
  </si>
  <si>
    <t>LD251251290FR</t>
  </si>
  <si>
    <t>LD251251374FR</t>
  </si>
  <si>
    <t>LD251264625FR</t>
  </si>
  <si>
    <t>LD251264965FR</t>
  </si>
  <si>
    <t>LD251270930FR</t>
  </si>
  <si>
    <t>LD251289940FR</t>
  </si>
  <si>
    <t>LD251290894FR</t>
  </si>
  <si>
    <t>LD251291594FR</t>
  </si>
  <si>
    <t>LD251293207FR</t>
  </si>
  <si>
    <t>LD251296177FR</t>
  </si>
  <si>
    <t>LD251297172FR</t>
  </si>
  <si>
    <t>LD251297274FR</t>
  </si>
  <si>
    <t>LD251301291FR</t>
  </si>
  <si>
    <t>LD251304664FR</t>
  </si>
  <si>
    <t>LD251304823FR</t>
  </si>
  <si>
    <t>LD251307759FR</t>
  </si>
  <si>
    <t>LD251315715FR</t>
  </si>
  <si>
    <t>LD251316438FR</t>
  </si>
  <si>
    <t>LD251320389FR</t>
  </si>
  <si>
    <t>LD251322022FR</t>
  </si>
  <si>
    <t>LD251332444FR</t>
  </si>
  <si>
    <t>LD251332617FR</t>
  </si>
  <si>
    <t>LD251334697FR</t>
  </si>
  <si>
    <t>LD251338226FR</t>
  </si>
  <si>
    <t>LD251338416FR</t>
  </si>
  <si>
    <t>LD251348563FR</t>
  </si>
  <si>
    <t>LD251350893FR</t>
  </si>
  <si>
    <t>LD251351620FR</t>
  </si>
  <si>
    <t>LD251351911FR</t>
  </si>
  <si>
    <t>LD251352894FR</t>
  </si>
  <si>
    <t>LD251353152FR</t>
  </si>
  <si>
    <t>LD251353648FR</t>
  </si>
  <si>
    <t>LD251355670FR</t>
  </si>
  <si>
    <t>LD251356247FR</t>
  </si>
  <si>
    <t>LD251357579FR</t>
  </si>
  <si>
    <t>LD251411337FR</t>
  </si>
  <si>
    <t>LD251413284FR</t>
  </si>
  <si>
    <t>LD251413528FR</t>
  </si>
  <si>
    <t>LD251426858FR</t>
  </si>
  <si>
    <t>LD251427734FR</t>
  </si>
  <si>
    <t>LD251431699FR</t>
  </si>
  <si>
    <t>LD251433519FR</t>
  </si>
  <si>
    <t>LD251436095FR</t>
  </si>
  <si>
    <t>LD251444539FR</t>
  </si>
  <si>
    <t>LD251452623FR</t>
  </si>
  <si>
    <t>LD251454655FR</t>
  </si>
  <si>
    <t>LD251457489FR</t>
  </si>
  <si>
    <t>LD251457767FR</t>
  </si>
  <si>
    <t>LD251458983FR</t>
  </si>
  <si>
    <t>LD251459887FR</t>
  </si>
  <si>
    <t>LD251460151FR</t>
  </si>
  <si>
    <t>LD251466675FR</t>
  </si>
  <si>
    <t>LD251467662FR</t>
  </si>
  <si>
    <t>LD251467818FR</t>
  </si>
  <si>
    <t>LD251467835FR</t>
  </si>
  <si>
    <t>LD251467945FR</t>
  </si>
  <si>
    <t>LD251468773FR</t>
  </si>
  <si>
    <t>LD251469765FR</t>
  </si>
  <si>
    <t>LD251471874FR</t>
  </si>
  <si>
    <t>LD251476593FR</t>
  </si>
  <si>
    <t>LD251480099FR</t>
  </si>
  <si>
    <t>LD251486511FR</t>
  </si>
  <si>
    <t>LD251488645FR</t>
  </si>
  <si>
    <t>LD251496788FR</t>
  </si>
  <si>
    <t>LD251497355FR</t>
  </si>
  <si>
    <t>LD251498293FR</t>
  </si>
  <si>
    <t>LD251498571FR</t>
  </si>
  <si>
    <t>LD251498660FR</t>
  </si>
  <si>
    <t>LD251501315FR</t>
  </si>
  <si>
    <t>LD251503002FR</t>
  </si>
  <si>
    <t>LD251505003FR</t>
  </si>
  <si>
    <t>LD251506984FR</t>
  </si>
  <si>
    <t>LD251508985FR</t>
  </si>
  <si>
    <t>LD251520822FR</t>
  </si>
  <si>
    <t>LD251521010FR</t>
  </si>
  <si>
    <t>LD251521156FR</t>
  </si>
  <si>
    <t>LD251522491FR</t>
  </si>
  <si>
    <t>LD251523130FR</t>
  </si>
  <si>
    <t>LD251529883FR</t>
  </si>
  <si>
    <t>LD251530745FR</t>
  </si>
  <si>
    <t>LD251534150FR</t>
  </si>
  <si>
    <t>LD251535861FR</t>
  </si>
  <si>
    <t>LD251539262FR</t>
  </si>
  <si>
    <t>LD251539917FR</t>
  </si>
  <si>
    <t>LD251541218FR</t>
  </si>
  <si>
    <t>LD251541425FR</t>
  </si>
  <si>
    <t>LD251543766FR</t>
  </si>
  <si>
    <t>LD251544404FR</t>
  </si>
  <si>
    <t>LD251545603FR</t>
  </si>
  <si>
    <t>LD251547140FR</t>
  </si>
  <si>
    <t>LD251547670FR</t>
  </si>
  <si>
    <t>LD251548919FR</t>
  </si>
  <si>
    <t>LD251550679FR</t>
  </si>
  <si>
    <t>LD251553383FR</t>
  </si>
  <si>
    <t>LD251553763FR</t>
  </si>
  <si>
    <t>LD251554928FR</t>
  </si>
  <si>
    <t>LD251555225FR</t>
  </si>
  <si>
    <t>LD251556380FR</t>
  </si>
  <si>
    <t>LD251557181FR</t>
  </si>
  <si>
    <t>LD251557646FR</t>
  </si>
  <si>
    <t>LD251558292FR</t>
  </si>
  <si>
    <t>LD251558947FR</t>
  </si>
  <si>
    <t>LD251559205FR</t>
  </si>
  <si>
    <t>LD251562102FR</t>
  </si>
  <si>
    <t>LD251562513FR</t>
  </si>
  <si>
    <t>LD251562884FR</t>
  </si>
  <si>
    <t>LD251563023FR</t>
  </si>
  <si>
    <t>LD251563139FR</t>
  </si>
  <si>
    <t>LD251563434FR</t>
  </si>
  <si>
    <t>LD251563655FR</t>
  </si>
  <si>
    <t>LD251563709FR</t>
  </si>
  <si>
    <t>LD251563757FR</t>
  </si>
  <si>
    <t>LD251563916FR</t>
  </si>
  <si>
    <t>LD251563964FR</t>
  </si>
  <si>
    <t>LD251564412FR</t>
  </si>
  <si>
    <t>LD251564770FR</t>
  </si>
  <si>
    <t>LD251565007FR</t>
  </si>
  <si>
    <t>LD251565700FR</t>
  </si>
  <si>
    <t>LD251566594FR</t>
  </si>
  <si>
    <t>LD251595009FR</t>
  </si>
  <si>
    <t>LD251616772FR</t>
  </si>
  <si>
    <t>LD251618393FR</t>
  </si>
  <si>
    <t>LD251619133FR</t>
  </si>
  <si>
    <t>LD251620613FR</t>
  </si>
  <si>
    <t>LD251620905FR</t>
  </si>
  <si>
    <t>LD251621018FR</t>
  </si>
  <si>
    <t>LD251622398FR</t>
  </si>
  <si>
    <t>LD251622680FR</t>
  </si>
  <si>
    <t>LD251622906FR</t>
  </si>
  <si>
    <t>LD251623209FR</t>
  </si>
  <si>
    <t>LD251624076FR</t>
  </si>
  <si>
    <t>LD251624306FR</t>
  </si>
  <si>
    <t>LD251627850FR</t>
  </si>
  <si>
    <t>LD251630377FR</t>
  </si>
  <si>
    <t>LD251632850FR</t>
  </si>
  <si>
    <t>LD251633461FR</t>
  </si>
  <si>
    <t>LD251638591FR</t>
  </si>
  <si>
    <t>LD251639597FR</t>
  </si>
  <si>
    <t>LD251640462FR</t>
  </si>
  <si>
    <t>LD251642446FR</t>
  </si>
  <si>
    <t>LD251643089FR</t>
  </si>
  <si>
    <t>LD251646690FR</t>
  </si>
  <si>
    <t>LD251648585FR</t>
  </si>
  <si>
    <t>LD251649121FR</t>
  </si>
  <si>
    <t>LD251652324FR</t>
  </si>
  <si>
    <t>LD251658596FR</t>
  </si>
  <si>
    <t>LD251661811FR</t>
  </si>
  <si>
    <t>LD251662423FR</t>
  </si>
  <si>
    <t>LD251666601FR</t>
  </si>
  <si>
    <t>LD251668240FR</t>
  </si>
  <si>
    <t>LD251672377FR</t>
  </si>
  <si>
    <t>LD251673179FR</t>
  </si>
  <si>
    <t>LD251675237FR</t>
  </si>
  <si>
    <t>LD251679534FR</t>
  </si>
  <si>
    <t>LD251680625FR</t>
  </si>
  <si>
    <t>LD251681144FR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</si>
  <si>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</si>
  <si>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</si>
  <si>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</si>
  <si>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</si>
  <si>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</si>
  <si>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</si>
  <si>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</si>
  <si>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</si>
  <si>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</si>
  <si>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</si>
  <si>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</si>
  <si>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</si>
  <si>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</si>
  <si>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</si>
  <si>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</si>
  <si>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</si>
  <si>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</si>
  <si>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</si>
  <si>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</si>
  <si>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</si>
  <si>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</si>
  <si>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</si>
  <si>
    <t>MORGAN SALLY</t>
  </si>
  <si>
    <t>SPAHN MICHELLE</t>
  </si>
  <si>
    <t>BARHAM YVONNE</t>
  </si>
  <si>
    <t>WENGER ANDREA</t>
  </si>
  <si>
    <t>FEX HANNA</t>
  </si>
  <si>
    <t>WAHL RITA</t>
  </si>
  <si>
    <t>EDES ZSUZSANNA</t>
  </si>
  <si>
    <t>BUCKNER KATRINA</t>
  </si>
  <si>
    <t>PRVULOVIC MILENA</t>
  </si>
  <si>
    <t>LAIDOUNI HOUDA</t>
  </si>
  <si>
    <t>VON ZEFFMAN DAVID</t>
  </si>
  <si>
    <t>KING ALFIE</t>
  </si>
  <si>
    <t>SCHLINK PHILIPPE</t>
  </si>
  <si>
    <t>VUILLE JENNIFER</t>
  </si>
  <si>
    <t>BERINGER SYLVIA</t>
  </si>
  <si>
    <t>AGNAOU ZINEB</t>
  </si>
  <si>
    <t>SICCARDI MICHELE</t>
  </si>
  <si>
    <t>METZ SAMUEL</t>
  </si>
  <si>
    <t>CHIAPPERINO LUCA</t>
  </si>
  <si>
    <t>GUTKNECHT MARIA</t>
  </si>
  <si>
    <t>GANDARA MARIA</t>
  </si>
  <si>
    <t>FLAMMER YVONNE</t>
  </si>
  <si>
    <t>HELLMULLER NADJA</t>
  </si>
  <si>
    <t>MARTINET CORALIE</t>
  </si>
  <si>
    <t>KAMRAN HIBBA</t>
  </si>
  <si>
    <t>BEATTIE CLINTON</t>
  </si>
  <si>
    <t>ROUSSEL ALEXIS</t>
  </si>
  <si>
    <t>SUTHERLAND IAIN</t>
  </si>
  <si>
    <t>TOSOLINI PAOLA</t>
  </si>
  <si>
    <t>STEINER RAFFAEL</t>
  </si>
  <si>
    <t>TATE HELEN</t>
  </si>
  <si>
    <t>ALDERBASS SHOUQ H</t>
  </si>
  <si>
    <t>SETTELEN CHRISTINA</t>
  </si>
  <si>
    <t>GRIFFITHS STEPHEN</t>
  </si>
  <si>
    <t>CHORNY JO</t>
  </si>
  <si>
    <t>CALUORI DENNIS</t>
  </si>
  <si>
    <t>MEISTER CATERINA</t>
  </si>
  <si>
    <t>SCHUHLE IRIS</t>
  </si>
  <si>
    <t>RAUCH KARIN</t>
  </si>
  <si>
    <t>CHEN KUO KAI IN</t>
  </si>
  <si>
    <t>DABERER CORINA</t>
  </si>
  <si>
    <t>PORTENIER POLYA</t>
  </si>
  <si>
    <t>GRUNINGER SIMONE</t>
  </si>
  <si>
    <t>GIUDICI ARIANNA</t>
  </si>
  <si>
    <t>GARBANI MARCO</t>
  </si>
  <si>
    <t>ANDRIJANIC MARA</t>
  </si>
  <si>
    <t>DE WINTER KAREN</t>
  </si>
  <si>
    <t>GARDNET EMILY</t>
  </si>
  <si>
    <t>BLATTMANN JESSICA</t>
  </si>
  <si>
    <t>HARGREAVES MARGARET</t>
  </si>
  <si>
    <t>LIEBMANN JULIA</t>
  </si>
  <si>
    <t>LAMBERTI LUCIA</t>
  </si>
  <si>
    <t>FISCHLIN SARAH</t>
  </si>
  <si>
    <t>HAYES MARY</t>
  </si>
  <si>
    <t>PHILIPPE NAVEZ</t>
  </si>
  <si>
    <t>HUWYLER ELSA-LINE</t>
  </si>
  <si>
    <t>HOLLINGSWORTH MELANIE</t>
  </si>
  <si>
    <t>KNIGHT KEVIN</t>
  </si>
  <si>
    <t>SAMANI MEERA</t>
  </si>
  <si>
    <t>MILIA BORCARD ALESSANDRA</t>
  </si>
  <si>
    <t>CONNELL KATIE</t>
  </si>
  <si>
    <t>PAQUIER JEANNE</t>
  </si>
  <si>
    <t>HOUSEAUX DE REYCK JOHANA</t>
  </si>
  <si>
    <t>CHARLIER AURELIE</t>
  </si>
  <si>
    <t>HERRMANN FABIOLA</t>
  </si>
  <si>
    <t>IRESON ANTHONY</t>
  </si>
  <si>
    <t>SIMONE CARTIER</t>
  </si>
  <si>
    <t>HAMELIN LILY</t>
  </si>
  <si>
    <t>PANCHAUD-VIREDAZ CELINE</t>
  </si>
  <si>
    <t>CLEMENT-EVANS LOUISE</t>
  </si>
  <si>
    <t>AESCHLIMANN SYLVIE</t>
  </si>
  <si>
    <t>PERRINJAQUET SARAH</t>
  </si>
  <si>
    <t>BRIQUET MALAURY</t>
  </si>
  <si>
    <t>NEYROUD SANDRINE</t>
  </si>
  <si>
    <t>MADERN CLAUDIA</t>
  </si>
  <si>
    <t>VAN NERUM AUDE</t>
  </si>
  <si>
    <t>VIZZINI RICARDO</t>
  </si>
  <si>
    <t>MEJLAK MARGERITA</t>
  </si>
  <si>
    <t>ZHANG DONGHUA</t>
  </si>
  <si>
    <t>MCPARLAND MATHILDE</t>
  </si>
  <si>
    <t>CAREL MARGAUX</t>
  </si>
  <si>
    <t>MINGARD NATACHA</t>
  </si>
  <si>
    <t>BARANY AITANA</t>
  </si>
  <si>
    <t>SMLATIC MILAT VIKTORIJA</t>
  </si>
  <si>
    <t>DOULIGERIS KONSTANTINOS</t>
  </si>
  <si>
    <t>DUNN JADE</t>
  </si>
  <si>
    <t>FOSTER BELLA</t>
  </si>
  <si>
    <t>BORGES MARIA BEATRIZ</t>
  </si>
  <si>
    <t>DELLEY ANITA</t>
  </si>
  <si>
    <t>TAKAHASHI CHINAMI</t>
  </si>
  <si>
    <t>HERRERA MARTINEZ YAJAIRA</t>
  </si>
  <si>
    <t>FERNANDO TIAGO</t>
  </si>
  <si>
    <t>WAUTELET ANNICK</t>
  </si>
  <si>
    <t>PATON EMILY</t>
  </si>
  <si>
    <t>VOUARDOUX MELANY</t>
  </si>
  <si>
    <t>STAHEL LINA</t>
  </si>
  <si>
    <t>SCHWARZ MAJA</t>
  </si>
  <si>
    <t>SOTERIOU JOHN</t>
  </si>
  <si>
    <t>DAVEY JILL</t>
  </si>
  <si>
    <t>BLETSAS DIMITRI</t>
  </si>
  <si>
    <t>MARCHON ISABELLE</t>
  </si>
  <si>
    <t>MIKULANDOVA KATARINA</t>
  </si>
  <si>
    <t>JORIS FLORENCE</t>
  </si>
  <si>
    <t>ZWINGGI CORDULA</t>
  </si>
  <si>
    <t>VELS HELENA</t>
  </si>
  <si>
    <t>PEEK COLLETTE</t>
  </si>
  <si>
    <t>PELLISSIER JOHAN</t>
  </si>
  <si>
    <t>SUELD ROSALIN</t>
  </si>
  <si>
    <t>DESDIONS ELOISE</t>
  </si>
  <si>
    <t>BAUME OCEANE</t>
  </si>
  <si>
    <t>HICKEY KATHERINE</t>
  </si>
  <si>
    <t>RAVOUNA ANNE</t>
  </si>
  <si>
    <t>SLAVIKOVA KLARA</t>
  </si>
  <si>
    <t>YIGIDER AHMET</t>
  </si>
  <si>
    <t>MAIER BARBARA</t>
  </si>
  <si>
    <t>DUNBAR YUMI</t>
  </si>
  <si>
    <t>BUSSMANN URSULA</t>
  </si>
  <si>
    <t>CHAPPUIS VALENTIN</t>
  </si>
  <si>
    <t>SHINE DALI</t>
  </si>
  <si>
    <t>SILVA PEDRO</t>
  </si>
  <si>
    <t>WALKER NATALIE</t>
  </si>
  <si>
    <t>PINTO CARLA</t>
  </si>
  <si>
    <t>LOVEDER SHELAGH</t>
  </si>
  <si>
    <t>ALVES TIAGO</t>
  </si>
  <si>
    <t>GEHRIG RETO</t>
  </si>
  <si>
    <t>MOTA CORDEIRO AURELIO</t>
  </si>
  <si>
    <t>ANDRE GUILLAUME</t>
  </si>
  <si>
    <t>EGLOFF MANUELA</t>
  </si>
  <si>
    <t>NOIBERGER RON</t>
  </si>
  <si>
    <t>LESOUEF FELIX</t>
  </si>
  <si>
    <t>ZERIOUH JAMAL</t>
  </si>
  <si>
    <t>CUNNINGHAM JULIE</t>
  </si>
  <si>
    <t>LAGONICO JENNIFER</t>
  </si>
  <si>
    <t>WIGHTMAN EMMA</t>
  </si>
  <si>
    <t>DRAFFAN EA</t>
  </si>
  <si>
    <t>LAPID OFRI</t>
  </si>
  <si>
    <t>NOVOTNY CLAUDINE</t>
  </si>
  <si>
    <t>TOROSSIAN NINA</t>
  </si>
  <si>
    <t>SICHITIU LAURENTIU</t>
  </si>
  <si>
    <t>BUSCHOR SCHAUB CLAUDIA</t>
  </si>
  <si>
    <t>SCHNEIDER BARBARA</t>
  </si>
  <si>
    <t>HEMPEL SKADI</t>
  </si>
  <si>
    <t>WARD JENNY</t>
  </si>
  <si>
    <t>POLLARD GRAHAM</t>
  </si>
  <si>
    <t>LEICK VALERIAN</t>
  </si>
  <si>
    <t>BALLANTINE RUTH</t>
  </si>
  <si>
    <t>LARSEN HEIDI</t>
  </si>
  <si>
    <t>JUCH FRANZISKA</t>
  </si>
  <si>
    <t>DOMINGUEZ DEBORAH</t>
  </si>
  <si>
    <t>LOFTS GRAHAM</t>
  </si>
  <si>
    <t>MEJIA GABRIEL</t>
  </si>
  <si>
    <t>KHAN AISHAH</t>
  </si>
  <si>
    <t>MARCHI MATTEO</t>
  </si>
  <si>
    <t>BULLOZ DANIEL</t>
  </si>
  <si>
    <t>CHINCHIO AMBRE</t>
  </si>
  <si>
    <t>STILIPOVA MIRKA</t>
  </si>
  <si>
    <t>REINTAK EVA</t>
  </si>
  <si>
    <t>DROUET MANUELA</t>
  </si>
  <si>
    <t>LEGZDINA JOLANTA</t>
  </si>
  <si>
    <t>HELLER SIBYLLE</t>
  </si>
  <si>
    <t>MATOS JOEL</t>
  </si>
  <si>
    <t>VURLOD LORRAINE</t>
  </si>
  <si>
    <t>NICOLLIER MICHAEL</t>
  </si>
  <si>
    <t>ROUGIER LEGRAND YASMINA</t>
  </si>
  <si>
    <t>BROUILLARD COLETTE</t>
  </si>
  <si>
    <t>FREDERICK DIANE</t>
  </si>
  <si>
    <t>MAF BANKOVA MARKETA</t>
  </si>
  <si>
    <t>SENEZE FLAVIEN</t>
  </si>
  <si>
    <t>VALLS REBECA</t>
  </si>
  <si>
    <t>GREEN HIRAM</t>
  </si>
  <si>
    <t>MONCALVO MALVA</t>
  </si>
  <si>
    <t>GRECO BARBARA</t>
  </si>
  <si>
    <t>SOPHIA SOPHIA</t>
  </si>
  <si>
    <t>MULLEN CHLOE</t>
  </si>
  <si>
    <t>MALOVA VLADISLAVA</t>
  </si>
  <si>
    <t>HAUSHERR LILITH</t>
  </si>
  <si>
    <t>WRIGHT LINDSEY</t>
  </si>
  <si>
    <t>BERETIN ANA</t>
  </si>
  <si>
    <t>GUANO JESS</t>
  </si>
  <si>
    <t>BISMUTH LEA</t>
  </si>
  <si>
    <t>SAGIN MAGDALENA</t>
  </si>
  <si>
    <t>AL-MOSAWI ZAHRA</t>
  </si>
  <si>
    <t>CORTELAZZO DANIELA</t>
  </si>
  <si>
    <t>TOLMER FRANKY</t>
  </si>
  <si>
    <t>STEGMAN PATRICIA</t>
  </si>
  <si>
    <t>GAMMA CHRISTOPH</t>
  </si>
  <si>
    <t>MACBETH JACOB</t>
  </si>
  <si>
    <t>BONAFE ANGELA</t>
  </si>
  <si>
    <t>EGGENBERG CUNNINGHAM JACQUELINE</t>
  </si>
  <si>
    <t>MAIDIN IBERRAKENE MAIDIN</t>
  </si>
  <si>
    <t>THOMSEN TROELS</t>
  </si>
  <si>
    <t>PRYKHODKO NATALIA</t>
  </si>
  <si>
    <t>HAIGH JENNIFER</t>
  </si>
  <si>
    <t>TSUI ANGELA</t>
  </si>
  <si>
    <t>SOLODOVNIKOVA ALEXANDRA</t>
  </si>
  <si>
    <t>SCHILLING TANJA</t>
  </si>
  <si>
    <t>GLAUSER CHRISTA</t>
  </si>
  <si>
    <t>DEGEN ESTHER</t>
  </si>
  <si>
    <t>NEGRELLI GARCIA ADRIANA</t>
  </si>
  <si>
    <t>LEMOS PAULO</t>
  </si>
  <si>
    <t>EMMENEGGER SANDRO</t>
  </si>
  <si>
    <t>KARABULUT SULEYMAN</t>
  </si>
  <si>
    <t>HASENBOHLER NICOLAS</t>
  </si>
  <si>
    <t>LOW RACHEL</t>
  </si>
  <si>
    <t>CAMERON LINDSEY</t>
  </si>
  <si>
    <t>ROMER MARIANNE</t>
  </si>
  <si>
    <t>GASSER KATHARINA</t>
  </si>
  <si>
    <t>PATTERSON PENNY</t>
  </si>
  <si>
    <t>JOST VERA ANGELA</t>
  </si>
  <si>
    <t>ROSE JAN</t>
  </si>
  <si>
    <t>HARKNESS CLAIRE</t>
  </si>
  <si>
    <t>HACKENBERG MELANIE</t>
  </si>
  <si>
    <t>HARRIS TRACY</t>
  </si>
  <si>
    <t>KERR JOANNE</t>
  </si>
  <si>
    <t>JAMESON EILEEN</t>
  </si>
  <si>
    <t>MULLER BERNADETTE</t>
  </si>
  <si>
    <t>BLACKMORE-SQUIRES MATTHEW</t>
  </si>
  <si>
    <t>HART NAOMI</t>
  </si>
  <si>
    <t>FASEL MARLYSE</t>
  </si>
  <si>
    <t>NOVELLO BAPTISTE</t>
  </si>
  <si>
    <t>KUHNI THOMAS</t>
  </si>
  <si>
    <t>KOHLER ALEXANDRE</t>
  </si>
  <si>
    <t>SCHWERTFEGER DENISE</t>
  </si>
  <si>
    <t>SEITZ MARKUS</t>
  </si>
  <si>
    <t>KYBURZ VRENI</t>
  </si>
  <si>
    <t>SPORTARO GRACE</t>
  </si>
  <si>
    <t>CURRAN ANDREW</t>
  </si>
  <si>
    <t>CHILDS ABBI</t>
  </si>
  <si>
    <t>FIEGE MARIELLE</t>
  </si>
  <si>
    <t>REMUND YVONNE</t>
  </si>
  <si>
    <t>HAVLIK IRENA</t>
  </si>
  <si>
    <t>SAMSON ANKE</t>
  </si>
  <si>
    <t>GARRIGUES SYLVIE</t>
  </si>
  <si>
    <t>VLEMINCK MARJORIE</t>
  </si>
  <si>
    <t>BAUWIN MELANIE</t>
  </si>
  <si>
    <t>LIMOUSIN DE NEUVIC SYBILE</t>
  </si>
  <si>
    <t>GOLDBERG JUDY</t>
  </si>
  <si>
    <t>SAYEGH LIAV</t>
  </si>
  <si>
    <t>LEAL A L</t>
  </si>
  <si>
    <t>GRUNWALD JULIA</t>
  </si>
  <si>
    <t>HOGI FLORICA</t>
  </si>
  <si>
    <t>SAMZUN ALEXANDRA</t>
  </si>
  <si>
    <t>ANTONIOU VICKY</t>
  </si>
  <si>
    <t>AMEIL ANNE</t>
  </si>
  <si>
    <t>TREACY KIERON</t>
  </si>
  <si>
    <t>HABERER JACQUELINE</t>
  </si>
  <si>
    <t>ASKSKX MYPUP MAJSY</t>
  </si>
  <si>
    <t>HELMER LAURIANE</t>
  </si>
  <si>
    <t>BOSON CELINE</t>
  </si>
  <si>
    <t>BERKESKAR PETER</t>
  </si>
  <si>
    <t>LARSEN CHRISTINA LEE</t>
  </si>
  <si>
    <t>VOGT MAREIKE</t>
  </si>
  <si>
    <t>DE MARZI CRISTINA</t>
  </si>
  <si>
    <t>COWLARD KIM</t>
  </si>
  <si>
    <t>KISSLING MARISA</t>
  </si>
  <si>
    <t>CAVALERI CAROLE</t>
  </si>
  <si>
    <t>YILMAZOK OZGUN</t>
  </si>
  <si>
    <t>ANIKIENKO VALERIA</t>
  </si>
  <si>
    <t>SRIKHI NADIA</t>
  </si>
  <si>
    <t>TOURNADRE ANNE-SOPHIE</t>
  </si>
  <si>
    <t>PAULUS VACLAV</t>
  </si>
  <si>
    <t>PIOR CHRISTINE</t>
  </si>
  <si>
    <t>ERDMANN ULRIKE</t>
  </si>
  <si>
    <t>SCOUARNEC FLORA</t>
  </si>
  <si>
    <t>MAYOR MURIEL</t>
  </si>
  <si>
    <t>TYAGI ASHISH KUMAR</t>
  </si>
  <si>
    <t>WALKER DAWN</t>
  </si>
  <si>
    <t>AVES AURELIE</t>
  </si>
  <si>
    <t>CENGIZ AYFER</t>
  </si>
  <si>
    <t>NIDDAM OLIVIA</t>
  </si>
  <si>
    <t>FICART ELISE</t>
  </si>
  <si>
    <t>NIEDENTHAL SIMON</t>
  </si>
  <si>
    <t>BARGE MATTHEW</t>
  </si>
  <si>
    <t>SANTISSI JAZIA</t>
  </si>
  <si>
    <t>LA-VOIE CLAIRE-MONT</t>
  </si>
  <si>
    <t>MARCEL MATTEO</t>
  </si>
  <si>
    <t>ABDELSAMAD SARAH</t>
  </si>
  <si>
    <t>FOIDART DENIS</t>
  </si>
  <si>
    <t>DELOCHE ALEXANDRA</t>
  </si>
  <si>
    <t>ROBBERECHTS MYRIAM</t>
  </si>
  <si>
    <t>PERROUD MARILYN</t>
  </si>
  <si>
    <t>NERINCKX DAVID</t>
  </si>
  <si>
    <t>BANKS RACHEL</t>
  </si>
  <si>
    <t>MEERT EMILIE</t>
  </si>
  <si>
    <t>ANDERSON MAX</t>
  </si>
  <si>
    <t>DELVALLEE EMMANUELLE</t>
  </si>
  <si>
    <t>LORENCEAU MIGHELA</t>
  </si>
  <si>
    <t>DUNCAN DUNCAN</t>
  </si>
  <si>
    <t>SCHURCH ELIANE</t>
  </si>
  <si>
    <t>ZYLBERBERG CLARA</t>
  </si>
  <si>
    <t>CHOQUET JOSEPHINE</t>
  </si>
  <si>
    <t>SURET JF</t>
  </si>
  <si>
    <t>MURA MAI</t>
  </si>
  <si>
    <t>DU WELZ CENDRINE</t>
  </si>
  <si>
    <t>SCHWIPPE KATHARINA</t>
  </si>
  <si>
    <t>BAGE STEPHANE</t>
  </si>
  <si>
    <t>SAPIO MARTINA</t>
  </si>
  <si>
    <t>WHITE CAROLINE</t>
  </si>
  <si>
    <t>FANZY AMIGUET NATHALIE</t>
  </si>
  <si>
    <t>LIAUDAT AMELIE</t>
  </si>
  <si>
    <t>FLOOD CATHERINE</t>
  </si>
  <si>
    <t>BLOSS ANNA-MARFA</t>
  </si>
  <si>
    <t>EISENHARDT HENRI</t>
  </si>
  <si>
    <t>OESCH MICHAEL</t>
  </si>
  <si>
    <t>THOMPSON ROB</t>
  </si>
  <si>
    <t>BAIER FANNY</t>
  </si>
  <si>
    <t>CLAY HOLLY</t>
  </si>
  <si>
    <t>DANET NATHALIE</t>
  </si>
  <si>
    <t>CHOUILLOU ANNE-SOPHIE</t>
  </si>
  <si>
    <t>FENG JEFFREY</t>
  </si>
  <si>
    <t>VYKHRYSTIUK OLENA</t>
  </si>
  <si>
    <t>WINDELS STEPHANIE</t>
  </si>
  <si>
    <t>HERSCOVICI MELISSA</t>
  </si>
  <si>
    <t>COLLET-CASSART LAURENCE</t>
  </si>
  <si>
    <t>GENIN LUCIE</t>
  </si>
  <si>
    <t>ZEHNDER PHILIPP</t>
  </si>
  <si>
    <t>LUNA ANAIS</t>
  </si>
  <si>
    <t>FRANCIS SARAH</t>
  </si>
  <si>
    <t>DE BRABANT ELISABETH</t>
  </si>
  <si>
    <t>CLAUSEN CARMEN</t>
  </si>
  <si>
    <t>OZAN MUSTAFA VEDAT</t>
  </si>
  <si>
    <t>FAZZARI FRANCESCA</t>
  </si>
  <si>
    <t>RUFFIEUX KILLIAN</t>
  </si>
  <si>
    <t>BRACEY JOHN</t>
  </si>
  <si>
    <t>KLOTER MARKUS</t>
  </si>
  <si>
    <t>WIDMER MICHELLE</t>
  </si>
  <si>
    <t>ZISKIN JULIA</t>
  </si>
  <si>
    <t>VOOLMA LINDA</t>
  </si>
  <si>
    <t>BAN MARIJA</t>
  </si>
  <si>
    <t>CHABAL DAMIEN</t>
  </si>
  <si>
    <t>KNEZEVIC ANJA</t>
  </si>
  <si>
    <t>FALCY CECILE</t>
  </si>
  <si>
    <t>FERNANDEZ MENDEZ CHARLY</t>
  </si>
  <si>
    <t>VON FLIEDNER SONIA</t>
  </si>
  <si>
    <t>SIEBER BEATRICE</t>
  </si>
  <si>
    <t>ORLANDO OLIVIA</t>
  </si>
  <si>
    <t>BURGUNDER MICHAELA</t>
  </si>
  <si>
    <t>GEANINA GANDAC</t>
  </si>
  <si>
    <t>LEHMANN ANNECATHERINE</t>
  </si>
  <si>
    <t>KLIMEK SANDRA</t>
  </si>
  <si>
    <t>FREI RAHEL</t>
  </si>
  <si>
    <t>MARQUES FABIAN</t>
  </si>
  <si>
    <t>KEHR CORNELIA</t>
  </si>
  <si>
    <t>BROTHERS ANDREW</t>
  </si>
  <si>
    <t>PROTANO MARA</t>
  </si>
  <si>
    <t>GRAHAM ANNA</t>
  </si>
  <si>
    <t>CAPELLO STEFANO</t>
  </si>
  <si>
    <t>LANGMEIER CLAUDIA</t>
  </si>
  <si>
    <t>LEGGETT RAYMOND</t>
  </si>
  <si>
    <t>A MARCA MARTINET CATHERINE</t>
  </si>
  <si>
    <t>VERARDI ANTONIO</t>
  </si>
  <si>
    <t>EVANS G</t>
  </si>
  <si>
    <t>PALLARIA ANGELA</t>
  </si>
  <si>
    <t>THOMAS ANGHARAD</t>
  </si>
  <si>
    <t>WHITE LEN</t>
  </si>
  <si>
    <t>LEE CLAUDIA</t>
  </si>
  <si>
    <t>BEURSKENS JOANNA</t>
  </si>
  <si>
    <t>BEESTON MARGARET</t>
  </si>
  <si>
    <t>SMAILES CLARE</t>
  </si>
  <si>
    <t>STURDY IRINA</t>
  </si>
  <si>
    <t>GRITSCHNEDER-WIEDEMANN SUSANNE</t>
  </si>
  <si>
    <t>BOSSARD-BENSELER KAREN</t>
  </si>
  <si>
    <t>BIEGE LEA</t>
  </si>
  <si>
    <t>CLAUDINE NOVOTNY</t>
  </si>
  <si>
    <t>KEUSCH NICOLE</t>
  </si>
  <si>
    <t>SCHMALZ MALIKA</t>
  </si>
  <si>
    <t>BURDETT PHILIPPA</t>
  </si>
  <si>
    <t>MENETREY SAMUEL</t>
  </si>
  <si>
    <t>HUBER VERA</t>
  </si>
  <si>
    <t>GILHESPIE JULIAN</t>
  </si>
  <si>
    <t>LEVIS DOMINIQUE</t>
  </si>
  <si>
    <t>CHATZIIOANNIDOU MYROFORA</t>
  </si>
  <si>
    <t>LINDEMANN VANESSA</t>
  </si>
  <si>
    <t>VANKERKEM STEVE</t>
  </si>
  <si>
    <t>BADEM CHRISTINA</t>
  </si>
  <si>
    <t>TOTH PALNE</t>
  </si>
  <si>
    <t>GREENSLADE NICOLA</t>
  </si>
  <si>
    <t>BURTON M</t>
  </si>
  <si>
    <t>DRAPER BLANCA</t>
  </si>
  <si>
    <t>SANTOS SILVIA</t>
  </si>
  <si>
    <t>COSTA MARCIA</t>
  </si>
  <si>
    <t>MARADAN RACHEL</t>
  </si>
  <si>
    <t>VOGEL SIMONE</t>
  </si>
  <si>
    <t>PROUD MATT</t>
  </si>
  <si>
    <t>GEORGI PIA</t>
  </si>
  <si>
    <t>SAUTER GUIDO</t>
  </si>
  <si>
    <t>STIFF LAURA</t>
  </si>
  <si>
    <t>PILLER JACQUIER</t>
  </si>
  <si>
    <t>GELO BASTIEN</t>
  </si>
  <si>
    <t>CUCHE ZOE</t>
  </si>
  <si>
    <t>IM HOF MICHELLE</t>
  </si>
  <si>
    <t>PARSONS SARAH</t>
  </si>
  <si>
    <t>CIAMBRIELLO PASCAL</t>
  </si>
  <si>
    <t>SEDDON EMMA</t>
  </si>
  <si>
    <t>BAIANOVA IRYNA</t>
  </si>
  <si>
    <t>HARPER FRANCES</t>
  </si>
  <si>
    <t>HUBER KATHRIN</t>
  </si>
  <si>
    <t>STANISZEWSKA HANNA</t>
  </si>
  <si>
    <t>MANIAR ZAINAB</t>
  </si>
  <si>
    <t>IN-ALBON GABRIELLA</t>
  </si>
  <si>
    <t>ROBERT-FASCHING NIKOLA</t>
  </si>
  <si>
    <t>STOHLER DARIA</t>
  </si>
  <si>
    <t>HANDSCHIN SERAFINE</t>
  </si>
  <si>
    <t>SCHMIDT YVAN</t>
  </si>
  <si>
    <t>TOWNSEND RITA</t>
  </si>
  <si>
    <t>UGINCIUTE DEIMANTE</t>
  </si>
  <si>
    <t>DISTRIBUTION SL MADAHE</t>
  </si>
  <si>
    <t>BALDERER RHEA</t>
  </si>
  <si>
    <t>JAYET VERONIQUE</t>
  </si>
  <si>
    <t>KUZMINA YULIA</t>
  </si>
  <si>
    <t>TOSKOV VLADIMIR</t>
  </si>
  <si>
    <t>BILBAO PALACIO INIGO</t>
  </si>
  <si>
    <t>BONI ANASTASIIA</t>
  </si>
  <si>
    <t>JADIN LAURENT</t>
  </si>
  <si>
    <t>SPICHIGER GABRIEL</t>
  </si>
  <si>
    <t>DRISCOLL HEATHER</t>
  </si>
  <si>
    <t>OSTO MELANIA</t>
  </si>
  <si>
    <t>CRAFT MARTIN</t>
  </si>
  <si>
    <t>GARDET JODIE GARDET</t>
  </si>
  <si>
    <t>PIETRO PARODI</t>
  </si>
  <si>
    <t>VIAUD ELISA</t>
  </si>
  <si>
    <t>AGAZZI GRETA</t>
  </si>
  <si>
    <t>YERKIMBEKOVA KAMILLA</t>
  </si>
  <si>
    <t>GARDONI ANTONIO</t>
  </si>
  <si>
    <t>MOREL ANNICK</t>
  </si>
  <si>
    <t>JOHNSTON TIM</t>
  </si>
  <si>
    <t>SUGASAWA KEITA</t>
  </si>
  <si>
    <t>PAPOULIS XYSTRAKIS ODYSSEAS</t>
  </si>
  <si>
    <t>PRITZKOLEIT SVEN</t>
  </si>
  <si>
    <t>KIRK LUMI</t>
  </si>
  <si>
    <t>KAISER PHILIPP MARTIN</t>
  </si>
  <si>
    <t>JOIN BENOIT</t>
  </si>
  <si>
    <t>VILLI GLORIA</t>
  </si>
  <si>
    <t>PEZZOLI ANNA</t>
  </si>
  <si>
    <t>RUANE KAREN</t>
  </si>
  <si>
    <t>MESSLER LUCAS</t>
  </si>
  <si>
    <t>STULZ FABIENNE</t>
  </si>
  <si>
    <t>SCHWEIGER HELENA</t>
  </si>
  <si>
    <t>LAMOTTE NICHOLAS</t>
  </si>
  <si>
    <t>HASSLER CHRISTINE</t>
  </si>
  <si>
    <t>CAHAREL DAVID</t>
  </si>
  <si>
    <t>GOURGUECHON CORALIE</t>
  </si>
  <si>
    <t>DI GIULIO FUNTOWICZ FABIANA</t>
  </si>
  <si>
    <t>HARYNEK CAROLIN</t>
  </si>
  <si>
    <t>BIELENA RUSNAKOVA IVANA</t>
  </si>
  <si>
    <t>JULIA CHESTERS</t>
  </si>
  <si>
    <t>ESTEBAN ELENA</t>
  </si>
  <si>
    <t>VOTOCKOVA ZUZANA</t>
  </si>
  <si>
    <t>SILHA MACHOVA HANA</t>
  </si>
  <si>
    <t>GABILAN ISABELLE</t>
  </si>
  <si>
    <t>BIBAUW CELINE</t>
  </si>
  <si>
    <t>RUEL STEPHANE</t>
  </si>
  <si>
    <t>GUEZ DEBORAH</t>
  </si>
  <si>
    <t>SKOTNICOVA MARCELA</t>
  </si>
  <si>
    <t>LAUDAMIEL CHRISTOPHE</t>
  </si>
  <si>
    <t>MARCOPOL IRINA</t>
  </si>
  <si>
    <t>BERTOLINI DVAID</t>
  </si>
  <si>
    <t>WILLIAMS HAYLEY</t>
  </si>
  <si>
    <t>LETTICE CLAIRE</t>
  </si>
  <si>
    <t>FIGG CHARLOTTE</t>
  </si>
  <si>
    <t>OBERWETTER CHICAGO IL</t>
  </si>
  <si>
    <t>VOLZ JESSICA</t>
  </si>
  <si>
    <t>BEAULIEU DENYSE</t>
  </si>
  <si>
    <t>OBRECHT ISABEL</t>
  </si>
  <si>
    <t>LISHCHYNSKA NATALIA</t>
  </si>
  <si>
    <t>MCCOLGAN EUGENE</t>
  </si>
  <si>
    <t>NUOFFER CINDY</t>
  </si>
  <si>
    <t>WERMELINGER PRISKA</t>
  </si>
  <si>
    <t>HESSLER JANINA</t>
  </si>
  <si>
    <t>JOSH EDWARD</t>
  </si>
  <si>
    <t>DREYFOUS TARA</t>
  </si>
  <si>
    <t>SCHAR BETTINA</t>
  </si>
  <si>
    <t>WELLNER FRANZISKA MARIE</t>
  </si>
  <si>
    <t>SUESSTRUNK SABINE</t>
  </si>
  <si>
    <t>KURYLO BOHDANA</t>
  </si>
  <si>
    <t>DUPARC JEAN-BAPTISTE</t>
  </si>
  <si>
    <t>LE BUSSY MARTINE</t>
  </si>
  <si>
    <t>BONNAMOUR CECILE</t>
  </si>
  <si>
    <t>ISUFI SANDRINE</t>
  </si>
  <si>
    <t>FORMOSO IGLESIAS MARTA</t>
  </si>
  <si>
    <t>FIEGENBAUM TILL</t>
  </si>
  <si>
    <t>FRANKLIN ELLA</t>
  </si>
  <si>
    <t>DAVID JOEL</t>
  </si>
  <si>
    <t>AHN INGRID</t>
  </si>
  <si>
    <t>MARQUARDT GABRIELE</t>
  </si>
  <si>
    <t>GOLLER JOHANNA</t>
  </si>
  <si>
    <t>WRONKA TABITHA</t>
  </si>
  <si>
    <t>STEVENS JESSI JEZEWSKA</t>
  </si>
  <si>
    <t>SIMONET MARIE LEA</t>
  </si>
  <si>
    <t>MORGAN REBECCA</t>
  </si>
  <si>
    <t>SASAKI YOTARO</t>
  </si>
  <si>
    <t>DAVIES ADAM</t>
  </si>
  <si>
    <t>HARTMANN RAHEL</t>
  </si>
  <si>
    <t>KUNDIG SEAN</t>
  </si>
  <si>
    <t>SATTARZADEH SOLMAZ</t>
  </si>
  <si>
    <t>MIKO KOSA ANDREA</t>
  </si>
  <si>
    <t>KELLY SHEILA</t>
  </si>
  <si>
    <t>FAJFROVA DITA</t>
  </si>
  <si>
    <t>OHAZURUIKE RENATE</t>
  </si>
  <si>
    <t>TEERLYNCK RENE</t>
  </si>
  <si>
    <t>JORDAN ALINE KITTY</t>
  </si>
  <si>
    <t>WILLOMMET GERALDINE</t>
  </si>
  <si>
    <t>NIELSEN STINE</t>
  </si>
  <si>
    <t>MEHRING ELISCHA</t>
  </si>
  <si>
    <t>SWIFT VICTORIA</t>
  </si>
  <si>
    <t>MANENTE ARIANNA</t>
  </si>
  <si>
    <t>BAUD ELISABETH</t>
  </si>
  <si>
    <t>DANEZIS BENINCASA THERESA</t>
  </si>
  <si>
    <t>HOSKING PETER</t>
  </si>
  <si>
    <t>FLUECKIGER-BERGER SOPHIE</t>
  </si>
  <si>
    <t>STREBEL PETER</t>
  </si>
  <si>
    <t>HASLIMANN MONIKA</t>
  </si>
  <si>
    <t>HUNZIKER PRISCILLE</t>
  </si>
  <si>
    <t>NICHOLLS CHARLOTTE</t>
  </si>
  <si>
    <t>BASTIAN ISABELLE</t>
  </si>
  <si>
    <t>STEWART LESLEY</t>
  </si>
  <si>
    <t>ORMROD HELEN</t>
  </si>
  <si>
    <t>MARANGON SIMONE</t>
  </si>
  <si>
    <t>JAUHAL JESS</t>
  </si>
  <si>
    <t>KEEPING ISABELLA</t>
  </si>
  <si>
    <t>TARNUTZER MIRJAM</t>
  </si>
  <si>
    <t>FURRER NADJA</t>
  </si>
  <si>
    <t>DE STEFANO FRANSISKA</t>
  </si>
  <si>
    <t>NOWAKOWSKI DANIELA</t>
  </si>
  <si>
    <t>MEADOWS VICKY</t>
  </si>
  <si>
    <t>BAUMGARTNER GERTRUD</t>
  </si>
  <si>
    <t>WEILLER DOMITILLA</t>
  </si>
  <si>
    <t>WOJNAROWSKA MARTYNA</t>
  </si>
  <si>
    <t>SICURO ANITA</t>
  </si>
  <si>
    <t>GIGANDET EMMANUELLE</t>
  </si>
  <si>
    <t>STEIGER RAINER</t>
  </si>
  <si>
    <t>FRANZ JULIANE</t>
  </si>
  <si>
    <t>SAVIOZ MADELEINE</t>
  </si>
  <si>
    <t>PARSONS NATALIE</t>
  </si>
  <si>
    <t>ROUSE NATASHA</t>
  </si>
  <si>
    <t>WALCZAK JAKUB</t>
  </si>
  <si>
    <t>WALT SIMONE</t>
  </si>
  <si>
    <t>DOUGOUD ANNE-CATHERINE</t>
  </si>
  <si>
    <t>GROSSMANN LEA</t>
  </si>
  <si>
    <t>SCHNELLMANN TIMO</t>
  </si>
  <si>
    <t>KELLER SABINE</t>
  </si>
  <si>
    <t>BLATTER RETO</t>
  </si>
  <si>
    <t>WOHLGEMUTH MARCEL</t>
  </si>
  <si>
    <t>SEILER RENEE</t>
  </si>
  <si>
    <t>LABUENA MARIA</t>
  </si>
  <si>
    <t>SMITH PIERS</t>
  </si>
  <si>
    <t>SHEPHERD FIONA</t>
  </si>
  <si>
    <t>VAN MANEN SEEMA</t>
  </si>
  <si>
    <t>MAZARI MINA</t>
  </si>
  <si>
    <t>CARLYSLE ROBERT</t>
  </si>
  <si>
    <t>FIGUEROA CRISTINA</t>
  </si>
  <si>
    <t>MEYER JEANNINE</t>
  </si>
  <si>
    <t>FRANCOIS DASSAULT VFP GERANCE</t>
  </si>
  <si>
    <t>NORRIS ANDY</t>
  </si>
  <si>
    <t>FOX CLARE</t>
  </si>
  <si>
    <t>BURKHARDT LYLY</t>
  </si>
  <si>
    <t>LUDI RAPHAELA</t>
  </si>
  <si>
    <t>DASSAULT QUENTIN</t>
  </si>
  <si>
    <t>SCHMASSMANN DIANA</t>
  </si>
  <si>
    <t>HERMANN CATHY</t>
  </si>
  <si>
    <t>JIRKU SIMONA</t>
  </si>
  <si>
    <t>MORELLE MAITE</t>
  </si>
  <si>
    <t>PAHUD JESSICA</t>
  </si>
  <si>
    <t>CUMMINGS ASHLEY</t>
  </si>
  <si>
    <t>JACOB RACHEL</t>
  </si>
  <si>
    <t>DAINES KHRYSTYNA</t>
  </si>
  <si>
    <t>SMITH TRACY</t>
  </si>
  <si>
    <t>MADRID SL ESB44792950 ALISIOS</t>
  </si>
  <si>
    <t>KAFKOVA MICHAELA</t>
  </si>
  <si>
    <t>SPEICHER JULIEN</t>
  </si>
  <si>
    <t>CHAWLOWSKI JAKUB</t>
  </si>
  <si>
    <t>JORDAN CATHERINE</t>
  </si>
  <si>
    <t>PRINCIVALLI PATRICE</t>
  </si>
  <si>
    <t>SANCHEZ LAJARA JUAN</t>
  </si>
  <si>
    <t>KOZLOVA TANIA</t>
  </si>
  <si>
    <t>JACOBSSON NILS</t>
  </si>
  <si>
    <t>MEDLYN LIZ</t>
  </si>
  <si>
    <t>DUFFIELD BRIANNA</t>
  </si>
  <si>
    <t>ELSA ELSA</t>
  </si>
  <si>
    <t>MORVAN PHILIPPE</t>
  </si>
  <si>
    <t>SESTO ELENA</t>
  </si>
  <si>
    <t>WAGNER CORNELIA</t>
  </si>
  <si>
    <t>MILES GENAI</t>
  </si>
  <si>
    <t>RAYNER DAN</t>
  </si>
  <si>
    <t>BRYNER DANIELLE</t>
  </si>
  <si>
    <t>EIJDENBERG MAARTEN</t>
  </si>
  <si>
    <t>DE CHAMBRIER ALEXANDRE</t>
  </si>
  <si>
    <t>VERNET DUNAND PASCALE</t>
  </si>
  <si>
    <t>FERNANDEZ DOMINIQUE</t>
  </si>
  <si>
    <t>ADAM A'ISHAH</t>
  </si>
  <si>
    <t>POLAT NERMINA</t>
  </si>
  <si>
    <t>WUTHRICH KARIN</t>
  </si>
  <si>
    <t>FARMER CHRISTINE</t>
  </si>
  <si>
    <t>HAENY SARAH</t>
  </si>
  <si>
    <t>PLACINTA LAURENTIU</t>
  </si>
  <si>
    <t>DELGRANGE BARBARA</t>
  </si>
  <si>
    <t>FIALLOS ALISSON</t>
  </si>
  <si>
    <t>LECLERCQ STEPHANE</t>
  </si>
  <si>
    <t>LAKKERWA CHARLOTTE</t>
  </si>
  <si>
    <t>COUTHURES DECARD MARION</t>
  </si>
  <si>
    <t>MALKOVA GABRIELA</t>
  </si>
  <si>
    <t>KULLAMAGI IRIS</t>
  </si>
  <si>
    <t>STARTSEV MAXIM</t>
  </si>
  <si>
    <t>SCHEPER JEANELLE</t>
  </si>
  <si>
    <t>LAVY BETTY</t>
  </si>
  <si>
    <t>MONTALBETTI MARIMEE</t>
  </si>
  <si>
    <t>WONG KITTY</t>
  </si>
  <si>
    <t>CALZADO MAURA</t>
  </si>
  <si>
    <t>IATRATE ANCA</t>
  </si>
  <si>
    <t>HYNES BIRD MIRANDA</t>
  </si>
  <si>
    <t>SCHNELL NATHALIE</t>
  </si>
  <si>
    <t>SCHULER-DORIG THOMAS</t>
  </si>
  <si>
    <t>GOLD SARAH</t>
  </si>
  <si>
    <t>COLLINS CHRISTOPER</t>
  </si>
  <si>
    <t>ALDER NATHALIE</t>
  </si>
  <si>
    <t>STUDER CLAUDINE</t>
  </si>
  <si>
    <t>HADDADINAIMI NADIA</t>
  </si>
  <si>
    <t>HOBBS SUZY</t>
  </si>
  <si>
    <t>IMBORNONE ANITA</t>
  </si>
  <si>
    <t>KASSAB SUSAN</t>
  </si>
  <si>
    <t>SEGER RACHY</t>
  </si>
  <si>
    <t>DURAND MARTIN</t>
  </si>
  <si>
    <t>HAERING CAROLINE</t>
  </si>
  <si>
    <t>ANDERLOVA MICHAELA</t>
  </si>
  <si>
    <t>FOLLY RACHEL</t>
  </si>
  <si>
    <t>VERHOEVEN DIDIER</t>
  </si>
  <si>
    <t>MARKADIEU FABRICE</t>
  </si>
  <si>
    <t>VILLAMOR PILAR</t>
  </si>
  <si>
    <t>FOJO REY ANA-MARIA</t>
  </si>
  <si>
    <t>CORNIL JULIE</t>
  </si>
  <si>
    <t>BOUMANS TWAN</t>
  </si>
  <si>
    <t>MAGE OLIVIER</t>
  </si>
  <si>
    <t>MARCZAK MALWINA</t>
  </si>
  <si>
    <t>STUMPEL DANYA</t>
  </si>
  <si>
    <t>CLITANDRE NATACHA</t>
  </si>
  <si>
    <t>SCOTT DANIEL</t>
  </si>
  <si>
    <t>DE QUATREBARBES DEBORAH</t>
  </si>
  <si>
    <t>SHEIKH SHELA</t>
  </si>
  <si>
    <t>BUTIKOFER SORAYA</t>
  </si>
  <si>
    <t>STAHELI ONNA</t>
  </si>
  <si>
    <t>DELOCHE FRANCOISE-MARIE</t>
  </si>
  <si>
    <t>MURTEZANI BLERTINA</t>
  </si>
  <si>
    <t>CORNET ISABELLE</t>
  </si>
  <si>
    <t>PETSCHUCH SONTHEIMER ULRIKE</t>
  </si>
  <si>
    <t>MOSIMANN MARIUS</t>
  </si>
  <si>
    <t>HENCHOZ HELENE</t>
  </si>
  <si>
    <t>MORAN KEVIN</t>
  </si>
  <si>
    <t>BEKTAS FATMA</t>
  </si>
  <si>
    <t>SUMM THOMAS</t>
  </si>
  <si>
    <t>ABOUL JABINE DANA</t>
  </si>
  <si>
    <t>EPINEY MARIE-THERESE</t>
  </si>
  <si>
    <t>BRULHART ALICIA</t>
  </si>
  <si>
    <t>BELLFORT NICOLAS</t>
  </si>
  <si>
    <t>MORRISSEY JOANNA</t>
  </si>
  <si>
    <t>PLISKA MATTIAS</t>
  </si>
  <si>
    <t>NOWICKA ANNA</t>
  </si>
  <si>
    <t>WEBER HANNA</t>
  </si>
  <si>
    <t>FISCHER ANJALI</t>
  </si>
  <si>
    <t>STANIER JAMES</t>
  </si>
  <si>
    <t>KENNY HELEN</t>
  </si>
  <si>
    <t>PRALONG ISABELLE</t>
  </si>
  <si>
    <t>CACCHIOLI PAIGE</t>
  </si>
  <si>
    <t>LE PRIEUR SYBILLE</t>
  </si>
  <si>
    <t>HUNZIKER KARIN</t>
  </si>
  <si>
    <t>FROBISHER PETER</t>
  </si>
  <si>
    <t>STEINER LAURA</t>
  </si>
  <si>
    <t>SENNETT BETH</t>
  </si>
  <si>
    <t>ORTON TERRY</t>
  </si>
  <si>
    <t>MOESNER JANINE</t>
  </si>
  <si>
    <t>CRUICKSHANK JUSTINA</t>
  </si>
  <si>
    <t>MCDEVITT MEG</t>
  </si>
  <si>
    <t>ALQAHTANI IBTISAM</t>
  </si>
  <si>
    <t>PAGES MORGAN</t>
  </si>
  <si>
    <t>TSIBIRIDI CHRISTINA</t>
  </si>
  <si>
    <t>NAUMANN BIANCA</t>
  </si>
  <si>
    <t>BENAYM LOUISE</t>
  </si>
  <si>
    <t>DRESCHER PATRICIA</t>
  </si>
  <si>
    <t>VON KAENEL CHRISTINE</t>
  </si>
  <si>
    <t>BECK MATTHIAS</t>
  </si>
  <si>
    <t>RUYSSERS EVELYN</t>
  </si>
  <si>
    <t>HALDEMANN URSULA</t>
  </si>
  <si>
    <t>SARTINI EDO</t>
  </si>
  <si>
    <t>LEQUINT HELOISE</t>
  </si>
  <si>
    <t>JAQUET GUY</t>
  </si>
  <si>
    <t>VOUMARD TIMOTHEE</t>
  </si>
  <si>
    <t>HARDY HELEN</t>
  </si>
  <si>
    <t>PALLAS ANDREA</t>
  </si>
  <si>
    <t>SZEP FRUZSINA</t>
  </si>
  <si>
    <t>COOMBE ANDREW</t>
  </si>
  <si>
    <t>GRAY JOHN</t>
  </si>
  <si>
    <t>COLBORN-VEITCH FRANCIS</t>
  </si>
  <si>
    <t>BEVAN CHRIS</t>
  </si>
  <si>
    <t>INDRASEKARAN NITHUJAH</t>
  </si>
  <si>
    <t>BRADSHAW PHILLIP</t>
  </si>
  <si>
    <t>FERRARIS MICHELE</t>
  </si>
  <si>
    <t>GRADAILLE THEO</t>
  </si>
  <si>
    <t>CURIEL REYES</t>
  </si>
  <si>
    <t>GILL PUSHPINDER</t>
  </si>
  <si>
    <t>SABOR MONIKA</t>
  </si>
  <si>
    <t>STRAUSS YVES LAURENT</t>
  </si>
  <si>
    <t>LENOIR MANUEL</t>
  </si>
  <si>
    <t>BASSI JASON</t>
  </si>
  <si>
    <t>SHEFFIELD ANN</t>
  </si>
  <si>
    <t>ZANATTA PHILIPP</t>
  </si>
  <si>
    <t>MEIER ANJA</t>
  </si>
  <si>
    <t>VOSER RAMONA</t>
  </si>
  <si>
    <t>RUPPE EVA</t>
  </si>
  <si>
    <t>CHICU OLGA</t>
  </si>
  <si>
    <t>CROFT AMY</t>
  </si>
  <si>
    <t>ROCIO SIMONDEGUI</t>
  </si>
  <si>
    <t>SCHARER KATJA</t>
  </si>
  <si>
    <t>GAALOUL SONIA</t>
  </si>
  <si>
    <t>CROSS JULIE</t>
  </si>
  <si>
    <t>JONES JULIE</t>
  </si>
  <si>
    <t>WURTLIN TANJA</t>
  </si>
  <si>
    <t>ROUSE LIDIA</t>
  </si>
  <si>
    <t>NENADALOVA KRISTYNA</t>
  </si>
  <si>
    <t>SUGGELER DETLEF</t>
  </si>
  <si>
    <t>ATTWOOD JULIUS</t>
  </si>
  <si>
    <t>WILLIAMS ALAN</t>
  </si>
  <si>
    <t>SCHAFFHAUSER BRUNO</t>
  </si>
  <si>
    <t>MORARD MARINETTE</t>
  </si>
  <si>
    <t>KOIT ANNELI</t>
  </si>
  <si>
    <t>BARAGI BARAGI DEMBO</t>
  </si>
  <si>
    <t>FOSCHIA PAULINE</t>
  </si>
  <si>
    <t>GHELFI MEL</t>
  </si>
  <si>
    <t>DORGAI ZSOFIA</t>
  </si>
  <si>
    <t>BUSBY ALAN GEORGE</t>
  </si>
  <si>
    <t>READ EMMA</t>
  </si>
  <si>
    <t>KONRAD MILO</t>
  </si>
  <si>
    <t>GRANDO SANDY</t>
  </si>
  <si>
    <t>BONVALLAT ALLAN</t>
  </si>
  <si>
    <t>NATALE LETIZIA</t>
  </si>
  <si>
    <t>AYLMER JULIET</t>
  </si>
  <si>
    <t>CIPULLO SABRINA</t>
  </si>
  <si>
    <t>MEYER LAURENT</t>
  </si>
  <si>
    <t>MCKENNA MARYAM</t>
  </si>
  <si>
    <t>DUMOULIN LYNE</t>
  </si>
  <si>
    <t>BARBEAU TEKA</t>
  </si>
  <si>
    <t>MOUZANNAR ANDREA</t>
  </si>
  <si>
    <t>CHOWLES ADAM</t>
  </si>
  <si>
    <t>CHURCH ANDREW</t>
  </si>
  <si>
    <t>THIE VERONIKA</t>
  </si>
  <si>
    <t>AEPLI SERENA</t>
  </si>
  <si>
    <t>VERZASCONI CATALANO SANDRA</t>
  </si>
  <si>
    <t>SENN MARILYN</t>
  </si>
  <si>
    <t>FIORE FABIOLA</t>
  </si>
  <si>
    <t>KELL SUSANNA</t>
  </si>
  <si>
    <t>THOMAS KATIE</t>
  </si>
  <si>
    <t>BRUNNER MICHAEL</t>
  </si>
  <si>
    <t>MANDZHEKOVA NATALIYA</t>
  </si>
  <si>
    <t>WEBB MARIA FERNADA</t>
  </si>
  <si>
    <t>FURSTENBERG REINHARD</t>
  </si>
  <si>
    <t>MUNGER MANUELA</t>
  </si>
  <si>
    <t>PETER LARA</t>
  </si>
  <si>
    <t>KOLLER AGLAJA</t>
  </si>
  <si>
    <t>RUBIO NURIA</t>
  </si>
  <si>
    <t>ARNOLD KARIN</t>
  </si>
  <si>
    <t>AL BOUSTANI JAD</t>
  </si>
  <si>
    <t>KING VICTORIA</t>
  </si>
  <si>
    <t>CALLAGHAN LAURA</t>
  </si>
  <si>
    <t>HOHL-KRAHENBUHL BARBARA</t>
  </si>
  <si>
    <t>NICKERSON ALISON</t>
  </si>
  <si>
    <t>BOWKER JACQUELINE</t>
  </si>
  <si>
    <t>LYNCH MICHAEL</t>
  </si>
  <si>
    <t>MOREAU CYRILLE</t>
  </si>
  <si>
    <t>GILOMEN ANDRE</t>
  </si>
  <si>
    <t>LUNN OLIVER</t>
  </si>
  <si>
    <t>PELLET-SIEBER DANIELA</t>
  </si>
  <si>
    <t>BENNETT KERI</t>
  </si>
  <si>
    <t>CLAVUOT CLAUDIA</t>
  </si>
  <si>
    <t>CARIGIET GIERI</t>
  </si>
  <si>
    <t>REICHLIN SIMONE</t>
  </si>
  <si>
    <t>MESSERLI CHRISTINE</t>
  </si>
  <si>
    <t>PIANZOLA GUIDO</t>
  </si>
  <si>
    <t>GRAHAM OLIVER</t>
  </si>
  <si>
    <t>SPRUTTA EMMA</t>
  </si>
  <si>
    <t>SANTOS PAUL</t>
  </si>
  <si>
    <t>LODGE LORI LYNN</t>
  </si>
  <si>
    <t>OBRIST JEAN-JACQUES</t>
  </si>
  <si>
    <t>KORNACKI ANJA</t>
  </si>
  <si>
    <t>SCHULER OLIVER</t>
  </si>
  <si>
    <t>TSCHUI CLAUDIA</t>
  </si>
  <si>
    <t>SCHWITZGUEBEL ALINE</t>
  </si>
  <si>
    <t>HINDS FIONNUALA</t>
  </si>
  <si>
    <t>DI RENZO ELEONORE</t>
  </si>
  <si>
    <t>GUGGENBUHL ANDREAS</t>
  </si>
  <si>
    <t>NORDMANN DINA</t>
  </si>
  <si>
    <t>POGORZELSKA JOANNA</t>
  </si>
  <si>
    <t>HSIEH AURELIE</t>
  </si>
  <si>
    <t>GAGO ROBERTO</t>
  </si>
  <si>
    <t>EGGMANN CAROLE</t>
  </si>
  <si>
    <t>ARMAGAN ORELL AYSEGUL</t>
  </si>
  <si>
    <t>INDERBITZIN MICHELE</t>
  </si>
  <si>
    <t>IMHOF FABIENNE</t>
  </si>
  <si>
    <t>OVERNEY RAPHAEL</t>
  </si>
  <si>
    <t>ABRAHAM THEO</t>
  </si>
  <si>
    <t>FERRANDEZ ANNE</t>
  </si>
  <si>
    <t>PERBOS SANDRA</t>
  </si>
  <si>
    <t>ARMSTRONG DAVID</t>
  </si>
  <si>
    <t>STEINER FIONA</t>
  </si>
  <si>
    <t>BRACK MARIA</t>
  </si>
  <si>
    <t>ROWLAND CHRISTOPHER</t>
  </si>
  <si>
    <t>SCHINDLER ANOUK</t>
  </si>
  <si>
    <t>KNECHTLE GLOGGER FABIA</t>
  </si>
  <si>
    <t>WALTON JESSICA</t>
  </si>
  <si>
    <t>BUCHHOLZ SOPHIE</t>
  </si>
  <si>
    <t>KUAH MERSHEL</t>
  </si>
  <si>
    <t>MAIER MARGIT</t>
  </si>
  <si>
    <t>WURM CHRISTIAN</t>
  </si>
  <si>
    <t>FADHILAH NENDA INASA</t>
  </si>
  <si>
    <t>VINCENT GUY</t>
  </si>
  <si>
    <t>MACCHIA SUSANNA</t>
  </si>
  <si>
    <t>ARAMENDY FLAVIE</t>
  </si>
  <si>
    <t>HARTMANN JENNIFER</t>
  </si>
  <si>
    <t>WYBROW SHARON</t>
  </si>
  <si>
    <t>ZIMMERMANN CLAUDIA</t>
  </si>
  <si>
    <t>HERZOG TABEA</t>
  </si>
  <si>
    <t>ESCHER SABINA</t>
  </si>
  <si>
    <t>BUTCHER OLIVER</t>
  </si>
  <si>
    <t>KIRKWOOD CONNOR</t>
  </si>
  <si>
    <t>DERRER RUTH</t>
  </si>
  <si>
    <t>GOHARIAN LEILA</t>
  </si>
  <si>
    <t>WELSCH VOLBUNRY</t>
  </si>
  <si>
    <t>DOHERTY PAUL</t>
  </si>
  <si>
    <t>FASCIATI SERAINA</t>
  </si>
  <si>
    <t>DELRE JAMAIGNE MARTINE</t>
  </si>
  <si>
    <t>LANKER MONIKA</t>
  </si>
  <si>
    <t>SCHMID PETRA</t>
  </si>
  <si>
    <t>FLUCKIGER MULLER FRANZISKA</t>
  </si>
  <si>
    <t>BLUEMLING JENNIFER</t>
  </si>
  <si>
    <t>BAGGI LUCIE</t>
  </si>
  <si>
    <t>DIAS LIZ</t>
  </si>
  <si>
    <t>SHINGAKI KENSUKE</t>
  </si>
  <si>
    <t>FRANCISCO TRUJILLO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</si>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</sst>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33" borderId="0" xfId="0" applyFill="1"/>
    <xf numFmtId="0" fontId="19" fillId="0" borderId="0" xfId="0" applyFont="1" applyAlignment="1">
      <alignment vertical="center"/>
    </xf>
    <xf numFmtId="0" fontId="20" fillId="0" borderId="0" xfId="42" applyFont="1" applyAlignment="1">
      <alignment vertical="center"/>
    </xf>
    <xf numFmtId="44" fontId="20" fillId="0" borderId="0" xfId="43" applyFont="1" applyAlignment="1">
      <alignment vertical="center"/>
    </xf>
    <xf numFmtId="44" fontId="0" fillId="0" borderId="0" xfId="43" applyFont="1"/>
    <xf numFmtId="0" fontId="0" fillId="34" borderId="0" xfId="0" applyFill="1"/>
    <xf numFmtId="0" fontId="0" fillId="35" borderId="0" xfId="0" applyFill="1"/>
    <xf numFmtId="14" fontId="0" fillId="36" borderId="0" xfId="0" applyNumberFormat="1" applyFill="1"/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onétaire" xfId="43" builtinId="4"/>
    <cellStyle name="Neutre" xfId="8" builtinId="28" customBuiltin="1"/>
    <cellStyle name="Normal" xfId="0" builtinId="0"/>
    <cellStyle name="Normal 2" xfId="42" xr:uid="{FB43786D-7DBC-47E4-AEFB-C007848E0BE4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zoomScale="90" zoomScaleNormal="90" workbookViewId="0">
      <pane ySplit="1" topLeftCell="A2" activePane="bottomLeft" state="frozen"/>
      <selection pane="bottomLeft" activeCell="C8" sqref="C8"/>
    </sheetView>
  </sheetViews>
  <sheetFormatPr baseColWidth="10" defaultRowHeight="15" x14ac:dyDescent="0.25"/>
  <cols>
    <col min="1" max="1" width="42.28515625" style="2" bestFit="1" customWidth="1"/>
    <col min="2" max="2" width="7.85546875" bestFit="1" customWidth="1"/>
    <col min="3" max="3" width="7.7109375" bestFit="1" customWidth="1"/>
    <col min="5" max="5" width="11.42578125" style="6"/>
  </cols>
  <sheetData>
    <row r="1" spans="1:10" x14ac:dyDescent="0.25">
      <c r="A1" s="2" t="s">
        <v>5</v>
      </c>
      <c r="B1" t="s">
        <v>39</v>
      </c>
      <c r="C1" t="s">
        <v>38</v>
      </c>
      <c r="D1" t="s">
        <v>60</v>
      </c>
      <c r="E1" s="6" t="s">
        <v>106</v>
      </c>
      <c r="G1" s="3" t="s">
        <v>100</v>
      </c>
      <c r="H1" s="4"/>
      <c r="I1" s="3" t="s">
        <v>101</v>
      </c>
      <c r="J1" s="5"/>
    </row>
    <row r="2" spans="1:10" x14ac:dyDescent="0.25">
      <c r="A2" s="2" t="s">
        <v>35</v>
      </c>
      <c r="B2" t="s">
        <v>21</v>
      </c>
      <c r="C2">
        <v>1</v>
      </c>
      <c r="D2">
        <v>0.2</v>
      </c>
      <c r="G2" s="4"/>
      <c r="H2" s="4"/>
      <c r="I2" s="3" t="s">
        <v>102</v>
      </c>
      <c r="J2" s="5"/>
    </row>
    <row r="3" spans="1:10" x14ac:dyDescent="0.25">
      <c r="A3" s="2" t="s">
        <v>136</v>
      </c>
      <c r="B3" t="s">
        <v>137</v>
      </c>
      <c r="C3">
        <v>2</v>
      </c>
      <c r="D3">
        <v>0</v>
      </c>
      <c r="G3" s="4"/>
      <c r="H3" s="4"/>
      <c r="I3" s="3" t="s">
        <v>103</v>
      </c>
      <c r="J3" s="5"/>
    </row>
    <row r="4" spans="1:10" x14ac:dyDescent="0.25">
      <c r="A4" s="2" t="s">
        <v>46</v>
      </c>
      <c r="B4" t="s">
        <v>61</v>
      </c>
      <c r="C4">
        <v>2</v>
      </c>
      <c r="D4">
        <v>0</v>
      </c>
      <c r="E4" s="6">
        <v>1.5</v>
      </c>
      <c r="G4" s="4"/>
      <c r="H4" s="4"/>
      <c r="I4" s="3" t="s">
        <v>104</v>
      </c>
      <c r="J4" s="5"/>
    </row>
    <row r="5" spans="1:10" x14ac:dyDescent="0.25">
      <c r="A5" s="2" t="s">
        <v>43</v>
      </c>
      <c r="B5" t="s">
        <v>67</v>
      </c>
      <c r="C5">
        <v>1</v>
      </c>
      <c r="D5">
        <v>0.2</v>
      </c>
      <c r="G5" s="4"/>
      <c r="H5" s="4"/>
      <c r="I5" s="3" t="s">
        <v>105</v>
      </c>
      <c r="J5" s="5"/>
    </row>
    <row r="6" spans="1:10" x14ac:dyDescent="0.25">
      <c r="A6" s="2" t="s">
        <v>28</v>
      </c>
      <c r="B6" t="s">
        <v>19</v>
      </c>
      <c r="C6" t="s">
        <v>52</v>
      </c>
      <c r="D6">
        <v>0.2</v>
      </c>
    </row>
    <row r="7" spans="1:10" x14ac:dyDescent="0.25">
      <c r="A7" s="2" t="s">
        <v>143</v>
      </c>
      <c r="B7" t="s">
        <v>144</v>
      </c>
      <c r="C7">
        <v>2</v>
      </c>
      <c r="D7">
        <v>0</v>
      </c>
    </row>
    <row r="8" spans="1:10" x14ac:dyDescent="0.25">
      <c r="A8" s="2" t="s">
        <v>126</v>
      </c>
      <c r="B8" t="s">
        <v>128</v>
      </c>
      <c r="C8">
        <v>2</v>
      </c>
      <c r="D8">
        <v>0</v>
      </c>
    </row>
    <row r="9" spans="1:10" x14ac:dyDescent="0.25">
      <c r="A9" s="2" t="s">
        <v>97</v>
      </c>
      <c r="B9" t="s">
        <v>107</v>
      </c>
      <c r="C9">
        <v>1</v>
      </c>
      <c r="D9">
        <v>0.2</v>
      </c>
    </row>
    <row r="10" spans="1:10" x14ac:dyDescent="0.25">
      <c r="A10" s="2" t="s">
        <v>74</v>
      </c>
      <c r="B10" t="s">
        <v>76</v>
      </c>
      <c r="C10">
        <v>2</v>
      </c>
      <c r="D10">
        <v>0</v>
      </c>
    </row>
    <row r="11" spans="1:10" x14ac:dyDescent="0.25">
      <c r="A11" s="2" t="s">
        <v>44</v>
      </c>
      <c r="B11" t="s">
        <v>62</v>
      </c>
      <c r="C11">
        <v>2</v>
      </c>
      <c r="D11">
        <v>0</v>
      </c>
      <c r="E11" s="6">
        <v>1.5</v>
      </c>
    </row>
    <row r="12" spans="1:10" x14ac:dyDescent="0.25">
      <c r="A12" s="2" t="s">
        <v>115</v>
      </c>
      <c r="B12" t="s">
        <v>119</v>
      </c>
      <c r="C12">
        <v>2</v>
      </c>
      <c r="D12">
        <v>0</v>
      </c>
    </row>
    <row r="13" spans="1:10" x14ac:dyDescent="0.25">
      <c r="A13" s="2" t="s">
        <v>86</v>
      </c>
      <c r="B13" t="s">
        <v>89</v>
      </c>
      <c r="C13">
        <v>2</v>
      </c>
      <c r="D13">
        <v>0</v>
      </c>
    </row>
    <row r="14" spans="1:10" x14ac:dyDescent="0.25">
      <c r="A14" s="2" t="s">
        <v>125</v>
      </c>
      <c r="B14" t="s">
        <v>127</v>
      </c>
      <c r="C14">
        <v>2</v>
      </c>
      <c r="D14">
        <v>0</v>
      </c>
    </row>
    <row r="15" spans="1:10" x14ac:dyDescent="0.25">
      <c r="A15" s="2" t="s">
        <v>95</v>
      </c>
      <c r="B15" t="s">
        <v>96</v>
      </c>
      <c r="C15">
        <v>2</v>
      </c>
      <c r="D15">
        <v>0</v>
      </c>
    </row>
    <row r="16" spans="1:10" x14ac:dyDescent="0.25">
      <c r="A16" s="2" t="s">
        <v>72</v>
      </c>
      <c r="B16" t="s">
        <v>75</v>
      </c>
      <c r="C16">
        <v>1</v>
      </c>
      <c r="D16">
        <v>0.2</v>
      </c>
    </row>
    <row r="17" spans="1:5" x14ac:dyDescent="0.25">
      <c r="A17" s="2" t="s">
        <v>77</v>
      </c>
      <c r="B17" t="s">
        <v>81</v>
      </c>
      <c r="C17">
        <v>1</v>
      </c>
      <c r="D17">
        <v>0.2</v>
      </c>
    </row>
    <row r="18" spans="1:5" x14ac:dyDescent="0.25">
      <c r="A18" s="2" t="s">
        <v>129</v>
      </c>
      <c r="B18" t="s">
        <v>130</v>
      </c>
      <c r="C18">
        <v>2</v>
      </c>
      <c r="D18">
        <v>0</v>
      </c>
    </row>
    <row r="19" spans="1:5" x14ac:dyDescent="0.25">
      <c r="A19" s="2" t="s">
        <v>29</v>
      </c>
      <c r="B19" t="s">
        <v>27</v>
      </c>
      <c r="C19">
        <v>1</v>
      </c>
      <c r="D19">
        <v>0.2</v>
      </c>
    </row>
    <row r="20" spans="1:5" x14ac:dyDescent="0.25">
      <c r="A20" s="2" t="s">
        <v>92</v>
      </c>
      <c r="B20" t="s">
        <v>94</v>
      </c>
      <c r="C20">
        <v>1</v>
      </c>
      <c r="D20">
        <v>0.2</v>
      </c>
    </row>
    <row r="21" spans="1:5" x14ac:dyDescent="0.25">
      <c r="A21" s="2" t="s">
        <v>55</v>
      </c>
      <c r="B21" t="s">
        <v>53</v>
      </c>
      <c r="C21" t="s">
        <v>54</v>
      </c>
      <c r="D21">
        <v>0</v>
      </c>
      <c r="E21" s="6">
        <v>1.5</v>
      </c>
    </row>
    <row r="22" spans="1:5" x14ac:dyDescent="0.25">
      <c r="A22" s="2" t="s">
        <v>79</v>
      </c>
      <c r="B22" t="s">
        <v>53</v>
      </c>
      <c r="C22" t="s">
        <v>54</v>
      </c>
      <c r="D22">
        <v>0</v>
      </c>
      <c r="E22" s="6">
        <v>1.5</v>
      </c>
    </row>
    <row r="23" spans="1:5" x14ac:dyDescent="0.25">
      <c r="A23" s="2" t="s">
        <v>48</v>
      </c>
      <c r="B23" t="s">
        <v>63</v>
      </c>
      <c r="C23">
        <v>1</v>
      </c>
      <c r="D23">
        <v>0.2</v>
      </c>
    </row>
    <row r="24" spans="1:5" x14ac:dyDescent="0.25">
      <c r="A24" s="2" t="s">
        <v>145</v>
      </c>
      <c r="B24" t="s">
        <v>146</v>
      </c>
      <c r="C24">
        <v>1</v>
      </c>
      <c r="D24">
        <v>0.2</v>
      </c>
    </row>
    <row r="25" spans="1:5" x14ac:dyDescent="0.25">
      <c r="A25" s="2" t="s">
        <v>56</v>
      </c>
      <c r="B25" t="s">
        <v>40</v>
      </c>
      <c r="C25">
        <v>1</v>
      </c>
      <c r="D25">
        <v>0.2</v>
      </c>
    </row>
    <row r="26" spans="1:5" x14ac:dyDescent="0.25">
      <c r="A26" s="2" t="s">
        <v>73</v>
      </c>
      <c r="B26" t="s">
        <v>40</v>
      </c>
      <c r="C26">
        <v>1</v>
      </c>
      <c r="D26">
        <v>0.2</v>
      </c>
    </row>
    <row r="27" spans="1:5" x14ac:dyDescent="0.25">
      <c r="A27" s="2" t="s">
        <v>161</v>
      </c>
      <c r="B27" t="s">
        <v>165</v>
      </c>
      <c r="C27">
        <v>2</v>
      </c>
      <c r="D27">
        <v>0</v>
      </c>
    </row>
    <row r="28" spans="1:5" x14ac:dyDescent="0.25">
      <c r="A28" s="2" t="s">
        <v>162</v>
      </c>
      <c r="B28" t="s">
        <v>166</v>
      </c>
      <c r="C28">
        <v>2</v>
      </c>
      <c r="D28">
        <v>0</v>
      </c>
    </row>
    <row r="29" spans="1:5" x14ac:dyDescent="0.25">
      <c r="A29" s="2" t="s">
        <v>123</v>
      </c>
      <c r="B29" t="s">
        <v>124</v>
      </c>
      <c r="C29">
        <v>1</v>
      </c>
      <c r="D29">
        <v>0.2</v>
      </c>
    </row>
    <row r="30" spans="1:5" x14ac:dyDescent="0.25">
      <c r="A30" s="2" t="s">
        <v>131</v>
      </c>
      <c r="B30" t="s">
        <v>132</v>
      </c>
      <c r="C30">
        <v>2</v>
      </c>
      <c r="D30">
        <v>0</v>
      </c>
    </row>
    <row r="31" spans="1:5" x14ac:dyDescent="0.25">
      <c r="A31" s="2" t="s">
        <v>139</v>
      </c>
      <c r="B31" t="s">
        <v>141</v>
      </c>
      <c r="C31">
        <v>2</v>
      </c>
      <c r="D31">
        <v>0</v>
      </c>
    </row>
    <row r="32" spans="1:5" x14ac:dyDescent="0.25">
      <c r="A32" s="2" t="s">
        <v>36</v>
      </c>
      <c r="B32" t="s">
        <v>41</v>
      </c>
      <c r="C32">
        <v>1</v>
      </c>
      <c r="D32">
        <v>0.2</v>
      </c>
    </row>
    <row r="33" spans="1:5" x14ac:dyDescent="0.25">
      <c r="A33" s="2" t="s">
        <v>160</v>
      </c>
      <c r="B33" t="s">
        <v>164</v>
      </c>
      <c r="C33">
        <v>2</v>
      </c>
      <c r="D33">
        <v>0</v>
      </c>
    </row>
    <row r="34" spans="1:5" x14ac:dyDescent="0.25">
      <c r="A34" s="2" t="s">
        <v>111</v>
      </c>
      <c r="B34" t="s">
        <v>113</v>
      </c>
      <c r="C34">
        <v>2</v>
      </c>
      <c r="D34">
        <v>0</v>
      </c>
    </row>
    <row r="35" spans="1:5" x14ac:dyDescent="0.25">
      <c r="A35" s="2" t="s">
        <v>33</v>
      </c>
      <c r="B35" t="s">
        <v>23</v>
      </c>
      <c r="C35">
        <v>1</v>
      </c>
      <c r="D35">
        <v>0.2</v>
      </c>
    </row>
    <row r="36" spans="1:5" x14ac:dyDescent="0.25">
      <c r="A36" s="2" t="s">
        <v>84</v>
      </c>
      <c r="B36" t="s">
        <v>85</v>
      </c>
      <c r="C36">
        <v>2</v>
      </c>
      <c r="D36">
        <v>0</v>
      </c>
      <c r="E36" s="6">
        <v>1.5</v>
      </c>
    </row>
    <row r="37" spans="1:5" x14ac:dyDescent="0.25">
      <c r="A37" s="2" t="s">
        <v>156</v>
      </c>
      <c r="B37" t="s">
        <v>157</v>
      </c>
      <c r="C37">
        <v>2</v>
      </c>
      <c r="D37">
        <v>0</v>
      </c>
    </row>
    <row r="38" spans="1:5" x14ac:dyDescent="0.25">
      <c r="A38" s="2" t="s">
        <v>153</v>
      </c>
      <c r="B38" t="s">
        <v>154</v>
      </c>
      <c r="C38">
        <v>2</v>
      </c>
      <c r="D38">
        <v>0</v>
      </c>
    </row>
    <row r="39" spans="1:5" x14ac:dyDescent="0.25">
      <c r="A39" s="2" t="s">
        <v>57</v>
      </c>
      <c r="B39" t="s">
        <v>64</v>
      </c>
      <c r="C39">
        <v>2</v>
      </c>
      <c r="D39">
        <v>0</v>
      </c>
    </row>
    <row r="40" spans="1:5" x14ac:dyDescent="0.25">
      <c r="A40" s="2" t="s">
        <v>117</v>
      </c>
      <c r="B40" t="s">
        <v>121</v>
      </c>
      <c r="C40">
        <v>1</v>
      </c>
      <c r="D40">
        <v>0.2</v>
      </c>
    </row>
    <row r="41" spans="1:5" x14ac:dyDescent="0.25">
      <c r="A41" s="2" t="s">
        <v>147</v>
      </c>
      <c r="B41" t="s">
        <v>148</v>
      </c>
      <c r="C41">
        <v>1</v>
      </c>
      <c r="D41">
        <v>0.2</v>
      </c>
    </row>
    <row r="42" spans="1:5" x14ac:dyDescent="0.25">
      <c r="A42" s="2" t="s">
        <v>99</v>
      </c>
      <c r="B42" t="s">
        <v>109</v>
      </c>
      <c r="C42">
        <v>1</v>
      </c>
      <c r="D42">
        <v>0.2</v>
      </c>
    </row>
    <row r="43" spans="1:5" x14ac:dyDescent="0.25">
      <c r="A43" s="2" t="s">
        <v>32</v>
      </c>
      <c r="B43" t="s">
        <v>22</v>
      </c>
      <c r="C43">
        <v>1</v>
      </c>
      <c r="D43">
        <v>0.2</v>
      </c>
    </row>
    <row r="44" spans="1:5" x14ac:dyDescent="0.25">
      <c r="A44" s="2" t="s">
        <v>98</v>
      </c>
      <c r="B44" t="s">
        <v>108</v>
      </c>
      <c r="C44">
        <v>1</v>
      </c>
      <c r="D44">
        <v>0.2</v>
      </c>
    </row>
    <row r="45" spans="1:5" x14ac:dyDescent="0.25">
      <c r="A45" s="2" t="s">
        <v>150</v>
      </c>
      <c r="B45" t="s">
        <v>151</v>
      </c>
      <c r="C45">
        <v>2</v>
      </c>
      <c r="D45">
        <v>0</v>
      </c>
    </row>
    <row r="46" spans="1:5" x14ac:dyDescent="0.25">
      <c r="A46" s="2" t="s">
        <v>116</v>
      </c>
      <c r="B46" t="s">
        <v>120</v>
      </c>
      <c r="C46">
        <v>2</v>
      </c>
      <c r="D46">
        <v>0</v>
      </c>
    </row>
    <row r="47" spans="1:5" x14ac:dyDescent="0.25">
      <c r="A47" s="2" t="s">
        <v>91</v>
      </c>
      <c r="B47" t="s">
        <v>93</v>
      </c>
      <c r="C47">
        <v>2</v>
      </c>
      <c r="D47">
        <v>0</v>
      </c>
    </row>
    <row r="48" spans="1:5" x14ac:dyDescent="0.25">
      <c r="A48" s="2" t="s">
        <v>112</v>
      </c>
      <c r="B48" t="s">
        <v>114</v>
      </c>
      <c r="C48">
        <v>2</v>
      </c>
      <c r="D48">
        <v>0</v>
      </c>
    </row>
    <row r="49" spans="1:4" x14ac:dyDescent="0.25">
      <c r="A49" s="2" t="s">
        <v>163</v>
      </c>
      <c r="B49" t="s">
        <v>167</v>
      </c>
      <c r="C49">
        <v>2</v>
      </c>
      <c r="D49">
        <v>0</v>
      </c>
    </row>
    <row r="50" spans="1:4" x14ac:dyDescent="0.25">
      <c r="A50" s="2" t="s">
        <v>47</v>
      </c>
      <c r="B50" t="s">
        <v>65</v>
      </c>
      <c r="C50">
        <v>2</v>
      </c>
      <c r="D50">
        <v>0</v>
      </c>
    </row>
    <row r="51" spans="1:4" x14ac:dyDescent="0.25">
      <c r="A51" s="2" t="s">
        <v>31</v>
      </c>
      <c r="B51" t="s">
        <v>25</v>
      </c>
      <c r="C51">
        <v>1</v>
      </c>
      <c r="D51">
        <v>0.2</v>
      </c>
    </row>
    <row r="52" spans="1:4" x14ac:dyDescent="0.25">
      <c r="A52" s="2" t="s">
        <v>158</v>
      </c>
      <c r="B52" t="s">
        <v>159</v>
      </c>
      <c r="C52">
        <v>2</v>
      </c>
      <c r="D52">
        <v>0</v>
      </c>
    </row>
    <row r="53" spans="1:4" x14ac:dyDescent="0.25">
      <c r="A53" s="2" t="s">
        <v>49</v>
      </c>
      <c r="B53" t="s">
        <v>68</v>
      </c>
      <c r="C53">
        <v>1</v>
      </c>
      <c r="D53">
        <v>0.2</v>
      </c>
    </row>
    <row r="54" spans="1:4" x14ac:dyDescent="0.25">
      <c r="A54" s="2" t="s">
        <v>34</v>
      </c>
      <c r="B54" t="s">
        <v>42</v>
      </c>
      <c r="C54">
        <v>1</v>
      </c>
      <c r="D54">
        <v>0.2</v>
      </c>
    </row>
    <row r="55" spans="1:4" x14ac:dyDescent="0.25">
      <c r="A55" s="2" t="s">
        <v>45</v>
      </c>
      <c r="B55" t="s">
        <v>66</v>
      </c>
      <c r="C55">
        <v>1</v>
      </c>
      <c r="D55">
        <v>0.2</v>
      </c>
    </row>
    <row r="56" spans="1:4" x14ac:dyDescent="0.25">
      <c r="A56" s="2" t="s">
        <v>30</v>
      </c>
      <c r="B56" t="s">
        <v>24</v>
      </c>
      <c r="C56" t="s">
        <v>50</v>
      </c>
      <c r="D56">
        <v>0</v>
      </c>
    </row>
    <row r="57" spans="1:4" x14ac:dyDescent="0.25">
      <c r="A57" s="2" t="s">
        <v>149</v>
      </c>
      <c r="B57" t="s">
        <v>152</v>
      </c>
      <c r="C57">
        <v>2</v>
      </c>
      <c r="D57">
        <v>0</v>
      </c>
    </row>
    <row r="58" spans="1:4" x14ac:dyDescent="0.25">
      <c r="A58" s="2" t="s">
        <v>133</v>
      </c>
      <c r="B58" t="s">
        <v>134</v>
      </c>
      <c r="C58">
        <v>1</v>
      </c>
      <c r="D58">
        <v>0.2</v>
      </c>
    </row>
    <row r="59" spans="1:4" x14ac:dyDescent="0.25">
      <c r="A59" s="2" t="s">
        <v>80</v>
      </c>
      <c r="B59" t="s">
        <v>83</v>
      </c>
      <c r="C59">
        <v>2</v>
      </c>
      <c r="D59">
        <v>0</v>
      </c>
    </row>
    <row r="60" spans="1:4" x14ac:dyDescent="0.25">
      <c r="A60" s="2" t="s">
        <v>88</v>
      </c>
      <c r="B60" t="s">
        <v>90</v>
      </c>
      <c r="C60">
        <v>1</v>
      </c>
      <c r="D60">
        <v>0.2</v>
      </c>
    </row>
    <row r="61" spans="1:4" x14ac:dyDescent="0.25">
      <c r="A61" s="2" t="s">
        <v>58</v>
      </c>
      <c r="B61" t="s">
        <v>69</v>
      </c>
      <c r="C61">
        <v>1</v>
      </c>
      <c r="D61">
        <v>0.2</v>
      </c>
    </row>
    <row r="62" spans="1:4" x14ac:dyDescent="0.25">
      <c r="A62" s="2" t="s">
        <v>135</v>
      </c>
      <c r="B62" t="s">
        <v>69</v>
      </c>
      <c r="C62">
        <v>1</v>
      </c>
      <c r="D62">
        <v>0.2</v>
      </c>
    </row>
    <row r="63" spans="1:4" x14ac:dyDescent="0.25">
      <c r="A63" s="2" t="s">
        <v>78</v>
      </c>
      <c r="B63" t="s">
        <v>82</v>
      </c>
      <c r="C63">
        <v>1</v>
      </c>
      <c r="D63">
        <v>0.2</v>
      </c>
    </row>
    <row r="64" spans="1:4" x14ac:dyDescent="0.25">
      <c r="A64" s="2" t="s">
        <v>37</v>
      </c>
      <c r="B64" t="s">
        <v>26</v>
      </c>
      <c r="C64" t="s">
        <v>51</v>
      </c>
      <c r="D64">
        <v>0</v>
      </c>
    </row>
    <row r="65" spans="1:4" x14ac:dyDescent="0.25">
      <c r="A65" s="2" t="s">
        <v>171</v>
      </c>
      <c r="B65" t="s">
        <v>172</v>
      </c>
      <c r="C65">
        <v>2</v>
      </c>
      <c r="D65">
        <v>0</v>
      </c>
    </row>
    <row r="66" spans="1:4" x14ac:dyDescent="0.25">
      <c r="A66" s="2" t="s">
        <v>59</v>
      </c>
      <c r="B66" t="s">
        <v>70</v>
      </c>
      <c r="C66">
        <v>1</v>
      </c>
      <c r="D66">
        <v>0.2</v>
      </c>
    </row>
    <row r="67" spans="1:4" x14ac:dyDescent="0.25">
      <c r="A67" s="2" t="s">
        <v>87</v>
      </c>
      <c r="B67" t="s">
        <v>70</v>
      </c>
      <c r="C67">
        <v>1</v>
      </c>
      <c r="D67">
        <v>0.2</v>
      </c>
    </row>
    <row r="68" spans="1:4" x14ac:dyDescent="0.25">
      <c r="A68" s="2" t="s">
        <v>118</v>
      </c>
      <c r="B68" t="s">
        <v>122</v>
      </c>
      <c r="C68">
        <v>2</v>
      </c>
      <c r="D68">
        <v>0</v>
      </c>
    </row>
    <row r="69" spans="1:4" x14ac:dyDescent="0.25">
      <c r="A69" s="2" t="s">
        <v>138</v>
      </c>
      <c r="B69" t="s">
        <v>140</v>
      </c>
      <c r="C69">
        <v>2</v>
      </c>
      <c r="D69">
        <v>0</v>
      </c>
    </row>
  </sheetData>
  <autoFilter ref="A1:E64" xr:uid="{00000000-0001-0000-0000-000000000000}"/>
  <sortState xmlns:xlrd2="http://schemas.microsoft.com/office/spreadsheetml/2017/richdata2" ref="A2:E69">
    <sortCondition ref="A1:A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36"/>
  <sheetViews>
    <sheetView tabSelected="1" zoomScale="78" zoomScaleNormal="78" workbookViewId="0">
      <pane ySplit="1" topLeftCell="A905" activePane="bottomLeft" state="frozen"/>
      <selection pane="bottomLeft" activeCell="A936" sqref="A936:XFD936"/>
    </sheetView>
  </sheetViews>
  <sheetFormatPr baseColWidth="10" defaultRowHeight="15" x14ac:dyDescent="0.25"/>
  <cols>
    <col min="1" max="1" width="17.5703125" bestFit="1" customWidth="1"/>
    <col min="2" max="2" width="23.42578125" bestFit="1" customWidth="1"/>
    <col min="3" max="3" width="18.85546875" bestFit="1" customWidth="1"/>
    <col min="4" max="4" width="7.85546875" bestFit="1" customWidth="1"/>
    <col min="5" max="5" width="8.28515625" bestFit="1" customWidth="1"/>
    <col min="6" max="6" width="9.140625"/>
    <col min="7" max="7" width="18.140625" bestFit="1" customWidth="1"/>
    <col min="8" max="8" width="9.140625"/>
    <col min="9" max="9" width="7.140625" bestFit="1" customWidth="1"/>
    <col min="10" max="11" width="12.5703125" bestFit="1" customWidth="1"/>
    <col min="12" max="12" width="12.140625" bestFit="1" customWidth="1"/>
    <col min="13" max="13" width="9" bestFit="1" customWidth="1"/>
    <col min="14" max="14" width="13.85546875" bestFit="1" customWidth="1"/>
    <col min="15" max="15" width="7.7109375" bestFit="1" customWidth="1"/>
    <col min="16" max="16" width="16.85546875" bestFit="1" customWidth="1"/>
    <col min="17" max="17" width="13.140625" bestFit="1" customWidth="1"/>
    <col min="18" max="18" width="18.7109375" bestFit="1" customWidth="1"/>
    <col min="19" max="19" width="19.5703125" bestFit="1" customWidth="1"/>
    <col min="20" max="20" width="12.140625" style="7" bestFit="1" customWidth="1"/>
    <col min="21" max="21" width="7.7109375" bestFit="1" customWidth="1"/>
    <col min="22" max="22" width="18" bestFit="1" customWidth="1"/>
    <col min="23" max="23" width="13.28515625" bestFit="1" customWidth="1"/>
    <col min="24" max="24" width="13.85546875" style="8" bestFit="1" customWidth="1"/>
  </cols>
  <sheetData>
    <row r="1" spans="1:24" x14ac:dyDescent="0.25">
      <c r="A1" t="s">
        <v>142</v>
      </c>
      <c r="B1" t="s">
        <v>0</v>
      </c>
      <c r="C1" t="s">
        <v>1</v>
      </c>
      <c r="D1" t="s">
        <v>2</v>
      </c>
      <c r="E1" t="s">
        <v>3</v>
      </c>
      <c r="F1" t="s">
        <v>168</v>
      </c>
      <c r="G1" t="s">
        <v>169</v>
      </c>
      <c r="H1" t="s">
        <v>170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s="7" t="s">
        <v>15</v>
      </c>
      <c r="U1" t="s">
        <v>16</v>
      </c>
      <c r="V1" t="s">
        <v>17</v>
      </c>
      <c r="W1" t="s">
        <v>71</v>
      </c>
      <c r="X1" s="8" t="s">
        <v>5</v>
      </c>
    </row>
    <row r="2" spans="1:24" x14ac:dyDescent="0.25">
      <c r="A2" t="s">
        <v>1150</v>
      </c>
      <c r="B2" t="s">
        <v>182</v>
      </c>
      <c r="C2" s="9">
        <v>46174</v>
      </c>
      <c r="F2" t="s">
        <v>155</v>
      </c>
      <c r="G2" t="s">
        <v>215</v>
      </c>
      <c r="H2" t="s">
        <v>206</v>
      </c>
      <c r="I2" t="s">
        <v>18</v>
      </c>
      <c r="J2" t="str">
        <f>IF(COUNTIF(Pays!A:A,X2)=0,"Pays inconnu",_xlfn.XLOOKUP(X2,Pays!A:A,Pays!B:B))</f>
        <v>GB</v>
      </c>
      <c r="K2" t="str">
        <f>IF(COUNTIF(Pays!A:A,X2)=0,"Pays inconnu",_xlfn.XLOOKUP(X2,Pays!A:A,Pays!C:C))</f>
        <v>1_GB</v>
      </c>
      <c r="L2">
        <v>1</v>
      </c>
      <c r="M2">
        <f>ROUND(MAX(P2:Q2),2)</f>
        <v>0.15</v>
      </c>
      <c r="N2" t="s">
        <v>20</v>
      </c>
      <c r="O2">
        <f>LOOKUP(X2,Pays!A:A,Pays!D:D)</f>
        <v>0</v>
      </c>
      <c r="P2">
        <v>0.15</v>
      </c>
      <c r="Q2">
        <v>0.12</v>
      </c>
      <c r="U2">
        <v>1</v>
      </c>
      <c r="W2">
        <f>IF(COUNTIF(Pays!A:A,X2)=0,"",LOOKUP(X2,Pays!A:A,Pays!E:E))</f>
        <v>0</v>
      </c>
      <c r="X2" s="8" t="s">
        <v>30</v>
      </c>
    </row>
    <row r="3" spans="1:24" x14ac:dyDescent="0.25">
      <c r="A3" t="s">
        <v>1150</v>
      </c>
      <c r="B3" t="s">
        <v>182</v>
      </c>
      <c r="C3" s="1">
        <f>C2</f>
        <v>46174</v>
      </c>
      <c r="F3" t="s">
        <v>155</v>
      </c>
      <c r="G3" t="s">
        <v>216</v>
      </c>
      <c r="H3" t="s">
        <v>1172</v>
      </c>
      <c r="I3" t="s">
        <v>18</v>
      </c>
      <c r="J3" t="str">
        <f>IF(COUNTIF(Pays!A:A,X3)=0,"Pays inconnu",_xlfn.XLOOKUP(X3,Pays!A:A,Pays!B:B))</f>
        <v>GB</v>
      </c>
      <c r="K3" t="str">
        <f>IF(COUNTIF(Pays!A:A,X3)=0,"Pays inconnu",_xlfn.XLOOKUP(X3,Pays!A:A,Pays!C:C))</f>
        <v>1_GB</v>
      </c>
      <c r="L3">
        <v>1</v>
      </c>
      <c r="M3">
        <f t="shared" ref="M3:M66" si="0">ROUND(MAX(P3:Q3),2)</f>
        <v>0.21</v>
      </c>
      <c r="N3" t="s">
        <v>20</v>
      </c>
      <c r="O3">
        <f>LOOKUP(X3,Pays!A:A,Pays!D:D)</f>
        <v>0</v>
      </c>
      <c r="P3">
        <v>0.15</v>
      </c>
      <c r="Q3">
        <v>0.21</v>
      </c>
      <c r="U3">
        <v>1</v>
      </c>
      <c r="W3">
        <f>IF(COUNTIF(Pays!A:A,X3)=0,"",LOOKUP(X3,Pays!A:A,Pays!E:E))</f>
        <v>0</v>
      </c>
      <c r="X3" s="8" t="s">
        <v>30</v>
      </c>
    </row>
    <row r="4" spans="1:24" x14ac:dyDescent="0.25">
      <c r="A4" t="s">
        <v>1150</v>
      </c>
      <c r="B4" t="s">
        <v>182</v>
      </c>
      <c r="C4" s="1">
        <f t="shared" ref="C4:C67" si="1">C3</f>
        <v>46174</v>
      </c>
      <c r="F4" t="s">
        <v>155</v>
      </c>
      <c r="G4" t="s">
        <v>217</v>
      </c>
      <c r="H4" t="s">
        <v>1173</v>
      </c>
      <c r="I4" t="s">
        <v>18</v>
      </c>
      <c r="J4" t="str">
        <f>IF(COUNTIF(Pays!A:A,X4)=0,"Pays inconnu",_xlfn.XLOOKUP(X4,Pays!A:A,Pays!B:B))</f>
        <v>CH</v>
      </c>
      <c r="K4" t="str">
        <f>IF(COUNTIF(Pays!A:A,X4)=0,"Pays inconnu",_xlfn.XLOOKUP(X4,Pays!A:A,Pays!C:C))</f>
        <v>1_CH</v>
      </c>
      <c r="L4">
        <v>1</v>
      </c>
      <c r="M4">
        <f t="shared" si="0"/>
        <v>0.57999999999999996</v>
      </c>
      <c r="N4" t="s">
        <v>20</v>
      </c>
      <c r="O4">
        <f>LOOKUP(X4,Pays!A:A,Pays!D:D)</f>
        <v>0</v>
      </c>
      <c r="P4">
        <v>0.15</v>
      </c>
      <c r="Q4">
        <v>0.57999999999999996</v>
      </c>
      <c r="U4">
        <v>1</v>
      </c>
      <c r="W4">
        <f>IF(COUNTIF(Pays!A:A,X4)=0,"",LOOKUP(X4,Pays!A:A,Pays!E:E))</f>
        <v>0</v>
      </c>
      <c r="X4" s="8" t="s">
        <v>37</v>
      </c>
    </row>
    <row r="5" spans="1:24" x14ac:dyDescent="0.25">
      <c r="A5" t="s">
        <v>1150</v>
      </c>
      <c r="B5" t="s">
        <v>182</v>
      </c>
      <c r="C5" s="1">
        <f t="shared" si="1"/>
        <v>46174</v>
      </c>
      <c r="F5" t="s">
        <v>155</v>
      </c>
      <c r="G5" t="s">
        <v>218</v>
      </c>
      <c r="H5" t="s">
        <v>1174</v>
      </c>
      <c r="I5" t="s">
        <v>18</v>
      </c>
      <c r="J5" t="str">
        <f>IF(COUNTIF(Pays!A:A,X5)=0,"Pays inconnu",_xlfn.XLOOKUP(X5,Pays!A:A,Pays!B:B))</f>
        <v>GB</v>
      </c>
      <c r="K5" t="str">
        <f>IF(COUNTIF(Pays!A:A,X5)=0,"Pays inconnu",_xlfn.XLOOKUP(X5,Pays!A:A,Pays!C:C))</f>
        <v>1_GB</v>
      </c>
      <c r="L5">
        <v>1</v>
      </c>
      <c r="M5">
        <f t="shared" si="0"/>
        <v>0.15</v>
      </c>
      <c r="N5" t="s">
        <v>20</v>
      </c>
      <c r="O5">
        <f>LOOKUP(X5,Pays!A:A,Pays!D:D)</f>
        <v>0</v>
      </c>
      <c r="P5">
        <v>0.15</v>
      </c>
      <c r="Q5">
        <v>0.04</v>
      </c>
      <c r="U5">
        <v>1</v>
      </c>
      <c r="W5">
        <f>IF(COUNTIF(Pays!A:A,X5)=0,"",LOOKUP(X5,Pays!A:A,Pays!E:E))</f>
        <v>0</v>
      </c>
      <c r="X5" s="8" t="s">
        <v>30</v>
      </c>
    </row>
    <row r="6" spans="1:24" x14ac:dyDescent="0.25">
      <c r="A6" t="s">
        <v>1150</v>
      </c>
      <c r="B6" t="s">
        <v>182</v>
      </c>
      <c r="C6" s="1">
        <f t="shared" si="1"/>
        <v>46174</v>
      </c>
      <c r="F6" t="s">
        <v>181</v>
      </c>
      <c r="G6" t="s">
        <v>219</v>
      </c>
      <c r="H6" t="s">
        <v>1175</v>
      </c>
      <c r="I6" t="s">
        <v>18</v>
      </c>
      <c r="J6" t="str">
        <f>IF(COUNTIF(Pays!A:A,X6)=0,"Pays inconnu",_xlfn.XLOOKUP(X6,Pays!A:A,Pays!B:B))</f>
        <v>CH</v>
      </c>
      <c r="K6" t="str">
        <f>IF(COUNTIF(Pays!A:A,X6)=0,"Pays inconnu",_xlfn.XLOOKUP(X6,Pays!A:A,Pays!C:C))</f>
        <v>1_CH</v>
      </c>
      <c r="L6">
        <v>1</v>
      </c>
      <c r="M6">
        <f t="shared" si="0"/>
        <v>0.15</v>
      </c>
      <c r="N6" t="s">
        <v>20</v>
      </c>
      <c r="O6">
        <f>LOOKUP(X6,Pays!A:A,Pays!D:D)</f>
        <v>0</v>
      </c>
      <c r="P6">
        <v>0.15</v>
      </c>
      <c r="Q6" t="s">
        <v>2007</v>
      </c>
      <c r="U6">
        <v>1</v>
      </c>
      <c r="W6">
        <f>IF(COUNTIF(Pays!A:A,X6)=0,"",LOOKUP(X6,Pays!A:A,Pays!E:E))</f>
        <v>0</v>
      </c>
      <c r="X6" s="8" t="s">
        <v>37</v>
      </c>
    </row>
    <row r="7" spans="1:24" x14ac:dyDescent="0.25">
      <c r="A7" t="s">
        <v>1150</v>
      </c>
      <c r="B7" t="s">
        <v>182</v>
      </c>
      <c r="C7" s="1">
        <f t="shared" si="1"/>
        <v>46174</v>
      </c>
      <c r="F7" t="s">
        <v>181</v>
      </c>
      <c r="G7" t="s">
        <v>220</v>
      </c>
      <c r="H7" t="s">
        <v>202</v>
      </c>
      <c r="I7" t="s">
        <v>18</v>
      </c>
      <c r="J7" t="str">
        <f>IF(COUNTIF(Pays!A:A,X7)=0,"Pays inconnu",_xlfn.XLOOKUP(X7,Pays!A:A,Pays!B:B))</f>
        <v>GB</v>
      </c>
      <c r="K7" t="str">
        <f>IF(COUNTIF(Pays!A:A,X7)=0,"Pays inconnu",_xlfn.XLOOKUP(X7,Pays!A:A,Pays!C:C))</f>
        <v>1_GB</v>
      </c>
      <c r="L7">
        <v>1</v>
      </c>
      <c r="M7">
        <f t="shared" si="0"/>
        <v>0.15</v>
      </c>
      <c r="N7" t="s">
        <v>20</v>
      </c>
      <c r="O7">
        <f>LOOKUP(X7,Pays!A:A,Pays!D:D)</f>
        <v>0</v>
      </c>
      <c r="P7">
        <v>0.15</v>
      </c>
      <c r="Q7" t="s">
        <v>2007</v>
      </c>
      <c r="U7">
        <v>1</v>
      </c>
      <c r="W7">
        <f>IF(COUNTIF(Pays!A:A,X7)=0,"",LOOKUP(X7,Pays!A:A,Pays!E:E))</f>
        <v>0</v>
      </c>
      <c r="X7" s="8" t="s">
        <v>30</v>
      </c>
    </row>
    <row r="8" spans="1:24" x14ac:dyDescent="0.25">
      <c r="A8" t="s">
        <v>1150</v>
      </c>
      <c r="B8" t="s">
        <v>182</v>
      </c>
      <c r="C8" s="1">
        <f t="shared" si="1"/>
        <v>46174</v>
      </c>
      <c r="F8" t="s">
        <v>155</v>
      </c>
      <c r="G8" t="s">
        <v>221</v>
      </c>
      <c r="H8" t="s">
        <v>1176</v>
      </c>
      <c r="I8" t="s">
        <v>18</v>
      </c>
      <c r="J8" t="str">
        <f>IF(COUNTIF(Pays!A:A,X8)=0,"Pays inconnu",_xlfn.XLOOKUP(X8,Pays!A:A,Pays!B:B))</f>
        <v>CH</v>
      </c>
      <c r="K8" t="str">
        <f>IF(COUNTIF(Pays!A:A,X8)=0,"Pays inconnu",_xlfn.XLOOKUP(X8,Pays!A:A,Pays!C:C))</f>
        <v>1_CH</v>
      </c>
      <c r="L8">
        <v>1</v>
      </c>
      <c r="M8">
        <f t="shared" si="0"/>
        <v>1</v>
      </c>
      <c r="N8" t="s">
        <v>20</v>
      </c>
      <c r="O8">
        <f>LOOKUP(X8,Pays!A:A,Pays!D:D)</f>
        <v>0</v>
      </c>
      <c r="P8">
        <v>0.15</v>
      </c>
      <c r="Q8">
        <v>1</v>
      </c>
      <c r="U8">
        <v>1</v>
      </c>
      <c r="W8">
        <f>IF(COUNTIF(Pays!A:A,X8)=0,"",LOOKUP(X8,Pays!A:A,Pays!E:E))</f>
        <v>0</v>
      </c>
      <c r="X8" s="8" t="s">
        <v>37</v>
      </c>
    </row>
    <row r="9" spans="1:24" x14ac:dyDescent="0.25">
      <c r="A9" t="s">
        <v>1150</v>
      </c>
      <c r="B9" t="s">
        <v>182</v>
      </c>
      <c r="C9" s="1">
        <f t="shared" si="1"/>
        <v>46174</v>
      </c>
      <c r="F9" t="s">
        <v>155</v>
      </c>
      <c r="G9" t="s">
        <v>222</v>
      </c>
      <c r="H9" t="s">
        <v>1177</v>
      </c>
      <c r="I9" t="s">
        <v>18</v>
      </c>
      <c r="J9" t="str">
        <f>IF(COUNTIF(Pays!A:A,X9)=0,"Pays inconnu",_xlfn.XLOOKUP(X9,Pays!A:A,Pays!B:B))</f>
        <v>CH</v>
      </c>
      <c r="K9" t="str">
        <f>IF(COUNTIF(Pays!A:A,X9)=0,"Pays inconnu",_xlfn.XLOOKUP(X9,Pays!A:A,Pays!C:C))</f>
        <v>1_CH</v>
      </c>
      <c r="L9">
        <v>1</v>
      </c>
      <c r="M9">
        <f t="shared" si="0"/>
        <v>1</v>
      </c>
      <c r="N9" t="s">
        <v>20</v>
      </c>
      <c r="O9">
        <f>LOOKUP(X9,Pays!A:A,Pays!D:D)</f>
        <v>0</v>
      </c>
      <c r="P9">
        <v>0.15</v>
      </c>
      <c r="Q9">
        <v>1</v>
      </c>
      <c r="U9">
        <v>1</v>
      </c>
      <c r="W9">
        <f>IF(COUNTIF(Pays!A:A,X9)=0,"",LOOKUP(X9,Pays!A:A,Pays!E:E))</f>
        <v>0</v>
      </c>
      <c r="X9" s="8" t="s">
        <v>37</v>
      </c>
    </row>
    <row r="10" spans="1:24" x14ac:dyDescent="0.25">
      <c r="A10" t="s">
        <v>1150</v>
      </c>
      <c r="B10" t="s">
        <v>182</v>
      </c>
      <c r="C10" s="1">
        <f t="shared" si="1"/>
        <v>46174</v>
      </c>
      <c r="F10" t="s">
        <v>110</v>
      </c>
      <c r="G10" t="s">
        <v>223</v>
      </c>
      <c r="H10" t="s">
        <v>202</v>
      </c>
      <c r="I10" t="s">
        <v>18</v>
      </c>
      <c r="J10" t="str">
        <f>IF(COUNTIF(Pays!A:A,X10)=0,"Pays inconnu",_xlfn.XLOOKUP(X10,Pays!A:A,Pays!B:B))</f>
        <v>GB</v>
      </c>
      <c r="K10" t="str">
        <f>IF(COUNTIF(Pays!A:A,X10)=0,"Pays inconnu",_xlfn.XLOOKUP(X10,Pays!A:A,Pays!C:C))</f>
        <v>1_GB</v>
      </c>
      <c r="L10">
        <v>1</v>
      </c>
      <c r="M10">
        <f t="shared" si="0"/>
        <v>1</v>
      </c>
      <c r="N10" t="s">
        <v>20</v>
      </c>
      <c r="O10">
        <f>LOOKUP(X10,Pays!A:A,Pays!D:D)</f>
        <v>0</v>
      </c>
      <c r="P10">
        <v>0.15</v>
      </c>
      <c r="Q10">
        <v>1</v>
      </c>
      <c r="U10">
        <v>1</v>
      </c>
      <c r="W10">
        <f>IF(COUNTIF(Pays!A:A,X10)=0,"",LOOKUP(X10,Pays!A:A,Pays!E:E))</f>
        <v>0</v>
      </c>
      <c r="X10" s="8" t="s">
        <v>30</v>
      </c>
    </row>
    <row r="11" spans="1:24" x14ac:dyDescent="0.25">
      <c r="A11" t="s">
        <v>1150</v>
      </c>
      <c r="B11" t="s">
        <v>182</v>
      </c>
      <c r="C11" s="1">
        <f t="shared" si="1"/>
        <v>46174</v>
      </c>
      <c r="F11" t="s">
        <v>155</v>
      </c>
      <c r="G11" t="s">
        <v>224</v>
      </c>
      <c r="H11" t="s">
        <v>1178</v>
      </c>
      <c r="I11" t="s">
        <v>18</v>
      </c>
      <c r="J11" t="str">
        <f>IF(COUNTIF(Pays!A:A,X11)=0,"Pays inconnu",_xlfn.XLOOKUP(X11,Pays!A:A,Pays!B:B))</f>
        <v>CH</v>
      </c>
      <c r="K11" t="str">
        <f>IF(COUNTIF(Pays!A:A,X11)=0,"Pays inconnu",_xlfn.XLOOKUP(X11,Pays!A:A,Pays!C:C))</f>
        <v>1_CH</v>
      </c>
      <c r="L11">
        <v>1</v>
      </c>
      <c r="M11">
        <f t="shared" si="0"/>
        <v>1</v>
      </c>
      <c r="N11" t="s">
        <v>20</v>
      </c>
      <c r="O11">
        <f>LOOKUP(X11,Pays!A:A,Pays!D:D)</f>
        <v>0</v>
      </c>
      <c r="P11">
        <v>0.15</v>
      </c>
      <c r="Q11">
        <v>1</v>
      </c>
      <c r="U11">
        <v>1</v>
      </c>
      <c r="W11">
        <f>IF(COUNTIF(Pays!A:A,X11)=0,"",LOOKUP(X11,Pays!A:A,Pays!E:E))</f>
        <v>0</v>
      </c>
      <c r="X11" s="8" t="s">
        <v>37</v>
      </c>
    </row>
    <row r="12" spans="1:24" x14ac:dyDescent="0.25">
      <c r="A12" t="s">
        <v>1150</v>
      </c>
      <c r="B12" t="s">
        <v>182</v>
      </c>
      <c r="C12" s="1">
        <f t="shared" si="1"/>
        <v>46174</v>
      </c>
      <c r="F12" t="s">
        <v>155</v>
      </c>
      <c r="G12" t="s">
        <v>225</v>
      </c>
      <c r="H12" t="s">
        <v>1175</v>
      </c>
      <c r="I12" t="s">
        <v>18</v>
      </c>
      <c r="J12" t="str">
        <f>IF(COUNTIF(Pays!A:A,X12)=0,"Pays inconnu",_xlfn.XLOOKUP(X12,Pays!A:A,Pays!B:B))</f>
        <v>CH</v>
      </c>
      <c r="K12" t="str">
        <f>IF(COUNTIF(Pays!A:A,X12)=0,"Pays inconnu",_xlfn.XLOOKUP(X12,Pays!A:A,Pays!C:C))</f>
        <v>1_CH</v>
      </c>
      <c r="L12">
        <v>1</v>
      </c>
      <c r="M12">
        <f t="shared" si="0"/>
        <v>1</v>
      </c>
      <c r="N12" t="s">
        <v>20</v>
      </c>
      <c r="O12">
        <f>LOOKUP(X12,Pays!A:A,Pays!D:D)</f>
        <v>0</v>
      </c>
      <c r="P12">
        <v>0.15</v>
      </c>
      <c r="Q12">
        <v>1</v>
      </c>
      <c r="U12">
        <v>1</v>
      </c>
      <c r="W12">
        <f>IF(COUNTIF(Pays!A:A,X12)=0,"",LOOKUP(X12,Pays!A:A,Pays!E:E))</f>
        <v>0</v>
      </c>
      <c r="X12" s="8" t="s">
        <v>37</v>
      </c>
    </row>
    <row r="13" spans="1:24" x14ac:dyDescent="0.25">
      <c r="A13" t="s">
        <v>1150</v>
      </c>
      <c r="B13" t="s">
        <v>182</v>
      </c>
      <c r="C13" s="1">
        <f t="shared" si="1"/>
        <v>46174</v>
      </c>
      <c r="F13" t="s">
        <v>155</v>
      </c>
      <c r="G13" t="s">
        <v>226</v>
      </c>
      <c r="H13" t="s">
        <v>1179</v>
      </c>
      <c r="I13" t="s">
        <v>18</v>
      </c>
      <c r="J13" t="str">
        <f>IF(COUNTIF(Pays!A:A,X13)=0,"Pays inconnu",_xlfn.XLOOKUP(X13,Pays!A:A,Pays!B:B))</f>
        <v>GB</v>
      </c>
      <c r="K13" t="str">
        <f>IF(COUNTIF(Pays!A:A,X13)=0,"Pays inconnu",_xlfn.XLOOKUP(X13,Pays!A:A,Pays!C:C))</f>
        <v>1_GB</v>
      </c>
      <c r="L13">
        <v>1</v>
      </c>
      <c r="M13">
        <f t="shared" si="0"/>
        <v>0.15</v>
      </c>
      <c r="N13" t="s">
        <v>20</v>
      </c>
      <c r="O13">
        <f>LOOKUP(X13,Pays!A:A,Pays!D:D)</f>
        <v>0</v>
      </c>
      <c r="P13">
        <v>0.15</v>
      </c>
      <c r="Q13" t="s">
        <v>2007</v>
      </c>
      <c r="U13">
        <v>1</v>
      </c>
      <c r="W13">
        <f>IF(COUNTIF(Pays!A:A,X13)=0,"",LOOKUP(X13,Pays!A:A,Pays!E:E))</f>
        <v>0</v>
      </c>
      <c r="X13" s="8" t="s">
        <v>30</v>
      </c>
    </row>
    <row r="14" spans="1:24" x14ac:dyDescent="0.25">
      <c r="A14" t="s">
        <v>1150</v>
      </c>
      <c r="B14" t="s">
        <v>182</v>
      </c>
      <c r="C14" s="1">
        <f t="shared" si="1"/>
        <v>46174</v>
      </c>
      <c r="F14" t="s">
        <v>155</v>
      </c>
      <c r="G14" t="s">
        <v>227</v>
      </c>
      <c r="H14" t="s">
        <v>1180</v>
      </c>
      <c r="I14" t="s">
        <v>18</v>
      </c>
      <c r="J14" t="str">
        <f>IF(COUNTIF(Pays!A:A,X14)=0,"Pays inconnu",_xlfn.XLOOKUP(X14,Pays!A:A,Pays!B:B))</f>
        <v>CH</v>
      </c>
      <c r="K14" t="str">
        <f>IF(COUNTIF(Pays!A:A,X14)=0,"Pays inconnu",_xlfn.XLOOKUP(X14,Pays!A:A,Pays!C:C))</f>
        <v>1_CH</v>
      </c>
      <c r="L14">
        <v>1</v>
      </c>
      <c r="M14">
        <f t="shared" si="0"/>
        <v>0.15</v>
      </c>
      <c r="N14" t="s">
        <v>20</v>
      </c>
      <c r="O14">
        <f>LOOKUP(X14,Pays!A:A,Pays!D:D)</f>
        <v>0</v>
      </c>
      <c r="P14">
        <v>0.15</v>
      </c>
      <c r="Q14" t="s">
        <v>2007</v>
      </c>
      <c r="U14">
        <v>1</v>
      </c>
      <c r="W14">
        <f>IF(COUNTIF(Pays!A:A,X14)=0,"",LOOKUP(X14,Pays!A:A,Pays!E:E))</f>
        <v>0</v>
      </c>
      <c r="X14" s="8" t="s">
        <v>37</v>
      </c>
    </row>
    <row r="15" spans="1:24" x14ac:dyDescent="0.25">
      <c r="A15" t="s">
        <v>1150</v>
      </c>
      <c r="B15" t="s">
        <v>182</v>
      </c>
      <c r="C15" s="1">
        <f t="shared" si="1"/>
        <v>46174</v>
      </c>
      <c r="F15" t="s">
        <v>155</v>
      </c>
      <c r="G15" t="s">
        <v>228</v>
      </c>
      <c r="H15" t="s">
        <v>1181</v>
      </c>
      <c r="I15" t="s">
        <v>18</v>
      </c>
      <c r="J15" t="str">
        <f>IF(COUNTIF(Pays!A:A,X15)=0,"Pays inconnu",_xlfn.XLOOKUP(X15,Pays!A:A,Pays!B:B))</f>
        <v>CH</v>
      </c>
      <c r="K15" t="str">
        <f>IF(COUNTIF(Pays!A:A,X15)=0,"Pays inconnu",_xlfn.XLOOKUP(X15,Pays!A:A,Pays!C:C))</f>
        <v>1_CH</v>
      </c>
      <c r="L15">
        <v>1</v>
      </c>
      <c r="M15">
        <f t="shared" si="0"/>
        <v>0.15</v>
      </c>
      <c r="N15" t="s">
        <v>20</v>
      </c>
      <c r="O15">
        <f>LOOKUP(X15,Pays!A:A,Pays!D:D)</f>
        <v>0</v>
      </c>
      <c r="P15">
        <v>0.15</v>
      </c>
      <c r="Q15" t="s">
        <v>2007</v>
      </c>
      <c r="U15">
        <v>1</v>
      </c>
      <c r="W15">
        <f>IF(COUNTIF(Pays!A:A,X15)=0,"",LOOKUP(X15,Pays!A:A,Pays!E:E))</f>
        <v>0</v>
      </c>
      <c r="X15" s="8" t="s">
        <v>37</v>
      </c>
    </row>
    <row r="16" spans="1:24" x14ac:dyDescent="0.25">
      <c r="A16" t="s">
        <v>1150</v>
      </c>
      <c r="B16" t="s">
        <v>182</v>
      </c>
      <c r="C16" s="1">
        <f t="shared" si="1"/>
        <v>46174</v>
      </c>
      <c r="F16" t="s">
        <v>155</v>
      </c>
      <c r="G16" t="s">
        <v>229</v>
      </c>
      <c r="H16" t="s">
        <v>1182</v>
      </c>
      <c r="I16" t="s">
        <v>18</v>
      </c>
      <c r="J16" t="str">
        <f>IF(COUNTIF(Pays!A:A,X16)=0,"Pays inconnu",_xlfn.XLOOKUP(X16,Pays!A:A,Pays!B:B))</f>
        <v>GB</v>
      </c>
      <c r="K16" t="str">
        <f>IF(COUNTIF(Pays!A:A,X16)=0,"Pays inconnu",_xlfn.XLOOKUP(X16,Pays!A:A,Pays!C:C))</f>
        <v>1_GB</v>
      </c>
      <c r="L16">
        <v>1</v>
      </c>
      <c r="M16">
        <f t="shared" si="0"/>
        <v>0.15</v>
      </c>
      <c r="N16" t="s">
        <v>20</v>
      </c>
      <c r="O16">
        <f>LOOKUP(X16,Pays!A:A,Pays!D:D)</f>
        <v>0</v>
      </c>
      <c r="P16">
        <v>0.15</v>
      </c>
      <c r="Q16" t="s">
        <v>2007</v>
      </c>
      <c r="U16">
        <v>1</v>
      </c>
      <c r="W16">
        <f>IF(COUNTIF(Pays!A:A,X16)=0,"",LOOKUP(X16,Pays!A:A,Pays!E:E))</f>
        <v>0</v>
      </c>
      <c r="X16" s="8" t="s">
        <v>30</v>
      </c>
    </row>
    <row r="17" spans="1:24" x14ac:dyDescent="0.25">
      <c r="A17" t="s">
        <v>1150</v>
      </c>
      <c r="B17" t="s">
        <v>182</v>
      </c>
      <c r="C17" s="1">
        <f t="shared" si="1"/>
        <v>46174</v>
      </c>
      <c r="F17" t="s">
        <v>155</v>
      </c>
      <c r="G17" t="s">
        <v>230</v>
      </c>
      <c r="H17" t="s">
        <v>1183</v>
      </c>
      <c r="I17" t="s">
        <v>18</v>
      </c>
      <c r="J17" t="str">
        <f>IF(COUNTIF(Pays!A:A,X17)=0,"Pays inconnu",_xlfn.XLOOKUP(X17,Pays!A:A,Pays!B:B))</f>
        <v>GB</v>
      </c>
      <c r="K17" t="str">
        <f>IF(COUNTIF(Pays!A:A,X17)=0,"Pays inconnu",_xlfn.XLOOKUP(X17,Pays!A:A,Pays!C:C))</f>
        <v>1_GB</v>
      </c>
      <c r="L17">
        <v>1</v>
      </c>
      <c r="M17">
        <f t="shared" si="0"/>
        <v>0.15</v>
      </c>
      <c r="N17" t="s">
        <v>20</v>
      </c>
      <c r="O17">
        <f>LOOKUP(X17,Pays!A:A,Pays!D:D)</f>
        <v>0</v>
      </c>
      <c r="P17">
        <v>0.15</v>
      </c>
      <c r="Q17" t="s">
        <v>2007</v>
      </c>
      <c r="U17">
        <v>1</v>
      </c>
      <c r="W17">
        <f>IF(COUNTIF(Pays!A:A,X17)=0,"",LOOKUP(X17,Pays!A:A,Pays!E:E))</f>
        <v>0</v>
      </c>
      <c r="X17" s="8" t="s">
        <v>30</v>
      </c>
    </row>
    <row r="18" spans="1:24" x14ac:dyDescent="0.25">
      <c r="A18" t="s">
        <v>1150</v>
      </c>
      <c r="B18" t="s">
        <v>182</v>
      </c>
      <c r="C18" s="1">
        <f t="shared" si="1"/>
        <v>46174</v>
      </c>
      <c r="F18" t="s">
        <v>155</v>
      </c>
      <c r="G18" t="s">
        <v>231</v>
      </c>
      <c r="H18" t="s">
        <v>1184</v>
      </c>
      <c r="I18" t="s">
        <v>18</v>
      </c>
      <c r="J18" t="str">
        <f>IF(COUNTIF(Pays!A:A,X18)=0,"Pays inconnu",_xlfn.XLOOKUP(X18,Pays!A:A,Pays!B:B))</f>
        <v>CH</v>
      </c>
      <c r="K18" t="str">
        <f>IF(COUNTIF(Pays!A:A,X18)=0,"Pays inconnu",_xlfn.XLOOKUP(X18,Pays!A:A,Pays!C:C))</f>
        <v>1_CH</v>
      </c>
      <c r="L18">
        <v>1</v>
      </c>
      <c r="M18">
        <f t="shared" si="0"/>
        <v>0.15</v>
      </c>
      <c r="N18" t="s">
        <v>20</v>
      </c>
      <c r="O18">
        <f>LOOKUP(X18,Pays!A:A,Pays!D:D)</f>
        <v>0</v>
      </c>
      <c r="P18">
        <v>0.15</v>
      </c>
      <c r="Q18" t="s">
        <v>2007</v>
      </c>
      <c r="U18">
        <v>1</v>
      </c>
      <c r="W18">
        <f>IF(COUNTIF(Pays!A:A,X18)=0,"",LOOKUP(X18,Pays!A:A,Pays!E:E))</f>
        <v>0</v>
      </c>
      <c r="X18" s="8" t="s">
        <v>37</v>
      </c>
    </row>
    <row r="19" spans="1:24" x14ac:dyDescent="0.25">
      <c r="A19" t="s">
        <v>1150</v>
      </c>
      <c r="B19" t="s">
        <v>182</v>
      </c>
      <c r="C19" s="1">
        <f t="shared" si="1"/>
        <v>46174</v>
      </c>
      <c r="F19" t="s">
        <v>155</v>
      </c>
      <c r="G19" t="s">
        <v>232</v>
      </c>
      <c r="H19" t="s">
        <v>1185</v>
      </c>
      <c r="I19" t="s">
        <v>18</v>
      </c>
      <c r="J19" t="str">
        <f>IF(COUNTIF(Pays!A:A,X19)=0,"Pays inconnu",_xlfn.XLOOKUP(X19,Pays!A:A,Pays!B:B))</f>
        <v>CH</v>
      </c>
      <c r="K19" t="str">
        <f>IF(COUNTIF(Pays!A:A,X19)=0,"Pays inconnu",_xlfn.XLOOKUP(X19,Pays!A:A,Pays!C:C))</f>
        <v>1_CH</v>
      </c>
      <c r="L19">
        <v>1</v>
      </c>
      <c r="M19">
        <f t="shared" si="0"/>
        <v>0.15</v>
      </c>
      <c r="N19" t="s">
        <v>20</v>
      </c>
      <c r="O19">
        <f>LOOKUP(X19,Pays!A:A,Pays!D:D)</f>
        <v>0</v>
      </c>
      <c r="P19">
        <v>0.15</v>
      </c>
      <c r="Q19" t="s">
        <v>2007</v>
      </c>
      <c r="U19">
        <v>1</v>
      </c>
      <c r="W19">
        <f>IF(COUNTIF(Pays!A:A,X19)=0,"",LOOKUP(X19,Pays!A:A,Pays!E:E))</f>
        <v>0</v>
      </c>
      <c r="X19" s="8" t="s">
        <v>37</v>
      </c>
    </row>
    <row r="20" spans="1:24" x14ac:dyDescent="0.25">
      <c r="A20" t="s">
        <v>1150</v>
      </c>
      <c r="B20" t="s">
        <v>182</v>
      </c>
      <c r="C20" s="1">
        <f t="shared" si="1"/>
        <v>46174</v>
      </c>
      <c r="F20" t="s">
        <v>155</v>
      </c>
      <c r="G20" t="s">
        <v>233</v>
      </c>
      <c r="H20" t="s">
        <v>1186</v>
      </c>
      <c r="I20" t="s">
        <v>18</v>
      </c>
      <c r="J20" t="str">
        <f>IF(COUNTIF(Pays!A:A,X20)=0,"Pays inconnu",_xlfn.XLOOKUP(X20,Pays!A:A,Pays!B:B))</f>
        <v>CH</v>
      </c>
      <c r="K20" t="str">
        <f>IF(COUNTIF(Pays!A:A,X20)=0,"Pays inconnu",_xlfn.XLOOKUP(X20,Pays!A:A,Pays!C:C))</f>
        <v>1_CH</v>
      </c>
      <c r="L20">
        <v>1</v>
      </c>
      <c r="M20">
        <f t="shared" si="0"/>
        <v>0.15</v>
      </c>
      <c r="N20" t="s">
        <v>20</v>
      </c>
      <c r="O20">
        <f>LOOKUP(X20,Pays!A:A,Pays!D:D)</f>
        <v>0</v>
      </c>
      <c r="P20">
        <v>0.15</v>
      </c>
      <c r="Q20" t="s">
        <v>2007</v>
      </c>
      <c r="U20">
        <v>1</v>
      </c>
      <c r="W20">
        <f>IF(COUNTIF(Pays!A:A,X20)=0,"",LOOKUP(X20,Pays!A:A,Pays!E:E))</f>
        <v>0</v>
      </c>
      <c r="X20" s="8" t="s">
        <v>37</v>
      </c>
    </row>
    <row r="21" spans="1:24" x14ac:dyDescent="0.25">
      <c r="A21" t="s">
        <v>1150</v>
      </c>
      <c r="B21" t="s">
        <v>182</v>
      </c>
      <c r="C21" s="1">
        <f t="shared" si="1"/>
        <v>46174</v>
      </c>
      <c r="F21" t="s">
        <v>155</v>
      </c>
      <c r="G21" t="s">
        <v>234</v>
      </c>
      <c r="H21" t="s">
        <v>1187</v>
      </c>
      <c r="I21" t="s">
        <v>18</v>
      </c>
      <c r="J21" t="str">
        <f>IF(COUNTIF(Pays!A:A,X21)=0,"Pays inconnu",_xlfn.XLOOKUP(X21,Pays!A:A,Pays!B:B))</f>
        <v>CH</v>
      </c>
      <c r="K21" t="str">
        <f>IF(COUNTIF(Pays!A:A,X21)=0,"Pays inconnu",_xlfn.XLOOKUP(X21,Pays!A:A,Pays!C:C))</f>
        <v>1_CH</v>
      </c>
      <c r="L21">
        <v>1</v>
      </c>
      <c r="M21">
        <f t="shared" si="0"/>
        <v>0.15</v>
      </c>
      <c r="N21" t="s">
        <v>20</v>
      </c>
      <c r="O21">
        <f>LOOKUP(X21,Pays!A:A,Pays!D:D)</f>
        <v>0</v>
      </c>
      <c r="P21">
        <v>0.15</v>
      </c>
      <c r="Q21" t="s">
        <v>2007</v>
      </c>
      <c r="U21">
        <v>1</v>
      </c>
      <c r="W21">
        <f>IF(COUNTIF(Pays!A:A,X21)=0,"",LOOKUP(X21,Pays!A:A,Pays!E:E))</f>
        <v>0</v>
      </c>
      <c r="X21" s="8" t="s">
        <v>37</v>
      </c>
    </row>
    <row r="22" spans="1:24" x14ac:dyDescent="0.25">
      <c r="A22" t="s">
        <v>1150</v>
      </c>
      <c r="B22" t="s">
        <v>182</v>
      </c>
      <c r="C22" s="1">
        <f t="shared" si="1"/>
        <v>46174</v>
      </c>
      <c r="F22" t="s">
        <v>155</v>
      </c>
      <c r="G22" t="s">
        <v>235</v>
      </c>
      <c r="H22" t="s">
        <v>1188</v>
      </c>
      <c r="I22" t="s">
        <v>18</v>
      </c>
      <c r="J22" t="str">
        <f>IF(COUNTIF(Pays!A:A,X22)=0,"Pays inconnu",_xlfn.XLOOKUP(X22,Pays!A:A,Pays!B:B))</f>
        <v>CH</v>
      </c>
      <c r="K22" t="str">
        <f>IF(COUNTIF(Pays!A:A,X22)=0,"Pays inconnu",_xlfn.XLOOKUP(X22,Pays!A:A,Pays!C:C))</f>
        <v>1_CH</v>
      </c>
      <c r="L22">
        <v>1</v>
      </c>
      <c r="M22">
        <f t="shared" si="0"/>
        <v>0.15</v>
      </c>
      <c r="N22" t="s">
        <v>20</v>
      </c>
      <c r="O22">
        <f>LOOKUP(X22,Pays!A:A,Pays!D:D)</f>
        <v>0</v>
      </c>
      <c r="P22">
        <v>0.15</v>
      </c>
      <c r="Q22" t="s">
        <v>2007</v>
      </c>
      <c r="U22">
        <v>1</v>
      </c>
      <c r="W22">
        <f>IF(COUNTIF(Pays!A:A,X22)=0,"",LOOKUP(X22,Pays!A:A,Pays!E:E))</f>
        <v>0</v>
      </c>
      <c r="X22" s="8" t="s">
        <v>37</v>
      </c>
    </row>
    <row r="23" spans="1:24" x14ac:dyDescent="0.25">
      <c r="A23" t="s">
        <v>1150</v>
      </c>
      <c r="B23" t="s">
        <v>182</v>
      </c>
      <c r="C23" s="1">
        <f t="shared" si="1"/>
        <v>46174</v>
      </c>
      <c r="F23" t="s">
        <v>155</v>
      </c>
      <c r="G23" t="s">
        <v>236</v>
      </c>
      <c r="H23" t="s">
        <v>1189</v>
      </c>
      <c r="I23" t="s">
        <v>18</v>
      </c>
      <c r="J23" t="str">
        <f>IF(COUNTIF(Pays!A:A,X23)=0,"Pays inconnu",_xlfn.XLOOKUP(X23,Pays!A:A,Pays!B:B))</f>
        <v>CH</v>
      </c>
      <c r="K23" t="str">
        <f>IF(COUNTIF(Pays!A:A,X23)=0,"Pays inconnu",_xlfn.XLOOKUP(X23,Pays!A:A,Pays!C:C))</f>
        <v>1_CH</v>
      </c>
      <c r="L23">
        <v>1</v>
      </c>
      <c r="M23">
        <f t="shared" si="0"/>
        <v>0.15</v>
      </c>
      <c r="N23" t="s">
        <v>20</v>
      </c>
      <c r="O23">
        <f>LOOKUP(X23,Pays!A:A,Pays!D:D)</f>
        <v>0</v>
      </c>
      <c r="P23">
        <v>0.15</v>
      </c>
      <c r="Q23" t="s">
        <v>2007</v>
      </c>
      <c r="U23">
        <v>1</v>
      </c>
      <c r="W23">
        <f>IF(COUNTIF(Pays!A:A,X23)=0,"",LOOKUP(X23,Pays!A:A,Pays!E:E))</f>
        <v>0</v>
      </c>
      <c r="X23" s="8" t="s">
        <v>37</v>
      </c>
    </row>
    <row r="24" spans="1:24" x14ac:dyDescent="0.25">
      <c r="A24" t="s">
        <v>1150</v>
      </c>
      <c r="B24" t="s">
        <v>182</v>
      </c>
      <c r="C24" s="1">
        <f t="shared" si="1"/>
        <v>46174</v>
      </c>
      <c r="F24" t="s">
        <v>181</v>
      </c>
      <c r="G24" t="s">
        <v>237</v>
      </c>
      <c r="H24" t="s">
        <v>185</v>
      </c>
      <c r="I24" t="s">
        <v>18</v>
      </c>
      <c r="J24" t="str">
        <f>IF(COUNTIF(Pays!A:A,X24)=0,"Pays inconnu",_xlfn.XLOOKUP(X24,Pays!A:A,Pays!B:B))</f>
        <v>GB</v>
      </c>
      <c r="K24" t="str">
        <f>IF(COUNTIF(Pays!A:A,X24)=0,"Pays inconnu",_xlfn.XLOOKUP(X24,Pays!A:A,Pays!C:C))</f>
        <v>1_GB</v>
      </c>
      <c r="L24">
        <v>1</v>
      </c>
      <c r="M24">
        <f t="shared" si="0"/>
        <v>0.15</v>
      </c>
      <c r="N24" t="s">
        <v>20</v>
      </c>
      <c r="O24">
        <f>LOOKUP(X24,Pays!A:A,Pays!D:D)</f>
        <v>0</v>
      </c>
      <c r="P24">
        <v>0.15</v>
      </c>
      <c r="Q24" t="s">
        <v>2007</v>
      </c>
      <c r="U24">
        <v>1</v>
      </c>
      <c r="W24">
        <f>IF(COUNTIF(Pays!A:A,X24)=0,"",LOOKUP(X24,Pays!A:A,Pays!E:E))</f>
        <v>0</v>
      </c>
      <c r="X24" s="8" t="s">
        <v>30</v>
      </c>
    </row>
    <row r="25" spans="1:24" x14ac:dyDescent="0.25">
      <c r="A25" t="s">
        <v>1150</v>
      </c>
      <c r="B25" t="s">
        <v>182</v>
      </c>
      <c r="C25" s="1">
        <f t="shared" si="1"/>
        <v>46174</v>
      </c>
      <c r="F25" t="s">
        <v>155</v>
      </c>
      <c r="G25" t="s">
        <v>238</v>
      </c>
      <c r="H25" t="s">
        <v>1190</v>
      </c>
      <c r="I25" t="s">
        <v>18</v>
      </c>
      <c r="J25" t="str">
        <f>IF(COUNTIF(Pays!A:A,X25)=0,"Pays inconnu",_xlfn.XLOOKUP(X25,Pays!A:A,Pays!B:B))</f>
        <v>CH</v>
      </c>
      <c r="K25" t="str">
        <f>IF(COUNTIF(Pays!A:A,X25)=0,"Pays inconnu",_xlfn.XLOOKUP(X25,Pays!A:A,Pays!C:C))</f>
        <v>1_CH</v>
      </c>
      <c r="L25">
        <v>1</v>
      </c>
      <c r="M25">
        <f t="shared" si="0"/>
        <v>0.15</v>
      </c>
      <c r="N25" t="s">
        <v>20</v>
      </c>
      <c r="O25">
        <f>LOOKUP(X25,Pays!A:A,Pays!D:D)</f>
        <v>0</v>
      </c>
      <c r="P25">
        <v>0.15</v>
      </c>
      <c r="Q25" t="s">
        <v>2007</v>
      </c>
      <c r="U25">
        <v>1</v>
      </c>
      <c r="W25">
        <f>IF(COUNTIF(Pays!A:A,X25)=0,"",LOOKUP(X25,Pays!A:A,Pays!E:E))</f>
        <v>0</v>
      </c>
      <c r="X25" s="8" t="s">
        <v>37</v>
      </c>
    </row>
    <row r="26" spans="1:24" x14ac:dyDescent="0.25">
      <c r="A26" t="s">
        <v>1150</v>
      </c>
      <c r="B26" t="s">
        <v>182</v>
      </c>
      <c r="C26" s="1">
        <f t="shared" si="1"/>
        <v>46174</v>
      </c>
      <c r="F26" t="s">
        <v>155</v>
      </c>
      <c r="G26" t="s">
        <v>239</v>
      </c>
      <c r="H26" t="s">
        <v>1191</v>
      </c>
      <c r="I26" t="s">
        <v>18</v>
      </c>
      <c r="J26" t="str">
        <f>IF(COUNTIF(Pays!A:A,X26)=0,"Pays inconnu",_xlfn.XLOOKUP(X26,Pays!A:A,Pays!B:B))</f>
        <v>CH</v>
      </c>
      <c r="K26" t="str">
        <f>IF(COUNTIF(Pays!A:A,X26)=0,"Pays inconnu",_xlfn.XLOOKUP(X26,Pays!A:A,Pays!C:C))</f>
        <v>1_CH</v>
      </c>
      <c r="L26">
        <v>1</v>
      </c>
      <c r="M26">
        <f t="shared" si="0"/>
        <v>0.15</v>
      </c>
      <c r="N26" t="s">
        <v>20</v>
      </c>
      <c r="O26">
        <f>LOOKUP(X26,Pays!A:A,Pays!D:D)</f>
        <v>0</v>
      </c>
      <c r="P26">
        <v>0.15</v>
      </c>
      <c r="Q26" t="s">
        <v>2007</v>
      </c>
      <c r="U26">
        <v>1</v>
      </c>
      <c r="W26">
        <f>IF(COUNTIF(Pays!A:A,X26)=0,"",LOOKUP(X26,Pays!A:A,Pays!E:E))</f>
        <v>0</v>
      </c>
      <c r="X26" s="8" t="s">
        <v>37</v>
      </c>
    </row>
    <row r="27" spans="1:24" x14ac:dyDescent="0.25">
      <c r="A27" t="s">
        <v>1150</v>
      </c>
      <c r="B27" t="s">
        <v>182</v>
      </c>
      <c r="C27" s="1">
        <f t="shared" si="1"/>
        <v>46174</v>
      </c>
      <c r="F27" t="s">
        <v>155</v>
      </c>
      <c r="G27" t="s">
        <v>240</v>
      </c>
      <c r="H27" t="s">
        <v>1192</v>
      </c>
      <c r="I27" t="s">
        <v>18</v>
      </c>
      <c r="J27" t="str">
        <f>IF(COUNTIF(Pays!A:A,X27)=0,"Pays inconnu",_xlfn.XLOOKUP(X27,Pays!A:A,Pays!B:B))</f>
        <v>GB</v>
      </c>
      <c r="K27" t="str">
        <f>IF(COUNTIF(Pays!A:A,X27)=0,"Pays inconnu",_xlfn.XLOOKUP(X27,Pays!A:A,Pays!C:C))</f>
        <v>1_GB</v>
      </c>
      <c r="L27">
        <v>1</v>
      </c>
      <c r="M27">
        <f t="shared" si="0"/>
        <v>0.15</v>
      </c>
      <c r="N27" t="s">
        <v>20</v>
      </c>
      <c r="O27">
        <f>LOOKUP(X27,Pays!A:A,Pays!D:D)</f>
        <v>0</v>
      </c>
      <c r="P27">
        <v>0.15</v>
      </c>
      <c r="Q27" t="s">
        <v>2007</v>
      </c>
      <c r="U27">
        <v>1</v>
      </c>
      <c r="W27">
        <f>IF(COUNTIF(Pays!A:A,X27)=0,"",LOOKUP(X27,Pays!A:A,Pays!E:E))</f>
        <v>0</v>
      </c>
      <c r="X27" s="8" t="s">
        <v>30</v>
      </c>
    </row>
    <row r="28" spans="1:24" x14ac:dyDescent="0.25">
      <c r="A28" t="s">
        <v>1150</v>
      </c>
      <c r="B28" t="s">
        <v>182</v>
      </c>
      <c r="C28" s="1">
        <f t="shared" si="1"/>
        <v>46174</v>
      </c>
      <c r="F28" t="s">
        <v>155</v>
      </c>
      <c r="G28" t="s">
        <v>241</v>
      </c>
      <c r="H28" t="s">
        <v>1193</v>
      </c>
      <c r="I28" t="s">
        <v>18</v>
      </c>
      <c r="J28" t="str">
        <f>IF(COUNTIF(Pays!A:A,X28)=0,"Pays inconnu",_xlfn.XLOOKUP(X28,Pays!A:A,Pays!B:B))</f>
        <v>CH</v>
      </c>
      <c r="K28" t="str">
        <f>IF(COUNTIF(Pays!A:A,X28)=0,"Pays inconnu",_xlfn.XLOOKUP(X28,Pays!A:A,Pays!C:C))</f>
        <v>1_CH</v>
      </c>
      <c r="L28">
        <v>1</v>
      </c>
      <c r="M28">
        <f t="shared" si="0"/>
        <v>0.15</v>
      </c>
      <c r="N28" t="s">
        <v>20</v>
      </c>
      <c r="O28">
        <f>LOOKUP(X28,Pays!A:A,Pays!D:D)</f>
        <v>0</v>
      </c>
      <c r="P28">
        <v>0.15</v>
      </c>
      <c r="Q28" t="s">
        <v>2007</v>
      </c>
      <c r="U28">
        <v>1</v>
      </c>
      <c r="W28">
        <f>IF(COUNTIF(Pays!A:A,X28)=0,"",LOOKUP(X28,Pays!A:A,Pays!E:E))</f>
        <v>0</v>
      </c>
      <c r="X28" s="8" t="s">
        <v>37</v>
      </c>
    </row>
    <row r="29" spans="1:24" x14ac:dyDescent="0.25">
      <c r="A29" t="s">
        <v>1150</v>
      </c>
      <c r="B29" t="s">
        <v>182</v>
      </c>
      <c r="C29" s="1">
        <f t="shared" si="1"/>
        <v>46174</v>
      </c>
      <c r="F29" t="s">
        <v>155</v>
      </c>
      <c r="G29" t="s">
        <v>242</v>
      </c>
      <c r="H29" t="s">
        <v>1194</v>
      </c>
      <c r="I29" t="s">
        <v>18</v>
      </c>
      <c r="J29" t="str">
        <f>IF(COUNTIF(Pays!A:A,X29)=0,"Pays inconnu",_xlfn.XLOOKUP(X29,Pays!A:A,Pays!B:B))</f>
        <v>CH</v>
      </c>
      <c r="K29" t="str">
        <f>IF(COUNTIF(Pays!A:A,X29)=0,"Pays inconnu",_xlfn.XLOOKUP(X29,Pays!A:A,Pays!C:C))</f>
        <v>1_CH</v>
      </c>
      <c r="L29">
        <v>1</v>
      </c>
      <c r="M29">
        <f t="shared" si="0"/>
        <v>0.15</v>
      </c>
      <c r="N29" t="s">
        <v>20</v>
      </c>
      <c r="O29">
        <f>LOOKUP(X29,Pays!A:A,Pays!D:D)</f>
        <v>0</v>
      </c>
      <c r="P29">
        <v>0.15</v>
      </c>
      <c r="Q29" t="s">
        <v>2007</v>
      </c>
      <c r="U29">
        <v>1</v>
      </c>
      <c r="W29">
        <f>IF(COUNTIF(Pays!A:A,X29)=0,"",LOOKUP(X29,Pays!A:A,Pays!E:E))</f>
        <v>0</v>
      </c>
      <c r="X29" s="8" t="s">
        <v>37</v>
      </c>
    </row>
    <row r="30" spans="1:24" x14ac:dyDescent="0.25">
      <c r="A30" t="s">
        <v>1150</v>
      </c>
      <c r="B30" t="s">
        <v>182</v>
      </c>
      <c r="C30" s="1">
        <f t="shared" si="1"/>
        <v>46174</v>
      </c>
      <c r="F30" t="s">
        <v>155</v>
      </c>
      <c r="G30" t="s">
        <v>243</v>
      </c>
      <c r="H30" t="s">
        <v>1195</v>
      </c>
      <c r="I30" t="s">
        <v>18</v>
      </c>
      <c r="J30" t="str">
        <f>IF(COUNTIF(Pays!A:A,X30)=0,"Pays inconnu",_xlfn.XLOOKUP(X30,Pays!A:A,Pays!B:B))</f>
        <v>CH</v>
      </c>
      <c r="K30" t="str">
        <f>IF(COUNTIF(Pays!A:A,X30)=0,"Pays inconnu",_xlfn.XLOOKUP(X30,Pays!A:A,Pays!C:C))</f>
        <v>1_CH</v>
      </c>
      <c r="L30">
        <v>1</v>
      </c>
      <c r="M30">
        <f t="shared" si="0"/>
        <v>0.15</v>
      </c>
      <c r="N30" t="s">
        <v>20</v>
      </c>
      <c r="O30">
        <f>LOOKUP(X30,Pays!A:A,Pays!D:D)</f>
        <v>0</v>
      </c>
      <c r="P30">
        <v>0.15</v>
      </c>
      <c r="Q30" t="s">
        <v>2007</v>
      </c>
      <c r="U30">
        <v>1</v>
      </c>
      <c r="W30">
        <f>IF(COUNTIF(Pays!A:A,X30)=0,"",LOOKUP(X30,Pays!A:A,Pays!E:E))</f>
        <v>0</v>
      </c>
      <c r="X30" s="8" t="s">
        <v>37</v>
      </c>
    </row>
    <row r="31" spans="1:24" x14ac:dyDescent="0.25">
      <c r="A31" t="s">
        <v>1150</v>
      </c>
      <c r="B31" t="s">
        <v>182</v>
      </c>
      <c r="C31" s="1">
        <f t="shared" si="1"/>
        <v>46174</v>
      </c>
      <c r="F31" t="s">
        <v>155</v>
      </c>
      <c r="G31" t="s">
        <v>244</v>
      </c>
      <c r="H31" t="s">
        <v>185</v>
      </c>
      <c r="I31" t="s">
        <v>18</v>
      </c>
      <c r="J31" t="str">
        <f>IF(COUNTIF(Pays!A:A,X31)=0,"Pays inconnu",_xlfn.XLOOKUP(X31,Pays!A:A,Pays!B:B))</f>
        <v>GB</v>
      </c>
      <c r="K31" t="str">
        <f>IF(COUNTIF(Pays!A:A,X31)=0,"Pays inconnu",_xlfn.XLOOKUP(X31,Pays!A:A,Pays!C:C))</f>
        <v>1_GB</v>
      </c>
      <c r="L31">
        <v>1</v>
      </c>
      <c r="M31">
        <f t="shared" si="0"/>
        <v>0.15</v>
      </c>
      <c r="N31" t="s">
        <v>20</v>
      </c>
      <c r="O31">
        <f>LOOKUP(X31,Pays!A:A,Pays!D:D)</f>
        <v>0</v>
      </c>
      <c r="P31">
        <v>0.15</v>
      </c>
      <c r="Q31" t="s">
        <v>2007</v>
      </c>
      <c r="U31">
        <v>1</v>
      </c>
      <c r="W31">
        <f>IF(COUNTIF(Pays!A:A,X31)=0,"",LOOKUP(X31,Pays!A:A,Pays!E:E))</f>
        <v>0</v>
      </c>
      <c r="X31" s="8" t="s">
        <v>30</v>
      </c>
    </row>
    <row r="32" spans="1:24" x14ac:dyDescent="0.25">
      <c r="A32" t="s">
        <v>1150</v>
      </c>
      <c r="B32" t="s">
        <v>182</v>
      </c>
      <c r="C32" s="1">
        <f t="shared" si="1"/>
        <v>46174</v>
      </c>
      <c r="F32" t="s">
        <v>155</v>
      </c>
      <c r="G32" t="s">
        <v>245</v>
      </c>
      <c r="H32" t="s">
        <v>1196</v>
      </c>
      <c r="I32" t="s">
        <v>18</v>
      </c>
      <c r="J32" t="str">
        <f>IF(COUNTIF(Pays!A:A,X32)=0,"Pays inconnu",_xlfn.XLOOKUP(X32,Pays!A:A,Pays!B:B))</f>
        <v>GB</v>
      </c>
      <c r="K32" t="str">
        <f>IF(COUNTIF(Pays!A:A,X32)=0,"Pays inconnu",_xlfn.XLOOKUP(X32,Pays!A:A,Pays!C:C))</f>
        <v>1_GB</v>
      </c>
      <c r="L32">
        <v>1</v>
      </c>
      <c r="M32">
        <f t="shared" si="0"/>
        <v>0.15</v>
      </c>
      <c r="N32" t="s">
        <v>20</v>
      </c>
      <c r="O32">
        <f>LOOKUP(X32,Pays!A:A,Pays!D:D)</f>
        <v>0</v>
      </c>
      <c r="P32">
        <v>0.15</v>
      </c>
      <c r="Q32" t="s">
        <v>2007</v>
      </c>
      <c r="U32">
        <v>1</v>
      </c>
      <c r="W32">
        <f>IF(COUNTIF(Pays!A:A,X32)=0,"",LOOKUP(X32,Pays!A:A,Pays!E:E))</f>
        <v>0</v>
      </c>
      <c r="X32" s="8" t="s">
        <v>30</v>
      </c>
    </row>
    <row r="33" spans="1:24" x14ac:dyDescent="0.25">
      <c r="A33" t="s">
        <v>1150</v>
      </c>
      <c r="B33" t="s">
        <v>182</v>
      </c>
      <c r="C33" s="1">
        <f t="shared" si="1"/>
        <v>46174</v>
      </c>
      <c r="F33" t="s">
        <v>155</v>
      </c>
      <c r="G33" t="s">
        <v>246</v>
      </c>
      <c r="H33" t="s">
        <v>1197</v>
      </c>
      <c r="I33" t="s">
        <v>18</v>
      </c>
      <c r="J33" t="str">
        <f>IF(COUNTIF(Pays!A:A,X33)=0,"Pays inconnu",_xlfn.XLOOKUP(X33,Pays!A:A,Pays!B:B))</f>
        <v>GB</v>
      </c>
      <c r="K33" t="str">
        <f>IF(COUNTIF(Pays!A:A,X33)=0,"Pays inconnu",_xlfn.XLOOKUP(X33,Pays!A:A,Pays!C:C))</f>
        <v>1_GB</v>
      </c>
      <c r="L33">
        <v>1</v>
      </c>
      <c r="M33">
        <f t="shared" si="0"/>
        <v>0.18</v>
      </c>
      <c r="N33" t="s">
        <v>20</v>
      </c>
      <c r="O33">
        <f>LOOKUP(X33,Pays!A:A,Pays!D:D)</f>
        <v>0</v>
      </c>
      <c r="P33">
        <v>0.18</v>
      </c>
      <c r="Q33" t="s">
        <v>2007</v>
      </c>
      <c r="U33">
        <v>1</v>
      </c>
      <c r="W33">
        <f>IF(COUNTIF(Pays!A:A,X33)=0,"",LOOKUP(X33,Pays!A:A,Pays!E:E))</f>
        <v>0</v>
      </c>
      <c r="X33" s="8" t="s">
        <v>30</v>
      </c>
    </row>
    <row r="34" spans="1:24" x14ac:dyDescent="0.25">
      <c r="A34" t="s">
        <v>1150</v>
      </c>
      <c r="B34" t="s">
        <v>182</v>
      </c>
      <c r="C34" s="1">
        <f t="shared" si="1"/>
        <v>46174</v>
      </c>
      <c r="F34" t="s">
        <v>155</v>
      </c>
      <c r="G34" t="s">
        <v>247</v>
      </c>
      <c r="H34" t="s">
        <v>1198</v>
      </c>
      <c r="I34" t="s">
        <v>18</v>
      </c>
      <c r="J34" t="str">
        <f>IF(COUNTIF(Pays!A:A,X34)=0,"Pays inconnu",_xlfn.XLOOKUP(X34,Pays!A:A,Pays!B:B))</f>
        <v>CH</v>
      </c>
      <c r="K34" t="str">
        <f>IF(COUNTIF(Pays!A:A,X34)=0,"Pays inconnu",_xlfn.XLOOKUP(X34,Pays!A:A,Pays!C:C))</f>
        <v>1_CH</v>
      </c>
      <c r="L34">
        <v>1</v>
      </c>
      <c r="M34">
        <f t="shared" si="0"/>
        <v>0.5</v>
      </c>
      <c r="N34" t="s">
        <v>20</v>
      </c>
      <c r="O34">
        <f>LOOKUP(X34,Pays!A:A,Pays!D:D)</f>
        <v>0</v>
      </c>
      <c r="P34">
        <v>0.5</v>
      </c>
      <c r="Q34" t="s">
        <v>2007</v>
      </c>
      <c r="U34">
        <v>1</v>
      </c>
      <c r="W34">
        <f>IF(COUNTIF(Pays!A:A,X34)=0,"",LOOKUP(X34,Pays!A:A,Pays!E:E))</f>
        <v>0</v>
      </c>
      <c r="X34" s="8" t="s">
        <v>37</v>
      </c>
    </row>
    <row r="35" spans="1:24" x14ac:dyDescent="0.25">
      <c r="A35" t="s">
        <v>1150</v>
      </c>
      <c r="B35" t="s">
        <v>182</v>
      </c>
      <c r="C35" s="1">
        <f t="shared" si="1"/>
        <v>46174</v>
      </c>
      <c r="F35" t="s">
        <v>155</v>
      </c>
      <c r="G35" t="s">
        <v>248</v>
      </c>
      <c r="H35" t="s">
        <v>1199</v>
      </c>
      <c r="I35" t="s">
        <v>18</v>
      </c>
      <c r="J35" t="str">
        <f>IF(COUNTIF(Pays!A:A,X35)=0,"Pays inconnu",_xlfn.XLOOKUP(X35,Pays!A:A,Pays!B:B))</f>
        <v>GB</v>
      </c>
      <c r="K35" t="str">
        <f>IF(COUNTIF(Pays!A:A,X35)=0,"Pays inconnu",_xlfn.XLOOKUP(X35,Pays!A:A,Pays!C:C))</f>
        <v>1_GB</v>
      </c>
      <c r="L35">
        <v>1</v>
      </c>
      <c r="M35">
        <f t="shared" si="0"/>
        <v>0.15</v>
      </c>
      <c r="N35" t="s">
        <v>20</v>
      </c>
      <c r="O35">
        <f>LOOKUP(X35,Pays!A:A,Pays!D:D)</f>
        <v>0</v>
      </c>
      <c r="P35">
        <v>0.15</v>
      </c>
      <c r="Q35" t="s">
        <v>2007</v>
      </c>
      <c r="U35">
        <v>1</v>
      </c>
      <c r="W35">
        <f>IF(COUNTIF(Pays!A:A,X35)=0,"",LOOKUP(X35,Pays!A:A,Pays!E:E))</f>
        <v>0</v>
      </c>
      <c r="X35" s="8" t="s">
        <v>30</v>
      </c>
    </row>
    <row r="36" spans="1:24" x14ac:dyDescent="0.25">
      <c r="A36" t="s">
        <v>1150</v>
      </c>
      <c r="B36" t="s">
        <v>182</v>
      </c>
      <c r="C36" s="1">
        <f t="shared" si="1"/>
        <v>46174</v>
      </c>
      <c r="F36" t="s">
        <v>155</v>
      </c>
      <c r="G36" t="s">
        <v>249</v>
      </c>
      <c r="H36" t="s">
        <v>1200</v>
      </c>
      <c r="I36" t="s">
        <v>18</v>
      </c>
      <c r="J36" t="str">
        <f>IF(COUNTIF(Pays!A:A,X36)=0,"Pays inconnu",_xlfn.XLOOKUP(X36,Pays!A:A,Pays!B:B))</f>
        <v>CH</v>
      </c>
      <c r="K36" t="str">
        <f>IF(COUNTIF(Pays!A:A,X36)=0,"Pays inconnu",_xlfn.XLOOKUP(X36,Pays!A:A,Pays!C:C))</f>
        <v>1_CH</v>
      </c>
      <c r="L36">
        <v>1</v>
      </c>
      <c r="M36">
        <f t="shared" si="0"/>
        <v>0.15</v>
      </c>
      <c r="N36" t="s">
        <v>20</v>
      </c>
      <c r="O36">
        <f>LOOKUP(X36,Pays!A:A,Pays!D:D)</f>
        <v>0</v>
      </c>
      <c r="P36">
        <v>0.15</v>
      </c>
      <c r="Q36" t="s">
        <v>2007</v>
      </c>
      <c r="U36">
        <v>1</v>
      </c>
      <c r="W36">
        <f>IF(COUNTIF(Pays!A:A,X36)=0,"",LOOKUP(X36,Pays!A:A,Pays!E:E))</f>
        <v>0</v>
      </c>
      <c r="X36" s="8" t="s">
        <v>37</v>
      </c>
    </row>
    <row r="37" spans="1:24" x14ac:dyDescent="0.25">
      <c r="A37" t="s">
        <v>1150</v>
      </c>
      <c r="B37" t="s">
        <v>182</v>
      </c>
      <c r="C37" s="1">
        <f t="shared" si="1"/>
        <v>46174</v>
      </c>
      <c r="F37" t="s">
        <v>155</v>
      </c>
      <c r="G37" t="s">
        <v>250</v>
      </c>
      <c r="H37" t="s">
        <v>1200</v>
      </c>
      <c r="I37" t="s">
        <v>18</v>
      </c>
      <c r="J37" t="str">
        <f>IF(COUNTIF(Pays!A:A,X37)=0,"Pays inconnu",_xlfn.XLOOKUP(X37,Pays!A:A,Pays!B:B))</f>
        <v>CH</v>
      </c>
      <c r="K37" t="str">
        <f>IF(COUNTIF(Pays!A:A,X37)=0,"Pays inconnu",_xlfn.XLOOKUP(X37,Pays!A:A,Pays!C:C))</f>
        <v>1_CH</v>
      </c>
      <c r="L37">
        <v>1</v>
      </c>
      <c r="M37">
        <f t="shared" si="0"/>
        <v>0.15</v>
      </c>
      <c r="N37" t="s">
        <v>20</v>
      </c>
      <c r="O37">
        <f>LOOKUP(X37,Pays!A:A,Pays!D:D)</f>
        <v>0</v>
      </c>
      <c r="P37">
        <v>0.15</v>
      </c>
      <c r="Q37">
        <v>0.01</v>
      </c>
      <c r="U37">
        <v>1</v>
      </c>
      <c r="W37">
        <f>IF(COUNTIF(Pays!A:A,X37)=0,"",LOOKUP(X37,Pays!A:A,Pays!E:E))</f>
        <v>0</v>
      </c>
      <c r="X37" s="8" t="s">
        <v>37</v>
      </c>
    </row>
    <row r="38" spans="1:24" x14ac:dyDescent="0.25">
      <c r="A38" t="s">
        <v>1150</v>
      </c>
      <c r="B38" t="s">
        <v>182</v>
      </c>
      <c r="C38" s="1">
        <f t="shared" si="1"/>
        <v>46174</v>
      </c>
      <c r="F38" t="s">
        <v>155</v>
      </c>
      <c r="G38" t="s">
        <v>251</v>
      </c>
      <c r="H38" t="s">
        <v>1201</v>
      </c>
      <c r="I38" t="s">
        <v>18</v>
      </c>
      <c r="J38" t="str">
        <f>IF(COUNTIF(Pays!A:A,X38)=0,"Pays inconnu",_xlfn.XLOOKUP(X38,Pays!A:A,Pays!B:B))</f>
        <v>CH</v>
      </c>
      <c r="K38" t="str">
        <f>IF(COUNTIF(Pays!A:A,X38)=0,"Pays inconnu",_xlfn.XLOOKUP(X38,Pays!A:A,Pays!C:C))</f>
        <v>1_CH</v>
      </c>
      <c r="L38">
        <v>1</v>
      </c>
      <c r="M38">
        <f t="shared" si="0"/>
        <v>0.27</v>
      </c>
      <c r="N38" t="s">
        <v>20</v>
      </c>
      <c r="O38">
        <f>LOOKUP(X38,Pays!A:A,Pays!D:D)</f>
        <v>0</v>
      </c>
      <c r="P38">
        <v>0.15</v>
      </c>
      <c r="Q38">
        <v>0.27</v>
      </c>
      <c r="U38">
        <v>1</v>
      </c>
      <c r="W38">
        <f>IF(COUNTIF(Pays!A:A,X38)=0,"",LOOKUP(X38,Pays!A:A,Pays!E:E))</f>
        <v>0</v>
      </c>
      <c r="X38" s="8" t="s">
        <v>37</v>
      </c>
    </row>
    <row r="39" spans="1:24" x14ac:dyDescent="0.25">
      <c r="A39" t="s">
        <v>1150</v>
      </c>
      <c r="B39" t="s">
        <v>182</v>
      </c>
      <c r="C39" s="1">
        <f t="shared" si="1"/>
        <v>46174</v>
      </c>
      <c r="F39" t="s">
        <v>155</v>
      </c>
      <c r="G39" t="s">
        <v>252</v>
      </c>
      <c r="H39" t="s">
        <v>1202</v>
      </c>
      <c r="I39" t="s">
        <v>18</v>
      </c>
      <c r="J39" t="str">
        <f>IF(COUNTIF(Pays!A:A,X39)=0,"Pays inconnu",_xlfn.XLOOKUP(X39,Pays!A:A,Pays!B:B))</f>
        <v>GB</v>
      </c>
      <c r="K39" t="str">
        <f>IF(COUNTIF(Pays!A:A,X39)=0,"Pays inconnu",_xlfn.XLOOKUP(X39,Pays!A:A,Pays!C:C))</f>
        <v>1_GB</v>
      </c>
      <c r="L39">
        <v>1</v>
      </c>
      <c r="M39">
        <f t="shared" si="0"/>
        <v>0.15</v>
      </c>
      <c r="N39" t="s">
        <v>20</v>
      </c>
      <c r="O39">
        <f>LOOKUP(X39,Pays!A:A,Pays!D:D)</f>
        <v>0</v>
      </c>
      <c r="P39">
        <v>0.15</v>
      </c>
      <c r="Q39">
        <v>0.11</v>
      </c>
      <c r="U39">
        <v>1</v>
      </c>
      <c r="W39">
        <f>IF(COUNTIF(Pays!A:A,X39)=0,"",LOOKUP(X39,Pays!A:A,Pays!E:E))</f>
        <v>0</v>
      </c>
      <c r="X39" s="8" t="s">
        <v>30</v>
      </c>
    </row>
    <row r="40" spans="1:24" x14ac:dyDescent="0.25">
      <c r="A40" t="s">
        <v>1150</v>
      </c>
      <c r="B40" t="s">
        <v>182</v>
      </c>
      <c r="C40" s="1">
        <f t="shared" si="1"/>
        <v>46174</v>
      </c>
      <c r="F40" t="s">
        <v>155</v>
      </c>
      <c r="G40" t="s">
        <v>253</v>
      </c>
      <c r="H40" t="s">
        <v>1203</v>
      </c>
      <c r="I40" t="s">
        <v>18</v>
      </c>
      <c r="J40" t="str">
        <f>IF(COUNTIF(Pays!A:A,X40)=0,"Pays inconnu",_xlfn.XLOOKUP(X40,Pays!A:A,Pays!B:B))</f>
        <v>GB</v>
      </c>
      <c r="K40" t="str">
        <f>IF(COUNTIF(Pays!A:A,X40)=0,"Pays inconnu",_xlfn.XLOOKUP(X40,Pays!A:A,Pays!C:C))</f>
        <v>1_GB</v>
      </c>
      <c r="L40">
        <v>1</v>
      </c>
      <c r="M40">
        <f t="shared" si="0"/>
        <v>0.25</v>
      </c>
      <c r="N40" t="s">
        <v>20</v>
      </c>
      <c r="O40">
        <f>LOOKUP(X40,Pays!A:A,Pays!D:D)</f>
        <v>0</v>
      </c>
      <c r="P40">
        <v>0.15</v>
      </c>
      <c r="Q40">
        <v>0.25</v>
      </c>
      <c r="U40">
        <v>1</v>
      </c>
      <c r="W40">
        <f>IF(COUNTIF(Pays!A:A,X40)=0,"",LOOKUP(X40,Pays!A:A,Pays!E:E))</f>
        <v>0</v>
      </c>
      <c r="X40" s="8" t="s">
        <v>30</v>
      </c>
    </row>
    <row r="41" spans="1:24" x14ac:dyDescent="0.25">
      <c r="A41" t="s">
        <v>1150</v>
      </c>
      <c r="B41" t="s">
        <v>182</v>
      </c>
      <c r="C41" s="1">
        <f t="shared" si="1"/>
        <v>46174</v>
      </c>
      <c r="F41" t="s">
        <v>155</v>
      </c>
      <c r="G41" t="s">
        <v>254</v>
      </c>
      <c r="H41" t="s">
        <v>1204</v>
      </c>
      <c r="I41" t="s">
        <v>18</v>
      </c>
      <c r="J41" t="str">
        <f>IF(COUNTIF(Pays!A:A,X41)=0,"Pays inconnu",_xlfn.XLOOKUP(X41,Pays!A:A,Pays!B:B))</f>
        <v>CH</v>
      </c>
      <c r="K41" t="str">
        <f>IF(COUNTIF(Pays!A:A,X41)=0,"Pays inconnu",_xlfn.XLOOKUP(X41,Pays!A:A,Pays!C:C))</f>
        <v>1_CH</v>
      </c>
      <c r="L41">
        <v>1</v>
      </c>
      <c r="M41">
        <f t="shared" si="0"/>
        <v>0.42</v>
      </c>
      <c r="N41" t="s">
        <v>20</v>
      </c>
      <c r="O41">
        <f>LOOKUP(X41,Pays!A:A,Pays!D:D)</f>
        <v>0</v>
      </c>
      <c r="P41">
        <v>0.15</v>
      </c>
      <c r="Q41">
        <v>0.42</v>
      </c>
      <c r="U41">
        <v>1</v>
      </c>
      <c r="W41">
        <f>IF(COUNTIF(Pays!A:A,X41)=0,"",LOOKUP(X41,Pays!A:A,Pays!E:E))</f>
        <v>0</v>
      </c>
      <c r="X41" s="8" t="s">
        <v>37</v>
      </c>
    </row>
    <row r="42" spans="1:24" x14ac:dyDescent="0.25">
      <c r="A42" t="s">
        <v>1150</v>
      </c>
      <c r="B42" t="s">
        <v>182</v>
      </c>
      <c r="C42" s="1">
        <f t="shared" si="1"/>
        <v>46174</v>
      </c>
      <c r="F42" t="s">
        <v>155</v>
      </c>
      <c r="G42" t="s">
        <v>255</v>
      </c>
      <c r="H42" t="s">
        <v>188</v>
      </c>
      <c r="I42" t="s">
        <v>18</v>
      </c>
      <c r="J42" t="str">
        <f>IF(COUNTIF(Pays!A:A,X42)=0,"Pays inconnu",_xlfn.XLOOKUP(X42,Pays!A:A,Pays!B:B))</f>
        <v>ES</v>
      </c>
      <c r="K42">
        <f>IF(COUNTIF(Pays!A:A,X42)=0,"Pays inconnu",_xlfn.XLOOKUP(X42,Pays!A:A,Pays!C:C))</f>
        <v>1</v>
      </c>
      <c r="L42">
        <v>1</v>
      </c>
      <c r="M42">
        <f t="shared" si="0"/>
        <v>0.15</v>
      </c>
      <c r="N42" t="s">
        <v>20</v>
      </c>
      <c r="O42">
        <f>LOOKUP(X42,Pays!A:A,Pays!D:D)</f>
        <v>0.2</v>
      </c>
      <c r="P42">
        <v>0.15</v>
      </c>
      <c r="Q42" t="s">
        <v>2007</v>
      </c>
      <c r="U42">
        <v>1</v>
      </c>
      <c r="W42">
        <f>IF(COUNTIF(Pays!A:A,X42)=0,"",LOOKUP(X42,Pays!A:A,Pays!E:E))</f>
        <v>0</v>
      </c>
      <c r="X42" s="8" t="s">
        <v>29</v>
      </c>
    </row>
    <row r="43" spans="1:24" x14ac:dyDescent="0.25">
      <c r="A43" t="s">
        <v>1150</v>
      </c>
      <c r="B43" t="s">
        <v>182</v>
      </c>
      <c r="C43" s="1">
        <f t="shared" si="1"/>
        <v>46174</v>
      </c>
      <c r="F43" t="s">
        <v>110</v>
      </c>
      <c r="G43" t="s">
        <v>256</v>
      </c>
      <c r="H43" t="s">
        <v>1205</v>
      </c>
      <c r="I43" t="s">
        <v>18</v>
      </c>
      <c r="J43" t="str">
        <f>IF(COUNTIF(Pays!A:A,X43)=0,"Pays inconnu",_xlfn.XLOOKUP(X43,Pays!A:A,Pays!B:B))</f>
        <v>GB</v>
      </c>
      <c r="K43" t="str">
        <f>IF(COUNTIF(Pays!A:A,X43)=0,"Pays inconnu",_xlfn.XLOOKUP(X43,Pays!A:A,Pays!C:C))</f>
        <v>1_GB</v>
      </c>
      <c r="L43">
        <v>1</v>
      </c>
      <c r="M43">
        <f t="shared" si="0"/>
        <v>0.5</v>
      </c>
      <c r="N43" t="s">
        <v>20</v>
      </c>
      <c r="O43">
        <f>LOOKUP(X43,Pays!A:A,Pays!D:D)</f>
        <v>0</v>
      </c>
      <c r="P43">
        <v>0.15</v>
      </c>
      <c r="Q43">
        <v>0.5</v>
      </c>
      <c r="U43">
        <v>1</v>
      </c>
      <c r="W43">
        <f>IF(COUNTIF(Pays!A:A,X43)=0,"",LOOKUP(X43,Pays!A:A,Pays!E:E))</f>
        <v>0</v>
      </c>
      <c r="X43" s="8" t="s">
        <v>30</v>
      </c>
    </row>
    <row r="44" spans="1:24" x14ac:dyDescent="0.25">
      <c r="A44" t="s">
        <v>1150</v>
      </c>
      <c r="B44" t="s">
        <v>182</v>
      </c>
      <c r="C44" s="1">
        <f t="shared" si="1"/>
        <v>46174</v>
      </c>
      <c r="F44" t="s">
        <v>155</v>
      </c>
      <c r="G44" t="s">
        <v>257</v>
      </c>
      <c r="H44" t="s">
        <v>1206</v>
      </c>
      <c r="I44" t="s">
        <v>18</v>
      </c>
      <c r="J44" t="str">
        <f>IF(COUNTIF(Pays!A:A,X44)=0,"Pays inconnu",_xlfn.XLOOKUP(X44,Pays!A:A,Pays!B:B))</f>
        <v>DE</v>
      </c>
      <c r="K44">
        <f>IF(COUNTIF(Pays!A:A,X44)=0,"Pays inconnu",_xlfn.XLOOKUP(X44,Pays!A:A,Pays!C:C))</f>
        <v>1</v>
      </c>
      <c r="L44">
        <v>1</v>
      </c>
      <c r="M44">
        <f t="shared" si="0"/>
        <v>0.2</v>
      </c>
      <c r="N44" t="s">
        <v>20</v>
      </c>
      <c r="O44">
        <f>LOOKUP(X44,Pays!A:A,Pays!D:D)</f>
        <v>0.2</v>
      </c>
      <c r="P44">
        <v>0.15</v>
      </c>
      <c r="Q44">
        <v>0.2</v>
      </c>
      <c r="U44">
        <v>1</v>
      </c>
      <c r="W44">
        <f>IF(COUNTIF(Pays!A:A,X44)=0,"",LOOKUP(X44,Pays!A:A,Pays!E:E))</f>
        <v>0</v>
      </c>
      <c r="X44" s="8" t="s">
        <v>35</v>
      </c>
    </row>
    <row r="45" spans="1:24" x14ac:dyDescent="0.25">
      <c r="A45" t="s">
        <v>1150</v>
      </c>
      <c r="B45" t="s">
        <v>182</v>
      </c>
      <c r="C45" s="1">
        <f t="shared" si="1"/>
        <v>46174</v>
      </c>
      <c r="F45" t="s">
        <v>155</v>
      </c>
      <c r="G45" t="s">
        <v>258</v>
      </c>
      <c r="H45" t="s">
        <v>1207</v>
      </c>
      <c r="I45" t="s">
        <v>18</v>
      </c>
      <c r="J45" t="str">
        <f>IF(COUNTIF(Pays!A:A,X45)=0,"Pays inconnu",_xlfn.XLOOKUP(X45,Pays!A:A,Pays!B:B))</f>
        <v>CH</v>
      </c>
      <c r="K45" t="str">
        <f>IF(COUNTIF(Pays!A:A,X45)=0,"Pays inconnu",_xlfn.XLOOKUP(X45,Pays!A:A,Pays!C:C))</f>
        <v>1_CH</v>
      </c>
      <c r="L45">
        <v>1</v>
      </c>
      <c r="M45">
        <f t="shared" si="0"/>
        <v>0.48</v>
      </c>
      <c r="N45" t="s">
        <v>20</v>
      </c>
      <c r="O45">
        <f>LOOKUP(X45,Pays!A:A,Pays!D:D)</f>
        <v>0</v>
      </c>
      <c r="P45">
        <v>0.15</v>
      </c>
      <c r="Q45">
        <v>0.48</v>
      </c>
      <c r="U45">
        <v>1</v>
      </c>
      <c r="W45">
        <f>IF(COUNTIF(Pays!A:A,X45)=0,"",LOOKUP(X45,Pays!A:A,Pays!E:E))</f>
        <v>0</v>
      </c>
      <c r="X45" s="8" t="s">
        <v>37</v>
      </c>
    </row>
    <row r="46" spans="1:24" x14ac:dyDescent="0.25">
      <c r="A46" t="s">
        <v>1150</v>
      </c>
      <c r="B46" t="s">
        <v>182</v>
      </c>
      <c r="C46" s="1">
        <f t="shared" si="1"/>
        <v>46174</v>
      </c>
      <c r="F46" t="s">
        <v>155</v>
      </c>
      <c r="G46" t="s">
        <v>259</v>
      </c>
      <c r="H46" t="s">
        <v>1208</v>
      </c>
      <c r="I46" t="s">
        <v>18</v>
      </c>
      <c r="J46" t="str">
        <f>IF(COUNTIF(Pays!A:A,X46)=0,"Pays inconnu",_xlfn.XLOOKUP(X46,Pays!A:A,Pays!B:B))</f>
        <v>CH</v>
      </c>
      <c r="K46" t="str">
        <f>IF(COUNTIF(Pays!A:A,X46)=0,"Pays inconnu",_xlfn.XLOOKUP(X46,Pays!A:A,Pays!C:C))</f>
        <v>1_CH</v>
      </c>
      <c r="L46">
        <v>1</v>
      </c>
      <c r="M46">
        <f t="shared" si="0"/>
        <v>0.82</v>
      </c>
      <c r="N46" t="s">
        <v>20</v>
      </c>
      <c r="O46">
        <f>LOOKUP(X46,Pays!A:A,Pays!D:D)</f>
        <v>0</v>
      </c>
      <c r="P46">
        <v>0.15</v>
      </c>
      <c r="Q46">
        <v>0.82</v>
      </c>
      <c r="U46">
        <v>1</v>
      </c>
      <c r="W46">
        <f>IF(COUNTIF(Pays!A:A,X46)=0,"",LOOKUP(X46,Pays!A:A,Pays!E:E))</f>
        <v>0</v>
      </c>
      <c r="X46" s="8" t="s">
        <v>37</v>
      </c>
    </row>
    <row r="47" spans="1:24" x14ac:dyDescent="0.25">
      <c r="A47" t="s">
        <v>1150</v>
      </c>
      <c r="B47" t="s">
        <v>182</v>
      </c>
      <c r="C47" s="1">
        <f t="shared" si="1"/>
        <v>46174</v>
      </c>
      <c r="F47" t="s">
        <v>155</v>
      </c>
      <c r="G47" t="s">
        <v>260</v>
      </c>
      <c r="H47" t="s">
        <v>1209</v>
      </c>
      <c r="I47" t="s">
        <v>18</v>
      </c>
      <c r="J47" t="str">
        <f>IF(COUNTIF(Pays!A:A,X47)=0,"Pays inconnu",_xlfn.XLOOKUP(X47,Pays!A:A,Pays!B:B))</f>
        <v>CH</v>
      </c>
      <c r="K47" t="str">
        <f>IF(COUNTIF(Pays!A:A,X47)=0,"Pays inconnu",_xlfn.XLOOKUP(X47,Pays!A:A,Pays!C:C))</f>
        <v>1_CH</v>
      </c>
      <c r="L47">
        <v>1</v>
      </c>
      <c r="M47">
        <f t="shared" si="0"/>
        <v>0.23</v>
      </c>
      <c r="N47" t="s">
        <v>20</v>
      </c>
      <c r="O47">
        <f>LOOKUP(X47,Pays!A:A,Pays!D:D)</f>
        <v>0</v>
      </c>
      <c r="P47">
        <v>0.15</v>
      </c>
      <c r="Q47">
        <v>0.23</v>
      </c>
      <c r="U47">
        <v>1</v>
      </c>
      <c r="W47">
        <f>IF(COUNTIF(Pays!A:A,X47)=0,"",LOOKUP(X47,Pays!A:A,Pays!E:E))</f>
        <v>0</v>
      </c>
      <c r="X47" s="8" t="s">
        <v>37</v>
      </c>
    </row>
    <row r="48" spans="1:24" x14ac:dyDescent="0.25">
      <c r="A48" t="s">
        <v>1150</v>
      </c>
      <c r="B48" t="s">
        <v>182</v>
      </c>
      <c r="C48" s="1">
        <f t="shared" si="1"/>
        <v>46174</v>
      </c>
      <c r="F48" t="s">
        <v>155</v>
      </c>
      <c r="G48" t="s">
        <v>261</v>
      </c>
      <c r="H48" t="s">
        <v>1210</v>
      </c>
      <c r="I48" t="s">
        <v>18</v>
      </c>
      <c r="J48" t="str">
        <f>IF(COUNTIF(Pays!A:A,X48)=0,"Pays inconnu",_xlfn.XLOOKUP(X48,Pays!A:A,Pays!B:B))</f>
        <v>CH</v>
      </c>
      <c r="K48" t="str">
        <f>IF(COUNTIF(Pays!A:A,X48)=0,"Pays inconnu",_xlfn.XLOOKUP(X48,Pays!A:A,Pays!C:C))</f>
        <v>1_CH</v>
      </c>
      <c r="L48">
        <v>1</v>
      </c>
      <c r="M48">
        <f t="shared" si="0"/>
        <v>0.2</v>
      </c>
      <c r="N48" t="s">
        <v>20</v>
      </c>
      <c r="O48">
        <f>LOOKUP(X48,Pays!A:A,Pays!D:D)</f>
        <v>0</v>
      </c>
      <c r="P48">
        <v>0.15</v>
      </c>
      <c r="Q48">
        <v>0.2</v>
      </c>
      <c r="U48">
        <v>1</v>
      </c>
      <c r="W48">
        <f>IF(COUNTIF(Pays!A:A,X48)=0,"",LOOKUP(X48,Pays!A:A,Pays!E:E))</f>
        <v>0</v>
      </c>
      <c r="X48" s="8" t="s">
        <v>37</v>
      </c>
    </row>
    <row r="49" spans="1:24" x14ac:dyDescent="0.25">
      <c r="A49" t="s">
        <v>1150</v>
      </c>
      <c r="B49" t="s">
        <v>182</v>
      </c>
      <c r="C49" s="1">
        <f t="shared" si="1"/>
        <v>46174</v>
      </c>
      <c r="F49" t="s">
        <v>155</v>
      </c>
      <c r="G49" t="s">
        <v>262</v>
      </c>
      <c r="H49" t="s">
        <v>1211</v>
      </c>
      <c r="I49" t="s">
        <v>18</v>
      </c>
      <c r="J49" t="str">
        <f>IF(COUNTIF(Pays!A:A,X49)=0,"Pays inconnu",_xlfn.XLOOKUP(X49,Pays!A:A,Pays!B:B))</f>
        <v>GB</v>
      </c>
      <c r="K49" t="str">
        <f>IF(COUNTIF(Pays!A:A,X49)=0,"Pays inconnu",_xlfn.XLOOKUP(X49,Pays!A:A,Pays!C:C))</f>
        <v>1_GB</v>
      </c>
      <c r="L49">
        <v>1</v>
      </c>
      <c r="M49">
        <f t="shared" si="0"/>
        <v>0.15</v>
      </c>
      <c r="N49" t="s">
        <v>20</v>
      </c>
      <c r="O49">
        <f>LOOKUP(X49,Pays!A:A,Pays!D:D)</f>
        <v>0</v>
      </c>
      <c r="P49">
        <v>0.15</v>
      </c>
      <c r="Q49">
        <v>0.11</v>
      </c>
      <c r="U49">
        <v>1</v>
      </c>
      <c r="W49">
        <f>IF(COUNTIF(Pays!A:A,X49)=0,"",LOOKUP(X49,Pays!A:A,Pays!E:E))</f>
        <v>0</v>
      </c>
      <c r="X49" s="8" t="s">
        <v>30</v>
      </c>
    </row>
    <row r="50" spans="1:24" x14ac:dyDescent="0.25">
      <c r="A50" t="s">
        <v>1150</v>
      </c>
      <c r="B50" t="s">
        <v>182</v>
      </c>
      <c r="C50" s="1">
        <f t="shared" si="1"/>
        <v>46174</v>
      </c>
      <c r="F50" t="s">
        <v>155</v>
      </c>
      <c r="G50" t="s">
        <v>263</v>
      </c>
      <c r="H50" t="s">
        <v>1212</v>
      </c>
      <c r="I50" t="s">
        <v>18</v>
      </c>
      <c r="J50" t="str">
        <f>IF(COUNTIF(Pays!A:A,X50)=0,"Pays inconnu",_xlfn.XLOOKUP(X50,Pays!A:A,Pays!B:B))</f>
        <v>AT</v>
      </c>
      <c r="K50">
        <f>IF(COUNTIF(Pays!A:A,X50)=0,"Pays inconnu",_xlfn.XLOOKUP(X50,Pays!A:A,Pays!C:C))</f>
        <v>1</v>
      </c>
      <c r="L50">
        <v>1</v>
      </c>
      <c r="M50">
        <f t="shared" si="0"/>
        <v>1.1599999999999999</v>
      </c>
      <c r="N50" t="s">
        <v>20</v>
      </c>
      <c r="O50">
        <f>LOOKUP(X50,Pays!A:A,Pays!D:D)</f>
        <v>0.2</v>
      </c>
      <c r="P50">
        <v>0.15</v>
      </c>
      <c r="Q50">
        <v>1.1599999999999999</v>
      </c>
      <c r="U50">
        <v>1</v>
      </c>
      <c r="W50">
        <f>IF(COUNTIF(Pays!A:A,X50)=0,"",LOOKUP(X50,Pays!A:A,Pays!E:E))</f>
        <v>0</v>
      </c>
      <c r="X50" s="8" t="s">
        <v>43</v>
      </c>
    </row>
    <row r="51" spans="1:24" x14ac:dyDescent="0.25">
      <c r="A51" t="s">
        <v>1150</v>
      </c>
      <c r="B51" t="s">
        <v>182</v>
      </c>
      <c r="C51" s="1">
        <f t="shared" si="1"/>
        <v>46174</v>
      </c>
      <c r="F51" t="s">
        <v>155</v>
      </c>
      <c r="G51" t="s">
        <v>264</v>
      </c>
      <c r="H51" t="s">
        <v>1213</v>
      </c>
      <c r="I51" t="s">
        <v>18</v>
      </c>
      <c r="J51" t="str">
        <f>IF(COUNTIF(Pays!A:A,X51)=0,"Pays inconnu",_xlfn.XLOOKUP(X51,Pays!A:A,Pays!B:B))</f>
        <v>CH</v>
      </c>
      <c r="K51" t="str">
        <f>IF(COUNTIF(Pays!A:A,X51)=0,"Pays inconnu",_xlfn.XLOOKUP(X51,Pays!A:A,Pays!C:C))</f>
        <v>1_CH</v>
      </c>
      <c r="L51">
        <v>1</v>
      </c>
      <c r="M51">
        <f t="shared" si="0"/>
        <v>0.27</v>
      </c>
      <c r="N51" t="s">
        <v>20</v>
      </c>
      <c r="O51">
        <f>LOOKUP(X51,Pays!A:A,Pays!D:D)</f>
        <v>0</v>
      </c>
      <c r="P51">
        <v>0.15</v>
      </c>
      <c r="Q51">
        <v>0.27</v>
      </c>
      <c r="U51">
        <v>1</v>
      </c>
      <c r="W51">
        <f>IF(COUNTIF(Pays!A:A,X51)=0,"",LOOKUP(X51,Pays!A:A,Pays!E:E))</f>
        <v>0</v>
      </c>
      <c r="X51" s="8" t="s">
        <v>37</v>
      </c>
    </row>
    <row r="52" spans="1:24" x14ac:dyDescent="0.25">
      <c r="A52" t="s">
        <v>1150</v>
      </c>
      <c r="B52" t="s">
        <v>182</v>
      </c>
      <c r="C52" s="1">
        <f t="shared" si="1"/>
        <v>46174</v>
      </c>
      <c r="F52" t="s">
        <v>155</v>
      </c>
      <c r="G52" t="s">
        <v>265</v>
      </c>
      <c r="H52" t="s">
        <v>1214</v>
      </c>
      <c r="I52" t="s">
        <v>18</v>
      </c>
      <c r="J52" t="str">
        <f>IF(COUNTIF(Pays!A:A,X52)=0,"Pays inconnu",_xlfn.XLOOKUP(X52,Pays!A:A,Pays!B:B))</f>
        <v>CH</v>
      </c>
      <c r="K52" t="str">
        <f>IF(COUNTIF(Pays!A:A,X52)=0,"Pays inconnu",_xlfn.XLOOKUP(X52,Pays!A:A,Pays!C:C))</f>
        <v>1_CH</v>
      </c>
      <c r="L52">
        <v>1</v>
      </c>
      <c r="M52">
        <f t="shared" si="0"/>
        <v>0.23</v>
      </c>
      <c r="N52" t="s">
        <v>20</v>
      </c>
      <c r="O52">
        <f>LOOKUP(X52,Pays!A:A,Pays!D:D)</f>
        <v>0</v>
      </c>
      <c r="P52">
        <v>0.15</v>
      </c>
      <c r="Q52">
        <v>0.23</v>
      </c>
      <c r="U52">
        <v>1</v>
      </c>
      <c r="W52">
        <f>IF(COUNTIF(Pays!A:A,X52)=0,"",LOOKUP(X52,Pays!A:A,Pays!E:E))</f>
        <v>0</v>
      </c>
      <c r="X52" s="8" t="s">
        <v>37</v>
      </c>
    </row>
    <row r="53" spans="1:24" x14ac:dyDescent="0.25">
      <c r="A53" t="s">
        <v>1150</v>
      </c>
      <c r="B53" t="s">
        <v>182</v>
      </c>
      <c r="C53" s="1">
        <f t="shared" si="1"/>
        <v>46174</v>
      </c>
      <c r="F53" t="s">
        <v>155</v>
      </c>
      <c r="G53" t="s">
        <v>266</v>
      </c>
      <c r="H53" t="s">
        <v>1215</v>
      </c>
      <c r="I53" t="s">
        <v>18</v>
      </c>
      <c r="J53" t="str">
        <f>IF(COUNTIF(Pays!A:A,X53)=0,"Pays inconnu",_xlfn.XLOOKUP(X53,Pays!A:A,Pays!B:B))</f>
        <v>CH</v>
      </c>
      <c r="K53" t="str">
        <f>IF(COUNTIF(Pays!A:A,X53)=0,"Pays inconnu",_xlfn.XLOOKUP(X53,Pays!A:A,Pays!C:C))</f>
        <v>1_CH</v>
      </c>
      <c r="L53">
        <v>1</v>
      </c>
      <c r="M53">
        <f t="shared" si="0"/>
        <v>0.66</v>
      </c>
      <c r="N53" t="s">
        <v>20</v>
      </c>
      <c r="O53">
        <f>LOOKUP(X53,Pays!A:A,Pays!D:D)</f>
        <v>0</v>
      </c>
      <c r="P53">
        <v>0.15</v>
      </c>
      <c r="Q53">
        <v>0.66</v>
      </c>
      <c r="U53">
        <v>1</v>
      </c>
      <c r="W53">
        <f>IF(COUNTIF(Pays!A:A,X53)=0,"",LOOKUP(X53,Pays!A:A,Pays!E:E))</f>
        <v>0</v>
      </c>
      <c r="X53" s="8" t="s">
        <v>37</v>
      </c>
    </row>
    <row r="54" spans="1:24" x14ac:dyDescent="0.25">
      <c r="A54" t="s">
        <v>1150</v>
      </c>
      <c r="B54" t="s">
        <v>182</v>
      </c>
      <c r="C54" s="1">
        <f t="shared" si="1"/>
        <v>46174</v>
      </c>
      <c r="F54" t="s">
        <v>155</v>
      </c>
      <c r="G54" t="s">
        <v>267</v>
      </c>
      <c r="H54" t="s">
        <v>1216</v>
      </c>
      <c r="I54" t="s">
        <v>18</v>
      </c>
      <c r="J54" t="str">
        <f>IF(COUNTIF(Pays!A:A,X54)=0,"Pays inconnu",_xlfn.XLOOKUP(X54,Pays!A:A,Pays!B:B))</f>
        <v>CH</v>
      </c>
      <c r="K54" t="str">
        <f>IF(COUNTIF(Pays!A:A,X54)=0,"Pays inconnu",_xlfn.XLOOKUP(X54,Pays!A:A,Pays!C:C))</f>
        <v>1_CH</v>
      </c>
      <c r="L54">
        <v>1</v>
      </c>
      <c r="M54">
        <f t="shared" si="0"/>
        <v>0.43</v>
      </c>
      <c r="N54" t="s">
        <v>20</v>
      </c>
      <c r="O54">
        <f>LOOKUP(X54,Pays!A:A,Pays!D:D)</f>
        <v>0</v>
      </c>
      <c r="P54">
        <v>0.15</v>
      </c>
      <c r="Q54">
        <v>0.43</v>
      </c>
      <c r="U54">
        <v>1</v>
      </c>
      <c r="W54">
        <f>IF(COUNTIF(Pays!A:A,X54)=0,"",LOOKUP(X54,Pays!A:A,Pays!E:E))</f>
        <v>0</v>
      </c>
      <c r="X54" s="8" t="s">
        <v>37</v>
      </c>
    </row>
    <row r="55" spans="1:24" x14ac:dyDescent="0.25">
      <c r="A55" t="s">
        <v>1150</v>
      </c>
      <c r="B55" t="s">
        <v>182</v>
      </c>
      <c r="C55" s="1">
        <f t="shared" si="1"/>
        <v>46174</v>
      </c>
      <c r="F55" t="s">
        <v>155</v>
      </c>
      <c r="G55" t="s">
        <v>268</v>
      </c>
      <c r="H55" t="s">
        <v>1217</v>
      </c>
      <c r="I55" t="s">
        <v>18</v>
      </c>
      <c r="J55" t="str">
        <f>IF(COUNTIF(Pays!A:A,X55)=0,"Pays inconnu",_xlfn.XLOOKUP(X55,Pays!A:A,Pays!B:B))</f>
        <v>CH</v>
      </c>
      <c r="K55" t="str">
        <f>IF(COUNTIF(Pays!A:A,X55)=0,"Pays inconnu",_xlfn.XLOOKUP(X55,Pays!A:A,Pays!C:C))</f>
        <v>1_CH</v>
      </c>
      <c r="L55">
        <v>1</v>
      </c>
      <c r="M55">
        <f t="shared" si="0"/>
        <v>0.35</v>
      </c>
      <c r="N55" t="s">
        <v>20</v>
      </c>
      <c r="O55">
        <f>LOOKUP(X55,Pays!A:A,Pays!D:D)</f>
        <v>0</v>
      </c>
      <c r="P55">
        <v>0.15</v>
      </c>
      <c r="Q55">
        <v>0.35</v>
      </c>
      <c r="U55">
        <v>1</v>
      </c>
      <c r="W55">
        <f>IF(COUNTIF(Pays!A:A,X55)=0,"",LOOKUP(X55,Pays!A:A,Pays!E:E))</f>
        <v>0</v>
      </c>
      <c r="X55" s="8" t="s">
        <v>37</v>
      </c>
    </row>
    <row r="56" spans="1:24" x14ac:dyDescent="0.25">
      <c r="A56" t="s">
        <v>1150</v>
      </c>
      <c r="B56" t="s">
        <v>182</v>
      </c>
      <c r="C56" s="1">
        <f t="shared" si="1"/>
        <v>46174</v>
      </c>
      <c r="F56" t="s">
        <v>155</v>
      </c>
      <c r="G56" t="s">
        <v>269</v>
      </c>
      <c r="H56" t="s">
        <v>1218</v>
      </c>
      <c r="I56" t="s">
        <v>18</v>
      </c>
      <c r="J56" t="str">
        <f>IF(COUNTIF(Pays!A:A,X56)=0,"Pays inconnu",_xlfn.XLOOKUP(X56,Pays!A:A,Pays!B:B))</f>
        <v>CH</v>
      </c>
      <c r="K56" t="str">
        <f>IF(COUNTIF(Pays!A:A,X56)=0,"Pays inconnu",_xlfn.XLOOKUP(X56,Pays!A:A,Pays!C:C))</f>
        <v>1_CH</v>
      </c>
      <c r="L56">
        <v>1</v>
      </c>
      <c r="M56">
        <f t="shared" si="0"/>
        <v>0.15</v>
      </c>
      <c r="N56" t="s">
        <v>20</v>
      </c>
      <c r="O56">
        <f>LOOKUP(X56,Pays!A:A,Pays!D:D)</f>
        <v>0</v>
      </c>
      <c r="P56">
        <v>0.15</v>
      </c>
      <c r="Q56">
        <v>0.15</v>
      </c>
      <c r="U56">
        <v>1</v>
      </c>
      <c r="W56">
        <f>IF(COUNTIF(Pays!A:A,X56)=0,"",LOOKUP(X56,Pays!A:A,Pays!E:E))</f>
        <v>0</v>
      </c>
      <c r="X56" s="8" t="s">
        <v>37</v>
      </c>
    </row>
    <row r="57" spans="1:24" x14ac:dyDescent="0.25">
      <c r="A57" t="s">
        <v>1150</v>
      </c>
      <c r="B57" t="s">
        <v>182</v>
      </c>
      <c r="C57" s="1">
        <f t="shared" si="1"/>
        <v>46174</v>
      </c>
      <c r="F57" t="s">
        <v>155</v>
      </c>
      <c r="G57" t="s">
        <v>270</v>
      </c>
      <c r="H57" t="s">
        <v>1219</v>
      </c>
      <c r="I57" t="s">
        <v>18</v>
      </c>
      <c r="J57" t="str">
        <f>IF(COUNTIF(Pays!A:A,X57)=0,"Pays inconnu",_xlfn.XLOOKUP(X57,Pays!A:A,Pays!B:B))</f>
        <v>GB</v>
      </c>
      <c r="K57" t="str">
        <f>IF(COUNTIF(Pays!A:A,X57)=0,"Pays inconnu",_xlfn.XLOOKUP(X57,Pays!A:A,Pays!C:C))</f>
        <v>1_GB</v>
      </c>
      <c r="L57">
        <v>1</v>
      </c>
      <c r="M57">
        <f t="shared" si="0"/>
        <v>0.15</v>
      </c>
      <c r="N57" t="s">
        <v>20</v>
      </c>
      <c r="O57">
        <f>LOOKUP(X57,Pays!A:A,Pays!D:D)</f>
        <v>0</v>
      </c>
      <c r="P57">
        <v>0.15</v>
      </c>
      <c r="Q57">
        <v>0.13</v>
      </c>
      <c r="U57">
        <v>1</v>
      </c>
      <c r="W57">
        <f>IF(COUNTIF(Pays!A:A,X57)=0,"",LOOKUP(X57,Pays!A:A,Pays!E:E))</f>
        <v>0</v>
      </c>
      <c r="X57" s="8" t="s">
        <v>30</v>
      </c>
    </row>
    <row r="58" spans="1:24" x14ac:dyDescent="0.25">
      <c r="A58" t="s">
        <v>1150</v>
      </c>
      <c r="B58" t="s">
        <v>182</v>
      </c>
      <c r="C58" s="1">
        <f t="shared" si="1"/>
        <v>46174</v>
      </c>
      <c r="F58" t="s">
        <v>155</v>
      </c>
      <c r="G58" t="s">
        <v>271</v>
      </c>
      <c r="H58" t="s">
        <v>1220</v>
      </c>
      <c r="I58" t="s">
        <v>18</v>
      </c>
      <c r="J58" t="str">
        <f>IF(COUNTIF(Pays!A:A,X58)=0,"Pays inconnu",_xlfn.XLOOKUP(X58,Pays!A:A,Pays!B:B))</f>
        <v>CH</v>
      </c>
      <c r="K58" t="str">
        <f>IF(COUNTIF(Pays!A:A,X58)=0,"Pays inconnu",_xlfn.XLOOKUP(X58,Pays!A:A,Pays!C:C))</f>
        <v>1_CH</v>
      </c>
      <c r="L58">
        <v>1</v>
      </c>
      <c r="M58">
        <f t="shared" si="0"/>
        <v>0.28000000000000003</v>
      </c>
      <c r="N58" t="s">
        <v>20</v>
      </c>
      <c r="O58">
        <f>LOOKUP(X58,Pays!A:A,Pays!D:D)</f>
        <v>0</v>
      </c>
      <c r="P58">
        <v>0.15</v>
      </c>
      <c r="Q58">
        <v>0.28000000000000003</v>
      </c>
      <c r="U58">
        <v>1</v>
      </c>
      <c r="W58">
        <f>IF(COUNTIF(Pays!A:A,X58)=0,"",LOOKUP(X58,Pays!A:A,Pays!E:E))</f>
        <v>0</v>
      </c>
      <c r="X58" s="8" t="s">
        <v>37</v>
      </c>
    </row>
    <row r="59" spans="1:24" x14ac:dyDescent="0.25">
      <c r="A59" t="s">
        <v>1150</v>
      </c>
      <c r="B59" t="s">
        <v>182</v>
      </c>
      <c r="C59" s="1">
        <f t="shared" si="1"/>
        <v>46174</v>
      </c>
      <c r="F59" t="s">
        <v>155</v>
      </c>
      <c r="G59" t="s">
        <v>272</v>
      </c>
      <c r="H59" t="s">
        <v>1221</v>
      </c>
      <c r="I59" t="s">
        <v>18</v>
      </c>
      <c r="J59" t="str">
        <f>IF(COUNTIF(Pays!A:A,X59)=0,"Pays inconnu",_xlfn.XLOOKUP(X59,Pays!A:A,Pays!B:B))</f>
        <v>GB</v>
      </c>
      <c r="K59" t="str">
        <f>IF(COUNTIF(Pays!A:A,X59)=0,"Pays inconnu",_xlfn.XLOOKUP(X59,Pays!A:A,Pays!C:C))</f>
        <v>1_GB</v>
      </c>
      <c r="L59">
        <v>1</v>
      </c>
      <c r="M59">
        <f t="shared" si="0"/>
        <v>0.15</v>
      </c>
      <c r="N59" t="s">
        <v>20</v>
      </c>
      <c r="O59">
        <f>LOOKUP(X59,Pays!A:A,Pays!D:D)</f>
        <v>0</v>
      </c>
      <c r="P59">
        <v>0.15</v>
      </c>
      <c r="Q59">
        <v>0.11</v>
      </c>
      <c r="U59">
        <v>1</v>
      </c>
      <c r="W59">
        <f>IF(COUNTIF(Pays!A:A,X59)=0,"",LOOKUP(X59,Pays!A:A,Pays!E:E))</f>
        <v>0</v>
      </c>
      <c r="X59" s="8" t="s">
        <v>30</v>
      </c>
    </row>
    <row r="60" spans="1:24" x14ac:dyDescent="0.25">
      <c r="A60" t="s">
        <v>1150</v>
      </c>
      <c r="B60" t="s">
        <v>182</v>
      </c>
      <c r="C60" s="1">
        <f t="shared" si="1"/>
        <v>46174</v>
      </c>
      <c r="F60" t="s">
        <v>155</v>
      </c>
      <c r="G60" t="s">
        <v>273</v>
      </c>
      <c r="H60" t="s">
        <v>1222</v>
      </c>
      <c r="I60" t="s">
        <v>18</v>
      </c>
      <c r="J60" t="str">
        <f>IF(COUNTIF(Pays!A:A,X60)=0,"Pays inconnu",_xlfn.XLOOKUP(X60,Pays!A:A,Pays!B:B))</f>
        <v>CH</v>
      </c>
      <c r="K60" t="str">
        <f>IF(COUNTIF(Pays!A:A,X60)=0,"Pays inconnu",_xlfn.XLOOKUP(X60,Pays!A:A,Pays!C:C))</f>
        <v>1_CH</v>
      </c>
      <c r="L60">
        <v>1</v>
      </c>
      <c r="M60">
        <f t="shared" si="0"/>
        <v>0.3</v>
      </c>
      <c r="N60" t="s">
        <v>20</v>
      </c>
      <c r="O60">
        <f>LOOKUP(X60,Pays!A:A,Pays!D:D)</f>
        <v>0</v>
      </c>
      <c r="P60">
        <v>0.15</v>
      </c>
      <c r="Q60">
        <v>0.3</v>
      </c>
      <c r="U60">
        <v>1</v>
      </c>
      <c r="W60">
        <f>IF(COUNTIF(Pays!A:A,X60)=0,"",LOOKUP(X60,Pays!A:A,Pays!E:E))</f>
        <v>0</v>
      </c>
      <c r="X60" s="8" t="s">
        <v>37</v>
      </c>
    </row>
    <row r="61" spans="1:24" x14ac:dyDescent="0.25">
      <c r="A61" t="s">
        <v>1150</v>
      </c>
      <c r="B61" t="s">
        <v>182</v>
      </c>
      <c r="C61" s="1">
        <f t="shared" si="1"/>
        <v>46174</v>
      </c>
      <c r="F61" t="s">
        <v>155</v>
      </c>
      <c r="G61" t="s">
        <v>274</v>
      </c>
      <c r="H61" t="s">
        <v>1223</v>
      </c>
      <c r="I61" t="s">
        <v>18</v>
      </c>
      <c r="J61" t="str">
        <f>IF(COUNTIF(Pays!A:A,X61)=0,"Pays inconnu",_xlfn.XLOOKUP(X61,Pays!A:A,Pays!B:B))</f>
        <v>CH</v>
      </c>
      <c r="K61" t="str">
        <f>IF(COUNTIF(Pays!A:A,X61)=0,"Pays inconnu",_xlfn.XLOOKUP(X61,Pays!A:A,Pays!C:C))</f>
        <v>1_CH</v>
      </c>
      <c r="L61">
        <v>1</v>
      </c>
      <c r="M61">
        <f t="shared" si="0"/>
        <v>1.28</v>
      </c>
      <c r="N61" t="s">
        <v>20</v>
      </c>
      <c r="O61">
        <f>LOOKUP(X61,Pays!A:A,Pays!D:D)</f>
        <v>0</v>
      </c>
      <c r="P61">
        <v>0.15</v>
      </c>
      <c r="Q61">
        <v>1.28</v>
      </c>
      <c r="U61">
        <v>1</v>
      </c>
      <c r="W61">
        <f>IF(COUNTIF(Pays!A:A,X61)=0,"",LOOKUP(X61,Pays!A:A,Pays!E:E))</f>
        <v>0</v>
      </c>
      <c r="X61" s="8" t="s">
        <v>37</v>
      </c>
    </row>
    <row r="62" spans="1:24" x14ac:dyDescent="0.25">
      <c r="A62" t="s">
        <v>1150</v>
      </c>
      <c r="B62" t="s">
        <v>182</v>
      </c>
      <c r="C62" s="1">
        <f t="shared" si="1"/>
        <v>46174</v>
      </c>
      <c r="F62" t="s">
        <v>155</v>
      </c>
      <c r="G62" t="s">
        <v>275</v>
      </c>
      <c r="H62" t="s">
        <v>1224</v>
      </c>
      <c r="I62" t="s">
        <v>18</v>
      </c>
      <c r="J62" t="str">
        <f>IF(COUNTIF(Pays!A:A,X62)=0,"Pays inconnu",_xlfn.XLOOKUP(X62,Pays!A:A,Pays!B:B))</f>
        <v>CH</v>
      </c>
      <c r="K62" t="str">
        <f>IF(COUNTIF(Pays!A:A,X62)=0,"Pays inconnu",_xlfn.XLOOKUP(X62,Pays!A:A,Pays!C:C))</f>
        <v>1_CH</v>
      </c>
      <c r="L62">
        <v>1</v>
      </c>
      <c r="M62">
        <f t="shared" si="0"/>
        <v>0.72</v>
      </c>
      <c r="N62" t="s">
        <v>20</v>
      </c>
      <c r="O62">
        <f>LOOKUP(X62,Pays!A:A,Pays!D:D)</f>
        <v>0</v>
      </c>
      <c r="P62">
        <v>0.15</v>
      </c>
      <c r="Q62">
        <v>0.72</v>
      </c>
      <c r="U62">
        <v>1</v>
      </c>
      <c r="W62">
        <f>IF(COUNTIF(Pays!A:A,X62)=0,"",LOOKUP(X62,Pays!A:A,Pays!E:E))</f>
        <v>0</v>
      </c>
      <c r="X62" s="8" t="s">
        <v>37</v>
      </c>
    </row>
    <row r="63" spans="1:24" x14ac:dyDescent="0.25">
      <c r="A63" t="s">
        <v>1150</v>
      </c>
      <c r="B63" t="s">
        <v>182</v>
      </c>
      <c r="C63" s="1">
        <f t="shared" si="1"/>
        <v>46174</v>
      </c>
      <c r="F63" t="s">
        <v>155</v>
      </c>
      <c r="G63" t="s">
        <v>276</v>
      </c>
      <c r="H63" t="s">
        <v>1225</v>
      </c>
      <c r="I63" t="s">
        <v>18</v>
      </c>
      <c r="J63" t="str">
        <f>IF(COUNTIF(Pays!A:A,X63)=0,"Pays inconnu",_xlfn.XLOOKUP(X63,Pays!A:A,Pays!B:B))</f>
        <v>GB</v>
      </c>
      <c r="K63" t="str">
        <f>IF(COUNTIF(Pays!A:A,X63)=0,"Pays inconnu",_xlfn.XLOOKUP(X63,Pays!A:A,Pays!C:C))</f>
        <v>1_GB</v>
      </c>
      <c r="L63">
        <v>1</v>
      </c>
      <c r="M63">
        <f t="shared" si="0"/>
        <v>0.15</v>
      </c>
      <c r="N63" t="s">
        <v>20</v>
      </c>
      <c r="O63">
        <f>LOOKUP(X63,Pays!A:A,Pays!D:D)</f>
        <v>0</v>
      </c>
      <c r="P63">
        <v>0.15</v>
      </c>
      <c r="Q63">
        <v>0.15</v>
      </c>
      <c r="U63">
        <v>1</v>
      </c>
      <c r="W63">
        <f>IF(COUNTIF(Pays!A:A,X63)=0,"",LOOKUP(X63,Pays!A:A,Pays!E:E))</f>
        <v>0</v>
      </c>
      <c r="X63" s="8" t="s">
        <v>30</v>
      </c>
    </row>
    <row r="64" spans="1:24" x14ac:dyDescent="0.25">
      <c r="A64" t="s">
        <v>1150</v>
      </c>
      <c r="B64" t="s">
        <v>182</v>
      </c>
      <c r="C64" s="1">
        <f t="shared" si="1"/>
        <v>46174</v>
      </c>
      <c r="F64" t="s">
        <v>155</v>
      </c>
      <c r="G64" t="s">
        <v>277</v>
      </c>
      <c r="H64" t="s">
        <v>1226</v>
      </c>
      <c r="I64" t="s">
        <v>18</v>
      </c>
      <c r="J64" t="str">
        <f>IF(COUNTIF(Pays!A:A,X64)=0,"Pays inconnu",_xlfn.XLOOKUP(X64,Pays!A:A,Pays!B:B))</f>
        <v>BE</v>
      </c>
      <c r="K64" t="str">
        <f>IF(COUNTIF(Pays!A:A,X64)=0,"Pays inconnu",_xlfn.XLOOKUP(X64,Pays!A:A,Pays!C:C))</f>
        <v>1_BE</v>
      </c>
      <c r="L64">
        <v>1</v>
      </c>
      <c r="M64">
        <f t="shared" si="0"/>
        <v>0.15</v>
      </c>
      <c r="N64" t="s">
        <v>20</v>
      </c>
      <c r="O64">
        <f>LOOKUP(X64,Pays!A:A,Pays!D:D)</f>
        <v>0.2</v>
      </c>
      <c r="P64">
        <v>0.15</v>
      </c>
      <c r="Q64" t="s">
        <v>2007</v>
      </c>
      <c r="U64">
        <v>1</v>
      </c>
      <c r="W64">
        <f>IF(COUNTIF(Pays!A:A,X64)=0,"",LOOKUP(X64,Pays!A:A,Pays!E:E))</f>
        <v>0</v>
      </c>
      <c r="X64" s="8" t="s">
        <v>28</v>
      </c>
    </row>
    <row r="65" spans="1:24" x14ac:dyDescent="0.25">
      <c r="A65" t="s">
        <v>1150</v>
      </c>
      <c r="B65" t="s">
        <v>182</v>
      </c>
      <c r="C65" s="1">
        <f t="shared" si="1"/>
        <v>46174</v>
      </c>
      <c r="F65" t="s">
        <v>155</v>
      </c>
      <c r="G65" t="s">
        <v>278</v>
      </c>
      <c r="H65" t="s">
        <v>1227</v>
      </c>
      <c r="I65" t="s">
        <v>18</v>
      </c>
      <c r="J65" t="str">
        <f>IF(COUNTIF(Pays!A:A,X65)=0,"Pays inconnu",_xlfn.XLOOKUP(X65,Pays!A:A,Pays!B:B))</f>
        <v>CH</v>
      </c>
      <c r="K65" t="str">
        <f>IF(COUNTIF(Pays!A:A,X65)=0,"Pays inconnu",_xlfn.XLOOKUP(X65,Pays!A:A,Pays!C:C))</f>
        <v>1_CH</v>
      </c>
      <c r="L65">
        <v>1</v>
      </c>
      <c r="M65">
        <f t="shared" si="0"/>
        <v>0.15</v>
      </c>
      <c r="N65" t="s">
        <v>20</v>
      </c>
      <c r="O65">
        <f>LOOKUP(X65,Pays!A:A,Pays!D:D)</f>
        <v>0</v>
      </c>
      <c r="P65">
        <v>0.15</v>
      </c>
      <c r="Q65" t="s">
        <v>2007</v>
      </c>
      <c r="U65">
        <v>1</v>
      </c>
      <c r="W65">
        <f>IF(COUNTIF(Pays!A:A,X65)=0,"",LOOKUP(X65,Pays!A:A,Pays!E:E))</f>
        <v>0</v>
      </c>
      <c r="X65" s="8" t="s">
        <v>37</v>
      </c>
    </row>
    <row r="66" spans="1:24" x14ac:dyDescent="0.25">
      <c r="A66" t="s">
        <v>1150</v>
      </c>
      <c r="B66" t="s">
        <v>182</v>
      </c>
      <c r="C66" s="1">
        <f t="shared" si="1"/>
        <v>46174</v>
      </c>
      <c r="F66" t="s">
        <v>155</v>
      </c>
      <c r="G66" t="s">
        <v>279</v>
      </c>
      <c r="H66" t="s">
        <v>1228</v>
      </c>
      <c r="I66" t="s">
        <v>18</v>
      </c>
      <c r="J66" t="str">
        <f>IF(COUNTIF(Pays!A:A,X66)=0,"Pays inconnu",_xlfn.XLOOKUP(X66,Pays!A:A,Pays!B:B))</f>
        <v>GB</v>
      </c>
      <c r="K66" t="str">
        <f>IF(COUNTIF(Pays!A:A,X66)=0,"Pays inconnu",_xlfn.XLOOKUP(X66,Pays!A:A,Pays!C:C))</f>
        <v>1_GB</v>
      </c>
      <c r="L66">
        <v>1</v>
      </c>
      <c r="M66">
        <f t="shared" si="0"/>
        <v>0.56999999999999995</v>
      </c>
      <c r="N66" t="s">
        <v>20</v>
      </c>
      <c r="O66">
        <f>LOOKUP(X66,Pays!A:A,Pays!D:D)</f>
        <v>0</v>
      </c>
      <c r="P66">
        <v>0.15</v>
      </c>
      <c r="Q66">
        <v>0.56999999999999995</v>
      </c>
      <c r="U66">
        <v>1</v>
      </c>
      <c r="W66">
        <f>IF(COUNTIF(Pays!A:A,X66)=0,"",LOOKUP(X66,Pays!A:A,Pays!E:E))</f>
        <v>0</v>
      </c>
      <c r="X66" s="8" t="s">
        <v>30</v>
      </c>
    </row>
    <row r="67" spans="1:24" x14ac:dyDescent="0.25">
      <c r="A67" t="s">
        <v>1150</v>
      </c>
      <c r="B67" t="s">
        <v>182</v>
      </c>
      <c r="C67" s="1">
        <f t="shared" si="1"/>
        <v>46174</v>
      </c>
      <c r="F67" t="s">
        <v>155</v>
      </c>
      <c r="G67" t="s">
        <v>280</v>
      </c>
      <c r="H67" t="s">
        <v>1229</v>
      </c>
      <c r="I67" t="s">
        <v>18</v>
      </c>
      <c r="J67" t="str">
        <f>IF(COUNTIF(Pays!A:A,X67)=0,"Pays inconnu",_xlfn.XLOOKUP(X67,Pays!A:A,Pays!B:B))</f>
        <v>GB</v>
      </c>
      <c r="K67" t="str">
        <f>IF(COUNTIF(Pays!A:A,X67)=0,"Pays inconnu",_xlfn.XLOOKUP(X67,Pays!A:A,Pays!C:C))</f>
        <v>1_GB</v>
      </c>
      <c r="L67">
        <v>1</v>
      </c>
      <c r="M67">
        <f t="shared" ref="M67:M130" si="2">ROUND(MAX(P67:Q67),2)</f>
        <v>0.49</v>
      </c>
      <c r="N67" t="s">
        <v>20</v>
      </c>
      <c r="O67">
        <f>LOOKUP(X67,Pays!A:A,Pays!D:D)</f>
        <v>0</v>
      </c>
      <c r="P67">
        <v>0.15</v>
      </c>
      <c r="Q67">
        <v>0.49</v>
      </c>
      <c r="U67">
        <v>1</v>
      </c>
      <c r="W67">
        <f>IF(COUNTIF(Pays!A:A,X67)=0,"",LOOKUP(X67,Pays!A:A,Pays!E:E))</f>
        <v>0</v>
      </c>
      <c r="X67" s="8" t="s">
        <v>30</v>
      </c>
    </row>
    <row r="68" spans="1:24" x14ac:dyDescent="0.25">
      <c r="A68" t="s">
        <v>1150</v>
      </c>
      <c r="B68" t="s">
        <v>182</v>
      </c>
      <c r="C68" s="1">
        <f t="shared" ref="C68:C131" si="3">C67</f>
        <v>46174</v>
      </c>
      <c r="F68" t="s">
        <v>110</v>
      </c>
      <c r="G68" t="s">
        <v>281</v>
      </c>
      <c r="H68" t="s">
        <v>1230</v>
      </c>
      <c r="I68" t="s">
        <v>18</v>
      </c>
      <c r="J68" t="str">
        <f>IF(COUNTIF(Pays!A:A,X68)=0,"Pays inconnu",_xlfn.XLOOKUP(X68,Pays!A:A,Pays!B:B))</f>
        <v>GB</v>
      </c>
      <c r="K68" t="str">
        <f>IF(COUNTIF(Pays!A:A,X68)=0,"Pays inconnu",_xlfn.XLOOKUP(X68,Pays!A:A,Pays!C:C))</f>
        <v>1_GB</v>
      </c>
      <c r="L68">
        <v>1</v>
      </c>
      <c r="M68">
        <f t="shared" si="2"/>
        <v>0.9</v>
      </c>
      <c r="N68" t="s">
        <v>20</v>
      </c>
      <c r="O68">
        <f>LOOKUP(X68,Pays!A:A,Pays!D:D)</f>
        <v>0</v>
      </c>
      <c r="P68">
        <v>0.9</v>
      </c>
      <c r="Q68" t="s">
        <v>2007</v>
      </c>
      <c r="U68">
        <v>1</v>
      </c>
      <c r="W68">
        <f>IF(COUNTIF(Pays!A:A,X68)=0,"",LOOKUP(X68,Pays!A:A,Pays!E:E))</f>
        <v>0</v>
      </c>
      <c r="X68" s="8" t="s">
        <v>30</v>
      </c>
    </row>
    <row r="69" spans="1:24" x14ac:dyDescent="0.25">
      <c r="A69" t="s">
        <v>1150</v>
      </c>
      <c r="B69" t="s">
        <v>182</v>
      </c>
      <c r="C69" s="1">
        <f t="shared" si="3"/>
        <v>46174</v>
      </c>
      <c r="F69" t="s">
        <v>155</v>
      </c>
      <c r="G69" t="s">
        <v>282</v>
      </c>
      <c r="H69" t="s">
        <v>1231</v>
      </c>
      <c r="I69" t="s">
        <v>18</v>
      </c>
      <c r="J69" t="str">
        <f>IF(COUNTIF(Pays!A:A,X69)=0,"Pays inconnu",_xlfn.XLOOKUP(X69,Pays!A:A,Pays!B:B))</f>
        <v>CH</v>
      </c>
      <c r="K69" t="str">
        <f>IF(COUNTIF(Pays!A:A,X69)=0,"Pays inconnu",_xlfn.XLOOKUP(X69,Pays!A:A,Pays!C:C))</f>
        <v>1_CH</v>
      </c>
      <c r="L69">
        <v>1</v>
      </c>
      <c r="M69">
        <f t="shared" si="2"/>
        <v>0.17</v>
      </c>
      <c r="N69" t="s">
        <v>20</v>
      </c>
      <c r="O69">
        <f>LOOKUP(X69,Pays!A:A,Pays!D:D)</f>
        <v>0</v>
      </c>
      <c r="P69">
        <v>0.15</v>
      </c>
      <c r="Q69">
        <v>0.17</v>
      </c>
      <c r="U69">
        <v>1</v>
      </c>
      <c r="W69">
        <f>IF(COUNTIF(Pays!A:A,X69)=0,"",LOOKUP(X69,Pays!A:A,Pays!E:E))</f>
        <v>0</v>
      </c>
      <c r="X69" s="8" t="s">
        <v>37</v>
      </c>
    </row>
    <row r="70" spans="1:24" x14ac:dyDescent="0.25">
      <c r="A70" t="s">
        <v>1150</v>
      </c>
      <c r="B70" t="s">
        <v>182</v>
      </c>
      <c r="C70" s="1">
        <f t="shared" si="3"/>
        <v>46174</v>
      </c>
      <c r="F70" t="s">
        <v>155</v>
      </c>
      <c r="G70" t="s">
        <v>283</v>
      </c>
      <c r="H70" t="s">
        <v>1232</v>
      </c>
      <c r="I70" t="s">
        <v>18</v>
      </c>
      <c r="J70" t="str">
        <f>IF(COUNTIF(Pays!A:A,X70)=0,"Pays inconnu",_xlfn.XLOOKUP(X70,Pays!A:A,Pays!B:B))</f>
        <v>GB</v>
      </c>
      <c r="K70" t="str">
        <f>IF(COUNTIF(Pays!A:A,X70)=0,"Pays inconnu",_xlfn.XLOOKUP(X70,Pays!A:A,Pays!C:C))</f>
        <v>1_GB</v>
      </c>
      <c r="L70">
        <v>1</v>
      </c>
      <c r="M70">
        <f t="shared" si="2"/>
        <v>0.59</v>
      </c>
      <c r="N70" t="s">
        <v>20</v>
      </c>
      <c r="O70">
        <f>LOOKUP(X70,Pays!A:A,Pays!D:D)</f>
        <v>0</v>
      </c>
      <c r="P70">
        <v>0.15</v>
      </c>
      <c r="Q70">
        <v>0.59</v>
      </c>
      <c r="U70">
        <v>1</v>
      </c>
      <c r="W70">
        <f>IF(COUNTIF(Pays!A:A,X70)=0,"",LOOKUP(X70,Pays!A:A,Pays!E:E))</f>
        <v>0</v>
      </c>
      <c r="X70" s="8" t="s">
        <v>30</v>
      </c>
    </row>
    <row r="71" spans="1:24" x14ac:dyDescent="0.25">
      <c r="A71" t="s">
        <v>1150</v>
      </c>
      <c r="B71" t="s">
        <v>182</v>
      </c>
      <c r="C71" s="1">
        <f t="shared" si="3"/>
        <v>46174</v>
      </c>
      <c r="F71" t="s">
        <v>155</v>
      </c>
      <c r="G71" t="s">
        <v>284</v>
      </c>
      <c r="H71" t="s">
        <v>1233</v>
      </c>
      <c r="I71" t="s">
        <v>18</v>
      </c>
      <c r="J71" t="str">
        <f>IF(COUNTIF(Pays!A:A,X71)=0,"Pays inconnu",_xlfn.XLOOKUP(X71,Pays!A:A,Pays!B:B))</f>
        <v>CH</v>
      </c>
      <c r="K71" t="str">
        <f>IF(COUNTIF(Pays!A:A,X71)=0,"Pays inconnu",_xlfn.XLOOKUP(X71,Pays!A:A,Pays!C:C))</f>
        <v>1_CH</v>
      </c>
      <c r="L71">
        <v>1</v>
      </c>
      <c r="M71">
        <f t="shared" si="2"/>
        <v>0.45</v>
      </c>
      <c r="N71" t="s">
        <v>20</v>
      </c>
      <c r="O71">
        <f>LOOKUP(X71,Pays!A:A,Pays!D:D)</f>
        <v>0</v>
      </c>
      <c r="P71">
        <v>0.15</v>
      </c>
      <c r="Q71">
        <v>0.45</v>
      </c>
      <c r="U71">
        <v>1</v>
      </c>
      <c r="W71">
        <f>IF(COUNTIF(Pays!A:A,X71)=0,"",LOOKUP(X71,Pays!A:A,Pays!E:E))</f>
        <v>0</v>
      </c>
      <c r="X71" s="8" t="s">
        <v>37</v>
      </c>
    </row>
    <row r="72" spans="1:24" x14ac:dyDescent="0.25">
      <c r="A72" t="s">
        <v>1150</v>
      </c>
      <c r="B72" t="s">
        <v>182</v>
      </c>
      <c r="C72" s="1">
        <f t="shared" si="3"/>
        <v>46174</v>
      </c>
      <c r="F72" t="s">
        <v>110</v>
      </c>
      <c r="G72" t="s">
        <v>285</v>
      </c>
      <c r="H72" t="s">
        <v>1234</v>
      </c>
      <c r="I72" t="s">
        <v>18</v>
      </c>
      <c r="J72" t="str">
        <f>IF(COUNTIF(Pays!A:A,X72)=0,"Pays inconnu",_xlfn.XLOOKUP(X72,Pays!A:A,Pays!B:B))</f>
        <v>BE</v>
      </c>
      <c r="K72" t="str">
        <f>IF(COUNTIF(Pays!A:A,X72)=0,"Pays inconnu",_xlfn.XLOOKUP(X72,Pays!A:A,Pays!C:C))</f>
        <v>1_BE</v>
      </c>
      <c r="L72">
        <v>1</v>
      </c>
      <c r="M72">
        <f t="shared" si="2"/>
        <v>0.15</v>
      </c>
      <c r="N72" t="s">
        <v>20</v>
      </c>
      <c r="O72">
        <f>LOOKUP(X72,Pays!A:A,Pays!D:D)</f>
        <v>0.2</v>
      </c>
      <c r="P72">
        <v>0.15</v>
      </c>
      <c r="Q72" t="s">
        <v>2007</v>
      </c>
      <c r="U72">
        <v>1</v>
      </c>
      <c r="W72">
        <f>IF(COUNTIF(Pays!A:A,X72)=0,"",LOOKUP(X72,Pays!A:A,Pays!E:E))</f>
        <v>0</v>
      </c>
      <c r="X72" s="8" t="s">
        <v>28</v>
      </c>
    </row>
    <row r="73" spans="1:24" x14ac:dyDescent="0.25">
      <c r="A73" t="s">
        <v>1151</v>
      </c>
      <c r="B73" t="s">
        <v>182</v>
      </c>
      <c r="C73" s="1">
        <f t="shared" si="3"/>
        <v>46174</v>
      </c>
      <c r="F73" t="s">
        <v>155</v>
      </c>
      <c r="G73" t="s">
        <v>286</v>
      </c>
      <c r="H73" t="s">
        <v>1235</v>
      </c>
      <c r="I73" t="s">
        <v>18</v>
      </c>
      <c r="J73" t="str">
        <f>IF(COUNTIF(Pays!A:A,X73)=0,"Pays inconnu",_xlfn.XLOOKUP(X73,Pays!A:A,Pays!B:B))</f>
        <v>BE</v>
      </c>
      <c r="K73" t="str">
        <f>IF(COUNTIF(Pays!A:A,X73)=0,"Pays inconnu",_xlfn.XLOOKUP(X73,Pays!A:A,Pays!C:C))</f>
        <v>1_BE</v>
      </c>
      <c r="L73">
        <v>1</v>
      </c>
      <c r="M73">
        <f t="shared" si="2"/>
        <v>0.15</v>
      </c>
      <c r="N73" t="s">
        <v>20</v>
      </c>
      <c r="O73">
        <f>LOOKUP(X73,Pays!A:A,Pays!D:D)</f>
        <v>0.2</v>
      </c>
      <c r="P73">
        <v>0.15</v>
      </c>
      <c r="Q73" t="s">
        <v>2007</v>
      </c>
      <c r="U73">
        <v>1</v>
      </c>
      <c r="W73">
        <f>IF(COUNTIF(Pays!A:A,X73)=0,"",LOOKUP(X73,Pays!A:A,Pays!E:E))</f>
        <v>0</v>
      </c>
      <c r="X73" s="8" t="s">
        <v>28</v>
      </c>
    </row>
    <row r="74" spans="1:24" x14ac:dyDescent="0.25">
      <c r="A74" t="s">
        <v>1151</v>
      </c>
      <c r="B74" t="s">
        <v>182</v>
      </c>
      <c r="C74" s="1">
        <f t="shared" si="3"/>
        <v>46174</v>
      </c>
      <c r="F74" t="s">
        <v>155</v>
      </c>
      <c r="G74" t="s">
        <v>287</v>
      </c>
      <c r="H74" t="s">
        <v>1236</v>
      </c>
      <c r="I74" t="s">
        <v>18</v>
      </c>
      <c r="J74" t="str">
        <f>IF(COUNTIF(Pays!A:A,X74)=0,"Pays inconnu",_xlfn.XLOOKUP(X74,Pays!A:A,Pays!B:B))</f>
        <v>CH</v>
      </c>
      <c r="K74" t="str">
        <f>IF(COUNTIF(Pays!A:A,X74)=0,"Pays inconnu",_xlfn.XLOOKUP(X74,Pays!A:A,Pays!C:C))</f>
        <v>1_CH</v>
      </c>
      <c r="L74">
        <v>1</v>
      </c>
      <c r="M74">
        <f t="shared" si="2"/>
        <v>0.15</v>
      </c>
      <c r="N74" t="s">
        <v>20</v>
      </c>
      <c r="O74">
        <f>LOOKUP(X74,Pays!A:A,Pays!D:D)</f>
        <v>0</v>
      </c>
      <c r="P74">
        <v>0.15</v>
      </c>
      <c r="Q74">
        <v>0.1</v>
      </c>
      <c r="U74">
        <v>1</v>
      </c>
      <c r="W74">
        <f>IF(COUNTIF(Pays!A:A,X74)=0,"",LOOKUP(X74,Pays!A:A,Pays!E:E))</f>
        <v>0</v>
      </c>
      <c r="X74" s="8" t="s">
        <v>37</v>
      </c>
    </row>
    <row r="75" spans="1:24" x14ac:dyDescent="0.25">
      <c r="A75" t="s">
        <v>1151</v>
      </c>
      <c r="B75" t="s">
        <v>182</v>
      </c>
      <c r="C75" s="1">
        <f t="shared" si="3"/>
        <v>46174</v>
      </c>
      <c r="F75" t="s">
        <v>110</v>
      </c>
      <c r="G75" t="s">
        <v>288</v>
      </c>
      <c r="H75" t="s">
        <v>1237</v>
      </c>
      <c r="I75" t="s">
        <v>18</v>
      </c>
      <c r="J75" t="str">
        <f>IF(COUNTIF(Pays!A:A,X75)=0,"Pays inconnu",_xlfn.XLOOKUP(X75,Pays!A:A,Pays!B:B))</f>
        <v>GB</v>
      </c>
      <c r="K75" t="str">
        <f>IF(COUNTIF(Pays!A:A,X75)=0,"Pays inconnu",_xlfn.XLOOKUP(X75,Pays!A:A,Pays!C:C))</f>
        <v>1_GB</v>
      </c>
      <c r="L75">
        <v>1</v>
      </c>
      <c r="M75">
        <f t="shared" si="2"/>
        <v>0.15</v>
      </c>
      <c r="N75" t="s">
        <v>20</v>
      </c>
      <c r="O75">
        <f>LOOKUP(X75,Pays!A:A,Pays!D:D)</f>
        <v>0</v>
      </c>
      <c r="P75">
        <v>0.15</v>
      </c>
      <c r="Q75" t="s">
        <v>2007</v>
      </c>
      <c r="U75">
        <v>1</v>
      </c>
      <c r="W75">
        <f>IF(COUNTIF(Pays!A:A,X75)=0,"",LOOKUP(X75,Pays!A:A,Pays!E:E))</f>
        <v>0</v>
      </c>
      <c r="X75" s="8" t="s">
        <v>30</v>
      </c>
    </row>
    <row r="76" spans="1:24" x14ac:dyDescent="0.25">
      <c r="A76" t="s">
        <v>1151</v>
      </c>
      <c r="B76" t="s">
        <v>182</v>
      </c>
      <c r="C76" s="1">
        <f t="shared" si="3"/>
        <v>46174</v>
      </c>
      <c r="F76" t="s">
        <v>155</v>
      </c>
      <c r="G76" t="s">
        <v>289</v>
      </c>
      <c r="H76" t="s">
        <v>1238</v>
      </c>
      <c r="I76" t="s">
        <v>18</v>
      </c>
      <c r="J76" t="str">
        <f>IF(COUNTIF(Pays!A:A,X76)=0,"Pays inconnu",_xlfn.XLOOKUP(X76,Pays!A:A,Pays!B:B))</f>
        <v>CH</v>
      </c>
      <c r="K76" t="str">
        <f>IF(COUNTIF(Pays!A:A,X76)=0,"Pays inconnu",_xlfn.XLOOKUP(X76,Pays!A:A,Pays!C:C))</f>
        <v>1_CH</v>
      </c>
      <c r="L76">
        <v>1</v>
      </c>
      <c r="M76">
        <f t="shared" si="2"/>
        <v>0.39</v>
      </c>
      <c r="N76" t="s">
        <v>20</v>
      </c>
      <c r="O76">
        <f>LOOKUP(X76,Pays!A:A,Pays!D:D)</f>
        <v>0</v>
      </c>
      <c r="P76">
        <v>0.15</v>
      </c>
      <c r="Q76">
        <v>0.39</v>
      </c>
      <c r="U76">
        <v>1</v>
      </c>
      <c r="W76">
        <f>IF(COUNTIF(Pays!A:A,X76)=0,"",LOOKUP(X76,Pays!A:A,Pays!E:E))</f>
        <v>0</v>
      </c>
      <c r="X76" s="8" t="s">
        <v>37</v>
      </c>
    </row>
    <row r="77" spans="1:24" x14ac:dyDescent="0.25">
      <c r="A77" t="s">
        <v>1151</v>
      </c>
      <c r="B77" t="s">
        <v>182</v>
      </c>
      <c r="C77" s="1">
        <f t="shared" si="3"/>
        <v>46174</v>
      </c>
      <c r="F77" t="s">
        <v>155</v>
      </c>
      <c r="G77" t="s">
        <v>290</v>
      </c>
      <c r="H77" t="s">
        <v>1239</v>
      </c>
      <c r="I77" t="s">
        <v>18</v>
      </c>
      <c r="J77" t="str">
        <f>IF(COUNTIF(Pays!A:A,X77)=0,"Pays inconnu",_xlfn.XLOOKUP(X77,Pays!A:A,Pays!B:B))</f>
        <v>CH</v>
      </c>
      <c r="K77" t="str">
        <f>IF(COUNTIF(Pays!A:A,X77)=0,"Pays inconnu",_xlfn.XLOOKUP(X77,Pays!A:A,Pays!C:C))</f>
        <v>1_CH</v>
      </c>
      <c r="L77">
        <v>1</v>
      </c>
      <c r="M77">
        <f t="shared" si="2"/>
        <v>0.15</v>
      </c>
      <c r="N77" t="s">
        <v>20</v>
      </c>
      <c r="O77">
        <f>LOOKUP(X77,Pays!A:A,Pays!D:D)</f>
        <v>0</v>
      </c>
      <c r="P77">
        <v>0.15</v>
      </c>
      <c r="Q77" t="s">
        <v>2007</v>
      </c>
      <c r="U77">
        <v>1</v>
      </c>
      <c r="W77">
        <f>IF(COUNTIF(Pays!A:A,X77)=0,"",LOOKUP(X77,Pays!A:A,Pays!E:E))</f>
        <v>0</v>
      </c>
      <c r="X77" s="8" t="s">
        <v>37</v>
      </c>
    </row>
    <row r="78" spans="1:24" x14ac:dyDescent="0.25">
      <c r="A78" t="s">
        <v>1151</v>
      </c>
      <c r="B78" t="s">
        <v>182</v>
      </c>
      <c r="C78" s="1">
        <f t="shared" si="3"/>
        <v>46174</v>
      </c>
      <c r="F78" t="s">
        <v>155</v>
      </c>
      <c r="G78" t="s">
        <v>291</v>
      </c>
      <c r="H78" t="s">
        <v>1240</v>
      </c>
      <c r="I78" t="s">
        <v>18</v>
      </c>
      <c r="J78" t="str">
        <f>IF(COUNTIF(Pays!A:A,X78)=0,"Pays inconnu",_xlfn.XLOOKUP(X78,Pays!A:A,Pays!B:B))</f>
        <v>CH</v>
      </c>
      <c r="K78" t="str">
        <f>IF(COUNTIF(Pays!A:A,X78)=0,"Pays inconnu",_xlfn.XLOOKUP(X78,Pays!A:A,Pays!C:C))</f>
        <v>1_CH</v>
      </c>
      <c r="L78">
        <v>1</v>
      </c>
      <c r="M78">
        <f t="shared" si="2"/>
        <v>0.66</v>
      </c>
      <c r="N78" t="s">
        <v>20</v>
      </c>
      <c r="O78">
        <f>LOOKUP(X78,Pays!A:A,Pays!D:D)</f>
        <v>0</v>
      </c>
      <c r="P78">
        <v>0.15</v>
      </c>
      <c r="Q78">
        <v>0.66</v>
      </c>
      <c r="U78">
        <v>1</v>
      </c>
      <c r="W78">
        <f>IF(COUNTIF(Pays!A:A,X78)=0,"",LOOKUP(X78,Pays!A:A,Pays!E:E))</f>
        <v>0</v>
      </c>
      <c r="X78" s="8" t="s">
        <v>37</v>
      </c>
    </row>
    <row r="79" spans="1:24" x14ac:dyDescent="0.25">
      <c r="A79" t="s">
        <v>1151</v>
      </c>
      <c r="B79" t="s">
        <v>182</v>
      </c>
      <c r="C79" s="1">
        <f t="shared" si="3"/>
        <v>46174</v>
      </c>
      <c r="F79" t="s">
        <v>155</v>
      </c>
      <c r="G79" t="s">
        <v>292</v>
      </c>
      <c r="H79" t="s">
        <v>1241</v>
      </c>
      <c r="I79" t="s">
        <v>18</v>
      </c>
      <c r="J79" t="str">
        <f>IF(COUNTIF(Pays!A:A,X79)=0,"Pays inconnu",_xlfn.XLOOKUP(X79,Pays!A:A,Pays!B:B))</f>
        <v>GB</v>
      </c>
      <c r="K79" t="str">
        <f>IF(COUNTIF(Pays!A:A,X79)=0,"Pays inconnu",_xlfn.XLOOKUP(X79,Pays!A:A,Pays!C:C))</f>
        <v>1_GB</v>
      </c>
      <c r="L79">
        <v>1</v>
      </c>
      <c r="M79">
        <f t="shared" si="2"/>
        <v>0.15</v>
      </c>
      <c r="N79" t="s">
        <v>20</v>
      </c>
      <c r="O79">
        <f>LOOKUP(X79,Pays!A:A,Pays!D:D)</f>
        <v>0</v>
      </c>
      <c r="P79">
        <v>0.15</v>
      </c>
      <c r="Q79">
        <v>0.05</v>
      </c>
      <c r="U79">
        <v>1</v>
      </c>
      <c r="W79">
        <f>IF(COUNTIF(Pays!A:A,X79)=0,"",LOOKUP(X79,Pays!A:A,Pays!E:E))</f>
        <v>0</v>
      </c>
      <c r="X79" s="8" t="s">
        <v>30</v>
      </c>
    </row>
    <row r="80" spans="1:24" x14ac:dyDescent="0.25">
      <c r="A80" t="s">
        <v>1151</v>
      </c>
      <c r="B80" t="s">
        <v>182</v>
      </c>
      <c r="C80" s="1">
        <f t="shared" si="3"/>
        <v>46174</v>
      </c>
      <c r="F80" t="s">
        <v>155</v>
      </c>
      <c r="G80" t="s">
        <v>293</v>
      </c>
      <c r="H80" t="s">
        <v>1242</v>
      </c>
      <c r="I80" t="s">
        <v>18</v>
      </c>
      <c r="J80" t="str">
        <f>IF(COUNTIF(Pays!A:A,X80)=0,"Pays inconnu",_xlfn.XLOOKUP(X80,Pays!A:A,Pays!B:B))</f>
        <v>CH</v>
      </c>
      <c r="K80" t="str">
        <f>IF(COUNTIF(Pays!A:A,X80)=0,"Pays inconnu",_xlfn.XLOOKUP(X80,Pays!A:A,Pays!C:C))</f>
        <v>1_CH</v>
      </c>
      <c r="L80">
        <v>1</v>
      </c>
      <c r="M80">
        <f t="shared" si="2"/>
        <v>0.15</v>
      </c>
      <c r="N80" t="s">
        <v>20</v>
      </c>
      <c r="O80">
        <f>LOOKUP(X80,Pays!A:A,Pays!D:D)</f>
        <v>0</v>
      </c>
      <c r="P80">
        <v>0.15</v>
      </c>
      <c r="Q80" t="s">
        <v>2007</v>
      </c>
      <c r="U80">
        <v>1</v>
      </c>
      <c r="W80">
        <f>IF(COUNTIF(Pays!A:A,X80)=0,"",LOOKUP(X80,Pays!A:A,Pays!E:E))</f>
        <v>0</v>
      </c>
      <c r="X80" s="8" t="s">
        <v>37</v>
      </c>
    </row>
    <row r="81" spans="1:24" x14ac:dyDescent="0.25">
      <c r="A81" t="s">
        <v>1151</v>
      </c>
      <c r="B81" t="s">
        <v>182</v>
      </c>
      <c r="C81" s="1">
        <f t="shared" si="3"/>
        <v>46174</v>
      </c>
      <c r="F81" t="s">
        <v>155</v>
      </c>
      <c r="G81" t="s">
        <v>294</v>
      </c>
      <c r="H81" t="s">
        <v>1243</v>
      </c>
      <c r="I81" t="s">
        <v>18</v>
      </c>
      <c r="J81" t="str">
        <f>IF(COUNTIF(Pays!A:A,X81)=0,"Pays inconnu",_xlfn.XLOOKUP(X81,Pays!A:A,Pays!B:B))</f>
        <v>CH</v>
      </c>
      <c r="K81" t="str">
        <f>IF(COUNTIF(Pays!A:A,X81)=0,"Pays inconnu",_xlfn.XLOOKUP(X81,Pays!A:A,Pays!C:C))</f>
        <v>1_CH</v>
      </c>
      <c r="L81">
        <v>1</v>
      </c>
      <c r="M81">
        <f t="shared" si="2"/>
        <v>0.27</v>
      </c>
      <c r="N81" t="s">
        <v>20</v>
      </c>
      <c r="O81">
        <f>LOOKUP(X81,Pays!A:A,Pays!D:D)</f>
        <v>0</v>
      </c>
      <c r="P81">
        <v>0.15</v>
      </c>
      <c r="Q81">
        <v>0.27</v>
      </c>
      <c r="U81">
        <v>1</v>
      </c>
      <c r="W81">
        <f>IF(COUNTIF(Pays!A:A,X81)=0,"",LOOKUP(X81,Pays!A:A,Pays!E:E))</f>
        <v>0</v>
      </c>
      <c r="X81" s="8" t="s">
        <v>37</v>
      </c>
    </row>
    <row r="82" spans="1:24" x14ac:dyDescent="0.25">
      <c r="A82" t="s">
        <v>1151</v>
      </c>
      <c r="B82" t="s">
        <v>182</v>
      </c>
      <c r="C82" s="1">
        <f t="shared" si="3"/>
        <v>46174</v>
      </c>
      <c r="F82" t="s">
        <v>110</v>
      </c>
      <c r="G82" t="s">
        <v>295</v>
      </c>
      <c r="H82" t="s">
        <v>1244</v>
      </c>
      <c r="I82" t="s">
        <v>18</v>
      </c>
      <c r="J82" t="str">
        <f>IF(COUNTIF(Pays!A:A,X82)=0,"Pays inconnu",_xlfn.XLOOKUP(X82,Pays!A:A,Pays!B:B))</f>
        <v>CH</v>
      </c>
      <c r="K82" t="str">
        <f>IF(COUNTIF(Pays!A:A,X82)=0,"Pays inconnu",_xlfn.XLOOKUP(X82,Pays!A:A,Pays!C:C))</f>
        <v>1_CH</v>
      </c>
      <c r="L82">
        <v>1</v>
      </c>
      <c r="M82">
        <f t="shared" si="2"/>
        <v>0.15</v>
      </c>
      <c r="N82" t="s">
        <v>20</v>
      </c>
      <c r="O82">
        <f>LOOKUP(X82,Pays!A:A,Pays!D:D)</f>
        <v>0</v>
      </c>
      <c r="P82">
        <v>0.15</v>
      </c>
      <c r="Q82" t="s">
        <v>2007</v>
      </c>
      <c r="U82">
        <v>1</v>
      </c>
      <c r="W82">
        <f>IF(COUNTIF(Pays!A:A,X82)=0,"",LOOKUP(X82,Pays!A:A,Pays!E:E))</f>
        <v>0</v>
      </c>
      <c r="X82" s="8" t="s">
        <v>37</v>
      </c>
    </row>
    <row r="83" spans="1:24" x14ac:dyDescent="0.25">
      <c r="A83" t="s">
        <v>1151</v>
      </c>
      <c r="B83" t="s">
        <v>182</v>
      </c>
      <c r="C83" s="1">
        <f t="shared" si="3"/>
        <v>46174</v>
      </c>
      <c r="F83" t="s">
        <v>155</v>
      </c>
      <c r="G83" t="s">
        <v>296</v>
      </c>
      <c r="H83" t="s">
        <v>1245</v>
      </c>
      <c r="I83" t="s">
        <v>18</v>
      </c>
      <c r="J83" t="str">
        <f>IF(COUNTIF(Pays!A:A,X83)=0,"Pays inconnu",_xlfn.XLOOKUP(X83,Pays!A:A,Pays!B:B))</f>
        <v>CH</v>
      </c>
      <c r="K83" t="str">
        <f>IF(COUNTIF(Pays!A:A,X83)=0,"Pays inconnu",_xlfn.XLOOKUP(X83,Pays!A:A,Pays!C:C))</f>
        <v>1_CH</v>
      </c>
      <c r="L83">
        <v>1</v>
      </c>
      <c r="M83">
        <f t="shared" si="2"/>
        <v>0.15</v>
      </c>
      <c r="N83" t="s">
        <v>20</v>
      </c>
      <c r="O83">
        <f>LOOKUP(X83,Pays!A:A,Pays!D:D)</f>
        <v>0</v>
      </c>
      <c r="P83">
        <v>0.15</v>
      </c>
      <c r="Q83" t="s">
        <v>2007</v>
      </c>
      <c r="U83">
        <v>1</v>
      </c>
      <c r="W83">
        <f>IF(COUNTIF(Pays!A:A,X83)=0,"",LOOKUP(X83,Pays!A:A,Pays!E:E))</f>
        <v>0</v>
      </c>
      <c r="X83" s="8" t="s">
        <v>37</v>
      </c>
    </row>
    <row r="84" spans="1:24" x14ac:dyDescent="0.25">
      <c r="A84" t="s">
        <v>1151</v>
      </c>
      <c r="B84" t="s">
        <v>182</v>
      </c>
      <c r="C84" s="1">
        <f t="shared" si="3"/>
        <v>46174</v>
      </c>
      <c r="F84" t="s">
        <v>155</v>
      </c>
      <c r="G84" t="s">
        <v>297</v>
      </c>
      <c r="H84" t="s">
        <v>1246</v>
      </c>
      <c r="I84" t="s">
        <v>18</v>
      </c>
      <c r="J84" t="str">
        <f>IF(COUNTIF(Pays!A:A,X84)=0,"Pays inconnu",_xlfn.XLOOKUP(X84,Pays!A:A,Pays!B:B))</f>
        <v>CH</v>
      </c>
      <c r="K84" t="str">
        <f>IF(COUNTIF(Pays!A:A,X84)=0,"Pays inconnu",_xlfn.XLOOKUP(X84,Pays!A:A,Pays!C:C))</f>
        <v>1_CH</v>
      </c>
      <c r="L84">
        <v>1</v>
      </c>
      <c r="M84">
        <f t="shared" si="2"/>
        <v>0.59</v>
      </c>
      <c r="N84" t="s">
        <v>20</v>
      </c>
      <c r="O84">
        <f>LOOKUP(X84,Pays!A:A,Pays!D:D)</f>
        <v>0</v>
      </c>
      <c r="P84">
        <v>0.15</v>
      </c>
      <c r="Q84">
        <v>0.59</v>
      </c>
      <c r="U84">
        <v>1</v>
      </c>
      <c r="W84">
        <f>IF(COUNTIF(Pays!A:A,X84)=0,"",LOOKUP(X84,Pays!A:A,Pays!E:E))</f>
        <v>0</v>
      </c>
      <c r="X84" s="8" t="s">
        <v>37</v>
      </c>
    </row>
    <row r="85" spans="1:24" x14ac:dyDescent="0.25">
      <c r="A85" t="s">
        <v>1151</v>
      </c>
      <c r="B85" t="s">
        <v>182</v>
      </c>
      <c r="C85" s="1">
        <f t="shared" si="3"/>
        <v>46174</v>
      </c>
      <c r="F85" t="s">
        <v>155</v>
      </c>
      <c r="G85" t="s">
        <v>298</v>
      </c>
      <c r="H85" t="s">
        <v>1247</v>
      </c>
      <c r="I85" t="s">
        <v>18</v>
      </c>
      <c r="J85" t="str">
        <f>IF(COUNTIF(Pays!A:A,X85)=0,"Pays inconnu",_xlfn.XLOOKUP(X85,Pays!A:A,Pays!B:B))</f>
        <v>BE</v>
      </c>
      <c r="K85" t="str">
        <f>IF(COUNTIF(Pays!A:A,X85)=0,"Pays inconnu",_xlfn.XLOOKUP(X85,Pays!A:A,Pays!C:C))</f>
        <v>1_BE</v>
      </c>
      <c r="L85">
        <v>1</v>
      </c>
      <c r="M85">
        <f t="shared" si="2"/>
        <v>0.15</v>
      </c>
      <c r="N85" t="s">
        <v>20</v>
      </c>
      <c r="O85">
        <f>LOOKUP(X85,Pays!A:A,Pays!D:D)</f>
        <v>0.2</v>
      </c>
      <c r="P85">
        <v>0.15</v>
      </c>
      <c r="Q85" t="s">
        <v>2007</v>
      </c>
      <c r="U85">
        <v>1</v>
      </c>
      <c r="W85">
        <f>IF(COUNTIF(Pays!A:A,X85)=0,"",LOOKUP(X85,Pays!A:A,Pays!E:E))</f>
        <v>0</v>
      </c>
      <c r="X85" s="8" t="s">
        <v>28</v>
      </c>
    </row>
    <row r="86" spans="1:24" x14ac:dyDescent="0.25">
      <c r="A86" t="s">
        <v>1151</v>
      </c>
      <c r="B86" t="s">
        <v>182</v>
      </c>
      <c r="C86" s="1">
        <f t="shared" si="3"/>
        <v>46174</v>
      </c>
      <c r="F86" t="s">
        <v>155</v>
      </c>
      <c r="G86" t="s">
        <v>299</v>
      </c>
      <c r="H86" t="s">
        <v>1248</v>
      </c>
      <c r="I86" t="s">
        <v>18</v>
      </c>
      <c r="J86" t="str">
        <f>IF(COUNTIF(Pays!A:A,X86)=0,"Pays inconnu",_xlfn.XLOOKUP(X86,Pays!A:A,Pays!B:B))</f>
        <v>BE</v>
      </c>
      <c r="K86" t="str">
        <f>IF(COUNTIF(Pays!A:A,X86)=0,"Pays inconnu",_xlfn.XLOOKUP(X86,Pays!A:A,Pays!C:C))</f>
        <v>1_BE</v>
      </c>
      <c r="L86">
        <v>1</v>
      </c>
      <c r="M86">
        <f t="shared" si="2"/>
        <v>0.15</v>
      </c>
      <c r="N86" t="s">
        <v>20</v>
      </c>
      <c r="O86">
        <f>LOOKUP(X86,Pays!A:A,Pays!D:D)</f>
        <v>0.2</v>
      </c>
      <c r="P86">
        <v>0.15</v>
      </c>
      <c r="Q86" t="s">
        <v>2007</v>
      </c>
      <c r="U86">
        <v>1</v>
      </c>
      <c r="W86">
        <f>IF(COUNTIF(Pays!A:A,X86)=0,"",LOOKUP(X86,Pays!A:A,Pays!E:E))</f>
        <v>0</v>
      </c>
      <c r="X86" s="8" t="s">
        <v>28</v>
      </c>
    </row>
    <row r="87" spans="1:24" x14ac:dyDescent="0.25">
      <c r="A87" t="s">
        <v>1151</v>
      </c>
      <c r="B87" t="s">
        <v>182</v>
      </c>
      <c r="C87" s="1">
        <f t="shared" si="3"/>
        <v>46174</v>
      </c>
      <c r="F87" t="s">
        <v>155</v>
      </c>
      <c r="G87" t="s">
        <v>300</v>
      </c>
      <c r="H87" t="s">
        <v>1249</v>
      </c>
      <c r="I87" t="s">
        <v>18</v>
      </c>
      <c r="J87" t="str">
        <f>IF(COUNTIF(Pays!A:A,X87)=0,"Pays inconnu",_xlfn.XLOOKUP(X87,Pays!A:A,Pays!B:B))</f>
        <v>MT</v>
      </c>
      <c r="K87">
        <f>IF(COUNTIF(Pays!A:A,X87)=0,"Pays inconnu",_xlfn.XLOOKUP(X87,Pays!A:A,Pays!C:C))</f>
        <v>1</v>
      </c>
      <c r="L87">
        <v>1</v>
      </c>
      <c r="M87">
        <f t="shared" si="2"/>
        <v>0.15</v>
      </c>
      <c r="N87" t="s">
        <v>20</v>
      </c>
      <c r="O87">
        <f>LOOKUP(X87,Pays!A:A,Pays!D:D)</f>
        <v>0.2</v>
      </c>
      <c r="P87">
        <v>0.15</v>
      </c>
      <c r="Q87" t="s">
        <v>2007</v>
      </c>
      <c r="U87">
        <v>1</v>
      </c>
      <c r="W87">
        <f>IF(COUNTIF(Pays!A:A,X87)=0,"",LOOKUP(X87,Pays!A:A,Pays!E:E))</f>
        <v>0</v>
      </c>
      <c r="X87" s="8" t="s">
        <v>98</v>
      </c>
    </row>
    <row r="88" spans="1:24" x14ac:dyDescent="0.25">
      <c r="A88" t="s">
        <v>1151</v>
      </c>
      <c r="B88" t="s">
        <v>182</v>
      </c>
      <c r="C88" s="1">
        <f t="shared" si="3"/>
        <v>46174</v>
      </c>
      <c r="F88" t="s">
        <v>155</v>
      </c>
      <c r="G88" t="s">
        <v>301</v>
      </c>
      <c r="H88" t="s">
        <v>1250</v>
      </c>
      <c r="I88" t="s">
        <v>18</v>
      </c>
      <c r="J88" t="str">
        <f>IF(COUNTIF(Pays!A:A,X88)=0,"Pays inconnu",_xlfn.XLOOKUP(X88,Pays!A:A,Pays!B:B))</f>
        <v>DE</v>
      </c>
      <c r="K88">
        <f>IF(COUNTIF(Pays!A:A,X88)=0,"Pays inconnu",_xlfn.XLOOKUP(X88,Pays!A:A,Pays!C:C))</f>
        <v>1</v>
      </c>
      <c r="L88">
        <v>1</v>
      </c>
      <c r="M88">
        <f t="shared" si="2"/>
        <v>0.15</v>
      </c>
      <c r="N88" t="s">
        <v>20</v>
      </c>
      <c r="O88">
        <f>LOOKUP(X88,Pays!A:A,Pays!D:D)</f>
        <v>0.2</v>
      </c>
      <c r="P88">
        <v>0.15</v>
      </c>
      <c r="Q88" t="s">
        <v>2007</v>
      </c>
      <c r="U88">
        <v>1</v>
      </c>
      <c r="W88">
        <f>IF(COUNTIF(Pays!A:A,X88)=0,"",LOOKUP(X88,Pays!A:A,Pays!E:E))</f>
        <v>0</v>
      </c>
      <c r="X88" s="8" t="s">
        <v>35</v>
      </c>
    </row>
    <row r="89" spans="1:24" x14ac:dyDescent="0.25">
      <c r="A89" t="s">
        <v>1151</v>
      </c>
      <c r="B89" t="s">
        <v>182</v>
      </c>
      <c r="C89" s="1">
        <f t="shared" si="3"/>
        <v>46174</v>
      </c>
      <c r="F89" t="s">
        <v>155</v>
      </c>
      <c r="G89" t="s">
        <v>302</v>
      </c>
      <c r="H89" t="s">
        <v>1251</v>
      </c>
      <c r="I89" t="s">
        <v>18</v>
      </c>
      <c r="J89" t="str">
        <f>IF(COUNTIF(Pays!A:A,X89)=0,"Pays inconnu",_xlfn.XLOOKUP(X89,Pays!A:A,Pays!B:B))</f>
        <v>GB</v>
      </c>
      <c r="K89" t="str">
        <f>IF(COUNTIF(Pays!A:A,X89)=0,"Pays inconnu",_xlfn.XLOOKUP(X89,Pays!A:A,Pays!C:C))</f>
        <v>1_GB</v>
      </c>
      <c r="L89">
        <v>1</v>
      </c>
      <c r="M89">
        <f t="shared" si="2"/>
        <v>0.15</v>
      </c>
      <c r="N89" t="s">
        <v>20</v>
      </c>
      <c r="O89">
        <f>LOOKUP(X89,Pays!A:A,Pays!D:D)</f>
        <v>0</v>
      </c>
      <c r="P89">
        <v>0.15</v>
      </c>
      <c r="Q89">
        <v>0.08</v>
      </c>
      <c r="U89">
        <v>1</v>
      </c>
      <c r="W89">
        <f>IF(COUNTIF(Pays!A:A,X89)=0,"",LOOKUP(X89,Pays!A:A,Pays!E:E))</f>
        <v>0</v>
      </c>
      <c r="X89" s="8" t="s">
        <v>30</v>
      </c>
    </row>
    <row r="90" spans="1:24" x14ac:dyDescent="0.25">
      <c r="A90" t="s">
        <v>1151</v>
      </c>
      <c r="B90" t="s">
        <v>182</v>
      </c>
      <c r="C90" s="1">
        <f t="shared" si="3"/>
        <v>46174</v>
      </c>
      <c r="F90" t="s">
        <v>155</v>
      </c>
      <c r="G90" t="s">
        <v>303</v>
      </c>
      <c r="H90" t="s">
        <v>1252</v>
      </c>
      <c r="I90" t="s">
        <v>18</v>
      </c>
      <c r="J90" t="str">
        <f>IF(COUNTIF(Pays!A:A,X90)=0,"Pays inconnu",_xlfn.XLOOKUP(X90,Pays!A:A,Pays!B:B))</f>
        <v>PT</v>
      </c>
      <c r="K90">
        <f>IF(COUNTIF(Pays!A:A,X90)=0,"Pays inconnu",_xlfn.XLOOKUP(X90,Pays!A:A,Pays!C:C))</f>
        <v>1</v>
      </c>
      <c r="L90">
        <v>1</v>
      </c>
      <c r="M90">
        <f t="shared" si="2"/>
        <v>0.15</v>
      </c>
      <c r="N90" t="s">
        <v>20</v>
      </c>
      <c r="O90">
        <f>LOOKUP(X90,Pays!A:A,Pays!D:D)</f>
        <v>0.2</v>
      </c>
      <c r="P90">
        <v>0.15</v>
      </c>
      <c r="Q90" t="s">
        <v>2007</v>
      </c>
      <c r="U90">
        <v>1</v>
      </c>
      <c r="W90">
        <f>IF(COUNTIF(Pays!A:A,X90)=0,"",LOOKUP(X90,Pays!A:A,Pays!E:E))</f>
        <v>0</v>
      </c>
      <c r="X90" s="8" t="s">
        <v>34</v>
      </c>
    </row>
    <row r="91" spans="1:24" x14ac:dyDescent="0.25">
      <c r="A91" t="s">
        <v>1151</v>
      </c>
      <c r="B91" t="s">
        <v>182</v>
      </c>
      <c r="C91" s="1">
        <f t="shared" si="3"/>
        <v>46174</v>
      </c>
      <c r="F91" t="s">
        <v>155</v>
      </c>
      <c r="G91" t="s">
        <v>304</v>
      </c>
      <c r="H91" t="s">
        <v>1253</v>
      </c>
      <c r="I91" t="s">
        <v>18</v>
      </c>
      <c r="J91" t="str">
        <f>IF(COUNTIF(Pays!A:A,X91)=0,"Pays inconnu",_xlfn.XLOOKUP(X91,Pays!A:A,Pays!B:B))</f>
        <v>CH</v>
      </c>
      <c r="K91" t="str">
        <f>IF(COUNTIF(Pays!A:A,X91)=0,"Pays inconnu",_xlfn.XLOOKUP(X91,Pays!A:A,Pays!C:C))</f>
        <v>1_CH</v>
      </c>
      <c r="L91">
        <v>1</v>
      </c>
      <c r="M91">
        <f t="shared" si="2"/>
        <v>0.15</v>
      </c>
      <c r="N91" t="s">
        <v>20</v>
      </c>
      <c r="O91">
        <f>LOOKUP(X91,Pays!A:A,Pays!D:D)</f>
        <v>0</v>
      </c>
      <c r="P91">
        <v>0.15</v>
      </c>
      <c r="Q91" t="s">
        <v>2007</v>
      </c>
      <c r="U91">
        <v>1</v>
      </c>
      <c r="W91">
        <f>IF(COUNTIF(Pays!A:A,X91)=0,"",LOOKUP(X91,Pays!A:A,Pays!E:E))</f>
        <v>0</v>
      </c>
      <c r="X91" s="8" t="s">
        <v>37</v>
      </c>
    </row>
    <row r="92" spans="1:24" x14ac:dyDescent="0.25">
      <c r="A92" t="s">
        <v>1151</v>
      </c>
      <c r="B92" t="s">
        <v>182</v>
      </c>
      <c r="C92" s="1">
        <f t="shared" si="3"/>
        <v>46174</v>
      </c>
      <c r="F92" t="s">
        <v>110</v>
      </c>
      <c r="G92" t="s">
        <v>305</v>
      </c>
      <c r="H92" t="s">
        <v>1254</v>
      </c>
      <c r="I92" t="s">
        <v>18</v>
      </c>
      <c r="J92" t="str">
        <f>IF(COUNTIF(Pays!A:A,X92)=0,"Pays inconnu",_xlfn.XLOOKUP(X92,Pays!A:A,Pays!B:B))</f>
        <v>BE</v>
      </c>
      <c r="K92" t="str">
        <f>IF(COUNTIF(Pays!A:A,X92)=0,"Pays inconnu",_xlfn.XLOOKUP(X92,Pays!A:A,Pays!C:C))</f>
        <v>1_BE</v>
      </c>
      <c r="L92">
        <v>1</v>
      </c>
      <c r="M92">
        <f t="shared" si="2"/>
        <v>0.18</v>
      </c>
      <c r="N92" t="s">
        <v>20</v>
      </c>
      <c r="O92">
        <f>LOOKUP(X92,Pays!A:A,Pays!D:D)</f>
        <v>0.2</v>
      </c>
      <c r="P92">
        <v>0.15</v>
      </c>
      <c r="Q92">
        <v>0.18</v>
      </c>
      <c r="U92">
        <v>1</v>
      </c>
      <c r="W92">
        <f>IF(COUNTIF(Pays!A:A,X92)=0,"",LOOKUP(X92,Pays!A:A,Pays!E:E))</f>
        <v>0</v>
      </c>
      <c r="X92" s="8" t="s">
        <v>28</v>
      </c>
    </row>
    <row r="93" spans="1:24" x14ac:dyDescent="0.25">
      <c r="A93" t="s">
        <v>1151</v>
      </c>
      <c r="B93" t="s">
        <v>182</v>
      </c>
      <c r="C93" s="1">
        <f t="shared" si="3"/>
        <v>46174</v>
      </c>
      <c r="F93" t="s">
        <v>155</v>
      </c>
      <c r="G93" t="s">
        <v>306</v>
      </c>
      <c r="H93" t="s">
        <v>1255</v>
      </c>
      <c r="I93" t="s">
        <v>18</v>
      </c>
      <c r="J93" t="str">
        <f>IF(COUNTIF(Pays!A:A,X93)=0,"Pays inconnu",_xlfn.XLOOKUP(X93,Pays!A:A,Pays!B:B))</f>
        <v>HR</v>
      </c>
      <c r="K93">
        <f>IF(COUNTIF(Pays!A:A,X93)=0,"Pays inconnu",_xlfn.XLOOKUP(X93,Pays!A:A,Pays!C:C))</f>
        <v>1</v>
      </c>
      <c r="L93">
        <v>1</v>
      </c>
      <c r="M93">
        <f t="shared" si="2"/>
        <v>0.84</v>
      </c>
      <c r="N93" t="s">
        <v>20</v>
      </c>
      <c r="O93">
        <f>LOOKUP(X93,Pays!A:A,Pays!D:D)</f>
        <v>0.2</v>
      </c>
      <c r="P93">
        <v>0.15</v>
      </c>
      <c r="Q93">
        <v>0.84</v>
      </c>
      <c r="U93">
        <v>1</v>
      </c>
      <c r="W93">
        <f>IF(COUNTIF(Pays!A:A,X93)=0,"",LOOKUP(X93,Pays!A:A,Pays!E:E))</f>
        <v>0</v>
      </c>
      <c r="X93" s="8" t="s">
        <v>72</v>
      </c>
    </row>
    <row r="94" spans="1:24" x14ac:dyDescent="0.25">
      <c r="A94" t="s">
        <v>1151</v>
      </c>
      <c r="B94" t="s">
        <v>182</v>
      </c>
      <c r="C94" s="1">
        <f t="shared" si="3"/>
        <v>46174</v>
      </c>
      <c r="F94" t="s">
        <v>155</v>
      </c>
      <c r="G94" t="s">
        <v>307</v>
      </c>
      <c r="H94" t="s">
        <v>1256</v>
      </c>
      <c r="I94" t="s">
        <v>18</v>
      </c>
      <c r="J94" t="str">
        <f>IF(COUNTIF(Pays!A:A,X94)=0,"Pays inconnu",_xlfn.XLOOKUP(X94,Pays!A:A,Pays!B:B))</f>
        <v>GR</v>
      </c>
      <c r="K94">
        <f>IF(COUNTIF(Pays!A:A,X94)=0,"Pays inconnu",_xlfn.XLOOKUP(X94,Pays!A:A,Pays!C:C))</f>
        <v>1</v>
      </c>
      <c r="L94">
        <v>1</v>
      </c>
      <c r="M94">
        <f t="shared" si="2"/>
        <v>0.95</v>
      </c>
      <c r="N94" t="s">
        <v>20</v>
      </c>
      <c r="O94">
        <f>LOOKUP(X94,Pays!A:A,Pays!D:D)</f>
        <v>0.2</v>
      </c>
      <c r="P94">
        <v>0.15</v>
      </c>
      <c r="Q94">
        <v>0.95</v>
      </c>
      <c r="U94">
        <v>1</v>
      </c>
      <c r="W94">
        <f>IF(COUNTIF(Pays!A:A,X94)=0,"",LOOKUP(X94,Pays!A:A,Pays!E:E))</f>
        <v>0</v>
      </c>
      <c r="X94" s="8" t="s">
        <v>73</v>
      </c>
    </row>
    <row r="95" spans="1:24" x14ac:dyDescent="0.25">
      <c r="A95" t="s">
        <v>1151</v>
      </c>
      <c r="B95" t="s">
        <v>182</v>
      </c>
      <c r="C95" s="1">
        <f t="shared" si="3"/>
        <v>46174</v>
      </c>
      <c r="F95" t="s">
        <v>155</v>
      </c>
      <c r="G95" t="s">
        <v>308</v>
      </c>
      <c r="H95" t="s">
        <v>1257</v>
      </c>
      <c r="I95" t="s">
        <v>18</v>
      </c>
      <c r="J95" t="str">
        <f>IF(COUNTIF(Pays!A:A,X95)=0,"Pays inconnu",_xlfn.XLOOKUP(X95,Pays!A:A,Pays!B:B))</f>
        <v>GB</v>
      </c>
      <c r="K95" t="str">
        <f>IF(COUNTIF(Pays!A:A,X95)=0,"Pays inconnu",_xlfn.XLOOKUP(X95,Pays!A:A,Pays!C:C))</f>
        <v>1_GB</v>
      </c>
      <c r="L95">
        <v>1</v>
      </c>
      <c r="M95">
        <f t="shared" si="2"/>
        <v>0.15</v>
      </c>
      <c r="N95" t="s">
        <v>20</v>
      </c>
      <c r="O95">
        <f>LOOKUP(X95,Pays!A:A,Pays!D:D)</f>
        <v>0</v>
      </c>
      <c r="P95">
        <v>0.15</v>
      </c>
      <c r="Q95" t="s">
        <v>2007</v>
      </c>
      <c r="U95">
        <v>1</v>
      </c>
      <c r="W95">
        <f>IF(COUNTIF(Pays!A:A,X95)=0,"",LOOKUP(X95,Pays!A:A,Pays!E:E))</f>
        <v>0</v>
      </c>
      <c r="X95" s="8" t="s">
        <v>30</v>
      </c>
    </row>
    <row r="96" spans="1:24" x14ac:dyDescent="0.25">
      <c r="A96" t="s">
        <v>1151</v>
      </c>
      <c r="B96" t="s">
        <v>182</v>
      </c>
      <c r="C96" s="1">
        <f t="shared" si="3"/>
        <v>46174</v>
      </c>
      <c r="F96" t="s">
        <v>155</v>
      </c>
      <c r="G96" t="s">
        <v>309</v>
      </c>
      <c r="H96" t="s">
        <v>1258</v>
      </c>
      <c r="I96" t="s">
        <v>18</v>
      </c>
      <c r="J96" t="str">
        <f>IF(COUNTIF(Pays!A:A,X96)=0,"Pays inconnu",_xlfn.XLOOKUP(X96,Pays!A:A,Pays!B:B))</f>
        <v>GB</v>
      </c>
      <c r="K96" t="str">
        <f>IF(COUNTIF(Pays!A:A,X96)=0,"Pays inconnu",_xlfn.XLOOKUP(X96,Pays!A:A,Pays!C:C))</f>
        <v>1_GB</v>
      </c>
      <c r="L96">
        <v>1</v>
      </c>
      <c r="M96">
        <f t="shared" si="2"/>
        <v>0.15</v>
      </c>
      <c r="N96" t="s">
        <v>20</v>
      </c>
      <c r="O96">
        <f>LOOKUP(X96,Pays!A:A,Pays!D:D)</f>
        <v>0</v>
      </c>
      <c r="P96">
        <v>0.15</v>
      </c>
      <c r="Q96" t="s">
        <v>2007</v>
      </c>
      <c r="U96">
        <v>1</v>
      </c>
      <c r="W96">
        <f>IF(COUNTIF(Pays!A:A,X96)=0,"",LOOKUP(X96,Pays!A:A,Pays!E:E))</f>
        <v>0</v>
      </c>
      <c r="X96" s="8" t="s">
        <v>30</v>
      </c>
    </row>
    <row r="97" spans="1:24" x14ac:dyDescent="0.25">
      <c r="A97" t="s">
        <v>1151</v>
      </c>
      <c r="B97" t="s">
        <v>182</v>
      </c>
      <c r="C97" s="1">
        <f t="shared" si="3"/>
        <v>46174</v>
      </c>
      <c r="F97" t="s">
        <v>155</v>
      </c>
      <c r="G97" t="s">
        <v>310</v>
      </c>
      <c r="H97" t="s">
        <v>1259</v>
      </c>
      <c r="I97" t="s">
        <v>18</v>
      </c>
      <c r="J97" t="str">
        <f>IF(COUNTIF(Pays!A:A,X97)=0,"Pays inconnu",_xlfn.XLOOKUP(X97,Pays!A:A,Pays!B:B))</f>
        <v>PT</v>
      </c>
      <c r="K97">
        <f>IF(COUNTIF(Pays!A:A,X97)=0,"Pays inconnu",_xlfn.XLOOKUP(X97,Pays!A:A,Pays!C:C))</f>
        <v>1</v>
      </c>
      <c r="L97">
        <v>1</v>
      </c>
      <c r="M97">
        <f t="shared" si="2"/>
        <v>0.15</v>
      </c>
      <c r="N97" t="s">
        <v>20</v>
      </c>
      <c r="O97">
        <f>LOOKUP(X97,Pays!A:A,Pays!D:D)</f>
        <v>0.2</v>
      </c>
      <c r="P97">
        <v>0.15</v>
      </c>
      <c r="Q97" t="s">
        <v>2007</v>
      </c>
      <c r="U97">
        <v>1</v>
      </c>
      <c r="W97">
        <f>IF(COUNTIF(Pays!A:A,X97)=0,"",LOOKUP(X97,Pays!A:A,Pays!E:E))</f>
        <v>0</v>
      </c>
      <c r="X97" s="8" t="s">
        <v>34</v>
      </c>
    </row>
    <row r="98" spans="1:24" x14ac:dyDescent="0.25">
      <c r="A98" t="s">
        <v>1151</v>
      </c>
      <c r="B98" t="s">
        <v>182</v>
      </c>
      <c r="C98" s="1">
        <f t="shared" si="3"/>
        <v>46174</v>
      </c>
      <c r="F98" t="s">
        <v>155</v>
      </c>
      <c r="G98" t="s">
        <v>311</v>
      </c>
      <c r="H98" t="s">
        <v>1260</v>
      </c>
      <c r="I98" t="s">
        <v>18</v>
      </c>
      <c r="J98" t="str">
        <f>IF(COUNTIF(Pays!A:A,X98)=0,"Pays inconnu",_xlfn.XLOOKUP(X98,Pays!A:A,Pays!B:B))</f>
        <v>CH</v>
      </c>
      <c r="K98" t="str">
        <f>IF(COUNTIF(Pays!A:A,X98)=0,"Pays inconnu",_xlfn.XLOOKUP(X98,Pays!A:A,Pays!C:C))</f>
        <v>1_CH</v>
      </c>
      <c r="L98">
        <v>1</v>
      </c>
      <c r="M98">
        <f t="shared" si="2"/>
        <v>0.15</v>
      </c>
      <c r="N98" t="s">
        <v>20</v>
      </c>
      <c r="O98">
        <f>LOOKUP(X98,Pays!A:A,Pays!D:D)</f>
        <v>0</v>
      </c>
      <c r="P98">
        <v>0.15</v>
      </c>
      <c r="Q98" t="s">
        <v>2007</v>
      </c>
      <c r="U98">
        <v>1</v>
      </c>
      <c r="W98">
        <f>IF(COUNTIF(Pays!A:A,X98)=0,"",LOOKUP(X98,Pays!A:A,Pays!E:E))</f>
        <v>0</v>
      </c>
      <c r="X98" s="8" t="s">
        <v>37</v>
      </c>
    </row>
    <row r="99" spans="1:24" x14ac:dyDescent="0.25">
      <c r="A99" t="s">
        <v>1151</v>
      </c>
      <c r="B99" t="s">
        <v>182</v>
      </c>
      <c r="C99" s="1">
        <f t="shared" si="3"/>
        <v>46174</v>
      </c>
      <c r="F99" t="s">
        <v>155</v>
      </c>
      <c r="G99" t="s">
        <v>312</v>
      </c>
      <c r="H99" t="s">
        <v>1261</v>
      </c>
      <c r="I99" t="s">
        <v>18</v>
      </c>
      <c r="J99" t="str">
        <f>IF(COUNTIF(Pays!A:A,X99)=0,"Pays inconnu",_xlfn.XLOOKUP(X99,Pays!A:A,Pays!B:B))</f>
        <v>NL</v>
      </c>
      <c r="K99">
        <f>IF(COUNTIF(Pays!A:A,X99)=0,"Pays inconnu",_xlfn.XLOOKUP(X99,Pays!A:A,Pays!C:C))</f>
        <v>1</v>
      </c>
      <c r="L99">
        <v>1</v>
      </c>
      <c r="M99">
        <f t="shared" si="2"/>
        <v>0.15</v>
      </c>
      <c r="N99" t="s">
        <v>20</v>
      </c>
      <c r="O99">
        <f>LOOKUP(X99,Pays!A:A,Pays!D:D)</f>
        <v>0.2</v>
      </c>
      <c r="P99">
        <v>0.15</v>
      </c>
      <c r="Q99" t="s">
        <v>2007</v>
      </c>
      <c r="U99">
        <v>1</v>
      </c>
      <c r="W99">
        <f>IF(COUNTIF(Pays!A:A,X99)=0,"",LOOKUP(X99,Pays!A:A,Pays!E:E))</f>
        <v>0</v>
      </c>
      <c r="X99" s="8" t="s">
        <v>31</v>
      </c>
    </row>
    <row r="100" spans="1:24" x14ac:dyDescent="0.25">
      <c r="A100" t="s">
        <v>1151</v>
      </c>
      <c r="B100" t="s">
        <v>182</v>
      </c>
      <c r="C100" s="1">
        <f t="shared" si="3"/>
        <v>46174</v>
      </c>
      <c r="F100" t="s">
        <v>155</v>
      </c>
      <c r="G100" t="s">
        <v>313</v>
      </c>
      <c r="H100" t="s">
        <v>1262</v>
      </c>
      <c r="I100" t="s">
        <v>18</v>
      </c>
      <c r="J100" t="str">
        <f>IF(COUNTIF(Pays!A:A,X100)=0,"Pays inconnu",_xlfn.XLOOKUP(X100,Pays!A:A,Pays!B:B))</f>
        <v>IT</v>
      </c>
      <c r="K100">
        <f>IF(COUNTIF(Pays!A:A,X100)=0,"Pays inconnu",_xlfn.XLOOKUP(X100,Pays!A:A,Pays!C:C))</f>
        <v>1</v>
      </c>
      <c r="L100">
        <v>1</v>
      </c>
      <c r="M100">
        <f t="shared" si="2"/>
        <v>0.15</v>
      </c>
      <c r="N100" t="s">
        <v>20</v>
      </c>
      <c r="O100">
        <f>LOOKUP(X100,Pays!A:A,Pays!D:D)</f>
        <v>0.2</v>
      </c>
      <c r="P100">
        <v>0.15</v>
      </c>
      <c r="Q100" t="s">
        <v>2007</v>
      </c>
      <c r="U100">
        <v>1</v>
      </c>
      <c r="W100">
        <f>IF(COUNTIF(Pays!A:A,X100)=0,"",LOOKUP(X100,Pays!A:A,Pays!E:E))</f>
        <v>0</v>
      </c>
      <c r="X100" s="8" t="s">
        <v>33</v>
      </c>
    </row>
    <row r="101" spans="1:24" x14ac:dyDescent="0.25">
      <c r="A101" t="s">
        <v>1151</v>
      </c>
      <c r="B101" t="s">
        <v>182</v>
      </c>
      <c r="C101" s="1">
        <f t="shared" si="3"/>
        <v>46174</v>
      </c>
      <c r="F101" t="s">
        <v>110</v>
      </c>
      <c r="G101" t="s">
        <v>314</v>
      </c>
      <c r="H101" t="s">
        <v>1263</v>
      </c>
      <c r="I101" t="s">
        <v>18</v>
      </c>
      <c r="J101" t="str">
        <f>IF(COUNTIF(Pays!A:A,X101)=0,"Pays inconnu",_xlfn.XLOOKUP(X101,Pays!A:A,Pays!B:B))</f>
        <v>CH</v>
      </c>
      <c r="K101" t="str">
        <f>IF(COUNTIF(Pays!A:A,X101)=0,"Pays inconnu",_xlfn.XLOOKUP(X101,Pays!A:A,Pays!C:C))</f>
        <v>1_CH</v>
      </c>
      <c r="L101">
        <v>1</v>
      </c>
      <c r="M101">
        <f t="shared" si="2"/>
        <v>0.03</v>
      </c>
      <c r="N101" t="s">
        <v>20</v>
      </c>
      <c r="O101">
        <f>LOOKUP(X101,Pays!A:A,Pays!D:D)</f>
        <v>0</v>
      </c>
      <c r="P101">
        <v>0.03</v>
      </c>
      <c r="Q101" t="s">
        <v>2007</v>
      </c>
      <c r="U101">
        <v>1</v>
      </c>
      <c r="W101">
        <f>IF(COUNTIF(Pays!A:A,X101)=0,"",LOOKUP(X101,Pays!A:A,Pays!E:E))</f>
        <v>0</v>
      </c>
      <c r="X101" s="8" t="s">
        <v>37</v>
      </c>
    </row>
    <row r="102" spans="1:24" x14ac:dyDescent="0.25">
      <c r="A102" t="s">
        <v>1151</v>
      </c>
      <c r="B102" t="s">
        <v>182</v>
      </c>
      <c r="C102" s="1">
        <f t="shared" si="3"/>
        <v>46174</v>
      </c>
      <c r="F102" t="s">
        <v>155</v>
      </c>
      <c r="G102" t="s">
        <v>315</v>
      </c>
      <c r="H102" t="s">
        <v>192</v>
      </c>
      <c r="I102" t="s">
        <v>18</v>
      </c>
      <c r="J102" t="str">
        <f>IF(COUNTIF(Pays!A:A,X102)=0,"Pays inconnu",_xlfn.XLOOKUP(X102,Pays!A:A,Pays!B:B))</f>
        <v>BE</v>
      </c>
      <c r="K102" t="str">
        <f>IF(COUNTIF(Pays!A:A,X102)=0,"Pays inconnu",_xlfn.XLOOKUP(X102,Pays!A:A,Pays!C:C))</f>
        <v>1_BE</v>
      </c>
      <c r="L102">
        <v>1</v>
      </c>
      <c r="M102">
        <f t="shared" si="2"/>
        <v>0.25</v>
      </c>
      <c r="N102" t="s">
        <v>20</v>
      </c>
      <c r="O102">
        <f>LOOKUP(X102,Pays!A:A,Pays!D:D)</f>
        <v>0.2</v>
      </c>
      <c r="P102">
        <v>0.15</v>
      </c>
      <c r="Q102">
        <v>0.25</v>
      </c>
      <c r="U102">
        <v>1</v>
      </c>
      <c r="W102">
        <f>IF(COUNTIF(Pays!A:A,X102)=0,"",LOOKUP(X102,Pays!A:A,Pays!E:E))</f>
        <v>0</v>
      </c>
      <c r="X102" s="8" t="s">
        <v>28</v>
      </c>
    </row>
    <row r="103" spans="1:24" x14ac:dyDescent="0.25">
      <c r="A103" t="s">
        <v>1151</v>
      </c>
      <c r="B103" t="s">
        <v>182</v>
      </c>
      <c r="C103" s="1">
        <f t="shared" si="3"/>
        <v>46174</v>
      </c>
      <c r="F103" t="s">
        <v>155</v>
      </c>
      <c r="G103" t="s">
        <v>316</v>
      </c>
      <c r="H103" t="s">
        <v>1264</v>
      </c>
      <c r="I103" t="s">
        <v>18</v>
      </c>
      <c r="J103" t="str">
        <f>IF(COUNTIF(Pays!A:A,X103)=0,"Pays inconnu",_xlfn.XLOOKUP(X103,Pays!A:A,Pays!B:B))</f>
        <v>BE</v>
      </c>
      <c r="K103" t="str">
        <f>IF(COUNTIF(Pays!A:A,X103)=0,"Pays inconnu",_xlfn.XLOOKUP(X103,Pays!A:A,Pays!C:C))</f>
        <v>1_BE</v>
      </c>
      <c r="L103">
        <v>1</v>
      </c>
      <c r="M103">
        <f t="shared" si="2"/>
        <v>0.26</v>
      </c>
      <c r="N103" t="s">
        <v>20</v>
      </c>
      <c r="O103">
        <f>LOOKUP(X103,Pays!A:A,Pays!D:D)</f>
        <v>0.2</v>
      </c>
      <c r="P103">
        <v>0.15</v>
      </c>
      <c r="Q103">
        <v>0.26</v>
      </c>
      <c r="U103">
        <v>1</v>
      </c>
      <c r="W103">
        <f>IF(COUNTIF(Pays!A:A,X103)=0,"",LOOKUP(X103,Pays!A:A,Pays!E:E))</f>
        <v>0</v>
      </c>
      <c r="X103" s="8" t="s">
        <v>28</v>
      </c>
    </row>
    <row r="104" spans="1:24" x14ac:dyDescent="0.25">
      <c r="A104" t="s">
        <v>1151</v>
      </c>
      <c r="B104" t="s">
        <v>182</v>
      </c>
      <c r="C104" s="1">
        <f t="shared" si="3"/>
        <v>46174</v>
      </c>
      <c r="F104" t="s">
        <v>155</v>
      </c>
      <c r="G104" t="s">
        <v>317</v>
      </c>
      <c r="H104" t="s">
        <v>1265</v>
      </c>
      <c r="I104" t="s">
        <v>18</v>
      </c>
      <c r="J104" t="str">
        <f>IF(COUNTIF(Pays!A:A,X104)=0,"Pays inconnu",_xlfn.XLOOKUP(X104,Pays!A:A,Pays!B:B))</f>
        <v>GB</v>
      </c>
      <c r="K104" t="str">
        <f>IF(COUNTIF(Pays!A:A,X104)=0,"Pays inconnu",_xlfn.XLOOKUP(X104,Pays!A:A,Pays!C:C))</f>
        <v>1_GB</v>
      </c>
      <c r="L104">
        <v>1</v>
      </c>
      <c r="M104">
        <f t="shared" si="2"/>
        <v>0.16</v>
      </c>
      <c r="N104" t="s">
        <v>20</v>
      </c>
      <c r="O104">
        <f>LOOKUP(X104,Pays!A:A,Pays!D:D)</f>
        <v>0</v>
      </c>
      <c r="P104">
        <v>0.15</v>
      </c>
      <c r="Q104">
        <v>0.16</v>
      </c>
      <c r="U104">
        <v>1</v>
      </c>
      <c r="W104">
        <f>IF(COUNTIF(Pays!A:A,X104)=0,"",LOOKUP(X104,Pays!A:A,Pays!E:E))</f>
        <v>0</v>
      </c>
      <c r="X104" s="8" t="s">
        <v>30</v>
      </c>
    </row>
    <row r="105" spans="1:24" x14ac:dyDescent="0.25">
      <c r="A105" t="s">
        <v>1151</v>
      </c>
      <c r="B105" t="s">
        <v>182</v>
      </c>
      <c r="C105" s="1">
        <f t="shared" si="3"/>
        <v>46174</v>
      </c>
      <c r="F105" t="s">
        <v>155</v>
      </c>
      <c r="G105" t="s">
        <v>318</v>
      </c>
      <c r="H105" t="s">
        <v>1266</v>
      </c>
      <c r="I105" t="s">
        <v>18</v>
      </c>
      <c r="J105" t="str">
        <f>IF(COUNTIF(Pays!A:A,X105)=0,"Pays inconnu",_xlfn.XLOOKUP(X105,Pays!A:A,Pays!B:B))</f>
        <v>CH</v>
      </c>
      <c r="K105" t="str">
        <f>IF(COUNTIF(Pays!A:A,X105)=0,"Pays inconnu",_xlfn.XLOOKUP(X105,Pays!A:A,Pays!C:C))</f>
        <v>1_CH</v>
      </c>
      <c r="L105">
        <v>1</v>
      </c>
      <c r="M105">
        <f t="shared" si="2"/>
        <v>0.21</v>
      </c>
      <c r="N105" t="s">
        <v>20</v>
      </c>
      <c r="O105">
        <f>LOOKUP(X105,Pays!A:A,Pays!D:D)</f>
        <v>0</v>
      </c>
      <c r="P105">
        <v>0.15</v>
      </c>
      <c r="Q105">
        <v>0.21</v>
      </c>
      <c r="U105">
        <v>1</v>
      </c>
      <c r="W105">
        <f>IF(COUNTIF(Pays!A:A,X105)=0,"",LOOKUP(X105,Pays!A:A,Pays!E:E))</f>
        <v>0</v>
      </c>
      <c r="X105" s="8" t="s">
        <v>37</v>
      </c>
    </row>
    <row r="106" spans="1:24" x14ac:dyDescent="0.25">
      <c r="A106" t="s">
        <v>1151</v>
      </c>
      <c r="B106" t="s">
        <v>182</v>
      </c>
      <c r="C106" s="1">
        <f t="shared" si="3"/>
        <v>46174</v>
      </c>
      <c r="F106" t="s">
        <v>155</v>
      </c>
      <c r="G106" t="s">
        <v>319</v>
      </c>
      <c r="H106" t="s">
        <v>1267</v>
      </c>
      <c r="I106" t="s">
        <v>18</v>
      </c>
      <c r="J106" t="str">
        <f>IF(COUNTIF(Pays!A:A,X106)=0,"Pays inconnu",_xlfn.XLOOKUP(X106,Pays!A:A,Pays!B:B))</f>
        <v>CH</v>
      </c>
      <c r="K106" t="str">
        <f>IF(COUNTIF(Pays!A:A,X106)=0,"Pays inconnu",_xlfn.XLOOKUP(X106,Pays!A:A,Pays!C:C))</f>
        <v>1_CH</v>
      </c>
      <c r="L106">
        <v>1</v>
      </c>
      <c r="M106">
        <f t="shared" si="2"/>
        <v>0.15</v>
      </c>
      <c r="N106" t="s">
        <v>20</v>
      </c>
      <c r="O106">
        <f>LOOKUP(X106,Pays!A:A,Pays!D:D)</f>
        <v>0</v>
      </c>
      <c r="P106">
        <v>0.15</v>
      </c>
      <c r="Q106">
        <v>7.0000000000000007E-2</v>
      </c>
      <c r="U106">
        <v>1</v>
      </c>
      <c r="W106">
        <f>IF(COUNTIF(Pays!A:A,X106)=0,"",LOOKUP(X106,Pays!A:A,Pays!E:E))</f>
        <v>0</v>
      </c>
      <c r="X106" s="8" t="s">
        <v>37</v>
      </c>
    </row>
    <row r="107" spans="1:24" x14ac:dyDescent="0.25">
      <c r="A107" t="s">
        <v>1151</v>
      </c>
      <c r="B107" t="s">
        <v>182</v>
      </c>
      <c r="C107" s="1">
        <f t="shared" si="3"/>
        <v>46174</v>
      </c>
      <c r="F107" t="s">
        <v>155</v>
      </c>
      <c r="G107" t="s">
        <v>320</v>
      </c>
      <c r="H107" t="s">
        <v>1268</v>
      </c>
      <c r="I107" t="s">
        <v>18</v>
      </c>
      <c r="J107" t="str">
        <f>IF(COUNTIF(Pays!A:A,X107)=0,"Pays inconnu",_xlfn.XLOOKUP(X107,Pays!A:A,Pays!B:B))</f>
        <v>CH</v>
      </c>
      <c r="K107" t="str">
        <f>IF(COUNTIF(Pays!A:A,X107)=0,"Pays inconnu",_xlfn.XLOOKUP(X107,Pays!A:A,Pays!C:C))</f>
        <v>1_CH</v>
      </c>
      <c r="L107">
        <v>1</v>
      </c>
      <c r="M107">
        <f t="shared" si="2"/>
        <v>0.47</v>
      </c>
      <c r="N107" t="s">
        <v>20</v>
      </c>
      <c r="O107">
        <f>LOOKUP(X107,Pays!A:A,Pays!D:D)</f>
        <v>0</v>
      </c>
      <c r="P107">
        <v>0.15</v>
      </c>
      <c r="Q107">
        <v>0.47</v>
      </c>
      <c r="U107">
        <v>1</v>
      </c>
      <c r="W107">
        <f>IF(COUNTIF(Pays!A:A,X107)=0,"",LOOKUP(X107,Pays!A:A,Pays!E:E))</f>
        <v>0</v>
      </c>
      <c r="X107" s="8" t="s">
        <v>37</v>
      </c>
    </row>
    <row r="108" spans="1:24" x14ac:dyDescent="0.25">
      <c r="A108" t="s">
        <v>1151</v>
      </c>
      <c r="B108" t="s">
        <v>182</v>
      </c>
      <c r="C108" s="1">
        <f t="shared" si="3"/>
        <v>46174</v>
      </c>
      <c r="F108" t="s">
        <v>155</v>
      </c>
      <c r="G108" t="s">
        <v>321</v>
      </c>
      <c r="H108" t="s">
        <v>1269</v>
      </c>
      <c r="I108" t="s">
        <v>18</v>
      </c>
      <c r="J108" t="str">
        <f>IF(COUNTIF(Pays!A:A,X108)=0,"Pays inconnu",_xlfn.XLOOKUP(X108,Pays!A:A,Pays!B:B))</f>
        <v>GB</v>
      </c>
      <c r="K108" t="str">
        <f>IF(COUNTIF(Pays!A:A,X108)=0,"Pays inconnu",_xlfn.XLOOKUP(X108,Pays!A:A,Pays!C:C))</f>
        <v>1_GB</v>
      </c>
      <c r="L108">
        <v>1</v>
      </c>
      <c r="M108">
        <f t="shared" si="2"/>
        <v>0.15</v>
      </c>
      <c r="N108" t="s">
        <v>20</v>
      </c>
      <c r="O108">
        <f>LOOKUP(X108,Pays!A:A,Pays!D:D)</f>
        <v>0</v>
      </c>
      <c r="P108">
        <v>0.15</v>
      </c>
      <c r="Q108">
        <v>0.11</v>
      </c>
      <c r="U108">
        <v>1</v>
      </c>
      <c r="W108">
        <f>IF(COUNTIF(Pays!A:A,X108)=0,"",LOOKUP(X108,Pays!A:A,Pays!E:E))</f>
        <v>0</v>
      </c>
      <c r="X108" s="8" t="s">
        <v>30</v>
      </c>
    </row>
    <row r="109" spans="1:24" x14ac:dyDescent="0.25">
      <c r="A109" t="s">
        <v>1151</v>
      </c>
      <c r="B109" t="s">
        <v>182</v>
      </c>
      <c r="C109" s="1">
        <f t="shared" si="3"/>
        <v>46174</v>
      </c>
      <c r="F109" t="s">
        <v>155</v>
      </c>
      <c r="G109" t="s">
        <v>322</v>
      </c>
      <c r="H109" t="s">
        <v>1270</v>
      </c>
      <c r="I109" t="s">
        <v>18</v>
      </c>
      <c r="J109" t="str">
        <f>IF(COUNTIF(Pays!A:A,X109)=0,"Pays inconnu",_xlfn.XLOOKUP(X109,Pays!A:A,Pays!B:B))</f>
        <v>GB</v>
      </c>
      <c r="K109" t="str">
        <f>IF(COUNTIF(Pays!A:A,X109)=0,"Pays inconnu",_xlfn.XLOOKUP(X109,Pays!A:A,Pays!C:C))</f>
        <v>1_GB</v>
      </c>
      <c r="L109">
        <v>1</v>
      </c>
      <c r="M109">
        <f t="shared" si="2"/>
        <v>0.15</v>
      </c>
      <c r="N109" t="s">
        <v>20</v>
      </c>
      <c r="O109">
        <f>LOOKUP(X109,Pays!A:A,Pays!D:D)</f>
        <v>0</v>
      </c>
      <c r="P109">
        <v>0.15</v>
      </c>
      <c r="Q109">
        <v>0.03</v>
      </c>
      <c r="U109">
        <v>1</v>
      </c>
      <c r="W109">
        <f>IF(COUNTIF(Pays!A:A,X109)=0,"",LOOKUP(X109,Pays!A:A,Pays!E:E))</f>
        <v>0</v>
      </c>
      <c r="X109" s="8" t="s">
        <v>30</v>
      </c>
    </row>
    <row r="110" spans="1:24" x14ac:dyDescent="0.25">
      <c r="A110" t="s">
        <v>1151</v>
      </c>
      <c r="B110" t="s">
        <v>182</v>
      </c>
      <c r="C110" s="1">
        <f t="shared" si="3"/>
        <v>46174</v>
      </c>
      <c r="F110" t="s">
        <v>155</v>
      </c>
      <c r="G110" t="s">
        <v>323</v>
      </c>
      <c r="H110" t="s">
        <v>1271</v>
      </c>
      <c r="I110" t="s">
        <v>18</v>
      </c>
      <c r="J110" t="str">
        <f>IF(COUNTIF(Pays!A:A,X110)=0,"Pays inconnu",_xlfn.XLOOKUP(X110,Pays!A:A,Pays!B:B))</f>
        <v>CH</v>
      </c>
      <c r="K110" t="str">
        <f>IF(COUNTIF(Pays!A:A,X110)=0,"Pays inconnu",_xlfn.XLOOKUP(X110,Pays!A:A,Pays!C:C))</f>
        <v>1_CH</v>
      </c>
      <c r="L110">
        <v>1</v>
      </c>
      <c r="M110">
        <f t="shared" si="2"/>
        <v>0.42</v>
      </c>
      <c r="N110" t="s">
        <v>20</v>
      </c>
      <c r="O110">
        <f>LOOKUP(X110,Pays!A:A,Pays!D:D)</f>
        <v>0</v>
      </c>
      <c r="P110">
        <v>0.15</v>
      </c>
      <c r="Q110">
        <v>0.42</v>
      </c>
      <c r="U110">
        <v>1</v>
      </c>
      <c r="W110">
        <f>IF(COUNTIF(Pays!A:A,X110)=0,"",LOOKUP(X110,Pays!A:A,Pays!E:E))</f>
        <v>0</v>
      </c>
      <c r="X110" s="8" t="s">
        <v>37</v>
      </c>
    </row>
    <row r="111" spans="1:24" x14ac:dyDescent="0.25">
      <c r="A111" t="s">
        <v>1151</v>
      </c>
      <c r="B111" t="s">
        <v>182</v>
      </c>
      <c r="C111" s="1">
        <f t="shared" si="3"/>
        <v>46174</v>
      </c>
      <c r="F111" t="s">
        <v>155</v>
      </c>
      <c r="G111" t="s">
        <v>324</v>
      </c>
      <c r="H111" t="s">
        <v>1272</v>
      </c>
      <c r="I111" t="s">
        <v>18</v>
      </c>
      <c r="J111" t="str">
        <f>IF(COUNTIF(Pays!A:A,X111)=0,"Pays inconnu",_xlfn.XLOOKUP(X111,Pays!A:A,Pays!B:B))</f>
        <v>CH</v>
      </c>
      <c r="K111" t="str">
        <f>IF(COUNTIF(Pays!A:A,X111)=0,"Pays inconnu",_xlfn.XLOOKUP(X111,Pays!A:A,Pays!C:C))</f>
        <v>1_CH</v>
      </c>
      <c r="L111">
        <v>1</v>
      </c>
      <c r="M111">
        <f t="shared" si="2"/>
        <v>0.52</v>
      </c>
      <c r="N111" t="s">
        <v>20</v>
      </c>
      <c r="O111">
        <f>LOOKUP(X111,Pays!A:A,Pays!D:D)</f>
        <v>0</v>
      </c>
      <c r="P111">
        <v>0.15</v>
      </c>
      <c r="Q111">
        <v>0.52</v>
      </c>
      <c r="U111">
        <v>1</v>
      </c>
      <c r="W111">
        <f>IF(COUNTIF(Pays!A:A,X111)=0,"",LOOKUP(X111,Pays!A:A,Pays!E:E))</f>
        <v>0</v>
      </c>
      <c r="X111" s="8" t="s">
        <v>37</v>
      </c>
    </row>
    <row r="112" spans="1:24" x14ac:dyDescent="0.25">
      <c r="A112" t="s">
        <v>1151</v>
      </c>
      <c r="B112" t="s">
        <v>182</v>
      </c>
      <c r="C112" s="1">
        <f t="shared" si="3"/>
        <v>46174</v>
      </c>
      <c r="F112" t="s">
        <v>155</v>
      </c>
      <c r="G112" t="s">
        <v>325</v>
      </c>
      <c r="H112" t="s">
        <v>1273</v>
      </c>
      <c r="I112" t="s">
        <v>18</v>
      </c>
      <c r="J112" t="str">
        <f>IF(COUNTIF(Pays!A:A,X112)=0,"Pays inconnu",_xlfn.XLOOKUP(X112,Pays!A:A,Pays!B:B))</f>
        <v>CZ</v>
      </c>
      <c r="K112">
        <f>IF(COUNTIF(Pays!A:A,X112)=0,"Pays inconnu",_xlfn.XLOOKUP(X112,Pays!A:A,Pays!C:C))</f>
        <v>1</v>
      </c>
      <c r="L112">
        <v>1</v>
      </c>
      <c r="M112">
        <f t="shared" si="2"/>
        <v>0.2</v>
      </c>
      <c r="N112" t="s">
        <v>20</v>
      </c>
      <c r="O112">
        <f>LOOKUP(X112,Pays!A:A,Pays!D:D)</f>
        <v>0.2</v>
      </c>
      <c r="P112">
        <v>0.15</v>
      </c>
      <c r="Q112">
        <v>0.2</v>
      </c>
      <c r="U112">
        <v>1</v>
      </c>
      <c r="W112">
        <f>IF(COUNTIF(Pays!A:A,X112)=0,"",LOOKUP(X112,Pays!A:A,Pays!E:E))</f>
        <v>0</v>
      </c>
      <c r="X112" s="8" t="s">
        <v>87</v>
      </c>
    </row>
    <row r="113" spans="1:24" x14ac:dyDescent="0.25">
      <c r="A113" t="s">
        <v>1151</v>
      </c>
      <c r="B113" t="s">
        <v>182</v>
      </c>
      <c r="C113" s="1">
        <f t="shared" si="3"/>
        <v>46174</v>
      </c>
      <c r="F113" t="s">
        <v>155</v>
      </c>
      <c r="G113" t="s">
        <v>326</v>
      </c>
      <c r="H113" t="s">
        <v>1274</v>
      </c>
      <c r="I113" t="s">
        <v>18</v>
      </c>
      <c r="J113" t="str">
        <f>IF(COUNTIF(Pays!A:A,X113)=0,"Pays inconnu",_xlfn.XLOOKUP(X113,Pays!A:A,Pays!B:B))</f>
        <v>CH</v>
      </c>
      <c r="K113" t="str">
        <f>IF(COUNTIF(Pays!A:A,X113)=0,"Pays inconnu",_xlfn.XLOOKUP(X113,Pays!A:A,Pays!C:C))</f>
        <v>1_CH</v>
      </c>
      <c r="L113">
        <v>1</v>
      </c>
      <c r="M113">
        <f t="shared" si="2"/>
        <v>0.31</v>
      </c>
      <c r="N113" t="s">
        <v>20</v>
      </c>
      <c r="O113">
        <f>LOOKUP(X113,Pays!A:A,Pays!D:D)</f>
        <v>0</v>
      </c>
      <c r="P113">
        <v>0.15</v>
      </c>
      <c r="Q113">
        <v>0.31</v>
      </c>
      <c r="U113">
        <v>1</v>
      </c>
      <c r="W113">
        <f>IF(COUNTIF(Pays!A:A,X113)=0,"",LOOKUP(X113,Pays!A:A,Pays!E:E))</f>
        <v>0</v>
      </c>
      <c r="X113" s="8" t="s">
        <v>37</v>
      </c>
    </row>
    <row r="114" spans="1:24" x14ac:dyDescent="0.25">
      <c r="A114" t="s">
        <v>1151</v>
      </c>
      <c r="B114" t="s">
        <v>182</v>
      </c>
      <c r="C114" s="1">
        <f t="shared" si="3"/>
        <v>46174</v>
      </c>
      <c r="F114" t="s">
        <v>181</v>
      </c>
      <c r="G114" t="s">
        <v>327</v>
      </c>
      <c r="H114" t="s">
        <v>1275</v>
      </c>
      <c r="I114" t="s">
        <v>18</v>
      </c>
      <c r="J114" t="str">
        <f>IF(COUNTIF(Pays!A:A,X114)=0,"Pays inconnu",_xlfn.XLOOKUP(X114,Pays!A:A,Pays!B:B))</f>
        <v>CH</v>
      </c>
      <c r="K114" t="str">
        <f>IF(COUNTIF(Pays!A:A,X114)=0,"Pays inconnu",_xlfn.XLOOKUP(X114,Pays!A:A,Pays!C:C))</f>
        <v>1_CH</v>
      </c>
      <c r="L114">
        <v>1</v>
      </c>
      <c r="M114">
        <f t="shared" si="2"/>
        <v>0.9</v>
      </c>
      <c r="N114" t="s">
        <v>20</v>
      </c>
      <c r="O114">
        <f>LOOKUP(X114,Pays!A:A,Pays!D:D)</f>
        <v>0</v>
      </c>
      <c r="P114">
        <v>0.15</v>
      </c>
      <c r="Q114">
        <v>0.9</v>
      </c>
      <c r="U114">
        <v>1</v>
      </c>
      <c r="W114">
        <f>IF(COUNTIF(Pays!A:A,X114)=0,"",LOOKUP(X114,Pays!A:A,Pays!E:E))</f>
        <v>0</v>
      </c>
      <c r="X114" s="8" t="s">
        <v>37</v>
      </c>
    </row>
    <row r="115" spans="1:24" x14ac:dyDescent="0.25">
      <c r="A115" t="s">
        <v>1151</v>
      </c>
      <c r="B115" t="s">
        <v>182</v>
      </c>
      <c r="C115" s="1">
        <f t="shared" si="3"/>
        <v>46174</v>
      </c>
      <c r="F115" t="s">
        <v>155</v>
      </c>
      <c r="G115" t="s">
        <v>328</v>
      </c>
      <c r="H115" t="s">
        <v>1276</v>
      </c>
      <c r="I115" t="s">
        <v>18</v>
      </c>
      <c r="J115" t="str">
        <f>IF(COUNTIF(Pays!A:A,X115)=0,"Pays inconnu",_xlfn.XLOOKUP(X115,Pays!A:A,Pays!B:B))</f>
        <v>EE</v>
      </c>
      <c r="K115">
        <f>IF(COUNTIF(Pays!A:A,X115)=0,"Pays inconnu",_xlfn.XLOOKUP(X115,Pays!A:A,Pays!C:C))</f>
        <v>1</v>
      </c>
      <c r="L115">
        <v>1</v>
      </c>
      <c r="M115">
        <f t="shared" si="2"/>
        <v>0.35</v>
      </c>
      <c r="N115" t="s">
        <v>20</v>
      </c>
      <c r="O115">
        <f>LOOKUP(X115,Pays!A:A,Pays!D:D)</f>
        <v>0.2</v>
      </c>
      <c r="P115">
        <v>0.15</v>
      </c>
      <c r="Q115">
        <v>0.35</v>
      </c>
      <c r="U115">
        <v>1</v>
      </c>
      <c r="W115">
        <f>IF(COUNTIF(Pays!A:A,X115)=0,"",LOOKUP(X115,Pays!A:A,Pays!E:E))</f>
        <v>0</v>
      </c>
      <c r="X115" s="8" t="s">
        <v>92</v>
      </c>
    </row>
    <row r="116" spans="1:24" x14ac:dyDescent="0.25">
      <c r="A116" t="s">
        <v>1151</v>
      </c>
      <c r="B116" t="s">
        <v>182</v>
      </c>
      <c r="C116" s="1">
        <f t="shared" si="3"/>
        <v>46174</v>
      </c>
      <c r="F116" t="s">
        <v>155</v>
      </c>
      <c r="G116" t="s">
        <v>329</v>
      </c>
      <c r="H116" t="s">
        <v>1277</v>
      </c>
      <c r="I116" t="s">
        <v>18</v>
      </c>
      <c r="J116" t="str">
        <f>IF(COUNTIF(Pays!A:A,X116)=0,"Pays inconnu",_xlfn.XLOOKUP(X116,Pays!A:A,Pays!B:B))</f>
        <v>NL</v>
      </c>
      <c r="K116">
        <f>IF(COUNTIF(Pays!A:A,X116)=0,"Pays inconnu",_xlfn.XLOOKUP(X116,Pays!A:A,Pays!C:C))</f>
        <v>1</v>
      </c>
      <c r="L116">
        <v>1</v>
      </c>
      <c r="M116">
        <f t="shared" si="2"/>
        <v>0.15</v>
      </c>
      <c r="N116" t="s">
        <v>20</v>
      </c>
      <c r="O116">
        <f>LOOKUP(X116,Pays!A:A,Pays!D:D)</f>
        <v>0.2</v>
      </c>
      <c r="P116">
        <v>0.15</v>
      </c>
      <c r="Q116" t="s">
        <v>2007</v>
      </c>
      <c r="U116">
        <v>1</v>
      </c>
      <c r="W116">
        <f>IF(COUNTIF(Pays!A:A,X116)=0,"",LOOKUP(X116,Pays!A:A,Pays!E:E))</f>
        <v>0</v>
      </c>
      <c r="X116" s="8" t="s">
        <v>31</v>
      </c>
    </row>
    <row r="117" spans="1:24" x14ac:dyDescent="0.25">
      <c r="A117" t="s">
        <v>1151</v>
      </c>
      <c r="B117" t="s">
        <v>182</v>
      </c>
      <c r="C117" s="1">
        <f t="shared" si="3"/>
        <v>46174</v>
      </c>
      <c r="F117" t="s">
        <v>155</v>
      </c>
      <c r="G117" t="s">
        <v>330</v>
      </c>
      <c r="H117" t="s">
        <v>1278</v>
      </c>
      <c r="I117" t="s">
        <v>18</v>
      </c>
      <c r="J117" t="str">
        <f>IF(COUNTIF(Pays!A:A,X117)=0,"Pays inconnu",_xlfn.XLOOKUP(X117,Pays!A:A,Pays!B:B))</f>
        <v>CH</v>
      </c>
      <c r="K117" t="str">
        <f>IF(COUNTIF(Pays!A:A,X117)=0,"Pays inconnu",_xlfn.XLOOKUP(X117,Pays!A:A,Pays!C:C))</f>
        <v>1_CH</v>
      </c>
      <c r="L117">
        <v>1</v>
      </c>
      <c r="M117">
        <f t="shared" si="2"/>
        <v>0.77</v>
      </c>
      <c r="N117" t="s">
        <v>20</v>
      </c>
      <c r="O117">
        <f>LOOKUP(X117,Pays!A:A,Pays!D:D)</f>
        <v>0</v>
      </c>
      <c r="P117">
        <v>0.15</v>
      </c>
      <c r="Q117">
        <v>0.77</v>
      </c>
      <c r="U117">
        <v>1</v>
      </c>
      <c r="W117">
        <f>IF(COUNTIF(Pays!A:A,X117)=0,"",LOOKUP(X117,Pays!A:A,Pays!E:E))</f>
        <v>0</v>
      </c>
      <c r="X117" s="8" t="s">
        <v>37</v>
      </c>
    </row>
    <row r="118" spans="1:24" x14ac:dyDescent="0.25">
      <c r="A118" t="s">
        <v>1151</v>
      </c>
      <c r="B118" t="s">
        <v>182</v>
      </c>
      <c r="C118" s="1">
        <f t="shared" si="3"/>
        <v>46174</v>
      </c>
      <c r="F118" t="s">
        <v>155</v>
      </c>
      <c r="G118" t="s">
        <v>331</v>
      </c>
      <c r="H118" t="s">
        <v>1279</v>
      </c>
      <c r="I118" t="s">
        <v>18</v>
      </c>
      <c r="J118" t="str">
        <f>IF(COUNTIF(Pays!A:A,X118)=0,"Pays inconnu",_xlfn.XLOOKUP(X118,Pays!A:A,Pays!B:B))</f>
        <v>EE</v>
      </c>
      <c r="K118">
        <f>IF(COUNTIF(Pays!A:A,X118)=0,"Pays inconnu",_xlfn.XLOOKUP(X118,Pays!A:A,Pays!C:C))</f>
        <v>1</v>
      </c>
      <c r="L118">
        <v>1</v>
      </c>
      <c r="M118">
        <f t="shared" si="2"/>
        <v>0.42</v>
      </c>
      <c r="N118" t="s">
        <v>20</v>
      </c>
      <c r="O118">
        <f>LOOKUP(X118,Pays!A:A,Pays!D:D)</f>
        <v>0.2</v>
      </c>
      <c r="P118">
        <v>0.15</v>
      </c>
      <c r="Q118">
        <v>0.42</v>
      </c>
      <c r="U118">
        <v>1</v>
      </c>
      <c r="W118">
        <f>IF(COUNTIF(Pays!A:A,X118)=0,"",LOOKUP(X118,Pays!A:A,Pays!E:E))</f>
        <v>0</v>
      </c>
      <c r="X118" s="8" t="s">
        <v>92</v>
      </c>
    </row>
    <row r="119" spans="1:24" x14ac:dyDescent="0.25">
      <c r="A119" t="s">
        <v>1151</v>
      </c>
      <c r="B119" t="s">
        <v>182</v>
      </c>
      <c r="C119" s="1">
        <f t="shared" si="3"/>
        <v>46174</v>
      </c>
      <c r="F119" t="s">
        <v>155</v>
      </c>
      <c r="G119" t="s">
        <v>332</v>
      </c>
      <c r="H119" t="s">
        <v>1280</v>
      </c>
      <c r="I119" t="s">
        <v>18</v>
      </c>
      <c r="J119" t="str">
        <f>IF(COUNTIF(Pays!A:A,X119)=0,"Pays inconnu",_xlfn.XLOOKUP(X119,Pays!A:A,Pays!B:B))</f>
        <v>CH</v>
      </c>
      <c r="K119" t="str">
        <f>IF(COUNTIF(Pays!A:A,X119)=0,"Pays inconnu",_xlfn.XLOOKUP(X119,Pays!A:A,Pays!C:C))</f>
        <v>1_CH</v>
      </c>
      <c r="L119">
        <v>1</v>
      </c>
      <c r="M119">
        <f t="shared" si="2"/>
        <v>0.42</v>
      </c>
      <c r="N119" t="s">
        <v>20</v>
      </c>
      <c r="O119">
        <f>LOOKUP(X119,Pays!A:A,Pays!D:D)</f>
        <v>0</v>
      </c>
      <c r="P119">
        <v>0.15</v>
      </c>
      <c r="Q119">
        <v>0.42</v>
      </c>
      <c r="U119">
        <v>1</v>
      </c>
      <c r="W119">
        <f>IF(COUNTIF(Pays!A:A,X119)=0,"",LOOKUP(X119,Pays!A:A,Pays!E:E))</f>
        <v>0</v>
      </c>
      <c r="X119" s="8" t="s">
        <v>37</v>
      </c>
    </row>
    <row r="120" spans="1:24" x14ac:dyDescent="0.25">
      <c r="A120" t="s">
        <v>1151</v>
      </c>
      <c r="B120" t="s">
        <v>182</v>
      </c>
      <c r="C120" s="1">
        <f t="shared" si="3"/>
        <v>46174</v>
      </c>
      <c r="F120" t="s">
        <v>155</v>
      </c>
      <c r="G120" t="s">
        <v>333</v>
      </c>
      <c r="H120" t="s">
        <v>1281</v>
      </c>
      <c r="I120" t="s">
        <v>18</v>
      </c>
      <c r="J120" t="str">
        <f>IF(COUNTIF(Pays!A:A,X120)=0,"Pays inconnu",_xlfn.XLOOKUP(X120,Pays!A:A,Pays!B:B))</f>
        <v>CH</v>
      </c>
      <c r="K120" t="str">
        <f>IF(COUNTIF(Pays!A:A,X120)=0,"Pays inconnu",_xlfn.XLOOKUP(X120,Pays!A:A,Pays!C:C))</f>
        <v>1_CH</v>
      </c>
      <c r="L120">
        <v>1</v>
      </c>
      <c r="M120">
        <f t="shared" si="2"/>
        <v>0.42</v>
      </c>
      <c r="N120" t="s">
        <v>20</v>
      </c>
      <c r="O120">
        <f>LOOKUP(X120,Pays!A:A,Pays!D:D)</f>
        <v>0</v>
      </c>
      <c r="P120">
        <v>0.15</v>
      </c>
      <c r="Q120">
        <v>0.42</v>
      </c>
      <c r="U120">
        <v>1</v>
      </c>
      <c r="W120">
        <f>IF(COUNTIF(Pays!A:A,X120)=0,"",LOOKUP(X120,Pays!A:A,Pays!E:E))</f>
        <v>0</v>
      </c>
      <c r="X120" s="8" t="s">
        <v>37</v>
      </c>
    </row>
    <row r="121" spans="1:24" x14ac:dyDescent="0.25">
      <c r="A121" t="s">
        <v>1152</v>
      </c>
      <c r="B121" t="s">
        <v>182</v>
      </c>
      <c r="C121" s="1">
        <f t="shared" si="3"/>
        <v>46174</v>
      </c>
      <c r="F121" t="s">
        <v>155</v>
      </c>
      <c r="G121" t="s">
        <v>334</v>
      </c>
      <c r="H121" t="s">
        <v>1282</v>
      </c>
      <c r="I121" t="s">
        <v>18</v>
      </c>
      <c r="J121" t="str">
        <f>IF(COUNTIF(Pays!A:A,X121)=0,"Pays inconnu",_xlfn.XLOOKUP(X121,Pays!A:A,Pays!B:B))</f>
        <v>GB</v>
      </c>
      <c r="K121" t="str">
        <f>IF(COUNTIF(Pays!A:A,X121)=0,"Pays inconnu",_xlfn.XLOOKUP(X121,Pays!A:A,Pays!C:C))</f>
        <v>1_GB</v>
      </c>
      <c r="L121">
        <v>1</v>
      </c>
      <c r="M121">
        <f t="shared" si="2"/>
        <v>0.48</v>
      </c>
      <c r="N121" t="s">
        <v>20</v>
      </c>
      <c r="O121">
        <f>LOOKUP(X121,Pays!A:A,Pays!D:D)</f>
        <v>0</v>
      </c>
      <c r="P121">
        <v>0.15</v>
      </c>
      <c r="Q121">
        <v>0.48</v>
      </c>
      <c r="U121">
        <v>1</v>
      </c>
      <c r="W121">
        <f>IF(COUNTIF(Pays!A:A,X121)=0,"",LOOKUP(X121,Pays!A:A,Pays!E:E))</f>
        <v>0</v>
      </c>
      <c r="X121" s="8" t="s">
        <v>30</v>
      </c>
    </row>
    <row r="122" spans="1:24" x14ac:dyDescent="0.25">
      <c r="A122" t="s">
        <v>1152</v>
      </c>
      <c r="B122" t="s">
        <v>182</v>
      </c>
      <c r="C122" s="1">
        <f t="shared" si="3"/>
        <v>46174</v>
      </c>
      <c r="F122" t="s">
        <v>155</v>
      </c>
      <c r="G122" t="s">
        <v>335</v>
      </c>
      <c r="H122" t="s">
        <v>1283</v>
      </c>
      <c r="I122" t="s">
        <v>18</v>
      </c>
      <c r="J122" t="str">
        <f>IF(COUNTIF(Pays!A:A,X122)=0,"Pays inconnu",_xlfn.XLOOKUP(X122,Pays!A:A,Pays!B:B))</f>
        <v>CH</v>
      </c>
      <c r="K122" t="str">
        <f>IF(COUNTIF(Pays!A:A,X122)=0,"Pays inconnu",_xlfn.XLOOKUP(X122,Pays!A:A,Pays!C:C))</f>
        <v>1_CH</v>
      </c>
      <c r="L122">
        <v>1</v>
      </c>
      <c r="M122">
        <f t="shared" si="2"/>
        <v>0.17</v>
      </c>
      <c r="N122" t="s">
        <v>20</v>
      </c>
      <c r="O122">
        <f>LOOKUP(X122,Pays!A:A,Pays!D:D)</f>
        <v>0</v>
      </c>
      <c r="P122">
        <v>0.15</v>
      </c>
      <c r="Q122">
        <v>0.17</v>
      </c>
      <c r="U122">
        <v>1</v>
      </c>
      <c r="W122">
        <f>IF(COUNTIF(Pays!A:A,X122)=0,"",LOOKUP(X122,Pays!A:A,Pays!E:E))</f>
        <v>0</v>
      </c>
      <c r="X122" s="8" t="s">
        <v>37</v>
      </c>
    </row>
    <row r="123" spans="1:24" x14ac:dyDescent="0.25">
      <c r="A123" t="s">
        <v>1152</v>
      </c>
      <c r="B123" t="s">
        <v>182</v>
      </c>
      <c r="C123" s="1">
        <f t="shared" si="3"/>
        <v>46174</v>
      </c>
      <c r="F123" t="s">
        <v>155</v>
      </c>
      <c r="G123" t="s">
        <v>336</v>
      </c>
      <c r="H123" t="s">
        <v>1284</v>
      </c>
      <c r="I123" t="s">
        <v>18</v>
      </c>
      <c r="J123" t="str">
        <f>IF(COUNTIF(Pays!A:A,X123)=0,"Pays inconnu",_xlfn.XLOOKUP(X123,Pays!A:A,Pays!B:B))</f>
        <v>CZ</v>
      </c>
      <c r="K123">
        <f>IF(COUNTIF(Pays!A:A,X123)=0,"Pays inconnu",_xlfn.XLOOKUP(X123,Pays!A:A,Pays!C:C))</f>
        <v>1</v>
      </c>
      <c r="L123">
        <v>1</v>
      </c>
      <c r="M123">
        <f t="shared" si="2"/>
        <v>0.72</v>
      </c>
      <c r="N123" t="s">
        <v>20</v>
      </c>
      <c r="O123">
        <f>LOOKUP(X123,Pays!A:A,Pays!D:D)</f>
        <v>0.2</v>
      </c>
      <c r="P123">
        <v>0.15</v>
      </c>
      <c r="Q123">
        <v>0.72</v>
      </c>
      <c r="U123">
        <v>1</v>
      </c>
      <c r="W123">
        <f>IF(COUNTIF(Pays!A:A,X123)=0,"",LOOKUP(X123,Pays!A:A,Pays!E:E))</f>
        <v>0</v>
      </c>
      <c r="X123" s="8" t="s">
        <v>87</v>
      </c>
    </row>
    <row r="124" spans="1:24" x14ac:dyDescent="0.25">
      <c r="A124" t="s">
        <v>1152</v>
      </c>
      <c r="B124" t="s">
        <v>182</v>
      </c>
      <c r="C124" s="1">
        <f t="shared" si="3"/>
        <v>46174</v>
      </c>
      <c r="F124" t="s">
        <v>155</v>
      </c>
      <c r="G124" t="s">
        <v>337</v>
      </c>
      <c r="H124" t="s">
        <v>1285</v>
      </c>
      <c r="I124" t="s">
        <v>18</v>
      </c>
      <c r="J124" t="str">
        <f>IF(COUNTIF(Pays!A:A,X124)=0,"Pays inconnu",_xlfn.XLOOKUP(X124,Pays!A:A,Pays!B:B))</f>
        <v>TR</v>
      </c>
      <c r="K124">
        <f>IF(COUNTIF(Pays!A:A,X124)=0,"Pays inconnu",_xlfn.XLOOKUP(X124,Pays!A:A,Pays!C:C))</f>
        <v>2</v>
      </c>
      <c r="L124">
        <v>1</v>
      </c>
      <c r="M124">
        <f t="shared" si="2"/>
        <v>0.15</v>
      </c>
      <c r="N124" t="s">
        <v>20</v>
      </c>
      <c r="O124">
        <f>LOOKUP(X124,Pays!A:A,Pays!D:D)</f>
        <v>0</v>
      </c>
      <c r="P124">
        <v>0.15</v>
      </c>
      <c r="Q124" t="s">
        <v>2007</v>
      </c>
      <c r="U124">
        <v>1</v>
      </c>
      <c r="W124">
        <f>IF(COUNTIF(Pays!A:A,X124)=0,"",LOOKUP(X124,Pays!A:A,Pays!E:E))</f>
        <v>0</v>
      </c>
      <c r="X124" s="8" t="s">
        <v>118</v>
      </c>
    </row>
    <row r="125" spans="1:24" x14ac:dyDescent="0.25">
      <c r="A125" t="s">
        <v>1152</v>
      </c>
      <c r="B125" t="s">
        <v>182</v>
      </c>
      <c r="C125" s="1">
        <f t="shared" si="3"/>
        <v>46174</v>
      </c>
      <c r="F125" t="s">
        <v>155</v>
      </c>
      <c r="G125" t="s">
        <v>338</v>
      </c>
      <c r="H125" t="s">
        <v>205</v>
      </c>
      <c r="I125" t="s">
        <v>18</v>
      </c>
      <c r="J125" t="str">
        <f>IF(COUNTIF(Pays!A:A,X125)=0,"Pays inconnu",_xlfn.XLOOKUP(X125,Pays!A:A,Pays!B:B))</f>
        <v>GB</v>
      </c>
      <c r="K125" t="str">
        <f>IF(COUNTIF(Pays!A:A,X125)=0,"Pays inconnu",_xlfn.XLOOKUP(X125,Pays!A:A,Pays!C:C))</f>
        <v>1_GB</v>
      </c>
      <c r="L125">
        <v>1</v>
      </c>
      <c r="M125">
        <f t="shared" si="2"/>
        <v>0.15</v>
      </c>
      <c r="N125" t="s">
        <v>20</v>
      </c>
      <c r="O125">
        <f>LOOKUP(X125,Pays!A:A,Pays!D:D)</f>
        <v>0</v>
      </c>
      <c r="P125">
        <v>0.15</v>
      </c>
      <c r="Q125">
        <v>0.11</v>
      </c>
      <c r="U125">
        <v>1</v>
      </c>
      <c r="W125">
        <f>IF(COUNTIF(Pays!A:A,X125)=0,"",LOOKUP(X125,Pays!A:A,Pays!E:E))</f>
        <v>0</v>
      </c>
      <c r="X125" s="8" t="s">
        <v>30</v>
      </c>
    </row>
    <row r="126" spans="1:24" x14ac:dyDescent="0.25">
      <c r="A126" t="s">
        <v>1152</v>
      </c>
      <c r="B126" t="s">
        <v>182</v>
      </c>
      <c r="C126" s="1">
        <f t="shared" si="3"/>
        <v>46174</v>
      </c>
      <c r="F126" t="s">
        <v>155</v>
      </c>
      <c r="G126" t="s">
        <v>339</v>
      </c>
      <c r="H126" t="s">
        <v>1286</v>
      </c>
      <c r="I126" t="s">
        <v>18</v>
      </c>
      <c r="J126" t="str">
        <f>IF(COUNTIF(Pays!A:A,X126)=0,"Pays inconnu",_xlfn.XLOOKUP(X126,Pays!A:A,Pays!B:B))</f>
        <v>CH</v>
      </c>
      <c r="K126" t="str">
        <f>IF(COUNTIF(Pays!A:A,X126)=0,"Pays inconnu",_xlfn.XLOOKUP(X126,Pays!A:A,Pays!C:C))</f>
        <v>1_CH</v>
      </c>
      <c r="L126">
        <v>1</v>
      </c>
      <c r="M126">
        <f t="shared" si="2"/>
        <v>0.43</v>
      </c>
      <c r="N126" t="s">
        <v>20</v>
      </c>
      <c r="O126">
        <f>LOOKUP(X126,Pays!A:A,Pays!D:D)</f>
        <v>0</v>
      </c>
      <c r="P126">
        <v>0.15</v>
      </c>
      <c r="Q126">
        <v>0.43</v>
      </c>
      <c r="U126">
        <v>1</v>
      </c>
      <c r="W126">
        <f>IF(COUNTIF(Pays!A:A,X126)=0,"",LOOKUP(X126,Pays!A:A,Pays!E:E))</f>
        <v>0</v>
      </c>
      <c r="X126" s="8" t="s">
        <v>37</v>
      </c>
    </row>
    <row r="127" spans="1:24" x14ac:dyDescent="0.25">
      <c r="A127" t="s">
        <v>1152</v>
      </c>
      <c r="B127" t="s">
        <v>182</v>
      </c>
      <c r="C127" s="1">
        <f t="shared" si="3"/>
        <v>46174</v>
      </c>
      <c r="F127" t="s">
        <v>155</v>
      </c>
      <c r="G127" t="s">
        <v>340</v>
      </c>
      <c r="H127" t="s">
        <v>1287</v>
      </c>
      <c r="I127" t="s">
        <v>18</v>
      </c>
      <c r="J127" t="str">
        <f>IF(COUNTIF(Pays!A:A,X127)=0,"Pays inconnu",_xlfn.XLOOKUP(X127,Pays!A:A,Pays!B:B))</f>
        <v>GB</v>
      </c>
      <c r="K127" t="str">
        <f>IF(COUNTIF(Pays!A:A,X127)=0,"Pays inconnu",_xlfn.XLOOKUP(X127,Pays!A:A,Pays!C:C))</f>
        <v>1_GB</v>
      </c>
      <c r="L127">
        <v>1</v>
      </c>
      <c r="M127">
        <f t="shared" si="2"/>
        <v>0.38</v>
      </c>
      <c r="N127" t="s">
        <v>20</v>
      </c>
      <c r="O127">
        <f>LOOKUP(X127,Pays!A:A,Pays!D:D)</f>
        <v>0</v>
      </c>
      <c r="P127">
        <v>0.15</v>
      </c>
      <c r="Q127">
        <v>0.38</v>
      </c>
      <c r="U127">
        <v>1</v>
      </c>
      <c r="W127">
        <f>IF(COUNTIF(Pays!A:A,X127)=0,"",LOOKUP(X127,Pays!A:A,Pays!E:E))</f>
        <v>0</v>
      </c>
      <c r="X127" s="8" t="s">
        <v>30</v>
      </c>
    </row>
    <row r="128" spans="1:24" x14ac:dyDescent="0.25">
      <c r="A128" t="s">
        <v>1152</v>
      </c>
      <c r="B128" t="s">
        <v>182</v>
      </c>
      <c r="C128" s="1">
        <f t="shared" si="3"/>
        <v>46174</v>
      </c>
      <c r="F128" t="s">
        <v>155</v>
      </c>
      <c r="G128" t="s">
        <v>341</v>
      </c>
      <c r="H128" t="s">
        <v>1288</v>
      </c>
      <c r="I128" t="s">
        <v>18</v>
      </c>
      <c r="J128" t="str">
        <f>IF(COUNTIF(Pays!A:A,X128)=0,"Pays inconnu",_xlfn.XLOOKUP(X128,Pays!A:A,Pays!B:B))</f>
        <v>CH</v>
      </c>
      <c r="K128" t="str">
        <f>IF(COUNTIF(Pays!A:A,X128)=0,"Pays inconnu",_xlfn.XLOOKUP(X128,Pays!A:A,Pays!C:C))</f>
        <v>1_CH</v>
      </c>
      <c r="L128">
        <v>1</v>
      </c>
      <c r="M128">
        <f t="shared" si="2"/>
        <v>0.15</v>
      </c>
      <c r="N128" t="s">
        <v>20</v>
      </c>
      <c r="O128">
        <f>LOOKUP(X128,Pays!A:A,Pays!D:D)</f>
        <v>0</v>
      </c>
      <c r="P128">
        <v>0.15</v>
      </c>
      <c r="Q128">
        <v>0.11</v>
      </c>
      <c r="U128">
        <v>1</v>
      </c>
      <c r="W128">
        <f>IF(COUNTIF(Pays!A:A,X128)=0,"",LOOKUP(X128,Pays!A:A,Pays!E:E))</f>
        <v>0</v>
      </c>
      <c r="X128" s="8" t="s">
        <v>37</v>
      </c>
    </row>
    <row r="129" spans="1:24" x14ac:dyDescent="0.25">
      <c r="A129" t="s">
        <v>1152</v>
      </c>
      <c r="B129" t="s">
        <v>182</v>
      </c>
      <c r="C129" s="1">
        <f t="shared" si="3"/>
        <v>46174</v>
      </c>
      <c r="F129" t="s">
        <v>155</v>
      </c>
      <c r="G129" t="s">
        <v>342</v>
      </c>
      <c r="H129" t="s">
        <v>1289</v>
      </c>
      <c r="I129" t="s">
        <v>18</v>
      </c>
      <c r="J129" t="str">
        <f>IF(COUNTIF(Pays!A:A,X129)=0,"Pays inconnu",_xlfn.XLOOKUP(X129,Pays!A:A,Pays!B:B))</f>
        <v>CH</v>
      </c>
      <c r="K129" t="str">
        <f>IF(COUNTIF(Pays!A:A,X129)=0,"Pays inconnu",_xlfn.XLOOKUP(X129,Pays!A:A,Pays!C:C))</f>
        <v>1_CH</v>
      </c>
      <c r="L129">
        <v>1</v>
      </c>
      <c r="M129">
        <f t="shared" si="2"/>
        <v>0.53</v>
      </c>
      <c r="N129" t="s">
        <v>20</v>
      </c>
      <c r="O129">
        <f>LOOKUP(X129,Pays!A:A,Pays!D:D)</f>
        <v>0</v>
      </c>
      <c r="P129">
        <v>0.15</v>
      </c>
      <c r="Q129">
        <v>0.53</v>
      </c>
      <c r="U129">
        <v>1</v>
      </c>
      <c r="W129">
        <f>IF(COUNTIF(Pays!A:A,X129)=0,"",LOOKUP(X129,Pays!A:A,Pays!E:E))</f>
        <v>0</v>
      </c>
      <c r="X129" s="8" t="s">
        <v>37</v>
      </c>
    </row>
    <row r="130" spans="1:24" x14ac:dyDescent="0.25">
      <c r="A130" t="s">
        <v>1152</v>
      </c>
      <c r="B130" t="s">
        <v>182</v>
      </c>
      <c r="C130" s="1">
        <f t="shared" si="3"/>
        <v>46174</v>
      </c>
      <c r="F130" t="s">
        <v>155</v>
      </c>
      <c r="G130" t="s">
        <v>343</v>
      </c>
      <c r="H130" t="s">
        <v>212</v>
      </c>
      <c r="I130" t="s">
        <v>18</v>
      </c>
      <c r="J130" t="str">
        <f>IF(COUNTIF(Pays!A:A,X130)=0,"Pays inconnu",_xlfn.XLOOKUP(X130,Pays!A:A,Pays!B:B))</f>
        <v>CH</v>
      </c>
      <c r="K130" t="str">
        <f>IF(COUNTIF(Pays!A:A,X130)=0,"Pays inconnu",_xlfn.XLOOKUP(X130,Pays!A:A,Pays!C:C))</f>
        <v>1_CH</v>
      </c>
      <c r="L130">
        <v>1</v>
      </c>
      <c r="M130">
        <f t="shared" si="2"/>
        <v>1.43</v>
      </c>
      <c r="N130" t="s">
        <v>20</v>
      </c>
      <c r="O130">
        <f>LOOKUP(X130,Pays!A:A,Pays!D:D)</f>
        <v>0</v>
      </c>
      <c r="P130">
        <v>1.43</v>
      </c>
      <c r="Q130" t="s">
        <v>2007</v>
      </c>
      <c r="U130">
        <v>1</v>
      </c>
      <c r="W130">
        <f>IF(COUNTIF(Pays!A:A,X130)=0,"",LOOKUP(X130,Pays!A:A,Pays!E:E))</f>
        <v>0</v>
      </c>
      <c r="X130" s="8" t="s">
        <v>37</v>
      </c>
    </row>
    <row r="131" spans="1:24" x14ac:dyDescent="0.25">
      <c r="A131" t="s">
        <v>1152</v>
      </c>
      <c r="B131" t="s">
        <v>182</v>
      </c>
      <c r="C131" s="1">
        <f t="shared" si="3"/>
        <v>46174</v>
      </c>
      <c r="F131" t="s">
        <v>155</v>
      </c>
      <c r="G131" t="s">
        <v>344</v>
      </c>
      <c r="H131" t="s">
        <v>1290</v>
      </c>
      <c r="I131" t="s">
        <v>18</v>
      </c>
      <c r="J131" t="str">
        <f>IF(COUNTIF(Pays!A:A,X131)=0,"Pays inconnu",_xlfn.XLOOKUP(X131,Pays!A:A,Pays!B:B))</f>
        <v>GB</v>
      </c>
      <c r="K131" t="str">
        <f>IF(COUNTIF(Pays!A:A,X131)=0,"Pays inconnu",_xlfn.XLOOKUP(X131,Pays!A:A,Pays!C:C))</f>
        <v>1_GB</v>
      </c>
      <c r="L131">
        <v>1</v>
      </c>
      <c r="M131">
        <f t="shared" ref="M131:M194" si="4">ROUND(MAX(P131:Q131),2)</f>
        <v>0.28000000000000003</v>
      </c>
      <c r="N131" t="s">
        <v>20</v>
      </c>
      <c r="O131">
        <f>LOOKUP(X131,Pays!A:A,Pays!D:D)</f>
        <v>0</v>
      </c>
      <c r="P131">
        <v>0.15</v>
      </c>
      <c r="Q131">
        <v>0.28000000000000003</v>
      </c>
      <c r="U131">
        <v>1</v>
      </c>
      <c r="W131">
        <f>IF(COUNTIF(Pays!A:A,X131)=0,"",LOOKUP(X131,Pays!A:A,Pays!E:E))</f>
        <v>0</v>
      </c>
      <c r="X131" s="8" t="s">
        <v>30</v>
      </c>
    </row>
    <row r="132" spans="1:24" x14ac:dyDescent="0.25">
      <c r="A132" t="s">
        <v>1152</v>
      </c>
      <c r="B132" t="s">
        <v>182</v>
      </c>
      <c r="C132" s="1">
        <f t="shared" ref="C132:C195" si="5">C131</f>
        <v>46174</v>
      </c>
      <c r="F132" t="s">
        <v>155</v>
      </c>
      <c r="G132" t="s">
        <v>345</v>
      </c>
      <c r="H132" t="s">
        <v>1291</v>
      </c>
      <c r="I132" t="s">
        <v>18</v>
      </c>
      <c r="J132" t="str">
        <f>IF(COUNTIF(Pays!A:A,X132)=0,"Pays inconnu",_xlfn.XLOOKUP(X132,Pays!A:A,Pays!B:B))</f>
        <v>CH</v>
      </c>
      <c r="K132" t="str">
        <f>IF(COUNTIF(Pays!A:A,X132)=0,"Pays inconnu",_xlfn.XLOOKUP(X132,Pays!A:A,Pays!C:C))</f>
        <v>1_CH</v>
      </c>
      <c r="L132">
        <v>1</v>
      </c>
      <c r="M132">
        <f t="shared" si="4"/>
        <v>0.15</v>
      </c>
      <c r="N132" t="s">
        <v>20</v>
      </c>
      <c r="O132">
        <f>LOOKUP(X132,Pays!A:A,Pays!D:D)</f>
        <v>0</v>
      </c>
      <c r="P132">
        <v>0.15</v>
      </c>
      <c r="Q132">
        <v>0.12</v>
      </c>
      <c r="U132">
        <v>1</v>
      </c>
      <c r="W132">
        <f>IF(COUNTIF(Pays!A:A,X132)=0,"",LOOKUP(X132,Pays!A:A,Pays!E:E))</f>
        <v>0</v>
      </c>
      <c r="X132" s="8" t="s">
        <v>37</v>
      </c>
    </row>
    <row r="133" spans="1:24" x14ac:dyDescent="0.25">
      <c r="A133" t="s">
        <v>1152</v>
      </c>
      <c r="B133" t="s">
        <v>182</v>
      </c>
      <c r="C133" s="1">
        <f t="shared" si="5"/>
        <v>46174</v>
      </c>
      <c r="F133" t="s">
        <v>155</v>
      </c>
      <c r="G133" t="s">
        <v>346</v>
      </c>
      <c r="H133" t="s">
        <v>1292</v>
      </c>
      <c r="I133" t="s">
        <v>18</v>
      </c>
      <c r="J133" t="str">
        <f>IF(COUNTIF(Pays!A:A,X133)=0,"Pays inconnu",_xlfn.XLOOKUP(X133,Pays!A:A,Pays!B:B))</f>
        <v>GB</v>
      </c>
      <c r="K133" t="str">
        <f>IF(COUNTIF(Pays!A:A,X133)=0,"Pays inconnu",_xlfn.XLOOKUP(X133,Pays!A:A,Pays!C:C))</f>
        <v>1_GB</v>
      </c>
      <c r="L133">
        <v>1</v>
      </c>
      <c r="M133">
        <f t="shared" si="4"/>
        <v>0.22</v>
      </c>
      <c r="N133" t="s">
        <v>20</v>
      </c>
      <c r="O133">
        <f>LOOKUP(X133,Pays!A:A,Pays!D:D)</f>
        <v>0</v>
      </c>
      <c r="P133">
        <v>0.15</v>
      </c>
      <c r="Q133">
        <v>0.22</v>
      </c>
      <c r="U133">
        <v>1</v>
      </c>
      <c r="W133">
        <f>IF(COUNTIF(Pays!A:A,X133)=0,"",LOOKUP(X133,Pays!A:A,Pays!E:E))</f>
        <v>0</v>
      </c>
      <c r="X133" s="8" t="s">
        <v>30</v>
      </c>
    </row>
    <row r="134" spans="1:24" x14ac:dyDescent="0.25">
      <c r="A134" t="s">
        <v>1152</v>
      </c>
      <c r="B134" t="s">
        <v>182</v>
      </c>
      <c r="C134" s="1">
        <f t="shared" si="5"/>
        <v>46174</v>
      </c>
      <c r="F134" t="s">
        <v>155</v>
      </c>
      <c r="G134" t="s">
        <v>347</v>
      </c>
      <c r="H134" t="s">
        <v>1293</v>
      </c>
      <c r="I134" t="s">
        <v>18</v>
      </c>
      <c r="J134" t="str">
        <f>IF(COUNTIF(Pays!A:A,X134)=0,"Pays inconnu",_xlfn.XLOOKUP(X134,Pays!A:A,Pays!B:B))</f>
        <v>GB</v>
      </c>
      <c r="K134" t="str">
        <f>IF(COUNTIF(Pays!A:A,X134)=0,"Pays inconnu",_xlfn.XLOOKUP(X134,Pays!A:A,Pays!C:C))</f>
        <v>1_GB</v>
      </c>
      <c r="L134">
        <v>1</v>
      </c>
      <c r="M134">
        <f t="shared" si="4"/>
        <v>0.18</v>
      </c>
      <c r="N134" t="s">
        <v>20</v>
      </c>
      <c r="O134">
        <f>LOOKUP(X134,Pays!A:A,Pays!D:D)</f>
        <v>0</v>
      </c>
      <c r="P134">
        <v>0.15</v>
      </c>
      <c r="Q134">
        <v>0.18</v>
      </c>
      <c r="U134">
        <v>1</v>
      </c>
      <c r="W134">
        <f>IF(COUNTIF(Pays!A:A,X134)=0,"",LOOKUP(X134,Pays!A:A,Pays!E:E))</f>
        <v>0</v>
      </c>
      <c r="X134" s="8" t="s">
        <v>30</v>
      </c>
    </row>
    <row r="135" spans="1:24" x14ac:dyDescent="0.25">
      <c r="A135" t="s">
        <v>1152</v>
      </c>
      <c r="B135" t="s">
        <v>182</v>
      </c>
      <c r="C135" s="1">
        <f t="shared" si="5"/>
        <v>46174</v>
      </c>
      <c r="F135" t="s">
        <v>110</v>
      </c>
      <c r="G135" t="s">
        <v>348</v>
      </c>
      <c r="H135" t="s">
        <v>1294</v>
      </c>
      <c r="I135" t="s">
        <v>18</v>
      </c>
      <c r="J135" t="str">
        <f>IF(COUNTIF(Pays!A:A,X135)=0,"Pays inconnu",_xlfn.XLOOKUP(X135,Pays!A:A,Pays!B:B))</f>
        <v>GB</v>
      </c>
      <c r="K135" t="str">
        <f>IF(COUNTIF(Pays!A:A,X135)=0,"Pays inconnu",_xlfn.XLOOKUP(X135,Pays!A:A,Pays!C:C))</f>
        <v>1_GB</v>
      </c>
      <c r="L135">
        <v>1</v>
      </c>
      <c r="M135">
        <f t="shared" si="4"/>
        <v>0.28000000000000003</v>
      </c>
      <c r="N135" t="s">
        <v>20</v>
      </c>
      <c r="O135">
        <f>LOOKUP(X135,Pays!A:A,Pays!D:D)</f>
        <v>0</v>
      </c>
      <c r="P135">
        <v>0.15</v>
      </c>
      <c r="Q135">
        <v>0.28000000000000003</v>
      </c>
      <c r="U135">
        <v>1</v>
      </c>
      <c r="W135">
        <f>IF(COUNTIF(Pays!A:A,X135)=0,"",LOOKUP(X135,Pays!A:A,Pays!E:E))</f>
        <v>0</v>
      </c>
      <c r="X135" s="8" t="s">
        <v>30</v>
      </c>
    </row>
    <row r="136" spans="1:24" x14ac:dyDescent="0.25">
      <c r="A136" t="s">
        <v>1152</v>
      </c>
      <c r="B136" t="s">
        <v>182</v>
      </c>
      <c r="C136" s="1">
        <f t="shared" si="5"/>
        <v>46174</v>
      </c>
      <c r="F136" t="s">
        <v>155</v>
      </c>
      <c r="G136" t="s">
        <v>349</v>
      </c>
      <c r="H136" t="s">
        <v>1295</v>
      </c>
      <c r="I136" t="s">
        <v>18</v>
      </c>
      <c r="J136" t="str">
        <f>IF(COUNTIF(Pays!A:A,X136)=0,"Pays inconnu",_xlfn.XLOOKUP(X136,Pays!A:A,Pays!B:B))</f>
        <v>CH</v>
      </c>
      <c r="K136" t="str">
        <f>IF(COUNTIF(Pays!A:A,X136)=0,"Pays inconnu",_xlfn.XLOOKUP(X136,Pays!A:A,Pays!C:C))</f>
        <v>1_CH</v>
      </c>
      <c r="L136">
        <v>1</v>
      </c>
      <c r="M136">
        <f t="shared" si="4"/>
        <v>0.15</v>
      </c>
      <c r="N136" t="s">
        <v>20</v>
      </c>
      <c r="O136">
        <f>LOOKUP(X136,Pays!A:A,Pays!D:D)</f>
        <v>0</v>
      </c>
      <c r="P136">
        <v>0.15</v>
      </c>
      <c r="Q136">
        <v>0.04</v>
      </c>
      <c r="U136">
        <v>1</v>
      </c>
      <c r="W136">
        <f>IF(COUNTIF(Pays!A:A,X136)=0,"",LOOKUP(X136,Pays!A:A,Pays!E:E))</f>
        <v>0</v>
      </c>
      <c r="X136" s="8" t="s">
        <v>37</v>
      </c>
    </row>
    <row r="137" spans="1:24" x14ac:dyDescent="0.25">
      <c r="A137" t="s">
        <v>1152</v>
      </c>
      <c r="B137" t="s">
        <v>182</v>
      </c>
      <c r="C137" s="1">
        <f t="shared" si="5"/>
        <v>46174</v>
      </c>
      <c r="F137" t="s">
        <v>155</v>
      </c>
      <c r="G137" t="s">
        <v>350</v>
      </c>
      <c r="H137" t="s">
        <v>198</v>
      </c>
      <c r="I137" t="s">
        <v>18</v>
      </c>
      <c r="J137" t="str">
        <f>IF(COUNTIF(Pays!A:A,X137)=0,"Pays inconnu",_xlfn.XLOOKUP(X137,Pays!A:A,Pays!B:B))</f>
        <v>CH</v>
      </c>
      <c r="K137" t="str">
        <f>IF(COUNTIF(Pays!A:A,X137)=0,"Pays inconnu",_xlfn.XLOOKUP(X137,Pays!A:A,Pays!C:C))</f>
        <v>1_CH</v>
      </c>
      <c r="L137">
        <v>1</v>
      </c>
      <c r="M137">
        <f t="shared" si="4"/>
        <v>0.59</v>
      </c>
      <c r="N137" t="s">
        <v>20</v>
      </c>
      <c r="O137">
        <f>LOOKUP(X137,Pays!A:A,Pays!D:D)</f>
        <v>0</v>
      </c>
      <c r="P137">
        <v>0.15</v>
      </c>
      <c r="Q137">
        <v>0.59</v>
      </c>
      <c r="U137">
        <v>1</v>
      </c>
      <c r="W137">
        <f>IF(COUNTIF(Pays!A:A,X137)=0,"",LOOKUP(X137,Pays!A:A,Pays!E:E))</f>
        <v>0</v>
      </c>
      <c r="X137" s="8" t="s">
        <v>37</v>
      </c>
    </row>
    <row r="138" spans="1:24" x14ac:dyDescent="0.25">
      <c r="A138" t="s">
        <v>1152</v>
      </c>
      <c r="B138" t="s">
        <v>182</v>
      </c>
      <c r="C138" s="1">
        <f t="shared" si="5"/>
        <v>46174</v>
      </c>
      <c r="F138" t="s">
        <v>155</v>
      </c>
      <c r="G138" t="s">
        <v>351</v>
      </c>
      <c r="H138" t="s">
        <v>1296</v>
      </c>
      <c r="I138" t="s">
        <v>18</v>
      </c>
      <c r="J138" t="str">
        <f>IF(COUNTIF(Pays!A:A,X138)=0,"Pays inconnu",_xlfn.XLOOKUP(X138,Pays!A:A,Pays!B:B))</f>
        <v>CH</v>
      </c>
      <c r="K138" t="str">
        <f>IF(COUNTIF(Pays!A:A,X138)=0,"Pays inconnu",_xlfn.XLOOKUP(X138,Pays!A:A,Pays!C:C))</f>
        <v>1_CH</v>
      </c>
      <c r="L138">
        <v>1</v>
      </c>
      <c r="M138">
        <f t="shared" si="4"/>
        <v>0.64</v>
      </c>
      <c r="N138" t="s">
        <v>20</v>
      </c>
      <c r="O138">
        <f>LOOKUP(X138,Pays!A:A,Pays!D:D)</f>
        <v>0</v>
      </c>
      <c r="P138">
        <v>0.15</v>
      </c>
      <c r="Q138">
        <v>0.64</v>
      </c>
      <c r="U138">
        <v>1</v>
      </c>
      <c r="W138">
        <f>IF(COUNTIF(Pays!A:A,X138)=0,"",LOOKUP(X138,Pays!A:A,Pays!E:E))</f>
        <v>0</v>
      </c>
      <c r="X138" s="8" t="s">
        <v>37</v>
      </c>
    </row>
    <row r="139" spans="1:24" x14ac:dyDescent="0.25">
      <c r="A139" t="s">
        <v>1152</v>
      </c>
      <c r="B139" t="s">
        <v>182</v>
      </c>
      <c r="C139" s="1">
        <f t="shared" si="5"/>
        <v>46174</v>
      </c>
      <c r="F139" t="s">
        <v>155</v>
      </c>
      <c r="G139" t="s">
        <v>352</v>
      </c>
      <c r="H139" t="s">
        <v>1297</v>
      </c>
      <c r="I139" t="s">
        <v>18</v>
      </c>
      <c r="J139" t="str">
        <f>IF(COUNTIF(Pays!A:A,X139)=0,"Pays inconnu",_xlfn.XLOOKUP(X139,Pays!A:A,Pays!B:B))</f>
        <v>PT</v>
      </c>
      <c r="K139">
        <f>IF(COUNTIF(Pays!A:A,X139)=0,"Pays inconnu",_xlfn.XLOOKUP(X139,Pays!A:A,Pays!C:C))</f>
        <v>1</v>
      </c>
      <c r="L139">
        <v>1</v>
      </c>
      <c r="M139">
        <f t="shared" si="4"/>
        <v>1.1399999999999999</v>
      </c>
      <c r="N139" t="s">
        <v>20</v>
      </c>
      <c r="O139">
        <f>LOOKUP(X139,Pays!A:A,Pays!D:D)</f>
        <v>0.2</v>
      </c>
      <c r="P139">
        <v>0.15</v>
      </c>
      <c r="Q139">
        <v>1.1399999999999999</v>
      </c>
      <c r="U139">
        <v>1</v>
      </c>
      <c r="W139">
        <f>IF(COUNTIF(Pays!A:A,X139)=0,"",LOOKUP(X139,Pays!A:A,Pays!E:E))</f>
        <v>0</v>
      </c>
      <c r="X139" s="8" t="s">
        <v>34</v>
      </c>
    </row>
    <row r="140" spans="1:24" x14ac:dyDescent="0.25">
      <c r="A140" t="s">
        <v>1152</v>
      </c>
      <c r="B140" t="s">
        <v>182</v>
      </c>
      <c r="C140" s="1">
        <f t="shared" si="5"/>
        <v>46174</v>
      </c>
      <c r="F140" t="s">
        <v>155</v>
      </c>
      <c r="G140" t="s">
        <v>353</v>
      </c>
      <c r="H140" t="s">
        <v>1298</v>
      </c>
      <c r="I140" t="s">
        <v>18</v>
      </c>
      <c r="J140" t="str">
        <f>IF(COUNTIF(Pays!A:A,X140)=0,"Pays inconnu",_xlfn.XLOOKUP(X140,Pays!A:A,Pays!B:B))</f>
        <v>SE</v>
      </c>
      <c r="K140">
        <f>IF(COUNTIF(Pays!A:A,X140)=0,"Pays inconnu",_xlfn.XLOOKUP(X140,Pays!A:A,Pays!C:C))</f>
        <v>1</v>
      </c>
      <c r="L140">
        <v>1</v>
      </c>
      <c r="M140">
        <f t="shared" si="4"/>
        <v>1.1399999999999999</v>
      </c>
      <c r="N140" t="s">
        <v>20</v>
      </c>
      <c r="O140">
        <f>LOOKUP(X140,Pays!A:A,Pays!D:D)</f>
        <v>0.2</v>
      </c>
      <c r="P140">
        <v>0.15</v>
      </c>
      <c r="Q140">
        <v>1.1399999999999999</v>
      </c>
      <c r="U140">
        <v>1</v>
      </c>
      <c r="W140">
        <f>IF(COUNTIF(Pays!A:A,X140)=0,"",LOOKUP(X140,Pays!A:A,Pays!E:E))</f>
        <v>0</v>
      </c>
      <c r="X140" s="8" t="s">
        <v>78</v>
      </c>
    </row>
    <row r="141" spans="1:24" x14ac:dyDescent="0.25">
      <c r="A141" t="s">
        <v>1152</v>
      </c>
      <c r="B141" t="s">
        <v>182</v>
      </c>
      <c r="C141" s="1">
        <f t="shared" si="5"/>
        <v>46174</v>
      </c>
      <c r="F141" t="s">
        <v>155</v>
      </c>
      <c r="G141" t="s">
        <v>354</v>
      </c>
      <c r="H141" t="s">
        <v>1299</v>
      </c>
      <c r="I141" t="s">
        <v>18</v>
      </c>
      <c r="J141" t="str">
        <f>IF(COUNTIF(Pays!A:A,X141)=0,"Pays inconnu",_xlfn.XLOOKUP(X141,Pays!A:A,Pays!B:B))</f>
        <v>CH</v>
      </c>
      <c r="K141" t="str">
        <f>IF(COUNTIF(Pays!A:A,X141)=0,"Pays inconnu",_xlfn.XLOOKUP(X141,Pays!A:A,Pays!C:C))</f>
        <v>1_CH</v>
      </c>
      <c r="L141">
        <v>1</v>
      </c>
      <c r="M141">
        <f t="shared" si="4"/>
        <v>0.76</v>
      </c>
      <c r="N141" t="s">
        <v>20</v>
      </c>
      <c r="O141">
        <f>LOOKUP(X141,Pays!A:A,Pays!D:D)</f>
        <v>0</v>
      </c>
      <c r="P141">
        <v>0.15</v>
      </c>
      <c r="Q141">
        <v>0.76</v>
      </c>
      <c r="U141">
        <v>1</v>
      </c>
      <c r="W141">
        <f>IF(COUNTIF(Pays!A:A,X141)=0,"",LOOKUP(X141,Pays!A:A,Pays!E:E))</f>
        <v>0</v>
      </c>
      <c r="X141" s="8" t="s">
        <v>37</v>
      </c>
    </row>
    <row r="142" spans="1:24" x14ac:dyDescent="0.25">
      <c r="A142" t="s">
        <v>1152</v>
      </c>
      <c r="B142" t="s">
        <v>182</v>
      </c>
      <c r="C142" s="1">
        <f t="shared" si="5"/>
        <v>46174</v>
      </c>
      <c r="F142" t="s">
        <v>155</v>
      </c>
      <c r="G142" t="s">
        <v>355</v>
      </c>
      <c r="H142" t="s">
        <v>1300</v>
      </c>
      <c r="I142" t="s">
        <v>18</v>
      </c>
      <c r="J142" t="str">
        <f>IF(COUNTIF(Pays!A:A,X142)=0,"Pays inconnu",_xlfn.XLOOKUP(X142,Pays!A:A,Pays!B:B))</f>
        <v>ES</v>
      </c>
      <c r="K142">
        <f>IF(COUNTIF(Pays!A:A,X142)=0,"Pays inconnu",_xlfn.XLOOKUP(X142,Pays!A:A,Pays!C:C))</f>
        <v>1</v>
      </c>
      <c r="L142">
        <v>1</v>
      </c>
      <c r="M142">
        <f t="shared" si="4"/>
        <v>0.41</v>
      </c>
      <c r="N142" t="s">
        <v>20</v>
      </c>
      <c r="O142">
        <f>LOOKUP(X142,Pays!A:A,Pays!D:D)</f>
        <v>0.2</v>
      </c>
      <c r="P142">
        <v>0.15</v>
      </c>
      <c r="Q142">
        <v>0.41</v>
      </c>
      <c r="U142">
        <v>1</v>
      </c>
      <c r="W142">
        <f>IF(COUNTIF(Pays!A:A,X142)=0,"",LOOKUP(X142,Pays!A:A,Pays!E:E))</f>
        <v>0</v>
      </c>
      <c r="X142" s="8" t="s">
        <v>29</v>
      </c>
    </row>
    <row r="143" spans="1:24" x14ac:dyDescent="0.25">
      <c r="A143" t="s">
        <v>1152</v>
      </c>
      <c r="B143" t="s">
        <v>182</v>
      </c>
      <c r="C143" s="1">
        <f t="shared" si="5"/>
        <v>46174</v>
      </c>
      <c r="F143" t="s">
        <v>155</v>
      </c>
      <c r="G143" t="s">
        <v>356</v>
      </c>
      <c r="H143" t="s">
        <v>1301</v>
      </c>
      <c r="I143" t="s">
        <v>18</v>
      </c>
      <c r="J143" t="str">
        <f>IF(COUNTIF(Pays!A:A,X143)=0,"Pays inconnu",_xlfn.XLOOKUP(X143,Pays!A:A,Pays!B:B))</f>
        <v>PT</v>
      </c>
      <c r="K143">
        <f>IF(COUNTIF(Pays!A:A,X143)=0,"Pays inconnu",_xlfn.XLOOKUP(X143,Pays!A:A,Pays!C:C))</f>
        <v>1</v>
      </c>
      <c r="L143">
        <v>1</v>
      </c>
      <c r="M143">
        <f t="shared" si="4"/>
        <v>1.1399999999999999</v>
      </c>
      <c r="N143" t="s">
        <v>20</v>
      </c>
      <c r="O143">
        <f>LOOKUP(X143,Pays!A:A,Pays!D:D)</f>
        <v>0.2</v>
      </c>
      <c r="P143">
        <v>0.15</v>
      </c>
      <c r="Q143">
        <v>1.1399999999999999</v>
      </c>
      <c r="U143">
        <v>1</v>
      </c>
      <c r="W143">
        <f>IF(COUNTIF(Pays!A:A,X143)=0,"",LOOKUP(X143,Pays!A:A,Pays!E:E))</f>
        <v>0</v>
      </c>
      <c r="X143" s="8" t="s">
        <v>34</v>
      </c>
    </row>
    <row r="144" spans="1:24" x14ac:dyDescent="0.25">
      <c r="A144" t="s">
        <v>1152</v>
      </c>
      <c r="B144" t="s">
        <v>182</v>
      </c>
      <c r="C144" s="1">
        <f t="shared" si="5"/>
        <v>46174</v>
      </c>
      <c r="F144" t="s">
        <v>155</v>
      </c>
      <c r="G144" t="s">
        <v>357</v>
      </c>
      <c r="H144" t="s">
        <v>1302</v>
      </c>
      <c r="I144" t="s">
        <v>18</v>
      </c>
      <c r="J144" t="str">
        <f>IF(COUNTIF(Pays!A:A,X144)=0,"Pays inconnu",_xlfn.XLOOKUP(X144,Pays!A:A,Pays!B:B))</f>
        <v>BE</v>
      </c>
      <c r="K144" t="str">
        <f>IF(COUNTIF(Pays!A:A,X144)=0,"Pays inconnu",_xlfn.XLOOKUP(X144,Pays!A:A,Pays!C:C))</f>
        <v>1_BE</v>
      </c>
      <c r="L144">
        <v>1</v>
      </c>
      <c r="M144">
        <f t="shared" si="4"/>
        <v>0.19</v>
      </c>
      <c r="N144" t="s">
        <v>20</v>
      </c>
      <c r="O144">
        <f>LOOKUP(X144,Pays!A:A,Pays!D:D)</f>
        <v>0.2</v>
      </c>
      <c r="P144">
        <v>0.15</v>
      </c>
      <c r="Q144">
        <v>0.19</v>
      </c>
      <c r="U144">
        <v>1</v>
      </c>
      <c r="W144">
        <f>IF(COUNTIF(Pays!A:A,X144)=0,"",LOOKUP(X144,Pays!A:A,Pays!E:E))</f>
        <v>0</v>
      </c>
      <c r="X144" s="8" t="s">
        <v>28</v>
      </c>
    </row>
    <row r="145" spans="1:24" x14ac:dyDescent="0.25">
      <c r="A145" t="s">
        <v>1152</v>
      </c>
      <c r="B145" t="s">
        <v>182</v>
      </c>
      <c r="C145" s="1">
        <f t="shared" si="5"/>
        <v>46174</v>
      </c>
      <c r="F145" t="s">
        <v>110</v>
      </c>
      <c r="G145" t="s">
        <v>358</v>
      </c>
      <c r="H145" t="s">
        <v>1303</v>
      </c>
      <c r="I145" t="s">
        <v>18</v>
      </c>
      <c r="J145" t="str">
        <f>IF(COUNTIF(Pays!A:A,X145)=0,"Pays inconnu",_xlfn.XLOOKUP(X145,Pays!A:A,Pays!B:B))</f>
        <v>GB</v>
      </c>
      <c r="K145" t="str">
        <f>IF(COUNTIF(Pays!A:A,X145)=0,"Pays inconnu",_xlfn.XLOOKUP(X145,Pays!A:A,Pays!C:C))</f>
        <v>1_GB</v>
      </c>
      <c r="L145">
        <v>1</v>
      </c>
      <c r="M145">
        <f t="shared" si="4"/>
        <v>0.15</v>
      </c>
      <c r="N145" t="s">
        <v>20</v>
      </c>
      <c r="O145">
        <f>LOOKUP(X145,Pays!A:A,Pays!D:D)</f>
        <v>0</v>
      </c>
      <c r="P145">
        <v>0.15</v>
      </c>
      <c r="Q145">
        <v>7.0000000000000007E-2</v>
      </c>
      <c r="U145">
        <v>1</v>
      </c>
      <c r="W145">
        <f>IF(COUNTIF(Pays!A:A,X145)=0,"",LOOKUP(X145,Pays!A:A,Pays!E:E))</f>
        <v>0</v>
      </c>
      <c r="X145" s="8" t="s">
        <v>30</v>
      </c>
    </row>
    <row r="146" spans="1:24" x14ac:dyDescent="0.25">
      <c r="A146" t="s">
        <v>1152</v>
      </c>
      <c r="B146" t="s">
        <v>182</v>
      </c>
      <c r="C146" s="1">
        <f t="shared" si="5"/>
        <v>46174</v>
      </c>
      <c r="F146" t="s">
        <v>155</v>
      </c>
      <c r="G146" t="s">
        <v>359</v>
      </c>
      <c r="H146" t="s">
        <v>1304</v>
      </c>
      <c r="I146" t="s">
        <v>18</v>
      </c>
      <c r="J146" t="str">
        <f>IF(COUNTIF(Pays!A:A,X146)=0,"Pays inconnu",_xlfn.XLOOKUP(X146,Pays!A:A,Pays!B:B))</f>
        <v>CH</v>
      </c>
      <c r="K146" t="str">
        <f>IF(COUNTIF(Pays!A:A,X146)=0,"Pays inconnu",_xlfn.XLOOKUP(X146,Pays!A:A,Pays!C:C))</f>
        <v>1_CH</v>
      </c>
      <c r="L146">
        <v>1</v>
      </c>
      <c r="M146">
        <f t="shared" si="4"/>
        <v>1.26</v>
      </c>
      <c r="N146" t="s">
        <v>20</v>
      </c>
      <c r="O146">
        <f>LOOKUP(X146,Pays!A:A,Pays!D:D)</f>
        <v>0</v>
      </c>
      <c r="P146">
        <v>1.26</v>
      </c>
      <c r="Q146">
        <v>1.26</v>
      </c>
      <c r="U146">
        <v>1</v>
      </c>
      <c r="W146">
        <f>IF(COUNTIF(Pays!A:A,X146)=0,"",LOOKUP(X146,Pays!A:A,Pays!E:E))</f>
        <v>0</v>
      </c>
      <c r="X146" s="8" t="s">
        <v>37</v>
      </c>
    </row>
    <row r="147" spans="1:24" x14ac:dyDescent="0.25">
      <c r="A147" t="s">
        <v>1152</v>
      </c>
      <c r="B147" t="s">
        <v>182</v>
      </c>
      <c r="C147" s="1">
        <f t="shared" si="5"/>
        <v>46174</v>
      </c>
      <c r="F147" t="s">
        <v>155</v>
      </c>
      <c r="G147" t="s">
        <v>360</v>
      </c>
      <c r="H147" t="s">
        <v>1305</v>
      </c>
      <c r="I147" t="s">
        <v>18</v>
      </c>
      <c r="J147" t="str">
        <f>IF(COUNTIF(Pays!A:A,X147)=0,"Pays inconnu",_xlfn.XLOOKUP(X147,Pays!A:A,Pays!B:B))</f>
        <v>GB</v>
      </c>
      <c r="K147" t="str">
        <f>IF(COUNTIF(Pays!A:A,X147)=0,"Pays inconnu",_xlfn.XLOOKUP(X147,Pays!A:A,Pays!C:C))</f>
        <v>1_GB</v>
      </c>
      <c r="L147">
        <v>1</v>
      </c>
      <c r="M147">
        <f t="shared" si="4"/>
        <v>0.64</v>
      </c>
      <c r="N147" t="s">
        <v>20</v>
      </c>
      <c r="O147">
        <f>LOOKUP(X147,Pays!A:A,Pays!D:D)</f>
        <v>0</v>
      </c>
      <c r="P147">
        <v>0.64</v>
      </c>
      <c r="Q147">
        <v>0.64</v>
      </c>
      <c r="U147">
        <v>1</v>
      </c>
      <c r="W147">
        <f>IF(COUNTIF(Pays!A:A,X147)=0,"",LOOKUP(X147,Pays!A:A,Pays!E:E))</f>
        <v>0</v>
      </c>
      <c r="X147" s="8" t="s">
        <v>30</v>
      </c>
    </row>
    <row r="148" spans="1:24" x14ac:dyDescent="0.25">
      <c r="A148" t="s">
        <v>1152</v>
      </c>
      <c r="B148" t="s">
        <v>182</v>
      </c>
      <c r="C148" s="1">
        <f t="shared" si="5"/>
        <v>46174</v>
      </c>
      <c r="F148" t="s">
        <v>110</v>
      </c>
      <c r="G148" t="s">
        <v>361</v>
      </c>
      <c r="H148" t="s">
        <v>1306</v>
      </c>
      <c r="I148" t="s">
        <v>18</v>
      </c>
      <c r="J148" t="str">
        <f>IF(COUNTIF(Pays!A:A,X148)=0,"Pays inconnu",_xlfn.XLOOKUP(X148,Pays!A:A,Pays!B:B))</f>
        <v>GB</v>
      </c>
      <c r="K148" t="str">
        <f>IF(COUNTIF(Pays!A:A,X148)=0,"Pays inconnu",_xlfn.XLOOKUP(X148,Pays!A:A,Pays!C:C))</f>
        <v>1_GB</v>
      </c>
      <c r="L148">
        <v>1</v>
      </c>
      <c r="M148">
        <f t="shared" si="4"/>
        <v>0.15</v>
      </c>
      <c r="N148" t="s">
        <v>20</v>
      </c>
      <c r="O148">
        <f>LOOKUP(X148,Pays!A:A,Pays!D:D)</f>
        <v>0</v>
      </c>
      <c r="P148">
        <v>0.15</v>
      </c>
      <c r="Q148" t="s">
        <v>2007</v>
      </c>
      <c r="U148">
        <v>1</v>
      </c>
      <c r="W148">
        <f>IF(COUNTIF(Pays!A:A,X148)=0,"",LOOKUP(X148,Pays!A:A,Pays!E:E))</f>
        <v>0</v>
      </c>
      <c r="X148" s="8" t="s">
        <v>30</v>
      </c>
    </row>
    <row r="149" spans="1:24" x14ac:dyDescent="0.25">
      <c r="A149" t="s">
        <v>1153</v>
      </c>
      <c r="B149" t="s">
        <v>182</v>
      </c>
      <c r="C149" s="1">
        <f t="shared" si="5"/>
        <v>46174</v>
      </c>
      <c r="F149" t="s">
        <v>155</v>
      </c>
      <c r="G149" t="s">
        <v>362</v>
      </c>
      <c r="H149" t="s">
        <v>1307</v>
      </c>
      <c r="I149" t="s">
        <v>18</v>
      </c>
      <c r="J149" t="str">
        <f>IF(COUNTIF(Pays!A:A,X149)=0,"Pays inconnu",_xlfn.XLOOKUP(X149,Pays!A:A,Pays!B:B))</f>
        <v>CZ</v>
      </c>
      <c r="K149">
        <f>IF(COUNTIF(Pays!A:A,X149)=0,"Pays inconnu",_xlfn.XLOOKUP(X149,Pays!A:A,Pays!C:C))</f>
        <v>1</v>
      </c>
      <c r="L149">
        <v>1</v>
      </c>
      <c r="M149">
        <f t="shared" si="4"/>
        <v>0.4</v>
      </c>
      <c r="N149" t="s">
        <v>20</v>
      </c>
      <c r="O149">
        <f>LOOKUP(X149,Pays!A:A,Pays!D:D)</f>
        <v>0.2</v>
      </c>
      <c r="P149">
        <v>0.15</v>
      </c>
      <c r="Q149">
        <v>0.4</v>
      </c>
      <c r="U149">
        <v>1</v>
      </c>
      <c r="W149">
        <f>IF(COUNTIF(Pays!A:A,X149)=0,"",LOOKUP(X149,Pays!A:A,Pays!E:E))</f>
        <v>0</v>
      </c>
      <c r="X149" s="8" t="s">
        <v>87</v>
      </c>
    </row>
    <row r="150" spans="1:24" x14ac:dyDescent="0.25">
      <c r="A150" t="s">
        <v>1153</v>
      </c>
      <c r="B150" t="s">
        <v>182</v>
      </c>
      <c r="C150" s="1">
        <f t="shared" si="5"/>
        <v>46174</v>
      </c>
      <c r="F150" t="s">
        <v>155</v>
      </c>
      <c r="G150" t="s">
        <v>363</v>
      </c>
      <c r="H150" t="s">
        <v>1308</v>
      </c>
      <c r="I150" t="s">
        <v>18</v>
      </c>
      <c r="J150" t="str">
        <f>IF(COUNTIF(Pays!A:A,X150)=0,"Pays inconnu",_xlfn.XLOOKUP(X150,Pays!A:A,Pays!B:B))</f>
        <v>CH</v>
      </c>
      <c r="K150" t="str">
        <f>IF(COUNTIF(Pays!A:A,X150)=0,"Pays inconnu",_xlfn.XLOOKUP(X150,Pays!A:A,Pays!C:C))</f>
        <v>1_CH</v>
      </c>
      <c r="L150">
        <v>1</v>
      </c>
      <c r="M150">
        <f t="shared" si="4"/>
        <v>0.28000000000000003</v>
      </c>
      <c r="N150" t="s">
        <v>20</v>
      </c>
      <c r="O150">
        <f>LOOKUP(X150,Pays!A:A,Pays!D:D)</f>
        <v>0</v>
      </c>
      <c r="P150">
        <v>0.15</v>
      </c>
      <c r="Q150">
        <v>0.28000000000000003</v>
      </c>
      <c r="U150">
        <v>1</v>
      </c>
      <c r="W150">
        <f>IF(COUNTIF(Pays!A:A,X150)=0,"",LOOKUP(X150,Pays!A:A,Pays!E:E))</f>
        <v>0</v>
      </c>
      <c r="X150" s="8" t="s">
        <v>37</v>
      </c>
    </row>
    <row r="151" spans="1:24" x14ac:dyDescent="0.25">
      <c r="A151" t="s">
        <v>1153</v>
      </c>
      <c r="B151" t="s">
        <v>182</v>
      </c>
      <c r="C151" s="1">
        <f t="shared" si="5"/>
        <v>46174</v>
      </c>
      <c r="F151" t="s">
        <v>110</v>
      </c>
      <c r="G151" t="s">
        <v>364</v>
      </c>
      <c r="H151" t="s">
        <v>1309</v>
      </c>
      <c r="I151" t="s">
        <v>18</v>
      </c>
      <c r="J151" t="str">
        <f>IF(COUNTIF(Pays!A:A,X151)=0,"Pays inconnu",_xlfn.XLOOKUP(X151,Pays!A:A,Pays!B:B))</f>
        <v>GB</v>
      </c>
      <c r="K151" t="str">
        <f>IF(COUNTIF(Pays!A:A,X151)=0,"Pays inconnu",_xlfn.XLOOKUP(X151,Pays!A:A,Pays!C:C))</f>
        <v>1_GB</v>
      </c>
      <c r="L151">
        <v>1</v>
      </c>
      <c r="M151">
        <f t="shared" si="4"/>
        <v>0.46</v>
      </c>
      <c r="N151" t="s">
        <v>20</v>
      </c>
      <c r="O151">
        <f>LOOKUP(X151,Pays!A:A,Pays!D:D)</f>
        <v>0</v>
      </c>
      <c r="P151">
        <v>0.45700000000000002</v>
      </c>
      <c r="Q151">
        <v>0.38</v>
      </c>
      <c r="U151">
        <v>1</v>
      </c>
      <c r="W151">
        <f>IF(COUNTIF(Pays!A:A,X151)=0,"",LOOKUP(X151,Pays!A:A,Pays!E:E))</f>
        <v>0</v>
      </c>
      <c r="X151" s="8" t="s">
        <v>30</v>
      </c>
    </row>
    <row r="152" spans="1:24" x14ac:dyDescent="0.25">
      <c r="A152" t="s">
        <v>1153</v>
      </c>
      <c r="B152" t="s">
        <v>182</v>
      </c>
      <c r="C152" s="1">
        <f t="shared" si="5"/>
        <v>46174</v>
      </c>
      <c r="F152" t="s">
        <v>155</v>
      </c>
      <c r="G152" t="s">
        <v>365</v>
      </c>
      <c r="H152" t="s">
        <v>1310</v>
      </c>
      <c r="I152" t="s">
        <v>18</v>
      </c>
      <c r="J152" t="str">
        <f>IF(COUNTIF(Pays!A:A,X152)=0,"Pays inconnu",_xlfn.XLOOKUP(X152,Pays!A:A,Pays!B:B))</f>
        <v>RO</v>
      </c>
      <c r="K152">
        <f>IF(COUNTIF(Pays!A:A,X152)=0,"Pays inconnu",_xlfn.XLOOKUP(X152,Pays!A:A,Pays!C:C))</f>
        <v>1</v>
      </c>
      <c r="L152">
        <v>1</v>
      </c>
      <c r="M152">
        <f t="shared" si="4"/>
        <v>0.56999999999999995</v>
      </c>
      <c r="N152" t="s">
        <v>20</v>
      </c>
      <c r="O152">
        <f>LOOKUP(X152,Pays!A:A,Pays!D:D)</f>
        <v>0.2</v>
      </c>
      <c r="P152">
        <v>0.15</v>
      </c>
      <c r="Q152">
        <v>0.56999999999999995</v>
      </c>
      <c r="U152">
        <v>1</v>
      </c>
      <c r="W152">
        <f>IF(COUNTIF(Pays!A:A,X152)=0,"",LOOKUP(X152,Pays!A:A,Pays!E:E))</f>
        <v>0</v>
      </c>
      <c r="X152" s="8" t="s">
        <v>45</v>
      </c>
    </row>
    <row r="153" spans="1:24" x14ac:dyDescent="0.25">
      <c r="A153" t="s">
        <v>1153</v>
      </c>
      <c r="B153" t="s">
        <v>182</v>
      </c>
      <c r="C153" s="1">
        <f t="shared" si="5"/>
        <v>46174</v>
      </c>
      <c r="F153" t="s">
        <v>155</v>
      </c>
      <c r="G153" t="s">
        <v>366</v>
      </c>
      <c r="H153" t="s">
        <v>1311</v>
      </c>
      <c r="I153" t="s">
        <v>18</v>
      </c>
      <c r="J153" t="str">
        <f>IF(COUNTIF(Pays!A:A,X153)=0,"Pays inconnu",_xlfn.XLOOKUP(X153,Pays!A:A,Pays!B:B))</f>
        <v>CH</v>
      </c>
      <c r="K153" t="str">
        <f>IF(COUNTIF(Pays!A:A,X153)=0,"Pays inconnu",_xlfn.XLOOKUP(X153,Pays!A:A,Pays!C:C))</f>
        <v>1_CH</v>
      </c>
      <c r="L153">
        <v>1</v>
      </c>
      <c r="M153">
        <f t="shared" si="4"/>
        <v>0.15</v>
      </c>
      <c r="N153" t="s">
        <v>20</v>
      </c>
      <c r="O153">
        <f>LOOKUP(X153,Pays!A:A,Pays!D:D)</f>
        <v>0</v>
      </c>
      <c r="P153">
        <v>0.15</v>
      </c>
      <c r="Q153">
        <v>0.1</v>
      </c>
      <c r="U153">
        <v>1</v>
      </c>
      <c r="W153">
        <f>IF(COUNTIF(Pays!A:A,X153)=0,"",LOOKUP(X153,Pays!A:A,Pays!E:E))</f>
        <v>0</v>
      </c>
      <c r="X153" s="8" t="s">
        <v>37</v>
      </c>
    </row>
    <row r="154" spans="1:24" x14ac:dyDescent="0.25">
      <c r="A154" t="s">
        <v>1153</v>
      </c>
      <c r="B154" t="s">
        <v>182</v>
      </c>
      <c r="C154" s="1">
        <f t="shared" si="5"/>
        <v>46174</v>
      </c>
      <c r="F154" t="s">
        <v>155</v>
      </c>
      <c r="G154" t="s">
        <v>367</v>
      </c>
      <c r="H154" t="s">
        <v>1312</v>
      </c>
      <c r="I154" t="s">
        <v>18</v>
      </c>
      <c r="J154" t="str">
        <f>IF(COUNTIF(Pays!A:A,X154)=0,"Pays inconnu",_xlfn.XLOOKUP(X154,Pays!A:A,Pays!B:B))</f>
        <v>CH</v>
      </c>
      <c r="K154" t="str">
        <f>IF(COUNTIF(Pays!A:A,X154)=0,"Pays inconnu",_xlfn.XLOOKUP(X154,Pays!A:A,Pays!C:C))</f>
        <v>1_CH</v>
      </c>
      <c r="L154">
        <v>1</v>
      </c>
      <c r="M154">
        <f t="shared" si="4"/>
        <v>0.23</v>
      </c>
      <c r="N154" t="s">
        <v>20</v>
      </c>
      <c r="O154">
        <f>LOOKUP(X154,Pays!A:A,Pays!D:D)</f>
        <v>0</v>
      </c>
      <c r="P154">
        <v>0.15</v>
      </c>
      <c r="Q154">
        <v>0.23</v>
      </c>
      <c r="U154">
        <v>1</v>
      </c>
      <c r="W154">
        <f>IF(COUNTIF(Pays!A:A,X154)=0,"",LOOKUP(X154,Pays!A:A,Pays!E:E))</f>
        <v>0</v>
      </c>
      <c r="X154" s="8" t="s">
        <v>37</v>
      </c>
    </row>
    <row r="155" spans="1:24" x14ac:dyDescent="0.25">
      <c r="A155" t="s">
        <v>1153</v>
      </c>
      <c r="B155" t="s">
        <v>182</v>
      </c>
      <c r="C155" s="1">
        <f t="shared" si="5"/>
        <v>46174</v>
      </c>
      <c r="F155" t="s">
        <v>155</v>
      </c>
      <c r="G155" t="s">
        <v>368</v>
      </c>
      <c r="H155" t="s">
        <v>1313</v>
      </c>
      <c r="I155" t="s">
        <v>18</v>
      </c>
      <c r="J155" t="str">
        <f>IF(COUNTIF(Pays!A:A,X155)=0,"Pays inconnu",_xlfn.XLOOKUP(X155,Pays!A:A,Pays!B:B))</f>
        <v>DE</v>
      </c>
      <c r="K155">
        <f>IF(COUNTIF(Pays!A:A,X155)=0,"Pays inconnu",_xlfn.XLOOKUP(X155,Pays!A:A,Pays!C:C))</f>
        <v>1</v>
      </c>
      <c r="L155">
        <v>1</v>
      </c>
      <c r="M155">
        <f t="shared" si="4"/>
        <v>0.69</v>
      </c>
      <c r="N155" t="s">
        <v>20</v>
      </c>
      <c r="O155">
        <f>LOOKUP(X155,Pays!A:A,Pays!D:D)</f>
        <v>0.2</v>
      </c>
      <c r="P155">
        <v>0.15</v>
      </c>
      <c r="Q155">
        <v>0.69</v>
      </c>
      <c r="U155">
        <v>1</v>
      </c>
      <c r="W155">
        <f>IF(COUNTIF(Pays!A:A,X155)=0,"",LOOKUP(X155,Pays!A:A,Pays!E:E))</f>
        <v>0</v>
      </c>
      <c r="X155" s="8" t="s">
        <v>35</v>
      </c>
    </row>
    <row r="156" spans="1:24" x14ac:dyDescent="0.25">
      <c r="A156" t="s">
        <v>1153</v>
      </c>
      <c r="B156" t="s">
        <v>182</v>
      </c>
      <c r="C156" s="1">
        <f t="shared" si="5"/>
        <v>46174</v>
      </c>
      <c r="F156" t="s">
        <v>155</v>
      </c>
      <c r="G156" t="s">
        <v>369</v>
      </c>
      <c r="H156" t="s">
        <v>1314</v>
      </c>
      <c r="I156" t="s">
        <v>18</v>
      </c>
      <c r="J156" t="str">
        <f>IF(COUNTIF(Pays!A:A,X156)=0,"Pays inconnu",_xlfn.XLOOKUP(X156,Pays!A:A,Pays!B:B))</f>
        <v>GB</v>
      </c>
      <c r="K156" t="str">
        <f>IF(COUNTIF(Pays!A:A,X156)=0,"Pays inconnu",_xlfn.XLOOKUP(X156,Pays!A:A,Pays!C:C))</f>
        <v>1_GB</v>
      </c>
      <c r="L156">
        <v>1</v>
      </c>
      <c r="M156">
        <f t="shared" si="4"/>
        <v>0.22</v>
      </c>
      <c r="N156" t="s">
        <v>20</v>
      </c>
      <c r="O156">
        <f>LOOKUP(X156,Pays!A:A,Pays!D:D)</f>
        <v>0</v>
      </c>
      <c r="P156">
        <v>0.15</v>
      </c>
      <c r="Q156">
        <v>0.22</v>
      </c>
      <c r="U156">
        <v>1</v>
      </c>
      <c r="W156">
        <f>IF(COUNTIF(Pays!A:A,X156)=0,"",LOOKUP(X156,Pays!A:A,Pays!E:E))</f>
        <v>0</v>
      </c>
      <c r="X156" s="8" t="s">
        <v>30</v>
      </c>
    </row>
    <row r="157" spans="1:24" x14ac:dyDescent="0.25">
      <c r="A157" t="s">
        <v>1153</v>
      </c>
      <c r="B157" t="s">
        <v>182</v>
      </c>
      <c r="C157" s="1">
        <f t="shared" si="5"/>
        <v>46174</v>
      </c>
      <c r="F157" t="s">
        <v>155</v>
      </c>
      <c r="G157" t="s">
        <v>370</v>
      </c>
      <c r="H157" t="s">
        <v>1315</v>
      </c>
      <c r="I157" t="s">
        <v>18</v>
      </c>
      <c r="J157" t="str">
        <f>IF(COUNTIF(Pays!A:A,X157)=0,"Pays inconnu",_xlfn.XLOOKUP(X157,Pays!A:A,Pays!B:B))</f>
        <v>GB</v>
      </c>
      <c r="K157" t="str">
        <f>IF(COUNTIF(Pays!A:A,X157)=0,"Pays inconnu",_xlfn.XLOOKUP(X157,Pays!A:A,Pays!C:C))</f>
        <v>1_GB</v>
      </c>
      <c r="L157">
        <v>1</v>
      </c>
      <c r="M157">
        <f t="shared" si="4"/>
        <v>0.63</v>
      </c>
      <c r="N157" t="s">
        <v>20</v>
      </c>
      <c r="O157">
        <f>LOOKUP(X157,Pays!A:A,Pays!D:D)</f>
        <v>0</v>
      </c>
      <c r="P157">
        <v>0.15</v>
      </c>
      <c r="Q157">
        <v>0.63</v>
      </c>
      <c r="U157">
        <v>1</v>
      </c>
      <c r="W157">
        <f>IF(COUNTIF(Pays!A:A,X157)=0,"",LOOKUP(X157,Pays!A:A,Pays!E:E))</f>
        <v>0</v>
      </c>
      <c r="X157" s="8" t="s">
        <v>30</v>
      </c>
    </row>
    <row r="158" spans="1:24" x14ac:dyDescent="0.25">
      <c r="A158" t="s">
        <v>1153</v>
      </c>
      <c r="B158" t="s">
        <v>182</v>
      </c>
      <c r="C158" s="1">
        <f t="shared" si="5"/>
        <v>46174</v>
      </c>
      <c r="F158" t="s">
        <v>155</v>
      </c>
      <c r="G158" t="s">
        <v>371</v>
      </c>
      <c r="H158" t="s">
        <v>1316</v>
      </c>
      <c r="I158" t="s">
        <v>18</v>
      </c>
      <c r="J158" t="str">
        <f>IF(COUNTIF(Pays!A:A,X158)=0,"Pays inconnu",_xlfn.XLOOKUP(X158,Pays!A:A,Pays!B:B))</f>
        <v>SE</v>
      </c>
      <c r="K158">
        <f>IF(COUNTIF(Pays!A:A,X158)=0,"Pays inconnu",_xlfn.XLOOKUP(X158,Pays!A:A,Pays!C:C))</f>
        <v>1</v>
      </c>
      <c r="L158">
        <v>1</v>
      </c>
      <c r="M158">
        <f t="shared" si="4"/>
        <v>0.54</v>
      </c>
      <c r="N158" t="s">
        <v>20</v>
      </c>
      <c r="O158">
        <f>LOOKUP(X158,Pays!A:A,Pays!D:D)</f>
        <v>0.2</v>
      </c>
      <c r="P158">
        <v>0.15</v>
      </c>
      <c r="Q158">
        <v>0.54</v>
      </c>
      <c r="U158">
        <v>1</v>
      </c>
      <c r="W158">
        <f>IF(COUNTIF(Pays!A:A,X158)=0,"",LOOKUP(X158,Pays!A:A,Pays!E:E))</f>
        <v>0</v>
      </c>
      <c r="X158" s="8" t="s">
        <v>78</v>
      </c>
    </row>
    <row r="159" spans="1:24" x14ac:dyDescent="0.25">
      <c r="A159" t="s">
        <v>1153</v>
      </c>
      <c r="B159" t="s">
        <v>182</v>
      </c>
      <c r="C159" s="1">
        <f t="shared" si="5"/>
        <v>46174</v>
      </c>
      <c r="F159" t="s">
        <v>155</v>
      </c>
      <c r="G159" t="s">
        <v>372</v>
      </c>
      <c r="H159" t="s">
        <v>1317</v>
      </c>
      <c r="I159" t="s">
        <v>18</v>
      </c>
      <c r="J159" t="str">
        <f>IF(COUNTIF(Pays!A:A,X159)=0,"Pays inconnu",_xlfn.XLOOKUP(X159,Pays!A:A,Pays!B:B))</f>
        <v>GB</v>
      </c>
      <c r="K159" t="str">
        <f>IF(COUNTIF(Pays!A:A,X159)=0,"Pays inconnu",_xlfn.XLOOKUP(X159,Pays!A:A,Pays!C:C))</f>
        <v>1_GB</v>
      </c>
      <c r="L159">
        <v>1</v>
      </c>
      <c r="M159">
        <f t="shared" si="4"/>
        <v>0.48</v>
      </c>
      <c r="N159" t="s">
        <v>20</v>
      </c>
      <c r="O159">
        <f>LOOKUP(X159,Pays!A:A,Pays!D:D)</f>
        <v>0</v>
      </c>
      <c r="P159">
        <v>0.47699999999999998</v>
      </c>
      <c r="Q159">
        <v>0.4</v>
      </c>
      <c r="U159">
        <v>1</v>
      </c>
      <c r="W159">
        <f>IF(COUNTIF(Pays!A:A,X159)=0,"",LOOKUP(X159,Pays!A:A,Pays!E:E))</f>
        <v>0</v>
      </c>
      <c r="X159" s="8" t="s">
        <v>30</v>
      </c>
    </row>
    <row r="160" spans="1:24" x14ac:dyDescent="0.25">
      <c r="A160" t="s">
        <v>1153</v>
      </c>
      <c r="B160" t="s">
        <v>182</v>
      </c>
      <c r="C160" s="1">
        <f t="shared" si="5"/>
        <v>46174</v>
      </c>
      <c r="F160" t="s">
        <v>155</v>
      </c>
      <c r="G160" t="s">
        <v>373</v>
      </c>
      <c r="H160" t="s">
        <v>1306</v>
      </c>
      <c r="I160" t="s">
        <v>18</v>
      </c>
      <c r="J160" t="str">
        <f>IF(COUNTIF(Pays!A:A,X160)=0,"Pays inconnu",_xlfn.XLOOKUP(X160,Pays!A:A,Pays!B:B))</f>
        <v>GB</v>
      </c>
      <c r="K160" t="str">
        <f>IF(COUNTIF(Pays!A:A,X160)=0,"Pays inconnu",_xlfn.XLOOKUP(X160,Pays!A:A,Pays!C:C))</f>
        <v>1_GB</v>
      </c>
      <c r="L160">
        <v>1</v>
      </c>
      <c r="M160">
        <f t="shared" si="4"/>
        <v>0.64</v>
      </c>
      <c r="N160" t="s">
        <v>20</v>
      </c>
      <c r="O160">
        <f>LOOKUP(X160,Pays!A:A,Pays!D:D)</f>
        <v>0</v>
      </c>
      <c r="P160">
        <v>0.64</v>
      </c>
      <c r="Q160">
        <v>0.64</v>
      </c>
      <c r="U160">
        <v>1</v>
      </c>
      <c r="W160">
        <f>IF(COUNTIF(Pays!A:A,X160)=0,"",LOOKUP(X160,Pays!A:A,Pays!E:E))</f>
        <v>0</v>
      </c>
      <c r="X160" s="8" t="s">
        <v>30</v>
      </c>
    </row>
    <row r="161" spans="1:24" x14ac:dyDescent="0.25">
      <c r="A161" t="s">
        <v>1153</v>
      </c>
      <c r="B161" t="s">
        <v>182</v>
      </c>
      <c r="C161" s="1">
        <f t="shared" si="5"/>
        <v>46174</v>
      </c>
      <c r="F161" t="s">
        <v>155</v>
      </c>
      <c r="G161" t="s">
        <v>374</v>
      </c>
      <c r="H161" t="s">
        <v>1318</v>
      </c>
      <c r="I161" t="s">
        <v>18</v>
      </c>
      <c r="J161" t="str">
        <f>IF(COUNTIF(Pays!A:A,X161)=0,"Pays inconnu",_xlfn.XLOOKUP(X161,Pays!A:A,Pays!B:B))</f>
        <v>CH</v>
      </c>
      <c r="K161" t="str">
        <f>IF(COUNTIF(Pays!A:A,X161)=0,"Pays inconnu",_xlfn.XLOOKUP(X161,Pays!A:A,Pays!C:C))</f>
        <v>1_CH</v>
      </c>
      <c r="L161">
        <v>1</v>
      </c>
      <c r="M161">
        <f t="shared" si="4"/>
        <v>0.49</v>
      </c>
      <c r="N161" t="s">
        <v>20</v>
      </c>
      <c r="O161">
        <f>LOOKUP(X161,Pays!A:A,Pays!D:D)</f>
        <v>0</v>
      </c>
      <c r="P161">
        <v>0.15</v>
      </c>
      <c r="Q161">
        <v>0.49</v>
      </c>
      <c r="U161">
        <v>1</v>
      </c>
      <c r="W161">
        <f>IF(COUNTIF(Pays!A:A,X161)=0,"",LOOKUP(X161,Pays!A:A,Pays!E:E))</f>
        <v>0</v>
      </c>
      <c r="X161" s="8" t="s">
        <v>37</v>
      </c>
    </row>
    <row r="162" spans="1:24" x14ac:dyDescent="0.25">
      <c r="A162" t="s">
        <v>1153</v>
      </c>
      <c r="B162" t="s">
        <v>182</v>
      </c>
      <c r="C162" s="1">
        <f t="shared" si="5"/>
        <v>46174</v>
      </c>
      <c r="F162" t="s">
        <v>155</v>
      </c>
      <c r="G162" t="s">
        <v>375</v>
      </c>
      <c r="H162" t="s">
        <v>1319</v>
      </c>
      <c r="I162" t="s">
        <v>18</v>
      </c>
      <c r="J162" t="str">
        <f>IF(COUNTIF(Pays!A:A,X162)=0,"Pays inconnu",_xlfn.XLOOKUP(X162,Pays!A:A,Pays!B:B))</f>
        <v>CH</v>
      </c>
      <c r="K162" t="str">
        <f>IF(COUNTIF(Pays!A:A,X162)=0,"Pays inconnu",_xlfn.XLOOKUP(X162,Pays!A:A,Pays!C:C))</f>
        <v>1_CH</v>
      </c>
      <c r="L162">
        <v>1</v>
      </c>
      <c r="M162">
        <f t="shared" si="4"/>
        <v>0.15</v>
      </c>
      <c r="N162" t="s">
        <v>20</v>
      </c>
      <c r="O162">
        <f>LOOKUP(X162,Pays!A:A,Pays!D:D)</f>
        <v>0</v>
      </c>
      <c r="P162">
        <v>0.15</v>
      </c>
      <c r="Q162">
        <v>0.12</v>
      </c>
      <c r="U162">
        <v>1</v>
      </c>
      <c r="W162">
        <f>IF(COUNTIF(Pays!A:A,X162)=0,"",LOOKUP(X162,Pays!A:A,Pays!E:E))</f>
        <v>0</v>
      </c>
      <c r="X162" s="8" t="s">
        <v>37</v>
      </c>
    </row>
    <row r="163" spans="1:24" x14ac:dyDescent="0.25">
      <c r="A163" t="s">
        <v>1153</v>
      </c>
      <c r="B163" t="s">
        <v>182</v>
      </c>
      <c r="C163" s="1">
        <f t="shared" si="5"/>
        <v>46174</v>
      </c>
      <c r="F163" t="s">
        <v>155</v>
      </c>
      <c r="G163" t="s">
        <v>376</v>
      </c>
      <c r="H163" t="s">
        <v>1320</v>
      </c>
      <c r="I163" t="s">
        <v>18</v>
      </c>
      <c r="J163" t="str">
        <f>IF(COUNTIF(Pays!A:A,X163)=0,"Pays inconnu",_xlfn.XLOOKUP(X163,Pays!A:A,Pays!B:B))</f>
        <v>CH</v>
      </c>
      <c r="K163" t="str">
        <f>IF(COUNTIF(Pays!A:A,X163)=0,"Pays inconnu",_xlfn.XLOOKUP(X163,Pays!A:A,Pays!C:C))</f>
        <v>1_CH</v>
      </c>
      <c r="L163">
        <v>1</v>
      </c>
      <c r="M163">
        <f t="shared" si="4"/>
        <v>0.15</v>
      </c>
      <c r="N163" t="s">
        <v>20</v>
      </c>
      <c r="O163">
        <f>LOOKUP(X163,Pays!A:A,Pays!D:D)</f>
        <v>0</v>
      </c>
      <c r="P163">
        <v>0.15</v>
      </c>
      <c r="Q163">
        <v>0.12</v>
      </c>
      <c r="U163">
        <v>1</v>
      </c>
      <c r="W163">
        <f>IF(COUNTIF(Pays!A:A,X163)=0,"",LOOKUP(X163,Pays!A:A,Pays!E:E))</f>
        <v>0</v>
      </c>
      <c r="X163" s="8" t="s">
        <v>37</v>
      </c>
    </row>
    <row r="164" spans="1:24" x14ac:dyDescent="0.25">
      <c r="A164" t="s">
        <v>1153</v>
      </c>
      <c r="B164" t="s">
        <v>182</v>
      </c>
      <c r="C164" s="1">
        <f t="shared" si="5"/>
        <v>46174</v>
      </c>
      <c r="F164" t="s">
        <v>155</v>
      </c>
      <c r="G164" t="s">
        <v>377</v>
      </c>
      <c r="H164" t="s">
        <v>1321</v>
      </c>
      <c r="I164" t="s">
        <v>18</v>
      </c>
      <c r="J164" t="str">
        <f>IF(COUNTIF(Pays!A:A,X164)=0,"Pays inconnu",_xlfn.XLOOKUP(X164,Pays!A:A,Pays!B:B))</f>
        <v>GB</v>
      </c>
      <c r="K164" t="str">
        <f>IF(COUNTIF(Pays!A:A,X164)=0,"Pays inconnu",_xlfn.XLOOKUP(X164,Pays!A:A,Pays!C:C))</f>
        <v>1_GB</v>
      </c>
      <c r="L164">
        <v>1</v>
      </c>
      <c r="M164">
        <f t="shared" si="4"/>
        <v>0.15</v>
      </c>
      <c r="N164" t="s">
        <v>20</v>
      </c>
      <c r="O164">
        <f>LOOKUP(X164,Pays!A:A,Pays!D:D)</f>
        <v>0</v>
      </c>
      <c r="P164">
        <v>0.15</v>
      </c>
      <c r="Q164">
        <v>0.04</v>
      </c>
      <c r="U164">
        <v>1</v>
      </c>
      <c r="W164">
        <f>IF(COUNTIF(Pays!A:A,X164)=0,"",LOOKUP(X164,Pays!A:A,Pays!E:E))</f>
        <v>0</v>
      </c>
      <c r="X164" s="8" t="s">
        <v>30</v>
      </c>
    </row>
    <row r="165" spans="1:24" x14ac:dyDescent="0.25">
      <c r="A165" t="s">
        <v>1153</v>
      </c>
      <c r="B165" t="s">
        <v>182</v>
      </c>
      <c r="C165" s="1">
        <f t="shared" si="5"/>
        <v>46174</v>
      </c>
      <c r="F165" t="s">
        <v>110</v>
      </c>
      <c r="G165" t="s">
        <v>378</v>
      </c>
      <c r="H165" t="s">
        <v>175</v>
      </c>
      <c r="I165" t="s">
        <v>18</v>
      </c>
      <c r="J165" t="str">
        <f>IF(COUNTIF(Pays!A:A,X165)=0,"Pays inconnu",_xlfn.XLOOKUP(X165,Pays!A:A,Pays!B:B))</f>
        <v>BE</v>
      </c>
      <c r="K165" t="str">
        <f>IF(COUNTIF(Pays!A:A,X165)=0,"Pays inconnu",_xlfn.XLOOKUP(X165,Pays!A:A,Pays!C:C))</f>
        <v>1_BE</v>
      </c>
      <c r="L165">
        <v>1</v>
      </c>
      <c r="M165">
        <f t="shared" si="4"/>
        <v>0.3</v>
      </c>
      <c r="N165" t="s">
        <v>20</v>
      </c>
      <c r="O165">
        <f>LOOKUP(X165,Pays!A:A,Pays!D:D)</f>
        <v>0.2</v>
      </c>
      <c r="P165">
        <v>0.15</v>
      </c>
      <c r="Q165">
        <v>0.3</v>
      </c>
      <c r="U165">
        <v>1</v>
      </c>
      <c r="W165">
        <f>IF(COUNTIF(Pays!A:A,X165)=0,"",LOOKUP(X165,Pays!A:A,Pays!E:E))</f>
        <v>0</v>
      </c>
      <c r="X165" s="8" t="s">
        <v>28</v>
      </c>
    </row>
    <row r="166" spans="1:24" x14ac:dyDescent="0.25">
      <c r="A166" t="s">
        <v>1153</v>
      </c>
      <c r="B166" t="s">
        <v>182</v>
      </c>
      <c r="C166" s="1">
        <f t="shared" si="5"/>
        <v>46174</v>
      </c>
      <c r="F166" t="s">
        <v>155</v>
      </c>
      <c r="G166" t="s">
        <v>379</v>
      </c>
      <c r="H166" t="s">
        <v>1322</v>
      </c>
      <c r="I166" t="s">
        <v>18</v>
      </c>
      <c r="J166" t="str">
        <f>IF(COUNTIF(Pays!A:A,X166)=0,"Pays inconnu",_xlfn.XLOOKUP(X166,Pays!A:A,Pays!B:B))</f>
        <v>BE</v>
      </c>
      <c r="K166" t="str">
        <f>IF(COUNTIF(Pays!A:A,X166)=0,"Pays inconnu",_xlfn.XLOOKUP(X166,Pays!A:A,Pays!C:C))</f>
        <v>1_BE</v>
      </c>
      <c r="L166">
        <v>1</v>
      </c>
      <c r="M166">
        <f t="shared" si="4"/>
        <v>0.18</v>
      </c>
      <c r="N166" t="s">
        <v>20</v>
      </c>
      <c r="O166">
        <f>LOOKUP(X166,Pays!A:A,Pays!D:D)</f>
        <v>0.2</v>
      </c>
      <c r="P166">
        <v>0.15</v>
      </c>
      <c r="Q166">
        <v>0.18</v>
      </c>
      <c r="U166">
        <v>1</v>
      </c>
      <c r="W166">
        <f>IF(COUNTIF(Pays!A:A,X166)=0,"",LOOKUP(X166,Pays!A:A,Pays!E:E))</f>
        <v>0</v>
      </c>
      <c r="X166" s="8" t="s">
        <v>28</v>
      </c>
    </row>
    <row r="167" spans="1:24" x14ac:dyDescent="0.25">
      <c r="A167" t="s">
        <v>1153</v>
      </c>
      <c r="B167" t="s">
        <v>182</v>
      </c>
      <c r="C167" s="1">
        <f t="shared" si="5"/>
        <v>46174</v>
      </c>
      <c r="F167" t="s">
        <v>110</v>
      </c>
      <c r="G167" t="s">
        <v>380</v>
      </c>
      <c r="H167" t="s">
        <v>1323</v>
      </c>
      <c r="I167" t="s">
        <v>18</v>
      </c>
      <c r="J167" t="str">
        <f>IF(COUNTIF(Pays!A:A,X167)=0,"Pays inconnu",_xlfn.XLOOKUP(X167,Pays!A:A,Pays!B:B))</f>
        <v>GB</v>
      </c>
      <c r="K167" t="str">
        <f>IF(COUNTIF(Pays!A:A,X167)=0,"Pays inconnu",_xlfn.XLOOKUP(X167,Pays!A:A,Pays!C:C))</f>
        <v>1_GB</v>
      </c>
      <c r="L167">
        <v>1</v>
      </c>
      <c r="M167">
        <f t="shared" si="4"/>
        <v>0.15</v>
      </c>
      <c r="N167" t="s">
        <v>20</v>
      </c>
      <c r="O167">
        <f>LOOKUP(X167,Pays!A:A,Pays!D:D)</f>
        <v>0</v>
      </c>
      <c r="P167">
        <v>0.15</v>
      </c>
      <c r="Q167">
        <v>0.06</v>
      </c>
      <c r="U167">
        <v>1</v>
      </c>
      <c r="W167">
        <f>IF(COUNTIF(Pays!A:A,X167)=0,"",LOOKUP(X167,Pays!A:A,Pays!E:E))</f>
        <v>0</v>
      </c>
      <c r="X167" s="8" t="s">
        <v>30</v>
      </c>
    </row>
    <row r="168" spans="1:24" x14ac:dyDescent="0.25">
      <c r="A168" t="s">
        <v>1153</v>
      </c>
      <c r="B168" t="s">
        <v>182</v>
      </c>
      <c r="C168" s="1">
        <f t="shared" si="5"/>
        <v>46174</v>
      </c>
      <c r="F168" t="s">
        <v>155</v>
      </c>
      <c r="G168" t="s">
        <v>381</v>
      </c>
      <c r="H168" t="s">
        <v>1324</v>
      </c>
      <c r="I168" t="s">
        <v>18</v>
      </c>
      <c r="J168" t="str">
        <f>IF(COUNTIF(Pays!A:A,X168)=0,"Pays inconnu",_xlfn.XLOOKUP(X168,Pays!A:A,Pays!B:B))</f>
        <v>IT</v>
      </c>
      <c r="K168">
        <f>IF(COUNTIF(Pays!A:A,X168)=0,"Pays inconnu",_xlfn.XLOOKUP(X168,Pays!A:A,Pays!C:C))</f>
        <v>1</v>
      </c>
      <c r="L168">
        <v>1</v>
      </c>
      <c r="M168">
        <f t="shared" si="4"/>
        <v>0.97</v>
      </c>
      <c r="N168" t="s">
        <v>20</v>
      </c>
      <c r="O168">
        <f>LOOKUP(X168,Pays!A:A,Pays!D:D)</f>
        <v>0.2</v>
      </c>
      <c r="P168">
        <v>0.15</v>
      </c>
      <c r="Q168">
        <v>0.97</v>
      </c>
      <c r="U168">
        <v>1</v>
      </c>
      <c r="W168">
        <f>IF(COUNTIF(Pays!A:A,X168)=0,"",LOOKUP(X168,Pays!A:A,Pays!E:E))</f>
        <v>0</v>
      </c>
      <c r="X168" s="8" t="s">
        <v>33</v>
      </c>
    </row>
    <row r="169" spans="1:24" x14ac:dyDescent="0.25">
      <c r="A169" t="s">
        <v>1153</v>
      </c>
      <c r="B169" t="s">
        <v>182</v>
      </c>
      <c r="C169" s="1">
        <f t="shared" si="5"/>
        <v>46174</v>
      </c>
      <c r="F169" t="s">
        <v>155</v>
      </c>
      <c r="G169" t="s">
        <v>382</v>
      </c>
      <c r="H169" t="s">
        <v>1325</v>
      </c>
      <c r="I169" t="s">
        <v>18</v>
      </c>
      <c r="J169" t="str">
        <f>IF(COUNTIF(Pays!A:A,X169)=0,"Pays inconnu",_xlfn.XLOOKUP(X169,Pays!A:A,Pays!B:B))</f>
        <v>CH</v>
      </c>
      <c r="K169" t="str">
        <f>IF(COUNTIF(Pays!A:A,X169)=0,"Pays inconnu",_xlfn.XLOOKUP(X169,Pays!A:A,Pays!C:C))</f>
        <v>1_CH</v>
      </c>
      <c r="L169">
        <v>1</v>
      </c>
      <c r="M169">
        <f t="shared" si="4"/>
        <v>1.25</v>
      </c>
      <c r="N169" t="s">
        <v>20</v>
      </c>
      <c r="O169">
        <f>LOOKUP(X169,Pays!A:A,Pays!D:D)</f>
        <v>0</v>
      </c>
      <c r="P169">
        <v>0.15</v>
      </c>
      <c r="Q169">
        <v>1.25</v>
      </c>
      <c r="U169">
        <v>1</v>
      </c>
      <c r="W169">
        <f>IF(COUNTIF(Pays!A:A,X169)=0,"",LOOKUP(X169,Pays!A:A,Pays!E:E))</f>
        <v>0</v>
      </c>
      <c r="X169" s="8" t="s">
        <v>37</v>
      </c>
    </row>
    <row r="170" spans="1:24" x14ac:dyDescent="0.25">
      <c r="A170" t="s">
        <v>1153</v>
      </c>
      <c r="B170" t="s">
        <v>182</v>
      </c>
      <c r="C170" s="1">
        <f t="shared" si="5"/>
        <v>46174</v>
      </c>
      <c r="F170" t="s">
        <v>155</v>
      </c>
      <c r="G170" t="s">
        <v>383</v>
      </c>
      <c r="H170" t="s">
        <v>1326</v>
      </c>
      <c r="I170" t="s">
        <v>18</v>
      </c>
      <c r="J170" t="str">
        <f>IF(COUNTIF(Pays!A:A,X170)=0,"Pays inconnu",_xlfn.XLOOKUP(X170,Pays!A:A,Pays!B:B))</f>
        <v>BE</v>
      </c>
      <c r="K170" t="str">
        <f>IF(COUNTIF(Pays!A:A,X170)=0,"Pays inconnu",_xlfn.XLOOKUP(X170,Pays!A:A,Pays!C:C))</f>
        <v>1_BE</v>
      </c>
      <c r="L170">
        <v>1</v>
      </c>
      <c r="M170">
        <f t="shared" si="4"/>
        <v>0.15</v>
      </c>
      <c r="N170" t="s">
        <v>20</v>
      </c>
      <c r="O170">
        <f>LOOKUP(X170,Pays!A:A,Pays!D:D)</f>
        <v>0.2</v>
      </c>
      <c r="P170">
        <v>0.15</v>
      </c>
      <c r="Q170">
        <v>0.01</v>
      </c>
      <c r="U170">
        <v>1</v>
      </c>
      <c r="W170">
        <f>IF(COUNTIF(Pays!A:A,X170)=0,"",LOOKUP(X170,Pays!A:A,Pays!E:E))</f>
        <v>0</v>
      </c>
      <c r="X170" s="8" t="s">
        <v>28</v>
      </c>
    </row>
    <row r="171" spans="1:24" x14ac:dyDescent="0.25">
      <c r="A171" t="s">
        <v>1153</v>
      </c>
      <c r="B171" t="s">
        <v>182</v>
      </c>
      <c r="C171" s="1">
        <f t="shared" si="5"/>
        <v>46174</v>
      </c>
      <c r="F171" t="s">
        <v>155</v>
      </c>
      <c r="G171" t="s">
        <v>384</v>
      </c>
      <c r="H171" t="s">
        <v>1327</v>
      </c>
      <c r="I171" t="s">
        <v>18</v>
      </c>
      <c r="J171" t="str">
        <f>IF(COUNTIF(Pays!A:A,X171)=0,"Pays inconnu",_xlfn.XLOOKUP(X171,Pays!A:A,Pays!B:B))</f>
        <v>CH</v>
      </c>
      <c r="K171" t="str">
        <f>IF(COUNTIF(Pays!A:A,X171)=0,"Pays inconnu",_xlfn.XLOOKUP(X171,Pays!A:A,Pays!C:C))</f>
        <v>1_CH</v>
      </c>
      <c r="L171">
        <v>1</v>
      </c>
      <c r="M171">
        <f t="shared" si="4"/>
        <v>0.16</v>
      </c>
      <c r="N171" t="s">
        <v>20</v>
      </c>
      <c r="O171">
        <f>LOOKUP(X171,Pays!A:A,Pays!D:D)</f>
        <v>0</v>
      </c>
      <c r="P171">
        <v>0.15</v>
      </c>
      <c r="Q171">
        <v>0.16</v>
      </c>
      <c r="U171">
        <v>1</v>
      </c>
      <c r="W171">
        <f>IF(COUNTIF(Pays!A:A,X171)=0,"",LOOKUP(X171,Pays!A:A,Pays!E:E))</f>
        <v>0</v>
      </c>
      <c r="X171" s="8" t="s">
        <v>37</v>
      </c>
    </row>
    <row r="172" spans="1:24" x14ac:dyDescent="0.25">
      <c r="A172" t="s">
        <v>1153</v>
      </c>
      <c r="B172" t="s">
        <v>182</v>
      </c>
      <c r="C172" s="1">
        <f t="shared" si="5"/>
        <v>46174</v>
      </c>
      <c r="F172" t="s">
        <v>155</v>
      </c>
      <c r="G172" t="s">
        <v>385</v>
      </c>
      <c r="H172" t="s">
        <v>1328</v>
      </c>
      <c r="I172" t="s">
        <v>18</v>
      </c>
      <c r="J172" t="str">
        <f>IF(COUNTIF(Pays!A:A,X172)=0,"Pays inconnu",_xlfn.XLOOKUP(X172,Pays!A:A,Pays!B:B))</f>
        <v>EE</v>
      </c>
      <c r="K172">
        <f>IF(COUNTIF(Pays!A:A,X172)=0,"Pays inconnu",_xlfn.XLOOKUP(X172,Pays!A:A,Pays!C:C))</f>
        <v>1</v>
      </c>
      <c r="L172">
        <v>1</v>
      </c>
      <c r="M172">
        <f t="shared" si="4"/>
        <v>0.84</v>
      </c>
      <c r="N172" t="s">
        <v>20</v>
      </c>
      <c r="O172">
        <f>LOOKUP(X172,Pays!A:A,Pays!D:D)</f>
        <v>0.2</v>
      </c>
      <c r="P172">
        <v>0.15</v>
      </c>
      <c r="Q172">
        <v>0.84</v>
      </c>
      <c r="U172">
        <v>1</v>
      </c>
      <c r="W172">
        <f>IF(COUNTIF(Pays!A:A,X172)=0,"",LOOKUP(X172,Pays!A:A,Pays!E:E))</f>
        <v>0</v>
      </c>
      <c r="X172" s="8" t="s">
        <v>92</v>
      </c>
    </row>
    <row r="173" spans="1:24" x14ac:dyDescent="0.25">
      <c r="A173" t="s">
        <v>1153</v>
      </c>
      <c r="B173" t="s">
        <v>182</v>
      </c>
      <c r="C173" s="1">
        <f t="shared" si="5"/>
        <v>46174</v>
      </c>
      <c r="F173" t="s">
        <v>155</v>
      </c>
      <c r="G173" t="s">
        <v>386</v>
      </c>
      <c r="H173" t="s">
        <v>1329</v>
      </c>
      <c r="I173" t="s">
        <v>18</v>
      </c>
      <c r="J173" t="str">
        <f>IF(COUNTIF(Pays!A:A,X173)=0,"Pays inconnu",_xlfn.XLOOKUP(X173,Pays!A:A,Pays!B:B))</f>
        <v>ES</v>
      </c>
      <c r="K173">
        <f>IF(COUNTIF(Pays!A:A,X173)=0,"Pays inconnu",_xlfn.XLOOKUP(X173,Pays!A:A,Pays!C:C))</f>
        <v>1</v>
      </c>
      <c r="L173">
        <v>1</v>
      </c>
      <c r="M173">
        <f t="shared" si="4"/>
        <v>0.42</v>
      </c>
      <c r="N173" t="s">
        <v>20</v>
      </c>
      <c r="O173">
        <f>LOOKUP(X173,Pays!A:A,Pays!D:D)</f>
        <v>0.2</v>
      </c>
      <c r="P173">
        <v>0.15</v>
      </c>
      <c r="Q173">
        <v>0.42</v>
      </c>
      <c r="U173">
        <v>1</v>
      </c>
      <c r="W173">
        <f>IF(COUNTIF(Pays!A:A,X173)=0,"",LOOKUP(X173,Pays!A:A,Pays!E:E))</f>
        <v>0</v>
      </c>
      <c r="X173" s="8" t="s">
        <v>29</v>
      </c>
    </row>
    <row r="174" spans="1:24" x14ac:dyDescent="0.25">
      <c r="A174" t="s">
        <v>1153</v>
      </c>
      <c r="B174" t="s">
        <v>182</v>
      </c>
      <c r="C174" s="1">
        <f t="shared" si="5"/>
        <v>46174</v>
      </c>
      <c r="F174" t="s">
        <v>155</v>
      </c>
      <c r="G174" t="s">
        <v>387</v>
      </c>
      <c r="H174" t="s">
        <v>1330</v>
      </c>
      <c r="I174" t="s">
        <v>18</v>
      </c>
      <c r="J174" t="str">
        <f>IF(COUNTIF(Pays!A:A,X174)=0,"Pays inconnu",_xlfn.XLOOKUP(X174,Pays!A:A,Pays!B:B))</f>
        <v>LV</v>
      </c>
      <c r="K174">
        <f>IF(COUNTIF(Pays!A:A,X174)=0,"Pays inconnu",_xlfn.XLOOKUP(X174,Pays!A:A,Pays!C:C))</f>
        <v>1</v>
      </c>
      <c r="L174">
        <v>1</v>
      </c>
      <c r="M174">
        <f t="shared" si="4"/>
        <v>0.7</v>
      </c>
      <c r="N174" t="s">
        <v>20</v>
      </c>
      <c r="O174">
        <f>LOOKUP(X174,Pays!A:A,Pays!D:D)</f>
        <v>0.2</v>
      </c>
      <c r="P174">
        <v>0.15</v>
      </c>
      <c r="Q174">
        <v>0.7</v>
      </c>
      <c r="U174">
        <v>1</v>
      </c>
      <c r="W174">
        <f>IF(COUNTIF(Pays!A:A,X174)=0,"",LOOKUP(X174,Pays!A:A,Pays!E:E))</f>
        <v>0</v>
      </c>
      <c r="X174" s="8" t="s">
        <v>117</v>
      </c>
    </row>
    <row r="175" spans="1:24" x14ac:dyDescent="0.25">
      <c r="A175" t="s">
        <v>1153</v>
      </c>
      <c r="B175" t="s">
        <v>182</v>
      </c>
      <c r="C175" s="1">
        <f t="shared" si="5"/>
        <v>46174</v>
      </c>
      <c r="F175" t="s">
        <v>155</v>
      </c>
      <c r="G175" t="s">
        <v>388</v>
      </c>
      <c r="H175" t="s">
        <v>1331</v>
      </c>
      <c r="I175" t="s">
        <v>18</v>
      </c>
      <c r="J175" t="str">
        <f>IF(COUNTIF(Pays!A:A,X175)=0,"Pays inconnu",_xlfn.XLOOKUP(X175,Pays!A:A,Pays!B:B))</f>
        <v>CH</v>
      </c>
      <c r="K175" t="str">
        <f>IF(COUNTIF(Pays!A:A,X175)=0,"Pays inconnu",_xlfn.XLOOKUP(X175,Pays!A:A,Pays!C:C))</f>
        <v>1_CH</v>
      </c>
      <c r="L175">
        <v>1</v>
      </c>
      <c r="M175">
        <f t="shared" si="4"/>
        <v>0.23</v>
      </c>
      <c r="N175" t="s">
        <v>20</v>
      </c>
      <c r="O175">
        <f>LOOKUP(X175,Pays!A:A,Pays!D:D)</f>
        <v>0</v>
      </c>
      <c r="P175">
        <v>0.15</v>
      </c>
      <c r="Q175">
        <v>0.23</v>
      </c>
      <c r="U175">
        <v>1</v>
      </c>
      <c r="W175">
        <f>IF(COUNTIF(Pays!A:A,X175)=0,"",LOOKUP(X175,Pays!A:A,Pays!E:E))</f>
        <v>0</v>
      </c>
      <c r="X175" s="8" t="s">
        <v>37</v>
      </c>
    </row>
    <row r="176" spans="1:24" x14ac:dyDescent="0.25">
      <c r="A176" t="s">
        <v>1153</v>
      </c>
      <c r="B176" t="s">
        <v>182</v>
      </c>
      <c r="C176" s="1">
        <f t="shared" si="5"/>
        <v>46174</v>
      </c>
      <c r="F176" t="s">
        <v>155</v>
      </c>
      <c r="G176" t="s">
        <v>389</v>
      </c>
      <c r="H176" t="s">
        <v>1332</v>
      </c>
      <c r="I176" t="s">
        <v>18</v>
      </c>
      <c r="J176" t="str">
        <f>IF(COUNTIF(Pays!A:A,X176)=0,"Pays inconnu",_xlfn.XLOOKUP(X176,Pays!A:A,Pays!B:B))</f>
        <v>CH</v>
      </c>
      <c r="K176" t="str">
        <f>IF(COUNTIF(Pays!A:A,X176)=0,"Pays inconnu",_xlfn.XLOOKUP(X176,Pays!A:A,Pays!C:C))</f>
        <v>1_CH</v>
      </c>
      <c r="L176">
        <v>1</v>
      </c>
      <c r="M176">
        <f t="shared" si="4"/>
        <v>0.53</v>
      </c>
      <c r="N176" t="s">
        <v>20</v>
      </c>
      <c r="O176">
        <f>LOOKUP(X176,Pays!A:A,Pays!D:D)</f>
        <v>0</v>
      </c>
      <c r="P176">
        <v>0.53</v>
      </c>
      <c r="Q176">
        <v>0.53</v>
      </c>
      <c r="U176">
        <v>1</v>
      </c>
      <c r="W176">
        <f>IF(COUNTIF(Pays!A:A,X176)=0,"",LOOKUP(X176,Pays!A:A,Pays!E:E))</f>
        <v>0</v>
      </c>
      <c r="X176" s="8" t="s">
        <v>37</v>
      </c>
    </row>
    <row r="177" spans="1:24" x14ac:dyDescent="0.25">
      <c r="A177" t="s">
        <v>1153</v>
      </c>
      <c r="B177" t="s">
        <v>182</v>
      </c>
      <c r="C177" s="1">
        <f t="shared" si="5"/>
        <v>46174</v>
      </c>
      <c r="F177" t="s">
        <v>155</v>
      </c>
      <c r="G177" t="s">
        <v>390</v>
      </c>
      <c r="H177" t="s">
        <v>1333</v>
      </c>
      <c r="I177" t="s">
        <v>18</v>
      </c>
      <c r="J177" t="str">
        <f>IF(COUNTIF(Pays!A:A,X177)=0,"Pays inconnu",_xlfn.XLOOKUP(X177,Pays!A:A,Pays!B:B))</f>
        <v>CH</v>
      </c>
      <c r="K177" t="str">
        <f>IF(COUNTIF(Pays!A:A,X177)=0,"Pays inconnu",_xlfn.XLOOKUP(X177,Pays!A:A,Pays!C:C))</f>
        <v>1_CH</v>
      </c>
      <c r="L177">
        <v>1</v>
      </c>
      <c r="M177">
        <f t="shared" si="4"/>
        <v>0.63</v>
      </c>
      <c r="N177" t="s">
        <v>20</v>
      </c>
      <c r="O177">
        <f>LOOKUP(X177,Pays!A:A,Pays!D:D)</f>
        <v>0</v>
      </c>
      <c r="P177">
        <v>0.15</v>
      </c>
      <c r="Q177">
        <v>0.63</v>
      </c>
      <c r="U177">
        <v>1</v>
      </c>
      <c r="W177">
        <f>IF(COUNTIF(Pays!A:A,X177)=0,"",LOOKUP(X177,Pays!A:A,Pays!E:E))</f>
        <v>0</v>
      </c>
      <c r="X177" s="8" t="s">
        <v>37</v>
      </c>
    </row>
    <row r="178" spans="1:24" x14ac:dyDescent="0.25">
      <c r="A178" t="s">
        <v>1153</v>
      </c>
      <c r="B178" t="s">
        <v>182</v>
      </c>
      <c r="C178" s="1">
        <f t="shared" si="5"/>
        <v>46174</v>
      </c>
      <c r="F178" t="s">
        <v>155</v>
      </c>
      <c r="G178" t="s">
        <v>391</v>
      </c>
      <c r="H178" t="s">
        <v>1334</v>
      </c>
      <c r="I178" t="s">
        <v>18</v>
      </c>
      <c r="J178" t="str">
        <f>IF(COUNTIF(Pays!A:A,X178)=0,"Pays inconnu",_xlfn.XLOOKUP(X178,Pays!A:A,Pays!B:B))</f>
        <v>CH</v>
      </c>
      <c r="K178" t="str">
        <f>IF(COUNTIF(Pays!A:A,X178)=0,"Pays inconnu",_xlfn.XLOOKUP(X178,Pays!A:A,Pays!C:C))</f>
        <v>1_CH</v>
      </c>
      <c r="L178">
        <v>1</v>
      </c>
      <c r="M178">
        <f t="shared" si="4"/>
        <v>1.26</v>
      </c>
      <c r="N178" t="s">
        <v>20</v>
      </c>
      <c r="O178">
        <f>LOOKUP(X178,Pays!A:A,Pays!D:D)</f>
        <v>0</v>
      </c>
      <c r="P178">
        <v>1.26</v>
      </c>
      <c r="Q178">
        <v>1.26</v>
      </c>
      <c r="U178">
        <v>1</v>
      </c>
      <c r="W178">
        <f>IF(COUNTIF(Pays!A:A,X178)=0,"",LOOKUP(X178,Pays!A:A,Pays!E:E))</f>
        <v>0</v>
      </c>
      <c r="X178" s="8" t="s">
        <v>37</v>
      </c>
    </row>
    <row r="179" spans="1:24" x14ac:dyDescent="0.25">
      <c r="A179" t="s">
        <v>1153</v>
      </c>
      <c r="B179" t="s">
        <v>182</v>
      </c>
      <c r="C179" s="1">
        <f t="shared" si="5"/>
        <v>46174</v>
      </c>
      <c r="F179" t="s">
        <v>155</v>
      </c>
      <c r="G179" t="s">
        <v>392</v>
      </c>
      <c r="H179" t="s">
        <v>1335</v>
      </c>
      <c r="I179" t="s">
        <v>18</v>
      </c>
      <c r="J179" t="str">
        <f>IF(COUNTIF(Pays!A:A,X179)=0,"Pays inconnu",_xlfn.XLOOKUP(X179,Pays!A:A,Pays!B:B))</f>
        <v>ES</v>
      </c>
      <c r="K179">
        <f>IF(COUNTIF(Pays!A:A,X179)=0,"Pays inconnu",_xlfn.XLOOKUP(X179,Pays!A:A,Pays!C:C))</f>
        <v>1</v>
      </c>
      <c r="L179">
        <v>1</v>
      </c>
      <c r="M179">
        <f t="shared" si="4"/>
        <v>0.42</v>
      </c>
      <c r="N179" t="s">
        <v>20</v>
      </c>
      <c r="O179">
        <f>LOOKUP(X179,Pays!A:A,Pays!D:D)</f>
        <v>0.2</v>
      </c>
      <c r="P179">
        <v>0.15</v>
      </c>
      <c r="Q179">
        <v>0.42</v>
      </c>
      <c r="U179">
        <v>1</v>
      </c>
      <c r="W179">
        <f>IF(COUNTIF(Pays!A:A,X179)=0,"",LOOKUP(X179,Pays!A:A,Pays!E:E))</f>
        <v>0</v>
      </c>
      <c r="X179" s="8" t="s">
        <v>29</v>
      </c>
    </row>
    <row r="180" spans="1:24" x14ac:dyDescent="0.25">
      <c r="A180" t="s">
        <v>1153</v>
      </c>
      <c r="B180" t="s">
        <v>182</v>
      </c>
      <c r="C180" s="1">
        <f t="shared" si="5"/>
        <v>46174</v>
      </c>
      <c r="F180" t="s">
        <v>155</v>
      </c>
      <c r="G180" t="s">
        <v>393</v>
      </c>
      <c r="H180" t="s">
        <v>191</v>
      </c>
      <c r="I180" t="s">
        <v>18</v>
      </c>
      <c r="J180" t="str">
        <f>IF(COUNTIF(Pays!A:A,X180)=0,"Pays inconnu",_xlfn.XLOOKUP(X180,Pays!A:A,Pays!B:B))</f>
        <v>CH</v>
      </c>
      <c r="K180" t="str">
        <f>IF(COUNTIF(Pays!A:A,X180)=0,"Pays inconnu",_xlfn.XLOOKUP(X180,Pays!A:A,Pays!C:C))</f>
        <v>1_CH</v>
      </c>
      <c r="L180">
        <v>1</v>
      </c>
      <c r="M180">
        <f t="shared" si="4"/>
        <v>1.26</v>
      </c>
      <c r="N180" t="s">
        <v>20</v>
      </c>
      <c r="O180">
        <f>LOOKUP(X180,Pays!A:A,Pays!D:D)</f>
        <v>0</v>
      </c>
      <c r="P180">
        <v>1.26</v>
      </c>
      <c r="Q180">
        <v>1.26</v>
      </c>
      <c r="U180">
        <v>1</v>
      </c>
      <c r="W180">
        <f>IF(COUNTIF(Pays!A:A,X180)=0,"",LOOKUP(X180,Pays!A:A,Pays!E:E))</f>
        <v>0</v>
      </c>
      <c r="X180" s="8" t="s">
        <v>37</v>
      </c>
    </row>
    <row r="181" spans="1:24" x14ac:dyDescent="0.25">
      <c r="A181" t="s">
        <v>1153</v>
      </c>
      <c r="B181" t="s">
        <v>182</v>
      </c>
      <c r="C181" s="1">
        <f t="shared" si="5"/>
        <v>46174</v>
      </c>
      <c r="F181" t="s">
        <v>155</v>
      </c>
      <c r="G181" t="s">
        <v>394</v>
      </c>
      <c r="H181" t="s">
        <v>1336</v>
      </c>
      <c r="I181" t="s">
        <v>18</v>
      </c>
      <c r="J181" t="str">
        <f>IF(COUNTIF(Pays!A:A,X181)=0,"Pays inconnu",_xlfn.XLOOKUP(X181,Pays!A:A,Pays!B:B))</f>
        <v>BE</v>
      </c>
      <c r="K181" t="str">
        <f>IF(COUNTIF(Pays!A:A,X181)=0,"Pays inconnu",_xlfn.XLOOKUP(X181,Pays!A:A,Pays!C:C))</f>
        <v>1_BE</v>
      </c>
      <c r="L181">
        <v>1</v>
      </c>
      <c r="M181">
        <f t="shared" si="4"/>
        <v>0.4</v>
      </c>
      <c r="N181" t="s">
        <v>20</v>
      </c>
      <c r="O181">
        <f>LOOKUP(X181,Pays!A:A,Pays!D:D)</f>
        <v>0.2</v>
      </c>
      <c r="P181">
        <v>0.15</v>
      </c>
      <c r="Q181">
        <v>0.4</v>
      </c>
      <c r="U181">
        <v>1</v>
      </c>
      <c r="W181">
        <f>IF(COUNTIF(Pays!A:A,X181)=0,"",LOOKUP(X181,Pays!A:A,Pays!E:E))</f>
        <v>0</v>
      </c>
      <c r="X181" s="8" t="s">
        <v>28</v>
      </c>
    </row>
    <row r="182" spans="1:24" x14ac:dyDescent="0.25">
      <c r="A182" t="s">
        <v>1154</v>
      </c>
      <c r="B182" t="s">
        <v>182</v>
      </c>
      <c r="C182" s="1">
        <f t="shared" si="5"/>
        <v>46174</v>
      </c>
      <c r="F182" t="s">
        <v>155</v>
      </c>
      <c r="G182" t="s">
        <v>395</v>
      </c>
      <c r="H182" t="s">
        <v>1337</v>
      </c>
      <c r="I182" t="s">
        <v>18</v>
      </c>
      <c r="J182" t="str">
        <f>IF(COUNTIF(Pays!A:A,X182)=0,"Pays inconnu",_xlfn.XLOOKUP(X182,Pays!A:A,Pays!B:B))</f>
        <v>BE</v>
      </c>
      <c r="K182" t="str">
        <f>IF(COUNTIF(Pays!A:A,X182)=0,"Pays inconnu",_xlfn.XLOOKUP(X182,Pays!A:A,Pays!C:C))</f>
        <v>1_BE</v>
      </c>
      <c r="L182">
        <v>1</v>
      </c>
      <c r="M182">
        <f t="shared" si="4"/>
        <v>0.25</v>
      </c>
      <c r="N182" t="s">
        <v>20</v>
      </c>
      <c r="O182">
        <f>LOOKUP(X182,Pays!A:A,Pays!D:D)</f>
        <v>0.2</v>
      </c>
      <c r="P182">
        <v>0.15</v>
      </c>
      <c r="Q182">
        <v>0.25</v>
      </c>
      <c r="U182">
        <v>1</v>
      </c>
      <c r="W182">
        <f>IF(COUNTIF(Pays!A:A,X182)=0,"",LOOKUP(X182,Pays!A:A,Pays!E:E))</f>
        <v>0</v>
      </c>
      <c r="X182" s="8" t="s">
        <v>28</v>
      </c>
    </row>
    <row r="183" spans="1:24" x14ac:dyDescent="0.25">
      <c r="A183" t="s">
        <v>1154</v>
      </c>
      <c r="B183" t="s">
        <v>182</v>
      </c>
      <c r="C183" s="1">
        <f t="shared" si="5"/>
        <v>46174</v>
      </c>
      <c r="F183" t="s">
        <v>155</v>
      </c>
      <c r="G183" t="s">
        <v>396</v>
      </c>
      <c r="H183" t="s">
        <v>1338</v>
      </c>
      <c r="I183" t="s">
        <v>18</v>
      </c>
      <c r="J183" t="str">
        <f>IF(COUNTIF(Pays!A:A,X183)=0,"Pays inconnu",_xlfn.XLOOKUP(X183,Pays!A:A,Pays!B:B))</f>
        <v>CZ</v>
      </c>
      <c r="K183">
        <f>IF(COUNTIF(Pays!A:A,X183)=0,"Pays inconnu",_xlfn.XLOOKUP(X183,Pays!A:A,Pays!C:C))</f>
        <v>1</v>
      </c>
      <c r="L183">
        <v>1</v>
      </c>
      <c r="M183">
        <f t="shared" si="4"/>
        <v>0.7</v>
      </c>
      <c r="N183" t="s">
        <v>20</v>
      </c>
      <c r="O183">
        <f>LOOKUP(X183,Pays!A:A,Pays!D:D)</f>
        <v>0.2</v>
      </c>
      <c r="P183">
        <v>0.15</v>
      </c>
      <c r="Q183">
        <v>0.7</v>
      </c>
      <c r="U183">
        <v>1</v>
      </c>
      <c r="W183">
        <f>IF(COUNTIF(Pays!A:A,X183)=0,"",LOOKUP(X183,Pays!A:A,Pays!E:E))</f>
        <v>0</v>
      </c>
      <c r="X183" s="8" t="s">
        <v>87</v>
      </c>
    </row>
    <row r="184" spans="1:24" x14ac:dyDescent="0.25">
      <c r="A184" t="s">
        <v>1154</v>
      </c>
      <c r="B184" t="s">
        <v>182</v>
      </c>
      <c r="C184" s="1">
        <f t="shared" si="5"/>
        <v>46174</v>
      </c>
      <c r="F184" t="s">
        <v>155</v>
      </c>
      <c r="G184" t="s">
        <v>397</v>
      </c>
      <c r="H184" t="s">
        <v>1339</v>
      </c>
      <c r="I184" t="s">
        <v>18</v>
      </c>
      <c r="J184" t="str">
        <f>IF(COUNTIF(Pays!A:A,X184)=0,"Pays inconnu",_xlfn.XLOOKUP(X184,Pays!A:A,Pays!B:B))</f>
        <v>CH</v>
      </c>
      <c r="K184" t="str">
        <f>IF(COUNTIF(Pays!A:A,X184)=0,"Pays inconnu",_xlfn.XLOOKUP(X184,Pays!A:A,Pays!C:C))</f>
        <v>1_CH</v>
      </c>
      <c r="L184">
        <v>1</v>
      </c>
      <c r="M184">
        <f t="shared" si="4"/>
        <v>0.53</v>
      </c>
      <c r="N184" t="s">
        <v>20</v>
      </c>
      <c r="O184">
        <f>LOOKUP(X184,Pays!A:A,Pays!D:D)</f>
        <v>0</v>
      </c>
      <c r="P184">
        <v>0.15</v>
      </c>
      <c r="Q184">
        <v>0.53</v>
      </c>
      <c r="U184">
        <v>1</v>
      </c>
      <c r="W184">
        <f>IF(COUNTIF(Pays!A:A,X184)=0,"",LOOKUP(X184,Pays!A:A,Pays!E:E))</f>
        <v>0</v>
      </c>
      <c r="X184" s="8" t="s">
        <v>37</v>
      </c>
    </row>
    <row r="185" spans="1:24" x14ac:dyDescent="0.25">
      <c r="A185" t="s">
        <v>1154</v>
      </c>
      <c r="B185" t="s">
        <v>182</v>
      </c>
      <c r="C185" s="1">
        <f t="shared" si="5"/>
        <v>46174</v>
      </c>
      <c r="F185" t="s">
        <v>155</v>
      </c>
      <c r="G185" t="s">
        <v>398</v>
      </c>
      <c r="H185" t="s">
        <v>1340</v>
      </c>
      <c r="I185" t="s">
        <v>18</v>
      </c>
      <c r="J185" t="str">
        <f>IF(COUNTIF(Pays!A:A,X185)=0,"Pays inconnu",_xlfn.XLOOKUP(X185,Pays!A:A,Pays!B:B))</f>
        <v>NL</v>
      </c>
      <c r="K185">
        <f>IF(COUNTIF(Pays!A:A,X185)=0,"Pays inconnu",_xlfn.XLOOKUP(X185,Pays!A:A,Pays!C:C))</f>
        <v>1</v>
      </c>
      <c r="L185">
        <v>1</v>
      </c>
      <c r="M185">
        <f t="shared" si="4"/>
        <v>0.7</v>
      </c>
      <c r="N185" t="s">
        <v>20</v>
      </c>
      <c r="O185">
        <f>LOOKUP(X185,Pays!A:A,Pays!D:D)</f>
        <v>0.2</v>
      </c>
      <c r="P185">
        <v>0.15</v>
      </c>
      <c r="Q185">
        <v>0.7</v>
      </c>
      <c r="U185">
        <v>1</v>
      </c>
      <c r="W185">
        <f>IF(COUNTIF(Pays!A:A,X185)=0,"",LOOKUP(X185,Pays!A:A,Pays!E:E))</f>
        <v>0</v>
      </c>
      <c r="X185" s="8" t="s">
        <v>31</v>
      </c>
    </row>
    <row r="186" spans="1:24" x14ac:dyDescent="0.25">
      <c r="A186" t="s">
        <v>1154</v>
      </c>
      <c r="B186" t="s">
        <v>182</v>
      </c>
      <c r="C186" s="1">
        <f t="shared" si="5"/>
        <v>46174</v>
      </c>
      <c r="F186" t="s">
        <v>155</v>
      </c>
      <c r="G186" t="s">
        <v>399</v>
      </c>
      <c r="H186" t="s">
        <v>1341</v>
      </c>
      <c r="I186" t="s">
        <v>18</v>
      </c>
      <c r="J186" t="str">
        <f>IF(COUNTIF(Pays!A:A,X186)=0,"Pays inconnu",_xlfn.XLOOKUP(X186,Pays!A:A,Pays!B:B))</f>
        <v>NL</v>
      </c>
      <c r="K186">
        <f>IF(COUNTIF(Pays!A:A,X186)=0,"Pays inconnu",_xlfn.XLOOKUP(X186,Pays!A:A,Pays!C:C))</f>
        <v>1</v>
      </c>
      <c r="L186">
        <v>1</v>
      </c>
      <c r="M186">
        <f t="shared" si="4"/>
        <v>0.7</v>
      </c>
      <c r="N186" t="s">
        <v>20</v>
      </c>
      <c r="O186">
        <f>LOOKUP(X186,Pays!A:A,Pays!D:D)</f>
        <v>0.2</v>
      </c>
      <c r="P186">
        <v>0.15</v>
      </c>
      <c r="Q186">
        <v>0.7</v>
      </c>
      <c r="U186">
        <v>1</v>
      </c>
      <c r="W186">
        <f>IF(COUNTIF(Pays!A:A,X186)=0,"",LOOKUP(X186,Pays!A:A,Pays!E:E))</f>
        <v>0</v>
      </c>
      <c r="X186" s="8" t="s">
        <v>31</v>
      </c>
    </row>
    <row r="187" spans="1:24" x14ac:dyDescent="0.25">
      <c r="A187" t="s">
        <v>1154</v>
      </c>
      <c r="B187" t="s">
        <v>182</v>
      </c>
      <c r="C187" s="1">
        <f t="shared" si="5"/>
        <v>46174</v>
      </c>
      <c r="F187" t="s">
        <v>155</v>
      </c>
      <c r="G187" t="s">
        <v>400</v>
      </c>
      <c r="H187" t="s">
        <v>1342</v>
      </c>
      <c r="I187" t="s">
        <v>18</v>
      </c>
      <c r="J187" t="str">
        <f>IF(COUNTIF(Pays!A:A,X187)=0,"Pays inconnu",_xlfn.XLOOKUP(X187,Pays!A:A,Pays!B:B))</f>
        <v>IT</v>
      </c>
      <c r="K187">
        <f>IF(COUNTIF(Pays!A:A,X187)=0,"Pays inconnu",_xlfn.XLOOKUP(X187,Pays!A:A,Pays!C:C))</f>
        <v>1</v>
      </c>
      <c r="L187">
        <v>1</v>
      </c>
      <c r="M187">
        <f t="shared" si="4"/>
        <v>0.7</v>
      </c>
      <c r="N187" t="s">
        <v>20</v>
      </c>
      <c r="O187">
        <f>LOOKUP(X187,Pays!A:A,Pays!D:D)</f>
        <v>0.2</v>
      </c>
      <c r="P187">
        <v>0.15</v>
      </c>
      <c r="Q187">
        <v>0.7</v>
      </c>
      <c r="U187">
        <v>1</v>
      </c>
      <c r="W187">
        <f>IF(COUNTIF(Pays!A:A,X187)=0,"",LOOKUP(X187,Pays!A:A,Pays!E:E))</f>
        <v>0</v>
      </c>
      <c r="X187" s="8" t="s">
        <v>33</v>
      </c>
    </row>
    <row r="188" spans="1:24" x14ac:dyDescent="0.25">
      <c r="A188" t="s">
        <v>1154</v>
      </c>
      <c r="B188" t="s">
        <v>182</v>
      </c>
      <c r="C188" s="1">
        <f t="shared" si="5"/>
        <v>46174</v>
      </c>
      <c r="F188" t="s">
        <v>155</v>
      </c>
      <c r="G188" t="s">
        <v>401</v>
      </c>
      <c r="H188" t="s">
        <v>1338</v>
      </c>
      <c r="I188" t="s">
        <v>18</v>
      </c>
      <c r="J188" t="str">
        <f>IF(COUNTIF(Pays!A:A,X188)=0,"Pays inconnu",_xlfn.XLOOKUP(X188,Pays!A:A,Pays!B:B))</f>
        <v>CZ</v>
      </c>
      <c r="K188">
        <f>IF(COUNTIF(Pays!A:A,X188)=0,"Pays inconnu",_xlfn.XLOOKUP(X188,Pays!A:A,Pays!C:C))</f>
        <v>1</v>
      </c>
      <c r="L188">
        <v>1</v>
      </c>
      <c r="M188">
        <f t="shared" si="4"/>
        <v>0.7</v>
      </c>
      <c r="N188" t="s">
        <v>20</v>
      </c>
      <c r="O188">
        <f>LOOKUP(X188,Pays!A:A,Pays!D:D)</f>
        <v>0.2</v>
      </c>
      <c r="P188">
        <v>0.15</v>
      </c>
      <c r="Q188">
        <v>0.7</v>
      </c>
      <c r="U188">
        <v>1</v>
      </c>
      <c r="W188">
        <f>IF(COUNTIF(Pays!A:A,X188)=0,"",LOOKUP(X188,Pays!A:A,Pays!E:E))</f>
        <v>0</v>
      </c>
      <c r="X188" s="8" t="s">
        <v>87</v>
      </c>
    </row>
    <row r="189" spans="1:24" x14ac:dyDescent="0.25">
      <c r="A189" t="s">
        <v>1154</v>
      </c>
      <c r="B189" t="s">
        <v>182</v>
      </c>
      <c r="C189" s="1">
        <f t="shared" si="5"/>
        <v>46174</v>
      </c>
      <c r="F189" t="s">
        <v>155</v>
      </c>
      <c r="G189" t="s">
        <v>402</v>
      </c>
      <c r="H189" t="s">
        <v>1342</v>
      </c>
      <c r="I189" t="s">
        <v>18</v>
      </c>
      <c r="J189" t="str">
        <f>IF(COUNTIF(Pays!A:A,X189)=0,"Pays inconnu",_xlfn.XLOOKUP(X189,Pays!A:A,Pays!B:B))</f>
        <v>IT</v>
      </c>
      <c r="K189">
        <f>IF(COUNTIF(Pays!A:A,X189)=0,"Pays inconnu",_xlfn.XLOOKUP(X189,Pays!A:A,Pays!C:C))</f>
        <v>1</v>
      </c>
      <c r="L189">
        <v>1</v>
      </c>
      <c r="M189">
        <f t="shared" si="4"/>
        <v>0.7</v>
      </c>
      <c r="N189" t="s">
        <v>20</v>
      </c>
      <c r="O189">
        <f>LOOKUP(X189,Pays!A:A,Pays!D:D)</f>
        <v>0.2</v>
      </c>
      <c r="P189">
        <v>0.15</v>
      </c>
      <c r="Q189">
        <v>0.7</v>
      </c>
      <c r="U189">
        <v>1</v>
      </c>
      <c r="W189">
        <f>IF(COUNTIF(Pays!A:A,X189)=0,"",LOOKUP(X189,Pays!A:A,Pays!E:E))</f>
        <v>0</v>
      </c>
      <c r="X189" s="8" t="s">
        <v>33</v>
      </c>
    </row>
    <row r="190" spans="1:24" x14ac:dyDescent="0.25">
      <c r="A190" t="s">
        <v>1154</v>
      </c>
      <c r="B190" t="s">
        <v>182</v>
      </c>
      <c r="C190" s="1">
        <f t="shared" si="5"/>
        <v>46174</v>
      </c>
      <c r="F190" t="s">
        <v>155</v>
      </c>
      <c r="G190" t="s">
        <v>403</v>
      </c>
      <c r="H190" t="s">
        <v>1343</v>
      </c>
      <c r="I190" t="s">
        <v>18</v>
      </c>
      <c r="J190" t="str">
        <f>IF(COUNTIF(Pays!A:A,X190)=0,"Pays inconnu",_xlfn.XLOOKUP(X190,Pays!A:A,Pays!B:B))</f>
        <v>IT</v>
      </c>
      <c r="K190">
        <f>IF(COUNTIF(Pays!A:A,X190)=0,"Pays inconnu",_xlfn.XLOOKUP(X190,Pays!A:A,Pays!C:C))</f>
        <v>1</v>
      </c>
      <c r="L190">
        <v>1</v>
      </c>
      <c r="M190">
        <f t="shared" si="4"/>
        <v>0.7</v>
      </c>
      <c r="N190" t="s">
        <v>20</v>
      </c>
      <c r="O190">
        <f>LOOKUP(X190,Pays!A:A,Pays!D:D)</f>
        <v>0.2</v>
      </c>
      <c r="P190">
        <v>0.15</v>
      </c>
      <c r="Q190">
        <v>0.7</v>
      </c>
      <c r="U190">
        <v>1</v>
      </c>
      <c r="W190">
        <f>IF(COUNTIF(Pays!A:A,X190)=0,"",LOOKUP(X190,Pays!A:A,Pays!E:E))</f>
        <v>0</v>
      </c>
      <c r="X190" s="8" t="s">
        <v>33</v>
      </c>
    </row>
    <row r="191" spans="1:24" x14ac:dyDescent="0.25">
      <c r="A191" t="s">
        <v>1154</v>
      </c>
      <c r="B191" t="s">
        <v>182</v>
      </c>
      <c r="C191" s="1">
        <f t="shared" si="5"/>
        <v>46174</v>
      </c>
      <c r="F191" t="s">
        <v>155</v>
      </c>
      <c r="G191" t="s">
        <v>404</v>
      </c>
      <c r="H191" t="s">
        <v>1344</v>
      </c>
      <c r="I191" t="s">
        <v>18</v>
      </c>
      <c r="J191" t="str">
        <f>IF(COUNTIF(Pays!A:A,X191)=0,"Pays inconnu",_xlfn.XLOOKUP(X191,Pays!A:A,Pays!B:B))</f>
        <v>GB</v>
      </c>
      <c r="K191" t="str">
        <f>IF(COUNTIF(Pays!A:A,X191)=0,"Pays inconnu",_xlfn.XLOOKUP(X191,Pays!A:A,Pays!C:C))</f>
        <v>1_GB</v>
      </c>
      <c r="L191">
        <v>1</v>
      </c>
      <c r="M191">
        <f t="shared" si="4"/>
        <v>0.15</v>
      </c>
      <c r="N191" t="s">
        <v>20</v>
      </c>
      <c r="O191">
        <f>LOOKUP(X191,Pays!A:A,Pays!D:D)</f>
        <v>0</v>
      </c>
      <c r="P191">
        <v>0.15</v>
      </c>
      <c r="Q191">
        <v>0.12</v>
      </c>
      <c r="U191">
        <v>1</v>
      </c>
      <c r="W191">
        <f>IF(COUNTIF(Pays!A:A,X191)=0,"",LOOKUP(X191,Pays!A:A,Pays!E:E))</f>
        <v>0</v>
      </c>
      <c r="X191" s="8" t="s">
        <v>30</v>
      </c>
    </row>
    <row r="192" spans="1:24" x14ac:dyDescent="0.25">
      <c r="A192" t="s">
        <v>1154</v>
      </c>
      <c r="B192" t="s">
        <v>182</v>
      </c>
      <c r="C192" s="1">
        <f t="shared" si="5"/>
        <v>46174</v>
      </c>
      <c r="F192" t="s">
        <v>155</v>
      </c>
      <c r="G192" t="s">
        <v>405</v>
      </c>
      <c r="H192" t="s">
        <v>1345</v>
      </c>
      <c r="I192" t="s">
        <v>18</v>
      </c>
      <c r="J192" t="str">
        <f>IF(COUNTIF(Pays!A:A,X192)=0,"Pays inconnu",_xlfn.XLOOKUP(X192,Pays!A:A,Pays!B:B))</f>
        <v>GB</v>
      </c>
      <c r="K192" t="str">
        <f>IF(COUNTIF(Pays!A:A,X192)=0,"Pays inconnu",_xlfn.XLOOKUP(X192,Pays!A:A,Pays!C:C))</f>
        <v>1_GB</v>
      </c>
      <c r="L192">
        <v>1</v>
      </c>
      <c r="M192">
        <f t="shared" si="4"/>
        <v>0.7</v>
      </c>
      <c r="N192" t="s">
        <v>20</v>
      </c>
      <c r="O192">
        <f>LOOKUP(X192,Pays!A:A,Pays!D:D)</f>
        <v>0</v>
      </c>
      <c r="P192">
        <v>0.7</v>
      </c>
      <c r="Q192">
        <v>0.7</v>
      </c>
      <c r="U192">
        <v>1</v>
      </c>
      <c r="W192">
        <f>IF(COUNTIF(Pays!A:A,X192)=0,"",LOOKUP(X192,Pays!A:A,Pays!E:E))</f>
        <v>0</v>
      </c>
      <c r="X192" s="8" t="s">
        <v>30</v>
      </c>
    </row>
    <row r="193" spans="1:24" x14ac:dyDescent="0.25">
      <c r="A193" t="s">
        <v>1154</v>
      </c>
      <c r="B193" t="s">
        <v>182</v>
      </c>
      <c r="C193" s="1">
        <f t="shared" si="5"/>
        <v>46174</v>
      </c>
      <c r="F193" t="s">
        <v>155</v>
      </c>
      <c r="G193" t="s">
        <v>406</v>
      </c>
      <c r="H193" t="s">
        <v>1346</v>
      </c>
      <c r="I193" t="s">
        <v>18</v>
      </c>
      <c r="J193" t="str">
        <f>IF(COUNTIF(Pays!A:A,X193)=0,"Pays inconnu",_xlfn.XLOOKUP(X193,Pays!A:A,Pays!B:B))</f>
        <v>CH</v>
      </c>
      <c r="K193" t="str">
        <f>IF(COUNTIF(Pays!A:A,X193)=0,"Pays inconnu",_xlfn.XLOOKUP(X193,Pays!A:A,Pays!C:C))</f>
        <v>1_CH</v>
      </c>
      <c r="L193">
        <v>1</v>
      </c>
      <c r="M193">
        <f t="shared" si="4"/>
        <v>1.4</v>
      </c>
      <c r="N193" t="s">
        <v>20</v>
      </c>
      <c r="O193">
        <f>LOOKUP(X193,Pays!A:A,Pays!D:D)</f>
        <v>0</v>
      </c>
      <c r="P193">
        <v>1.4</v>
      </c>
      <c r="Q193">
        <v>1.4</v>
      </c>
      <c r="U193">
        <v>1</v>
      </c>
      <c r="W193">
        <f>IF(COUNTIF(Pays!A:A,X193)=0,"",LOOKUP(X193,Pays!A:A,Pays!E:E))</f>
        <v>0</v>
      </c>
      <c r="X193" s="8" t="s">
        <v>37</v>
      </c>
    </row>
    <row r="194" spans="1:24" x14ac:dyDescent="0.25">
      <c r="A194" t="s">
        <v>1154</v>
      </c>
      <c r="B194" t="s">
        <v>182</v>
      </c>
      <c r="C194" s="1">
        <f t="shared" si="5"/>
        <v>46174</v>
      </c>
      <c r="F194" t="s">
        <v>155</v>
      </c>
      <c r="G194" t="s">
        <v>407</v>
      </c>
      <c r="H194" t="s">
        <v>1347</v>
      </c>
      <c r="I194" t="s">
        <v>18</v>
      </c>
      <c r="J194" t="str">
        <f>IF(COUNTIF(Pays!A:A,X194)=0,"Pays inconnu",_xlfn.XLOOKUP(X194,Pays!A:A,Pays!B:B))</f>
        <v>CH</v>
      </c>
      <c r="K194" t="str">
        <f>IF(COUNTIF(Pays!A:A,X194)=0,"Pays inconnu",_xlfn.XLOOKUP(X194,Pays!A:A,Pays!C:C))</f>
        <v>1_CH</v>
      </c>
      <c r="L194">
        <v>1</v>
      </c>
      <c r="M194">
        <f t="shared" si="4"/>
        <v>0.71</v>
      </c>
      <c r="N194" t="s">
        <v>20</v>
      </c>
      <c r="O194">
        <f>LOOKUP(X194,Pays!A:A,Pays!D:D)</f>
        <v>0</v>
      </c>
      <c r="P194">
        <v>0.15</v>
      </c>
      <c r="Q194">
        <v>0.71</v>
      </c>
      <c r="U194">
        <v>1</v>
      </c>
      <c r="W194">
        <f>IF(COUNTIF(Pays!A:A,X194)=0,"",LOOKUP(X194,Pays!A:A,Pays!E:E))</f>
        <v>0</v>
      </c>
      <c r="X194" s="8" t="s">
        <v>37</v>
      </c>
    </row>
    <row r="195" spans="1:24" x14ac:dyDescent="0.25">
      <c r="A195" t="s">
        <v>1154</v>
      </c>
      <c r="B195" t="s">
        <v>182</v>
      </c>
      <c r="C195" s="1">
        <f t="shared" si="5"/>
        <v>46174</v>
      </c>
      <c r="F195" t="s">
        <v>155</v>
      </c>
      <c r="G195" t="s">
        <v>408</v>
      </c>
      <c r="H195" t="s">
        <v>1348</v>
      </c>
      <c r="I195" t="s">
        <v>18</v>
      </c>
      <c r="J195" t="str">
        <f>IF(COUNTIF(Pays!A:A,X195)=0,"Pays inconnu",_xlfn.XLOOKUP(X195,Pays!A:A,Pays!B:B))</f>
        <v>GB</v>
      </c>
      <c r="K195" t="str">
        <f>IF(COUNTIF(Pays!A:A,X195)=0,"Pays inconnu",_xlfn.XLOOKUP(X195,Pays!A:A,Pays!C:C))</f>
        <v>1_GB</v>
      </c>
      <c r="L195">
        <v>1</v>
      </c>
      <c r="M195">
        <f t="shared" ref="M195:M258" si="6">ROUND(MAX(P195:Q195),2)</f>
        <v>0.15</v>
      </c>
      <c r="N195" t="s">
        <v>20</v>
      </c>
      <c r="O195">
        <f>LOOKUP(X195,Pays!A:A,Pays!D:D)</f>
        <v>0</v>
      </c>
      <c r="P195">
        <v>0.15</v>
      </c>
      <c r="Q195">
        <v>0.14000000000000001</v>
      </c>
      <c r="U195">
        <v>1</v>
      </c>
      <c r="W195">
        <f>IF(COUNTIF(Pays!A:A,X195)=0,"",LOOKUP(X195,Pays!A:A,Pays!E:E))</f>
        <v>0</v>
      </c>
      <c r="X195" s="8" t="s">
        <v>30</v>
      </c>
    </row>
    <row r="196" spans="1:24" x14ac:dyDescent="0.25">
      <c r="A196" t="s">
        <v>1154</v>
      </c>
      <c r="B196" t="s">
        <v>182</v>
      </c>
      <c r="C196" s="1">
        <f t="shared" ref="C196:C259" si="7">C195</f>
        <v>46174</v>
      </c>
      <c r="F196" t="s">
        <v>155</v>
      </c>
      <c r="G196" t="s">
        <v>409</v>
      </c>
      <c r="H196" t="s">
        <v>1349</v>
      </c>
      <c r="I196" t="s">
        <v>18</v>
      </c>
      <c r="J196" t="str">
        <f>IF(COUNTIF(Pays!A:A,X196)=0,"Pays inconnu",_xlfn.XLOOKUP(X196,Pays!A:A,Pays!B:B))</f>
        <v>HR</v>
      </c>
      <c r="K196">
        <f>IF(COUNTIF(Pays!A:A,X196)=0,"Pays inconnu",_xlfn.XLOOKUP(X196,Pays!A:A,Pays!C:C))</f>
        <v>1</v>
      </c>
      <c r="L196">
        <v>1</v>
      </c>
      <c r="M196">
        <f t="shared" si="6"/>
        <v>0.2</v>
      </c>
      <c r="N196" t="s">
        <v>20</v>
      </c>
      <c r="O196">
        <f>LOOKUP(X196,Pays!A:A,Pays!D:D)</f>
        <v>0.2</v>
      </c>
      <c r="P196">
        <v>0.15</v>
      </c>
      <c r="Q196">
        <v>0.2</v>
      </c>
      <c r="U196">
        <v>1</v>
      </c>
      <c r="W196">
        <f>IF(COUNTIF(Pays!A:A,X196)=0,"",LOOKUP(X196,Pays!A:A,Pays!E:E))</f>
        <v>0</v>
      </c>
      <c r="X196" s="8" t="s">
        <v>72</v>
      </c>
    </row>
    <row r="197" spans="1:24" x14ac:dyDescent="0.25">
      <c r="A197" t="s">
        <v>1154</v>
      </c>
      <c r="B197" t="s">
        <v>182</v>
      </c>
      <c r="C197" s="1">
        <f t="shared" si="7"/>
        <v>46174</v>
      </c>
      <c r="F197" t="s">
        <v>155</v>
      </c>
      <c r="G197" t="s">
        <v>410</v>
      </c>
      <c r="H197" t="s">
        <v>1350</v>
      </c>
      <c r="I197" t="s">
        <v>18</v>
      </c>
      <c r="J197" t="str">
        <f>IF(COUNTIF(Pays!A:A,X197)=0,"Pays inconnu",_xlfn.XLOOKUP(X197,Pays!A:A,Pays!B:B))</f>
        <v>GB</v>
      </c>
      <c r="K197" t="str">
        <f>IF(COUNTIF(Pays!A:A,X197)=0,"Pays inconnu",_xlfn.XLOOKUP(X197,Pays!A:A,Pays!C:C))</f>
        <v>1_GB</v>
      </c>
      <c r="L197">
        <v>1</v>
      </c>
      <c r="M197">
        <f t="shared" si="6"/>
        <v>0.15</v>
      </c>
      <c r="N197" t="s">
        <v>20</v>
      </c>
      <c r="O197">
        <f>LOOKUP(X197,Pays!A:A,Pays!D:D)</f>
        <v>0</v>
      </c>
      <c r="P197">
        <v>0.15</v>
      </c>
      <c r="Q197">
        <v>0.13</v>
      </c>
      <c r="U197">
        <v>1</v>
      </c>
      <c r="W197">
        <f>IF(COUNTIF(Pays!A:A,X197)=0,"",LOOKUP(X197,Pays!A:A,Pays!E:E))</f>
        <v>0</v>
      </c>
      <c r="X197" s="8" t="s">
        <v>30</v>
      </c>
    </row>
    <row r="198" spans="1:24" x14ac:dyDescent="0.25">
      <c r="A198" t="s">
        <v>1154</v>
      </c>
      <c r="B198" t="s">
        <v>182</v>
      </c>
      <c r="C198" s="1">
        <f t="shared" si="7"/>
        <v>46174</v>
      </c>
      <c r="F198" t="s">
        <v>155</v>
      </c>
      <c r="G198" t="s">
        <v>411</v>
      </c>
      <c r="H198" t="s">
        <v>1351</v>
      </c>
      <c r="I198" t="s">
        <v>18</v>
      </c>
      <c r="J198" t="str">
        <f>IF(COUNTIF(Pays!A:A,X198)=0,"Pays inconnu",_xlfn.XLOOKUP(X198,Pays!A:A,Pays!B:B))</f>
        <v>BE</v>
      </c>
      <c r="K198" t="str">
        <f>IF(COUNTIF(Pays!A:A,X198)=0,"Pays inconnu",_xlfn.XLOOKUP(X198,Pays!A:A,Pays!C:C))</f>
        <v>1_BE</v>
      </c>
      <c r="L198">
        <v>1</v>
      </c>
      <c r="M198">
        <f t="shared" si="6"/>
        <v>0.39</v>
      </c>
      <c r="N198" t="s">
        <v>20</v>
      </c>
      <c r="O198">
        <f>LOOKUP(X198,Pays!A:A,Pays!D:D)</f>
        <v>0.2</v>
      </c>
      <c r="P198">
        <v>0.15</v>
      </c>
      <c r="Q198">
        <v>0.39</v>
      </c>
      <c r="U198">
        <v>1</v>
      </c>
      <c r="W198">
        <f>IF(COUNTIF(Pays!A:A,X198)=0,"",LOOKUP(X198,Pays!A:A,Pays!E:E))</f>
        <v>0</v>
      </c>
      <c r="X198" s="8" t="s">
        <v>28</v>
      </c>
    </row>
    <row r="199" spans="1:24" x14ac:dyDescent="0.25">
      <c r="A199" t="s">
        <v>1154</v>
      </c>
      <c r="B199" t="s">
        <v>182</v>
      </c>
      <c r="C199" s="1">
        <f t="shared" si="7"/>
        <v>46174</v>
      </c>
      <c r="F199" t="s">
        <v>155</v>
      </c>
      <c r="G199" t="s">
        <v>412</v>
      </c>
      <c r="H199" t="s">
        <v>1352</v>
      </c>
      <c r="I199" t="s">
        <v>18</v>
      </c>
      <c r="J199" t="str">
        <f>IF(COUNTIF(Pays!A:A,X199)=0,"Pays inconnu",_xlfn.XLOOKUP(X199,Pays!A:A,Pays!B:B))</f>
        <v>BE</v>
      </c>
      <c r="K199" t="str">
        <f>IF(COUNTIF(Pays!A:A,X199)=0,"Pays inconnu",_xlfn.XLOOKUP(X199,Pays!A:A,Pays!C:C))</f>
        <v>1_BE</v>
      </c>
      <c r="L199">
        <v>1</v>
      </c>
      <c r="M199">
        <f t="shared" si="6"/>
        <v>0.86</v>
      </c>
      <c r="N199" t="s">
        <v>20</v>
      </c>
      <c r="O199">
        <f>LOOKUP(X199,Pays!A:A,Pays!D:D)</f>
        <v>0.2</v>
      </c>
      <c r="P199">
        <v>0.15</v>
      </c>
      <c r="Q199">
        <v>0.86</v>
      </c>
      <c r="U199">
        <v>1</v>
      </c>
      <c r="W199">
        <f>IF(COUNTIF(Pays!A:A,X199)=0,"",LOOKUP(X199,Pays!A:A,Pays!E:E))</f>
        <v>0</v>
      </c>
      <c r="X199" s="8" t="s">
        <v>28</v>
      </c>
    </row>
    <row r="200" spans="1:24" x14ac:dyDescent="0.25">
      <c r="A200" t="s">
        <v>1154</v>
      </c>
      <c r="B200" t="s">
        <v>182</v>
      </c>
      <c r="C200" s="1">
        <f t="shared" si="7"/>
        <v>46174</v>
      </c>
      <c r="F200" t="s">
        <v>155</v>
      </c>
      <c r="G200" t="s">
        <v>413</v>
      </c>
      <c r="H200" t="s">
        <v>1353</v>
      </c>
      <c r="I200" t="s">
        <v>18</v>
      </c>
      <c r="J200" t="str">
        <f>IF(COUNTIF(Pays!A:A,X200)=0,"Pays inconnu",_xlfn.XLOOKUP(X200,Pays!A:A,Pays!B:B))</f>
        <v>SE</v>
      </c>
      <c r="K200">
        <f>IF(COUNTIF(Pays!A:A,X200)=0,"Pays inconnu",_xlfn.XLOOKUP(X200,Pays!A:A,Pays!C:C))</f>
        <v>1</v>
      </c>
      <c r="L200">
        <v>1</v>
      </c>
      <c r="M200">
        <f t="shared" si="6"/>
        <v>0.84</v>
      </c>
      <c r="N200" t="s">
        <v>20</v>
      </c>
      <c r="O200">
        <f>LOOKUP(X200,Pays!A:A,Pays!D:D)</f>
        <v>0.2</v>
      </c>
      <c r="P200">
        <v>0.15</v>
      </c>
      <c r="Q200">
        <v>0.84</v>
      </c>
      <c r="U200">
        <v>1</v>
      </c>
      <c r="W200">
        <f>IF(COUNTIF(Pays!A:A,X200)=0,"",LOOKUP(X200,Pays!A:A,Pays!E:E))</f>
        <v>0</v>
      </c>
      <c r="X200" s="8" t="s">
        <v>78</v>
      </c>
    </row>
    <row r="201" spans="1:24" x14ac:dyDescent="0.25">
      <c r="A201" t="s">
        <v>1154</v>
      </c>
      <c r="B201" t="s">
        <v>182</v>
      </c>
      <c r="C201" s="1">
        <f t="shared" si="7"/>
        <v>46174</v>
      </c>
      <c r="F201" t="s">
        <v>155</v>
      </c>
      <c r="G201" t="s">
        <v>414</v>
      </c>
      <c r="H201" t="s">
        <v>1354</v>
      </c>
      <c r="I201" t="s">
        <v>18</v>
      </c>
      <c r="J201" t="str">
        <f>IF(COUNTIF(Pays!A:A,X201)=0,"Pays inconnu",_xlfn.XLOOKUP(X201,Pays!A:A,Pays!B:B))</f>
        <v>IT</v>
      </c>
      <c r="K201">
        <f>IF(COUNTIF(Pays!A:A,X201)=0,"Pays inconnu",_xlfn.XLOOKUP(X201,Pays!A:A,Pays!C:C))</f>
        <v>1</v>
      </c>
      <c r="L201">
        <v>1</v>
      </c>
      <c r="M201">
        <f t="shared" si="6"/>
        <v>0.98</v>
      </c>
      <c r="N201" t="s">
        <v>20</v>
      </c>
      <c r="O201">
        <f>LOOKUP(X201,Pays!A:A,Pays!D:D)</f>
        <v>0.2</v>
      </c>
      <c r="P201">
        <v>0.15</v>
      </c>
      <c r="Q201">
        <v>0.98</v>
      </c>
      <c r="U201">
        <v>1</v>
      </c>
      <c r="W201">
        <f>IF(COUNTIF(Pays!A:A,X201)=0,"",LOOKUP(X201,Pays!A:A,Pays!E:E))</f>
        <v>0</v>
      </c>
      <c r="X201" s="8" t="s">
        <v>33</v>
      </c>
    </row>
    <row r="202" spans="1:24" x14ac:dyDescent="0.25">
      <c r="A202" t="s">
        <v>1154</v>
      </c>
      <c r="B202" t="s">
        <v>182</v>
      </c>
      <c r="C202" s="1">
        <f t="shared" si="7"/>
        <v>46174</v>
      </c>
      <c r="F202" t="s">
        <v>155</v>
      </c>
      <c r="G202" t="s">
        <v>415</v>
      </c>
      <c r="H202" t="s">
        <v>1355</v>
      </c>
      <c r="I202" t="s">
        <v>18</v>
      </c>
      <c r="J202" t="str">
        <f>IF(COUNTIF(Pays!A:A,X202)=0,"Pays inconnu",_xlfn.XLOOKUP(X202,Pays!A:A,Pays!B:B))</f>
        <v>IT</v>
      </c>
      <c r="K202">
        <f>IF(COUNTIF(Pays!A:A,X202)=0,"Pays inconnu",_xlfn.XLOOKUP(X202,Pays!A:A,Pays!C:C))</f>
        <v>1</v>
      </c>
      <c r="L202">
        <v>1</v>
      </c>
      <c r="M202">
        <f t="shared" si="6"/>
        <v>0.42</v>
      </c>
      <c r="N202" t="s">
        <v>20</v>
      </c>
      <c r="O202">
        <f>LOOKUP(X202,Pays!A:A,Pays!D:D)</f>
        <v>0.2</v>
      </c>
      <c r="P202">
        <v>0.15</v>
      </c>
      <c r="Q202">
        <v>0.42</v>
      </c>
      <c r="U202">
        <v>1</v>
      </c>
      <c r="W202">
        <f>IF(COUNTIF(Pays!A:A,X202)=0,"",LOOKUP(X202,Pays!A:A,Pays!E:E))</f>
        <v>0</v>
      </c>
      <c r="X202" s="8" t="s">
        <v>33</v>
      </c>
    </row>
    <row r="203" spans="1:24" x14ac:dyDescent="0.25">
      <c r="A203" t="s">
        <v>1154</v>
      </c>
      <c r="B203" t="s">
        <v>182</v>
      </c>
      <c r="C203" s="1">
        <f t="shared" si="7"/>
        <v>46174</v>
      </c>
      <c r="F203" t="s">
        <v>155</v>
      </c>
      <c r="G203" t="s">
        <v>416</v>
      </c>
      <c r="H203" t="s">
        <v>1356</v>
      </c>
      <c r="I203" t="s">
        <v>18</v>
      </c>
      <c r="J203" t="str">
        <f>IF(COUNTIF(Pays!A:A,X203)=0,"Pays inconnu",_xlfn.XLOOKUP(X203,Pays!A:A,Pays!B:B))</f>
        <v>NL</v>
      </c>
      <c r="K203">
        <f>IF(COUNTIF(Pays!A:A,X203)=0,"Pays inconnu",_xlfn.XLOOKUP(X203,Pays!A:A,Pays!C:C))</f>
        <v>1</v>
      </c>
      <c r="L203">
        <v>1</v>
      </c>
      <c r="M203">
        <f t="shared" si="6"/>
        <v>0.63</v>
      </c>
      <c r="N203" t="s">
        <v>20</v>
      </c>
      <c r="O203">
        <f>LOOKUP(X203,Pays!A:A,Pays!D:D)</f>
        <v>0.2</v>
      </c>
      <c r="P203">
        <v>0.15</v>
      </c>
      <c r="Q203">
        <v>0.63</v>
      </c>
      <c r="U203">
        <v>1</v>
      </c>
      <c r="W203">
        <f>IF(COUNTIF(Pays!A:A,X203)=0,"",LOOKUP(X203,Pays!A:A,Pays!E:E))</f>
        <v>0</v>
      </c>
      <c r="X203" s="8" t="s">
        <v>31</v>
      </c>
    </row>
    <row r="204" spans="1:24" x14ac:dyDescent="0.25">
      <c r="A204" t="s">
        <v>1154</v>
      </c>
      <c r="B204" t="s">
        <v>182</v>
      </c>
      <c r="C204" s="1">
        <f t="shared" si="7"/>
        <v>46174</v>
      </c>
      <c r="F204" t="s">
        <v>155</v>
      </c>
      <c r="G204" t="s">
        <v>417</v>
      </c>
      <c r="H204" t="s">
        <v>1357</v>
      </c>
      <c r="I204" t="s">
        <v>18</v>
      </c>
      <c r="J204" t="str">
        <f>IF(COUNTIF(Pays!A:A,X204)=0,"Pays inconnu",_xlfn.XLOOKUP(X204,Pays!A:A,Pays!B:B))</f>
        <v>CH</v>
      </c>
      <c r="K204" t="str">
        <f>IF(COUNTIF(Pays!A:A,X204)=0,"Pays inconnu",_xlfn.XLOOKUP(X204,Pays!A:A,Pays!C:C))</f>
        <v>1_CH</v>
      </c>
      <c r="L204">
        <v>1</v>
      </c>
      <c r="M204">
        <f t="shared" si="6"/>
        <v>0.69</v>
      </c>
      <c r="N204" t="s">
        <v>20</v>
      </c>
      <c r="O204">
        <f>LOOKUP(X204,Pays!A:A,Pays!D:D)</f>
        <v>0</v>
      </c>
      <c r="P204">
        <v>0.15</v>
      </c>
      <c r="Q204">
        <v>0.69</v>
      </c>
      <c r="U204">
        <v>1</v>
      </c>
      <c r="W204">
        <f>IF(COUNTIF(Pays!A:A,X204)=0,"",LOOKUP(X204,Pays!A:A,Pays!E:E))</f>
        <v>0</v>
      </c>
      <c r="X204" s="8" t="s">
        <v>37</v>
      </c>
    </row>
    <row r="205" spans="1:24" x14ac:dyDescent="0.25">
      <c r="A205" t="s">
        <v>1154</v>
      </c>
      <c r="B205" t="s">
        <v>182</v>
      </c>
      <c r="C205" s="1">
        <f t="shared" si="7"/>
        <v>46174</v>
      </c>
      <c r="F205" t="s">
        <v>110</v>
      </c>
      <c r="G205" t="s">
        <v>418</v>
      </c>
      <c r="H205" t="s">
        <v>1358</v>
      </c>
      <c r="I205" t="s">
        <v>18</v>
      </c>
      <c r="J205" t="str">
        <f>IF(COUNTIF(Pays!A:A,X205)=0,"Pays inconnu",_xlfn.XLOOKUP(X205,Pays!A:A,Pays!B:B))</f>
        <v>GB</v>
      </c>
      <c r="K205" t="str">
        <f>IF(COUNTIF(Pays!A:A,X205)=0,"Pays inconnu",_xlfn.XLOOKUP(X205,Pays!A:A,Pays!C:C))</f>
        <v>1_GB</v>
      </c>
      <c r="L205">
        <v>1</v>
      </c>
      <c r="M205">
        <f t="shared" si="6"/>
        <v>0.3</v>
      </c>
      <c r="N205" t="s">
        <v>20</v>
      </c>
      <c r="O205">
        <f>LOOKUP(X205,Pays!A:A,Pays!D:D)</f>
        <v>0</v>
      </c>
      <c r="P205">
        <v>0.15</v>
      </c>
      <c r="Q205">
        <v>0.3</v>
      </c>
      <c r="U205">
        <v>1</v>
      </c>
      <c r="W205">
        <f>IF(COUNTIF(Pays!A:A,X205)=0,"",LOOKUP(X205,Pays!A:A,Pays!E:E))</f>
        <v>0</v>
      </c>
      <c r="X205" s="8" t="s">
        <v>30</v>
      </c>
    </row>
    <row r="206" spans="1:24" x14ac:dyDescent="0.25">
      <c r="A206" t="s">
        <v>1154</v>
      </c>
      <c r="B206" t="s">
        <v>182</v>
      </c>
      <c r="C206" s="1">
        <f t="shared" si="7"/>
        <v>46174</v>
      </c>
      <c r="F206" t="s">
        <v>155</v>
      </c>
      <c r="G206" t="s">
        <v>419</v>
      </c>
      <c r="H206" t="s">
        <v>201</v>
      </c>
      <c r="I206" t="s">
        <v>18</v>
      </c>
      <c r="J206" t="str">
        <f>IF(COUNTIF(Pays!A:A,X206)=0,"Pays inconnu",_xlfn.XLOOKUP(X206,Pays!A:A,Pays!B:B))</f>
        <v>CH</v>
      </c>
      <c r="K206" t="str">
        <f>IF(COUNTIF(Pays!A:A,X206)=0,"Pays inconnu",_xlfn.XLOOKUP(X206,Pays!A:A,Pays!C:C))</f>
        <v>1_CH</v>
      </c>
      <c r="L206">
        <v>1</v>
      </c>
      <c r="M206">
        <f t="shared" si="6"/>
        <v>0.28000000000000003</v>
      </c>
      <c r="N206" t="s">
        <v>20</v>
      </c>
      <c r="O206">
        <f>LOOKUP(X206,Pays!A:A,Pays!D:D)</f>
        <v>0</v>
      </c>
      <c r="P206">
        <v>0.15</v>
      </c>
      <c r="Q206">
        <v>0.28000000000000003</v>
      </c>
      <c r="U206">
        <v>1</v>
      </c>
      <c r="W206">
        <f>IF(COUNTIF(Pays!A:A,X206)=0,"",LOOKUP(X206,Pays!A:A,Pays!E:E))</f>
        <v>0</v>
      </c>
      <c r="X206" s="8" t="s">
        <v>37</v>
      </c>
    </row>
    <row r="207" spans="1:24" x14ac:dyDescent="0.25">
      <c r="A207" t="s">
        <v>1154</v>
      </c>
      <c r="B207" t="s">
        <v>182</v>
      </c>
      <c r="C207" s="1">
        <f t="shared" si="7"/>
        <v>46174</v>
      </c>
      <c r="F207" t="s">
        <v>155</v>
      </c>
      <c r="G207" t="s">
        <v>420</v>
      </c>
      <c r="H207" t="s">
        <v>1359</v>
      </c>
      <c r="I207" t="s">
        <v>18</v>
      </c>
      <c r="J207" t="str">
        <f>IF(COUNTIF(Pays!A:A,X207)=0,"Pays inconnu",_xlfn.XLOOKUP(X207,Pays!A:A,Pays!B:B))</f>
        <v>BE</v>
      </c>
      <c r="K207" t="str">
        <f>IF(COUNTIF(Pays!A:A,X207)=0,"Pays inconnu",_xlfn.XLOOKUP(X207,Pays!A:A,Pays!C:C))</f>
        <v>1_BE</v>
      </c>
      <c r="L207">
        <v>1</v>
      </c>
      <c r="M207">
        <f t="shared" si="6"/>
        <v>0.47</v>
      </c>
      <c r="N207" t="s">
        <v>20</v>
      </c>
      <c r="O207">
        <f>LOOKUP(X207,Pays!A:A,Pays!D:D)</f>
        <v>0.2</v>
      </c>
      <c r="P207">
        <v>0.15</v>
      </c>
      <c r="Q207">
        <v>0.47</v>
      </c>
      <c r="U207">
        <v>1</v>
      </c>
      <c r="W207">
        <f>IF(COUNTIF(Pays!A:A,X207)=0,"",LOOKUP(X207,Pays!A:A,Pays!E:E))</f>
        <v>0</v>
      </c>
      <c r="X207" s="8" t="s">
        <v>28</v>
      </c>
    </row>
    <row r="208" spans="1:24" x14ac:dyDescent="0.25">
      <c r="A208" t="s">
        <v>1154</v>
      </c>
      <c r="B208" t="s">
        <v>182</v>
      </c>
      <c r="C208" s="1">
        <f t="shared" si="7"/>
        <v>46174</v>
      </c>
      <c r="F208" t="s">
        <v>155</v>
      </c>
      <c r="G208" t="s">
        <v>421</v>
      </c>
      <c r="H208" t="s">
        <v>1360</v>
      </c>
      <c r="I208" t="s">
        <v>18</v>
      </c>
      <c r="J208" t="str">
        <f>IF(COUNTIF(Pays!A:A,X208)=0,"Pays inconnu",_xlfn.XLOOKUP(X208,Pays!A:A,Pays!B:B))</f>
        <v>CH</v>
      </c>
      <c r="K208" t="str">
        <f>IF(COUNTIF(Pays!A:A,X208)=0,"Pays inconnu",_xlfn.XLOOKUP(X208,Pays!A:A,Pays!C:C))</f>
        <v>1_CH</v>
      </c>
      <c r="L208">
        <v>1</v>
      </c>
      <c r="M208">
        <f t="shared" si="6"/>
        <v>1.22</v>
      </c>
      <c r="N208" t="s">
        <v>20</v>
      </c>
      <c r="O208">
        <f>LOOKUP(X208,Pays!A:A,Pays!D:D)</f>
        <v>0</v>
      </c>
      <c r="P208">
        <v>0.15</v>
      </c>
      <c r="Q208">
        <v>1.22</v>
      </c>
      <c r="U208">
        <v>1</v>
      </c>
      <c r="W208">
        <f>IF(COUNTIF(Pays!A:A,X208)=0,"",LOOKUP(X208,Pays!A:A,Pays!E:E))</f>
        <v>0</v>
      </c>
      <c r="X208" s="8" t="s">
        <v>37</v>
      </c>
    </row>
    <row r="209" spans="1:24" x14ac:dyDescent="0.25">
      <c r="A209" t="s">
        <v>1155</v>
      </c>
      <c r="B209" t="s">
        <v>182</v>
      </c>
      <c r="C209" s="1">
        <f t="shared" si="7"/>
        <v>46174</v>
      </c>
      <c r="F209" t="s">
        <v>155</v>
      </c>
      <c r="G209" t="s">
        <v>422</v>
      </c>
      <c r="H209" t="s">
        <v>1361</v>
      </c>
      <c r="I209" t="s">
        <v>18</v>
      </c>
      <c r="J209" t="str">
        <f>IF(COUNTIF(Pays!A:A,X209)=0,"Pays inconnu",_xlfn.XLOOKUP(X209,Pays!A:A,Pays!B:B))</f>
        <v>BE</v>
      </c>
      <c r="K209" t="str">
        <f>IF(COUNTIF(Pays!A:A,X209)=0,"Pays inconnu",_xlfn.XLOOKUP(X209,Pays!A:A,Pays!C:C))</f>
        <v>1_BE</v>
      </c>
      <c r="L209">
        <v>1</v>
      </c>
      <c r="M209">
        <f t="shared" si="6"/>
        <v>0.18</v>
      </c>
      <c r="N209" t="s">
        <v>20</v>
      </c>
      <c r="O209">
        <f>LOOKUP(X209,Pays!A:A,Pays!D:D)</f>
        <v>0.2</v>
      </c>
      <c r="P209">
        <v>0.15</v>
      </c>
      <c r="Q209">
        <v>0.18</v>
      </c>
      <c r="U209">
        <v>1</v>
      </c>
      <c r="W209">
        <f>IF(COUNTIF(Pays!A:A,X209)=0,"",LOOKUP(X209,Pays!A:A,Pays!E:E))</f>
        <v>0</v>
      </c>
      <c r="X209" s="8" t="s">
        <v>28</v>
      </c>
    </row>
    <row r="210" spans="1:24" x14ac:dyDescent="0.25">
      <c r="A210" t="s">
        <v>1155</v>
      </c>
      <c r="B210" t="s">
        <v>182</v>
      </c>
      <c r="C210" s="1">
        <f t="shared" si="7"/>
        <v>46174</v>
      </c>
      <c r="F210" t="s">
        <v>155</v>
      </c>
      <c r="G210" t="s">
        <v>423</v>
      </c>
      <c r="H210" t="s">
        <v>1362</v>
      </c>
      <c r="I210" t="s">
        <v>18</v>
      </c>
      <c r="J210" t="str">
        <f>IF(COUNTIF(Pays!A:A,X210)=0,"Pays inconnu",_xlfn.XLOOKUP(X210,Pays!A:A,Pays!B:B))</f>
        <v>DK</v>
      </c>
      <c r="K210">
        <f>IF(COUNTIF(Pays!A:A,X210)=0,"Pays inconnu",_xlfn.XLOOKUP(X210,Pays!A:A,Pays!C:C))</f>
        <v>1</v>
      </c>
      <c r="L210">
        <v>1</v>
      </c>
      <c r="M210">
        <f t="shared" si="6"/>
        <v>0.18</v>
      </c>
      <c r="N210" t="s">
        <v>20</v>
      </c>
      <c r="O210">
        <f>LOOKUP(X210,Pays!A:A,Pays!D:D)</f>
        <v>0.2</v>
      </c>
      <c r="P210">
        <v>0.15</v>
      </c>
      <c r="Q210">
        <v>0.18</v>
      </c>
      <c r="U210">
        <v>1</v>
      </c>
      <c r="W210">
        <f>IF(COUNTIF(Pays!A:A,X210)=0,"",LOOKUP(X210,Pays!A:A,Pays!E:E))</f>
        <v>0</v>
      </c>
      <c r="X210" s="8" t="s">
        <v>77</v>
      </c>
    </row>
    <row r="211" spans="1:24" x14ac:dyDescent="0.25">
      <c r="A211" t="s">
        <v>1155</v>
      </c>
      <c r="B211" t="s">
        <v>182</v>
      </c>
      <c r="C211" s="1">
        <f t="shared" si="7"/>
        <v>46174</v>
      </c>
      <c r="F211" t="s">
        <v>155</v>
      </c>
      <c r="G211" t="s">
        <v>424</v>
      </c>
      <c r="H211" t="s">
        <v>1363</v>
      </c>
      <c r="I211" t="s">
        <v>18</v>
      </c>
      <c r="J211" t="str">
        <f>IF(COUNTIF(Pays!A:A,X211)=0,"Pays inconnu",_xlfn.XLOOKUP(X211,Pays!A:A,Pays!B:B))</f>
        <v>SI</v>
      </c>
      <c r="K211">
        <f>IF(COUNTIF(Pays!A:A,X211)=0,"Pays inconnu",_xlfn.XLOOKUP(X211,Pays!A:A,Pays!C:C))</f>
        <v>1</v>
      </c>
      <c r="L211">
        <v>1</v>
      </c>
      <c r="M211">
        <f t="shared" si="6"/>
        <v>0.61</v>
      </c>
      <c r="N211" t="s">
        <v>20</v>
      </c>
      <c r="O211">
        <f>LOOKUP(X211,Pays!A:A,Pays!D:D)</f>
        <v>0.2</v>
      </c>
      <c r="P211">
        <v>0.15</v>
      </c>
      <c r="Q211">
        <v>0.61</v>
      </c>
      <c r="U211">
        <v>1</v>
      </c>
      <c r="W211">
        <f>IF(COUNTIF(Pays!A:A,X211)=0,"",LOOKUP(X211,Pays!A:A,Pays!E:E))</f>
        <v>0</v>
      </c>
      <c r="X211" s="8" t="s">
        <v>135</v>
      </c>
    </row>
    <row r="212" spans="1:24" x14ac:dyDescent="0.25">
      <c r="A212" t="s">
        <v>1155</v>
      </c>
      <c r="B212" t="s">
        <v>182</v>
      </c>
      <c r="C212" s="1">
        <f t="shared" si="7"/>
        <v>46174</v>
      </c>
      <c r="F212" t="s">
        <v>155</v>
      </c>
      <c r="G212" t="s">
        <v>425</v>
      </c>
      <c r="H212" t="s">
        <v>1364</v>
      </c>
      <c r="I212" t="s">
        <v>18</v>
      </c>
      <c r="J212" t="str">
        <f>IF(COUNTIF(Pays!A:A,X212)=0,"Pays inconnu",_xlfn.XLOOKUP(X212,Pays!A:A,Pays!B:B))</f>
        <v>GB</v>
      </c>
      <c r="K212" t="str">
        <f>IF(COUNTIF(Pays!A:A,X212)=0,"Pays inconnu",_xlfn.XLOOKUP(X212,Pays!A:A,Pays!C:C))</f>
        <v>1_GB</v>
      </c>
      <c r="L212">
        <v>1</v>
      </c>
      <c r="M212">
        <f t="shared" si="6"/>
        <v>0.15</v>
      </c>
      <c r="N212" t="s">
        <v>20</v>
      </c>
      <c r="O212">
        <f>LOOKUP(X212,Pays!A:A,Pays!D:D)</f>
        <v>0</v>
      </c>
      <c r="P212">
        <v>0.15</v>
      </c>
      <c r="Q212">
        <v>0.06</v>
      </c>
      <c r="U212">
        <v>1</v>
      </c>
      <c r="W212">
        <f>IF(COUNTIF(Pays!A:A,X212)=0,"",LOOKUP(X212,Pays!A:A,Pays!E:E))</f>
        <v>0</v>
      </c>
      <c r="X212" s="8" t="s">
        <v>30</v>
      </c>
    </row>
    <row r="213" spans="1:24" x14ac:dyDescent="0.25">
      <c r="A213" t="s">
        <v>1155</v>
      </c>
      <c r="B213" t="s">
        <v>182</v>
      </c>
      <c r="C213" s="1">
        <f t="shared" si="7"/>
        <v>46174</v>
      </c>
      <c r="F213" t="s">
        <v>110</v>
      </c>
      <c r="G213" t="s">
        <v>426</v>
      </c>
      <c r="H213" t="s">
        <v>1365</v>
      </c>
      <c r="I213" t="s">
        <v>18</v>
      </c>
      <c r="J213" t="str">
        <f>IF(COUNTIF(Pays!A:A,X213)=0,"Pays inconnu",_xlfn.XLOOKUP(X213,Pays!A:A,Pays!B:B))</f>
        <v>GB</v>
      </c>
      <c r="K213" t="str">
        <f>IF(COUNTIF(Pays!A:A,X213)=0,"Pays inconnu",_xlfn.XLOOKUP(X213,Pays!A:A,Pays!C:C))</f>
        <v>1_GB</v>
      </c>
      <c r="L213">
        <v>1</v>
      </c>
      <c r="M213">
        <f t="shared" si="6"/>
        <v>0.18</v>
      </c>
      <c r="N213" t="s">
        <v>20</v>
      </c>
      <c r="O213">
        <f>LOOKUP(X213,Pays!A:A,Pays!D:D)</f>
        <v>0</v>
      </c>
      <c r="P213">
        <v>0.15</v>
      </c>
      <c r="Q213">
        <v>0.18</v>
      </c>
      <c r="U213">
        <v>1</v>
      </c>
      <c r="W213">
        <f>IF(COUNTIF(Pays!A:A,X213)=0,"",LOOKUP(X213,Pays!A:A,Pays!E:E))</f>
        <v>0</v>
      </c>
      <c r="X213" s="8" t="s">
        <v>30</v>
      </c>
    </row>
    <row r="214" spans="1:24" x14ac:dyDescent="0.25">
      <c r="A214" t="s">
        <v>1155</v>
      </c>
      <c r="B214" t="s">
        <v>182</v>
      </c>
      <c r="C214" s="1">
        <f t="shared" si="7"/>
        <v>46174</v>
      </c>
      <c r="F214" t="s">
        <v>155</v>
      </c>
      <c r="G214" t="s">
        <v>427</v>
      </c>
      <c r="H214" t="s">
        <v>1366</v>
      </c>
      <c r="I214" t="s">
        <v>18</v>
      </c>
      <c r="J214" t="str">
        <f>IF(COUNTIF(Pays!A:A,X214)=0,"Pays inconnu",_xlfn.XLOOKUP(X214,Pays!A:A,Pays!B:B))</f>
        <v>CH</v>
      </c>
      <c r="K214" t="str">
        <f>IF(COUNTIF(Pays!A:A,X214)=0,"Pays inconnu",_xlfn.XLOOKUP(X214,Pays!A:A,Pays!C:C))</f>
        <v>1_CH</v>
      </c>
      <c r="L214">
        <v>1</v>
      </c>
      <c r="M214">
        <f t="shared" si="6"/>
        <v>0.17</v>
      </c>
      <c r="N214" t="s">
        <v>20</v>
      </c>
      <c r="O214">
        <f>LOOKUP(X214,Pays!A:A,Pays!D:D)</f>
        <v>0</v>
      </c>
      <c r="P214">
        <v>0.15</v>
      </c>
      <c r="Q214">
        <v>0.17</v>
      </c>
      <c r="U214">
        <v>1</v>
      </c>
      <c r="W214">
        <f>IF(COUNTIF(Pays!A:A,X214)=0,"",LOOKUP(X214,Pays!A:A,Pays!E:E))</f>
        <v>0</v>
      </c>
      <c r="X214" s="8" t="s">
        <v>37</v>
      </c>
    </row>
    <row r="215" spans="1:24" x14ac:dyDescent="0.25">
      <c r="A215" t="s">
        <v>1155</v>
      </c>
      <c r="B215" t="s">
        <v>182</v>
      </c>
      <c r="C215" s="1">
        <f t="shared" si="7"/>
        <v>46174</v>
      </c>
      <c r="F215" t="s">
        <v>155</v>
      </c>
      <c r="G215" t="s">
        <v>428</v>
      </c>
      <c r="H215" t="s">
        <v>1367</v>
      </c>
      <c r="I215" t="s">
        <v>18</v>
      </c>
      <c r="J215" t="str">
        <f>IF(COUNTIF(Pays!A:A,X215)=0,"Pays inconnu",_xlfn.XLOOKUP(X215,Pays!A:A,Pays!B:B))</f>
        <v>CH</v>
      </c>
      <c r="K215" t="str">
        <f>IF(COUNTIF(Pays!A:A,X215)=0,"Pays inconnu",_xlfn.XLOOKUP(X215,Pays!A:A,Pays!C:C))</f>
        <v>1_CH</v>
      </c>
      <c r="L215">
        <v>1</v>
      </c>
      <c r="M215">
        <f t="shared" si="6"/>
        <v>0.15</v>
      </c>
      <c r="N215" t="s">
        <v>20</v>
      </c>
      <c r="O215">
        <f>LOOKUP(X215,Pays!A:A,Pays!D:D)</f>
        <v>0</v>
      </c>
      <c r="P215">
        <v>0.15</v>
      </c>
      <c r="Q215">
        <v>0.11</v>
      </c>
      <c r="U215">
        <v>1</v>
      </c>
      <c r="W215">
        <f>IF(COUNTIF(Pays!A:A,X215)=0,"",LOOKUP(X215,Pays!A:A,Pays!E:E))</f>
        <v>0</v>
      </c>
      <c r="X215" s="8" t="s">
        <v>37</v>
      </c>
    </row>
    <row r="216" spans="1:24" x14ac:dyDescent="0.25">
      <c r="A216" t="s">
        <v>1155</v>
      </c>
      <c r="B216" t="s">
        <v>182</v>
      </c>
      <c r="C216" s="1">
        <f t="shared" si="7"/>
        <v>46174</v>
      </c>
      <c r="F216" t="s">
        <v>155</v>
      </c>
      <c r="G216" t="s">
        <v>429</v>
      </c>
      <c r="H216" t="s">
        <v>209</v>
      </c>
      <c r="I216" t="s">
        <v>18</v>
      </c>
      <c r="J216" t="str">
        <f>IF(COUNTIF(Pays!A:A,X216)=0,"Pays inconnu",_xlfn.XLOOKUP(X216,Pays!A:A,Pays!B:B))</f>
        <v>CH</v>
      </c>
      <c r="K216" t="str">
        <f>IF(COUNTIF(Pays!A:A,X216)=0,"Pays inconnu",_xlfn.XLOOKUP(X216,Pays!A:A,Pays!C:C))</f>
        <v>1_CH</v>
      </c>
      <c r="L216">
        <v>1</v>
      </c>
      <c r="M216">
        <f t="shared" si="6"/>
        <v>0.19</v>
      </c>
      <c r="N216" t="s">
        <v>20</v>
      </c>
      <c r="O216">
        <f>LOOKUP(X216,Pays!A:A,Pays!D:D)</f>
        <v>0</v>
      </c>
      <c r="P216">
        <v>0.15</v>
      </c>
      <c r="Q216">
        <v>0.19</v>
      </c>
      <c r="U216">
        <v>1</v>
      </c>
      <c r="W216">
        <f>IF(COUNTIF(Pays!A:A,X216)=0,"",LOOKUP(X216,Pays!A:A,Pays!E:E))</f>
        <v>0</v>
      </c>
      <c r="X216" s="8" t="s">
        <v>37</v>
      </c>
    </row>
    <row r="217" spans="1:24" x14ac:dyDescent="0.25">
      <c r="A217" t="s">
        <v>1155</v>
      </c>
      <c r="B217" t="s">
        <v>182</v>
      </c>
      <c r="C217" s="1">
        <f t="shared" si="7"/>
        <v>46174</v>
      </c>
      <c r="F217" t="s">
        <v>155</v>
      </c>
      <c r="G217" t="s">
        <v>430</v>
      </c>
      <c r="H217" t="s">
        <v>1368</v>
      </c>
      <c r="I217" t="s">
        <v>18</v>
      </c>
      <c r="J217" t="str">
        <f>IF(COUNTIF(Pays!A:A,X217)=0,"Pays inconnu",_xlfn.XLOOKUP(X217,Pays!A:A,Pays!B:B))</f>
        <v>CH</v>
      </c>
      <c r="K217" t="str">
        <f>IF(COUNTIF(Pays!A:A,X217)=0,"Pays inconnu",_xlfn.XLOOKUP(X217,Pays!A:A,Pays!C:C))</f>
        <v>1_CH</v>
      </c>
      <c r="L217">
        <v>1</v>
      </c>
      <c r="M217">
        <f t="shared" si="6"/>
        <v>0.67</v>
      </c>
      <c r="N217" t="s">
        <v>20</v>
      </c>
      <c r="O217">
        <f>LOOKUP(X217,Pays!A:A,Pays!D:D)</f>
        <v>0</v>
      </c>
      <c r="P217">
        <v>0.15</v>
      </c>
      <c r="Q217">
        <v>0.67</v>
      </c>
      <c r="U217">
        <v>1</v>
      </c>
      <c r="W217">
        <f>IF(COUNTIF(Pays!A:A,X217)=0,"",LOOKUP(X217,Pays!A:A,Pays!E:E))</f>
        <v>0</v>
      </c>
      <c r="X217" s="8" t="s">
        <v>37</v>
      </c>
    </row>
    <row r="218" spans="1:24" x14ac:dyDescent="0.25">
      <c r="A218" t="s">
        <v>1155</v>
      </c>
      <c r="B218" t="s">
        <v>182</v>
      </c>
      <c r="C218" s="1">
        <f t="shared" si="7"/>
        <v>46174</v>
      </c>
      <c r="F218" t="s">
        <v>155</v>
      </c>
      <c r="G218" t="s">
        <v>431</v>
      </c>
      <c r="H218" t="s">
        <v>1369</v>
      </c>
      <c r="I218" t="s">
        <v>18</v>
      </c>
      <c r="J218" t="str">
        <f>IF(COUNTIF(Pays!A:A,X218)=0,"Pays inconnu",_xlfn.XLOOKUP(X218,Pays!A:A,Pays!B:B))</f>
        <v>CH</v>
      </c>
      <c r="K218" t="str">
        <f>IF(COUNTIF(Pays!A:A,X218)=0,"Pays inconnu",_xlfn.XLOOKUP(X218,Pays!A:A,Pays!C:C))</f>
        <v>1_CH</v>
      </c>
      <c r="L218">
        <v>1</v>
      </c>
      <c r="M218">
        <f t="shared" si="6"/>
        <v>0.15</v>
      </c>
      <c r="N218" t="s">
        <v>20</v>
      </c>
      <c r="O218">
        <f>LOOKUP(X218,Pays!A:A,Pays!D:D)</f>
        <v>0</v>
      </c>
      <c r="P218">
        <v>0.15</v>
      </c>
      <c r="Q218">
        <v>0.14000000000000001</v>
      </c>
      <c r="U218">
        <v>1</v>
      </c>
      <c r="W218">
        <f>IF(COUNTIF(Pays!A:A,X218)=0,"",LOOKUP(X218,Pays!A:A,Pays!E:E))</f>
        <v>0</v>
      </c>
      <c r="X218" s="8" t="s">
        <v>37</v>
      </c>
    </row>
    <row r="219" spans="1:24" x14ac:dyDescent="0.25">
      <c r="A219" t="s">
        <v>1155</v>
      </c>
      <c r="B219" t="s">
        <v>182</v>
      </c>
      <c r="C219" s="1">
        <f t="shared" si="7"/>
        <v>46174</v>
      </c>
      <c r="F219" t="s">
        <v>155</v>
      </c>
      <c r="G219" t="s">
        <v>432</v>
      </c>
      <c r="H219" t="s">
        <v>1370</v>
      </c>
      <c r="I219" t="s">
        <v>18</v>
      </c>
      <c r="J219" t="str">
        <f>IF(COUNTIF(Pays!A:A,X219)=0,"Pays inconnu",_xlfn.XLOOKUP(X219,Pays!A:A,Pays!B:B))</f>
        <v>CH</v>
      </c>
      <c r="K219" t="str">
        <f>IF(COUNTIF(Pays!A:A,X219)=0,"Pays inconnu",_xlfn.XLOOKUP(X219,Pays!A:A,Pays!C:C))</f>
        <v>1_CH</v>
      </c>
      <c r="L219">
        <v>1</v>
      </c>
      <c r="M219">
        <f t="shared" si="6"/>
        <v>0.23</v>
      </c>
      <c r="N219" t="s">
        <v>20</v>
      </c>
      <c r="O219">
        <f>LOOKUP(X219,Pays!A:A,Pays!D:D)</f>
        <v>0</v>
      </c>
      <c r="P219">
        <v>0.15</v>
      </c>
      <c r="Q219">
        <v>0.23</v>
      </c>
      <c r="U219">
        <v>1</v>
      </c>
      <c r="W219">
        <f>IF(COUNTIF(Pays!A:A,X219)=0,"",LOOKUP(X219,Pays!A:A,Pays!E:E))</f>
        <v>0</v>
      </c>
      <c r="X219" s="8" t="s">
        <v>37</v>
      </c>
    </row>
    <row r="220" spans="1:24" x14ac:dyDescent="0.25">
      <c r="A220" t="s">
        <v>1155</v>
      </c>
      <c r="B220" t="s">
        <v>182</v>
      </c>
      <c r="C220" s="1">
        <f t="shared" si="7"/>
        <v>46174</v>
      </c>
      <c r="F220" t="s">
        <v>155</v>
      </c>
      <c r="G220" t="s">
        <v>433</v>
      </c>
      <c r="H220" t="s">
        <v>1371</v>
      </c>
      <c r="I220" t="s">
        <v>18</v>
      </c>
      <c r="J220" t="str">
        <f>IF(COUNTIF(Pays!A:A,X220)=0,"Pays inconnu",_xlfn.XLOOKUP(X220,Pays!A:A,Pays!B:B))</f>
        <v>CH</v>
      </c>
      <c r="K220" t="str">
        <f>IF(COUNTIF(Pays!A:A,X220)=0,"Pays inconnu",_xlfn.XLOOKUP(X220,Pays!A:A,Pays!C:C))</f>
        <v>1_CH</v>
      </c>
      <c r="L220">
        <v>1</v>
      </c>
      <c r="M220">
        <f t="shared" si="6"/>
        <v>0.16</v>
      </c>
      <c r="N220" t="s">
        <v>20</v>
      </c>
      <c r="O220">
        <f>LOOKUP(X220,Pays!A:A,Pays!D:D)</f>
        <v>0</v>
      </c>
      <c r="P220">
        <v>0.15</v>
      </c>
      <c r="Q220">
        <v>0.16</v>
      </c>
      <c r="U220">
        <v>1</v>
      </c>
      <c r="W220">
        <f>IF(COUNTIF(Pays!A:A,X220)=0,"",LOOKUP(X220,Pays!A:A,Pays!E:E))</f>
        <v>0</v>
      </c>
      <c r="X220" s="8" t="s">
        <v>37</v>
      </c>
    </row>
    <row r="221" spans="1:24" x14ac:dyDescent="0.25">
      <c r="A221" t="s">
        <v>1155</v>
      </c>
      <c r="B221" t="s">
        <v>182</v>
      </c>
      <c r="C221" s="1">
        <f t="shared" si="7"/>
        <v>46174</v>
      </c>
      <c r="F221" t="s">
        <v>155</v>
      </c>
      <c r="G221" t="s">
        <v>434</v>
      </c>
      <c r="H221" t="s">
        <v>1372</v>
      </c>
      <c r="I221" t="s">
        <v>18</v>
      </c>
      <c r="J221" t="str">
        <f>IF(COUNTIF(Pays!A:A,X221)=0,"Pays inconnu",_xlfn.XLOOKUP(X221,Pays!A:A,Pays!B:B))</f>
        <v>CH</v>
      </c>
      <c r="K221" t="str">
        <f>IF(COUNTIF(Pays!A:A,X221)=0,"Pays inconnu",_xlfn.XLOOKUP(X221,Pays!A:A,Pays!C:C))</f>
        <v>1_CH</v>
      </c>
      <c r="L221">
        <v>1</v>
      </c>
      <c r="M221">
        <f t="shared" si="6"/>
        <v>0.49</v>
      </c>
      <c r="N221" t="s">
        <v>20</v>
      </c>
      <c r="O221">
        <f>LOOKUP(X221,Pays!A:A,Pays!D:D)</f>
        <v>0</v>
      </c>
      <c r="P221">
        <v>0.15</v>
      </c>
      <c r="Q221">
        <v>0.49</v>
      </c>
      <c r="U221">
        <v>1</v>
      </c>
      <c r="W221">
        <f>IF(COUNTIF(Pays!A:A,X221)=0,"",LOOKUP(X221,Pays!A:A,Pays!E:E))</f>
        <v>0</v>
      </c>
      <c r="X221" s="8" t="s">
        <v>37</v>
      </c>
    </row>
    <row r="222" spans="1:24" x14ac:dyDescent="0.25">
      <c r="A222" t="s">
        <v>1155</v>
      </c>
      <c r="B222" t="s">
        <v>182</v>
      </c>
      <c r="C222" s="1">
        <f t="shared" si="7"/>
        <v>46174</v>
      </c>
      <c r="F222" t="s">
        <v>110</v>
      </c>
      <c r="G222" t="s">
        <v>435</v>
      </c>
      <c r="H222" t="s">
        <v>1373</v>
      </c>
      <c r="I222" t="s">
        <v>18</v>
      </c>
      <c r="J222" t="str">
        <f>IF(COUNTIF(Pays!A:A,X222)=0,"Pays inconnu",_xlfn.XLOOKUP(X222,Pays!A:A,Pays!B:B))</f>
        <v>CH</v>
      </c>
      <c r="K222" t="str">
        <f>IF(COUNTIF(Pays!A:A,X222)=0,"Pays inconnu",_xlfn.XLOOKUP(X222,Pays!A:A,Pays!C:C))</f>
        <v>1_CH</v>
      </c>
      <c r="L222">
        <v>1</v>
      </c>
      <c r="M222">
        <f t="shared" si="6"/>
        <v>0.15</v>
      </c>
      <c r="N222" t="s">
        <v>20</v>
      </c>
      <c r="O222">
        <f>LOOKUP(X222,Pays!A:A,Pays!D:D)</f>
        <v>0</v>
      </c>
      <c r="P222">
        <v>0.15</v>
      </c>
      <c r="Q222">
        <v>0.03</v>
      </c>
      <c r="U222">
        <v>1</v>
      </c>
      <c r="W222">
        <f>IF(COUNTIF(Pays!A:A,X222)=0,"",LOOKUP(X222,Pays!A:A,Pays!E:E))</f>
        <v>0</v>
      </c>
      <c r="X222" s="8" t="s">
        <v>37</v>
      </c>
    </row>
    <row r="223" spans="1:24" x14ac:dyDescent="0.25">
      <c r="A223" t="s">
        <v>1155</v>
      </c>
      <c r="B223" t="s">
        <v>182</v>
      </c>
      <c r="C223" s="1">
        <f t="shared" si="7"/>
        <v>46174</v>
      </c>
      <c r="F223" t="s">
        <v>155</v>
      </c>
      <c r="G223" t="s">
        <v>436</v>
      </c>
      <c r="H223" t="s">
        <v>1374</v>
      </c>
      <c r="I223" t="s">
        <v>18</v>
      </c>
      <c r="J223" t="str">
        <f>IF(COUNTIF(Pays!A:A,X223)=0,"Pays inconnu",_xlfn.XLOOKUP(X223,Pays!A:A,Pays!B:B))</f>
        <v>CH</v>
      </c>
      <c r="K223" t="str">
        <f>IF(COUNTIF(Pays!A:A,X223)=0,"Pays inconnu",_xlfn.XLOOKUP(X223,Pays!A:A,Pays!C:C))</f>
        <v>1_CH</v>
      </c>
      <c r="L223">
        <v>1</v>
      </c>
      <c r="M223">
        <f t="shared" si="6"/>
        <v>0.15</v>
      </c>
      <c r="N223" t="s">
        <v>20</v>
      </c>
      <c r="O223">
        <f>LOOKUP(X223,Pays!A:A,Pays!D:D)</f>
        <v>0</v>
      </c>
      <c r="P223">
        <v>0.15</v>
      </c>
      <c r="Q223">
        <v>0.09</v>
      </c>
      <c r="U223">
        <v>1</v>
      </c>
      <c r="W223">
        <f>IF(COUNTIF(Pays!A:A,X223)=0,"",LOOKUP(X223,Pays!A:A,Pays!E:E))</f>
        <v>0</v>
      </c>
      <c r="X223" s="8" t="s">
        <v>37</v>
      </c>
    </row>
    <row r="224" spans="1:24" x14ac:dyDescent="0.25">
      <c r="A224" t="s">
        <v>1155</v>
      </c>
      <c r="B224" t="s">
        <v>182</v>
      </c>
      <c r="C224" s="1">
        <f t="shared" si="7"/>
        <v>46174</v>
      </c>
      <c r="F224" t="s">
        <v>110</v>
      </c>
      <c r="G224" t="s">
        <v>437</v>
      </c>
      <c r="H224" t="s">
        <v>1375</v>
      </c>
      <c r="I224" t="s">
        <v>18</v>
      </c>
      <c r="J224" t="str">
        <f>IF(COUNTIF(Pays!A:A,X224)=0,"Pays inconnu",_xlfn.XLOOKUP(X224,Pays!A:A,Pays!B:B))</f>
        <v>GB</v>
      </c>
      <c r="K224" t="str">
        <f>IF(COUNTIF(Pays!A:A,X224)=0,"Pays inconnu",_xlfn.XLOOKUP(X224,Pays!A:A,Pays!C:C))</f>
        <v>1_GB</v>
      </c>
      <c r="L224">
        <v>1</v>
      </c>
      <c r="M224">
        <f t="shared" si="6"/>
        <v>0.15</v>
      </c>
      <c r="N224" t="s">
        <v>20</v>
      </c>
      <c r="O224">
        <f>LOOKUP(X224,Pays!A:A,Pays!D:D)</f>
        <v>0</v>
      </c>
      <c r="P224">
        <v>0.15</v>
      </c>
      <c r="Q224">
        <v>0.14000000000000001</v>
      </c>
      <c r="U224">
        <v>1</v>
      </c>
      <c r="W224">
        <f>IF(COUNTIF(Pays!A:A,X224)=0,"",LOOKUP(X224,Pays!A:A,Pays!E:E))</f>
        <v>0</v>
      </c>
      <c r="X224" s="8" t="s">
        <v>30</v>
      </c>
    </row>
    <row r="225" spans="1:24" x14ac:dyDescent="0.25">
      <c r="A225" t="s">
        <v>1155</v>
      </c>
      <c r="B225" t="s">
        <v>182</v>
      </c>
      <c r="C225" s="1">
        <f t="shared" si="7"/>
        <v>46174</v>
      </c>
      <c r="F225" t="s">
        <v>155</v>
      </c>
      <c r="G225" t="s">
        <v>438</v>
      </c>
      <c r="H225" t="s">
        <v>1376</v>
      </c>
      <c r="I225" t="s">
        <v>18</v>
      </c>
      <c r="J225" t="str">
        <f>IF(COUNTIF(Pays!A:A,X225)=0,"Pays inconnu",_xlfn.XLOOKUP(X225,Pays!A:A,Pays!B:B))</f>
        <v>CH</v>
      </c>
      <c r="K225" t="str">
        <f>IF(COUNTIF(Pays!A:A,X225)=0,"Pays inconnu",_xlfn.XLOOKUP(X225,Pays!A:A,Pays!C:C))</f>
        <v>1_CH</v>
      </c>
      <c r="L225">
        <v>1</v>
      </c>
      <c r="M225">
        <f t="shared" si="6"/>
        <v>0.52</v>
      </c>
      <c r="N225" t="s">
        <v>20</v>
      </c>
      <c r="O225">
        <f>LOOKUP(X225,Pays!A:A,Pays!D:D)</f>
        <v>0</v>
      </c>
      <c r="P225">
        <v>0.15</v>
      </c>
      <c r="Q225">
        <v>0.52</v>
      </c>
      <c r="U225">
        <v>1</v>
      </c>
      <c r="W225">
        <f>IF(COUNTIF(Pays!A:A,X225)=0,"",LOOKUP(X225,Pays!A:A,Pays!E:E))</f>
        <v>0</v>
      </c>
      <c r="X225" s="8" t="s">
        <v>37</v>
      </c>
    </row>
    <row r="226" spans="1:24" x14ac:dyDescent="0.25">
      <c r="A226" t="s">
        <v>1155</v>
      </c>
      <c r="B226" t="s">
        <v>182</v>
      </c>
      <c r="C226" s="1">
        <f t="shared" si="7"/>
        <v>46174</v>
      </c>
      <c r="F226" t="s">
        <v>155</v>
      </c>
      <c r="G226" t="s">
        <v>439</v>
      </c>
      <c r="H226" t="s">
        <v>1200</v>
      </c>
      <c r="I226" t="s">
        <v>18</v>
      </c>
      <c r="J226" t="str">
        <f>IF(COUNTIF(Pays!A:A,X226)=0,"Pays inconnu",_xlfn.XLOOKUP(X226,Pays!A:A,Pays!B:B))</f>
        <v>CH</v>
      </c>
      <c r="K226" t="str">
        <f>IF(COUNTIF(Pays!A:A,X226)=0,"Pays inconnu",_xlfn.XLOOKUP(X226,Pays!A:A,Pays!C:C))</f>
        <v>1_CH</v>
      </c>
      <c r="L226">
        <v>1</v>
      </c>
      <c r="M226">
        <f t="shared" si="6"/>
        <v>0.15</v>
      </c>
      <c r="N226" t="s">
        <v>20</v>
      </c>
      <c r="O226">
        <f>LOOKUP(X226,Pays!A:A,Pays!D:D)</f>
        <v>0</v>
      </c>
      <c r="P226">
        <v>0.15</v>
      </c>
      <c r="Q226">
        <v>0.12</v>
      </c>
      <c r="U226">
        <v>1</v>
      </c>
      <c r="W226">
        <f>IF(COUNTIF(Pays!A:A,X226)=0,"",LOOKUP(X226,Pays!A:A,Pays!E:E))</f>
        <v>0</v>
      </c>
      <c r="X226" s="8" t="s">
        <v>37</v>
      </c>
    </row>
    <row r="227" spans="1:24" x14ac:dyDescent="0.25">
      <c r="A227" t="s">
        <v>1155</v>
      </c>
      <c r="B227" t="s">
        <v>182</v>
      </c>
      <c r="C227" s="1">
        <f t="shared" si="7"/>
        <v>46174</v>
      </c>
      <c r="F227" t="s">
        <v>155</v>
      </c>
      <c r="G227" t="s">
        <v>440</v>
      </c>
      <c r="H227" t="s">
        <v>1377</v>
      </c>
      <c r="I227" t="s">
        <v>18</v>
      </c>
      <c r="J227" t="str">
        <f>IF(COUNTIF(Pays!A:A,X227)=0,"Pays inconnu",_xlfn.XLOOKUP(X227,Pays!A:A,Pays!B:B))</f>
        <v>GB</v>
      </c>
      <c r="K227" t="str">
        <f>IF(COUNTIF(Pays!A:A,X227)=0,"Pays inconnu",_xlfn.XLOOKUP(X227,Pays!A:A,Pays!C:C))</f>
        <v>1_GB</v>
      </c>
      <c r="L227">
        <v>1</v>
      </c>
      <c r="M227">
        <f t="shared" si="6"/>
        <v>0.44</v>
      </c>
      <c r="N227" t="s">
        <v>20</v>
      </c>
      <c r="O227">
        <f>LOOKUP(X227,Pays!A:A,Pays!D:D)</f>
        <v>0</v>
      </c>
      <c r="P227">
        <v>0.15</v>
      </c>
      <c r="Q227">
        <v>0.44</v>
      </c>
      <c r="U227">
        <v>1</v>
      </c>
      <c r="W227">
        <f>IF(COUNTIF(Pays!A:A,X227)=0,"",LOOKUP(X227,Pays!A:A,Pays!E:E))</f>
        <v>0</v>
      </c>
      <c r="X227" s="8" t="s">
        <v>30</v>
      </c>
    </row>
    <row r="228" spans="1:24" x14ac:dyDescent="0.25">
      <c r="A228" t="s">
        <v>1155</v>
      </c>
      <c r="B228" t="s">
        <v>182</v>
      </c>
      <c r="C228" s="1">
        <f t="shared" si="7"/>
        <v>46174</v>
      </c>
      <c r="F228" t="s">
        <v>155</v>
      </c>
      <c r="G228" t="s">
        <v>441</v>
      </c>
      <c r="H228" t="s">
        <v>1378</v>
      </c>
      <c r="I228" t="s">
        <v>18</v>
      </c>
      <c r="J228" t="str">
        <f>IF(COUNTIF(Pays!A:A,X228)=0,"Pays inconnu",_xlfn.XLOOKUP(X228,Pays!A:A,Pays!B:B))</f>
        <v>CH</v>
      </c>
      <c r="K228" t="str">
        <f>IF(COUNTIF(Pays!A:A,X228)=0,"Pays inconnu",_xlfn.XLOOKUP(X228,Pays!A:A,Pays!C:C))</f>
        <v>1_CH</v>
      </c>
      <c r="L228">
        <v>1</v>
      </c>
      <c r="M228">
        <f t="shared" si="6"/>
        <v>0.34</v>
      </c>
      <c r="N228" t="s">
        <v>20</v>
      </c>
      <c r="O228">
        <f>LOOKUP(X228,Pays!A:A,Pays!D:D)</f>
        <v>0</v>
      </c>
      <c r="P228">
        <v>0.15</v>
      </c>
      <c r="Q228">
        <v>0.34</v>
      </c>
      <c r="U228">
        <v>1</v>
      </c>
      <c r="W228">
        <f>IF(COUNTIF(Pays!A:A,X228)=0,"",LOOKUP(X228,Pays!A:A,Pays!E:E))</f>
        <v>0</v>
      </c>
      <c r="X228" s="8" t="s">
        <v>37</v>
      </c>
    </row>
    <row r="229" spans="1:24" x14ac:dyDescent="0.25">
      <c r="A229" t="s">
        <v>1155</v>
      </c>
      <c r="B229" t="s">
        <v>182</v>
      </c>
      <c r="C229" s="1">
        <f t="shared" si="7"/>
        <v>46174</v>
      </c>
      <c r="F229" t="s">
        <v>155</v>
      </c>
      <c r="G229" t="s">
        <v>442</v>
      </c>
      <c r="H229" t="s">
        <v>1379</v>
      </c>
      <c r="I229" t="s">
        <v>18</v>
      </c>
      <c r="J229" t="str">
        <f>IF(COUNTIF(Pays!A:A,X229)=0,"Pays inconnu",_xlfn.XLOOKUP(X229,Pays!A:A,Pays!B:B))</f>
        <v>GB</v>
      </c>
      <c r="K229" t="str">
        <f>IF(COUNTIF(Pays!A:A,X229)=0,"Pays inconnu",_xlfn.XLOOKUP(X229,Pays!A:A,Pays!C:C))</f>
        <v>1_GB</v>
      </c>
      <c r="L229">
        <v>1</v>
      </c>
      <c r="M229">
        <f t="shared" si="6"/>
        <v>0.3</v>
      </c>
      <c r="N229" t="s">
        <v>20</v>
      </c>
      <c r="O229">
        <f>LOOKUP(X229,Pays!A:A,Pays!D:D)</f>
        <v>0</v>
      </c>
      <c r="P229">
        <v>0.15</v>
      </c>
      <c r="Q229">
        <v>0.3</v>
      </c>
      <c r="U229">
        <v>1</v>
      </c>
      <c r="W229">
        <f>IF(COUNTIF(Pays!A:A,X229)=0,"",LOOKUP(X229,Pays!A:A,Pays!E:E))</f>
        <v>0</v>
      </c>
      <c r="X229" s="8" t="s">
        <v>30</v>
      </c>
    </row>
    <row r="230" spans="1:24" x14ac:dyDescent="0.25">
      <c r="A230" t="s">
        <v>1155</v>
      </c>
      <c r="B230" t="s">
        <v>182</v>
      </c>
      <c r="C230" s="1">
        <f t="shared" si="7"/>
        <v>46174</v>
      </c>
      <c r="F230" t="s">
        <v>155</v>
      </c>
      <c r="G230" t="s">
        <v>443</v>
      </c>
      <c r="H230" t="s">
        <v>1380</v>
      </c>
      <c r="I230" t="s">
        <v>18</v>
      </c>
      <c r="J230" t="str">
        <f>IF(COUNTIF(Pays!A:A,X230)=0,"Pays inconnu",_xlfn.XLOOKUP(X230,Pays!A:A,Pays!B:B))</f>
        <v>CH</v>
      </c>
      <c r="K230" t="str">
        <f>IF(COUNTIF(Pays!A:A,X230)=0,"Pays inconnu",_xlfn.XLOOKUP(X230,Pays!A:A,Pays!C:C))</f>
        <v>1_CH</v>
      </c>
      <c r="L230">
        <v>1</v>
      </c>
      <c r="M230">
        <f t="shared" si="6"/>
        <v>0.66</v>
      </c>
      <c r="N230" t="s">
        <v>20</v>
      </c>
      <c r="O230">
        <f>LOOKUP(X230,Pays!A:A,Pays!D:D)</f>
        <v>0</v>
      </c>
      <c r="P230">
        <v>0.15</v>
      </c>
      <c r="Q230">
        <v>0.66</v>
      </c>
      <c r="U230">
        <v>1</v>
      </c>
      <c r="W230">
        <f>IF(COUNTIF(Pays!A:A,X230)=0,"",LOOKUP(X230,Pays!A:A,Pays!E:E))</f>
        <v>0</v>
      </c>
      <c r="X230" s="8" t="s">
        <v>37</v>
      </c>
    </row>
    <row r="231" spans="1:24" x14ac:dyDescent="0.25">
      <c r="A231" t="s">
        <v>1155</v>
      </c>
      <c r="B231" t="s">
        <v>182</v>
      </c>
      <c r="C231" s="1">
        <f t="shared" si="7"/>
        <v>46174</v>
      </c>
      <c r="F231" t="s">
        <v>155</v>
      </c>
      <c r="G231" t="s">
        <v>444</v>
      </c>
      <c r="H231" t="s">
        <v>1381</v>
      </c>
      <c r="I231" t="s">
        <v>18</v>
      </c>
      <c r="J231" t="str">
        <f>IF(COUNTIF(Pays!A:A,X231)=0,"Pays inconnu",_xlfn.XLOOKUP(X231,Pays!A:A,Pays!B:B))</f>
        <v>GB</v>
      </c>
      <c r="K231" t="str">
        <f>IF(COUNTIF(Pays!A:A,X231)=0,"Pays inconnu",_xlfn.XLOOKUP(X231,Pays!A:A,Pays!C:C))</f>
        <v>1_GB</v>
      </c>
      <c r="L231">
        <v>1</v>
      </c>
      <c r="M231">
        <f t="shared" si="6"/>
        <v>0.22</v>
      </c>
      <c r="N231" t="s">
        <v>20</v>
      </c>
      <c r="O231">
        <f>LOOKUP(X231,Pays!A:A,Pays!D:D)</f>
        <v>0</v>
      </c>
      <c r="P231">
        <v>0.15</v>
      </c>
      <c r="Q231">
        <v>0.22</v>
      </c>
      <c r="U231">
        <v>1</v>
      </c>
      <c r="W231">
        <f>IF(COUNTIF(Pays!A:A,X231)=0,"",LOOKUP(X231,Pays!A:A,Pays!E:E))</f>
        <v>0</v>
      </c>
      <c r="X231" s="8" t="s">
        <v>30</v>
      </c>
    </row>
    <row r="232" spans="1:24" x14ac:dyDescent="0.25">
      <c r="A232" t="s">
        <v>1155</v>
      </c>
      <c r="B232" t="s">
        <v>182</v>
      </c>
      <c r="C232" s="1">
        <f t="shared" si="7"/>
        <v>46174</v>
      </c>
      <c r="F232" t="s">
        <v>155</v>
      </c>
      <c r="G232" t="s">
        <v>445</v>
      </c>
      <c r="H232" t="s">
        <v>1382</v>
      </c>
      <c r="I232" t="s">
        <v>18</v>
      </c>
      <c r="J232" t="str">
        <f>IF(COUNTIF(Pays!A:A,X232)=0,"Pays inconnu",_xlfn.XLOOKUP(X232,Pays!A:A,Pays!B:B))</f>
        <v>GB</v>
      </c>
      <c r="K232" t="str">
        <f>IF(COUNTIF(Pays!A:A,X232)=0,"Pays inconnu",_xlfn.XLOOKUP(X232,Pays!A:A,Pays!C:C))</f>
        <v>1_GB</v>
      </c>
      <c r="L232">
        <v>1</v>
      </c>
      <c r="M232">
        <f t="shared" si="6"/>
        <v>0.16</v>
      </c>
      <c r="N232" t="s">
        <v>20</v>
      </c>
      <c r="O232">
        <f>LOOKUP(X232,Pays!A:A,Pays!D:D)</f>
        <v>0</v>
      </c>
      <c r="P232">
        <v>0.15</v>
      </c>
      <c r="Q232">
        <v>0.16</v>
      </c>
      <c r="U232">
        <v>1</v>
      </c>
      <c r="W232">
        <f>IF(COUNTIF(Pays!A:A,X232)=0,"",LOOKUP(X232,Pays!A:A,Pays!E:E))</f>
        <v>0</v>
      </c>
      <c r="X232" s="8" t="s">
        <v>30</v>
      </c>
    </row>
    <row r="233" spans="1:24" x14ac:dyDescent="0.25">
      <c r="A233" t="s">
        <v>1155</v>
      </c>
      <c r="B233" t="s">
        <v>182</v>
      </c>
      <c r="C233" s="1">
        <f t="shared" si="7"/>
        <v>46174</v>
      </c>
      <c r="F233" t="s">
        <v>155</v>
      </c>
      <c r="G233" t="s">
        <v>446</v>
      </c>
      <c r="H233" t="s">
        <v>1383</v>
      </c>
      <c r="I233" t="s">
        <v>18</v>
      </c>
      <c r="J233" t="str">
        <f>IF(COUNTIF(Pays!A:A,X233)=0,"Pays inconnu",_xlfn.XLOOKUP(X233,Pays!A:A,Pays!B:B))</f>
        <v>CH</v>
      </c>
      <c r="K233" t="str">
        <f>IF(COUNTIF(Pays!A:A,X233)=0,"Pays inconnu",_xlfn.XLOOKUP(X233,Pays!A:A,Pays!C:C))</f>
        <v>1_CH</v>
      </c>
      <c r="L233">
        <v>1</v>
      </c>
      <c r="M233">
        <f t="shared" si="6"/>
        <v>0.5</v>
      </c>
      <c r="N233" t="s">
        <v>20</v>
      </c>
      <c r="O233">
        <f>LOOKUP(X233,Pays!A:A,Pays!D:D)</f>
        <v>0</v>
      </c>
      <c r="P233">
        <v>0.15</v>
      </c>
      <c r="Q233">
        <v>0.5</v>
      </c>
      <c r="U233">
        <v>1</v>
      </c>
      <c r="W233">
        <f>IF(COUNTIF(Pays!A:A,X233)=0,"",LOOKUP(X233,Pays!A:A,Pays!E:E))</f>
        <v>0</v>
      </c>
      <c r="X233" s="8" t="s">
        <v>37</v>
      </c>
    </row>
    <row r="234" spans="1:24" x14ac:dyDescent="0.25">
      <c r="A234" t="s">
        <v>1155</v>
      </c>
      <c r="B234" t="s">
        <v>182</v>
      </c>
      <c r="C234" s="1">
        <f t="shared" si="7"/>
        <v>46174</v>
      </c>
      <c r="F234" t="s">
        <v>110</v>
      </c>
      <c r="G234" t="s">
        <v>447</v>
      </c>
      <c r="H234" t="s">
        <v>1384</v>
      </c>
      <c r="I234" t="s">
        <v>18</v>
      </c>
      <c r="J234" t="str">
        <f>IF(COUNTIF(Pays!A:A,X234)=0,"Pays inconnu",_xlfn.XLOOKUP(X234,Pays!A:A,Pays!B:B))</f>
        <v>GB</v>
      </c>
      <c r="K234" t="str">
        <f>IF(COUNTIF(Pays!A:A,X234)=0,"Pays inconnu",_xlfn.XLOOKUP(X234,Pays!A:A,Pays!C:C))</f>
        <v>1_GB</v>
      </c>
      <c r="L234">
        <v>1</v>
      </c>
      <c r="M234">
        <f t="shared" si="6"/>
        <v>0.28000000000000003</v>
      </c>
      <c r="N234" t="s">
        <v>20</v>
      </c>
      <c r="O234">
        <f>LOOKUP(X234,Pays!A:A,Pays!D:D)</f>
        <v>0</v>
      </c>
      <c r="P234">
        <v>0.15</v>
      </c>
      <c r="Q234">
        <v>0.28000000000000003</v>
      </c>
      <c r="U234">
        <v>1</v>
      </c>
      <c r="W234">
        <f>IF(COUNTIF(Pays!A:A,X234)=0,"",LOOKUP(X234,Pays!A:A,Pays!E:E))</f>
        <v>0</v>
      </c>
      <c r="X234" s="8" t="s">
        <v>30</v>
      </c>
    </row>
    <row r="235" spans="1:24" x14ac:dyDescent="0.25">
      <c r="A235" t="s">
        <v>1155</v>
      </c>
      <c r="B235" t="s">
        <v>182</v>
      </c>
      <c r="C235" s="1">
        <f t="shared" si="7"/>
        <v>46174</v>
      </c>
      <c r="F235" t="s">
        <v>155</v>
      </c>
      <c r="G235" t="s">
        <v>448</v>
      </c>
      <c r="H235" t="s">
        <v>1385</v>
      </c>
      <c r="I235" t="s">
        <v>18</v>
      </c>
      <c r="J235" t="str">
        <f>IF(COUNTIF(Pays!A:A,X235)=0,"Pays inconnu",_xlfn.XLOOKUP(X235,Pays!A:A,Pays!B:B))</f>
        <v>GB</v>
      </c>
      <c r="K235" t="str">
        <f>IF(COUNTIF(Pays!A:A,X235)=0,"Pays inconnu",_xlfn.XLOOKUP(X235,Pays!A:A,Pays!C:C))</f>
        <v>1_GB</v>
      </c>
      <c r="L235">
        <v>1</v>
      </c>
      <c r="M235">
        <f t="shared" si="6"/>
        <v>0.22</v>
      </c>
      <c r="N235" t="s">
        <v>20</v>
      </c>
      <c r="O235">
        <f>LOOKUP(X235,Pays!A:A,Pays!D:D)</f>
        <v>0</v>
      </c>
      <c r="P235">
        <v>0.15</v>
      </c>
      <c r="Q235">
        <v>0.22</v>
      </c>
      <c r="U235">
        <v>1</v>
      </c>
      <c r="W235">
        <f>IF(COUNTIF(Pays!A:A,X235)=0,"",LOOKUP(X235,Pays!A:A,Pays!E:E))</f>
        <v>0</v>
      </c>
      <c r="X235" s="8" t="s">
        <v>30</v>
      </c>
    </row>
    <row r="236" spans="1:24" x14ac:dyDescent="0.25">
      <c r="A236" t="s">
        <v>1155</v>
      </c>
      <c r="B236" t="s">
        <v>182</v>
      </c>
      <c r="C236" s="1">
        <f t="shared" si="7"/>
        <v>46174</v>
      </c>
      <c r="F236" t="s">
        <v>181</v>
      </c>
      <c r="G236" t="s">
        <v>449</v>
      </c>
      <c r="H236" t="s">
        <v>1386</v>
      </c>
      <c r="I236" t="s">
        <v>18</v>
      </c>
      <c r="J236" t="str">
        <f>IF(COUNTIF(Pays!A:A,X236)=0,"Pays inconnu",_xlfn.XLOOKUP(X236,Pays!A:A,Pays!B:B))</f>
        <v>GB</v>
      </c>
      <c r="K236" t="str">
        <f>IF(COUNTIF(Pays!A:A,X236)=0,"Pays inconnu",_xlfn.XLOOKUP(X236,Pays!A:A,Pays!C:C))</f>
        <v>1_GB</v>
      </c>
      <c r="L236">
        <v>1</v>
      </c>
      <c r="M236">
        <f t="shared" si="6"/>
        <v>0.23</v>
      </c>
      <c r="N236" t="s">
        <v>20</v>
      </c>
      <c r="O236">
        <f>LOOKUP(X236,Pays!A:A,Pays!D:D)</f>
        <v>0</v>
      </c>
      <c r="P236">
        <v>0.15</v>
      </c>
      <c r="Q236">
        <v>0.23</v>
      </c>
      <c r="U236">
        <v>1</v>
      </c>
      <c r="W236">
        <f>IF(COUNTIF(Pays!A:A,X236)=0,"",LOOKUP(X236,Pays!A:A,Pays!E:E))</f>
        <v>0</v>
      </c>
      <c r="X236" s="8" t="s">
        <v>30</v>
      </c>
    </row>
    <row r="237" spans="1:24" x14ac:dyDescent="0.25">
      <c r="A237" t="s">
        <v>1155</v>
      </c>
      <c r="B237" t="s">
        <v>182</v>
      </c>
      <c r="C237" s="1">
        <f t="shared" si="7"/>
        <v>46174</v>
      </c>
      <c r="F237" t="s">
        <v>155</v>
      </c>
      <c r="G237" t="s">
        <v>450</v>
      </c>
      <c r="H237" t="s">
        <v>1387</v>
      </c>
      <c r="I237" t="s">
        <v>18</v>
      </c>
      <c r="J237" t="str">
        <f>IF(COUNTIF(Pays!A:A,X237)=0,"Pays inconnu",_xlfn.XLOOKUP(X237,Pays!A:A,Pays!B:B))</f>
        <v>CH</v>
      </c>
      <c r="K237" t="str">
        <f>IF(COUNTIF(Pays!A:A,X237)=0,"Pays inconnu",_xlfn.XLOOKUP(X237,Pays!A:A,Pays!C:C))</f>
        <v>1_CH</v>
      </c>
      <c r="L237">
        <v>1</v>
      </c>
      <c r="M237">
        <f t="shared" si="6"/>
        <v>0.32</v>
      </c>
      <c r="N237" t="s">
        <v>20</v>
      </c>
      <c r="O237">
        <f>LOOKUP(X237,Pays!A:A,Pays!D:D)</f>
        <v>0</v>
      </c>
      <c r="P237">
        <v>0.15</v>
      </c>
      <c r="Q237">
        <v>0.32</v>
      </c>
      <c r="U237">
        <v>1</v>
      </c>
      <c r="W237">
        <f>IF(COUNTIF(Pays!A:A,X237)=0,"",LOOKUP(X237,Pays!A:A,Pays!E:E))</f>
        <v>0</v>
      </c>
      <c r="X237" s="8" t="s">
        <v>37</v>
      </c>
    </row>
    <row r="238" spans="1:24" x14ac:dyDescent="0.25">
      <c r="A238" t="s">
        <v>1155</v>
      </c>
      <c r="B238" t="s">
        <v>182</v>
      </c>
      <c r="C238" s="1">
        <f t="shared" si="7"/>
        <v>46174</v>
      </c>
      <c r="F238" t="s">
        <v>155</v>
      </c>
      <c r="G238" t="s">
        <v>451</v>
      </c>
      <c r="H238" t="s">
        <v>1388</v>
      </c>
      <c r="I238" t="s">
        <v>18</v>
      </c>
      <c r="J238" t="str">
        <f>IF(COUNTIF(Pays!A:A,X238)=0,"Pays inconnu",_xlfn.XLOOKUP(X238,Pays!A:A,Pays!B:B))</f>
        <v>GB</v>
      </c>
      <c r="K238" t="str">
        <f>IF(COUNTIF(Pays!A:A,X238)=0,"Pays inconnu",_xlfn.XLOOKUP(X238,Pays!A:A,Pays!C:C))</f>
        <v>1_GB</v>
      </c>
      <c r="L238">
        <v>1</v>
      </c>
      <c r="M238">
        <f t="shared" si="6"/>
        <v>0.19</v>
      </c>
      <c r="N238" t="s">
        <v>20</v>
      </c>
      <c r="O238">
        <f>LOOKUP(X238,Pays!A:A,Pays!D:D)</f>
        <v>0</v>
      </c>
      <c r="P238">
        <v>0.15</v>
      </c>
      <c r="Q238">
        <v>0.19</v>
      </c>
      <c r="U238">
        <v>1</v>
      </c>
      <c r="W238">
        <f>IF(COUNTIF(Pays!A:A,X238)=0,"",LOOKUP(X238,Pays!A:A,Pays!E:E))</f>
        <v>0</v>
      </c>
      <c r="X238" s="8" t="s">
        <v>30</v>
      </c>
    </row>
    <row r="239" spans="1:24" x14ac:dyDescent="0.25">
      <c r="A239" t="s">
        <v>1155</v>
      </c>
      <c r="B239" t="s">
        <v>182</v>
      </c>
      <c r="C239" s="1">
        <f t="shared" si="7"/>
        <v>46174</v>
      </c>
      <c r="F239" t="s">
        <v>155</v>
      </c>
      <c r="G239" t="s">
        <v>452</v>
      </c>
      <c r="H239" t="s">
        <v>1389</v>
      </c>
      <c r="I239" t="s">
        <v>18</v>
      </c>
      <c r="J239" t="str">
        <f>IF(COUNTIF(Pays!A:A,X239)=0,"Pays inconnu",_xlfn.XLOOKUP(X239,Pays!A:A,Pays!B:B))</f>
        <v>GB</v>
      </c>
      <c r="K239" t="str">
        <f>IF(COUNTIF(Pays!A:A,X239)=0,"Pays inconnu",_xlfn.XLOOKUP(X239,Pays!A:A,Pays!C:C))</f>
        <v>1_GB</v>
      </c>
      <c r="L239">
        <v>1</v>
      </c>
      <c r="M239">
        <f t="shared" si="6"/>
        <v>0.44</v>
      </c>
      <c r="N239" t="s">
        <v>20</v>
      </c>
      <c r="O239">
        <f>LOOKUP(X239,Pays!A:A,Pays!D:D)</f>
        <v>0</v>
      </c>
      <c r="P239">
        <v>0.15</v>
      </c>
      <c r="Q239">
        <v>0.44</v>
      </c>
      <c r="U239">
        <v>1</v>
      </c>
      <c r="W239">
        <f>IF(COUNTIF(Pays!A:A,X239)=0,"",LOOKUP(X239,Pays!A:A,Pays!E:E))</f>
        <v>0</v>
      </c>
      <c r="X239" s="8" t="s">
        <v>30</v>
      </c>
    </row>
    <row r="240" spans="1:24" x14ac:dyDescent="0.25">
      <c r="A240" t="s">
        <v>1155</v>
      </c>
      <c r="B240" t="s">
        <v>182</v>
      </c>
      <c r="C240" s="1">
        <f t="shared" si="7"/>
        <v>46174</v>
      </c>
      <c r="F240" t="s">
        <v>155</v>
      </c>
      <c r="G240" t="s">
        <v>453</v>
      </c>
      <c r="H240" t="s">
        <v>1390</v>
      </c>
      <c r="I240" t="s">
        <v>18</v>
      </c>
      <c r="J240" t="str">
        <f>IF(COUNTIF(Pays!A:A,X240)=0,"Pays inconnu",_xlfn.XLOOKUP(X240,Pays!A:A,Pays!B:B))</f>
        <v>CH</v>
      </c>
      <c r="K240" t="str">
        <f>IF(COUNTIF(Pays!A:A,X240)=0,"Pays inconnu",_xlfn.XLOOKUP(X240,Pays!A:A,Pays!C:C))</f>
        <v>1_CH</v>
      </c>
      <c r="L240">
        <v>1</v>
      </c>
      <c r="M240">
        <f t="shared" si="6"/>
        <v>0.28000000000000003</v>
      </c>
      <c r="N240" t="s">
        <v>20</v>
      </c>
      <c r="O240">
        <f>LOOKUP(X240,Pays!A:A,Pays!D:D)</f>
        <v>0</v>
      </c>
      <c r="P240">
        <v>0.15</v>
      </c>
      <c r="Q240">
        <v>0.28000000000000003</v>
      </c>
      <c r="U240">
        <v>1</v>
      </c>
      <c r="W240">
        <f>IF(COUNTIF(Pays!A:A,X240)=0,"",LOOKUP(X240,Pays!A:A,Pays!E:E))</f>
        <v>0</v>
      </c>
      <c r="X240" s="8" t="s">
        <v>37</v>
      </c>
    </row>
    <row r="241" spans="1:24" x14ac:dyDescent="0.25">
      <c r="A241" t="s">
        <v>1155</v>
      </c>
      <c r="B241" t="s">
        <v>182</v>
      </c>
      <c r="C241" s="1">
        <f t="shared" si="7"/>
        <v>46174</v>
      </c>
      <c r="F241" t="s">
        <v>155</v>
      </c>
      <c r="G241" t="s">
        <v>454</v>
      </c>
      <c r="H241" t="s">
        <v>1391</v>
      </c>
      <c r="I241" t="s">
        <v>18</v>
      </c>
      <c r="J241" t="str">
        <f>IF(COUNTIF(Pays!A:A,X241)=0,"Pays inconnu",_xlfn.XLOOKUP(X241,Pays!A:A,Pays!B:B))</f>
        <v>CH</v>
      </c>
      <c r="K241" t="str">
        <f>IF(COUNTIF(Pays!A:A,X241)=0,"Pays inconnu",_xlfn.XLOOKUP(X241,Pays!A:A,Pays!C:C))</f>
        <v>1_CH</v>
      </c>
      <c r="L241">
        <v>1</v>
      </c>
      <c r="M241">
        <f t="shared" si="6"/>
        <v>0.32</v>
      </c>
      <c r="N241" t="s">
        <v>20</v>
      </c>
      <c r="O241">
        <f>LOOKUP(X241,Pays!A:A,Pays!D:D)</f>
        <v>0</v>
      </c>
      <c r="P241">
        <v>0.15</v>
      </c>
      <c r="Q241">
        <v>0.32</v>
      </c>
      <c r="U241">
        <v>1</v>
      </c>
      <c r="W241">
        <f>IF(COUNTIF(Pays!A:A,X241)=0,"",LOOKUP(X241,Pays!A:A,Pays!E:E))</f>
        <v>0</v>
      </c>
      <c r="X241" s="8" t="s">
        <v>37</v>
      </c>
    </row>
    <row r="242" spans="1:24" x14ac:dyDescent="0.25">
      <c r="A242" t="s">
        <v>1155</v>
      </c>
      <c r="B242" t="s">
        <v>182</v>
      </c>
      <c r="C242" s="1">
        <f t="shared" si="7"/>
        <v>46174</v>
      </c>
      <c r="F242" t="s">
        <v>155</v>
      </c>
      <c r="G242" t="s">
        <v>455</v>
      </c>
      <c r="H242" t="s">
        <v>1392</v>
      </c>
      <c r="I242" t="s">
        <v>18</v>
      </c>
      <c r="J242" t="str">
        <f>IF(COUNTIF(Pays!A:A,X242)=0,"Pays inconnu",_xlfn.XLOOKUP(X242,Pays!A:A,Pays!B:B))</f>
        <v>CH</v>
      </c>
      <c r="K242" t="str">
        <f>IF(COUNTIF(Pays!A:A,X242)=0,"Pays inconnu",_xlfn.XLOOKUP(X242,Pays!A:A,Pays!C:C))</f>
        <v>1_CH</v>
      </c>
      <c r="L242">
        <v>1</v>
      </c>
      <c r="M242">
        <f t="shared" si="6"/>
        <v>1.06</v>
      </c>
      <c r="N242" t="s">
        <v>20</v>
      </c>
      <c r="O242">
        <f>LOOKUP(X242,Pays!A:A,Pays!D:D)</f>
        <v>0</v>
      </c>
      <c r="P242">
        <v>0.15</v>
      </c>
      <c r="Q242">
        <v>1.06</v>
      </c>
      <c r="U242">
        <v>1</v>
      </c>
      <c r="W242">
        <f>IF(COUNTIF(Pays!A:A,X242)=0,"",LOOKUP(X242,Pays!A:A,Pays!E:E))</f>
        <v>0</v>
      </c>
      <c r="X242" s="8" t="s">
        <v>37</v>
      </c>
    </row>
    <row r="243" spans="1:24" x14ac:dyDescent="0.25">
      <c r="A243" t="s">
        <v>1155</v>
      </c>
      <c r="B243" t="s">
        <v>182</v>
      </c>
      <c r="C243" s="1">
        <f t="shared" si="7"/>
        <v>46174</v>
      </c>
      <c r="F243" t="s">
        <v>155</v>
      </c>
      <c r="G243" t="s">
        <v>456</v>
      </c>
      <c r="H243" t="s">
        <v>1393</v>
      </c>
      <c r="I243" t="s">
        <v>18</v>
      </c>
      <c r="J243" t="str">
        <f>IF(COUNTIF(Pays!A:A,X243)=0,"Pays inconnu",_xlfn.XLOOKUP(X243,Pays!A:A,Pays!B:B))</f>
        <v>CH</v>
      </c>
      <c r="K243" t="str">
        <f>IF(COUNTIF(Pays!A:A,X243)=0,"Pays inconnu",_xlfn.XLOOKUP(X243,Pays!A:A,Pays!C:C))</f>
        <v>1_CH</v>
      </c>
      <c r="L243">
        <v>1</v>
      </c>
      <c r="M243">
        <f t="shared" si="6"/>
        <v>0.23</v>
      </c>
      <c r="N243" t="s">
        <v>20</v>
      </c>
      <c r="O243">
        <f>LOOKUP(X243,Pays!A:A,Pays!D:D)</f>
        <v>0</v>
      </c>
      <c r="P243">
        <v>0.15</v>
      </c>
      <c r="Q243">
        <v>0.23</v>
      </c>
      <c r="U243">
        <v>1</v>
      </c>
      <c r="W243">
        <f>IF(COUNTIF(Pays!A:A,X243)=0,"",LOOKUP(X243,Pays!A:A,Pays!E:E))</f>
        <v>0</v>
      </c>
      <c r="X243" s="8" t="s">
        <v>37</v>
      </c>
    </row>
    <row r="244" spans="1:24" x14ac:dyDescent="0.25">
      <c r="A244" t="s">
        <v>1155</v>
      </c>
      <c r="B244" t="s">
        <v>182</v>
      </c>
      <c r="C244" s="1">
        <f t="shared" si="7"/>
        <v>46174</v>
      </c>
      <c r="F244" t="s">
        <v>155</v>
      </c>
      <c r="G244" t="s">
        <v>457</v>
      </c>
      <c r="H244" t="s">
        <v>1394</v>
      </c>
      <c r="I244" t="s">
        <v>18</v>
      </c>
      <c r="J244" t="str">
        <f>IF(COUNTIF(Pays!A:A,X244)=0,"Pays inconnu",_xlfn.XLOOKUP(X244,Pays!A:A,Pays!B:B))</f>
        <v>CH</v>
      </c>
      <c r="K244" t="str">
        <f>IF(COUNTIF(Pays!A:A,X244)=0,"Pays inconnu",_xlfn.XLOOKUP(X244,Pays!A:A,Pays!C:C))</f>
        <v>1_CH</v>
      </c>
      <c r="L244">
        <v>1</v>
      </c>
      <c r="M244">
        <f t="shared" si="6"/>
        <v>0.6</v>
      </c>
      <c r="N244" t="s">
        <v>20</v>
      </c>
      <c r="O244">
        <f>LOOKUP(X244,Pays!A:A,Pays!D:D)</f>
        <v>0</v>
      </c>
      <c r="P244">
        <v>0.15</v>
      </c>
      <c r="Q244">
        <v>0.6</v>
      </c>
      <c r="U244">
        <v>1</v>
      </c>
      <c r="W244">
        <f>IF(COUNTIF(Pays!A:A,X244)=0,"",LOOKUP(X244,Pays!A:A,Pays!E:E))</f>
        <v>0</v>
      </c>
      <c r="X244" s="8" t="s">
        <v>37</v>
      </c>
    </row>
    <row r="245" spans="1:24" x14ac:dyDescent="0.25">
      <c r="A245" t="s">
        <v>1155</v>
      </c>
      <c r="B245" t="s">
        <v>182</v>
      </c>
      <c r="C245" s="1">
        <f t="shared" si="7"/>
        <v>46174</v>
      </c>
      <c r="F245" t="s">
        <v>155</v>
      </c>
      <c r="G245" t="s">
        <v>458</v>
      </c>
      <c r="H245" t="s">
        <v>1395</v>
      </c>
      <c r="I245" t="s">
        <v>18</v>
      </c>
      <c r="J245" t="str">
        <f>IF(COUNTIF(Pays!A:A,X245)=0,"Pays inconnu",_xlfn.XLOOKUP(X245,Pays!A:A,Pays!B:B))</f>
        <v>CH</v>
      </c>
      <c r="K245" t="str">
        <f>IF(COUNTIF(Pays!A:A,X245)=0,"Pays inconnu",_xlfn.XLOOKUP(X245,Pays!A:A,Pays!C:C))</f>
        <v>1_CH</v>
      </c>
      <c r="L245">
        <v>1</v>
      </c>
      <c r="M245">
        <f t="shared" si="6"/>
        <v>0.78</v>
      </c>
      <c r="N245" t="s">
        <v>20</v>
      </c>
      <c r="O245">
        <f>LOOKUP(X245,Pays!A:A,Pays!D:D)</f>
        <v>0</v>
      </c>
      <c r="P245">
        <v>0.15</v>
      </c>
      <c r="Q245">
        <v>0.78</v>
      </c>
      <c r="U245">
        <v>1</v>
      </c>
      <c r="W245">
        <f>IF(COUNTIF(Pays!A:A,X245)=0,"",LOOKUP(X245,Pays!A:A,Pays!E:E))</f>
        <v>0</v>
      </c>
      <c r="X245" s="8" t="s">
        <v>37</v>
      </c>
    </row>
    <row r="246" spans="1:24" x14ac:dyDescent="0.25">
      <c r="A246" t="s">
        <v>1155</v>
      </c>
      <c r="B246" t="s">
        <v>182</v>
      </c>
      <c r="C246" s="1">
        <f t="shared" si="7"/>
        <v>46174</v>
      </c>
      <c r="F246" t="s">
        <v>155</v>
      </c>
      <c r="G246" t="s">
        <v>459</v>
      </c>
      <c r="H246" t="s">
        <v>1396</v>
      </c>
      <c r="I246" t="s">
        <v>18</v>
      </c>
      <c r="J246" t="str">
        <f>IF(COUNTIF(Pays!A:A,X246)=0,"Pays inconnu",_xlfn.XLOOKUP(X246,Pays!A:A,Pays!B:B))</f>
        <v>CH</v>
      </c>
      <c r="K246" t="str">
        <f>IF(COUNTIF(Pays!A:A,X246)=0,"Pays inconnu",_xlfn.XLOOKUP(X246,Pays!A:A,Pays!C:C))</f>
        <v>1_CH</v>
      </c>
      <c r="L246">
        <v>1</v>
      </c>
      <c r="M246">
        <f t="shared" si="6"/>
        <v>0.44</v>
      </c>
      <c r="N246" t="s">
        <v>20</v>
      </c>
      <c r="O246">
        <f>LOOKUP(X246,Pays!A:A,Pays!D:D)</f>
        <v>0</v>
      </c>
      <c r="P246">
        <v>0.15</v>
      </c>
      <c r="Q246">
        <v>0.44</v>
      </c>
      <c r="U246">
        <v>1</v>
      </c>
      <c r="W246">
        <f>IF(COUNTIF(Pays!A:A,X246)=0,"",LOOKUP(X246,Pays!A:A,Pays!E:E))</f>
        <v>0</v>
      </c>
      <c r="X246" s="8" t="s">
        <v>37</v>
      </c>
    </row>
    <row r="247" spans="1:24" x14ac:dyDescent="0.25">
      <c r="A247" t="s">
        <v>1155</v>
      </c>
      <c r="B247" t="s">
        <v>182</v>
      </c>
      <c r="C247" s="1">
        <f t="shared" si="7"/>
        <v>46174</v>
      </c>
      <c r="F247" t="s">
        <v>181</v>
      </c>
      <c r="G247" t="s">
        <v>460</v>
      </c>
      <c r="H247" t="s">
        <v>1397</v>
      </c>
      <c r="I247" t="s">
        <v>18</v>
      </c>
      <c r="J247" t="str">
        <f>IF(COUNTIF(Pays!A:A,X247)=0,"Pays inconnu",_xlfn.XLOOKUP(X247,Pays!A:A,Pays!B:B))</f>
        <v>GB</v>
      </c>
      <c r="K247" t="str">
        <f>IF(COUNTIF(Pays!A:A,X247)=0,"Pays inconnu",_xlfn.XLOOKUP(X247,Pays!A:A,Pays!C:C))</f>
        <v>1_GB</v>
      </c>
      <c r="L247">
        <v>1</v>
      </c>
      <c r="M247">
        <f t="shared" si="6"/>
        <v>0.32</v>
      </c>
      <c r="N247" t="s">
        <v>20</v>
      </c>
      <c r="O247">
        <f>LOOKUP(X247,Pays!A:A,Pays!D:D)</f>
        <v>0</v>
      </c>
      <c r="P247">
        <v>0.15</v>
      </c>
      <c r="Q247">
        <v>0.32</v>
      </c>
      <c r="U247">
        <v>1</v>
      </c>
      <c r="W247">
        <f>IF(COUNTIF(Pays!A:A,X247)=0,"",LOOKUP(X247,Pays!A:A,Pays!E:E))</f>
        <v>0</v>
      </c>
      <c r="X247" s="8" t="s">
        <v>30</v>
      </c>
    </row>
    <row r="248" spans="1:24" x14ac:dyDescent="0.25">
      <c r="A248" t="s">
        <v>1155</v>
      </c>
      <c r="B248" t="s">
        <v>182</v>
      </c>
      <c r="C248" s="1">
        <f t="shared" si="7"/>
        <v>46174</v>
      </c>
      <c r="F248" t="s">
        <v>155</v>
      </c>
      <c r="G248" t="s">
        <v>461</v>
      </c>
      <c r="H248" t="s">
        <v>1398</v>
      </c>
      <c r="I248" t="s">
        <v>18</v>
      </c>
      <c r="J248" t="str">
        <f>IF(COUNTIF(Pays!A:A,X248)=0,"Pays inconnu",_xlfn.XLOOKUP(X248,Pays!A:A,Pays!B:B))</f>
        <v>GB</v>
      </c>
      <c r="K248" t="str">
        <f>IF(COUNTIF(Pays!A:A,X248)=0,"Pays inconnu",_xlfn.XLOOKUP(X248,Pays!A:A,Pays!C:C))</f>
        <v>1_GB</v>
      </c>
      <c r="L248">
        <v>1</v>
      </c>
      <c r="M248">
        <f t="shared" si="6"/>
        <v>0.22</v>
      </c>
      <c r="N248" t="s">
        <v>20</v>
      </c>
      <c r="O248">
        <f>LOOKUP(X248,Pays!A:A,Pays!D:D)</f>
        <v>0</v>
      </c>
      <c r="P248">
        <v>0.15</v>
      </c>
      <c r="Q248">
        <v>0.22</v>
      </c>
      <c r="U248">
        <v>1</v>
      </c>
      <c r="W248">
        <f>IF(COUNTIF(Pays!A:A,X248)=0,"",LOOKUP(X248,Pays!A:A,Pays!E:E))</f>
        <v>0</v>
      </c>
      <c r="X248" s="8" t="s">
        <v>30</v>
      </c>
    </row>
    <row r="249" spans="1:24" x14ac:dyDescent="0.25">
      <c r="A249" t="s">
        <v>1155</v>
      </c>
      <c r="B249" t="s">
        <v>182</v>
      </c>
      <c r="C249" s="1">
        <f t="shared" si="7"/>
        <v>46174</v>
      </c>
      <c r="F249" t="s">
        <v>155</v>
      </c>
      <c r="G249" t="s">
        <v>462</v>
      </c>
      <c r="H249" t="s">
        <v>1399</v>
      </c>
      <c r="I249" t="s">
        <v>18</v>
      </c>
      <c r="J249" t="str">
        <f>IF(COUNTIF(Pays!A:A,X249)=0,"Pays inconnu",_xlfn.XLOOKUP(X249,Pays!A:A,Pays!B:B))</f>
        <v>GB</v>
      </c>
      <c r="K249" t="str">
        <f>IF(COUNTIF(Pays!A:A,X249)=0,"Pays inconnu",_xlfn.XLOOKUP(X249,Pays!A:A,Pays!C:C))</f>
        <v>1_GB</v>
      </c>
      <c r="L249">
        <v>1</v>
      </c>
      <c r="M249">
        <f t="shared" si="6"/>
        <v>0.25</v>
      </c>
      <c r="N249" t="s">
        <v>20</v>
      </c>
      <c r="O249">
        <f>LOOKUP(X249,Pays!A:A,Pays!D:D)</f>
        <v>0</v>
      </c>
      <c r="P249">
        <v>0.15</v>
      </c>
      <c r="Q249">
        <v>0.25</v>
      </c>
      <c r="U249">
        <v>1</v>
      </c>
      <c r="W249">
        <f>IF(COUNTIF(Pays!A:A,X249)=0,"",LOOKUP(X249,Pays!A:A,Pays!E:E))</f>
        <v>0</v>
      </c>
      <c r="X249" s="8" t="s">
        <v>30</v>
      </c>
    </row>
    <row r="250" spans="1:24" x14ac:dyDescent="0.25">
      <c r="A250" t="s">
        <v>1155</v>
      </c>
      <c r="B250" t="s">
        <v>182</v>
      </c>
      <c r="C250" s="1">
        <f t="shared" si="7"/>
        <v>46174</v>
      </c>
      <c r="F250" t="s">
        <v>155</v>
      </c>
      <c r="G250" t="s">
        <v>463</v>
      </c>
      <c r="H250" t="s">
        <v>1400</v>
      </c>
      <c r="I250" t="s">
        <v>18</v>
      </c>
      <c r="J250" t="str">
        <f>IF(COUNTIF(Pays!A:A,X250)=0,"Pays inconnu",_xlfn.XLOOKUP(X250,Pays!A:A,Pays!B:B))</f>
        <v>NL</v>
      </c>
      <c r="K250">
        <f>IF(COUNTIF(Pays!A:A,X250)=0,"Pays inconnu",_xlfn.XLOOKUP(X250,Pays!A:A,Pays!C:C))</f>
        <v>1</v>
      </c>
      <c r="L250">
        <v>1</v>
      </c>
      <c r="M250">
        <f t="shared" si="6"/>
        <v>0.78</v>
      </c>
      <c r="N250" t="s">
        <v>20</v>
      </c>
      <c r="O250">
        <f>LOOKUP(X250,Pays!A:A,Pays!D:D)</f>
        <v>0.2</v>
      </c>
      <c r="P250">
        <v>0.15</v>
      </c>
      <c r="Q250">
        <v>0.78</v>
      </c>
      <c r="U250">
        <v>1</v>
      </c>
      <c r="W250">
        <f>IF(COUNTIF(Pays!A:A,X250)=0,"",LOOKUP(X250,Pays!A:A,Pays!E:E))</f>
        <v>0</v>
      </c>
      <c r="X250" s="8" t="s">
        <v>31</v>
      </c>
    </row>
    <row r="251" spans="1:24" x14ac:dyDescent="0.25">
      <c r="A251" t="s">
        <v>1155</v>
      </c>
      <c r="B251" t="s">
        <v>182</v>
      </c>
      <c r="C251" s="1">
        <f t="shared" si="7"/>
        <v>46174</v>
      </c>
      <c r="F251" t="s">
        <v>155</v>
      </c>
      <c r="G251" t="s">
        <v>464</v>
      </c>
      <c r="H251" t="s">
        <v>1401</v>
      </c>
      <c r="I251" t="s">
        <v>18</v>
      </c>
      <c r="J251" t="str">
        <f>IF(COUNTIF(Pays!A:A,X251)=0,"Pays inconnu",_xlfn.XLOOKUP(X251,Pays!A:A,Pays!B:B))</f>
        <v>CH</v>
      </c>
      <c r="K251" t="str">
        <f>IF(COUNTIF(Pays!A:A,X251)=0,"Pays inconnu",_xlfn.XLOOKUP(X251,Pays!A:A,Pays!C:C))</f>
        <v>1_CH</v>
      </c>
      <c r="L251">
        <v>1</v>
      </c>
      <c r="M251">
        <f t="shared" si="6"/>
        <v>0.15</v>
      </c>
      <c r="N251" t="s">
        <v>20</v>
      </c>
      <c r="O251">
        <f>LOOKUP(X251,Pays!A:A,Pays!D:D)</f>
        <v>0</v>
      </c>
      <c r="P251">
        <v>0.15</v>
      </c>
      <c r="Q251">
        <v>0.13</v>
      </c>
      <c r="U251">
        <v>1</v>
      </c>
      <c r="W251">
        <f>IF(COUNTIF(Pays!A:A,X251)=0,"",LOOKUP(X251,Pays!A:A,Pays!E:E))</f>
        <v>0</v>
      </c>
      <c r="X251" s="8" t="s">
        <v>37</v>
      </c>
    </row>
    <row r="252" spans="1:24" x14ac:dyDescent="0.25">
      <c r="A252" t="s">
        <v>1155</v>
      </c>
      <c r="B252" t="s">
        <v>182</v>
      </c>
      <c r="C252" s="1">
        <f t="shared" si="7"/>
        <v>46174</v>
      </c>
      <c r="F252" t="s">
        <v>155</v>
      </c>
      <c r="G252" t="s">
        <v>465</v>
      </c>
      <c r="H252" t="s">
        <v>1402</v>
      </c>
      <c r="I252" t="s">
        <v>18</v>
      </c>
      <c r="J252" t="str">
        <f>IF(COUNTIF(Pays!A:A,X252)=0,"Pays inconnu",_xlfn.XLOOKUP(X252,Pays!A:A,Pays!B:B))</f>
        <v>CZ</v>
      </c>
      <c r="K252">
        <f>IF(COUNTIF(Pays!A:A,X252)=0,"Pays inconnu",_xlfn.XLOOKUP(X252,Pays!A:A,Pays!C:C))</f>
        <v>1</v>
      </c>
      <c r="L252">
        <v>1</v>
      </c>
      <c r="M252">
        <f t="shared" si="6"/>
        <v>0.69</v>
      </c>
      <c r="N252" t="s">
        <v>20</v>
      </c>
      <c r="O252">
        <f>LOOKUP(X252,Pays!A:A,Pays!D:D)</f>
        <v>0.2</v>
      </c>
      <c r="P252">
        <v>0.15</v>
      </c>
      <c r="Q252">
        <v>0.69</v>
      </c>
      <c r="U252">
        <v>1</v>
      </c>
      <c r="W252">
        <f>IF(COUNTIF(Pays!A:A,X252)=0,"",LOOKUP(X252,Pays!A:A,Pays!E:E))</f>
        <v>0</v>
      </c>
      <c r="X252" s="8" t="s">
        <v>87</v>
      </c>
    </row>
    <row r="253" spans="1:24" x14ac:dyDescent="0.25">
      <c r="A253" t="s">
        <v>1155</v>
      </c>
      <c r="B253" t="s">
        <v>182</v>
      </c>
      <c r="C253" s="1">
        <f t="shared" si="7"/>
        <v>46174</v>
      </c>
      <c r="F253" t="s">
        <v>155</v>
      </c>
      <c r="G253" t="s">
        <v>466</v>
      </c>
      <c r="H253" t="s">
        <v>1403</v>
      </c>
      <c r="I253" t="s">
        <v>18</v>
      </c>
      <c r="J253" t="str">
        <f>IF(COUNTIF(Pays!A:A,X253)=0,"Pays inconnu",_xlfn.XLOOKUP(X253,Pays!A:A,Pays!B:B))</f>
        <v>DE</v>
      </c>
      <c r="K253">
        <f>IF(COUNTIF(Pays!A:A,X253)=0,"Pays inconnu",_xlfn.XLOOKUP(X253,Pays!A:A,Pays!C:C))</f>
        <v>1</v>
      </c>
      <c r="L253">
        <v>1</v>
      </c>
      <c r="M253">
        <f t="shared" si="6"/>
        <v>0.62</v>
      </c>
      <c r="N253" t="s">
        <v>20</v>
      </c>
      <c r="O253">
        <f>LOOKUP(X253,Pays!A:A,Pays!D:D)</f>
        <v>0.2</v>
      </c>
      <c r="P253">
        <v>0.15</v>
      </c>
      <c r="Q253">
        <v>0.62</v>
      </c>
      <c r="U253">
        <v>1</v>
      </c>
      <c r="W253">
        <f>IF(COUNTIF(Pays!A:A,X253)=0,"",LOOKUP(X253,Pays!A:A,Pays!E:E))</f>
        <v>0</v>
      </c>
      <c r="X253" s="8" t="s">
        <v>35</v>
      </c>
    </row>
    <row r="254" spans="1:24" x14ac:dyDescent="0.25">
      <c r="A254" t="s">
        <v>1155</v>
      </c>
      <c r="B254" t="s">
        <v>182</v>
      </c>
      <c r="C254" s="1">
        <f t="shared" si="7"/>
        <v>46174</v>
      </c>
      <c r="F254" t="s">
        <v>155</v>
      </c>
      <c r="G254" t="s">
        <v>467</v>
      </c>
      <c r="H254" t="s">
        <v>1404</v>
      </c>
      <c r="I254" t="s">
        <v>18</v>
      </c>
      <c r="J254" t="str">
        <f>IF(COUNTIF(Pays!A:A,X254)=0,"Pays inconnu",_xlfn.XLOOKUP(X254,Pays!A:A,Pays!B:B))</f>
        <v>ES</v>
      </c>
      <c r="K254">
        <f>IF(COUNTIF(Pays!A:A,X254)=0,"Pays inconnu",_xlfn.XLOOKUP(X254,Pays!A:A,Pays!C:C))</f>
        <v>1</v>
      </c>
      <c r="L254">
        <v>1</v>
      </c>
      <c r="M254">
        <f t="shared" si="6"/>
        <v>0.92</v>
      </c>
      <c r="N254" t="s">
        <v>20</v>
      </c>
      <c r="O254">
        <f>LOOKUP(X254,Pays!A:A,Pays!D:D)</f>
        <v>0.2</v>
      </c>
      <c r="P254">
        <v>0.15</v>
      </c>
      <c r="Q254">
        <v>0.92</v>
      </c>
      <c r="U254">
        <v>1</v>
      </c>
      <c r="W254">
        <f>IF(COUNTIF(Pays!A:A,X254)=0,"",LOOKUP(X254,Pays!A:A,Pays!E:E))</f>
        <v>0</v>
      </c>
      <c r="X254" s="8" t="s">
        <v>29</v>
      </c>
    </row>
    <row r="255" spans="1:24" x14ac:dyDescent="0.25">
      <c r="A255" t="s">
        <v>1155</v>
      </c>
      <c r="B255" t="s">
        <v>182</v>
      </c>
      <c r="C255" s="1">
        <f t="shared" si="7"/>
        <v>46174</v>
      </c>
      <c r="F255" t="s">
        <v>155</v>
      </c>
      <c r="G255" t="s">
        <v>468</v>
      </c>
      <c r="H255" t="s">
        <v>1405</v>
      </c>
      <c r="I255" t="s">
        <v>18</v>
      </c>
      <c r="J255" t="str">
        <f>IF(COUNTIF(Pays!A:A,X255)=0,"Pays inconnu",_xlfn.XLOOKUP(X255,Pays!A:A,Pays!B:B))</f>
        <v>BE</v>
      </c>
      <c r="K255" t="str">
        <f>IF(COUNTIF(Pays!A:A,X255)=0,"Pays inconnu",_xlfn.XLOOKUP(X255,Pays!A:A,Pays!C:C))</f>
        <v>1_BE</v>
      </c>
      <c r="L255">
        <v>1</v>
      </c>
      <c r="M255">
        <f t="shared" si="6"/>
        <v>0.49</v>
      </c>
      <c r="N255" t="s">
        <v>20</v>
      </c>
      <c r="O255">
        <f>LOOKUP(X255,Pays!A:A,Pays!D:D)</f>
        <v>0.2</v>
      </c>
      <c r="P255">
        <v>0.15</v>
      </c>
      <c r="Q255">
        <v>0.49</v>
      </c>
      <c r="U255">
        <v>1</v>
      </c>
      <c r="W255">
        <f>IF(COUNTIF(Pays!A:A,X255)=0,"",LOOKUP(X255,Pays!A:A,Pays!E:E))</f>
        <v>0</v>
      </c>
      <c r="X255" s="8" t="s">
        <v>28</v>
      </c>
    </row>
    <row r="256" spans="1:24" x14ac:dyDescent="0.25">
      <c r="A256" t="s">
        <v>1155</v>
      </c>
      <c r="B256" t="s">
        <v>182</v>
      </c>
      <c r="C256" s="1">
        <f t="shared" si="7"/>
        <v>46174</v>
      </c>
      <c r="F256" t="s">
        <v>155</v>
      </c>
      <c r="G256" t="s">
        <v>469</v>
      </c>
      <c r="H256" t="s">
        <v>1406</v>
      </c>
      <c r="I256" t="s">
        <v>18</v>
      </c>
      <c r="J256" t="str">
        <f>IF(COUNTIF(Pays!A:A,X256)=0,"Pays inconnu",_xlfn.XLOOKUP(X256,Pays!A:A,Pays!B:B))</f>
        <v>BE</v>
      </c>
      <c r="K256" t="str">
        <f>IF(COUNTIF(Pays!A:A,X256)=0,"Pays inconnu",_xlfn.XLOOKUP(X256,Pays!A:A,Pays!C:C))</f>
        <v>1_BE</v>
      </c>
      <c r="L256">
        <v>1</v>
      </c>
      <c r="M256">
        <f t="shared" si="6"/>
        <v>1.0900000000000001</v>
      </c>
      <c r="N256" t="s">
        <v>20</v>
      </c>
      <c r="O256">
        <f>LOOKUP(X256,Pays!A:A,Pays!D:D)</f>
        <v>0.2</v>
      </c>
      <c r="P256">
        <v>0.15</v>
      </c>
      <c r="Q256">
        <v>1.0900000000000001</v>
      </c>
      <c r="U256">
        <v>1</v>
      </c>
      <c r="W256">
        <f>IF(COUNTIF(Pays!A:A,X256)=0,"",LOOKUP(X256,Pays!A:A,Pays!E:E))</f>
        <v>0</v>
      </c>
      <c r="X256" s="8" t="s">
        <v>28</v>
      </c>
    </row>
    <row r="257" spans="1:24" x14ac:dyDescent="0.25">
      <c r="A257" t="s">
        <v>1155</v>
      </c>
      <c r="B257" t="s">
        <v>182</v>
      </c>
      <c r="C257" s="1">
        <f t="shared" si="7"/>
        <v>46174</v>
      </c>
      <c r="F257" t="s">
        <v>155</v>
      </c>
      <c r="G257" t="s">
        <v>470</v>
      </c>
      <c r="H257" t="s">
        <v>1407</v>
      </c>
      <c r="I257" t="s">
        <v>18</v>
      </c>
      <c r="J257" t="str">
        <f>IF(COUNTIF(Pays!A:A,X257)=0,"Pays inconnu",_xlfn.XLOOKUP(X257,Pays!A:A,Pays!B:B))</f>
        <v>PT</v>
      </c>
      <c r="K257">
        <f>IF(COUNTIF(Pays!A:A,X257)=0,"Pays inconnu",_xlfn.XLOOKUP(X257,Pays!A:A,Pays!C:C))</f>
        <v>1</v>
      </c>
      <c r="L257">
        <v>1</v>
      </c>
      <c r="M257">
        <f t="shared" si="6"/>
        <v>0.67</v>
      </c>
      <c r="N257" t="s">
        <v>20</v>
      </c>
      <c r="O257">
        <f>LOOKUP(X257,Pays!A:A,Pays!D:D)</f>
        <v>0.2</v>
      </c>
      <c r="P257">
        <v>0.15</v>
      </c>
      <c r="Q257">
        <v>0.67</v>
      </c>
      <c r="U257">
        <v>1</v>
      </c>
      <c r="W257">
        <f>IF(COUNTIF(Pays!A:A,X257)=0,"",LOOKUP(X257,Pays!A:A,Pays!E:E))</f>
        <v>0</v>
      </c>
      <c r="X257" s="8" t="s">
        <v>34</v>
      </c>
    </row>
    <row r="258" spans="1:24" x14ac:dyDescent="0.25">
      <c r="A258" t="s">
        <v>1155</v>
      </c>
      <c r="B258" t="s">
        <v>182</v>
      </c>
      <c r="C258" s="1">
        <f t="shared" si="7"/>
        <v>46174</v>
      </c>
      <c r="F258" t="s">
        <v>110</v>
      </c>
      <c r="G258" t="s">
        <v>471</v>
      </c>
      <c r="H258" t="s">
        <v>1408</v>
      </c>
      <c r="I258" t="s">
        <v>18</v>
      </c>
      <c r="J258" t="str">
        <f>IF(COUNTIF(Pays!A:A,X258)=0,"Pays inconnu",_xlfn.XLOOKUP(X258,Pays!A:A,Pays!B:B))</f>
        <v>GB</v>
      </c>
      <c r="K258" t="str">
        <f>IF(COUNTIF(Pays!A:A,X258)=0,"Pays inconnu",_xlfn.XLOOKUP(X258,Pays!A:A,Pays!C:C))</f>
        <v>1_GB</v>
      </c>
      <c r="L258">
        <v>1</v>
      </c>
      <c r="M258">
        <f t="shared" si="6"/>
        <v>0.72</v>
      </c>
      <c r="N258" t="s">
        <v>20</v>
      </c>
      <c r="O258">
        <f>LOOKUP(X258,Pays!A:A,Pays!D:D)</f>
        <v>0</v>
      </c>
      <c r="P258">
        <v>0.15</v>
      </c>
      <c r="Q258">
        <v>0.72</v>
      </c>
      <c r="U258">
        <v>1</v>
      </c>
      <c r="W258">
        <f>IF(COUNTIF(Pays!A:A,X258)=0,"",LOOKUP(X258,Pays!A:A,Pays!E:E))</f>
        <v>0</v>
      </c>
      <c r="X258" s="8" t="s">
        <v>30</v>
      </c>
    </row>
    <row r="259" spans="1:24" x14ac:dyDescent="0.25">
      <c r="A259" t="s">
        <v>1155</v>
      </c>
      <c r="B259" t="s">
        <v>182</v>
      </c>
      <c r="C259" s="1">
        <f t="shared" si="7"/>
        <v>46174</v>
      </c>
      <c r="F259" t="s">
        <v>155</v>
      </c>
      <c r="G259" t="s">
        <v>472</v>
      </c>
      <c r="H259" t="s">
        <v>1409</v>
      </c>
      <c r="I259" t="s">
        <v>18</v>
      </c>
      <c r="J259" t="str">
        <f>IF(COUNTIF(Pays!A:A,X259)=0,"Pays inconnu",_xlfn.XLOOKUP(X259,Pays!A:A,Pays!B:B))</f>
        <v>GB</v>
      </c>
      <c r="K259" t="str">
        <f>IF(COUNTIF(Pays!A:A,X259)=0,"Pays inconnu",_xlfn.XLOOKUP(X259,Pays!A:A,Pays!C:C))</f>
        <v>1_GB</v>
      </c>
      <c r="L259">
        <v>1</v>
      </c>
      <c r="M259">
        <f t="shared" ref="M259:M322" si="8">ROUND(MAX(P259:Q259),2)</f>
        <v>0.23</v>
      </c>
      <c r="N259" t="s">
        <v>20</v>
      </c>
      <c r="O259">
        <f>LOOKUP(X259,Pays!A:A,Pays!D:D)</f>
        <v>0</v>
      </c>
      <c r="P259">
        <v>0.15</v>
      </c>
      <c r="Q259">
        <v>0.23</v>
      </c>
      <c r="U259">
        <v>1</v>
      </c>
      <c r="W259">
        <f>IF(COUNTIF(Pays!A:A,X259)=0,"",LOOKUP(X259,Pays!A:A,Pays!E:E))</f>
        <v>0</v>
      </c>
      <c r="X259" s="8" t="s">
        <v>30</v>
      </c>
    </row>
    <row r="260" spans="1:24" x14ac:dyDescent="0.25">
      <c r="A260" t="s">
        <v>1155</v>
      </c>
      <c r="B260" t="s">
        <v>182</v>
      </c>
      <c r="C260" s="1">
        <f t="shared" ref="C260:C323" si="9">C259</f>
        <v>46174</v>
      </c>
      <c r="F260" t="s">
        <v>155</v>
      </c>
      <c r="G260" t="s">
        <v>473</v>
      </c>
      <c r="H260" t="s">
        <v>1409</v>
      </c>
      <c r="I260" t="s">
        <v>18</v>
      </c>
      <c r="J260" t="str">
        <f>IF(COUNTIF(Pays!A:A,X260)=0,"Pays inconnu",_xlfn.XLOOKUP(X260,Pays!A:A,Pays!B:B))</f>
        <v>GB</v>
      </c>
      <c r="K260" t="str">
        <f>IF(COUNTIF(Pays!A:A,X260)=0,"Pays inconnu",_xlfn.XLOOKUP(X260,Pays!A:A,Pays!C:C))</f>
        <v>1_GB</v>
      </c>
      <c r="L260">
        <v>1</v>
      </c>
      <c r="M260">
        <f t="shared" si="8"/>
        <v>0.15</v>
      </c>
      <c r="N260" t="s">
        <v>20</v>
      </c>
      <c r="O260">
        <f>LOOKUP(X260,Pays!A:A,Pays!D:D)</f>
        <v>0</v>
      </c>
      <c r="P260">
        <v>0.15</v>
      </c>
      <c r="Q260">
        <v>0.15</v>
      </c>
      <c r="U260">
        <v>1</v>
      </c>
      <c r="W260">
        <f>IF(COUNTIF(Pays!A:A,X260)=0,"",LOOKUP(X260,Pays!A:A,Pays!E:E))</f>
        <v>0</v>
      </c>
      <c r="X260" s="8" t="s">
        <v>30</v>
      </c>
    </row>
    <row r="261" spans="1:24" x14ac:dyDescent="0.25">
      <c r="A261" t="s">
        <v>1155</v>
      </c>
      <c r="B261" t="s">
        <v>182</v>
      </c>
      <c r="C261" s="1">
        <f t="shared" si="9"/>
        <v>46174</v>
      </c>
      <c r="F261" t="s">
        <v>155</v>
      </c>
      <c r="G261" t="s">
        <v>474</v>
      </c>
      <c r="H261" t="s">
        <v>1410</v>
      </c>
      <c r="I261" t="s">
        <v>18</v>
      </c>
      <c r="J261" t="str">
        <f>IF(COUNTIF(Pays!A:A,X261)=0,"Pays inconnu",_xlfn.XLOOKUP(X261,Pays!A:A,Pays!B:B))</f>
        <v>GB</v>
      </c>
      <c r="K261" t="str">
        <f>IF(COUNTIF(Pays!A:A,X261)=0,"Pays inconnu",_xlfn.XLOOKUP(X261,Pays!A:A,Pays!C:C))</f>
        <v>1_GB</v>
      </c>
      <c r="L261">
        <v>1</v>
      </c>
      <c r="M261">
        <f t="shared" si="8"/>
        <v>0.25</v>
      </c>
      <c r="N261" t="s">
        <v>20</v>
      </c>
      <c r="O261">
        <f>LOOKUP(X261,Pays!A:A,Pays!D:D)</f>
        <v>0</v>
      </c>
      <c r="P261">
        <v>0.25</v>
      </c>
      <c r="Q261">
        <v>0.25</v>
      </c>
      <c r="U261">
        <v>1</v>
      </c>
      <c r="W261">
        <f>IF(COUNTIF(Pays!A:A,X261)=0,"",LOOKUP(X261,Pays!A:A,Pays!E:E))</f>
        <v>0</v>
      </c>
      <c r="X261" s="8" t="s">
        <v>30</v>
      </c>
    </row>
    <row r="262" spans="1:24" x14ac:dyDescent="0.25">
      <c r="A262" t="s">
        <v>1155</v>
      </c>
      <c r="B262" t="s">
        <v>182</v>
      </c>
      <c r="C262" s="1">
        <f t="shared" si="9"/>
        <v>46174</v>
      </c>
      <c r="F262" t="s">
        <v>110</v>
      </c>
      <c r="G262" t="s">
        <v>475</v>
      </c>
      <c r="H262" t="s">
        <v>1409</v>
      </c>
      <c r="I262" t="s">
        <v>18</v>
      </c>
      <c r="J262" t="str">
        <f>IF(COUNTIF(Pays!A:A,X262)=0,"Pays inconnu",_xlfn.XLOOKUP(X262,Pays!A:A,Pays!B:B))</f>
        <v>GB</v>
      </c>
      <c r="K262" t="str">
        <f>IF(COUNTIF(Pays!A:A,X262)=0,"Pays inconnu",_xlfn.XLOOKUP(X262,Pays!A:A,Pays!C:C))</f>
        <v>1_GB</v>
      </c>
      <c r="L262">
        <v>1</v>
      </c>
      <c r="M262">
        <f t="shared" si="8"/>
        <v>0.19</v>
      </c>
      <c r="N262" t="s">
        <v>20</v>
      </c>
      <c r="O262">
        <f>LOOKUP(X262,Pays!A:A,Pays!D:D)</f>
        <v>0</v>
      </c>
      <c r="P262">
        <v>0.19</v>
      </c>
      <c r="Q262">
        <v>0.19</v>
      </c>
      <c r="U262">
        <v>1</v>
      </c>
      <c r="W262">
        <f>IF(COUNTIF(Pays!A:A,X262)=0,"",LOOKUP(X262,Pays!A:A,Pays!E:E))</f>
        <v>0</v>
      </c>
      <c r="X262" s="8" t="s">
        <v>30</v>
      </c>
    </row>
    <row r="263" spans="1:24" x14ac:dyDescent="0.25">
      <c r="A263" t="s">
        <v>1155</v>
      </c>
      <c r="B263" t="s">
        <v>182</v>
      </c>
      <c r="C263" s="1">
        <f t="shared" si="9"/>
        <v>46174</v>
      </c>
      <c r="F263" t="s">
        <v>110</v>
      </c>
      <c r="G263" t="s">
        <v>476</v>
      </c>
      <c r="H263" t="s">
        <v>1411</v>
      </c>
      <c r="I263" t="s">
        <v>18</v>
      </c>
      <c r="J263" t="str">
        <f>IF(COUNTIF(Pays!A:A,X263)=0,"Pays inconnu",_xlfn.XLOOKUP(X263,Pays!A:A,Pays!B:B))</f>
        <v>PT</v>
      </c>
      <c r="K263">
        <f>IF(COUNTIF(Pays!A:A,X263)=0,"Pays inconnu",_xlfn.XLOOKUP(X263,Pays!A:A,Pays!C:C))</f>
        <v>1</v>
      </c>
      <c r="L263">
        <v>1</v>
      </c>
      <c r="M263">
        <f t="shared" si="8"/>
        <v>0.63</v>
      </c>
      <c r="N263" t="s">
        <v>20</v>
      </c>
      <c r="O263">
        <f>LOOKUP(X263,Pays!A:A,Pays!D:D)</f>
        <v>0.2</v>
      </c>
      <c r="P263">
        <v>0.15</v>
      </c>
      <c r="Q263">
        <v>0.63</v>
      </c>
      <c r="U263">
        <v>1</v>
      </c>
      <c r="W263">
        <f>IF(COUNTIF(Pays!A:A,X263)=0,"",LOOKUP(X263,Pays!A:A,Pays!E:E))</f>
        <v>0</v>
      </c>
      <c r="X263" s="8" t="s">
        <v>34</v>
      </c>
    </row>
    <row r="264" spans="1:24" x14ac:dyDescent="0.25">
      <c r="A264" t="s">
        <v>1155</v>
      </c>
      <c r="B264" t="s">
        <v>182</v>
      </c>
      <c r="C264" s="1">
        <f t="shared" si="9"/>
        <v>46174</v>
      </c>
      <c r="F264" t="s">
        <v>155</v>
      </c>
      <c r="G264" t="s">
        <v>477</v>
      </c>
      <c r="H264" t="s">
        <v>1412</v>
      </c>
      <c r="I264" t="s">
        <v>18</v>
      </c>
      <c r="J264" t="str">
        <f>IF(COUNTIF(Pays!A:A,X264)=0,"Pays inconnu",_xlfn.XLOOKUP(X264,Pays!A:A,Pays!B:B))</f>
        <v>RO</v>
      </c>
      <c r="K264">
        <f>IF(COUNTIF(Pays!A:A,X264)=0,"Pays inconnu",_xlfn.XLOOKUP(X264,Pays!A:A,Pays!C:C))</f>
        <v>1</v>
      </c>
      <c r="L264">
        <v>1</v>
      </c>
      <c r="M264">
        <f t="shared" si="8"/>
        <v>0.78</v>
      </c>
      <c r="N264" t="s">
        <v>20</v>
      </c>
      <c r="O264">
        <f>LOOKUP(X264,Pays!A:A,Pays!D:D)</f>
        <v>0.2</v>
      </c>
      <c r="P264">
        <v>0.15</v>
      </c>
      <c r="Q264">
        <v>0.78</v>
      </c>
      <c r="U264">
        <v>1</v>
      </c>
      <c r="W264">
        <f>IF(COUNTIF(Pays!A:A,X264)=0,"",LOOKUP(X264,Pays!A:A,Pays!E:E))</f>
        <v>0</v>
      </c>
      <c r="X264" s="8" t="s">
        <v>45</v>
      </c>
    </row>
    <row r="265" spans="1:24" x14ac:dyDescent="0.25">
      <c r="A265" t="s">
        <v>1155</v>
      </c>
      <c r="B265" t="s">
        <v>182</v>
      </c>
      <c r="C265" s="1">
        <f t="shared" si="9"/>
        <v>46174</v>
      </c>
      <c r="F265" t="s">
        <v>155</v>
      </c>
      <c r="G265" t="s">
        <v>478</v>
      </c>
      <c r="H265" t="s">
        <v>1413</v>
      </c>
      <c r="I265" t="s">
        <v>18</v>
      </c>
      <c r="J265" t="str">
        <f>IF(COUNTIF(Pays!A:A,X265)=0,"Pays inconnu",_xlfn.XLOOKUP(X265,Pays!A:A,Pays!B:B))</f>
        <v>LU</v>
      </c>
      <c r="K265">
        <f>IF(COUNTIF(Pays!A:A,X265)=0,"Pays inconnu",_xlfn.XLOOKUP(X265,Pays!A:A,Pays!C:C))</f>
        <v>1</v>
      </c>
      <c r="L265">
        <v>1</v>
      </c>
      <c r="M265">
        <f t="shared" si="8"/>
        <v>0.67</v>
      </c>
      <c r="N265" t="s">
        <v>20</v>
      </c>
      <c r="O265">
        <f>LOOKUP(X265,Pays!A:A,Pays!D:D)</f>
        <v>0.2</v>
      </c>
      <c r="P265">
        <v>0.15</v>
      </c>
      <c r="Q265">
        <v>0.67</v>
      </c>
      <c r="U265">
        <v>1</v>
      </c>
      <c r="W265">
        <f>IF(COUNTIF(Pays!A:A,X265)=0,"",LOOKUP(X265,Pays!A:A,Pays!E:E))</f>
        <v>0</v>
      </c>
      <c r="X265" s="8" t="s">
        <v>32</v>
      </c>
    </row>
    <row r="266" spans="1:24" x14ac:dyDescent="0.25">
      <c r="A266" t="s">
        <v>1155</v>
      </c>
      <c r="B266" t="s">
        <v>182</v>
      </c>
      <c r="C266" s="1">
        <f t="shared" si="9"/>
        <v>46174</v>
      </c>
      <c r="F266" t="s">
        <v>155</v>
      </c>
      <c r="G266" t="s">
        <v>479</v>
      </c>
      <c r="H266" t="s">
        <v>1414</v>
      </c>
      <c r="I266" t="s">
        <v>18</v>
      </c>
      <c r="J266" t="str">
        <f>IF(COUNTIF(Pays!A:A,X266)=0,"Pays inconnu",_xlfn.XLOOKUP(X266,Pays!A:A,Pays!B:B))</f>
        <v>GR</v>
      </c>
      <c r="K266">
        <f>IF(COUNTIF(Pays!A:A,X266)=0,"Pays inconnu",_xlfn.XLOOKUP(X266,Pays!A:A,Pays!C:C))</f>
        <v>1</v>
      </c>
      <c r="L266">
        <v>1</v>
      </c>
      <c r="M266">
        <f t="shared" si="8"/>
        <v>1.68</v>
      </c>
      <c r="N266" t="s">
        <v>20</v>
      </c>
      <c r="O266">
        <f>LOOKUP(X266,Pays!A:A,Pays!D:D)</f>
        <v>0.2</v>
      </c>
      <c r="P266">
        <v>0.15</v>
      </c>
      <c r="Q266">
        <v>1.68</v>
      </c>
      <c r="U266">
        <v>1</v>
      </c>
      <c r="W266">
        <f>IF(COUNTIF(Pays!A:A,X266)=0,"",LOOKUP(X266,Pays!A:A,Pays!E:E))</f>
        <v>0</v>
      </c>
      <c r="X266" s="8" t="s">
        <v>73</v>
      </c>
    </row>
    <row r="267" spans="1:24" x14ac:dyDescent="0.25">
      <c r="A267" t="s">
        <v>1155</v>
      </c>
      <c r="B267" t="s">
        <v>182</v>
      </c>
      <c r="C267" s="1">
        <f t="shared" si="9"/>
        <v>46174</v>
      </c>
      <c r="F267" t="s">
        <v>155</v>
      </c>
      <c r="G267" t="s">
        <v>480</v>
      </c>
      <c r="H267" t="s">
        <v>1415</v>
      </c>
      <c r="I267" t="s">
        <v>18</v>
      </c>
      <c r="J267" t="str">
        <f>IF(COUNTIF(Pays!A:A,X267)=0,"Pays inconnu",_xlfn.XLOOKUP(X267,Pays!A:A,Pays!B:B))</f>
        <v>CH</v>
      </c>
      <c r="K267" t="str">
        <f>IF(COUNTIF(Pays!A:A,X267)=0,"Pays inconnu",_xlfn.XLOOKUP(X267,Pays!A:A,Pays!C:C))</f>
        <v>1_CH</v>
      </c>
      <c r="L267">
        <v>1</v>
      </c>
      <c r="M267">
        <f t="shared" si="8"/>
        <v>0.74</v>
      </c>
      <c r="N267" t="s">
        <v>20</v>
      </c>
      <c r="O267">
        <f>LOOKUP(X267,Pays!A:A,Pays!D:D)</f>
        <v>0</v>
      </c>
      <c r="P267">
        <v>0.15</v>
      </c>
      <c r="Q267">
        <v>0.74</v>
      </c>
      <c r="U267">
        <v>1</v>
      </c>
      <c r="W267">
        <f>IF(COUNTIF(Pays!A:A,X267)=0,"",LOOKUP(X267,Pays!A:A,Pays!E:E))</f>
        <v>0</v>
      </c>
      <c r="X267" s="8" t="s">
        <v>37</v>
      </c>
    </row>
    <row r="268" spans="1:24" x14ac:dyDescent="0.25">
      <c r="A268" t="s">
        <v>1155</v>
      </c>
      <c r="B268" t="s">
        <v>182</v>
      </c>
      <c r="C268" s="1">
        <f t="shared" si="9"/>
        <v>46174</v>
      </c>
      <c r="F268" t="s">
        <v>155</v>
      </c>
      <c r="G268" t="s">
        <v>481</v>
      </c>
      <c r="H268" t="s">
        <v>1416</v>
      </c>
      <c r="I268" t="s">
        <v>18</v>
      </c>
      <c r="J268" t="str">
        <f>IF(COUNTIF(Pays!A:A,X268)=0,"Pays inconnu",_xlfn.XLOOKUP(X268,Pays!A:A,Pays!B:B))</f>
        <v>IE</v>
      </c>
      <c r="K268">
        <f>IF(COUNTIF(Pays!A:A,X268)=0,"Pays inconnu",_xlfn.XLOOKUP(X268,Pays!A:A,Pays!C:C))</f>
        <v>1</v>
      </c>
      <c r="L268">
        <v>1</v>
      </c>
      <c r="M268">
        <f t="shared" si="8"/>
        <v>0.63</v>
      </c>
      <c r="N268" t="s">
        <v>20</v>
      </c>
      <c r="O268">
        <f>LOOKUP(X268,Pays!A:A,Pays!D:D)</f>
        <v>0.2</v>
      </c>
      <c r="P268">
        <v>0.15</v>
      </c>
      <c r="Q268">
        <v>0.63</v>
      </c>
      <c r="U268">
        <v>1</v>
      </c>
      <c r="W268">
        <f>IF(COUNTIF(Pays!A:A,X268)=0,"",LOOKUP(X268,Pays!A:A,Pays!E:E))</f>
        <v>0</v>
      </c>
      <c r="X268" s="8" t="s">
        <v>36</v>
      </c>
    </row>
    <row r="269" spans="1:24" x14ac:dyDescent="0.25">
      <c r="A269" t="s">
        <v>1155</v>
      </c>
      <c r="B269" t="s">
        <v>182</v>
      </c>
      <c r="C269" s="1">
        <f t="shared" si="9"/>
        <v>46174</v>
      </c>
      <c r="F269" t="s">
        <v>110</v>
      </c>
      <c r="G269" t="s">
        <v>482</v>
      </c>
      <c r="H269" t="s">
        <v>1417</v>
      </c>
      <c r="I269" t="s">
        <v>18</v>
      </c>
      <c r="J269" t="str">
        <f>IF(COUNTIF(Pays!A:A,X269)=0,"Pays inconnu",_xlfn.XLOOKUP(X269,Pays!A:A,Pays!B:B))</f>
        <v>GB</v>
      </c>
      <c r="K269" t="str">
        <f>IF(COUNTIF(Pays!A:A,X269)=0,"Pays inconnu",_xlfn.XLOOKUP(X269,Pays!A:A,Pays!C:C))</f>
        <v>1_GB</v>
      </c>
      <c r="L269">
        <v>1</v>
      </c>
      <c r="M269">
        <f t="shared" si="8"/>
        <v>0.23</v>
      </c>
      <c r="N269" t="s">
        <v>20</v>
      </c>
      <c r="O269">
        <f>LOOKUP(X269,Pays!A:A,Pays!D:D)</f>
        <v>0</v>
      </c>
      <c r="P269">
        <v>0.15</v>
      </c>
      <c r="Q269">
        <v>0.23</v>
      </c>
      <c r="U269">
        <v>1</v>
      </c>
      <c r="W269">
        <f>IF(COUNTIF(Pays!A:A,X269)=0,"",LOOKUP(X269,Pays!A:A,Pays!E:E))</f>
        <v>0</v>
      </c>
      <c r="X269" s="8" t="s">
        <v>30</v>
      </c>
    </row>
    <row r="270" spans="1:24" x14ac:dyDescent="0.25">
      <c r="A270" t="s">
        <v>1155</v>
      </c>
      <c r="B270" t="s">
        <v>182</v>
      </c>
      <c r="C270" s="1">
        <f t="shared" si="9"/>
        <v>46174</v>
      </c>
      <c r="F270" t="s">
        <v>155</v>
      </c>
      <c r="G270" t="s">
        <v>483</v>
      </c>
      <c r="H270" t="s">
        <v>1418</v>
      </c>
      <c r="I270" t="s">
        <v>18</v>
      </c>
      <c r="J270" t="str">
        <f>IF(COUNTIF(Pays!A:A,X270)=0,"Pays inconnu",_xlfn.XLOOKUP(X270,Pays!A:A,Pays!B:B))</f>
        <v>NL</v>
      </c>
      <c r="K270">
        <f>IF(COUNTIF(Pays!A:A,X270)=0,"Pays inconnu",_xlfn.XLOOKUP(X270,Pays!A:A,Pays!C:C))</f>
        <v>1</v>
      </c>
      <c r="L270">
        <v>1</v>
      </c>
      <c r="M270">
        <f t="shared" si="8"/>
        <v>0.42</v>
      </c>
      <c r="N270" t="s">
        <v>20</v>
      </c>
      <c r="O270">
        <f>LOOKUP(X270,Pays!A:A,Pays!D:D)</f>
        <v>0.2</v>
      </c>
      <c r="P270">
        <v>0.15</v>
      </c>
      <c r="Q270">
        <v>0.42</v>
      </c>
      <c r="U270">
        <v>1</v>
      </c>
      <c r="W270">
        <f>IF(COUNTIF(Pays!A:A,X270)=0,"",LOOKUP(X270,Pays!A:A,Pays!E:E))</f>
        <v>0</v>
      </c>
      <c r="X270" s="8" t="s">
        <v>31</v>
      </c>
    </row>
    <row r="271" spans="1:24" x14ac:dyDescent="0.25">
      <c r="A271" t="s">
        <v>1156</v>
      </c>
      <c r="B271" t="s">
        <v>182</v>
      </c>
      <c r="C271" s="1">
        <f t="shared" si="9"/>
        <v>46174</v>
      </c>
      <c r="F271" t="s">
        <v>155</v>
      </c>
      <c r="G271" t="s">
        <v>484</v>
      </c>
      <c r="H271" t="s">
        <v>1419</v>
      </c>
      <c r="I271" t="s">
        <v>18</v>
      </c>
      <c r="J271" t="str">
        <f>IF(COUNTIF(Pays!A:A,X271)=0,"Pays inconnu",_xlfn.XLOOKUP(X271,Pays!A:A,Pays!B:B))</f>
        <v>ES</v>
      </c>
      <c r="K271">
        <f>IF(COUNTIF(Pays!A:A,X271)=0,"Pays inconnu",_xlfn.XLOOKUP(X271,Pays!A:A,Pays!C:C))</f>
        <v>1</v>
      </c>
      <c r="L271">
        <v>1</v>
      </c>
      <c r="M271">
        <f t="shared" si="8"/>
        <v>0.42</v>
      </c>
      <c r="N271" t="s">
        <v>20</v>
      </c>
      <c r="O271">
        <f>LOOKUP(X271,Pays!A:A,Pays!D:D)</f>
        <v>0.2</v>
      </c>
      <c r="P271">
        <v>0.15</v>
      </c>
      <c r="Q271">
        <v>0.42</v>
      </c>
      <c r="U271">
        <v>1</v>
      </c>
      <c r="W271">
        <f>IF(COUNTIF(Pays!A:A,X271)=0,"",LOOKUP(X271,Pays!A:A,Pays!E:E))</f>
        <v>0</v>
      </c>
      <c r="X271" s="8" t="s">
        <v>29</v>
      </c>
    </row>
    <row r="272" spans="1:24" x14ac:dyDescent="0.25">
      <c r="A272" t="s">
        <v>1156</v>
      </c>
      <c r="B272" t="s">
        <v>182</v>
      </c>
      <c r="C272" s="1">
        <f t="shared" si="9"/>
        <v>46174</v>
      </c>
      <c r="F272" t="s">
        <v>155</v>
      </c>
      <c r="G272" t="s">
        <v>485</v>
      </c>
      <c r="H272" t="s">
        <v>1324</v>
      </c>
      <c r="I272" t="s">
        <v>18</v>
      </c>
      <c r="J272" t="str">
        <f>IF(COUNTIF(Pays!A:A,X272)=0,"Pays inconnu",_xlfn.XLOOKUP(X272,Pays!A:A,Pays!B:B))</f>
        <v>IT</v>
      </c>
      <c r="K272">
        <f>IF(COUNTIF(Pays!A:A,X272)=0,"Pays inconnu",_xlfn.XLOOKUP(X272,Pays!A:A,Pays!C:C))</f>
        <v>1</v>
      </c>
      <c r="L272">
        <v>1</v>
      </c>
      <c r="M272">
        <f t="shared" si="8"/>
        <v>0.84</v>
      </c>
      <c r="N272" t="s">
        <v>20</v>
      </c>
      <c r="O272">
        <f>LOOKUP(X272,Pays!A:A,Pays!D:D)</f>
        <v>0.2</v>
      </c>
      <c r="P272">
        <v>0.15</v>
      </c>
      <c r="Q272">
        <v>0.84</v>
      </c>
      <c r="U272">
        <v>1</v>
      </c>
      <c r="W272">
        <f>IF(COUNTIF(Pays!A:A,X272)=0,"",LOOKUP(X272,Pays!A:A,Pays!E:E))</f>
        <v>0</v>
      </c>
      <c r="X272" s="8" t="s">
        <v>33</v>
      </c>
    </row>
    <row r="273" spans="1:24" x14ac:dyDescent="0.25">
      <c r="A273" t="s">
        <v>1156</v>
      </c>
      <c r="B273" t="s">
        <v>182</v>
      </c>
      <c r="C273" s="1">
        <f t="shared" si="9"/>
        <v>46174</v>
      </c>
      <c r="F273" t="s">
        <v>155</v>
      </c>
      <c r="G273" t="s">
        <v>486</v>
      </c>
      <c r="H273" t="s">
        <v>179</v>
      </c>
      <c r="I273" t="s">
        <v>18</v>
      </c>
      <c r="J273" t="str">
        <f>IF(COUNTIF(Pays!A:A,X273)=0,"Pays inconnu",_xlfn.XLOOKUP(X273,Pays!A:A,Pays!B:B))</f>
        <v>BE</v>
      </c>
      <c r="K273" t="str">
        <f>IF(COUNTIF(Pays!A:A,X273)=0,"Pays inconnu",_xlfn.XLOOKUP(X273,Pays!A:A,Pays!C:C))</f>
        <v>1_BE</v>
      </c>
      <c r="L273">
        <v>1</v>
      </c>
      <c r="M273">
        <f t="shared" si="8"/>
        <v>0.61</v>
      </c>
      <c r="N273" t="s">
        <v>20</v>
      </c>
      <c r="O273">
        <f>LOOKUP(X273,Pays!A:A,Pays!D:D)</f>
        <v>0.2</v>
      </c>
      <c r="P273">
        <v>0.15</v>
      </c>
      <c r="Q273">
        <v>0.61</v>
      </c>
      <c r="U273">
        <v>1</v>
      </c>
      <c r="W273">
        <f>IF(COUNTIF(Pays!A:A,X273)=0,"",LOOKUP(X273,Pays!A:A,Pays!E:E))</f>
        <v>0</v>
      </c>
      <c r="X273" s="8" t="s">
        <v>28</v>
      </c>
    </row>
    <row r="274" spans="1:24" x14ac:dyDescent="0.25">
      <c r="A274" t="s">
        <v>1156</v>
      </c>
      <c r="B274" t="s">
        <v>182</v>
      </c>
      <c r="C274" s="1">
        <f t="shared" si="9"/>
        <v>46174</v>
      </c>
      <c r="F274" t="s">
        <v>155</v>
      </c>
      <c r="G274" t="s">
        <v>487</v>
      </c>
      <c r="H274" t="s">
        <v>1420</v>
      </c>
      <c r="I274" t="s">
        <v>18</v>
      </c>
      <c r="J274" t="str">
        <f>IF(COUNTIF(Pays!A:A,X274)=0,"Pays inconnu",_xlfn.XLOOKUP(X274,Pays!A:A,Pays!B:B))</f>
        <v>CH</v>
      </c>
      <c r="K274" t="str">
        <f>IF(COUNTIF(Pays!A:A,X274)=0,"Pays inconnu",_xlfn.XLOOKUP(X274,Pays!A:A,Pays!C:C))</f>
        <v>1_CH</v>
      </c>
      <c r="L274">
        <v>1</v>
      </c>
      <c r="M274">
        <f t="shared" si="8"/>
        <v>0.53</v>
      </c>
      <c r="N274" t="s">
        <v>20</v>
      </c>
      <c r="O274">
        <f>LOOKUP(X274,Pays!A:A,Pays!D:D)</f>
        <v>0</v>
      </c>
      <c r="P274">
        <v>0.15</v>
      </c>
      <c r="Q274">
        <v>0.53</v>
      </c>
      <c r="U274">
        <v>1</v>
      </c>
      <c r="W274">
        <f>IF(COUNTIF(Pays!A:A,X274)=0,"",LOOKUP(X274,Pays!A:A,Pays!E:E))</f>
        <v>0</v>
      </c>
      <c r="X274" s="8" t="s">
        <v>37</v>
      </c>
    </row>
    <row r="275" spans="1:24" x14ac:dyDescent="0.25">
      <c r="A275" t="s">
        <v>1156</v>
      </c>
      <c r="B275" t="s">
        <v>182</v>
      </c>
      <c r="C275" s="1">
        <f t="shared" si="9"/>
        <v>46174</v>
      </c>
      <c r="F275" t="s">
        <v>110</v>
      </c>
      <c r="G275" t="s">
        <v>488</v>
      </c>
      <c r="H275" t="s">
        <v>1421</v>
      </c>
      <c r="I275" t="s">
        <v>18</v>
      </c>
      <c r="J275" t="str">
        <f>IF(COUNTIF(Pays!A:A,X275)=0,"Pays inconnu",_xlfn.XLOOKUP(X275,Pays!A:A,Pays!B:B))</f>
        <v>SE</v>
      </c>
      <c r="K275">
        <f>IF(COUNTIF(Pays!A:A,X275)=0,"Pays inconnu",_xlfn.XLOOKUP(X275,Pays!A:A,Pays!C:C))</f>
        <v>1</v>
      </c>
      <c r="L275">
        <v>1</v>
      </c>
      <c r="M275">
        <f t="shared" si="8"/>
        <v>0.24</v>
      </c>
      <c r="N275" t="s">
        <v>20</v>
      </c>
      <c r="O275">
        <f>LOOKUP(X275,Pays!A:A,Pays!D:D)</f>
        <v>0.2</v>
      </c>
      <c r="P275">
        <v>0.15</v>
      </c>
      <c r="Q275">
        <v>0.24</v>
      </c>
      <c r="U275">
        <v>1</v>
      </c>
      <c r="W275">
        <f>IF(COUNTIF(Pays!A:A,X275)=0,"",LOOKUP(X275,Pays!A:A,Pays!E:E))</f>
        <v>0</v>
      </c>
      <c r="X275" s="8" t="s">
        <v>78</v>
      </c>
    </row>
    <row r="276" spans="1:24" x14ac:dyDescent="0.25">
      <c r="A276" t="s">
        <v>1156</v>
      </c>
      <c r="B276" t="s">
        <v>182</v>
      </c>
      <c r="C276" s="1">
        <f t="shared" si="9"/>
        <v>46174</v>
      </c>
      <c r="F276" t="s">
        <v>155</v>
      </c>
      <c r="G276" t="s">
        <v>489</v>
      </c>
      <c r="H276" t="s">
        <v>1422</v>
      </c>
      <c r="I276" t="s">
        <v>18</v>
      </c>
      <c r="J276" t="str">
        <f>IF(COUNTIF(Pays!A:A,X276)=0,"Pays inconnu",_xlfn.XLOOKUP(X276,Pays!A:A,Pays!B:B))</f>
        <v>DK</v>
      </c>
      <c r="K276">
        <f>IF(COUNTIF(Pays!A:A,X276)=0,"Pays inconnu",_xlfn.XLOOKUP(X276,Pays!A:A,Pays!C:C))</f>
        <v>1</v>
      </c>
      <c r="L276">
        <v>1</v>
      </c>
      <c r="M276">
        <f t="shared" si="8"/>
        <v>0.21</v>
      </c>
      <c r="N276" t="s">
        <v>20</v>
      </c>
      <c r="O276">
        <f>LOOKUP(X276,Pays!A:A,Pays!D:D)</f>
        <v>0.2</v>
      </c>
      <c r="P276">
        <v>0.15</v>
      </c>
      <c r="Q276">
        <v>0.21</v>
      </c>
      <c r="U276">
        <v>1</v>
      </c>
      <c r="W276">
        <f>IF(COUNTIF(Pays!A:A,X276)=0,"",LOOKUP(X276,Pays!A:A,Pays!E:E))</f>
        <v>0</v>
      </c>
      <c r="X276" s="8" t="s">
        <v>77</v>
      </c>
    </row>
    <row r="277" spans="1:24" x14ac:dyDescent="0.25">
      <c r="A277" t="s">
        <v>1156</v>
      </c>
      <c r="B277" t="s">
        <v>182</v>
      </c>
      <c r="C277" s="1">
        <f t="shared" si="9"/>
        <v>46174</v>
      </c>
      <c r="F277" t="s">
        <v>155</v>
      </c>
      <c r="G277" t="s">
        <v>490</v>
      </c>
      <c r="H277" t="s">
        <v>1423</v>
      </c>
      <c r="I277" t="s">
        <v>18</v>
      </c>
      <c r="J277" t="str">
        <f>IF(COUNTIF(Pays!A:A,X277)=0,"Pays inconnu",_xlfn.XLOOKUP(X277,Pays!A:A,Pays!B:B))</f>
        <v>CH</v>
      </c>
      <c r="K277" t="str">
        <f>IF(COUNTIF(Pays!A:A,X277)=0,"Pays inconnu",_xlfn.XLOOKUP(X277,Pays!A:A,Pays!C:C))</f>
        <v>1_CH</v>
      </c>
      <c r="L277">
        <v>1</v>
      </c>
      <c r="M277">
        <f t="shared" si="8"/>
        <v>0.43</v>
      </c>
      <c r="N277" t="s">
        <v>20</v>
      </c>
      <c r="O277">
        <f>LOOKUP(X277,Pays!A:A,Pays!D:D)</f>
        <v>0</v>
      </c>
      <c r="P277">
        <v>0.15</v>
      </c>
      <c r="Q277">
        <v>0.43</v>
      </c>
      <c r="U277">
        <v>1</v>
      </c>
      <c r="W277">
        <f>IF(COUNTIF(Pays!A:A,X277)=0,"",LOOKUP(X277,Pays!A:A,Pays!E:E))</f>
        <v>0</v>
      </c>
      <c r="X277" s="8" t="s">
        <v>37</v>
      </c>
    </row>
    <row r="278" spans="1:24" x14ac:dyDescent="0.25">
      <c r="A278" t="s">
        <v>1156</v>
      </c>
      <c r="B278" t="s">
        <v>182</v>
      </c>
      <c r="C278" s="1">
        <f t="shared" si="9"/>
        <v>46174</v>
      </c>
      <c r="F278" t="s">
        <v>155</v>
      </c>
      <c r="G278" t="s">
        <v>491</v>
      </c>
      <c r="H278" t="s">
        <v>1424</v>
      </c>
      <c r="I278" t="s">
        <v>18</v>
      </c>
      <c r="J278" t="str">
        <f>IF(COUNTIF(Pays!A:A,X278)=0,"Pays inconnu",_xlfn.XLOOKUP(X278,Pays!A:A,Pays!B:B))</f>
        <v>CH</v>
      </c>
      <c r="K278" t="str">
        <f>IF(COUNTIF(Pays!A:A,X278)=0,"Pays inconnu",_xlfn.XLOOKUP(X278,Pays!A:A,Pays!C:C))</f>
        <v>1_CH</v>
      </c>
      <c r="L278">
        <v>1</v>
      </c>
      <c r="M278">
        <f t="shared" si="8"/>
        <v>0.42</v>
      </c>
      <c r="N278" t="s">
        <v>20</v>
      </c>
      <c r="O278">
        <f>LOOKUP(X278,Pays!A:A,Pays!D:D)</f>
        <v>0</v>
      </c>
      <c r="P278">
        <v>0.15</v>
      </c>
      <c r="Q278">
        <v>0.42</v>
      </c>
      <c r="U278">
        <v>1</v>
      </c>
      <c r="W278">
        <f>IF(COUNTIF(Pays!A:A,X278)=0,"",LOOKUP(X278,Pays!A:A,Pays!E:E))</f>
        <v>0</v>
      </c>
      <c r="X278" s="8" t="s">
        <v>37</v>
      </c>
    </row>
    <row r="279" spans="1:24" x14ac:dyDescent="0.25">
      <c r="A279" t="s">
        <v>1156</v>
      </c>
      <c r="B279" t="s">
        <v>182</v>
      </c>
      <c r="C279" s="1">
        <f t="shared" si="9"/>
        <v>46174</v>
      </c>
      <c r="F279" t="s">
        <v>155</v>
      </c>
      <c r="G279" t="s">
        <v>492</v>
      </c>
      <c r="H279" t="s">
        <v>1425</v>
      </c>
      <c r="I279" t="s">
        <v>18</v>
      </c>
      <c r="J279" t="str">
        <f>IF(COUNTIF(Pays!A:A,X279)=0,"Pays inconnu",_xlfn.XLOOKUP(X279,Pays!A:A,Pays!B:B))</f>
        <v>GB</v>
      </c>
      <c r="K279" t="str">
        <f>IF(COUNTIF(Pays!A:A,X279)=0,"Pays inconnu",_xlfn.XLOOKUP(X279,Pays!A:A,Pays!C:C))</f>
        <v>1_GB</v>
      </c>
      <c r="L279">
        <v>1</v>
      </c>
      <c r="M279">
        <f t="shared" si="8"/>
        <v>0.15</v>
      </c>
      <c r="N279" t="s">
        <v>20</v>
      </c>
      <c r="O279">
        <f>LOOKUP(X279,Pays!A:A,Pays!D:D)</f>
        <v>0</v>
      </c>
      <c r="P279">
        <v>0.15</v>
      </c>
      <c r="Q279">
        <v>0.05</v>
      </c>
      <c r="U279">
        <v>1</v>
      </c>
      <c r="W279">
        <f>IF(COUNTIF(Pays!A:A,X279)=0,"",LOOKUP(X279,Pays!A:A,Pays!E:E))</f>
        <v>0</v>
      </c>
      <c r="X279" s="8" t="s">
        <v>30</v>
      </c>
    </row>
    <row r="280" spans="1:24" x14ac:dyDescent="0.25">
      <c r="A280" t="s">
        <v>1156</v>
      </c>
      <c r="B280" t="s">
        <v>182</v>
      </c>
      <c r="C280" s="1">
        <f t="shared" si="9"/>
        <v>46174</v>
      </c>
      <c r="F280" t="s">
        <v>155</v>
      </c>
      <c r="G280" t="s">
        <v>493</v>
      </c>
      <c r="H280" t="s">
        <v>1426</v>
      </c>
      <c r="I280" t="s">
        <v>18</v>
      </c>
      <c r="J280" t="str">
        <f>IF(COUNTIF(Pays!A:A,X280)=0,"Pays inconnu",_xlfn.XLOOKUP(X280,Pays!A:A,Pays!B:B))</f>
        <v>CH</v>
      </c>
      <c r="K280" t="str">
        <f>IF(COUNTIF(Pays!A:A,X280)=0,"Pays inconnu",_xlfn.XLOOKUP(X280,Pays!A:A,Pays!C:C))</f>
        <v>1_CH</v>
      </c>
      <c r="L280">
        <v>1</v>
      </c>
      <c r="M280">
        <f t="shared" si="8"/>
        <v>0.2</v>
      </c>
      <c r="N280" t="s">
        <v>20</v>
      </c>
      <c r="O280">
        <f>LOOKUP(X280,Pays!A:A,Pays!D:D)</f>
        <v>0</v>
      </c>
      <c r="P280">
        <v>0.15</v>
      </c>
      <c r="Q280">
        <v>0.2</v>
      </c>
      <c r="U280">
        <v>1</v>
      </c>
      <c r="W280">
        <f>IF(COUNTIF(Pays!A:A,X280)=0,"",LOOKUP(X280,Pays!A:A,Pays!E:E))</f>
        <v>0</v>
      </c>
      <c r="X280" s="8" t="s">
        <v>37</v>
      </c>
    </row>
    <row r="281" spans="1:24" x14ac:dyDescent="0.25">
      <c r="A281" t="s">
        <v>1156</v>
      </c>
      <c r="B281" t="s">
        <v>182</v>
      </c>
      <c r="C281" s="1">
        <f t="shared" si="9"/>
        <v>46174</v>
      </c>
      <c r="F281" t="s">
        <v>155</v>
      </c>
      <c r="G281" t="s">
        <v>494</v>
      </c>
      <c r="H281" t="s">
        <v>1427</v>
      </c>
      <c r="I281" t="s">
        <v>18</v>
      </c>
      <c r="J281" t="str">
        <f>IF(COUNTIF(Pays!A:A,X281)=0,"Pays inconnu",_xlfn.XLOOKUP(X281,Pays!A:A,Pays!B:B))</f>
        <v>CH</v>
      </c>
      <c r="K281" t="str">
        <f>IF(COUNTIF(Pays!A:A,X281)=0,"Pays inconnu",_xlfn.XLOOKUP(X281,Pays!A:A,Pays!C:C))</f>
        <v>1_CH</v>
      </c>
      <c r="L281">
        <v>1</v>
      </c>
      <c r="M281">
        <f t="shared" si="8"/>
        <v>0.8</v>
      </c>
      <c r="N281" t="s">
        <v>20</v>
      </c>
      <c r="O281">
        <f>LOOKUP(X281,Pays!A:A,Pays!D:D)</f>
        <v>0</v>
      </c>
      <c r="P281">
        <v>0.15</v>
      </c>
      <c r="Q281">
        <v>0.8</v>
      </c>
      <c r="U281">
        <v>1</v>
      </c>
      <c r="W281">
        <f>IF(COUNTIF(Pays!A:A,X281)=0,"",LOOKUP(X281,Pays!A:A,Pays!E:E))</f>
        <v>0</v>
      </c>
      <c r="X281" s="8" t="s">
        <v>37</v>
      </c>
    </row>
    <row r="282" spans="1:24" x14ac:dyDescent="0.25">
      <c r="A282" t="s">
        <v>1156</v>
      </c>
      <c r="B282" t="s">
        <v>182</v>
      </c>
      <c r="C282" s="1">
        <f t="shared" si="9"/>
        <v>46174</v>
      </c>
      <c r="F282" t="s">
        <v>155</v>
      </c>
      <c r="G282" t="s">
        <v>495</v>
      </c>
      <c r="H282" t="s">
        <v>1428</v>
      </c>
      <c r="I282" t="s">
        <v>18</v>
      </c>
      <c r="J282" t="str">
        <f>IF(COUNTIF(Pays!A:A,X282)=0,"Pays inconnu",_xlfn.XLOOKUP(X282,Pays!A:A,Pays!B:B))</f>
        <v>SE</v>
      </c>
      <c r="K282">
        <f>IF(COUNTIF(Pays!A:A,X282)=0,"Pays inconnu",_xlfn.XLOOKUP(X282,Pays!A:A,Pays!C:C))</f>
        <v>1</v>
      </c>
      <c r="L282">
        <v>1</v>
      </c>
      <c r="M282">
        <f t="shared" si="8"/>
        <v>0.48</v>
      </c>
      <c r="N282" t="s">
        <v>20</v>
      </c>
      <c r="O282">
        <f>LOOKUP(X282,Pays!A:A,Pays!D:D)</f>
        <v>0.2</v>
      </c>
      <c r="P282">
        <v>0.15</v>
      </c>
      <c r="Q282">
        <v>0.48</v>
      </c>
      <c r="U282">
        <v>1</v>
      </c>
      <c r="W282">
        <f>IF(COUNTIF(Pays!A:A,X282)=0,"",LOOKUP(X282,Pays!A:A,Pays!E:E))</f>
        <v>0</v>
      </c>
      <c r="X282" s="8" t="s">
        <v>78</v>
      </c>
    </row>
    <row r="283" spans="1:24" x14ac:dyDescent="0.25">
      <c r="A283" t="s">
        <v>1156</v>
      </c>
      <c r="B283" t="s">
        <v>182</v>
      </c>
      <c r="C283" s="1">
        <f t="shared" si="9"/>
        <v>46174</v>
      </c>
      <c r="F283" t="s">
        <v>155</v>
      </c>
      <c r="G283" t="s">
        <v>496</v>
      </c>
      <c r="H283" t="s">
        <v>1429</v>
      </c>
      <c r="I283" t="s">
        <v>18</v>
      </c>
      <c r="J283" t="str">
        <f>IF(COUNTIF(Pays!A:A,X283)=0,"Pays inconnu",_xlfn.XLOOKUP(X283,Pays!A:A,Pays!B:B))</f>
        <v>CH</v>
      </c>
      <c r="K283" t="str">
        <f>IF(COUNTIF(Pays!A:A,X283)=0,"Pays inconnu",_xlfn.XLOOKUP(X283,Pays!A:A,Pays!C:C))</f>
        <v>1_CH</v>
      </c>
      <c r="L283">
        <v>1</v>
      </c>
      <c r="M283">
        <f t="shared" si="8"/>
        <v>1.76</v>
      </c>
      <c r="N283" t="s">
        <v>20</v>
      </c>
      <c r="O283">
        <f>LOOKUP(X283,Pays!A:A,Pays!D:D)</f>
        <v>0</v>
      </c>
      <c r="P283">
        <v>0.15</v>
      </c>
      <c r="Q283">
        <v>1.76</v>
      </c>
      <c r="U283">
        <v>1</v>
      </c>
      <c r="W283">
        <f>IF(COUNTIF(Pays!A:A,X283)=0,"",LOOKUP(X283,Pays!A:A,Pays!E:E))</f>
        <v>0</v>
      </c>
      <c r="X283" s="8" t="s">
        <v>37</v>
      </c>
    </row>
    <row r="284" spans="1:24" x14ac:dyDescent="0.25">
      <c r="A284" t="s">
        <v>1156</v>
      </c>
      <c r="B284" t="s">
        <v>182</v>
      </c>
      <c r="C284" s="1">
        <f t="shared" si="9"/>
        <v>46174</v>
      </c>
      <c r="F284" t="s">
        <v>155</v>
      </c>
      <c r="G284" t="s">
        <v>497</v>
      </c>
      <c r="H284" t="s">
        <v>1430</v>
      </c>
      <c r="I284" t="s">
        <v>18</v>
      </c>
      <c r="J284" t="str">
        <f>IF(COUNTIF(Pays!A:A,X284)=0,"Pays inconnu",_xlfn.XLOOKUP(X284,Pays!A:A,Pays!B:B))</f>
        <v>BE</v>
      </c>
      <c r="K284" t="str">
        <f>IF(COUNTIF(Pays!A:A,X284)=0,"Pays inconnu",_xlfn.XLOOKUP(X284,Pays!A:A,Pays!C:C))</f>
        <v>1_BE</v>
      </c>
      <c r="L284">
        <v>1</v>
      </c>
      <c r="M284">
        <f t="shared" si="8"/>
        <v>0.2</v>
      </c>
      <c r="N284" t="s">
        <v>20</v>
      </c>
      <c r="O284">
        <f>LOOKUP(X284,Pays!A:A,Pays!D:D)</f>
        <v>0.2</v>
      </c>
      <c r="P284">
        <v>0.15</v>
      </c>
      <c r="Q284">
        <v>0.2</v>
      </c>
      <c r="U284">
        <v>1</v>
      </c>
      <c r="W284">
        <f>IF(COUNTIF(Pays!A:A,X284)=0,"",LOOKUP(X284,Pays!A:A,Pays!E:E))</f>
        <v>0</v>
      </c>
      <c r="X284" s="8" t="s">
        <v>28</v>
      </c>
    </row>
    <row r="285" spans="1:24" x14ac:dyDescent="0.25">
      <c r="A285" t="s">
        <v>1156</v>
      </c>
      <c r="B285" t="s">
        <v>182</v>
      </c>
      <c r="C285" s="1">
        <f t="shared" si="9"/>
        <v>46174</v>
      </c>
      <c r="F285" t="s">
        <v>155</v>
      </c>
      <c r="G285" t="s">
        <v>498</v>
      </c>
      <c r="H285" t="s">
        <v>1431</v>
      </c>
      <c r="I285" t="s">
        <v>18</v>
      </c>
      <c r="J285" t="str">
        <f>IF(COUNTIF(Pays!A:A,X285)=0,"Pays inconnu",_xlfn.XLOOKUP(X285,Pays!A:A,Pays!B:B))</f>
        <v>DK</v>
      </c>
      <c r="K285">
        <f>IF(COUNTIF(Pays!A:A,X285)=0,"Pays inconnu",_xlfn.XLOOKUP(X285,Pays!A:A,Pays!C:C))</f>
        <v>1</v>
      </c>
      <c r="L285">
        <v>1</v>
      </c>
      <c r="M285">
        <f t="shared" si="8"/>
        <v>0.56999999999999995</v>
      </c>
      <c r="N285" t="s">
        <v>20</v>
      </c>
      <c r="O285">
        <f>LOOKUP(X285,Pays!A:A,Pays!D:D)</f>
        <v>0.2</v>
      </c>
      <c r="P285">
        <v>0.15</v>
      </c>
      <c r="Q285">
        <v>0.56999999999999995</v>
      </c>
      <c r="U285">
        <v>1</v>
      </c>
      <c r="W285">
        <f>IF(COUNTIF(Pays!A:A,X285)=0,"",LOOKUP(X285,Pays!A:A,Pays!E:E))</f>
        <v>0</v>
      </c>
      <c r="X285" s="8" t="s">
        <v>77</v>
      </c>
    </row>
    <row r="286" spans="1:24" x14ac:dyDescent="0.25">
      <c r="A286" t="s">
        <v>1156</v>
      </c>
      <c r="B286" t="s">
        <v>182</v>
      </c>
      <c r="C286" s="1">
        <f t="shared" si="9"/>
        <v>46174</v>
      </c>
      <c r="F286" t="s">
        <v>155</v>
      </c>
      <c r="G286" t="s">
        <v>499</v>
      </c>
      <c r="H286" t="s">
        <v>1405</v>
      </c>
      <c r="I286" t="s">
        <v>18</v>
      </c>
      <c r="J286" t="str">
        <f>IF(COUNTIF(Pays!A:A,X286)=0,"Pays inconnu",_xlfn.XLOOKUP(X286,Pays!A:A,Pays!B:B))</f>
        <v>BE</v>
      </c>
      <c r="K286" t="str">
        <f>IF(COUNTIF(Pays!A:A,X286)=0,"Pays inconnu",_xlfn.XLOOKUP(X286,Pays!A:A,Pays!C:C))</f>
        <v>1_BE</v>
      </c>
      <c r="L286">
        <v>1</v>
      </c>
      <c r="M286">
        <f t="shared" si="8"/>
        <v>0.2</v>
      </c>
      <c r="N286" t="s">
        <v>20</v>
      </c>
      <c r="O286">
        <f>LOOKUP(X286,Pays!A:A,Pays!D:D)</f>
        <v>0.2</v>
      </c>
      <c r="P286">
        <v>0.15</v>
      </c>
      <c r="Q286">
        <v>0.2</v>
      </c>
      <c r="U286">
        <v>1</v>
      </c>
      <c r="W286">
        <f>IF(COUNTIF(Pays!A:A,X286)=0,"",LOOKUP(X286,Pays!A:A,Pays!E:E))</f>
        <v>0</v>
      </c>
      <c r="X286" s="8" t="s">
        <v>28</v>
      </c>
    </row>
    <row r="287" spans="1:24" x14ac:dyDescent="0.25">
      <c r="A287" t="s">
        <v>1156</v>
      </c>
      <c r="B287" t="s">
        <v>182</v>
      </c>
      <c r="C287" s="1">
        <f t="shared" si="9"/>
        <v>46174</v>
      </c>
      <c r="F287" t="s">
        <v>155</v>
      </c>
      <c r="G287" t="s">
        <v>500</v>
      </c>
      <c r="H287" t="s">
        <v>1432</v>
      </c>
      <c r="I287" t="s">
        <v>18</v>
      </c>
      <c r="J287" t="str">
        <f>IF(COUNTIF(Pays!A:A,X287)=0,"Pays inconnu",_xlfn.XLOOKUP(X287,Pays!A:A,Pays!B:B))</f>
        <v>CZ</v>
      </c>
      <c r="K287">
        <f>IF(COUNTIF(Pays!A:A,X287)=0,"Pays inconnu",_xlfn.XLOOKUP(X287,Pays!A:A,Pays!C:C))</f>
        <v>1</v>
      </c>
      <c r="L287">
        <v>1</v>
      </c>
      <c r="M287">
        <f t="shared" si="8"/>
        <v>0.39</v>
      </c>
      <c r="N287" t="s">
        <v>20</v>
      </c>
      <c r="O287">
        <f>LOOKUP(X287,Pays!A:A,Pays!D:D)</f>
        <v>0.2</v>
      </c>
      <c r="P287">
        <v>0.15</v>
      </c>
      <c r="Q287">
        <v>0.39</v>
      </c>
      <c r="U287">
        <v>1</v>
      </c>
      <c r="W287">
        <f>IF(COUNTIF(Pays!A:A,X287)=0,"",LOOKUP(X287,Pays!A:A,Pays!E:E))</f>
        <v>0</v>
      </c>
      <c r="X287" s="8" t="s">
        <v>87</v>
      </c>
    </row>
    <row r="288" spans="1:24" x14ac:dyDescent="0.25">
      <c r="A288" t="s">
        <v>1156</v>
      </c>
      <c r="B288" t="s">
        <v>182</v>
      </c>
      <c r="C288" s="1">
        <f t="shared" si="9"/>
        <v>46174</v>
      </c>
      <c r="F288" t="s">
        <v>155</v>
      </c>
      <c r="G288" t="s">
        <v>501</v>
      </c>
      <c r="H288" t="s">
        <v>1204</v>
      </c>
      <c r="I288" t="s">
        <v>18</v>
      </c>
      <c r="J288" t="str">
        <f>IF(COUNTIF(Pays!A:A,X288)=0,"Pays inconnu",_xlfn.XLOOKUP(X288,Pays!A:A,Pays!B:B))</f>
        <v>CH</v>
      </c>
      <c r="K288" t="str">
        <f>IF(COUNTIF(Pays!A:A,X288)=0,"Pays inconnu",_xlfn.XLOOKUP(X288,Pays!A:A,Pays!C:C))</f>
        <v>1_CH</v>
      </c>
      <c r="L288">
        <v>1</v>
      </c>
      <c r="M288">
        <f t="shared" si="8"/>
        <v>0.63</v>
      </c>
      <c r="N288" t="s">
        <v>20</v>
      </c>
      <c r="O288">
        <f>LOOKUP(X288,Pays!A:A,Pays!D:D)</f>
        <v>0</v>
      </c>
      <c r="P288">
        <v>0.15</v>
      </c>
      <c r="Q288">
        <v>0.63</v>
      </c>
      <c r="U288">
        <v>1</v>
      </c>
      <c r="W288">
        <f>IF(COUNTIF(Pays!A:A,X288)=0,"",LOOKUP(X288,Pays!A:A,Pays!E:E))</f>
        <v>0</v>
      </c>
      <c r="X288" s="8" t="s">
        <v>37</v>
      </c>
    </row>
    <row r="289" spans="1:24" x14ac:dyDescent="0.25">
      <c r="A289" t="s">
        <v>1156</v>
      </c>
      <c r="B289" t="s">
        <v>182</v>
      </c>
      <c r="C289" s="1">
        <f t="shared" si="9"/>
        <v>46174</v>
      </c>
      <c r="F289" t="s">
        <v>155</v>
      </c>
      <c r="G289" t="s">
        <v>502</v>
      </c>
      <c r="H289" t="s">
        <v>1433</v>
      </c>
      <c r="I289" t="s">
        <v>18</v>
      </c>
      <c r="J289" t="str">
        <f>IF(COUNTIF(Pays!A:A,X289)=0,"Pays inconnu",_xlfn.XLOOKUP(X289,Pays!A:A,Pays!B:B))</f>
        <v>LU</v>
      </c>
      <c r="K289">
        <f>IF(COUNTIF(Pays!A:A,X289)=0,"Pays inconnu",_xlfn.XLOOKUP(X289,Pays!A:A,Pays!C:C))</f>
        <v>1</v>
      </c>
      <c r="L289">
        <v>1</v>
      </c>
      <c r="M289">
        <f t="shared" si="8"/>
        <v>0.2</v>
      </c>
      <c r="N289" t="s">
        <v>20</v>
      </c>
      <c r="O289">
        <f>LOOKUP(X289,Pays!A:A,Pays!D:D)</f>
        <v>0.2</v>
      </c>
      <c r="P289">
        <v>0.15</v>
      </c>
      <c r="Q289">
        <v>0.2</v>
      </c>
      <c r="U289">
        <v>1</v>
      </c>
      <c r="W289">
        <f>IF(COUNTIF(Pays!A:A,X289)=0,"",LOOKUP(X289,Pays!A:A,Pays!E:E))</f>
        <v>0</v>
      </c>
      <c r="X289" s="8" t="s">
        <v>32</v>
      </c>
    </row>
    <row r="290" spans="1:24" x14ac:dyDescent="0.25">
      <c r="A290" t="s">
        <v>1156</v>
      </c>
      <c r="B290" t="s">
        <v>182</v>
      </c>
      <c r="C290" s="1">
        <f t="shared" si="9"/>
        <v>46174</v>
      </c>
      <c r="F290" t="s">
        <v>155</v>
      </c>
      <c r="G290" t="s">
        <v>503</v>
      </c>
      <c r="H290" t="s">
        <v>1434</v>
      </c>
      <c r="I290" t="s">
        <v>18</v>
      </c>
      <c r="J290" t="str">
        <f>IF(COUNTIF(Pays!A:A,X290)=0,"Pays inconnu",_xlfn.XLOOKUP(X290,Pays!A:A,Pays!B:B))</f>
        <v>CH</v>
      </c>
      <c r="K290" t="str">
        <f>IF(COUNTIF(Pays!A:A,X290)=0,"Pays inconnu",_xlfn.XLOOKUP(X290,Pays!A:A,Pays!C:C))</f>
        <v>1_CH</v>
      </c>
      <c r="L290">
        <v>1</v>
      </c>
      <c r="M290">
        <f t="shared" si="8"/>
        <v>0.15</v>
      </c>
      <c r="N290" t="s">
        <v>20</v>
      </c>
      <c r="O290">
        <f>LOOKUP(X290,Pays!A:A,Pays!D:D)</f>
        <v>0</v>
      </c>
      <c r="P290">
        <v>0.15</v>
      </c>
      <c r="Q290">
        <v>0.12</v>
      </c>
      <c r="U290">
        <v>1</v>
      </c>
      <c r="W290">
        <f>IF(COUNTIF(Pays!A:A,X290)=0,"",LOOKUP(X290,Pays!A:A,Pays!E:E))</f>
        <v>0</v>
      </c>
      <c r="X290" s="8" t="s">
        <v>37</v>
      </c>
    </row>
    <row r="291" spans="1:24" x14ac:dyDescent="0.25">
      <c r="A291" t="s">
        <v>1156</v>
      </c>
      <c r="B291" t="s">
        <v>182</v>
      </c>
      <c r="C291" s="1">
        <f t="shared" si="9"/>
        <v>46174</v>
      </c>
      <c r="F291" t="s">
        <v>110</v>
      </c>
      <c r="G291" t="s">
        <v>504</v>
      </c>
      <c r="H291" t="s">
        <v>1435</v>
      </c>
      <c r="I291" t="s">
        <v>18</v>
      </c>
      <c r="J291" t="str">
        <f>IF(COUNTIF(Pays!A:A,X291)=0,"Pays inconnu",_xlfn.XLOOKUP(X291,Pays!A:A,Pays!B:B))</f>
        <v>GB</v>
      </c>
      <c r="K291" t="str">
        <f>IF(COUNTIF(Pays!A:A,X291)=0,"Pays inconnu",_xlfn.XLOOKUP(X291,Pays!A:A,Pays!C:C))</f>
        <v>1_GB</v>
      </c>
      <c r="L291">
        <v>1</v>
      </c>
      <c r="M291">
        <f t="shared" si="8"/>
        <v>0.3</v>
      </c>
      <c r="N291" t="s">
        <v>20</v>
      </c>
      <c r="O291">
        <f>LOOKUP(X291,Pays!A:A,Pays!D:D)</f>
        <v>0</v>
      </c>
      <c r="P291">
        <v>0.15</v>
      </c>
      <c r="Q291">
        <v>0.3</v>
      </c>
      <c r="U291">
        <v>1</v>
      </c>
      <c r="W291">
        <f>IF(COUNTIF(Pays!A:A,X291)=0,"",LOOKUP(X291,Pays!A:A,Pays!E:E))</f>
        <v>0</v>
      </c>
      <c r="X291" s="8" t="s">
        <v>30</v>
      </c>
    </row>
    <row r="292" spans="1:24" x14ac:dyDescent="0.25">
      <c r="A292" t="s">
        <v>1156</v>
      </c>
      <c r="B292" t="s">
        <v>182</v>
      </c>
      <c r="C292" s="1">
        <f t="shared" si="9"/>
        <v>46174</v>
      </c>
      <c r="F292" t="s">
        <v>155</v>
      </c>
      <c r="G292" t="s">
        <v>505</v>
      </c>
      <c r="H292" t="s">
        <v>1436</v>
      </c>
      <c r="I292" t="s">
        <v>18</v>
      </c>
      <c r="J292" t="str">
        <f>IF(COUNTIF(Pays!A:A,X292)=0,"Pays inconnu",_xlfn.XLOOKUP(X292,Pays!A:A,Pays!B:B))</f>
        <v>CH</v>
      </c>
      <c r="K292" t="str">
        <f>IF(COUNTIF(Pays!A:A,X292)=0,"Pays inconnu",_xlfn.XLOOKUP(X292,Pays!A:A,Pays!C:C))</f>
        <v>1_CH</v>
      </c>
      <c r="L292">
        <v>1</v>
      </c>
      <c r="M292">
        <f t="shared" si="8"/>
        <v>0.17</v>
      </c>
      <c r="N292" t="s">
        <v>20</v>
      </c>
      <c r="O292">
        <f>LOOKUP(X292,Pays!A:A,Pays!D:D)</f>
        <v>0</v>
      </c>
      <c r="P292">
        <v>0.15</v>
      </c>
      <c r="Q292">
        <v>0.17</v>
      </c>
      <c r="U292">
        <v>1</v>
      </c>
      <c r="W292">
        <f>IF(COUNTIF(Pays!A:A,X292)=0,"",LOOKUP(X292,Pays!A:A,Pays!E:E))</f>
        <v>0</v>
      </c>
      <c r="X292" s="8" t="s">
        <v>37</v>
      </c>
    </row>
    <row r="293" spans="1:24" x14ac:dyDescent="0.25">
      <c r="A293" t="s">
        <v>1156</v>
      </c>
      <c r="B293" t="s">
        <v>182</v>
      </c>
      <c r="C293" s="1">
        <f t="shared" si="9"/>
        <v>46174</v>
      </c>
      <c r="F293" t="s">
        <v>155</v>
      </c>
      <c r="G293" t="s">
        <v>506</v>
      </c>
      <c r="H293" t="s">
        <v>1437</v>
      </c>
      <c r="I293" t="s">
        <v>18</v>
      </c>
      <c r="J293" t="str">
        <f>IF(COUNTIF(Pays!A:A,X293)=0,"Pays inconnu",_xlfn.XLOOKUP(X293,Pays!A:A,Pays!B:B))</f>
        <v>BE</v>
      </c>
      <c r="K293" t="str">
        <f>IF(COUNTIF(Pays!A:A,X293)=0,"Pays inconnu",_xlfn.XLOOKUP(X293,Pays!A:A,Pays!C:C))</f>
        <v>1_BE</v>
      </c>
      <c r="L293">
        <v>1</v>
      </c>
      <c r="M293">
        <f t="shared" si="8"/>
        <v>0.42</v>
      </c>
      <c r="N293" t="s">
        <v>20</v>
      </c>
      <c r="O293">
        <f>LOOKUP(X293,Pays!A:A,Pays!D:D)</f>
        <v>0.2</v>
      </c>
      <c r="P293">
        <v>0.15</v>
      </c>
      <c r="Q293">
        <v>0.42</v>
      </c>
      <c r="U293">
        <v>1</v>
      </c>
      <c r="W293">
        <f>IF(COUNTIF(Pays!A:A,X293)=0,"",LOOKUP(X293,Pays!A:A,Pays!E:E))</f>
        <v>0</v>
      </c>
      <c r="X293" s="8" t="s">
        <v>28</v>
      </c>
    </row>
    <row r="294" spans="1:24" x14ac:dyDescent="0.25">
      <c r="A294" t="s">
        <v>1156</v>
      </c>
      <c r="B294" t="s">
        <v>182</v>
      </c>
      <c r="C294" s="1">
        <f t="shared" si="9"/>
        <v>46174</v>
      </c>
      <c r="F294" t="s">
        <v>155</v>
      </c>
      <c r="G294" t="s">
        <v>507</v>
      </c>
      <c r="H294" t="s">
        <v>1438</v>
      </c>
      <c r="I294" t="s">
        <v>18</v>
      </c>
      <c r="J294" t="str">
        <f>IF(COUNTIF(Pays!A:A,X294)=0,"Pays inconnu",_xlfn.XLOOKUP(X294,Pays!A:A,Pays!B:B))</f>
        <v>GB</v>
      </c>
      <c r="K294" t="str">
        <f>IF(COUNTIF(Pays!A:A,X294)=0,"Pays inconnu",_xlfn.XLOOKUP(X294,Pays!A:A,Pays!C:C))</f>
        <v>1_GB</v>
      </c>
      <c r="L294">
        <v>1</v>
      </c>
      <c r="M294">
        <f t="shared" si="8"/>
        <v>0.15</v>
      </c>
      <c r="N294" t="s">
        <v>20</v>
      </c>
      <c r="O294">
        <f>LOOKUP(X294,Pays!A:A,Pays!D:D)</f>
        <v>0</v>
      </c>
      <c r="P294">
        <v>0.15</v>
      </c>
      <c r="Q294">
        <v>0.06</v>
      </c>
      <c r="U294">
        <v>1</v>
      </c>
      <c r="W294">
        <f>IF(COUNTIF(Pays!A:A,X294)=0,"",LOOKUP(X294,Pays!A:A,Pays!E:E))</f>
        <v>0</v>
      </c>
      <c r="X294" s="8" t="s">
        <v>30</v>
      </c>
    </row>
    <row r="295" spans="1:24" x14ac:dyDescent="0.25">
      <c r="A295" t="s">
        <v>1156</v>
      </c>
      <c r="B295" t="s">
        <v>182</v>
      </c>
      <c r="C295" s="1">
        <f t="shared" si="9"/>
        <v>46174</v>
      </c>
      <c r="F295" t="s">
        <v>155</v>
      </c>
      <c r="G295" t="s">
        <v>508</v>
      </c>
      <c r="H295" t="s">
        <v>1439</v>
      </c>
      <c r="I295" t="s">
        <v>18</v>
      </c>
      <c r="J295" t="str">
        <f>IF(COUNTIF(Pays!A:A,X295)=0,"Pays inconnu",_xlfn.XLOOKUP(X295,Pays!A:A,Pays!B:B))</f>
        <v>CH</v>
      </c>
      <c r="K295" t="str">
        <f>IF(COUNTIF(Pays!A:A,X295)=0,"Pays inconnu",_xlfn.XLOOKUP(X295,Pays!A:A,Pays!C:C))</f>
        <v>1_CH</v>
      </c>
      <c r="L295">
        <v>1</v>
      </c>
      <c r="M295">
        <f t="shared" si="8"/>
        <v>1.77</v>
      </c>
      <c r="N295" t="s">
        <v>20</v>
      </c>
      <c r="O295">
        <f>LOOKUP(X295,Pays!A:A,Pays!D:D)</f>
        <v>0</v>
      </c>
      <c r="P295">
        <v>0.15</v>
      </c>
      <c r="Q295">
        <v>1.77</v>
      </c>
      <c r="U295">
        <v>1</v>
      </c>
      <c r="W295">
        <f>IF(COUNTIF(Pays!A:A,X295)=0,"",LOOKUP(X295,Pays!A:A,Pays!E:E))</f>
        <v>0</v>
      </c>
      <c r="X295" s="8" t="s">
        <v>37</v>
      </c>
    </row>
    <row r="296" spans="1:24" x14ac:dyDescent="0.25">
      <c r="A296" t="s">
        <v>1156</v>
      </c>
      <c r="B296" t="s">
        <v>182</v>
      </c>
      <c r="C296" s="1">
        <f t="shared" si="9"/>
        <v>46174</v>
      </c>
      <c r="F296" t="s">
        <v>155</v>
      </c>
      <c r="G296" t="s">
        <v>509</v>
      </c>
      <c r="H296" t="s">
        <v>1440</v>
      </c>
      <c r="I296" t="s">
        <v>18</v>
      </c>
      <c r="J296" t="str">
        <f>IF(COUNTIF(Pays!A:A,X296)=0,"Pays inconnu",_xlfn.XLOOKUP(X296,Pays!A:A,Pays!B:B))</f>
        <v>CH</v>
      </c>
      <c r="K296" t="str">
        <f>IF(COUNTIF(Pays!A:A,X296)=0,"Pays inconnu",_xlfn.XLOOKUP(X296,Pays!A:A,Pays!C:C))</f>
        <v>1_CH</v>
      </c>
      <c r="L296">
        <v>1</v>
      </c>
      <c r="M296">
        <f t="shared" si="8"/>
        <v>0.33</v>
      </c>
      <c r="N296" t="s">
        <v>20</v>
      </c>
      <c r="O296">
        <f>LOOKUP(X296,Pays!A:A,Pays!D:D)</f>
        <v>0</v>
      </c>
      <c r="P296">
        <v>0.15</v>
      </c>
      <c r="Q296">
        <v>0.33</v>
      </c>
      <c r="U296">
        <v>1</v>
      </c>
      <c r="W296">
        <f>IF(COUNTIF(Pays!A:A,X296)=0,"",LOOKUP(X296,Pays!A:A,Pays!E:E))</f>
        <v>0</v>
      </c>
      <c r="X296" s="8" t="s">
        <v>37</v>
      </c>
    </row>
    <row r="297" spans="1:24" x14ac:dyDescent="0.25">
      <c r="A297" t="s">
        <v>1156</v>
      </c>
      <c r="B297" t="s">
        <v>182</v>
      </c>
      <c r="C297" s="1">
        <f t="shared" si="9"/>
        <v>46174</v>
      </c>
      <c r="F297" t="s">
        <v>155</v>
      </c>
      <c r="G297" t="s">
        <v>510</v>
      </c>
      <c r="H297" t="s">
        <v>1441</v>
      </c>
      <c r="I297" t="s">
        <v>18</v>
      </c>
      <c r="J297" t="str">
        <f>IF(COUNTIF(Pays!A:A,X297)=0,"Pays inconnu",_xlfn.XLOOKUP(X297,Pays!A:A,Pays!B:B))</f>
        <v>HK</v>
      </c>
      <c r="K297">
        <f>IF(COUNTIF(Pays!A:A,X297)=0,"Pays inconnu",_xlfn.XLOOKUP(X297,Pays!A:A,Pays!C:C))</f>
        <v>2</v>
      </c>
      <c r="L297">
        <v>1</v>
      </c>
      <c r="M297">
        <f t="shared" si="8"/>
        <v>1.22</v>
      </c>
      <c r="N297" t="s">
        <v>20</v>
      </c>
      <c r="O297">
        <f>LOOKUP(X297,Pays!A:A,Pays!D:D)</f>
        <v>0</v>
      </c>
      <c r="P297">
        <v>1.2210000000000001</v>
      </c>
      <c r="Q297">
        <v>1.1200000000000001</v>
      </c>
      <c r="U297">
        <v>1</v>
      </c>
      <c r="W297">
        <f>IF(COUNTIF(Pays!A:A,X297)=0,"",LOOKUP(X297,Pays!A:A,Pays!E:E))</f>
        <v>0</v>
      </c>
      <c r="X297" s="8" t="s">
        <v>162</v>
      </c>
    </row>
    <row r="298" spans="1:24" x14ac:dyDescent="0.25">
      <c r="A298" t="s">
        <v>1156</v>
      </c>
      <c r="B298" t="s">
        <v>182</v>
      </c>
      <c r="C298" s="1">
        <f t="shared" si="9"/>
        <v>46174</v>
      </c>
      <c r="F298" t="s">
        <v>155</v>
      </c>
      <c r="G298" t="s">
        <v>511</v>
      </c>
      <c r="H298" t="s">
        <v>1422</v>
      </c>
      <c r="I298" t="s">
        <v>18</v>
      </c>
      <c r="J298" t="str">
        <f>IF(COUNTIF(Pays!A:A,X298)=0,"Pays inconnu",_xlfn.XLOOKUP(X298,Pays!A:A,Pays!B:B))</f>
        <v>DK</v>
      </c>
      <c r="K298">
        <f>IF(COUNTIF(Pays!A:A,X298)=0,"Pays inconnu",_xlfn.XLOOKUP(X298,Pays!A:A,Pays!C:C))</f>
        <v>1</v>
      </c>
      <c r="L298">
        <v>1</v>
      </c>
      <c r="M298">
        <f t="shared" si="8"/>
        <v>0.84</v>
      </c>
      <c r="N298" t="s">
        <v>20</v>
      </c>
      <c r="O298">
        <f>LOOKUP(X298,Pays!A:A,Pays!D:D)</f>
        <v>0.2</v>
      </c>
      <c r="P298">
        <v>0.15</v>
      </c>
      <c r="Q298">
        <v>0.84</v>
      </c>
      <c r="U298">
        <v>1</v>
      </c>
      <c r="W298">
        <f>IF(COUNTIF(Pays!A:A,X298)=0,"",LOOKUP(X298,Pays!A:A,Pays!E:E))</f>
        <v>0</v>
      </c>
      <c r="X298" s="8" t="s">
        <v>77</v>
      </c>
    </row>
    <row r="299" spans="1:24" x14ac:dyDescent="0.25">
      <c r="A299" t="s">
        <v>1156</v>
      </c>
      <c r="B299" t="s">
        <v>182</v>
      </c>
      <c r="C299" s="1">
        <f t="shared" si="9"/>
        <v>46174</v>
      </c>
      <c r="F299" t="s">
        <v>155</v>
      </c>
      <c r="G299" t="s">
        <v>512</v>
      </c>
      <c r="H299" t="s">
        <v>1442</v>
      </c>
      <c r="I299" t="s">
        <v>18</v>
      </c>
      <c r="J299" t="str">
        <f>IF(COUNTIF(Pays!A:A,X299)=0,"Pays inconnu",_xlfn.XLOOKUP(X299,Pays!A:A,Pays!B:B))</f>
        <v>BE</v>
      </c>
      <c r="K299" t="str">
        <f>IF(COUNTIF(Pays!A:A,X299)=0,"Pays inconnu",_xlfn.XLOOKUP(X299,Pays!A:A,Pays!C:C))</f>
        <v>1_BE</v>
      </c>
      <c r="L299">
        <v>1</v>
      </c>
      <c r="M299">
        <f t="shared" si="8"/>
        <v>0.45</v>
      </c>
      <c r="N299" t="s">
        <v>20</v>
      </c>
      <c r="O299">
        <f>LOOKUP(X299,Pays!A:A,Pays!D:D)</f>
        <v>0.2</v>
      </c>
      <c r="P299">
        <v>0.15</v>
      </c>
      <c r="Q299">
        <v>0.45</v>
      </c>
      <c r="U299">
        <v>1</v>
      </c>
      <c r="W299">
        <f>IF(COUNTIF(Pays!A:A,X299)=0,"",LOOKUP(X299,Pays!A:A,Pays!E:E))</f>
        <v>0</v>
      </c>
      <c r="X299" s="8" t="s">
        <v>28</v>
      </c>
    </row>
    <row r="300" spans="1:24" x14ac:dyDescent="0.25">
      <c r="A300" t="s">
        <v>1156</v>
      </c>
      <c r="B300" t="s">
        <v>182</v>
      </c>
      <c r="C300" s="1">
        <f t="shared" si="9"/>
        <v>46174</v>
      </c>
      <c r="F300" t="s">
        <v>155</v>
      </c>
      <c r="G300" t="s">
        <v>513</v>
      </c>
      <c r="H300" t="s">
        <v>1443</v>
      </c>
      <c r="I300" t="s">
        <v>18</v>
      </c>
      <c r="J300" t="str">
        <f>IF(COUNTIF(Pays!A:A,X300)=0,"Pays inconnu",_xlfn.XLOOKUP(X300,Pays!A:A,Pays!B:B))</f>
        <v>SE</v>
      </c>
      <c r="K300">
        <f>IF(COUNTIF(Pays!A:A,X300)=0,"Pays inconnu",_xlfn.XLOOKUP(X300,Pays!A:A,Pays!C:C))</f>
        <v>1</v>
      </c>
      <c r="L300">
        <v>1</v>
      </c>
      <c r="M300">
        <f t="shared" si="8"/>
        <v>1</v>
      </c>
      <c r="N300" t="s">
        <v>20</v>
      </c>
      <c r="O300">
        <f>LOOKUP(X300,Pays!A:A,Pays!D:D)</f>
        <v>0.2</v>
      </c>
      <c r="P300">
        <v>0.15</v>
      </c>
      <c r="Q300">
        <v>1</v>
      </c>
      <c r="U300">
        <v>1</v>
      </c>
      <c r="W300">
        <f>IF(COUNTIF(Pays!A:A,X300)=0,"",LOOKUP(X300,Pays!A:A,Pays!E:E))</f>
        <v>0</v>
      </c>
      <c r="X300" s="8" t="s">
        <v>78</v>
      </c>
    </row>
    <row r="301" spans="1:24" x14ac:dyDescent="0.25">
      <c r="A301" t="s">
        <v>1156</v>
      </c>
      <c r="B301" t="s">
        <v>182</v>
      </c>
      <c r="C301" s="1">
        <f t="shared" si="9"/>
        <v>46174</v>
      </c>
      <c r="F301" t="s">
        <v>155</v>
      </c>
      <c r="G301" t="s">
        <v>514</v>
      </c>
      <c r="H301" t="s">
        <v>1444</v>
      </c>
      <c r="I301" t="s">
        <v>18</v>
      </c>
      <c r="J301" t="str">
        <f>IF(COUNTIF(Pays!A:A,X301)=0,"Pays inconnu",_xlfn.XLOOKUP(X301,Pays!A:A,Pays!B:B))</f>
        <v>ES</v>
      </c>
      <c r="K301">
        <f>IF(COUNTIF(Pays!A:A,X301)=0,"Pays inconnu",_xlfn.XLOOKUP(X301,Pays!A:A,Pays!C:C))</f>
        <v>1</v>
      </c>
      <c r="L301">
        <v>1</v>
      </c>
      <c r="M301">
        <f t="shared" si="8"/>
        <v>1</v>
      </c>
      <c r="N301" t="s">
        <v>20</v>
      </c>
      <c r="O301">
        <f>LOOKUP(X301,Pays!A:A,Pays!D:D)</f>
        <v>0.2</v>
      </c>
      <c r="P301">
        <v>0.15</v>
      </c>
      <c r="Q301">
        <v>1</v>
      </c>
      <c r="U301">
        <v>1</v>
      </c>
      <c r="W301">
        <f>IF(COUNTIF(Pays!A:A,X301)=0,"",LOOKUP(X301,Pays!A:A,Pays!E:E))</f>
        <v>0</v>
      </c>
      <c r="X301" s="8" t="s">
        <v>29</v>
      </c>
    </row>
    <row r="302" spans="1:24" x14ac:dyDescent="0.25">
      <c r="A302" t="s">
        <v>1156</v>
      </c>
      <c r="B302" t="s">
        <v>182</v>
      </c>
      <c r="C302" s="1">
        <f t="shared" si="9"/>
        <v>46174</v>
      </c>
      <c r="F302" t="s">
        <v>155</v>
      </c>
      <c r="G302" t="s">
        <v>515</v>
      </c>
      <c r="H302" t="s">
        <v>1445</v>
      </c>
      <c r="I302" t="s">
        <v>18</v>
      </c>
      <c r="J302" t="str">
        <f>IF(COUNTIF(Pays!A:A,X302)=0,"Pays inconnu",_xlfn.XLOOKUP(X302,Pays!A:A,Pays!B:B))</f>
        <v>ES</v>
      </c>
      <c r="K302">
        <f>IF(COUNTIF(Pays!A:A,X302)=0,"Pays inconnu",_xlfn.XLOOKUP(X302,Pays!A:A,Pays!C:C))</f>
        <v>1</v>
      </c>
      <c r="L302">
        <v>1</v>
      </c>
      <c r="M302">
        <f t="shared" si="8"/>
        <v>0.42</v>
      </c>
      <c r="N302" t="s">
        <v>20</v>
      </c>
      <c r="O302">
        <f>LOOKUP(X302,Pays!A:A,Pays!D:D)</f>
        <v>0.2</v>
      </c>
      <c r="P302">
        <v>0.15</v>
      </c>
      <c r="Q302">
        <v>0.42</v>
      </c>
      <c r="U302">
        <v>1</v>
      </c>
      <c r="W302">
        <f>IF(COUNTIF(Pays!A:A,X302)=0,"",LOOKUP(X302,Pays!A:A,Pays!E:E))</f>
        <v>0</v>
      </c>
      <c r="X302" s="8" t="s">
        <v>29</v>
      </c>
    </row>
    <row r="303" spans="1:24" x14ac:dyDescent="0.25">
      <c r="A303" t="s">
        <v>1156</v>
      </c>
      <c r="B303" t="s">
        <v>182</v>
      </c>
      <c r="C303" s="1">
        <f t="shared" si="9"/>
        <v>46174</v>
      </c>
      <c r="F303" t="s">
        <v>155</v>
      </c>
      <c r="G303" t="s">
        <v>516</v>
      </c>
      <c r="H303" t="s">
        <v>1446</v>
      </c>
      <c r="I303" t="s">
        <v>18</v>
      </c>
      <c r="J303" t="str">
        <f>IF(COUNTIF(Pays!A:A,X303)=0,"Pays inconnu",_xlfn.XLOOKUP(X303,Pays!A:A,Pays!B:B))</f>
        <v>CA</v>
      </c>
      <c r="K303">
        <f>IF(COUNTIF(Pays!A:A,X303)=0,"Pays inconnu",_xlfn.XLOOKUP(X303,Pays!A:A,Pays!C:C))</f>
        <v>2</v>
      </c>
      <c r="L303">
        <v>1</v>
      </c>
      <c r="M303">
        <f t="shared" si="8"/>
        <v>0.66</v>
      </c>
      <c r="N303" t="s">
        <v>20</v>
      </c>
      <c r="O303">
        <f>LOOKUP(X303,Pays!A:A,Pays!D:D)</f>
        <v>0</v>
      </c>
      <c r="P303">
        <v>0.15</v>
      </c>
      <c r="Q303">
        <v>0.66</v>
      </c>
      <c r="U303">
        <v>1</v>
      </c>
      <c r="W303">
        <f>IF(COUNTIF(Pays!A:A,X303)=0,"",LOOKUP(X303,Pays!A:A,Pays!E:E))</f>
        <v>1.5</v>
      </c>
      <c r="X303" s="8" t="s">
        <v>44</v>
      </c>
    </row>
    <row r="304" spans="1:24" x14ac:dyDescent="0.25">
      <c r="A304" t="s">
        <v>1156</v>
      </c>
      <c r="B304" t="s">
        <v>182</v>
      </c>
      <c r="C304" s="1">
        <f t="shared" si="9"/>
        <v>46174</v>
      </c>
      <c r="F304" t="s">
        <v>155</v>
      </c>
      <c r="G304" t="s">
        <v>517</v>
      </c>
      <c r="H304" t="s">
        <v>1447</v>
      </c>
      <c r="I304" t="s">
        <v>18</v>
      </c>
      <c r="J304" t="str">
        <f>IF(COUNTIF(Pays!A:A,X304)=0,"Pays inconnu",_xlfn.XLOOKUP(X304,Pays!A:A,Pays!B:B))</f>
        <v>BE</v>
      </c>
      <c r="K304" t="str">
        <f>IF(COUNTIF(Pays!A:A,X304)=0,"Pays inconnu",_xlfn.XLOOKUP(X304,Pays!A:A,Pays!C:C))</f>
        <v>1_BE</v>
      </c>
      <c r="L304">
        <v>1</v>
      </c>
      <c r="M304">
        <f t="shared" si="8"/>
        <v>0.32</v>
      </c>
      <c r="N304" t="s">
        <v>20</v>
      </c>
      <c r="O304">
        <f>LOOKUP(X304,Pays!A:A,Pays!D:D)</f>
        <v>0.2</v>
      </c>
      <c r="P304">
        <v>0.15</v>
      </c>
      <c r="Q304">
        <v>0.32</v>
      </c>
      <c r="U304">
        <v>1</v>
      </c>
      <c r="W304">
        <f>IF(COUNTIF(Pays!A:A,X304)=0,"",LOOKUP(X304,Pays!A:A,Pays!E:E))</f>
        <v>0</v>
      </c>
      <c r="X304" s="8" t="s">
        <v>28</v>
      </c>
    </row>
    <row r="305" spans="1:24" x14ac:dyDescent="0.25">
      <c r="A305" t="s">
        <v>1156</v>
      </c>
      <c r="B305" t="s">
        <v>182</v>
      </c>
      <c r="C305" s="1">
        <f t="shared" si="9"/>
        <v>46174</v>
      </c>
      <c r="F305" t="s">
        <v>155</v>
      </c>
      <c r="G305" t="s">
        <v>518</v>
      </c>
      <c r="H305" t="s">
        <v>1448</v>
      </c>
      <c r="I305" t="s">
        <v>18</v>
      </c>
      <c r="J305" t="str">
        <f>IF(COUNTIF(Pays!A:A,X305)=0,"Pays inconnu",_xlfn.XLOOKUP(X305,Pays!A:A,Pays!B:B))</f>
        <v>BE</v>
      </c>
      <c r="K305" t="str">
        <f>IF(COUNTIF(Pays!A:A,X305)=0,"Pays inconnu",_xlfn.XLOOKUP(X305,Pays!A:A,Pays!C:C))</f>
        <v>1_BE</v>
      </c>
      <c r="L305">
        <v>1</v>
      </c>
      <c r="M305">
        <f t="shared" si="8"/>
        <v>0.15</v>
      </c>
      <c r="N305" t="s">
        <v>20</v>
      </c>
      <c r="O305">
        <f>LOOKUP(X305,Pays!A:A,Pays!D:D)</f>
        <v>0.2</v>
      </c>
      <c r="P305">
        <v>0.15</v>
      </c>
      <c r="Q305">
        <v>0.13</v>
      </c>
      <c r="U305">
        <v>1</v>
      </c>
      <c r="W305">
        <f>IF(COUNTIF(Pays!A:A,X305)=0,"",LOOKUP(X305,Pays!A:A,Pays!E:E))</f>
        <v>0</v>
      </c>
      <c r="X305" s="8" t="s">
        <v>28</v>
      </c>
    </row>
    <row r="306" spans="1:24" x14ac:dyDescent="0.25">
      <c r="A306" t="s">
        <v>1156</v>
      </c>
      <c r="B306" t="s">
        <v>182</v>
      </c>
      <c r="C306" s="1">
        <f t="shared" si="9"/>
        <v>46174</v>
      </c>
      <c r="F306" t="s">
        <v>155</v>
      </c>
      <c r="G306" t="s">
        <v>519</v>
      </c>
      <c r="H306" t="s">
        <v>1449</v>
      </c>
      <c r="I306" t="s">
        <v>18</v>
      </c>
      <c r="J306" t="str">
        <f>IF(COUNTIF(Pays!A:A,X306)=0,"Pays inconnu",_xlfn.XLOOKUP(X306,Pays!A:A,Pays!B:B))</f>
        <v>BE</v>
      </c>
      <c r="K306" t="str">
        <f>IF(COUNTIF(Pays!A:A,X306)=0,"Pays inconnu",_xlfn.XLOOKUP(X306,Pays!A:A,Pays!C:C))</f>
        <v>1_BE</v>
      </c>
      <c r="L306">
        <v>1</v>
      </c>
      <c r="M306">
        <f t="shared" si="8"/>
        <v>0.45</v>
      </c>
      <c r="N306" t="s">
        <v>20</v>
      </c>
      <c r="O306">
        <f>LOOKUP(X306,Pays!A:A,Pays!D:D)</f>
        <v>0.2</v>
      </c>
      <c r="P306">
        <v>0.15</v>
      </c>
      <c r="Q306">
        <v>0.45</v>
      </c>
      <c r="U306">
        <v>1</v>
      </c>
      <c r="W306">
        <f>IF(COUNTIF(Pays!A:A,X306)=0,"",LOOKUP(X306,Pays!A:A,Pays!E:E))</f>
        <v>0</v>
      </c>
      <c r="X306" s="8" t="s">
        <v>28</v>
      </c>
    </row>
    <row r="307" spans="1:24" x14ac:dyDescent="0.25">
      <c r="A307" t="s">
        <v>1156</v>
      </c>
      <c r="B307" t="s">
        <v>182</v>
      </c>
      <c r="C307" s="1">
        <f t="shared" si="9"/>
        <v>46174</v>
      </c>
      <c r="F307" t="s">
        <v>155</v>
      </c>
      <c r="G307" t="s">
        <v>520</v>
      </c>
      <c r="H307" t="s">
        <v>1450</v>
      </c>
      <c r="I307" t="s">
        <v>18</v>
      </c>
      <c r="J307" t="str">
        <f>IF(COUNTIF(Pays!A:A,X307)=0,"Pays inconnu",_xlfn.XLOOKUP(X307,Pays!A:A,Pays!B:B))</f>
        <v>CH</v>
      </c>
      <c r="K307" t="str">
        <f>IF(COUNTIF(Pays!A:A,X307)=0,"Pays inconnu",_xlfn.XLOOKUP(X307,Pays!A:A,Pays!C:C))</f>
        <v>1_CH</v>
      </c>
      <c r="L307">
        <v>1</v>
      </c>
      <c r="M307">
        <f t="shared" si="8"/>
        <v>0.53</v>
      </c>
      <c r="N307" t="s">
        <v>20</v>
      </c>
      <c r="O307">
        <f>LOOKUP(X307,Pays!A:A,Pays!D:D)</f>
        <v>0</v>
      </c>
      <c r="P307">
        <v>0.15</v>
      </c>
      <c r="Q307">
        <v>0.53</v>
      </c>
      <c r="U307">
        <v>1</v>
      </c>
      <c r="W307">
        <f>IF(COUNTIF(Pays!A:A,X307)=0,"",LOOKUP(X307,Pays!A:A,Pays!E:E))</f>
        <v>0</v>
      </c>
      <c r="X307" s="8" t="s">
        <v>37</v>
      </c>
    </row>
    <row r="308" spans="1:24" x14ac:dyDescent="0.25">
      <c r="A308" t="s">
        <v>1156</v>
      </c>
      <c r="B308" t="s">
        <v>182</v>
      </c>
      <c r="C308" s="1">
        <f t="shared" si="9"/>
        <v>46174</v>
      </c>
      <c r="F308" t="s">
        <v>155</v>
      </c>
      <c r="G308" t="s">
        <v>521</v>
      </c>
      <c r="H308" t="s">
        <v>1451</v>
      </c>
      <c r="I308" t="s">
        <v>18</v>
      </c>
      <c r="J308" t="str">
        <f>IF(COUNTIF(Pays!A:A,X308)=0,"Pays inconnu",_xlfn.XLOOKUP(X308,Pays!A:A,Pays!B:B))</f>
        <v>BE</v>
      </c>
      <c r="K308" t="str">
        <f>IF(COUNTIF(Pays!A:A,X308)=0,"Pays inconnu",_xlfn.XLOOKUP(X308,Pays!A:A,Pays!C:C))</f>
        <v>1_BE</v>
      </c>
      <c r="L308">
        <v>1</v>
      </c>
      <c r="M308">
        <f t="shared" si="8"/>
        <v>0.42</v>
      </c>
      <c r="N308" t="s">
        <v>20</v>
      </c>
      <c r="O308">
        <f>LOOKUP(X308,Pays!A:A,Pays!D:D)</f>
        <v>0.2</v>
      </c>
      <c r="P308">
        <v>0.15</v>
      </c>
      <c r="Q308">
        <v>0.42</v>
      </c>
      <c r="U308">
        <v>1</v>
      </c>
      <c r="W308">
        <f>IF(COUNTIF(Pays!A:A,X308)=0,"",LOOKUP(X308,Pays!A:A,Pays!E:E))</f>
        <v>0</v>
      </c>
      <c r="X308" s="8" t="s">
        <v>28</v>
      </c>
    </row>
    <row r="309" spans="1:24" x14ac:dyDescent="0.25">
      <c r="A309" t="s">
        <v>1156</v>
      </c>
      <c r="B309" t="s">
        <v>182</v>
      </c>
      <c r="C309" s="1">
        <f t="shared" si="9"/>
        <v>46174</v>
      </c>
      <c r="F309" t="s">
        <v>155</v>
      </c>
      <c r="G309" t="s">
        <v>522</v>
      </c>
      <c r="H309" t="s">
        <v>1452</v>
      </c>
      <c r="I309" t="s">
        <v>18</v>
      </c>
      <c r="J309" t="str">
        <f>IF(COUNTIF(Pays!A:A,X309)=0,"Pays inconnu",_xlfn.XLOOKUP(X309,Pays!A:A,Pays!B:B))</f>
        <v>CH</v>
      </c>
      <c r="K309" t="str">
        <f>IF(COUNTIF(Pays!A:A,X309)=0,"Pays inconnu",_xlfn.XLOOKUP(X309,Pays!A:A,Pays!C:C))</f>
        <v>1_CH</v>
      </c>
      <c r="L309">
        <v>1</v>
      </c>
      <c r="M309">
        <f t="shared" si="8"/>
        <v>0.32</v>
      </c>
      <c r="N309" t="s">
        <v>20</v>
      </c>
      <c r="O309">
        <f>LOOKUP(X309,Pays!A:A,Pays!D:D)</f>
        <v>0</v>
      </c>
      <c r="P309">
        <v>0.15</v>
      </c>
      <c r="Q309">
        <v>0.32</v>
      </c>
      <c r="U309">
        <v>1</v>
      </c>
      <c r="W309">
        <f>IF(COUNTIF(Pays!A:A,X309)=0,"",LOOKUP(X309,Pays!A:A,Pays!E:E))</f>
        <v>0</v>
      </c>
      <c r="X309" s="8" t="s">
        <v>37</v>
      </c>
    </row>
    <row r="310" spans="1:24" x14ac:dyDescent="0.25">
      <c r="A310" t="s">
        <v>1156</v>
      </c>
      <c r="B310" t="s">
        <v>182</v>
      </c>
      <c r="C310" s="1">
        <f t="shared" si="9"/>
        <v>46174</v>
      </c>
      <c r="F310" t="s">
        <v>110</v>
      </c>
      <c r="G310" t="s">
        <v>523</v>
      </c>
      <c r="H310" t="s">
        <v>1453</v>
      </c>
      <c r="I310" t="s">
        <v>18</v>
      </c>
      <c r="J310" t="str">
        <f>IF(COUNTIF(Pays!A:A,X310)=0,"Pays inconnu",_xlfn.XLOOKUP(X310,Pays!A:A,Pays!B:B))</f>
        <v>BE</v>
      </c>
      <c r="K310" t="str">
        <f>IF(COUNTIF(Pays!A:A,X310)=0,"Pays inconnu",_xlfn.XLOOKUP(X310,Pays!A:A,Pays!C:C))</f>
        <v>1_BE</v>
      </c>
      <c r="L310">
        <v>1</v>
      </c>
      <c r="M310">
        <f t="shared" si="8"/>
        <v>0.42</v>
      </c>
      <c r="N310" t="s">
        <v>20</v>
      </c>
      <c r="O310">
        <f>LOOKUP(X310,Pays!A:A,Pays!D:D)</f>
        <v>0.2</v>
      </c>
      <c r="P310">
        <v>0.42299999999999999</v>
      </c>
      <c r="Q310">
        <v>0.42</v>
      </c>
      <c r="U310">
        <v>1</v>
      </c>
      <c r="W310">
        <f>IF(COUNTIF(Pays!A:A,X310)=0,"",LOOKUP(X310,Pays!A:A,Pays!E:E))</f>
        <v>0</v>
      </c>
      <c r="X310" s="8" t="s">
        <v>28</v>
      </c>
    </row>
    <row r="311" spans="1:24" x14ac:dyDescent="0.25">
      <c r="A311" t="s">
        <v>1156</v>
      </c>
      <c r="B311" t="s">
        <v>182</v>
      </c>
      <c r="C311" s="1">
        <f t="shared" si="9"/>
        <v>46174</v>
      </c>
      <c r="F311" t="s">
        <v>155</v>
      </c>
      <c r="G311" t="s">
        <v>524</v>
      </c>
      <c r="H311" t="s">
        <v>1454</v>
      </c>
      <c r="I311" t="s">
        <v>18</v>
      </c>
      <c r="J311" t="str">
        <f>IF(COUNTIF(Pays!A:A,X311)=0,"Pays inconnu",_xlfn.XLOOKUP(X311,Pays!A:A,Pays!B:B))</f>
        <v>GB</v>
      </c>
      <c r="K311" t="str">
        <f>IF(COUNTIF(Pays!A:A,X311)=0,"Pays inconnu",_xlfn.XLOOKUP(X311,Pays!A:A,Pays!C:C))</f>
        <v>1_GB</v>
      </c>
      <c r="L311">
        <v>1</v>
      </c>
      <c r="M311">
        <f t="shared" si="8"/>
        <v>0.32</v>
      </c>
      <c r="N311" t="s">
        <v>20</v>
      </c>
      <c r="O311">
        <f>LOOKUP(X311,Pays!A:A,Pays!D:D)</f>
        <v>0</v>
      </c>
      <c r="P311">
        <v>0.15</v>
      </c>
      <c r="Q311">
        <v>0.32</v>
      </c>
      <c r="U311">
        <v>1</v>
      </c>
      <c r="W311">
        <f>IF(COUNTIF(Pays!A:A,X311)=0,"",LOOKUP(X311,Pays!A:A,Pays!E:E))</f>
        <v>0</v>
      </c>
      <c r="X311" s="8" t="s">
        <v>30</v>
      </c>
    </row>
    <row r="312" spans="1:24" x14ac:dyDescent="0.25">
      <c r="A312" t="s">
        <v>1156</v>
      </c>
      <c r="B312" t="s">
        <v>182</v>
      </c>
      <c r="C312" s="1">
        <f t="shared" si="9"/>
        <v>46174</v>
      </c>
      <c r="F312" t="s">
        <v>155</v>
      </c>
      <c r="G312" t="s">
        <v>525</v>
      </c>
      <c r="H312" t="s">
        <v>1455</v>
      </c>
      <c r="I312" t="s">
        <v>18</v>
      </c>
      <c r="J312" t="str">
        <f>IF(COUNTIF(Pays!A:A,X312)=0,"Pays inconnu",_xlfn.XLOOKUP(X312,Pays!A:A,Pays!B:B))</f>
        <v>BE</v>
      </c>
      <c r="K312" t="str">
        <f>IF(COUNTIF(Pays!A:A,X312)=0,"Pays inconnu",_xlfn.XLOOKUP(X312,Pays!A:A,Pays!C:C))</f>
        <v>1_BE</v>
      </c>
      <c r="L312">
        <v>1</v>
      </c>
      <c r="M312">
        <f t="shared" si="8"/>
        <v>1.02</v>
      </c>
      <c r="N312" t="s">
        <v>20</v>
      </c>
      <c r="O312">
        <f>LOOKUP(X312,Pays!A:A,Pays!D:D)</f>
        <v>0.2</v>
      </c>
      <c r="P312">
        <v>0.15</v>
      </c>
      <c r="Q312">
        <v>1.02</v>
      </c>
      <c r="U312">
        <v>1</v>
      </c>
      <c r="W312">
        <f>IF(COUNTIF(Pays!A:A,X312)=0,"",LOOKUP(X312,Pays!A:A,Pays!E:E))</f>
        <v>0</v>
      </c>
      <c r="X312" s="8" t="s">
        <v>28</v>
      </c>
    </row>
    <row r="313" spans="1:24" x14ac:dyDescent="0.25">
      <c r="A313" t="s">
        <v>1156</v>
      </c>
      <c r="B313" t="s">
        <v>182</v>
      </c>
      <c r="C313" s="1">
        <f t="shared" si="9"/>
        <v>46174</v>
      </c>
      <c r="F313" t="s">
        <v>155</v>
      </c>
      <c r="G313" t="s">
        <v>526</v>
      </c>
      <c r="H313" t="s">
        <v>1456</v>
      </c>
      <c r="I313" t="s">
        <v>18</v>
      </c>
      <c r="J313" t="str">
        <f>IF(COUNTIF(Pays!A:A,X313)=0,"Pays inconnu",_xlfn.XLOOKUP(X313,Pays!A:A,Pays!B:B))</f>
        <v>GB</v>
      </c>
      <c r="K313" t="str">
        <f>IF(COUNTIF(Pays!A:A,X313)=0,"Pays inconnu",_xlfn.XLOOKUP(X313,Pays!A:A,Pays!C:C))</f>
        <v>1_GB</v>
      </c>
      <c r="L313">
        <v>1</v>
      </c>
      <c r="M313">
        <f t="shared" si="8"/>
        <v>0.15</v>
      </c>
      <c r="N313" t="s">
        <v>20</v>
      </c>
      <c r="O313">
        <f>LOOKUP(X313,Pays!A:A,Pays!D:D)</f>
        <v>0</v>
      </c>
      <c r="P313">
        <v>0.15</v>
      </c>
      <c r="Q313">
        <v>0.12</v>
      </c>
      <c r="U313">
        <v>1</v>
      </c>
      <c r="W313">
        <f>IF(COUNTIF(Pays!A:A,X313)=0,"",LOOKUP(X313,Pays!A:A,Pays!E:E))</f>
        <v>0</v>
      </c>
      <c r="X313" s="8" t="s">
        <v>30</v>
      </c>
    </row>
    <row r="314" spans="1:24" x14ac:dyDescent="0.25">
      <c r="A314" t="s">
        <v>1156</v>
      </c>
      <c r="B314" t="s">
        <v>182</v>
      </c>
      <c r="C314" s="1">
        <f t="shared" si="9"/>
        <v>46174</v>
      </c>
      <c r="F314" t="s">
        <v>155</v>
      </c>
      <c r="G314" t="s">
        <v>527</v>
      </c>
      <c r="H314" t="s">
        <v>1457</v>
      </c>
      <c r="I314" t="s">
        <v>18</v>
      </c>
      <c r="J314" t="str">
        <f>IF(COUNTIF(Pays!A:A,X314)=0,"Pays inconnu",_xlfn.XLOOKUP(X314,Pays!A:A,Pays!B:B))</f>
        <v>BE</v>
      </c>
      <c r="K314" t="str">
        <f>IF(COUNTIF(Pays!A:A,X314)=0,"Pays inconnu",_xlfn.XLOOKUP(X314,Pays!A:A,Pays!C:C))</f>
        <v>1_BE</v>
      </c>
      <c r="L314">
        <v>1</v>
      </c>
      <c r="M314">
        <f t="shared" si="8"/>
        <v>0.2</v>
      </c>
      <c r="N314" t="s">
        <v>20</v>
      </c>
      <c r="O314">
        <f>LOOKUP(X314,Pays!A:A,Pays!D:D)</f>
        <v>0.2</v>
      </c>
      <c r="P314">
        <v>0.15</v>
      </c>
      <c r="Q314">
        <v>0.2</v>
      </c>
      <c r="U314">
        <v>1</v>
      </c>
      <c r="W314">
        <f>IF(COUNTIF(Pays!A:A,X314)=0,"",LOOKUP(X314,Pays!A:A,Pays!E:E))</f>
        <v>0</v>
      </c>
      <c r="X314" s="8" t="s">
        <v>28</v>
      </c>
    </row>
    <row r="315" spans="1:24" x14ac:dyDescent="0.25">
      <c r="A315" t="s">
        <v>1157</v>
      </c>
      <c r="B315" t="s">
        <v>182</v>
      </c>
      <c r="C315" s="1">
        <f t="shared" si="9"/>
        <v>46174</v>
      </c>
      <c r="F315" t="s">
        <v>155</v>
      </c>
      <c r="G315" t="s">
        <v>528</v>
      </c>
      <c r="H315" t="s">
        <v>1458</v>
      </c>
      <c r="I315" t="s">
        <v>18</v>
      </c>
      <c r="J315" t="str">
        <f>IF(COUNTIF(Pays!A:A,X315)=0,"Pays inconnu",_xlfn.XLOOKUP(X315,Pays!A:A,Pays!B:B))</f>
        <v>CH</v>
      </c>
      <c r="K315" t="str">
        <f>IF(COUNTIF(Pays!A:A,X315)=0,"Pays inconnu",_xlfn.XLOOKUP(X315,Pays!A:A,Pays!C:C))</f>
        <v>1_CH</v>
      </c>
      <c r="L315">
        <v>1</v>
      </c>
      <c r="M315">
        <f t="shared" si="8"/>
        <v>0.95</v>
      </c>
      <c r="N315" t="s">
        <v>20</v>
      </c>
      <c r="O315">
        <f>LOOKUP(X315,Pays!A:A,Pays!D:D)</f>
        <v>0</v>
      </c>
      <c r="P315">
        <v>0.94599999999999995</v>
      </c>
      <c r="Q315">
        <v>0.95</v>
      </c>
      <c r="U315">
        <v>1</v>
      </c>
      <c r="W315">
        <f>IF(COUNTIF(Pays!A:A,X315)=0,"",LOOKUP(X315,Pays!A:A,Pays!E:E))</f>
        <v>0</v>
      </c>
      <c r="X315" s="8" t="s">
        <v>37</v>
      </c>
    </row>
    <row r="316" spans="1:24" x14ac:dyDescent="0.25">
      <c r="A316" t="s">
        <v>1157</v>
      </c>
      <c r="B316" t="s">
        <v>182</v>
      </c>
      <c r="C316" s="1">
        <f t="shared" si="9"/>
        <v>46174</v>
      </c>
      <c r="F316" t="s">
        <v>155</v>
      </c>
      <c r="G316" t="s">
        <v>529</v>
      </c>
      <c r="H316" t="s">
        <v>1459</v>
      </c>
      <c r="I316" t="s">
        <v>18</v>
      </c>
      <c r="J316" t="str">
        <f>IF(COUNTIF(Pays!A:A,X316)=0,"Pays inconnu",_xlfn.XLOOKUP(X316,Pays!A:A,Pays!B:B))</f>
        <v>GB</v>
      </c>
      <c r="K316" t="str">
        <f>IF(COUNTIF(Pays!A:A,X316)=0,"Pays inconnu",_xlfn.XLOOKUP(X316,Pays!A:A,Pays!C:C))</f>
        <v>1_GB</v>
      </c>
      <c r="L316">
        <v>1</v>
      </c>
      <c r="M316">
        <f t="shared" si="8"/>
        <v>0.21</v>
      </c>
      <c r="N316" t="s">
        <v>20</v>
      </c>
      <c r="O316">
        <f>LOOKUP(X316,Pays!A:A,Pays!D:D)</f>
        <v>0</v>
      </c>
      <c r="P316">
        <v>0.15</v>
      </c>
      <c r="Q316">
        <v>0.21</v>
      </c>
      <c r="U316">
        <v>1</v>
      </c>
      <c r="W316">
        <f>IF(COUNTIF(Pays!A:A,X316)=0,"",LOOKUP(X316,Pays!A:A,Pays!E:E))</f>
        <v>0</v>
      </c>
      <c r="X316" s="8" t="s">
        <v>30</v>
      </c>
    </row>
    <row r="317" spans="1:24" x14ac:dyDescent="0.25">
      <c r="A317" t="s">
        <v>1157</v>
      </c>
      <c r="B317" t="s">
        <v>182</v>
      </c>
      <c r="C317" s="1">
        <f t="shared" si="9"/>
        <v>46174</v>
      </c>
      <c r="F317" t="s">
        <v>155</v>
      </c>
      <c r="G317" t="s">
        <v>530</v>
      </c>
      <c r="H317" t="s">
        <v>1460</v>
      </c>
      <c r="I317" t="s">
        <v>18</v>
      </c>
      <c r="J317" t="str">
        <f>IF(COUNTIF(Pays!A:A,X317)=0,"Pays inconnu",_xlfn.XLOOKUP(X317,Pays!A:A,Pays!B:B))</f>
        <v>CH</v>
      </c>
      <c r="K317" t="str">
        <f>IF(COUNTIF(Pays!A:A,X317)=0,"Pays inconnu",_xlfn.XLOOKUP(X317,Pays!A:A,Pays!C:C))</f>
        <v>1_CH</v>
      </c>
      <c r="L317">
        <v>1</v>
      </c>
      <c r="M317">
        <f t="shared" si="8"/>
        <v>0.27</v>
      </c>
      <c r="N317" t="s">
        <v>20</v>
      </c>
      <c r="O317">
        <f>LOOKUP(X317,Pays!A:A,Pays!D:D)</f>
        <v>0</v>
      </c>
      <c r="P317">
        <v>0.15</v>
      </c>
      <c r="Q317">
        <v>0.27</v>
      </c>
      <c r="U317">
        <v>1</v>
      </c>
      <c r="W317">
        <f>IF(COUNTIF(Pays!A:A,X317)=0,"",LOOKUP(X317,Pays!A:A,Pays!E:E))</f>
        <v>0</v>
      </c>
      <c r="X317" s="8" t="s">
        <v>37</v>
      </c>
    </row>
    <row r="318" spans="1:24" x14ac:dyDescent="0.25">
      <c r="A318" t="s">
        <v>1157</v>
      </c>
      <c r="B318" t="s">
        <v>182</v>
      </c>
      <c r="C318" s="1">
        <f t="shared" si="9"/>
        <v>46174</v>
      </c>
      <c r="F318" t="s">
        <v>155</v>
      </c>
      <c r="G318" t="s">
        <v>531</v>
      </c>
      <c r="H318" t="s">
        <v>1461</v>
      </c>
      <c r="I318" t="s">
        <v>18</v>
      </c>
      <c r="J318" t="str">
        <f>IF(COUNTIF(Pays!A:A,X318)=0,"Pays inconnu",_xlfn.XLOOKUP(X318,Pays!A:A,Pays!B:B))</f>
        <v>CH</v>
      </c>
      <c r="K318" t="str">
        <f>IF(COUNTIF(Pays!A:A,X318)=0,"Pays inconnu",_xlfn.XLOOKUP(X318,Pays!A:A,Pays!C:C))</f>
        <v>1_CH</v>
      </c>
      <c r="L318">
        <v>1</v>
      </c>
      <c r="M318">
        <f t="shared" si="8"/>
        <v>0.6</v>
      </c>
      <c r="N318" t="s">
        <v>20</v>
      </c>
      <c r="O318">
        <f>LOOKUP(X318,Pays!A:A,Pays!D:D)</f>
        <v>0</v>
      </c>
      <c r="P318">
        <v>0.15</v>
      </c>
      <c r="Q318">
        <v>0.6</v>
      </c>
      <c r="U318">
        <v>1</v>
      </c>
      <c r="W318">
        <f>IF(COUNTIF(Pays!A:A,X318)=0,"",LOOKUP(X318,Pays!A:A,Pays!E:E))</f>
        <v>0</v>
      </c>
      <c r="X318" s="8" t="s">
        <v>37</v>
      </c>
    </row>
    <row r="319" spans="1:24" x14ac:dyDescent="0.25">
      <c r="A319" t="s">
        <v>1157</v>
      </c>
      <c r="B319" t="s">
        <v>182</v>
      </c>
      <c r="C319" s="1">
        <f t="shared" si="9"/>
        <v>46174</v>
      </c>
      <c r="F319" t="s">
        <v>155</v>
      </c>
      <c r="G319" t="s">
        <v>532</v>
      </c>
      <c r="H319" t="s">
        <v>1462</v>
      </c>
      <c r="I319" t="s">
        <v>18</v>
      </c>
      <c r="J319" t="str">
        <f>IF(COUNTIF(Pays!A:A,X319)=0,"Pays inconnu",_xlfn.XLOOKUP(X319,Pays!A:A,Pays!B:B))</f>
        <v>CH</v>
      </c>
      <c r="K319" t="str">
        <f>IF(COUNTIF(Pays!A:A,X319)=0,"Pays inconnu",_xlfn.XLOOKUP(X319,Pays!A:A,Pays!C:C))</f>
        <v>1_CH</v>
      </c>
      <c r="L319">
        <v>1</v>
      </c>
      <c r="M319">
        <f t="shared" si="8"/>
        <v>0.32</v>
      </c>
      <c r="N319" t="s">
        <v>20</v>
      </c>
      <c r="O319">
        <f>LOOKUP(X319,Pays!A:A,Pays!D:D)</f>
        <v>0</v>
      </c>
      <c r="P319">
        <v>0.15</v>
      </c>
      <c r="Q319">
        <v>0.32</v>
      </c>
      <c r="U319">
        <v>1</v>
      </c>
      <c r="W319">
        <f>IF(COUNTIF(Pays!A:A,X319)=0,"",LOOKUP(X319,Pays!A:A,Pays!E:E))</f>
        <v>0</v>
      </c>
      <c r="X319" s="8" t="s">
        <v>37</v>
      </c>
    </row>
    <row r="320" spans="1:24" x14ac:dyDescent="0.25">
      <c r="A320" t="s">
        <v>1157</v>
      </c>
      <c r="B320" t="s">
        <v>182</v>
      </c>
      <c r="C320" s="1">
        <f t="shared" si="9"/>
        <v>46174</v>
      </c>
      <c r="F320" t="s">
        <v>155</v>
      </c>
      <c r="G320" t="s">
        <v>533</v>
      </c>
      <c r="H320" t="s">
        <v>1463</v>
      </c>
      <c r="I320" t="s">
        <v>18</v>
      </c>
      <c r="J320" t="str">
        <f>IF(COUNTIF(Pays!A:A,X320)=0,"Pays inconnu",_xlfn.XLOOKUP(X320,Pays!A:A,Pays!B:B))</f>
        <v>NL</v>
      </c>
      <c r="K320">
        <f>IF(COUNTIF(Pays!A:A,X320)=0,"Pays inconnu",_xlfn.XLOOKUP(X320,Pays!A:A,Pays!C:C))</f>
        <v>1</v>
      </c>
      <c r="L320">
        <v>1</v>
      </c>
      <c r="M320">
        <f t="shared" si="8"/>
        <v>0.84</v>
      </c>
      <c r="N320" t="s">
        <v>20</v>
      </c>
      <c r="O320">
        <f>LOOKUP(X320,Pays!A:A,Pays!D:D)</f>
        <v>0.2</v>
      </c>
      <c r="P320">
        <v>0.15</v>
      </c>
      <c r="Q320">
        <v>0.84</v>
      </c>
      <c r="U320">
        <v>1</v>
      </c>
      <c r="W320">
        <f>IF(COUNTIF(Pays!A:A,X320)=0,"",LOOKUP(X320,Pays!A:A,Pays!E:E))</f>
        <v>0</v>
      </c>
      <c r="X320" s="8" t="s">
        <v>31</v>
      </c>
    </row>
    <row r="321" spans="1:24" x14ac:dyDescent="0.25">
      <c r="A321" t="s">
        <v>1157</v>
      </c>
      <c r="B321" t="s">
        <v>182</v>
      </c>
      <c r="C321" s="1">
        <f t="shared" si="9"/>
        <v>46174</v>
      </c>
      <c r="F321" t="s">
        <v>155</v>
      </c>
      <c r="G321" t="s">
        <v>534</v>
      </c>
      <c r="H321" t="s">
        <v>1464</v>
      </c>
      <c r="I321" t="s">
        <v>18</v>
      </c>
      <c r="J321" t="str">
        <f>IF(COUNTIF(Pays!A:A,X321)=0,"Pays inconnu",_xlfn.XLOOKUP(X321,Pays!A:A,Pays!B:B))</f>
        <v>JP</v>
      </c>
      <c r="K321">
        <f>IF(COUNTIF(Pays!A:A,X321)=0,"Pays inconnu",_xlfn.XLOOKUP(X321,Pays!A:A,Pays!C:C))</f>
        <v>2</v>
      </c>
      <c r="L321">
        <v>1</v>
      </c>
      <c r="M321">
        <f t="shared" si="8"/>
        <v>1</v>
      </c>
      <c r="N321" t="s">
        <v>20</v>
      </c>
      <c r="O321">
        <f>LOOKUP(X321,Pays!A:A,Pays!D:D)</f>
        <v>0</v>
      </c>
      <c r="P321">
        <v>0.46</v>
      </c>
      <c r="Q321">
        <v>1</v>
      </c>
      <c r="U321">
        <v>1</v>
      </c>
      <c r="W321">
        <f>IF(COUNTIF(Pays!A:A,X321)=0,"",LOOKUP(X321,Pays!A:A,Pays!E:E))</f>
        <v>1.5</v>
      </c>
      <c r="X321" s="8" t="s">
        <v>84</v>
      </c>
    </row>
    <row r="322" spans="1:24" x14ac:dyDescent="0.25">
      <c r="A322" t="s">
        <v>1157</v>
      </c>
      <c r="B322" t="s">
        <v>182</v>
      </c>
      <c r="C322" s="1">
        <f t="shared" si="9"/>
        <v>46174</v>
      </c>
      <c r="F322" t="s">
        <v>155</v>
      </c>
      <c r="G322" t="s">
        <v>535</v>
      </c>
      <c r="H322" t="s">
        <v>1465</v>
      </c>
      <c r="I322" t="s">
        <v>18</v>
      </c>
      <c r="J322" t="str">
        <f>IF(COUNTIF(Pays!A:A,X322)=0,"Pays inconnu",_xlfn.XLOOKUP(X322,Pays!A:A,Pays!B:B))</f>
        <v>BE</v>
      </c>
      <c r="K322" t="str">
        <f>IF(COUNTIF(Pays!A:A,X322)=0,"Pays inconnu",_xlfn.XLOOKUP(X322,Pays!A:A,Pays!C:C))</f>
        <v>1_BE</v>
      </c>
      <c r="L322">
        <v>1</v>
      </c>
      <c r="M322">
        <f t="shared" si="8"/>
        <v>0.28000000000000003</v>
      </c>
      <c r="N322" t="s">
        <v>20</v>
      </c>
      <c r="O322">
        <f>LOOKUP(X322,Pays!A:A,Pays!D:D)</f>
        <v>0.2</v>
      </c>
      <c r="P322">
        <v>0.15</v>
      </c>
      <c r="Q322">
        <v>0.28000000000000003</v>
      </c>
      <c r="U322">
        <v>1</v>
      </c>
      <c r="W322">
        <f>IF(COUNTIF(Pays!A:A,X322)=0,"",LOOKUP(X322,Pays!A:A,Pays!E:E))</f>
        <v>0</v>
      </c>
      <c r="X322" s="8" t="s">
        <v>28</v>
      </c>
    </row>
    <row r="323" spans="1:24" x14ac:dyDescent="0.25">
      <c r="A323" t="s">
        <v>1157</v>
      </c>
      <c r="B323" t="s">
        <v>182</v>
      </c>
      <c r="C323" s="1">
        <f t="shared" si="9"/>
        <v>46174</v>
      </c>
      <c r="F323" t="s">
        <v>155</v>
      </c>
      <c r="G323" t="s">
        <v>536</v>
      </c>
      <c r="H323" t="s">
        <v>1466</v>
      </c>
      <c r="I323" t="s">
        <v>18</v>
      </c>
      <c r="J323" t="str">
        <f>IF(COUNTIF(Pays!A:A,X323)=0,"Pays inconnu",_xlfn.XLOOKUP(X323,Pays!A:A,Pays!B:B))</f>
        <v>CH</v>
      </c>
      <c r="K323" t="str">
        <f>IF(COUNTIF(Pays!A:A,X323)=0,"Pays inconnu",_xlfn.XLOOKUP(X323,Pays!A:A,Pays!C:C))</f>
        <v>1_CH</v>
      </c>
      <c r="L323">
        <v>1</v>
      </c>
      <c r="M323">
        <f t="shared" ref="M323:M386" si="10">ROUND(MAX(P323:Q323),2)</f>
        <v>0.53</v>
      </c>
      <c r="N323" t="s">
        <v>20</v>
      </c>
      <c r="O323">
        <f>LOOKUP(X323,Pays!A:A,Pays!D:D)</f>
        <v>0</v>
      </c>
      <c r="P323">
        <v>0.15</v>
      </c>
      <c r="Q323">
        <v>0.53</v>
      </c>
      <c r="U323">
        <v>1</v>
      </c>
      <c r="W323">
        <f>IF(COUNTIF(Pays!A:A,X323)=0,"",LOOKUP(X323,Pays!A:A,Pays!E:E))</f>
        <v>0</v>
      </c>
      <c r="X323" s="8" t="s">
        <v>37</v>
      </c>
    </row>
    <row r="324" spans="1:24" x14ac:dyDescent="0.25">
      <c r="A324" t="s">
        <v>1157</v>
      </c>
      <c r="B324" t="s">
        <v>182</v>
      </c>
      <c r="C324" s="1">
        <f t="shared" ref="C324:C387" si="11">C323</f>
        <v>46174</v>
      </c>
      <c r="F324" t="s">
        <v>155</v>
      </c>
      <c r="G324" t="s">
        <v>537</v>
      </c>
      <c r="H324" t="s">
        <v>1467</v>
      </c>
      <c r="I324" t="s">
        <v>18</v>
      </c>
      <c r="J324" t="str">
        <f>IF(COUNTIF(Pays!A:A,X324)=0,"Pays inconnu",_xlfn.XLOOKUP(X324,Pays!A:A,Pays!B:B))</f>
        <v>BE</v>
      </c>
      <c r="K324" t="str">
        <f>IF(COUNTIF(Pays!A:A,X324)=0,"Pays inconnu",_xlfn.XLOOKUP(X324,Pays!A:A,Pays!C:C))</f>
        <v>1_BE</v>
      </c>
      <c r="L324">
        <v>1</v>
      </c>
      <c r="M324">
        <f t="shared" si="10"/>
        <v>0.35</v>
      </c>
      <c r="N324" t="s">
        <v>20</v>
      </c>
      <c r="O324">
        <f>LOOKUP(X324,Pays!A:A,Pays!D:D)</f>
        <v>0.2</v>
      </c>
      <c r="P324">
        <v>0.15</v>
      </c>
      <c r="Q324">
        <v>0.35</v>
      </c>
      <c r="U324">
        <v>1</v>
      </c>
      <c r="W324">
        <f>IF(COUNTIF(Pays!A:A,X324)=0,"",LOOKUP(X324,Pays!A:A,Pays!E:E))</f>
        <v>0</v>
      </c>
      <c r="X324" s="8" t="s">
        <v>28</v>
      </c>
    </row>
    <row r="325" spans="1:24" x14ac:dyDescent="0.25">
      <c r="A325" t="s">
        <v>1157</v>
      </c>
      <c r="B325" t="s">
        <v>182</v>
      </c>
      <c r="C325" s="1">
        <f t="shared" si="11"/>
        <v>46174</v>
      </c>
      <c r="F325" t="s">
        <v>155</v>
      </c>
      <c r="G325" t="s">
        <v>538</v>
      </c>
      <c r="H325" t="s">
        <v>1468</v>
      </c>
      <c r="I325" t="s">
        <v>18</v>
      </c>
      <c r="J325" t="str">
        <f>IF(COUNTIF(Pays!A:A,X325)=0,"Pays inconnu",_xlfn.XLOOKUP(X325,Pays!A:A,Pays!B:B))</f>
        <v>BE</v>
      </c>
      <c r="K325" t="str">
        <f>IF(COUNTIF(Pays!A:A,X325)=0,"Pays inconnu",_xlfn.XLOOKUP(X325,Pays!A:A,Pays!C:C))</f>
        <v>1_BE</v>
      </c>
      <c r="L325">
        <v>1</v>
      </c>
      <c r="M325">
        <f t="shared" si="10"/>
        <v>0.15</v>
      </c>
      <c r="N325" t="s">
        <v>20</v>
      </c>
      <c r="O325">
        <f>LOOKUP(X325,Pays!A:A,Pays!D:D)</f>
        <v>0.2</v>
      </c>
      <c r="P325">
        <v>0.15</v>
      </c>
      <c r="Q325">
        <v>0.08</v>
      </c>
      <c r="U325">
        <v>1</v>
      </c>
      <c r="W325">
        <f>IF(COUNTIF(Pays!A:A,X325)=0,"",LOOKUP(X325,Pays!A:A,Pays!E:E))</f>
        <v>0</v>
      </c>
      <c r="X325" s="8" t="s">
        <v>28</v>
      </c>
    </row>
    <row r="326" spans="1:24" x14ac:dyDescent="0.25">
      <c r="A326" t="s">
        <v>1157</v>
      </c>
      <c r="B326" t="s">
        <v>182</v>
      </c>
      <c r="C326" s="1">
        <f t="shared" si="11"/>
        <v>46174</v>
      </c>
      <c r="F326" t="s">
        <v>110</v>
      </c>
      <c r="G326" t="s">
        <v>539</v>
      </c>
      <c r="H326" t="s">
        <v>1469</v>
      </c>
      <c r="I326" t="s">
        <v>18</v>
      </c>
      <c r="J326" t="str">
        <f>IF(COUNTIF(Pays!A:A,X326)=0,"Pays inconnu",_xlfn.XLOOKUP(X326,Pays!A:A,Pays!B:B))</f>
        <v>GR</v>
      </c>
      <c r="K326">
        <f>IF(COUNTIF(Pays!A:A,X326)=0,"Pays inconnu",_xlfn.XLOOKUP(X326,Pays!A:A,Pays!C:C))</f>
        <v>1</v>
      </c>
      <c r="L326">
        <v>1</v>
      </c>
      <c r="M326">
        <f t="shared" si="10"/>
        <v>0.63</v>
      </c>
      <c r="N326" t="s">
        <v>20</v>
      </c>
      <c r="O326">
        <f>LOOKUP(X326,Pays!A:A,Pays!D:D)</f>
        <v>0.2</v>
      </c>
      <c r="P326">
        <v>0.15</v>
      </c>
      <c r="Q326">
        <v>0.63</v>
      </c>
      <c r="U326">
        <v>1</v>
      </c>
      <c r="W326">
        <f>IF(COUNTIF(Pays!A:A,X326)=0,"",LOOKUP(X326,Pays!A:A,Pays!E:E))</f>
        <v>0</v>
      </c>
      <c r="X326" s="8" t="s">
        <v>73</v>
      </c>
    </row>
    <row r="327" spans="1:24" x14ac:dyDescent="0.25">
      <c r="A327" t="s">
        <v>1157</v>
      </c>
      <c r="B327" t="s">
        <v>182</v>
      </c>
      <c r="C327" s="1">
        <f t="shared" si="11"/>
        <v>46174</v>
      </c>
      <c r="F327" t="s">
        <v>155</v>
      </c>
      <c r="G327" t="s">
        <v>540</v>
      </c>
      <c r="H327" t="s">
        <v>173</v>
      </c>
      <c r="I327" t="s">
        <v>18</v>
      </c>
      <c r="J327" t="str">
        <f>IF(COUNTIF(Pays!A:A,X327)=0,"Pays inconnu",_xlfn.XLOOKUP(X327,Pays!A:A,Pays!B:B))</f>
        <v>BE</v>
      </c>
      <c r="K327" t="str">
        <f>IF(COUNTIF(Pays!A:A,X327)=0,"Pays inconnu",_xlfn.XLOOKUP(X327,Pays!A:A,Pays!C:C))</f>
        <v>1_BE</v>
      </c>
      <c r="L327">
        <v>1</v>
      </c>
      <c r="M327">
        <f t="shared" si="10"/>
        <v>0.21</v>
      </c>
      <c r="N327" t="s">
        <v>20</v>
      </c>
      <c r="O327">
        <f>LOOKUP(X327,Pays!A:A,Pays!D:D)</f>
        <v>0.2</v>
      </c>
      <c r="P327">
        <v>0.15</v>
      </c>
      <c r="Q327">
        <v>0.21</v>
      </c>
      <c r="U327">
        <v>1</v>
      </c>
      <c r="W327">
        <f>IF(COUNTIF(Pays!A:A,X327)=0,"",LOOKUP(X327,Pays!A:A,Pays!E:E))</f>
        <v>0</v>
      </c>
      <c r="X327" s="8" t="s">
        <v>28</v>
      </c>
    </row>
    <row r="328" spans="1:24" x14ac:dyDescent="0.25">
      <c r="A328" t="s">
        <v>1157</v>
      </c>
      <c r="B328" t="s">
        <v>182</v>
      </c>
      <c r="C328" s="1">
        <f t="shared" si="11"/>
        <v>46174</v>
      </c>
      <c r="F328" t="s">
        <v>155</v>
      </c>
      <c r="G328" t="s">
        <v>541</v>
      </c>
      <c r="H328" t="s">
        <v>1470</v>
      </c>
      <c r="I328" t="s">
        <v>18</v>
      </c>
      <c r="J328" t="str">
        <f>IF(COUNTIF(Pays!A:A,X328)=0,"Pays inconnu",_xlfn.XLOOKUP(X328,Pays!A:A,Pays!B:B))</f>
        <v>CH</v>
      </c>
      <c r="K328" t="str">
        <f>IF(COUNTIF(Pays!A:A,X328)=0,"Pays inconnu",_xlfn.XLOOKUP(X328,Pays!A:A,Pays!C:C))</f>
        <v>1_CH</v>
      </c>
      <c r="L328">
        <v>1</v>
      </c>
      <c r="M328">
        <f t="shared" si="10"/>
        <v>0.17</v>
      </c>
      <c r="N328" t="s">
        <v>20</v>
      </c>
      <c r="O328">
        <f>LOOKUP(X328,Pays!A:A,Pays!D:D)</f>
        <v>0</v>
      </c>
      <c r="P328">
        <v>0.15</v>
      </c>
      <c r="Q328">
        <v>0.17</v>
      </c>
      <c r="U328">
        <v>1</v>
      </c>
      <c r="W328">
        <f>IF(COUNTIF(Pays!A:A,X328)=0,"",LOOKUP(X328,Pays!A:A,Pays!E:E))</f>
        <v>0</v>
      </c>
      <c r="X328" s="8" t="s">
        <v>37</v>
      </c>
    </row>
    <row r="329" spans="1:24" x14ac:dyDescent="0.25">
      <c r="A329" t="s">
        <v>1157</v>
      </c>
      <c r="B329" t="s">
        <v>182</v>
      </c>
      <c r="C329" s="1">
        <f t="shared" si="11"/>
        <v>46174</v>
      </c>
      <c r="F329" t="s">
        <v>155</v>
      </c>
      <c r="G329" t="s">
        <v>542</v>
      </c>
      <c r="H329" t="s">
        <v>1471</v>
      </c>
      <c r="I329" t="s">
        <v>18</v>
      </c>
      <c r="J329" t="str">
        <f>IF(COUNTIF(Pays!A:A,X329)=0,"Pays inconnu",_xlfn.XLOOKUP(X329,Pays!A:A,Pays!B:B))</f>
        <v>CH</v>
      </c>
      <c r="K329" t="str">
        <f>IF(COUNTIF(Pays!A:A,X329)=0,"Pays inconnu",_xlfn.XLOOKUP(X329,Pays!A:A,Pays!C:C))</f>
        <v>1_CH</v>
      </c>
      <c r="L329">
        <v>1</v>
      </c>
      <c r="M329">
        <f t="shared" si="10"/>
        <v>0.42</v>
      </c>
      <c r="N329" t="s">
        <v>20</v>
      </c>
      <c r="O329">
        <f>LOOKUP(X329,Pays!A:A,Pays!D:D)</f>
        <v>0</v>
      </c>
      <c r="P329">
        <v>0.15</v>
      </c>
      <c r="Q329">
        <v>0.42</v>
      </c>
      <c r="U329">
        <v>1</v>
      </c>
      <c r="W329">
        <f>IF(COUNTIF(Pays!A:A,X329)=0,"",LOOKUP(X329,Pays!A:A,Pays!E:E))</f>
        <v>0</v>
      </c>
      <c r="X329" s="8" t="s">
        <v>37</v>
      </c>
    </row>
    <row r="330" spans="1:24" x14ac:dyDescent="0.25">
      <c r="A330" t="s">
        <v>1158</v>
      </c>
      <c r="B330" t="s">
        <v>182</v>
      </c>
      <c r="C330" s="1">
        <f t="shared" si="11"/>
        <v>46174</v>
      </c>
      <c r="F330" t="s">
        <v>155</v>
      </c>
      <c r="G330" t="s">
        <v>543</v>
      </c>
      <c r="H330" t="s">
        <v>1472</v>
      </c>
      <c r="I330" t="s">
        <v>18</v>
      </c>
      <c r="J330" t="str">
        <f>IF(COUNTIF(Pays!A:A,X330)=0,"Pays inconnu",_xlfn.XLOOKUP(X330,Pays!A:A,Pays!B:B))</f>
        <v>GB</v>
      </c>
      <c r="K330" t="str">
        <f>IF(COUNTIF(Pays!A:A,X330)=0,"Pays inconnu",_xlfn.XLOOKUP(X330,Pays!A:A,Pays!C:C))</f>
        <v>1_GB</v>
      </c>
      <c r="L330">
        <v>1</v>
      </c>
      <c r="M330">
        <f t="shared" si="10"/>
        <v>0.41</v>
      </c>
      <c r="N330" t="s">
        <v>20</v>
      </c>
      <c r="O330">
        <f>LOOKUP(X330,Pays!A:A,Pays!D:D)</f>
        <v>0</v>
      </c>
      <c r="P330">
        <v>0.15</v>
      </c>
      <c r="Q330">
        <v>0.41</v>
      </c>
      <c r="U330">
        <v>1</v>
      </c>
      <c r="W330">
        <f>IF(COUNTIF(Pays!A:A,X330)=0,"",LOOKUP(X330,Pays!A:A,Pays!E:E))</f>
        <v>0</v>
      </c>
      <c r="X330" s="8" t="s">
        <v>30</v>
      </c>
    </row>
    <row r="331" spans="1:24" x14ac:dyDescent="0.25">
      <c r="A331" t="s">
        <v>1158</v>
      </c>
      <c r="B331" t="s">
        <v>182</v>
      </c>
      <c r="C331" s="1">
        <f t="shared" si="11"/>
        <v>46174</v>
      </c>
      <c r="F331" t="s">
        <v>155</v>
      </c>
      <c r="G331" t="s">
        <v>544</v>
      </c>
      <c r="H331" t="s">
        <v>1473</v>
      </c>
      <c r="I331" t="s">
        <v>18</v>
      </c>
      <c r="J331" t="str">
        <f>IF(COUNTIF(Pays!A:A,X331)=0,"Pays inconnu",_xlfn.XLOOKUP(X331,Pays!A:A,Pays!B:B))</f>
        <v>CH</v>
      </c>
      <c r="K331" t="str">
        <f>IF(COUNTIF(Pays!A:A,X331)=0,"Pays inconnu",_xlfn.XLOOKUP(X331,Pays!A:A,Pays!C:C))</f>
        <v>1_CH</v>
      </c>
      <c r="L331">
        <v>1</v>
      </c>
      <c r="M331">
        <f t="shared" si="10"/>
        <v>1.61</v>
      </c>
      <c r="N331" t="s">
        <v>20</v>
      </c>
      <c r="O331">
        <f>LOOKUP(X331,Pays!A:A,Pays!D:D)</f>
        <v>0</v>
      </c>
      <c r="P331">
        <v>0.15</v>
      </c>
      <c r="Q331">
        <v>1.61</v>
      </c>
      <c r="U331">
        <v>1</v>
      </c>
      <c r="W331">
        <f>IF(COUNTIF(Pays!A:A,X331)=0,"",LOOKUP(X331,Pays!A:A,Pays!E:E))</f>
        <v>0</v>
      </c>
      <c r="X331" s="8" t="s">
        <v>37</v>
      </c>
    </row>
    <row r="332" spans="1:24" x14ac:dyDescent="0.25">
      <c r="A332" t="s">
        <v>1158</v>
      </c>
      <c r="B332" t="s">
        <v>182</v>
      </c>
      <c r="C332" s="1">
        <f t="shared" si="11"/>
        <v>46174</v>
      </c>
      <c r="F332" t="s">
        <v>110</v>
      </c>
      <c r="G332" t="s">
        <v>545</v>
      </c>
      <c r="H332" t="s">
        <v>1474</v>
      </c>
      <c r="I332" t="s">
        <v>18</v>
      </c>
      <c r="J332" t="str">
        <f>IF(COUNTIF(Pays!A:A,X332)=0,"Pays inconnu",_xlfn.XLOOKUP(X332,Pays!A:A,Pays!B:B))</f>
        <v>GB</v>
      </c>
      <c r="K332" t="str">
        <f>IF(COUNTIF(Pays!A:A,X332)=0,"Pays inconnu",_xlfn.XLOOKUP(X332,Pays!A:A,Pays!C:C))</f>
        <v>1_GB</v>
      </c>
      <c r="L332">
        <v>1</v>
      </c>
      <c r="M332">
        <f t="shared" si="10"/>
        <v>0.49</v>
      </c>
      <c r="N332" t="s">
        <v>20</v>
      </c>
      <c r="O332">
        <f>LOOKUP(X332,Pays!A:A,Pays!D:D)</f>
        <v>0</v>
      </c>
      <c r="P332">
        <v>0.49</v>
      </c>
      <c r="Q332">
        <v>0.49</v>
      </c>
      <c r="U332">
        <v>1</v>
      </c>
      <c r="W332">
        <f>IF(COUNTIF(Pays!A:A,X332)=0,"",LOOKUP(X332,Pays!A:A,Pays!E:E))</f>
        <v>0</v>
      </c>
      <c r="X332" s="8" t="s">
        <v>30</v>
      </c>
    </row>
    <row r="333" spans="1:24" x14ac:dyDescent="0.25">
      <c r="A333" t="s">
        <v>1158</v>
      </c>
      <c r="B333" t="s">
        <v>182</v>
      </c>
      <c r="C333" s="1">
        <f t="shared" si="11"/>
        <v>46174</v>
      </c>
      <c r="F333" t="s">
        <v>155</v>
      </c>
      <c r="G333" t="s">
        <v>546</v>
      </c>
      <c r="H333" t="s">
        <v>1475</v>
      </c>
      <c r="I333" t="s">
        <v>18</v>
      </c>
      <c r="J333" t="str">
        <f>IF(COUNTIF(Pays!A:A,X333)=0,"Pays inconnu",_xlfn.XLOOKUP(X333,Pays!A:A,Pays!B:B))</f>
        <v>CH</v>
      </c>
      <c r="K333" t="str">
        <f>IF(COUNTIF(Pays!A:A,X333)=0,"Pays inconnu",_xlfn.XLOOKUP(X333,Pays!A:A,Pays!C:C))</f>
        <v>1_CH</v>
      </c>
      <c r="L333">
        <v>1</v>
      </c>
      <c r="M333">
        <f t="shared" si="10"/>
        <v>0.28999999999999998</v>
      </c>
      <c r="N333" t="s">
        <v>20</v>
      </c>
      <c r="O333">
        <f>LOOKUP(X333,Pays!A:A,Pays!D:D)</f>
        <v>0</v>
      </c>
      <c r="P333">
        <v>0.15</v>
      </c>
      <c r="Q333">
        <v>0.28999999999999998</v>
      </c>
      <c r="U333">
        <v>1</v>
      </c>
      <c r="W333">
        <f>IF(COUNTIF(Pays!A:A,X333)=0,"",LOOKUP(X333,Pays!A:A,Pays!E:E))</f>
        <v>0</v>
      </c>
      <c r="X333" s="8" t="s">
        <v>37</v>
      </c>
    </row>
    <row r="334" spans="1:24" x14ac:dyDescent="0.25">
      <c r="A334" t="s">
        <v>1158</v>
      </c>
      <c r="B334" t="s">
        <v>182</v>
      </c>
      <c r="C334" s="1">
        <f t="shared" si="11"/>
        <v>46174</v>
      </c>
      <c r="F334" t="s">
        <v>155</v>
      </c>
      <c r="G334" t="s">
        <v>547</v>
      </c>
      <c r="H334" t="s">
        <v>1476</v>
      </c>
      <c r="I334" t="s">
        <v>18</v>
      </c>
      <c r="J334" t="str">
        <f>IF(COUNTIF(Pays!A:A,X334)=0,"Pays inconnu",_xlfn.XLOOKUP(X334,Pays!A:A,Pays!B:B))</f>
        <v>GB</v>
      </c>
      <c r="K334" t="str">
        <f>IF(COUNTIF(Pays!A:A,X334)=0,"Pays inconnu",_xlfn.XLOOKUP(X334,Pays!A:A,Pays!C:C))</f>
        <v>1_GB</v>
      </c>
      <c r="L334">
        <v>1</v>
      </c>
      <c r="M334">
        <f t="shared" si="10"/>
        <v>0.15</v>
      </c>
      <c r="N334" t="s">
        <v>20</v>
      </c>
      <c r="O334">
        <f>LOOKUP(X334,Pays!A:A,Pays!D:D)</f>
        <v>0</v>
      </c>
      <c r="P334">
        <v>0.15</v>
      </c>
      <c r="Q334">
        <v>0.14000000000000001</v>
      </c>
      <c r="U334">
        <v>1</v>
      </c>
      <c r="W334">
        <f>IF(COUNTIF(Pays!A:A,X334)=0,"",LOOKUP(X334,Pays!A:A,Pays!E:E))</f>
        <v>0</v>
      </c>
      <c r="X334" s="8" t="s">
        <v>30</v>
      </c>
    </row>
    <row r="335" spans="1:24" x14ac:dyDescent="0.25">
      <c r="A335" t="s">
        <v>1158</v>
      </c>
      <c r="B335" t="s">
        <v>182</v>
      </c>
      <c r="C335" s="1">
        <f t="shared" si="11"/>
        <v>46174</v>
      </c>
      <c r="F335" t="s">
        <v>155</v>
      </c>
      <c r="G335" t="s">
        <v>548</v>
      </c>
      <c r="H335" t="s">
        <v>1477</v>
      </c>
      <c r="I335" t="s">
        <v>18</v>
      </c>
      <c r="J335" t="str">
        <f>IF(COUNTIF(Pays!A:A,X335)=0,"Pays inconnu",_xlfn.XLOOKUP(X335,Pays!A:A,Pays!B:B))</f>
        <v>CH</v>
      </c>
      <c r="K335" t="str">
        <f>IF(COUNTIF(Pays!A:A,X335)=0,"Pays inconnu",_xlfn.XLOOKUP(X335,Pays!A:A,Pays!C:C))</f>
        <v>1_CH</v>
      </c>
      <c r="L335">
        <v>1</v>
      </c>
      <c r="M335">
        <f t="shared" si="10"/>
        <v>0.15</v>
      </c>
      <c r="N335" t="s">
        <v>20</v>
      </c>
      <c r="O335">
        <f>LOOKUP(X335,Pays!A:A,Pays!D:D)</f>
        <v>0</v>
      </c>
      <c r="P335">
        <v>0.15</v>
      </c>
      <c r="Q335">
        <v>0.03</v>
      </c>
      <c r="U335">
        <v>1</v>
      </c>
      <c r="W335">
        <f>IF(COUNTIF(Pays!A:A,X335)=0,"",LOOKUP(X335,Pays!A:A,Pays!E:E))</f>
        <v>0</v>
      </c>
      <c r="X335" s="8" t="s">
        <v>37</v>
      </c>
    </row>
    <row r="336" spans="1:24" x14ac:dyDescent="0.25">
      <c r="A336" t="s">
        <v>1158</v>
      </c>
      <c r="B336" t="s">
        <v>182</v>
      </c>
      <c r="C336" s="1">
        <f t="shared" si="11"/>
        <v>46174</v>
      </c>
      <c r="F336" t="s">
        <v>155</v>
      </c>
      <c r="G336" t="s">
        <v>549</v>
      </c>
      <c r="H336" t="s">
        <v>1324</v>
      </c>
      <c r="I336" t="s">
        <v>18</v>
      </c>
      <c r="J336" t="str">
        <f>IF(COUNTIF(Pays!A:A,X336)=0,"Pays inconnu",_xlfn.XLOOKUP(X336,Pays!A:A,Pays!B:B))</f>
        <v>IT</v>
      </c>
      <c r="K336">
        <f>IF(COUNTIF(Pays!A:A,X336)=0,"Pays inconnu",_xlfn.XLOOKUP(X336,Pays!A:A,Pays!C:C))</f>
        <v>1</v>
      </c>
      <c r="L336">
        <v>1</v>
      </c>
      <c r="M336">
        <f t="shared" si="10"/>
        <v>0.47</v>
      </c>
      <c r="N336" t="s">
        <v>20</v>
      </c>
      <c r="O336">
        <f>LOOKUP(X336,Pays!A:A,Pays!D:D)</f>
        <v>0.2</v>
      </c>
      <c r="P336">
        <v>0.15</v>
      </c>
      <c r="Q336">
        <v>0.47</v>
      </c>
      <c r="U336">
        <v>1</v>
      </c>
      <c r="W336">
        <f>IF(COUNTIF(Pays!A:A,X336)=0,"",LOOKUP(X336,Pays!A:A,Pays!E:E))</f>
        <v>0</v>
      </c>
      <c r="X336" s="8" t="s">
        <v>33</v>
      </c>
    </row>
    <row r="337" spans="1:24" x14ac:dyDescent="0.25">
      <c r="A337" t="s">
        <v>1158</v>
      </c>
      <c r="B337" t="s">
        <v>182</v>
      </c>
      <c r="C337" s="1">
        <f t="shared" si="11"/>
        <v>46174</v>
      </c>
      <c r="F337" t="s">
        <v>110</v>
      </c>
      <c r="G337" t="s">
        <v>550</v>
      </c>
      <c r="H337" t="s">
        <v>1478</v>
      </c>
      <c r="I337" t="s">
        <v>18</v>
      </c>
      <c r="J337" t="str">
        <f>IF(COUNTIF(Pays!A:A,X337)=0,"Pays inconnu",_xlfn.XLOOKUP(X337,Pays!A:A,Pays!B:B))</f>
        <v>GB</v>
      </c>
      <c r="K337" t="str">
        <f>IF(COUNTIF(Pays!A:A,X337)=0,"Pays inconnu",_xlfn.XLOOKUP(X337,Pays!A:A,Pays!C:C))</f>
        <v>1_GB</v>
      </c>
      <c r="L337">
        <v>1</v>
      </c>
      <c r="M337">
        <f t="shared" si="10"/>
        <v>0.16</v>
      </c>
      <c r="N337" t="s">
        <v>20</v>
      </c>
      <c r="O337">
        <f>LOOKUP(X337,Pays!A:A,Pays!D:D)</f>
        <v>0</v>
      </c>
      <c r="P337">
        <v>0.15</v>
      </c>
      <c r="Q337">
        <v>0.16</v>
      </c>
      <c r="U337">
        <v>1</v>
      </c>
      <c r="W337">
        <f>IF(COUNTIF(Pays!A:A,X337)=0,"",LOOKUP(X337,Pays!A:A,Pays!E:E))</f>
        <v>0</v>
      </c>
      <c r="X337" s="8" t="s">
        <v>30</v>
      </c>
    </row>
    <row r="338" spans="1:24" x14ac:dyDescent="0.25">
      <c r="A338" t="s">
        <v>1158</v>
      </c>
      <c r="B338" t="s">
        <v>182</v>
      </c>
      <c r="C338" s="1">
        <f t="shared" si="11"/>
        <v>46174</v>
      </c>
      <c r="F338" t="s">
        <v>155</v>
      </c>
      <c r="G338" t="s">
        <v>551</v>
      </c>
      <c r="H338" t="s">
        <v>1479</v>
      </c>
      <c r="I338" t="s">
        <v>18</v>
      </c>
      <c r="J338" t="str">
        <f>IF(COUNTIF(Pays!A:A,X338)=0,"Pays inconnu",_xlfn.XLOOKUP(X338,Pays!A:A,Pays!B:B))</f>
        <v>BE</v>
      </c>
      <c r="K338" t="str">
        <f>IF(COUNTIF(Pays!A:A,X338)=0,"Pays inconnu",_xlfn.XLOOKUP(X338,Pays!A:A,Pays!C:C))</f>
        <v>1_BE</v>
      </c>
      <c r="L338">
        <v>1</v>
      </c>
      <c r="M338">
        <f t="shared" si="10"/>
        <v>0.25</v>
      </c>
      <c r="N338" t="s">
        <v>20</v>
      </c>
      <c r="O338">
        <f>LOOKUP(X338,Pays!A:A,Pays!D:D)</f>
        <v>0.2</v>
      </c>
      <c r="P338">
        <v>0.15</v>
      </c>
      <c r="Q338">
        <v>0.25</v>
      </c>
      <c r="U338">
        <v>1</v>
      </c>
      <c r="W338">
        <f>IF(COUNTIF(Pays!A:A,X338)=0,"",LOOKUP(X338,Pays!A:A,Pays!E:E))</f>
        <v>0</v>
      </c>
      <c r="X338" s="8" t="s">
        <v>28</v>
      </c>
    </row>
    <row r="339" spans="1:24" x14ac:dyDescent="0.25">
      <c r="A339" t="s">
        <v>1158</v>
      </c>
      <c r="B339" t="s">
        <v>182</v>
      </c>
      <c r="C339" s="1">
        <f t="shared" si="11"/>
        <v>46174</v>
      </c>
      <c r="F339" t="s">
        <v>155</v>
      </c>
      <c r="G339" t="s">
        <v>552</v>
      </c>
      <c r="H339" t="s">
        <v>1480</v>
      </c>
      <c r="I339" t="s">
        <v>18</v>
      </c>
      <c r="J339" t="str">
        <f>IF(COUNTIF(Pays!A:A,X339)=0,"Pays inconnu",_xlfn.XLOOKUP(X339,Pays!A:A,Pays!B:B))</f>
        <v>IT</v>
      </c>
      <c r="K339">
        <f>IF(COUNTIF(Pays!A:A,X339)=0,"Pays inconnu",_xlfn.XLOOKUP(X339,Pays!A:A,Pays!C:C))</f>
        <v>1</v>
      </c>
      <c r="L339">
        <v>1</v>
      </c>
      <c r="M339">
        <f t="shared" si="10"/>
        <v>0.43</v>
      </c>
      <c r="N339" t="s">
        <v>20</v>
      </c>
      <c r="O339">
        <f>LOOKUP(X339,Pays!A:A,Pays!D:D)</f>
        <v>0.2</v>
      </c>
      <c r="P339">
        <v>0.15</v>
      </c>
      <c r="Q339">
        <v>0.43</v>
      </c>
      <c r="U339">
        <v>1</v>
      </c>
      <c r="W339">
        <f>IF(COUNTIF(Pays!A:A,X339)=0,"",LOOKUP(X339,Pays!A:A,Pays!E:E))</f>
        <v>0</v>
      </c>
      <c r="X339" s="8" t="s">
        <v>33</v>
      </c>
    </row>
    <row r="340" spans="1:24" x14ac:dyDescent="0.25">
      <c r="A340" t="s">
        <v>1158</v>
      </c>
      <c r="B340" t="s">
        <v>182</v>
      </c>
      <c r="C340" s="1">
        <f t="shared" si="11"/>
        <v>46174</v>
      </c>
      <c r="F340" t="s">
        <v>155</v>
      </c>
      <c r="G340" t="s">
        <v>553</v>
      </c>
      <c r="H340" t="s">
        <v>1324</v>
      </c>
      <c r="I340" t="s">
        <v>18</v>
      </c>
      <c r="J340" t="str">
        <f>IF(COUNTIF(Pays!A:A,X340)=0,"Pays inconnu",_xlfn.XLOOKUP(X340,Pays!A:A,Pays!B:B))</f>
        <v>IT</v>
      </c>
      <c r="K340">
        <f>IF(COUNTIF(Pays!A:A,X340)=0,"Pays inconnu",_xlfn.XLOOKUP(X340,Pays!A:A,Pays!C:C))</f>
        <v>1</v>
      </c>
      <c r="L340">
        <v>1</v>
      </c>
      <c r="M340">
        <f t="shared" si="10"/>
        <v>0.24</v>
      </c>
      <c r="N340" t="s">
        <v>20</v>
      </c>
      <c r="O340">
        <f>LOOKUP(X340,Pays!A:A,Pays!D:D)</f>
        <v>0.2</v>
      </c>
      <c r="P340">
        <v>0.15</v>
      </c>
      <c r="Q340">
        <v>0.24</v>
      </c>
      <c r="U340">
        <v>1</v>
      </c>
      <c r="W340">
        <f>IF(COUNTIF(Pays!A:A,X340)=0,"",LOOKUP(X340,Pays!A:A,Pays!E:E))</f>
        <v>0</v>
      </c>
      <c r="X340" s="8" t="s">
        <v>33</v>
      </c>
    </row>
    <row r="341" spans="1:24" x14ac:dyDescent="0.25">
      <c r="A341" t="s">
        <v>1158</v>
      </c>
      <c r="B341" t="s">
        <v>182</v>
      </c>
      <c r="C341" s="1">
        <f t="shared" si="11"/>
        <v>46174</v>
      </c>
      <c r="F341" t="s">
        <v>155</v>
      </c>
      <c r="G341" t="s">
        <v>554</v>
      </c>
      <c r="H341" t="s">
        <v>1324</v>
      </c>
      <c r="I341" t="s">
        <v>18</v>
      </c>
      <c r="J341" t="str">
        <f>IF(COUNTIF(Pays!A:A,X341)=0,"Pays inconnu",_xlfn.XLOOKUP(X341,Pays!A:A,Pays!B:B))</f>
        <v>IT</v>
      </c>
      <c r="K341">
        <f>IF(COUNTIF(Pays!A:A,X341)=0,"Pays inconnu",_xlfn.XLOOKUP(X341,Pays!A:A,Pays!C:C))</f>
        <v>1</v>
      </c>
      <c r="L341">
        <v>1</v>
      </c>
      <c r="M341">
        <f t="shared" si="10"/>
        <v>0.24</v>
      </c>
      <c r="N341" t="s">
        <v>20</v>
      </c>
      <c r="O341">
        <f>LOOKUP(X341,Pays!A:A,Pays!D:D)</f>
        <v>0.2</v>
      </c>
      <c r="P341">
        <v>0.15</v>
      </c>
      <c r="Q341">
        <v>0.24</v>
      </c>
      <c r="U341">
        <v>1</v>
      </c>
      <c r="W341">
        <f>IF(COUNTIF(Pays!A:A,X341)=0,"",LOOKUP(X341,Pays!A:A,Pays!E:E))</f>
        <v>0</v>
      </c>
      <c r="X341" s="8" t="s">
        <v>33</v>
      </c>
    </row>
    <row r="342" spans="1:24" x14ac:dyDescent="0.25">
      <c r="A342" t="s">
        <v>1158</v>
      </c>
      <c r="B342" t="s">
        <v>182</v>
      </c>
      <c r="C342" s="1">
        <f t="shared" si="11"/>
        <v>46174</v>
      </c>
      <c r="F342" t="s">
        <v>155</v>
      </c>
      <c r="G342" t="s">
        <v>555</v>
      </c>
      <c r="H342" t="s">
        <v>1324</v>
      </c>
      <c r="I342" t="s">
        <v>18</v>
      </c>
      <c r="J342" t="str">
        <f>IF(COUNTIF(Pays!A:A,X342)=0,"Pays inconnu",_xlfn.XLOOKUP(X342,Pays!A:A,Pays!B:B))</f>
        <v>IT</v>
      </c>
      <c r="K342">
        <f>IF(COUNTIF(Pays!A:A,X342)=0,"Pays inconnu",_xlfn.XLOOKUP(X342,Pays!A:A,Pays!C:C))</f>
        <v>1</v>
      </c>
      <c r="L342">
        <v>1</v>
      </c>
      <c r="M342">
        <f t="shared" si="10"/>
        <v>0.48</v>
      </c>
      <c r="N342" t="s">
        <v>20</v>
      </c>
      <c r="O342">
        <f>LOOKUP(X342,Pays!A:A,Pays!D:D)</f>
        <v>0.2</v>
      </c>
      <c r="P342">
        <v>0.15</v>
      </c>
      <c r="Q342">
        <v>0.48</v>
      </c>
      <c r="U342">
        <v>1</v>
      </c>
      <c r="W342">
        <f>IF(COUNTIF(Pays!A:A,X342)=0,"",LOOKUP(X342,Pays!A:A,Pays!E:E))</f>
        <v>0</v>
      </c>
      <c r="X342" s="8" t="s">
        <v>33</v>
      </c>
    </row>
    <row r="343" spans="1:24" x14ac:dyDescent="0.25">
      <c r="A343" t="s">
        <v>1158</v>
      </c>
      <c r="B343" t="s">
        <v>182</v>
      </c>
      <c r="C343" s="1">
        <f t="shared" si="11"/>
        <v>46174</v>
      </c>
      <c r="F343" t="s">
        <v>155</v>
      </c>
      <c r="G343" t="s">
        <v>556</v>
      </c>
      <c r="H343" t="s">
        <v>1481</v>
      </c>
      <c r="I343" t="s">
        <v>18</v>
      </c>
      <c r="J343" t="str">
        <f>IF(COUNTIF(Pays!A:A,X343)=0,"Pays inconnu",_xlfn.XLOOKUP(X343,Pays!A:A,Pays!B:B))</f>
        <v>US</v>
      </c>
      <c r="K343" t="str">
        <f>IF(COUNTIF(Pays!A:A,X343)=0,"Pays inconnu",_xlfn.XLOOKUP(X343,Pays!A:A,Pays!C:C))</f>
        <v>2_US</v>
      </c>
      <c r="L343">
        <v>1</v>
      </c>
      <c r="M343">
        <f t="shared" si="10"/>
        <v>0.3</v>
      </c>
      <c r="N343" t="s">
        <v>20</v>
      </c>
      <c r="O343">
        <f>LOOKUP(X343,Pays!A:A,Pays!D:D)</f>
        <v>0</v>
      </c>
      <c r="P343">
        <v>0.3</v>
      </c>
      <c r="Q343">
        <v>0.3</v>
      </c>
      <c r="U343">
        <v>1</v>
      </c>
      <c r="W343">
        <f>IF(COUNTIF(Pays!A:A,X343)=0,"",LOOKUP(X343,Pays!A:A,Pays!E:E))</f>
        <v>1.5</v>
      </c>
      <c r="X343" s="8" t="s">
        <v>79</v>
      </c>
    </row>
    <row r="344" spans="1:24" x14ac:dyDescent="0.25">
      <c r="A344" t="s">
        <v>1158</v>
      </c>
      <c r="B344" t="s">
        <v>182</v>
      </c>
      <c r="C344" s="1">
        <f t="shared" si="11"/>
        <v>46174</v>
      </c>
      <c r="F344" t="s">
        <v>155</v>
      </c>
      <c r="G344" t="s">
        <v>557</v>
      </c>
      <c r="H344" t="s">
        <v>186</v>
      </c>
      <c r="I344" t="s">
        <v>18</v>
      </c>
      <c r="J344" t="str">
        <f>IF(COUNTIF(Pays!A:A,X344)=0,"Pays inconnu",_xlfn.XLOOKUP(X344,Pays!A:A,Pays!B:B))</f>
        <v>BE</v>
      </c>
      <c r="K344" t="str">
        <f>IF(COUNTIF(Pays!A:A,X344)=0,"Pays inconnu",_xlfn.XLOOKUP(X344,Pays!A:A,Pays!C:C))</f>
        <v>1_BE</v>
      </c>
      <c r="L344">
        <v>1</v>
      </c>
      <c r="M344">
        <f t="shared" si="10"/>
        <v>0.59</v>
      </c>
      <c r="N344" t="s">
        <v>20</v>
      </c>
      <c r="O344">
        <f>LOOKUP(X344,Pays!A:A,Pays!D:D)</f>
        <v>0.2</v>
      </c>
      <c r="P344">
        <v>0.15</v>
      </c>
      <c r="Q344">
        <v>0.59</v>
      </c>
      <c r="U344">
        <v>1</v>
      </c>
      <c r="W344">
        <f>IF(COUNTIF(Pays!A:A,X344)=0,"",LOOKUP(X344,Pays!A:A,Pays!E:E))</f>
        <v>0</v>
      </c>
      <c r="X344" s="8" t="s">
        <v>28</v>
      </c>
    </row>
    <row r="345" spans="1:24" x14ac:dyDescent="0.25">
      <c r="A345" t="s">
        <v>1158</v>
      </c>
      <c r="B345" t="s">
        <v>182</v>
      </c>
      <c r="C345" s="1">
        <f t="shared" si="11"/>
        <v>46174</v>
      </c>
      <c r="F345" t="s">
        <v>155</v>
      </c>
      <c r="G345" t="s">
        <v>558</v>
      </c>
      <c r="H345" t="s">
        <v>1482</v>
      </c>
      <c r="I345" t="s">
        <v>18</v>
      </c>
      <c r="J345" t="str">
        <f>IF(COUNTIF(Pays!A:A,X345)=0,"Pays inconnu",_xlfn.XLOOKUP(X345,Pays!A:A,Pays!B:B))</f>
        <v>IT</v>
      </c>
      <c r="K345">
        <f>IF(COUNTIF(Pays!A:A,X345)=0,"Pays inconnu",_xlfn.XLOOKUP(X345,Pays!A:A,Pays!C:C))</f>
        <v>1</v>
      </c>
      <c r="L345">
        <v>1</v>
      </c>
      <c r="M345">
        <f t="shared" si="10"/>
        <v>0.18</v>
      </c>
      <c r="N345" t="s">
        <v>20</v>
      </c>
      <c r="O345">
        <f>LOOKUP(X345,Pays!A:A,Pays!D:D)</f>
        <v>0.2</v>
      </c>
      <c r="P345">
        <v>0.18</v>
      </c>
      <c r="Q345">
        <v>0.18</v>
      </c>
      <c r="U345">
        <v>1</v>
      </c>
      <c r="W345">
        <f>IF(COUNTIF(Pays!A:A,X345)=0,"",LOOKUP(X345,Pays!A:A,Pays!E:E))</f>
        <v>0</v>
      </c>
      <c r="X345" s="8" t="s">
        <v>33</v>
      </c>
    </row>
    <row r="346" spans="1:24" x14ac:dyDescent="0.25">
      <c r="A346" t="s">
        <v>1158</v>
      </c>
      <c r="B346" t="s">
        <v>182</v>
      </c>
      <c r="C346" s="1">
        <f t="shared" si="11"/>
        <v>46174</v>
      </c>
      <c r="F346" t="s">
        <v>155</v>
      </c>
      <c r="G346" t="s">
        <v>559</v>
      </c>
      <c r="H346" t="s">
        <v>1483</v>
      </c>
      <c r="I346" t="s">
        <v>18</v>
      </c>
      <c r="J346" t="str">
        <f>IF(COUNTIF(Pays!A:A,X346)=0,"Pays inconnu",_xlfn.XLOOKUP(X346,Pays!A:A,Pays!B:B))</f>
        <v>BE</v>
      </c>
      <c r="K346" t="str">
        <f>IF(COUNTIF(Pays!A:A,X346)=0,"Pays inconnu",_xlfn.XLOOKUP(X346,Pays!A:A,Pays!C:C))</f>
        <v>1_BE</v>
      </c>
      <c r="L346">
        <v>1</v>
      </c>
      <c r="M346">
        <f t="shared" si="10"/>
        <v>0.3</v>
      </c>
      <c r="N346" t="s">
        <v>20</v>
      </c>
      <c r="O346">
        <f>LOOKUP(X346,Pays!A:A,Pays!D:D)</f>
        <v>0.2</v>
      </c>
      <c r="P346">
        <v>0.15</v>
      </c>
      <c r="Q346">
        <v>0.3</v>
      </c>
      <c r="U346">
        <v>1</v>
      </c>
      <c r="W346">
        <f>IF(COUNTIF(Pays!A:A,X346)=0,"",LOOKUP(X346,Pays!A:A,Pays!E:E))</f>
        <v>0</v>
      </c>
      <c r="X346" s="8" t="s">
        <v>28</v>
      </c>
    </row>
    <row r="347" spans="1:24" x14ac:dyDescent="0.25">
      <c r="A347" t="s">
        <v>1158</v>
      </c>
      <c r="B347" t="s">
        <v>182</v>
      </c>
      <c r="C347" s="1">
        <f t="shared" si="11"/>
        <v>46174</v>
      </c>
      <c r="F347" t="s">
        <v>155</v>
      </c>
      <c r="G347" t="s">
        <v>560</v>
      </c>
      <c r="H347" t="s">
        <v>1481</v>
      </c>
      <c r="I347" t="s">
        <v>18</v>
      </c>
      <c r="J347" t="str">
        <f>IF(COUNTIF(Pays!A:A,X347)=0,"Pays inconnu",_xlfn.XLOOKUP(X347,Pays!A:A,Pays!B:B))</f>
        <v>US</v>
      </c>
      <c r="K347" t="str">
        <f>IF(COUNTIF(Pays!A:A,X347)=0,"Pays inconnu",_xlfn.XLOOKUP(X347,Pays!A:A,Pays!C:C))</f>
        <v>2_US</v>
      </c>
      <c r="L347">
        <v>1</v>
      </c>
      <c r="M347">
        <f t="shared" si="10"/>
        <v>0.84</v>
      </c>
      <c r="N347" t="s">
        <v>20</v>
      </c>
      <c r="O347">
        <f>LOOKUP(X347,Pays!A:A,Pays!D:D)</f>
        <v>0</v>
      </c>
      <c r="P347">
        <v>0.84</v>
      </c>
      <c r="Q347">
        <v>0.84</v>
      </c>
      <c r="U347">
        <v>1</v>
      </c>
      <c r="W347">
        <f>IF(COUNTIF(Pays!A:A,X347)=0,"",LOOKUP(X347,Pays!A:A,Pays!E:E))</f>
        <v>1.5</v>
      </c>
      <c r="X347" s="8" t="s">
        <v>79</v>
      </c>
    </row>
    <row r="348" spans="1:24" x14ac:dyDescent="0.25">
      <c r="A348" t="s">
        <v>1158</v>
      </c>
      <c r="B348" t="s">
        <v>182</v>
      </c>
      <c r="C348" s="1">
        <f t="shared" si="11"/>
        <v>46174</v>
      </c>
      <c r="F348" t="s">
        <v>155</v>
      </c>
      <c r="G348" t="s">
        <v>561</v>
      </c>
      <c r="H348" t="s">
        <v>1484</v>
      </c>
      <c r="I348" t="s">
        <v>18</v>
      </c>
      <c r="J348" t="str">
        <f>IF(COUNTIF(Pays!A:A,X348)=0,"Pays inconnu",_xlfn.XLOOKUP(X348,Pays!A:A,Pays!B:B))</f>
        <v>BE</v>
      </c>
      <c r="K348" t="str">
        <f>IF(COUNTIF(Pays!A:A,X348)=0,"Pays inconnu",_xlfn.XLOOKUP(X348,Pays!A:A,Pays!C:C))</f>
        <v>1_BE</v>
      </c>
      <c r="L348">
        <v>1</v>
      </c>
      <c r="M348">
        <f t="shared" si="10"/>
        <v>0.96</v>
      </c>
      <c r="N348" t="s">
        <v>20</v>
      </c>
      <c r="O348">
        <f>LOOKUP(X348,Pays!A:A,Pays!D:D)</f>
        <v>0.2</v>
      </c>
      <c r="P348">
        <v>0.15</v>
      </c>
      <c r="Q348">
        <v>0.96</v>
      </c>
      <c r="U348">
        <v>1</v>
      </c>
      <c r="W348">
        <f>IF(COUNTIF(Pays!A:A,X348)=0,"",LOOKUP(X348,Pays!A:A,Pays!E:E))</f>
        <v>0</v>
      </c>
      <c r="X348" s="8" t="s">
        <v>28</v>
      </c>
    </row>
    <row r="349" spans="1:24" x14ac:dyDescent="0.25">
      <c r="A349" t="s">
        <v>1158</v>
      </c>
      <c r="B349" t="s">
        <v>182</v>
      </c>
      <c r="C349" s="1">
        <f t="shared" si="11"/>
        <v>46174</v>
      </c>
      <c r="F349" t="s">
        <v>155</v>
      </c>
      <c r="G349" t="s">
        <v>562</v>
      </c>
      <c r="H349" t="s">
        <v>1485</v>
      </c>
      <c r="I349" t="s">
        <v>18</v>
      </c>
      <c r="J349" t="str">
        <f>IF(COUNTIF(Pays!A:A,X349)=0,"Pays inconnu",_xlfn.XLOOKUP(X349,Pays!A:A,Pays!B:B))</f>
        <v>BE</v>
      </c>
      <c r="K349" t="str">
        <f>IF(COUNTIF(Pays!A:A,X349)=0,"Pays inconnu",_xlfn.XLOOKUP(X349,Pays!A:A,Pays!C:C))</f>
        <v>1_BE</v>
      </c>
      <c r="L349">
        <v>1</v>
      </c>
      <c r="M349">
        <f t="shared" si="10"/>
        <v>0.2</v>
      </c>
      <c r="N349" t="s">
        <v>20</v>
      </c>
      <c r="O349">
        <f>LOOKUP(X349,Pays!A:A,Pays!D:D)</f>
        <v>0.2</v>
      </c>
      <c r="P349">
        <v>0.15</v>
      </c>
      <c r="Q349">
        <v>0.2</v>
      </c>
      <c r="U349">
        <v>1</v>
      </c>
      <c r="W349">
        <f>IF(COUNTIF(Pays!A:A,X349)=0,"",LOOKUP(X349,Pays!A:A,Pays!E:E))</f>
        <v>0</v>
      </c>
      <c r="X349" s="8" t="s">
        <v>28</v>
      </c>
    </row>
    <row r="350" spans="1:24" x14ac:dyDescent="0.25">
      <c r="A350" t="s">
        <v>1158</v>
      </c>
      <c r="B350" t="s">
        <v>182</v>
      </c>
      <c r="C350" s="1">
        <f t="shared" si="11"/>
        <v>46174</v>
      </c>
      <c r="F350" t="s">
        <v>155</v>
      </c>
      <c r="G350" t="s">
        <v>563</v>
      </c>
      <c r="H350" t="s">
        <v>176</v>
      </c>
      <c r="I350" t="s">
        <v>18</v>
      </c>
      <c r="J350" t="str">
        <f>IF(COUNTIF(Pays!A:A,X350)=0,"Pays inconnu",_xlfn.XLOOKUP(X350,Pays!A:A,Pays!B:B))</f>
        <v>BE</v>
      </c>
      <c r="K350" t="str">
        <f>IF(COUNTIF(Pays!A:A,X350)=0,"Pays inconnu",_xlfn.XLOOKUP(X350,Pays!A:A,Pays!C:C))</f>
        <v>1_BE</v>
      </c>
      <c r="L350">
        <v>1</v>
      </c>
      <c r="M350">
        <f t="shared" si="10"/>
        <v>0.3</v>
      </c>
      <c r="N350" t="s">
        <v>20</v>
      </c>
      <c r="O350">
        <f>LOOKUP(X350,Pays!A:A,Pays!D:D)</f>
        <v>0.2</v>
      </c>
      <c r="P350">
        <v>0.15</v>
      </c>
      <c r="Q350">
        <v>0.3</v>
      </c>
      <c r="U350">
        <v>1</v>
      </c>
      <c r="W350">
        <f>IF(COUNTIF(Pays!A:A,X350)=0,"",LOOKUP(X350,Pays!A:A,Pays!E:E))</f>
        <v>0</v>
      </c>
      <c r="X350" s="8" t="s">
        <v>28</v>
      </c>
    </row>
    <row r="351" spans="1:24" x14ac:dyDescent="0.25">
      <c r="A351" t="s">
        <v>1158</v>
      </c>
      <c r="B351" t="s">
        <v>182</v>
      </c>
      <c r="C351" s="1">
        <f t="shared" si="11"/>
        <v>46174</v>
      </c>
      <c r="F351" t="s">
        <v>155</v>
      </c>
      <c r="G351" t="s">
        <v>564</v>
      </c>
      <c r="H351" t="s">
        <v>1322</v>
      </c>
      <c r="I351" t="s">
        <v>18</v>
      </c>
      <c r="J351" t="str">
        <f>IF(COUNTIF(Pays!A:A,X351)=0,"Pays inconnu",_xlfn.XLOOKUP(X351,Pays!A:A,Pays!B:B))</f>
        <v>BE</v>
      </c>
      <c r="K351" t="str">
        <f>IF(COUNTIF(Pays!A:A,X351)=0,"Pays inconnu",_xlfn.XLOOKUP(X351,Pays!A:A,Pays!C:C))</f>
        <v>1_BE</v>
      </c>
      <c r="L351">
        <v>1</v>
      </c>
      <c r="M351">
        <f t="shared" si="10"/>
        <v>0.26</v>
      </c>
      <c r="N351" t="s">
        <v>20</v>
      </c>
      <c r="O351">
        <f>LOOKUP(X351,Pays!A:A,Pays!D:D)</f>
        <v>0.2</v>
      </c>
      <c r="P351">
        <v>0.15</v>
      </c>
      <c r="Q351">
        <v>0.26</v>
      </c>
      <c r="U351">
        <v>1</v>
      </c>
      <c r="W351">
        <f>IF(COUNTIF(Pays!A:A,X351)=0,"",LOOKUP(X351,Pays!A:A,Pays!E:E))</f>
        <v>0</v>
      </c>
      <c r="X351" s="8" t="s">
        <v>28</v>
      </c>
    </row>
    <row r="352" spans="1:24" x14ac:dyDescent="0.25">
      <c r="A352" t="s">
        <v>1158</v>
      </c>
      <c r="B352" t="s">
        <v>182</v>
      </c>
      <c r="C352" s="1">
        <f t="shared" si="11"/>
        <v>46174</v>
      </c>
      <c r="F352" t="s">
        <v>155</v>
      </c>
      <c r="G352" t="s">
        <v>565</v>
      </c>
      <c r="H352" t="s">
        <v>1486</v>
      </c>
      <c r="I352" t="s">
        <v>18</v>
      </c>
      <c r="J352" t="str">
        <f>IF(COUNTIF(Pays!A:A,X352)=0,"Pays inconnu",_xlfn.XLOOKUP(X352,Pays!A:A,Pays!B:B))</f>
        <v>BE</v>
      </c>
      <c r="K352" t="str">
        <f>IF(COUNTIF(Pays!A:A,X352)=0,"Pays inconnu",_xlfn.XLOOKUP(X352,Pays!A:A,Pays!C:C))</f>
        <v>1_BE</v>
      </c>
      <c r="L352">
        <v>1</v>
      </c>
      <c r="M352">
        <f t="shared" si="10"/>
        <v>0.42</v>
      </c>
      <c r="N352" t="s">
        <v>20</v>
      </c>
      <c r="O352">
        <f>LOOKUP(X352,Pays!A:A,Pays!D:D)</f>
        <v>0.2</v>
      </c>
      <c r="P352">
        <v>0.15</v>
      </c>
      <c r="Q352">
        <v>0.42</v>
      </c>
      <c r="U352">
        <v>1</v>
      </c>
      <c r="W352">
        <f>IF(COUNTIF(Pays!A:A,X352)=0,"",LOOKUP(X352,Pays!A:A,Pays!E:E))</f>
        <v>0</v>
      </c>
      <c r="X352" s="8" t="s">
        <v>28</v>
      </c>
    </row>
    <row r="353" spans="1:24" x14ac:dyDescent="0.25">
      <c r="A353" t="s">
        <v>1158</v>
      </c>
      <c r="B353" t="s">
        <v>182</v>
      </c>
      <c r="C353" s="1">
        <f t="shared" si="11"/>
        <v>46174</v>
      </c>
      <c r="F353" t="s">
        <v>155</v>
      </c>
      <c r="G353" t="s">
        <v>566</v>
      </c>
      <c r="H353" t="s">
        <v>1487</v>
      </c>
      <c r="I353" t="s">
        <v>18</v>
      </c>
      <c r="J353" t="str">
        <f>IF(COUNTIF(Pays!A:A,X353)=0,"Pays inconnu",_xlfn.XLOOKUP(X353,Pays!A:A,Pays!B:B))</f>
        <v>CH</v>
      </c>
      <c r="K353" t="str">
        <f>IF(COUNTIF(Pays!A:A,X353)=0,"Pays inconnu",_xlfn.XLOOKUP(X353,Pays!A:A,Pays!C:C))</f>
        <v>1_CH</v>
      </c>
      <c r="L353">
        <v>1</v>
      </c>
      <c r="M353">
        <f t="shared" si="10"/>
        <v>0.26</v>
      </c>
      <c r="N353" t="s">
        <v>20</v>
      </c>
      <c r="O353">
        <f>LOOKUP(X353,Pays!A:A,Pays!D:D)</f>
        <v>0</v>
      </c>
      <c r="P353">
        <v>0.15</v>
      </c>
      <c r="Q353">
        <v>0.26</v>
      </c>
      <c r="U353">
        <v>1</v>
      </c>
      <c r="W353">
        <f>IF(COUNTIF(Pays!A:A,X353)=0,"",LOOKUP(X353,Pays!A:A,Pays!E:E))</f>
        <v>0</v>
      </c>
      <c r="X353" s="8" t="s">
        <v>37</v>
      </c>
    </row>
    <row r="354" spans="1:24" x14ac:dyDescent="0.25">
      <c r="A354" t="s">
        <v>1158</v>
      </c>
      <c r="B354" t="s">
        <v>182</v>
      </c>
      <c r="C354" s="1">
        <f t="shared" si="11"/>
        <v>46174</v>
      </c>
      <c r="F354" t="s">
        <v>155</v>
      </c>
      <c r="G354" t="s">
        <v>567</v>
      </c>
      <c r="H354" t="s">
        <v>1488</v>
      </c>
      <c r="I354" t="s">
        <v>18</v>
      </c>
      <c r="J354" t="str">
        <f>IF(COUNTIF(Pays!A:A,X354)=0,"Pays inconnu",_xlfn.XLOOKUP(X354,Pays!A:A,Pays!B:B))</f>
        <v>IT</v>
      </c>
      <c r="K354">
        <f>IF(COUNTIF(Pays!A:A,X354)=0,"Pays inconnu",_xlfn.XLOOKUP(X354,Pays!A:A,Pays!C:C))</f>
        <v>1</v>
      </c>
      <c r="L354">
        <v>1</v>
      </c>
      <c r="M354">
        <f t="shared" si="10"/>
        <v>0.42</v>
      </c>
      <c r="N354" t="s">
        <v>20</v>
      </c>
      <c r="O354">
        <f>LOOKUP(X354,Pays!A:A,Pays!D:D)</f>
        <v>0.2</v>
      </c>
      <c r="P354">
        <v>0.15</v>
      </c>
      <c r="Q354">
        <v>0.42</v>
      </c>
      <c r="U354">
        <v>1</v>
      </c>
      <c r="W354">
        <f>IF(COUNTIF(Pays!A:A,X354)=0,"",LOOKUP(X354,Pays!A:A,Pays!E:E))</f>
        <v>0</v>
      </c>
      <c r="X354" s="8" t="s">
        <v>33</v>
      </c>
    </row>
    <row r="355" spans="1:24" x14ac:dyDescent="0.25">
      <c r="A355" t="s">
        <v>1158</v>
      </c>
      <c r="B355" t="s">
        <v>182</v>
      </c>
      <c r="C355" s="1">
        <f t="shared" si="11"/>
        <v>46174</v>
      </c>
      <c r="F355" t="s">
        <v>110</v>
      </c>
      <c r="G355" t="s">
        <v>568</v>
      </c>
      <c r="H355" t="s">
        <v>1489</v>
      </c>
      <c r="I355" t="s">
        <v>18</v>
      </c>
      <c r="J355" t="str">
        <f>IF(COUNTIF(Pays!A:A,X355)=0,"Pays inconnu",_xlfn.XLOOKUP(X355,Pays!A:A,Pays!B:B))</f>
        <v>GB</v>
      </c>
      <c r="K355" t="str">
        <f>IF(COUNTIF(Pays!A:A,X355)=0,"Pays inconnu",_xlfn.XLOOKUP(X355,Pays!A:A,Pays!C:C))</f>
        <v>1_GB</v>
      </c>
      <c r="L355">
        <v>1</v>
      </c>
      <c r="M355">
        <f t="shared" si="10"/>
        <v>0.15</v>
      </c>
      <c r="N355" t="s">
        <v>20</v>
      </c>
      <c r="O355">
        <f>LOOKUP(X355,Pays!A:A,Pays!D:D)</f>
        <v>0</v>
      </c>
      <c r="P355">
        <v>0.15</v>
      </c>
      <c r="Q355">
        <v>0.11</v>
      </c>
      <c r="U355">
        <v>1</v>
      </c>
      <c r="W355">
        <f>IF(COUNTIF(Pays!A:A,X355)=0,"",LOOKUP(X355,Pays!A:A,Pays!E:E))</f>
        <v>0</v>
      </c>
      <c r="X355" s="8" t="s">
        <v>30</v>
      </c>
    </row>
    <row r="356" spans="1:24" x14ac:dyDescent="0.25">
      <c r="A356" t="s">
        <v>1158</v>
      </c>
      <c r="B356" t="s">
        <v>182</v>
      </c>
      <c r="C356" s="1">
        <f t="shared" si="11"/>
        <v>46174</v>
      </c>
      <c r="F356" t="s">
        <v>155</v>
      </c>
      <c r="G356" t="s">
        <v>569</v>
      </c>
      <c r="H356" t="s">
        <v>1490</v>
      </c>
      <c r="I356" t="s">
        <v>18</v>
      </c>
      <c r="J356" t="str">
        <f>IF(COUNTIF(Pays!A:A,X356)=0,"Pays inconnu",_xlfn.XLOOKUP(X356,Pays!A:A,Pays!B:B))</f>
        <v>IT</v>
      </c>
      <c r="K356">
        <f>IF(COUNTIF(Pays!A:A,X356)=0,"Pays inconnu",_xlfn.XLOOKUP(X356,Pays!A:A,Pays!C:C))</f>
        <v>1</v>
      </c>
      <c r="L356">
        <v>1</v>
      </c>
      <c r="M356">
        <f t="shared" si="10"/>
        <v>0.84</v>
      </c>
      <c r="N356" t="s">
        <v>20</v>
      </c>
      <c r="O356">
        <f>LOOKUP(X356,Pays!A:A,Pays!D:D)</f>
        <v>0.2</v>
      </c>
      <c r="P356">
        <v>0.15</v>
      </c>
      <c r="Q356">
        <v>0.84</v>
      </c>
      <c r="U356">
        <v>1</v>
      </c>
      <c r="W356">
        <f>IF(COUNTIF(Pays!A:A,X356)=0,"",LOOKUP(X356,Pays!A:A,Pays!E:E))</f>
        <v>0</v>
      </c>
      <c r="X356" s="8" t="s">
        <v>33</v>
      </c>
    </row>
    <row r="357" spans="1:24" x14ac:dyDescent="0.25">
      <c r="A357" t="s">
        <v>1158</v>
      </c>
      <c r="B357" t="s">
        <v>182</v>
      </c>
      <c r="C357" s="1">
        <f t="shared" si="11"/>
        <v>46174</v>
      </c>
      <c r="F357" t="s">
        <v>155</v>
      </c>
      <c r="G357" t="s">
        <v>570</v>
      </c>
      <c r="H357" t="s">
        <v>1491</v>
      </c>
      <c r="I357" t="s">
        <v>18</v>
      </c>
      <c r="J357" t="str">
        <f>IF(COUNTIF(Pays!A:A,X357)=0,"Pays inconnu",_xlfn.XLOOKUP(X357,Pays!A:A,Pays!B:B))</f>
        <v>CH</v>
      </c>
      <c r="K357" t="str">
        <f>IF(COUNTIF(Pays!A:A,X357)=0,"Pays inconnu",_xlfn.XLOOKUP(X357,Pays!A:A,Pays!C:C))</f>
        <v>1_CH</v>
      </c>
      <c r="L357">
        <v>1</v>
      </c>
      <c r="M357">
        <f t="shared" si="10"/>
        <v>0.39</v>
      </c>
      <c r="N357" t="s">
        <v>20</v>
      </c>
      <c r="O357">
        <f>LOOKUP(X357,Pays!A:A,Pays!D:D)</f>
        <v>0</v>
      </c>
      <c r="P357">
        <v>0.15</v>
      </c>
      <c r="Q357">
        <v>0.39</v>
      </c>
      <c r="U357">
        <v>1</v>
      </c>
      <c r="W357">
        <f>IF(COUNTIF(Pays!A:A,X357)=0,"",LOOKUP(X357,Pays!A:A,Pays!E:E))</f>
        <v>0</v>
      </c>
      <c r="X357" s="8" t="s">
        <v>37</v>
      </c>
    </row>
    <row r="358" spans="1:24" x14ac:dyDescent="0.25">
      <c r="A358" t="s">
        <v>1158</v>
      </c>
      <c r="B358" t="s">
        <v>182</v>
      </c>
      <c r="C358" s="1">
        <f t="shared" si="11"/>
        <v>46174</v>
      </c>
      <c r="F358" t="s">
        <v>155</v>
      </c>
      <c r="G358" t="s">
        <v>571</v>
      </c>
      <c r="H358" t="s">
        <v>1492</v>
      </c>
      <c r="I358" t="s">
        <v>18</v>
      </c>
      <c r="J358" t="str">
        <f>IF(COUNTIF(Pays!A:A,X358)=0,"Pays inconnu",_xlfn.XLOOKUP(X358,Pays!A:A,Pays!B:B))</f>
        <v>TR</v>
      </c>
      <c r="K358">
        <f>IF(COUNTIF(Pays!A:A,X358)=0,"Pays inconnu",_xlfn.XLOOKUP(X358,Pays!A:A,Pays!C:C))</f>
        <v>2</v>
      </c>
      <c r="L358">
        <v>1</v>
      </c>
      <c r="M358">
        <f t="shared" si="10"/>
        <v>0.46</v>
      </c>
      <c r="N358" t="s">
        <v>20</v>
      </c>
      <c r="O358">
        <f>LOOKUP(X358,Pays!A:A,Pays!D:D)</f>
        <v>0</v>
      </c>
      <c r="P358">
        <v>0.46</v>
      </c>
      <c r="Q358">
        <v>0.46</v>
      </c>
      <c r="U358">
        <v>1</v>
      </c>
      <c r="W358">
        <f>IF(COUNTIF(Pays!A:A,X358)=0,"",LOOKUP(X358,Pays!A:A,Pays!E:E))</f>
        <v>0</v>
      </c>
      <c r="X358" s="8" t="s">
        <v>118</v>
      </c>
    </row>
    <row r="359" spans="1:24" x14ac:dyDescent="0.25">
      <c r="A359" t="s">
        <v>1159</v>
      </c>
      <c r="B359" t="s">
        <v>182</v>
      </c>
      <c r="C359" s="1">
        <f t="shared" si="11"/>
        <v>46174</v>
      </c>
      <c r="F359" t="s">
        <v>155</v>
      </c>
      <c r="G359" t="s">
        <v>572</v>
      </c>
      <c r="H359" t="s">
        <v>1493</v>
      </c>
      <c r="I359" t="s">
        <v>18</v>
      </c>
      <c r="J359" t="str">
        <f>IF(COUNTIF(Pays!A:A,X359)=0,"Pays inconnu",_xlfn.XLOOKUP(X359,Pays!A:A,Pays!B:B))</f>
        <v>GB</v>
      </c>
      <c r="K359" t="str">
        <f>IF(COUNTIF(Pays!A:A,X359)=0,"Pays inconnu",_xlfn.XLOOKUP(X359,Pays!A:A,Pays!C:C))</f>
        <v>1_GB</v>
      </c>
      <c r="L359">
        <v>1</v>
      </c>
      <c r="M359">
        <f t="shared" si="10"/>
        <v>0.15</v>
      </c>
      <c r="N359" t="s">
        <v>20</v>
      </c>
      <c r="O359">
        <f>LOOKUP(X359,Pays!A:A,Pays!D:D)</f>
        <v>0</v>
      </c>
      <c r="P359">
        <v>0.15</v>
      </c>
      <c r="Q359">
        <v>0.13</v>
      </c>
      <c r="U359">
        <v>1</v>
      </c>
      <c r="W359">
        <f>IF(COUNTIF(Pays!A:A,X359)=0,"",LOOKUP(X359,Pays!A:A,Pays!E:E))</f>
        <v>0</v>
      </c>
      <c r="X359" s="8" t="s">
        <v>30</v>
      </c>
    </row>
    <row r="360" spans="1:24" x14ac:dyDescent="0.25">
      <c r="A360" t="s">
        <v>1159</v>
      </c>
      <c r="B360" t="s">
        <v>182</v>
      </c>
      <c r="C360" s="1">
        <f t="shared" si="11"/>
        <v>46174</v>
      </c>
      <c r="F360" t="s">
        <v>155</v>
      </c>
      <c r="G360" t="s">
        <v>573</v>
      </c>
      <c r="H360" t="s">
        <v>1494</v>
      </c>
      <c r="I360" t="s">
        <v>18</v>
      </c>
      <c r="J360" t="str">
        <f>IF(COUNTIF(Pays!A:A,X360)=0,"Pays inconnu",_xlfn.XLOOKUP(X360,Pays!A:A,Pays!B:B))</f>
        <v>CH</v>
      </c>
      <c r="K360" t="str">
        <f>IF(COUNTIF(Pays!A:A,X360)=0,"Pays inconnu",_xlfn.XLOOKUP(X360,Pays!A:A,Pays!C:C))</f>
        <v>1_CH</v>
      </c>
      <c r="L360">
        <v>1</v>
      </c>
      <c r="M360">
        <f t="shared" si="10"/>
        <v>0.56999999999999995</v>
      </c>
      <c r="N360" t="s">
        <v>20</v>
      </c>
      <c r="O360">
        <f>LOOKUP(X360,Pays!A:A,Pays!D:D)</f>
        <v>0</v>
      </c>
      <c r="P360">
        <v>0.15</v>
      </c>
      <c r="Q360">
        <v>0.56999999999999995</v>
      </c>
      <c r="U360">
        <v>1</v>
      </c>
      <c r="W360">
        <f>IF(COUNTIF(Pays!A:A,X360)=0,"",LOOKUP(X360,Pays!A:A,Pays!E:E))</f>
        <v>0</v>
      </c>
      <c r="X360" s="8" t="s">
        <v>37</v>
      </c>
    </row>
    <row r="361" spans="1:24" x14ac:dyDescent="0.25">
      <c r="A361" t="s">
        <v>1159</v>
      </c>
      <c r="B361" t="s">
        <v>182</v>
      </c>
      <c r="C361" s="1">
        <f t="shared" si="11"/>
        <v>46174</v>
      </c>
      <c r="F361" t="s">
        <v>110</v>
      </c>
      <c r="G361" t="s">
        <v>574</v>
      </c>
      <c r="H361" t="s">
        <v>1495</v>
      </c>
      <c r="I361" t="s">
        <v>18</v>
      </c>
      <c r="J361" t="str">
        <f>IF(COUNTIF(Pays!A:A,X361)=0,"Pays inconnu",_xlfn.XLOOKUP(X361,Pays!A:A,Pays!B:B))</f>
        <v>GB</v>
      </c>
      <c r="K361" t="str">
        <f>IF(COUNTIF(Pays!A:A,X361)=0,"Pays inconnu",_xlfn.XLOOKUP(X361,Pays!A:A,Pays!C:C))</f>
        <v>1_GB</v>
      </c>
      <c r="L361">
        <v>1</v>
      </c>
      <c r="M361">
        <f t="shared" si="10"/>
        <v>0.15</v>
      </c>
      <c r="N361" t="s">
        <v>20</v>
      </c>
      <c r="O361">
        <f>LOOKUP(X361,Pays!A:A,Pays!D:D)</f>
        <v>0</v>
      </c>
      <c r="P361">
        <v>0.15</v>
      </c>
      <c r="Q361">
        <v>0.1</v>
      </c>
      <c r="U361">
        <v>1</v>
      </c>
      <c r="W361">
        <f>IF(COUNTIF(Pays!A:A,X361)=0,"",LOOKUP(X361,Pays!A:A,Pays!E:E))</f>
        <v>0</v>
      </c>
      <c r="X361" s="8" t="s">
        <v>30</v>
      </c>
    </row>
    <row r="362" spans="1:24" x14ac:dyDescent="0.25">
      <c r="A362" t="s">
        <v>1159</v>
      </c>
      <c r="B362" t="s">
        <v>182</v>
      </c>
      <c r="C362" s="1">
        <f t="shared" si="11"/>
        <v>46174</v>
      </c>
      <c r="F362" t="s">
        <v>155</v>
      </c>
      <c r="G362" t="s">
        <v>575</v>
      </c>
      <c r="H362" t="s">
        <v>177</v>
      </c>
      <c r="I362" t="s">
        <v>18</v>
      </c>
      <c r="J362" t="str">
        <f>IF(COUNTIF(Pays!A:A,X362)=0,"Pays inconnu",_xlfn.XLOOKUP(X362,Pays!A:A,Pays!B:B))</f>
        <v>BE</v>
      </c>
      <c r="K362" t="str">
        <f>IF(COUNTIF(Pays!A:A,X362)=0,"Pays inconnu",_xlfn.XLOOKUP(X362,Pays!A:A,Pays!C:C))</f>
        <v>1_BE</v>
      </c>
      <c r="L362">
        <v>1</v>
      </c>
      <c r="M362">
        <f t="shared" si="10"/>
        <v>0.18</v>
      </c>
      <c r="N362" t="s">
        <v>20</v>
      </c>
      <c r="O362">
        <f>LOOKUP(X362,Pays!A:A,Pays!D:D)</f>
        <v>0.2</v>
      </c>
      <c r="P362">
        <v>0.15</v>
      </c>
      <c r="Q362">
        <v>0.18</v>
      </c>
      <c r="U362">
        <v>1</v>
      </c>
      <c r="W362">
        <f>IF(COUNTIF(Pays!A:A,X362)=0,"",LOOKUP(X362,Pays!A:A,Pays!E:E))</f>
        <v>0</v>
      </c>
      <c r="X362" s="8" t="s">
        <v>28</v>
      </c>
    </row>
    <row r="363" spans="1:24" x14ac:dyDescent="0.25">
      <c r="A363" t="s">
        <v>1159</v>
      </c>
      <c r="B363" t="s">
        <v>182</v>
      </c>
      <c r="C363" s="1">
        <f t="shared" si="11"/>
        <v>46174</v>
      </c>
      <c r="F363" t="s">
        <v>155</v>
      </c>
      <c r="G363" t="s">
        <v>576</v>
      </c>
      <c r="H363" t="s">
        <v>1496</v>
      </c>
      <c r="I363" t="s">
        <v>18</v>
      </c>
      <c r="J363" t="str">
        <f>IF(COUNTIF(Pays!A:A,X363)=0,"Pays inconnu",_xlfn.XLOOKUP(X363,Pays!A:A,Pays!B:B))</f>
        <v>CH</v>
      </c>
      <c r="K363" t="str">
        <f>IF(COUNTIF(Pays!A:A,X363)=0,"Pays inconnu",_xlfn.XLOOKUP(X363,Pays!A:A,Pays!C:C))</f>
        <v>1_CH</v>
      </c>
      <c r="L363">
        <v>1</v>
      </c>
      <c r="M363">
        <f t="shared" si="10"/>
        <v>0.17</v>
      </c>
      <c r="N363" t="s">
        <v>20</v>
      </c>
      <c r="O363">
        <f>LOOKUP(X363,Pays!A:A,Pays!D:D)</f>
        <v>0</v>
      </c>
      <c r="P363">
        <v>0.15</v>
      </c>
      <c r="Q363">
        <v>0.17</v>
      </c>
      <c r="U363">
        <v>1</v>
      </c>
      <c r="W363">
        <f>IF(COUNTIF(Pays!A:A,X363)=0,"",LOOKUP(X363,Pays!A:A,Pays!E:E))</f>
        <v>0</v>
      </c>
      <c r="X363" s="8" t="s">
        <v>37</v>
      </c>
    </row>
    <row r="364" spans="1:24" x14ac:dyDescent="0.25">
      <c r="A364" t="s">
        <v>1159</v>
      </c>
      <c r="B364" t="s">
        <v>182</v>
      </c>
      <c r="C364" s="1">
        <f t="shared" si="11"/>
        <v>46174</v>
      </c>
      <c r="F364" t="s">
        <v>155</v>
      </c>
      <c r="G364" t="s">
        <v>577</v>
      </c>
      <c r="H364" t="s">
        <v>1497</v>
      </c>
      <c r="I364" t="s">
        <v>18</v>
      </c>
      <c r="J364" t="str">
        <f>IF(COUNTIF(Pays!A:A,X364)=0,"Pays inconnu",_xlfn.XLOOKUP(X364,Pays!A:A,Pays!B:B))</f>
        <v>CH</v>
      </c>
      <c r="K364" t="str">
        <f>IF(COUNTIF(Pays!A:A,X364)=0,"Pays inconnu",_xlfn.XLOOKUP(X364,Pays!A:A,Pays!C:C))</f>
        <v>1_CH</v>
      </c>
      <c r="L364">
        <v>1</v>
      </c>
      <c r="M364">
        <f t="shared" si="10"/>
        <v>2.93</v>
      </c>
      <c r="N364" t="s">
        <v>20</v>
      </c>
      <c r="O364">
        <f>LOOKUP(X364,Pays!A:A,Pays!D:D)</f>
        <v>0</v>
      </c>
      <c r="P364">
        <v>0.15</v>
      </c>
      <c r="Q364">
        <v>2.93</v>
      </c>
      <c r="U364">
        <v>1</v>
      </c>
      <c r="W364">
        <f>IF(COUNTIF(Pays!A:A,X364)=0,"",LOOKUP(X364,Pays!A:A,Pays!E:E))</f>
        <v>0</v>
      </c>
      <c r="X364" s="8" t="s">
        <v>37</v>
      </c>
    </row>
    <row r="365" spans="1:24" x14ac:dyDescent="0.25">
      <c r="A365" t="s">
        <v>1159</v>
      </c>
      <c r="B365" t="s">
        <v>182</v>
      </c>
      <c r="C365" s="1">
        <f t="shared" si="11"/>
        <v>46174</v>
      </c>
      <c r="F365" t="s">
        <v>155</v>
      </c>
      <c r="G365" t="s">
        <v>578</v>
      </c>
      <c r="H365" t="s">
        <v>1498</v>
      </c>
      <c r="I365" t="s">
        <v>18</v>
      </c>
      <c r="J365" t="str">
        <f>IF(COUNTIF(Pays!A:A,X365)=0,"Pays inconnu",_xlfn.XLOOKUP(X365,Pays!A:A,Pays!B:B))</f>
        <v>GB</v>
      </c>
      <c r="K365" t="str">
        <f>IF(COUNTIF(Pays!A:A,X365)=0,"Pays inconnu",_xlfn.XLOOKUP(X365,Pays!A:A,Pays!C:C))</f>
        <v>1_GB</v>
      </c>
      <c r="L365">
        <v>1</v>
      </c>
      <c r="M365">
        <f t="shared" si="10"/>
        <v>0.2</v>
      </c>
      <c r="N365" t="s">
        <v>20</v>
      </c>
      <c r="O365">
        <f>LOOKUP(X365,Pays!A:A,Pays!D:D)</f>
        <v>0</v>
      </c>
      <c r="P365">
        <v>0.15</v>
      </c>
      <c r="Q365">
        <v>0.2</v>
      </c>
      <c r="U365">
        <v>1</v>
      </c>
      <c r="W365">
        <f>IF(COUNTIF(Pays!A:A,X365)=0,"",LOOKUP(X365,Pays!A:A,Pays!E:E))</f>
        <v>0</v>
      </c>
      <c r="X365" s="8" t="s">
        <v>30</v>
      </c>
    </row>
    <row r="366" spans="1:24" x14ac:dyDescent="0.25">
      <c r="A366" t="s">
        <v>1159</v>
      </c>
      <c r="B366" t="s">
        <v>182</v>
      </c>
      <c r="C366" s="1">
        <f t="shared" si="11"/>
        <v>46174</v>
      </c>
      <c r="F366" t="s">
        <v>110</v>
      </c>
      <c r="G366" t="s">
        <v>579</v>
      </c>
      <c r="H366" t="s">
        <v>1499</v>
      </c>
      <c r="I366" t="s">
        <v>18</v>
      </c>
      <c r="J366" t="str">
        <f>IF(COUNTIF(Pays!A:A,X366)=0,"Pays inconnu",_xlfn.XLOOKUP(X366,Pays!A:A,Pays!B:B))</f>
        <v>BE</v>
      </c>
      <c r="K366" t="str">
        <f>IF(COUNTIF(Pays!A:A,X366)=0,"Pays inconnu",_xlfn.XLOOKUP(X366,Pays!A:A,Pays!C:C))</f>
        <v>1_BE</v>
      </c>
      <c r="L366">
        <v>1</v>
      </c>
      <c r="M366">
        <f t="shared" si="10"/>
        <v>0.15</v>
      </c>
      <c r="N366" t="s">
        <v>20</v>
      </c>
      <c r="O366">
        <f>LOOKUP(X366,Pays!A:A,Pays!D:D)</f>
        <v>0.2</v>
      </c>
      <c r="P366">
        <v>0.15</v>
      </c>
      <c r="Q366">
        <v>0.15</v>
      </c>
      <c r="U366">
        <v>1</v>
      </c>
      <c r="W366">
        <f>IF(COUNTIF(Pays!A:A,X366)=0,"",LOOKUP(X366,Pays!A:A,Pays!E:E))</f>
        <v>0</v>
      </c>
      <c r="X366" s="8" t="s">
        <v>28</v>
      </c>
    </row>
    <row r="367" spans="1:24" x14ac:dyDescent="0.25">
      <c r="A367" t="s">
        <v>1159</v>
      </c>
      <c r="B367" t="s">
        <v>182</v>
      </c>
      <c r="C367" s="1">
        <f t="shared" si="11"/>
        <v>46174</v>
      </c>
      <c r="F367" t="s">
        <v>155</v>
      </c>
      <c r="G367" t="s">
        <v>580</v>
      </c>
      <c r="H367" t="s">
        <v>1500</v>
      </c>
      <c r="I367" t="s">
        <v>18</v>
      </c>
      <c r="J367" t="str">
        <f>IF(COUNTIF(Pays!A:A,X367)=0,"Pays inconnu",_xlfn.XLOOKUP(X367,Pays!A:A,Pays!B:B))</f>
        <v>HR</v>
      </c>
      <c r="K367">
        <f>IF(COUNTIF(Pays!A:A,X367)=0,"Pays inconnu",_xlfn.XLOOKUP(X367,Pays!A:A,Pays!C:C))</f>
        <v>1</v>
      </c>
      <c r="L367">
        <v>1</v>
      </c>
      <c r="M367">
        <f t="shared" si="10"/>
        <v>1.55</v>
      </c>
      <c r="N367" t="s">
        <v>20</v>
      </c>
      <c r="O367">
        <f>LOOKUP(X367,Pays!A:A,Pays!D:D)</f>
        <v>0.2</v>
      </c>
      <c r="P367">
        <v>0.15</v>
      </c>
      <c r="Q367">
        <v>1.55</v>
      </c>
      <c r="U367">
        <v>1</v>
      </c>
      <c r="W367">
        <f>IF(COUNTIF(Pays!A:A,X367)=0,"",LOOKUP(X367,Pays!A:A,Pays!E:E))</f>
        <v>0</v>
      </c>
      <c r="X367" s="8" t="s">
        <v>72</v>
      </c>
    </row>
    <row r="368" spans="1:24" x14ac:dyDescent="0.25">
      <c r="A368" t="s">
        <v>1159</v>
      </c>
      <c r="B368" t="s">
        <v>182</v>
      </c>
      <c r="C368" s="1">
        <f t="shared" si="11"/>
        <v>46174</v>
      </c>
      <c r="F368" t="s">
        <v>155</v>
      </c>
      <c r="G368" t="s">
        <v>581</v>
      </c>
      <c r="H368" t="s">
        <v>1501</v>
      </c>
      <c r="I368" t="s">
        <v>18</v>
      </c>
      <c r="J368" t="str">
        <f>IF(COUNTIF(Pays!A:A,X368)=0,"Pays inconnu",_xlfn.XLOOKUP(X368,Pays!A:A,Pays!B:B))</f>
        <v>CH</v>
      </c>
      <c r="K368" t="str">
        <f>IF(COUNTIF(Pays!A:A,X368)=0,"Pays inconnu",_xlfn.XLOOKUP(X368,Pays!A:A,Pays!C:C))</f>
        <v>1_CH</v>
      </c>
      <c r="L368">
        <v>1</v>
      </c>
      <c r="M368">
        <f t="shared" si="10"/>
        <v>0.42</v>
      </c>
      <c r="N368" t="s">
        <v>20</v>
      </c>
      <c r="O368">
        <f>LOOKUP(X368,Pays!A:A,Pays!D:D)</f>
        <v>0</v>
      </c>
      <c r="P368">
        <v>0.15</v>
      </c>
      <c r="Q368">
        <v>0.42</v>
      </c>
      <c r="U368">
        <v>1</v>
      </c>
      <c r="W368">
        <f>IF(COUNTIF(Pays!A:A,X368)=0,"",LOOKUP(X368,Pays!A:A,Pays!E:E))</f>
        <v>0</v>
      </c>
      <c r="X368" s="8" t="s">
        <v>37</v>
      </c>
    </row>
    <row r="369" spans="1:24" x14ac:dyDescent="0.25">
      <c r="A369" t="s">
        <v>1159</v>
      </c>
      <c r="B369" t="s">
        <v>182</v>
      </c>
      <c r="C369" s="1">
        <f t="shared" si="11"/>
        <v>46174</v>
      </c>
      <c r="F369" t="s">
        <v>155</v>
      </c>
      <c r="G369" t="s">
        <v>582</v>
      </c>
      <c r="H369" t="s">
        <v>1502</v>
      </c>
      <c r="I369" t="s">
        <v>18</v>
      </c>
      <c r="J369" t="str">
        <f>IF(COUNTIF(Pays!A:A,X369)=0,"Pays inconnu",_xlfn.XLOOKUP(X369,Pays!A:A,Pays!B:B))</f>
        <v>GB</v>
      </c>
      <c r="K369" t="str">
        <f>IF(COUNTIF(Pays!A:A,X369)=0,"Pays inconnu",_xlfn.XLOOKUP(X369,Pays!A:A,Pays!C:C))</f>
        <v>1_GB</v>
      </c>
      <c r="L369">
        <v>1</v>
      </c>
      <c r="M369">
        <f t="shared" si="10"/>
        <v>0.22</v>
      </c>
      <c r="N369" t="s">
        <v>20</v>
      </c>
      <c r="O369">
        <f>LOOKUP(X369,Pays!A:A,Pays!D:D)</f>
        <v>0</v>
      </c>
      <c r="P369">
        <v>0.15</v>
      </c>
      <c r="Q369">
        <v>0.22</v>
      </c>
      <c r="U369">
        <v>1</v>
      </c>
      <c r="W369">
        <f>IF(COUNTIF(Pays!A:A,X369)=0,"",LOOKUP(X369,Pays!A:A,Pays!E:E))</f>
        <v>0</v>
      </c>
      <c r="X369" s="8" t="s">
        <v>30</v>
      </c>
    </row>
    <row r="370" spans="1:24" x14ac:dyDescent="0.25">
      <c r="A370" t="s">
        <v>1159</v>
      </c>
      <c r="B370" t="s">
        <v>182</v>
      </c>
      <c r="C370" s="1">
        <f t="shared" si="11"/>
        <v>46174</v>
      </c>
      <c r="F370" t="s">
        <v>155</v>
      </c>
      <c r="G370" t="s">
        <v>583</v>
      </c>
      <c r="H370" t="s">
        <v>1503</v>
      </c>
      <c r="I370" t="s">
        <v>18</v>
      </c>
      <c r="J370" t="str">
        <f>IF(COUNTIF(Pays!A:A,X370)=0,"Pays inconnu",_xlfn.XLOOKUP(X370,Pays!A:A,Pays!B:B))</f>
        <v>CH</v>
      </c>
      <c r="K370" t="str">
        <f>IF(COUNTIF(Pays!A:A,X370)=0,"Pays inconnu",_xlfn.XLOOKUP(X370,Pays!A:A,Pays!C:C))</f>
        <v>1_CH</v>
      </c>
      <c r="L370">
        <v>1</v>
      </c>
      <c r="M370">
        <f t="shared" si="10"/>
        <v>1.05</v>
      </c>
      <c r="N370" t="s">
        <v>20</v>
      </c>
      <c r="O370">
        <f>LOOKUP(X370,Pays!A:A,Pays!D:D)</f>
        <v>0</v>
      </c>
      <c r="P370">
        <v>0.15</v>
      </c>
      <c r="Q370">
        <v>1.05</v>
      </c>
      <c r="U370">
        <v>1</v>
      </c>
      <c r="W370">
        <f>IF(COUNTIF(Pays!A:A,X370)=0,"",LOOKUP(X370,Pays!A:A,Pays!E:E))</f>
        <v>0</v>
      </c>
      <c r="X370" s="8" t="s">
        <v>37</v>
      </c>
    </row>
    <row r="371" spans="1:24" x14ac:dyDescent="0.25">
      <c r="A371" t="s">
        <v>1159</v>
      </c>
      <c r="B371" t="s">
        <v>182</v>
      </c>
      <c r="C371" s="1">
        <f t="shared" si="11"/>
        <v>46174</v>
      </c>
      <c r="F371" t="s">
        <v>155</v>
      </c>
      <c r="G371" t="s">
        <v>584</v>
      </c>
      <c r="H371" t="s">
        <v>1504</v>
      </c>
      <c r="I371" t="s">
        <v>18</v>
      </c>
      <c r="J371" t="str">
        <f>IF(COUNTIF(Pays!A:A,X371)=0,"Pays inconnu",_xlfn.XLOOKUP(X371,Pays!A:A,Pays!B:B))</f>
        <v>ES</v>
      </c>
      <c r="K371">
        <f>IF(COUNTIF(Pays!A:A,X371)=0,"Pays inconnu",_xlfn.XLOOKUP(X371,Pays!A:A,Pays!C:C))</f>
        <v>1</v>
      </c>
      <c r="L371">
        <v>1</v>
      </c>
      <c r="M371">
        <f t="shared" si="10"/>
        <v>0.42</v>
      </c>
      <c r="N371" t="s">
        <v>20</v>
      </c>
      <c r="O371">
        <f>LOOKUP(X371,Pays!A:A,Pays!D:D)</f>
        <v>0.2</v>
      </c>
      <c r="P371">
        <v>0.15</v>
      </c>
      <c r="Q371">
        <v>0.42</v>
      </c>
      <c r="U371">
        <v>1</v>
      </c>
      <c r="W371">
        <f>IF(COUNTIF(Pays!A:A,X371)=0,"",LOOKUP(X371,Pays!A:A,Pays!E:E))</f>
        <v>0</v>
      </c>
      <c r="X371" s="8" t="s">
        <v>29</v>
      </c>
    </row>
    <row r="372" spans="1:24" x14ac:dyDescent="0.25">
      <c r="A372" t="s">
        <v>1159</v>
      </c>
      <c r="B372" t="s">
        <v>182</v>
      </c>
      <c r="C372" s="1">
        <f t="shared" si="11"/>
        <v>46174</v>
      </c>
      <c r="F372" t="s">
        <v>155</v>
      </c>
      <c r="G372" t="s">
        <v>585</v>
      </c>
      <c r="H372" t="s">
        <v>1505</v>
      </c>
      <c r="I372" t="s">
        <v>18</v>
      </c>
      <c r="J372" t="str">
        <f>IF(COUNTIF(Pays!A:A,X372)=0,"Pays inconnu",_xlfn.XLOOKUP(X372,Pays!A:A,Pays!B:B))</f>
        <v>CH</v>
      </c>
      <c r="K372" t="str">
        <f>IF(COUNTIF(Pays!A:A,X372)=0,"Pays inconnu",_xlfn.XLOOKUP(X372,Pays!A:A,Pays!C:C))</f>
        <v>1_CH</v>
      </c>
      <c r="L372">
        <v>1</v>
      </c>
      <c r="M372">
        <f t="shared" si="10"/>
        <v>0.63</v>
      </c>
      <c r="N372" t="s">
        <v>20</v>
      </c>
      <c r="O372">
        <f>LOOKUP(X372,Pays!A:A,Pays!D:D)</f>
        <v>0</v>
      </c>
      <c r="P372">
        <v>0.15</v>
      </c>
      <c r="Q372">
        <v>0.63</v>
      </c>
      <c r="U372">
        <v>1</v>
      </c>
      <c r="W372">
        <f>IF(COUNTIF(Pays!A:A,X372)=0,"",LOOKUP(X372,Pays!A:A,Pays!E:E))</f>
        <v>0</v>
      </c>
      <c r="X372" s="8" t="s">
        <v>37</v>
      </c>
    </row>
    <row r="373" spans="1:24" x14ac:dyDescent="0.25">
      <c r="A373" t="s">
        <v>1159</v>
      </c>
      <c r="B373" t="s">
        <v>182</v>
      </c>
      <c r="C373" s="1">
        <f t="shared" si="11"/>
        <v>46174</v>
      </c>
      <c r="F373" t="s">
        <v>155</v>
      </c>
      <c r="G373" t="s">
        <v>586</v>
      </c>
      <c r="H373" t="s">
        <v>1506</v>
      </c>
      <c r="I373" t="s">
        <v>18</v>
      </c>
      <c r="J373" t="str">
        <f>IF(COUNTIF(Pays!A:A,X373)=0,"Pays inconnu",_xlfn.XLOOKUP(X373,Pays!A:A,Pays!B:B))</f>
        <v>CH</v>
      </c>
      <c r="K373" t="str">
        <f>IF(COUNTIF(Pays!A:A,X373)=0,"Pays inconnu",_xlfn.XLOOKUP(X373,Pays!A:A,Pays!C:C))</f>
        <v>1_CH</v>
      </c>
      <c r="L373">
        <v>1</v>
      </c>
      <c r="M373">
        <f t="shared" si="10"/>
        <v>0.36</v>
      </c>
      <c r="N373" t="s">
        <v>20</v>
      </c>
      <c r="O373">
        <f>LOOKUP(X373,Pays!A:A,Pays!D:D)</f>
        <v>0</v>
      </c>
      <c r="P373">
        <v>0.15</v>
      </c>
      <c r="Q373">
        <v>0.36</v>
      </c>
      <c r="U373">
        <v>1</v>
      </c>
      <c r="W373">
        <f>IF(COUNTIF(Pays!A:A,X373)=0,"",LOOKUP(X373,Pays!A:A,Pays!E:E))</f>
        <v>0</v>
      </c>
      <c r="X373" s="8" t="s">
        <v>37</v>
      </c>
    </row>
    <row r="374" spans="1:24" x14ac:dyDescent="0.25">
      <c r="A374" t="s">
        <v>1159</v>
      </c>
      <c r="B374" t="s">
        <v>182</v>
      </c>
      <c r="C374" s="1">
        <f t="shared" si="11"/>
        <v>46174</v>
      </c>
      <c r="F374" t="s">
        <v>155</v>
      </c>
      <c r="G374" t="s">
        <v>587</v>
      </c>
      <c r="H374" t="s">
        <v>174</v>
      </c>
      <c r="I374" t="s">
        <v>18</v>
      </c>
      <c r="J374" t="str">
        <f>IF(COUNTIF(Pays!A:A,X374)=0,"Pays inconnu",_xlfn.XLOOKUP(X374,Pays!A:A,Pays!B:B))</f>
        <v>IT</v>
      </c>
      <c r="K374">
        <f>IF(COUNTIF(Pays!A:A,X374)=0,"Pays inconnu",_xlfn.XLOOKUP(X374,Pays!A:A,Pays!C:C))</f>
        <v>1</v>
      </c>
      <c r="L374">
        <v>1</v>
      </c>
      <c r="M374">
        <f t="shared" si="10"/>
        <v>0.42</v>
      </c>
      <c r="N374" t="s">
        <v>20</v>
      </c>
      <c r="O374">
        <f>LOOKUP(X374,Pays!A:A,Pays!D:D)</f>
        <v>0.2</v>
      </c>
      <c r="P374">
        <v>0.15</v>
      </c>
      <c r="Q374">
        <v>0.42</v>
      </c>
      <c r="U374">
        <v>1</v>
      </c>
      <c r="W374">
        <f>IF(COUNTIF(Pays!A:A,X374)=0,"",LOOKUP(X374,Pays!A:A,Pays!E:E))</f>
        <v>0</v>
      </c>
      <c r="X374" s="8" t="s">
        <v>33</v>
      </c>
    </row>
    <row r="375" spans="1:24" x14ac:dyDescent="0.25">
      <c r="A375" t="s">
        <v>1160</v>
      </c>
      <c r="B375" t="s">
        <v>182</v>
      </c>
      <c r="C375" s="1">
        <f t="shared" si="11"/>
        <v>46174</v>
      </c>
      <c r="F375" t="s">
        <v>155</v>
      </c>
      <c r="G375" t="s">
        <v>588</v>
      </c>
      <c r="H375" t="s">
        <v>1507</v>
      </c>
      <c r="I375" t="s">
        <v>18</v>
      </c>
      <c r="J375" t="str">
        <f>IF(COUNTIF(Pays!A:A,X375)=0,"Pays inconnu",_xlfn.XLOOKUP(X375,Pays!A:A,Pays!B:B))</f>
        <v>CH</v>
      </c>
      <c r="K375" t="str">
        <f>IF(COUNTIF(Pays!A:A,X375)=0,"Pays inconnu",_xlfn.XLOOKUP(X375,Pays!A:A,Pays!C:C))</f>
        <v>1_CH</v>
      </c>
      <c r="L375">
        <v>1</v>
      </c>
      <c r="M375">
        <f t="shared" si="10"/>
        <v>1.45</v>
      </c>
      <c r="N375" t="s">
        <v>20</v>
      </c>
      <c r="O375">
        <f>LOOKUP(X375,Pays!A:A,Pays!D:D)</f>
        <v>0</v>
      </c>
      <c r="P375">
        <v>0.15</v>
      </c>
      <c r="Q375">
        <v>1.45</v>
      </c>
      <c r="U375">
        <v>1</v>
      </c>
      <c r="W375">
        <f>IF(COUNTIF(Pays!A:A,X375)=0,"",LOOKUP(X375,Pays!A:A,Pays!E:E))</f>
        <v>0</v>
      </c>
      <c r="X375" s="8" t="s">
        <v>37</v>
      </c>
    </row>
    <row r="376" spans="1:24" x14ac:dyDescent="0.25">
      <c r="A376" t="s">
        <v>1160</v>
      </c>
      <c r="B376" t="s">
        <v>182</v>
      </c>
      <c r="C376" s="1">
        <f t="shared" si="11"/>
        <v>46174</v>
      </c>
      <c r="F376" t="s">
        <v>155</v>
      </c>
      <c r="G376" t="s">
        <v>589</v>
      </c>
      <c r="H376" t="s">
        <v>1508</v>
      </c>
      <c r="I376" t="s">
        <v>18</v>
      </c>
      <c r="J376" t="str">
        <f>IF(COUNTIF(Pays!A:A,X376)=0,"Pays inconnu",_xlfn.XLOOKUP(X376,Pays!A:A,Pays!B:B))</f>
        <v>CH</v>
      </c>
      <c r="K376" t="str">
        <f>IF(COUNTIF(Pays!A:A,X376)=0,"Pays inconnu",_xlfn.XLOOKUP(X376,Pays!A:A,Pays!C:C))</f>
        <v>1_CH</v>
      </c>
      <c r="L376">
        <v>1</v>
      </c>
      <c r="M376">
        <f t="shared" si="10"/>
        <v>0.9</v>
      </c>
      <c r="N376" t="s">
        <v>20</v>
      </c>
      <c r="O376">
        <f>LOOKUP(X376,Pays!A:A,Pays!D:D)</f>
        <v>0</v>
      </c>
      <c r="P376">
        <v>0.15</v>
      </c>
      <c r="Q376">
        <v>0.9</v>
      </c>
      <c r="U376">
        <v>1</v>
      </c>
      <c r="W376">
        <f>IF(COUNTIF(Pays!A:A,X376)=0,"",LOOKUP(X376,Pays!A:A,Pays!E:E))</f>
        <v>0</v>
      </c>
      <c r="X376" s="8" t="s">
        <v>37</v>
      </c>
    </row>
    <row r="377" spans="1:24" x14ac:dyDescent="0.25">
      <c r="A377" t="s">
        <v>1160</v>
      </c>
      <c r="B377" t="s">
        <v>182</v>
      </c>
      <c r="C377" s="1">
        <f t="shared" si="11"/>
        <v>46174</v>
      </c>
      <c r="F377" t="s">
        <v>155</v>
      </c>
      <c r="G377" t="s">
        <v>590</v>
      </c>
      <c r="H377" t="s">
        <v>1509</v>
      </c>
      <c r="I377" t="s">
        <v>18</v>
      </c>
      <c r="J377" t="str">
        <f>IF(COUNTIF(Pays!A:A,X377)=0,"Pays inconnu",_xlfn.XLOOKUP(X377,Pays!A:A,Pays!B:B))</f>
        <v>BE</v>
      </c>
      <c r="K377" t="str">
        <f>IF(COUNTIF(Pays!A:A,X377)=0,"Pays inconnu",_xlfn.XLOOKUP(X377,Pays!A:A,Pays!C:C))</f>
        <v>1_BE</v>
      </c>
      <c r="L377">
        <v>1</v>
      </c>
      <c r="M377">
        <f t="shared" si="10"/>
        <v>0.46</v>
      </c>
      <c r="N377" t="s">
        <v>20</v>
      </c>
      <c r="O377">
        <f>LOOKUP(X377,Pays!A:A,Pays!D:D)</f>
        <v>0.2</v>
      </c>
      <c r="P377">
        <v>0.15</v>
      </c>
      <c r="Q377">
        <v>0.46</v>
      </c>
      <c r="U377">
        <v>1</v>
      </c>
      <c r="W377">
        <f>IF(COUNTIF(Pays!A:A,X377)=0,"",LOOKUP(X377,Pays!A:A,Pays!E:E))</f>
        <v>0</v>
      </c>
      <c r="X377" s="8" t="s">
        <v>28</v>
      </c>
    </row>
    <row r="378" spans="1:24" x14ac:dyDescent="0.25">
      <c r="A378" t="s">
        <v>1160</v>
      </c>
      <c r="B378" t="s">
        <v>182</v>
      </c>
      <c r="C378" s="1">
        <f t="shared" si="11"/>
        <v>46174</v>
      </c>
      <c r="F378" t="s">
        <v>155</v>
      </c>
      <c r="G378" t="s">
        <v>591</v>
      </c>
      <c r="H378" t="s">
        <v>1510</v>
      </c>
      <c r="I378" t="s">
        <v>18</v>
      </c>
      <c r="J378" t="str">
        <f>IF(COUNTIF(Pays!A:A,X378)=0,"Pays inconnu",_xlfn.XLOOKUP(X378,Pays!A:A,Pays!B:B))</f>
        <v>CH</v>
      </c>
      <c r="K378" t="str">
        <f>IF(COUNTIF(Pays!A:A,X378)=0,"Pays inconnu",_xlfn.XLOOKUP(X378,Pays!A:A,Pays!C:C))</f>
        <v>1_CH</v>
      </c>
      <c r="L378">
        <v>1</v>
      </c>
      <c r="M378">
        <f t="shared" si="10"/>
        <v>0.15</v>
      </c>
      <c r="N378" t="s">
        <v>20</v>
      </c>
      <c r="O378">
        <f>LOOKUP(X378,Pays!A:A,Pays!D:D)</f>
        <v>0</v>
      </c>
      <c r="P378">
        <v>0.15</v>
      </c>
      <c r="Q378">
        <v>0.08</v>
      </c>
      <c r="U378">
        <v>1</v>
      </c>
      <c r="W378">
        <f>IF(COUNTIF(Pays!A:A,X378)=0,"",LOOKUP(X378,Pays!A:A,Pays!E:E))</f>
        <v>0</v>
      </c>
      <c r="X378" s="8" t="s">
        <v>37</v>
      </c>
    </row>
    <row r="379" spans="1:24" x14ac:dyDescent="0.25">
      <c r="A379" t="s">
        <v>1160</v>
      </c>
      <c r="B379" t="s">
        <v>182</v>
      </c>
      <c r="C379" s="1">
        <f t="shared" si="11"/>
        <v>46174</v>
      </c>
      <c r="F379" t="s">
        <v>181</v>
      </c>
      <c r="G379" t="s">
        <v>592</v>
      </c>
      <c r="H379" t="s">
        <v>1511</v>
      </c>
      <c r="I379" t="s">
        <v>18</v>
      </c>
      <c r="J379" t="str">
        <f>IF(COUNTIF(Pays!A:A,X379)=0,"Pays inconnu",_xlfn.XLOOKUP(X379,Pays!A:A,Pays!B:B))</f>
        <v>CH</v>
      </c>
      <c r="K379" t="str">
        <f>IF(COUNTIF(Pays!A:A,X379)=0,"Pays inconnu",_xlfn.XLOOKUP(X379,Pays!A:A,Pays!C:C))</f>
        <v>1_CH</v>
      </c>
      <c r="L379">
        <v>1</v>
      </c>
      <c r="M379">
        <f t="shared" si="10"/>
        <v>0.21</v>
      </c>
      <c r="N379" t="s">
        <v>20</v>
      </c>
      <c r="O379">
        <f>LOOKUP(X379,Pays!A:A,Pays!D:D)</f>
        <v>0</v>
      </c>
      <c r="P379">
        <v>0.15</v>
      </c>
      <c r="Q379">
        <v>0.21</v>
      </c>
      <c r="U379">
        <v>1</v>
      </c>
      <c r="W379">
        <f>IF(COUNTIF(Pays!A:A,X379)=0,"",LOOKUP(X379,Pays!A:A,Pays!E:E))</f>
        <v>0</v>
      </c>
      <c r="X379" s="8" t="s">
        <v>37</v>
      </c>
    </row>
    <row r="380" spans="1:24" x14ac:dyDescent="0.25">
      <c r="A380" t="s">
        <v>1160</v>
      </c>
      <c r="B380" t="s">
        <v>182</v>
      </c>
      <c r="C380" s="1">
        <f t="shared" si="11"/>
        <v>46174</v>
      </c>
      <c r="F380" t="s">
        <v>155</v>
      </c>
      <c r="G380" t="s">
        <v>593</v>
      </c>
      <c r="H380" t="s">
        <v>1512</v>
      </c>
      <c r="I380" t="s">
        <v>18</v>
      </c>
      <c r="J380" t="str">
        <f>IF(COUNTIF(Pays!A:A,X380)=0,"Pays inconnu",_xlfn.XLOOKUP(X380,Pays!A:A,Pays!B:B))</f>
        <v>CH</v>
      </c>
      <c r="K380" t="str">
        <f>IF(COUNTIF(Pays!A:A,X380)=0,"Pays inconnu",_xlfn.XLOOKUP(X380,Pays!A:A,Pays!C:C))</f>
        <v>1_CH</v>
      </c>
      <c r="L380">
        <v>1</v>
      </c>
      <c r="M380">
        <f t="shared" si="10"/>
        <v>0.16</v>
      </c>
      <c r="N380" t="s">
        <v>20</v>
      </c>
      <c r="O380">
        <f>LOOKUP(X380,Pays!A:A,Pays!D:D)</f>
        <v>0</v>
      </c>
      <c r="P380">
        <v>0.15</v>
      </c>
      <c r="Q380">
        <v>0.16</v>
      </c>
      <c r="U380">
        <v>1</v>
      </c>
      <c r="W380">
        <f>IF(COUNTIF(Pays!A:A,X380)=0,"",LOOKUP(X380,Pays!A:A,Pays!E:E))</f>
        <v>0</v>
      </c>
      <c r="X380" s="8" t="s">
        <v>37</v>
      </c>
    </row>
    <row r="381" spans="1:24" x14ac:dyDescent="0.25">
      <c r="A381" t="s">
        <v>1160</v>
      </c>
      <c r="B381" t="s">
        <v>182</v>
      </c>
      <c r="C381" s="1">
        <f t="shared" si="11"/>
        <v>46174</v>
      </c>
      <c r="F381" t="s">
        <v>155</v>
      </c>
      <c r="G381" t="s">
        <v>594</v>
      </c>
      <c r="H381" t="s">
        <v>1513</v>
      </c>
      <c r="I381" t="s">
        <v>18</v>
      </c>
      <c r="J381" t="str">
        <f>IF(COUNTIF(Pays!A:A,X381)=0,"Pays inconnu",_xlfn.XLOOKUP(X381,Pays!A:A,Pays!B:B))</f>
        <v>CH</v>
      </c>
      <c r="K381" t="str">
        <f>IF(COUNTIF(Pays!A:A,X381)=0,"Pays inconnu",_xlfn.XLOOKUP(X381,Pays!A:A,Pays!C:C))</f>
        <v>1_CH</v>
      </c>
      <c r="L381">
        <v>1</v>
      </c>
      <c r="M381">
        <f t="shared" si="10"/>
        <v>0.15</v>
      </c>
      <c r="N381" t="s">
        <v>20</v>
      </c>
      <c r="O381">
        <f>LOOKUP(X381,Pays!A:A,Pays!D:D)</f>
        <v>0</v>
      </c>
      <c r="P381">
        <v>0.15</v>
      </c>
      <c r="Q381">
        <v>0.01</v>
      </c>
      <c r="U381">
        <v>1</v>
      </c>
      <c r="W381">
        <f>IF(COUNTIF(Pays!A:A,X381)=0,"",LOOKUP(X381,Pays!A:A,Pays!E:E))</f>
        <v>0</v>
      </c>
      <c r="X381" s="8" t="s">
        <v>37</v>
      </c>
    </row>
    <row r="382" spans="1:24" x14ac:dyDescent="0.25">
      <c r="A382" t="s">
        <v>1160</v>
      </c>
      <c r="B382" t="s">
        <v>182</v>
      </c>
      <c r="C382" s="1">
        <f t="shared" si="11"/>
        <v>46174</v>
      </c>
      <c r="F382" t="s">
        <v>155</v>
      </c>
      <c r="G382" t="s">
        <v>595</v>
      </c>
      <c r="H382" t="s">
        <v>1514</v>
      </c>
      <c r="I382" t="s">
        <v>18</v>
      </c>
      <c r="J382" t="str">
        <f>IF(COUNTIF(Pays!A:A,X382)=0,"Pays inconnu",_xlfn.XLOOKUP(X382,Pays!A:A,Pays!B:B))</f>
        <v>CH</v>
      </c>
      <c r="K382" t="str">
        <f>IF(COUNTIF(Pays!A:A,X382)=0,"Pays inconnu",_xlfn.XLOOKUP(X382,Pays!A:A,Pays!C:C))</f>
        <v>1_CH</v>
      </c>
      <c r="L382">
        <v>1</v>
      </c>
      <c r="M382">
        <f t="shared" si="10"/>
        <v>0.19</v>
      </c>
      <c r="N382" t="s">
        <v>20</v>
      </c>
      <c r="O382">
        <f>LOOKUP(X382,Pays!A:A,Pays!D:D)</f>
        <v>0</v>
      </c>
      <c r="P382">
        <v>0.15</v>
      </c>
      <c r="Q382">
        <v>0.19</v>
      </c>
      <c r="U382">
        <v>1</v>
      </c>
      <c r="W382">
        <f>IF(COUNTIF(Pays!A:A,X382)=0,"",LOOKUP(X382,Pays!A:A,Pays!E:E))</f>
        <v>0</v>
      </c>
      <c r="X382" s="8" t="s">
        <v>37</v>
      </c>
    </row>
    <row r="383" spans="1:24" x14ac:dyDescent="0.25">
      <c r="A383" t="s">
        <v>1160</v>
      </c>
      <c r="B383" t="s">
        <v>182</v>
      </c>
      <c r="C383" s="1">
        <f t="shared" si="11"/>
        <v>46174</v>
      </c>
      <c r="F383" t="s">
        <v>155</v>
      </c>
      <c r="G383" t="s">
        <v>596</v>
      </c>
      <c r="H383" t="s">
        <v>1426</v>
      </c>
      <c r="I383" t="s">
        <v>18</v>
      </c>
      <c r="J383" t="str">
        <f>IF(COUNTIF(Pays!A:A,X383)=0,"Pays inconnu",_xlfn.XLOOKUP(X383,Pays!A:A,Pays!B:B))</f>
        <v>CH</v>
      </c>
      <c r="K383" t="str">
        <f>IF(COUNTIF(Pays!A:A,X383)=0,"Pays inconnu",_xlfn.XLOOKUP(X383,Pays!A:A,Pays!C:C))</f>
        <v>1_CH</v>
      </c>
      <c r="L383">
        <v>1</v>
      </c>
      <c r="M383">
        <f t="shared" si="10"/>
        <v>0.38</v>
      </c>
      <c r="N383" t="s">
        <v>20</v>
      </c>
      <c r="O383">
        <f>LOOKUP(X383,Pays!A:A,Pays!D:D)</f>
        <v>0</v>
      </c>
      <c r="P383">
        <v>0.15</v>
      </c>
      <c r="Q383">
        <v>0.38</v>
      </c>
      <c r="U383">
        <v>1</v>
      </c>
      <c r="W383">
        <f>IF(COUNTIF(Pays!A:A,X383)=0,"",LOOKUP(X383,Pays!A:A,Pays!E:E))</f>
        <v>0</v>
      </c>
      <c r="X383" s="8" t="s">
        <v>37</v>
      </c>
    </row>
    <row r="384" spans="1:24" x14ac:dyDescent="0.25">
      <c r="A384" t="s">
        <v>1160</v>
      </c>
      <c r="B384" t="s">
        <v>182</v>
      </c>
      <c r="C384" s="1">
        <f t="shared" si="11"/>
        <v>46174</v>
      </c>
      <c r="F384" t="s">
        <v>110</v>
      </c>
      <c r="G384" t="s">
        <v>597</v>
      </c>
      <c r="H384" t="s">
        <v>1515</v>
      </c>
      <c r="I384" t="s">
        <v>18</v>
      </c>
      <c r="J384" t="str">
        <f>IF(COUNTIF(Pays!A:A,X384)=0,"Pays inconnu",_xlfn.XLOOKUP(X384,Pays!A:A,Pays!B:B))</f>
        <v>GB</v>
      </c>
      <c r="K384" t="str">
        <f>IF(COUNTIF(Pays!A:A,X384)=0,"Pays inconnu",_xlfn.XLOOKUP(X384,Pays!A:A,Pays!C:C))</f>
        <v>1_GB</v>
      </c>
      <c r="L384">
        <v>1</v>
      </c>
      <c r="M384">
        <f t="shared" si="10"/>
        <v>0.15</v>
      </c>
      <c r="N384" t="s">
        <v>20</v>
      </c>
      <c r="O384">
        <f>LOOKUP(X384,Pays!A:A,Pays!D:D)</f>
        <v>0</v>
      </c>
      <c r="P384">
        <v>0.15</v>
      </c>
      <c r="Q384">
        <v>0.14000000000000001</v>
      </c>
      <c r="U384">
        <v>1</v>
      </c>
      <c r="W384">
        <f>IF(COUNTIF(Pays!A:A,X384)=0,"",LOOKUP(X384,Pays!A:A,Pays!E:E))</f>
        <v>0</v>
      </c>
      <c r="X384" s="8" t="s">
        <v>30</v>
      </c>
    </row>
    <row r="385" spans="1:24" x14ac:dyDescent="0.25">
      <c r="A385" t="s">
        <v>1160</v>
      </c>
      <c r="B385" t="s">
        <v>182</v>
      </c>
      <c r="C385" s="1">
        <f t="shared" si="11"/>
        <v>46174</v>
      </c>
      <c r="F385" t="s">
        <v>110</v>
      </c>
      <c r="G385" t="s">
        <v>598</v>
      </c>
      <c r="H385" t="s">
        <v>1516</v>
      </c>
      <c r="I385" t="s">
        <v>18</v>
      </c>
      <c r="J385" t="str">
        <f>IF(COUNTIF(Pays!A:A,X385)=0,"Pays inconnu",_xlfn.XLOOKUP(X385,Pays!A:A,Pays!B:B))</f>
        <v>GB</v>
      </c>
      <c r="K385" t="str">
        <f>IF(COUNTIF(Pays!A:A,X385)=0,"Pays inconnu",_xlfn.XLOOKUP(X385,Pays!A:A,Pays!C:C))</f>
        <v>1_GB</v>
      </c>
      <c r="L385">
        <v>1</v>
      </c>
      <c r="M385">
        <f t="shared" si="10"/>
        <v>0.37</v>
      </c>
      <c r="N385" t="s">
        <v>20</v>
      </c>
      <c r="O385">
        <f>LOOKUP(X385,Pays!A:A,Pays!D:D)</f>
        <v>0</v>
      </c>
      <c r="P385">
        <v>0.15</v>
      </c>
      <c r="Q385">
        <v>0.37</v>
      </c>
      <c r="U385">
        <v>1</v>
      </c>
      <c r="W385">
        <f>IF(COUNTIF(Pays!A:A,X385)=0,"",LOOKUP(X385,Pays!A:A,Pays!E:E))</f>
        <v>0</v>
      </c>
      <c r="X385" s="8" t="s">
        <v>30</v>
      </c>
    </row>
    <row r="386" spans="1:24" x14ac:dyDescent="0.25">
      <c r="A386" t="s">
        <v>1160</v>
      </c>
      <c r="B386" t="s">
        <v>182</v>
      </c>
      <c r="C386" s="1">
        <f t="shared" si="11"/>
        <v>46174</v>
      </c>
      <c r="F386" t="s">
        <v>155</v>
      </c>
      <c r="G386" t="s">
        <v>599</v>
      </c>
      <c r="H386" t="s">
        <v>1517</v>
      </c>
      <c r="I386" t="s">
        <v>18</v>
      </c>
      <c r="J386" t="str">
        <f>IF(COUNTIF(Pays!A:A,X386)=0,"Pays inconnu",_xlfn.XLOOKUP(X386,Pays!A:A,Pays!B:B))</f>
        <v>GB</v>
      </c>
      <c r="K386" t="str">
        <f>IF(COUNTIF(Pays!A:A,X386)=0,"Pays inconnu",_xlfn.XLOOKUP(X386,Pays!A:A,Pays!C:C))</f>
        <v>1_GB</v>
      </c>
      <c r="L386">
        <v>1</v>
      </c>
      <c r="M386">
        <f t="shared" si="10"/>
        <v>0.15</v>
      </c>
      <c r="N386" t="s">
        <v>20</v>
      </c>
      <c r="O386">
        <f>LOOKUP(X386,Pays!A:A,Pays!D:D)</f>
        <v>0</v>
      </c>
      <c r="P386">
        <v>0.15</v>
      </c>
      <c r="Q386">
        <v>0.11</v>
      </c>
      <c r="U386">
        <v>1</v>
      </c>
      <c r="W386">
        <f>IF(COUNTIF(Pays!A:A,X386)=0,"",LOOKUP(X386,Pays!A:A,Pays!E:E))</f>
        <v>0</v>
      </c>
      <c r="X386" s="8" t="s">
        <v>30</v>
      </c>
    </row>
    <row r="387" spans="1:24" x14ac:dyDescent="0.25">
      <c r="A387" t="s">
        <v>1160</v>
      </c>
      <c r="B387" t="s">
        <v>182</v>
      </c>
      <c r="C387" s="1">
        <f t="shared" si="11"/>
        <v>46174</v>
      </c>
      <c r="F387" t="s">
        <v>155</v>
      </c>
      <c r="G387" t="s">
        <v>600</v>
      </c>
      <c r="H387" t="s">
        <v>205</v>
      </c>
      <c r="I387" t="s">
        <v>18</v>
      </c>
      <c r="J387" t="str">
        <f>IF(COUNTIF(Pays!A:A,X387)=0,"Pays inconnu",_xlfn.XLOOKUP(X387,Pays!A:A,Pays!B:B))</f>
        <v>GB</v>
      </c>
      <c r="K387" t="str">
        <f>IF(COUNTIF(Pays!A:A,X387)=0,"Pays inconnu",_xlfn.XLOOKUP(X387,Pays!A:A,Pays!C:C))</f>
        <v>1_GB</v>
      </c>
      <c r="L387">
        <v>1</v>
      </c>
      <c r="M387">
        <f t="shared" ref="M387:M450" si="12">ROUND(MAX(P387:Q387),2)</f>
        <v>0.15</v>
      </c>
      <c r="N387" t="s">
        <v>20</v>
      </c>
      <c r="O387">
        <f>LOOKUP(X387,Pays!A:A,Pays!D:D)</f>
        <v>0</v>
      </c>
      <c r="P387">
        <v>0.15</v>
      </c>
      <c r="Q387">
        <v>7.0000000000000007E-2</v>
      </c>
      <c r="U387">
        <v>1</v>
      </c>
      <c r="W387">
        <f>IF(COUNTIF(Pays!A:A,X387)=0,"",LOOKUP(X387,Pays!A:A,Pays!E:E))</f>
        <v>0</v>
      </c>
      <c r="X387" s="8" t="s">
        <v>30</v>
      </c>
    </row>
    <row r="388" spans="1:24" x14ac:dyDescent="0.25">
      <c r="A388" t="s">
        <v>1160</v>
      </c>
      <c r="B388" t="s">
        <v>182</v>
      </c>
      <c r="C388" s="1">
        <f t="shared" ref="C388:C451" si="13">C387</f>
        <v>46174</v>
      </c>
      <c r="F388" t="s">
        <v>155</v>
      </c>
      <c r="G388" t="s">
        <v>601</v>
      </c>
      <c r="H388" t="s">
        <v>1518</v>
      </c>
      <c r="I388" t="s">
        <v>18</v>
      </c>
      <c r="J388" t="str">
        <f>IF(COUNTIF(Pays!A:A,X388)=0,"Pays inconnu",_xlfn.XLOOKUP(X388,Pays!A:A,Pays!B:B))</f>
        <v>GB</v>
      </c>
      <c r="K388" t="str">
        <f>IF(COUNTIF(Pays!A:A,X388)=0,"Pays inconnu",_xlfn.XLOOKUP(X388,Pays!A:A,Pays!C:C))</f>
        <v>1_GB</v>
      </c>
      <c r="L388">
        <v>1</v>
      </c>
      <c r="M388">
        <f t="shared" si="12"/>
        <v>0.4</v>
      </c>
      <c r="N388" t="s">
        <v>20</v>
      </c>
      <c r="O388">
        <f>LOOKUP(X388,Pays!A:A,Pays!D:D)</f>
        <v>0</v>
      </c>
      <c r="P388">
        <v>0.15</v>
      </c>
      <c r="Q388">
        <v>0.4</v>
      </c>
      <c r="U388">
        <v>1</v>
      </c>
      <c r="W388">
        <f>IF(COUNTIF(Pays!A:A,X388)=0,"",LOOKUP(X388,Pays!A:A,Pays!E:E))</f>
        <v>0</v>
      </c>
      <c r="X388" s="8" t="s">
        <v>30</v>
      </c>
    </row>
    <row r="389" spans="1:24" x14ac:dyDescent="0.25">
      <c r="A389" t="s">
        <v>1160</v>
      </c>
      <c r="B389" t="s">
        <v>182</v>
      </c>
      <c r="C389" s="1">
        <f t="shared" si="13"/>
        <v>46174</v>
      </c>
      <c r="F389" t="s">
        <v>155</v>
      </c>
      <c r="G389" t="s">
        <v>602</v>
      </c>
      <c r="H389" t="s">
        <v>1519</v>
      </c>
      <c r="I389" t="s">
        <v>18</v>
      </c>
      <c r="J389" t="str">
        <f>IF(COUNTIF(Pays!A:A,X389)=0,"Pays inconnu",_xlfn.XLOOKUP(X389,Pays!A:A,Pays!B:B))</f>
        <v>CH</v>
      </c>
      <c r="K389" t="str">
        <f>IF(COUNTIF(Pays!A:A,X389)=0,"Pays inconnu",_xlfn.XLOOKUP(X389,Pays!A:A,Pays!C:C))</f>
        <v>1_CH</v>
      </c>
      <c r="L389">
        <v>1</v>
      </c>
      <c r="M389">
        <f t="shared" si="12"/>
        <v>0.19</v>
      </c>
      <c r="N389" t="s">
        <v>20</v>
      </c>
      <c r="O389">
        <f>LOOKUP(X389,Pays!A:A,Pays!D:D)</f>
        <v>0</v>
      </c>
      <c r="P389">
        <v>0.15</v>
      </c>
      <c r="Q389">
        <v>0.19</v>
      </c>
      <c r="U389">
        <v>1</v>
      </c>
      <c r="W389">
        <f>IF(COUNTIF(Pays!A:A,X389)=0,"",LOOKUP(X389,Pays!A:A,Pays!E:E))</f>
        <v>0</v>
      </c>
      <c r="X389" s="8" t="s">
        <v>37</v>
      </c>
    </row>
    <row r="390" spans="1:24" x14ac:dyDescent="0.25">
      <c r="A390" t="s">
        <v>1160</v>
      </c>
      <c r="B390" t="s">
        <v>182</v>
      </c>
      <c r="C390" s="1">
        <f t="shared" si="13"/>
        <v>46174</v>
      </c>
      <c r="F390" t="s">
        <v>155</v>
      </c>
      <c r="G390" t="s">
        <v>603</v>
      </c>
      <c r="H390" t="s">
        <v>1520</v>
      </c>
      <c r="I390" t="s">
        <v>18</v>
      </c>
      <c r="J390" t="str">
        <f>IF(COUNTIF(Pays!A:A,X390)=0,"Pays inconnu",_xlfn.XLOOKUP(X390,Pays!A:A,Pays!B:B))</f>
        <v>GB</v>
      </c>
      <c r="K390" t="str">
        <f>IF(COUNTIF(Pays!A:A,X390)=0,"Pays inconnu",_xlfn.XLOOKUP(X390,Pays!A:A,Pays!C:C))</f>
        <v>1_GB</v>
      </c>
      <c r="L390">
        <v>1</v>
      </c>
      <c r="M390">
        <f t="shared" si="12"/>
        <v>0.15</v>
      </c>
      <c r="N390" t="s">
        <v>20</v>
      </c>
      <c r="O390">
        <f>LOOKUP(X390,Pays!A:A,Pays!D:D)</f>
        <v>0</v>
      </c>
      <c r="P390">
        <v>0.15</v>
      </c>
      <c r="Q390">
        <v>0.11</v>
      </c>
      <c r="U390">
        <v>1</v>
      </c>
      <c r="W390">
        <f>IF(COUNTIF(Pays!A:A,X390)=0,"",LOOKUP(X390,Pays!A:A,Pays!E:E))</f>
        <v>0</v>
      </c>
      <c r="X390" s="8" t="s">
        <v>30</v>
      </c>
    </row>
    <row r="391" spans="1:24" x14ac:dyDescent="0.25">
      <c r="A391" t="s">
        <v>1160</v>
      </c>
      <c r="B391" t="s">
        <v>182</v>
      </c>
      <c r="C391" s="1">
        <f t="shared" si="13"/>
        <v>46174</v>
      </c>
      <c r="F391" t="s">
        <v>155</v>
      </c>
      <c r="G391" t="s">
        <v>604</v>
      </c>
      <c r="H391" t="s">
        <v>1521</v>
      </c>
      <c r="I391" t="s">
        <v>18</v>
      </c>
      <c r="J391" t="str">
        <f>IF(COUNTIF(Pays!A:A,X391)=0,"Pays inconnu",_xlfn.XLOOKUP(X391,Pays!A:A,Pays!B:B))</f>
        <v>CH</v>
      </c>
      <c r="K391" t="str">
        <f>IF(COUNTIF(Pays!A:A,X391)=0,"Pays inconnu",_xlfn.XLOOKUP(X391,Pays!A:A,Pays!C:C))</f>
        <v>1_CH</v>
      </c>
      <c r="L391">
        <v>1</v>
      </c>
      <c r="M391">
        <f t="shared" si="12"/>
        <v>0.51</v>
      </c>
      <c r="N391" t="s">
        <v>20</v>
      </c>
      <c r="O391">
        <f>LOOKUP(X391,Pays!A:A,Pays!D:D)</f>
        <v>0</v>
      </c>
      <c r="P391">
        <v>0.15</v>
      </c>
      <c r="Q391">
        <v>0.51</v>
      </c>
      <c r="U391">
        <v>1</v>
      </c>
      <c r="W391">
        <f>IF(COUNTIF(Pays!A:A,X391)=0,"",LOOKUP(X391,Pays!A:A,Pays!E:E))</f>
        <v>0</v>
      </c>
      <c r="X391" s="8" t="s">
        <v>37</v>
      </c>
    </row>
    <row r="392" spans="1:24" x14ac:dyDescent="0.25">
      <c r="A392" t="s">
        <v>1160</v>
      </c>
      <c r="B392" t="s">
        <v>182</v>
      </c>
      <c r="C392" s="1">
        <f t="shared" si="13"/>
        <v>46174</v>
      </c>
      <c r="F392" t="s">
        <v>155</v>
      </c>
      <c r="G392" t="s">
        <v>605</v>
      </c>
      <c r="H392" t="s">
        <v>1522</v>
      </c>
      <c r="I392" t="s">
        <v>18</v>
      </c>
      <c r="J392" t="str">
        <f>IF(COUNTIF(Pays!A:A,X392)=0,"Pays inconnu",_xlfn.XLOOKUP(X392,Pays!A:A,Pays!B:B))</f>
        <v>GB</v>
      </c>
      <c r="K392" t="str">
        <f>IF(COUNTIF(Pays!A:A,X392)=0,"Pays inconnu",_xlfn.XLOOKUP(X392,Pays!A:A,Pays!C:C))</f>
        <v>1_GB</v>
      </c>
      <c r="L392">
        <v>1</v>
      </c>
      <c r="M392">
        <f t="shared" si="12"/>
        <v>0.32</v>
      </c>
      <c r="N392" t="s">
        <v>20</v>
      </c>
      <c r="O392">
        <f>LOOKUP(X392,Pays!A:A,Pays!D:D)</f>
        <v>0</v>
      </c>
      <c r="P392">
        <v>0.15</v>
      </c>
      <c r="Q392">
        <v>0.32</v>
      </c>
      <c r="U392">
        <v>1</v>
      </c>
      <c r="W392">
        <f>IF(COUNTIF(Pays!A:A,X392)=0,"",LOOKUP(X392,Pays!A:A,Pays!E:E))</f>
        <v>0</v>
      </c>
      <c r="X392" s="8" t="s">
        <v>30</v>
      </c>
    </row>
    <row r="393" spans="1:24" x14ac:dyDescent="0.25">
      <c r="A393" t="s">
        <v>1160</v>
      </c>
      <c r="B393" t="s">
        <v>182</v>
      </c>
      <c r="C393" s="1">
        <f t="shared" si="13"/>
        <v>46174</v>
      </c>
      <c r="F393" t="s">
        <v>155</v>
      </c>
      <c r="G393" t="s">
        <v>606</v>
      </c>
      <c r="H393" t="s">
        <v>1424</v>
      </c>
      <c r="I393" t="s">
        <v>18</v>
      </c>
      <c r="J393" t="str">
        <f>IF(COUNTIF(Pays!A:A,X393)=0,"Pays inconnu",_xlfn.XLOOKUP(X393,Pays!A:A,Pays!B:B))</f>
        <v>CH</v>
      </c>
      <c r="K393" t="str">
        <f>IF(COUNTIF(Pays!A:A,X393)=0,"Pays inconnu",_xlfn.XLOOKUP(X393,Pays!A:A,Pays!C:C))</f>
        <v>1_CH</v>
      </c>
      <c r="L393">
        <v>1</v>
      </c>
      <c r="M393">
        <f t="shared" si="12"/>
        <v>0.87</v>
      </c>
      <c r="N393" t="s">
        <v>20</v>
      </c>
      <c r="O393">
        <f>LOOKUP(X393,Pays!A:A,Pays!D:D)</f>
        <v>0</v>
      </c>
      <c r="P393">
        <v>0.15</v>
      </c>
      <c r="Q393">
        <v>0.87</v>
      </c>
      <c r="U393">
        <v>1</v>
      </c>
      <c r="W393">
        <f>IF(COUNTIF(Pays!A:A,X393)=0,"",LOOKUP(X393,Pays!A:A,Pays!E:E))</f>
        <v>0</v>
      </c>
      <c r="X393" s="8" t="s">
        <v>37</v>
      </c>
    </row>
    <row r="394" spans="1:24" x14ac:dyDescent="0.25">
      <c r="A394" t="s">
        <v>1160</v>
      </c>
      <c r="B394" t="s">
        <v>182</v>
      </c>
      <c r="C394" s="1">
        <f t="shared" si="13"/>
        <v>46174</v>
      </c>
      <c r="F394" t="s">
        <v>155</v>
      </c>
      <c r="G394" t="s">
        <v>607</v>
      </c>
      <c r="H394" t="s">
        <v>1523</v>
      </c>
      <c r="I394" t="s">
        <v>18</v>
      </c>
      <c r="J394" t="str">
        <f>IF(COUNTIF(Pays!A:A,X394)=0,"Pays inconnu",_xlfn.XLOOKUP(X394,Pays!A:A,Pays!B:B))</f>
        <v>GB</v>
      </c>
      <c r="K394" t="str">
        <f>IF(COUNTIF(Pays!A:A,X394)=0,"Pays inconnu",_xlfn.XLOOKUP(X394,Pays!A:A,Pays!C:C))</f>
        <v>1_GB</v>
      </c>
      <c r="L394">
        <v>1</v>
      </c>
      <c r="M394">
        <f t="shared" si="12"/>
        <v>0.15</v>
      </c>
      <c r="N394" t="s">
        <v>20</v>
      </c>
      <c r="O394">
        <f>LOOKUP(X394,Pays!A:A,Pays!D:D)</f>
        <v>0</v>
      </c>
      <c r="P394">
        <v>0.15</v>
      </c>
      <c r="Q394">
        <v>0.06</v>
      </c>
      <c r="U394">
        <v>1</v>
      </c>
      <c r="W394">
        <f>IF(COUNTIF(Pays!A:A,X394)=0,"",LOOKUP(X394,Pays!A:A,Pays!E:E))</f>
        <v>0</v>
      </c>
      <c r="X394" s="8" t="s">
        <v>30</v>
      </c>
    </row>
    <row r="395" spans="1:24" x14ac:dyDescent="0.25">
      <c r="A395" t="s">
        <v>1160</v>
      </c>
      <c r="B395" t="s">
        <v>182</v>
      </c>
      <c r="C395" s="1">
        <f t="shared" si="13"/>
        <v>46174</v>
      </c>
      <c r="F395" t="s">
        <v>155</v>
      </c>
      <c r="G395" t="s">
        <v>608</v>
      </c>
      <c r="H395" t="s">
        <v>197</v>
      </c>
      <c r="I395" t="s">
        <v>18</v>
      </c>
      <c r="J395" t="str">
        <f>IF(COUNTIF(Pays!A:A,X395)=0,"Pays inconnu",_xlfn.XLOOKUP(X395,Pays!A:A,Pays!B:B))</f>
        <v>CH</v>
      </c>
      <c r="K395" t="str">
        <f>IF(COUNTIF(Pays!A:A,X395)=0,"Pays inconnu",_xlfn.XLOOKUP(X395,Pays!A:A,Pays!C:C))</f>
        <v>1_CH</v>
      </c>
      <c r="L395">
        <v>1</v>
      </c>
      <c r="M395">
        <f t="shared" si="12"/>
        <v>0.15</v>
      </c>
      <c r="N395" t="s">
        <v>20</v>
      </c>
      <c r="O395">
        <f>LOOKUP(X395,Pays!A:A,Pays!D:D)</f>
        <v>0</v>
      </c>
      <c r="P395">
        <v>0.15</v>
      </c>
      <c r="Q395">
        <v>0.02</v>
      </c>
      <c r="U395">
        <v>1</v>
      </c>
      <c r="W395">
        <f>IF(COUNTIF(Pays!A:A,X395)=0,"",LOOKUP(X395,Pays!A:A,Pays!E:E))</f>
        <v>0</v>
      </c>
      <c r="X395" s="8" t="s">
        <v>37</v>
      </c>
    </row>
    <row r="396" spans="1:24" x14ac:dyDescent="0.25">
      <c r="A396" t="s">
        <v>1160</v>
      </c>
      <c r="B396" t="s">
        <v>182</v>
      </c>
      <c r="C396" s="1">
        <f t="shared" si="13"/>
        <v>46174</v>
      </c>
      <c r="F396" t="s">
        <v>155</v>
      </c>
      <c r="G396" t="s">
        <v>609</v>
      </c>
      <c r="H396" t="s">
        <v>1524</v>
      </c>
      <c r="I396" t="s">
        <v>18</v>
      </c>
      <c r="J396" t="str">
        <f>IF(COUNTIF(Pays!A:A,X396)=0,"Pays inconnu",_xlfn.XLOOKUP(X396,Pays!A:A,Pays!B:B))</f>
        <v>CH</v>
      </c>
      <c r="K396" t="str">
        <f>IF(COUNTIF(Pays!A:A,X396)=0,"Pays inconnu",_xlfn.XLOOKUP(X396,Pays!A:A,Pays!C:C))</f>
        <v>1_CH</v>
      </c>
      <c r="L396">
        <v>1</v>
      </c>
      <c r="M396">
        <f t="shared" si="12"/>
        <v>0.89</v>
      </c>
      <c r="N396" t="s">
        <v>20</v>
      </c>
      <c r="O396">
        <f>LOOKUP(X396,Pays!A:A,Pays!D:D)</f>
        <v>0</v>
      </c>
      <c r="P396">
        <v>0.15</v>
      </c>
      <c r="Q396">
        <v>0.89</v>
      </c>
      <c r="U396">
        <v>1</v>
      </c>
      <c r="W396">
        <f>IF(COUNTIF(Pays!A:A,X396)=0,"",LOOKUP(X396,Pays!A:A,Pays!E:E))</f>
        <v>0</v>
      </c>
      <c r="X396" s="8" t="s">
        <v>37</v>
      </c>
    </row>
    <row r="397" spans="1:24" x14ac:dyDescent="0.25">
      <c r="A397" t="s">
        <v>1160</v>
      </c>
      <c r="B397" t="s">
        <v>182</v>
      </c>
      <c r="C397" s="1">
        <f t="shared" si="13"/>
        <v>46174</v>
      </c>
      <c r="F397" t="s">
        <v>155</v>
      </c>
      <c r="G397" t="s">
        <v>610</v>
      </c>
      <c r="H397" t="s">
        <v>1525</v>
      </c>
      <c r="I397" t="s">
        <v>18</v>
      </c>
      <c r="J397" t="str">
        <f>IF(COUNTIF(Pays!A:A,X397)=0,"Pays inconnu",_xlfn.XLOOKUP(X397,Pays!A:A,Pays!B:B))</f>
        <v>GB</v>
      </c>
      <c r="K397" t="str">
        <f>IF(COUNTIF(Pays!A:A,X397)=0,"Pays inconnu",_xlfn.XLOOKUP(X397,Pays!A:A,Pays!C:C))</f>
        <v>1_GB</v>
      </c>
      <c r="L397">
        <v>1</v>
      </c>
      <c r="M397">
        <f t="shared" si="12"/>
        <v>0.23</v>
      </c>
      <c r="N397" t="s">
        <v>20</v>
      </c>
      <c r="O397">
        <f>LOOKUP(X397,Pays!A:A,Pays!D:D)</f>
        <v>0</v>
      </c>
      <c r="P397">
        <v>0.15</v>
      </c>
      <c r="Q397">
        <v>0.23</v>
      </c>
      <c r="U397">
        <v>1</v>
      </c>
      <c r="W397">
        <f>IF(COUNTIF(Pays!A:A,X397)=0,"",LOOKUP(X397,Pays!A:A,Pays!E:E))</f>
        <v>0</v>
      </c>
      <c r="X397" s="8" t="s">
        <v>30</v>
      </c>
    </row>
    <row r="398" spans="1:24" x14ac:dyDescent="0.25">
      <c r="A398" t="s">
        <v>1160</v>
      </c>
      <c r="B398" t="s">
        <v>182</v>
      </c>
      <c r="C398" s="1">
        <f t="shared" si="13"/>
        <v>46174</v>
      </c>
      <c r="F398" t="s">
        <v>155</v>
      </c>
      <c r="G398" t="s">
        <v>611</v>
      </c>
      <c r="H398" t="s">
        <v>1526</v>
      </c>
      <c r="I398" t="s">
        <v>18</v>
      </c>
      <c r="J398" t="str">
        <f>IF(COUNTIF(Pays!A:A,X398)=0,"Pays inconnu",_xlfn.XLOOKUP(X398,Pays!A:A,Pays!B:B))</f>
        <v>GB</v>
      </c>
      <c r="K398" t="str">
        <f>IF(COUNTIF(Pays!A:A,X398)=0,"Pays inconnu",_xlfn.XLOOKUP(X398,Pays!A:A,Pays!C:C))</f>
        <v>1_GB</v>
      </c>
      <c r="L398">
        <v>1</v>
      </c>
      <c r="M398">
        <f t="shared" si="12"/>
        <v>0.24</v>
      </c>
      <c r="N398" t="s">
        <v>20</v>
      </c>
      <c r="O398">
        <f>LOOKUP(X398,Pays!A:A,Pays!D:D)</f>
        <v>0</v>
      </c>
      <c r="P398">
        <v>0.15</v>
      </c>
      <c r="Q398">
        <v>0.24</v>
      </c>
      <c r="U398">
        <v>1</v>
      </c>
      <c r="W398">
        <f>IF(COUNTIF(Pays!A:A,X398)=0,"",LOOKUP(X398,Pays!A:A,Pays!E:E))</f>
        <v>0</v>
      </c>
      <c r="X398" s="8" t="s">
        <v>30</v>
      </c>
    </row>
    <row r="399" spans="1:24" x14ac:dyDescent="0.25">
      <c r="A399" t="s">
        <v>1160</v>
      </c>
      <c r="B399" t="s">
        <v>182</v>
      </c>
      <c r="C399" s="1">
        <f t="shared" si="13"/>
        <v>46174</v>
      </c>
      <c r="F399" t="s">
        <v>155</v>
      </c>
      <c r="G399" t="s">
        <v>612</v>
      </c>
      <c r="H399" t="s">
        <v>1527</v>
      </c>
      <c r="I399" t="s">
        <v>18</v>
      </c>
      <c r="J399" t="str">
        <f>IF(COUNTIF(Pays!A:A,X399)=0,"Pays inconnu",_xlfn.XLOOKUP(X399,Pays!A:A,Pays!B:B))</f>
        <v>CH</v>
      </c>
      <c r="K399" t="str">
        <f>IF(COUNTIF(Pays!A:A,X399)=0,"Pays inconnu",_xlfn.XLOOKUP(X399,Pays!A:A,Pays!C:C))</f>
        <v>1_CH</v>
      </c>
      <c r="L399">
        <v>1</v>
      </c>
      <c r="M399">
        <f t="shared" si="12"/>
        <v>0.33</v>
      </c>
      <c r="N399" t="s">
        <v>20</v>
      </c>
      <c r="O399">
        <f>LOOKUP(X399,Pays!A:A,Pays!D:D)</f>
        <v>0</v>
      </c>
      <c r="P399">
        <v>0.15</v>
      </c>
      <c r="Q399">
        <v>0.33</v>
      </c>
      <c r="U399">
        <v>1</v>
      </c>
      <c r="W399">
        <f>IF(COUNTIF(Pays!A:A,X399)=0,"",LOOKUP(X399,Pays!A:A,Pays!E:E))</f>
        <v>0</v>
      </c>
      <c r="X399" s="8" t="s">
        <v>37</v>
      </c>
    </row>
    <row r="400" spans="1:24" x14ac:dyDescent="0.25">
      <c r="A400" t="s">
        <v>1160</v>
      </c>
      <c r="B400" t="s">
        <v>182</v>
      </c>
      <c r="C400" s="1">
        <f t="shared" si="13"/>
        <v>46174</v>
      </c>
      <c r="F400" t="s">
        <v>155</v>
      </c>
      <c r="G400" t="s">
        <v>613</v>
      </c>
      <c r="H400" t="s">
        <v>1528</v>
      </c>
      <c r="I400" t="s">
        <v>18</v>
      </c>
      <c r="J400" t="str">
        <f>IF(COUNTIF(Pays!A:A,X400)=0,"Pays inconnu",_xlfn.XLOOKUP(X400,Pays!A:A,Pays!B:B))</f>
        <v>NL</v>
      </c>
      <c r="K400">
        <f>IF(COUNTIF(Pays!A:A,X400)=0,"Pays inconnu",_xlfn.XLOOKUP(X400,Pays!A:A,Pays!C:C))</f>
        <v>1</v>
      </c>
      <c r="L400">
        <v>1</v>
      </c>
      <c r="M400">
        <f t="shared" si="12"/>
        <v>0.73</v>
      </c>
      <c r="N400" t="s">
        <v>20</v>
      </c>
      <c r="O400">
        <f>LOOKUP(X400,Pays!A:A,Pays!D:D)</f>
        <v>0.2</v>
      </c>
      <c r="P400">
        <v>0.15</v>
      </c>
      <c r="Q400">
        <v>0.73</v>
      </c>
      <c r="U400">
        <v>1</v>
      </c>
      <c r="W400">
        <f>IF(COUNTIF(Pays!A:A,X400)=0,"",LOOKUP(X400,Pays!A:A,Pays!E:E))</f>
        <v>0</v>
      </c>
      <c r="X400" s="8" t="s">
        <v>31</v>
      </c>
    </row>
    <row r="401" spans="1:24" x14ac:dyDescent="0.25">
      <c r="A401" t="s">
        <v>1160</v>
      </c>
      <c r="B401" t="s">
        <v>182</v>
      </c>
      <c r="C401" s="1">
        <f t="shared" si="13"/>
        <v>46174</v>
      </c>
      <c r="F401" t="s">
        <v>155</v>
      </c>
      <c r="G401" t="s">
        <v>614</v>
      </c>
      <c r="H401" t="s">
        <v>1529</v>
      </c>
      <c r="I401" t="s">
        <v>18</v>
      </c>
      <c r="J401" t="str">
        <f>IF(COUNTIF(Pays!A:A,X401)=0,"Pays inconnu",_xlfn.XLOOKUP(X401,Pays!A:A,Pays!B:B))</f>
        <v>GB</v>
      </c>
      <c r="K401" t="str">
        <f>IF(COUNTIF(Pays!A:A,X401)=0,"Pays inconnu",_xlfn.XLOOKUP(X401,Pays!A:A,Pays!C:C))</f>
        <v>1_GB</v>
      </c>
      <c r="L401">
        <v>1</v>
      </c>
      <c r="M401">
        <f t="shared" si="12"/>
        <v>0.16</v>
      </c>
      <c r="N401" t="s">
        <v>20</v>
      </c>
      <c r="O401">
        <f>LOOKUP(X401,Pays!A:A,Pays!D:D)</f>
        <v>0</v>
      </c>
      <c r="P401">
        <v>0.15</v>
      </c>
      <c r="Q401">
        <v>0.16</v>
      </c>
      <c r="U401">
        <v>1</v>
      </c>
      <c r="W401">
        <f>IF(COUNTIF(Pays!A:A,X401)=0,"",LOOKUP(X401,Pays!A:A,Pays!E:E))</f>
        <v>0</v>
      </c>
      <c r="X401" s="8" t="s">
        <v>30</v>
      </c>
    </row>
    <row r="402" spans="1:24" x14ac:dyDescent="0.25">
      <c r="A402" t="s">
        <v>1160</v>
      </c>
      <c r="B402" t="s">
        <v>182</v>
      </c>
      <c r="C402" s="1">
        <f t="shared" si="13"/>
        <v>46174</v>
      </c>
      <c r="F402" t="s">
        <v>110</v>
      </c>
      <c r="G402" t="s">
        <v>615</v>
      </c>
      <c r="H402" t="s">
        <v>1530</v>
      </c>
      <c r="I402" t="s">
        <v>18</v>
      </c>
      <c r="J402" t="str">
        <f>IF(COUNTIF(Pays!A:A,X402)=0,"Pays inconnu",_xlfn.XLOOKUP(X402,Pays!A:A,Pays!B:B))</f>
        <v>GB</v>
      </c>
      <c r="K402" t="str">
        <f>IF(COUNTIF(Pays!A:A,X402)=0,"Pays inconnu",_xlfn.XLOOKUP(X402,Pays!A:A,Pays!C:C))</f>
        <v>1_GB</v>
      </c>
      <c r="L402">
        <v>1</v>
      </c>
      <c r="M402">
        <f t="shared" si="12"/>
        <v>0.36</v>
      </c>
      <c r="N402" t="s">
        <v>20</v>
      </c>
      <c r="O402">
        <f>LOOKUP(X402,Pays!A:A,Pays!D:D)</f>
        <v>0</v>
      </c>
      <c r="P402">
        <v>0.15</v>
      </c>
      <c r="Q402">
        <v>0.36</v>
      </c>
      <c r="U402">
        <v>1</v>
      </c>
      <c r="W402">
        <f>IF(COUNTIF(Pays!A:A,X402)=0,"",LOOKUP(X402,Pays!A:A,Pays!E:E))</f>
        <v>0</v>
      </c>
      <c r="X402" s="8" t="s">
        <v>30</v>
      </c>
    </row>
    <row r="403" spans="1:24" x14ac:dyDescent="0.25">
      <c r="A403" t="s">
        <v>1160</v>
      </c>
      <c r="B403" t="s">
        <v>182</v>
      </c>
      <c r="C403" s="1">
        <f t="shared" si="13"/>
        <v>46174</v>
      </c>
      <c r="F403" t="s">
        <v>155</v>
      </c>
      <c r="G403" t="s">
        <v>616</v>
      </c>
      <c r="H403" t="s">
        <v>1531</v>
      </c>
      <c r="I403" t="s">
        <v>18</v>
      </c>
      <c r="J403" t="str">
        <f>IF(COUNTIF(Pays!A:A,X403)=0,"Pays inconnu",_xlfn.XLOOKUP(X403,Pays!A:A,Pays!B:B))</f>
        <v>GB</v>
      </c>
      <c r="K403" t="str">
        <f>IF(COUNTIF(Pays!A:A,X403)=0,"Pays inconnu",_xlfn.XLOOKUP(X403,Pays!A:A,Pays!C:C))</f>
        <v>1_GB</v>
      </c>
      <c r="L403">
        <v>1</v>
      </c>
      <c r="M403">
        <f t="shared" si="12"/>
        <v>0.16</v>
      </c>
      <c r="N403" t="s">
        <v>20</v>
      </c>
      <c r="O403">
        <f>LOOKUP(X403,Pays!A:A,Pays!D:D)</f>
        <v>0</v>
      </c>
      <c r="P403">
        <v>0.15</v>
      </c>
      <c r="Q403">
        <v>0.16</v>
      </c>
      <c r="U403">
        <v>1</v>
      </c>
      <c r="W403">
        <f>IF(COUNTIF(Pays!A:A,X403)=0,"",LOOKUP(X403,Pays!A:A,Pays!E:E))</f>
        <v>0</v>
      </c>
      <c r="X403" s="8" t="s">
        <v>30</v>
      </c>
    </row>
    <row r="404" spans="1:24" x14ac:dyDescent="0.25">
      <c r="A404" t="s">
        <v>1160</v>
      </c>
      <c r="B404" t="s">
        <v>182</v>
      </c>
      <c r="C404" s="1">
        <f t="shared" si="13"/>
        <v>46174</v>
      </c>
      <c r="F404" t="s">
        <v>155</v>
      </c>
      <c r="G404" t="s">
        <v>617</v>
      </c>
      <c r="H404" t="s">
        <v>1532</v>
      </c>
      <c r="I404" t="s">
        <v>18</v>
      </c>
      <c r="J404" t="str">
        <f>IF(COUNTIF(Pays!A:A,X404)=0,"Pays inconnu",_xlfn.XLOOKUP(X404,Pays!A:A,Pays!B:B))</f>
        <v>CH</v>
      </c>
      <c r="K404" t="str">
        <f>IF(COUNTIF(Pays!A:A,X404)=0,"Pays inconnu",_xlfn.XLOOKUP(X404,Pays!A:A,Pays!C:C))</f>
        <v>1_CH</v>
      </c>
      <c r="L404">
        <v>1</v>
      </c>
      <c r="M404">
        <f t="shared" si="12"/>
        <v>0.77</v>
      </c>
      <c r="N404" t="s">
        <v>20</v>
      </c>
      <c r="O404">
        <f>LOOKUP(X404,Pays!A:A,Pays!D:D)</f>
        <v>0</v>
      </c>
      <c r="P404">
        <v>0.15</v>
      </c>
      <c r="Q404">
        <v>0.77</v>
      </c>
      <c r="U404">
        <v>1</v>
      </c>
      <c r="W404">
        <f>IF(COUNTIF(Pays!A:A,X404)=0,"",LOOKUP(X404,Pays!A:A,Pays!E:E))</f>
        <v>0</v>
      </c>
      <c r="X404" s="8" t="s">
        <v>37</v>
      </c>
    </row>
    <row r="405" spans="1:24" x14ac:dyDescent="0.25">
      <c r="A405" t="s">
        <v>1160</v>
      </c>
      <c r="B405" t="s">
        <v>182</v>
      </c>
      <c r="C405" s="1">
        <f t="shared" si="13"/>
        <v>46174</v>
      </c>
      <c r="F405" t="s">
        <v>155</v>
      </c>
      <c r="G405" t="s">
        <v>618</v>
      </c>
      <c r="H405" t="s">
        <v>1533</v>
      </c>
      <c r="I405" t="s">
        <v>18</v>
      </c>
      <c r="J405" t="str">
        <f>IF(COUNTIF(Pays!A:A,X405)=0,"Pays inconnu",_xlfn.XLOOKUP(X405,Pays!A:A,Pays!B:B))</f>
        <v>CH</v>
      </c>
      <c r="K405" t="str">
        <f>IF(COUNTIF(Pays!A:A,X405)=0,"Pays inconnu",_xlfn.XLOOKUP(X405,Pays!A:A,Pays!C:C))</f>
        <v>1_CH</v>
      </c>
      <c r="L405">
        <v>1</v>
      </c>
      <c r="M405">
        <f t="shared" si="12"/>
        <v>0.16</v>
      </c>
      <c r="N405" t="s">
        <v>20</v>
      </c>
      <c r="O405">
        <f>LOOKUP(X405,Pays!A:A,Pays!D:D)</f>
        <v>0</v>
      </c>
      <c r="P405">
        <v>0.15</v>
      </c>
      <c r="Q405">
        <v>0.16</v>
      </c>
      <c r="U405">
        <v>1</v>
      </c>
      <c r="W405">
        <f>IF(COUNTIF(Pays!A:A,X405)=0,"",LOOKUP(X405,Pays!A:A,Pays!E:E))</f>
        <v>0</v>
      </c>
      <c r="X405" s="8" t="s">
        <v>37</v>
      </c>
    </row>
    <row r="406" spans="1:24" x14ac:dyDescent="0.25">
      <c r="A406" t="s">
        <v>1160</v>
      </c>
      <c r="B406" t="s">
        <v>182</v>
      </c>
      <c r="C406" s="1">
        <f t="shared" si="13"/>
        <v>46174</v>
      </c>
      <c r="F406" t="s">
        <v>155</v>
      </c>
      <c r="G406" t="s">
        <v>619</v>
      </c>
      <c r="H406" t="s">
        <v>1534</v>
      </c>
      <c r="I406" t="s">
        <v>18</v>
      </c>
      <c r="J406" t="str">
        <f>IF(COUNTIF(Pays!A:A,X406)=0,"Pays inconnu",_xlfn.XLOOKUP(X406,Pays!A:A,Pays!B:B))</f>
        <v>CH</v>
      </c>
      <c r="K406" t="str">
        <f>IF(COUNTIF(Pays!A:A,X406)=0,"Pays inconnu",_xlfn.XLOOKUP(X406,Pays!A:A,Pays!C:C))</f>
        <v>1_CH</v>
      </c>
      <c r="L406">
        <v>1</v>
      </c>
      <c r="M406">
        <f t="shared" si="12"/>
        <v>0.15</v>
      </c>
      <c r="N406" t="s">
        <v>20</v>
      </c>
      <c r="O406">
        <f>LOOKUP(X406,Pays!A:A,Pays!D:D)</f>
        <v>0</v>
      </c>
      <c r="P406">
        <v>0.15</v>
      </c>
      <c r="Q406">
        <v>0.13</v>
      </c>
      <c r="U406">
        <v>1</v>
      </c>
      <c r="W406">
        <f>IF(COUNTIF(Pays!A:A,X406)=0,"",LOOKUP(X406,Pays!A:A,Pays!E:E))</f>
        <v>0</v>
      </c>
      <c r="X406" s="8" t="s">
        <v>37</v>
      </c>
    </row>
    <row r="407" spans="1:24" x14ac:dyDescent="0.25">
      <c r="A407" t="s">
        <v>1160</v>
      </c>
      <c r="B407" t="s">
        <v>182</v>
      </c>
      <c r="C407" s="1">
        <f t="shared" si="13"/>
        <v>46174</v>
      </c>
      <c r="F407" t="s">
        <v>155</v>
      </c>
      <c r="G407" t="s">
        <v>620</v>
      </c>
      <c r="H407" t="s">
        <v>1535</v>
      </c>
      <c r="I407" t="s">
        <v>18</v>
      </c>
      <c r="J407" t="str">
        <f>IF(COUNTIF(Pays!A:A,X407)=0,"Pays inconnu",_xlfn.XLOOKUP(X407,Pays!A:A,Pays!B:B))</f>
        <v>CH</v>
      </c>
      <c r="K407" t="str">
        <f>IF(COUNTIF(Pays!A:A,X407)=0,"Pays inconnu",_xlfn.XLOOKUP(X407,Pays!A:A,Pays!C:C))</f>
        <v>1_CH</v>
      </c>
      <c r="L407">
        <v>1</v>
      </c>
      <c r="M407">
        <f t="shared" si="12"/>
        <v>0.26</v>
      </c>
      <c r="N407" t="s">
        <v>20</v>
      </c>
      <c r="O407">
        <f>LOOKUP(X407,Pays!A:A,Pays!D:D)</f>
        <v>0</v>
      </c>
      <c r="P407">
        <v>0.15</v>
      </c>
      <c r="Q407">
        <v>0.26</v>
      </c>
      <c r="U407">
        <v>1</v>
      </c>
      <c r="W407">
        <f>IF(COUNTIF(Pays!A:A,X407)=0,"",LOOKUP(X407,Pays!A:A,Pays!E:E))</f>
        <v>0</v>
      </c>
      <c r="X407" s="8" t="s">
        <v>37</v>
      </c>
    </row>
    <row r="408" spans="1:24" x14ac:dyDescent="0.25">
      <c r="A408" t="s">
        <v>1160</v>
      </c>
      <c r="B408" t="s">
        <v>182</v>
      </c>
      <c r="C408" s="1">
        <f t="shared" si="13"/>
        <v>46174</v>
      </c>
      <c r="F408" t="s">
        <v>155</v>
      </c>
      <c r="G408" t="s">
        <v>621</v>
      </c>
      <c r="H408" t="s">
        <v>1536</v>
      </c>
      <c r="I408" t="s">
        <v>18</v>
      </c>
      <c r="J408" t="str">
        <f>IF(COUNTIF(Pays!A:A,X408)=0,"Pays inconnu",_xlfn.XLOOKUP(X408,Pays!A:A,Pays!B:B))</f>
        <v>CH</v>
      </c>
      <c r="K408" t="str">
        <f>IF(COUNTIF(Pays!A:A,X408)=0,"Pays inconnu",_xlfn.XLOOKUP(X408,Pays!A:A,Pays!C:C))</f>
        <v>1_CH</v>
      </c>
      <c r="L408">
        <v>1</v>
      </c>
      <c r="M408">
        <f t="shared" si="12"/>
        <v>0.2</v>
      </c>
      <c r="N408" t="s">
        <v>20</v>
      </c>
      <c r="O408">
        <f>LOOKUP(X408,Pays!A:A,Pays!D:D)</f>
        <v>0</v>
      </c>
      <c r="P408">
        <v>0.15</v>
      </c>
      <c r="Q408">
        <v>0.2</v>
      </c>
      <c r="U408">
        <v>1</v>
      </c>
      <c r="W408">
        <f>IF(COUNTIF(Pays!A:A,X408)=0,"",LOOKUP(X408,Pays!A:A,Pays!E:E))</f>
        <v>0</v>
      </c>
      <c r="X408" s="8" t="s">
        <v>37</v>
      </c>
    </row>
    <row r="409" spans="1:24" x14ac:dyDescent="0.25">
      <c r="A409" t="s">
        <v>1160</v>
      </c>
      <c r="B409" t="s">
        <v>182</v>
      </c>
      <c r="C409" s="1">
        <f t="shared" si="13"/>
        <v>46174</v>
      </c>
      <c r="F409" t="s">
        <v>155</v>
      </c>
      <c r="G409" t="s">
        <v>622</v>
      </c>
      <c r="H409" t="s">
        <v>1537</v>
      </c>
      <c r="I409" t="s">
        <v>18</v>
      </c>
      <c r="J409" t="str">
        <f>IF(COUNTIF(Pays!A:A,X409)=0,"Pays inconnu",_xlfn.XLOOKUP(X409,Pays!A:A,Pays!B:B))</f>
        <v>CH</v>
      </c>
      <c r="K409" t="str">
        <f>IF(COUNTIF(Pays!A:A,X409)=0,"Pays inconnu",_xlfn.XLOOKUP(X409,Pays!A:A,Pays!C:C))</f>
        <v>1_CH</v>
      </c>
      <c r="L409">
        <v>1</v>
      </c>
      <c r="M409">
        <f t="shared" si="12"/>
        <v>0.75</v>
      </c>
      <c r="N409" t="s">
        <v>20</v>
      </c>
      <c r="O409">
        <f>LOOKUP(X409,Pays!A:A,Pays!D:D)</f>
        <v>0</v>
      </c>
      <c r="P409">
        <v>0.15</v>
      </c>
      <c r="Q409">
        <v>0.75</v>
      </c>
      <c r="U409">
        <v>1</v>
      </c>
      <c r="W409">
        <f>IF(COUNTIF(Pays!A:A,X409)=0,"",LOOKUP(X409,Pays!A:A,Pays!E:E))</f>
        <v>0</v>
      </c>
      <c r="X409" s="8" t="s">
        <v>37</v>
      </c>
    </row>
    <row r="410" spans="1:24" x14ac:dyDescent="0.25">
      <c r="A410" t="s">
        <v>1160</v>
      </c>
      <c r="B410" t="s">
        <v>182</v>
      </c>
      <c r="C410" s="1">
        <f t="shared" si="13"/>
        <v>46174</v>
      </c>
      <c r="F410" t="s">
        <v>155</v>
      </c>
      <c r="G410" t="s">
        <v>623</v>
      </c>
      <c r="H410" t="s">
        <v>1538</v>
      </c>
      <c r="I410" t="s">
        <v>18</v>
      </c>
      <c r="J410" t="str">
        <f>IF(COUNTIF(Pays!A:A,X410)=0,"Pays inconnu",_xlfn.XLOOKUP(X410,Pays!A:A,Pays!B:B))</f>
        <v>GB</v>
      </c>
      <c r="K410" t="str">
        <f>IF(COUNTIF(Pays!A:A,X410)=0,"Pays inconnu",_xlfn.XLOOKUP(X410,Pays!A:A,Pays!C:C))</f>
        <v>1_GB</v>
      </c>
      <c r="L410">
        <v>1</v>
      </c>
      <c r="M410">
        <f t="shared" si="12"/>
        <v>0.15</v>
      </c>
      <c r="N410" t="s">
        <v>20</v>
      </c>
      <c r="O410">
        <f>LOOKUP(X410,Pays!A:A,Pays!D:D)</f>
        <v>0</v>
      </c>
      <c r="P410">
        <v>0.15</v>
      </c>
      <c r="Q410">
        <v>0.09</v>
      </c>
      <c r="U410">
        <v>1</v>
      </c>
      <c r="W410">
        <f>IF(COUNTIF(Pays!A:A,X410)=0,"",LOOKUP(X410,Pays!A:A,Pays!E:E))</f>
        <v>0</v>
      </c>
      <c r="X410" s="8" t="s">
        <v>30</v>
      </c>
    </row>
    <row r="411" spans="1:24" x14ac:dyDescent="0.25">
      <c r="A411" t="s">
        <v>1160</v>
      </c>
      <c r="B411" t="s">
        <v>182</v>
      </c>
      <c r="C411" s="1">
        <f t="shared" si="13"/>
        <v>46174</v>
      </c>
      <c r="F411" t="s">
        <v>181</v>
      </c>
      <c r="G411" t="s">
        <v>624</v>
      </c>
      <c r="H411" t="s">
        <v>1539</v>
      </c>
      <c r="I411" t="s">
        <v>18</v>
      </c>
      <c r="J411" t="str">
        <f>IF(COUNTIF(Pays!A:A,X411)=0,"Pays inconnu",_xlfn.XLOOKUP(X411,Pays!A:A,Pays!B:B))</f>
        <v>CH</v>
      </c>
      <c r="K411" t="str">
        <f>IF(COUNTIF(Pays!A:A,X411)=0,"Pays inconnu",_xlfn.XLOOKUP(X411,Pays!A:A,Pays!C:C))</f>
        <v>1_CH</v>
      </c>
      <c r="L411">
        <v>1</v>
      </c>
      <c r="M411">
        <f t="shared" si="12"/>
        <v>0.15</v>
      </c>
      <c r="N411" t="s">
        <v>20</v>
      </c>
      <c r="O411">
        <f>LOOKUP(X411,Pays!A:A,Pays!D:D)</f>
        <v>0</v>
      </c>
      <c r="P411">
        <v>0.15</v>
      </c>
      <c r="Q411" t="s">
        <v>2007</v>
      </c>
      <c r="U411">
        <v>1</v>
      </c>
      <c r="W411">
        <f>IF(COUNTIF(Pays!A:A,X411)=0,"",LOOKUP(X411,Pays!A:A,Pays!E:E))</f>
        <v>0</v>
      </c>
      <c r="X411" s="8" t="s">
        <v>37</v>
      </c>
    </row>
    <row r="412" spans="1:24" x14ac:dyDescent="0.25">
      <c r="A412" t="s">
        <v>1160</v>
      </c>
      <c r="B412" t="s">
        <v>182</v>
      </c>
      <c r="C412" s="1">
        <f t="shared" si="13"/>
        <v>46174</v>
      </c>
      <c r="F412" t="s">
        <v>155</v>
      </c>
      <c r="G412" t="s">
        <v>625</v>
      </c>
      <c r="H412" t="s">
        <v>1540</v>
      </c>
      <c r="I412" t="s">
        <v>18</v>
      </c>
      <c r="J412" t="str">
        <f>IF(COUNTIF(Pays!A:A,X412)=0,"Pays inconnu",_xlfn.XLOOKUP(X412,Pays!A:A,Pays!B:B))</f>
        <v>CH</v>
      </c>
      <c r="K412" t="str">
        <f>IF(COUNTIF(Pays!A:A,X412)=0,"Pays inconnu",_xlfn.XLOOKUP(X412,Pays!A:A,Pays!C:C))</f>
        <v>1_CH</v>
      </c>
      <c r="L412">
        <v>1</v>
      </c>
      <c r="M412">
        <f t="shared" si="12"/>
        <v>0.17</v>
      </c>
      <c r="N412" t="s">
        <v>20</v>
      </c>
      <c r="O412">
        <f>LOOKUP(X412,Pays!A:A,Pays!D:D)</f>
        <v>0</v>
      </c>
      <c r="P412">
        <v>0.15</v>
      </c>
      <c r="Q412">
        <v>0.17</v>
      </c>
      <c r="U412">
        <v>1</v>
      </c>
      <c r="W412">
        <f>IF(COUNTIF(Pays!A:A,X412)=0,"",LOOKUP(X412,Pays!A:A,Pays!E:E))</f>
        <v>0</v>
      </c>
      <c r="X412" s="8" t="s">
        <v>37</v>
      </c>
    </row>
    <row r="413" spans="1:24" x14ac:dyDescent="0.25">
      <c r="A413" t="s">
        <v>1160</v>
      </c>
      <c r="B413" t="s">
        <v>182</v>
      </c>
      <c r="C413" s="1">
        <f t="shared" si="13"/>
        <v>46174</v>
      </c>
      <c r="F413" t="s">
        <v>155</v>
      </c>
      <c r="G413" t="s">
        <v>626</v>
      </c>
      <c r="H413" t="s">
        <v>1541</v>
      </c>
      <c r="I413" t="s">
        <v>18</v>
      </c>
      <c r="J413" t="str">
        <f>IF(COUNTIF(Pays!A:A,X413)=0,"Pays inconnu",_xlfn.XLOOKUP(X413,Pays!A:A,Pays!B:B))</f>
        <v>GB</v>
      </c>
      <c r="K413" t="str">
        <f>IF(COUNTIF(Pays!A:A,X413)=0,"Pays inconnu",_xlfn.XLOOKUP(X413,Pays!A:A,Pays!C:C))</f>
        <v>1_GB</v>
      </c>
      <c r="L413">
        <v>1</v>
      </c>
      <c r="M413">
        <f t="shared" si="12"/>
        <v>0.15</v>
      </c>
      <c r="N413" t="s">
        <v>20</v>
      </c>
      <c r="O413">
        <f>LOOKUP(X413,Pays!A:A,Pays!D:D)</f>
        <v>0</v>
      </c>
      <c r="P413">
        <v>0.15</v>
      </c>
      <c r="Q413">
        <v>0.15</v>
      </c>
      <c r="U413">
        <v>1</v>
      </c>
      <c r="W413">
        <f>IF(COUNTIF(Pays!A:A,X413)=0,"",LOOKUP(X413,Pays!A:A,Pays!E:E))</f>
        <v>0</v>
      </c>
      <c r="X413" s="8" t="s">
        <v>30</v>
      </c>
    </row>
    <row r="414" spans="1:24" x14ac:dyDescent="0.25">
      <c r="A414" t="s">
        <v>1160</v>
      </c>
      <c r="B414" t="s">
        <v>182</v>
      </c>
      <c r="C414" s="1">
        <f t="shared" si="13"/>
        <v>46174</v>
      </c>
      <c r="F414" t="s">
        <v>155</v>
      </c>
      <c r="G414" t="s">
        <v>627</v>
      </c>
      <c r="H414" t="s">
        <v>1211</v>
      </c>
      <c r="I414" t="s">
        <v>18</v>
      </c>
      <c r="J414" t="str">
        <f>IF(COUNTIF(Pays!A:A,X414)=0,"Pays inconnu",_xlfn.XLOOKUP(X414,Pays!A:A,Pays!B:B))</f>
        <v>GB</v>
      </c>
      <c r="K414" t="str">
        <f>IF(COUNTIF(Pays!A:A,X414)=0,"Pays inconnu",_xlfn.XLOOKUP(X414,Pays!A:A,Pays!C:C))</f>
        <v>1_GB</v>
      </c>
      <c r="L414">
        <v>1</v>
      </c>
      <c r="M414">
        <f t="shared" si="12"/>
        <v>0.15</v>
      </c>
      <c r="N414" t="s">
        <v>20</v>
      </c>
      <c r="O414">
        <f>LOOKUP(X414,Pays!A:A,Pays!D:D)</f>
        <v>0</v>
      </c>
      <c r="P414">
        <v>0.15</v>
      </c>
      <c r="Q414">
        <v>0.13</v>
      </c>
      <c r="U414">
        <v>1</v>
      </c>
      <c r="W414">
        <f>IF(COUNTIF(Pays!A:A,X414)=0,"",LOOKUP(X414,Pays!A:A,Pays!E:E))</f>
        <v>0</v>
      </c>
      <c r="X414" s="8" t="s">
        <v>30</v>
      </c>
    </row>
    <row r="415" spans="1:24" x14ac:dyDescent="0.25">
      <c r="A415" t="s">
        <v>1160</v>
      </c>
      <c r="B415" t="s">
        <v>182</v>
      </c>
      <c r="C415" s="1">
        <f t="shared" si="13"/>
        <v>46174</v>
      </c>
      <c r="F415" t="s">
        <v>155</v>
      </c>
      <c r="G415" t="s">
        <v>628</v>
      </c>
      <c r="H415" t="s">
        <v>1542</v>
      </c>
      <c r="I415" t="s">
        <v>18</v>
      </c>
      <c r="J415" t="str">
        <f>IF(COUNTIF(Pays!A:A,X415)=0,"Pays inconnu",_xlfn.XLOOKUP(X415,Pays!A:A,Pays!B:B))</f>
        <v>BE</v>
      </c>
      <c r="K415" t="str">
        <f>IF(COUNTIF(Pays!A:A,X415)=0,"Pays inconnu",_xlfn.XLOOKUP(X415,Pays!A:A,Pays!C:C))</f>
        <v>1_BE</v>
      </c>
      <c r="L415">
        <v>1</v>
      </c>
      <c r="M415">
        <f t="shared" si="12"/>
        <v>0.34</v>
      </c>
      <c r="N415" t="s">
        <v>20</v>
      </c>
      <c r="O415">
        <f>LOOKUP(X415,Pays!A:A,Pays!D:D)</f>
        <v>0.2</v>
      </c>
      <c r="P415">
        <v>0.15</v>
      </c>
      <c r="Q415">
        <v>0.34</v>
      </c>
      <c r="U415">
        <v>1</v>
      </c>
      <c r="W415">
        <f>IF(COUNTIF(Pays!A:A,X415)=0,"",LOOKUP(X415,Pays!A:A,Pays!E:E))</f>
        <v>0</v>
      </c>
      <c r="X415" s="8" t="s">
        <v>28</v>
      </c>
    </row>
    <row r="416" spans="1:24" x14ac:dyDescent="0.25">
      <c r="A416" t="s">
        <v>1160</v>
      </c>
      <c r="B416" t="s">
        <v>182</v>
      </c>
      <c r="C416" s="1">
        <f t="shared" si="13"/>
        <v>46174</v>
      </c>
      <c r="F416" t="s">
        <v>155</v>
      </c>
      <c r="G416" t="s">
        <v>629</v>
      </c>
      <c r="H416" t="s">
        <v>1543</v>
      </c>
      <c r="I416" t="s">
        <v>18</v>
      </c>
      <c r="J416" t="str">
        <f>IF(COUNTIF(Pays!A:A,X416)=0,"Pays inconnu",_xlfn.XLOOKUP(X416,Pays!A:A,Pays!B:B))</f>
        <v>BE</v>
      </c>
      <c r="K416" t="str">
        <f>IF(COUNTIF(Pays!A:A,X416)=0,"Pays inconnu",_xlfn.XLOOKUP(X416,Pays!A:A,Pays!C:C))</f>
        <v>1_BE</v>
      </c>
      <c r="L416">
        <v>1</v>
      </c>
      <c r="M416">
        <f t="shared" si="12"/>
        <v>0.46</v>
      </c>
      <c r="N416" t="s">
        <v>20</v>
      </c>
      <c r="O416">
        <f>LOOKUP(X416,Pays!A:A,Pays!D:D)</f>
        <v>0.2</v>
      </c>
      <c r="P416">
        <v>0.15</v>
      </c>
      <c r="Q416">
        <v>0.46</v>
      </c>
      <c r="U416">
        <v>1</v>
      </c>
      <c r="W416">
        <f>IF(COUNTIF(Pays!A:A,X416)=0,"",LOOKUP(X416,Pays!A:A,Pays!E:E))</f>
        <v>0</v>
      </c>
      <c r="X416" s="8" t="s">
        <v>28</v>
      </c>
    </row>
    <row r="417" spans="1:24" x14ac:dyDescent="0.25">
      <c r="A417" t="s">
        <v>1160</v>
      </c>
      <c r="B417" t="s">
        <v>182</v>
      </c>
      <c r="C417" s="1">
        <f t="shared" si="13"/>
        <v>46174</v>
      </c>
      <c r="F417" t="s">
        <v>155</v>
      </c>
      <c r="G417" t="s">
        <v>630</v>
      </c>
      <c r="H417" t="s">
        <v>1544</v>
      </c>
      <c r="I417" t="s">
        <v>18</v>
      </c>
      <c r="J417" t="str">
        <f>IF(COUNTIF(Pays!A:A,X417)=0,"Pays inconnu",_xlfn.XLOOKUP(X417,Pays!A:A,Pays!B:B))</f>
        <v>CH</v>
      </c>
      <c r="K417" t="str">
        <f>IF(COUNTIF(Pays!A:A,X417)=0,"Pays inconnu",_xlfn.XLOOKUP(X417,Pays!A:A,Pays!C:C))</f>
        <v>1_CH</v>
      </c>
      <c r="L417">
        <v>1</v>
      </c>
      <c r="M417">
        <f t="shared" si="12"/>
        <v>0.46</v>
      </c>
      <c r="N417" t="s">
        <v>20</v>
      </c>
      <c r="O417">
        <f>LOOKUP(X417,Pays!A:A,Pays!D:D)</f>
        <v>0</v>
      </c>
      <c r="P417">
        <v>0.46</v>
      </c>
      <c r="Q417">
        <v>0.46</v>
      </c>
      <c r="U417">
        <v>1</v>
      </c>
      <c r="W417">
        <f>IF(COUNTIF(Pays!A:A,X417)=0,"",LOOKUP(X417,Pays!A:A,Pays!E:E))</f>
        <v>0</v>
      </c>
      <c r="X417" s="8" t="s">
        <v>37</v>
      </c>
    </row>
    <row r="418" spans="1:24" x14ac:dyDescent="0.25">
      <c r="A418" t="s">
        <v>1160</v>
      </c>
      <c r="B418" t="s">
        <v>182</v>
      </c>
      <c r="C418" s="1">
        <f t="shared" si="13"/>
        <v>46174</v>
      </c>
      <c r="F418" t="s">
        <v>155</v>
      </c>
      <c r="G418" t="s">
        <v>631</v>
      </c>
      <c r="H418" t="s">
        <v>1545</v>
      </c>
      <c r="I418" t="s">
        <v>18</v>
      </c>
      <c r="J418" t="str">
        <f>IF(COUNTIF(Pays!A:A,X418)=0,"Pays inconnu",_xlfn.XLOOKUP(X418,Pays!A:A,Pays!B:B))</f>
        <v>BE</v>
      </c>
      <c r="K418" t="str">
        <f>IF(COUNTIF(Pays!A:A,X418)=0,"Pays inconnu",_xlfn.XLOOKUP(X418,Pays!A:A,Pays!C:C))</f>
        <v>1_BE</v>
      </c>
      <c r="L418">
        <v>1</v>
      </c>
      <c r="M418">
        <f t="shared" si="12"/>
        <v>0.42</v>
      </c>
      <c r="N418" t="s">
        <v>20</v>
      </c>
      <c r="O418">
        <f>LOOKUP(X418,Pays!A:A,Pays!D:D)</f>
        <v>0.2</v>
      </c>
      <c r="P418">
        <v>0.15</v>
      </c>
      <c r="Q418">
        <v>0.42</v>
      </c>
      <c r="U418">
        <v>1</v>
      </c>
      <c r="W418">
        <f>IF(COUNTIF(Pays!A:A,X418)=0,"",LOOKUP(X418,Pays!A:A,Pays!E:E))</f>
        <v>0</v>
      </c>
      <c r="X418" s="8" t="s">
        <v>28</v>
      </c>
    </row>
    <row r="419" spans="1:24" x14ac:dyDescent="0.25">
      <c r="A419" t="s">
        <v>1160</v>
      </c>
      <c r="B419" t="s">
        <v>182</v>
      </c>
      <c r="C419" s="1">
        <f t="shared" si="13"/>
        <v>46174</v>
      </c>
      <c r="F419" t="s">
        <v>155</v>
      </c>
      <c r="G419" t="s">
        <v>632</v>
      </c>
      <c r="H419" t="s">
        <v>1402</v>
      </c>
      <c r="I419" t="s">
        <v>18</v>
      </c>
      <c r="J419" t="str">
        <f>IF(COUNTIF(Pays!A:A,X419)=0,"Pays inconnu",_xlfn.XLOOKUP(X419,Pays!A:A,Pays!B:B))</f>
        <v>CZ</v>
      </c>
      <c r="K419">
        <f>IF(COUNTIF(Pays!A:A,X419)=0,"Pays inconnu",_xlfn.XLOOKUP(X419,Pays!A:A,Pays!C:C))</f>
        <v>1</v>
      </c>
      <c r="L419">
        <v>1</v>
      </c>
      <c r="M419">
        <f t="shared" si="12"/>
        <v>0.56999999999999995</v>
      </c>
      <c r="N419" t="s">
        <v>20</v>
      </c>
      <c r="O419">
        <f>LOOKUP(X419,Pays!A:A,Pays!D:D)</f>
        <v>0.2</v>
      </c>
      <c r="P419">
        <v>0.15</v>
      </c>
      <c r="Q419">
        <v>0.56999999999999995</v>
      </c>
      <c r="U419">
        <v>1</v>
      </c>
      <c r="W419">
        <f>IF(COUNTIF(Pays!A:A,X419)=0,"",LOOKUP(X419,Pays!A:A,Pays!E:E))</f>
        <v>0</v>
      </c>
      <c r="X419" s="8" t="s">
        <v>87</v>
      </c>
    </row>
    <row r="420" spans="1:24" x14ac:dyDescent="0.25">
      <c r="A420" t="s">
        <v>1160</v>
      </c>
      <c r="B420" t="s">
        <v>182</v>
      </c>
      <c r="C420" s="1">
        <f t="shared" si="13"/>
        <v>46174</v>
      </c>
      <c r="F420" t="s">
        <v>155</v>
      </c>
      <c r="G420" t="s">
        <v>633</v>
      </c>
      <c r="H420" t="s">
        <v>1546</v>
      </c>
      <c r="I420" t="s">
        <v>18</v>
      </c>
      <c r="J420" t="str">
        <f>IF(COUNTIF(Pays!A:A,X420)=0,"Pays inconnu",_xlfn.XLOOKUP(X420,Pays!A:A,Pays!B:B))</f>
        <v>DE</v>
      </c>
      <c r="K420">
        <f>IF(COUNTIF(Pays!A:A,X420)=0,"Pays inconnu",_xlfn.XLOOKUP(X420,Pays!A:A,Pays!C:C))</f>
        <v>1</v>
      </c>
      <c r="L420">
        <v>1</v>
      </c>
      <c r="M420">
        <f t="shared" si="12"/>
        <v>0.19</v>
      </c>
      <c r="N420" t="s">
        <v>20</v>
      </c>
      <c r="O420">
        <f>LOOKUP(X420,Pays!A:A,Pays!D:D)</f>
        <v>0.2</v>
      </c>
      <c r="P420">
        <v>0.15</v>
      </c>
      <c r="Q420">
        <v>0.19</v>
      </c>
      <c r="U420">
        <v>1</v>
      </c>
      <c r="W420">
        <f>IF(COUNTIF(Pays!A:A,X420)=0,"",LOOKUP(X420,Pays!A:A,Pays!E:E))</f>
        <v>0</v>
      </c>
      <c r="X420" s="8" t="s">
        <v>35</v>
      </c>
    </row>
    <row r="421" spans="1:24" x14ac:dyDescent="0.25">
      <c r="A421" t="s">
        <v>1160</v>
      </c>
      <c r="B421" t="s">
        <v>182</v>
      </c>
      <c r="C421" s="1">
        <f t="shared" si="13"/>
        <v>46174</v>
      </c>
      <c r="F421" t="s">
        <v>155</v>
      </c>
      <c r="G421" t="s">
        <v>634</v>
      </c>
      <c r="H421" t="s">
        <v>1547</v>
      </c>
      <c r="I421" t="s">
        <v>18</v>
      </c>
      <c r="J421" t="str">
        <f>IF(COUNTIF(Pays!A:A,X421)=0,"Pays inconnu",_xlfn.XLOOKUP(X421,Pays!A:A,Pays!B:B))</f>
        <v>HU</v>
      </c>
      <c r="K421">
        <f>IF(COUNTIF(Pays!A:A,X421)=0,"Pays inconnu",_xlfn.XLOOKUP(X421,Pays!A:A,Pays!C:C))</f>
        <v>1</v>
      </c>
      <c r="L421">
        <v>1</v>
      </c>
      <c r="M421">
        <f t="shared" si="12"/>
        <v>0.95</v>
      </c>
      <c r="N421" t="s">
        <v>20</v>
      </c>
      <c r="O421">
        <f>LOOKUP(X421,Pays!A:A,Pays!D:D)</f>
        <v>0.2</v>
      </c>
      <c r="P421">
        <v>0.15</v>
      </c>
      <c r="Q421">
        <v>0.95</v>
      </c>
      <c r="U421">
        <v>1</v>
      </c>
      <c r="W421">
        <f>IF(COUNTIF(Pays!A:A,X421)=0,"",LOOKUP(X421,Pays!A:A,Pays!E:E))</f>
        <v>0</v>
      </c>
      <c r="X421" s="8" t="s">
        <v>123</v>
      </c>
    </row>
    <row r="422" spans="1:24" x14ac:dyDescent="0.25">
      <c r="A422" t="s">
        <v>1160</v>
      </c>
      <c r="B422" t="s">
        <v>182</v>
      </c>
      <c r="C422" s="1">
        <f t="shared" si="13"/>
        <v>46174</v>
      </c>
      <c r="F422" t="s">
        <v>155</v>
      </c>
      <c r="G422" t="s">
        <v>635</v>
      </c>
      <c r="H422" t="s">
        <v>193</v>
      </c>
      <c r="I422" t="s">
        <v>18</v>
      </c>
      <c r="J422" t="str">
        <f>IF(COUNTIF(Pays!A:A,X422)=0,"Pays inconnu",_xlfn.XLOOKUP(X422,Pays!A:A,Pays!B:B))</f>
        <v>GB</v>
      </c>
      <c r="K422" t="str">
        <f>IF(COUNTIF(Pays!A:A,X422)=0,"Pays inconnu",_xlfn.XLOOKUP(X422,Pays!A:A,Pays!C:C))</f>
        <v>1_GB</v>
      </c>
      <c r="L422">
        <v>1</v>
      </c>
      <c r="M422">
        <f t="shared" si="12"/>
        <v>0.6</v>
      </c>
      <c r="N422" t="s">
        <v>20</v>
      </c>
      <c r="O422">
        <f>LOOKUP(X422,Pays!A:A,Pays!D:D)</f>
        <v>0</v>
      </c>
      <c r="P422">
        <v>0.15</v>
      </c>
      <c r="Q422">
        <v>0.6</v>
      </c>
      <c r="U422">
        <v>1</v>
      </c>
      <c r="W422">
        <f>IF(COUNTIF(Pays!A:A,X422)=0,"",LOOKUP(X422,Pays!A:A,Pays!E:E))</f>
        <v>0</v>
      </c>
      <c r="X422" s="8" t="s">
        <v>30</v>
      </c>
    </row>
    <row r="423" spans="1:24" x14ac:dyDescent="0.25">
      <c r="A423" t="s">
        <v>1160</v>
      </c>
      <c r="B423" t="s">
        <v>182</v>
      </c>
      <c r="C423" s="1">
        <f t="shared" si="13"/>
        <v>46174</v>
      </c>
      <c r="F423" t="s">
        <v>155</v>
      </c>
      <c r="G423" t="s">
        <v>636</v>
      </c>
      <c r="H423" t="s">
        <v>1548</v>
      </c>
      <c r="I423" t="s">
        <v>18</v>
      </c>
      <c r="J423" t="str">
        <f>IF(COUNTIF(Pays!A:A,X423)=0,"Pays inconnu",_xlfn.XLOOKUP(X423,Pays!A:A,Pays!B:B))</f>
        <v>GB</v>
      </c>
      <c r="K423" t="str">
        <f>IF(COUNTIF(Pays!A:A,X423)=0,"Pays inconnu",_xlfn.XLOOKUP(X423,Pays!A:A,Pays!C:C))</f>
        <v>1_GB</v>
      </c>
      <c r="L423">
        <v>1</v>
      </c>
      <c r="M423">
        <f t="shared" si="12"/>
        <v>0.2</v>
      </c>
      <c r="N423" t="s">
        <v>20</v>
      </c>
      <c r="O423">
        <f>LOOKUP(X423,Pays!A:A,Pays!D:D)</f>
        <v>0</v>
      </c>
      <c r="P423">
        <v>0.15</v>
      </c>
      <c r="Q423">
        <v>0.2</v>
      </c>
      <c r="U423">
        <v>1</v>
      </c>
      <c r="W423">
        <f>IF(COUNTIF(Pays!A:A,X423)=0,"",LOOKUP(X423,Pays!A:A,Pays!E:E))</f>
        <v>0</v>
      </c>
      <c r="X423" s="8" t="s">
        <v>30</v>
      </c>
    </row>
    <row r="424" spans="1:24" x14ac:dyDescent="0.25">
      <c r="A424" t="s">
        <v>1160</v>
      </c>
      <c r="B424" t="s">
        <v>182</v>
      </c>
      <c r="C424" s="1">
        <f t="shared" si="13"/>
        <v>46174</v>
      </c>
      <c r="F424" t="s">
        <v>110</v>
      </c>
      <c r="G424" t="s">
        <v>637</v>
      </c>
      <c r="H424" t="s">
        <v>1549</v>
      </c>
      <c r="I424" t="s">
        <v>18</v>
      </c>
      <c r="J424" t="str">
        <f>IF(COUNTIF(Pays!A:A,X424)=0,"Pays inconnu",_xlfn.XLOOKUP(X424,Pays!A:A,Pays!B:B))</f>
        <v>GB</v>
      </c>
      <c r="K424" t="str">
        <f>IF(COUNTIF(Pays!A:A,X424)=0,"Pays inconnu",_xlfn.XLOOKUP(X424,Pays!A:A,Pays!C:C))</f>
        <v>1_GB</v>
      </c>
      <c r="L424">
        <v>1</v>
      </c>
      <c r="M424">
        <f t="shared" si="12"/>
        <v>0.19</v>
      </c>
      <c r="N424" t="s">
        <v>20</v>
      </c>
      <c r="O424">
        <f>LOOKUP(X424,Pays!A:A,Pays!D:D)</f>
        <v>0</v>
      </c>
      <c r="P424">
        <v>0.19</v>
      </c>
      <c r="Q424">
        <v>0.19</v>
      </c>
      <c r="U424">
        <v>1</v>
      </c>
      <c r="W424">
        <f>IF(COUNTIF(Pays!A:A,X424)=0,"",LOOKUP(X424,Pays!A:A,Pays!E:E))</f>
        <v>0</v>
      </c>
      <c r="X424" s="8" t="s">
        <v>30</v>
      </c>
    </row>
    <row r="425" spans="1:24" x14ac:dyDescent="0.25">
      <c r="A425" t="s">
        <v>1160</v>
      </c>
      <c r="B425" t="s">
        <v>182</v>
      </c>
      <c r="C425" s="1">
        <f t="shared" si="13"/>
        <v>46174</v>
      </c>
      <c r="F425" t="s">
        <v>155</v>
      </c>
      <c r="G425" t="s">
        <v>638</v>
      </c>
      <c r="H425" t="s">
        <v>1550</v>
      </c>
      <c r="I425" t="s">
        <v>18</v>
      </c>
      <c r="J425" t="str">
        <f>IF(COUNTIF(Pays!A:A,X425)=0,"Pays inconnu",_xlfn.XLOOKUP(X425,Pays!A:A,Pays!B:B))</f>
        <v>ES</v>
      </c>
      <c r="K425">
        <f>IF(COUNTIF(Pays!A:A,X425)=0,"Pays inconnu",_xlfn.XLOOKUP(X425,Pays!A:A,Pays!C:C))</f>
        <v>1</v>
      </c>
      <c r="L425">
        <v>1</v>
      </c>
      <c r="M425">
        <f t="shared" si="12"/>
        <v>0.21</v>
      </c>
      <c r="N425" t="s">
        <v>20</v>
      </c>
      <c r="O425">
        <f>LOOKUP(X425,Pays!A:A,Pays!D:D)</f>
        <v>0.2</v>
      </c>
      <c r="P425">
        <v>0.15</v>
      </c>
      <c r="Q425">
        <v>0.21</v>
      </c>
      <c r="U425">
        <v>1</v>
      </c>
      <c r="W425">
        <f>IF(COUNTIF(Pays!A:A,X425)=0,"",LOOKUP(X425,Pays!A:A,Pays!E:E))</f>
        <v>0</v>
      </c>
      <c r="X425" s="8" t="s">
        <v>29</v>
      </c>
    </row>
    <row r="426" spans="1:24" x14ac:dyDescent="0.25">
      <c r="A426" t="s">
        <v>1160</v>
      </c>
      <c r="B426" t="s">
        <v>182</v>
      </c>
      <c r="C426" s="1">
        <f t="shared" si="13"/>
        <v>46174</v>
      </c>
      <c r="F426" t="s">
        <v>155</v>
      </c>
      <c r="G426" t="s">
        <v>639</v>
      </c>
      <c r="H426" t="s">
        <v>1551</v>
      </c>
      <c r="I426" t="s">
        <v>18</v>
      </c>
      <c r="J426" t="str">
        <f>IF(COUNTIF(Pays!A:A,X426)=0,"Pays inconnu",_xlfn.XLOOKUP(X426,Pays!A:A,Pays!B:B))</f>
        <v>CH</v>
      </c>
      <c r="K426" t="str">
        <f>IF(COUNTIF(Pays!A:A,X426)=0,"Pays inconnu",_xlfn.XLOOKUP(X426,Pays!A:A,Pays!C:C))</f>
        <v>1_CH</v>
      </c>
      <c r="L426">
        <v>1</v>
      </c>
      <c r="M426">
        <f t="shared" si="12"/>
        <v>0.42</v>
      </c>
      <c r="N426" t="s">
        <v>20</v>
      </c>
      <c r="O426">
        <f>LOOKUP(X426,Pays!A:A,Pays!D:D)</f>
        <v>0</v>
      </c>
      <c r="P426">
        <v>0.15</v>
      </c>
      <c r="Q426">
        <v>0.42</v>
      </c>
      <c r="U426">
        <v>1</v>
      </c>
      <c r="W426">
        <f>IF(COUNTIF(Pays!A:A,X426)=0,"",LOOKUP(X426,Pays!A:A,Pays!E:E))</f>
        <v>0</v>
      </c>
      <c r="X426" s="8" t="s">
        <v>37</v>
      </c>
    </row>
    <row r="427" spans="1:24" x14ac:dyDescent="0.25">
      <c r="A427" t="s">
        <v>1160</v>
      </c>
      <c r="B427" t="s">
        <v>182</v>
      </c>
      <c r="C427" s="1">
        <f t="shared" si="13"/>
        <v>46174</v>
      </c>
      <c r="F427" t="s">
        <v>155</v>
      </c>
      <c r="G427" t="s">
        <v>640</v>
      </c>
      <c r="H427" t="s">
        <v>1552</v>
      </c>
      <c r="I427" t="s">
        <v>18</v>
      </c>
      <c r="J427" t="str">
        <f>IF(COUNTIF(Pays!A:A,X427)=0,"Pays inconnu",_xlfn.XLOOKUP(X427,Pays!A:A,Pays!B:B))</f>
        <v>PT</v>
      </c>
      <c r="K427">
        <f>IF(COUNTIF(Pays!A:A,X427)=0,"Pays inconnu",_xlfn.XLOOKUP(X427,Pays!A:A,Pays!C:C))</f>
        <v>1</v>
      </c>
      <c r="L427">
        <v>1</v>
      </c>
      <c r="M427">
        <f t="shared" si="12"/>
        <v>0.21</v>
      </c>
      <c r="N427" t="s">
        <v>20</v>
      </c>
      <c r="O427">
        <f>LOOKUP(X427,Pays!A:A,Pays!D:D)</f>
        <v>0.2</v>
      </c>
      <c r="P427">
        <v>0.15</v>
      </c>
      <c r="Q427">
        <v>0.21</v>
      </c>
      <c r="U427">
        <v>1</v>
      </c>
      <c r="W427">
        <f>IF(COUNTIF(Pays!A:A,X427)=0,"",LOOKUP(X427,Pays!A:A,Pays!E:E))</f>
        <v>0</v>
      </c>
      <c r="X427" s="8" t="s">
        <v>34</v>
      </c>
    </row>
    <row r="428" spans="1:24" x14ac:dyDescent="0.25">
      <c r="A428" t="s">
        <v>1160</v>
      </c>
      <c r="B428" t="s">
        <v>182</v>
      </c>
      <c r="C428" s="1">
        <f t="shared" si="13"/>
        <v>46174</v>
      </c>
      <c r="F428" t="s">
        <v>155</v>
      </c>
      <c r="G428" t="s">
        <v>641</v>
      </c>
      <c r="H428" t="s">
        <v>1553</v>
      </c>
      <c r="I428" t="s">
        <v>18</v>
      </c>
      <c r="J428" t="str">
        <f>IF(COUNTIF(Pays!A:A,X428)=0,"Pays inconnu",_xlfn.XLOOKUP(X428,Pays!A:A,Pays!B:B))</f>
        <v>CH</v>
      </c>
      <c r="K428" t="str">
        <f>IF(COUNTIF(Pays!A:A,X428)=0,"Pays inconnu",_xlfn.XLOOKUP(X428,Pays!A:A,Pays!C:C))</f>
        <v>1_CH</v>
      </c>
      <c r="L428">
        <v>1</v>
      </c>
      <c r="M428">
        <f t="shared" si="12"/>
        <v>0.84</v>
      </c>
      <c r="N428" t="s">
        <v>20</v>
      </c>
      <c r="O428">
        <f>LOOKUP(X428,Pays!A:A,Pays!D:D)</f>
        <v>0</v>
      </c>
      <c r="P428">
        <v>0.15</v>
      </c>
      <c r="Q428">
        <v>0.84</v>
      </c>
      <c r="U428">
        <v>1</v>
      </c>
      <c r="W428">
        <f>IF(COUNTIF(Pays!A:A,X428)=0,"",LOOKUP(X428,Pays!A:A,Pays!E:E))</f>
        <v>0</v>
      </c>
      <c r="X428" s="8" t="s">
        <v>37</v>
      </c>
    </row>
    <row r="429" spans="1:24" x14ac:dyDescent="0.25">
      <c r="A429" t="s">
        <v>1161</v>
      </c>
      <c r="B429" t="s">
        <v>182</v>
      </c>
      <c r="C429" s="1">
        <f t="shared" si="13"/>
        <v>46174</v>
      </c>
      <c r="F429" t="s">
        <v>155</v>
      </c>
      <c r="G429" t="s">
        <v>642</v>
      </c>
      <c r="H429" t="s">
        <v>1554</v>
      </c>
      <c r="I429" t="s">
        <v>18</v>
      </c>
      <c r="J429" t="str">
        <f>IF(COUNTIF(Pays!A:A,X429)=0,"Pays inconnu",_xlfn.XLOOKUP(X429,Pays!A:A,Pays!B:B))</f>
        <v>CH</v>
      </c>
      <c r="K429" t="str">
        <f>IF(COUNTIF(Pays!A:A,X429)=0,"Pays inconnu",_xlfn.XLOOKUP(X429,Pays!A:A,Pays!C:C))</f>
        <v>1_CH</v>
      </c>
      <c r="L429">
        <v>1</v>
      </c>
      <c r="M429">
        <f t="shared" si="12"/>
        <v>0.82</v>
      </c>
      <c r="N429" t="s">
        <v>20</v>
      </c>
      <c r="O429">
        <f>LOOKUP(X429,Pays!A:A,Pays!D:D)</f>
        <v>0</v>
      </c>
      <c r="P429">
        <v>0.15</v>
      </c>
      <c r="Q429">
        <v>0.82</v>
      </c>
      <c r="U429">
        <v>1</v>
      </c>
      <c r="W429">
        <f>IF(COUNTIF(Pays!A:A,X429)=0,"",LOOKUP(X429,Pays!A:A,Pays!E:E))</f>
        <v>0</v>
      </c>
      <c r="X429" s="8" t="s">
        <v>37</v>
      </c>
    </row>
    <row r="430" spans="1:24" x14ac:dyDescent="0.25">
      <c r="A430" t="s">
        <v>1161</v>
      </c>
      <c r="B430" t="s">
        <v>182</v>
      </c>
      <c r="C430" s="1">
        <f t="shared" si="13"/>
        <v>46174</v>
      </c>
      <c r="F430" t="s">
        <v>155</v>
      </c>
      <c r="G430" t="s">
        <v>643</v>
      </c>
      <c r="H430" t="s">
        <v>1555</v>
      </c>
      <c r="I430" t="s">
        <v>18</v>
      </c>
      <c r="J430" t="str">
        <f>IF(COUNTIF(Pays!A:A,X430)=0,"Pays inconnu",_xlfn.XLOOKUP(X430,Pays!A:A,Pays!B:B))</f>
        <v>CH</v>
      </c>
      <c r="K430" t="str">
        <f>IF(COUNTIF(Pays!A:A,X430)=0,"Pays inconnu",_xlfn.XLOOKUP(X430,Pays!A:A,Pays!C:C))</f>
        <v>1_CH</v>
      </c>
      <c r="L430">
        <v>1</v>
      </c>
      <c r="M430">
        <f t="shared" si="12"/>
        <v>0.33</v>
      </c>
      <c r="N430" t="s">
        <v>20</v>
      </c>
      <c r="O430">
        <f>LOOKUP(X430,Pays!A:A,Pays!D:D)</f>
        <v>0</v>
      </c>
      <c r="P430">
        <v>0.15</v>
      </c>
      <c r="Q430">
        <v>0.33</v>
      </c>
      <c r="U430">
        <v>1</v>
      </c>
      <c r="W430">
        <f>IF(COUNTIF(Pays!A:A,X430)=0,"",LOOKUP(X430,Pays!A:A,Pays!E:E))</f>
        <v>0</v>
      </c>
      <c r="X430" s="8" t="s">
        <v>37</v>
      </c>
    </row>
    <row r="431" spans="1:24" x14ac:dyDescent="0.25">
      <c r="A431" t="s">
        <v>1161</v>
      </c>
      <c r="B431" t="s">
        <v>182</v>
      </c>
      <c r="C431" s="1">
        <f t="shared" si="13"/>
        <v>46174</v>
      </c>
      <c r="F431" t="s">
        <v>155</v>
      </c>
      <c r="G431" t="s">
        <v>644</v>
      </c>
      <c r="H431" t="s">
        <v>1556</v>
      </c>
      <c r="I431" t="s">
        <v>18</v>
      </c>
      <c r="J431" t="str">
        <f>IF(COUNTIF(Pays!A:A,X431)=0,"Pays inconnu",_xlfn.XLOOKUP(X431,Pays!A:A,Pays!B:B))</f>
        <v>CH</v>
      </c>
      <c r="K431" t="str">
        <f>IF(COUNTIF(Pays!A:A,X431)=0,"Pays inconnu",_xlfn.XLOOKUP(X431,Pays!A:A,Pays!C:C))</f>
        <v>1_CH</v>
      </c>
      <c r="L431">
        <v>1</v>
      </c>
      <c r="M431">
        <f t="shared" si="12"/>
        <v>0.37</v>
      </c>
      <c r="N431" t="s">
        <v>20</v>
      </c>
      <c r="O431">
        <f>LOOKUP(X431,Pays!A:A,Pays!D:D)</f>
        <v>0</v>
      </c>
      <c r="P431">
        <v>0.15</v>
      </c>
      <c r="Q431">
        <v>0.37</v>
      </c>
      <c r="U431">
        <v>1</v>
      </c>
      <c r="W431">
        <f>IF(COUNTIF(Pays!A:A,X431)=0,"",LOOKUP(X431,Pays!A:A,Pays!E:E))</f>
        <v>0</v>
      </c>
      <c r="X431" s="8" t="s">
        <v>37</v>
      </c>
    </row>
    <row r="432" spans="1:24" x14ac:dyDescent="0.25">
      <c r="A432" t="s">
        <v>1161</v>
      </c>
      <c r="B432" t="s">
        <v>182</v>
      </c>
      <c r="C432" s="1">
        <f t="shared" si="13"/>
        <v>46174</v>
      </c>
      <c r="F432" t="s">
        <v>155</v>
      </c>
      <c r="G432" t="s">
        <v>645</v>
      </c>
      <c r="H432" t="s">
        <v>1557</v>
      </c>
      <c r="I432" t="s">
        <v>18</v>
      </c>
      <c r="J432" t="str">
        <f>IF(COUNTIF(Pays!A:A,X432)=0,"Pays inconnu",_xlfn.XLOOKUP(X432,Pays!A:A,Pays!B:B))</f>
        <v>CH</v>
      </c>
      <c r="K432" t="str">
        <f>IF(COUNTIF(Pays!A:A,X432)=0,"Pays inconnu",_xlfn.XLOOKUP(X432,Pays!A:A,Pays!C:C))</f>
        <v>1_CH</v>
      </c>
      <c r="L432">
        <v>1</v>
      </c>
      <c r="M432">
        <f t="shared" si="12"/>
        <v>0.18</v>
      </c>
      <c r="N432" t="s">
        <v>20</v>
      </c>
      <c r="O432">
        <f>LOOKUP(X432,Pays!A:A,Pays!D:D)</f>
        <v>0</v>
      </c>
      <c r="P432">
        <v>0.15</v>
      </c>
      <c r="Q432">
        <v>0.18</v>
      </c>
      <c r="U432">
        <v>1</v>
      </c>
      <c r="W432">
        <f>IF(COUNTIF(Pays!A:A,X432)=0,"",LOOKUP(X432,Pays!A:A,Pays!E:E))</f>
        <v>0</v>
      </c>
      <c r="X432" s="8" t="s">
        <v>37</v>
      </c>
    </row>
    <row r="433" spans="1:24" x14ac:dyDescent="0.25">
      <c r="A433" t="s">
        <v>1161</v>
      </c>
      <c r="B433" t="s">
        <v>182</v>
      </c>
      <c r="C433" s="1">
        <f t="shared" si="13"/>
        <v>46174</v>
      </c>
      <c r="F433" t="s">
        <v>155</v>
      </c>
      <c r="G433" t="s">
        <v>646</v>
      </c>
      <c r="H433" t="s">
        <v>1558</v>
      </c>
      <c r="I433" t="s">
        <v>18</v>
      </c>
      <c r="J433" t="str">
        <f>IF(COUNTIF(Pays!A:A,X433)=0,"Pays inconnu",_xlfn.XLOOKUP(X433,Pays!A:A,Pays!B:B))</f>
        <v>CH</v>
      </c>
      <c r="K433" t="str">
        <f>IF(COUNTIF(Pays!A:A,X433)=0,"Pays inconnu",_xlfn.XLOOKUP(X433,Pays!A:A,Pays!C:C))</f>
        <v>1_CH</v>
      </c>
      <c r="L433">
        <v>1</v>
      </c>
      <c r="M433">
        <f t="shared" si="12"/>
        <v>0.53</v>
      </c>
      <c r="N433" t="s">
        <v>20</v>
      </c>
      <c r="O433">
        <f>LOOKUP(X433,Pays!A:A,Pays!D:D)</f>
        <v>0</v>
      </c>
      <c r="P433">
        <v>0.15</v>
      </c>
      <c r="Q433">
        <v>0.53</v>
      </c>
      <c r="U433">
        <v>1</v>
      </c>
      <c r="W433">
        <f>IF(COUNTIF(Pays!A:A,X433)=0,"",LOOKUP(X433,Pays!A:A,Pays!E:E))</f>
        <v>0</v>
      </c>
      <c r="X433" s="8" t="s">
        <v>37</v>
      </c>
    </row>
    <row r="434" spans="1:24" x14ac:dyDescent="0.25">
      <c r="A434" t="s">
        <v>1161</v>
      </c>
      <c r="B434" t="s">
        <v>182</v>
      </c>
      <c r="C434" s="1">
        <f t="shared" si="13"/>
        <v>46174</v>
      </c>
      <c r="F434" t="s">
        <v>155</v>
      </c>
      <c r="G434" t="s">
        <v>647</v>
      </c>
      <c r="H434" t="s">
        <v>1559</v>
      </c>
      <c r="I434" t="s">
        <v>18</v>
      </c>
      <c r="J434" t="str">
        <f>IF(COUNTIF(Pays!A:A,X434)=0,"Pays inconnu",_xlfn.XLOOKUP(X434,Pays!A:A,Pays!B:B))</f>
        <v>CH</v>
      </c>
      <c r="K434" t="str">
        <f>IF(COUNTIF(Pays!A:A,X434)=0,"Pays inconnu",_xlfn.XLOOKUP(X434,Pays!A:A,Pays!C:C))</f>
        <v>1_CH</v>
      </c>
      <c r="L434">
        <v>1</v>
      </c>
      <c r="M434">
        <f t="shared" si="12"/>
        <v>0.35</v>
      </c>
      <c r="N434" t="s">
        <v>20</v>
      </c>
      <c r="O434">
        <f>LOOKUP(X434,Pays!A:A,Pays!D:D)</f>
        <v>0</v>
      </c>
      <c r="P434">
        <v>0.15</v>
      </c>
      <c r="Q434">
        <v>0.35</v>
      </c>
      <c r="U434">
        <v>1</v>
      </c>
      <c r="W434">
        <f>IF(COUNTIF(Pays!A:A,X434)=0,"",LOOKUP(X434,Pays!A:A,Pays!E:E))</f>
        <v>0</v>
      </c>
      <c r="X434" s="8" t="s">
        <v>37</v>
      </c>
    </row>
    <row r="435" spans="1:24" x14ac:dyDescent="0.25">
      <c r="A435" t="s">
        <v>1161</v>
      </c>
      <c r="B435" t="s">
        <v>182</v>
      </c>
      <c r="C435" s="1">
        <f t="shared" si="13"/>
        <v>46174</v>
      </c>
      <c r="F435" t="s">
        <v>155</v>
      </c>
      <c r="G435" t="s">
        <v>648</v>
      </c>
      <c r="H435" t="s">
        <v>1560</v>
      </c>
      <c r="I435" t="s">
        <v>18</v>
      </c>
      <c r="J435" t="str">
        <f>IF(COUNTIF(Pays!A:A,X435)=0,"Pays inconnu",_xlfn.XLOOKUP(X435,Pays!A:A,Pays!B:B))</f>
        <v>BE</v>
      </c>
      <c r="K435" t="str">
        <f>IF(COUNTIF(Pays!A:A,X435)=0,"Pays inconnu",_xlfn.XLOOKUP(X435,Pays!A:A,Pays!C:C))</f>
        <v>1_BE</v>
      </c>
      <c r="L435">
        <v>1</v>
      </c>
      <c r="M435">
        <f t="shared" si="12"/>
        <v>0.15</v>
      </c>
      <c r="N435" t="s">
        <v>20</v>
      </c>
      <c r="O435">
        <f>LOOKUP(X435,Pays!A:A,Pays!D:D)</f>
        <v>0.2</v>
      </c>
      <c r="P435">
        <v>0.15</v>
      </c>
      <c r="Q435">
        <v>0.15</v>
      </c>
      <c r="U435">
        <v>1</v>
      </c>
      <c r="W435">
        <f>IF(COUNTIF(Pays!A:A,X435)=0,"",LOOKUP(X435,Pays!A:A,Pays!E:E))</f>
        <v>0</v>
      </c>
      <c r="X435" s="8" t="s">
        <v>28</v>
      </c>
    </row>
    <row r="436" spans="1:24" x14ac:dyDescent="0.25">
      <c r="A436" t="s">
        <v>1161</v>
      </c>
      <c r="B436" t="s">
        <v>182</v>
      </c>
      <c r="C436" s="1">
        <f t="shared" si="13"/>
        <v>46174</v>
      </c>
      <c r="F436" t="s">
        <v>155</v>
      </c>
      <c r="G436" t="s">
        <v>649</v>
      </c>
      <c r="H436" t="s">
        <v>1561</v>
      </c>
      <c r="I436" t="s">
        <v>18</v>
      </c>
      <c r="J436" t="str">
        <f>IF(COUNTIF(Pays!A:A,X436)=0,"Pays inconnu",_xlfn.XLOOKUP(X436,Pays!A:A,Pays!B:B))</f>
        <v>CH</v>
      </c>
      <c r="K436" t="str">
        <f>IF(COUNTIF(Pays!A:A,X436)=0,"Pays inconnu",_xlfn.XLOOKUP(X436,Pays!A:A,Pays!C:C))</f>
        <v>1_CH</v>
      </c>
      <c r="L436">
        <v>1</v>
      </c>
      <c r="M436">
        <f t="shared" si="12"/>
        <v>0.19</v>
      </c>
      <c r="N436" t="s">
        <v>20</v>
      </c>
      <c r="O436">
        <f>LOOKUP(X436,Pays!A:A,Pays!D:D)</f>
        <v>0</v>
      </c>
      <c r="P436">
        <v>0.15</v>
      </c>
      <c r="Q436">
        <v>0.19</v>
      </c>
      <c r="U436">
        <v>1</v>
      </c>
      <c r="W436">
        <f>IF(COUNTIF(Pays!A:A,X436)=0,"",LOOKUP(X436,Pays!A:A,Pays!E:E))</f>
        <v>0</v>
      </c>
      <c r="X436" s="8" t="s">
        <v>37</v>
      </c>
    </row>
    <row r="437" spans="1:24" x14ac:dyDescent="0.25">
      <c r="A437" t="s">
        <v>1161</v>
      </c>
      <c r="B437" t="s">
        <v>182</v>
      </c>
      <c r="C437" s="1">
        <f t="shared" si="13"/>
        <v>46174</v>
      </c>
      <c r="F437" t="s">
        <v>155</v>
      </c>
      <c r="G437" t="s">
        <v>650</v>
      </c>
      <c r="H437" t="s">
        <v>1562</v>
      </c>
      <c r="I437" t="s">
        <v>18</v>
      </c>
      <c r="J437" t="str">
        <f>IF(COUNTIF(Pays!A:A,X437)=0,"Pays inconnu",_xlfn.XLOOKUP(X437,Pays!A:A,Pays!B:B))</f>
        <v>CH</v>
      </c>
      <c r="K437" t="str">
        <f>IF(COUNTIF(Pays!A:A,X437)=0,"Pays inconnu",_xlfn.XLOOKUP(X437,Pays!A:A,Pays!C:C))</f>
        <v>1_CH</v>
      </c>
      <c r="L437">
        <v>1</v>
      </c>
      <c r="M437">
        <f t="shared" si="12"/>
        <v>1.61</v>
      </c>
      <c r="N437" t="s">
        <v>20</v>
      </c>
      <c r="O437">
        <f>LOOKUP(X437,Pays!A:A,Pays!D:D)</f>
        <v>0</v>
      </c>
      <c r="P437">
        <v>0.15</v>
      </c>
      <c r="Q437">
        <v>1.61</v>
      </c>
      <c r="U437">
        <v>1</v>
      </c>
      <c r="W437">
        <f>IF(COUNTIF(Pays!A:A,X437)=0,"",LOOKUP(X437,Pays!A:A,Pays!E:E))</f>
        <v>0</v>
      </c>
      <c r="X437" s="8" t="s">
        <v>37</v>
      </c>
    </row>
    <row r="438" spans="1:24" x14ac:dyDescent="0.25">
      <c r="A438" t="s">
        <v>1161</v>
      </c>
      <c r="B438" t="s">
        <v>182</v>
      </c>
      <c r="C438" s="1">
        <f t="shared" si="13"/>
        <v>46174</v>
      </c>
      <c r="F438" t="s">
        <v>155</v>
      </c>
      <c r="G438" t="s">
        <v>651</v>
      </c>
      <c r="H438" t="s">
        <v>1563</v>
      </c>
      <c r="I438" t="s">
        <v>18</v>
      </c>
      <c r="J438" t="str">
        <f>IF(COUNTIF(Pays!A:A,X438)=0,"Pays inconnu",_xlfn.XLOOKUP(X438,Pays!A:A,Pays!B:B))</f>
        <v>GB</v>
      </c>
      <c r="K438" t="str">
        <f>IF(COUNTIF(Pays!A:A,X438)=0,"Pays inconnu",_xlfn.XLOOKUP(X438,Pays!A:A,Pays!C:C))</f>
        <v>1_GB</v>
      </c>
      <c r="L438">
        <v>1</v>
      </c>
      <c r="M438">
        <f t="shared" si="12"/>
        <v>0.15</v>
      </c>
      <c r="N438" t="s">
        <v>20</v>
      </c>
      <c r="O438">
        <f>LOOKUP(X438,Pays!A:A,Pays!D:D)</f>
        <v>0</v>
      </c>
      <c r="P438">
        <v>0.15</v>
      </c>
      <c r="Q438">
        <v>0.1</v>
      </c>
      <c r="U438">
        <v>1</v>
      </c>
      <c r="W438">
        <f>IF(COUNTIF(Pays!A:A,X438)=0,"",LOOKUP(X438,Pays!A:A,Pays!E:E))</f>
        <v>0</v>
      </c>
      <c r="X438" s="8" t="s">
        <v>30</v>
      </c>
    </row>
    <row r="439" spans="1:24" x14ac:dyDescent="0.25">
      <c r="A439" t="s">
        <v>1161</v>
      </c>
      <c r="B439" t="s">
        <v>182</v>
      </c>
      <c r="C439" s="1">
        <f t="shared" si="13"/>
        <v>46174</v>
      </c>
      <c r="F439" t="s">
        <v>155</v>
      </c>
      <c r="G439" t="s">
        <v>652</v>
      </c>
      <c r="H439" t="s">
        <v>1564</v>
      </c>
      <c r="I439" t="s">
        <v>18</v>
      </c>
      <c r="J439" t="str">
        <f>IF(COUNTIF(Pays!A:A,X439)=0,"Pays inconnu",_xlfn.XLOOKUP(X439,Pays!A:A,Pays!B:B))</f>
        <v>CH</v>
      </c>
      <c r="K439" t="str">
        <f>IF(COUNTIF(Pays!A:A,X439)=0,"Pays inconnu",_xlfn.XLOOKUP(X439,Pays!A:A,Pays!C:C))</f>
        <v>1_CH</v>
      </c>
      <c r="L439">
        <v>1</v>
      </c>
      <c r="M439">
        <f t="shared" si="12"/>
        <v>0.52</v>
      </c>
      <c r="N439" t="s">
        <v>20</v>
      </c>
      <c r="O439">
        <f>LOOKUP(X439,Pays!A:A,Pays!D:D)</f>
        <v>0</v>
      </c>
      <c r="P439">
        <v>0.15</v>
      </c>
      <c r="Q439">
        <v>0.52</v>
      </c>
      <c r="U439">
        <v>1</v>
      </c>
      <c r="W439">
        <f>IF(COUNTIF(Pays!A:A,X439)=0,"",LOOKUP(X439,Pays!A:A,Pays!E:E))</f>
        <v>0</v>
      </c>
      <c r="X439" s="8" t="s">
        <v>37</v>
      </c>
    </row>
    <row r="440" spans="1:24" x14ac:dyDescent="0.25">
      <c r="A440" t="s">
        <v>1161</v>
      </c>
      <c r="B440" t="s">
        <v>182</v>
      </c>
      <c r="C440" s="1">
        <f t="shared" si="13"/>
        <v>46174</v>
      </c>
      <c r="F440" t="s">
        <v>155</v>
      </c>
      <c r="G440" t="s">
        <v>653</v>
      </c>
      <c r="H440" t="s">
        <v>1565</v>
      </c>
      <c r="I440" t="s">
        <v>18</v>
      </c>
      <c r="J440" t="str">
        <f>IF(COUNTIF(Pays!A:A,X440)=0,"Pays inconnu",_xlfn.XLOOKUP(X440,Pays!A:A,Pays!B:B))</f>
        <v>GB</v>
      </c>
      <c r="K440" t="str">
        <f>IF(COUNTIF(Pays!A:A,X440)=0,"Pays inconnu",_xlfn.XLOOKUP(X440,Pays!A:A,Pays!C:C))</f>
        <v>1_GB</v>
      </c>
      <c r="L440">
        <v>1</v>
      </c>
      <c r="M440">
        <f t="shared" si="12"/>
        <v>0.15</v>
      </c>
      <c r="N440" t="s">
        <v>20</v>
      </c>
      <c r="O440">
        <f>LOOKUP(X440,Pays!A:A,Pays!D:D)</f>
        <v>0</v>
      </c>
      <c r="P440">
        <v>0.15</v>
      </c>
      <c r="Q440">
        <v>0.11</v>
      </c>
      <c r="U440">
        <v>1</v>
      </c>
      <c r="W440">
        <f>IF(COUNTIF(Pays!A:A,X440)=0,"",LOOKUP(X440,Pays!A:A,Pays!E:E))</f>
        <v>0</v>
      </c>
      <c r="X440" s="8" t="s">
        <v>30</v>
      </c>
    </row>
    <row r="441" spans="1:24" x14ac:dyDescent="0.25">
      <c r="A441" t="s">
        <v>1161</v>
      </c>
      <c r="B441" t="s">
        <v>182</v>
      </c>
      <c r="C441" s="1">
        <f t="shared" si="13"/>
        <v>46174</v>
      </c>
      <c r="F441" t="s">
        <v>155</v>
      </c>
      <c r="G441" t="s">
        <v>654</v>
      </c>
      <c r="H441" t="s">
        <v>1566</v>
      </c>
      <c r="I441" t="s">
        <v>18</v>
      </c>
      <c r="J441" t="str">
        <f>IF(COUNTIF(Pays!A:A,X441)=0,"Pays inconnu",_xlfn.XLOOKUP(X441,Pays!A:A,Pays!B:B))</f>
        <v>DE</v>
      </c>
      <c r="K441">
        <f>IF(COUNTIF(Pays!A:A,X441)=0,"Pays inconnu",_xlfn.XLOOKUP(X441,Pays!A:A,Pays!C:C))</f>
        <v>1</v>
      </c>
      <c r="L441">
        <v>1</v>
      </c>
      <c r="M441">
        <f t="shared" si="12"/>
        <v>0.19</v>
      </c>
      <c r="N441" t="s">
        <v>20</v>
      </c>
      <c r="O441">
        <f>LOOKUP(X441,Pays!A:A,Pays!D:D)</f>
        <v>0.2</v>
      </c>
      <c r="P441">
        <v>0.15</v>
      </c>
      <c r="Q441">
        <v>0.19</v>
      </c>
      <c r="U441">
        <v>1</v>
      </c>
      <c r="W441">
        <f>IF(COUNTIF(Pays!A:A,X441)=0,"",LOOKUP(X441,Pays!A:A,Pays!E:E))</f>
        <v>0</v>
      </c>
      <c r="X441" s="8" t="s">
        <v>35</v>
      </c>
    </row>
    <row r="442" spans="1:24" x14ac:dyDescent="0.25">
      <c r="A442" t="s">
        <v>1161</v>
      </c>
      <c r="B442" t="s">
        <v>182</v>
      </c>
      <c r="C442" s="1">
        <f t="shared" si="13"/>
        <v>46174</v>
      </c>
      <c r="F442" t="s">
        <v>155</v>
      </c>
      <c r="G442" t="s">
        <v>655</v>
      </c>
      <c r="H442" t="s">
        <v>1567</v>
      </c>
      <c r="I442" t="s">
        <v>18</v>
      </c>
      <c r="J442" t="str">
        <f>IF(COUNTIF(Pays!A:A,X442)=0,"Pays inconnu",_xlfn.XLOOKUP(X442,Pays!A:A,Pays!B:B))</f>
        <v>GB</v>
      </c>
      <c r="K442" t="str">
        <f>IF(COUNTIF(Pays!A:A,X442)=0,"Pays inconnu",_xlfn.XLOOKUP(X442,Pays!A:A,Pays!C:C))</f>
        <v>1_GB</v>
      </c>
      <c r="L442">
        <v>1</v>
      </c>
      <c r="M442">
        <f t="shared" si="12"/>
        <v>0.23</v>
      </c>
      <c r="N442" t="s">
        <v>20</v>
      </c>
      <c r="O442">
        <f>LOOKUP(X442,Pays!A:A,Pays!D:D)</f>
        <v>0</v>
      </c>
      <c r="P442">
        <v>0.15</v>
      </c>
      <c r="Q442">
        <v>0.23</v>
      </c>
      <c r="U442">
        <v>1</v>
      </c>
      <c r="W442">
        <f>IF(COUNTIF(Pays!A:A,X442)=0,"",LOOKUP(X442,Pays!A:A,Pays!E:E))</f>
        <v>0</v>
      </c>
      <c r="X442" s="8" t="s">
        <v>30</v>
      </c>
    </row>
    <row r="443" spans="1:24" x14ac:dyDescent="0.25">
      <c r="A443" t="s">
        <v>1161</v>
      </c>
      <c r="B443" t="s">
        <v>182</v>
      </c>
      <c r="C443" s="1">
        <f t="shared" si="13"/>
        <v>46174</v>
      </c>
      <c r="F443" t="s">
        <v>155</v>
      </c>
      <c r="G443" t="s">
        <v>656</v>
      </c>
      <c r="H443" t="s">
        <v>1568</v>
      </c>
      <c r="I443" t="s">
        <v>18</v>
      </c>
      <c r="J443" t="str">
        <f>IF(COUNTIF(Pays!A:A,X443)=0,"Pays inconnu",_xlfn.XLOOKUP(X443,Pays!A:A,Pays!B:B))</f>
        <v>CH</v>
      </c>
      <c r="K443" t="str">
        <f>IF(COUNTIF(Pays!A:A,X443)=0,"Pays inconnu",_xlfn.XLOOKUP(X443,Pays!A:A,Pays!C:C))</f>
        <v>1_CH</v>
      </c>
      <c r="L443">
        <v>1</v>
      </c>
      <c r="M443">
        <f t="shared" si="12"/>
        <v>0.33</v>
      </c>
      <c r="N443" t="s">
        <v>20</v>
      </c>
      <c r="O443">
        <f>LOOKUP(X443,Pays!A:A,Pays!D:D)</f>
        <v>0</v>
      </c>
      <c r="P443">
        <v>0.15</v>
      </c>
      <c r="Q443">
        <v>0.33</v>
      </c>
      <c r="U443">
        <v>1</v>
      </c>
      <c r="W443">
        <f>IF(COUNTIF(Pays!A:A,X443)=0,"",LOOKUP(X443,Pays!A:A,Pays!E:E))</f>
        <v>0</v>
      </c>
      <c r="X443" s="8" t="s">
        <v>37</v>
      </c>
    </row>
    <row r="444" spans="1:24" x14ac:dyDescent="0.25">
      <c r="A444" t="s">
        <v>1161</v>
      </c>
      <c r="B444" t="s">
        <v>182</v>
      </c>
      <c r="C444" s="1">
        <f t="shared" si="13"/>
        <v>46174</v>
      </c>
      <c r="F444" t="s">
        <v>155</v>
      </c>
      <c r="G444" t="s">
        <v>657</v>
      </c>
      <c r="H444" t="s">
        <v>1569</v>
      </c>
      <c r="I444" t="s">
        <v>18</v>
      </c>
      <c r="J444" t="str">
        <f>IF(COUNTIF(Pays!A:A,X444)=0,"Pays inconnu",_xlfn.XLOOKUP(X444,Pays!A:A,Pays!B:B))</f>
        <v>GB</v>
      </c>
      <c r="K444" t="str">
        <f>IF(COUNTIF(Pays!A:A,X444)=0,"Pays inconnu",_xlfn.XLOOKUP(X444,Pays!A:A,Pays!C:C))</f>
        <v>1_GB</v>
      </c>
      <c r="L444">
        <v>1</v>
      </c>
      <c r="M444">
        <f t="shared" si="12"/>
        <v>0.15</v>
      </c>
      <c r="N444" t="s">
        <v>20</v>
      </c>
      <c r="O444">
        <f>LOOKUP(X444,Pays!A:A,Pays!D:D)</f>
        <v>0</v>
      </c>
      <c r="P444">
        <v>0.15</v>
      </c>
      <c r="Q444">
        <v>0.05</v>
      </c>
      <c r="U444">
        <v>1</v>
      </c>
      <c r="W444">
        <f>IF(COUNTIF(Pays!A:A,X444)=0,"",LOOKUP(X444,Pays!A:A,Pays!E:E))</f>
        <v>0</v>
      </c>
      <c r="X444" s="8" t="s">
        <v>30</v>
      </c>
    </row>
    <row r="445" spans="1:24" x14ac:dyDescent="0.25">
      <c r="A445" t="s">
        <v>1161</v>
      </c>
      <c r="B445" t="s">
        <v>182</v>
      </c>
      <c r="C445" s="1">
        <f t="shared" si="13"/>
        <v>46174</v>
      </c>
      <c r="F445" t="s">
        <v>155</v>
      </c>
      <c r="G445" t="s">
        <v>658</v>
      </c>
      <c r="H445" t="s">
        <v>1570</v>
      </c>
      <c r="I445" t="s">
        <v>18</v>
      </c>
      <c r="J445" t="str">
        <f>IF(COUNTIF(Pays!A:A,X445)=0,"Pays inconnu",_xlfn.XLOOKUP(X445,Pays!A:A,Pays!B:B))</f>
        <v>GB</v>
      </c>
      <c r="K445" t="str">
        <f>IF(COUNTIF(Pays!A:A,X445)=0,"Pays inconnu",_xlfn.XLOOKUP(X445,Pays!A:A,Pays!C:C))</f>
        <v>1_GB</v>
      </c>
      <c r="L445">
        <v>1</v>
      </c>
      <c r="M445">
        <f t="shared" si="12"/>
        <v>0.15</v>
      </c>
      <c r="N445" t="s">
        <v>20</v>
      </c>
      <c r="O445">
        <f>LOOKUP(X445,Pays!A:A,Pays!D:D)</f>
        <v>0</v>
      </c>
      <c r="P445">
        <v>0.15</v>
      </c>
      <c r="Q445">
        <v>0.06</v>
      </c>
      <c r="U445">
        <v>1</v>
      </c>
      <c r="W445">
        <f>IF(COUNTIF(Pays!A:A,X445)=0,"",LOOKUP(X445,Pays!A:A,Pays!E:E))</f>
        <v>0</v>
      </c>
      <c r="X445" s="8" t="s">
        <v>30</v>
      </c>
    </row>
    <row r="446" spans="1:24" x14ac:dyDescent="0.25">
      <c r="A446" t="s">
        <v>1161</v>
      </c>
      <c r="B446" t="s">
        <v>182</v>
      </c>
      <c r="C446" s="1">
        <f t="shared" si="13"/>
        <v>46174</v>
      </c>
      <c r="F446" t="s">
        <v>155</v>
      </c>
      <c r="G446" t="s">
        <v>659</v>
      </c>
      <c r="H446" t="s">
        <v>1571</v>
      </c>
      <c r="I446" t="s">
        <v>18</v>
      </c>
      <c r="J446" t="str">
        <f>IF(COUNTIF(Pays!A:A,X446)=0,"Pays inconnu",_xlfn.XLOOKUP(X446,Pays!A:A,Pays!B:B))</f>
        <v>CH</v>
      </c>
      <c r="K446" t="str">
        <f>IF(COUNTIF(Pays!A:A,X446)=0,"Pays inconnu",_xlfn.XLOOKUP(X446,Pays!A:A,Pays!C:C))</f>
        <v>1_CH</v>
      </c>
      <c r="L446">
        <v>1</v>
      </c>
      <c r="M446">
        <f t="shared" si="12"/>
        <v>0.15</v>
      </c>
      <c r="N446" t="s">
        <v>20</v>
      </c>
      <c r="O446">
        <f>LOOKUP(X446,Pays!A:A,Pays!D:D)</f>
        <v>0</v>
      </c>
      <c r="P446">
        <v>0.15</v>
      </c>
      <c r="Q446">
        <v>0.03</v>
      </c>
      <c r="U446">
        <v>1</v>
      </c>
      <c r="W446">
        <f>IF(COUNTIF(Pays!A:A,X446)=0,"",LOOKUP(X446,Pays!A:A,Pays!E:E))</f>
        <v>0</v>
      </c>
      <c r="X446" s="8" t="s">
        <v>37</v>
      </c>
    </row>
    <row r="447" spans="1:24" x14ac:dyDescent="0.25">
      <c r="A447" t="s">
        <v>1161</v>
      </c>
      <c r="B447" t="s">
        <v>182</v>
      </c>
      <c r="C447" s="1">
        <f t="shared" si="13"/>
        <v>46174</v>
      </c>
      <c r="F447" t="s">
        <v>155</v>
      </c>
      <c r="G447" t="s">
        <v>660</v>
      </c>
      <c r="H447" t="s">
        <v>1572</v>
      </c>
      <c r="I447" t="s">
        <v>18</v>
      </c>
      <c r="J447" t="str">
        <f>IF(COUNTIF(Pays!A:A,X447)=0,"Pays inconnu",_xlfn.XLOOKUP(X447,Pays!A:A,Pays!B:B))</f>
        <v>CH</v>
      </c>
      <c r="K447" t="str">
        <f>IF(COUNTIF(Pays!A:A,X447)=0,"Pays inconnu",_xlfn.XLOOKUP(X447,Pays!A:A,Pays!C:C))</f>
        <v>1_CH</v>
      </c>
      <c r="L447">
        <v>1</v>
      </c>
      <c r="M447">
        <f t="shared" si="12"/>
        <v>0.33</v>
      </c>
      <c r="N447" t="s">
        <v>20</v>
      </c>
      <c r="O447">
        <f>LOOKUP(X447,Pays!A:A,Pays!D:D)</f>
        <v>0</v>
      </c>
      <c r="P447">
        <v>0.15</v>
      </c>
      <c r="Q447">
        <v>0.33</v>
      </c>
      <c r="U447">
        <v>1</v>
      </c>
      <c r="W447">
        <f>IF(COUNTIF(Pays!A:A,X447)=0,"",LOOKUP(X447,Pays!A:A,Pays!E:E))</f>
        <v>0</v>
      </c>
      <c r="X447" s="8" t="s">
        <v>37</v>
      </c>
    </row>
    <row r="448" spans="1:24" x14ac:dyDescent="0.25">
      <c r="A448" t="s">
        <v>1161</v>
      </c>
      <c r="B448" t="s">
        <v>182</v>
      </c>
      <c r="C448" s="1">
        <f t="shared" si="13"/>
        <v>46174</v>
      </c>
      <c r="F448" t="s">
        <v>155</v>
      </c>
      <c r="G448" t="s">
        <v>661</v>
      </c>
      <c r="H448" t="s">
        <v>1573</v>
      </c>
      <c r="I448" t="s">
        <v>18</v>
      </c>
      <c r="J448" t="str">
        <f>IF(COUNTIF(Pays!A:A,X448)=0,"Pays inconnu",_xlfn.XLOOKUP(X448,Pays!A:A,Pays!B:B))</f>
        <v>CH</v>
      </c>
      <c r="K448" t="str">
        <f>IF(COUNTIF(Pays!A:A,X448)=0,"Pays inconnu",_xlfn.XLOOKUP(X448,Pays!A:A,Pays!C:C))</f>
        <v>1_CH</v>
      </c>
      <c r="L448">
        <v>1</v>
      </c>
      <c r="M448">
        <f t="shared" si="12"/>
        <v>0.17</v>
      </c>
      <c r="N448" t="s">
        <v>20</v>
      </c>
      <c r="O448">
        <f>LOOKUP(X448,Pays!A:A,Pays!D:D)</f>
        <v>0</v>
      </c>
      <c r="P448">
        <v>0.15</v>
      </c>
      <c r="Q448">
        <v>0.17</v>
      </c>
      <c r="U448">
        <v>1</v>
      </c>
      <c r="W448">
        <f>IF(COUNTIF(Pays!A:A,X448)=0,"",LOOKUP(X448,Pays!A:A,Pays!E:E))</f>
        <v>0</v>
      </c>
      <c r="X448" s="8" t="s">
        <v>37</v>
      </c>
    </row>
    <row r="449" spans="1:24" x14ac:dyDescent="0.25">
      <c r="A449" t="s">
        <v>1161</v>
      </c>
      <c r="B449" t="s">
        <v>182</v>
      </c>
      <c r="C449" s="1">
        <f t="shared" si="13"/>
        <v>46174</v>
      </c>
      <c r="F449" t="s">
        <v>155</v>
      </c>
      <c r="G449" t="s">
        <v>662</v>
      </c>
      <c r="H449" t="s">
        <v>1574</v>
      </c>
      <c r="I449" t="s">
        <v>18</v>
      </c>
      <c r="J449" t="str">
        <f>IF(COUNTIF(Pays!A:A,X449)=0,"Pays inconnu",_xlfn.XLOOKUP(X449,Pays!A:A,Pays!B:B))</f>
        <v>CH</v>
      </c>
      <c r="K449" t="str">
        <f>IF(COUNTIF(Pays!A:A,X449)=0,"Pays inconnu",_xlfn.XLOOKUP(X449,Pays!A:A,Pays!C:C))</f>
        <v>1_CH</v>
      </c>
      <c r="L449">
        <v>1</v>
      </c>
      <c r="M449">
        <f t="shared" si="12"/>
        <v>0.54</v>
      </c>
      <c r="N449" t="s">
        <v>20</v>
      </c>
      <c r="O449">
        <f>LOOKUP(X449,Pays!A:A,Pays!D:D)</f>
        <v>0</v>
      </c>
      <c r="P449">
        <v>0.15</v>
      </c>
      <c r="Q449">
        <v>0.54</v>
      </c>
      <c r="U449">
        <v>1</v>
      </c>
      <c r="W449">
        <f>IF(COUNTIF(Pays!A:A,X449)=0,"",LOOKUP(X449,Pays!A:A,Pays!E:E))</f>
        <v>0</v>
      </c>
      <c r="X449" s="8" t="s">
        <v>37</v>
      </c>
    </row>
    <row r="450" spans="1:24" x14ac:dyDescent="0.25">
      <c r="A450" t="s">
        <v>1161</v>
      </c>
      <c r="B450" t="s">
        <v>182</v>
      </c>
      <c r="C450" s="1">
        <f t="shared" si="13"/>
        <v>46174</v>
      </c>
      <c r="F450" t="s">
        <v>155</v>
      </c>
      <c r="G450" t="s">
        <v>663</v>
      </c>
      <c r="H450" t="s">
        <v>1575</v>
      </c>
      <c r="I450" t="s">
        <v>18</v>
      </c>
      <c r="J450" t="str">
        <f>IF(COUNTIF(Pays!A:A,X450)=0,"Pays inconnu",_xlfn.XLOOKUP(X450,Pays!A:A,Pays!B:B))</f>
        <v>CH</v>
      </c>
      <c r="K450" t="str">
        <f>IF(COUNTIF(Pays!A:A,X450)=0,"Pays inconnu",_xlfn.XLOOKUP(X450,Pays!A:A,Pays!C:C))</f>
        <v>1_CH</v>
      </c>
      <c r="L450">
        <v>1</v>
      </c>
      <c r="M450">
        <f t="shared" si="12"/>
        <v>1.22</v>
      </c>
      <c r="N450" t="s">
        <v>20</v>
      </c>
      <c r="O450">
        <f>LOOKUP(X450,Pays!A:A,Pays!D:D)</f>
        <v>0</v>
      </c>
      <c r="P450">
        <v>0.15</v>
      </c>
      <c r="Q450">
        <v>1.22</v>
      </c>
      <c r="U450">
        <v>1</v>
      </c>
      <c r="W450">
        <f>IF(COUNTIF(Pays!A:A,X450)=0,"",LOOKUP(X450,Pays!A:A,Pays!E:E))</f>
        <v>0</v>
      </c>
      <c r="X450" s="8" t="s">
        <v>37</v>
      </c>
    </row>
    <row r="451" spans="1:24" x14ac:dyDescent="0.25">
      <c r="A451" t="s">
        <v>1161</v>
      </c>
      <c r="B451" t="s">
        <v>182</v>
      </c>
      <c r="C451" s="1">
        <f t="shared" si="13"/>
        <v>46174</v>
      </c>
      <c r="F451" t="s">
        <v>155</v>
      </c>
      <c r="G451" t="s">
        <v>664</v>
      </c>
      <c r="H451" t="s">
        <v>1576</v>
      </c>
      <c r="I451" t="s">
        <v>18</v>
      </c>
      <c r="J451" t="str">
        <f>IF(COUNTIF(Pays!A:A,X451)=0,"Pays inconnu",_xlfn.XLOOKUP(X451,Pays!A:A,Pays!B:B))</f>
        <v>GB</v>
      </c>
      <c r="K451" t="str">
        <f>IF(COUNTIF(Pays!A:A,X451)=0,"Pays inconnu",_xlfn.XLOOKUP(X451,Pays!A:A,Pays!C:C))</f>
        <v>1_GB</v>
      </c>
      <c r="L451">
        <v>1</v>
      </c>
      <c r="M451">
        <f t="shared" ref="M451:M514" si="14">ROUND(MAX(P451:Q451),2)</f>
        <v>0.21</v>
      </c>
      <c r="N451" t="s">
        <v>20</v>
      </c>
      <c r="O451">
        <f>LOOKUP(X451,Pays!A:A,Pays!D:D)</f>
        <v>0</v>
      </c>
      <c r="P451">
        <v>0.15</v>
      </c>
      <c r="Q451">
        <v>0.21</v>
      </c>
      <c r="U451">
        <v>1</v>
      </c>
      <c r="W451">
        <f>IF(COUNTIF(Pays!A:A,X451)=0,"",LOOKUP(X451,Pays!A:A,Pays!E:E))</f>
        <v>0</v>
      </c>
      <c r="X451" s="8" t="s">
        <v>30</v>
      </c>
    </row>
    <row r="452" spans="1:24" x14ac:dyDescent="0.25">
      <c r="A452" t="s">
        <v>1161</v>
      </c>
      <c r="B452" t="s">
        <v>182</v>
      </c>
      <c r="C452" s="1">
        <f t="shared" ref="C452:C515" si="15">C451</f>
        <v>46174</v>
      </c>
      <c r="F452" t="s">
        <v>155</v>
      </c>
      <c r="G452" t="s">
        <v>665</v>
      </c>
      <c r="H452" t="s">
        <v>1577</v>
      </c>
      <c r="I452" t="s">
        <v>18</v>
      </c>
      <c r="J452" t="str">
        <f>IF(COUNTIF(Pays!A:A,X452)=0,"Pays inconnu",_xlfn.XLOOKUP(X452,Pays!A:A,Pays!B:B))</f>
        <v>GB</v>
      </c>
      <c r="K452" t="str">
        <f>IF(COUNTIF(Pays!A:A,X452)=0,"Pays inconnu",_xlfn.XLOOKUP(X452,Pays!A:A,Pays!C:C))</f>
        <v>1_GB</v>
      </c>
      <c r="L452">
        <v>1</v>
      </c>
      <c r="M452">
        <f t="shared" si="14"/>
        <v>0.15</v>
      </c>
      <c r="N452" t="s">
        <v>20</v>
      </c>
      <c r="O452">
        <f>LOOKUP(X452,Pays!A:A,Pays!D:D)</f>
        <v>0</v>
      </c>
      <c r="P452">
        <v>0.15</v>
      </c>
      <c r="Q452">
        <v>0.1</v>
      </c>
      <c r="U452">
        <v>1</v>
      </c>
      <c r="W452">
        <f>IF(COUNTIF(Pays!A:A,X452)=0,"",LOOKUP(X452,Pays!A:A,Pays!E:E))</f>
        <v>0</v>
      </c>
      <c r="X452" s="8" t="s">
        <v>30</v>
      </c>
    </row>
    <row r="453" spans="1:24" x14ac:dyDescent="0.25">
      <c r="A453" t="s">
        <v>1161</v>
      </c>
      <c r="B453" t="s">
        <v>182</v>
      </c>
      <c r="C453" s="1">
        <f t="shared" si="15"/>
        <v>46174</v>
      </c>
      <c r="F453" t="s">
        <v>155</v>
      </c>
      <c r="G453" t="s">
        <v>666</v>
      </c>
      <c r="H453" t="s">
        <v>1578</v>
      </c>
      <c r="I453" t="s">
        <v>18</v>
      </c>
      <c r="J453" t="str">
        <f>IF(COUNTIF(Pays!A:A,X453)=0,"Pays inconnu",_xlfn.XLOOKUP(X453,Pays!A:A,Pays!B:B))</f>
        <v>ES</v>
      </c>
      <c r="K453">
        <f>IF(COUNTIF(Pays!A:A,X453)=0,"Pays inconnu",_xlfn.XLOOKUP(X453,Pays!A:A,Pays!C:C))</f>
        <v>1</v>
      </c>
      <c r="L453">
        <v>1</v>
      </c>
      <c r="M453">
        <f t="shared" si="14"/>
        <v>0.78</v>
      </c>
      <c r="N453" t="s">
        <v>20</v>
      </c>
      <c r="O453">
        <f>LOOKUP(X453,Pays!A:A,Pays!D:D)</f>
        <v>0.2</v>
      </c>
      <c r="P453">
        <v>0.15</v>
      </c>
      <c r="Q453">
        <v>0.78</v>
      </c>
      <c r="U453">
        <v>1</v>
      </c>
      <c r="W453">
        <f>IF(COUNTIF(Pays!A:A,X453)=0,"",LOOKUP(X453,Pays!A:A,Pays!E:E))</f>
        <v>0</v>
      </c>
      <c r="X453" s="8" t="s">
        <v>29</v>
      </c>
    </row>
    <row r="454" spans="1:24" x14ac:dyDescent="0.25">
      <c r="A454" t="s">
        <v>1161</v>
      </c>
      <c r="B454" t="s">
        <v>182</v>
      </c>
      <c r="C454" s="1">
        <f t="shared" si="15"/>
        <v>46174</v>
      </c>
      <c r="F454" t="s">
        <v>155</v>
      </c>
      <c r="G454" t="s">
        <v>667</v>
      </c>
      <c r="H454" t="s">
        <v>1579</v>
      </c>
      <c r="I454" t="s">
        <v>18</v>
      </c>
      <c r="J454" t="str">
        <f>IF(COUNTIF(Pays!A:A,X454)=0,"Pays inconnu",_xlfn.XLOOKUP(X454,Pays!A:A,Pays!B:B))</f>
        <v>CH</v>
      </c>
      <c r="K454" t="str">
        <f>IF(COUNTIF(Pays!A:A,X454)=0,"Pays inconnu",_xlfn.XLOOKUP(X454,Pays!A:A,Pays!C:C))</f>
        <v>1_CH</v>
      </c>
      <c r="L454">
        <v>1</v>
      </c>
      <c r="M454">
        <f t="shared" si="14"/>
        <v>0.21</v>
      </c>
      <c r="N454" t="s">
        <v>20</v>
      </c>
      <c r="O454">
        <f>LOOKUP(X454,Pays!A:A,Pays!D:D)</f>
        <v>0</v>
      </c>
      <c r="P454">
        <v>0.15</v>
      </c>
      <c r="Q454">
        <v>0.21</v>
      </c>
      <c r="U454">
        <v>1</v>
      </c>
      <c r="W454">
        <f>IF(COUNTIF(Pays!A:A,X454)=0,"",LOOKUP(X454,Pays!A:A,Pays!E:E))</f>
        <v>0</v>
      </c>
      <c r="X454" s="8" t="s">
        <v>37</v>
      </c>
    </row>
    <row r="455" spans="1:24" x14ac:dyDescent="0.25">
      <c r="A455" t="s">
        <v>1161</v>
      </c>
      <c r="B455" t="s">
        <v>182</v>
      </c>
      <c r="C455" s="1">
        <f t="shared" si="15"/>
        <v>46174</v>
      </c>
      <c r="F455" t="s">
        <v>155</v>
      </c>
      <c r="G455" t="s">
        <v>668</v>
      </c>
      <c r="H455" t="s">
        <v>1580</v>
      </c>
      <c r="I455" t="s">
        <v>18</v>
      </c>
      <c r="J455" t="str">
        <f>IF(COUNTIF(Pays!A:A,X455)=0,"Pays inconnu",_xlfn.XLOOKUP(X455,Pays!A:A,Pays!B:B))</f>
        <v>CH</v>
      </c>
      <c r="K455" t="str">
        <f>IF(COUNTIF(Pays!A:A,X455)=0,"Pays inconnu",_xlfn.XLOOKUP(X455,Pays!A:A,Pays!C:C))</f>
        <v>1_CH</v>
      </c>
      <c r="L455">
        <v>1</v>
      </c>
      <c r="M455">
        <f t="shared" si="14"/>
        <v>0.27</v>
      </c>
      <c r="N455" t="s">
        <v>20</v>
      </c>
      <c r="O455">
        <f>LOOKUP(X455,Pays!A:A,Pays!D:D)</f>
        <v>0</v>
      </c>
      <c r="P455">
        <v>0.26500000000000001</v>
      </c>
      <c r="Q455">
        <v>0.12</v>
      </c>
      <c r="U455">
        <v>1</v>
      </c>
      <c r="W455">
        <f>IF(COUNTIF(Pays!A:A,X455)=0,"",LOOKUP(X455,Pays!A:A,Pays!E:E))</f>
        <v>0</v>
      </c>
      <c r="X455" s="8" t="s">
        <v>37</v>
      </c>
    </row>
    <row r="456" spans="1:24" x14ac:dyDescent="0.25">
      <c r="A456" t="s">
        <v>1161</v>
      </c>
      <c r="B456" t="s">
        <v>182</v>
      </c>
      <c r="C456" s="1">
        <f t="shared" si="15"/>
        <v>46174</v>
      </c>
      <c r="F456" t="s">
        <v>155</v>
      </c>
      <c r="G456" t="s">
        <v>669</v>
      </c>
      <c r="H456" t="s">
        <v>1581</v>
      </c>
      <c r="I456" t="s">
        <v>18</v>
      </c>
      <c r="J456" t="str">
        <f>IF(COUNTIF(Pays!A:A,X456)=0,"Pays inconnu",_xlfn.XLOOKUP(X456,Pays!A:A,Pays!B:B))</f>
        <v>PT</v>
      </c>
      <c r="K456">
        <f>IF(COUNTIF(Pays!A:A,X456)=0,"Pays inconnu",_xlfn.XLOOKUP(X456,Pays!A:A,Pays!C:C))</f>
        <v>1</v>
      </c>
      <c r="L456">
        <v>1</v>
      </c>
      <c r="M456">
        <f t="shared" si="14"/>
        <v>0.77</v>
      </c>
      <c r="N456" t="s">
        <v>20</v>
      </c>
      <c r="O456">
        <f>LOOKUP(X456,Pays!A:A,Pays!D:D)</f>
        <v>0.2</v>
      </c>
      <c r="P456">
        <v>0.15</v>
      </c>
      <c r="Q456">
        <v>0.77</v>
      </c>
      <c r="U456">
        <v>1</v>
      </c>
      <c r="W456">
        <f>IF(COUNTIF(Pays!A:A,X456)=0,"",LOOKUP(X456,Pays!A:A,Pays!E:E))</f>
        <v>0</v>
      </c>
      <c r="X456" s="8" t="s">
        <v>34</v>
      </c>
    </row>
    <row r="457" spans="1:24" x14ac:dyDescent="0.25">
      <c r="A457" t="s">
        <v>1161</v>
      </c>
      <c r="B457" t="s">
        <v>182</v>
      </c>
      <c r="C457" s="1">
        <f t="shared" si="15"/>
        <v>46174</v>
      </c>
      <c r="F457" t="s">
        <v>155</v>
      </c>
      <c r="G457" t="s">
        <v>670</v>
      </c>
      <c r="H457" t="s">
        <v>1582</v>
      </c>
      <c r="I457" t="s">
        <v>18</v>
      </c>
      <c r="J457" t="str">
        <f>IF(COUNTIF(Pays!A:A,X457)=0,"Pays inconnu",_xlfn.XLOOKUP(X457,Pays!A:A,Pays!B:B))</f>
        <v>SE</v>
      </c>
      <c r="K457">
        <f>IF(COUNTIF(Pays!A:A,X457)=0,"Pays inconnu",_xlfn.XLOOKUP(X457,Pays!A:A,Pays!C:C))</f>
        <v>1</v>
      </c>
      <c r="L457">
        <v>1</v>
      </c>
      <c r="M457">
        <f t="shared" si="14"/>
        <v>0.84</v>
      </c>
      <c r="N457" t="s">
        <v>20</v>
      </c>
      <c r="O457">
        <f>LOOKUP(X457,Pays!A:A,Pays!D:D)</f>
        <v>0.2</v>
      </c>
      <c r="P457">
        <v>0.15</v>
      </c>
      <c r="Q457">
        <v>0.84</v>
      </c>
      <c r="U457">
        <v>1</v>
      </c>
      <c r="W457">
        <f>IF(COUNTIF(Pays!A:A,X457)=0,"",LOOKUP(X457,Pays!A:A,Pays!E:E))</f>
        <v>0</v>
      </c>
      <c r="X457" s="8" t="s">
        <v>78</v>
      </c>
    </row>
    <row r="458" spans="1:24" x14ac:dyDescent="0.25">
      <c r="A458" t="s">
        <v>1161</v>
      </c>
      <c r="B458" t="s">
        <v>182</v>
      </c>
      <c r="C458" s="1">
        <f t="shared" si="15"/>
        <v>46174</v>
      </c>
      <c r="F458" t="s">
        <v>155</v>
      </c>
      <c r="G458" t="s">
        <v>671</v>
      </c>
      <c r="H458" t="s">
        <v>1259</v>
      </c>
      <c r="I458" t="s">
        <v>18</v>
      </c>
      <c r="J458" t="str">
        <f>IF(COUNTIF(Pays!A:A,X458)=0,"Pays inconnu",_xlfn.XLOOKUP(X458,Pays!A:A,Pays!B:B))</f>
        <v>PT</v>
      </c>
      <c r="K458">
        <f>IF(COUNTIF(Pays!A:A,X458)=0,"Pays inconnu",_xlfn.XLOOKUP(X458,Pays!A:A,Pays!C:C))</f>
        <v>1</v>
      </c>
      <c r="L458">
        <v>1</v>
      </c>
      <c r="M458">
        <f t="shared" si="14"/>
        <v>0.48</v>
      </c>
      <c r="N458" t="s">
        <v>20</v>
      </c>
      <c r="O458">
        <f>LOOKUP(X458,Pays!A:A,Pays!D:D)</f>
        <v>0.2</v>
      </c>
      <c r="P458">
        <v>0.15</v>
      </c>
      <c r="Q458">
        <v>0.48</v>
      </c>
      <c r="U458">
        <v>1</v>
      </c>
      <c r="W458">
        <f>IF(COUNTIF(Pays!A:A,X458)=0,"",LOOKUP(X458,Pays!A:A,Pays!E:E))</f>
        <v>0</v>
      </c>
      <c r="X458" s="8" t="s">
        <v>34</v>
      </c>
    </row>
    <row r="459" spans="1:24" x14ac:dyDescent="0.25">
      <c r="A459" t="s">
        <v>1161</v>
      </c>
      <c r="B459" t="s">
        <v>182</v>
      </c>
      <c r="C459" s="1">
        <f t="shared" si="15"/>
        <v>46174</v>
      </c>
      <c r="F459" t="s">
        <v>155</v>
      </c>
      <c r="G459" t="s">
        <v>672</v>
      </c>
      <c r="H459" t="s">
        <v>1583</v>
      </c>
      <c r="I459" t="s">
        <v>18</v>
      </c>
      <c r="J459" t="str">
        <f>IF(COUNTIF(Pays!A:A,X459)=0,"Pays inconnu",_xlfn.XLOOKUP(X459,Pays!A:A,Pays!B:B))</f>
        <v>ES</v>
      </c>
      <c r="K459">
        <f>IF(COUNTIF(Pays!A:A,X459)=0,"Pays inconnu",_xlfn.XLOOKUP(X459,Pays!A:A,Pays!C:C))</f>
        <v>1</v>
      </c>
      <c r="L459">
        <v>1</v>
      </c>
      <c r="M459">
        <f t="shared" si="14"/>
        <v>0.46</v>
      </c>
      <c r="N459" t="s">
        <v>20</v>
      </c>
      <c r="O459">
        <f>LOOKUP(X459,Pays!A:A,Pays!D:D)</f>
        <v>0.2</v>
      </c>
      <c r="P459">
        <v>0.15</v>
      </c>
      <c r="Q459">
        <v>0.46</v>
      </c>
      <c r="U459">
        <v>1</v>
      </c>
      <c r="W459">
        <f>IF(COUNTIF(Pays!A:A,X459)=0,"",LOOKUP(X459,Pays!A:A,Pays!E:E))</f>
        <v>0</v>
      </c>
      <c r="X459" s="8" t="s">
        <v>29</v>
      </c>
    </row>
    <row r="460" spans="1:24" x14ac:dyDescent="0.25">
      <c r="A460" t="s">
        <v>1161</v>
      </c>
      <c r="B460" t="s">
        <v>182</v>
      </c>
      <c r="C460" s="1">
        <f t="shared" si="15"/>
        <v>46174</v>
      </c>
      <c r="F460" t="s">
        <v>155</v>
      </c>
      <c r="G460" t="s">
        <v>673</v>
      </c>
      <c r="H460" t="s">
        <v>1584</v>
      </c>
      <c r="I460" t="s">
        <v>18</v>
      </c>
      <c r="J460" t="str">
        <f>IF(COUNTIF(Pays!A:A,X460)=0,"Pays inconnu",_xlfn.XLOOKUP(X460,Pays!A:A,Pays!B:B))</f>
        <v>CH</v>
      </c>
      <c r="K460" t="str">
        <f>IF(COUNTIF(Pays!A:A,X460)=0,"Pays inconnu",_xlfn.XLOOKUP(X460,Pays!A:A,Pays!C:C))</f>
        <v>1_CH</v>
      </c>
      <c r="L460">
        <v>1</v>
      </c>
      <c r="M460">
        <f t="shared" si="14"/>
        <v>0.28999999999999998</v>
      </c>
      <c r="N460" t="s">
        <v>20</v>
      </c>
      <c r="O460">
        <f>LOOKUP(X460,Pays!A:A,Pays!D:D)</f>
        <v>0</v>
      </c>
      <c r="P460">
        <v>0.15</v>
      </c>
      <c r="Q460">
        <v>0.28999999999999998</v>
      </c>
      <c r="U460">
        <v>1</v>
      </c>
      <c r="W460">
        <f>IF(COUNTIF(Pays!A:A,X460)=0,"",LOOKUP(X460,Pays!A:A,Pays!E:E))</f>
        <v>0</v>
      </c>
      <c r="X460" s="8" t="s">
        <v>37</v>
      </c>
    </row>
    <row r="461" spans="1:24" x14ac:dyDescent="0.25">
      <c r="A461" t="s">
        <v>1161</v>
      </c>
      <c r="B461" t="s">
        <v>182</v>
      </c>
      <c r="C461" s="1">
        <f t="shared" si="15"/>
        <v>46174</v>
      </c>
      <c r="F461" t="s">
        <v>155</v>
      </c>
      <c r="G461" t="s">
        <v>674</v>
      </c>
      <c r="H461" t="s">
        <v>1585</v>
      </c>
      <c r="I461" t="s">
        <v>18</v>
      </c>
      <c r="J461" t="str">
        <f>IF(COUNTIF(Pays!A:A,X461)=0,"Pays inconnu",_xlfn.XLOOKUP(X461,Pays!A:A,Pays!B:B))</f>
        <v>BE</v>
      </c>
      <c r="K461" t="str">
        <f>IF(COUNTIF(Pays!A:A,X461)=0,"Pays inconnu",_xlfn.XLOOKUP(X461,Pays!A:A,Pays!C:C))</f>
        <v>1_BE</v>
      </c>
      <c r="L461">
        <v>1</v>
      </c>
      <c r="M461">
        <f t="shared" si="14"/>
        <v>0.21</v>
      </c>
      <c r="N461" t="s">
        <v>20</v>
      </c>
      <c r="O461">
        <f>LOOKUP(X461,Pays!A:A,Pays!D:D)</f>
        <v>0.2</v>
      </c>
      <c r="P461">
        <v>0.15</v>
      </c>
      <c r="Q461">
        <v>0.21</v>
      </c>
      <c r="U461">
        <v>1</v>
      </c>
      <c r="W461">
        <f>IF(COUNTIF(Pays!A:A,X461)=0,"",LOOKUP(X461,Pays!A:A,Pays!E:E))</f>
        <v>0</v>
      </c>
      <c r="X461" s="8" t="s">
        <v>28</v>
      </c>
    </row>
    <row r="462" spans="1:24" x14ac:dyDescent="0.25">
      <c r="A462" t="s">
        <v>1161</v>
      </c>
      <c r="B462" t="s">
        <v>182</v>
      </c>
      <c r="C462" s="1">
        <f t="shared" si="15"/>
        <v>46174</v>
      </c>
      <c r="F462" t="s">
        <v>155</v>
      </c>
      <c r="G462" t="s">
        <v>675</v>
      </c>
      <c r="H462" t="s">
        <v>1586</v>
      </c>
      <c r="I462" t="s">
        <v>18</v>
      </c>
      <c r="J462" t="str">
        <f>IF(COUNTIF(Pays!A:A,X462)=0,"Pays inconnu",_xlfn.XLOOKUP(X462,Pays!A:A,Pays!B:B))</f>
        <v>CH</v>
      </c>
      <c r="K462" t="str">
        <f>IF(COUNTIF(Pays!A:A,X462)=0,"Pays inconnu",_xlfn.XLOOKUP(X462,Pays!A:A,Pays!C:C))</f>
        <v>1_CH</v>
      </c>
      <c r="L462">
        <v>1</v>
      </c>
      <c r="M462">
        <f t="shared" si="14"/>
        <v>0.74</v>
      </c>
      <c r="N462" t="s">
        <v>20</v>
      </c>
      <c r="O462">
        <f>LOOKUP(X462,Pays!A:A,Pays!D:D)</f>
        <v>0</v>
      </c>
      <c r="P462">
        <v>0.15</v>
      </c>
      <c r="Q462">
        <v>0.74</v>
      </c>
      <c r="U462">
        <v>1</v>
      </c>
      <c r="W462">
        <f>IF(COUNTIF(Pays!A:A,X462)=0,"",LOOKUP(X462,Pays!A:A,Pays!E:E))</f>
        <v>0</v>
      </c>
      <c r="X462" s="8" t="s">
        <v>37</v>
      </c>
    </row>
    <row r="463" spans="1:24" x14ac:dyDescent="0.25">
      <c r="A463" t="s">
        <v>1162</v>
      </c>
      <c r="B463" t="s">
        <v>182</v>
      </c>
      <c r="C463" s="1">
        <f t="shared" si="15"/>
        <v>46174</v>
      </c>
      <c r="F463" t="s">
        <v>110</v>
      </c>
      <c r="G463" t="s">
        <v>676</v>
      </c>
      <c r="H463" t="s">
        <v>1587</v>
      </c>
      <c r="I463" t="s">
        <v>18</v>
      </c>
      <c r="J463" t="str">
        <f>IF(COUNTIF(Pays!A:A,X463)=0,"Pays inconnu",_xlfn.XLOOKUP(X463,Pays!A:A,Pays!B:B))</f>
        <v>GB</v>
      </c>
      <c r="K463" t="str">
        <f>IF(COUNTIF(Pays!A:A,X463)=0,"Pays inconnu",_xlfn.XLOOKUP(X463,Pays!A:A,Pays!C:C))</f>
        <v>1_GB</v>
      </c>
      <c r="L463">
        <v>1</v>
      </c>
      <c r="M463">
        <f t="shared" si="14"/>
        <v>0.37</v>
      </c>
      <c r="N463" t="s">
        <v>20</v>
      </c>
      <c r="O463">
        <f>LOOKUP(X463,Pays!A:A,Pays!D:D)</f>
        <v>0</v>
      </c>
      <c r="P463">
        <v>0.36499999999999999</v>
      </c>
      <c r="Q463">
        <v>0.28999999999999998</v>
      </c>
      <c r="U463">
        <v>1</v>
      </c>
      <c r="W463">
        <f>IF(COUNTIF(Pays!A:A,X463)=0,"",LOOKUP(X463,Pays!A:A,Pays!E:E))</f>
        <v>0</v>
      </c>
      <c r="X463" s="8" t="s">
        <v>30</v>
      </c>
    </row>
    <row r="464" spans="1:24" x14ac:dyDescent="0.25">
      <c r="A464" t="s">
        <v>1162</v>
      </c>
      <c r="B464" t="s">
        <v>182</v>
      </c>
      <c r="C464" s="1">
        <f t="shared" si="15"/>
        <v>46174</v>
      </c>
      <c r="F464" t="s">
        <v>155</v>
      </c>
      <c r="G464" t="s">
        <v>677</v>
      </c>
      <c r="H464" t="s">
        <v>1588</v>
      </c>
      <c r="I464" t="s">
        <v>18</v>
      </c>
      <c r="J464" t="str">
        <f>IF(COUNTIF(Pays!A:A,X464)=0,"Pays inconnu",_xlfn.XLOOKUP(X464,Pays!A:A,Pays!B:B))</f>
        <v>CH</v>
      </c>
      <c r="K464" t="str">
        <f>IF(COUNTIF(Pays!A:A,X464)=0,"Pays inconnu",_xlfn.XLOOKUP(X464,Pays!A:A,Pays!C:C))</f>
        <v>1_CH</v>
      </c>
      <c r="L464">
        <v>1</v>
      </c>
      <c r="M464">
        <f t="shared" si="14"/>
        <v>0.15</v>
      </c>
      <c r="N464" t="s">
        <v>20</v>
      </c>
      <c r="O464">
        <f>LOOKUP(X464,Pays!A:A,Pays!D:D)</f>
        <v>0</v>
      </c>
      <c r="P464">
        <v>0.15</v>
      </c>
      <c r="Q464">
        <v>0.12</v>
      </c>
      <c r="U464">
        <v>1</v>
      </c>
      <c r="W464">
        <f>IF(COUNTIF(Pays!A:A,X464)=0,"",LOOKUP(X464,Pays!A:A,Pays!E:E))</f>
        <v>0</v>
      </c>
      <c r="X464" s="8" t="s">
        <v>37</v>
      </c>
    </row>
    <row r="465" spans="1:24" x14ac:dyDescent="0.25">
      <c r="A465" t="s">
        <v>1162</v>
      </c>
      <c r="B465" t="s">
        <v>182</v>
      </c>
      <c r="C465" s="1">
        <f t="shared" si="15"/>
        <v>46174</v>
      </c>
      <c r="F465" t="s">
        <v>155</v>
      </c>
      <c r="G465" t="s">
        <v>678</v>
      </c>
      <c r="H465" t="s">
        <v>1589</v>
      </c>
      <c r="I465" t="s">
        <v>18</v>
      </c>
      <c r="J465" t="str">
        <f>IF(COUNTIF(Pays!A:A,X465)=0,"Pays inconnu",_xlfn.XLOOKUP(X465,Pays!A:A,Pays!B:B))</f>
        <v>SE</v>
      </c>
      <c r="K465">
        <f>IF(COUNTIF(Pays!A:A,X465)=0,"Pays inconnu",_xlfn.XLOOKUP(X465,Pays!A:A,Pays!C:C))</f>
        <v>1</v>
      </c>
      <c r="L465">
        <v>1</v>
      </c>
      <c r="M465">
        <f t="shared" si="14"/>
        <v>0.46</v>
      </c>
      <c r="N465" t="s">
        <v>20</v>
      </c>
      <c r="O465">
        <f>LOOKUP(X465,Pays!A:A,Pays!D:D)</f>
        <v>0.2</v>
      </c>
      <c r="P465">
        <v>0.15</v>
      </c>
      <c r="Q465">
        <v>0.46</v>
      </c>
      <c r="U465">
        <v>1</v>
      </c>
      <c r="W465">
        <f>IF(COUNTIF(Pays!A:A,X465)=0,"",LOOKUP(X465,Pays!A:A,Pays!E:E))</f>
        <v>0</v>
      </c>
      <c r="X465" s="8" t="s">
        <v>78</v>
      </c>
    </row>
    <row r="466" spans="1:24" x14ac:dyDescent="0.25">
      <c r="A466" t="s">
        <v>1162</v>
      </c>
      <c r="B466" t="s">
        <v>182</v>
      </c>
      <c r="C466" s="1">
        <f t="shared" si="15"/>
        <v>46174</v>
      </c>
      <c r="F466" t="s">
        <v>155</v>
      </c>
      <c r="G466" t="s">
        <v>679</v>
      </c>
      <c r="H466" t="s">
        <v>1590</v>
      </c>
      <c r="I466" t="s">
        <v>18</v>
      </c>
      <c r="J466" t="str">
        <f>IF(COUNTIF(Pays!A:A,X466)=0,"Pays inconnu",_xlfn.XLOOKUP(X466,Pays!A:A,Pays!B:B))</f>
        <v>CH</v>
      </c>
      <c r="K466" t="str">
        <f>IF(COUNTIF(Pays!A:A,X466)=0,"Pays inconnu",_xlfn.XLOOKUP(X466,Pays!A:A,Pays!C:C))</f>
        <v>1_CH</v>
      </c>
      <c r="L466">
        <v>1</v>
      </c>
      <c r="M466">
        <f t="shared" si="14"/>
        <v>0.49</v>
      </c>
      <c r="N466" t="s">
        <v>20</v>
      </c>
      <c r="O466">
        <f>LOOKUP(X466,Pays!A:A,Pays!D:D)</f>
        <v>0</v>
      </c>
      <c r="P466">
        <v>0.15</v>
      </c>
      <c r="Q466">
        <v>0.49</v>
      </c>
      <c r="U466">
        <v>1</v>
      </c>
      <c r="W466">
        <f>IF(COUNTIF(Pays!A:A,X466)=0,"",LOOKUP(X466,Pays!A:A,Pays!E:E))</f>
        <v>0</v>
      </c>
      <c r="X466" s="8" t="s">
        <v>37</v>
      </c>
    </row>
    <row r="467" spans="1:24" x14ac:dyDescent="0.25">
      <c r="A467" t="s">
        <v>1162</v>
      </c>
      <c r="B467" t="s">
        <v>182</v>
      </c>
      <c r="C467" s="1">
        <f t="shared" si="15"/>
        <v>46174</v>
      </c>
      <c r="F467" t="s">
        <v>155</v>
      </c>
      <c r="G467" t="s">
        <v>680</v>
      </c>
      <c r="H467" t="s">
        <v>1591</v>
      </c>
      <c r="I467" t="s">
        <v>18</v>
      </c>
      <c r="J467" t="str">
        <f>IF(COUNTIF(Pays!A:A,X467)=0,"Pays inconnu",_xlfn.XLOOKUP(X467,Pays!A:A,Pays!B:B))</f>
        <v>IT</v>
      </c>
      <c r="K467">
        <f>IF(COUNTIF(Pays!A:A,X467)=0,"Pays inconnu",_xlfn.XLOOKUP(X467,Pays!A:A,Pays!C:C))</f>
        <v>1</v>
      </c>
      <c r="L467">
        <v>1</v>
      </c>
      <c r="M467">
        <f t="shared" si="14"/>
        <v>0.46</v>
      </c>
      <c r="N467" t="s">
        <v>20</v>
      </c>
      <c r="O467">
        <f>LOOKUP(X467,Pays!A:A,Pays!D:D)</f>
        <v>0.2</v>
      </c>
      <c r="P467">
        <v>0.15</v>
      </c>
      <c r="Q467">
        <v>0.46</v>
      </c>
      <c r="U467">
        <v>1</v>
      </c>
      <c r="W467">
        <f>IF(COUNTIF(Pays!A:A,X467)=0,"",LOOKUP(X467,Pays!A:A,Pays!E:E))</f>
        <v>0</v>
      </c>
      <c r="X467" s="8" t="s">
        <v>33</v>
      </c>
    </row>
    <row r="468" spans="1:24" x14ac:dyDescent="0.25">
      <c r="A468" t="s">
        <v>1162</v>
      </c>
      <c r="B468" t="s">
        <v>182</v>
      </c>
      <c r="C468" s="1">
        <f t="shared" si="15"/>
        <v>46174</v>
      </c>
      <c r="F468" t="s">
        <v>155</v>
      </c>
      <c r="G468" t="s">
        <v>681</v>
      </c>
      <c r="H468" t="s">
        <v>1592</v>
      </c>
      <c r="I468" t="s">
        <v>18</v>
      </c>
      <c r="J468" t="str">
        <f>IF(COUNTIF(Pays!A:A,X468)=0,"Pays inconnu",_xlfn.XLOOKUP(X468,Pays!A:A,Pays!B:B))</f>
        <v>NL</v>
      </c>
      <c r="K468">
        <f>IF(COUNTIF(Pays!A:A,X468)=0,"Pays inconnu",_xlfn.XLOOKUP(X468,Pays!A:A,Pays!C:C))</f>
        <v>1</v>
      </c>
      <c r="L468">
        <v>1</v>
      </c>
      <c r="M468">
        <f t="shared" si="14"/>
        <v>0.46</v>
      </c>
      <c r="N468" t="s">
        <v>20</v>
      </c>
      <c r="O468">
        <f>LOOKUP(X468,Pays!A:A,Pays!D:D)</f>
        <v>0.2</v>
      </c>
      <c r="P468">
        <v>0.15</v>
      </c>
      <c r="Q468">
        <v>0.46</v>
      </c>
      <c r="U468">
        <v>1</v>
      </c>
      <c r="W468">
        <f>IF(COUNTIF(Pays!A:A,X468)=0,"",LOOKUP(X468,Pays!A:A,Pays!E:E))</f>
        <v>0</v>
      </c>
      <c r="X468" s="8" t="s">
        <v>31</v>
      </c>
    </row>
    <row r="469" spans="1:24" x14ac:dyDescent="0.25">
      <c r="A469" t="s">
        <v>1162</v>
      </c>
      <c r="B469" t="s">
        <v>182</v>
      </c>
      <c r="C469" s="1">
        <f t="shared" si="15"/>
        <v>46174</v>
      </c>
      <c r="F469" t="s">
        <v>155</v>
      </c>
      <c r="G469" t="s">
        <v>682</v>
      </c>
      <c r="H469" t="s">
        <v>1259</v>
      </c>
      <c r="I469" t="s">
        <v>18</v>
      </c>
      <c r="J469" t="str">
        <f>IF(COUNTIF(Pays!A:A,X469)=0,"Pays inconnu",_xlfn.XLOOKUP(X469,Pays!A:A,Pays!B:B))</f>
        <v>PT</v>
      </c>
      <c r="K469">
        <f>IF(COUNTIF(Pays!A:A,X469)=0,"Pays inconnu",_xlfn.XLOOKUP(X469,Pays!A:A,Pays!C:C))</f>
        <v>1</v>
      </c>
      <c r="L469">
        <v>1</v>
      </c>
      <c r="M469">
        <f t="shared" si="14"/>
        <v>0.46</v>
      </c>
      <c r="N469" t="s">
        <v>20</v>
      </c>
      <c r="O469">
        <f>LOOKUP(X469,Pays!A:A,Pays!D:D)</f>
        <v>0.2</v>
      </c>
      <c r="P469">
        <v>0.15</v>
      </c>
      <c r="Q469">
        <v>0.46</v>
      </c>
      <c r="U469">
        <v>1</v>
      </c>
      <c r="W469">
        <f>IF(COUNTIF(Pays!A:A,X469)=0,"",LOOKUP(X469,Pays!A:A,Pays!E:E))</f>
        <v>0</v>
      </c>
      <c r="X469" s="8" t="s">
        <v>34</v>
      </c>
    </row>
    <row r="470" spans="1:24" x14ac:dyDescent="0.25">
      <c r="A470" t="s">
        <v>1162</v>
      </c>
      <c r="B470" t="s">
        <v>182</v>
      </c>
      <c r="C470" s="1">
        <f t="shared" si="15"/>
        <v>46174</v>
      </c>
      <c r="F470" t="s">
        <v>110</v>
      </c>
      <c r="G470" t="s">
        <v>683</v>
      </c>
      <c r="H470" t="s">
        <v>1593</v>
      </c>
      <c r="I470" t="s">
        <v>18</v>
      </c>
      <c r="J470" t="str">
        <f>IF(COUNTIF(Pays!A:A,X470)=0,"Pays inconnu",_xlfn.XLOOKUP(X470,Pays!A:A,Pays!B:B))</f>
        <v>IT</v>
      </c>
      <c r="K470">
        <f>IF(COUNTIF(Pays!A:A,X470)=0,"Pays inconnu",_xlfn.XLOOKUP(X470,Pays!A:A,Pays!C:C))</f>
        <v>1</v>
      </c>
      <c r="L470">
        <v>1</v>
      </c>
      <c r="M470">
        <f t="shared" si="14"/>
        <v>0.46</v>
      </c>
      <c r="N470" t="s">
        <v>20</v>
      </c>
      <c r="O470">
        <f>LOOKUP(X470,Pays!A:A,Pays!D:D)</f>
        <v>0.2</v>
      </c>
      <c r="P470">
        <v>0.15</v>
      </c>
      <c r="Q470">
        <v>0.46</v>
      </c>
      <c r="U470">
        <v>1</v>
      </c>
      <c r="W470">
        <f>IF(COUNTIF(Pays!A:A,X470)=0,"",LOOKUP(X470,Pays!A:A,Pays!E:E))</f>
        <v>0</v>
      </c>
      <c r="X470" s="8" t="s">
        <v>33</v>
      </c>
    </row>
    <row r="471" spans="1:24" x14ac:dyDescent="0.25">
      <c r="A471" t="s">
        <v>1162</v>
      </c>
      <c r="B471" t="s">
        <v>182</v>
      </c>
      <c r="C471" s="1">
        <f t="shared" si="15"/>
        <v>46174</v>
      </c>
      <c r="F471" t="s">
        <v>155</v>
      </c>
      <c r="G471" t="s">
        <v>684</v>
      </c>
      <c r="H471" t="s">
        <v>213</v>
      </c>
      <c r="I471" t="s">
        <v>18</v>
      </c>
      <c r="J471" t="str">
        <f>IF(COUNTIF(Pays!A:A,X471)=0,"Pays inconnu",_xlfn.XLOOKUP(X471,Pays!A:A,Pays!B:B))</f>
        <v>NL</v>
      </c>
      <c r="K471">
        <f>IF(COUNTIF(Pays!A:A,X471)=0,"Pays inconnu",_xlfn.XLOOKUP(X471,Pays!A:A,Pays!C:C))</f>
        <v>1</v>
      </c>
      <c r="L471">
        <v>1</v>
      </c>
      <c r="M471">
        <f t="shared" si="14"/>
        <v>0.46</v>
      </c>
      <c r="N471" t="s">
        <v>20</v>
      </c>
      <c r="O471">
        <f>LOOKUP(X471,Pays!A:A,Pays!D:D)</f>
        <v>0.2</v>
      </c>
      <c r="P471">
        <v>0.15</v>
      </c>
      <c r="Q471">
        <v>0.46</v>
      </c>
      <c r="U471">
        <v>1</v>
      </c>
      <c r="W471">
        <f>IF(COUNTIF(Pays!A:A,X471)=0,"",LOOKUP(X471,Pays!A:A,Pays!E:E))</f>
        <v>0</v>
      </c>
      <c r="X471" s="8" t="s">
        <v>31</v>
      </c>
    </row>
    <row r="472" spans="1:24" x14ac:dyDescent="0.25">
      <c r="A472" t="s">
        <v>1162</v>
      </c>
      <c r="B472" t="s">
        <v>182</v>
      </c>
      <c r="C472" s="1">
        <f t="shared" si="15"/>
        <v>46174</v>
      </c>
      <c r="F472" t="s">
        <v>155</v>
      </c>
      <c r="G472" t="s">
        <v>685</v>
      </c>
      <c r="H472" t="s">
        <v>1594</v>
      </c>
      <c r="I472" t="s">
        <v>18</v>
      </c>
      <c r="J472" t="str">
        <f>IF(COUNTIF(Pays!A:A,X472)=0,"Pays inconnu",_xlfn.XLOOKUP(X472,Pays!A:A,Pays!B:B))</f>
        <v>CZ</v>
      </c>
      <c r="K472">
        <f>IF(COUNTIF(Pays!A:A,X472)=0,"Pays inconnu",_xlfn.XLOOKUP(X472,Pays!A:A,Pays!C:C))</f>
        <v>1</v>
      </c>
      <c r="L472">
        <v>1</v>
      </c>
      <c r="M472">
        <f t="shared" si="14"/>
        <v>0.46</v>
      </c>
      <c r="N472" t="s">
        <v>20</v>
      </c>
      <c r="O472">
        <f>LOOKUP(X472,Pays!A:A,Pays!D:D)</f>
        <v>0.2</v>
      </c>
      <c r="P472">
        <v>0.15</v>
      </c>
      <c r="Q472">
        <v>0.46</v>
      </c>
      <c r="U472">
        <v>1</v>
      </c>
      <c r="W472">
        <f>IF(COUNTIF(Pays!A:A,X472)=0,"",LOOKUP(X472,Pays!A:A,Pays!E:E))</f>
        <v>0</v>
      </c>
      <c r="X472" s="8" t="s">
        <v>87</v>
      </c>
    </row>
    <row r="473" spans="1:24" x14ac:dyDescent="0.25">
      <c r="A473" t="s">
        <v>1162</v>
      </c>
      <c r="B473" t="s">
        <v>182</v>
      </c>
      <c r="C473" s="1">
        <f t="shared" si="15"/>
        <v>46174</v>
      </c>
      <c r="F473" t="s">
        <v>155</v>
      </c>
      <c r="G473" t="s">
        <v>686</v>
      </c>
      <c r="H473" t="s">
        <v>1595</v>
      </c>
      <c r="I473" t="s">
        <v>18</v>
      </c>
      <c r="J473" t="str">
        <f>IF(COUNTIF(Pays!A:A,X473)=0,"Pays inconnu",_xlfn.XLOOKUP(X473,Pays!A:A,Pays!B:B))</f>
        <v>IT</v>
      </c>
      <c r="K473">
        <f>IF(COUNTIF(Pays!A:A,X473)=0,"Pays inconnu",_xlfn.XLOOKUP(X473,Pays!A:A,Pays!C:C))</f>
        <v>1</v>
      </c>
      <c r="L473">
        <v>1</v>
      </c>
      <c r="M473">
        <f t="shared" si="14"/>
        <v>0.46</v>
      </c>
      <c r="N473" t="s">
        <v>20</v>
      </c>
      <c r="O473">
        <f>LOOKUP(X473,Pays!A:A,Pays!D:D)</f>
        <v>0.2</v>
      </c>
      <c r="P473">
        <v>0.15</v>
      </c>
      <c r="Q473">
        <v>0.46</v>
      </c>
      <c r="U473">
        <v>1</v>
      </c>
      <c r="W473">
        <f>IF(COUNTIF(Pays!A:A,X473)=0,"",LOOKUP(X473,Pays!A:A,Pays!E:E))</f>
        <v>0</v>
      </c>
      <c r="X473" s="8" t="s">
        <v>33</v>
      </c>
    </row>
    <row r="474" spans="1:24" x14ac:dyDescent="0.25">
      <c r="A474" t="s">
        <v>1162</v>
      </c>
      <c r="B474" t="s">
        <v>182</v>
      </c>
      <c r="C474" s="1">
        <f t="shared" si="15"/>
        <v>46174</v>
      </c>
      <c r="F474" t="s">
        <v>155</v>
      </c>
      <c r="G474" t="s">
        <v>687</v>
      </c>
      <c r="H474" t="s">
        <v>1285</v>
      </c>
      <c r="I474" t="s">
        <v>18</v>
      </c>
      <c r="J474" t="str">
        <f>IF(COUNTIF(Pays!A:A,X474)=0,"Pays inconnu",_xlfn.XLOOKUP(X474,Pays!A:A,Pays!B:B))</f>
        <v>TR</v>
      </c>
      <c r="K474">
        <f>IF(COUNTIF(Pays!A:A,X474)=0,"Pays inconnu",_xlfn.XLOOKUP(X474,Pays!A:A,Pays!C:C))</f>
        <v>2</v>
      </c>
      <c r="L474">
        <v>1</v>
      </c>
      <c r="M474">
        <f t="shared" si="14"/>
        <v>0.46</v>
      </c>
      <c r="N474" t="s">
        <v>20</v>
      </c>
      <c r="O474">
        <f>LOOKUP(X474,Pays!A:A,Pays!D:D)</f>
        <v>0</v>
      </c>
      <c r="P474">
        <v>0.46</v>
      </c>
      <c r="Q474">
        <v>0.46</v>
      </c>
      <c r="U474">
        <v>1</v>
      </c>
      <c r="W474">
        <f>IF(COUNTIF(Pays!A:A,X474)=0,"",LOOKUP(X474,Pays!A:A,Pays!E:E))</f>
        <v>0</v>
      </c>
      <c r="X474" s="8" t="s">
        <v>118</v>
      </c>
    </row>
    <row r="475" spans="1:24" x14ac:dyDescent="0.25">
      <c r="A475" t="s">
        <v>1162</v>
      </c>
      <c r="B475" t="s">
        <v>182</v>
      </c>
      <c r="C475" s="1">
        <f t="shared" si="15"/>
        <v>46174</v>
      </c>
      <c r="F475" t="s">
        <v>155</v>
      </c>
      <c r="G475" t="s">
        <v>688</v>
      </c>
      <c r="H475" t="s">
        <v>1596</v>
      </c>
      <c r="I475" t="s">
        <v>18</v>
      </c>
      <c r="J475" t="str">
        <f>IF(COUNTIF(Pays!A:A,X475)=0,"Pays inconnu",_xlfn.XLOOKUP(X475,Pays!A:A,Pays!B:B))</f>
        <v>CH</v>
      </c>
      <c r="K475" t="str">
        <f>IF(COUNTIF(Pays!A:A,X475)=0,"Pays inconnu",_xlfn.XLOOKUP(X475,Pays!A:A,Pays!C:C))</f>
        <v>1_CH</v>
      </c>
      <c r="L475">
        <v>1</v>
      </c>
      <c r="M475">
        <f t="shared" si="14"/>
        <v>1.3</v>
      </c>
      <c r="N475" t="s">
        <v>20</v>
      </c>
      <c r="O475">
        <f>LOOKUP(X475,Pays!A:A,Pays!D:D)</f>
        <v>0</v>
      </c>
      <c r="P475">
        <v>0.15</v>
      </c>
      <c r="Q475">
        <v>1.3</v>
      </c>
      <c r="U475">
        <v>1</v>
      </c>
      <c r="W475">
        <f>IF(COUNTIF(Pays!A:A,X475)=0,"",LOOKUP(X475,Pays!A:A,Pays!E:E))</f>
        <v>0</v>
      </c>
      <c r="X475" s="8" t="s">
        <v>37</v>
      </c>
    </row>
    <row r="476" spans="1:24" x14ac:dyDescent="0.25">
      <c r="A476" t="s">
        <v>1162</v>
      </c>
      <c r="B476" t="s">
        <v>182</v>
      </c>
      <c r="C476" s="1">
        <f t="shared" si="15"/>
        <v>46174</v>
      </c>
      <c r="F476" t="s">
        <v>155</v>
      </c>
      <c r="G476" t="s">
        <v>689</v>
      </c>
      <c r="H476" t="s">
        <v>1597</v>
      </c>
      <c r="I476" t="s">
        <v>18</v>
      </c>
      <c r="J476" t="str">
        <f>IF(COUNTIF(Pays!A:A,X476)=0,"Pays inconnu",_xlfn.XLOOKUP(X476,Pays!A:A,Pays!B:B))</f>
        <v>GB</v>
      </c>
      <c r="K476" t="str">
        <f>IF(COUNTIF(Pays!A:A,X476)=0,"Pays inconnu",_xlfn.XLOOKUP(X476,Pays!A:A,Pays!C:C))</f>
        <v>1_GB</v>
      </c>
      <c r="L476">
        <v>1</v>
      </c>
      <c r="M476">
        <f t="shared" si="14"/>
        <v>0.63</v>
      </c>
      <c r="N476" t="s">
        <v>20</v>
      </c>
      <c r="O476">
        <f>LOOKUP(X476,Pays!A:A,Pays!D:D)</f>
        <v>0</v>
      </c>
      <c r="P476">
        <v>0.15</v>
      </c>
      <c r="Q476">
        <v>0.63</v>
      </c>
      <c r="U476">
        <v>1</v>
      </c>
      <c r="W476">
        <f>IF(COUNTIF(Pays!A:A,X476)=0,"",LOOKUP(X476,Pays!A:A,Pays!E:E))</f>
        <v>0</v>
      </c>
      <c r="X476" s="8" t="s">
        <v>30</v>
      </c>
    </row>
    <row r="477" spans="1:24" x14ac:dyDescent="0.25">
      <c r="A477" t="s">
        <v>1162</v>
      </c>
      <c r="B477" t="s">
        <v>182</v>
      </c>
      <c r="C477" s="1">
        <f t="shared" si="15"/>
        <v>46174</v>
      </c>
      <c r="F477" t="s">
        <v>155</v>
      </c>
      <c r="G477" t="s">
        <v>690</v>
      </c>
      <c r="H477" t="s">
        <v>1598</v>
      </c>
      <c r="I477" t="s">
        <v>18</v>
      </c>
      <c r="J477" t="str">
        <f>IF(COUNTIF(Pays!A:A,X477)=0,"Pays inconnu",_xlfn.XLOOKUP(X477,Pays!A:A,Pays!B:B))</f>
        <v>JP</v>
      </c>
      <c r="K477">
        <f>IF(COUNTIF(Pays!A:A,X477)=0,"Pays inconnu",_xlfn.XLOOKUP(X477,Pays!A:A,Pays!C:C))</f>
        <v>2</v>
      </c>
      <c r="L477">
        <v>1</v>
      </c>
      <c r="M477">
        <f t="shared" si="14"/>
        <v>0.46</v>
      </c>
      <c r="N477" t="s">
        <v>20</v>
      </c>
      <c r="O477">
        <f>LOOKUP(X477,Pays!A:A,Pays!D:D)</f>
        <v>0</v>
      </c>
      <c r="P477">
        <v>0.46</v>
      </c>
      <c r="Q477">
        <v>0.46</v>
      </c>
      <c r="U477">
        <v>1</v>
      </c>
      <c r="W477">
        <f>IF(COUNTIF(Pays!A:A,X477)=0,"",LOOKUP(X477,Pays!A:A,Pays!E:E))</f>
        <v>1.5</v>
      </c>
      <c r="X477" s="8" t="s">
        <v>84</v>
      </c>
    </row>
    <row r="478" spans="1:24" x14ac:dyDescent="0.25">
      <c r="A478" t="s">
        <v>1162</v>
      </c>
      <c r="B478" t="s">
        <v>182</v>
      </c>
      <c r="C478" s="1">
        <f t="shared" si="15"/>
        <v>46174</v>
      </c>
      <c r="F478" t="s">
        <v>155</v>
      </c>
      <c r="G478" t="s">
        <v>691</v>
      </c>
      <c r="H478" t="s">
        <v>1599</v>
      </c>
      <c r="I478" t="s">
        <v>18</v>
      </c>
      <c r="J478" t="str">
        <f>IF(COUNTIF(Pays!A:A,X478)=0,"Pays inconnu",_xlfn.XLOOKUP(X478,Pays!A:A,Pays!B:B))</f>
        <v>NL</v>
      </c>
      <c r="K478">
        <f>IF(COUNTIF(Pays!A:A,X478)=0,"Pays inconnu",_xlfn.XLOOKUP(X478,Pays!A:A,Pays!C:C))</f>
        <v>1</v>
      </c>
      <c r="L478">
        <v>1</v>
      </c>
      <c r="M478">
        <f t="shared" si="14"/>
        <v>0.46</v>
      </c>
      <c r="N478" t="s">
        <v>20</v>
      </c>
      <c r="O478">
        <f>LOOKUP(X478,Pays!A:A,Pays!D:D)</f>
        <v>0.2</v>
      </c>
      <c r="P478">
        <v>0.15</v>
      </c>
      <c r="Q478">
        <v>0.46</v>
      </c>
      <c r="U478">
        <v>1</v>
      </c>
      <c r="W478">
        <f>IF(COUNTIF(Pays!A:A,X478)=0,"",LOOKUP(X478,Pays!A:A,Pays!E:E))</f>
        <v>0</v>
      </c>
      <c r="X478" s="8" t="s">
        <v>31</v>
      </c>
    </row>
    <row r="479" spans="1:24" x14ac:dyDescent="0.25">
      <c r="A479" t="s">
        <v>1162</v>
      </c>
      <c r="B479" t="s">
        <v>182</v>
      </c>
      <c r="C479" s="1">
        <f t="shared" si="15"/>
        <v>46174</v>
      </c>
      <c r="F479" t="s">
        <v>155</v>
      </c>
      <c r="G479" t="s">
        <v>692</v>
      </c>
      <c r="H479" t="s">
        <v>214</v>
      </c>
      <c r="I479" t="s">
        <v>18</v>
      </c>
      <c r="J479" t="str">
        <f>IF(COUNTIF(Pays!A:A,X479)=0,"Pays inconnu",_xlfn.XLOOKUP(X479,Pays!A:A,Pays!B:B))</f>
        <v>HR</v>
      </c>
      <c r="K479">
        <f>IF(COUNTIF(Pays!A:A,X479)=0,"Pays inconnu",_xlfn.XLOOKUP(X479,Pays!A:A,Pays!C:C))</f>
        <v>1</v>
      </c>
      <c r="L479">
        <v>1</v>
      </c>
      <c r="M479">
        <f t="shared" si="14"/>
        <v>0.46</v>
      </c>
      <c r="N479" t="s">
        <v>20</v>
      </c>
      <c r="O479">
        <f>LOOKUP(X479,Pays!A:A,Pays!D:D)</f>
        <v>0.2</v>
      </c>
      <c r="P479">
        <v>0.15</v>
      </c>
      <c r="Q479">
        <v>0.46</v>
      </c>
      <c r="U479">
        <v>1</v>
      </c>
      <c r="W479">
        <f>IF(COUNTIF(Pays!A:A,X479)=0,"",LOOKUP(X479,Pays!A:A,Pays!E:E))</f>
        <v>0</v>
      </c>
      <c r="X479" s="8" t="s">
        <v>72</v>
      </c>
    </row>
    <row r="480" spans="1:24" x14ac:dyDescent="0.25">
      <c r="A480" t="s">
        <v>1162</v>
      </c>
      <c r="B480" t="s">
        <v>182</v>
      </c>
      <c r="C480" s="1">
        <f t="shared" si="15"/>
        <v>46174</v>
      </c>
      <c r="F480" t="s">
        <v>155</v>
      </c>
      <c r="G480" t="s">
        <v>693</v>
      </c>
      <c r="H480" t="s">
        <v>1284</v>
      </c>
      <c r="I480" t="s">
        <v>18</v>
      </c>
      <c r="J480" t="str">
        <f>IF(COUNTIF(Pays!A:A,X480)=0,"Pays inconnu",_xlfn.XLOOKUP(X480,Pays!A:A,Pays!B:B))</f>
        <v>CZ</v>
      </c>
      <c r="K480">
        <f>IF(COUNTIF(Pays!A:A,X480)=0,"Pays inconnu",_xlfn.XLOOKUP(X480,Pays!A:A,Pays!C:C))</f>
        <v>1</v>
      </c>
      <c r="L480">
        <v>1</v>
      </c>
      <c r="M480">
        <f t="shared" si="14"/>
        <v>0.46</v>
      </c>
      <c r="N480" t="s">
        <v>20</v>
      </c>
      <c r="O480">
        <f>LOOKUP(X480,Pays!A:A,Pays!D:D)</f>
        <v>0.2</v>
      </c>
      <c r="P480">
        <v>0.15</v>
      </c>
      <c r="Q480">
        <v>0.46</v>
      </c>
      <c r="U480">
        <v>1</v>
      </c>
      <c r="W480">
        <f>IF(COUNTIF(Pays!A:A,X480)=0,"",LOOKUP(X480,Pays!A:A,Pays!E:E))</f>
        <v>0</v>
      </c>
      <c r="X480" s="8" t="s">
        <v>87</v>
      </c>
    </row>
    <row r="481" spans="1:24" x14ac:dyDescent="0.25">
      <c r="A481" t="s">
        <v>1162</v>
      </c>
      <c r="B481" t="s">
        <v>182</v>
      </c>
      <c r="C481" s="1">
        <f t="shared" si="15"/>
        <v>46174</v>
      </c>
      <c r="F481" t="s">
        <v>155</v>
      </c>
      <c r="G481" t="s">
        <v>694</v>
      </c>
      <c r="H481" t="s">
        <v>1600</v>
      </c>
      <c r="I481" t="s">
        <v>18</v>
      </c>
      <c r="J481" t="str">
        <f>IF(COUNTIF(Pays!A:A,X481)=0,"Pays inconnu",_xlfn.XLOOKUP(X481,Pays!A:A,Pays!B:B))</f>
        <v>DE</v>
      </c>
      <c r="K481">
        <f>IF(COUNTIF(Pays!A:A,X481)=0,"Pays inconnu",_xlfn.XLOOKUP(X481,Pays!A:A,Pays!C:C))</f>
        <v>1</v>
      </c>
      <c r="L481">
        <v>1</v>
      </c>
      <c r="M481">
        <f t="shared" si="14"/>
        <v>0.46</v>
      </c>
      <c r="N481" t="s">
        <v>20</v>
      </c>
      <c r="O481">
        <f>LOOKUP(X481,Pays!A:A,Pays!D:D)</f>
        <v>0.2</v>
      </c>
      <c r="P481">
        <v>0.15</v>
      </c>
      <c r="Q481">
        <v>0.46</v>
      </c>
      <c r="U481">
        <v>1</v>
      </c>
      <c r="W481">
        <f>IF(COUNTIF(Pays!A:A,X481)=0,"",LOOKUP(X481,Pays!A:A,Pays!E:E))</f>
        <v>0</v>
      </c>
      <c r="X481" s="8" t="s">
        <v>35</v>
      </c>
    </row>
    <row r="482" spans="1:24" x14ac:dyDescent="0.25">
      <c r="A482" t="s">
        <v>1162</v>
      </c>
      <c r="B482" t="s">
        <v>182</v>
      </c>
      <c r="C482" s="1">
        <f t="shared" si="15"/>
        <v>46174</v>
      </c>
      <c r="F482" t="s">
        <v>155</v>
      </c>
      <c r="G482" t="s">
        <v>695</v>
      </c>
      <c r="H482" t="s">
        <v>189</v>
      </c>
      <c r="I482" t="s">
        <v>18</v>
      </c>
      <c r="J482" t="str">
        <f>IF(COUNTIF(Pays!A:A,X482)=0,"Pays inconnu",_xlfn.XLOOKUP(X482,Pays!A:A,Pays!B:B))</f>
        <v>FI</v>
      </c>
      <c r="K482">
        <f>IF(COUNTIF(Pays!A:A,X482)=0,"Pays inconnu",_xlfn.XLOOKUP(X482,Pays!A:A,Pays!C:C))</f>
        <v>1</v>
      </c>
      <c r="L482">
        <v>1</v>
      </c>
      <c r="M482">
        <f t="shared" si="14"/>
        <v>0.46</v>
      </c>
      <c r="N482" t="s">
        <v>20</v>
      </c>
      <c r="O482">
        <f>LOOKUP(X482,Pays!A:A,Pays!D:D)</f>
        <v>0.2</v>
      </c>
      <c r="P482">
        <v>0.15</v>
      </c>
      <c r="Q482">
        <v>0.46</v>
      </c>
      <c r="U482">
        <v>1</v>
      </c>
      <c r="W482">
        <f>IF(COUNTIF(Pays!A:A,X482)=0,"",LOOKUP(X482,Pays!A:A,Pays!E:E))</f>
        <v>0</v>
      </c>
      <c r="X482" s="8" t="s">
        <v>48</v>
      </c>
    </row>
    <row r="483" spans="1:24" x14ac:dyDescent="0.25">
      <c r="A483" t="s">
        <v>1162</v>
      </c>
      <c r="B483" t="s">
        <v>182</v>
      </c>
      <c r="C483" s="1">
        <f t="shared" si="15"/>
        <v>46174</v>
      </c>
      <c r="F483" t="s">
        <v>155</v>
      </c>
      <c r="G483" t="s">
        <v>696</v>
      </c>
      <c r="H483" t="s">
        <v>1601</v>
      </c>
      <c r="I483" t="s">
        <v>18</v>
      </c>
      <c r="J483" t="str">
        <f>IF(COUNTIF(Pays!A:A,X483)=0,"Pays inconnu",_xlfn.XLOOKUP(X483,Pays!A:A,Pays!B:B))</f>
        <v>DE</v>
      </c>
      <c r="K483">
        <f>IF(COUNTIF(Pays!A:A,X483)=0,"Pays inconnu",_xlfn.XLOOKUP(X483,Pays!A:A,Pays!C:C))</f>
        <v>1</v>
      </c>
      <c r="L483">
        <v>1</v>
      </c>
      <c r="M483">
        <f t="shared" si="14"/>
        <v>0.46</v>
      </c>
      <c r="N483" t="s">
        <v>20</v>
      </c>
      <c r="O483">
        <f>LOOKUP(X483,Pays!A:A,Pays!D:D)</f>
        <v>0.2</v>
      </c>
      <c r="P483">
        <v>0.15</v>
      </c>
      <c r="Q483">
        <v>0.46</v>
      </c>
      <c r="U483">
        <v>1</v>
      </c>
      <c r="W483">
        <f>IF(COUNTIF(Pays!A:A,X483)=0,"",LOOKUP(X483,Pays!A:A,Pays!E:E))</f>
        <v>0</v>
      </c>
      <c r="X483" s="8" t="s">
        <v>35</v>
      </c>
    </row>
    <row r="484" spans="1:24" x14ac:dyDescent="0.25">
      <c r="A484" t="s">
        <v>1162</v>
      </c>
      <c r="B484" t="s">
        <v>182</v>
      </c>
      <c r="C484" s="1">
        <f t="shared" si="15"/>
        <v>46174</v>
      </c>
      <c r="F484" t="s">
        <v>155</v>
      </c>
      <c r="G484" t="s">
        <v>697</v>
      </c>
      <c r="H484" t="s">
        <v>1602</v>
      </c>
      <c r="I484" t="s">
        <v>18</v>
      </c>
      <c r="J484" t="str">
        <f>IF(COUNTIF(Pays!A:A,X484)=0,"Pays inconnu",_xlfn.XLOOKUP(X484,Pays!A:A,Pays!B:B))</f>
        <v>CH</v>
      </c>
      <c r="K484" t="str">
        <f>IF(COUNTIF(Pays!A:A,X484)=0,"Pays inconnu",_xlfn.XLOOKUP(X484,Pays!A:A,Pays!C:C))</f>
        <v>1_CH</v>
      </c>
      <c r="L484">
        <v>1</v>
      </c>
      <c r="M484">
        <f t="shared" si="14"/>
        <v>0.15</v>
      </c>
      <c r="N484" t="s">
        <v>20</v>
      </c>
      <c r="O484">
        <f>LOOKUP(X484,Pays!A:A,Pays!D:D)</f>
        <v>0</v>
      </c>
      <c r="P484">
        <v>0.15</v>
      </c>
      <c r="Q484">
        <v>0.08</v>
      </c>
      <c r="U484">
        <v>1</v>
      </c>
      <c r="W484">
        <f>IF(COUNTIF(Pays!A:A,X484)=0,"",LOOKUP(X484,Pays!A:A,Pays!E:E))</f>
        <v>0</v>
      </c>
      <c r="X484" s="8" t="s">
        <v>37</v>
      </c>
    </row>
    <row r="485" spans="1:24" x14ac:dyDescent="0.25">
      <c r="A485" t="s">
        <v>1162</v>
      </c>
      <c r="B485" t="s">
        <v>182</v>
      </c>
      <c r="C485" s="1">
        <f t="shared" si="15"/>
        <v>46174</v>
      </c>
      <c r="F485" t="s">
        <v>155</v>
      </c>
      <c r="G485" t="s">
        <v>698</v>
      </c>
      <c r="H485" t="s">
        <v>208</v>
      </c>
      <c r="I485" t="s">
        <v>18</v>
      </c>
      <c r="J485" t="str">
        <f>IF(COUNTIF(Pays!A:A,X485)=0,"Pays inconnu",_xlfn.XLOOKUP(X485,Pays!A:A,Pays!B:B))</f>
        <v>SE</v>
      </c>
      <c r="K485">
        <f>IF(COUNTIF(Pays!A:A,X485)=0,"Pays inconnu",_xlfn.XLOOKUP(X485,Pays!A:A,Pays!C:C))</f>
        <v>1</v>
      </c>
      <c r="L485">
        <v>1</v>
      </c>
      <c r="M485">
        <f t="shared" si="14"/>
        <v>0.46</v>
      </c>
      <c r="N485" t="s">
        <v>20</v>
      </c>
      <c r="O485">
        <f>LOOKUP(X485,Pays!A:A,Pays!D:D)</f>
        <v>0.2</v>
      </c>
      <c r="P485">
        <v>0.15</v>
      </c>
      <c r="Q485">
        <v>0.46</v>
      </c>
      <c r="U485">
        <v>1</v>
      </c>
      <c r="W485">
        <f>IF(COUNTIF(Pays!A:A,X485)=0,"",LOOKUP(X485,Pays!A:A,Pays!E:E))</f>
        <v>0</v>
      </c>
      <c r="X485" s="8" t="s">
        <v>78</v>
      </c>
    </row>
    <row r="486" spans="1:24" x14ac:dyDescent="0.25">
      <c r="A486" t="s">
        <v>1162</v>
      </c>
      <c r="B486" t="s">
        <v>182</v>
      </c>
      <c r="C486" s="1">
        <f t="shared" si="15"/>
        <v>46174</v>
      </c>
      <c r="F486" t="s">
        <v>155</v>
      </c>
      <c r="G486" t="s">
        <v>699</v>
      </c>
      <c r="H486" t="s">
        <v>1603</v>
      </c>
      <c r="I486" t="s">
        <v>18</v>
      </c>
      <c r="J486" t="str">
        <f>IF(COUNTIF(Pays!A:A,X486)=0,"Pays inconnu",_xlfn.XLOOKUP(X486,Pays!A:A,Pays!B:B))</f>
        <v>DE</v>
      </c>
      <c r="K486">
        <f>IF(COUNTIF(Pays!A:A,X486)=0,"Pays inconnu",_xlfn.XLOOKUP(X486,Pays!A:A,Pays!C:C))</f>
        <v>1</v>
      </c>
      <c r="L486">
        <v>1</v>
      </c>
      <c r="M486">
        <f t="shared" si="14"/>
        <v>0.46</v>
      </c>
      <c r="N486" t="s">
        <v>20</v>
      </c>
      <c r="O486">
        <f>LOOKUP(X486,Pays!A:A,Pays!D:D)</f>
        <v>0.2</v>
      </c>
      <c r="P486">
        <v>0.15</v>
      </c>
      <c r="Q486">
        <v>0.46</v>
      </c>
      <c r="U486">
        <v>1</v>
      </c>
      <c r="W486">
        <f>IF(COUNTIF(Pays!A:A,X486)=0,"",LOOKUP(X486,Pays!A:A,Pays!E:E))</f>
        <v>0</v>
      </c>
      <c r="X486" s="8" t="s">
        <v>35</v>
      </c>
    </row>
    <row r="487" spans="1:24" x14ac:dyDescent="0.25">
      <c r="A487" t="s">
        <v>1162</v>
      </c>
      <c r="B487" t="s">
        <v>182</v>
      </c>
      <c r="C487" s="1">
        <f t="shared" si="15"/>
        <v>46174</v>
      </c>
      <c r="F487" t="s">
        <v>155</v>
      </c>
      <c r="G487" t="s">
        <v>700</v>
      </c>
      <c r="H487" t="s">
        <v>1604</v>
      </c>
      <c r="I487" t="s">
        <v>18</v>
      </c>
      <c r="J487" t="str">
        <f>IF(COUNTIF(Pays!A:A,X487)=0,"Pays inconnu",_xlfn.XLOOKUP(X487,Pays!A:A,Pays!B:B))</f>
        <v>IT</v>
      </c>
      <c r="K487">
        <f>IF(COUNTIF(Pays!A:A,X487)=0,"Pays inconnu",_xlfn.XLOOKUP(X487,Pays!A:A,Pays!C:C))</f>
        <v>1</v>
      </c>
      <c r="L487">
        <v>1</v>
      </c>
      <c r="M487">
        <f t="shared" si="14"/>
        <v>0.46</v>
      </c>
      <c r="N487" t="s">
        <v>20</v>
      </c>
      <c r="O487">
        <f>LOOKUP(X487,Pays!A:A,Pays!D:D)</f>
        <v>0.2</v>
      </c>
      <c r="P487">
        <v>0.15</v>
      </c>
      <c r="Q487">
        <v>0.46</v>
      </c>
      <c r="U487">
        <v>1</v>
      </c>
      <c r="W487">
        <f>IF(COUNTIF(Pays!A:A,X487)=0,"",LOOKUP(X487,Pays!A:A,Pays!E:E))</f>
        <v>0</v>
      </c>
      <c r="X487" s="8" t="s">
        <v>33</v>
      </c>
    </row>
    <row r="488" spans="1:24" x14ac:dyDescent="0.25">
      <c r="A488" t="s">
        <v>1162</v>
      </c>
      <c r="B488" t="s">
        <v>182</v>
      </c>
      <c r="C488" s="1">
        <f t="shared" si="15"/>
        <v>46174</v>
      </c>
      <c r="F488" t="s">
        <v>155</v>
      </c>
      <c r="G488" t="s">
        <v>701</v>
      </c>
      <c r="H488" t="s">
        <v>1605</v>
      </c>
      <c r="I488" t="s">
        <v>18</v>
      </c>
      <c r="J488" t="str">
        <f>IF(COUNTIF(Pays!A:A,X488)=0,"Pays inconnu",_xlfn.XLOOKUP(X488,Pays!A:A,Pays!B:B))</f>
        <v>IT</v>
      </c>
      <c r="K488">
        <f>IF(COUNTIF(Pays!A:A,X488)=0,"Pays inconnu",_xlfn.XLOOKUP(X488,Pays!A:A,Pays!C:C))</f>
        <v>1</v>
      </c>
      <c r="L488">
        <v>1</v>
      </c>
      <c r="M488">
        <f t="shared" si="14"/>
        <v>0.46</v>
      </c>
      <c r="N488" t="s">
        <v>20</v>
      </c>
      <c r="O488">
        <f>LOOKUP(X488,Pays!A:A,Pays!D:D)</f>
        <v>0.2</v>
      </c>
      <c r="P488">
        <v>0.15</v>
      </c>
      <c r="Q488">
        <v>0.46</v>
      </c>
      <c r="U488">
        <v>1</v>
      </c>
      <c r="W488">
        <f>IF(COUNTIF(Pays!A:A,X488)=0,"",LOOKUP(X488,Pays!A:A,Pays!E:E))</f>
        <v>0</v>
      </c>
      <c r="X488" s="8" t="s">
        <v>33</v>
      </c>
    </row>
    <row r="489" spans="1:24" x14ac:dyDescent="0.25">
      <c r="A489" t="s">
        <v>1162</v>
      </c>
      <c r="B489" t="s">
        <v>182</v>
      </c>
      <c r="C489" s="1">
        <f t="shared" si="15"/>
        <v>46174</v>
      </c>
      <c r="F489" t="s">
        <v>155</v>
      </c>
      <c r="G489" t="s">
        <v>702</v>
      </c>
      <c r="H489" t="s">
        <v>1606</v>
      </c>
      <c r="I489" t="s">
        <v>18</v>
      </c>
      <c r="J489" t="str">
        <f>IF(COUNTIF(Pays!A:A,X489)=0,"Pays inconnu",_xlfn.XLOOKUP(X489,Pays!A:A,Pays!B:B))</f>
        <v>IT</v>
      </c>
      <c r="K489">
        <f>IF(COUNTIF(Pays!A:A,X489)=0,"Pays inconnu",_xlfn.XLOOKUP(X489,Pays!A:A,Pays!C:C))</f>
        <v>1</v>
      </c>
      <c r="L489">
        <v>1</v>
      </c>
      <c r="M489">
        <f t="shared" si="14"/>
        <v>0.46</v>
      </c>
      <c r="N489" t="s">
        <v>20</v>
      </c>
      <c r="O489">
        <f>LOOKUP(X489,Pays!A:A,Pays!D:D)</f>
        <v>0.2</v>
      </c>
      <c r="P489">
        <v>0.15</v>
      </c>
      <c r="Q489">
        <v>0.46</v>
      </c>
      <c r="U489">
        <v>1</v>
      </c>
      <c r="W489">
        <f>IF(COUNTIF(Pays!A:A,X489)=0,"",LOOKUP(X489,Pays!A:A,Pays!E:E))</f>
        <v>0</v>
      </c>
      <c r="X489" s="8" t="s">
        <v>33</v>
      </c>
    </row>
    <row r="490" spans="1:24" x14ac:dyDescent="0.25">
      <c r="A490" t="s">
        <v>1162</v>
      </c>
      <c r="B490" t="s">
        <v>182</v>
      </c>
      <c r="C490" s="1">
        <f t="shared" si="15"/>
        <v>46174</v>
      </c>
      <c r="F490" t="s">
        <v>155</v>
      </c>
      <c r="G490" t="s">
        <v>703</v>
      </c>
      <c r="H490" t="s">
        <v>1277</v>
      </c>
      <c r="I490" t="s">
        <v>18</v>
      </c>
      <c r="J490" t="str">
        <f>IF(COUNTIF(Pays!A:A,X490)=0,"Pays inconnu",_xlfn.XLOOKUP(X490,Pays!A:A,Pays!B:B))</f>
        <v>NL</v>
      </c>
      <c r="K490">
        <f>IF(COUNTIF(Pays!A:A,X490)=0,"Pays inconnu",_xlfn.XLOOKUP(X490,Pays!A:A,Pays!C:C))</f>
        <v>1</v>
      </c>
      <c r="L490">
        <v>1</v>
      </c>
      <c r="M490">
        <f t="shared" si="14"/>
        <v>0.46</v>
      </c>
      <c r="N490" t="s">
        <v>20</v>
      </c>
      <c r="O490">
        <f>LOOKUP(X490,Pays!A:A,Pays!D:D)</f>
        <v>0.2</v>
      </c>
      <c r="P490">
        <v>0.15</v>
      </c>
      <c r="Q490">
        <v>0.46</v>
      </c>
      <c r="U490">
        <v>1</v>
      </c>
      <c r="W490">
        <f>IF(COUNTIF(Pays!A:A,X490)=0,"",LOOKUP(X490,Pays!A:A,Pays!E:E))</f>
        <v>0</v>
      </c>
      <c r="X490" s="8" t="s">
        <v>31</v>
      </c>
    </row>
    <row r="491" spans="1:24" x14ac:dyDescent="0.25">
      <c r="A491" t="s">
        <v>1162</v>
      </c>
      <c r="B491" t="s">
        <v>182</v>
      </c>
      <c r="C491" s="1">
        <f t="shared" si="15"/>
        <v>46174</v>
      </c>
      <c r="F491" t="s">
        <v>110</v>
      </c>
      <c r="G491" t="s">
        <v>704</v>
      </c>
      <c r="H491" t="s">
        <v>1607</v>
      </c>
      <c r="I491" t="s">
        <v>18</v>
      </c>
      <c r="J491" t="str">
        <f>IF(COUNTIF(Pays!A:A,X491)=0,"Pays inconnu",_xlfn.XLOOKUP(X491,Pays!A:A,Pays!B:B))</f>
        <v>BE</v>
      </c>
      <c r="K491" t="str">
        <f>IF(COUNTIF(Pays!A:A,X491)=0,"Pays inconnu",_xlfn.XLOOKUP(X491,Pays!A:A,Pays!C:C))</f>
        <v>1_BE</v>
      </c>
      <c r="L491">
        <v>1</v>
      </c>
      <c r="M491">
        <f t="shared" si="14"/>
        <v>0.19</v>
      </c>
      <c r="N491" t="s">
        <v>20</v>
      </c>
      <c r="O491">
        <f>LOOKUP(X491,Pays!A:A,Pays!D:D)</f>
        <v>0.2</v>
      </c>
      <c r="P491">
        <v>0.15</v>
      </c>
      <c r="Q491">
        <v>0.19</v>
      </c>
      <c r="U491">
        <v>1</v>
      </c>
      <c r="W491">
        <f>IF(COUNTIF(Pays!A:A,X491)=0,"",LOOKUP(X491,Pays!A:A,Pays!E:E))</f>
        <v>0</v>
      </c>
      <c r="X491" s="8" t="s">
        <v>28</v>
      </c>
    </row>
    <row r="492" spans="1:24" x14ac:dyDescent="0.25">
      <c r="A492" t="s">
        <v>1162</v>
      </c>
      <c r="B492" t="s">
        <v>182</v>
      </c>
      <c r="C492" s="1">
        <f t="shared" si="15"/>
        <v>46174</v>
      </c>
      <c r="F492" t="s">
        <v>155</v>
      </c>
      <c r="G492" t="s">
        <v>705</v>
      </c>
      <c r="H492" t="s">
        <v>210</v>
      </c>
      <c r="I492" t="s">
        <v>18</v>
      </c>
      <c r="J492" t="str">
        <f>IF(COUNTIF(Pays!A:A,X492)=0,"Pays inconnu",_xlfn.XLOOKUP(X492,Pays!A:A,Pays!B:B))</f>
        <v>CH</v>
      </c>
      <c r="K492" t="str">
        <f>IF(COUNTIF(Pays!A:A,X492)=0,"Pays inconnu",_xlfn.XLOOKUP(X492,Pays!A:A,Pays!C:C))</f>
        <v>1_CH</v>
      </c>
      <c r="L492">
        <v>1</v>
      </c>
      <c r="M492">
        <f t="shared" si="14"/>
        <v>0.18</v>
      </c>
      <c r="N492" t="s">
        <v>20</v>
      </c>
      <c r="O492">
        <f>LOOKUP(X492,Pays!A:A,Pays!D:D)</f>
        <v>0</v>
      </c>
      <c r="P492">
        <v>0.15</v>
      </c>
      <c r="Q492">
        <v>0.18</v>
      </c>
      <c r="U492">
        <v>1</v>
      </c>
      <c r="W492">
        <f>IF(COUNTIF(Pays!A:A,X492)=0,"",LOOKUP(X492,Pays!A:A,Pays!E:E))</f>
        <v>0</v>
      </c>
      <c r="X492" s="8" t="s">
        <v>37</v>
      </c>
    </row>
    <row r="493" spans="1:24" x14ac:dyDescent="0.25">
      <c r="A493" t="s">
        <v>1162</v>
      </c>
      <c r="B493" t="s">
        <v>182</v>
      </c>
      <c r="C493" s="1">
        <f t="shared" si="15"/>
        <v>46174</v>
      </c>
      <c r="F493" t="s">
        <v>155</v>
      </c>
      <c r="G493" t="s">
        <v>706</v>
      </c>
      <c r="H493" t="s">
        <v>1608</v>
      </c>
      <c r="I493" t="s">
        <v>18</v>
      </c>
      <c r="J493" t="str">
        <f>IF(COUNTIF(Pays!A:A,X493)=0,"Pays inconnu",_xlfn.XLOOKUP(X493,Pays!A:A,Pays!B:B))</f>
        <v>CH</v>
      </c>
      <c r="K493" t="str">
        <f>IF(COUNTIF(Pays!A:A,X493)=0,"Pays inconnu",_xlfn.XLOOKUP(X493,Pays!A:A,Pays!C:C))</f>
        <v>1_CH</v>
      </c>
      <c r="L493">
        <v>1</v>
      </c>
      <c r="M493">
        <f t="shared" si="14"/>
        <v>0.17</v>
      </c>
      <c r="N493" t="s">
        <v>20</v>
      </c>
      <c r="O493">
        <f>LOOKUP(X493,Pays!A:A,Pays!D:D)</f>
        <v>0</v>
      </c>
      <c r="P493">
        <v>0.15</v>
      </c>
      <c r="Q493">
        <v>0.17</v>
      </c>
      <c r="U493">
        <v>1</v>
      </c>
      <c r="W493">
        <f>IF(COUNTIF(Pays!A:A,X493)=0,"",LOOKUP(X493,Pays!A:A,Pays!E:E))</f>
        <v>0</v>
      </c>
      <c r="X493" s="8" t="s">
        <v>37</v>
      </c>
    </row>
    <row r="494" spans="1:24" x14ac:dyDescent="0.25">
      <c r="A494" t="s">
        <v>1162</v>
      </c>
      <c r="B494" t="s">
        <v>182</v>
      </c>
      <c r="C494" s="1">
        <f t="shared" si="15"/>
        <v>46174</v>
      </c>
      <c r="F494" t="s">
        <v>155</v>
      </c>
      <c r="G494" t="s">
        <v>707</v>
      </c>
      <c r="H494" t="s">
        <v>1609</v>
      </c>
      <c r="I494" t="s">
        <v>18</v>
      </c>
      <c r="J494" t="str">
        <f>IF(COUNTIF(Pays!A:A,X494)=0,"Pays inconnu",_xlfn.XLOOKUP(X494,Pays!A:A,Pays!B:B))</f>
        <v>GB</v>
      </c>
      <c r="K494" t="str">
        <f>IF(COUNTIF(Pays!A:A,X494)=0,"Pays inconnu",_xlfn.XLOOKUP(X494,Pays!A:A,Pays!C:C))</f>
        <v>1_GB</v>
      </c>
      <c r="L494">
        <v>1</v>
      </c>
      <c r="M494">
        <f t="shared" si="14"/>
        <v>0.25</v>
      </c>
      <c r="N494" t="s">
        <v>20</v>
      </c>
      <c r="O494">
        <f>LOOKUP(X494,Pays!A:A,Pays!D:D)</f>
        <v>0</v>
      </c>
      <c r="P494">
        <v>0.15</v>
      </c>
      <c r="Q494">
        <v>0.25</v>
      </c>
      <c r="U494">
        <v>1</v>
      </c>
      <c r="W494">
        <f>IF(COUNTIF(Pays!A:A,X494)=0,"",LOOKUP(X494,Pays!A:A,Pays!E:E))</f>
        <v>0</v>
      </c>
      <c r="X494" s="8" t="s">
        <v>30</v>
      </c>
    </row>
    <row r="495" spans="1:24" x14ac:dyDescent="0.25">
      <c r="A495" t="s">
        <v>1162</v>
      </c>
      <c r="B495" t="s">
        <v>182</v>
      </c>
      <c r="C495" s="1">
        <f t="shared" si="15"/>
        <v>46174</v>
      </c>
      <c r="F495" t="s">
        <v>155</v>
      </c>
      <c r="G495" t="s">
        <v>708</v>
      </c>
      <c r="H495" t="s">
        <v>1610</v>
      </c>
      <c r="I495" t="s">
        <v>18</v>
      </c>
      <c r="J495" t="str">
        <f>IF(COUNTIF(Pays!A:A,X495)=0,"Pays inconnu",_xlfn.XLOOKUP(X495,Pays!A:A,Pays!B:B))</f>
        <v>CH</v>
      </c>
      <c r="K495" t="str">
        <f>IF(COUNTIF(Pays!A:A,X495)=0,"Pays inconnu",_xlfn.XLOOKUP(X495,Pays!A:A,Pays!C:C))</f>
        <v>1_CH</v>
      </c>
      <c r="L495">
        <v>1</v>
      </c>
      <c r="M495">
        <f t="shared" si="14"/>
        <v>0.15</v>
      </c>
      <c r="N495" t="s">
        <v>20</v>
      </c>
      <c r="O495">
        <f>LOOKUP(X495,Pays!A:A,Pays!D:D)</f>
        <v>0</v>
      </c>
      <c r="P495">
        <v>0.15</v>
      </c>
      <c r="Q495">
        <v>0.15</v>
      </c>
      <c r="U495">
        <v>1</v>
      </c>
      <c r="W495">
        <f>IF(COUNTIF(Pays!A:A,X495)=0,"",LOOKUP(X495,Pays!A:A,Pays!E:E))</f>
        <v>0</v>
      </c>
      <c r="X495" s="8" t="s">
        <v>37</v>
      </c>
    </row>
    <row r="496" spans="1:24" x14ac:dyDescent="0.25">
      <c r="A496" t="s">
        <v>1162</v>
      </c>
      <c r="B496" t="s">
        <v>182</v>
      </c>
      <c r="C496" s="1">
        <f t="shared" si="15"/>
        <v>46174</v>
      </c>
      <c r="F496" t="s">
        <v>155</v>
      </c>
      <c r="G496" t="s">
        <v>709</v>
      </c>
      <c r="H496" t="s">
        <v>1302</v>
      </c>
      <c r="I496" t="s">
        <v>18</v>
      </c>
      <c r="J496" t="str">
        <f>IF(COUNTIF(Pays!A:A,X496)=0,"Pays inconnu",_xlfn.XLOOKUP(X496,Pays!A:A,Pays!B:B))</f>
        <v>BE</v>
      </c>
      <c r="K496" t="str">
        <f>IF(COUNTIF(Pays!A:A,X496)=0,"Pays inconnu",_xlfn.XLOOKUP(X496,Pays!A:A,Pays!C:C))</f>
        <v>1_BE</v>
      </c>
      <c r="L496">
        <v>1</v>
      </c>
      <c r="M496">
        <f t="shared" si="14"/>
        <v>0.19</v>
      </c>
      <c r="N496" t="s">
        <v>20</v>
      </c>
      <c r="O496">
        <f>LOOKUP(X496,Pays!A:A,Pays!D:D)</f>
        <v>0.2</v>
      </c>
      <c r="P496">
        <v>0.15</v>
      </c>
      <c r="Q496">
        <v>0.19</v>
      </c>
      <c r="U496">
        <v>1</v>
      </c>
      <c r="W496">
        <f>IF(COUNTIF(Pays!A:A,X496)=0,"",LOOKUP(X496,Pays!A:A,Pays!E:E))</f>
        <v>0</v>
      </c>
      <c r="X496" s="8" t="s">
        <v>28</v>
      </c>
    </row>
    <row r="497" spans="1:24" x14ac:dyDescent="0.25">
      <c r="A497" t="s">
        <v>1162</v>
      </c>
      <c r="B497" t="s">
        <v>182</v>
      </c>
      <c r="C497" s="1">
        <f t="shared" si="15"/>
        <v>46174</v>
      </c>
      <c r="F497" t="s">
        <v>155</v>
      </c>
      <c r="G497" t="s">
        <v>710</v>
      </c>
      <c r="H497" t="s">
        <v>1611</v>
      </c>
      <c r="I497" t="s">
        <v>18</v>
      </c>
      <c r="J497" t="str">
        <f>IF(COUNTIF(Pays!A:A,X497)=0,"Pays inconnu",_xlfn.XLOOKUP(X497,Pays!A:A,Pays!B:B))</f>
        <v>CH</v>
      </c>
      <c r="K497" t="str">
        <f>IF(COUNTIF(Pays!A:A,X497)=0,"Pays inconnu",_xlfn.XLOOKUP(X497,Pays!A:A,Pays!C:C))</f>
        <v>1_CH</v>
      </c>
      <c r="L497">
        <v>1</v>
      </c>
      <c r="M497">
        <f t="shared" si="14"/>
        <v>0.15</v>
      </c>
      <c r="N497" t="s">
        <v>20</v>
      </c>
      <c r="O497">
        <f>LOOKUP(X497,Pays!A:A,Pays!D:D)</f>
        <v>0</v>
      </c>
      <c r="P497">
        <v>0.15</v>
      </c>
      <c r="Q497">
        <v>0.09</v>
      </c>
      <c r="U497">
        <v>1</v>
      </c>
      <c r="W497">
        <f>IF(COUNTIF(Pays!A:A,X497)=0,"",LOOKUP(X497,Pays!A:A,Pays!E:E))</f>
        <v>0</v>
      </c>
      <c r="X497" s="8" t="s">
        <v>37</v>
      </c>
    </row>
    <row r="498" spans="1:24" x14ac:dyDescent="0.25">
      <c r="A498" t="s">
        <v>1162</v>
      </c>
      <c r="B498" t="s">
        <v>182</v>
      </c>
      <c r="C498" s="1">
        <f t="shared" si="15"/>
        <v>46174</v>
      </c>
      <c r="F498" t="s">
        <v>155</v>
      </c>
      <c r="G498" t="s">
        <v>711</v>
      </c>
      <c r="H498" t="s">
        <v>211</v>
      </c>
      <c r="I498" t="s">
        <v>18</v>
      </c>
      <c r="J498" t="str">
        <f>IF(COUNTIF(Pays!A:A,X498)=0,"Pays inconnu",_xlfn.XLOOKUP(X498,Pays!A:A,Pays!B:B))</f>
        <v>GB</v>
      </c>
      <c r="K498" t="str">
        <f>IF(COUNTIF(Pays!A:A,X498)=0,"Pays inconnu",_xlfn.XLOOKUP(X498,Pays!A:A,Pays!C:C))</f>
        <v>1_GB</v>
      </c>
      <c r="L498">
        <v>1</v>
      </c>
      <c r="M498">
        <f t="shared" si="14"/>
        <v>0.15</v>
      </c>
      <c r="N498" t="s">
        <v>20</v>
      </c>
      <c r="O498">
        <f>LOOKUP(X498,Pays!A:A,Pays!D:D)</f>
        <v>0</v>
      </c>
      <c r="P498">
        <v>0.15</v>
      </c>
      <c r="Q498">
        <v>7.0000000000000007E-2</v>
      </c>
      <c r="U498">
        <v>1</v>
      </c>
      <c r="W498">
        <f>IF(COUNTIF(Pays!A:A,X498)=0,"",LOOKUP(X498,Pays!A:A,Pays!E:E))</f>
        <v>0</v>
      </c>
      <c r="X498" s="8" t="s">
        <v>30</v>
      </c>
    </row>
    <row r="499" spans="1:24" x14ac:dyDescent="0.25">
      <c r="A499" t="s">
        <v>1162</v>
      </c>
      <c r="B499" t="s">
        <v>182</v>
      </c>
      <c r="C499" s="1">
        <f t="shared" si="15"/>
        <v>46174</v>
      </c>
      <c r="F499" t="s">
        <v>155</v>
      </c>
      <c r="G499" t="s">
        <v>712</v>
      </c>
      <c r="H499" t="s">
        <v>1612</v>
      </c>
      <c r="I499" t="s">
        <v>18</v>
      </c>
      <c r="J499" t="str">
        <f>IF(COUNTIF(Pays!A:A,X499)=0,"Pays inconnu",_xlfn.XLOOKUP(X499,Pays!A:A,Pays!B:B))</f>
        <v>IE</v>
      </c>
      <c r="K499">
        <f>IF(COUNTIF(Pays!A:A,X499)=0,"Pays inconnu",_xlfn.XLOOKUP(X499,Pays!A:A,Pays!C:C))</f>
        <v>1</v>
      </c>
      <c r="L499">
        <v>1</v>
      </c>
      <c r="M499">
        <f t="shared" si="14"/>
        <v>0.63</v>
      </c>
      <c r="N499" t="s">
        <v>20</v>
      </c>
      <c r="O499">
        <f>LOOKUP(X499,Pays!A:A,Pays!D:D)</f>
        <v>0.2</v>
      </c>
      <c r="P499">
        <v>0.15</v>
      </c>
      <c r="Q499">
        <v>0.63</v>
      </c>
      <c r="U499">
        <v>1</v>
      </c>
      <c r="W499">
        <f>IF(COUNTIF(Pays!A:A,X499)=0,"",LOOKUP(X499,Pays!A:A,Pays!E:E))</f>
        <v>0</v>
      </c>
      <c r="X499" s="8" t="s">
        <v>36</v>
      </c>
    </row>
    <row r="500" spans="1:24" x14ac:dyDescent="0.25">
      <c r="A500" t="s">
        <v>1162</v>
      </c>
      <c r="B500" t="s">
        <v>182</v>
      </c>
      <c r="C500" s="1">
        <f t="shared" si="15"/>
        <v>46174</v>
      </c>
      <c r="F500" t="s">
        <v>155</v>
      </c>
      <c r="G500" t="s">
        <v>713</v>
      </c>
      <c r="H500" t="s">
        <v>1613</v>
      </c>
      <c r="I500" t="s">
        <v>18</v>
      </c>
      <c r="J500" t="str">
        <f>IF(COUNTIF(Pays!A:A,X500)=0,"Pays inconnu",_xlfn.XLOOKUP(X500,Pays!A:A,Pays!B:B))</f>
        <v>IT</v>
      </c>
      <c r="K500">
        <f>IF(COUNTIF(Pays!A:A,X500)=0,"Pays inconnu",_xlfn.XLOOKUP(X500,Pays!A:A,Pays!C:C))</f>
        <v>1</v>
      </c>
      <c r="L500">
        <v>1</v>
      </c>
      <c r="M500">
        <f t="shared" si="14"/>
        <v>0.32</v>
      </c>
      <c r="N500" t="s">
        <v>20</v>
      </c>
      <c r="O500">
        <f>LOOKUP(X500,Pays!A:A,Pays!D:D)</f>
        <v>0.2</v>
      </c>
      <c r="P500">
        <v>0.15</v>
      </c>
      <c r="Q500">
        <v>0.32</v>
      </c>
      <c r="U500">
        <v>1</v>
      </c>
      <c r="W500">
        <f>IF(COUNTIF(Pays!A:A,X500)=0,"",LOOKUP(X500,Pays!A:A,Pays!E:E))</f>
        <v>0</v>
      </c>
      <c r="X500" s="8" t="s">
        <v>33</v>
      </c>
    </row>
    <row r="501" spans="1:24" x14ac:dyDescent="0.25">
      <c r="A501" t="s">
        <v>1162</v>
      </c>
      <c r="B501" t="s">
        <v>182</v>
      </c>
      <c r="C501" s="1">
        <f t="shared" si="15"/>
        <v>46174</v>
      </c>
      <c r="F501" t="s">
        <v>110</v>
      </c>
      <c r="G501" t="s">
        <v>714</v>
      </c>
      <c r="H501" t="s">
        <v>1614</v>
      </c>
      <c r="I501" t="s">
        <v>18</v>
      </c>
      <c r="J501" t="str">
        <f>IF(COUNTIF(Pays!A:A,X501)=0,"Pays inconnu",_xlfn.XLOOKUP(X501,Pays!A:A,Pays!B:B))</f>
        <v>GB</v>
      </c>
      <c r="K501" t="str">
        <f>IF(COUNTIF(Pays!A:A,X501)=0,"Pays inconnu",_xlfn.XLOOKUP(X501,Pays!A:A,Pays!C:C))</f>
        <v>1_GB</v>
      </c>
      <c r="L501">
        <v>1</v>
      </c>
      <c r="M501">
        <f t="shared" si="14"/>
        <v>0.67</v>
      </c>
      <c r="N501" t="s">
        <v>20</v>
      </c>
      <c r="O501">
        <f>LOOKUP(X501,Pays!A:A,Pays!D:D)</f>
        <v>0</v>
      </c>
      <c r="P501">
        <v>0.15</v>
      </c>
      <c r="Q501">
        <v>0.67</v>
      </c>
      <c r="U501">
        <v>1</v>
      </c>
      <c r="W501">
        <f>IF(COUNTIF(Pays!A:A,X501)=0,"",LOOKUP(X501,Pays!A:A,Pays!E:E))</f>
        <v>0</v>
      </c>
      <c r="X501" s="8" t="s">
        <v>30</v>
      </c>
    </row>
    <row r="502" spans="1:24" x14ac:dyDescent="0.25">
      <c r="A502" t="s">
        <v>1162</v>
      </c>
      <c r="B502" t="s">
        <v>182</v>
      </c>
      <c r="C502" s="1">
        <f t="shared" si="15"/>
        <v>46174</v>
      </c>
      <c r="F502" t="s">
        <v>155</v>
      </c>
      <c r="G502" t="s">
        <v>715</v>
      </c>
      <c r="H502" t="s">
        <v>1615</v>
      </c>
      <c r="I502" t="s">
        <v>18</v>
      </c>
      <c r="J502" t="str">
        <f>IF(COUNTIF(Pays!A:A,X502)=0,"Pays inconnu",_xlfn.XLOOKUP(X502,Pays!A:A,Pays!B:B))</f>
        <v>DE</v>
      </c>
      <c r="K502">
        <f>IF(COUNTIF(Pays!A:A,X502)=0,"Pays inconnu",_xlfn.XLOOKUP(X502,Pays!A:A,Pays!C:C))</f>
        <v>1</v>
      </c>
      <c r="L502">
        <v>1</v>
      </c>
      <c r="M502">
        <f t="shared" si="14"/>
        <v>0.71</v>
      </c>
      <c r="N502" t="s">
        <v>20</v>
      </c>
      <c r="O502">
        <f>LOOKUP(X502,Pays!A:A,Pays!D:D)</f>
        <v>0.2</v>
      </c>
      <c r="P502">
        <v>0.15</v>
      </c>
      <c r="Q502">
        <v>0.71</v>
      </c>
      <c r="U502">
        <v>1</v>
      </c>
      <c r="W502">
        <f>IF(COUNTIF(Pays!A:A,X502)=0,"",LOOKUP(X502,Pays!A:A,Pays!E:E))</f>
        <v>0</v>
      </c>
      <c r="X502" s="8" t="s">
        <v>35</v>
      </c>
    </row>
    <row r="503" spans="1:24" x14ac:dyDescent="0.25">
      <c r="A503" t="s">
        <v>1162</v>
      </c>
      <c r="B503" t="s">
        <v>182</v>
      </c>
      <c r="C503" s="1">
        <f t="shared" si="15"/>
        <v>46174</v>
      </c>
      <c r="F503" t="s">
        <v>155</v>
      </c>
      <c r="G503" t="s">
        <v>716</v>
      </c>
      <c r="H503" t="s">
        <v>1616</v>
      </c>
      <c r="I503" t="s">
        <v>18</v>
      </c>
      <c r="J503" t="str">
        <f>IF(COUNTIF(Pays!A:A,X503)=0,"Pays inconnu",_xlfn.XLOOKUP(X503,Pays!A:A,Pays!B:B))</f>
        <v>SK</v>
      </c>
      <c r="K503">
        <f>IF(COUNTIF(Pays!A:A,X503)=0,"Pays inconnu",_xlfn.XLOOKUP(X503,Pays!A:A,Pays!C:C))</f>
        <v>1</v>
      </c>
      <c r="L503">
        <v>1</v>
      </c>
      <c r="M503">
        <f t="shared" si="14"/>
        <v>0.28999999999999998</v>
      </c>
      <c r="N503" t="s">
        <v>20</v>
      </c>
      <c r="O503">
        <f>LOOKUP(X503,Pays!A:A,Pays!D:D)</f>
        <v>0.2</v>
      </c>
      <c r="P503">
        <v>0.15</v>
      </c>
      <c r="Q503">
        <v>0.28999999999999998</v>
      </c>
      <c r="U503">
        <v>1</v>
      </c>
      <c r="W503">
        <f>IF(COUNTIF(Pays!A:A,X503)=0,"",LOOKUP(X503,Pays!A:A,Pays!E:E))</f>
        <v>0</v>
      </c>
      <c r="X503" s="8" t="s">
        <v>88</v>
      </c>
    </row>
    <row r="504" spans="1:24" x14ac:dyDescent="0.25">
      <c r="A504" t="s">
        <v>1162</v>
      </c>
      <c r="B504" t="s">
        <v>182</v>
      </c>
      <c r="C504" s="1">
        <f t="shared" si="15"/>
        <v>46174</v>
      </c>
      <c r="F504" t="s">
        <v>155</v>
      </c>
      <c r="G504" t="s">
        <v>717</v>
      </c>
      <c r="H504" t="s">
        <v>1617</v>
      </c>
      <c r="I504" t="s">
        <v>18</v>
      </c>
      <c r="J504" t="str">
        <f>IF(COUNTIF(Pays!A:A,X504)=0,"Pays inconnu",_xlfn.XLOOKUP(X504,Pays!A:A,Pays!B:B))</f>
        <v>GB</v>
      </c>
      <c r="K504" t="str">
        <f>IF(COUNTIF(Pays!A:A,X504)=0,"Pays inconnu",_xlfn.XLOOKUP(X504,Pays!A:A,Pays!C:C))</f>
        <v>1_GB</v>
      </c>
      <c r="L504">
        <v>1</v>
      </c>
      <c r="M504">
        <f t="shared" si="14"/>
        <v>0.46</v>
      </c>
      <c r="N504" t="s">
        <v>20</v>
      </c>
      <c r="O504">
        <f>LOOKUP(X504,Pays!A:A,Pays!D:D)</f>
        <v>0</v>
      </c>
      <c r="P504">
        <v>0.46</v>
      </c>
      <c r="Q504">
        <v>0.46</v>
      </c>
      <c r="U504">
        <v>1</v>
      </c>
      <c r="W504">
        <f>IF(COUNTIF(Pays!A:A,X504)=0,"",LOOKUP(X504,Pays!A:A,Pays!E:E))</f>
        <v>0</v>
      </c>
      <c r="X504" s="8" t="s">
        <v>30</v>
      </c>
    </row>
    <row r="505" spans="1:24" x14ac:dyDescent="0.25">
      <c r="A505" t="s">
        <v>1162</v>
      </c>
      <c r="B505" t="s">
        <v>182</v>
      </c>
      <c r="C505" s="1">
        <f t="shared" si="15"/>
        <v>46174</v>
      </c>
      <c r="F505" t="s">
        <v>155</v>
      </c>
      <c r="G505" t="s">
        <v>718</v>
      </c>
      <c r="H505" t="s">
        <v>1618</v>
      </c>
      <c r="I505" t="s">
        <v>18</v>
      </c>
      <c r="J505" t="str">
        <f>IF(COUNTIF(Pays!A:A,X505)=0,"Pays inconnu",_xlfn.XLOOKUP(X505,Pays!A:A,Pays!B:B))</f>
        <v>ES</v>
      </c>
      <c r="K505">
        <f>IF(COUNTIF(Pays!A:A,X505)=0,"Pays inconnu",_xlfn.XLOOKUP(X505,Pays!A:A,Pays!C:C))</f>
        <v>1</v>
      </c>
      <c r="L505">
        <v>1</v>
      </c>
      <c r="M505">
        <f t="shared" si="14"/>
        <v>0.3</v>
      </c>
      <c r="N505" t="s">
        <v>20</v>
      </c>
      <c r="O505">
        <f>LOOKUP(X505,Pays!A:A,Pays!D:D)</f>
        <v>0.2</v>
      </c>
      <c r="P505">
        <v>0.15</v>
      </c>
      <c r="Q505">
        <v>0.3</v>
      </c>
      <c r="U505">
        <v>1</v>
      </c>
      <c r="W505">
        <f>IF(COUNTIF(Pays!A:A,X505)=0,"",LOOKUP(X505,Pays!A:A,Pays!E:E))</f>
        <v>0</v>
      </c>
      <c r="X505" s="8" t="s">
        <v>29</v>
      </c>
    </row>
    <row r="506" spans="1:24" x14ac:dyDescent="0.25">
      <c r="A506" t="s">
        <v>1162</v>
      </c>
      <c r="B506" t="s">
        <v>182</v>
      </c>
      <c r="C506" s="1">
        <f t="shared" si="15"/>
        <v>46174</v>
      </c>
      <c r="F506" t="s">
        <v>155</v>
      </c>
      <c r="G506" t="s">
        <v>719</v>
      </c>
      <c r="H506" t="s">
        <v>1619</v>
      </c>
      <c r="I506" t="s">
        <v>18</v>
      </c>
      <c r="J506" t="str">
        <f>IF(COUNTIF(Pays!A:A,X506)=0,"Pays inconnu",_xlfn.XLOOKUP(X506,Pays!A:A,Pays!B:B))</f>
        <v>CZ</v>
      </c>
      <c r="K506">
        <f>IF(COUNTIF(Pays!A:A,X506)=0,"Pays inconnu",_xlfn.XLOOKUP(X506,Pays!A:A,Pays!C:C))</f>
        <v>1</v>
      </c>
      <c r="L506">
        <v>1</v>
      </c>
      <c r="M506">
        <f t="shared" si="14"/>
        <v>0.33</v>
      </c>
      <c r="N506" t="s">
        <v>20</v>
      </c>
      <c r="O506">
        <f>LOOKUP(X506,Pays!A:A,Pays!D:D)</f>
        <v>0.2</v>
      </c>
      <c r="P506">
        <v>0.15</v>
      </c>
      <c r="Q506">
        <v>0.33</v>
      </c>
      <c r="U506">
        <v>1</v>
      </c>
      <c r="W506">
        <f>IF(COUNTIF(Pays!A:A,X506)=0,"",LOOKUP(X506,Pays!A:A,Pays!E:E))</f>
        <v>0</v>
      </c>
      <c r="X506" s="8" t="s">
        <v>87</v>
      </c>
    </row>
    <row r="507" spans="1:24" x14ac:dyDescent="0.25">
      <c r="A507" t="s">
        <v>1162</v>
      </c>
      <c r="B507" t="s">
        <v>182</v>
      </c>
      <c r="C507" s="1">
        <f t="shared" si="15"/>
        <v>46174</v>
      </c>
      <c r="F507" t="s">
        <v>155</v>
      </c>
      <c r="G507" t="s">
        <v>720</v>
      </c>
      <c r="H507" t="s">
        <v>1620</v>
      </c>
      <c r="I507" t="s">
        <v>18</v>
      </c>
      <c r="J507" t="str">
        <f>IF(COUNTIF(Pays!A:A,X507)=0,"Pays inconnu",_xlfn.XLOOKUP(X507,Pays!A:A,Pays!B:B))</f>
        <v>CZ</v>
      </c>
      <c r="K507">
        <f>IF(COUNTIF(Pays!A:A,X507)=0,"Pays inconnu",_xlfn.XLOOKUP(X507,Pays!A:A,Pays!C:C))</f>
        <v>1</v>
      </c>
      <c r="L507">
        <v>1</v>
      </c>
      <c r="M507">
        <f t="shared" si="14"/>
        <v>0.52</v>
      </c>
      <c r="N507" t="s">
        <v>20</v>
      </c>
      <c r="O507">
        <f>LOOKUP(X507,Pays!A:A,Pays!D:D)</f>
        <v>0.2</v>
      </c>
      <c r="P507">
        <v>0.52</v>
      </c>
      <c r="Q507">
        <v>0.52</v>
      </c>
      <c r="U507">
        <v>1</v>
      </c>
      <c r="W507">
        <f>IF(COUNTIF(Pays!A:A,X507)=0,"",LOOKUP(X507,Pays!A:A,Pays!E:E))</f>
        <v>0</v>
      </c>
      <c r="X507" s="8" t="s">
        <v>87</v>
      </c>
    </row>
    <row r="508" spans="1:24" x14ac:dyDescent="0.25">
      <c r="A508" t="s">
        <v>1162</v>
      </c>
      <c r="B508" t="s">
        <v>182</v>
      </c>
      <c r="C508" s="1">
        <f t="shared" si="15"/>
        <v>46174</v>
      </c>
      <c r="F508" t="s">
        <v>155</v>
      </c>
      <c r="G508" t="s">
        <v>721</v>
      </c>
      <c r="H508" t="s">
        <v>1621</v>
      </c>
      <c r="I508" t="s">
        <v>18</v>
      </c>
      <c r="J508" t="str">
        <f>IF(COUNTIF(Pays!A:A,X508)=0,"Pays inconnu",_xlfn.XLOOKUP(X508,Pays!A:A,Pays!B:B))</f>
        <v>ES</v>
      </c>
      <c r="K508">
        <f>IF(COUNTIF(Pays!A:A,X508)=0,"Pays inconnu",_xlfn.XLOOKUP(X508,Pays!A:A,Pays!C:C))</f>
        <v>1</v>
      </c>
      <c r="L508">
        <v>1</v>
      </c>
      <c r="M508">
        <f t="shared" si="14"/>
        <v>0.86</v>
      </c>
      <c r="N508" t="s">
        <v>20</v>
      </c>
      <c r="O508">
        <f>LOOKUP(X508,Pays!A:A,Pays!D:D)</f>
        <v>0.2</v>
      </c>
      <c r="P508">
        <v>0.15</v>
      </c>
      <c r="Q508">
        <v>0.86</v>
      </c>
      <c r="U508">
        <v>1</v>
      </c>
      <c r="W508">
        <f>IF(COUNTIF(Pays!A:A,X508)=0,"",LOOKUP(X508,Pays!A:A,Pays!E:E))</f>
        <v>0</v>
      </c>
      <c r="X508" s="8" t="s">
        <v>29</v>
      </c>
    </row>
    <row r="509" spans="1:24" x14ac:dyDescent="0.25">
      <c r="A509" t="s">
        <v>1162</v>
      </c>
      <c r="B509" t="s">
        <v>182</v>
      </c>
      <c r="C509" s="1">
        <f t="shared" si="15"/>
        <v>46174</v>
      </c>
      <c r="F509" t="s">
        <v>110</v>
      </c>
      <c r="G509" t="s">
        <v>722</v>
      </c>
      <c r="H509" t="s">
        <v>1622</v>
      </c>
      <c r="I509" t="s">
        <v>18</v>
      </c>
      <c r="J509" t="str">
        <f>IF(COUNTIF(Pays!A:A,X509)=0,"Pays inconnu",_xlfn.XLOOKUP(X509,Pays!A:A,Pays!B:B))</f>
        <v>BE</v>
      </c>
      <c r="K509" t="str">
        <f>IF(COUNTIF(Pays!A:A,X509)=0,"Pays inconnu",_xlfn.XLOOKUP(X509,Pays!A:A,Pays!C:C))</f>
        <v>1_BE</v>
      </c>
      <c r="L509">
        <v>1</v>
      </c>
      <c r="M509">
        <f t="shared" si="14"/>
        <v>0.63</v>
      </c>
      <c r="N509" t="s">
        <v>20</v>
      </c>
      <c r="O509">
        <f>LOOKUP(X509,Pays!A:A,Pays!D:D)</f>
        <v>0.2</v>
      </c>
      <c r="P509">
        <v>0.63</v>
      </c>
      <c r="Q509">
        <v>0.13</v>
      </c>
      <c r="U509">
        <v>1</v>
      </c>
      <c r="W509">
        <f>IF(COUNTIF(Pays!A:A,X509)=0,"",LOOKUP(X509,Pays!A:A,Pays!E:E))</f>
        <v>0</v>
      </c>
      <c r="X509" s="8" t="s">
        <v>28</v>
      </c>
    </row>
    <row r="510" spans="1:24" x14ac:dyDescent="0.25">
      <c r="A510" t="s">
        <v>1162</v>
      </c>
      <c r="B510" t="s">
        <v>182</v>
      </c>
      <c r="C510" s="1">
        <f t="shared" si="15"/>
        <v>46174</v>
      </c>
      <c r="F510" t="s">
        <v>155</v>
      </c>
      <c r="G510" t="s">
        <v>723</v>
      </c>
      <c r="H510" t="s">
        <v>1623</v>
      </c>
      <c r="I510" t="s">
        <v>18</v>
      </c>
      <c r="J510" t="str">
        <f>IF(COUNTIF(Pays!A:A,X510)=0,"Pays inconnu",_xlfn.XLOOKUP(X510,Pays!A:A,Pays!B:B))</f>
        <v>CH</v>
      </c>
      <c r="K510" t="str">
        <f>IF(COUNTIF(Pays!A:A,X510)=0,"Pays inconnu",_xlfn.XLOOKUP(X510,Pays!A:A,Pays!C:C))</f>
        <v>1_CH</v>
      </c>
      <c r="L510">
        <v>1</v>
      </c>
      <c r="M510">
        <f t="shared" si="14"/>
        <v>0.15</v>
      </c>
      <c r="N510" t="s">
        <v>20</v>
      </c>
      <c r="O510">
        <f>LOOKUP(X510,Pays!A:A,Pays!D:D)</f>
        <v>0</v>
      </c>
      <c r="P510">
        <v>0.15</v>
      </c>
      <c r="Q510">
        <v>0.01</v>
      </c>
      <c r="U510">
        <v>1</v>
      </c>
      <c r="W510">
        <f>IF(COUNTIF(Pays!A:A,X510)=0,"",LOOKUP(X510,Pays!A:A,Pays!E:E))</f>
        <v>0</v>
      </c>
      <c r="X510" s="8" t="s">
        <v>37</v>
      </c>
    </row>
    <row r="511" spans="1:24" x14ac:dyDescent="0.25">
      <c r="A511" t="s">
        <v>1163</v>
      </c>
      <c r="B511" t="s">
        <v>182</v>
      </c>
      <c r="C511" s="1">
        <f t="shared" si="15"/>
        <v>46174</v>
      </c>
      <c r="F511" t="s">
        <v>155</v>
      </c>
      <c r="G511" t="s">
        <v>724</v>
      </c>
      <c r="H511" t="s">
        <v>1624</v>
      </c>
      <c r="I511" t="s">
        <v>18</v>
      </c>
      <c r="J511" t="str">
        <f>IF(COUNTIF(Pays!A:A,X511)=0,"Pays inconnu",_xlfn.XLOOKUP(X511,Pays!A:A,Pays!B:B))</f>
        <v>LU</v>
      </c>
      <c r="K511">
        <f>IF(COUNTIF(Pays!A:A,X511)=0,"Pays inconnu",_xlfn.XLOOKUP(X511,Pays!A:A,Pays!C:C))</f>
        <v>1</v>
      </c>
      <c r="L511">
        <v>1</v>
      </c>
      <c r="M511">
        <f t="shared" si="14"/>
        <v>0.3</v>
      </c>
      <c r="N511" t="s">
        <v>20</v>
      </c>
      <c r="O511">
        <f>LOOKUP(X511,Pays!A:A,Pays!D:D)</f>
        <v>0.2</v>
      </c>
      <c r="P511">
        <v>0.15</v>
      </c>
      <c r="Q511">
        <v>0.3</v>
      </c>
      <c r="U511">
        <v>1</v>
      </c>
      <c r="W511">
        <f>IF(COUNTIF(Pays!A:A,X511)=0,"",LOOKUP(X511,Pays!A:A,Pays!E:E))</f>
        <v>0</v>
      </c>
      <c r="X511" s="8" t="s">
        <v>32</v>
      </c>
    </row>
    <row r="512" spans="1:24" x14ac:dyDescent="0.25">
      <c r="A512" t="s">
        <v>1163</v>
      </c>
      <c r="B512" t="s">
        <v>182</v>
      </c>
      <c r="C512" s="1">
        <f t="shared" si="15"/>
        <v>46174</v>
      </c>
      <c r="F512" t="s">
        <v>155</v>
      </c>
      <c r="G512" t="s">
        <v>725</v>
      </c>
      <c r="H512" t="s">
        <v>196</v>
      </c>
      <c r="I512" t="s">
        <v>18</v>
      </c>
      <c r="J512" t="str">
        <f>IF(COUNTIF(Pays!A:A,X512)=0,"Pays inconnu",_xlfn.XLOOKUP(X512,Pays!A:A,Pays!B:B))</f>
        <v>AT</v>
      </c>
      <c r="K512">
        <f>IF(COUNTIF(Pays!A:A,X512)=0,"Pays inconnu",_xlfn.XLOOKUP(X512,Pays!A:A,Pays!C:C))</f>
        <v>1</v>
      </c>
      <c r="L512">
        <v>1</v>
      </c>
      <c r="M512">
        <f t="shared" si="14"/>
        <v>0.42</v>
      </c>
      <c r="N512" t="s">
        <v>20</v>
      </c>
      <c r="O512">
        <f>LOOKUP(X512,Pays!A:A,Pays!D:D)</f>
        <v>0.2</v>
      </c>
      <c r="P512">
        <v>0.15</v>
      </c>
      <c r="Q512">
        <v>0.42</v>
      </c>
      <c r="U512">
        <v>1</v>
      </c>
      <c r="W512">
        <f>IF(COUNTIF(Pays!A:A,X512)=0,"",LOOKUP(X512,Pays!A:A,Pays!E:E))</f>
        <v>0</v>
      </c>
      <c r="X512" s="8" t="s">
        <v>43</v>
      </c>
    </row>
    <row r="513" spans="1:24" x14ac:dyDescent="0.25">
      <c r="A513" t="s">
        <v>1163</v>
      </c>
      <c r="B513" t="s">
        <v>182</v>
      </c>
      <c r="C513" s="1">
        <f t="shared" si="15"/>
        <v>46174</v>
      </c>
      <c r="F513" t="s">
        <v>155</v>
      </c>
      <c r="G513" t="s">
        <v>726</v>
      </c>
      <c r="H513" t="s">
        <v>1408</v>
      </c>
      <c r="I513" t="s">
        <v>18</v>
      </c>
      <c r="J513" t="str">
        <f>IF(COUNTIF(Pays!A:A,X513)=0,"Pays inconnu",_xlfn.XLOOKUP(X513,Pays!A:A,Pays!B:B))</f>
        <v>GB</v>
      </c>
      <c r="K513" t="str">
        <f>IF(COUNTIF(Pays!A:A,X513)=0,"Pays inconnu",_xlfn.XLOOKUP(X513,Pays!A:A,Pays!C:C))</f>
        <v>1_GB</v>
      </c>
      <c r="L513">
        <v>1</v>
      </c>
      <c r="M513">
        <f t="shared" si="14"/>
        <v>0.72</v>
      </c>
      <c r="N513" t="s">
        <v>20</v>
      </c>
      <c r="O513">
        <f>LOOKUP(X513,Pays!A:A,Pays!D:D)</f>
        <v>0</v>
      </c>
      <c r="P513">
        <v>0.72</v>
      </c>
      <c r="Q513">
        <v>0.72</v>
      </c>
      <c r="U513">
        <v>1</v>
      </c>
      <c r="W513">
        <f>IF(COUNTIF(Pays!A:A,X513)=0,"",LOOKUP(X513,Pays!A:A,Pays!E:E))</f>
        <v>0</v>
      </c>
      <c r="X513" s="8" t="s">
        <v>30</v>
      </c>
    </row>
    <row r="514" spans="1:24" x14ac:dyDescent="0.25">
      <c r="A514" t="s">
        <v>1163</v>
      </c>
      <c r="B514" t="s">
        <v>182</v>
      </c>
      <c r="C514" s="1">
        <f t="shared" si="15"/>
        <v>46174</v>
      </c>
      <c r="F514" t="s">
        <v>155</v>
      </c>
      <c r="G514" t="s">
        <v>727</v>
      </c>
      <c r="H514" t="s">
        <v>199</v>
      </c>
      <c r="I514" t="s">
        <v>18</v>
      </c>
      <c r="J514" t="str">
        <f>IF(COUNTIF(Pays!A:A,X514)=0,"Pays inconnu",_xlfn.XLOOKUP(X514,Pays!A:A,Pays!B:B))</f>
        <v>PT</v>
      </c>
      <c r="K514">
        <f>IF(COUNTIF(Pays!A:A,X514)=0,"Pays inconnu",_xlfn.XLOOKUP(X514,Pays!A:A,Pays!C:C))</f>
        <v>1</v>
      </c>
      <c r="L514">
        <v>1</v>
      </c>
      <c r="M514">
        <f t="shared" si="14"/>
        <v>0.68</v>
      </c>
      <c r="N514" t="s">
        <v>20</v>
      </c>
      <c r="O514">
        <f>LOOKUP(X514,Pays!A:A,Pays!D:D)</f>
        <v>0.2</v>
      </c>
      <c r="P514">
        <v>0.15</v>
      </c>
      <c r="Q514">
        <v>0.68</v>
      </c>
      <c r="U514">
        <v>1</v>
      </c>
      <c r="W514">
        <f>IF(COUNTIF(Pays!A:A,X514)=0,"",LOOKUP(X514,Pays!A:A,Pays!E:E))</f>
        <v>0</v>
      </c>
      <c r="X514" s="8" t="s">
        <v>34</v>
      </c>
    </row>
    <row r="515" spans="1:24" x14ac:dyDescent="0.25">
      <c r="A515" t="s">
        <v>1163</v>
      </c>
      <c r="B515" t="s">
        <v>182</v>
      </c>
      <c r="C515" s="1">
        <f t="shared" si="15"/>
        <v>46174</v>
      </c>
      <c r="F515" t="s">
        <v>155</v>
      </c>
      <c r="G515" t="s">
        <v>728</v>
      </c>
      <c r="H515" t="s">
        <v>1625</v>
      </c>
      <c r="I515" t="s">
        <v>18</v>
      </c>
      <c r="J515" t="str">
        <f>IF(COUNTIF(Pays!A:A,X515)=0,"Pays inconnu",_xlfn.XLOOKUP(X515,Pays!A:A,Pays!B:B))</f>
        <v>CZ</v>
      </c>
      <c r="K515">
        <f>IF(COUNTIF(Pays!A:A,X515)=0,"Pays inconnu",_xlfn.XLOOKUP(X515,Pays!A:A,Pays!C:C))</f>
        <v>1</v>
      </c>
      <c r="L515">
        <v>1</v>
      </c>
      <c r="M515">
        <f t="shared" ref="M515:M578" si="16">ROUND(MAX(P515:Q515),2)</f>
        <v>0.38</v>
      </c>
      <c r="N515" t="s">
        <v>20</v>
      </c>
      <c r="O515">
        <f>LOOKUP(X515,Pays!A:A,Pays!D:D)</f>
        <v>0.2</v>
      </c>
      <c r="P515">
        <v>0.15</v>
      </c>
      <c r="Q515">
        <v>0.38</v>
      </c>
      <c r="U515">
        <v>1</v>
      </c>
      <c r="W515">
        <f>IF(COUNTIF(Pays!A:A,X515)=0,"",LOOKUP(X515,Pays!A:A,Pays!E:E))</f>
        <v>0</v>
      </c>
      <c r="X515" s="8" t="s">
        <v>87</v>
      </c>
    </row>
    <row r="516" spans="1:24" x14ac:dyDescent="0.25">
      <c r="A516" t="s">
        <v>1163</v>
      </c>
      <c r="B516" t="s">
        <v>182</v>
      </c>
      <c r="C516" s="1">
        <f t="shared" ref="C516:C579" si="17">C515</f>
        <v>46174</v>
      </c>
      <c r="F516" t="s">
        <v>155</v>
      </c>
      <c r="G516" t="s">
        <v>729</v>
      </c>
      <c r="H516" t="s">
        <v>1626</v>
      </c>
      <c r="I516" t="s">
        <v>18</v>
      </c>
      <c r="J516" t="str">
        <f>IF(COUNTIF(Pays!A:A,X516)=0,"Pays inconnu",_xlfn.XLOOKUP(X516,Pays!A:A,Pays!B:B))</f>
        <v>US</v>
      </c>
      <c r="K516" t="str">
        <f>IF(COUNTIF(Pays!A:A,X516)=0,"Pays inconnu",_xlfn.XLOOKUP(X516,Pays!A:A,Pays!C:C))</f>
        <v>2_US</v>
      </c>
      <c r="L516">
        <v>1</v>
      </c>
      <c r="M516">
        <f t="shared" si="16"/>
        <v>0.46</v>
      </c>
      <c r="N516" t="s">
        <v>20</v>
      </c>
      <c r="O516">
        <f>LOOKUP(X516,Pays!A:A,Pays!D:D)</f>
        <v>0</v>
      </c>
      <c r="P516">
        <v>0.46</v>
      </c>
      <c r="Q516">
        <v>0.46</v>
      </c>
      <c r="U516">
        <v>1</v>
      </c>
      <c r="W516">
        <f>IF(COUNTIF(Pays!A:A,X516)=0,"",LOOKUP(X516,Pays!A:A,Pays!E:E))</f>
        <v>1.5</v>
      </c>
      <c r="X516" s="8" t="s">
        <v>79</v>
      </c>
    </row>
    <row r="517" spans="1:24" x14ac:dyDescent="0.25">
      <c r="A517" t="s">
        <v>1163</v>
      </c>
      <c r="B517" t="s">
        <v>182</v>
      </c>
      <c r="C517" s="1">
        <f t="shared" si="17"/>
        <v>46174</v>
      </c>
      <c r="F517" t="s">
        <v>155</v>
      </c>
      <c r="G517" t="s">
        <v>730</v>
      </c>
      <c r="H517" t="s">
        <v>1627</v>
      </c>
      <c r="I517" t="s">
        <v>18</v>
      </c>
      <c r="J517" t="str">
        <f>IF(COUNTIF(Pays!A:A,X517)=0,"Pays inconnu",_xlfn.XLOOKUP(X517,Pays!A:A,Pays!B:B))</f>
        <v>CH</v>
      </c>
      <c r="K517" t="str">
        <f>IF(COUNTIF(Pays!A:A,X517)=0,"Pays inconnu",_xlfn.XLOOKUP(X517,Pays!A:A,Pays!C:C))</f>
        <v>1_CH</v>
      </c>
      <c r="L517">
        <v>1</v>
      </c>
      <c r="M517">
        <f t="shared" si="16"/>
        <v>0.84</v>
      </c>
      <c r="N517" t="s">
        <v>20</v>
      </c>
      <c r="O517">
        <f>LOOKUP(X517,Pays!A:A,Pays!D:D)</f>
        <v>0</v>
      </c>
      <c r="P517">
        <v>0.84</v>
      </c>
      <c r="Q517">
        <v>0.84</v>
      </c>
      <c r="U517">
        <v>1</v>
      </c>
      <c r="W517">
        <f>IF(COUNTIF(Pays!A:A,X517)=0,"",LOOKUP(X517,Pays!A:A,Pays!E:E))</f>
        <v>0</v>
      </c>
      <c r="X517" s="8" t="s">
        <v>37</v>
      </c>
    </row>
    <row r="518" spans="1:24" x14ac:dyDescent="0.25">
      <c r="A518" t="s">
        <v>1163</v>
      </c>
      <c r="B518" t="s">
        <v>182</v>
      </c>
      <c r="C518" s="1">
        <f t="shared" si="17"/>
        <v>46174</v>
      </c>
      <c r="F518" t="s">
        <v>110</v>
      </c>
      <c r="G518" t="s">
        <v>731</v>
      </c>
      <c r="H518" t="s">
        <v>195</v>
      </c>
      <c r="I518" t="s">
        <v>18</v>
      </c>
      <c r="J518" t="str">
        <f>IF(COUNTIF(Pays!A:A,X518)=0,"Pays inconnu",_xlfn.XLOOKUP(X518,Pays!A:A,Pays!B:B))</f>
        <v>IL</v>
      </c>
      <c r="K518">
        <f>IF(COUNTIF(Pays!A:A,X518)=0,"Pays inconnu",_xlfn.XLOOKUP(X518,Pays!A:A,Pays!C:C))</f>
        <v>2</v>
      </c>
      <c r="L518">
        <v>1</v>
      </c>
      <c r="M518">
        <f t="shared" si="16"/>
        <v>0.46</v>
      </c>
      <c r="N518" t="s">
        <v>20</v>
      </c>
      <c r="O518">
        <f>LOOKUP(X518,Pays!A:A,Pays!D:D)</f>
        <v>0</v>
      </c>
      <c r="P518">
        <v>0.46</v>
      </c>
      <c r="Q518">
        <v>0.46</v>
      </c>
      <c r="U518">
        <v>1</v>
      </c>
      <c r="W518">
        <f>IF(COUNTIF(Pays!A:A,X518)=0,"",LOOKUP(X518,Pays!A:A,Pays!E:E))</f>
        <v>0</v>
      </c>
      <c r="X518" s="8" t="s">
        <v>111</v>
      </c>
    </row>
    <row r="519" spans="1:24" x14ac:dyDescent="0.25">
      <c r="A519" t="s">
        <v>1163</v>
      </c>
      <c r="B519" t="s">
        <v>182</v>
      </c>
      <c r="C519" s="1">
        <f t="shared" si="17"/>
        <v>46174</v>
      </c>
      <c r="F519" t="s">
        <v>155</v>
      </c>
      <c r="G519" t="s">
        <v>732</v>
      </c>
      <c r="H519" t="s">
        <v>1628</v>
      </c>
      <c r="I519" t="s">
        <v>18</v>
      </c>
      <c r="J519" t="str">
        <f>IF(COUNTIF(Pays!A:A,X519)=0,"Pays inconnu",_xlfn.XLOOKUP(X519,Pays!A:A,Pays!B:B))</f>
        <v>CH</v>
      </c>
      <c r="K519" t="str">
        <f>IF(COUNTIF(Pays!A:A,X519)=0,"Pays inconnu",_xlfn.XLOOKUP(X519,Pays!A:A,Pays!C:C))</f>
        <v>1_CH</v>
      </c>
      <c r="L519">
        <v>1</v>
      </c>
      <c r="M519">
        <f t="shared" si="16"/>
        <v>0.15</v>
      </c>
      <c r="N519" t="s">
        <v>20</v>
      </c>
      <c r="O519">
        <f>LOOKUP(X519,Pays!A:A,Pays!D:D)</f>
        <v>0</v>
      </c>
      <c r="P519">
        <v>0.15</v>
      </c>
      <c r="Q519">
        <v>0.06</v>
      </c>
      <c r="U519">
        <v>1</v>
      </c>
      <c r="W519">
        <f>IF(COUNTIF(Pays!A:A,X519)=0,"",LOOKUP(X519,Pays!A:A,Pays!E:E))</f>
        <v>0</v>
      </c>
      <c r="X519" s="8" t="s">
        <v>37</v>
      </c>
    </row>
    <row r="520" spans="1:24" x14ac:dyDescent="0.25">
      <c r="A520" t="s">
        <v>1163</v>
      </c>
      <c r="B520" t="s">
        <v>182</v>
      </c>
      <c r="C520" s="1">
        <f t="shared" si="17"/>
        <v>46174</v>
      </c>
      <c r="F520" t="s">
        <v>155</v>
      </c>
      <c r="G520" t="s">
        <v>733</v>
      </c>
      <c r="H520" t="s">
        <v>1629</v>
      </c>
      <c r="I520" t="s">
        <v>18</v>
      </c>
      <c r="J520" t="str">
        <f>IF(COUNTIF(Pays!A:A,X520)=0,"Pays inconnu",_xlfn.XLOOKUP(X520,Pays!A:A,Pays!B:B))</f>
        <v>GB</v>
      </c>
      <c r="K520" t="str">
        <f>IF(COUNTIF(Pays!A:A,X520)=0,"Pays inconnu",_xlfn.XLOOKUP(X520,Pays!A:A,Pays!C:C))</f>
        <v>1_GB</v>
      </c>
      <c r="L520">
        <v>1</v>
      </c>
      <c r="M520">
        <f t="shared" si="16"/>
        <v>0.15</v>
      </c>
      <c r="N520" t="s">
        <v>20</v>
      </c>
      <c r="O520">
        <f>LOOKUP(X520,Pays!A:A,Pays!D:D)</f>
        <v>0</v>
      </c>
      <c r="P520">
        <v>0.15</v>
      </c>
      <c r="Q520">
        <v>0.04</v>
      </c>
      <c r="U520">
        <v>1</v>
      </c>
      <c r="W520">
        <f>IF(COUNTIF(Pays!A:A,X520)=0,"",LOOKUP(X520,Pays!A:A,Pays!E:E))</f>
        <v>0</v>
      </c>
      <c r="X520" s="8" t="s">
        <v>30</v>
      </c>
    </row>
    <row r="521" spans="1:24" x14ac:dyDescent="0.25">
      <c r="A521" t="s">
        <v>1163</v>
      </c>
      <c r="B521" t="s">
        <v>182</v>
      </c>
      <c r="C521" s="1">
        <f t="shared" si="17"/>
        <v>46174</v>
      </c>
      <c r="F521" t="s">
        <v>155</v>
      </c>
      <c r="G521" t="s">
        <v>734</v>
      </c>
      <c r="H521" t="s">
        <v>1630</v>
      </c>
      <c r="I521" t="s">
        <v>18</v>
      </c>
      <c r="J521" t="str">
        <f>IF(COUNTIF(Pays!A:A,X521)=0,"Pays inconnu",_xlfn.XLOOKUP(X521,Pays!A:A,Pays!B:B))</f>
        <v>GB</v>
      </c>
      <c r="K521" t="str">
        <f>IF(COUNTIF(Pays!A:A,X521)=0,"Pays inconnu",_xlfn.XLOOKUP(X521,Pays!A:A,Pays!C:C))</f>
        <v>1_GB</v>
      </c>
      <c r="L521">
        <v>1</v>
      </c>
      <c r="M521">
        <f t="shared" si="16"/>
        <v>0.46</v>
      </c>
      <c r="N521" t="s">
        <v>20</v>
      </c>
      <c r="O521">
        <f>LOOKUP(X521,Pays!A:A,Pays!D:D)</f>
        <v>0</v>
      </c>
      <c r="P521">
        <v>0.46</v>
      </c>
      <c r="Q521">
        <v>0.46</v>
      </c>
      <c r="U521">
        <v>1</v>
      </c>
      <c r="W521">
        <f>IF(COUNTIF(Pays!A:A,X521)=0,"",LOOKUP(X521,Pays!A:A,Pays!E:E))</f>
        <v>0</v>
      </c>
      <c r="X521" s="8" t="s">
        <v>30</v>
      </c>
    </row>
    <row r="522" spans="1:24" x14ac:dyDescent="0.25">
      <c r="A522" t="s">
        <v>1163</v>
      </c>
      <c r="B522" t="s">
        <v>182</v>
      </c>
      <c r="C522" s="1">
        <f t="shared" si="17"/>
        <v>46174</v>
      </c>
      <c r="F522" t="s">
        <v>155</v>
      </c>
      <c r="G522" t="s">
        <v>735</v>
      </c>
      <c r="H522" t="s">
        <v>1631</v>
      </c>
      <c r="I522" t="s">
        <v>18</v>
      </c>
      <c r="J522" t="str">
        <f>IF(COUNTIF(Pays!A:A,X522)=0,"Pays inconnu",_xlfn.XLOOKUP(X522,Pays!A:A,Pays!B:B))</f>
        <v>GB</v>
      </c>
      <c r="K522" t="str">
        <f>IF(COUNTIF(Pays!A:A,X522)=0,"Pays inconnu",_xlfn.XLOOKUP(X522,Pays!A:A,Pays!C:C))</f>
        <v>1_GB</v>
      </c>
      <c r="L522">
        <v>1</v>
      </c>
      <c r="M522">
        <f t="shared" si="16"/>
        <v>0.46</v>
      </c>
      <c r="N522" t="s">
        <v>20</v>
      </c>
      <c r="O522">
        <f>LOOKUP(X522,Pays!A:A,Pays!D:D)</f>
        <v>0</v>
      </c>
      <c r="P522">
        <v>0.46</v>
      </c>
      <c r="Q522">
        <v>0.46</v>
      </c>
      <c r="U522">
        <v>1</v>
      </c>
      <c r="W522">
        <f>IF(COUNTIF(Pays!A:A,X522)=0,"",LOOKUP(X522,Pays!A:A,Pays!E:E))</f>
        <v>0</v>
      </c>
      <c r="X522" s="8" t="s">
        <v>30</v>
      </c>
    </row>
    <row r="523" spans="1:24" x14ac:dyDescent="0.25">
      <c r="A523" t="s">
        <v>1163</v>
      </c>
      <c r="B523" t="s">
        <v>182</v>
      </c>
      <c r="C523" s="1">
        <f t="shared" si="17"/>
        <v>46174</v>
      </c>
      <c r="F523" t="s">
        <v>155</v>
      </c>
      <c r="G523" t="s">
        <v>736</v>
      </c>
      <c r="H523" t="s">
        <v>1632</v>
      </c>
      <c r="I523" t="s">
        <v>18</v>
      </c>
      <c r="J523" t="str">
        <f>IF(COUNTIF(Pays!A:A,X523)=0,"Pays inconnu",_xlfn.XLOOKUP(X523,Pays!A:A,Pays!B:B))</f>
        <v>US</v>
      </c>
      <c r="K523" t="str">
        <f>IF(COUNTIF(Pays!A:A,X523)=0,"Pays inconnu",_xlfn.XLOOKUP(X523,Pays!A:A,Pays!C:C))</f>
        <v>2_US</v>
      </c>
      <c r="L523">
        <v>1</v>
      </c>
      <c r="M523">
        <f t="shared" si="16"/>
        <v>0.46</v>
      </c>
      <c r="N523" t="s">
        <v>20</v>
      </c>
      <c r="O523">
        <f>LOOKUP(X523,Pays!A:A,Pays!D:D)</f>
        <v>0</v>
      </c>
      <c r="P523">
        <v>0.46</v>
      </c>
      <c r="Q523">
        <v>0.46</v>
      </c>
      <c r="U523">
        <v>1</v>
      </c>
      <c r="W523">
        <f>IF(COUNTIF(Pays!A:A,X523)=0,"",LOOKUP(X523,Pays!A:A,Pays!E:E))</f>
        <v>1.5</v>
      </c>
      <c r="X523" s="8" t="s">
        <v>79</v>
      </c>
    </row>
    <row r="524" spans="1:24" x14ac:dyDescent="0.25">
      <c r="A524" t="s">
        <v>1163</v>
      </c>
      <c r="B524" t="s">
        <v>182</v>
      </c>
      <c r="C524" s="1">
        <f t="shared" si="17"/>
        <v>46174</v>
      </c>
      <c r="F524" t="s">
        <v>155</v>
      </c>
      <c r="G524" t="s">
        <v>737</v>
      </c>
      <c r="H524" t="s">
        <v>1633</v>
      </c>
      <c r="I524" t="s">
        <v>18</v>
      </c>
      <c r="J524" t="str">
        <f>IF(COUNTIF(Pays!A:A,X524)=0,"Pays inconnu",_xlfn.XLOOKUP(X524,Pays!A:A,Pays!B:B))</f>
        <v>US</v>
      </c>
      <c r="K524" t="str">
        <f>IF(COUNTIF(Pays!A:A,X524)=0,"Pays inconnu",_xlfn.XLOOKUP(X524,Pays!A:A,Pays!C:C))</f>
        <v>2_US</v>
      </c>
      <c r="L524">
        <v>1</v>
      </c>
      <c r="M524">
        <f t="shared" si="16"/>
        <v>0.46</v>
      </c>
      <c r="N524" t="s">
        <v>20</v>
      </c>
      <c r="O524">
        <f>LOOKUP(X524,Pays!A:A,Pays!D:D)</f>
        <v>0</v>
      </c>
      <c r="P524">
        <v>0.46</v>
      </c>
      <c r="Q524">
        <v>0.46</v>
      </c>
      <c r="U524">
        <v>1</v>
      </c>
      <c r="W524">
        <f>IF(COUNTIF(Pays!A:A,X524)=0,"",LOOKUP(X524,Pays!A:A,Pays!E:E))</f>
        <v>1.5</v>
      </c>
      <c r="X524" s="8" t="s">
        <v>79</v>
      </c>
    </row>
    <row r="525" spans="1:24" x14ac:dyDescent="0.25">
      <c r="A525" t="s">
        <v>1163</v>
      </c>
      <c r="B525" t="s">
        <v>182</v>
      </c>
      <c r="C525" s="1">
        <f t="shared" si="17"/>
        <v>46174</v>
      </c>
      <c r="F525" t="s">
        <v>155</v>
      </c>
      <c r="G525" t="s">
        <v>738</v>
      </c>
      <c r="H525" t="s">
        <v>1634</v>
      </c>
      <c r="I525" t="s">
        <v>18</v>
      </c>
      <c r="J525" t="str">
        <f>IF(COUNTIF(Pays!A:A,X525)=0,"Pays inconnu",_xlfn.XLOOKUP(X525,Pays!A:A,Pays!B:B))</f>
        <v>CA</v>
      </c>
      <c r="K525">
        <f>IF(COUNTIF(Pays!A:A,X525)=0,"Pays inconnu",_xlfn.XLOOKUP(X525,Pays!A:A,Pays!C:C))</f>
        <v>2</v>
      </c>
      <c r="L525">
        <v>1</v>
      </c>
      <c r="M525">
        <f t="shared" si="16"/>
        <v>0.46</v>
      </c>
      <c r="N525" t="s">
        <v>20</v>
      </c>
      <c r="O525">
        <f>LOOKUP(X525,Pays!A:A,Pays!D:D)</f>
        <v>0</v>
      </c>
      <c r="P525">
        <v>0.46</v>
      </c>
      <c r="Q525">
        <v>0.46</v>
      </c>
      <c r="U525">
        <v>1</v>
      </c>
      <c r="W525">
        <f>IF(COUNTIF(Pays!A:A,X525)=0,"",LOOKUP(X525,Pays!A:A,Pays!E:E))</f>
        <v>1.5</v>
      </c>
      <c r="X525" s="8" t="s">
        <v>44</v>
      </c>
    </row>
    <row r="526" spans="1:24" x14ac:dyDescent="0.25">
      <c r="A526" t="s">
        <v>1163</v>
      </c>
      <c r="B526" t="s">
        <v>182</v>
      </c>
      <c r="C526" s="1">
        <f t="shared" si="17"/>
        <v>46174</v>
      </c>
      <c r="F526" t="s">
        <v>181</v>
      </c>
      <c r="G526" t="s">
        <v>739</v>
      </c>
      <c r="H526" t="s">
        <v>1635</v>
      </c>
      <c r="I526" t="s">
        <v>18</v>
      </c>
      <c r="J526" t="str">
        <f>IF(COUNTIF(Pays!A:A,X526)=0,"Pays inconnu",_xlfn.XLOOKUP(X526,Pays!A:A,Pays!B:B))</f>
        <v>CH</v>
      </c>
      <c r="K526" t="str">
        <f>IF(COUNTIF(Pays!A:A,X526)=0,"Pays inconnu",_xlfn.XLOOKUP(X526,Pays!A:A,Pays!C:C))</f>
        <v>1_CH</v>
      </c>
      <c r="L526">
        <v>1</v>
      </c>
      <c r="M526">
        <f t="shared" si="16"/>
        <v>0.84</v>
      </c>
      <c r="N526" t="s">
        <v>20</v>
      </c>
      <c r="O526">
        <f>LOOKUP(X526,Pays!A:A,Pays!D:D)</f>
        <v>0</v>
      </c>
      <c r="P526">
        <v>0.15</v>
      </c>
      <c r="Q526">
        <v>0.84</v>
      </c>
      <c r="U526">
        <v>1</v>
      </c>
      <c r="W526">
        <f>IF(COUNTIF(Pays!A:A,X526)=0,"",LOOKUP(X526,Pays!A:A,Pays!E:E))</f>
        <v>0</v>
      </c>
      <c r="X526" s="8" t="s">
        <v>37</v>
      </c>
    </row>
    <row r="527" spans="1:24" x14ac:dyDescent="0.25">
      <c r="A527" t="s">
        <v>1163</v>
      </c>
      <c r="B527" t="s">
        <v>182</v>
      </c>
      <c r="C527" s="1">
        <f t="shared" si="17"/>
        <v>46174</v>
      </c>
      <c r="F527" t="s">
        <v>155</v>
      </c>
      <c r="G527" t="s">
        <v>740</v>
      </c>
      <c r="H527" t="s">
        <v>1626</v>
      </c>
      <c r="I527" t="s">
        <v>18</v>
      </c>
      <c r="J527" t="str">
        <f>IF(COUNTIF(Pays!A:A,X527)=0,"Pays inconnu",_xlfn.XLOOKUP(X527,Pays!A:A,Pays!B:B))</f>
        <v>US</v>
      </c>
      <c r="K527" t="str">
        <f>IF(COUNTIF(Pays!A:A,X527)=0,"Pays inconnu",_xlfn.XLOOKUP(X527,Pays!A:A,Pays!C:C))</f>
        <v>2_US</v>
      </c>
      <c r="L527">
        <v>1</v>
      </c>
      <c r="M527">
        <f t="shared" si="16"/>
        <v>0.46</v>
      </c>
      <c r="N527" t="s">
        <v>20</v>
      </c>
      <c r="O527">
        <f>LOOKUP(X527,Pays!A:A,Pays!D:D)</f>
        <v>0</v>
      </c>
      <c r="P527">
        <v>0.46</v>
      </c>
      <c r="Q527">
        <v>0.46</v>
      </c>
      <c r="U527">
        <v>1</v>
      </c>
      <c r="W527">
        <f>IF(COUNTIF(Pays!A:A,X527)=0,"",LOOKUP(X527,Pays!A:A,Pays!E:E))</f>
        <v>1.5</v>
      </c>
      <c r="X527" s="8" t="s">
        <v>79</v>
      </c>
    </row>
    <row r="528" spans="1:24" x14ac:dyDescent="0.25">
      <c r="A528" t="s">
        <v>1163</v>
      </c>
      <c r="B528" t="s">
        <v>182</v>
      </c>
      <c r="C528" s="1">
        <f t="shared" si="17"/>
        <v>46174</v>
      </c>
      <c r="F528" t="s">
        <v>155</v>
      </c>
      <c r="G528" t="s">
        <v>741</v>
      </c>
      <c r="H528" t="s">
        <v>1636</v>
      </c>
      <c r="I528" t="s">
        <v>18</v>
      </c>
      <c r="J528" t="str">
        <f>IF(COUNTIF(Pays!A:A,X528)=0,"Pays inconnu",_xlfn.XLOOKUP(X528,Pays!A:A,Pays!B:B))</f>
        <v>GB</v>
      </c>
      <c r="K528" t="str">
        <f>IF(COUNTIF(Pays!A:A,X528)=0,"Pays inconnu",_xlfn.XLOOKUP(X528,Pays!A:A,Pays!C:C))</f>
        <v>1_GB</v>
      </c>
      <c r="L528">
        <v>1</v>
      </c>
      <c r="M528">
        <f t="shared" si="16"/>
        <v>0.26</v>
      </c>
      <c r="N528" t="s">
        <v>20</v>
      </c>
      <c r="O528">
        <f>LOOKUP(X528,Pays!A:A,Pays!D:D)</f>
        <v>0</v>
      </c>
      <c r="P528">
        <v>0.15</v>
      </c>
      <c r="Q528">
        <v>0.26</v>
      </c>
      <c r="U528">
        <v>1</v>
      </c>
      <c r="W528">
        <f>IF(COUNTIF(Pays!A:A,X528)=0,"",LOOKUP(X528,Pays!A:A,Pays!E:E))</f>
        <v>0</v>
      </c>
      <c r="X528" s="8" t="s">
        <v>30</v>
      </c>
    </row>
    <row r="529" spans="1:24" x14ac:dyDescent="0.25">
      <c r="A529" t="s">
        <v>1163</v>
      </c>
      <c r="B529" t="s">
        <v>182</v>
      </c>
      <c r="C529" s="1">
        <f t="shared" si="17"/>
        <v>46174</v>
      </c>
      <c r="F529" t="s">
        <v>155</v>
      </c>
      <c r="G529" t="s">
        <v>742</v>
      </c>
      <c r="H529" t="s">
        <v>1637</v>
      </c>
      <c r="I529" t="s">
        <v>18</v>
      </c>
      <c r="J529" t="str">
        <f>IF(COUNTIF(Pays!A:A,X529)=0,"Pays inconnu",_xlfn.XLOOKUP(X529,Pays!A:A,Pays!B:B))</f>
        <v>GB</v>
      </c>
      <c r="K529" t="str">
        <f>IF(COUNTIF(Pays!A:A,X529)=0,"Pays inconnu",_xlfn.XLOOKUP(X529,Pays!A:A,Pays!C:C))</f>
        <v>1_GB</v>
      </c>
      <c r="L529">
        <v>1</v>
      </c>
      <c r="M529">
        <f t="shared" si="16"/>
        <v>0.46</v>
      </c>
      <c r="N529" t="s">
        <v>20</v>
      </c>
      <c r="O529">
        <f>LOOKUP(X529,Pays!A:A,Pays!D:D)</f>
        <v>0</v>
      </c>
      <c r="P529">
        <v>0.46</v>
      </c>
      <c r="Q529">
        <v>0.46</v>
      </c>
      <c r="U529">
        <v>1</v>
      </c>
      <c r="W529">
        <f>IF(COUNTIF(Pays!A:A,X529)=0,"",LOOKUP(X529,Pays!A:A,Pays!E:E))</f>
        <v>0</v>
      </c>
      <c r="X529" s="8" t="s">
        <v>30</v>
      </c>
    </row>
    <row r="530" spans="1:24" x14ac:dyDescent="0.25">
      <c r="A530" t="s">
        <v>1163</v>
      </c>
      <c r="B530" t="s">
        <v>182</v>
      </c>
      <c r="C530" s="1">
        <f t="shared" si="17"/>
        <v>46174</v>
      </c>
      <c r="F530" t="s">
        <v>155</v>
      </c>
      <c r="G530" t="s">
        <v>743</v>
      </c>
      <c r="H530" t="s">
        <v>1638</v>
      </c>
      <c r="I530" t="s">
        <v>18</v>
      </c>
      <c r="J530" t="str">
        <f>IF(COUNTIF(Pays!A:A,X530)=0,"Pays inconnu",_xlfn.XLOOKUP(X530,Pays!A:A,Pays!B:B))</f>
        <v>CH</v>
      </c>
      <c r="K530" t="str">
        <f>IF(COUNTIF(Pays!A:A,X530)=0,"Pays inconnu",_xlfn.XLOOKUP(X530,Pays!A:A,Pays!C:C))</f>
        <v>1_CH</v>
      </c>
      <c r="L530">
        <v>1</v>
      </c>
      <c r="M530">
        <f t="shared" si="16"/>
        <v>0.15</v>
      </c>
      <c r="N530" t="s">
        <v>20</v>
      </c>
      <c r="O530">
        <f>LOOKUP(X530,Pays!A:A,Pays!D:D)</f>
        <v>0</v>
      </c>
      <c r="P530">
        <v>0.15</v>
      </c>
      <c r="Q530">
        <v>0.06</v>
      </c>
      <c r="U530">
        <v>1</v>
      </c>
      <c r="W530">
        <f>IF(COUNTIF(Pays!A:A,X530)=0,"",LOOKUP(X530,Pays!A:A,Pays!E:E))</f>
        <v>0</v>
      </c>
      <c r="X530" s="8" t="s">
        <v>37</v>
      </c>
    </row>
    <row r="531" spans="1:24" x14ac:dyDescent="0.25">
      <c r="A531" t="s">
        <v>1163</v>
      </c>
      <c r="B531" t="s">
        <v>182</v>
      </c>
      <c r="C531" s="1">
        <f t="shared" si="17"/>
        <v>46174</v>
      </c>
      <c r="F531" t="s">
        <v>155</v>
      </c>
      <c r="G531" t="s">
        <v>744</v>
      </c>
      <c r="H531" t="s">
        <v>1639</v>
      </c>
      <c r="I531" t="s">
        <v>18</v>
      </c>
      <c r="J531" t="str">
        <f>IF(COUNTIF(Pays!A:A,X531)=0,"Pays inconnu",_xlfn.XLOOKUP(X531,Pays!A:A,Pays!B:B))</f>
        <v>CH</v>
      </c>
      <c r="K531" t="str">
        <f>IF(COUNTIF(Pays!A:A,X531)=0,"Pays inconnu",_xlfn.XLOOKUP(X531,Pays!A:A,Pays!C:C))</f>
        <v>1_CH</v>
      </c>
      <c r="L531">
        <v>1</v>
      </c>
      <c r="M531">
        <f t="shared" si="16"/>
        <v>0.24</v>
      </c>
      <c r="N531" t="s">
        <v>20</v>
      </c>
      <c r="O531">
        <f>LOOKUP(X531,Pays!A:A,Pays!D:D)</f>
        <v>0</v>
      </c>
      <c r="P531">
        <v>0.15</v>
      </c>
      <c r="Q531">
        <v>0.24</v>
      </c>
      <c r="U531">
        <v>1</v>
      </c>
      <c r="W531">
        <f>IF(COUNTIF(Pays!A:A,X531)=0,"",LOOKUP(X531,Pays!A:A,Pays!E:E))</f>
        <v>0</v>
      </c>
      <c r="X531" s="8" t="s">
        <v>37</v>
      </c>
    </row>
    <row r="532" spans="1:24" x14ac:dyDescent="0.25">
      <c r="A532" t="s">
        <v>1163</v>
      </c>
      <c r="B532" t="s">
        <v>182</v>
      </c>
      <c r="C532" s="1">
        <f t="shared" si="17"/>
        <v>46174</v>
      </c>
      <c r="F532" t="s">
        <v>155</v>
      </c>
      <c r="G532" t="s">
        <v>745</v>
      </c>
      <c r="H532" t="s">
        <v>1640</v>
      </c>
      <c r="I532" t="s">
        <v>18</v>
      </c>
      <c r="J532" t="str">
        <f>IF(COUNTIF(Pays!A:A,X532)=0,"Pays inconnu",_xlfn.XLOOKUP(X532,Pays!A:A,Pays!B:B))</f>
        <v>GB</v>
      </c>
      <c r="K532" t="str">
        <f>IF(COUNTIF(Pays!A:A,X532)=0,"Pays inconnu",_xlfn.XLOOKUP(X532,Pays!A:A,Pays!C:C))</f>
        <v>1_GB</v>
      </c>
      <c r="L532">
        <v>1</v>
      </c>
      <c r="M532">
        <f t="shared" si="16"/>
        <v>0.15</v>
      </c>
      <c r="N532" t="s">
        <v>20</v>
      </c>
      <c r="O532">
        <f>LOOKUP(X532,Pays!A:A,Pays!D:D)</f>
        <v>0</v>
      </c>
      <c r="P532">
        <v>0.15</v>
      </c>
      <c r="Q532">
        <v>0.15</v>
      </c>
      <c r="U532">
        <v>1</v>
      </c>
      <c r="W532">
        <f>IF(COUNTIF(Pays!A:A,X532)=0,"",LOOKUP(X532,Pays!A:A,Pays!E:E))</f>
        <v>0</v>
      </c>
      <c r="X532" s="8" t="s">
        <v>30</v>
      </c>
    </row>
    <row r="533" spans="1:24" x14ac:dyDescent="0.25">
      <c r="A533" t="s">
        <v>1163</v>
      </c>
      <c r="B533" t="s">
        <v>182</v>
      </c>
      <c r="C533" s="1">
        <f t="shared" si="17"/>
        <v>46174</v>
      </c>
      <c r="F533" t="s">
        <v>155</v>
      </c>
      <c r="G533" t="s">
        <v>746</v>
      </c>
      <c r="H533" t="s">
        <v>1641</v>
      </c>
      <c r="I533" t="s">
        <v>18</v>
      </c>
      <c r="J533" t="str">
        <f>IF(COUNTIF(Pays!A:A,X533)=0,"Pays inconnu",_xlfn.XLOOKUP(X533,Pays!A:A,Pays!B:B))</f>
        <v>GB</v>
      </c>
      <c r="K533" t="str">
        <f>IF(COUNTIF(Pays!A:A,X533)=0,"Pays inconnu",_xlfn.XLOOKUP(X533,Pays!A:A,Pays!C:C))</f>
        <v>1_GB</v>
      </c>
      <c r="L533">
        <v>1</v>
      </c>
      <c r="M533">
        <f t="shared" si="16"/>
        <v>0.24</v>
      </c>
      <c r="N533" t="s">
        <v>20</v>
      </c>
      <c r="O533">
        <f>LOOKUP(X533,Pays!A:A,Pays!D:D)</f>
        <v>0</v>
      </c>
      <c r="P533">
        <v>0.15</v>
      </c>
      <c r="Q533">
        <v>0.24</v>
      </c>
      <c r="U533">
        <v>1</v>
      </c>
      <c r="W533">
        <f>IF(COUNTIF(Pays!A:A,X533)=0,"",LOOKUP(X533,Pays!A:A,Pays!E:E))</f>
        <v>0</v>
      </c>
      <c r="X533" s="8" t="s">
        <v>30</v>
      </c>
    </row>
    <row r="534" spans="1:24" x14ac:dyDescent="0.25">
      <c r="A534" t="s">
        <v>1163</v>
      </c>
      <c r="B534" t="s">
        <v>182</v>
      </c>
      <c r="C534" s="1">
        <f t="shared" si="17"/>
        <v>46174</v>
      </c>
      <c r="F534" t="s">
        <v>155</v>
      </c>
      <c r="G534" t="s">
        <v>747</v>
      </c>
      <c r="H534" t="s">
        <v>1642</v>
      </c>
      <c r="I534" t="s">
        <v>18</v>
      </c>
      <c r="J534" t="str">
        <f>IF(COUNTIF(Pays!A:A,X534)=0,"Pays inconnu",_xlfn.XLOOKUP(X534,Pays!A:A,Pays!B:B))</f>
        <v>BE</v>
      </c>
      <c r="K534" t="str">
        <f>IF(COUNTIF(Pays!A:A,X534)=0,"Pays inconnu",_xlfn.XLOOKUP(X534,Pays!A:A,Pays!C:C))</f>
        <v>1_BE</v>
      </c>
      <c r="L534">
        <v>1</v>
      </c>
      <c r="M534">
        <f t="shared" si="16"/>
        <v>0.2</v>
      </c>
      <c r="N534" t="s">
        <v>20</v>
      </c>
      <c r="O534">
        <f>LOOKUP(X534,Pays!A:A,Pays!D:D)</f>
        <v>0.2</v>
      </c>
      <c r="P534">
        <v>0.15</v>
      </c>
      <c r="Q534">
        <v>0.2</v>
      </c>
      <c r="U534">
        <v>1</v>
      </c>
      <c r="W534">
        <f>IF(COUNTIF(Pays!A:A,X534)=0,"",LOOKUP(X534,Pays!A:A,Pays!E:E))</f>
        <v>0</v>
      </c>
      <c r="X534" s="8" t="s">
        <v>28</v>
      </c>
    </row>
    <row r="535" spans="1:24" x14ac:dyDescent="0.25">
      <c r="A535" t="s">
        <v>1163</v>
      </c>
      <c r="B535" t="s">
        <v>182</v>
      </c>
      <c r="C535" s="1">
        <f t="shared" si="17"/>
        <v>46174</v>
      </c>
      <c r="F535" t="s">
        <v>155</v>
      </c>
      <c r="G535" t="s">
        <v>748</v>
      </c>
      <c r="H535" t="s">
        <v>1643</v>
      </c>
      <c r="I535" t="s">
        <v>18</v>
      </c>
      <c r="J535" t="str">
        <f>IF(COUNTIF(Pays!A:A,X535)=0,"Pays inconnu",_xlfn.XLOOKUP(X535,Pays!A:A,Pays!B:B))</f>
        <v>CH</v>
      </c>
      <c r="K535" t="str">
        <f>IF(COUNTIF(Pays!A:A,X535)=0,"Pays inconnu",_xlfn.XLOOKUP(X535,Pays!A:A,Pays!C:C))</f>
        <v>1_CH</v>
      </c>
      <c r="L535">
        <v>1</v>
      </c>
      <c r="M535">
        <f t="shared" si="16"/>
        <v>0.62</v>
      </c>
      <c r="N535" t="s">
        <v>20</v>
      </c>
      <c r="O535">
        <f>LOOKUP(X535,Pays!A:A,Pays!D:D)</f>
        <v>0</v>
      </c>
      <c r="P535">
        <v>0.15</v>
      </c>
      <c r="Q535">
        <v>0.62</v>
      </c>
      <c r="U535">
        <v>1</v>
      </c>
      <c r="W535">
        <f>IF(COUNTIF(Pays!A:A,X535)=0,"",LOOKUP(X535,Pays!A:A,Pays!E:E))</f>
        <v>0</v>
      </c>
      <c r="X535" s="8" t="s">
        <v>37</v>
      </c>
    </row>
    <row r="536" spans="1:24" x14ac:dyDescent="0.25">
      <c r="A536" t="s">
        <v>1163</v>
      </c>
      <c r="B536" t="s">
        <v>182</v>
      </c>
      <c r="C536" s="1">
        <f t="shared" si="17"/>
        <v>46174</v>
      </c>
      <c r="F536" t="s">
        <v>155</v>
      </c>
      <c r="G536" t="s">
        <v>749</v>
      </c>
      <c r="H536" t="s">
        <v>1644</v>
      </c>
      <c r="I536" t="s">
        <v>18</v>
      </c>
      <c r="J536" t="str">
        <f>IF(COUNTIF(Pays!A:A,X536)=0,"Pays inconnu",_xlfn.XLOOKUP(X536,Pays!A:A,Pays!B:B))</f>
        <v>CH</v>
      </c>
      <c r="K536" t="str">
        <f>IF(COUNTIF(Pays!A:A,X536)=0,"Pays inconnu",_xlfn.XLOOKUP(X536,Pays!A:A,Pays!C:C))</f>
        <v>1_CH</v>
      </c>
      <c r="L536">
        <v>1</v>
      </c>
      <c r="M536">
        <f t="shared" si="16"/>
        <v>0.15</v>
      </c>
      <c r="N536" t="s">
        <v>20</v>
      </c>
      <c r="O536">
        <f>LOOKUP(X536,Pays!A:A,Pays!D:D)</f>
        <v>0</v>
      </c>
      <c r="P536">
        <v>0.15</v>
      </c>
      <c r="Q536">
        <v>7.0000000000000007E-2</v>
      </c>
      <c r="U536">
        <v>1</v>
      </c>
      <c r="W536">
        <f>IF(COUNTIF(Pays!A:A,X536)=0,"",LOOKUP(X536,Pays!A:A,Pays!E:E))</f>
        <v>0</v>
      </c>
      <c r="X536" s="8" t="s">
        <v>37</v>
      </c>
    </row>
    <row r="537" spans="1:24" x14ac:dyDescent="0.25">
      <c r="A537" t="s">
        <v>1163</v>
      </c>
      <c r="B537" t="s">
        <v>182</v>
      </c>
      <c r="C537" s="1">
        <f t="shared" si="17"/>
        <v>46174</v>
      </c>
      <c r="F537" t="s">
        <v>155</v>
      </c>
      <c r="G537" t="s">
        <v>750</v>
      </c>
      <c r="H537" t="s">
        <v>1645</v>
      </c>
      <c r="I537" t="s">
        <v>18</v>
      </c>
      <c r="J537" t="str">
        <f>IF(COUNTIF(Pays!A:A,X537)=0,"Pays inconnu",_xlfn.XLOOKUP(X537,Pays!A:A,Pays!B:B))</f>
        <v>CH</v>
      </c>
      <c r="K537" t="str">
        <f>IF(COUNTIF(Pays!A:A,X537)=0,"Pays inconnu",_xlfn.XLOOKUP(X537,Pays!A:A,Pays!C:C))</f>
        <v>1_CH</v>
      </c>
      <c r="L537">
        <v>1</v>
      </c>
      <c r="M537">
        <f t="shared" si="16"/>
        <v>0.15</v>
      </c>
      <c r="N537" t="s">
        <v>20</v>
      </c>
      <c r="O537">
        <f>LOOKUP(X537,Pays!A:A,Pays!D:D)</f>
        <v>0</v>
      </c>
      <c r="P537">
        <v>0.15</v>
      </c>
      <c r="Q537">
        <v>0.14000000000000001</v>
      </c>
      <c r="U537">
        <v>1</v>
      </c>
      <c r="W537">
        <f>IF(COUNTIF(Pays!A:A,X537)=0,"",LOOKUP(X537,Pays!A:A,Pays!E:E))</f>
        <v>0</v>
      </c>
      <c r="X537" s="8" t="s">
        <v>37</v>
      </c>
    </row>
    <row r="538" spans="1:24" x14ac:dyDescent="0.25">
      <c r="A538" t="s">
        <v>1163</v>
      </c>
      <c r="B538" t="s">
        <v>182</v>
      </c>
      <c r="C538" s="1">
        <f t="shared" si="17"/>
        <v>46174</v>
      </c>
      <c r="F538" t="s">
        <v>155</v>
      </c>
      <c r="G538" t="s">
        <v>751</v>
      </c>
      <c r="H538" t="s">
        <v>1646</v>
      </c>
      <c r="I538" t="s">
        <v>18</v>
      </c>
      <c r="J538" t="str">
        <f>IF(COUNTIF(Pays!A:A,X538)=0,"Pays inconnu",_xlfn.XLOOKUP(X538,Pays!A:A,Pays!B:B))</f>
        <v>GB</v>
      </c>
      <c r="K538" t="str">
        <f>IF(COUNTIF(Pays!A:A,X538)=0,"Pays inconnu",_xlfn.XLOOKUP(X538,Pays!A:A,Pays!C:C))</f>
        <v>1_GB</v>
      </c>
      <c r="L538">
        <v>1</v>
      </c>
      <c r="M538">
        <f t="shared" si="16"/>
        <v>0.15</v>
      </c>
      <c r="N538" t="s">
        <v>20</v>
      </c>
      <c r="O538">
        <f>LOOKUP(X538,Pays!A:A,Pays!D:D)</f>
        <v>0</v>
      </c>
      <c r="P538">
        <v>0.15</v>
      </c>
      <c r="Q538">
        <v>0.06</v>
      </c>
      <c r="U538">
        <v>1</v>
      </c>
      <c r="W538">
        <f>IF(COUNTIF(Pays!A:A,X538)=0,"",LOOKUP(X538,Pays!A:A,Pays!E:E))</f>
        <v>0</v>
      </c>
      <c r="X538" s="8" t="s">
        <v>30</v>
      </c>
    </row>
    <row r="539" spans="1:24" x14ac:dyDescent="0.25">
      <c r="A539" t="s">
        <v>1163</v>
      </c>
      <c r="B539" t="s">
        <v>182</v>
      </c>
      <c r="C539" s="1">
        <f t="shared" si="17"/>
        <v>46174</v>
      </c>
      <c r="F539" t="s">
        <v>155</v>
      </c>
      <c r="G539" t="s">
        <v>752</v>
      </c>
      <c r="H539" t="s">
        <v>1647</v>
      </c>
      <c r="I539" t="s">
        <v>18</v>
      </c>
      <c r="J539" t="str">
        <f>IF(COUNTIF(Pays!A:A,X539)=0,"Pays inconnu",_xlfn.XLOOKUP(X539,Pays!A:A,Pays!B:B))</f>
        <v>CH</v>
      </c>
      <c r="K539" t="str">
        <f>IF(COUNTIF(Pays!A:A,X539)=0,"Pays inconnu",_xlfn.XLOOKUP(X539,Pays!A:A,Pays!C:C))</f>
        <v>1_CH</v>
      </c>
      <c r="L539">
        <v>1</v>
      </c>
      <c r="M539">
        <f t="shared" si="16"/>
        <v>0.24</v>
      </c>
      <c r="N539" t="s">
        <v>20</v>
      </c>
      <c r="O539">
        <f>LOOKUP(X539,Pays!A:A,Pays!D:D)</f>
        <v>0</v>
      </c>
      <c r="P539">
        <v>0.15</v>
      </c>
      <c r="Q539">
        <v>0.24</v>
      </c>
      <c r="U539">
        <v>1</v>
      </c>
      <c r="W539">
        <f>IF(COUNTIF(Pays!A:A,X539)=0,"",LOOKUP(X539,Pays!A:A,Pays!E:E))</f>
        <v>0</v>
      </c>
      <c r="X539" s="8" t="s">
        <v>37</v>
      </c>
    </row>
    <row r="540" spans="1:24" x14ac:dyDescent="0.25">
      <c r="A540" t="s">
        <v>1163</v>
      </c>
      <c r="B540" t="s">
        <v>182</v>
      </c>
      <c r="C540" s="1">
        <f t="shared" si="17"/>
        <v>46174</v>
      </c>
      <c r="F540" t="s">
        <v>155</v>
      </c>
      <c r="G540" t="s">
        <v>753</v>
      </c>
      <c r="H540" t="s">
        <v>1648</v>
      </c>
      <c r="I540" t="s">
        <v>18</v>
      </c>
      <c r="J540" t="str">
        <f>IF(COUNTIF(Pays!A:A,X540)=0,"Pays inconnu",_xlfn.XLOOKUP(X540,Pays!A:A,Pays!B:B))</f>
        <v>BE</v>
      </c>
      <c r="K540" t="str">
        <f>IF(COUNTIF(Pays!A:A,X540)=0,"Pays inconnu",_xlfn.XLOOKUP(X540,Pays!A:A,Pays!C:C))</f>
        <v>1_BE</v>
      </c>
      <c r="L540">
        <v>1</v>
      </c>
      <c r="M540">
        <f t="shared" si="16"/>
        <v>0.3</v>
      </c>
      <c r="N540" t="s">
        <v>20</v>
      </c>
      <c r="O540">
        <f>LOOKUP(X540,Pays!A:A,Pays!D:D)</f>
        <v>0.2</v>
      </c>
      <c r="P540">
        <v>0.15</v>
      </c>
      <c r="Q540">
        <v>0.3</v>
      </c>
      <c r="U540">
        <v>1</v>
      </c>
      <c r="W540">
        <f>IF(COUNTIF(Pays!A:A,X540)=0,"",LOOKUP(X540,Pays!A:A,Pays!E:E))</f>
        <v>0</v>
      </c>
      <c r="X540" s="8" t="s">
        <v>28</v>
      </c>
    </row>
    <row r="541" spans="1:24" x14ac:dyDescent="0.25">
      <c r="A541" t="s">
        <v>1163</v>
      </c>
      <c r="B541" t="s">
        <v>182</v>
      </c>
      <c r="C541" s="1">
        <f t="shared" si="17"/>
        <v>46174</v>
      </c>
      <c r="F541" t="s">
        <v>155</v>
      </c>
      <c r="G541" t="s">
        <v>754</v>
      </c>
      <c r="H541" t="s">
        <v>1649</v>
      </c>
      <c r="I541" t="s">
        <v>18</v>
      </c>
      <c r="J541" t="str">
        <f>IF(COUNTIF(Pays!A:A,X541)=0,"Pays inconnu",_xlfn.XLOOKUP(X541,Pays!A:A,Pays!B:B))</f>
        <v>BE</v>
      </c>
      <c r="K541" t="str">
        <f>IF(COUNTIF(Pays!A:A,X541)=0,"Pays inconnu",_xlfn.XLOOKUP(X541,Pays!A:A,Pays!C:C))</f>
        <v>1_BE</v>
      </c>
      <c r="L541">
        <v>1</v>
      </c>
      <c r="M541">
        <f t="shared" si="16"/>
        <v>0.44</v>
      </c>
      <c r="N541" t="s">
        <v>20</v>
      </c>
      <c r="O541">
        <f>LOOKUP(X541,Pays!A:A,Pays!D:D)</f>
        <v>0.2</v>
      </c>
      <c r="P541">
        <v>0.15</v>
      </c>
      <c r="Q541">
        <v>0.44</v>
      </c>
      <c r="U541">
        <v>1</v>
      </c>
      <c r="W541">
        <f>IF(COUNTIF(Pays!A:A,X541)=0,"",LOOKUP(X541,Pays!A:A,Pays!E:E))</f>
        <v>0</v>
      </c>
      <c r="X541" s="8" t="s">
        <v>28</v>
      </c>
    </row>
    <row r="542" spans="1:24" x14ac:dyDescent="0.25">
      <c r="A542" t="s">
        <v>1163</v>
      </c>
      <c r="B542" t="s">
        <v>182</v>
      </c>
      <c r="C542" s="1">
        <f t="shared" si="17"/>
        <v>46174</v>
      </c>
      <c r="F542" t="s">
        <v>181</v>
      </c>
      <c r="G542" t="s">
        <v>755</v>
      </c>
      <c r="H542" t="s">
        <v>1650</v>
      </c>
      <c r="I542" t="s">
        <v>18</v>
      </c>
      <c r="J542" t="str">
        <f>IF(COUNTIF(Pays!A:A,X542)=0,"Pays inconnu",_xlfn.XLOOKUP(X542,Pays!A:A,Pays!B:B))</f>
        <v>CH</v>
      </c>
      <c r="K542" t="str">
        <f>IF(COUNTIF(Pays!A:A,X542)=0,"Pays inconnu",_xlfn.XLOOKUP(X542,Pays!A:A,Pays!C:C))</f>
        <v>1_CH</v>
      </c>
      <c r="L542">
        <v>1</v>
      </c>
      <c r="M542">
        <f t="shared" si="16"/>
        <v>0.42</v>
      </c>
      <c r="N542" t="s">
        <v>20</v>
      </c>
      <c r="O542">
        <f>LOOKUP(X542,Pays!A:A,Pays!D:D)</f>
        <v>0</v>
      </c>
      <c r="P542">
        <v>0.15</v>
      </c>
      <c r="Q542">
        <v>0.42</v>
      </c>
      <c r="U542">
        <v>1</v>
      </c>
      <c r="W542">
        <f>IF(COUNTIF(Pays!A:A,X542)=0,"",LOOKUP(X542,Pays!A:A,Pays!E:E))</f>
        <v>0</v>
      </c>
      <c r="X542" s="8" t="s">
        <v>37</v>
      </c>
    </row>
    <row r="543" spans="1:24" x14ac:dyDescent="0.25">
      <c r="A543" t="s">
        <v>1163</v>
      </c>
      <c r="B543" t="s">
        <v>182</v>
      </c>
      <c r="C543" s="1">
        <f t="shared" si="17"/>
        <v>46174</v>
      </c>
      <c r="F543" t="s">
        <v>110</v>
      </c>
      <c r="G543" t="s">
        <v>756</v>
      </c>
      <c r="H543" t="s">
        <v>1651</v>
      </c>
      <c r="I543" t="s">
        <v>18</v>
      </c>
      <c r="J543" t="str">
        <f>IF(COUNTIF(Pays!A:A,X543)=0,"Pays inconnu",_xlfn.XLOOKUP(X543,Pays!A:A,Pays!B:B))</f>
        <v>ES</v>
      </c>
      <c r="K543">
        <f>IF(COUNTIF(Pays!A:A,X543)=0,"Pays inconnu",_xlfn.XLOOKUP(X543,Pays!A:A,Pays!C:C))</f>
        <v>1</v>
      </c>
      <c r="L543">
        <v>1</v>
      </c>
      <c r="M543">
        <f t="shared" si="16"/>
        <v>0.23</v>
      </c>
      <c r="N543" t="s">
        <v>20</v>
      </c>
      <c r="O543">
        <f>LOOKUP(X543,Pays!A:A,Pays!D:D)</f>
        <v>0.2</v>
      </c>
      <c r="P543">
        <v>0.15</v>
      </c>
      <c r="Q543">
        <v>0.23</v>
      </c>
      <c r="U543">
        <v>1</v>
      </c>
      <c r="W543">
        <f>IF(COUNTIF(Pays!A:A,X543)=0,"",LOOKUP(X543,Pays!A:A,Pays!E:E))</f>
        <v>0</v>
      </c>
      <c r="X543" s="8" t="s">
        <v>29</v>
      </c>
    </row>
    <row r="544" spans="1:24" x14ac:dyDescent="0.25">
      <c r="A544" t="s">
        <v>1163</v>
      </c>
      <c r="B544" t="s">
        <v>182</v>
      </c>
      <c r="C544" s="1">
        <f t="shared" si="17"/>
        <v>46174</v>
      </c>
      <c r="F544" t="s">
        <v>155</v>
      </c>
      <c r="G544" t="s">
        <v>757</v>
      </c>
      <c r="H544" t="s">
        <v>1652</v>
      </c>
      <c r="I544" t="s">
        <v>18</v>
      </c>
      <c r="J544" t="str">
        <f>IF(COUNTIF(Pays!A:A,X544)=0,"Pays inconnu",_xlfn.XLOOKUP(X544,Pays!A:A,Pays!B:B))</f>
        <v>CH</v>
      </c>
      <c r="K544" t="str">
        <f>IF(COUNTIF(Pays!A:A,X544)=0,"Pays inconnu",_xlfn.XLOOKUP(X544,Pays!A:A,Pays!C:C))</f>
        <v>1_CH</v>
      </c>
      <c r="L544">
        <v>1</v>
      </c>
      <c r="M544">
        <f t="shared" si="16"/>
        <v>0.46</v>
      </c>
      <c r="N544" t="s">
        <v>20</v>
      </c>
      <c r="O544">
        <f>LOOKUP(X544,Pays!A:A,Pays!D:D)</f>
        <v>0</v>
      </c>
      <c r="P544">
        <v>0.46</v>
      </c>
      <c r="Q544">
        <v>0.46</v>
      </c>
      <c r="U544">
        <v>1</v>
      </c>
      <c r="W544">
        <f>IF(COUNTIF(Pays!A:A,X544)=0,"",LOOKUP(X544,Pays!A:A,Pays!E:E))</f>
        <v>0</v>
      </c>
      <c r="X544" s="8" t="s">
        <v>37</v>
      </c>
    </row>
    <row r="545" spans="1:24" x14ac:dyDescent="0.25">
      <c r="A545" t="s">
        <v>1163</v>
      </c>
      <c r="B545" t="s">
        <v>182</v>
      </c>
      <c r="C545" s="1">
        <f t="shared" si="17"/>
        <v>46174</v>
      </c>
      <c r="F545" t="s">
        <v>155</v>
      </c>
      <c r="G545" t="s">
        <v>758</v>
      </c>
      <c r="H545" t="s">
        <v>187</v>
      </c>
      <c r="I545" t="s">
        <v>18</v>
      </c>
      <c r="J545" t="str">
        <f>IF(COUNTIF(Pays!A:A,X545)=0,"Pays inconnu",_xlfn.XLOOKUP(X545,Pays!A:A,Pays!B:B))</f>
        <v>PT</v>
      </c>
      <c r="K545">
        <f>IF(COUNTIF(Pays!A:A,X545)=0,"Pays inconnu",_xlfn.XLOOKUP(X545,Pays!A:A,Pays!C:C))</f>
        <v>1</v>
      </c>
      <c r="L545">
        <v>1</v>
      </c>
      <c r="M545">
        <f t="shared" si="16"/>
        <v>0.53</v>
      </c>
      <c r="N545" t="s">
        <v>20</v>
      </c>
      <c r="O545">
        <f>LOOKUP(X545,Pays!A:A,Pays!D:D)</f>
        <v>0.2</v>
      </c>
      <c r="P545">
        <v>0.15</v>
      </c>
      <c r="Q545">
        <v>0.53</v>
      </c>
      <c r="U545">
        <v>1</v>
      </c>
      <c r="W545">
        <f>IF(COUNTIF(Pays!A:A,X545)=0,"",LOOKUP(X545,Pays!A:A,Pays!E:E))</f>
        <v>0</v>
      </c>
      <c r="X545" s="8" t="s">
        <v>34</v>
      </c>
    </row>
    <row r="546" spans="1:24" x14ac:dyDescent="0.25">
      <c r="A546" t="s">
        <v>1163</v>
      </c>
      <c r="B546" t="s">
        <v>182</v>
      </c>
      <c r="C546" s="1">
        <f t="shared" si="17"/>
        <v>46174</v>
      </c>
      <c r="F546" t="s">
        <v>155</v>
      </c>
      <c r="G546" t="s">
        <v>759</v>
      </c>
      <c r="H546" t="s">
        <v>1653</v>
      </c>
      <c r="I546" t="s">
        <v>18</v>
      </c>
      <c r="J546" t="str">
        <f>IF(COUNTIF(Pays!A:A,X546)=0,"Pays inconnu",_xlfn.XLOOKUP(X546,Pays!A:A,Pays!B:B))</f>
        <v>CH</v>
      </c>
      <c r="K546" t="str">
        <f>IF(COUNTIF(Pays!A:A,X546)=0,"Pays inconnu",_xlfn.XLOOKUP(X546,Pays!A:A,Pays!C:C))</f>
        <v>1_CH</v>
      </c>
      <c r="L546">
        <v>1</v>
      </c>
      <c r="M546">
        <f t="shared" si="16"/>
        <v>0.15</v>
      </c>
      <c r="N546" t="s">
        <v>20</v>
      </c>
      <c r="O546">
        <f>LOOKUP(X546,Pays!A:A,Pays!D:D)</f>
        <v>0</v>
      </c>
      <c r="P546">
        <v>0.15</v>
      </c>
      <c r="Q546">
        <v>0.06</v>
      </c>
      <c r="U546">
        <v>1</v>
      </c>
      <c r="W546">
        <f>IF(COUNTIF(Pays!A:A,X546)=0,"",LOOKUP(X546,Pays!A:A,Pays!E:E))</f>
        <v>0</v>
      </c>
      <c r="X546" s="8" t="s">
        <v>37</v>
      </c>
    </row>
    <row r="547" spans="1:24" x14ac:dyDescent="0.25">
      <c r="A547" t="s">
        <v>1163</v>
      </c>
      <c r="B547" t="s">
        <v>182</v>
      </c>
      <c r="C547" s="1">
        <f t="shared" si="17"/>
        <v>46174</v>
      </c>
      <c r="F547" t="s">
        <v>181</v>
      </c>
      <c r="G547" t="s">
        <v>760</v>
      </c>
      <c r="H547" t="s">
        <v>1654</v>
      </c>
      <c r="I547" t="s">
        <v>18</v>
      </c>
      <c r="J547" t="str">
        <f>IF(COUNTIF(Pays!A:A,X547)=0,"Pays inconnu",_xlfn.XLOOKUP(X547,Pays!A:A,Pays!B:B))</f>
        <v>CH</v>
      </c>
      <c r="K547" t="str">
        <f>IF(COUNTIF(Pays!A:A,X547)=0,"Pays inconnu",_xlfn.XLOOKUP(X547,Pays!A:A,Pays!C:C))</f>
        <v>1_CH</v>
      </c>
      <c r="L547">
        <v>1</v>
      </c>
      <c r="M547">
        <f t="shared" si="16"/>
        <v>0.45</v>
      </c>
      <c r="N547" t="s">
        <v>20</v>
      </c>
      <c r="O547">
        <f>LOOKUP(X547,Pays!A:A,Pays!D:D)</f>
        <v>0</v>
      </c>
      <c r="P547">
        <v>0.15</v>
      </c>
      <c r="Q547">
        <v>0.45</v>
      </c>
      <c r="U547">
        <v>1</v>
      </c>
      <c r="W547">
        <f>IF(COUNTIF(Pays!A:A,X547)=0,"",LOOKUP(X547,Pays!A:A,Pays!E:E))</f>
        <v>0</v>
      </c>
      <c r="X547" s="8" t="s">
        <v>37</v>
      </c>
    </row>
    <row r="548" spans="1:24" x14ac:dyDescent="0.25">
      <c r="A548" t="s">
        <v>1163</v>
      </c>
      <c r="B548" t="s">
        <v>182</v>
      </c>
      <c r="C548" s="1">
        <f t="shared" si="17"/>
        <v>46174</v>
      </c>
      <c r="F548" t="s">
        <v>155</v>
      </c>
      <c r="G548" t="s">
        <v>761</v>
      </c>
      <c r="H548" t="s">
        <v>1655</v>
      </c>
      <c r="I548" t="s">
        <v>18</v>
      </c>
      <c r="J548" t="str">
        <f>IF(COUNTIF(Pays!A:A,X548)=0,"Pays inconnu",_xlfn.XLOOKUP(X548,Pays!A:A,Pays!B:B))</f>
        <v>CH</v>
      </c>
      <c r="K548" t="str">
        <f>IF(COUNTIF(Pays!A:A,X548)=0,"Pays inconnu",_xlfn.XLOOKUP(X548,Pays!A:A,Pays!C:C))</f>
        <v>1_CH</v>
      </c>
      <c r="L548">
        <v>1</v>
      </c>
      <c r="M548">
        <f t="shared" si="16"/>
        <v>0.28000000000000003</v>
      </c>
      <c r="N548" t="s">
        <v>20</v>
      </c>
      <c r="O548">
        <f>LOOKUP(X548,Pays!A:A,Pays!D:D)</f>
        <v>0</v>
      </c>
      <c r="P548">
        <v>0.15</v>
      </c>
      <c r="Q548">
        <v>0.28000000000000003</v>
      </c>
      <c r="U548">
        <v>1</v>
      </c>
      <c r="W548">
        <f>IF(COUNTIF(Pays!A:A,X548)=0,"",LOOKUP(X548,Pays!A:A,Pays!E:E))</f>
        <v>0</v>
      </c>
      <c r="X548" s="8" t="s">
        <v>37</v>
      </c>
    </row>
    <row r="549" spans="1:24" x14ac:dyDescent="0.25">
      <c r="A549" t="s">
        <v>1163</v>
      </c>
      <c r="B549" t="s">
        <v>182</v>
      </c>
      <c r="C549" s="1">
        <f t="shared" si="17"/>
        <v>46174</v>
      </c>
      <c r="F549" t="s">
        <v>155</v>
      </c>
      <c r="G549" t="s">
        <v>762</v>
      </c>
      <c r="H549" t="s">
        <v>1656</v>
      </c>
      <c r="I549" t="s">
        <v>18</v>
      </c>
      <c r="J549" t="str">
        <f>IF(COUNTIF(Pays!A:A,X549)=0,"Pays inconnu",_xlfn.XLOOKUP(X549,Pays!A:A,Pays!B:B))</f>
        <v>DE</v>
      </c>
      <c r="K549">
        <f>IF(COUNTIF(Pays!A:A,X549)=0,"Pays inconnu",_xlfn.XLOOKUP(X549,Pays!A:A,Pays!C:C))</f>
        <v>1</v>
      </c>
      <c r="L549">
        <v>1</v>
      </c>
      <c r="M549">
        <f t="shared" si="16"/>
        <v>0.43</v>
      </c>
      <c r="N549" t="s">
        <v>20</v>
      </c>
      <c r="O549">
        <f>LOOKUP(X549,Pays!A:A,Pays!D:D)</f>
        <v>0.2</v>
      </c>
      <c r="P549">
        <v>0.43</v>
      </c>
      <c r="Q549">
        <v>0.43</v>
      </c>
      <c r="U549">
        <v>1</v>
      </c>
      <c r="W549">
        <f>IF(COUNTIF(Pays!A:A,X549)=0,"",LOOKUP(X549,Pays!A:A,Pays!E:E))</f>
        <v>0</v>
      </c>
      <c r="X549" s="8" t="s">
        <v>35</v>
      </c>
    </row>
    <row r="550" spans="1:24" x14ac:dyDescent="0.25">
      <c r="A550" t="s">
        <v>1163</v>
      </c>
      <c r="B550" t="s">
        <v>182</v>
      </c>
      <c r="C550" s="1">
        <f t="shared" si="17"/>
        <v>46174</v>
      </c>
      <c r="F550" t="s">
        <v>155</v>
      </c>
      <c r="G550" t="s">
        <v>763</v>
      </c>
      <c r="H550" t="s">
        <v>1657</v>
      </c>
      <c r="I550" t="s">
        <v>18</v>
      </c>
      <c r="J550" t="str">
        <f>IF(COUNTIF(Pays!A:A,X550)=0,"Pays inconnu",_xlfn.XLOOKUP(X550,Pays!A:A,Pays!B:B))</f>
        <v>DE</v>
      </c>
      <c r="K550">
        <f>IF(COUNTIF(Pays!A:A,X550)=0,"Pays inconnu",_xlfn.XLOOKUP(X550,Pays!A:A,Pays!C:C))</f>
        <v>1</v>
      </c>
      <c r="L550">
        <v>1</v>
      </c>
      <c r="M550">
        <f t="shared" si="16"/>
        <v>0.81</v>
      </c>
      <c r="N550" t="s">
        <v>20</v>
      </c>
      <c r="O550">
        <f>LOOKUP(X550,Pays!A:A,Pays!D:D)</f>
        <v>0.2</v>
      </c>
      <c r="P550">
        <v>0.81</v>
      </c>
      <c r="Q550">
        <v>0.81</v>
      </c>
      <c r="U550">
        <v>1</v>
      </c>
      <c r="W550">
        <f>IF(COUNTIF(Pays!A:A,X550)=0,"",LOOKUP(X550,Pays!A:A,Pays!E:E))</f>
        <v>0</v>
      </c>
      <c r="X550" s="8" t="s">
        <v>35</v>
      </c>
    </row>
    <row r="551" spans="1:24" x14ac:dyDescent="0.25">
      <c r="A551" t="s">
        <v>1164</v>
      </c>
      <c r="B551" t="s">
        <v>182</v>
      </c>
      <c r="C551" s="1">
        <f t="shared" si="17"/>
        <v>46174</v>
      </c>
      <c r="F551" t="s">
        <v>155</v>
      </c>
      <c r="G551" t="s">
        <v>764</v>
      </c>
      <c r="H551" t="s">
        <v>1658</v>
      </c>
      <c r="I551" t="s">
        <v>18</v>
      </c>
      <c r="J551" t="str">
        <f>IF(COUNTIF(Pays!A:A,X551)=0,"Pays inconnu",_xlfn.XLOOKUP(X551,Pays!A:A,Pays!B:B))</f>
        <v>CH</v>
      </c>
      <c r="K551" t="str">
        <f>IF(COUNTIF(Pays!A:A,X551)=0,"Pays inconnu",_xlfn.XLOOKUP(X551,Pays!A:A,Pays!C:C))</f>
        <v>1_CH</v>
      </c>
      <c r="L551">
        <v>1</v>
      </c>
      <c r="M551">
        <f t="shared" si="16"/>
        <v>0.92</v>
      </c>
      <c r="N551" t="s">
        <v>20</v>
      </c>
      <c r="O551">
        <f>LOOKUP(X551,Pays!A:A,Pays!D:D)</f>
        <v>0</v>
      </c>
      <c r="P551">
        <v>0.15</v>
      </c>
      <c r="Q551">
        <v>0.92</v>
      </c>
      <c r="U551">
        <v>1</v>
      </c>
      <c r="W551">
        <f>IF(COUNTIF(Pays!A:A,X551)=0,"",LOOKUP(X551,Pays!A:A,Pays!E:E))</f>
        <v>0</v>
      </c>
      <c r="X551" s="8" t="s">
        <v>37</v>
      </c>
    </row>
    <row r="552" spans="1:24" x14ac:dyDescent="0.25">
      <c r="A552" t="s">
        <v>1164</v>
      </c>
      <c r="B552" t="s">
        <v>182</v>
      </c>
      <c r="C552" s="1">
        <f t="shared" si="17"/>
        <v>46174</v>
      </c>
      <c r="F552" t="s">
        <v>155</v>
      </c>
      <c r="G552" t="s">
        <v>765</v>
      </c>
      <c r="H552" t="s">
        <v>1659</v>
      </c>
      <c r="I552" t="s">
        <v>18</v>
      </c>
      <c r="J552" t="str">
        <f>IF(COUNTIF(Pays!A:A,X552)=0,"Pays inconnu",_xlfn.XLOOKUP(X552,Pays!A:A,Pays!B:B))</f>
        <v>CH</v>
      </c>
      <c r="K552" t="str">
        <f>IF(COUNTIF(Pays!A:A,X552)=0,"Pays inconnu",_xlfn.XLOOKUP(X552,Pays!A:A,Pays!C:C))</f>
        <v>1_CH</v>
      </c>
      <c r="L552">
        <v>1</v>
      </c>
      <c r="M552">
        <f t="shared" si="16"/>
        <v>0.5</v>
      </c>
      <c r="N552" t="s">
        <v>20</v>
      </c>
      <c r="O552">
        <f>LOOKUP(X552,Pays!A:A,Pays!D:D)</f>
        <v>0</v>
      </c>
      <c r="P552">
        <v>0.15</v>
      </c>
      <c r="Q552">
        <v>0.5</v>
      </c>
      <c r="U552">
        <v>1</v>
      </c>
      <c r="W552">
        <f>IF(COUNTIF(Pays!A:A,X552)=0,"",LOOKUP(X552,Pays!A:A,Pays!E:E))</f>
        <v>0</v>
      </c>
      <c r="X552" s="8" t="s">
        <v>37</v>
      </c>
    </row>
    <row r="553" spans="1:24" x14ac:dyDescent="0.25">
      <c r="A553" t="s">
        <v>1164</v>
      </c>
      <c r="B553" t="s">
        <v>182</v>
      </c>
      <c r="C553" s="1">
        <f t="shared" si="17"/>
        <v>46174</v>
      </c>
      <c r="F553" t="s">
        <v>155</v>
      </c>
      <c r="G553" t="s">
        <v>766</v>
      </c>
      <c r="H553" t="s">
        <v>1660</v>
      </c>
      <c r="I553" t="s">
        <v>18</v>
      </c>
      <c r="J553" t="str">
        <f>IF(COUNTIF(Pays!A:A,X553)=0,"Pays inconnu",_xlfn.XLOOKUP(X553,Pays!A:A,Pays!B:B))</f>
        <v>CH</v>
      </c>
      <c r="K553" t="str">
        <f>IF(COUNTIF(Pays!A:A,X553)=0,"Pays inconnu",_xlfn.XLOOKUP(X553,Pays!A:A,Pays!C:C))</f>
        <v>1_CH</v>
      </c>
      <c r="L553">
        <v>1</v>
      </c>
      <c r="M553">
        <f t="shared" si="16"/>
        <v>0.48</v>
      </c>
      <c r="N553" t="s">
        <v>20</v>
      </c>
      <c r="O553">
        <f>LOOKUP(X553,Pays!A:A,Pays!D:D)</f>
        <v>0</v>
      </c>
      <c r="P553">
        <v>0.15</v>
      </c>
      <c r="Q553">
        <v>0.48</v>
      </c>
      <c r="U553">
        <v>1</v>
      </c>
      <c r="W553">
        <f>IF(COUNTIF(Pays!A:A,X553)=0,"",LOOKUP(X553,Pays!A:A,Pays!E:E))</f>
        <v>0</v>
      </c>
      <c r="X553" s="8" t="s">
        <v>37</v>
      </c>
    </row>
    <row r="554" spans="1:24" x14ac:dyDescent="0.25">
      <c r="A554" t="s">
        <v>1164</v>
      </c>
      <c r="B554" t="s">
        <v>182</v>
      </c>
      <c r="C554" s="1">
        <f t="shared" si="17"/>
        <v>46174</v>
      </c>
      <c r="F554" t="s">
        <v>155</v>
      </c>
      <c r="G554" t="s">
        <v>767</v>
      </c>
      <c r="H554" t="s">
        <v>1661</v>
      </c>
      <c r="I554" t="s">
        <v>18</v>
      </c>
      <c r="J554" t="str">
        <f>IF(COUNTIF(Pays!A:A,X554)=0,"Pays inconnu",_xlfn.XLOOKUP(X554,Pays!A:A,Pays!B:B))</f>
        <v>CH</v>
      </c>
      <c r="K554" t="str">
        <f>IF(COUNTIF(Pays!A:A,X554)=0,"Pays inconnu",_xlfn.XLOOKUP(X554,Pays!A:A,Pays!C:C))</f>
        <v>1_CH</v>
      </c>
      <c r="L554">
        <v>1</v>
      </c>
      <c r="M554">
        <f t="shared" si="16"/>
        <v>0.15</v>
      </c>
      <c r="N554" t="s">
        <v>20</v>
      </c>
      <c r="O554">
        <f>LOOKUP(X554,Pays!A:A,Pays!D:D)</f>
        <v>0</v>
      </c>
      <c r="P554">
        <v>0.15</v>
      </c>
      <c r="Q554">
        <v>0.09</v>
      </c>
      <c r="U554">
        <v>1</v>
      </c>
      <c r="W554">
        <f>IF(COUNTIF(Pays!A:A,X554)=0,"",LOOKUP(X554,Pays!A:A,Pays!E:E))</f>
        <v>0</v>
      </c>
      <c r="X554" s="8" t="s">
        <v>37</v>
      </c>
    </row>
    <row r="555" spans="1:24" x14ac:dyDescent="0.25">
      <c r="A555" t="s">
        <v>1164</v>
      </c>
      <c r="B555" t="s">
        <v>182</v>
      </c>
      <c r="C555" s="1">
        <f t="shared" si="17"/>
        <v>46174</v>
      </c>
      <c r="F555" t="s">
        <v>155</v>
      </c>
      <c r="G555" t="s">
        <v>768</v>
      </c>
      <c r="H555" t="s">
        <v>1662</v>
      </c>
      <c r="I555" t="s">
        <v>18</v>
      </c>
      <c r="J555" t="str">
        <f>IF(COUNTIF(Pays!A:A,X555)=0,"Pays inconnu",_xlfn.XLOOKUP(X555,Pays!A:A,Pays!B:B))</f>
        <v>GB</v>
      </c>
      <c r="K555" t="str">
        <f>IF(COUNTIF(Pays!A:A,X555)=0,"Pays inconnu",_xlfn.XLOOKUP(X555,Pays!A:A,Pays!C:C))</f>
        <v>1_GB</v>
      </c>
      <c r="L555">
        <v>1</v>
      </c>
      <c r="M555">
        <f t="shared" si="16"/>
        <v>0.15</v>
      </c>
      <c r="N555" t="s">
        <v>20</v>
      </c>
      <c r="O555">
        <f>LOOKUP(X555,Pays!A:A,Pays!D:D)</f>
        <v>0</v>
      </c>
      <c r="P555">
        <v>0.15</v>
      </c>
      <c r="Q555">
        <v>0.15</v>
      </c>
      <c r="U555">
        <v>1</v>
      </c>
      <c r="W555">
        <f>IF(COUNTIF(Pays!A:A,X555)=0,"",LOOKUP(X555,Pays!A:A,Pays!E:E))</f>
        <v>0</v>
      </c>
      <c r="X555" s="8" t="s">
        <v>30</v>
      </c>
    </row>
    <row r="556" spans="1:24" x14ac:dyDescent="0.25">
      <c r="A556" t="s">
        <v>1164</v>
      </c>
      <c r="B556" t="s">
        <v>182</v>
      </c>
      <c r="C556" s="1">
        <f t="shared" si="17"/>
        <v>46174</v>
      </c>
      <c r="F556" t="s">
        <v>155</v>
      </c>
      <c r="G556" t="s">
        <v>769</v>
      </c>
      <c r="H556" t="s">
        <v>1663</v>
      </c>
      <c r="I556" t="s">
        <v>18</v>
      </c>
      <c r="J556" t="str">
        <f>IF(COUNTIF(Pays!A:A,X556)=0,"Pays inconnu",_xlfn.XLOOKUP(X556,Pays!A:A,Pays!B:B))</f>
        <v>GB</v>
      </c>
      <c r="K556" t="str">
        <f>IF(COUNTIF(Pays!A:A,X556)=0,"Pays inconnu",_xlfn.XLOOKUP(X556,Pays!A:A,Pays!C:C))</f>
        <v>1_GB</v>
      </c>
      <c r="L556">
        <v>1</v>
      </c>
      <c r="M556">
        <f t="shared" si="16"/>
        <v>0.33</v>
      </c>
      <c r="N556" t="s">
        <v>20</v>
      </c>
      <c r="O556">
        <f>LOOKUP(X556,Pays!A:A,Pays!D:D)</f>
        <v>0</v>
      </c>
      <c r="P556">
        <v>0.15</v>
      </c>
      <c r="Q556">
        <v>0.33</v>
      </c>
      <c r="U556">
        <v>1</v>
      </c>
      <c r="W556">
        <f>IF(COUNTIF(Pays!A:A,X556)=0,"",LOOKUP(X556,Pays!A:A,Pays!E:E))</f>
        <v>0</v>
      </c>
      <c r="X556" s="8" t="s">
        <v>30</v>
      </c>
    </row>
    <row r="557" spans="1:24" x14ac:dyDescent="0.25">
      <c r="A557" t="s">
        <v>1164</v>
      </c>
      <c r="B557" t="s">
        <v>182</v>
      </c>
      <c r="C557" s="1">
        <f t="shared" si="17"/>
        <v>46174</v>
      </c>
      <c r="F557" t="s">
        <v>155</v>
      </c>
      <c r="G557" t="s">
        <v>770</v>
      </c>
      <c r="H557" t="s">
        <v>1664</v>
      </c>
      <c r="I557" t="s">
        <v>18</v>
      </c>
      <c r="J557" t="str">
        <f>IF(COUNTIF(Pays!A:A,X557)=0,"Pays inconnu",_xlfn.XLOOKUP(X557,Pays!A:A,Pays!B:B))</f>
        <v>CH</v>
      </c>
      <c r="K557" t="str">
        <f>IF(COUNTIF(Pays!A:A,X557)=0,"Pays inconnu",_xlfn.XLOOKUP(X557,Pays!A:A,Pays!C:C))</f>
        <v>1_CH</v>
      </c>
      <c r="L557">
        <v>1</v>
      </c>
      <c r="M557">
        <f t="shared" si="16"/>
        <v>0.45</v>
      </c>
      <c r="N557" t="s">
        <v>20</v>
      </c>
      <c r="O557">
        <f>LOOKUP(X557,Pays!A:A,Pays!D:D)</f>
        <v>0</v>
      </c>
      <c r="P557">
        <v>0.15</v>
      </c>
      <c r="Q557">
        <v>0.45</v>
      </c>
      <c r="U557">
        <v>1</v>
      </c>
      <c r="W557">
        <f>IF(COUNTIF(Pays!A:A,X557)=0,"",LOOKUP(X557,Pays!A:A,Pays!E:E))</f>
        <v>0</v>
      </c>
      <c r="X557" s="8" t="s">
        <v>37</v>
      </c>
    </row>
    <row r="558" spans="1:24" x14ac:dyDescent="0.25">
      <c r="A558" t="s">
        <v>1164</v>
      </c>
      <c r="B558" t="s">
        <v>182</v>
      </c>
      <c r="C558" s="1">
        <f t="shared" si="17"/>
        <v>46174</v>
      </c>
      <c r="F558" t="s">
        <v>155</v>
      </c>
      <c r="G558" t="s">
        <v>771</v>
      </c>
      <c r="H558" t="s">
        <v>204</v>
      </c>
      <c r="I558" t="s">
        <v>18</v>
      </c>
      <c r="J558" t="str">
        <f>IF(COUNTIF(Pays!A:A,X558)=0,"Pays inconnu",_xlfn.XLOOKUP(X558,Pays!A:A,Pays!B:B))</f>
        <v>CH</v>
      </c>
      <c r="K558" t="str">
        <f>IF(COUNTIF(Pays!A:A,X558)=0,"Pays inconnu",_xlfn.XLOOKUP(X558,Pays!A:A,Pays!C:C))</f>
        <v>1_CH</v>
      </c>
      <c r="L558">
        <v>1</v>
      </c>
      <c r="M558">
        <f t="shared" si="16"/>
        <v>0.19</v>
      </c>
      <c r="N558" t="s">
        <v>20</v>
      </c>
      <c r="O558">
        <f>LOOKUP(X558,Pays!A:A,Pays!D:D)</f>
        <v>0</v>
      </c>
      <c r="P558">
        <v>0.15</v>
      </c>
      <c r="Q558">
        <v>0.19</v>
      </c>
      <c r="U558">
        <v>1</v>
      </c>
      <c r="W558">
        <f>IF(COUNTIF(Pays!A:A,X558)=0,"",LOOKUP(X558,Pays!A:A,Pays!E:E))</f>
        <v>0</v>
      </c>
      <c r="X558" s="8" t="s">
        <v>37</v>
      </c>
    </row>
    <row r="559" spans="1:24" x14ac:dyDescent="0.25">
      <c r="A559" t="s">
        <v>1164</v>
      </c>
      <c r="B559" t="s">
        <v>182</v>
      </c>
      <c r="C559" s="1">
        <f t="shared" si="17"/>
        <v>46174</v>
      </c>
      <c r="F559" t="s">
        <v>155</v>
      </c>
      <c r="G559" t="s">
        <v>772</v>
      </c>
      <c r="H559" t="s">
        <v>1665</v>
      </c>
      <c r="I559" t="s">
        <v>18</v>
      </c>
      <c r="J559" t="str">
        <f>IF(COUNTIF(Pays!A:A,X559)=0,"Pays inconnu",_xlfn.XLOOKUP(X559,Pays!A:A,Pays!B:B))</f>
        <v>CH</v>
      </c>
      <c r="K559" t="str">
        <f>IF(COUNTIF(Pays!A:A,X559)=0,"Pays inconnu",_xlfn.XLOOKUP(X559,Pays!A:A,Pays!C:C))</f>
        <v>1_CH</v>
      </c>
      <c r="L559">
        <v>1</v>
      </c>
      <c r="M559">
        <f t="shared" si="16"/>
        <v>0.32</v>
      </c>
      <c r="N559" t="s">
        <v>20</v>
      </c>
      <c r="O559">
        <f>LOOKUP(X559,Pays!A:A,Pays!D:D)</f>
        <v>0</v>
      </c>
      <c r="P559">
        <v>0.15</v>
      </c>
      <c r="Q559">
        <v>0.32</v>
      </c>
      <c r="U559">
        <v>1</v>
      </c>
      <c r="W559">
        <f>IF(COUNTIF(Pays!A:A,X559)=0,"",LOOKUP(X559,Pays!A:A,Pays!E:E))</f>
        <v>0</v>
      </c>
      <c r="X559" s="8" t="s">
        <v>37</v>
      </c>
    </row>
    <row r="560" spans="1:24" x14ac:dyDescent="0.25">
      <c r="A560" t="s">
        <v>1165</v>
      </c>
      <c r="B560" t="s">
        <v>182</v>
      </c>
      <c r="C560" s="1">
        <f t="shared" si="17"/>
        <v>46174</v>
      </c>
      <c r="F560" t="s">
        <v>155</v>
      </c>
      <c r="G560" t="s">
        <v>773</v>
      </c>
      <c r="H560" t="s">
        <v>1204</v>
      </c>
      <c r="I560" t="s">
        <v>18</v>
      </c>
      <c r="J560" t="str">
        <f>IF(COUNTIF(Pays!A:A,X560)=0,"Pays inconnu",_xlfn.XLOOKUP(X560,Pays!A:A,Pays!B:B))</f>
        <v>CH</v>
      </c>
      <c r="K560" t="str">
        <f>IF(COUNTIF(Pays!A:A,X560)=0,"Pays inconnu",_xlfn.XLOOKUP(X560,Pays!A:A,Pays!C:C))</f>
        <v>1_CH</v>
      </c>
      <c r="L560">
        <v>1</v>
      </c>
      <c r="M560">
        <f t="shared" si="16"/>
        <v>0.71</v>
      </c>
      <c r="N560" t="s">
        <v>20</v>
      </c>
      <c r="O560">
        <f>LOOKUP(X560,Pays!A:A,Pays!D:D)</f>
        <v>0</v>
      </c>
      <c r="P560">
        <v>0.15</v>
      </c>
      <c r="Q560">
        <v>0.71</v>
      </c>
      <c r="U560">
        <v>1</v>
      </c>
      <c r="W560">
        <f>IF(COUNTIF(Pays!A:A,X560)=0,"",LOOKUP(X560,Pays!A:A,Pays!E:E))</f>
        <v>0</v>
      </c>
      <c r="X560" s="8" t="s">
        <v>37</v>
      </c>
    </row>
    <row r="561" spans="1:24" x14ac:dyDescent="0.25">
      <c r="A561" t="s">
        <v>1165</v>
      </c>
      <c r="B561" t="s">
        <v>182</v>
      </c>
      <c r="C561" s="1">
        <f t="shared" si="17"/>
        <v>46174</v>
      </c>
      <c r="F561" t="s">
        <v>155</v>
      </c>
      <c r="G561" t="s">
        <v>774</v>
      </c>
      <c r="H561" t="s">
        <v>1666</v>
      </c>
      <c r="I561" t="s">
        <v>18</v>
      </c>
      <c r="J561" t="str">
        <f>IF(COUNTIF(Pays!A:A,X561)=0,"Pays inconnu",_xlfn.XLOOKUP(X561,Pays!A:A,Pays!B:B))</f>
        <v>CH</v>
      </c>
      <c r="K561" t="str">
        <f>IF(COUNTIF(Pays!A:A,X561)=0,"Pays inconnu",_xlfn.XLOOKUP(X561,Pays!A:A,Pays!C:C))</f>
        <v>1_CH</v>
      </c>
      <c r="L561">
        <v>1</v>
      </c>
      <c r="M561">
        <f t="shared" si="16"/>
        <v>0.53</v>
      </c>
      <c r="N561" t="s">
        <v>20</v>
      </c>
      <c r="O561">
        <f>LOOKUP(X561,Pays!A:A,Pays!D:D)</f>
        <v>0</v>
      </c>
      <c r="P561">
        <v>0.15</v>
      </c>
      <c r="Q561">
        <v>0.53</v>
      </c>
      <c r="U561">
        <v>1</v>
      </c>
      <c r="W561">
        <f>IF(COUNTIF(Pays!A:A,X561)=0,"",LOOKUP(X561,Pays!A:A,Pays!E:E))</f>
        <v>0</v>
      </c>
      <c r="X561" s="8" t="s">
        <v>37</v>
      </c>
    </row>
    <row r="562" spans="1:24" x14ac:dyDescent="0.25">
      <c r="A562" t="s">
        <v>1165</v>
      </c>
      <c r="B562" t="s">
        <v>182</v>
      </c>
      <c r="C562" s="1">
        <f t="shared" si="17"/>
        <v>46174</v>
      </c>
      <c r="F562" t="s">
        <v>155</v>
      </c>
      <c r="G562" t="s">
        <v>775</v>
      </c>
      <c r="H562" t="s">
        <v>1667</v>
      </c>
      <c r="I562" t="s">
        <v>18</v>
      </c>
      <c r="J562" t="str">
        <f>IF(COUNTIF(Pays!A:A,X562)=0,"Pays inconnu",_xlfn.XLOOKUP(X562,Pays!A:A,Pays!B:B))</f>
        <v>SK</v>
      </c>
      <c r="K562">
        <f>IF(COUNTIF(Pays!A:A,X562)=0,"Pays inconnu",_xlfn.XLOOKUP(X562,Pays!A:A,Pays!C:C))</f>
        <v>1</v>
      </c>
      <c r="L562">
        <v>1</v>
      </c>
      <c r="M562">
        <f t="shared" si="16"/>
        <v>0.71</v>
      </c>
      <c r="N562" t="s">
        <v>20</v>
      </c>
      <c r="O562">
        <f>LOOKUP(X562,Pays!A:A,Pays!D:D)</f>
        <v>0.2</v>
      </c>
      <c r="P562">
        <v>0.15</v>
      </c>
      <c r="Q562">
        <v>0.71</v>
      </c>
      <c r="U562">
        <v>1</v>
      </c>
      <c r="W562">
        <f>IF(COUNTIF(Pays!A:A,X562)=0,"",LOOKUP(X562,Pays!A:A,Pays!E:E))</f>
        <v>0</v>
      </c>
      <c r="X562" s="8" t="s">
        <v>88</v>
      </c>
    </row>
    <row r="563" spans="1:24" x14ac:dyDescent="0.25">
      <c r="A563" t="s">
        <v>1165</v>
      </c>
      <c r="B563" t="s">
        <v>182</v>
      </c>
      <c r="C563" s="1">
        <f t="shared" si="17"/>
        <v>46174</v>
      </c>
      <c r="F563" t="s">
        <v>183</v>
      </c>
      <c r="G563" t="s">
        <v>776</v>
      </c>
      <c r="H563" t="s">
        <v>1668</v>
      </c>
      <c r="I563" t="s">
        <v>18</v>
      </c>
      <c r="J563" t="str">
        <f>IF(COUNTIF(Pays!A:A,X563)=0,"Pays inconnu",_xlfn.XLOOKUP(X563,Pays!A:A,Pays!B:B))</f>
        <v>GB</v>
      </c>
      <c r="K563" t="str">
        <f>IF(COUNTIF(Pays!A:A,X563)=0,"Pays inconnu",_xlfn.XLOOKUP(X563,Pays!A:A,Pays!C:C))</f>
        <v>1_GB</v>
      </c>
      <c r="L563">
        <v>1</v>
      </c>
      <c r="M563">
        <f t="shared" si="16"/>
        <v>0.47</v>
      </c>
      <c r="N563" t="s">
        <v>20</v>
      </c>
      <c r="O563">
        <f>LOOKUP(X563,Pays!A:A,Pays!D:D)</f>
        <v>0</v>
      </c>
      <c r="P563">
        <v>0.15</v>
      </c>
      <c r="Q563">
        <v>0.47</v>
      </c>
      <c r="U563">
        <v>1</v>
      </c>
      <c r="W563">
        <f>IF(COUNTIF(Pays!A:A,X563)=0,"",LOOKUP(X563,Pays!A:A,Pays!E:E))</f>
        <v>0</v>
      </c>
      <c r="X563" s="8" t="s">
        <v>30</v>
      </c>
    </row>
    <row r="564" spans="1:24" x14ac:dyDescent="0.25">
      <c r="A564" t="s">
        <v>1165</v>
      </c>
      <c r="B564" t="s">
        <v>182</v>
      </c>
      <c r="C564" s="1">
        <f t="shared" si="17"/>
        <v>46174</v>
      </c>
      <c r="F564" t="s">
        <v>155</v>
      </c>
      <c r="G564" t="s">
        <v>777</v>
      </c>
      <c r="H564" t="s">
        <v>1669</v>
      </c>
      <c r="I564" t="s">
        <v>18</v>
      </c>
      <c r="J564" t="str">
        <f>IF(COUNTIF(Pays!A:A,X564)=0,"Pays inconnu",_xlfn.XLOOKUP(X564,Pays!A:A,Pays!B:B))</f>
        <v>CZ</v>
      </c>
      <c r="K564">
        <f>IF(COUNTIF(Pays!A:A,X564)=0,"Pays inconnu",_xlfn.XLOOKUP(X564,Pays!A:A,Pays!C:C))</f>
        <v>1</v>
      </c>
      <c r="L564">
        <v>1</v>
      </c>
      <c r="M564">
        <f t="shared" si="16"/>
        <v>0.2</v>
      </c>
      <c r="N564" t="s">
        <v>20</v>
      </c>
      <c r="O564">
        <f>LOOKUP(X564,Pays!A:A,Pays!D:D)</f>
        <v>0.2</v>
      </c>
      <c r="P564">
        <v>0.15</v>
      </c>
      <c r="Q564">
        <v>0.2</v>
      </c>
      <c r="U564">
        <v>1</v>
      </c>
      <c r="W564">
        <f>IF(COUNTIF(Pays!A:A,X564)=0,"",LOOKUP(X564,Pays!A:A,Pays!E:E))</f>
        <v>0</v>
      </c>
      <c r="X564" s="8" t="s">
        <v>87</v>
      </c>
    </row>
    <row r="565" spans="1:24" x14ac:dyDescent="0.25">
      <c r="A565" t="s">
        <v>1165</v>
      </c>
      <c r="B565" t="s">
        <v>182</v>
      </c>
      <c r="C565" s="1">
        <f t="shared" si="17"/>
        <v>46174</v>
      </c>
      <c r="F565" t="s">
        <v>155</v>
      </c>
      <c r="G565" t="s">
        <v>778</v>
      </c>
      <c r="H565" t="s">
        <v>1178</v>
      </c>
      <c r="I565" t="s">
        <v>18</v>
      </c>
      <c r="J565" t="str">
        <f>IF(COUNTIF(Pays!A:A,X565)=0,"Pays inconnu",_xlfn.XLOOKUP(X565,Pays!A:A,Pays!B:B))</f>
        <v>CH</v>
      </c>
      <c r="K565" t="str">
        <f>IF(COUNTIF(Pays!A:A,X565)=0,"Pays inconnu",_xlfn.XLOOKUP(X565,Pays!A:A,Pays!C:C))</f>
        <v>1_CH</v>
      </c>
      <c r="L565">
        <v>1</v>
      </c>
      <c r="M565">
        <f t="shared" si="16"/>
        <v>0.32</v>
      </c>
      <c r="N565" t="s">
        <v>20</v>
      </c>
      <c r="O565">
        <f>LOOKUP(X565,Pays!A:A,Pays!D:D)</f>
        <v>0</v>
      </c>
      <c r="P565">
        <v>0.15</v>
      </c>
      <c r="Q565">
        <v>0.32</v>
      </c>
      <c r="U565">
        <v>1</v>
      </c>
      <c r="W565">
        <f>IF(COUNTIF(Pays!A:A,X565)=0,"",LOOKUP(X565,Pays!A:A,Pays!E:E))</f>
        <v>0</v>
      </c>
      <c r="X565" s="8" t="s">
        <v>37</v>
      </c>
    </row>
    <row r="566" spans="1:24" x14ac:dyDescent="0.25">
      <c r="A566" t="s">
        <v>1165</v>
      </c>
      <c r="B566" t="s">
        <v>182</v>
      </c>
      <c r="C566" s="1">
        <f t="shared" si="17"/>
        <v>46174</v>
      </c>
      <c r="F566" t="s">
        <v>155</v>
      </c>
      <c r="G566" t="s">
        <v>779</v>
      </c>
      <c r="H566" t="s">
        <v>1670</v>
      </c>
      <c r="I566" t="s">
        <v>18</v>
      </c>
      <c r="J566" t="str">
        <f>IF(COUNTIF(Pays!A:A,X566)=0,"Pays inconnu",_xlfn.XLOOKUP(X566,Pays!A:A,Pays!B:B))</f>
        <v>CH</v>
      </c>
      <c r="K566" t="str">
        <f>IF(COUNTIF(Pays!A:A,X566)=0,"Pays inconnu",_xlfn.XLOOKUP(X566,Pays!A:A,Pays!C:C))</f>
        <v>1_CH</v>
      </c>
      <c r="L566">
        <v>1</v>
      </c>
      <c r="M566">
        <f t="shared" si="16"/>
        <v>0.42</v>
      </c>
      <c r="N566" t="s">
        <v>20</v>
      </c>
      <c r="O566">
        <f>LOOKUP(X566,Pays!A:A,Pays!D:D)</f>
        <v>0</v>
      </c>
      <c r="P566">
        <v>0.15</v>
      </c>
      <c r="Q566">
        <v>0.42</v>
      </c>
      <c r="U566">
        <v>1</v>
      </c>
      <c r="W566">
        <f>IF(COUNTIF(Pays!A:A,X566)=0,"",LOOKUP(X566,Pays!A:A,Pays!E:E))</f>
        <v>0</v>
      </c>
      <c r="X566" s="8" t="s">
        <v>37</v>
      </c>
    </row>
    <row r="567" spans="1:24" x14ac:dyDescent="0.25">
      <c r="A567" t="s">
        <v>1165</v>
      </c>
      <c r="B567" t="s">
        <v>182</v>
      </c>
      <c r="C567" s="1">
        <f t="shared" si="17"/>
        <v>46174</v>
      </c>
      <c r="F567" t="s">
        <v>155</v>
      </c>
      <c r="G567" t="s">
        <v>780</v>
      </c>
      <c r="H567" t="s">
        <v>1242</v>
      </c>
      <c r="I567" t="s">
        <v>18</v>
      </c>
      <c r="J567" t="str">
        <f>IF(COUNTIF(Pays!A:A,X567)=0,"Pays inconnu",_xlfn.XLOOKUP(X567,Pays!A:A,Pays!B:B))</f>
        <v>CH</v>
      </c>
      <c r="K567" t="str">
        <f>IF(COUNTIF(Pays!A:A,X567)=0,"Pays inconnu",_xlfn.XLOOKUP(X567,Pays!A:A,Pays!C:C))</f>
        <v>1_CH</v>
      </c>
      <c r="L567">
        <v>1</v>
      </c>
      <c r="M567">
        <f t="shared" si="16"/>
        <v>1.26</v>
      </c>
      <c r="N567" t="s">
        <v>20</v>
      </c>
      <c r="O567">
        <f>LOOKUP(X567,Pays!A:A,Pays!D:D)</f>
        <v>0</v>
      </c>
      <c r="P567">
        <v>0.15</v>
      </c>
      <c r="Q567">
        <v>1.26</v>
      </c>
      <c r="U567">
        <v>1</v>
      </c>
      <c r="W567">
        <f>IF(COUNTIF(Pays!A:A,X567)=0,"",LOOKUP(X567,Pays!A:A,Pays!E:E))</f>
        <v>0</v>
      </c>
      <c r="X567" s="8" t="s">
        <v>37</v>
      </c>
    </row>
    <row r="568" spans="1:24" x14ac:dyDescent="0.25">
      <c r="A568" t="s">
        <v>1165</v>
      </c>
      <c r="B568" t="s">
        <v>182</v>
      </c>
      <c r="C568" s="1">
        <f t="shared" si="17"/>
        <v>46174</v>
      </c>
      <c r="F568" t="s">
        <v>155</v>
      </c>
      <c r="G568" t="s">
        <v>781</v>
      </c>
      <c r="H568" t="s">
        <v>1671</v>
      </c>
      <c r="I568" t="s">
        <v>18</v>
      </c>
      <c r="J568" t="str">
        <f>IF(COUNTIF(Pays!A:A,X568)=0,"Pays inconnu",_xlfn.XLOOKUP(X568,Pays!A:A,Pays!B:B))</f>
        <v>BE</v>
      </c>
      <c r="K568" t="str">
        <f>IF(COUNTIF(Pays!A:A,X568)=0,"Pays inconnu",_xlfn.XLOOKUP(X568,Pays!A:A,Pays!C:C))</f>
        <v>1_BE</v>
      </c>
      <c r="L568">
        <v>1</v>
      </c>
      <c r="M568">
        <f t="shared" si="16"/>
        <v>0.15</v>
      </c>
      <c r="N568" t="s">
        <v>20</v>
      </c>
      <c r="O568">
        <f>LOOKUP(X568,Pays!A:A,Pays!D:D)</f>
        <v>0.2</v>
      </c>
      <c r="P568">
        <v>0.15</v>
      </c>
      <c r="Q568">
        <v>0.11</v>
      </c>
      <c r="U568">
        <v>1</v>
      </c>
      <c r="W568">
        <f>IF(COUNTIF(Pays!A:A,X568)=0,"",LOOKUP(X568,Pays!A:A,Pays!E:E))</f>
        <v>0</v>
      </c>
      <c r="X568" s="8" t="s">
        <v>28</v>
      </c>
    </row>
    <row r="569" spans="1:24" x14ac:dyDescent="0.25">
      <c r="A569" t="s">
        <v>1165</v>
      </c>
      <c r="B569" t="s">
        <v>182</v>
      </c>
      <c r="C569" s="1">
        <f t="shared" si="17"/>
        <v>46174</v>
      </c>
      <c r="F569" t="s">
        <v>155</v>
      </c>
      <c r="G569" t="s">
        <v>782</v>
      </c>
      <c r="H569" t="s">
        <v>1672</v>
      </c>
      <c r="I569" t="s">
        <v>18</v>
      </c>
      <c r="J569" t="str">
        <f>IF(COUNTIF(Pays!A:A,X569)=0,"Pays inconnu",_xlfn.XLOOKUP(X569,Pays!A:A,Pays!B:B))</f>
        <v>CH</v>
      </c>
      <c r="K569" t="str">
        <f>IF(COUNTIF(Pays!A:A,X569)=0,"Pays inconnu",_xlfn.XLOOKUP(X569,Pays!A:A,Pays!C:C))</f>
        <v>1_CH</v>
      </c>
      <c r="L569">
        <v>1</v>
      </c>
      <c r="M569">
        <f t="shared" si="16"/>
        <v>1.1599999999999999</v>
      </c>
      <c r="N569" t="s">
        <v>20</v>
      </c>
      <c r="O569">
        <f>LOOKUP(X569,Pays!A:A,Pays!D:D)</f>
        <v>0</v>
      </c>
      <c r="P569">
        <v>0.15</v>
      </c>
      <c r="Q569">
        <v>1.1599999999999999</v>
      </c>
      <c r="U569">
        <v>1</v>
      </c>
      <c r="W569">
        <f>IF(COUNTIF(Pays!A:A,X569)=0,"",LOOKUP(X569,Pays!A:A,Pays!E:E))</f>
        <v>0</v>
      </c>
      <c r="X569" s="8" t="s">
        <v>37</v>
      </c>
    </row>
    <row r="570" spans="1:24" x14ac:dyDescent="0.25">
      <c r="A570" t="s">
        <v>1165</v>
      </c>
      <c r="B570" t="s">
        <v>182</v>
      </c>
      <c r="C570" s="1">
        <f t="shared" si="17"/>
        <v>46174</v>
      </c>
      <c r="F570" t="s">
        <v>155</v>
      </c>
      <c r="G570" t="s">
        <v>783</v>
      </c>
      <c r="H570" t="s">
        <v>1673</v>
      </c>
      <c r="I570" t="s">
        <v>18</v>
      </c>
      <c r="J570" t="str">
        <f>IF(COUNTIF(Pays!A:A,X570)=0,"Pays inconnu",_xlfn.XLOOKUP(X570,Pays!A:A,Pays!B:B))</f>
        <v>CH</v>
      </c>
      <c r="K570" t="str">
        <f>IF(COUNTIF(Pays!A:A,X570)=0,"Pays inconnu",_xlfn.XLOOKUP(X570,Pays!A:A,Pays!C:C))</f>
        <v>1_CH</v>
      </c>
      <c r="L570">
        <v>1</v>
      </c>
      <c r="M570">
        <f t="shared" si="16"/>
        <v>1.79</v>
      </c>
      <c r="N570" t="s">
        <v>20</v>
      </c>
      <c r="O570">
        <f>LOOKUP(X570,Pays!A:A,Pays!D:D)</f>
        <v>0</v>
      </c>
      <c r="P570">
        <v>0.15</v>
      </c>
      <c r="Q570">
        <v>1.79</v>
      </c>
      <c r="U570">
        <v>1</v>
      </c>
      <c r="W570">
        <f>IF(COUNTIF(Pays!A:A,X570)=0,"",LOOKUP(X570,Pays!A:A,Pays!E:E))</f>
        <v>0</v>
      </c>
      <c r="X570" s="8" t="s">
        <v>37</v>
      </c>
    </row>
    <row r="571" spans="1:24" x14ac:dyDescent="0.25">
      <c r="A571" t="s">
        <v>1165</v>
      </c>
      <c r="B571" t="s">
        <v>182</v>
      </c>
      <c r="C571" s="1">
        <f t="shared" si="17"/>
        <v>46174</v>
      </c>
      <c r="F571" t="s">
        <v>110</v>
      </c>
      <c r="G571" t="s">
        <v>784</v>
      </c>
      <c r="H571" t="s">
        <v>1674</v>
      </c>
      <c r="I571" t="s">
        <v>18</v>
      </c>
      <c r="J571" t="str">
        <f>IF(COUNTIF(Pays!A:A,X571)=0,"Pays inconnu",_xlfn.XLOOKUP(X571,Pays!A:A,Pays!B:B))</f>
        <v>DK</v>
      </c>
      <c r="K571">
        <f>IF(COUNTIF(Pays!A:A,X571)=0,"Pays inconnu",_xlfn.XLOOKUP(X571,Pays!A:A,Pays!C:C))</f>
        <v>1</v>
      </c>
      <c r="L571">
        <v>1</v>
      </c>
      <c r="M571">
        <f t="shared" si="16"/>
        <v>1.58</v>
      </c>
      <c r="N571" t="s">
        <v>20</v>
      </c>
      <c r="O571">
        <f>LOOKUP(X571,Pays!A:A,Pays!D:D)</f>
        <v>0.2</v>
      </c>
      <c r="P571">
        <v>0.15</v>
      </c>
      <c r="Q571">
        <v>1.58</v>
      </c>
      <c r="U571">
        <v>1</v>
      </c>
      <c r="W571">
        <f>IF(COUNTIF(Pays!A:A,X571)=0,"",LOOKUP(X571,Pays!A:A,Pays!E:E))</f>
        <v>0</v>
      </c>
      <c r="X571" s="8" t="s">
        <v>77</v>
      </c>
    </row>
    <row r="572" spans="1:24" x14ac:dyDescent="0.25">
      <c r="A572" t="s">
        <v>1165</v>
      </c>
      <c r="B572" t="s">
        <v>182</v>
      </c>
      <c r="C572" s="1">
        <f t="shared" si="17"/>
        <v>46174</v>
      </c>
      <c r="F572" t="s">
        <v>155</v>
      </c>
      <c r="G572" t="s">
        <v>785</v>
      </c>
      <c r="H572" t="s">
        <v>1675</v>
      </c>
      <c r="I572" t="s">
        <v>18</v>
      </c>
      <c r="J572" t="str">
        <f>IF(COUNTIF(Pays!A:A,X572)=0,"Pays inconnu",_xlfn.XLOOKUP(X572,Pays!A:A,Pays!B:B))</f>
        <v>CH</v>
      </c>
      <c r="K572" t="str">
        <f>IF(COUNTIF(Pays!A:A,X572)=0,"Pays inconnu",_xlfn.XLOOKUP(X572,Pays!A:A,Pays!C:C))</f>
        <v>1_CH</v>
      </c>
      <c r="L572">
        <v>1</v>
      </c>
      <c r="M572">
        <f t="shared" si="16"/>
        <v>0.34</v>
      </c>
      <c r="N572" t="s">
        <v>20</v>
      </c>
      <c r="O572">
        <f>LOOKUP(X572,Pays!A:A,Pays!D:D)</f>
        <v>0</v>
      </c>
      <c r="P572">
        <v>0.15</v>
      </c>
      <c r="Q572">
        <v>0.34</v>
      </c>
      <c r="U572">
        <v>1</v>
      </c>
      <c r="W572">
        <f>IF(COUNTIF(Pays!A:A,X572)=0,"",LOOKUP(X572,Pays!A:A,Pays!E:E))</f>
        <v>0</v>
      </c>
      <c r="X572" s="8" t="s">
        <v>37</v>
      </c>
    </row>
    <row r="573" spans="1:24" x14ac:dyDescent="0.25">
      <c r="A573" t="s">
        <v>1165</v>
      </c>
      <c r="B573" t="s">
        <v>182</v>
      </c>
      <c r="C573" s="1">
        <f t="shared" si="17"/>
        <v>46174</v>
      </c>
      <c r="F573" t="s">
        <v>155</v>
      </c>
      <c r="G573" t="s">
        <v>786</v>
      </c>
      <c r="H573" t="s">
        <v>1676</v>
      </c>
      <c r="I573" t="s">
        <v>18</v>
      </c>
      <c r="J573" t="str">
        <f>IF(COUNTIF(Pays!A:A,X573)=0,"Pays inconnu",_xlfn.XLOOKUP(X573,Pays!A:A,Pays!B:B))</f>
        <v>GB</v>
      </c>
      <c r="K573" t="str">
        <f>IF(COUNTIF(Pays!A:A,X573)=0,"Pays inconnu",_xlfn.XLOOKUP(X573,Pays!A:A,Pays!C:C))</f>
        <v>1_GB</v>
      </c>
      <c r="L573">
        <v>1</v>
      </c>
      <c r="M573">
        <f t="shared" si="16"/>
        <v>0.42</v>
      </c>
      <c r="N573" t="s">
        <v>20</v>
      </c>
      <c r="O573">
        <f>LOOKUP(X573,Pays!A:A,Pays!D:D)</f>
        <v>0</v>
      </c>
      <c r="P573">
        <v>0.15</v>
      </c>
      <c r="Q573">
        <v>0.42</v>
      </c>
      <c r="U573">
        <v>1</v>
      </c>
      <c r="W573">
        <f>IF(COUNTIF(Pays!A:A,X573)=0,"",LOOKUP(X573,Pays!A:A,Pays!E:E))</f>
        <v>0</v>
      </c>
      <c r="X573" s="8" t="s">
        <v>30</v>
      </c>
    </row>
    <row r="574" spans="1:24" x14ac:dyDescent="0.25">
      <c r="A574" t="s">
        <v>1165</v>
      </c>
      <c r="B574" t="s">
        <v>182</v>
      </c>
      <c r="C574" s="1">
        <f t="shared" si="17"/>
        <v>46174</v>
      </c>
      <c r="F574" t="s">
        <v>155</v>
      </c>
      <c r="G574" t="s">
        <v>787</v>
      </c>
      <c r="H574" t="s">
        <v>1677</v>
      </c>
      <c r="I574" t="s">
        <v>18</v>
      </c>
      <c r="J574" t="str">
        <f>IF(COUNTIF(Pays!A:A,X574)=0,"Pays inconnu",_xlfn.XLOOKUP(X574,Pays!A:A,Pays!B:B))</f>
        <v>CH</v>
      </c>
      <c r="K574" t="str">
        <f>IF(COUNTIF(Pays!A:A,X574)=0,"Pays inconnu",_xlfn.XLOOKUP(X574,Pays!A:A,Pays!C:C))</f>
        <v>1_CH</v>
      </c>
      <c r="L574">
        <v>1</v>
      </c>
      <c r="M574">
        <f t="shared" si="16"/>
        <v>0.15</v>
      </c>
      <c r="N574" t="s">
        <v>20</v>
      </c>
      <c r="O574">
        <f>LOOKUP(X574,Pays!A:A,Pays!D:D)</f>
        <v>0</v>
      </c>
      <c r="P574">
        <v>0.15</v>
      </c>
      <c r="Q574">
        <v>0.1</v>
      </c>
      <c r="U574">
        <v>1</v>
      </c>
      <c r="W574">
        <f>IF(COUNTIF(Pays!A:A,X574)=0,"",LOOKUP(X574,Pays!A:A,Pays!E:E))</f>
        <v>0</v>
      </c>
      <c r="X574" s="8" t="s">
        <v>37</v>
      </c>
    </row>
    <row r="575" spans="1:24" x14ac:dyDescent="0.25">
      <c r="A575" t="s">
        <v>1165</v>
      </c>
      <c r="B575" t="s">
        <v>182</v>
      </c>
      <c r="C575" s="1">
        <f t="shared" si="17"/>
        <v>46174</v>
      </c>
      <c r="F575" t="s">
        <v>110</v>
      </c>
      <c r="G575" t="s">
        <v>788</v>
      </c>
      <c r="H575" t="s">
        <v>1678</v>
      </c>
      <c r="I575" t="s">
        <v>18</v>
      </c>
      <c r="J575" t="str">
        <f>IF(COUNTIF(Pays!A:A,X575)=0,"Pays inconnu",_xlfn.XLOOKUP(X575,Pays!A:A,Pays!B:B))</f>
        <v>CH</v>
      </c>
      <c r="K575" t="str">
        <f>IF(COUNTIF(Pays!A:A,X575)=0,"Pays inconnu",_xlfn.XLOOKUP(X575,Pays!A:A,Pays!C:C))</f>
        <v>1_CH</v>
      </c>
      <c r="L575">
        <v>1</v>
      </c>
      <c r="M575">
        <f t="shared" si="16"/>
        <v>0.15</v>
      </c>
      <c r="N575" t="s">
        <v>20</v>
      </c>
      <c r="O575">
        <f>LOOKUP(X575,Pays!A:A,Pays!D:D)</f>
        <v>0</v>
      </c>
      <c r="P575">
        <v>0.15</v>
      </c>
      <c r="Q575">
        <v>0.12</v>
      </c>
      <c r="U575">
        <v>1</v>
      </c>
      <c r="W575">
        <f>IF(COUNTIF(Pays!A:A,X575)=0,"",LOOKUP(X575,Pays!A:A,Pays!E:E))</f>
        <v>0</v>
      </c>
      <c r="X575" s="8" t="s">
        <v>37</v>
      </c>
    </row>
    <row r="576" spans="1:24" x14ac:dyDescent="0.25">
      <c r="A576" t="s">
        <v>1165</v>
      </c>
      <c r="B576" t="s">
        <v>182</v>
      </c>
      <c r="C576" s="1">
        <f t="shared" si="17"/>
        <v>46174</v>
      </c>
      <c r="F576" t="s">
        <v>155</v>
      </c>
      <c r="G576" t="s">
        <v>789</v>
      </c>
      <c r="H576" t="s">
        <v>1679</v>
      </c>
      <c r="I576" t="s">
        <v>18</v>
      </c>
      <c r="J576" t="str">
        <f>IF(COUNTIF(Pays!A:A,X576)=0,"Pays inconnu",_xlfn.XLOOKUP(X576,Pays!A:A,Pays!B:B))</f>
        <v>GB</v>
      </c>
      <c r="K576" t="str">
        <f>IF(COUNTIF(Pays!A:A,X576)=0,"Pays inconnu",_xlfn.XLOOKUP(X576,Pays!A:A,Pays!C:C))</f>
        <v>1_GB</v>
      </c>
      <c r="L576">
        <v>1</v>
      </c>
      <c r="M576">
        <f t="shared" si="16"/>
        <v>0.19</v>
      </c>
      <c r="N576" t="s">
        <v>20</v>
      </c>
      <c r="O576">
        <f>LOOKUP(X576,Pays!A:A,Pays!D:D)</f>
        <v>0</v>
      </c>
      <c r="P576">
        <v>0.15</v>
      </c>
      <c r="Q576">
        <v>0.19</v>
      </c>
      <c r="U576">
        <v>1</v>
      </c>
      <c r="W576">
        <f>IF(COUNTIF(Pays!A:A,X576)=0,"",LOOKUP(X576,Pays!A:A,Pays!E:E))</f>
        <v>0</v>
      </c>
      <c r="X576" s="8" t="s">
        <v>30</v>
      </c>
    </row>
    <row r="577" spans="1:24" x14ac:dyDescent="0.25">
      <c r="A577" t="s">
        <v>1165</v>
      </c>
      <c r="B577" t="s">
        <v>182</v>
      </c>
      <c r="C577" s="1">
        <f t="shared" si="17"/>
        <v>46174</v>
      </c>
      <c r="F577" t="s">
        <v>155</v>
      </c>
      <c r="G577" t="s">
        <v>790</v>
      </c>
      <c r="H577" t="s">
        <v>1680</v>
      </c>
      <c r="I577" t="s">
        <v>18</v>
      </c>
      <c r="J577" t="str">
        <f>IF(COUNTIF(Pays!A:A,X577)=0,"Pays inconnu",_xlfn.XLOOKUP(X577,Pays!A:A,Pays!B:B))</f>
        <v>GB</v>
      </c>
      <c r="K577" t="str">
        <f>IF(COUNTIF(Pays!A:A,X577)=0,"Pays inconnu",_xlfn.XLOOKUP(X577,Pays!A:A,Pays!C:C))</f>
        <v>1_GB</v>
      </c>
      <c r="L577">
        <v>1</v>
      </c>
      <c r="M577">
        <f t="shared" si="16"/>
        <v>0.15</v>
      </c>
      <c r="N577" t="s">
        <v>20</v>
      </c>
      <c r="O577">
        <f>LOOKUP(X577,Pays!A:A,Pays!D:D)</f>
        <v>0</v>
      </c>
      <c r="P577">
        <v>0.15</v>
      </c>
      <c r="Q577">
        <v>0.06</v>
      </c>
      <c r="U577">
        <v>1</v>
      </c>
      <c r="W577">
        <f>IF(COUNTIF(Pays!A:A,X577)=0,"",LOOKUP(X577,Pays!A:A,Pays!E:E))</f>
        <v>0</v>
      </c>
      <c r="X577" s="8" t="s">
        <v>30</v>
      </c>
    </row>
    <row r="578" spans="1:24" x14ac:dyDescent="0.25">
      <c r="A578" t="s">
        <v>1165</v>
      </c>
      <c r="B578" t="s">
        <v>182</v>
      </c>
      <c r="C578" s="1">
        <f t="shared" si="17"/>
        <v>46174</v>
      </c>
      <c r="F578" t="s">
        <v>155</v>
      </c>
      <c r="G578" t="s">
        <v>791</v>
      </c>
      <c r="H578" t="s">
        <v>1681</v>
      </c>
      <c r="I578" t="s">
        <v>18</v>
      </c>
      <c r="J578" t="str">
        <f>IF(COUNTIF(Pays!A:A,X578)=0,"Pays inconnu",_xlfn.XLOOKUP(X578,Pays!A:A,Pays!B:B))</f>
        <v>CH</v>
      </c>
      <c r="K578" t="str">
        <f>IF(COUNTIF(Pays!A:A,X578)=0,"Pays inconnu",_xlfn.XLOOKUP(X578,Pays!A:A,Pays!C:C))</f>
        <v>1_CH</v>
      </c>
      <c r="L578">
        <v>1</v>
      </c>
      <c r="M578">
        <f t="shared" si="16"/>
        <v>0.75</v>
      </c>
      <c r="N578" t="s">
        <v>20</v>
      </c>
      <c r="O578">
        <f>LOOKUP(X578,Pays!A:A,Pays!D:D)</f>
        <v>0</v>
      </c>
      <c r="P578">
        <v>0.15</v>
      </c>
      <c r="Q578">
        <v>0.75</v>
      </c>
      <c r="U578">
        <v>1</v>
      </c>
      <c r="W578">
        <f>IF(COUNTIF(Pays!A:A,X578)=0,"",LOOKUP(X578,Pays!A:A,Pays!E:E))</f>
        <v>0</v>
      </c>
      <c r="X578" s="8" t="s">
        <v>37</v>
      </c>
    </row>
    <row r="579" spans="1:24" x14ac:dyDescent="0.25">
      <c r="A579" t="s">
        <v>1165</v>
      </c>
      <c r="B579" t="s">
        <v>182</v>
      </c>
      <c r="C579" s="1">
        <f t="shared" si="17"/>
        <v>46174</v>
      </c>
      <c r="F579" t="s">
        <v>155</v>
      </c>
      <c r="G579" t="s">
        <v>792</v>
      </c>
      <c r="H579" t="s">
        <v>1682</v>
      </c>
      <c r="I579" t="s">
        <v>18</v>
      </c>
      <c r="J579" t="str">
        <f>IF(COUNTIF(Pays!A:A,X579)=0,"Pays inconnu",_xlfn.XLOOKUP(X579,Pays!A:A,Pays!B:B))</f>
        <v>CH</v>
      </c>
      <c r="K579" t="str">
        <f>IF(COUNTIF(Pays!A:A,X579)=0,"Pays inconnu",_xlfn.XLOOKUP(X579,Pays!A:A,Pays!C:C))</f>
        <v>1_CH</v>
      </c>
      <c r="L579">
        <v>1</v>
      </c>
      <c r="M579">
        <f t="shared" ref="M579:M642" si="18">ROUND(MAX(P579:Q579),2)</f>
        <v>0.72</v>
      </c>
      <c r="N579" t="s">
        <v>20</v>
      </c>
      <c r="O579">
        <f>LOOKUP(X579,Pays!A:A,Pays!D:D)</f>
        <v>0</v>
      </c>
      <c r="P579">
        <v>0.15</v>
      </c>
      <c r="Q579">
        <v>0.72</v>
      </c>
      <c r="U579">
        <v>1</v>
      </c>
      <c r="W579">
        <f>IF(COUNTIF(Pays!A:A,X579)=0,"",LOOKUP(X579,Pays!A:A,Pays!E:E))</f>
        <v>0</v>
      </c>
      <c r="X579" s="8" t="s">
        <v>37</v>
      </c>
    </row>
    <row r="580" spans="1:24" x14ac:dyDescent="0.25">
      <c r="A580" t="s">
        <v>1165</v>
      </c>
      <c r="B580" t="s">
        <v>182</v>
      </c>
      <c r="C580" s="1">
        <f t="shared" ref="C580:C643" si="19">C579</f>
        <v>46174</v>
      </c>
      <c r="F580" t="s">
        <v>155</v>
      </c>
      <c r="G580" t="s">
        <v>793</v>
      </c>
      <c r="H580" t="s">
        <v>1683</v>
      </c>
      <c r="I580" t="s">
        <v>18</v>
      </c>
      <c r="J580" t="str">
        <f>IF(COUNTIF(Pays!A:A,X580)=0,"Pays inconnu",_xlfn.XLOOKUP(X580,Pays!A:A,Pays!B:B))</f>
        <v>CH</v>
      </c>
      <c r="K580" t="str">
        <f>IF(COUNTIF(Pays!A:A,X580)=0,"Pays inconnu",_xlfn.XLOOKUP(X580,Pays!A:A,Pays!C:C))</f>
        <v>1_CH</v>
      </c>
      <c r="L580">
        <v>1</v>
      </c>
      <c r="M580">
        <f t="shared" si="18"/>
        <v>0.17</v>
      </c>
      <c r="N580" t="s">
        <v>20</v>
      </c>
      <c r="O580">
        <f>LOOKUP(X580,Pays!A:A,Pays!D:D)</f>
        <v>0</v>
      </c>
      <c r="P580">
        <v>0.15</v>
      </c>
      <c r="Q580">
        <v>0.17</v>
      </c>
      <c r="U580">
        <v>1</v>
      </c>
      <c r="W580">
        <f>IF(COUNTIF(Pays!A:A,X580)=0,"",LOOKUP(X580,Pays!A:A,Pays!E:E))</f>
        <v>0</v>
      </c>
      <c r="X580" s="8" t="s">
        <v>37</v>
      </c>
    </row>
    <row r="581" spans="1:24" x14ac:dyDescent="0.25">
      <c r="A581" t="s">
        <v>1165</v>
      </c>
      <c r="B581" t="s">
        <v>182</v>
      </c>
      <c r="C581" s="1">
        <f t="shared" si="19"/>
        <v>46174</v>
      </c>
      <c r="F581" t="s">
        <v>155</v>
      </c>
      <c r="G581" t="s">
        <v>794</v>
      </c>
      <c r="H581" t="s">
        <v>1684</v>
      </c>
      <c r="I581" t="s">
        <v>18</v>
      </c>
      <c r="J581" t="str">
        <f>IF(COUNTIF(Pays!A:A,X581)=0,"Pays inconnu",_xlfn.XLOOKUP(X581,Pays!A:A,Pays!B:B))</f>
        <v>CH</v>
      </c>
      <c r="K581" t="str">
        <f>IF(COUNTIF(Pays!A:A,X581)=0,"Pays inconnu",_xlfn.XLOOKUP(X581,Pays!A:A,Pays!C:C))</f>
        <v>1_CH</v>
      </c>
      <c r="L581">
        <v>1</v>
      </c>
      <c r="M581">
        <f t="shared" si="18"/>
        <v>0.63</v>
      </c>
      <c r="N581" t="s">
        <v>20</v>
      </c>
      <c r="O581">
        <f>LOOKUP(X581,Pays!A:A,Pays!D:D)</f>
        <v>0</v>
      </c>
      <c r="P581">
        <v>0.15</v>
      </c>
      <c r="Q581">
        <v>0.63</v>
      </c>
      <c r="U581">
        <v>1</v>
      </c>
      <c r="W581">
        <f>IF(COUNTIF(Pays!A:A,X581)=0,"",LOOKUP(X581,Pays!A:A,Pays!E:E))</f>
        <v>0</v>
      </c>
      <c r="X581" s="8" t="s">
        <v>37</v>
      </c>
    </row>
    <row r="582" spans="1:24" x14ac:dyDescent="0.25">
      <c r="A582" t="s">
        <v>1165</v>
      </c>
      <c r="B582" t="s">
        <v>182</v>
      </c>
      <c r="C582" s="1">
        <f t="shared" si="19"/>
        <v>46174</v>
      </c>
      <c r="F582" t="s">
        <v>155</v>
      </c>
      <c r="G582" t="s">
        <v>795</v>
      </c>
      <c r="H582" t="s">
        <v>1685</v>
      </c>
      <c r="I582" t="s">
        <v>18</v>
      </c>
      <c r="J582" t="str">
        <f>IF(COUNTIF(Pays!A:A,X582)=0,"Pays inconnu",_xlfn.XLOOKUP(X582,Pays!A:A,Pays!B:B))</f>
        <v>GB</v>
      </c>
      <c r="K582" t="str">
        <f>IF(COUNTIF(Pays!A:A,X582)=0,"Pays inconnu",_xlfn.XLOOKUP(X582,Pays!A:A,Pays!C:C))</f>
        <v>1_GB</v>
      </c>
      <c r="L582">
        <v>1</v>
      </c>
      <c r="M582">
        <f t="shared" si="18"/>
        <v>0.28999999999999998</v>
      </c>
      <c r="N582" t="s">
        <v>20</v>
      </c>
      <c r="O582">
        <f>LOOKUP(X582,Pays!A:A,Pays!D:D)</f>
        <v>0</v>
      </c>
      <c r="P582">
        <v>0.15</v>
      </c>
      <c r="Q582">
        <v>0.28999999999999998</v>
      </c>
      <c r="U582">
        <v>1</v>
      </c>
      <c r="W582">
        <f>IF(COUNTIF(Pays!A:A,X582)=0,"",LOOKUP(X582,Pays!A:A,Pays!E:E))</f>
        <v>0</v>
      </c>
      <c r="X582" s="8" t="s">
        <v>30</v>
      </c>
    </row>
    <row r="583" spans="1:24" x14ac:dyDescent="0.25">
      <c r="A583" t="s">
        <v>1165</v>
      </c>
      <c r="B583" t="s">
        <v>182</v>
      </c>
      <c r="C583" s="1">
        <f t="shared" si="19"/>
        <v>46174</v>
      </c>
      <c r="F583" t="s">
        <v>155</v>
      </c>
      <c r="G583" t="s">
        <v>796</v>
      </c>
      <c r="H583" t="s">
        <v>1686</v>
      </c>
      <c r="I583" t="s">
        <v>18</v>
      </c>
      <c r="J583" t="str">
        <f>IF(COUNTIF(Pays!A:A,X583)=0,"Pays inconnu",_xlfn.XLOOKUP(X583,Pays!A:A,Pays!B:B))</f>
        <v>GB</v>
      </c>
      <c r="K583" t="str">
        <f>IF(COUNTIF(Pays!A:A,X583)=0,"Pays inconnu",_xlfn.XLOOKUP(X583,Pays!A:A,Pays!C:C))</f>
        <v>1_GB</v>
      </c>
      <c r="L583">
        <v>1</v>
      </c>
      <c r="M583">
        <f t="shared" si="18"/>
        <v>0.15</v>
      </c>
      <c r="N583" t="s">
        <v>20</v>
      </c>
      <c r="O583">
        <f>LOOKUP(X583,Pays!A:A,Pays!D:D)</f>
        <v>0</v>
      </c>
      <c r="P583">
        <v>0.15</v>
      </c>
      <c r="Q583">
        <v>0.11</v>
      </c>
      <c r="U583">
        <v>1</v>
      </c>
      <c r="W583">
        <f>IF(COUNTIF(Pays!A:A,X583)=0,"",LOOKUP(X583,Pays!A:A,Pays!E:E))</f>
        <v>0</v>
      </c>
      <c r="X583" s="8" t="s">
        <v>30</v>
      </c>
    </row>
    <row r="584" spans="1:24" x14ac:dyDescent="0.25">
      <c r="A584" t="s">
        <v>1165</v>
      </c>
      <c r="B584" t="s">
        <v>182</v>
      </c>
      <c r="C584" s="1">
        <f t="shared" si="19"/>
        <v>46174</v>
      </c>
      <c r="F584" t="s">
        <v>155</v>
      </c>
      <c r="G584" t="s">
        <v>797</v>
      </c>
      <c r="H584" t="s">
        <v>1687</v>
      </c>
      <c r="I584" t="s">
        <v>18</v>
      </c>
      <c r="J584" t="str">
        <f>IF(COUNTIF(Pays!A:A,X584)=0,"Pays inconnu",_xlfn.XLOOKUP(X584,Pays!A:A,Pays!B:B))</f>
        <v>GB</v>
      </c>
      <c r="K584" t="str">
        <f>IF(COUNTIF(Pays!A:A,X584)=0,"Pays inconnu",_xlfn.XLOOKUP(X584,Pays!A:A,Pays!C:C))</f>
        <v>1_GB</v>
      </c>
      <c r="L584">
        <v>1</v>
      </c>
      <c r="M584">
        <f t="shared" si="18"/>
        <v>0.16</v>
      </c>
      <c r="N584" t="s">
        <v>20</v>
      </c>
      <c r="O584">
        <f>LOOKUP(X584,Pays!A:A,Pays!D:D)</f>
        <v>0</v>
      </c>
      <c r="P584">
        <v>0.15</v>
      </c>
      <c r="Q584">
        <v>0.16</v>
      </c>
      <c r="U584">
        <v>1</v>
      </c>
      <c r="W584">
        <f>IF(COUNTIF(Pays!A:A,X584)=0,"",LOOKUP(X584,Pays!A:A,Pays!E:E))</f>
        <v>0</v>
      </c>
      <c r="X584" s="8" t="s">
        <v>30</v>
      </c>
    </row>
    <row r="585" spans="1:24" x14ac:dyDescent="0.25">
      <c r="A585" t="s">
        <v>1165</v>
      </c>
      <c r="B585" t="s">
        <v>182</v>
      </c>
      <c r="C585" s="1">
        <f t="shared" si="19"/>
        <v>46174</v>
      </c>
      <c r="F585" t="s">
        <v>155</v>
      </c>
      <c r="G585" t="s">
        <v>798</v>
      </c>
      <c r="H585" t="s">
        <v>1688</v>
      </c>
      <c r="I585" t="s">
        <v>18</v>
      </c>
      <c r="J585" t="str">
        <f>IF(COUNTIF(Pays!A:A,X585)=0,"Pays inconnu",_xlfn.XLOOKUP(X585,Pays!A:A,Pays!B:B))</f>
        <v>GB</v>
      </c>
      <c r="K585" t="str">
        <f>IF(COUNTIF(Pays!A:A,X585)=0,"Pays inconnu",_xlfn.XLOOKUP(X585,Pays!A:A,Pays!C:C))</f>
        <v>1_GB</v>
      </c>
      <c r="L585">
        <v>1</v>
      </c>
      <c r="M585">
        <f t="shared" si="18"/>
        <v>0.15</v>
      </c>
      <c r="N585" t="s">
        <v>20</v>
      </c>
      <c r="O585">
        <f>LOOKUP(X585,Pays!A:A,Pays!D:D)</f>
        <v>0</v>
      </c>
      <c r="P585">
        <v>0.15</v>
      </c>
      <c r="Q585">
        <v>0.03</v>
      </c>
      <c r="U585">
        <v>1</v>
      </c>
      <c r="W585">
        <f>IF(COUNTIF(Pays!A:A,X585)=0,"",LOOKUP(X585,Pays!A:A,Pays!E:E))</f>
        <v>0</v>
      </c>
      <c r="X585" s="8" t="s">
        <v>30</v>
      </c>
    </row>
    <row r="586" spans="1:24" x14ac:dyDescent="0.25">
      <c r="A586" t="s">
        <v>1165</v>
      </c>
      <c r="B586" t="s">
        <v>182</v>
      </c>
      <c r="C586" s="1">
        <f t="shared" si="19"/>
        <v>46174</v>
      </c>
      <c r="F586" t="s">
        <v>155</v>
      </c>
      <c r="G586" t="s">
        <v>799</v>
      </c>
      <c r="H586" t="s">
        <v>1204</v>
      </c>
      <c r="I586" t="s">
        <v>18</v>
      </c>
      <c r="J586" t="str">
        <f>IF(COUNTIF(Pays!A:A,X586)=0,"Pays inconnu",_xlfn.XLOOKUP(X586,Pays!A:A,Pays!B:B))</f>
        <v>CH</v>
      </c>
      <c r="K586" t="str">
        <f>IF(COUNTIF(Pays!A:A,X586)=0,"Pays inconnu",_xlfn.XLOOKUP(X586,Pays!A:A,Pays!C:C))</f>
        <v>1_CH</v>
      </c>
      <c r="L586">
        <v>1</v>
      </c>
      <c r="M586">
        <f t="shared" si="18"/>
        <v>0.72</v>
      </c>
      <c r="N586" t="s">
        <v>20</v>
      </c>
      <c r="O586">
        <f>LOOKUP(X586,Pays!A:A,Pays!D:D)</f>
        <v>0</v>
      </c>
      <c r="P586">
        <v>0.15</v>
      </c>
      <c r="Q586">
        <v>0.72</v>
      </c>
      <c r="U586">
        <v>1</v>
      </c>
      <c r="W586">
        <f>IF(COUNTIF(Pays!A:A,X586)=0,"",LOOKUP(X586,Pays!A:A,Pays!E:E))</f>
        <v>0</v>
      </c>
      <c r="X586" s="8" t="s">
        <v>37</v>
      </c>
    </row>
    <row r="587" spans="1:24" x14ac:dyDescent="0.25">
      <c r="A587" t="s">
        <v>1165</v>
      </c>
      <c r="B587" t="s">
        <v>182</v>
      </c>
      <c r="C587" s="1">
        <f t="shared" si="19"/>
        <v>46174</v>
      </c>
      <c r="F587" t="s">
        <v>155</v>
      </c>
      <c r="G587" t="s">
        <v>800</v>
      </c>
      <c r="H587" t="s">
        <v>1689</v>
      </c>
      <c r="I587" t="s">
        <v>18</v>
      </c>
      <c r="J587" t="str">
        <f>IF(COUNTIF(Pays!A:A,X587)=0,"Pays inconnu",_xlfn.XLOOKUP(X587,Pays!A:A,Pays!B:B))</f>
        <v>CH</v>
      </c>
      <c r="K587" t="str">
        <f>IF(COUNTIF(Pays!A:A,X587)=0,"Pays inconnu",_xlfn.XLOOKUP(X587,Pays!A:A,Pays!C:C))</f>
        <v>1_CH</v>
      </c>
      <c r="L587">
        <v>1</v>
      </c>
      <c r="M587">
        <f t="shared" si="18"/>
        <v>0.15</v>
      </c>
      <c r="N587" t="s">
        <v>20</v>
      </c>
      <c r="O587">
        <f>LOOKUP(X587,Pays!A:A,Pays!D:D)</f>
        <v>0</v>
      </c>
      <c r="P587">
        <v>0.15</v>
      </c>
      <c r="Q587">
        <v>0.14000000000000001</v>
      </c>
      <c r="U587">
        <v>1</v>
      </c>
      <c r="W587">
        <f>IF(COUNTIF(Pays!A:A,X587)=0,"",LOOKUP(X587,Pays!A:A,Pays!E:E))</f>
        <v>0</v>
      </c>
      <c r="X587" s="8" t="s">
        <v>37</v>
      </c>
    </row>
    <row r="588" spans="1:24" x14ac:dyDescent="0.25">
      <c r="A588" t="s">
        <v>1165</v>
      </c>
      <c r="B588" t="s">
        <v>182</v>
      </c>
      <c r="C588" s="1">
        <f t="shared" si="19"/>
        <v>46174</v>
      </c>
      <c r="F588" t="s">
        <v>155</v>
      </c>
      <c r="G588" t="s">
        <v>801</v>
      </c>
      <c r="H588" t="s">
        <v>1508</v>
      </c>
      <c r="I588" t="s">
        <v>18</v>
      </c>
      <c r="J588" t="str">
        <f>IF(COUNTIF(Pays!A:A,X588)=0,"Pays inconnu",_xlfn.XLOOKUP(X588,Pays!A:A,Pays!B:B))</f>
        <v>CH</v>
      </c>
      <c r="K588" t="str">
        <f>IF(COUNTIF(Pays!A:A,X588)=0,"Pays inconnu",_xlfn.XLOOKUP(X588,Pays!A:A,Pays!C:C))</f>
        <v>1_CH</v>
      </c>
      <c r="L588">
        <v>1</v>
      </c>
      <c r="M588">
        <f t="shared" si="18"/>
        <v>0.86</v>
      </c>
      <c r="N588" t="s">
        <v>20</v>
      </c>
      <c r="O588">
        <f>LOOKUP(X588,Pays!A:A,Pays!D:D)</f>
        <v>0</v>
      </c>
      <c r="P588">
        <v>0.15</v>
      </c>
      <c r="Q588">
        <v>0.86</v>
      </c>
      <c r="U588">
        <v>1</v>
      </c>
      <c r="W588">
        <f>IF(COUNTIF(Pays!A:A,X588)=0,"",LOOKUP(X588,Pays!A:A,Pays!E:E))</f>
        <v>0</v>
      </c>
      <c r="X588" s="8" t="s">
        <v>37</v>
      </c>
    </row>
    <row r="589" spans="1:24" x14ac:dyDescent="0.25">
      <c r="A589" t="s">
        <v>1165</v>
      </c>
      <c r="B589" t="s">
        <v>182</v>
      </c>
      <c r="C589" s="1">
        <f t="shared" si="19"/>
        <v>46174</v>
      </c>
      <c r="F589" t="s">
        <v>155</v>
      </c>
      <c r="G589" t="s">
        <v>802</v>
      </c>
      <c r="H589" t="s">
        <v>1690</v>
      </c>
      <c r="I589" t="s">
        <v>18</v>
      </c>
      <c r="J589" t="str">
        <f>IF(COUNTIF(Pays!A:A,X589)=0,"Pays inconnu",_xlfn.XLOOKUP(X589,Pays!A:A,Pays!B:B))</f>
        <v>GB</v>
      </c>
      <c r="K589" t="str">
        <f>IF(COUNTIF(Pays!A:A,X589)=0,"Pays inconnu",_xlfn.XLOOKUP(X589,Pays!A:A,Pays!C:C))</f>
        <v>1_GB</v>
      </c>
      <c r="L589">
        <v>1</v>
      </c>
      <c r="M589">
        <f t="shared" si="18"/>
        <v>0.26</v>
      </c>
      <c r="N589" t="s">
        <v>20</v>
      </c>
      <c r="O589">
        <f>LOOKUP(X589,Pays!A:A,Pays!D:D)</f>
        <v>0</v>
      </c>
      <c r="P589">
        <v>0.15</v>
      </c>
      <c r="Q589">
        <v>0.26</v>
      </c>
      <c r="U589">
        <v>1</v>
      </c>
      <c r="W589">
        <f>IF(COUNTIF(Pays!A:A,X589)=0,"",LOOKUP(X589,Pays!A:A,Pays!E:E))</f>
        <v>0</v>
      </c>
      <c r="X589" s="8" t="s">
        <v>30</v>
      </c>
    </row>
    <row r="590" spans="1:24" x14ac:dyDescent="0.25">
      <c r="A590" t="s">
        <v>1165</v>
      </c>
      <c r="B590" t="s">
        <v>182</v>
      </c>
      <c r="C590" s="1">
        <f t="shared" si="19"/>
        <v>46174</v>
      </c>
      <c r="F590" t="s">
        <v>181</v>
      </c>
      <c r="G590" t="s">
        <v>803</v>
      </c>
      <c r="H590" t="s">
        <v>1691</v>
      </c>
      <c r="I590" t="s">
        <v>18</v>
      </c>
      <c r="J590" t="str">
        <f>IF(COUNTIF(Pays!A:A,X590)=0,"Pays inconnu",_xlfn.XLOOKUP(X590,Pays!A:A,Pays!B:B))</f>
        <v>GB</v>
      </c>
      <c r="K590" t="str">
        <f>IF(COUNTIF(Pays!A:A,X590)=0,"Pays inconnu",_xlfn.XLOOKUP(X590,Pays!A:A,Pays!C:C))</f>
        <v>1_GB</v>
      </c>
      <c r="L590">
        <v>1</v>
      </c>
      <c r="M590">
        <f t="shared" si="18"/>
        <v>0.23</v>
      </c>
      <c r="N590" t="s">
        <v>20</v>
      </c>
      <c r="O590">
        <f>LOOKUP(X590,Pays!A:A,Pays!D:D)</f>
        <v>0</v>
      </c>
      <c r="P590">
        <v>0.15</v>
      </c>
      <c r="Q590">
        <v>0.23</v>
      </c>
      <c r="U590">
        <v>1</v>
      </c>
      <c r="W590">
        <f>IF(COUNTIF(Pays!A:A,X590)=0,"",LOOKUP(X590,Pays!A:A,Pays!E:E))</f>
        <v>0</v>
      </c>
      <c r="X590" s="8" t="s">
        <v>30</v>
      </c>
    </row>
    <row r="591" spans="1:24" x14ac:dyDescent="0.25">
      <c r="A591" t="s">
        <v>1165</v>
      </c>
      <c r="B591" t="s">
        <v>182</v>
      </c>
      <c r="C591" s="1">
        <f t="shared" si="19"/>
        <v>46174</v>
      </c>
      <c r="F591" t="s">
        <v>155</v>
      </c>
      <c r="G591" t="s">
        <v>804</v>
      </c>
      <c r="H591" t="s">
        <v>1692</v>
      </c>
      <c r="I591" t="s">
        <v>18</v>
      </c>
      <c r="J591" t="str">
        <f>IF(COUNTIF(Pays!A:A,X591)=0,"Pays inconnu",_xlfn.XLOOKUP(X591,Pays!A:A,Pays!B:B))</f>
        <v>CH</v>
      </c>
      <c r="K591" t="str">
        <f>IF(COUNTIF(Pays!A:A,X591)=0,"Pays inconnu",_xlfn.XLOOKUP(X591,Pays!A:A,Pays!C:C))</f>
        <v>1_CH</v>
      </c>
      <c r="L591">
        <v>1</v>
      </c>
      <c r="M591">
        <f t="shared" si="18"/>
        <v>0.34</v>
      </c>
      <c r="N591" t="s">
        <v>20</v>
      </c>
      <c r="O591">
        <f>LOOKUP(X591,Pays!A:A,Pays!D:D)</f>
        <v>0</v>
      </c>
      <c r="P591">
        <v>0.15</v>
      </c>
      <c r="Q591">
        <v>0.34</v>
      </c>
      <c r="U591">
        <v>1</v>
      </c>
      <c r="W591">
        <f>IF(COUNTIF(Pays!A:A,X591)=0,"",LOOKUP(X591,Pays!A:A,Pays!E:E))</f>
        <v>0</v>
      </c>
      <c r="X591" s="8" t="s">
        <v>37</v>
      </c>
    </row>
    <row r="592" spans="1:24" x14ac:dyDescent="0.25">
      <c r="A592" t="s">
        <v>1165</v>
      </c>
      <c r="B592" t="s">
        <v>182</v>
      </c>
      <c r="C592" s="1">
        <f t="shared" si="19"/>
        <v>46174</v>
      </c>
      <c r="F592" t="s">
        <v>155</v>
      </c>
      <c r="G592" t="s">
        <v>805</v>
      </c>
      <c r="H592" t="s">
        <v>1693</v>
      </c>
      <c r="I592" t="s">
        <v>18</v>
      </c>
      <c r="J592" t="str">
        <f>IF(COUNTIF(Pays!A:A,X592)=0,"Pays inconnu",_xlfn.XLOOKUP(X592,Pays!A:A,Pays!B:B))</f>
        <v>CH</v>
      </c>
      <c r="K592" t="str">
        <f>IF(COUNTIF(Pays!A:A,X592)=0,"Pays inconnu",_xlfn.XLOOKUP(X592,Pays!A:A,Pays!C:C))</f>
        <v>1_CH</v>
      </c>
      <c r="L592">
        <v>1</v>
      </c>
      <c r="M592">
        <f t="shared" si="18"/>
        <v>0.42</v>
      </c>
      <c r="N592" t="s">
        <v>20</v>
      </c>
      <c r="O592">
        <f>LOOKUP(X592,Pays!A:A,Pays!D:D)</f>
        <v>0</v>
      </c>
      <c r="P592">
        <v>0.15</v>
      </c>
      <c r="Q592">
        <v>0.42</v>
      </c>
      <c r="U592">
        <v>1</v>
      </c>
      <c r="W592">
        <f>IF(COUNTIF(Pays!A:A,X592)=0,"",LOOKUP(X592,Pays!A:A,Pays!E:E))</f>
        <v>0</v>
      </c>
      <c r="X592" s="8" t="s">
        <v>37</v>
      </c>
    </row>
    <row r="593" spans="1:24" x14ac:dyDescent="0.25">
      <c r="A593" t="s">
        <v>1165</v>
      </c>
      <c r="B593" t="s">
        <v>182</v>
      </c>
      <c r="C593" s="1">
        <f t="shared" si="19"/>
        <v>46174</v>
      </c>
      <c r="F593" t="s">
        <v>110</v>
      </c>
      <c r="G593" t="s">
        <v>806</v>
      </c>
      <c r="H593" t="s">
        <v>1694</v>
      </c>
      <c r="I593" t="s">
        <v>18</v>
      </c>
      <c r="J593" t="str">
        <f>IF(COUNTIF(Pays!A:A,X593)=0,"Pays inconnu",_xlfn.XLOOKUP(X593,Pays!A:A,Pays!B:B))</f>
        <v>CH</v>
      </c>
      <c r="K593" t="str">
        <f>IF(COUNTIF(Pays!A:A,X593)=0,"Pays inconnu",_xlfn.XLOOKUP(X593,Pays!A:A,Pays!C:C))</f>
        <v>1_CH</v>
      </c>
      <c r="L593">
        <v>1</v>
      </c>
      <c r="M593">
        <f t="shared" si="18"/>
        <v>0.2</v>
      </c>
      <c r="N593" t="s">
        <v>20</v>
      </c>
      <c r="O593">
        <f>LOOKUP(X593,Pays!A:A,Pays!D:D)</f>
        <v>0</v>
      </c>
      <c r="P593">
        <v>0.15</v>
      </c>
      <c r="Q593">
        <v>0.2</v>
      </c>
      <c r="U593">
        <v>1</v>
      </c>
      <c r="W593">
        <f>IF(COUNTIF(Pays!A:A,X593)=0,"",LOOKUP(X593,Pays!A:A,Pays!E:E))</f>
        <v>0</v>
      </c>
      <c r="X593" s="8" t="s">
        <v>37</v>
      </c>
    </row>
    <row r="594" spans="1:24" x14ac:dyDescent="0.25">
      <c r="A594" t="s">
        <v>1165</v>
      </c>
      <c r="B594" t="s">
        <v>182</v>
      </c>
      <c r="C594" s="1">
        <f t="shared" si="19"/>
        <v>46174</v>
      </c>
      <c r="F594" t="s">
        <v>155</v>
      </c>
      <c r="G594" t="s">
        <v>807</v>
      </c>
      <c r="H594" t="s">
        <v>1695</v>
      </c>
      <c r="I594" t="s">
        <v>18</v>
      </c>
      <c r="J594" t="str">
        <f>IF(COUNTIF(Pays!A:A,X594)=0,"Pays inconnu",_xlfn.XLOOKUP(X594,Pays!A:A,Pays!B:B))</f>
        <v>CH</v>
      </c>
      <c r="K594" t="str">
        <f>IF(COUNTIF(Pays!A:A,X594)=0,"Pays inconnu",_xlfn.XLOOKUP(X594,Pays!A:A,Pays!C:C))</f>
        <v>1_CH</v>
      </c>
      <c r="L594">
        <v>1</v>
      </c>
      <c r="M594">
        <f t="shared" si="18"/>
        <v>0.17</v>
      </c>
      <c r="N594" t="s">
        <v>20</v>
      </c>
      <c r="O594">
        <f>LOOKUP(X594,Pays!A:A,Pays!D:D)</f>
        <v>0</v>
      </c>
      <c r="P594">
        <v>0.15</v>
      </c>
      <c r="Q594">
        <v>0.17</v>
      </c>
      <c r="U594">
        <v>1</v>
      </c>
      <c r="W594">
        <f>IF(COUNTIF(Pays!A:A,X594)=0,"",LOOKUP(X594,Pays!A:A,Pays!E:E))</f>
        <v>0</v>
      </c>
      <c r="X594" s="8" t="s">
        <v>37</v>
      </c>
    </row>
    <row r="595" spans="1:24" x14ac:dyDescent="0.25">
      <c r="A595" t="s">
        <v>1165</v>
      </c>
      <c r="B595" t="s">
        <v>182</v>
      </c>
      <c r="C595" s="1">
        <f t="shared" si="19"/>
        <v>46174</v>
      </c>
      <c r="F595" t="s">
        <v>155</v>
      </c>
      <c r="G595" t="s">
        <v>808</v>
      </c>
      <c r="H595" t="s">
        <v>1696</v>
      </c>
      <c r="I595" t="s">
        <v>18</v>
      </c>
      <c r="J595" t="str">
        <f>IF(COUNTIF(Pays!A:A,X595)=0,"Pays inconnu",_xlfn.XLOOKUP(X595,Pays!A:A,Pays!B:B))</f>
        <v>GB</v>
      </c>
      <c r="K595" t="str">
        <f>IF(COUNTIF(Pays!A:A,X595)=0,"Pays inconnu",_xlfn.XLOOKUP(X595,Pays!A:A,Pays!C:C))</f>
        <v>1_GB</v>
      </c>
      <c r="L595">
        <v>1</v>
      </c>
      <c r="M595">
        <f t="shared" si="18"/>
        <v>0.33</v>
      </c>
      <c r="N595" t="s">
        <v>20</v>
      </c>
      <c r="O595">
        <f>LOOKUP(X595,Pays!A:A,Pays!D:D)</f>
        <v>0</v>
      </c>
      <c r="P595">
        <v>0.15</v>
      </c>
      <c r="Q595">
        <v>0.33</v>
      </c>
      <c r="U595">
        <v>1</v>
      </c>
      <c r="W595">
        <f>IF(COUNTIF(Pays!A:A,X595)=0,"",LOOKUP(X595,Pays!A:A,Pays!E:E))</f>
        <v>0</v>
      </c>
      <c r="X595" s="8" t="s">
        <v>30</v>
      </c>
    </row>
    <row r="596" spans="1:24" x14ac:dyDescent="0.25">
      <c r="A596" t="s">
        <v>1165</v>
      </c>
      <c r="B596" t="s">
        <v>182</v>
      </c>
      <c r="C596" s="1">
        <f t="shared" si="19"/>
        <v>46174</v>
      </c>
      <c r="F596" t="s">
        <v>155</v>
      </c>
      <c r="G596" t="s">
        <v>809</v>
      </c>
      <c r="H596" t="s">
        <v>1697</v>
      </c>
      <c r="I596" t="s">
        <v>18</v>
      </c>
      <c r="J596" t="str">
        <f>IF(COUNTIF(Pays!A:A,X596)=0,"Pays inconnu",_xlfn.XLOOKUP(X596,Pays!A:A,Pays!B:B))</f>
        <v>CH</v>
      </c>
      <c r="K596" t="str">
        <f>IF(COUNTIF(Pays!A:A,X596)=0,"Pays inconnu",_xlfn.XLOOKUP(X596,Pays!A:A,Pays!C:C))</f>
        <v>1_CH</v>
      </c>
      <c r="L596">
        <v>1</v>
      </c>
      <c r="M596">
        <f t="shared" si="18"/>
        <v>0.48</v>
      </c>
      <c r="N596" t="s">
        <v>20</v>
      </c>
      <c r="O596">
        <f>LOOKUP(X596,Pays!A:A,Pays!D:D)</f>
        <v>0</v>
      </c>
      <c r="P596">
        <v>0.15</v>
      </c>
      <c r="Q596">
        <v>0.48</v>
      </c>
      <c r="U596">
        <v>1</v>
      </c>
      <c r="W596">
        <f>IF(COUNTIF(Pays!A:A,X596)=0,"",LOOKUP(X596,Pays!A:A,Pays!E:E))</f>
        <v>0</v>
      </c>
      <c r="X596" s="8" t="s">
        <v>37</v>
      </c>
    </row>
    <row r="597" spans="1:24" x14ac:dyDescent="0.25">
      <c r="A597" t="s">
        <v>1165</v>
      </c>
      <c r="B597" t="s">
        <v>182</v>
      </c>
      <c r="C597" s="1">
        <f t="shared" si="19"/>
        <v>46174</v>
      </c>
      <c r="F597" t="s">
        <v>181</v>
      </c>
      <c r="G597" t="s">
        <v>810</v>
      </c>
      <c r="H597" t="s">
        <v>1698</v>
      </c>
      <c r="I597" t="s">
        <v>18</v>
      </c>
      <c r="J597" t="str">
        <f>IF(COUNTIF(Pays!A:A,X597)=0,"Pays inconnu",_xlfn.XLOOKUP(X597,Pays!A:A,Pays!B:B))</f>
        <v>CH</v>
      </c>
      <c r="K597" t="str">
        <f>IF(COUNTIF(Pays!A:A,X597)=0,"Pays inconnu",_xlfn.XLOOKUP(X597,Pays!A:A,Pays!C:C))</f>
        <v>1_CH</v>
      </c>
      <c r="L597">
        <v>1</v>
      </c>
      <c r="M597">
        <f t="shared" si="18"/>
        <v>0.64</v>
      </c>
      <c r="N597" t="s">
        <v>20</v>
      </c>
      <c r="O597">
        <f>LOOKUP(X597,Pays!A:A,Pays!D:D)</f>
        <v>0</v>
      </c>
      <c r="P597">
        <v>0.15</v>
      </c>
      <c r="Q597">
        <v>0.64</v>
      </c>
      <c r="U597">
        <v>1</v>
      </c>
      <c r="W597">
        <f>IF(COUNTIF(Pays!A:A,X597)=0,"",LOOKUP(X597,Pays!A:A,Pays!E:E))</f>
        <v>0</v>
      </c>
      <c r="X597" s="8" t="s">
        <v>37</v>
      </c>
    </row>
    <row r="598" spans="1:24" x14ac:dyDescent="0.25">
      <c r="A598" t="s">
        <v>1165</v>
      </c>
      <c r="B598" t="s">
        <v>182</v>
      </c>
      <c r="C598" s="1">
        <f t="shared" si="19"/>
        <v>46174</v>
      </c>
      <c r="F598" t="s">
        <v>155</v>
      </c>
      <c r="G598" t="s">
        <v>811</v>
      </c>
      <c r="H598" t="s">
        <v>1699</v>
      </c>
      <c r="I598" t="s">
        <v>18</v>
      </c>
      <c r="J598" t="str">
        <f>IF(COUNTIF(Pays!A:A,X598)=0,"Pays inconnu",_xlfn.XLOOKUP(X598,Pays!A:A,Pays!B:B))</f>
        <v>CH</v>
      </c>
      <c r="K598" t="str">
        <f>IF(COUNTIF(Pays!A:A,X598)=0,"Pays inconnu",_xlfn.XLOOKUP(X598,Pays!A:A,Pays!C:C))</f>
        <v>1_CH</v>
      </c>
      <c r="L598">
        <v>1</v>
      </c>
      <c r="M598">
        <f t="shared" si="18"/>
        <v>0.15</v>
      </c>
      <c r="N598" t="s">
        <v>20</v>
      </c>
      <c r="O598">
        <f>LOOKUP(X598,Pays!A:A,Pays!D:D)</f>
        <v>0</v>
      </c>
      <c r="P598">
        <v>0.15</v>
      </c>
      <c r="Q598">
        <v>0.12</v>
      </c>
      <c r="U598">
        <v>1</v>
      </c>
      <c r="W598">
        <f>IF(COUNTIF(Pays!A:A,X598)=0,"",LOOKUP(X598,Pays!A:A,Pays!E:E))</f>
        <v>0</v>
      </c>
      <c r="X598" s="8" t="s">
        <v>37</v>
      </c>
    </row>
    <row r="599" spans="1:24" x14ac:dyDescent="0.25">
      <c r="A599" t="s">
        <v>1165</v>
      </c>
      <c r="B599" t="s">
        <v>182</v>
      </c>
      <c r="C599" s="1">
        <f t="shared" si="19"/>
        <v>46174</v>
      </c>
      <c r="F599" t="s">
        <v>155</v>
      </c>
      <c r="G599" t="s">
        <v>812</v>
      </c>
      <c r="H599" t="s">
        <v>1700</v>
      </c>
      <c r="I599" t="s">
        <v>18</v>
      </c>
      <c r="J599" t="str">
        <f>IF(COUNTIF(Pays!A:A,X599)=0,"Pays inconnu",_xlfn.XLOOKUP(X599,Pays!A:A,Pays!B:B))</f>
        <v>CH</v>
      </c>
      <c r="K599" t="str">
        <f>IF(COUNTIF(Pays!A:A,X599)=0,"Pays inconnu",_xlfn.XLOOKUP(X599,Pays!A:A,Pays!C:C))</f>
        <v>1_CH</v>
      </c>
      <c r="L599">
        <v>1</v>
      </c>
      <c r="M599">
        <f t="shared" si="18"/>
        <v>0.21</v>
      </c>
      <c r="N599" t="s">
        <v>20</v>
      </c>
      <c r="O599">
        <f>LOOKUP(X599,Pays!A:A,Pays!D:D)</f>
        <v>0</v>
      </c>
      <c r="P599">
        <v>0.15</v>
      </c>
      <c r="Q599">
        <v>0.21</v>
      </c>
      <c r="U599">
        <v>1</v>
      </c>
      <c r="W599">
        <f>IF(COUNTIF(Pays!A:A,X599)=0,"",LOOKUP(X599,Pays!A:A,Pays!E:E))</f>
        <v>0</v>
      </c>
      <c r="X599" s="8" t="s">
        <v>37</v>
      </c>
    </row>
    <row r="600" spans="1:24" x14ac:dyDescent="0.25">
      <c r="A600" t="s">
        <v>1165</v>
      </c>
      <c r="B600" t="s">
        <v>182</v>
      </c>
      <c r="C600" s="1">
        <f t="shared" si="19"/>
        <v>46174</v>
      </c>
      <c r="F600" t="s">
        <v>155</v>
      </c>
      <c r="G600" t="s">
        <v>813</v>
      </c>
      <c r="H600" t="s">
        <v>1701</v>
      </c>
      <c r="I600" t="s">
        <v>18</v>
      </c>
      <c r="J600" t="str">
        <f>IF(COUNTIF(Pays!A:A,X600)=0,"Pays inconnu",_xlfn.XLOOKUP(X600,Pays!A:A,Pays!B:B))</f>
        <v>CH</v>
      </c>
      <c r="K600" t="str">
        <f>IF(COUNTIF(Pays!A:A,X600)=0,"Pays inconnu",_xlfn.XLOOKUP(X600,Pays!A:A,Pays!C:C))</f>
        <v>1_CH</v>
      </c>
      <c r="L600">
        <v>1</v>
      </c>
      <c r="M600">
        <f t="shared" si="18"/>
        <v>0.42</v>
      </c>
      <c r="N600" t="s">
        <v>20</v>
      </c>
      <c r="O600">
        <f>LOOKUP(X600,Pays!A:A,Pays!D:D)</f>
        <v>0</v>
      </c>
      <c r="P600">
        <v>0.15</v>
      </c>
      <c r="Q600">
        <v>0.42</v>
      </c>
      <c r="U600">
        <v>1</v>
      </c>
      <c r="W600">
        <f>IF(COUNTIF(Pays!A:A,X600)=0,"",LOOKUP(X600,Pays!A:A,Pays!E:E))</f>
        <v>0</v>
      </c>
      <c r="X600" s="8" t="s">
        <v>37</v>
      </c>
    </row>
    <row r="601" spans="1:24" x14ac:dyDescent="0.25">
      <c r="A601" t="s">
        <v>1165</v>
      </c>
      <c r="B601" t="s">
        <v>182</v>
      </c>
      <c r="C601" s="1">
        <f t="shared" si="19"/>
        <v>46174</v>
      </c>
      <c r="F601" t="s">
        <v>155</v>
      </c>
      <c r="G601" t="s">
        <v>814</v>
      </c>
      <c r="H601" t="s">
        <v>1702</v>
      </c>
      <c r="I601" t="s">
        <v>18</v>
      </c>
      <c r="J601" t="str">
        <f>IF(COUNTIF(Pays!A:A,X601)=0,"Pays inconnu",_xlfn.XLOOKUP(X601,Pays!A:A,Pays!B:B))</f>
        <v>CH</v>
      </c>
      <c r="K601" t="str">
        <f>IF(COUNTIF(Pays!A:A,X601)=0,"Pays inconnu",_xlfn.XLOOKUP(X601,Pays!A:A,Pays!C:C))</f>
        <v>1_CH</v>
      </c>
      <c r="L601">
        <v>1</v>
      </c>
      <c r="M601">
        <f t="shared" si="18"/>
        <v>0.27</v>
      </c>
      <c r="N601" t="s">
        <v>20</v>
      </c>
      <c r="O601">
        <f>LOOKUP(X601,Pays!A:A,Pays!D:D)</f>
        <v>0</v>
      </c>
      <c r="P601">
        <v>0.15</v>
      </c>
      <c r="Q601">
        <v>0.27</v>
      </c>
      <c r="U601">
        <v>1</v>
      </c>
      <c r="W601">
        <f>IF(COUNTIF(Pays!A:A,X601)=0,"",LOOKUP(X601,Pays!A:A,Pays!E:E))</f>
        <v>0</v>
      </c>
      <c r="X601" s="8" t="s">
        <v>37</v>
      </c>
    </row>
    <row r="602" spans="1:24" x14ac:dyDescent="0.25">
      <c r="A602" t="s">
        <v>1165</v>
      </c>
      <c r="B602" t="s">
        <v>182</v>
      </c>
      <c r="C602" s="1">
        <f t="shared" si="19"/>
        <v>46174</v>
      </c>
      <c r="F602" t="s">
        <v>155</v>
      </c>
      <c r="G602" t="s">
        <v>815</v>
      </c>
      <c r="H602" t="s">
        <v>1703</v>
      </c>
      <c r="I602" t="s">
        <v>18</v>
      </c>
      <c r="J602" t="str">
        <f>IF(COUNTIF(Pays!A:A,X602)=0,"Pays inconnu",_xlfn.XLOOKUP(X602,Pays!A:A,Pays!B:B))</f>
        <v>CH</v>
      </c>
      <c r="K602" t="str">
        <f>IF(COUNTIF(Pays!A:A,X602)=0,"Pays inconnu",_xlfn.XLOOKUP(X602,Pays!A:A,Pays!C:C))</f>
        <v>1_CH</v>
      </c>
      <c r="L602">
        <v>1</v>
      </c>
      <c r="M602">
        <f t="shared" si="18"/>
        <v>0.33</v>
      </c>
      <c r="N602" t="s">
        <v>20</v>
      </c>
      <c r="O602">
        <f>LOOKUP(X602,Pays!A:A,Pays!D:D)</f>
        <v>0</v>
      </c>
      <c r="P602">
        <v>0.15</v>
      </c>
      <c r="Q602">
        <v>0.33</v>
      </c>
      <c r="U602">
        <v>1</v>
      </c>
      <c r="W602">
        <f>IF(COUNTIF(Pays!A:A,X602)=0,"",LOOKUP(X602,Pays!A:A,Pays!E:E))</f>
        <v>0</v>
      </c>
      <c r="X602" s="8" t="s">
        <v>37</v>
      </c>
    </row>
    <row r="603" spans="1:24" x14ac:dyDescent="0.25">
      <c r="A603" t="s">
        <v>1165</v>
      </c>
      <c r="B603" t="s">
        <v>182</v>
      </c>
      <c r="C603" s="1">
        <f t="shared" si="19"/>
        <v>46174</v>
      </c>
      <c r="F603" t="s">
        <v>155</v>
      </c>
      <c r="G603" t="s">
        <v>816</v>
      </c>
      <c r="H603" t="s">
        <v>1704</v>
      </c>
      <c r="I603" t="s">
        <v>18</v>
      </c>
      <c r="J603" t="str">
        <f>IF(COUNTIF(Pays!A:A,X603)=0,"Pays inconnu",_xlfn.XLOOKUP(X603,Pays!A:A,Pays!B:B))</f>
        <v>CH</v>
      </c>
      <c r="K603" t="str">
        <f>IF(COUNTIF(Pays!A:A,X603)=0,"Pays inconnu",_xlfn.XLOOKUP(X603,Pays!A:A,Pays!C:C))</f>
        <v>1_CH</v>
      </c>
      <c r="L603">
        <v>1</v>
      </c>
      <c r="M603">
        <f t="shared" si="18"/>
        <v>0.48</v>
      </c>
      <c r="N603" t="s">
        <v>20</v>
      </c>
      <c r="O603">
        <f>LOOKUP(X603,Pays!A:A,Pays!D:D)</f>
        <v>0</v>
      </c>
      <c r="P603">
        <v>0.15</v>
      </c>
      <c r="Q603">
        <v>0.48</v>
      </c>
      <c r="U603">
        <v>1</v>
      </c>
      <c r="W603">
        <f>IF(COUNTIF(Pays!A:A,X603)=0,"",LOOKUP(X603,Pays!A:A,Pays!E:E))</f>
        <v>0</v>
      </c>
      <c r="X603" s="8" t="s">
        <v>37</v>
      </c>
    </row>
    <row r="604" spans="1:24" x14ac:dyDescent="0.25">
      <c r="A604" t="s">
        <v>1165</v>
      </c>
      <c r="B604" t="s">
        <v>182</v>
      </c>
      <c r="C604" s="1">
        <f t="shared" si="19"/>
        <v>46174</v>
      </c>
      <c r="F604" t="s">
        <v>155</v>
      </c>
      <c r="G604" t="s">
        <v>817</v>
      </c>
      <c r="H604" t="s">
        <v>1705</v>
      </c>
      <c r="I604" t="s">
        <v>18</v>
      </c>
      <c r="J604" t="str">
        <f>IF(COUNTIF(Pays!A:A,X604)=0,"Pays inconnu",_xlfn.XLOOKUP(X604,Pays!A:A,Pays!B:B))</f>
        <v>GB</v>
      </c>
      <c r="K604" t="str">
        <f>IF(COUNTIF(Pays!A:A,X604)=0,"Pays inconnu",_xlfn.XLOOKUP(X604,Pays!A:A,Pays!C:C))</f>
        <v>1_GB</v>
      </c>
      <c r="L604">
        <v>1</v>
      </c>
      <c r="M604">
        <f t="shared" si="18"/>
        <v>0.32</v>
      </c>
      <c r="N604" t="s">
        <v>20</v>
      </c>
      <c r="O604">
        <f>LOOKUP(X604,Pays!A:A,Pays!D:D)</f>
        <v>0</v>
      </c>
      <c r="P604">
        <v>0.15</v>
      </c>
      <c r="Q604">
        <v>0.32</v>
      </c>
      <c r="U604">
        <v>1</v>
      </c>
      <c r="W604">
        <f>IF(COUNTIF(Pays!A:A,X604)=0,"",LOOKUP(X604,Pays!A:A,Pays!E:E))</f>
        <v>0</v>
      </c>
      <c r="X604" s="8" t="s">
        <v>30</v>
      </c>
    </row>
    <row r="605" spans="1:24" x14ac:dyDescent="0.25">
      <c r="A605" t="s">
        <v>1165</v>
      </c>
      <c r="B605" t="s">
        <v>182</v>
      </c>
      <c r="C605" s="1">
        <f t="shared" si="19"/>
        <v>46174</v>
      </c>
      <c r="F605" t="s">
        <v>155</v>
      </c>
      <c r="G605" t="s">
        <v>818</v>
      </c>
      <c r="H605" t="s">
        <v>1706</v>
      </c>
      <c r="I605" t="s">
        <v>18</v>
      </c>
      <c r="J605" t="str">
        <f>IF(COUNTIF(Pays!A:A,X605)=0,"Pays inconnu",_xlfn.XLOOKUP(X605,Pays!A:A,Pays!B:B))</f>
        <v>GB</v>
      </c>
      <c r="K605" t="str">
        <f>IF(COUNTIF(Pays!A:A,X605)=0,"Pays inconnu",_xlfn.XLOOKUP(X605,Pays!A:A,Pays!C:C))</f>
        <v>1_GB</v>
      </c>
      <c r="L605">
        <v>1</v>
      </c>
      <c r="M605">
        <f t="shared" si="18"/>
        <v>0.34</v>
      </c>
      <c r="N605" t="s">
        <v>20</v>
      </c>
      <c r="O605">
        <f>LOOKUP(X605,Pays!A:A,Pays!D:D)</f>
        <v>0</v>
      </c>
      <c r="P605">
        <v>0.15</v>
      </c>
      <c r="Q605">
        <v>0.34</v>
      </c>
      <c r="U605">
        <v>1</v>
      </c>
      <c r="W605">
        <f>IF(COUNTIF(Pays!A:A,X605)=0,"",LOOKUP(X605,Pays!A:A,Pays!E:E))</f>
        <v>0</v>
      </c>
      <c r="X605" s="8" t="s">
        <v>30</v>
      </c>
    </row>
    <row r="606" spans="1:24" x14ac:dyDescent="0.25">
      <c r="A606" t="s">
        <v>1165</v>
      </c>
      <c r="B606" t="s">
        <v>182</v>
      </c>
      <c r="C606" s="1">
        <f t="shared" si="19"/>
        <v>46174</v>
      </c>
      <c r="F606" t="s">
        <v>155</v>
      </c>
      <c r="G606" t="s">
        <v>819</v>
      </c>
      <c r="H606" t="s">
        <v>1707</v>
      </c>
      <c r="I606" t="s">
        <v>18</v>
      </c>
      <c r="J606" t="str">
        <f>IF(COUNTIF(Pays!A:A,X606)=0,"Pays inconnu",_xlfn.XLOOKUP(X606,Pays!A:A,Pays!B:B))</f>
        <v>CH</v>
      </c>
      <c r="K606" t="str">
        <f>IF(COUNTIF(Pays!A:A,X606)=0,"Pays inconnu",_xlfn.XLOOKUP(X606,Pays!A:A,Pays!C:C))</f>
        <v>1_CH</v>
      </c>
      <c r="L606">
        <v>1</v>
      </c>
      <c r="M606">
        <f t="shared" si="18"/>
        <v>0.15</v>
      </c>
      <c r="N606" t="s">
        <v>20</v>
      </c>
      <c r="O606">
        <f>LOOKUP(X606,Pays!A:A,Pays!D:D)</f>
        <v>0</v>
      </c>
      <c r="P606">
        <v>0.15</v>
      </c>
      <c r="Q606">
        <v>0.09</v>
      </c>
      <c r="U606">
        <v>1</v>
      </c>
      <c r="W606">
        <f>IF(COUNTIF(Pays!A:A,X606)=0,"",LOOKUP(X606,Pays!A:A,Pays!E:E))</f>
        <v>0</v>
      </c>
      <c r="X606" s="8" t="s">
        <v>37</v>
      </c>
    </row>
    <row r="607" spans="1:24" x14ac:dyDescent="0.25">
      <c r="A607" t="s">
        <v>1165</v>
      </c>
      <c r="B607" t="s">
        <v>182</v>
      </c>
      <c r="C607" s="1">
        <f t="shared" si="19"/>
        <v>46174</v>
      </c>
      <c r="F607" t="s">
        <v>155</v>
      </c>
      <c r="G607" t="s">
        <v>820</v>
      </c>
      <c r="H607" t="s">
        <v>1708</v>
      </c>
      <c r="I607" t="s">
        <v>18</v>
      </c>
      <c r="J607" t="str">
        <f>IF(COUNTIF(Pays!A:A,X607)=0,"Pays inconnu",_xlfn.XLOOKUP(X607,Pays!A:A,Pays!B:B))</f>
        <v>CH</v>
      </c>
      <c r="K607" t="str">
        <f>IF(COUNTIF(Pays!A:A,X607)=0,"Pays inconnu",_xlfn.XLOOKUP(X607,Pays!A:A,Pays!C:C))</f>
        <v>1_CH</v>
      </c>
      <c r="L607">
        <v>1</v>
      </c>
      <c r="M607">
        <f t="shared" si="18"/>
        <v>0.15</v>
      </c>
      <c r="N607" t="s">
        <v>20</v>
      </c>
      <c r="O607">
        <f>LOOKUP(X607,Pays!A:A,Pays!D:D)</f>
        <v>0</v>
      </c>
      <c r="P607">
        <v>0.15</v>
      </c>
      <c r="Q607">
        <v>0.04</v>
      </c>
      <c r="U607">
        <v>1</v>
      </c>
      <c r="W607">
        <f>IF(COUNTIF(Pays!A:A,X607)=0,"",LOOKUP(X607,Pays!A:A,Pays!E:E))</f>
        <v>0</v>
      </c>
      <c r="X607" s="8" t="s">
        <v>37</v>
      </c>
    </row>
    <row r="608" spans="1:24" x14ac:dyDescent="0.25">
      <c r="A608" t="s">
        <v>1165</v>
      </c>
      <c r="B608" t="s">
        <v>182</v>
      </c>
      <c r="C608" s="1">
        <f t="shared" si="19"/>
        <v>46174</v>
      </c>
      <c r="F608" t="s">
        <v>155</v>
      </c>
      <c r="G608" t="s">
        <v>821</v>
      </c>
      <c r="H608" t="s">
        <v>1709</v>
      </c>
      <c r="I608" t="s">
        <v>18</v>
      </c>
      <c r="J608" t="str">
        <f>IF(COUNTIF(Pays!A:A,X608)=0,"Pays inconnu",_xlfn.XLOOKUP(X608,Pays!A:A,Pays!B:B))</f>
        <v>CH</v>
      </c>
      <c r="K608" t="str">
        <f>IF(COUNTIF(Pays!A:A,X608)=0,"Pays inconnu",_xlfn.XLOOKUP(X608,Pays!A:A,Pays!C:C))</f>
        <v>1_CH</v>
      </c>
      <c r="L608">
        <v>1</v>
      </c>
      <c r="M608">
        <f t="shared" si="18"/>
        <v>0.21</v>
      </c>
      <c r="N608" t="s">
        <v>20</v>
      </c>
      <c r="O608">
        <f>LOOKUP(X608,Pays!A:A,Pays!D:D)</f>
        <v>0</v>
      </c>
      <c r="P608">
        <v>0.15</v>
      </c>
      <c r="Q608">
        <v>0.21</v>
      </c>
      <c r="U608">
        <v>1</v>
      </c>
      <c r="W608">
        <f>IF(COUNTIF(Pays!A:A,X608)=0,"",LOOKUP(X608,Pays!A:A,Pays!E:E))</f>
        <v>0</v>
      </c>
      <c r="X608" s="8" t="s">
        <v>37</v>
      </c>
    </row>
    <row r="609" spans="1:24" x14ac:dyDescent="0.25">
      <c r="A609" t="s">
        <v>1165</v>
      </c>
      <c r="B609" t="s">
        <v>182</v>
      </c>
      <c r="C609" s="1">
        <f t="shared" si="19"/>
        <v>46174</v>
      </c>
      <c r="F609" t="s">
        <v>155</v>
      </c>
      <c r="G609" t="s">
        <v>822</v>
      </c>
      <c r="H609" t="s">
        <v>1710</v>
      </c>
      <c r="I609" t="s">
        <v>18</v>
      </c>
      <c r="J609" t="str">
        <f>IF(COUNTIF(Pays!A:A,X609)=0,"Pays inconnu",_xlfn.XLOOKUP(X609,Pays!A:A,Pays!B:B))</f>
        <v>CH</v>
      </c>
      <c r="K609" t="str">
        <f>IF(COUNTIF(Pays!A:A,X609)=0,"Pays inconnu",_xlfn.XLOOKUP(X609,Pays!A:A,Pays!C:C))</f>
        <v>1_CH</v>
      </c>
      <c r="L609">
        <v>1</v>
      </c>
      <c r="M609">
        <f t="shared" si="18"/>
        <v>0.28999999999999998</v>
      </c>
      <c r="N609" t="s">
        <v>20</v>
      </c>
      <c r="O609">
        <f>LOOKUP(X609,Pays!A:A,Pays!D:D)</f>
        <v>0</v>
      </c>
      <c r="P609">
        <v>0.15</v>
      </c>
      <c r="Q609">
        <v>0.28999999999999998</v>
      </c>
      <c r="U609">
        <v>1</v>
      </c>
      <c r="W609">
        <f>IF(COUNTIF(Pays!A:A,X609)=0,"",LOOKUP(X609,Pays!A:A,Pays!E:E))</f>
        <v>0</v>
      </c>
      <c r="X609" s="8" t="s">
        <v>37</v>
      </c>
    </row>
    <row r="610" spans="1:24" x14ac:dyDescent="0.25">
      <c r="A610" t="s">
        <v>1165</v>
      </c>
      <c r="B610" t="s">
        <v>182</v>
      </c>
      <c r="C610" s="1">
        <f t="shared" si="19"/>
        <v>46174</v>
      </c>
      <c r="F610" t="s">
        <v>155</v>
      </c>
      <c r="G610" t="s">
        <v>823</v>
      </c>
      <c r="H610" t="s">
        <v>1711</v>
      </c>
      <c r="I610" t="s">
        <v>18</v>
      </c>
      <c r="J610" t="str">
        <f>IF(COUNTIF(Pays!A:A,X610)=0,"Pays inconnu",_xlfn.XLOOKUP(X610,Pays!A:A,Pays!B:B))</f>
        <v>CH</v>
      </c>
      <c r="K610" t="str">
        <f>IF(COUNTIF(Pays!A:A,X610)=0,"Pays inconnu",_xlfn.XLOOKUP(X610,Pays!A:A,Pays!C:C))</f>
        <v>1_CH</v>
      </c>
      <c r="L610">
        <v>1</v>
      </c>
      <c r="M610">
        <f t="shared" si="18"/>
        <v>0.15</v>
      </c>
      <c r="N610" t="s">
        <v>20</v>
      </c>
      <c r="O610">
        <f>LOOKUP(X610,Pays!A:A,Pays!D:D)</f>
        <v>0</v>
      </c>
      <c r="P610">
        <v>0.15</v>
      </c>
      <c r="Q610">
        <v>0.12</v>
      </c>
      <c r="U610">
        <v>1</v>
      </c>
      <c r="W610">
        <f>IF(COUNTIF(Pays!A:A,X610)=0,"",LOOKUP(X610,Pays!A:A,Pays!E:E))</f>
        <v>0</v>
      </c>
      <c r="X610" s="8" t="s">
        <v>37</v>
      </c>
    </row>
    <row r="611" spans="1:24" x14ac:dyDescent="0.25">
      <c r="A611" t="s">
        <v>1165</v>
      </c>
      <c r="B611" t="s">
        <v>182</v>
      </c>
      <c r="C611" s="1">
        <f t="shared" si="19"/>
        <v>46174</v>
      </c>
      <c r="F611" t="s">
        <v>155</v>
      </c>
      <c r="G611" t="s">
        <v>824</v>
      </c>
      <c r="H611" t="s">
        <v>1712</v>
      </c>
      <c r="I611" t="s">
        <v>18</v>
      </c>
      <c r="J611" t="str">
        <f>IF(COUNTIF(Pays!A:A,X611)=0,"Pays inconnu",_xlfn.XLOOKUP(X611,Pays!A:A,Pays!B:B))</f>
        <v>CH</v>
      </c>
      <c r="K611" t="str">
        <f>IF(COUNTIF(Pays!A:A,X611)=0,"Pays inconnu",_xlfn.XLOOKUP(X611,Pays!A:A,Pays!C:C))</f>
        <v>1_CH</v>
      </c>
      <c r="L611">
        <v>1</v>
      </c>
      <c r="M611">
        <f t="shared" si="18"/>
        <v>0.42</v>
      </c>
      <c r="N611" t="s">
        <v>20</v>
      </c>
      <c r="O611">
        <f>LOOKUP(X611,Pays!A:A,Pays!D:D)</f>
        <v>0</v>
      </c>
      <c r="P611">
        <v>0.15</v>
      </c>
      <c r="Q611">
        <v>0.42</v>
      </c>
      <c r="U611">
        <v>1</v>
      </c>
      <c r="W611">
        <f>IF(COUNTIF(Pays!A:A,X611)=0,"",LOOKUP(X611,Pays!A:A,Pays!E:E))</f>
        <v>0</v>
      </c>
      <c r="X611" s="8" t="s">
        <v>37</v>
      </c>
    </row>
    <row r="612" spans="1:24" x14ac:dyDescent="0.25">
      <c r="A612" t="s">
        <v>1165</v>
      </c>
      <c r="B612" t="s">
        <v>182</v>
      </c>
      <c r="C612" s="1">
        <f t="shared" si="19"/>
        <v>46174</v>
      </c>
      <c r="F612" t="s">
        <v>155</v>
      </c>
      <c r="G612" t="s">
        <v>825</v>
      </c>
      <c r="H612" t="s">
        <v>1713</v>
      </c>
      <c r="I612" t="s">
        <v>18</v>
      </c>
      <c r="J612" t="str">
        <f>IF(COUNTIF(Pays!A:A,X612)=0,"Pays inconnu",_xlfn.XLOOKUP(X612,Pays!A:A,Pays!B:B))</f>
        <v>CH</v>
      </c>
      <c r="K612" t="str">
        <f>IF(COUNTIF(Pays!A:A,X612)=0,"Pays inconnu",_xlfn.XLOOKUP(X612,Pays!A:A,Pays!C:C))</f>
        <v>1_CH</v>
      </c>
      <c r="L612">
        <v>1</v>
      </c>
      <c r="M612">
        <f t="shared" si="18"/>
        <v>0.15</v>
      </c>
      <c r="N612" t="s">
        <v>20</v>
      </c>
      <c r="O612">
        <f>LOOKUP(X612,Pays!A:A,Pays!D:D)</f>
        <v>0</v>
      </c>
      <c r="P612">
        <v>0.15</v>
      </c>
      <c r="Q612">
        <v>0.13</v>
      </c>
      <c r="U612">
        <v>1</v>
      </c>
      <c r="W612">
        <f>IF(COUNTIF(Pays!A:A,X612)=0,"",LOOKUP(X612,Pays!A:A,Pays!E:E))</f>
        <v>0</v>
      </c>
      <c r="X612" s="8" t="s">
        <v>37</v>
      </c>
    </row>
    <row r="613" spans="1:24" x14ac:dyDescent="0.25">
      <c r="A613" t="s">
        <v>1165</v>
      </c>
      <c r="B613" t="s">
        <v>182</v>
      </c>
      <c r="C613" s="1">
        <f t="shared" si="19"/>
        <v>46174</v>
      </c>
      <c r="F613" t="s">
        <v>155</v>
      </c>
      <c r="G613" t="s">
        <v>826</v>
      </c>
      <c r="H613" t="s">
        <v>1714</v>
      </c>
      <c r="I613" t="s">
        <v>18</v>
      </c>
      <c r="J613" t="str">
        <f>IF(COUNTIF(Pays!A:A,X613)=0,"Pays inconnu",_xlfn.XLOOKUP(X613,Pays!A:A,Pays!B:B))</f>
        <v>CH</v>
      </c>
      <c r="K613" t="str">
        <f>IF(COUNTIF(Pays!A:A,X613)=0,"Pays inconnu",_xlfn.XLOOKUP(X613,Pays!A:A,Pays!C:C))</f>
        <v>1_CH</v>
      </c>
      <c r="L613">
        <v>1</v>
      </c>
      <c r="M613">
        <f t="shared" si="18"/>
        <v>0.36</v>
      </c>
      <c r="N613" t="s">
        <v>20</v>
      </c>
      <c r="O613">
        <f>LOOKUP(X613,Pays!A:A,Pays!D:D)</f>
        <v>0</v>
      </c>
      <c r="P613">
        <v>0.15</v>
      </c>
      <c r="Q613">
        <v>0.36</v>
      </c>
      <c r="U613">
        <v>1</v>
      </c>
      <c r="W613">
        <f>IF(COUNTIF(Pays!A:A,X613)=0,"",LOOKUP(X613,Pays!A:A,Pays!E:E))</f>
        <v>0</v>
      </c>
      <c r="X613" s="8" t="s">
        <v>37</v>
      </c>
    </row>
    <row r="614" spans="1:24" x14ac:dyDescent="0.25">
      <c r="A614" t="s">
        <v>1165</v>
      </c>
      <c r="B614" t="s">
        <v>182</v>
      </c>
      <c r="C614" s="1">
        <f t="shared" si="19"/>
        <v>46174</v>
      </c>
      <c r="F614" t="s">
        <v>155</v>
      </c>
      <c r="G614" t="s">
        <v>827</v>
      </c>
      <c r="H614" t="s">
        <v>1715</v>
      </c>
      <c r="I614" t="s">
        <v>18</v>
      </c>
      <c r="J614" t="str">
        <f>IF(COUNTIF(Pays!A:A,X614)=0,"Pays inconnu",_xlfn.XLOOKUP(X614,Pays!A:A,Pays!B:B))</f>
        <v>CH</v>
      </c>
      <c r="K614" t="str">
        <f>IF(COUNTIF(Pays!A:A,X614)=0,"Pays inconnu",_xlfn.XLOOKUP(X614,Pays!A:A,Pays!C:C))</f>
        <v>1_CH</v>
      </c>
      <c r="L614">
        <v>1</v>
      </c>
      <c r="M614">
        <f t="shared" si="18"/>
        <v>0.23</v>
      </c>
      <c r="N614" t="s">
        <v>20</v>
      </c>
      <c r="O614">
        <f>LOOKUP(X614,Pays!A:A,Pays!D:D)</f>
        <v>0</v>
      </c>
      <c r="P614">
        <v>0.15</v>
      </c>
      <c r="Q614">
        <v>0.23</v>
      </c>
      <c r="U614">
        <v>1</v>
      </c>
      <c r="W614">
        <f>IF(COUNTIF(Pays!A:A,X614)=0,"",LOOKUP(X614,Pays!A:A,Pays!E:E))</f>
        <v>0</v>
      </c>
      <c r="X614" s="8" t="s">
        <v>37</v>
      </c>
    </row>
    <row r="615" spans="1:24" x14ac:dyDescent="0.25">
      <c r="A615" t="s">
        <v>1165</v>
      </c>
      <c r="B615" t="s">
        <v>182</v>
      </c>
      <c r="C615" s="1">
        <f t="shared" si="19"/>
        <v>46174</v>
      </c>
      <c r="F615" t="s">
        <v>155</v>
      </c>
      <c r="G615" t="s">
        <v>828</v>
      </c>
      <c r="H615" t="s">
        <v>1716</v>
      </c>
      <c r="I615" t="s">
        <v>18</v>
      </c>
      <c r="J615" t="str">
        <f>IF(COUNTIF(Pays!A:A,X615)=0,"Pays inconnu",_xlfn.XLOOKUP(X615,Pays!A:A,Pays!B:B))</f>
        <v>CH</v>
      </c>
      <c r="K615" t="str">
        <f>IF(COUNTIF(Pays!A:A,X615)=0,"Pays inconnu",_xlfn.XLOOKUP(X615,Pays!A:A,Pays!C:C))</f>
        <v>1_CH</v>
      </c>
      <c r="L615">
        <v>1</v>
      </c>
      <c r="M615">
        <f t="shared" si="18"/>
        <v>0.42</v>
      </c>
      <c r="N615" t="s">
        <v>20</v>
      </c>
      <c r="O615">
        <f>LOOKUP(X615,Pays!A:A,Pays!D:D)</f>
        <v>0</v>
      </c>
      <c r="P615">
        <v>0.15</v>
      </c>
      <c r="Q615">
        <v>0.42</v>
      </c>
      <c r="U615">
        <v>1</v>
      </c>
      <c r="W615">
        <f>IF(COUNTIF(Pays!A:A,X615)=0,"",LOOKUP(X615,Pays!A:A,Pays!E:E))</f>
        <v>0</v>
      </c>
      <c r="X615" s="8" t="s">
        <v>37</v>
      </c>
    </row>
    <row r="616" spans="1:24" x14ac:dyDescent="0.25">
      <c r="A616" t="s">
        <v>1165</v>
      </c>
      <c r="B616" t="s">
        <v>182</v>
      </c>
      <c r="C616" s="1">
        <f t="shared" si="19"/>
        <v>46174</v>
      </c>
      <c r="F616" t="s">
        <v>155</v>
      </c>
      <c r="G616" t="s">
        <v>829</v>
      </c>
      <c r="H616" t="s">
        <v>1717</v>
      </c>
      <c r="I616" t="s">
        <v>18</v>
      </c>
      <c r="J616" t="str">
        <f>IF(COUNTIF(Pays!A:A,X616)=0,"Pays inconnu",_xlfn.XLOOKUP(X616,Pays!A:A,Pays!B:B))</f>
        <v>GB</v>
      </c>
      <c r="K616" t="str">
        <f>IF(COUNTIF(Pays!A:A,X616)=0,"Pays inconnu",_xlfn.XLOOKUP(X616,Pays!A:A,Pays!C:C))</f>
        <v>1_GB</v>
      </c>
      <c r="L616">
        <v>1</v>
      </c>
      <c r="M616">
        <f t="shared" si="18"/>
        <v>0.23</v>
      </c>
      <c r="N616" t="s">
        <v>20</v>
      </c>
      <c r="O616">
        <f>LOOKUP(X616,Pays!A:A,Pays!D:D)</f>
        <v>0</v>
      </c>
      <c r="P616">
        <v>0.15</v>
      </c>
      <c r="Q616">
        <v>0.23</v>
      </c>
      <c r="U616">
        <v>1</v>
      </c>
      <c r="W616">
        <f>IF(COUNTIF(Pays!A:A,X616)=0,"",LOOKUP(X616,Pays!A:A,Pays!E:E))</f>
        <v>0</v>
      </c>
      <c r="X616" s="8" t="s">
        <v>30</v>
      </c>
    </row>
    <row r="617" spans="1:24" x14ac:dyDescent="0.25">
      <c r="A617" t="s">
        <v>1165</v>
      </c>
      <c r="B617" t="s">
        <v>182</v>
      </c>
      <c r="C617" s="1">
        <f t="shared" si="19"/>
        <v>46174</v>
      </c>
      <c r="F617" t="s">
        <v>155</v>
      </c>
      <c r="G617" t="s">
        <v>830</v>
      </c>
      <c r="H617" t="s">
        <v>1718</v>
      </c>
      <c r="I617" t="s">
        <v>18</v>
      </c>
      <c r="J617" t="str">
        <f>IF(COUNTIF(Pays!A:A,X617)=0,"Pays inconnu",_xlfn.XLOOKUP(X617,Pays!A:A,Pays!B:B))</f>
        <v>GB</v>
      </c>
      <c r="K617" t="str">
        <f>IF(COUNTIF(Pays!A:A,X617)=0,"Pays inconnu",_xlfn.XLOOKUP(X617,Pays!A:A,Pays!C:C))</f>
        <v>1_GB</v>
      </c>
      <c r="L617">
        <v>1</v>
      </c>
      <c r="M617">
        <f t="shared" si="18"/>
        <v>0.28999999999999998</v>
      </c>
      <c r="N617" t="s">
        <v>20</v>
      </c>
      <c r="O617">
        <f>LOOKUP(X617,Pays!A:A,Pays!D:D)</f>
        <v>0</v>
      </c>
      <c r="P617">
        <v>0.15</v>
      </c>
      <c r="Q617">
        <v>0.28999999999999998</v>
      </c>
      <c r="U617">
        <v>1</v>
      </c>
      <c r="W617">
        <f>IF(COUNTIF(Pays!A:A,X617)=0,"",LOOKUP(X617,Pays!A:A,Pays!E:E))</f>
        <v>0</v>
      </c>
      <c r="X617" s="8" t="s">
        <v>30</v>
      </c>
    </row>
    <row r="618" spans="1:24" x14ac:dyDescent="0.25">
      <c r="A618" t="s">
        <v>1165</v>
      </c>
      <c r="B618" t="s">
        <v>182</v>
      </c>
      <c r="C618" s="1">
        <f t="shared" si="19"/>
        <v>46174</v>
      </c>
      <c r="F618" t="s">
        <v>155</v>
      </c>
      <c r="G618" t="s">
        <v>831</v>
      </c>
      <c r="H618" t="s">
        <v>1719</v>
      </c>
      <c r="I618" t="s">
        <v>18</v>
      </c>
      <c r="J618" t="str">
        <f>IF(COUNTIF(Pays!A:A,X618)=0,"Pays inconnu",_xlfn.XLOOKUP(X618,Pays!A:A,Pays!B:B))</f>
        <v>CH</v>
      </c>
      <c r="K618" t="str">
        <f>IF(COUNTIF(Pays!A:A,X618)=0,"Pays inconnu",_xlfn.XLOOKUP(X618,Pays!A:A,Pays!C:C))</f>
        <v>1_CH</v>
      </c>
      <c r="L618">
        <v>1</v>
      </c>
      <c r="M618">
        <f t="shared" si="18"/>
        <v>0.15</v>
      </c>
      <c r="N618" t="s">
        <v>20</v>
      </c>
      <c r="O618">
        <f>LOOKUP(X618,Pays!A:A,Pays!D:D)</f>
        <v>0</v>
      </c>
      <c r="P618">
        <v>0.15</v>
      </c>
      <c r="Q618">
        <v>0.06</v>
      </c>
      <c r="U618">
        <v>1</v>
      </c>
      <c r="W618">
        <f>IF(COUNTIF(Pays!A:A,X618)=0,"",LOOKUP(X618,Pays!A:A,Pays!E:E))</f>
        <v>0</v>
      </c>
      <c r="X618" s="8" t="s">
        <v>37</v>
      </c>
    </row>
    <row r="619" spans="1:24" x14ac:dyDescent="0.25">
      <c r="A619" t="s">
        <v>1165</v>
      </c>
      <c r="B619" t="s">
        <v>182</v>
      </c>
      <c r="C619" s="1">
        <f t="shared" si="19"/>
        <v>46174</v>
      </c>
      <c r="F619" t="s">
        <v>155</v>
      </c>
      <c r="G619" t="s">
        <v>832</v>
      </c>
      <c r="H619" t="s">
        <v>1720</v>
      </c>
      <c r="I619" t="s">
        <v>18</v>
      </c>
      <c r="J619" t="str">
        <f>IF(COUNTIF(Pays!A:A,X619)=0,"Pays inconnu",_xlfn.XLOOKUP(X619,Pays!A:A,Pays!B:B))</f>
        <v>CH</v>
      </c>
      <c r="K619" t="str">
        <f>IF(COUNTIF(Pays!A:A,X619)=0,"Pays inconnu",_xlfn.XLOOKUP(X619,Pays!A:A,Pays!C:C))</f>
        <v>1_CH</v>
      </c>
      <c r="L619">
        <v>1</v>
      </c>
      <c r="M619">
        <f t="shared" si="18"/>
        <v>0.15</v>
      </c>
      <c r="N619" t="s">
        <v>20</v>
      </c>
      <c r="O619">
        <f>LOOKUP(X619,Pays!A:A,Pays!D:D)</f>
        <v>0</v>
      </c>
      <c r="P619">
        <v>0.15</v>
      </c>
      <c r="Q619">
        <v>0.15</v>
      </c>
      <c r="U619">
        <v>1</v>
      </c>
      <c r="W619">
        <f>IF(COUNTIF(Pays!A:A,X619)=0,"",LOOKUP(X619,Pays!A:A,Pays!E:E))</f>
        <v>0</v>
      </c>
      <c r="X619" s="8" t="s">
        <v>37</v>
      </c>
    </row>
    <row r="620" spans="1:24" x14ac:dyDescent="0.25">
      <c r="A620" t="s">
        <v>1165</v>
      </c>
      <c r="B620" t="s">
        <v>182</v>
      </c>
      <c r="C620" s="1">
        <f t="shared" si="19"/>
        <v>46174</v>
      </c>
      <c r="F620" t="s">
        <v>155</v>
      </c>
      <c r="G620" t="s">
        <v>833</v>
      </c>
      <c r="H620" t="s">
        <v>1721</v>
      </c>
      <c r="I620" t="s">
        <v>18</v>
      </c>
      <c r="J620" t="str">
        <f>IF(COUNTIF(Pays!A:A,X620)=0,"Pays inconnu",_xlfn.XLOOKUP(X620,Pays!A:A,Pays!B:B))</f>
        <v>GB</v>
      </c>
      <c r="K620" t="str">
        <f>IF(COUNTIF(Pays!A:A,X620)=0,"Pays inconnu",_xlfn.XLOOKUP(X620,Pays!A:A,Pays!C:C))</f>
        <v>1_GB</v>
      </c>
      <c r="L620">
        <v>1</v>
      </c>
      <c r="M620">
        <f t="shared" si="18"/>
        <v>0.25</v>
      </c>
      <c r="N620" t="s">
        <v>20</v>
      </c>
      <c r="O620">
        <f>LOOKUP(X620,Pays!A:A,Pays!D:D)</f>
        <v>0</v>
      </c>
      <c r="P620">
        <v>0.15</v>
      </c>
      <c r="Q620">
        <v>0.25</v>
      </c>
      <c r="U620">
        <v>1</v>
      </c>
      <c r="W620">
        <f>IF(COUNTIF(Pays!A:A,X620)=0,"",LOOKUP(X620,Pays!A:A,Pays!E:E))</f>
        <v>0</v>
      </c>
      <c r="X620" s="8" t="s">
        <v>30</v>
      </c>
    </row>
    <row r="621" spans="1:24" x14ac:dyDescent="0.25">
      <c r="A621" t="s">
        <v>1165</v>
      </c>
      <c r="B621" t="s">
        <v>182</v>
      </c>
      <c r="C621" s="1">
        <f t="shared" si="19"/>
        <v>46174</v>
      </c>
      <c r="F621" t="s">
        <v>155</v>
      </c>
      <c r="G621" t="s">
        <v>834</v>
      </c>
      <c r="H621" t="s">
        <v>1722</v>
      </c>
      <c r="I621" t="s">
        <v>18</v>
      </c>
      <c r="J621" t="str">
        <f>IF(COUNTIF(Pays!A:A,X621)=0,"Pays inconnu",_xlfn.XLOOKUP(X621,Pays!A:A,Pays!B:B))</f>
        <v>CH</v>
      </c>
      <c r="K621" t="str">
        <f>IF(COUNTIF(Pays!A:A,X621)=0,"Pays inconnu",_xlfn.XLOOKUP(X621,Pays!A:A,Pays!C:C))</f>
        <v>1_CH</v>
      </c>
      <c r="L621">
        <v>1</v>
      </c>
      <c r="M621">
        <f t="shared" si="18"/>
        <v>0.15</v>
      </c>
      <c r="N621" t="s">
        <v>20</v>
      </c>
      <c r="O621">
        <f>LOOKUP(X621,Pays!A:A,Pays!D:D)</f>
        <v>0</v>
      </c>
      <c r="P621">
        <v>0.15</v>
      </c>
      <c r="Q621">
        <v>0.09</v>
      </c>
      <c r="U621">
        <v>1</v>
      </c>
      <c r="W621">
        <f>IF(COUNTIF(Pays!A:A,X621)=0,"",LOOKUP(X621,Pays!A:A,Pays!E:E))</f>
        <v>0</v>
      </c>
      <c r="X621" s="8" t="s">
        <v>37</v>
      </c>
    </row>
    <row r="622" spans="1:24" x14ac:dyDescent="0.25">
      <c r="A622" t="s">
        <v>1165</v>
      </c>
      <c r="B622" t="s">
        <v>182</v>
      </c>
      <c r="C622" s="1">
        <f t="shared" si="19"/>
        <v>46174</v>
      </c>
      <c r="F622" t="s">
        <v>155</v>
      </c>
      <c r="G622" t="s">
        <v>835</v>
      </c>
      <c r="H622" t="s">
        <v>1723</v>
      </c>
      <c r="I622" t="s">
        <v>18</v>
      </c>
      <c r="J622" t="str">
        <f>IF(COUNTIF(Pays!A:A,X622)=0,"Pays inconnu",_xlfn.XLOOKUP(X622,Pays!A:A,Pays!B:B))</f>
        <v>CH</v>
      </c>
      <c r="K622" t="str">
        <f>IF(COUNTIF(Pays!A:A,X622)=0,"Pays inconnu",_xlfn.XLOOKUP(X622,Pays!A:A,Pays!C:C))</f>
        <v>1_CH</v>
      </c>
      <c r="L622">
        <v>1</v>
      </c>
      <c r="M622">
        <f t="shared" si="18"/>
        <v>0.4</v>
      </c>
      <c r="N622" t="s">
        <v>20</v>
      </c>
      <c r="O622">
        <f>LOOKUP(X622,Pays!A:A,Pays!D:D)</f>
        <v>0</v>
      </c>
      <c r="P622">
        <v>0.15</v>
      </c>
      <c r="Q622">
        <v>0.4</v>
      </c>
      <c r="U622">
        <v>1</v>
      </c>
      <c r="W622">
        <f>IF(COUNTIF(Pays!A:A,X622)=0,"",LOOKUP(X622,Pays!A:A,Pays!E:E))</f>
        <v>0</v>
      </c>
      <c r="X622" s="8" t="s">
        <v>37</v>
      </c>
    </row>
    <row r="623" spans="1:24" x14ac:dyDescent="0.25">
      <c r="A623" t="s">
        <v>1165</v>
      </c>
      <c r="B623" t="s">
        <v>182</v>
      </c>
      <c r="C623" s="1">
        <f t="shared" si="19"/>
        <v>46174</v>
      </c>
      <c r="F623" t="s">
        <v>155</v>
      </c>
      <c r="G623" t="s">
        <v>836</v>
      </c>
      <c r="H623" t="s">
        <v>1724</v>
      </c>
      <c r="I623" t="s">
        <v>18</v>
      </c>
      <c r="J623" t="str">
        <f>IF(COUNTIF(Pays!A:A,X623)=0,"Pays inconnu",_xlfn.XLOOKUP(X623,Pays!A:A,Pays!B:B))</f>
        <v>CH</v>
      </c>
      <c r="K623" t="str">
        <f>IF(COUNTIF(Pays!A:A,X623)=0,"Pays inconnu",_xlfn.XLOOKUP(X623,Pays!A:A,Pays!C:C))</f>
        <v>1_CH</v>
      </c>
      <c r="L623">
        <v>1</v>
      </c>
      <c r="M623">
        <f t="shared" si="18"/>
        <v>0.74</v>
      </c>
      <c r="N623" t="s">
        <v>20</v>
      </c>
      <c r="O623">
        <f>LOOKUP(X623,Pays!A:A,Pays!D:D)</f>
        <v>0</v>
      </c>
      <c r="P623">
        <v>0.15</v>
      </c>
      <c r="Q623">
        <v>0.74</v>
      </c>
      <c r="U623">
        <v>1</v>
      </c>
      <c r="W623">
        <f>IF(COUNTIF(Pays!A:A,X623)=0,"",LOOKUP(X623,Pays!A:A,Pays!E:E))</f>
        <v>0</v>
      </c>
      <c r="X623" s="8" t="s">
        <v>37</v>
      </c>
    </row>
    <row r="624" spans="1:24" x14ac:dyDescent="0.25">
      <c r="A624" t="s">
        <v>1165</v>
      </c>
      <c r="B624" t="s">
        <v>182</v>
      </c>
      <c r="C624" s="1">
        <f t="shared" si="19"/>
        <v>46174</v>
      </c>
      <c r="F624" t="s">
        <v>155</v>
      </c>
      <c r="G624" t="s">
        <v>837</v>
      </c>
      <c r="H624" t="s">
        <v>1725</v>
      </c>
      <c r="I624" t="s">
        <v>18</v>
      </c>
      <c r="J624" t="str">
        <f>IF(COUNTIF(Pays!A:A,X624)=0,"Pays inconnu",_xlfn.XLOOKUP(X624,Pays!A:A,Pays!B:B))</f>
        <v>GB</v>
      </c>
      <c r="K624" t="str">
        <f>IF(COUNTIF(Pays!A:A,X624)=0,"Pays inconnu",_xlfn.XLOOKUP(X624,Pays!A:A,Pays!C:C))</f>
        <v>1_GB</v>
      </c>
      <c r="L624">
        <v>1</v>
      </c>
      <c r="M624">
        <f t="shared" si="18"/>
        <v>0.15</v>
      </c>
      <c r="N624" t="s">
        <v>20</v>
      </c>
      <c r="O624">
        <f>LOOKUP(X624,Pays!A:A,Pays!D:D)</f>
        <v>0</v>
      </c>
      <c r="P624">
        <v>0.15</v>
      </c>
      <c r="Q624">
        <v>0.15</v>
      </c>
      <c r="U624">
        <v>1</v>
      </c>
      <c r="W624">
        <f>IF(COUNTIF(Pays!A:A,X624)=0,"",LOOKUP(X624,Pays!A:A,Pays!E:E))</f>
        <v>0</v>
      </c>
      <c r="X624" s="8" t="s">
        <v>30</v>
      </c>
    </row>
    <row r="625" spans="1:24" x14ac:dyDescent="0.25">
      <c r="A625" t="s">
        <v>1165</v>
      </c>
      <c r="B625" t="s">
        <v>182</v>
      </c>
      <c r="C625" s="1">
        <f t="shared" si="19"/>
        <v>46174</v>
      </c>
      <c r="F625" t="s">
        <v>155</v>
      </c>
      <c r="G625" t="s">
        <v>838</v>
      </c>
      <c r="H625" t="s">
        <v>1726</v>
      </c>
      <c r="I625" t="s">
        <v>18</v>
      </c>
      <c r="J625" t="str">
        <f>IF(COUNTIF(Pays!A:A,X625)=0,"Pays inconnu",_xlfn.XLOOKUP(X625,Pays!A:A,Pays!B:B))</f>
        <v>GB</v>
      </c>
      <c r="K625" t="str">
        <f>IF(COUNTIF(Pays!A:A,X625)=0,"Pays inconnu",_xlfn.XLOOKUP(X625,Pays!A:A,Pays!C:C))</f>
        <v>1_GB</v>
      </c>
      <c r="L625">
        <v>1</v>
      </c>
      <c r="M625">
        <f t="shared" si="18"/>
        <v>0.17</v>
      </c>
      <c r="N625" t="s">
        <v>20</v>
      </c>
      <c r="O625">
        <f>LOOKUP(X625,Pays!A:A,Pays!D:D)</f>
        <v>0</v>
      </c>
      <c r="P625">
        <v>0.15</v>
      </c>
      <c r="Q625">
        <v>0.17</v>
      </c>
      <c r="U625">
        <v>1</v>
      </c>
      <c r="W625">
        <f>IF(COUNTIF(Pays!A:A,X625)=0,"",LOOKUP(X625,Pays!A:A,Pays!E:E))</f>
        <v>0</v>
      </c>
      <c r="X625" s="8" t="s">
        <v>30</v>
      </c>
    </row>
    <row r="626" spans="1:24" x14ac:dyDescent="0.25">
      <c r="A626" t="s">
        <v>1165</v>
      </c>
      <c r="B626" t="s">
        <v>182</v>
      </c>
      <c r="C626" s="1">
        <f t="shared" si="19"/>
        <v>46174</v>
      </c>
      <c r="F626" t="s">
        <v>155</v>
      </c>
      <c r="G626" t="s">
        <v>839</v>
      </c>
      <c r="H626" t="s">
        <v>1727</v>
      </c>
      <c r="I626" t="s">
        <v>18</v>
      </c>
      <c r="J626" t="str">
        <f>IF(COUNTIF(Pays!A:A,X626)=0,"Pays inconnu",_xlfn.XLOOKUP(X626,Pays!A:A,Pays!B:B))</f>
        <v>CH</v>
      </c>
      <c r="K626" t="str">
        <f>IF(COUNTIF(Pays!A:A,X626)=0,"Pays inconnu",_xlfn.XLOOKUP(X626,Pays!A:A,Pays!C:C))</f>
        <v>1_CH</v>
      </c>
      <c r="L626">
        <v>1</v>
      </c>
      <c r="M626">
        <f t="shared" si="18"/>
        <v>0.17</v>
      </c>
      <c r="N626" t="s">
        <v>20</v>
      </c>
      <c r="O626">
        <f>LOOKUP(X626,Pays!A:A,Pays!D:D)</f>
        <v>0</v>
      </c>
      <c r="P626">
        <v>0.15</v>
      </c>
      <c r="Q626">
        <v>0.17</v>
      </c>
      <c r="U626">
        <v>1</v>
      </c>
      <c r="W626">
        <f>IF(COUNTIF(Pays!A:A,X626)=0,"",LOOKUP(X626,Pays!A:A,Pays!E:E))</f>
        <v>0</v>
      </c>
      <c r="X626" s="8" t="s">
        <v>37</v>
      </c>
    </row>
    <row r="627" spans="1:24" x14ac:dyDescent="0.25">
      <c r="A627" t="s">
        <v>1165</v>
      </c>
      <c r="B627" t="s">
        <v>182</v>
      </c>
      <c r="C627" s="1">
        <f t="shared" si="19"/>
        <v>46174</v>
      </c>
      <c r="F627" t="s">
        <v>155</v>
      </c>
      <c r="G627" t="s">
        <v>840</v>
      </c>
      <c r="H627" t="s">
        <v>1728</v>
      </c>
      <c r="I627" t="s">
        <v>18</v>
      </c>
      <c r="J627" t="str">
        <f>IF(COUNTIF(Pays!A:A,X627)=0,"Pays inconnu",_xlfn.XLOOKUP(X627,Pays!A:A,Pays!B:B))</f>
        <v>CH</v>
      </c>
      <c r="K627" t="str">
        <f>IF(COUNTIF(Pays!A:A,X627)=0,"Pays inconnu",_xlfn.XLOOKUP(X627,Pays!A:A,Pays!C:C))</f>
        <v>1_CH</v>
      </c>
      <c r="L627">
        <v>1</v>
      </c>
      <c r="M627">
        <f t="shared" si="18"/>
        <v>0.56999999999999995</v>
      </c>
      <c r="N627" t="s">
        <v>20</v>
      </c>
      <c r="O627">
        <f>LOOKUP(X627,Pays!A:A,Pays!D:D)</f>
        <v>0</v>
      </c>
      <c r="P627">
        <v>0.15</v>
      </c>
      <c r="Q627">
        <v>0.56999999999999995</v>
      </c>
      <c r="U627">
        <v>1</v>
      </c>
      <c r="W627">
        <f>IF(COUNTIF(Pays!A:A,X627)=0,"",LOOKUP(X627,Pays!A:A,Pays!E:E))</f>
        <v>0</v>
      </c>
      <c r="X627" s="8" t="s">
        <v>37</v>
      </c>
    </row>
    <row r="628" spans="1:24" x14ac:dyDescent="0.25">
      <c r="A628" t="s">
        <v>1165</v>
      </c>
      <c r="B628" t="s">
        <v>182</v>
      </c>
      <c r="C628" s="1">
        <f t="shared" si="19"/>
        <v>46174</v>
      </c>
      <c r="F628" t="s">
        <v>155</v>
      </c>
      <c r="G628" t="s">
        <v>841</v>
      </c>
      <c r="H628" t="s">
        <v>1729</v>
      </c>
      <c r="I628" t="s">
        <v>18</v>
      </c>
      <c r="J628" t="str">
        <f>IF(COUNTIF(Pays!A:A,X628)=0,"Pays inconnu",_xlfn.XLOOKUP(X628,Pays!A:A,Pays!B:B))</f>
        <v>CH</v>
      </c>
      <c r="K628" t="str">
        <f>IF(COUNTIF(Pays!A:A,X628)=0,"Pays inconnu",_xlfn.XLOOKUP(X628,Pays!A:A,Pays!C:C))</f>
        <v>1_CH</v>
      </c>
      <c r="L628">
        <v>1</v>
      </c>
      <c r="M628">
        <f t="shared" si="18"/>
        <v>0.15</v>
      </c>
      <c r="N628" t="s">
        <v>20</v>
      </c>
      <c r="O628">
        <f>LOOKUP(X628,Pays!A:A,Pays!D:D)</f>
        <v>0</v>
      </c>
      <c r="P628">
        <v>0.15</v>
      </c>
      <c r="Q628">
        <v>0.02</v>
      </c>
      <c r="U628">
        <v>1</v>
      </c>
      <c r="W628">
        <f>IF(COUNTIF(Pays!A:A,X628)=0,"",LOOKUP(X628,Pays!A:A,Pays!E:E))</f>
        <v>0</v>
      </c>
      <c r="X628" s="8" t="s">
        <v>37</v>
      </c>
    </row>
    <row r="629" spans="1:24" x14ac:dyDescent="0.25">
      <c r="A629" t="s">
        <v>1165</v>
      </c>
      <c r="B629" t="s">
        <v>182</v>
      </c>
      <c r="C629" s="1">
        <f t="shared" si="19"/>
        <v>46174</v>
      </c>
      <c r="F629" t="s">
        <v>155</v>
      </c>
      <c r="G629" t="s">
        <v>842</v>
      </c>
      <c r="H629" t="s">
        <v>1730</v>
      </c>
      <c r="I629" t="s">
        <v>18</v>
      </c>
      <c r="J629" t="str">
        <f>IF(COUNTIF(Pays!A:A,X629)=0,"Pays inconnu",_xlfn.XLOOKUP(X629,Pays!A:A,Pays!B:B))</f>
        <v>CH</v>
      </c>
      <c r="K629" t="str">
        <f>IF(COUNTIF(Pays!A:A,X629)=0,"Pays inconnu",_xlfn.XLOOKUP(X629,Pays!A:A,Pays!C:C))</f>
        <v>1_CH</v>
      </c>
      <c r="L629">
        <v>1</v>
      </c>
      <c r="M629">
        <f t="shared" si="18"/>
        <v>0.16</v>
      </c>
      <c r="N629" t="s">
        <v>20</v>
      </c>
      <c r="O629">
        <f>LOOKUP(X629,Pays!A:A,Pays!D:D)</f>
        <v>0</v>
      </c>
      <c r="P629">
        <v>0.15</v>
      </c>
      <c r="Q629">
        <v>0.16</v>
      </c>
      <c r="U629">
        <v>1</v>
      </c>
      <c r="W629">
        <f>IF(COUNTIF(Pays!A:A,X629)=0,"",LOOKUP(X629,Pays!A:A,Pays!E:E))</f>
        <v>0</v>
      </c>
      <c r="X629" s="8" t="s">
        <v>37</v>
      </c>
    </row>
    <row r="630" spans="1:24" x14ac:dyDescent="0.25">
      <c r="A630" t="s">
        <v>1165</v>
      </c>
      <c r="B630" t="s">
        <v>182</v>
      </c>
      <c r="C630" s="1">
        <f t="shared" si="19"/>
        <v>46174</v>
      </c>
      <c r="F630" t="s">
        <v>181</v>
      </c>
      <c r="G630" t="s">
        <v>843</v>
      </c>
      <c r="H630" t="s">
        <v>1731</v>
      </c>
      <c r="I630" t="s">
        <v>18</v>
      </c>
      <c r="J630" t="str">
        <f>IF(COUNTIF(Pays!A:A,X630)=0,"Pays inconnu",_xlfn.XLOOKUP(X630,Pays!A:A,Pays!B:B))</f>
        <v>CH</v>
      </c>
      <c r="K630" t="str">
        <f>IF(COUNTIF(Pays!A:A,X630)=0,"Pays inconnu",_xlfn.XLOOKUP(X630,Pays!A:A,Pays!C:C))</f>
        <v>1_CH</v>
      </c>
      <c r="L630">
        <v>1</v>
      </c>
      <c r="M630">
        <f t="shared" si="18"/>
        <v>0.98</v>
      </c>
      <c r="N630" t="s">
        <v>20</v>
      </c>
      <c r="O630">
        <f>LOOKUP(X630,Pays!A:A,Pays!D:D)</f>
        <v>0</v>
      </c>
      <c r="P630">
        <v>0.15</v>
      </c>
      <c r="Q630">
        <v>0.98</v>
      </c>
      <c r="U630">
        <v>1</v>
      </c>
      <c r="W630">
        <f>IF(COUNTIF(Pays!A:A,X630)=0,"",LOOKUP(X630,Pays!A:A,Pays!E:E))</f>
        <v>0</v>
      </c>
      <c r="X630" s="8" t="s">
        <v>37</v>
      </c>
    </row>
    <row r="631" spans="1:24" x14ac:dyDescent="0.25">
      <c r="A631" t="s">
        <v>1165</v>
      </c>
      <c r="B631" t="s">
        <v>182</v>
      </c>
      <c r="C631" s="1">
        <f t="shared" si="19"/>
        <v>46174</v>
      </c>
      <c r="F631" t="s">
        <v>181</v>
      </c>
      <c r="G631" t="s">
        <v>844</v>
      </c>
      <c r="H631" t="s">
        <v>1729</v>
      </c>
      <c r="I631" t="s">
        <v>18</v>
      </c>
      <c r="J631" t="str">
        <f>IF(COUNTIF(Pays!A:A,X631)=0,"Pays inconnu",_xlfn.XLOOKUP(X631,Pays!A:A,Pays!B:B))</f>
        <v>CH</v>
      </c>
      <c r="K631" t="str">
        <f>IF(COUNTIF(Pays!A:A,X631)=0,"Pays inconnu",_xlfn.XLOOKUP(X631,Pays!A:A,Pays!C:C))</f>
        <v>1_CH</v>
      </c>
      <c r="L631">
        <v>1</v>
      </c>
      <c r="M631">
        <f t="shared" si="18"/>
        <v>0.98</v>
      </c>
      <c r="N631" t="s">
        <v>20</v>
      </c>
      <c r="O631">
        <f>LOOKUP(X631,Pays!A:A,Pays!D:D)</f>
        <v>0</v>
      </c>
      <c r="P631">
        <v>0.15</v>
      </c>
      <c r="Q631">
        <v>0.98</v>
      </c>
      <c r="U631">
        <v>1</v>
      </c>
      <c r="W631">
        <f>IF(COUNTIF(Pays!A:A,X631)=0,"",LOOKUP(X631,Pays!A:A,Pays!E:E))</f>
        <v>0</v>
      </c>
      <c r="X631" s="8" t="s">
        <v>37</v>
      </c>
    </row>
    <row r="632" spans="1:24" x14ac:dyDescent="0.25">
      <c r="A632" t="s">
        <v>1166</v>
      </c>
      <c r="B632" t="s">
        <v>182</v>
      </c>
      <c r="C632" s="1">
        <f t="shared" si="19"/>
        <v>46174</v>
      </c>
      <c r="F632" t="s">
        <v>110</v>
      </c>
      <c r="G632" t="s">
        <v>845</v>
      </c>
      <c r="H632" t="s">
        <v>180</v>
      </c>
      <c r="I632" t="s">
        <v>18</v>
      </c>
      <c r="J632" t="str">
        <f>IF(COUNTIF(Pays!A:A,X632)=0,"Pays inconnu",_xlfn.XLOOKUP(X632,Pays!A:A,Pays!B:B))</f>
        <v>BE</v>
      </c>
      <c r="K632" t="str">
        <f>IF(COUNTIF(Pays!A:A,X632)=0,"Pays inconnu",_xlfn.XLOOKUP(X632,Pays!A:A,Pays!C:C))</f>
        <v>1_BE</v>
      </c>
      <c r="L632">
        <v>1</v>
      </c>
      <c r="M632">
        <f t="shared" si="18"/>
        <v>0.3</v>
      </c>
      <c r="N632" t="s">
        <v>20</v>
      </c>
      <c r="O632">
        <f>LOOKUP(X632,Pays!A:A,Pays!D:D)</f>
        <v>0.2</v>
      </c>
      <c r="P632">
        <v>0.15</v>
      </c>
      <c r="Q632">
        <v>0.3</v>
      </c>
      <c r="U632">
        <v>1</v>
      </c>
      <c r="W632">
        <f>IF(COUNTIF(Pays!A:A,X632)=0,"",LOOKUP(X632,Pays!A:A,Pays!E:E))</f>
        <v>0</v>
      </c>
      <c r="X632" s="8" t="s">
        <v>28</v>
      </c>
    </row>
    <row r="633" spans="1:24" x14ac:dyDescent="0.25">
      <c r="A633" t="s">
        <v>1166</v>
      </c>
      <c r="B633" t="s">
        <v>182</v>
      </c>
      <c r="C633" s="1">
        <f t="shared" si="19"/>
        <v>46174</v>
      </c>
      <c r="F633" t="s">
        <v>155</v>
      </c>
      <c r="G633" t="s">
        <v>846</v>
      </c>
      <c r="H633" t="s">
        <v>1732</v>
      </c>
      <c r="I633" t="s">
        <v>18</v>
      </c>
      <c r="J633" t="str">
        <f>IF(COUNTIF(Pays!A:A,X633)=0,"Pays inconnu",_xlfn.XLOOKUP(X633,Pays!A:A,Pays!B:B))</f>
        <v>CZ</v>
      </c>
      <c r="K633">
        <f>IF(COUNTIF(Pays!A:A,X633)=0,"Pays inconnu",_xlfn.XLOOKUP(X633,Pays!A:A,Pays!C:C))</f>
        <v>1</v>
      </c>
      <c r="L633">
        <v>1</v>
      </c>
      <c r="M633">
        <f t="shared" si="18"/>
        <v>0.55000000000000004</v>
      </c>
      <c r="N633" t="s">
        <v>20</v>
      </c>
      <c r="O633">
        <f>LOOKUP(X633,Pays!A:A,Pays!D:D)</f>
        <v>0.2</v>
      </c>
      <c r="P633">
        <v>0.15</v>
      </c>
      <c r="Q633">
        <v>0.55000000000000004</v>
      </c>
      <c r="U633">
        <v>1</v>
      </c>
      <c r="W633">
        <f>IF(COUNTIF(Pays!A:A,X633)=0,"",LOOKUP(X633,Pays!A:A,Pays!E:E))</f>
        <v>0</v>
      </c>
      <c r="X633" s="8" t="s">
        <v>87</v>
      </c>
    </row>
    <row r="634" spans="1:24" x14ac:dyDescent="0.25">
      <c r="A634" t="s">
        <v>1166</v>
      </c>
      <c r="B634" t="s">
        <v>182</v>
      </c>
      <c r="C634" s="1">
        <f t="shared" si="19"/>
        <v>46174</v>
      </c>
      <c r="F634" t="s">
        <v>155</v>
      </c>
      <c r="G634" t="s">
        <v>847</v>
      </c>
      <c r="H634" t="s">
        <v>1733</v>
      </c>
      <c r="I634" t="s">
        <v>18</v>
      </c>
      <c r="J634" t="str">
        <f>IF(COUNTIF(Pays!A:A,X634)=0,"Pays inconnu",_xlfn.XLOOKUP(X634,Pays!A:A,Pays!B:B))</f>
        <v>BE</v>
      </c>
      <c r="K634" t="str">
        <f>IF(COUNTIF(Pays!A:A,X634)=0,"Pays inconnu",_xlfn.XLOOKUP(X634,Pays!A:A,Pays!C:C))</f>
        <v>1_BE</v>
      </c>
      <c r="L634">
        <v>1</v>
      </c>
      <c r="M634">
        <f t="shared" si="18"/>
        <v>0.42</v>
      </c>
      <c r="N634" t="s">
        <v>20</v>
      </c>
      <c r="O634">
        <f>LOOKUP(X634,Pays!A:A,Pays!D:D)</f>
        <v>0.2</v>
      </c>
      <c r="P634">
        <v>0.15</v>
      </c>
      <c r="Q634">
        <v>0.42</v>
      </c>
      <c r="U634">
        <v>1</v>
      </c>
      <c r="W634">
        <f>IF(COUNTIF(Pays!A:A,X634)=0,"",LOOKUP(X634,Pays!A:A,Pays!E:E))</f>
        <v>0</v>
      </c>
      <c r="X634" s="8" t="s">
        <v>28</v>
      </c>
    </row>
    <row r="635" spans="1:24" x14ac:dyDescent="0.25">
      <c r="A635" t="s">
        <v>1166</v>
      </c>
      <c r="B635" t="s">
        <v>182</v>
      </c>
      <c r="C635" s="1">
        <f t="shared" si="19"/>
        <v>46174</v>
      </c>
      <c r="F635" t="s">
        <v>155</v>
      </c>
      <c r="G635" t="s">
        <v>848</v>
      </c>
      <c r="H635" t="s">
        <v>1734</v>
      </c>
      <c r="I635" t="s">
        <v>18</v>
      </c>
      <c r="J635" t="str">
        <f>IF(COUNTIF(Pays!A:A,X635)=0,"Pays inconnu",_xlfn.XLOOKUP(X635,Pays!A:A,Pays!B:B))</f>
        <v>CH</v>
      </c>
      <c r="K635" t="str">
        <f>IF(COUNTIF(Pays!A:A,X635)=0,"Pays inconnu",_xlfn.XLOOKUP(X635,Pays!A:A,Pays!C:C))</f>
        <v>1_CH</v>
      </c>
      <c r="L635">
        <v>1</v>
      </c>
      <c r="M635">
        <f t="shared" si="18"/>
        <v>1.1200000000000001</v>
      </c>
      <c r="N635" t="s">
        <v>20</v>
      </c>
      <c r="O635">
        <f>LOOKUP(X635,Pays!A:A,Pays!D:D)</f>
        <v>0</v>
      </c>
      <c r="P635">
        <v>0.15</v>
      </c>
      <c r="Q635">
        <v>1.1200000000000001</v>
      </c>
      <c r="U635">
        <v>1</v>
      </c>
      <c r="W635">
        <f>IF(COUNTIF(Pays!A:A,X635)=0,"",LOOKUP(X635,Pays!A:A,Pays!E:E))</f>
        <v>0</v>
      </c>
      <c r="X635" s="8" t="s">
        <v>37</v>
      </c>
    </row>
    <row r="636" spans="1:24" x14ac:dyDescent="0.25">
      <c r="A636" t="s">
        <v>1166</v>
      </c>
      <c r="B636" t="s">
        <v>182</v>
      </c>
      <c r="C636" s="1">
        <f t="shared" si="19"/>
        <v>46174</v>
      </c>
      <c r="F636" t="s">
        <v>155</v>
      </c>
      <c r="G636" t="s">
        <v>849</v>
      </c>
      <c r="H636" t="s">
        <v>1735</v>
      </c>
      <c r="I636" t="s">
        <v>18</v>
      </c>
      <c r="J636" t="str">
        <f>IF(COUNTIF(Pays!A:A,X636)=0,"Pays inconnu",_xlfn.XLOOKUP(X636,Pays!A:A,Pays!B:B))</f>
        <v>DE</v>
      </c>
      <c r="K636">
        <f>IF(COUNTIF(Pays!A:A,X636)=0,"Pays inconnu",_xlfn.XLOOKUP(X636,Pays!A:A,Pays!C:C))</f>
        <v>1</v>
      </c>
      <c r="L636">
        <v>1</v>
      </c>
      <c r="M636">
        <f t="shared" si="18"/>
        <v>0.85</v>
      </c>
      <c r="N636" t="s">
        <v>20</v>
      </c>
      <c r="O636">
        <f>LOOKUP(X636,Pays!A:A,Pays!D:D)</f>
        <v>0.2</v>
      </c>
      <c r="P636">
        <v>0.15</v>
      </c>
      <c r="Q636">
        <v>0.85</v>
      </c>
      <c r="U636">
        <v>1</v>
      </c>
      <c r="W636">
        <f>IF(COUNTIF(Pays!A:A,X636)=0,"",LOOKUP(X636,Pays!A:A,Pays!E:E))</f>
        <v>0</v>
      </c>
      <c r="X636" s="8" t="s">
        <v>35</v>
      </c>
    </row>
    <row r="637" spans="1:24" x14ac:dyDescent="0.25">
      <c r="A637" t="s">
        <v>1166</v>
      </c>
      <c r="B637" t="s">
        <v>182</v>
      </c>
      <c r="C637" s="1">
        <f t="shared" si="19"/>
        <v>46174</v>
      </c>
      <c r="F637" t="s">
        <v>155</v>
      </c>
      <c r="G637" t="s">
        <v>850</v>
      </c>
      <c r="H637" t="s">
        <v>1736</v>
      </c>
      <c r="I637" t="s">
        <v>18</v>
      </c>
      <c r="J637" t="str">
        <f>IF(COUNTIF(Pays!A:A,X637)=0,"Pays inconnu",_xlfn.XLOOKUP(X637,Pays!A:A,Pays!B:B))</f>
        <v>GB</v>
      </c>
      <c r="K637" t="str">
        <f>IF(COUNTIF(Pays!A:A,X637)=0,"Pays inconnu",_xlfn.XLOOKUP(X637,Pays!A:A,Pays!C:C))</f>
        <v>1_GB</v>
      </c>
      <c r="L637">
        <v>1</v>
      </c>
      <c r="M637">
        <f t="shared" si="18"/>
        <v>0.46</v>
      </c>
      <c r="N637" t="s">
        <v>20</v>
      </c>
      <c r="O637">
        <f>LOOKUP(X637,Pays!A:A,Pays!D:D)</f>
        <v>0</v>
      </c>
      <c r="P637">
        <v>0.15</v>
      </c>
      <c r="Q637">
        <v>0.46</v>
      </c>
      <c r="U637">
        <v>1</v>
      </c>
      <c r="W637">
        <f>IF(COUNTIF(Pays!A:A,X637)=0,"",LOOKUP(X637,Pays!A:A,Pays!E:E))</f>
        <v>0</v>
      </c>
      <c r="X637" s="8" t="s">
        <v>30</v>
      </c>
    </row>
    <row r="638" spans="1:24" x14ac:dyDescent="0.25">
      <c r="A638" t="s">
        <v>1166</v>
      </c>
      <c r="B638" t="s">
        <v>182</v>
      </c>
      <c r="C638" s="1">
        <f t="shared" si="19"/>
        <v>46174</v>
      </c>
      <c r="F638" t="s">
        <v>155</v>
      </c>
      <c r="G638" t="s">
        <v>851</v>
      </c>
      <c r="H638" t="s">
        <v>1737</v>
      </c>
      <c r="I638" t="s">
        <v>18</v>
      </c>
      <c r="J638" t="str">
        <f>IF(COUNTIF(Pays!A:A,X638)=0,"Pays inconnu",_xlfn.XLOOKUP(X638,Pays!A:A,Pays!B:B))</f>
        <v>GB</v>
      </c>
      <c r="K638" t="str">
        <f>IF(COUNTIF(Pays!A:A,X638)=0,"Pays inconnu",_xlfn.XLOOKUP(X638,Pays!A:A,Pays!C:C))</f>
        <v>1_GB</v>
      </c>
      <c r="L638">
        <v>1</v>
      </c>
      <c r="M638">
        <f t="shared" si="18"/>
        <v>0.74</v>
      </c>
      <c r="N638" t="s">
        <v>20</v>
      </c>
      <c r="O638">
        <f>LOOKUP(X638,Pays!A:A,Pays!D:D)</f>
        <v>0</v>
      </c>
      <c r="P638">
        <v>0.15</v>
      </c>
      <c r="Q638">
        <v>0.74</v>
      </c>
      <c r="U638">
        <v>1</v>
      </c>
      <c r="W638">
        <f>IF(COUNTIF(Pays!A:A,X638)=0,"",LOOKUP(X638,Pays!A:A,Pays!E:E))</f>
        <v>0</v>
      </c>
      <c r="X638" s="8" t="s">
        <v>30</v>
      </c>
    </row>
    <row r="639" spans="1:24" x14ac:dyDescent="0.25">
      <c r="A639" t="s">
        <v>1166</v>
      </c>
      <c r="B639" t="s">
        <v>182</v>
      </c>
      <c r="C639" s="1">
        <f t="shared" si="19"/>
        <v>46174</v>
      </c>
      <c r="F639" t="s">
        <v>155</v>
      </c>
      <c r="G639" t="s">
        <v>852</v>
      </c>
      <c r="H639" t="s">
        <v>1738</v>
      </c>
      <c r="I639" t="s">
        <v>18</v>
      </c>
      <c r="J639" t="str">
        <f>IF(COUNTIF(Pays!A:A,X639)=0,"Pays inconnu",_xlfn.XLOOKUP(X639,Pays!A:A,Pays!B:B))</f>
        <v>GB</v>
      </c>
      <c r="K639" t="str">
        <f>IF(COUNTIF(Pays!A:A,X639)=0,"Pays inconnu",_xlfn.XLOOKUP(X639,Pays!A:A,Pays!C:C))</f>
        <v>1_GB</v>
      </c>
      <c r="L639">
        <v>1</v>
      </c>
      <c r="M639">
        <f t="shared" si="18"/>
        <v>0.39</v>
      </c>
      <c r="N639" t="s">
        <v>20</v>
      </c>
      <c r="O639">
        <f>LOOKUP(X639,Pays!A:A,Pays!D:D)</f>
        <v>0</v>
      </c>
      <c r="P639">
        <v>0.39</v>
      </c>
      <c r="Q639">
        <v>0.39</v>
      </c>
      <c r="U639">
        <v>1</v>
      </c>
      <c r="W639">
        <f>IF(COUNTIF(Pays!A:A,X639)=0,"",LOOKUP(X639,Pays!A:A,Pays!E:E))</f>
        <v>0</v>
      </c>
      <c r="X639" s="8" t="s">
        <v>30</v>
      </c>
    </row>
    <row r="640" spans="1:24" x14ac:dyDescent="0.25">
      <c r="A640" t="s">
        <v>1166</v>
      </c>
      <c r="B640" t="s">
        <v>182</v>
      </c>
      <c r="C640" s="1">
        <f t="shared" si="19"/>
        <v>46174</v>
      </c>
      <c r="F640" t="s">
        <v>155</v>
      </c>
      <c r="G640" t="s">
        <v>853</v>
      </c>
      <c r="H640" t="s">
        <v>1739</v>
      </c>
      <c r="I640" t="s">
        <v>18</v>
      </c>
      <c r="J640" t="str">
        <f>IF(COUNTIF(Pays!A:A,X640)=0,"Pays inconnu",_xlfn.XLOOKUP(X640,Pays!A:A,Pays!B:B))</f>
        <v>ES</v>
      </c>
      <c r="K640">
        <f>IF(COUNTIF(Pays!A:A,X640)=0,"Pays inconnu",_xlfn.XLOOKUP(X640,Pays!A:A,Pays!C:C))</f>
        <v>1</v>
      </c>
      <c r="L640">
        <v>1</v>
      </c>
      <c r="M640">
        <f t="shared" si="18"/>
        <v>0.42</v>
      </c>
      <c r="N640" t="s">
        <v>20</v>
      </c>
      <c r="O640">
        <f>LOOKUP(X640,Pays!A:A,Pays!D:D)</f>
        <v>0.2</v>
      </c>
      <c r="P640">
        <v>0.15</v>
      </c>
      <c r="Q640">
        <v>0.42</v>
      </c>
      <c r="U640">
        <v>1</v>
      </c>
      <c r="W640">
        <f>IF(COUNTIF(Pays!A:A,X640)=0,"",LOOKUP(X640,Pays!A:A,Pays!E:E))</f>
        <v>0</v>
      </c>
      <c r="X640" s="8" t="s">
        <v>29</v>
      </c>
    </row>
    <row r="641" spans="1:24" x14ac:dyDescent="0.25">
      <c r="A641" t="s">
        <v>1166</v>
      </c>
      <c r="B641" t="s">
        <v>182</v>
      </c>
      <c r="C641" s="1">
        <f t="shared" si="19"/>
        <v>46174</v>
      </c>
      <c r="F641" t="s">
        <v>155</v>
      </c>
      <c r="G641" t="s">
        <v>854</v>
      </c>
      <c r="H641" t="s">
        <v>1740</v>
      </c>
      <c r="I641" t="s">
        <v>18</v>
      </c>
      <c r="J641" t="str">
        <f>IF(COUNTIF(Pays!A:A,X641)=0,"Pays inconnu",_xlfn.XLOOKUP(X641,Pays!A:A,Pays!B:B))</f>
        <v>CZ</v>
      </c>
      <c r="K641">
        <f>IF(COUNTIF(Pays!A:A,X641)=0,"Pays inconnu",_xlfn.XLOOKUP(X641,Pays!A:A,Pays!C:C))</f>
        <v>1</v>
      </c>
      <c r="L641">
        <v>1</v>
      </c>
      <c r="M641">
        <f t="shared" si="18"/>
        <v>0.45</v>
      </c>
      <c r="N641" t="s">
        <v>20</v>
      </c>
      <c r="O641">
        <f>LOOKUP(X641,Pays!A:A,Pays!D:D)</f>
        <v>0.2</v>
      </c>
      <c r="P641">
        <v>0.15</v>
      </c>
      <c r="Q641">
        <v>0.45</v>
      </c>
      <c r="U641">
        <v>1</v>
      </c>
      <c r="W641">
        <f>IF(COUNTIF(Pays!A:A,X641)=0,"",LOOKUP(X641,Pays!A:A,Pays!E:E))</f>
        <v>0</v>
      </c>
      <c r="X641" s="8" t="s">
        <v>87</v>
      </c>
    </row>
    <row r="642" spans="1:24" x14ac:dyDescent="0.25">
      <c r="A642" t="s">
        <v>1166</v>
      </c>
      <c r="B642" t="s">
        <v>182</v>
      </c>
      <c r="C642" s="1">
        <f t="shared" si="19"/>
        <v>46174</v>
      </c>
      <c r="F642" t="s">
        <v>155</v>
      </c>
      <c r="G642" t="s">
        <v>855</v>
      </c>
      <c r="H642" t="s">
        <v>1741</v>
      </c>
      <c r="I642" t="s">
        <v>18</v>
      </c>
      <c r="J642" t="str">
        <f>IF(COUNTIF(Pays!A:A,X642)=0,"Pays inconnu",_xlfn.XLOOKUP(X642,Pays!A:A,Pays!B:B))</f>
        <v>CH</v>
      </c>
      <c r="K642" t="str">
        <f>IF(COUNTIF(Pays!A:A,X642)=0,"Pays inconnu",_xlfn.XLOOKUP(X642,Pays!A:A,Pays!C:C))</f>
        <v>1_CH</v>
      </c>
      <c r="L642">
        <v>1</v>
      </c>
      <c r="M642">
        <f t="shared" si="18"/>
        <v>0.63</v>
      </c>
      <c r="N642" t="s">
        <v>20</v>
      </c>
      <c r="O642">
        <f>LOOKUP(X642,Pays!A:A,Pays!D:D)</f>
        <v>0</v>
      </c>
      <c r="P642">
        <v>0.15</v>
      </c>
      <c r="Q642">
        <v>0.63</v>
      </c>
      <c r="U642">
        <v>1</v>
      </c>
      <c r="W642">
        <f>IF(COUNTIF(Pays!A:A,X642)=0,"",LOOKUP(X642,Pays!A:A,Pays!E:E))</f>
        <v>0</v>
      </c>
      <c r="X642" s="8" t="s">
        <v>37</v>
      </c>
    </row>
    <row r="643" spans="1:24" x14ac:dyDescent="0.25">
      <c r="A643" t="s">
        <v>1166</v>
      </c>
      <c r="B643" t="s">
        <v>182</v>
      </c>
      <c r="C643" s="1">
        <f t="shared" si="19"/>
        <v>46174</v>
      </c>
      <c r="F643" t="s">
        <v>155</v>
      </c>
      <c r="G643" t="s">
        <v>856</v>
      </c>
      <c r="H643" t="s">
        <v>1742</v>
      </c>
      <c r="I643" t="s">
        <v>18</v>
      </c>
      <c r="J643" t="str">
        <f>IF(COUNTIF(Pays!A:A,X643)=0,"Pays inconnu",_xlfn.XLOOKUP(X643,Pays!A:A,Pays!B:B))</f>
        <v>CH</v>
      </c>
      <c r="K643" t="str">
        <f>IF(COUNTIF(Pays!A:A,X643)=0,"Pays inconnu",_xlfn.XLOOKUP(X643,Pays!A:A,Pays!C:C))</f>
        <v>1_CH</v>
      </c>
      <c r="L643">
        <v>1</v>
      </c>
      <c r="M643">
        <f t="shared" ref="M643:M706" si="20">ROUND(MAX(P643:Q643),2)</f>
        <v>0.84</v>
      </c>
      <c r="N643" t="s">
        <v>20</v>
      </c>
      <c r="O643">
        <f>LOOKUP(X643,Pays!A:A,Pays!D:D)</f>
        <v>0</v>
      </c>
      <c r="P643">
        <v>0.15</v>
      </c>
      <c r="Q643">
        <v>0.84</v>
      </c>
      <c r="U643">
        <v>1</v>
      </c>
      <c r="W643">
        <f>IF(COUNTIF(Pays!A:A,X643)=0,"",LOOKUP(X643,Pays!A:A,Pays!E:E))</f>
        <v>0</v>
      </c>
      <c r="X643" s="8" t="s">
        <v>37</v>
      </c>
    </row>
    <row r="644" spans="1:24" x14ac:dyDescent="0.25">
      <c r="A644" t="s">
        <v>1166</v>
      </c>
      <c r="B644" t="s">
        <v>182</v>
      </c>
      <c r="C644" s="1">
        <f t="shared" ref="C644:C707" si="21">C643</f>
        <v>46174</v>
      </c>
      <c r="F644" t="s">
        <v>155</v>
      </c>
      <c r="G644" t="s">
        <v>857</v>
      </c>
      <c r="H644" t="s">
        <v>1743</v>
      </c>
      <c r="I644" t="s">
        <v>18</v>
      </c>
      <c r="J644" t="str">
        <f>IF(COUNTIF(Pays!A:A,X644)=0,"Pays inconnu",_xlfn.XLOOKUP(X644,Pays!A:A,Pays!B:B))</f>
        <v>CH</v>
      </c>
      <c r="K644" t="str">
        <f>IF(COUNTIF(Pays!A:A,X644)=0,"Pays inconnu",_xlfn.XLOOKUP(X644,Pays!A:A,Pays!C:C))</f>
        <v>1_CH</v>
      </c>
      <c r="L644">
        <v>1</v>
      </c>
      <c r="M644">
        <f t="shared" si="20"/>
        <v>0.42</v>
      </c>
      <c r="N644" t="s">
        <v>20</v>
      </c>
      <c r="O644">
        <f>LOOKUP(X644,Pays!A:A,Pays!D:D)</f>
        <v>0</v>
      </c>
      <c r="P644">
        <v>0.15</v>
      </c>
      <c r="Q644">
        <v>0.42</v>
      </c>
      <c r="U644">
        <v>1</v>
      </c>
      <c r="W644">
        <f>IF(COUNTIF(Pays!A:A,X644)=0,"",LOOKUP(X644,Pays!A:A,Pays!E:E))</f>
        <v>0</v>
      </c>
      <c r="X644" s="8" t="s">
        <v>37</v>
      </c>
    </row>
    <row r="645" spans="1:24" x14ac:dyDescent="0.25">
      <c r="A645" t="s">
        <v>1166</v>
      </c>
      <c r="B645" t="s">
        <v>182</v>
      </c>
      <c r="C645" s="1">
        <f t="shared" si="21"/>
        <v>46174</v>
      </c>
      <c r="F645" t="s">
        <v>155</v>
      </c>
      <c r="G645" t="s">
        <v>858</v>
      </c>
      <c r="H645" t="s">
        <v>1744</v>
      </c>
      <c r="I645" t="s">
        <v>18</v>
      </c>
      <c r="J645" t="str">
        <f>IF(COUNTIF(Pays!A:A,X645)=0,"Pays inconnu",_xlfn.XLOOKUP(X645,Pays!A:A,Pays!B:B))</f>
        <v>BE</v>
      </c>
      <c r="K645" t="str">
        <f>IF(COUNTIF(Pays!A:A,X645)=0,"Pays inconnu",_xlfn.XLOOKUP(X645,Pays!A:A,Pays!C:C))</f>
        <v>1_BE</v>
      </c>
      <c r="L645">
        <v>1</v>
      </c>
      <c r="M645">
        <f t="shared" si="20"/>
        <v>0.32</v>
      </c>
      <c r="N645" t="s">
        <v>20</v>
      </c>
      <c r="O645">
        <f>LOOKUP(X645,Pays!A:A,Pays!D:D)</f>
        <v>0.2</v>
      </c>
      <c r="P645">
        <v>0.15</v>
      </c>
      <c r="Q645">
        <v>0.32</v>
      </c>
      <c r="U645">
        <v>1</v>
      </c>
      <c r="W645">
        <f>IF(COUNTIF(Pays!A:A,X645)=0,"",LOOKUP(X645,Pays!A:A,Pays!E:E))</f>
        <v>0</v>
      </c>
      <c r="X645" s="8" t="s">
        <v>28</v>
      </c>
    </row>
    <row r="646" spans="1:24" x14ac:dyDescent="0.25">
      <c r="A646" t="s">
        <v>1166</v>
      </c>
      <c r="B646" t="s">
        <v>182</v>
      </c>
      <c r="C646" s="1">
        <f t="shared" si="21"/>
        <v>46174</v>
      </c>
      <c r="F646" t="s">
        <v>155</v>
      </c>
      <c r="G646" t="s">
        <v>859</v>
      </c>
      <c r="H646" t="s">
        <v>1745</v>
      </c>
      <c r="I646" t="s">
        <v>18</v>
      </c>
      <c r="J646" t="str">
        <f>IF(COUNTIF(Pays!A:A,X646)=0,"Pays inconnu",_xlfn.XLOOKUP(X646,Pays!A:A,Pays!B:B))</f>
        <v>ES</v>
      </c>
      <c r="K646">
        <f>IF(COUNTIF(Pays!A:A,X646)=0,"Pays inconnu",_xlfn.XLOOKUP(X646,Pays!A:A,Pays!C:C))</f>
        <v>1</v>
      </c>
      <c r="L646">
        <v>1</v>
      </c>
      <c r="M646">
        <f t="shared" si="20"/>
        <v>0.42</v>
      </c>
      <c r="N646" t="s">
        <v>20</v>
      </c>
      <c r="O646">
        <f>LOOKUP(X646,Pays!A:A,Pays!D:D)</f>
        <v>0.2</v>
      </c>
      <c r="P646">
        <v>0.15</v>
      </c>
      <c r="Q646">
        <v>0.42</v>
      </c>
      <c r="U646">
        <v>1</v>
      </c>
      <c r="W646">
        <f>IF(COUNTIF(Pays!A:A,X646)=0,"",LOOKUP(X646,Pays!A:A,Pays!E:E))</f>
        <v>0</v>
      </c>
      <c r="X646" s="8" t="s">
        <v>29</v>
      </c>
    </row>
    <row r="647" spans="1:24" x14ac:dyDescent="0.25">
      <c r="A647" t="s">
        <v>1166</v>
      </c>
      <c r="B647" t="s">
        <v>182</v>
      </c>
      <c r="C647" s="1">
        <f t="shared" si="21"/>
        <v>46174</v>
      </c>
      <c r="F647" t="s">
        <v>155</v>
      </c>
      <c r="G647" t="s">
        <v>860</v>
      </c>
      <c r="H647" t="s">
        <v>1746</v>
      </c>
      <c r="I647" t="s">
        <v>18</v>
      </c>
      <c r="J647" t="str">
        <f>IF(COUNTIF(Pays!A:A,X647)=0,"Pays inconnu",_xlfn.XLOOKUP(X647,Pays!A:A,Pays!B:B))</f>
        <v>NL</v>
      </c>
      <c r="K647">
        <f>IF(COUNTIF(Pays!A:A,X647)=0,"Pays inconnu",_xlfn.XLOOKUP(X647,Pays!A:A,Pays!C:C))</f>
        <v>1</v>
      </c>
      <c r="L647">
        <v>1</v>
      </c>
      <c r="M647">
        <f t="shared" si="20"/>
        <v>0.53</v>
      </c>
      <c r="N647" t="s">
        <v>20</v>
      </c>
      <c r="O647">
        <f>LOOKUP(X647,Pays!A:A,Pays!D:D)</f>
        <v>0.2</v>
      </c>
      <c r="P647">
        <v>0.15</v>
      </c>
      <c r="Q647">
        <v>0.53</v>
      </c>
      <c r="U647">
        <v>1</v>
      </c>
      <c r="W647">
        <f>IF(COUNTIF(Pays!A:A,X647)=0,"",LOOKUP(X647,Pays!A:A,Pays!E:E))</f>
        <v>0</v>
      </c>
      <c r="X647" s="8" t="s">
        <v>31</v>
      </c>
    </row>
    <row r="648" spans="1:24" x14ac:dyDescent="0.25">
      <c r="A648" t="s">
        <v>1166</v>
      </c>
      <c r="B648" t="s">
        <v>182</v>
      </c>
      <c r="C648" s="1">
        <f t="shared" si="21"/>
        <v>46174</v>
      </c>
      <c r="F648" t="s">
        <v>155</v>
      </c>
      <c r="G648" t="s">
        <v>861</v>
      </c>
      <c r="H648" t="s">
        <v>1747</v>
      </c>
      <c r="I648" t="s">
        <v>18</v>
      </c>
      <c r="J648" t="str">
        <f>IF(COUNTIF(Pays!A:A,X648)=0,"Pays inconnu",_xlfn.XLOOKUP(X648,Pays!A:A,Pays!B:B))</f>
        <v>SE</v>
      </c>
      <c r="K648">
        <f>IF(COUNTIF(Pays!A:A,X648)=0,"Pays inconnu",_xlfn.XLOOKUP(X648,Pays!A:A,Pays!C:C))</f>
        <v>1</v>
      </c>
      <c r="L648">
        <v>1</v>
      </c>
      <c r="M648">
        <f t="shared" si="20"/>
        <v>0.84</v>
      </c>
      <c r="N648" t="s">
        <v>20</v>
      </c>
      <c r="O648">
        <f>LOOKUP(X648,Pays!A:A,Pays!D:D)</f>
        <v>0.2</v>
      </c>
      <c r="P648">
        <v>0.15</v>
      </c>
      <c r="Q648">
        <v>0.84</v>
      </c>
      <c r="U648">
        <v>1</v>
      </c>
      <c r="W648">
        <f>IF(COUNTIF(Pays!A:A,X648)=0,"",LOOKUP(X648,Pays!A:A,Pays!E:E))</f>
        <v>0</v>
      </c>
      <c r="X648" s="8" t="s">
        <v>78</v>
      </c>
    </row>
    <row r="649" spans="1:24" x14ac:dyDescent="0.25">
      <c r="A649" t="s">
        <v>1166</v>
      </c>
      <c r="B649" t="s">
        <v>182</v>
      </c>
      <c r="C649" s="1">
        <f t="shared" si="21"/>
        <v>46174</v>
      </c>
      <c r="F649" t="s">
        <v>155</v>
      </c>
      <c r="G649" t="s">
        <v>862</v>
      </c>
      <c r="H649" t="s">
        <v>1748</v>
      </c>
      <c r="I649" t="s">
        <v>18</v>
      </c>
      <c r="J649" t="str">
        <f>IF(COUNTIF(Pays!A:A,X649)=0,"Pays inconnu",_xlfn.XLOOKUP(X649,Pays!A:A,Pays!B:B))</f>
        <v>GB</v>
      </c>
      <c r="K649" t="str">
        <f>IF(COUNTIF(Pays!A:A,X649)=0,"Pays inconnu",_xlfn.XLOOKUP(X649,Pays!A:A,Pays!C:C))</f>
        <v>1_GB</v>
      </c>
      <c r="L649">
        <v>1</v>
      </c>
      <c r="M649">
        <f t="shared" si="20"/>
        <v>0.22</v>
      </c>
      <c r="N649" t="s">
        <v>20</v>
      </c>
      <c r="O649">
        <f>LOOKUP(X649,Pays!A:A,Pays!D:D)</f>
        <v>0</v>
      </c>
      <c r="P649">
        <v>0.15</v>
      </c>
      <c r="Q649">
        <v>0.22</v>
      </c>
      <c r="U649">
        <v>1</v>
      </c>
      <c r="W649">
        <f>IF(COUNTIF(Pays!A:A,X649)=0,"",LOOKUP(X649,Pays!A:A,Pays!E:E))</f>
        <v>0</v>
      </c>
      <c r="X649" s="8" t="s">
        <v>30</v>
      </c>
    </row>
    <row r="650" spans="1:24" x14ac:dyDescent="0.25">
      <c r="A650" t="s">
        <v>1166</v>
      </c>
      <c r="B650" t="s">
        <v>182</v>
      </c>
      <c r="C650" s="1">
        <f t="shared" si="21"/>
        <v>46174</v>
      </c>
      <c r="F650" t="s">
        <v>110</v>
      </c>
      <c r="G650" t="s">
        <v>863</v>
      </c>
      <c r="H650" t="s">
        <v>1749</v>
      </c>
      <c r="I650" t="s">
        <v>18</v>
      </c>
      <c r="J650" t="str">
        <f>IF(COUNTIF(Pays!A:A,X650)=0,"Pays inconnu",_xlfn.XLOOKUP(X650,Pays!A:A,Pays!B:B))</f>
        <v>GB</v>
      </c>
      <c r="K650" t="str">
        <f>IF(COUNTIF(Pays!A:A,X650)=0,"Pays inconnu",_xlfn.XLOOKUP(X650,Pays!A:A,Pays!C:C))</f>
        <v>1_GB</v>
      </c>
      <c r="L650">
        <v>1</v>
      </c>
      <c r="M650">
        <f t="shared" si="20"/>
        <v>1.06</v>
      </c>
      <c r="N650" t="s">
        <v>20</v>
      </c>
      <c r="O650">
        <f>LOOKUP(X650,Pays!A:A,Pays!D:D)</f>
        <v>0</v>
      </c>
      <c r="P650">
        <v>0.15</v>
      </c>
      <c r="Q650">
        <v>1.06</v>
      </c>
      <c r="U650">
        <v>1</v>
      </c>
      <c r="W650">
        <f>IF(COUNTIF(Pays!A:A,X650)=0,"",LOOKUP(X650,Pays!A:A,Pays!E:E))</f>
        <v>0</v>
      </c>
      <c r="X650" s="8" t="s">
        <v>30</v>
      </c>
    </row>
    <row r="651" spans="1:24" x14ac:dyDescent="0.25">
      <c r="A651" t="s">
        <v>1166</v>
      </c>
      <c r="B651" t="s">
        <v>182</v>
      </c>
      <c r="C651" s="1">
        <f t="shared" si="21"/>
        <v>46174</v>
      </c>
      <c r="F651" t="s">
        <v>110</v>
      </c>
      <c r="G651" t="s">
        <v>864</v>
      </c>
      <c r="H651" t="s">
        <v>1750</v>
      </c>
      <c r="I651" t="s">
        <v>18</v>
      </c>
      <c r="J651" t="str">
        <f>IF(COUNTIF(Pays!A:A,X651)=0,"Pays inconnu",_xlfn.XLOOKUP(X651,Pays!A:A,Pays!B:B))</f>
        <v>CH</v>
      </c>
      <c r="K651" t="str">
        <f>IF(COUNTIF(Pays!A:A,X651)=0,"Pays inconnu",_xlfn.XLOOKUP(X651,Pays!A:A,Pays!C:C))</f>
        <v>1_CH</v>
      </c>
      <c r="L651">
        <v>1</v>
      </c>
      <c r="M651">
        <f t="shared" si="20"/>
        <v>0.21</v>
      </c>
      <c r="N651" t="s">
        <v>20</v>
      </c>
      <c r="O651">
        <f>LOOKUP(X651,Pays!A:A,Pays!D:D)</f>
        <v>0</v>
      </c>
      <c r="P651">
        <v>0.15</v>
      </c>
      <c r="Q651">
        <v>0.21</v>
      </c>
      <c r="U651">
        <v>1</v>
      </c>
      <c r="W651">
        <f>IF(COUNTIF(Pays!A:A,X651)=0,"",LOOKUP(X651,Pays!A:A,Pays!E:E))</f>
        <v>0</v>
      </c>
      <c r="X651" s="8" t="s">
        <v>37</v>
      </c>
    </row>
    <row r="652" spans="1:24" x14ac:dyDescent="0.25">
      <c r="A652" t="s">
        <v>1166</v>
      </c>
      <c r="B652" t="s">
        <v>182</v>
      </c>
      <c r="C652" s="1">
        <f t="shared" si="21"/>
        <v>46174</v>
      </c>
      <c r="F652" t="s">
        <v>155</v>
      </c>
      <c r="G652" t="s">
        <v>865</v>
      </c>
      <c r="H652" t="s">
        <v>1751</v>
      </c>
      <c r="I652" t="s">
        <v>18</v>
      </c>
      <c r="J652" t="str">
        <f>IF(COUNTIF(Pays!A:A,X652)=0,"Pays inconnu",_xlfn.XLOOKUP(X652,Pays!A:A,Pays!B:B))</f>
        <v>CH</v>
      </c>
      <c r="K652" t="str">
        <f>IF(COUNTIF(Pays!A:A,X652)=0,"Pays inconnu",_xlfn.XLOOKUP(X652,Pays!A:A,Pays!C:C))</f>
        <v>1_CH</v>
      </c>
      <c r="L652">
        <v>1</v>
      </c>
      <c r="M652">
        <f t="shared" si="20"/>
        <v>0.21</v>
      </c>
      <c r="N652" t="s">
        <v>20</v>
      </c>
      <c r="O652">
        <f>LOOKUP(X652,Pays!A:A,Pays!D:D)</f>
        <v>0</v>
      </c>
      <c r="P652">
        <v>0.15</v>
      </c>
      <c r="Q652">
        <v>0.21</v>
      </c>
      <c r="U652">
        <v>1</v>
      </c>
      <c r="W652">
        <f>IF(COUNTIF(Pays!A:A,X652)=0,"",LOOKUP(X652,Pays!A:A,Pays!E:E))</f>
        <v>0</v>
      </c>
      <c r="X652" s="8" t="s">
        <v>37</v>
      </c>
    </row>
    <row r="653" spans="1:24" x14ac:dyDescent="0.25">
      <c r="A653" t="s">
        <v>1166</v>
      </c>
      <c r="B653" t="s">
        <v>182</v>
      </c>
      <c r="C653" s="1">
        <f t="shared" si="21"/>
        <v>46174</v>
      </c>
      <c r="F653" t="s">
        <v>155</v>
      </c>
      <c r="G653" t="s">
        <v>866</v>
      </c>
      <c r="H653" t="s">
        <v>1752</v>
      </c>
      <c r="I653" t="s">
        <v>18</v>
      </c>
      <c r="J653" t="str">
        <f>IF(COUNTIF(Pays!A:A,X653)=0,"Pays inconnu",_xlfn.XLOOKUP(X653,Pays!A:A,Pays!B:B))</f>
        <v>CH</v>
      </c>
      <c r="K653" t="str">
        <f>IF(COUNTIF(Pays!A:A,X653)=0,"Pays inconnu",_xlfn.XLOOKUP(X653,Pays!A:A,Pays!C:C))</f>
        <v>1_CH</v>
      </c>
      <c r="L653">
        <v>1</v>
      </c>
      <c r="M653">
        <f t="shared" si="20"/>
        <v>0.15</v>
      </c>
      <c r="N653" t="s">
        <v>20</v>
      </c>
      <c r="O653">
        <f>LOOKUP(X653,Pays!A:A,Pays!D:D)</f>
        <v>0</v>
      </c>
      <c r="P653">
        <v>0.15</v>
      </c>
      <c r="Q653">
        <v>7.0000000000000007E-2</v>
      </c>
      <c r="U653">
        <v>1</v>
      </c>
      <c r="W653">
        <f>IF(COUNTIF(Pays!A:A,X653)=0,"",LOOKUP(X653,Pays!A:A,Pays!E:E))</f>
        <v>0</v>
      </c>
      <c r="X653" s="8" t="s">
        <v>37</v>
      </c>
    </row>
    <row r="654" spans="1:24" x14ac:dyDescent="0.25">
      <c r="A654" t="s">
        <v>1166</v>
      </c>
      <c r="B654" t="s">
        <v>182</v>
      </c>
      <c r="C654" s="1">
        <f t="shared" si="21"/>
        <v>46174</v>
      </c>
      <c r="F654" t="s">
        <v>155</v>
      </c>
      <c r="G654" t="s">
        <v>867</v>
      </c>
      <c r="H654" t="s">
        <v>1753</v>
      </c>
      <c r="I654" t="s">
        <v>18</v>
      </c>
      <c r="J654" t="str">
        <f>IF(COUNTIF(Pays!A:A,X654)=0,"Pays inconnu",_xlfn.XLOOKUP(X654,Pays!A:A,Pays!B:B))</f>
        <v>CH</v>
      </c>
      <c r="K654" t="str">
        <f>IF(COUNTIF(Pays!A:A,X654)=0,"Pays inconnu",_xlfn.XLOOKUP(X654,Pays!A:A,Pays!C:C))</f>
        <v>1_CH</v>
      </c>
      <c r="L654">
        <v>1</v>
      </c>
      <c r="M654">
        <f t="shared" si="20"/>
        <v>0.17</v>
      </c>
      <c r="N654" t="s">
        <v>20</v>
      </c>
      <c r="O654">
        <f>LOOKUP(X654,Pays!A:A,Pays!D:D)</f>
        <v>0</v>
      </c>
      <c r="P654">
        <v>0.15</v>
      </c>
      <c r="Q654">
        <v>0.17</v>
      </c>
      <c r="U654">
        <v>1</v>
      </c>
      <c r="W654">
        <f>IF(COUNTIF(Pays!A:A,X654)=0,"",LOOKUP(X654,Pays!A:A,Pays!E:E))</f>
        <v>0</v>
      </c>
      <c r="X654" s="8" t="s">
        <v>37</v>
      </c>
    </row>
    <row r="655" spans="1:24" x14ac:dyDescent="0.25">
      <c r="A655" t="s">
        <v>1166</v>
      </c>
      <c r="B655" t="s">
        <v>182</v>
      </c>
      <c r="C655" s="1">
        <f t="shared" si="21"/>
        <v>46174</v>
      </c>
      <c r="F655" t="s">
        <v>155</v>
      </c>
      <c r="G655" t="s">
        <v>868</v>
      </c>
      <c r="H655" t="s">
        <v>1754</v>
      </c>
      <c r="I655" t="s">
        <v>18</v>
      </c>
      <c r="J655" t="str">
        <f>IF(COUNTIF(Pays!A:A,X655)=0,"Pays inconnu",_xlfn.XLOOKUP(X655,Pays!A:A,Pays!B:B))</f>
        <v>GB</v>
      </c>
      <c r="K655" t="str">
        <f>IF(COUNTIF(Pays!A:A,X655)=0,"Pays inconnu",_xlfn.XLOOKUP(X655,Pays!A:A,Pays!C:C))</f>
        <v>1_GB</v>
      </c>
      <c r="L655">
        <v>1</v>
      </c>
      <c r="M655">
        <f t="shared" si="20"/>
        <v>0.4</v>
      </c>
      <c r="N655" t="s">
        <v>20</v>
      </c>
      <c r="O655">
        <f>LOOKUP(X655,Pays!A:A,Pays!D:D)</f>
        <v>0</v>
      </c>
      <c r="P655">
        <v>0.15</v>
      </c>
      <c r="Q655">
        <v>0.4</v>
      </c>
      <c r="U655">
        <v>1</v>
      </c>
      <c r="W655">
        <f>IF(COUNTIF(Pays!A:A,X655)=0,"",LOOKUP(X655,Pays!A:A,Pays!E:E))</f>
        <v>0</v>
      </c>
      <c r="X655" s="8" t="s">
        <v>30</v>
      </c>
    </row>
    <row r="656" spans="1:24" x14ac:dyDescent="0.25">
      <c r="A656" t="s">
        <v>1166</v>
      </c>
      <c r="B656" t="s">
        <v>182</v>
      </c>
      <c r="C656" s="1">
        <f t="shared" si="21"/>
        <v>46174</v>
      </c>
      <c r="F656" t="s">
        <v>155</v>
      </c>
      <c r="G656" t="s">
        <v>869</v>
      </c>
      <c r="H656" t="s">
        <v>1755</v>
      </c>
      <c r="I656" t="s">
        <v>18</v>
      </c>
      <c r="J656" t="str">
        <f>IF(COUNTIF(Pays!A:A,X656)=0,"Pays inconnu",_xlfn.XLOOKUP(X656,Pays!A:A,Pays!B:B))</f>
        <v>GB</v>
      </c>
      <c r="K656" t="str">
        <f>IF(COUNTIF(Pays!A:A,X656)=0,"Pays inconnu",_xlfn.XLOOKUP(X656,Pays!A:A,Pays!C:C))</f>
        <v>1_GB</v>
      </c>
      <c r="L656">
        <v>1</v>
      </c>
      <c r="M656">
        <f t="shared" si="20"/>
        <v>0.15</v>
      </c>
      <c r="N656" t="s">
        <v>20</v>
      </c>
      <c r="O656">
        <f>LOOKUP(X656,Pays!A:A,Pays!D:D)</f>
        <v>0</v>
      </c>
      <c r="P656">
        <v>0.15</v>
      </c>
      <c r="Q656">
        <v>0.13</v>
      </c>
      <c r="U656">
        <v>1</v>
      </c>
      <c r="W656">
        <f>IF(COUNTIF(Pays!A:A,X656)=0,"",LOOKUP(X656,Pays!A:A,Pays!E:E))</f>
        <v>0</v>
      </c>
      <c r="X656" s="8" t="s">
        <v>30</v>
      </c>
    </row>
    <row r="657" spans="1:24" x14ac:dyDescent="0.25">
      <c r="A657" t="s">
        <v>1166</v>
      </c>
      <c r="B657" t="s">
        <v>182</v>
      </c>
      <c r="C657" s="1">
        <f t="shared" si="21"/>
        <v>46174</v>
      </c>
      <c r="F657" t="s">
        <v>155</v>
      </c>
      <c r="G657" t="s">
        <v>870</v>
      </c>
      <c r="H657" t="s">
        <v>1756</v>
      </c>
      <c r="I657" t="s">
        <v>18</v>
      </c>
      <c r="J657" t="str">
        <f>IF(COUNTIF(Pays!A:A,X657)=0,"Pays inconnu",_xlfn.XLOOKUP(X657,Pays!A:A,Pays!B:B))</f>
        <v>CH</v>
      </c>
      <c r="K657" t="str">
        <f>IF(COUNTIF(Pays!A:A,X657)=0,"Pays inconnu",_xlfn.XLOOKUP(X657,Pays!A:A,Pays!C:C))</f>
        <v>1_CH</v>
      </c>
      <c r="L657">
        <v>1</v>
      </c>
      <c r="M657">
        <f t="shared" si="20"/>
        <v>0.15</v>
      </c>
      <c r="N657" t="s">
        <v>20</v>
      </c>
      <c r="O657">
        <f>LOOKUP(X657,Pays!A:A,Pays!D:D)</f>
        <v>0</v>
      </c>
      <c r="P657">
        <v>0.15</v>
      </c>
      <c r="Q657">
        <v>0.06</v>
      </c>
      <c r="U657">
        <v>1</v>
      </c>
      <c r="W657">
        <f>IF(COUNTIF(Pays!A:A,X657)=0,"",LOOKUP(X657,Pays!A:A,Pays!E:E))</f>
        <v>0</v>
      </c>
      <c r="X657" s="8" t="s">
        <v>37</v>
      </c>
    </row>
    <row r="658" spans="1:24" x14ac:dyDescent="0.25">
      <c r="A658" t="s">
        <v>1166</v>
      </c>
      <c r="B658" t="s">
        <v>182</v>
      </c>
      <c r="C658" s="1">
        <f t="shared" si="21"/>
        <v>46174</v>
      </c>
      <c r="F658" t="s">
        <v>155</v>
      </c>
      <c r="G658" t="s">
        <v>871</v>
      </c>
      <c r="H658" t="s">
        <v>1757</v>
      </c>
      <c r="I658" t="s">
        <v>18</v>
      </c>
      <c r="J658" t="str">
        <f>IF(COUNTIF(Pays!A:A,X658)=0,"Pays inconnu",_xlfn.XLOOKUP(X658,Pays!A:A,Pays!B:B))</f>
        <v>CH</v>
      </c>
      <c r="K658" t="str">
        <f>IF(COUNTIF(Pays!A:A,X658)=0,"Pays inconnu",_xlfn.XLOOKUP(X658,Pays!A:A,Pays!C:C))</f>
        <v>1_CH</v>
      </c>
      <c r="L658">
        <v>1</v>
      </c>
      <c r="M658">
        <f t="shared" si="20"/>
        <v>0.15</v>
      </c>
      <c r="N658" t="s">
        <v>20</v>
      </c>
      <c r="O658">
        <f>LOOKUP(X658,Pays!A:A,Pays!D:D)</f>
        <v>0</v>
      </c>
      <c r="P658">
        <v>0.15</v>
      </c>
      <c r="Q658">
        <v>0.02</v>
      </c>
      <c r="U658">
        <v>1</v>
      </c>
      <c r="W658">
        <f>IF(COUNTIF(Pays!A:A,X658)=0,"",LOOKUP(X658,Pays!A:A,Pays!E:E))</f>
        <v>0</v>
      </c>
      <c r="X658" s="8" t="s">
        <v>37</v>
      </c>
    </row>
    <row r="659" spans="1:24" x14ac:dyDescent="0.25">
      <c r="A659" t="s">
        <v>1166</v>
      </c>
      <c r="B659" t="s">
        <v>182</v>
      </c>
      <c r="C659" s="1">
        <f t="shared" si="21"/>
        <v>46174</v>
      </c>
      <c r="F659" t="s">
        <v>110</v>
      </c>
      <c r="G659" t="s">
        <v>872</v>
      </c>
      <c r="H659" t="s">
        <v>1758</v>
      </c>
      <c r="I659" t="s">
        <v>18</v>
      </c>
      <c r="J659" t="str">
        <f>IF(COUNTIF(Pays!A:A,X659)=0,"Pays inconnu",_xlfn.XLOOKUP(X659,Pays!A:A,Pays!B:B))</f>
        <v>CH</v>
      </c>
      <c r="K659" t="str">
        <f>IF(COUNTIF(Pays!A:A,X659)=0,"Pays inconnu",_xlfn.XLOOKUP(X659,Pays!A:A,Pays!C:C))</f>
        <v>1_CH</v>
      </c>
      <c r="L659">
        <v>1</v>
      </c>
      <c r="M659">
        <f t="shared" si="20"/>
        <v>0.15</v>
      </c>
      <c r="N659" t="s">
        <v>20</v>
      </c>
      <c r="O659">
        <f>LOOKUP(X659,Pays!A:A,Pays!D:D)</f>
        <v>0</v>
      </c>
      <c r="P659">
        <v>0.15</v>
      </c>
      <c r="Q659">
        <v>0.13</v>
      </c>
      <c r="U659">
        <v>1</v>
      </c>
      <c r="W659">
        <f>IF(COUNTIF(Pays!A:A,X659)=0,"",LOOKUP(X659,Pays!A:A,Pays!E:E))</f>
        <v>0</v>
      </c>
      <c r="X659" s="8" t="s">
        <v>37</v>
      </c>
    </row>
    <row r="660" spans="1:24" x14ac:dyDescent="0.25">
      <c r="A660" t="s">
        <v>1166</v>
      </c>
      <c r="B660" t="s">
        <v>182</v>
      </c>
      <c r="C660" s="1">
        <f t="shared" si="21"/>
        <v>46174</v>
      </c>
      <c r="F660" t="s">
        <v>155</v>
      </c>
      <c r="G660" t="s">
        <v>873</v>
      </c>
      <c r="H660" t="s">
        <v>1759</v>
      </c>
      <c r="I660" t="s">
        <v>18</v>
      </c>
      <c r="J660" t="str">
        <f>IF(COUNTIF(Pays!A:A,X660)=0,"Pays inconnu",_xlfn.XLOOKUP(X660,Pays!A:A,Pays!B:B))</f>
        <v>CH</v>
      </c>
      <c r="K660" t="str">
        <f>IF(COUNTIF(Pays!A:A,X660)=0,"Pays inconnu",_xlfn.XLOOKUP(X660,Pays!A:A,Pays!C:C))</f>
        <v>1_CH</v>
      </c>
      <c r="L660">
        <v>1</v>
      </c>
      <c r="M660">
        <f t="shared" si="20"/>
        <v>0.15</v>
      </c>
      <c r="N660" t="s">
        <v>20</v>
      </c>
      <c r="O660">
        <f>LOOKUP(X660,Pays!A:A,Pays!D:D)</f>
        <v>0</v>
      </c>
      <c r="P660">
        <v>0.15</v>
      </c>
      <c r="Q660">
        <v>0.14000000000000001</v>
      </c>
      <c r="U660">
        <v>1</v>
      </c>
      <c r="W660">
        <f>IF(COUNTIF(Pays!A:A,X660)=0,"",LOOKUP(X660,Pays!A:A,Pays!E:E))</f>
        <v>0</v>
      </c>
      <c r="X660" s="8" t="s">
        <v>37</v>
      </c>
    </row>
    <row r="661" spans="1:24" x14ac:dyDescent="0.25">
      <c r="A661" t="s">
        <v>1166</v>
      </c>
      <c r="B661" t="s">
        <v>182</v>
      </c>
      <c r="C661" s="1">
        <f t="shared" si="21"/>
        <v>46174</v>
      </c>
      <c r="F661" t="s">
        <v>155</v>
      </c>
      <c r="G661" t="s">
        <v>874</v>
      </c>
      <c r="H661" t="s">
        <v>1760</v>
      </c>
      <c r="I661" t="s">
        <v>18</v>
      </c>
      <c r="J661" t="str">
        <f>IF(COUNTIF(Pays!A:A,X661)=0,"Pays inconnu",_xlfn.XLOOKUP(X661,Pays!A:A,Pays!B:B))</f>
        <v>CH</v>
      </c>
      <c r="K661" t="str">
        <f>IF(COUNTIF(Pays!A:A,X661)=0,"Pays inconnu",_xlfn.XLOOKUP(X661,Pays!A:A,Pays!C:C))</f>
        <v>1_CH</v>
      </c>
      <c r="L661">
        <v>1</v>
      </c>
      <c r="M661">
        <f t="shared" si="20"/>
        <v>0.42</v>
      </c>
      <c r="N661" t="s">
        <v>20</v>
      </c>
      <c r="O661">
        <f>LOOKUP(X661,Pays!A:A,Pays!D:D)</f>
        <v>0</v>
      </c>
      <c r="P661">
        <v>0.15</v>
      </c>
      <c r="Q661">
        <v>0.42</v>
      </c>
      <c r="U661">
        <v>1</v>
      </c>
      <c r="W661">
        <f>IF(COUNTIF(Pays!A:A,X661)=0,"",LOOKUP(X661,Pays!A:A,Pays!E:E))</f>
        <v>0</v>
      </c>
      <c r="X661" s="8" t="s">
        <v>37</v>
      </c>
    </row>
    <row r="662" spans="1:24" x14ac:dyDescent="0.25">
      <c r="A662" t="s">
        <v>1166</v>
      </c>
      <c r="B662" t="s">
        <v>182</v>
      </c>
      <c r="C662" s="1">
        <f t="shared" si="21"/>
        <v>46174</v>
      </c>
      <c r="F662" t="s">
        <v>155</v>
      </c>
      <c r="G662" t="s">
        <v>875</v>
      </c>
      <c r="H662" t="s">
        <v>1761</v>
      </c>
      <c r="I662" t="s">
        <v>18</v>
      </c>
      <c r="J662" t="str">
        <f>IF(COUNTIF(Pays!A:A,X662)=0,"Pays inconnu",_xlfn.XLOOKUP(X662,Pays!A:A,Pays!B:B))</f>
        <v>GB</v>
      </c>
      <c r="K662" t="str">
        <f>IF(COUNTIF(Pays!A:A,X662)=0,"Pays inconnu",_xlfn.XLOOKUP(X662,Pays!A:A,Pays!C:C))</f>
        <v>1_GB</v>
      </c>
      <c r="L662">
        <v>1</v>
      </c>
      <c r="M662">
        <f t="shared" si="20"/>
        <v>0.18</v>
      </c>
      <c r="N662" t="s">
        <v>20</v>
      </c>
      <c r="O662">
        <f>LOOKUP(X662,Pays!A:A,Pays!D:D)</f>
        <v>0</v>
      </c>
      <c r="P662">
        <v>0.15</v>
      </c>
      <c r="Q662">
        <v>0.18</v>
      </c>
      <c r="U662">
        <v>1</v>
      </c>
      <c r="W662">
        <f>IF(COUNTIF(Pays!A:A,X662)=0,"",LOOKUP(X662,Pays!A:A,Pays!E:E))</f>
        <v>0</v>
      </c>
      <c r="X662" s="8" t="s">
        <v>30</v>
      </c>
    </row>
    <row r="663" spans="1:24" x14ac:dyDescent="0.25">
      <c r="A663" t="s">
        <v>1166</v>
      </c>
      <c r="B663" t="s">
        <v>182</v>
      </c>
      <c r="C663" s="1">
        <f t="shared" si="21"/>
        <v>46174</v>
      </c>
      <c r="F663" t="s">
        <v>155</v>
      </c>
      <c r="G663" t="s">
        <v>876</v>
      </c>
      <c r="H663" t="s">
        <v>1394</v>
      </c>
      <c r="I663" t="s">
        <v>18</v>
      </c>
      <c r="J663" t="str">
        <f>IF(COUNTIF(Pays!A:A,X663)=0,"Pays inconnu",_xlfn.XLOOKUP(X663,Pays!A:A,Pays!B:B))</f>
        <v>CH</v>
      </c>
      <c r="K663" t="str">
        <f>IF(COUNTIF(Pays!A:A,X663)=0,"Pays inconnu",_xlfn.XLOOKUP(X663,Pays!A:A,Pays!C:C))</f>
        <v>1_CH</v>
      </c>
      <c r="L663">
        <v>1</v>
      </c>
      <c r="M663">
        <f t="shared" si="20"/>
        <v>1.08</v>
      </c>
      <c r="N663" t="s">
        <v>20</v>
      </c>
      <c r="O663">
        <f>LOOKUP(X663,Pays!A:A,Pays!D:D)</f>
        <v>0</v>
      </c>
      <c r="P663">
        <v>0.15</v>
      </c>
      <c r="Q663">
        <v>1.08</v>
      </c>
      <c r="U663">
        <v>1</v>
      </c>
      <c r="W663">
        <f>IF(COUNTIF(Pays!A:A,X663)=0,"",LOOKUP(X663,Pays!A:A,Pays!E:E))</f>
        <v>0</v>
      </c>
      <c r="X663" s="8" t="s">
        <v>37</v>
      </c>
    </row>
    <row r="664" spans="1:24" x14ac:dyDescent="0.25">
      <c r="A664" t="s">
        <v>1166</v>
      </c>
      <c r="B664" t="s">
        <v>182</v>
      </c>
      <c r="C664" s="1">
        <f t="shared" si="21"/>
        <v>46174</v>
      </c>
      <c r="F664" t="s">
        <v>181</v>
      </c>
      <c r="G664" t="s">
        <v>877</v>
      </c>
      <c r="H664" t="s">
        <v>1762</v>
      </c>
      <c r="I664" t="s">
        <v>18</v>
      </c>
      <c r="J664" t="str">
        <f>IF(COUNTIF(Pays!A:A,X664)=0,"Pays inconnu",_xlfn.XLOOKUP(X664,Pays!A:A,Pays!B:B))</f>
        <v>CH</v>
      </c>
      <c r="K664" t="str">
        <f>IF(COUNTIF(Pays!A:A,X664)=0,"Pays inconnu",_xlfn.XLOOKUP(X664,Pays!A:A,Pays!C:C))</f>
        <v>1_CH</v>
      </c>
      <c r="L664">
        <v>1</v>
      </c>
      <c r="M664">
        <f t="shared" si="20"/>
        <v>0.15</v>
      </c>
      <c r="N664" t="s">
        <v>20</v>
      </c>
      <c r="O664">
        <f>LOOKUP(X664,Pays!A:A,Pays!D:D)</f>
        <v>0</v>
      </c>
      <c r="P664">
        <v>0.15</v>
      </c>
      <c r="Q664" t="s">
        <v>2007</v>
      </c>
      <c r="U664">
        <v>1</v>
      </c>
      <c r="W664">
        <f>IF(COUNTIF(Pays!A:A,X664)=0,"",LOOKUP(X664,Pays!A:A,Pays!E:E))</f>
        <v>0</v>
      </c>
      <c r="X664" s="8" t="s">
        <v>37</v>
      </c>
    </row>
    <row r="665" spans="1:24" x14ac:dyDescent="0.25">
      <c r="A665" t="s">
        <v>1166</v>
      </c>
      <c r="B665" t="s">
        <v>182</v>
      </c>
      <c r="C665" s="1">
        <f t="shared" si="21"/>
        <v>46174</v>
      </c>
      <c r="F665" t="s">
        <v>155</v>
      </c>
      <c r="G665" t="s">
        <v>878</v>
      </c>
      <c r="H665" t="s">
        <v>1763</v>
      </c>
      <c r="I665" t="s">
        <v>18</v>
      </c>
      <c r="J665" t="str">
        <f>IF(COUNTIF(Pays!A:A,X665)=0,"Pays inconnu",_xlfn.XLOOKUP(X665,Pays!A:A,Pays!B:B))</f>
        <v>CH</v>
      </c>
      <c r="K665" t="str">
        <f>IF(COUNTIF(Pays!A:A,X665)=0,"Pays inconnu",_xlfn.XLOOKUP(X665,Pays!A:A,Pays!C:C))</f>
        <v>1_CH</v>
      </c>
      <c r="L665">
        <v>1</v>
      </c>
      <c r="M665">
        <f t="shared" si="20"/>
        <v>0.32</v>
      </c>
      <c r="N665" t="s">
        <v>20</v>
      </c>
      <c r="O665">
        <f>LOOKUP(X665,Pays!A:A,Pays!D:D)</f>
        <v>0</v>
      </c>
      <c r="P665">
        <v>0.15</v>
      </c>
      <c r="Q665">
        <v>0.32</v>
      </c>
      <c r="U665">
        <v>1</v>
      </c>
      <c r="W665">
        <f>IF(COUNTIF(Pays!A:A,X665)=0,"",LOOKUP(X665,Pays!A:A,Pays!E:E))</f>
        <v>0</v>
      </c>
      <c r="X665" s="8" t="s">
        <v>37</v>
      </c>
    </row>
    <row r="666" spans="1:24" x14ac:dyDescent="0.25">
      <c r="A666" t="s">
        <v>1166</v>
      </c>
      <c r="B666" t="s">
        <v>182</v>
      </c>
      <c r="C666" s="1">
        <f t="shared" si="21"/>
        <v>46174</v>
      </c>
      <c r="F666" t="s">
        <v>155</v>
      </c>
      <c r="G666" t="s">
        <v>879</v>
      </c>
      <c r="H666" t="s">
        <v>1764</v>
      </c>
      <c r="I666" t="s">
        <v>18</v>
      </c>
      <c r="J666" t="str">
        <f>IF(COUNTIF(Pays!A:A,X666)=0,"Pays inconnu",_xlfn.XLOOKUP(X666,Pays!A:A,Pays!B:B))</f>
        <v>GB</v>
      </c>
      <c r="K666" t="str">
        <f>IF(COUNTIF(Pays!A:A,X666)=0,"Pays inconnu",_xlfn.XLOOKUP(X666,Pays!A:A,Pays!C:C))</f>
        <v>1_GB</v>
      </c>
      <c r="L666">
        <v>1</v>
      </c>
      <c r="M666">
        <f t="shared" si="20"/>
        <v>0.18</v>
      </c>
      <c r="N666" t="s">
        <v>20</v>
      </c>
      <c r="O666">
        <f>LOOKUP(X666,Pays!A:A,Pays!D:D)</f>
        <v>0</v>
      </c>
      <c r="P666">
        <v>0.15</v>
      </c>
      <c r="Q666">
        <v>0.18</v>
      </c>
      <c r="U666">
        <v>1</v>
      </c>
      <c r="W666">
        <f>IF(COUNTIF(Pays!A:A,X666)=0,"",LOOKUP(X666,Pays!A:A,Pays!E:E))</f>
        <v>0</v>
      </c>
      <c r="X666" s="8" t="s">
        <v>30</v>
      </c>
    </row>
    <row r="667" spans="1:24" x14ac:dyDescent="0.25">
      <c r="A667" t="s">
        <v>1166</v>
      </c>
      <c r="B667" t="s">
        <v>182</v>
      </c>
      <c r="C667" s="1">
        <f t="shared" si="21"/>
        <v>46174</v>
      </c>
      <c r="F667" t="s">
        <v>155</v>
      </c>
      <c r="G667" t="s">
        <v>880</v>
      </c>
      <c r="H667" t="s">
        <v>1765</v>
      </c>
      <c r="I667" t="s">
        <v>18</v>
      </c>
      <c r="J667" t="str">
        <f>IF(COUNTIF(Pays!A:A,X667)=0,"Pays inconnu",_xlfn.XLOOKUP(X667,Pays!A:A,Pays!B:B))</f>
        <v>CH</v>
      </c>
      <c r="K667" t="str">
        <f>IF(COUNTIF(Pays!A:A,X667)=0,"Pays inconnu",_xlfn.XLOOKUP(X667,Pays!A:A,Pays!C:C))</f>
        <v>1_CH</v>
      </c>
      <c r="L667">
        <v>1</v>
      </c>
      <c r="M667">
        <f t="shared" si="20"/>
        <v>0.15</v>
      </c>
      <c r="N667" t="s">
        <v>20</v>
      </c>
      <c r="O667">
        <f>LOOKUP(X667,Pays!A:A,Pays!D:D)</f>
        <v>0</v>
      </c>
      <c r="P667">
        <v>0.15</v>
      </c>
      <c r="Q667">
        <v>0.13</v>
      </c>
      <c r="U667">
        <v>1</v>
      </c>
      <c r="W667">
        <f>IF(COUNTIF(Pays!A:A,X667)=0,"",LOOKUP(X667,Pays!A:A,Pays!E:E))</f>
        <v>0</v>
      </c>
      <c r="X667" s="8" t="s">
        <v>37</v>
      </c>
    </row>
    <row r="668" spans="1:24" x14ac:dyDescent="0.25">
      <c r="A668" t="s">
        <v>1166</v>
      </c>
      <c r="B668" t="s">
        <v>182</v>
      </c>
      <c r="C668" s="1">
        <f t="shared" si="21"/>
        <v>46174</v>
      </c>
      <c r="F668" t="s">
        <v>110</v>
      </c>
      <c r="G668" t="s">
        <v>881</v>
      </c>
      <c r="H668" t="s">
        <v>1766</v>
      </c>
      <c r="I668" t="s">
        <v>18</v>
      </c>
      <c r="J668" t="str">
        <f>IF(COUNTIF(Pays!A:A,X668)=0,"Pays inconnu",_xlfn.XLOOKUP(X668,Pays!A:A,Pays!B:B))</f>
        <v>RO</v>
      </c>
      <c r="K668">
        <f>IF(COUNTIF(Pays!A:A,X668)=0,"Pays inconnu",_xlfn.XLOOKUP(X668,Pays!A:A,Pays!C:C))</f>
        <v>1</v>
      </c>
      <c r="L668">
        <v>1</v>
      </c>
      <c r="M668">
        <f t="shared" si="20"/>
        <v>1.1399999999999999</v>
      </c>
      <c r="N668" t="s">
        <v>20</v>
      </c>
      <c r="O668">
        <f>LOOKUP(X668,Pays!A:A,Pays!D:D)</f>
        <v>0.2</v>
      </c>
      <c r="P668">
        <v>0.15</v>
      </c>
      <c r="Q668">
        <v>1.1399999999999999</v>
      </c>
      <c r="U668">
        <v>1</v>
      </c>
      <c r="W668">
        <f>IF(COUNTIF(Pays!A:A,X668)=0,"",LOOKUP(X668,Pays!A:A,Pays!E:E))</f>
        <v>0</v>
      </c>
      <c r="X668" s="8" t="s">
        <v>45</v>
      </c>
    </row>
    <row r="669" spans="1:24" x14ac:dyDescent="0.25">
      <c r="A669" t="s">
        <v>1166</v>
      </c>
      <c r="B669" t="s">
        <v>182</v>
      </c>
      <c r="C669" s="1">
        <f t="shared" si="21"/>
        <v>46174</v>
      </c>
      <c r="F669" t="s">
        <v>155</v>
      </c>
      <c r="G669" t="s">
        <v>882</v>
      </c>
      <c r="H669" t="s">
        <v>1767</v>
      </c>
      <c r="I669" t="s">
        <v>18</v>
      </c>
      <c r="J669" t="str">
        <f>IF(COUNTIF(Pays!A:A,X669)=0,"Pays inconnu",_xlfn.XLOOKUP(X669,Pays!A:A,Pays!B:B))</f>
        <v>BE</v>
      </c>
      <c r="K669" t="str">
        <f>IF(COUNTIF(Pays!A:A,X669)=0,"Pays inconnu",_xlfn.XLOOKUP(X669,Pays!A:A,Pays!C:C))</f>
        <v>1_BE</v>
      </c>
      <c r="L669">
        <v>1</v>
      </c>
      <c r="M669">
        <f t="shared" si="20"/>
        <v>0.15</v>
      </c>
      <c r="N669" t="s">
        <v>20</v>
      </c>
      <c r="O669">
        <f>LOOKUP(X669,Pays!A:A,Pays!D:D)</f>
        <v>0.2</v>
      </c>
      <c r="P669">
        <v>0.15</v>
      </c>
      <c r="Q669">
        <v>0.09</v>
      </c>
      <c r="U669">
        <v>1</v>
      </c>
      <c r="W669">
        <f>IF(COUNTIF(Pays!A:A,X669)=0,"",LOOKUP(X669,Pays!A:A,Pays!E:E))</f>
        <v>0</v>
      </c>
      <c r="X669" s="8" t="s">
        <v>28</v>
      </c>
    </row>
    <row r="670" spans="1:24" x14ac:dyDescent="0.25">
      <c r="A670" t="s">
        <v>1166</v>
      </c>
      <c r="B670" t="s">
        <v>182</v>
      </c>
      <c r="C670" s="1">
        <f t="shared" si="21"/>
        <v>46174</v>
      </c>
      <c r="F670" t="s">
        <v>155</v>
      </c>
      <c r="G670" t="s">
        <v>883</v>
      </c>
      <c r="H670" t="s">
        <v>1768</v>
      </c>
      <c r="I670" t="s">
        <v>18</v>
      </c>
      <c r="J670" t="str">
        <f>IF(COUNTIF(Pays!A:A,X670)=0,"Pays inconnu",_xlfn.XLOOKUP(X670,Pays!A:A,Pays!B:B))</f>
        <v>DE</v>
      </c>
      <c r="K670">
        <f>IF(COUNTIF(Pays!A:A,X670)=0,"Pays inconnu",_xlfn.XLOOKUP(X670,Pays!A:A,Pays!C:C))</f>
        <v>1</v>
      </c>
      <c r="L670">
        <v>1</v>
      </c>
      <c r="M670">
        <f t="shared" si="20"/>
        <v>0.15</v>
      </c>
      <c r="N670" t="s">
        <v>20</v>
      </c>
      <c r="O670">
        <f>LOOKUP(X670,Pays!A:A,Pays!D:D)</f>
        <v>0.2</v>
      </c>
      <c r="P670">
        <v>0.15</v>
      </c>
      <c r="Q670">
        <v>0.1</v>
      </c>
      <c r="U670">
        <v>1</v>
      </c>
      <c r="W670">
        <f>IF(COUNTIF(Pays!A:A,X670)=0,"",LOOKUP(X670,Pays!A:A,Pays!E:E))</f>
        <v>0</v>
      </c>
      <c r="X670" s="8" t="s">
        <v>35</v>
      </c>
    </row>
    <row r="671" spans="1:24" x14ac:dyDescent="0.25">
      <c r="A671" t="s">
        <v>1166</v>
      </c>
      <c r="B671" t="s">
        <v>182</v>
      </c>
      <c r="C671" s="1">
        <f t="shared" si="21"/>
        <v>46174</v>
      </c>
      <c r="F671" t="s">
        <v>155</v>
      </c>
      <c r="G671" t="s">
        <v>884</v>
      </c>
      <c r="H671" t="s">
        <v>1769</v>
      </c>
      <c r="I671" t="s">
        <v>18</v>
      </c>
      <c r="J671" t="str">
        <f>IF(COUNTIF(Pays!A:A,X671)=0,"Pays inconnu",_xlfn.XLOOKUP(X671,Pays!A:A,Pays!B:B))</f>
        <v>BE</v>
      </c>
      <c r="K671" t="str">
        <f>IF(COUNTIF(Pays!A:A,X671)=0,"Pays inconnu",_xlfn.XLOOKUP(X671,Pays!A:A,Pays!C:C))</f>
        <v>1_BE</v>
      </c>
      <c r="L671">
        <v>1</v>
      </c>
      <c r="M671">
        <f t="shared" si="20"/>
        <v>0.15</v>
      </c>
      <c r="N671" t="s">
        <v>20</v>
      </c>
      <c r="O671">
        <f>LOOKUP(X671,Pays!A:A,Pays!D:D)</f>
        <v>0.2</v>
      </c>
      <c r="P671">
        <v>0.15</v>
      </c>
      <c r="Q671">
        <v>0.03</v>
      </c>
      <c r="U671">
        <v>1</v>
      </c>
      <c r="W671">
        <f>IF(COUNTIF(Pays!A:A,X671)=0,"",LOOKUP(X671,Pays!A:A,Pays!E:E))</f>
        <v>0</v>
      </c>
      <c r="X671" s="8" t="s">
        <v>28</v>
      </c>
    </row>
    <row r="672" spans="1:24" x14ac:dyDescent="0.25">
      <c r="A672" t="s">
        <v>1166</v>
      </c>
      <c r="B672" t="s">
        <v>182</v>
      </c>
      <c r="C672" s="1">
        <f t="shared" si="21"/>
        <v>46174</v>
      </c>
      <c r="F672" t="s">
        <v>155</v>
      </c>
      <c r="G672" t="s">
        <v>885</v>
      </c>
      <c r="H672" t="s">
        <v>1770</v>
      </c>
      <c r="I672" t="s">
        <v>18</v>
      </c>
      <c r="J672" t="str">
        <f>IF(COUNTIF(Pays!A:A,X672)=0,"Pays inconnu",_xlfn.XLOOKUP(X672,Pays!A:A,Pays!B:B))</f>
        <v>BE</v>
      </c>
      <c r="K672" t="str">
        <f>IF(COUNTIF(Pays!A:A,X672)=0,"Pays inconnu",_xlfn.XLOOKUP(X672,Pays!A:A,Pays!C:C))</f>
        <v>1_BE</v>
      </c>
      <c r="L672">
        <v>1</v>
      </c>
      <c r="M672">
        <f t="shared" si="20"/>
        <v>0.15</v>
      </c>
      <c r="N672" t="s">
        <v>20</v>
      </c>
      <c r="O672">
        <f>LOOKUP(X672,Pays!A:A,Pays!D:D)</f>
        <v>0.2</v>
      </c>
      <c r="P672">
        <v>0.15</v>
      </c>
      <c r="Q672">
        <v>0.03</v>
      </c>
      <c r="U672">
        <v>1</v>
      </c>
      <c r="W672">
        <f>IF(COUNTIF(Pays!A:A,X672)=0,"",LOOKUP(X672,Pays!A:A,Pays!E:E))</f>
        <v>0</v>
      </c>
      <c r="X672" s="8" t="s">
        <v>28</v>
      </c>
    </row>
    <row r="673" spans="1:24" x14ac:dyDescent="0.25">
      <c r="A673" t="s">
        <v>1167</v>
      </c>
      <c r="B673" t="s">
        <v>182</v>
      </c>
      <c r="C673" s="1">
        <f t="shared" si="21"/>
        <v>46174</v>
      </c>
      <c r="F673" t="s">
        <v>155</v>
      </c>
      <c r="G673" t="s">
        <v>886</v>
      </c>
      <c r="H673" t="s">
        <v>1771</v>
      </c>
      <c r="I673" t="s">
        <v>18</v>
      </c>
      <c r="J673" t="str">
        <f>IF(COUNTIF(Pays!A:A,X673)=0,"Pays inconnu",_xlfn.XLOOKUP(X673,Pays!A:A,Pays!B:B))</f>
        <v>DE</v>
      </c>
      <c r="K673">
        <f>IF(COUNTIF(Pays!A:A,X673)=0,"Pays inconnu",_xlfn.XLOOKUP(X673,Pays!A:A,Pays!C:C))</f>
        <v>1</v>
      </c>
      <c r="L673">
        <v>1</v>
      </c>
      <c r="M673">
        <f t="shared" si="20"/>
        <v>0.47</v>
      </c>
      <c r="N673" t="s">
        <v>20</v>
      </c>
      <c r="O673">
        <f>LOOKUP(X673,Pays!A:A,Pays!D:D)</f>
        <v>0.2</v>
      </c>
      <c r="P673">
        <v>0.15</v>
      </c>
      <c r="Q673">
        <v>0.47</v>
      </c>
      <c r="U673">
        <v>1</v>
      </c>
      <c r="W673">
        <f>IF(COUNTIF(Pays!A:A,X673)=0,"",LOOKUP(X673,Pays!A:A,Pays!E:E))</f>
        <v>0</v>
      </c>
      <c r="X673" s="8" t="s">
        <v>35</v>
      </c>
    </row>
    <row r="674" spans="1:24" x14ac:dyDescent="0.25">
      <c r="A674" t="s">
        <v>1167</v>
      </c>
      <c r="B674" t="s">
        <v>182</v>
      </c>
      <c r="C674" s="1">
        <f t="shared" si="21"/>
        <v>46174</v>
      </c>
      <c r="F674" t="s">
        <v>155</v>
      </c>
      <c r="G674" t="s">
        <v>887</v>
      </c>
      <c r="H674" t="s">
        <v>1772</v>
      </c>
      <c r="I674" t="s">
        <v>18</v>
      </c>
      <c r="J674" t="str">
        <f>IF(COUNTIF(Pays!A:A,X674)=0,"Pays inconnu",_xlfn.XLOOKUP(X674,Pays!A:A,Pays!B:B))</f>
        <v>CZ</v>
      </c>
      <c r="K674">
        <f>IF(COUNTIF(Pays!A:A,X674)=0,"Pays inconnu",_xlfn.XLOOKUP(X674,Pays!A:A,Pays!C:C))</f>
        <v>1</v>
      </c>
      <c r="L674">
        <v>1</v>
      </c>
      <c r="M674">
        <f t="shared" si="20"/>
        <v>0.19</v>
      </c>
      <c r="N674" t="s">
        <v>20</v>
      </c>
      <c r="O674">
        <f>LOOKUP(X674,Pays!A:A,Pays!D:D)</f>
        <v>0.2</v>
      </c>
      <c r="P674">
        <v>0.15</v>
      </c>
      <c r="Q674">
        <v>0.19</v>
      </c>
      <c r="U674">
        <v>1</v>
      </c>
      <c r="W674">
        <f>IF(COUNTIF(Pays!A:A,X674)=0,"",LOOKUP(X674,Pays!A:A,Pays!E:E))</f>
        <v>0</v>
      </c>
      <c r="X674" s="8" t="s">
        <v>87</v>
      </c>
    </row>
    <row r="675" spans="1:24" x14ac:dyDescent="0.25">
      <c r="A675" t="s">
        <v>1167</v>
      </c>
      <c r="B675" t="s">
        <v>182</v>
      </c>
      <c r="C675" s="1">
        <f t="shared" si="21"/>
        <v>46174</v>
      </c>
      <c r="F675" t="s">
        <v>110</v>
      </c>
      <c r="G675" t="s">
        <v>888</v>
      </c>
      <c r="H675" t="s">
        <v>1773</v>
      </c>
      <c r="I675" t="s">
        <v>18</v>
      </c>
      <c r="J675" t="str">
        <f>IF(COUNTIF(Pays!A:A,X675)=0,"Pays inconnu",_xlfn.XLOOKUP(X675,Pays!A:A,Pays!B:B))</f>
        <v>EE</v>
      </c>
      <c r="K675">
        <f>IF(COUNTIF(Pays!A:A,X675)=0,"Pays inconnu",_xlfn.XLOOKUP(X675,Pays!A:A,Pays!C:C))</f>
        <v>1</v>
      </c>
      <c r="L675">
        <v>1</v>
      </c>
      <c r="M675">
        <f t="shared" si="20"/>
        <v>0.53</v>
      </c>
      <c r="N675" t="s">
        <v>20</v>
      </c>
      <c r="O675">
        <f>LOOKUP(X675,Pays!A:A,Pays!D:D)</f>
        <v>0.2</v>
      </c>
      <c r="P675">
        <v>0.15</v>
      </c>
      <c r="Q675">
        <v>0.53</v>
      </c>
      <c r="U675">
        <v>1</v>
      </c>
      <c r="W675">
        <f>IF(COUNTIF(Pays!A:A,X675)=0,"",LOOKUP(X675,Pays!A:A,Pays!E:E))</f>
        <v>0</v>
      </c>
      <c r="X675" s="8" t="s">
        <v>92</v>
      </c>
    </row>
    <row r="676" spans="1:24" x14ac:dyDescent="0.25">
      <c r="A676" t="s">
        <v>1167</v>
      </c>
      <c r="B676" t="s">
        <v>182</v>
      </c>
      <c r="C676" s="1">
        <f t="shared" si="21"/>
        <v>46174</v>
      </c>
      <c r="F676" t="s">
        <v>155</v>
      </c>
      <c r="G676" t="s">
        <v>889</v>
      </c>
      <c r="H676" t="s">
        <v>1774</v>
      </c>
      <c r="I676" t="s">
        <v>18</v>
      </c>
      <c r="J676" t="str">
        <f>IF(COUNTIF(Pays!A:A,X676)=0,"Pays inconnu",_xlfn.XLOOKUP(X676,Pays!A:A,Pays!B:B))</f>
        <v>NL</v>
      </c>
      <c r="K676">
        <f>IF(COUNTIF(Pays!A:A,X676)=0,"Pays inconnu",_xlfn.XLOOKUP(X676,Pays!A:A,Pays!C:C))</f>
        <v>1</v>
      </c>
      <c r="L676">
        <v>1</v>
      </c>
      <c r="M676">
        <f t="shared" si="20"/>
        <v>0.46</v>
      </c>
      <c r="N676" t="s">
        <v>20</v>
      </c>
      <c r="O676">
        <f>LOOKUP(X676,Pays!A:A,Pays!D:D)</f>
        <v>0.2</v>
      </c>
      <c r="P676">
        <v>0.15</v>
      </c>
      <c r="Q676">
        <v>0.46</v>
      </c>
      <c r="U676">
        <v>1</v>
      </c>
      <c r="W676">
        <f>IF(COUNTIF(Pays!A:A,X676)=0,"",LOOKUP(X676,Pays!A:A,Pays!E:E))</f>
        <v>0</v>
      </c>
      <c r="X676" s="8" t="s">
        <v>31</v>
      </c>
    </row>
    <row r="677" spans="1:24" x14ac:dyDescent="0.25">
      <c r="A677" t="s">
        <v>1167</v>
      </c>
      <c r="B677" t="s">
        <v>182</v>
      </c>
      <c r="C677" s="1">
        <f t="shared" si="21"/>
        <v>46174</v>
      </c>
      <c r="F677" t="s">
        <v>155</v>
      </c>
      <c r="G677" t="s">
        <v>890</v>
      </c>
      <c r="H677" t="s">
        <v>1775</v>
      </c>
      <c r="I677" t="s">
        <v>18</v>
      </c>
      <c r="J677" t="str">
        <f>IF(COUNTIF(Pays!A:A,X677)=0,"Pays inconnu",_xlfn.XLOOKUP(X677,Pays!A:A,Pays!B:B))</f>
        <v>AT</v>
      </c>
      <c r="K677">
        <f>IF(COUNTIF(Pays!A:A,X677)=0,"Pays inconnu",_xlfn.XLOOKUP(X677,Pays!A:A,Pays!C:C))</f>
        <v>1</v>
      </c>
      <c r="L677">
        <v>1</v>
      </c>
      <c r="M677">
        <f t="shared" si="20"/>
        <v>1.26</v>
      </c>
      <c r="N677" t="s">
        <v>20</v>
      </c>
      <c r="O677">
        <f>LOOKUP(X677,Pays!A:A,Pays!D:D)</f>
        <v>0.2</v>
      </c>
      <c r="P677">
        <v>1.262</v>
      </c>
      <c r="Q677">
        <v>1.1599999999999999</v>
      </c>
      <c r="U677">
        <v>1</v>
      </c>
      <c r="W677">
        <f>IF(COUNTIF(Pays!A:A,X677)=0,"",LOOKUP(X677,Pays!A:A,Pays!E:E))</f>
        <v>0</v>
      </c>
      <c r="X677" s="8" t="s">
        <v>43</v>
      </c>
    </row>
    <row r="678" spans="1:24" x14ac:dyDescent="0.25">
      <c r="A678" t="s">
        <v>1167</v>
      </c>
      <c r="B678" t="s">
        <v>182</v>
      </c>
      <c r="C678" s="1">
        <f t="shared" si="21"/>
        <v>46174</v>
      </c>
      <c r="F678" t="s">
        <v>155</v>
      </c>
      <c r="G678" t="s">
        <v>891</v>
      </c>
      <c r="H678" t="s">
        <v>1776</v>
      </c>
      <c r="I678" t="s">
        <v>18</v>
      </c>
      <c r="J678" t="str">
        <f>IF(COUNTIF(Pays!A:A,X678)=0,"Pays inconnu",_xlfn.XLOOKUP(X678,Pays!A:A,Pays!B:B))</f>
        <v>IE</v>
      </c>
      <c r="K678">
        <f>IF(COUNTIF(Pays!A:A,X678)=0,"Pays inconnu",_xlfn.XLOOKUP(X678,Pays!A:A,Pays!C:C))</f>
        <v>1</v>
      </c>
      <c r="L678">
        <v>1</v>
      </c>
      <c r="M678">
        <f t="shared" si="20"/>
        <v>1.3</v>
      </c>
      <c r="N678" t="s">
        <v>20</v>
      </c>
      <c r="O678">
        <f>LOOKUP(X678,Pays!A:A,Pays!D:D)</f>
        <v>0.2</v>
      </c>
      <c r="P678">
        <v>1.298</v>
      </c>
      <c r="Q678" t="s">
        <v>2007</v>
      </c>
      <c r="U678">
        <v>1</v>
      </c>
      <c r="W678">
        <f>IF(COUNTIF(Pays!A:A,X678)=0,"",LOOKUP(X678,Pays!A:A,Pays!E:E))</f>
        <v>0</v>
      </c>
      <c r="X678" s="8" t="s">
        <v>36</v>
      </c>
    </row>
    <row r="679" spans="1:24" x14ac:dyDescent="0.25">
      <c r="A679" t="s">
        <v>1167</v>
      </c>
      <c r="B679" t="s">
        <v>182</v>
      </c>
      <c r="C679" s="1">
        <f t="shared" si="21"/>
        <v>46174</v>
      </c>
      <c r="F679" t="s">
        <v>155</v>
      </c>
      <c r="G679" t="s">
        <v>892</v>
      </c>
      <c r="H679" t="s">
        <v>1777</v>
      </c>
      <c r="I679" t="s">
        <v>18</v>
      </c>
      <c r="J679" t="str">
        <f>IF(COUNTIF(Pays!A:A,X679)=0,"Pays inconnu",_xlfn.XLOOKUP(X679,Pays!A:A,Pays!B:B))</f>
        <v>CH</v>
      </c>
      <c r="K679" t="str">
        <f>IF(COUNTIF(Pays!A:A,X679)=0,"Pays inconnu",_xlfn.XLOOKUP(X679,Pays!A:A,Pays!C:C))</f>
        <v>1_CH</v>
      </c>
      <c r="L679">
        <v>1</v>
      </c>
      <c r="M679">
        <f t="shared" si="20"/>
        <v>0.39</v>
      </c>
      <c r="N679" t="s">
        <v>20</v>
      </c>
      <c r="O679">
        <f>LOOKUP(X679,Pays!A:A,Pays!D:D)</f>
        <v>0</v>
      </c>
      <c r="P679">
        <v>0.15</v>
      </c>
      <c r="Q679">
        <v>0.39</v>
      </c>
      <c r="U679">
        <v>1</v>
      </c>
      <c r="W679">
        <f>IF(COUNTIF(Pays!A:A,X679)=0,"",LOOKUP(X679,Pays!A:A,Pays!E:E))</f>
        <v>0</v>
      </c>
      <c r="X679" s="8" t="s">
        <v>37</v>
      </c>
    </row>
    <row r="680" spans="1:24" x14ac:dyDescent="0.25">
      <c r="A680" t="s">
        <v>1167</v>
      </c>
      <c r="B680" t="s">
        <v>182</v>
      </c>
      <c r="C680" s="1">
        <f t="shared" si="21"/>
        <v>46174</v>
      </c>
      <c r="F680" t="s">
        <v>155</v>
      </c>
      <c r="G680" t="s">
        <v>893</v>
      </c>
      <c r="H680" t="s">
        <v>1778</v>
      </c>
      <c r="I680" t="s">
        <v>18</v>
      </c>
      <c r="J680" t="str">
        <f>IF(COUNTIF(Pays!A:A,X680)=0,"Pays inconnu",_xlfn.XLOOKUP(X680,Pays!A:A,Pays!B:B))</f>
        <v>GB</v>
      </c>
      <c r="K680" t="str">
        <f>IF(COUNTIF(Pays!A:A,X680)=0,"Pays inconnu",_xlfn.XLOOKUP(X680,Pays!A:A,Pays!C:C))</f>
        <v>1_GB</v>
      </c>
      <c r="L680">
        <v>1</v>
      </c>
      <c r="M680">
        <f t="shared" si="20"/>
        <v>0.15</v>
      </c>
      <c r="N680" t="s">
        <v>20</v>
      </c>
      <c r="O680">
        <f>LOOKUP(X680,Pays!A:A,Pays!D:D)</f>
        <v>0</v>
      </c>
      <c r="P680">
        <v>0.15</v>
      </c>
      <c r="Q680">
        <v>0.08</v>
      </c>
      <c r="U680">
        <v>1</v>
      </c>
      <c r="W680">
        <f>IF(COUNTIF(Pays!A:A,X680)=0,"",LOOKUP(X680,Pays!A:A,Pays!E:E))</f>
        <v>0</v>
      </c>
      <c r="X680" s="8" t="s">
        <v>30</v>
      </c>
    </row>
    <row r="681" spans="1:24" x14ac:dyDescent="0.25">
      <c r="A681" t="s">
        <v>1167</v>
      </c>
      <c r="B681" t="s">
        <v>182</v>
      </c>
      <c r="C681" s="1">
        <f t="shared" si="21"/>
        <v>46174</v>
      </c>
      <c r="F681" t="s">
        <v>155</v>
      </c>
      <c r="G681" t="s">
        <v>894</v>
      </c>
      <c r="H681" t="s">
        <v>1779</v>
      </c>
      <c r="I681" t="s">
        <v>18</v>
      </c>
      <c r="J681" t="str">
        <f>IF(COUNTIF(Pays!A:A,X681)=0,"Pays inconnu",_xlfn.XLOOKUP(X681,Pays!A:A,Pays!B:B))</f>
        <v>CH</v>
      </c>
      <c r="K681" t="str">
        <f>IF(COUNTIF(Pays!A:A,X681)=0,"Pays inconnu",_xlfn.XLOOKUP(X681,Pays!A:A,Pays!C:C))</f>
        <v>1_CH</v>
      </c>
      <c r="L681">
        <v>1</v>
      </c>
      <c r="M681">
        <f t="shared" si="20"/>
        <v>0.15</v>
      </c>
      <c r="N681" t="s">
        <v>20</v>
      </c>
      <c r="O681">
        <f>LOOKUP(X681,Pays!A:A,Pays!D:D)</f>
        <v>0</v>
      </c>
      <c r="P681">
        <v>0.15</v>
      </c>
      <c r="Q681">
        <v>0.08</v>
      </c>
      <c r="U681">
        <v>1</v>
      </c>
      <c r="W681">
        <f>IF(COUNTIF(Pays!A:A,X681)=0,"",LOOKUP(X681,Pays!A:A,Pays!E:E))</f>
        <v>0</v>
      </c>
      <c r="X681" s="8" t="s">
        <v>37</v>
      </c>
    </row>
    <row r="682" spans="1:24" x14ac:dyDescent="0.25">
      <c r="A682" t="s">
        <v>1167</v>
      </c>
      <c r="B682" t="s">
        <v>182</v>
      </c>
      <c r="C682" s="1">
        <f t="shared" si="21"/>
        <v>46174</v>
      </c>
      <c r="F682" t="s">
        <v>155</v>
      </c>
      <c r="G682" t="s">
        <v>895</v>
      </c>
      <c r="H682" t="s">
        <v>1780</v>
      </c>
      <c r="I682" t="s">
        <v>18</v>
      </c>
      <c r="J682" t="str">
        <f>IF(COUNTIF(Pays!A:A,X682)=0,"Pays inconnu",_xlfn.XLOOKUP(X682,Pays!A:A,Pays!B:B))</f>
        <v>CH</v>
      </c>
      <c r="K682" t="str">
        <f>IF(COUNTIF(Pays!A:A,X682)=0,"Pays inconnu",_xlfn.XLOOKUP(X682,Pays!A:A,Pays!C:C))</f>
        <v>1_CH</v>
      </c>
      <c r="L682">
        <v>1</v>
      </c>
      <c r="M682">
        <f t="shared" si="20"/>
        <v>0.46</v>
      </c>
      <c r="N682" t="s">
        <v>20</v>
      </c>
      <c r="O682">
        <f>LOOKUP(X682,Pays!A:A,Pays!D:D)</f>
        <v>0</v>
      </c>
      <c r="P682">
        <v>0.15</v>
      </c>
      <c r="Q682">
        <v>0.46</v>
      </c>
      <c r="U682">
        <v>1</v>
      </c>
      <c r="W682">
        <f>IF(COUNTIF(Pays!A:A,X682)=0,"",LOOKUP(X682,Pays!A:A,Pays!E:E))</f>
        <v>0</v>
      </c>
      <c r="X682" s="8" t="s">
        <v>37</v>
      </c>
    </row>
    <row r="683" spans="1:24" x14ac:dyDescent="0.25">
      <c r="A683" t="s">
        <v>1167</v>
      </c>
      <c r="B683" t="s">
        <v>182</v>
      </c>
      <c r="C683" s="1">
        <f t="shared" si="21"/>
        <v>46174</v>
      </c>
      <c r="F683" t="s">
        <v>155</v>
      </c>
      <c r="G683" t="s">
        <v>896</v>
      </c>
      <c r="H683" t="s">
        <v>1781</v>
      </c>
      <c r="I683" t="s">
        <v>18</v>
      </c>
      <c r="J683" t="str">
        <f>IF(COUNTIF(Pays!A:A,X683)=0,"Pays inconnu",_xlfn.XLOOKUP(X683,Pays!A:A,Pays!B:B))</f>
        <v>GB</v>
      </c>
      <c r="K683" t="str">
        <f>IF(COUNTIF(Pays!A:A,X683)=0,"Pays inconnu",_xlfn.XLOOKUP(X683,Pays!A:A,Pays!C:C))</f>
        <v>1_GB</v>
      </c>
      <c r="L683">
        <v>1</v>
      </c>
      <c r="M683">
        <f t="shared" si="20"/>
        <v>0.21</v>
      </c>
      <c r="N683" t="s">
        <v>20</v>
      </c>
      <c r="O683">
        <f>LOOKUP(X683,Pays!A:A,Pays!D:D)</f>
        <v>0</v>
      </c>
      <c r="P683">
        <v>0.15</v>
      </c>
      <c r="Q683">
        <v>0.21</v>
      </c>
      <c r="U683">
        <v>1</v>
      </c>
      <c r="W683">
        <f>IF(COUNTIF(Pays!A:A,X683)=0,"",LOOKUP(X683,Pays!A:A,Pays!E:E))</f>
        <v>0</v>
      </c>
      <c r="X683" s="8" t="s">
        <v>30</v>
      </c>
    </row>
    <row r="684" spans="1:24" x14ac:dyDescent="0.25">
      <c r="A684" t="s">
        <v>1167</v>
      </c>
      <c r="B684" t="s">
        <v>182</v>
      </c>
      <c r="C684" s="1">
        <f t="shared" si="21"/>
        <v>46174</v>
      </c>
      <c r="F684" t="s">
        <v>155</v>
      </c>
      <c r="G684" t="s">
        <v>897</v>
      </c>
      <c r="H684" t="s">
        <v>1782</v>
      </c>
      <c r="I684" t="s">
        <v>18</v>
      </c>
      <c r="J684" t="str">
        <f>IF(COUNTIF(Pays!A:A,X684)=0,"Pays inconnu",_xlfn.XLOOKUP(X684,Pays!A:A,Pays!B:B))</f>
        <v>CH</v>
      </c>
      <c r="K684" t="str">
        <f>IF(COUNTIF(Pays!A:A,X684)=0,"Pays inconnu",_xlfn.XLOOKUP(X684,Pays!A:A,Pays!C:C))</f>
        <v>1_CH</v>
      </c>
      <c r="L684">
        <v>1</v>
      </c>
      <c r="M684">
        <f t="shared" si="20"/>
        <v>0.15</v>
      </c>
      <c r="N684" t="s">
        <v>20</v>
      </c>
      <c r="O684">
        <f>LOOKUP(X684,Pays!A:A,Pays!D:D)</f>
        <v>0</v>
      </c>
      <c r="P684">
        <v>0.15</v>
      </c>
      <c r="Q684">
        <v>0.09</v>
      </c>
      <c r="U684">
        <v>1</v>
      </c>
      <c r="W684">
        <f>IF(COUNTIF(Pays!A:A,X684)=0,"",LOOKUP(X684,Pays!A:A,Pays!E:E))</f>
        <v>0</v>
      </c>
      <c r="X684" s="8" t="s">
        <v>37</v>
      </c>
    </row>
    <row r="685" spans="1:24" x14ac:dyDescent="0.25">
      <c r="A685" t="s">
        <v>1167</v>
      </c>
      <c r="B685" t="s">
        <v>182</v>
      </c>
      <c r="C685" s="1">
        <f t="shared" si="21"/>
        <v>46174</v>
      </c>
      <c r="F685" t="s">
        <v>155</v>
      </c>
      <c r="G685" t="s">
        <v>898</v>
      </c>
      <c r="H685" t="s">
        <v>1783</v>
      </c>
      <c r="I685" t="s">
        <v>18</v>
      </c>
      <c r="J685" t="str">
        <f>IF(COUNTIF(Pays!A:A,X685)=0,"Pays inconnu",_xlfn.XLOOKUP(X685,Pays!A:A,Pays!B:B))</f>
        <v>CH</v>
      </c>
      <c r="K685" t="str">
        <f>IF(COUNTIF(Pays!A:A,X685)=0,"Pays inconnu",_xlfn.XLOOKUP(X685,Pays!A:A,Pays!C:C))</f>
        <v>1_CH</v>
      </c>
      <c r="L685">
        <v>1</v>
      </c>
      <c r="M685">
        <f t="shared" si="20"/>
        <v>0.15</v>
      </c>
      <c r="N685" t="s">
        <v>20</v>
      </c>
      <c r="O685">
        <f>LOOKUP(X685,Pays!A:A,Pays!D:D)</f>
        <v>0</v>
      </c>
      <c r="P685">
        <v>0.15</v>
      </c>
      <c r="Q685">
        <v>0.02</v>
      </c>
      <c r="U685">
        <v>1</v>
      </c>
      <c r="W685">
        <f>IF(COUNTIF(Pays!A:A,X685)=0,"",LOOKUP(X685,Pays!A:A,Pays!E:E))</f>
        <v>0</v>
      </c>
      <c r="X685" s="8" t="s">
        <v>37</v>
      </c>
    </row>
    <row r="686" spans="1:24" x14ac:dyDescent="0.25">
      <c r="A686" t="s">
        <v>1167</v>
      </c>
      <c r="B686" t="s">
        <v>182</v>
      </c>
      <c r="C686" s="1">
        <f t="shared" si="21"/>
        <v>46174</v>
      </c>
      <c r="F686" t="s">
        <v>155</v>
      </c>
      <c r="G686" t="s">
        <v>899</v>
      </c>
      <c r="H686" t="s">
        <v>1784</v>
      </c>
      <c r="I686" t="s">
        <v>18</v>
      </c>
      <c r="J686" t="str">
        <f>IF(COUNTIF(Pays!A:A,X686)=0,"Pays inconnu",_xlfn.XLOOKUP(X686,Pays!A:A,Pays!B:B))</f>
        <v>GB</v>
      </c>
      <c r="K686" t="str">
        <f>IF(COUNTIF(Pays!A:A,X686)=0,"Pays inconnu",_xlfn.XLOOKUP(X686,Pays!A:A,Pays!C:C))</f>
        <v>1_GB</v>
      </c>
      <c r="L686">
        <v>1</v>
      </c>
      <c r="M686">
        <f t="shared" si="20"/>
        <v>0.18</v>
      </c>
      <c r="N686" t="s">
        <v>20</v>
      </c>
      <c r="O686">
        <f>LOOKUP(X686,Pays!A:A,Pays!D:D)</f>
        <v>0</v>
      </c>
      <c r="P686">
        <v>0.15</v>
      </c>
      <c r="Q686">
        <v>0.18</v>
      </c>
      <c r="U686">
        <v>1</v>
      </c>
      <c r="W686">
        <f>IF(COUNTIF(Pays!A:A,X686)=0,"",LOOKUP(X686,Pays!A:A,Pays!E:E))</f>
        <v>0</v>
      </c>
      <c r="X686" s="8" t="s">
        <v>30</v>
      </c>
    </row>
    <row r="687" spans="1:24" x14ac:dyDescent="0.25">
      <c r="A687" t="s">
        <v>1167</v>
      </c>
      <c r="B687" t="s">
        <v>182</v>
      </c>
      <c r="C687" s="1">
        <f t="shared" si="21"/>
        <v>46174</v>
      </c>
      <c r="F687" t="s">
        <v>110</v>
      </c>
      <c r="G687" t="s">
        <v>900</v>
      </c>
      <c r="H687" t="s">
        <v>179</v>
      </c>
      <c r="I687" t="s">
        <v>18</v>
      </c>
      <c r="J687" t="str">
        <f>IF(COUNTIF(Pays!A:A,X687)=0,"Pays inconnu",_xlfn.XLOOKUP(X687,Pays!A:A,Pays!B:B))</f>
        <v>BE</v>
      </c>
      <c r="K687" t="str">
        <f>IF(COUNTIF(Pays!A:A,X687)=0,"Pays inconnu",_xlfn.XLOOKUP(X687,Pays!A:A,Pays!C:C))</f>
        <v>1_BE</v>
      </c>
      <c r="L687">
        <v>1</v>
      </c>
      <c r="M687">
        <f t="shared" si="20"/>
        <v>0.69</v>
      </c>
      <c r="N687" t="s">
        <v>20</v>
      </c>
      <c r="O687">
        <f>LOOKUP(X687,Pays!A:A,Pays!D:D)</f>
        <v>0.2</v>
      </c>
      <c r="P687">
        <v>0.69</v>
      </c>
      <c r="Q687">
        <v>0.69</v>
      </c>
      <c r="U687">
        <v>1</v>
      </c>
      <c r="W687">
        <f>IF(COUNTIF(Pays!A:A,X687)=0,"",LOOKUP(X687,Pays!A:A,Pays!E:E))</f>
        <v>0</v>
      </c>
      <c r="X687" s="8" t="s">
        <v>28</v>
      </c>
    </row>
    <row r="688" spans="1:24" x14ac:dyDescent="0.25">
      <c r="A688" t="s">
        <v>1167</v>
      </c>
      <c r="B688" t="s">
        <v>182</v>
      </c>
      <c r="C688" s="1">
        <f t="shared" si="21"/>
        <v>46174</v>
      </c>
      <c r="F688" t="s">
        <v>110</v>
      </c>
      <c r="G688" t="s">
        <v>901</v>
      </c>
      <c r="H688" t="s">
        <v>1785</v>
      </c>
      <c r="I688" t="s">
        <v>18</v>
      </c>
      <c r="J688" t="str">
        <f>IF(COUNTIF(Pays!A:A,X688)=0,"Pays inconnu",_xlfn.XLOOKUP(X688,Pays!A:A,Pays!B:B))</f>
        <v>GB</v>
      </c>
      <c r="K688" t="str">
        <f>IF(COUNTIF(Pays!A:A,X688)=0,"Pays inconnu",_xlfn.XLOOKUP(X688,Pays!A:A,Pays!C:C))</f>
        <v>1_GB</v>
      </c>
      <c r="L688">
        <v>1</v>
      </c>
      <c r="M688">
        <f t="shared" si="20"/>
        <v>0.35</v>
      </c>
      <c r="N688" t="s">
        <v>20</v>
      </c>
      <c r="O688">
        <f>LOOKUP(X688,Pays!A:A,Pays!D:D)</f>
        <v>0</v>
      </c>
      <c r="P688">
        <v>0.15</v>
      </c>
      <c r="Q688">
        <v>0.35</v>
      </c>
      <c r="U688">
        <v>1</v>
      </c>
      <c r="W688">
        <f>IF(COUNTIF(Pays!A:A,X688)=0,"",LOOKUP(X688,Pays!A:A,Pays!E:E))</f>
        <v>0</v>
      </c>
      <c r="X688" s="8" t="s">
        <v>30</v>
      </c>
    </row>
    <row r="689" spans="1:24" x14ac:dyDescent="0.25">
      <c r="A689" t="s">
        <v>1167</v>
      </c>
      <c r="B689" t="s">
        <v>182</v>
      </c>
      <c r="C689" s="1">
        <f t="shared" si="21"/>
        <v>46174</v>
      </c>
      <c r="F689" t="s">
        <v>181</v>
      </c>
      <c r="G689" t="s">
        <v>902</v>
      </c>
      <c r="H689" t="s">
        <v>1786</v>
      </c>
      <c r="I689" t="s">
        <v>18</v>
      </c>
      <c r="J689" t="str">
        <f>IF(COUNTIF(Pays!A:A,X689)=0,"Pays inconnu",_xlfn.XLOOKUP(X689,Pays!A:A,Pays!B:B))</f>
        <v>CH</v>
      </c>
      <c r="K689" t="str">
        <f>IF(COUNTIF(Pays!A:A,X689)=0,"Pays inconnu",_xlfn.XLOOKUP(X689,Pays!A:A,Pays!C:C))</f>
        <v>1_CH</v>
      </c>
      <c r="L689">
        <v>1</v>
      </c>
      <c r="M689">
        <f t="shared" si="20"/>
        <v>0.77</v>
      </c>
      <c r="N689" t="s">
        <v>20</v>
      </c>
      <c r="O689">
        <f>LOOKUP(X689,Pays!A:A,Pays!D:D)</f>
        <v>0</v>
      </c>
      <c r="P689">
        <v>0.15</v>
      </c>
      <c r="Q689">
        <v>0.77</v>
      </c>
      <c r="U689">
        <v>1</v>
      </c>
      <c r="W689">
        <f>IF(COUNTIF(Pays!A:A,X689)=0,"",LOOKUP(X689,Pays!A:A,Pays!E:E))</f>
        <v>0</v>
      </c>
      <c r="X689" s="8" t="s">
        <v>37</v>
      </c>
    </row>
    <row r="690" spans="1:24" x14ac:dyDescent="0.25">
      <c r="A690" t="s">
        <v>1167</v>
      </c>
      <c r="B690" t="s">
        <v>182</v>
      </c>
      <c r="C690" s="1">
        <f t="shared" si="21"/>
        <v>46174</v>
      </c>
      <c r="F690" t="s">
        <v>155</v>
      </c>
      <c r="G690" t="s">
        <v>903</v>
      </c>
      <c r="H690" t="s">
        <v>1290</v>
      </c>
      <c r="I690" t="s">
        <v>18</v>
      </c>
      <c r="J690" t="str">
        <f>IF(COUNTIF(Pays!A:A,X690)=0,"Pays inconnu",_xlfn.XLOOKUP(X690,Pays!A:A,Pays!B:B))</f>
        <v>GB</v>
      </c>
      <c r="K690" t="str">
        <f>IF(COUNTIF(Pays!A:A,X690)=0,"Pays inconnu",_xlfn.XLOOKUP(X690,Pays!A:A,Pays!C:C))</f>
        <v>1_GB</v>
      </c>
      <c r="L690">
        <v>1</v>
      </c>
      <c r="M690">
        <f t="shared" si="20"/>
        <v>0.67</v>
      </c>
      <c r="N690" t="s">
        <v>20</v>
      </c>
      <c r="O690">
        <f>LOOKUP(X690,Pays!A:A,Pays!D:D)</f>
        <v>0</v>
      </c>
      <c r="P690">
        <v>0.15</v>
      </c>
      <c r="Q690">
        <v>0.67</v>
      </c>
      <c r="U690">
        <v>1</v>
      </c>
      <c r="W690">
        <f>IF(COUNTIF(Pays!A:A,X690)=0,"",LOOKUP(X690,Pays!A:A,Pays!E:E))</f>
        <v>0</v>
      </c>
      <c r="X690" s="8" t="s">
        <v>30</v>
      </c>
    </row>
    <row r="691" spans="1:24" x14ac:dyDescent="0.25">
      <c r="A691" t="s">
        <v>1167</v>
      </c>
      <c r="B691" t="s">
        <v>182</v>
      </c>
      <c r="C691" s="1">
        <f t="shared" si="21"/>
        <v>46174</v>
      </c>
      <c r="F691" t="s">
        <v>155</v>
      </c>
      <c r="G691" t="s">
        <v>904</v>
      </c>
      <c r="H691" t="s">
        <v>1787</v>
      </c>
      <c r="I691" t="s">
        <v>18</v>
      </c>
      <c r="J691" t="str">
        <f>IF(COUNTIF(Pays!A:A,X691)=0,"Pays inconnu",_xlfn.XLOOKUP(X691,Pays!A:A,Pays!B:B))</f>
        <v>CH</v>
      </c>
      <c r="K691" t="str">
        <f>IF(COUNTIF(Pays!A:A,X691)=0,"Pays inconnu",_xlfn.XLOOKUP(X691,Pays!A:A,Pays!C:C))</f>
        <v>1_CH</v>
      </c>
      <c r="L691">
        <v>1</v>
      </c>
      <c r="M691">
        <f t="shared" si="20"/>
        <v>0.15</v>
      </c>
      <c r="N691" t="s">
        <v>20</v>
      </c>
      <c r="O691">
        <f>LOOKUP(X691,Pays!A:A,Pays!D:D)</f>
        <v>0</v>
      </c>
      <c r="P691">
        <v>0.15</v>
      </c>
      <c r="Q691">
        <v>7.0000000000000007E-2</v>
      </c>
      <c r="U691">
        <v>1</v>
      </c>
      <c r="W691">
        <f>IF(COUNTIF(Pays!A:A,X691)=0,"",LOOKUP(X691,Pays!A:A,Pays!E:E))</f>
        <v>0</v>
      </c>
      <c r="X691" s="8" t="s">
        <v>37</v>
      </c>
    </row>
    <row r="692" spans="1:24" x14ac:dyDescent="0.25">
      <c r="A692" t="s">
        <v>1167</v>
      </c>
      <c r="B692" t="s">
        <v>182</v>
      </c>
      <c r="C692" s="1">
        <f t="shared" si="21"/>
        <v>46174</v>
      </c>
      <c r="F692" t="s">
        <v>155</v>
      </c>
      <c r="G692" t="s">
        <v>905</v>
      </c>
      <c r="H692" t="s">
        <v>1788</v>
      </c>
      <c r="I692" t="s">
        <v>18</v>
      </c>
      <c r="J692" t="str">
        <f>IF(COUNTIF(Pays!A:A,X692)=0,"Pays inconnu",_xlfn.XLOOKUP(X692,Pays!A:A,Pays!B:B))</f>
        <v>CH</v>
      </c>
      <c r="K692" t="str">
        <f>IF(COUNTIF(Pays!A:A,X692)=0,"Pays inconnu",_xlfn.XLOOKUP(X692,Pays!A:A,Pays!C:C))</f>
        <v>1_CH</v>
      </c>
      <c r="L692">
        <v>1</v>
      </c>
      <c r="M692">
        <f t="shared" si="20"/>
        <v>0.15</v>
      </c>
      <c r="N692" t="s">
        <v>20</v>
      </c>
      <c r="O692">
        <f>LOOKUP(X692,Pays!A:A,Pays!D:D)</f>
        <v>0</v>
      </c>
      <c r="P692">
        <v>0.15</v>
      </c>
      <c r="Q692">
        <v>0.06</v>
      </c>
      <c r="U692">
        <v>1</v>
      </c>
      <c r="W692">
        <f>IF(COUNTIF(Pays!A:A,X692)=0,"",LOOKUP(X692,Pays!A:A,Pays!E:E))</f>
        <v>0</v>
      </c>
      <c r="X692" s="8" t="s">
        <v>37</v>
      </c>
    </row>
    <row r="693" spans="1:24" x14ac:dyDescent="0.25">
      <c r="A693" t="s">
        <v>1167</v>
      </c>
      <c r="B693" t="s">
        <v>182</v>
      </c>
      <c r="C693" s="1">
        <f t="shared" si="21"/>
        <v>46174</v>
      </c>
      <c r="F693" t="s">
        <v>155</v>
      </c>
      <c r="G693" t="s">
        <v>906</v>
      </c>
      <c r="H693" t="s">
        <v>1789</v>
      </c>
      <c r="I693" t="s">
        <v>18</v>
      </c>
      <c r="J693" t="str">
        <f>IF(COUNTIF(Pays!A:A,X693)=0,"Pays inconnu",_xlfn.XLOOKUP(X693,Pays!A:A,Pays!B:B))</f>
        <v>GB</v>
      </c>
      <c r="K693" t="str">
        <f>IF(COUNTIF(Pays!A:A,X693)=0,"Pays inconnu",_xlfn.XLOOKUP(X693,Pays!A:A,Pays!C:C))</f>
        <v>1_GB</v>
      </c>
      <c r="L693">
        <v>1</v>
      </c>
      <c r="M693">
        <f t="shared" si="20"/>
        <v>0.16</v>
      </c>
      <c r="N693" t="s">
        <v>20</v>
      </c>
      <c r="O693">
        <f>LOOKUP(X693,Pays!A:A,Pays!D:D)</f>
        <v>0</v>
      </c>
      <c r="P693">
        <v>0.15</v>
      </c>
      <c r="Q693">
        <v>0.16</v>
      </c>
      <c r="U693">
        <v>1</v>
      </c>
      <c r="W693">
        <f>IF(COUNTIF(Pays!A:A,X693)=0,"",LOOKUP(X693,Pays!A:A,Pays!E:E))</f>
        <v>0</v>
      </c>
      <c r="X693" s="8" t="s">
        <v>30</v>
      </c>
    </row>
    <row r="694" spans="1:24" x14ac:dyDescent="0.25">
      <c r="A694" t="s">
        <v>1167</v>
      </c>
      <c r="B694" t="s">
        <v>182</v>
      </c>
      <c r="C694" s="1">
        <f t="shared" si="21"/>
        <v>46174</v>
      </c>
      <c r="F694" t="s">
        <v>110</v>
      </c>
      <c r="G694" t="s">
        <v>907</v>
      </c>
      <c r="H694" t="s">
        <v>1790</v>
      </c>
      <c r="I694" t="s">
        <v>18</v>
      </c>
      <c r="J694" t="str">
        <f>IF(COUNTIF(Pays!A:A,X694)=0,"Pays inconnu",_xlfn.XLOOKUP(X694,Pays!A:A,Pays!B:B))</f>
        <v>US</v>
      </c>
      <c r="K694" t="str">
        <f>IF(COUNTIF(Pays!A:A,X694)=0,"Pays inconnu",_xlfn.XLOOKUP(X694,Pays!A:A,Pays!C:C))</f>
        <v>2_US</v>
      </c>
      <c r="L694">
        <v>1</v>
      </c>
      <c r="M694">
        <f t="shared" si="20"/>
        <v>0.76</v>
      </c>
      <c r="N694" t="s">
        <v>20</v>
      </c>
      <c r="O694">
        <f>LOOKUP(X694,Pays!A:A,Pays!D:D)</f>
        <v>0</v>
      </c>
      <c r="P694">
        <v>0.76</v>
      </c>
      <c r="Q694">
        <v>0.76</v>
      </c>
      <c r="U694">
        <v>1</v>
      </c>
      <c r="W694">
        <f>IF(COUNTIF(Pays!A:A,X694)=0,"",LOOKUP(X694,Pays!A:A,Pays!E:E))</f>
        <v>1.5</v>
      </c>
      <c r="X694" s="8" t="s">
        <v>79</v>
      </c>
    </row>
    <row r="695" spans="1:24" x14ac:dyDescent="0.25">
      <c r="A695" t="s">
        <v>1167</v>
      </c>
      <c r="B695" t="s">
        <v>182</v>
      </c>
      <c r="C695" s="1">
        <f t="shared" si="21"/>
        <v>46174</v>
      </c>
      <c r="F695" t="s">
        <v>155</v>
      </c>
      <c r="G695" t="s">
        <v>908</v>
      </c>
      <c r="H695" t="s">
        <v>1791</v>
      </c>
      <c r="I695" t="s">
        <v>18</v>
      </c>
      <c r="J695" t="str">
        <f>IF(COUNTIF(Pays!A:A,X695)=0,"Pays inconnu",_xlfn.XLOOKUP(X695,Pays!A:A,Pays!B:B))</f>
        <v>GB</v>
      </c>
      <c r="K695" t="str">
        <f>IF(COUNTIF(Pays!A:A,X695)=0,"Pays inconnu",_xlfn.XLOOKUP(X695,Pays!A:A,Pays!C:C))</f>
        <v>1_GB</v>
      </c>
      <c r="L695">
        <v>1</v>
      </c>
      <c r="M695">
        <f t="shared" si="20"/>
        <v>0.19</v>
      </c>
      <c r="N695" t="s">
        <v>20</v>
      </c>
      <c r="O695">
        <f>LOOKUP(X695,Pays!A:A,Pays!D:D)</f>
        <v>0</v>
      </c>
      <c r="P695">
        <v>0.15</v>
      </c>
      <c r="Q695">
        <v>0.19</v>
      </c>
      <c r="U695">
        <v>1</v>
      </c>
      <c r="W695">
        <f>IF(COUNTIF(Pays!A:A,X695)=0,"",LOOKUP(X695,Pays!A:A,Pays!E:E))</f>
        <v>0</v>
      </c>
      <c r="X695" s="8" t="s">
        <v>30</v>
      </c>
    </row>
    <row r="696" spans="1:24" x14ac:dyDescent="0.25">
      <c r="A696" t="s">
        <v>1167</v>
      </c>
      <c r="B696" t="s">
        <v>182</v>
      </c>
      <c r="C696" s="1">
        <f t="shared" si="21"/>
        <v>46174</v>
      </c>
      <c r="F696" t="s">
        <v>181</v>
      </c>
      <c r="G696" t="s">
        <v>909</v>
      </c>
      <c r="H696" t="s">
        <v>1792</v>
      </c>
      <c r="I696" t="s">
        <v>18</v>
      </c>
      <c r="J696" t="str">
        <f>IF(COUNTIF(Pays!A:A,X696)=0,"Pays inconnu",_xlfn.XLOOKUP(X696,Pays!A:A,Pays!B:B))</f>
        <v>CH</v>
      </c>
      <c r="K696" t="str">
        <f>IF(COUNTIF(Pays!A:A,X696)=0,"Pays inconnu",_xlfn.XLOOKUP(X696,Pays!A:A,Pays!C:C))</f>
        <v>1_CH</v>
      </c>
      <c r="L696">
        <v>1</v>
      </c>
      <c r="M696">
        <f t="shared" si="20"/>
        <v>0.98</v>
      </c>
      <c r="N696" t="s">
        <v>20</v>
      </c>
      <c r="O696">
        <f>LOOKUP(X696,Pays!A:A,Pays!D:D)</f>
        <v>0</v>
      </c>
      <c r="P696">
        <v>0.15</v>
      </c>
      <c r="Q696">
        <v>0.98</v>
      </c>
      <c r="U696">
        <v>1</v>
      </c>
      <c r="W696">
        <f>IF(COUNTIF(Pays!A:A,X696)=0,"",LOOKUP(X696,Pays!A:A,Pays!E:E))</f>
        <v>0</v>
      </c>
      <c r="X696" s="8" t="s">
        <v>37</v>
      </c>
    </row>
    <row r="697" spans="1:24" x14ac:dyDescent="0.25">
      <c r="A697" t="s">
        <v>1167</v>
      </c>
      <c r="B697" t="s">
        <v>182</v>
      </c>
      <c r="C697" s="1">
        <f t="shared" si="21"/>
        <v>46174</v>
      </c>
      <c r="F697" t="s">
        <v>110</v>
      </c>
      <c r="G697" t="s">
        <v>910</v>
      </c>
      <c r="H697" t="s">
        <v>1178</v>
      </c>
      <c r="I697" t="s">
        <v>18</v>
      </c>
      <c r="J697" t="str">
        <f>IF(COUNTIF(Pays!A:A,X697)=0,"Pays inconnu",_xlfn.XLOOKUP(X697,Pays!A:A,Pays!B:B))</f>
        <v>CH</v>
      </c>
      <c r="K697" t="str">
        <f>IF(COUNTIF(Pays!A:A,X697)=0,"Pays inconnu",_xlfn.XLOOKUP(X697,Pays!A:A,Pays!C:C))</f>
        <v>1_CH</v>
      </c>
      <c r="L697">
        <v>1</v>
      </c>
      <c r="M697">
        <f t="shared" si="20"/>
        <v>0.4</v>
      </c>
      <c r="N697" t="s">
        <v>20</v>
      </c>
      <c r="O697">
        <f>LOOKUP(X697,Pays!A:A,Pays!D:D)</f>
        <v>0</v>
      </c>
      <c r="P697">
        <v>0.15</v>
      </c>
      <c r="Q697">
        <v>0.4</v>
      </c>
      <c r="U697">
        <v>1</v>
      </c>
      <c r="W697">
        <f>IF(COUNTIF(Pays!A:A,X697)=0,"",LOOKUP(X697,Pays!A:A,Pays!E:E))</f>
        <v>0</v>
      </c>
      <c r="X697" s="8" t="s">
        <v>37</v>
      </c>
    </row>
    <row r="698" spans="1:24" x14ac:dyDescent="0.25">
      <c r="A698" t="s">
        <v>1167</v>
      </c>
      <c r="B698" t="s">
        <v>182</v>
      </c>
      <c r="C698" s="1">
        <f t="shared" si="21"/>
        <v>46174</v>
      </c>
      <c r="F698" t="s">
        <v>110</v>
      </c>
      <c r="G698" t="s">
        <v>911</v>
      </c>
      <c r="H698" t="s">
        <v>1793</v>
      </c>
      <c r="I698" t="s">
        <v>18</v>
      </c>
      <c r="J698" t="str">
        <f>IF(COUNTIF(Pays!A:A,X698)=0,"Pays inconnu",_xlfn.XLOOKUP(X698,Pays!A:A,Pays!B:B))</f>
        <v>CH</v>
      </c>
      <c r="K698" t="str">
        <f>IF(COUNTIF(Pays!A:A,X698)=0,"Pays inconnu",_xlfn.XLOOKUP(X698,Pays!A:A,Pays!C:C))</f>
        <v>1_CH</v>
      </c>
      <c r="L698">
        <v>1</v>
      </c>
      <c r="M698">
        <f t="shared" si="20"/>
        <v>0.54</v>
      </c>
      <c r="N698" t="s">
        <v>20</v>
      </c>
      <c r="O698">
        <f>LOOKUP(X698,Pays!A:A,Pays!D:D)</f>
        <v>0</v>
      </c>
      <c r="P698">
        <v>0.15</v>
      </c>
      <c r="Q698">
        <v>0.54</v>
      </c>
      <c r="U698">
        <v>1</v>
      </c>
      <c r="W698">
        <f>IF(COUNTIF(Pays!A:A,X698)=0,"",LOOKUP(X698,Pays!A:A,Pays!E:E))</f>
        <v>0</v>
      </c>
      <c r="X698" s="8" t="s">
        <v>37</v>
      </c>
    </row>
    <row r="699" spans="1:24" x14ac:dyDescent="0.25">
      <c r="A699" t="s">
        <v>1167</v>
      </c>
      <c r="B699" t="s">
        <v>182</v>
      </c>
      <c r="C699" s="1">
        <f t="shared" si="21"/>
        <v>46174</v>
      </c>
      <c r="F699" t="s">
        <v>155</v>
      </c>
      <c r="G699" t="s">
        <v>912</v>
      </c>
      <c r="H699" t="s">
        <v>1794</v>
      </c>
      <c r="I699" t="s">
        <v>18</v>
      </c>
      <c r="J699" t="str">
        <f>IF(COUNTIF(Pays!A:A,X699)=0,"Pays inconnu",_xlfn.XLOOKUP(X699,Pays!A:A,Pays!B:B))</f>
        <v>CH</v>
      </c>
      <c r="K699" t="str">
        <f>IF(COUNTIF(Pays!A:A,X699)=0,"Pays inconnu",_xlfn.XLOOKUP(X699,Pays!A:A,Pays!C:C))</f>
        <v>1_CH</v>
      </c>
      <c r="L699">
        <v>1</v>
      </c>
      <c r="M699">
        <f t="shared" si="20"/>
        <v>0.18</v>
      </c>
      <c r="N699" t="s">
        <v>20</v>
      </c>
      <c r="O699">
        <f>LOOKUP(X699,Pays!A:A,Pays!D:D)</f>
        <v>0</v>
      </c>
      <c r="P699">
        <v>0.15</v>
      </c>
      <c r="Q699">
        <v>0.18</v>
      </c>
      <c r="U699">
        <v>1</v>
      </c>
      <c r="W699">
        <f>IF(COUNTIF(Pays!A:A,X699)=0,"",LOOKUP(X699,Pays!A:A,Pays!E:E))</f>
        <v>0</v>
      </c>
      <c r="X699" s="8" t="s">
        <v>37</v>
      </c>
    </row>
    <row r="700" spans="1:24" x14ac:dyDescent="0.25">
      <c r="A700" t="s">
        <v>1167</v>
      </c>
      <c r="B700" t="s">
        <v>182</v>
      </c>
      <c r="C700" s="1">
        <f t="shared" si="21"/>
        <v>46174</v>
      </c>
      <c r="F700" t="s">
        <v>155</v>
      </c>
      <c r="G700" t="s">
        <v>913</v>
      </c>
      <c r="H700" t="s">
        <v>1563</v>
      </c>
      <c r="I700" t="s">
        <v>18</v>
      </c>
      <c r="J700" t="str">
        <f>IF(COUNTIF(Pays!A:A,X700)=0,"Pays inconnu",_xlfn.XLOOKUP(X700,Pays!A:A,Pays!B:B))</f>
        <v>GB</v>
      </c>
      <c r="K700" t="str">
        <f>IF(COUNTIF(Pays!A:A,X700)=0,"Pays inconnu",_xlfn.XLOOKUP(X700,Pays!A:A,Pays!C:C))</f>
        <v>1_GB</v>
      </c>
      <c r="L700">
        <v>1</v>
      </c>
      <c r="M700">
        <f t="shared" si="20"/>
        <v>0.15</v>
      </c>
      <c r="N700" t="s">
        <v>20</v>
      </c>
      <c r="O700">
        <f>LOOKUP(X700,Pays!A:A,Pays!D:D)</f>
        <v>0</v>
      </c>
      <c r="P700">
        <v>0.15</v>
      </c>
      <c r="Q700">
        <v>0.1</v>
      </c>
      <c r="U700">
        <v>1</v>
      </c>
      <c r="W700">
        <f>IF(COUNTIF(Pays!A:A,X700)=0,"",LOOKUP(X700,Pays!A:A,Pays!E:E))</f>
        <v>0</v>
      </c>
      <c r="X700" s="8" t="s">
        <v>30</v>
      </c>
    </row>
    <row r="701" spans="1:24" x14ac:dyDescent="0.25">
      <c r="A701" t="s">
        <v>1167</v>
      </c>
      <c r="B701" t="s">
        <v>182</v>
      </c>
      <c r="C701" s="1">
        <f t="shared" si="21"/>
        <v>46174</v>
      </c>
      <c r="F701" t="s">
        <v>155</v>
      </c>
      <c r="G701" t="s">
        <v>914</v>
      </c>
      <c r="H701" t="s">
        <v>1795</v>
      </c>
      <c r="I701" t="s">
        <v>18</v>
      </c>
      <c r="J701" t="str">
        <f>IF(COUNTIF(Pays!A:A,X701)=0,"Pays inconnu",_xlfn.XLOOKUP(X701,Pays!A:A,Pays!B:B))</f>
        <v>CZ</v>
      </c>
      <c r="K701">
        <f>IF(COUNTIF(Pays!A:A,X701)=0,"Pays inconnu",_xlfn.XLOOKUP(X701,Pays!A:A,Pays!C:C))</f>
        <v>1</v>
      </c>
      <c r="L701">
        <v>1</v>
      </c>
      <c r="M701">
        <f t="shared" si="20"/>
        <v>0.24</v>
      </c>
      <c r="N701" t="s">
        <v>20</v>
      </c>
      <c r="O701">
        <f>LOOKUP(X701,Pays!A:A,Pays!D:D)</f>
        <v>0.2</v>
      </c>
      <c r="P701">
        <v>0.15</v>
      </c>
      <c r="Q701">
        <v>0.24</v>
      </c>
      <c r="U701">
        <v>1</v>
      </c>
      <c r="W701">
        <f>IF(COUNTIF(Pays!A:A,X701)=0,"",LOOKUP(X701,Pays!A:A,Pays!E:E))</f>
        <v>0</v>
      </c>
      <c r="X701" s="8" t="s">
        <v>87</v>
      </c>
    </row>
    <row r="702" spans="1:24" x14ac:dyDescent="0.25">
      <c r="A702" t="s">
        <v>1167</v>
      </c>
      <c r="B702" t="s">
        <v>182</v>
      </c>
      <c r="C702" s="1">
        <f t="shared" si="21"/>
        <v>46174</v>
      </c>
      <c r="F702" t="s">
        <v>155</v>
      </c>
      <c r="G702" t="s">
        <v>915</v>
      </c>
      <c r="H702" t="s">
        <v>1796</v>
      </c>
      <c r="I702" t="s">
        <v>18</v>
      </c>
      <c r="J702" t="str">
        <f>IF(COUNTIF(Pays!A:A,X702)=0,"Pays inconnu",_xlfn.XLOOKUP(X702,Pays!A:A,Pays!B:B))</f>
        <v>CH</v>
      </c>
      <c r="K702" t="str">
        <f>IF(COUNTIF(Pays!A:A,X702)=0,"Pays inconnu",_xlfn.XLOOKUP(X702,Pays!A:A,Pays!C:C))</f>
        <v>1_CH</v>
      </c>
      <c r="L702">
        <v>1</v>
      </c>
      <c r="M702">
        <f t="shared" si="20"/>
        <v>0.83</v>
      </c>
      <c r="N702" t="s">
        <v>20</v>
      </c>
      <c r="O702">
        <f>LOOKUP(X702,Pays!A:A,Pays!D:D)</f>
        <v>0</v>
      </c>
      <c r="P702">
        <v>0.15</v>
      </c>
      <c r="Q702">
        <v>0.83</v>
      </c>
      <c r="U702">
        <v>1</v>
      </c>
      <c r="W702">
        <f>IF(COUNTIF(Pays!A:A,X702)=0,"",LOOKUP(X702,Pays!A:A,Pays!E:E))</f>
        <v>0</v>
      </c>
      <c r="X702" s="8" t="s">
        <v>37</v>
      </c>
    </row>
    <row r="703" spans="1:24" x14ac:dyDescent="0.25">
      <c r="A703" t="s">
        <v>1167</v>
      </c>
      <c r="B703" t="s">
        <v>182</v>
      </c>
      <c r="C703" s="1">
        <f t="shared" si="21"/>
        <v>46174</v>
      </c>
      <c r="F703" t="s">
        <v>155</v>
      </c>
      <c r="G703" t="s">
        <v>916</v>
      </c>
      <c r="H703" t="s">
        <v>1797</v>
      </c>
      <c r="I703" t="s">
        <v>18</v>
      </c>
      <c r="J703" t="str">
        <f>IF(COUNTIF(Pays!A:A,X703)=0,"Pays inconnu",_xlfn.XLOOKUP(X703,Pays!A:A,Pays!B:B))</f>
        <v>BE</v>
      </c>
      <c r="K703" t="str">
        <f>IF(COUNTIF(Pays!A:A,X703)=0,"Pays inconnu",_xlfn.XLOOKUP(X703,Pays!A:A,Pays!C:C))</f>
        <v>1_BE</v>
      </c>
      <c r="L703">
        <v>1</v>
      </c>
      <c r="M703">
        <f t="shared" si="20"/>
        <v>0.42</v>
      </c>
      <c r="N703" t="s">
        <v>20</v>
      </c>
      <c r="O703">
        <f>LOOKUP(X703,Pays!A:A,Pays!D:D)</f>
        <v>0.2</v>
      </c>
      <c r="P703">
        <v>0.15</v>
      </c>
      <c r="Q703">
        <v>0.42</v>
      </c>
      <c r="U703">
        <v>1</v>
      </c>
      <c r="W703">
        <f>IF(COUNTIF(Pays!A:A,X703)=0,"",LOOKUP(X703,Pays!A:A,Pays!E:E))</f>
        <v>0</v>
      </c>
      <c r="X703" s="8" t="s">
        <v>28</v>
      </c>
    </row>
    <row r="704" spans="1:24" x14ac:dyDescent="0.25">
      <c r="A704" t="s">
        <v>1167</v>
      </c>
      <c r="B704" t="s">
        <v>182</v>
      </c>
      <c r="C704" s="1">
        <f t="shared" si="21"/>
        <v>46174</v>
      </c>
      <c r="F704" t="s">
        <v>155</v>
      </c>
      <c r="G704" t="s">
        <v>917</v>
      </c>
      <c r="H704" t="s">
        <v>1798</v>
      </c>
      <c r="I704" t="s">
        <v>18</v>
      </c>
      <c r="J704" t="str">
        <f>IF(COUNTIF(Pays!A:A,X704)=0,"Pays inconnu",_xlfn.XLOOKUP(X704,Pays!A:A,Pays!B:B))</f>
        <v>BE</v>
      </c>
      <c r="K704" t="str">
        <f>IF(COUNTIF(Pays!A:A,X704)=0,"Pays inconnu",_xlfn.XLOOKUP(X704,Pays!A:A,Pays!C:C))</f>
        <v>1_BE</v>
      </c>
      <c r="L704">
        <v>1</v>
      </c>
      <c r="M704">
        <f t="shared" si="20"/>
        <v>0.42</v>
      </c>
      <c r="N704" t="s">
        <v>20</v>
      </c>
      <c r="O704">
        <f>LOOKUP(X704,Pays!A:A,Pays!D:D)</f>
        <v>0.2</v>
      </c>
      <c r="P704">
        <v>0.15</v>
      </c>
      <c r="Q704">
        <v>0.42</v>
      </c>
      <c r="U704">
        <v>1</v>
      </c>
      <c r="W704">
        <f>IF(COUNTIF(Pays!A:A,X704)=0,"",LOOKUP(X704,Pays!A:A,Pays!E:E))</f>
        <v>0</v>
      </c>
      <c r="X704" s="8" t="s">
        <v>28</v>
      </c>
    </row>
    <row r="705" spans="1:24" x14ac:dyDescent="0.25">
      <c r="A705" t="s">
        <v>1167</v>
      </c>
      <c r="B705" t="s">
        <v>182</v>
      </c>
      <c r="C705" s="1">
        <f t="shared" si="21"/>
        <v>46174</v>
      </c>
      <c r="F705" t="s">
        <v>110</v>
      </c>
      <c r="G705" t="s">
        <v>918</v>
      </c>
      <c r="H705" t="s">
        <v>1799</v>
      </c>
      <c r="I705" t="s">
        <v>18</v>
      </c>
      <c r="J705" t="str">
        <f>IF(COUNTIF(Pays!A:A,X705)=0,"Pays inconnu",_xlfn.XLOOKUP(X705,Pays!A:A,Pays!B:B))</f>
        <v>ES</v>
      </c>
      <c r="K705">
        <f>IF(COUNTIF(Pays!A:A,X705)=0,"Pays inconnu",_xlfn.XLOOKUP(X705,Pays!A:A,Pays!C:C))</f>
        <v>1</v>
      </c>
      <c r="L705">
        <v>1</v>
      </c>
      <c r="M705">
        <f t="shared" si="20"/>
        <v>0.42</v>
      </c>
      <c r="N705" t="s">
        <v>20</v>
      </c>
      <c r="O705">
        <f>LOOKUP(X705,Pays!A:A,Pays!D:D)</f>
        <v>0.2</v>
      </c>
      <c r="P705">
        <v>0.15</v>
      </c>
      <c r="Q705">
        <v>0.42</v>
      </c>
      <c r="U705">
        <v>1</v>
      </c>
      <c r="W705">
        <f>IF(COUNTIF(Pays!A:A,X705)=0,"",LOOKUP(X705,Pays!A:A,Pays!E:E))</f>
        <v>0</v>
      </c>
      <c r="X705" s="8" t="s">
        <v>29</v>
      </c>
    </row>
    <row r="706" spans="1:24" x14ac:dyDescent="0.25">
      <c r="A706" t="s">
        <v>1167</v>
      </c>
      <c r="B706" t="s">
        <v>182</v>
      </c>
      <c r="C706" s="1">
        <f t="shared" si="21"/>
        <v>46174</v>
      </c>
      <c r="F706" t="s">
        <v>155</v>
      </c>
      <c r="G706" t="s">
        <v>919</v>
      </c>
      <c r="H706" t="s">
        <v>1800</v>
      </c>
      <c r="I706" t="s">
        <v>18</v>
      </c>
      <c r="J706" t="str">
        <f>IF(COUNTIF(Pays!A:A,X706)=0,"Pays inconnu",_xlfn.XLOOKUP(X706,Pays!A:A,Pays!B:B))</f>
        <v>CH</v>
      </c>
      <c r="K706" t="str">
        <f>IF(COUNTIF(Pays!A:A,X706)=0,"Pays inconnu",_xlfn.XLOOKUP(X706,Pays!A:A,Pays!C:C))</f>
        <v>1_CH</v>
      </c>
      <c r="L706">
        <v>1</v>
      </c>
      <c r="M706">
        <f t="shared" si="20"/>
        <v>0.53</v>
      </c>
      <c r="N706" t="s">
        <v>20</v>
      </c>
      <c r="O706">
        <f>LOOKUP(X706,Pays!A:A,Pays!D:D)</f>
        <v>0</v>
      </c>
      <c r="P706">
        <v>0.15</v>
      </c>
      <c r="Q706">
        <v>0.53</v>
      </c>
      <c r="U706">
        <v>1</v>
      </c>
      <c r="W706">
        <f>IF(COUNTIF(Pays!A:A,X706)=0,"",LOOKUP(X706,Pays!A:A,Pays!E:E))</f>
        <v>0</v>
      </c>
      <c r="X706" s="8" t="s">
        <v>37</v>
      </c>
    </row>
    <row r="707" spans="1:24" x14ac:dyDescent="0.25">
      <c r="A707" t="s">
        <v>1167</v>
      </c>
      <c r="B707" t="s">
        <v>182</v>
      </c>
      <c r="C707" s="1">
        <f t="shared" si="21"/>
        <v>46174</v>
      </c>
      <c r="F707" t="s">
        <v>155</v>
      </c>
      <c r="G707" t="s">
        <v>920</v>
      </c>
      <c r="H707" t="s">
        <v>1244</v>
      </c>
      <c r="I707" t="s">
        <v>18</v>
      </c>
      <c r="J707" t="str">
        <f>IF(COUNTIF(Pays!A:A,X707)=0,"Pays inconnu",_xlfn.XLOOKUP(X707,Pays!A:A,Pays!B:B))</f>
        <v>CH</v>
      </c>
      <c r="K707" t="str">
        <f>IF(COUNTIF(Pays!A:A,X707)=0,"Pays inconnu",_xlfn.XLOOKUP(X707,Pays!A:A,Pays!C:C))</f>
        <v>1_CH</v>
      </c>
      <c r="L707">
        <v>1</v>
      </c>
      <c r="M707">
        <f t="shared" ref="M707:M770" si="22">ROUND(MAX(P707:Q707),2)</f>
        <v>0.21</v>
      </c>
      <c r="N707" t="s">
        <v>20</v>
      </c>
      <c r="O707">
        <f>LOOKUP(X707,Pays!A:A,Pays!D:D)</f>
        <v>0</v>
      </c>
      <c r="P707">
        <v>0.15</v>
      </c>
      <c r="Q707">
        <v>0.21</v>
      </c>
      <c r="U707">
        <v>1</v>
      </c>
      <c r="W707">
        <f>IF(COUNTIF(Pays!A:A,X707)=0,"",LOOKUP(X707,Pays!A:A,Pays!E:E))</f>
        <v>0</v>
      </c>
      <c r="X707" s="8" t="s">
        <v>37</v>
      </c>
    </row>
    <row r="708" spans="1:24" x14ac:dyDescent="0.25">
      <c r="A708" t="s">
        <v>1167</v>
      </c>
      <c r="B708" t="s">
        <v>182</v>
      </c>
      <c r="C708" s="1">
        <f t="shared" ref="C708:C771" si="23">C707</f>
        <v>46174</v>
      </c>
      <c r="F708" t="s">
        <v>155</v>
      </c>
      <c r="G708" t="s">
        <v>921</v>
      </c>
      <c r="H708" t="s">
        <v>190</v>
      </c>
      <c r="I708" t="s">
        <v>18</v>
      </c>
      <c r="J708" t="str">
        <f>IF(COUNTIF(Pays!A:A,X708)=0,"Pays inconnu",_xlfn.XLOOKUP(X708,Pays!A:A,Pays!B:B))</f>
        <v>IT</v>
      </c>
      <c r="K708">
        <f>IF(COUNTIF(Pays!A:A,X708)=0,"Pays inconnu",_xlfn.XLOOKUP(X708,Pays!A:A,Pays!C:C))</f>
        <v>1</v>
      </c>
      <c r="L708">
        <v>1</v>
      </c>
      <c r="M708">
        <f t="shared" si="22"/>
        <v>0.53</v>
      </c>
      <c r="N708" t="s">
        <v>20</v>
      </c>
      <c r="O708">
        <f>LOOKUP(X708,Pays!A:A,Pays!D:D)</f>
        <v>0.2</v>
      </c>
      <c r="P708">
        <v>0.15</v>
      </c>
      <c r="Q708">
        <v>0.53</v>
      </c>
      <c r="U708">
        <v>1</v>
      </c>
      <c r="W708">
        <f>IF(COUNTIF(Pays!A:A,X708)=0,"",LOOKUP(X708,Pays!A:A,Pays!E:E))</f>
        <v>0</v>
      </c>
      <c r="X708" s="8" t="s">
        <v>33</v>
      </c>
    </row>
    <row r="709" spans="1:24" x14ac:dyDescent="0.25">
      <c r="A709" t="s">
        <v>1167</v>
      </c>
      <c r="B709" t="s">
        <v>182</v>
      </c>
      <c r="C709" s="1">
        <f t="shared" si="23"/>
        <v>46174</v>
      </c>
      <c r="F709" t="s">
        <v>110</v>
      </c>
      <c r="G709" t="s">
        <v>922</v>
      </c>
      <c r="H709" t="s">
        <v>1801</v>
      </c>
      <c r="I709" t="s">
        <v>18</v>
      </c>
      <c r="J709" t="str">
        <f>IF(COUNTIF(Pays!A:A,X709)=0,"Pays inconnu",_xlfn.XLOOKUP(X709,Pays!A:A,Pays!B:B))</f>
        <v>NL</v>
      </c>
      <c r="K709">
        <f>IF(COUNTIF(Pays!A:A,X709)=0,"Pays inconnu",_xlfn.XLOOKUP(X709,Pays!A:A,Pays!C:C))</f>
        <v>1</v>
      </c>
      <c r="L709">
        <v>1</v>
      </c>
      <c r="M709">
        <f t="shared" si="22"/>
        <v>0.42</v>
      </c>
      <c r="N709" t="s">
        <v>20</v>
      </c>
      <c r="O709">
        <f>LOOKUP(X709,Pays!A:A,Pays!D:D)</f>
        <v>0.2</v>
      </c>
      <c r="P709">
        <v>0.15</v>
      </c>
      <c r="Q709">
        <v>0.42</v>
      </c>
      <c r="U709">
        <v>1</v>
      </c>
      <c r="W709">
        <f>IF(COUNTIF(Pays!A:A,X709)=0,"",LOOKUP(X709,Pays!A:A,Pays!E:E))</f>
        <v>0</v>
      </c>
      <c r="X709" s="8" t="s">
        <v>31</v>
      </c>
    </row>
    <row r="710" spans="1:24" x14ac:dyDescent="0.25">
      <c r="A710" t="s">
        <v>1167</v>
      </c>
      <c r="B710" t="s">
        <v>182</v>
      </c>
      <c r="C710" s="1">
        <f t="shared" si="23"/>
        <v>46174</v>
      </c>
      <c r="F710" t="s">
        <v>110</v>
      </c>
      <c r="G710" t="s">
        <v>923</v>
      </c>
      <c r="H710" t="s">
        <v>1802</v>
      </c>
      <c r="I710" t="s">
        <v>18</v>
      </c>
      <c r="J710" t="str">
        <f>IF(COUNTIF(Pays!A:A,X710)=0,"Pays inconnu",_xlfn.XLOOKUP(X710,Pays!A:A,Pays!B:B))</f>
        <v>NL</v>
      </c>
      <c r="K710">
        <f>IF(COUNTIF(Pays!A:A,X710)=0,"Pays inconnu",_xlfn.XLOOKUP(X710,Pays!A:A,Pays!C:C))</f>
        <v>1</v>
      </c>
      <c r="L710">
        <v>1</v>
      </c>
      <c r="M710">
        <f t="shared" si="22"/>
        <v>0.56000000000000005</v>
      </c>
      <c r="N710" t="s">
        <v>20</v>
      </c>
      <c r="O710">
        <f>LOOKUP(X710,Pays!A:A,Pays!D:D)</f>
        <v>0.2</v>
      </c>
      <c r="P710">
        <v>0.15</v>
      </c>
      <c r="Q710">
        <v>0.56000000000000005</v>
      </c>
      <c r="U710">
        <v>1</v>
      </c>
      <c r="W710">
        <f>IF(COUNTIF(Pays!A:A,X710)=0,"",LOOKUP(X710,Pays!A:A,Pays!E:E))</f>
        <v>0</v>
      </c>
      <c r="X710" s="8" t="s">
        <v>31</v>
      </c>
    </row>
    <row r="711" spans="1:24" x14ac:dyDescent="0.25">
      <c r="A711" t="s">
        <v>1167</v>
      </c>
      <c r="B711" t="s">
        <v>182</v>
      </c>
      <c r="C711" s="1">
        <f t="shared" si="23"/>
        <v>46174</v>
      </c>
      <c r="F711" t="s">
        <v>181</v>
      </c>
      <c r="G711" t="s">
        <v>924</v>
      </c>
      <c r="H711" t="s">
        <v>1803</v>
      </c>
      <c r="I711" t="s">
        <v>18</v>
      </c>
      <c r="J711" t="str">
        <f>IF(COUNTIF(Pays!A:A,X711)=0,"Pays inconnu",_xlfn.XLOOKUP(X711,Pays!A:A,Pays!B:B))</f>
        <v>CH</v>
      </c>
      <c r="K711" t="str">
        <f>IF(COUNTIF(Pays!A:A,X711)=0,"Pays inconnu",_xlfn.XLOOKUP(X711,Pays!A:A,Pays!C:C))</f>
        <v>1_CH</v>
      </c>
      <c r="L711">
        <v>1</v>
      </c>
      <c r="M711">
        <f t="shared" si="22"/>
        <v>0.23</v>
      </c>
      <c r="N711" t="s">
        <v>20</v>
      </c>
      <c r="O711">
        <f>LOOKUP(X711,Pays!A:A,Pays!D:D)</f>
        <v>0</v>
      </c>
      <c r="P711">
        <v>0.15</v>
      </c>
      <c r="Q711">
        <v>0.23</v>
      </c>
      <c r="U711">
        <v>1</v>
      </c>
      <c r="W711">
        <f>IF(COUNTIF(Pays!A:A,X711)=0,"",LOOKUP(X711,Pays!A:A,Pays!E:E))</f>
        <v>0</v>
      </c>
      <c r="X711" s="8" t="s">
        <v>37</v>
      </c>
    </row>
    <row r="712" spans="1:24" x14ac:dyDescent="0.25">
      <c r="A712" t="s">
        <v>1167</v>
      </c>
      <c r="B712" t="s">
        <v>182</v>
      </c>
      <c r="C712" s="1">
        <f t="shared" si="23"/>
        <v>46174</v>
      </c>
      <c r="F712" t="s">
        <v>110</v>
      </c>
      <c r="G712" t="s">
        <v>925</v>
      </c>
      <c r="H712" t="s">
        <v>1804</v>
      </c>
      <c r="I712" t="s">
        <v>18</v>
      </c>
      <c r="J712" t="str">
        <f>IF(COUNTIF(Pays!A:A,X712)=0,"Pays inconnu",_xlfn.XLOOKUP(X712,Pays!A:A,Pays!B:B))</f>
        <v>CH</v>
      </c>
      <c r="K712" t="str">
        <f>IF(COUNTIF(Pays!A:A,X712)=0,"Pays inconnu",_xlfn.XLOOKUP(X712,Pays!A:A,Pays!C:C))</f>
        <v>1_CH</v>
      </c>
      <c r="L712">
        <v>1</v>
      </c>
      <c r="M712">
        <f t="shared" si="22"/>
        <v>0.19</v>
      </c>
      <c r="N712" t="s">
        <v>20</v>
      </c>
      <c r="O712">
        <f>LOOKUP(X712,Pays!A:A,Pays!D:D)</f>
        <v>0</v>
      </c>
      <c r="P712">
        <v>0.15</v>
      </c>
      <c r="Q712">
        <v>0.19</v>
      </c>
      <c r="U712">
        <v>1</v>
      </c>
      <c r="W712">
        <f>IF(COUNTIF(Pays!A:A,X712)=0,"",LOOKUP(X712,Pays!A:A,Pays!E:E))</f>
        <v>0</v>
      </c>
      <c r="X712" s="8" t="s">
        <v>37</v>
      </c>
    </row>
    <row r="713" spans="1:24" x14ac:dyDescent="0.25">
      <c r="A713" t="s">
        <v>1167</v>
      </c>
      <c r="B713" t="s">
        <v>182</v>
      </c>
      <c r="C713" s="1">
        <f t="shared" si="23"/>
        <v>46174</v>
      </c>
      <c r="F713" t="s">
        <v>155</v>
      </c>
      <c r="G713" t="s">
        <v>926</v>
      </c>
      <c r="H713" t="s">
        <v>1805</v>
      </c>
      <c r="I713" t="s">
        <v>18</v>
      </c>
      <c r="J713" t="str">
        <f>IF(COUNTIF(Pays!A:A,X713)=0,"Pays inconnu",_xlfn.XLOOKUP(X713,Pays!A:A,Pays!B:B))</f>
        <v>NL</v>
      </c>
      <c r="K713">
        <f>IF(COUNTIF(Pays!A:A,X713)=0,"Pays inconnu",_xlfn.XLOOKUP(X713,Pays!A:A,Pays!C:C))</f>
        <v>1</v>
      </c>
      <c r="L713">
        <v>1</v>
      </c>
      <c r="M713">
        <f t="shared" si="22"/>
        <v>1.0900000000000001</v>
      </c>
      <c r="N713" t="s">
        <v>20</v>
      </c>
      <c r="O713">
        <f>LOOKUP(X713,Pays!A:A,Pays!D:D)</f>
        <v>0.2</v>
      </c>
      <c r="P713">
        <v>1.0900000000000001</v>
      </c>
      <c r="Q713">
        <v>1.0900000000000001</v>
      </c>
      <c r="U713">
        <v>1</v>
      </c>
      <c r="W713">
        <f>IF(COUNTIF(Pays!A:A,X713)=0,"",LOOKUP(X713,Pays!A:A,Pays!E:E))</f>
        <v>0</v>
      </c>
      <c r="X713" s="8" t="s">
        <v>31</v>
      </c>
    </row>
    <row r="714" spans="1:24" x14ac:dyDescent="0.25">
      <c r="A714" t="s">
        <v>1167</v>
      </c>
      <c r="B714" t="s">
        <v>182</v>
      </c>
      <c r="C714" s="1">
        <f t="shared" si="23"/>
        <v>46174</v>
      </c>
      <c r="F714" t="s">
        <v>110</v>
      </c>
      <c r="G714" t="s">
        <v>927</v>
      </c>
      <c r="H714" t="s">
        <v>1806</v>
      </c>
      <c r="I714" t="s">
        <v>18</v>
      </c>
      <c r="J714" t="str">
        <f>IF(COUNTIF(Pays!A:A,X714)=0,"Pays inconnu",_xlfn.XLOOKUP(X714,Pays!A:A,Pays!B:B))</f>
        <v>CA</v>
      </c>
      <c r="K714">
        <f>IF(COUNTIF(Pays!A:A,X714)=0,"Pays inconnu",_xlfn.XLOOKUP(X714,Pays!A:A,Pays!C:C))</f>
        <v>2</v>
      </c>
      <c r="L714">
        <v>1</v>
      </c>
      <c r="M714">
        <f t="shared" si="22"/>
        <v>1.62</v>
      </c>
      <c r="N714" t="s">
        <v>20</v>
      </c>
      <c r="O714">
        <f>LOOKUP(X714,Pays!A:A,Pays!D:D)</f>
        <v>0</v>
      </c>
      <c r="P714">
        <v>1.62</v>
      </c>
      <c r="Q714">
        <v>1.62</v>
      </c>
      <c r="U714">
        <v>1</v>
      </c>
      <c r="W714">
        <f>IF(COUNTIF(Pays!A:A,X714)=0,"",LOOKUP(X714,Pays!A:A,Pays!E:E))</f>
        <v>1.5</v>
      </c>
      <c r="X714" s="8" t="s">
        <v>44</v>
      </c>
    </row>
    <row r="715" spans="1:24" x14ac:dyDescent="0.25">
      <c r="A715" t="s">
        <v>1167</v>
      </c>
      <c r="B715" t="s">
        <v>182</v>
      </c>
      <c r="C715" s="1">
        <f t="shared" si="23"/>
        <v>46174</v>
      </c>
      <c r="F715" t="s">
        <v>155</v>
      </c>
      <c r="G715" t="s">
        <v>928</v>
      </c>
      <c r="H715" t="s">
        <v>1807</v>
      </c>
      <c r="I715" t="s">
        <v>18</v>
      </c>
      <c r="J715" t="str">
        <f>IF(COUNTIF(Pays!A:A,X715)=0,"Pays inconnu",_xlfn.XLOOKUP(X715,Pays!A:A,Pays!B:B))</f>
        <v>GB</v>
      </c>
      <c r="K715" t="str">
        <f>IF(COUNTIF(Pays!A:A,X715)=0,"Pays inconnu",_xlfn.XLOOKUP(X715,Pays!A:A,Pays!C:C))</f>
        <v>1_GB</v>
      </c>
      <c r="L715">
        <v>1</v>
      </c>
      <c r="M715">
        <f t="shared" si="22"/>
        <v>0.24</v>
      </c>
      <c r="N715" t="s">
        <v>20</v>
      </c>
      <c r="O715">
        <f>LOOKUP(X715,Pays!A:A,Pays!D:D)</f>
        <v>0</v>
      </c>
      <c r="P715">
        <v>0.15</v>
      </c>
      <c r="Q715">
        <v>0.24</v>
      </c>
      <c r="U715">
        <v>1</v>
      </c>
      <c r="W715">
        <f>IF(COUNTIF(Pays!A:A,X715)=0,"",LOOKUP(X715,Pays!A:A,Pays!E:E))</f>
        <v>0</v>
      </c>
      <c r="X715" s="8" t="s">
        <v>30</v>
      </c>
    </row>
    <row r="716" spans="1:24" x14ac:dyDescent="0.25">
      <c r="A716" t="s">
        <v>1168</v>
      </c>
      <c r="B716" t="s">
        <v>182</v>
      </c>
      <c r="C716" s="1">
        <f t="shared" si="23"/>
        <v>46174</v>
      </c>
      <c r="F716" t="s">
        <v>155</v>
      </c>
      <c r="G716" t="s">
        <v>929</v>
      </c>
      <c r="H716" t="s">
        <v>1808</v>
      </c>
      <c r="I716" t="s">
        <v>18</v>
      </c>
      <c r="J716" t="str">
        <f>IF(COUNTIF(Pays!A:A,X716)=0,"Pays inconnu",_xlfn.XLOOKUP(X716,Pays!A:A,Pays!B:B))</f>
        <v>CH</v>
      </c>
      <c r="K716" t="str">
        <f>IF(COUNTIF(Pays!A:A,X716)=0,"Pays inconnu",_xlfn.XLOOKUP(X716,Pays!A:A,Pays!C:C))</f>
        <v>1_CH</v>
      </c>
      <c r="L716">
        <v>1</v>
      </c>
      <c r="M716">
        <f t="shared" si="22"/>
        <v>0.74</v>
      </c>
      <c r="N716" t="s">
        <v>20</v>
      </c>
      <c r="O716">
        <f>LOOKUP(X716,Pays!A:A,Pays!D:D)</f>
        <v>0</v>
      </c>
      <c r="P716">
        <v>0.15</v>
      </c>
      <c r="Q716">
        <v>0.74</v>
      </c>
      <c r="U716">
        <v>1</v>
      </c>
      <c r="W716">
        <f>IF(COUNTIF(Pays!A:A,X716)=0,"",LOOKUP(X716,Pays!A:A,Pays!E:E))</f>
        <v>0</v>
      </c>
      <c r="X716" s="8" t="s">
        <v>37</v>
      </c>
    </row>
    <row r="717" spans="1:24" x14ac:dyDescent="0.25">
      <c r="A717" t="s">
        <v>1168</v>
      </c>
      <c r="B717" t="s">
        <v>182</v>
      </c>
      <c r="C717" s="1">
        <f t="shared" si="23"/>
        <v>46174</v>
      </c>
      <c r="F717" t="s">
        <v>155</v>
      </c>
      <c r="G717" t="s">
        <v>930</v>
      </c>
      <c r="H717" t="s">
        <v>1809</v>
      </c>
      <c r="I717" t="s">
        <v>18</v>
      </c>
      <c r="J717" t="str">
        <f>IF(COUNTIF(Pays!A:A,X717)=0,"Pays inconnu",_xlfn.XLOOKUP(X717,Pays!A:A,Pays!B:B))</f>
        <v>GB</v>
      </c>
      <c r="K717" t="str">
        <f>IF(COUNTIF(Pays!A:A,X717)=0,"Pays inconnu",_xlfn.XLOOKUP(X717,Pays!A:A,Pays!C:C))</f>
        <v>1_GB</v>
      </c>
      <c r="L717">
        <v>1</v>
      </c>
      <c r="M717">
        <f t="shared" si="22"/>
        <v>0.18</v>
      </c>
      <c r="N717" t="s">
        <v>20</v>
      </c>
      <c r="O717">
        <f>LOOKUP(X717,Pays!A:A,Pays!D:D)</f>
        <v>0</v>
      </c>
      <c r="P717">
        <v>0.15</v>
      </c>
      <c r="Q717">
        <v>0.18</v>
      </c>
      <c r="U717">
        <v>1</v>
      </c>
      <c r="W717">
        <f>IF(COUNTIF(Pays!A:A,X717)=0,"",LOOKUP(X717,Pays!A:A,Pays!E:E))</f>
        <v>0</v>
      </c>
      <c r="X717" s="8" t="s">
        <v>30</v>
      </c>
    </row>
    <row r="718" spans="1:24" x14ac:dyDescent="0.25">
      <c r="A718" t="s">
        <v>1168</v>
      </c>
      <c r="B718" t="s">
        <v>182</v>
      </c>
      <c r="C718" s="1">
        <f t="shared" si="23"/>
        <v>46174</v>
      </c>
      <c r="F718" t="s">
        <v>181</v>
      </c>
      <c r="G718" t="s">
        <v>931</v>
      </c>
      <c r="H718" t="s">
        <v>1810</v>
      </c>
      <c r="I718" t="s">
        <v>18</v>
      </c>
      <c r="J718" t="str">
        <f>IF(COUNTIF(Pays!A:A,X718)=0,"Pays inconnu",_xlfn.XLOOKUP(X718,Pays!A:A,Pays!B:B))</f>
        <v>CH</v>
      </c>
      <c r="K718" t="str">
        <f>IF(COUNTIF(Pays!A:A,X718)=0,"Pays inconnu",_xlfn.XLOOKUP(X718,Pays!A:A,Pays!C:C))</f>
        <v>1_CH</v>
      </c>
      <c r="L718">
        <v>1</v>
      </c>
      <c r="M718">
        <f t="shared" si="22"/>
        <v>0.15</v>
      </c>
      <c r="N718" t="s">
        <v>20</v>
      </c>
      <c r="O718">
        <f>LOOKUP(X718,Pays!A:A,Pays!D:D)</f>
        <v>0</v>
      </c>
      <c r="P718">
        <v>0.15</v>
      </c>
      <c r="Q718" t="s">
        <v>2007</v>
      </c>
      <c r="U718">
        <v>1</v>
      </c>
      <c r="W718">
        <f>IF(COUNTIF(Pays!A:A,X718)=0,"",LOOKUP(X718,Pays!A:A,Pays!E:E))</f>
        <v>0</v>
      </c>
      <c r="X718" s="8" t="s">
        <v>37</v>
      </c>
    </row>
    <row r="719" spans="1:24" x14ac:dyDescent="0.25">
      <c r="A719" t="s">
        <v>1168</v>
      </c>
      <c r="B719" t="s">
        <v>182</v>
      </c>
      <c r="C719" s="1">
        <f t="shared" si="23"/>
        <v>46174</v>
      </c>
      <c r="F719" t="s">
        <v>155</v>
      </c>
      <c r="G719" t="s">
        <v>932</v>
      </c>
      <c r="H719" t="s">
        <v>200</v>
      </c>
      <c r="I719" t="s">
        <v>18</v>
      </c>
      <c r="J719" t="str">
        <f>IF(COUNTIF(Pays!A:A,X719)=0,"Pays inconnu",_xlfn.XLOOKUP(X719,Pays!A:A,Pays!B:B))</f>
        <v>BE</v>
      </c>
      <c r="K719" t="str">
        <f>IF(COUNTIF(Pays!A:A,X719)=0,"Pays inconnu",_xlfn.XLOOKUP(X719,Pays!A:A,Pays!C:C))</f>
        <v>1_BE</v>
      </c>
      <c r="L719">
        <v>1</v>
      </c>
      <c r="M719">
        <f t="shared" si="22"/>
        <v>0.42</v>
      </c>
      <c r="N719" t="s">
        <v>20</v>
      </c>
      <c r="O719">
        <f>LOOKUP(X719,Pays!A:A,Pays!D:D)</f>
        <v>0.2</v>
      </c>
      <c r="P719">
        <v>0.15</v>
      </c>
      <c r="Q719">
        <v>0.42</v>
      </c>
      <c r="U719">
        <v>1</v>
      </c>
      <c r="W719">
        <f>IF(COUNTIF(Pays!A:A,X719)=0,"",LOOKUP(X719,Pays!A:A,Pays!E:E))</f>
        <v>0</v>
      </c>
      <c r="X719" s="8" t="s">
        <v>28</v>
      </c>
    </row>
    <row r="720" spans="1:24" x14ac:dyDescent="0.25">
      <c r="A720" t="s">
        <v>1168</v>
      </c>
      <c r="B720" t="s">
        <v>182</v>
      </c>
      <c r="C720" s="1">
        <f t="shared" si="23"/>
        <v>46174</v>
      </c>
      <c r="F720" t="s">
        <v>110</v>
      </c>
      <c r="G720" t="s">
        <v>933</v>
      </c>
      <c r="H720" t="s">
        <v>1811</v>
      </c>
      <c r="I720" t="s">
        <v>18</v>
      </c>
      <c r="J720" t="str">
        <f>IF(COUNTIF(Pays!A:A,X720)=0,"Pays inconnu",_xlfn.XLOOKUP(X720,Pays!A:A,Pays!B:B))</f>
        <v>CH</v>
      </c>
      <c r="K720" t="str">
        <f>IF(COUNTIF(Pays!A:A,X720)=0,"Pays inconnu",_xlfn.XLOOKUP(X720,Pays!A:A,Pays!C:C))</f>
        <v>1_CH</v>
      </c>
      <c r="L720">
        <v>1</v>
      </c>
      <c r="M720">
        <f t="shared" si="22"/>
        <v>0.28000000000000003</v>
      </c>
      <c r="N720" t="s">
        <v>20</v>
      </c>
      <c r="O720">
        <f>LOOKUP(X720,Pays!A:A,Pays!D:D)</f>
        <v>0</v>
      </c>
      <c r="P720">
        <v>0.15</v>
      </c>
      <c r="Q720">
        <v>0.28000000000000003</v>
      </c>
      <c r="U720">
        <v>1</v>
      </c>
      <c r="W720">
        <f>IF(COUNTIF(Pays!A:A,X720)=0,"",LOOKUP(X720,Pays!A:A,Pays!E:E))</f>
        <v>0</v>
      </c>
      <c r="X720" s="8" t="s">
        <v>37</v>
      </c>
    </row>
    <row r="721" spans="1:24" x14ac:dyDescent="0.25">
      <c r="A721" t="s">
        <v>1168</v>
      </c>
      <c r="B721" t="s">
        <v>182</v>
      </c>
      <c r="C721" s="1">
        <f t="shared" si="23"/>
        <v>46174</v>
      </c>
      <c r="F721" t="s">
        <v>155</v>
      </c>
      <c r="G721" t="s">
        <v>934</v>
      </c>
      <c r="H721" t="s">
        <v>1812</v>
      </c>
      <c r="I721" t="s">
        <v>18</v>
      </c>
      <c r="J721" t="str">
        <f>IF(COUNTIF(Pays!A:A,X721)=0,"Pays inconnu",_xlfn.XLOOKUP(X721,Pays!A:A,Pays!B:B))</f>
        <v>CH</v>
      </c>
      <c r="K721" t="str">
        <f>IF(COUNTIF(Pays!A:A,X721)=0,"Pays inconnu",_xlfn.XLOOKUP(X721,Pays!A:A,Pays!C:C))</f>
        <v>1_CH</v>
      </c>
      <c r="L721">
        <v>1</v>
      </c>
      <c r="M721">
        <f t="shared" si="22"/>
        <v>0.42</v>
      </c>
      <c r="N721" t="s">
        <v>20</v>
      </c>
      <c r="O721">
        <f>LOOKUP(X721,Pays!A:A,Pays!D:D)</f>
        <v>0</v>
      </c>
      <c r="P721">
        <v>0.15</v>
      </c>
      <c r="Q721">
        <v>0.42</v>
      </c>
      <c r="U721">
        <v>1</v>
      </c>
      <c r="W721">
        <f>IF(COUNTIF(Pays!A:A,X721)=0,"",LOOKUP(X721,Pays!A:A,Pays!E:E))</f>
        <v>0</v>
      </c>
      <c r="X721" s="8" t="s">
        <v>37</v>
      </c>
    </row>
    <row r="722" spans="1:24" x14ac:dyDescent="0.25">
      <c r="A722" t="s">
        <v>1168</v>
      </c>
      <c r="B722" t="s">
        <v>182</v>
      </c>
      <c r="C722" s="1">
        <f t="shared" si="23"/>
        <v>46174</v>
      </c>
      <c r="F722" t="s">
        <v>155</v>
      </c>
      <c r="G722" t="s">
        <v>935</v>
      </c>
      <c r="H722" t="s">
        <v>1813</v>
      </c>
      <c r="I722" t="s">
        <v>18</v>
      </c>
      <c r="J722" t="str">
        <f>IF(COUNTIF(Pays!A:A,X722)=0,"Pays inconnu",_xlfn.XLOOKUP(X722,Pays!A:A,Pays!B:B))</f>
        <v>CH</v>
      </c>
      <c r="K722" t="str">
        <f>IF(COUNTIF(Pays!A:A,X722)=0,"Pays inconnu",_xlfn.XLOOKUP(X722,Pays!A:A,Pays!C:C))</f>
        <v>1_CH</v>
      </c>
      <c r="L722">
        <v>1</v>
      </c>
      <c r="M722">
        <f t="shared" si="22"/>
        <v>0.17</v>
      </c>
      <c r="N722" t="s">
        <v>20</v>
      </c>
      <c r="O722">
        <f>LOOKUP(X722,Pays!A:A,Pays!D:D)</f>
        <v>0</v>
      </c>
      <c r="P722">
        <v>0.15</v>
      </c>
      <c r="Q722">
        <v>0.17</v>
      </c>
      <c r="U722">
        <v>1</v>
      </c>
      <c r="W722">
        <f>IF(COUNTIF(Pays!A:A,X722)=0,"",LOOKUP(X722,Pays!A:A,Pays!E:E))</f>
        <v>0</v>
      </c>
      <c r="X722" s="8" t="s">
        <v>37</v>
      </c>
    </row>
    <row r="723" spans="1:24" x14ac:dyDescent="0.25">
      <c r="A723" t="s">
        <v>1168</v>
      </c>
      <c r="B723" t="s">
        <v>182</v>
      </c>
      <c r="C723" s="1">
        <f t="shared" si="23"/>
        <v>46174</v>
      </c>
      <c r="F723" t="s">
        <v>110</v>
      </c>
      <c r="G723" t="s">
        <v>936</v>
      </c>
      <c r="H723" t="s">
        <v>1814</v>
      </c>
      <c r="I723" t="s">
        <v>18</v>
      </c>
      <c r="J723" t="str">
        <f>IF(COUNTIF(Pays!A:A,X723)=0,"Pays inconnu",_xlfn.XLOOKUP(X723,Pays!A:A,Pays!B:B))</f>
        <v>BE</v>
      </c>
      <c r="K723" t="str">
        <f>IF(COUNTIF(Pays!A:A,X723)=0,"Pays inconnu",_xlfn.XLOOKUP(X723,Pays!A:A,Pays!C:C))</f>
        <v>1_BE</v>
      </c>
      <c r="L723">
        <v>1</v>
      </c>
      <c r="M723">
        <f t="shared" si="22"/>
        <v>0.42</v>
      </c>
      <c r="N723" t="s">
        <v>20</v>
      </c>
      <c r="O723">
        <f>LOOKUP(X723,Pays!A:A,Pays!D:D)</f>
        <v>0.2</v>
      </c>
      <c r="P723">
        <v>0.15</v>
      </c>
      <c r="Q723">
        <v>0.42</v>
      </c>
      <c r="U723">
        <v>1</v>
      </c>
      <c r="W723">
        <f>IF(COUNTIF(Pays!A:A,X723)=0,"",LOOKUP(X723,Pays!A:A,Pays!E:E))</f>
        <v>0</v>
      </c>
      <c r="X723" s="8" t="s">
        <v>28</v>
      </c>
    </row>
    <row r="724" spans="1:24" x14ac:dyDescent="0.25">
      <c r="A724" t="s">
        <v>1168</v>
      </c>
      <c r="B724" t="s">
        <v>182</v>
      </c>
      <c r="C724" s="1">
        <f t="shared" si="23"/>
        <v>46174</v>
      </c>
      <c r="F724" t="s">
        <v>110</v>
      </c>
      <c r="G724" t="s">
        <v>937</v>
      </c>
      <c r="H724" t="s">
        <v>1815</v>
      </c>
      <c r="I724" t="s">
        <v>18</v>
      </c>
      <c r="J724" t="str">
        <f>IF(COUNTIF(Pays!A:A,X724)=0,"Pays inconnu",_xlfn.XLOOKUP(X724,Pays!A:A,Pays!B:B))</f>
        <v>CH</v>
      </c>
      <c r="K724" t="str">
        <f>IF(COUNTIF(Pays!A:A,X724)=0,"Pays inconnu",_xlfn.XLOOKUP(X724,Pays!A:A,Pays!C:C))</f>
        <v>1_CH</v>
      </c>
      <c r="L724">
        <v>1</v>
      </c>
      <c r="M724">
        <f t="shared" si="22"/>
        <v>0.4</v>
      </c>
      <c r="N724" t="s">
        <v>20</v>
      </c>
      <c r="O724">
        <f>LOOKUP(X724,Pays!A:A,Pays!D:D)</f>
        <v>0</v>
      </c>
      <c r="P724">
        <v>0.15</v>
      </c>
      <c r="Q724">
        <v>0.4</v>
      </c>
      <c r="U724">
        <v>1</v>
      </c>
      <c r="W724">
        <f>IF(COUNTIF(Pays!A:A,X724)=0,"",LOOKUP(X724,Pays!A:A,Pays!E:E))</f>
        <v>0</v>
      </c>
      <c r="X724" s="8" t="s">
        <v>37</v>
      </c>
    </row>
    <row r="725" spans="1:24" x14ac:dyDescent="0.25">
      <c r="A725" t="s">
        <v>1168</v>
      </c>
      <c r="B725" t="s">
        <v>182</v>
      </c>
      <c r="C725" s="1">
        <f t="shared" si="23"/>
        <v>46174</v>
      </c>
      <c r="F725" t="s">
        <v>155</v>
      </c>
      <c r="G725" t="s">
        <v>938</v>
      </c>
      <c r="H725" t="s">
        <v>1816</v>
      </c>
      <c r="I725" t="s">
        <v>18</v>
      </c>
      <c r="J725" t="str">
        <f>IF(COUNTIF(Pays!A:A,X725)=0,"Pays inconnu",_xlfn.XLOOKUP(X725,Pays!A:A,Pays!B:B))</f>
        <v>CH</v>
      </c>
      <c r="K725" t="str">
        <f>IF(COUNTIF(Pays!A:A,X725)=0,"Pays inconnu",_xlfn.XLOOKUP(X725,Pays!A:A,Pays!C:C))</f>
        <v>1_CH</v>
      </c>
      <c r="L725">
        <v>1</v>
      </c>
      <c r="M725">
        <f t="shared" si="22"/>
        <v>0.15</v>
      </c>
      <c r="N725" t="s">
        <v>20</v>
      </c>
      <c r="O725">
        <f>LOOKUP(X725,Pays!A:A,Pays!D:D)</f>
        <v>0</v>
      </c>
      <c r="P725">
        <v>0.15</v>
      </c>
      <c r="Q725">
        <v>0.08</v>
      </c>
      <c r="U725">
        <v>1</v>
      </c>
      <c r="W725">
        <f>IF(COUNTIF(Pays!A:A,X725)=0,"",LOOKUP(X725,Pays!A:A,Pays!E:E))</f>
        <v>0</v>
      </c>
      <c r="X725" s="8" t="s">
        <v>37</v>
      </c>
    </row>
    <row r="726" spans="1:24" x14ac:dyDescent="0.25">
      <c r="A726" t="s">
        <v>1168</v>
      </c>
      <c r="B726" t="s">
        <v>182</v>
      </c>
      <c r="C726" s="1">
        <f t="shared" si="23"/>
        <v>46174</v>
      </c>
      <c r="F726" t="s">
        <v>110</v>
      </c>
      <c r="G726" t="s">
        <v>939</v>
      </c>
      <c r="H726" t="s">
        <v>1817</v>
      </c>
      <c r="I726" t="s">
        <v>18</v>
      </c>
      <c r="J726" t="str">
        <f>IF(COUNTIF(Pays!A:A,X726)=0,"Pays inconnu",_xlfn.XLOOKUP(X726,Pays!A:A,Pays!B:B))</f>
        <v>CH</v>
      </c>
      <c r="K726" t="str">
        <f>IF(COUNTIF(Pays!A:A,X726)=0,"Pays inconnu",_xlfn.XLOOKUP(X726,Pays!A:A,Pays!C:C))</f>
        <v>1_CH</v>
      </c>
      <c r="L726">
        <v>1</v>
      </c>
      <c r="M726">
        <f t="shared" si="22"/>
        <v>0.15</v>
      </c>
      <c r="N726" t="s">
        <v>20</v>
      </c>
      <c r="O726">
        <f>LOOKUP(X726,Pays!A:A,Pays!D:D)</f>
        <v>0</v>
      </c>
      <c r="P726">
        <v>0.15</v>
      </c>
      <c r="Q726">
        <v>0.15</v>
      </c>
      <c r="U726">
        <v>1</v>
      </c>
      <c r="W726">
        <f>IF(COUNTIF(Pays!A:A,X726)=0,"",LOOKUP(X726,Pays!A:A,Pays!E:E))</f>
        <v>0</v>
      </c>
      <c r="X726" s="8" t="s">
        <v>37</v>
      </c>
    </row>
    <row r="727" spans="1:24" x14ac:dyDescent="0.25">
      <c r="A727" t="s">
        <v>1168</v>
      </c>
      <c r="B727" t="s">
        <v>182</v>
      </c>
      <c r="C727" s="1">
        <f t="shared" si="23"/>
        <v>46174</v>
      </c>
      <c r="F727" t="s">
        <v>155</v>
      </c>
      <c r="G727" t="s">
        <v>940</v>
      </c>
      <c r="H727" t="s">
        <v>1818</v>
      </c>
      <c r="I727" t="s">
        <v>18</v>
      </c>
      <c r="J727" t="str">
        <f>IF(COUNTIF(Pays!A:A,X727)=0,"Pays inconnu",_xlfn.XLOOKUP(X727,Pays!A:A,Pays!B:B))</f>
        <v>GB</v>
      </c>
      <c r="K727" t="str">
        <f>IF(COUNTIF(Pays!A:A,X727)=0,"Pays inconnu",_xlfn.XLOOKUP(X727,Pays!A:A,Pays!C:C))</f>
        <v>1_GB</v>
      </c>
      <c r="L727">
        <v>1</v>
      </c>
      <c r="M727">
        <f t="shared" si="22"/>
        <v>0.18</v>
      </c>
      <c r="N727" t="s">
        <v>20</v>
      </c>
      <c r="O727">
        <f>LOOKUP(X727,Pays!A:A,Pays!D:D)</f>
        <v>0</v>
      </c>
      <c r="P727">
        <v>0.15</v>
      </c>
      <c r="Q727">
        <v>0.18</v>
      </c>
      <c r="U727">
        <v>1</v>
      </c>
      <c r="W727">
        <f>IF(COUNTIF(Pays!A:A,X727)=0,"",LOOKUP(X727,Pays!A:A,Pays!E:E))</f>
        <v>0</v>
      </c>
      <c r="X727" s="8" t="s">
        <v>30</v>
      </c>
    </row>
    <row r="728" spans="1:24" x14ac:dyDescent="0.25">
      <c r="A728" t="s">
        <v>1168</v>
      </c>
      <c r="B728" t="s">
        <v>182</v>
      </c>
      <c r="C728" s="1">
        <f t="shared" si="23"/>
        <v>46174</v>
      </c>
      <c r="F728" t="s">
        <v>155</v>
      </c>
      <c r="G728" t="s">
        <v>941</v>
      </c>
      <c r="H728" t="s">
        <v>1819</v>
      </c>
      <c r="I728" t="s">
        <v>18</v>
      </c>
      <c r="J728" t="str">
        <f>IF(COUNTIF(Pays!A:A,X728)=0,"Pays inconnu",_xlfn.XLOOKUP(X728,Pays!A:A,Pays!B:B))</f>
        <v>CH</v>
      </c>
      <c r="K728" t="str">
        <f>IF(COUNTIF(Pays!A:A,X728)=0,"Pays inconnu",_xlfn.XLOOKUP(X728,Pays!A:A,Pays!C:C))</f>
        <v>1_CH</v>
      </c>
      <c r="L728">
        <v>1</v>
      </c>
      <c r="M728">
        <f t="shared" si="22"/>
        <v>0.21</v>
      </c>
      <c r="N728" t="s">
        <v>20</v>
      </c>
      <c r="O728">
        <f>LOOKUP(X728,Pays!A:A,Pays!D:D)</f>
        <v>0</v>
      </c>
      <c r="P728">
        <v>0.15</v>
      </c>
      <c r="Q728">
        <v>0.21</v>
      </c>
      <c r="U728">
        <v>1</v>
      </c>
      <c r="W728">
        <f>IF(COUNTIF(Pays!A:A,X728)=0,"",LOOKUP(X728,Pays!A:A,Pays!E:E))</f>
        <v>0</v>
      </c>
      <c r="X728" s="8" t="s">
        <v>37</v>
      </c>
    </row>
    <row r="729" spans="1:24" x14ac:dyDescent="0.25">
      <c r="A729" t="s">
        <v>1168</v>
      </c>
      <c r="B729" t="s">
        <v>182</v>
      </c>
      <c r="C729" s="1">
        <f t="shared" si="23"/>
        <v>46174</v>
      </c>
      <c r="F729" t="s">
        <v>110</v>
      </c>
      <c r="G729" t="s">
        <v>942</v>
      </c>
      <c r="H729" t="s">
        <v>1820</v>
      </c>
      <c r="I729" t="s">
        <v>18</v>
      </c>
      <c r="J729" t="str">
        <f>IF(COUNTIF(Pays!A:A,X729)=0,"Pays inconnu",_xlfn.XLOOKUP(X729,Pays!A:A,Pays!B:B))</f>
        <v>CH</v>
      </c>
      <c r="K729" t="str">
        <f>IF(COUNTIF(Pays!A:A,X729)=0,"Pays inconnu",_xlfn.XLOOKUP(X729,Pays!A:A,Pays!C:C))</f>
        <v>1_CH</v>
      </c>
      <c r="L729">
        <v>1</v>
      </c>
      <c r="M729">
        <f t="shared" si="22"/>
        <v>0.67</v>
      </c>
      <c r="N729" t="s">
        <v>20</v>
      </c>
      <c r="O729">
        <f>LOOKUP(X729,Pays!A:A,Pays!D:D)</f>
        <v>0</v>
      </c>
      <c r="P729">
        <v>0.15</v>
      </c>
      <c r="Q729">
        <v>0.67</v>
      </c>
      <c r="U729">
        <v>1</v>
      </c>
      <c r="W729">
        <f>IF(COUNTIF(Pays!A:A,X729)=0,"",LOOKUP(X729,Pays!A:A,Pays!E:E))</f>
        <v>0</v>
      </c>
      <c r="X729" s="8" t="s">
        <v>37</v>
      </c>
    </row>
    <row r="730" spans="1:24" x14ac:dyDescent="0.25">
      <c r="A730" t="s">
        <v>1168</v>
      </c>
      <c r="B730" t="s">
        <v>182</v>
      </c>
      <c r="C730" s="1">
        <f t="shared" si="23"/>
        <v>46174</v>
      </c>
      <c r="F730" t="s">
        <v>155</v>
      </c>
      <c r="G730" t="s">
        <v>943</v>
      </c>
      <c r="H730" t="s">
        <v>1821</v>
      </c>
      <c r="I730" t="s">
        <v>18</v>
      </c>
      <c r="J730" t="str">
        <f>IF(COUNTIF(Pays!A:A,X730)=0,"Pays inconnu",_xlfn.XLOOKUP(X730,Pays!A:A,Pays!B:B))</f>
        <v>GB</v>
      </c>
      <c r="K730" t="str">
        <f>IF(COUNTIF(Pays!A:A,X730)=0,"Pays inconnu",_xlfn.XLOOKUP(X730,Pays!A:A,Pays!C:C))</f>
        <v>1_GB</v>
      </c>
      <c r="L730">
        <v>1</v>
      </c>
      <c r="M730">
        <f t="shared" si="22"/>
        <v>0.15</v>
      </c>
      <c r="N730" t="s">
        <v>20</v>
      </c>
      <c r="O730">
        <f>LOOKUP(X730,Pays!A:A,Pays!D:D)</f>
        <v>0</v>
      </c>
      <c r="P730">
        <v>0.15</v>
      </c>
      <c r="Q730">
        <v>0.04</v>
      </c>
      <c r="U730">
        <v>1</v>
      </c>
      <c r="W730">
        <f>IF(COUNTIF(Pays!A:A,X730)=0,"",LOOKUP(X730,Pays!A:A,Pays!E:E))</f>
        <v>0</v>
      </c>
      <c r="X730" s="8" t="s">
        <v>30</v>
      </c>
    </row>
    <row r="731" spans="1:24" x14ac:dyDescent="0.25">
      <c r="A731" t="s">
        <v>1168</v>
      </c>
      <c r="B731" t="s">
        <v>182</v>
      </c>
      <c r="C731" s="1">
        <f t="shared" si="23"/>
        <v>46174</v>
      </c>
      <c r="F731" t="s">
        <v>110</v>
      </c>
      <c r="G731" t="s">
        <v>944</v>
      </c>
      <c r="H731" t="s">
        <v>1822</v>
      </c>
      <c r="I731" t="s">
        <v>18</v>
      </c>
      <c r="J731" t="str">
        <f>IF(COUNTIF(Pays!A:A,X731)=0,"Pays inconnu",_xlfn.XLOOKUP(X731,Pays!A:A,Pays!B:B))</f>
        <v>CH</v>
      </c>
      <c r="K731" t="str">
        <f>IF(COUNTIF(Pays!A:A,X731)=0,"Pays inconnu",_xlfn.XLOOKUP(X731,Pays!A:A,Pays!C:C))</f>
        <v>1_CH</v>
      </c>
      <c r="L731">
        <v>1</v>
      </c>
      <c r="M731">
        <f t="shared" si="22"/>
        <v>0.28000000000000003</v>
      </c>
      <c r="N731" t="s">
        <v>20</v>
      </c>
      <c r="O731">
        <f>LOOKUP(X731,Pays!A:A,Pays!D:D)</f>
        <v>0</v>
      </c>
      <c r="P731">
        <v>0.15</v>
      </c>
      <c r="Q731">
        <v>0.28000000000000003</v>
      </c>
      <c r="U731">
        <v>1</v>
      </c>
      <c r="W731">
        <f>IF(COUNTIF(Pays!A:A,X731)=0,"",LOOKUP(X731,Pays!A:A,Pays!E:E))</f>
        <v>0</v>
      </c>
      <c r="X731" s="8" t="s">
        <v>37</v>
      </c>
    </row>
    <row r="732" spans="1:24" x14ac:dyDescent="0.25">
      <c r="A732" t="s">
        <v>1168</v>
      </c>
      <c r="B732" t="s">
        <v>182</v>
      </c>
      <c r="C732" s="1">
        <f t="shared" si="23"/>
        <v>46174</v>
      </c>
      <c r="F732" t="s">
        <v>110</v>
      </c>
      <c r="G732" t="s">
        <v>945</v>
      </c>
      <c r="H732" t="s">
        <v>1823</v>
      </c>
      <c r="I732" t="s">
        <v>18</v>
      </c>
      <c r="J732" t="str">
        <f>IF(COUNTIF(Pays!A:A,X732)=0,"Pays inconnu",_xlfn.XLOOKUP(X732,Pays!A:A,Pays!B:B))</f>
        <v>CH</v>
      </c>
      <c r="K732" t="str">
        <f>IF(COUNTIF(Pays!A:A,X732)=0,"Pays inconnu",_xlfn.XLOOKUP(X732,Pays!A:A,Pays!C:C))</f>
        <v>1_CH</v>
      </c>
      <c r="L732">
        <v>1</v>
      </c>
      <c r="M732">
        <f t="shared" si="22"/>
        <v>0.45</v>
      </c>
      <c r="N732" t="s">
        <v>20</v>
      </c>
      <c r="O732">
        <f>LOOKUP(X732,Pays!A:A,Pays!D:D)</f>
        <v>0</v>
      </c>
      <c r="P732">
        <v>0.15</v>
      </c>
      <c r="Q732">
        <v>0.45</v>
      </c>
      <c r="U732">
        <v>1</v>
      </c>
      <c r="W732">
        <f>IF(COUNTIF(Pays!A:A,X732)=0,"",LOOKUP(X732,Pays!A:A,Pays!E:E))</f>
        <v>0</v>
      </c>
      <c r="X732" s="8" t="s">
        <v>37</v>
      </c>
    </row>
    <row r="733" spans="1:24" x14ac:dyDescent="0.25">
      <c r="A733" t="s">
        <v>1168</v>
      </c>
      <c r="B733" t="s">
        <v>182</v>
      </c>
      <c r="C733" s="1">
        <f t="shared" si="23"/>
        <v>46174</v>
      </c>
      <c r="F733" t="s">
        <v>155</v>
      </c>
      <c r="G733" t="s">
        <v>946</v>
      </c>
      <c r="H733" t="s">
        <v>1793</v>
      </c>
      <c r="I733" t="s">
        <v>18</v>
      </c>
      <c r="J733" t="str">
        <f>IF(COUNTIF(Pays!A:A,X733)=0,"Pays inconnu",_xlfn.XLOOKUP(X733,Pays!A:A,Pays!B:B))</f>
        <v>CH</v>
      </c>
      <c r="K733" t="str">
        <f>IF(COUNTIF(Pays!A:A,X733)=0,"Pays inconnu",_xlfn.XLOOKUP(X733,Pays!A:A,Pays!C:C))</f>
        <v>1_CH</v>
      </c>
      <c r="L733">
        <v>1</v>
      </c>
      <c r="M733">
        <f t="shared" si="22"/>
        <v>0.15</v>
      </c>
      <c r="N733" t="s">
        <v>20</v>
      </c>
      <c r="O733">
        <f>LOOKUP(X733,Pays!A:A,Pays!D:D)</f>
        <v>0</v>
      </c>
      <c r="P733">
        <v>0.15</v>
      </c>
      <c r="Q733">
        <v>0.08</v>
      </c>
      <c r="U733">
        <v>1</v>
      </c>
      <c r="W733">
        <f>IF(COUNTIF(Pays!A:A,X733)=0,"",LOOKUP(X733,Pays!A:A,Pays!E:E))</f>
        <v>0</v>
      </c>
      <c r="X733" s="8" t="s">
        <v>37</v>
      </c>
    </row>
    <row r="734" spans="1:24" x14ac:dyDescent="0.25">
      <c r="A734" t="s">
        <v>1168</v>
      </c>
      <c r="B734" t="s">
        <v>182</v>
      </c>
      <c r="C734" s="1">
        <f t="shared" si="23"/>
        <v>46174</v>
      </c>
      <c r="F734" t="s">
        <v>181</v>
      </c>
      <c r="G734" t="s">
        <v>947</v>
      </c>
      <c r="H734" t="s">
        <v>1824</v>
      </c>
      <c r="I734" t="s">
        <v>18</v>
      </c>
      <c r="J734" t="str">
        <f>IF(COUNTIF(Pays!A:A,X734)=0,"Pays inconnu",_xlfn.XLOOKUP(X734,Pays!A:A,Pays!B:B))</f>
        <v>CH</v>
      </c>
      <c r="K734" t="str">
        <f>IF(COUNTIF(Pays!A:A,X734)=0,"Pays inconnu",_xlfn.XLOOKUP(X734,Pays!A:A,Pays!C:C))</f>
        <v>1_CH</v>
      </c>
      <c r="L734">
        <v>1</v>
      </c>
      <c r="M734">
        <f t="shared" si="22"/>
        <v>0.56000000000000005</v>
      </c>
      <c r="N734" t="s">
        <v>20</v>
      </c>
      <c r="O734">
        <f>LOOKUP(X734,Pays!A:A,Pays!D:D)</f>
        <v>0</v>
      </c>
      <c r="P734">
        <v>0.15</v>
      </c>
      <c r="Q734">
        <v>0.56000000000000005</v>
      </c>
      <c r="U734">
        <v>1</v>
      </c>
      <c r="W734">
        <f>IF(COUNTIF(Pays!A:A,X734)=0,"",LOOKUP(X734,Pays!A:A,Pays!E:E))</f>
        <v>0</v>
      </c>
      <c r="X734" s="8" t="s">
        <v>37</v>
      </c>
    </row>
    <row r="735" spans="1:24" x14ac:dyDescent="0.25">
      <c r="A735" t="s">
        <v>1168</v>
      </c>
      <c r="B735" t="s">
        <v>182</v>
      </c>
      <c r="C735" s="1">
        <f t="shared" si="23"/>
        <v>46174</v>
      </c>
      <c r="F735" t="s">
        <v>155</v>
      </c>
      <c r="G735" t="s">
        <v>948</v>
      </c>
      <c r="H735" t="s">
        <v>1825</v>
      </c>
      <c r="I735" t="s">
        <v>18</v>
      </c>
      <c r="J735" t="str">
        <f>IF(COUNTIF(Pays!A:A,X735)=0,"Pays inconnu",_xlfn.XLOOKUP(X735,Pays!A:A,Pays!B:B))</f>
        <v>GB</v>
      </c>
      <c r="K735" t="str">
        <f>IF(COUNTIF(Pays!A:A,X735)=0,"Pays inconnu",_xlfn.XLOOKUP(X735,Pays!A:A,Pays!C:C))</f>
        <v>1_GB</v>
      </c>
      <c r="L735">
        <v>1</v>
      </c>
      <c r="M735">
        <f t="shared" si="22"/>
        <v>0.15</v>
      </c>
      <c r="N735" t="s">
        <v>20</v>
      </c>
      <c r="O735">
        <f>LOOKUP(X735,Pays!A:A,Pays!D:D)</f>
        <v>0</v>
      </c>
      <c r="P735">
        <v>0.15</v>
      </c>
      <c r="Q735">
        <v>0.08</v>
      </c>
      <c r="U735">
        <v>1</v>
      </c>
      <c r="W735">
        <f>IF(COUNTIF(Pays!A:A,X735)=0,"",LOOKUP(X735,Pays!A:A,Pays!E:E))</f>
        <v>0</v>
      </c>
      <c r="X735" s="8" t="s">
        <v>30</v>
      </c>
    </row>
    <row r="736" spans="1:24" x14ac:dyDescent="0.25">
      <c r="A736" t="s">
        <v>1168</v>
      </c>
      <c r="B736" t="s">
        <v>182</v>
      </c>
      <c r="C736" s="1">
        <f t="shared" si="23"/>
        <v>46174</v>
      </c>
      <c r="F736" t="s">
        <v>155</v>
      </c>
      <c r="G736" t="s">
        <v>949</v>
      </c>
      <c r="H736" t="s">
        <v>1826</v>
      </c>
      <c r="I736" t="s">
        <v>18</v>
      </c>
      <c r="J736" t="str">
        <f>IF(COUNTIF(Pays!A:A,X736)=0,"Pays inconnu",_xlfn.XLOOKUP(X736,Pays!A:A,Pays!B:B))</f>
        <v>CH</v>
      </c>
      <c r="K736" t="str">
        <f>IF(COUNTIF(Pays!A:A,X736)=0,"Pays inconnu",_xlfn.XLOOKUP(X736,Pays!A:A,Pays!C:C))</f>
        <v>1_CH</v>
      </c>
      <c r="L736">
        <v>1</v>
      </c>
      <c r="M736">
        <f t="shared" si="22"/>
        <v>0.15</v>
      </c>
      <c r="N736" t="s">
        <v>20</v>
      </c>
      <c r="O736">
        <f>LOOKUP(X736,Pays!A:A,Pays!D:D)</f>
        <v>0</v>
      </c>
      <c r="P736">
        <v>0.15</v>
      </c>
      <c r="Q736">
        <v>7.0000000000000007E-2</v>
      </c>
      <c r="U736">
        <v>1</v>
      </c>
      <c r="W736">
        <f>IF(COUNTIF(Pays!A:A,X736)=0,"",LOOKUP(X736,Pays!A:A,Pays!E:E))</f>
        <v>0</v>
      </c>
      <c r="X736" s="8" t="s">
        <v>37</v>
      </c>
    </row>
    <row r="737" spans="1:24" x14ac:dyDescent="0.25">
      <c r="A737" t="s">
        <v>1168</v>
      </c>
      <c r="B737" t="s">
        <v>182</v>
      </c>
      <c r="C737" s="1">
        <f t="shared" si="23"/>
        <v>46174</v>
      </c>
      <c r="F737" t="s">
        <v>155</v>
      </c>
      <c r="G737" t="s">
        <v>950</v>
      </c>
      <c r="H737" t="s">
        <v>1827</v>
      </c>
      <c r="I737" t="s">
        <v>18</v>
      </c>
      <c r="J737" t="str">
        <f>IF(COUNTIF(Pays!A:A,X737)=0,"Pays inconnu",_xlfn.XLOOKUP(X737,Pays!A:A,Pays!B:B))</f>
        <v>GB</v>
      </c>
      <c r="K737" t="str">
        <f>IF(COUNTIF(Pays!A:A,X737)=0,"Pays inconnu",_xlfn.XLOOKUP(X737,Pays!A:A,Pays!C:C))</f>
        <v>1_GB</v>
      </c>
      <c r="L737">
        <v>1</v>
      </c>
      <c r="M737">
        <f t="shared" si="22"/>
        <v>0.53</v>
      </c>
      <c r="N737" t="s">
        <v>20</v>
      </c>
      <c r="O737">
        <f>LOOKUP(X737,Pays!A:A,Pays!D:D)</f>
        <v>0</v>
      </c>
      <c r="P737">
        <v>0.15</v>
      </c>
      <c r="Q737">
        <v>0.53</v>
      </c>
      <c r="U737">
        <v>1</v>
      </c>
      <c r="W737">
        <f>IF(COUNTIF(Pays!A:A,X737)=0,"",LOOKUP(X737,Pays!A:A,Pays!E:E))</f>
        <v>0</v>
      </c>
      <c r="X737" s="8" t="s">
        <v>30</v>
      </c>
    </row>
    <row r="738" spans="1:24" x14ac:dyDescent="0.25">
      <c r="A738" t="s">
        <v>1168</v>
      </c>
      <c r="B738" t="s">
        <v>182</v>
      </c>
      <c r="C738" s="1">
        <f t="shared" si="23"/>
        <v>46174</v>
      </c>
      <c r="F738" t="s">
        <v>181</v>
      </c>
      <c r="G738" t="s">
        <v>951</v>
      </c>
      <c r="H738" t="s">
        <v>1635</v>
      </c>
      <c r="I738" t="s">
        <v>18</v>
      </c>
      <c r="J738" t="str">
        <f>IF(COUNTIF(Pays!A:A,X738)=0,"Pays inconnu",_xlfn.XLOOKUP(X738,Pays!A:A,Pays!B:B))</f>
        <v>CH</v>
      </c>
      <c r="K738" t="str">
        <f>IF(COUNTIF(Pays!A:A,X738)=0,"Pays inconnu",_xlfn.XLOOKUP(X738,Pays!A:A,Pays!C:C))</f>
        <v>1_CH</v>
      </c>
      <c r="L738">
        <v>1</v>
      </c>
      <c r="M738">
        <f t="shared" si="22"/>
        <v>0.94</v>
      </c>
      <c r="N738" t="s">
        <v>20</v>
      </c>
      <c r="O738">
        <f>LOOKUP(X738,Pays!A:A,Pays!D:D)</f>
        <v>0</v>
      </c>
      <c r="P738">
        <v>0.15</v>
      </c>
      <c r="Q738">
        <v>0.94</v>
      </c>
      <c r="U738">
        <v>1</v>
      </c>
      <c r="W738">
        <f>IF(COUNTIF(Pays!A:A,X738)=0,"",LOOKUP(X738,Pays!A:A,Pays!E:E))</f>
        <v>0</v>
      </c>
      <c r="X738" s="8" t="s">
        <v>37</v>
      </c>
    </row>
    <row r="739" spans="1:24" x14ac:dyDescent="0.25">
      <c r="A739" t="s">
        <v>1168</v>
      </c>
      <c r="B739" t="s">
        <v>182</v>
      </c>
      <c r="C739" s="1">
        <f t="shared" si="23"/>
        <v>46174</v>
      </c>
      <c r="F739" t="s">
        <v>155</v>
      </c>
      <c r="G739" t="s">
        <v>952</v>
      </c>
      <c r="H739" t="s">
        <v>1828</v>
      </c>
      <c r="I739" t="s">
        <v>18</v>
      </c>
      <c r="J739" t="str">
        <f>IF(COUNTIF(Pays!A:A,X739)=0,"Pays inconnu",_xlfn.XLOOKUP(X739,Pays!A:A,Pays!B:B))</f>
        <v>CH</v>
      </c>
      <c r="K739" t="str">
        <f>IF(COUNTIF(Pays!A:A,X739)=0,"Pays inconnu",_xlfn.XLOOKUP(X739,Pays!A:A,Pays!C:C))</f>
        <v>1_CH</v>
      </c>
      <c r="L739">
        <v>1</v>
      </c>
      <c r="M739">
        <f t="shared" si="22"/>
        <v>0.15</v>
      </c>
      <c r="N739" t="s">
        <v>20</v>
      </c>
      <c r="O739">
        <f>LOOKUP(X739,Pays!A:A,Pays!D:D)</f>
        <v>0</v>
      </c>
      <c r="P739">
        <v>0.15</v>
      </c>
      <c r="Q739">
        <v>0.02</v>
      </c>
      <c r="U739">
        <v>1</v>
      </c>
      <c r="W739">
        <f>IF(COUNTIF(Pays!A:A,X739)=0,"",LOOKUP(X739,Pays!A:A,Pays!E:E))</f>
        <v>0</v>
      </c>
      <c r="X739" s="8" t="s">
        <v>37</v>
      </c>
    </row>
    <row r="740" spans="1:24" x14ac:dyDescent="0.25">
      <c r="A740" t="s">
        <v>1168</v>
      </c>
      <c r="B740" t="s">
        <v>182</v>
      </c>
      <c r="C740" s="1">
        <f t="shared" si="23"/>
        <v>46174</v>
      </c>
      <c r="F740" t="s">
        <v>155</v>
      </c>
      <c r="G740" t="s">
        <v>953</v>
      </c>
      <c r="H740" t="s">
        <v>1829</v>
      </c>
      <c r="I740" t="s">
        <v>18</v>
      </c>
      <c r="J740" t="str">
        <f>IF(COUNTIF(Pays!A:A,X740)=0,"Pays inconnu",_xlfn.XLOOKUP(X740,Pays!A:A,Pays!B:B))</f>
        <v>CH</v>
      </c>
      <c r="K740" t="str">
        <f>IF(COUNTIF(Pays!A:A,X740)=0,"Pays inconnu",_xlfn.XLOOKUP(X740,Pays!A:A,Pays!C:C))</f>
        <v>1_CH</v>
      </c>
      <c r="L740">
        <v>1</v>
      </c>
      <c r="M740">
        <f t="shared" si="22"/>
        <v>0.42</v>
      </c>
      <c r="N740" t="s">
        <v>20</v>
      </c>
      <c r="O740">
        <f>LOOKUP(X740,Pays!A:A,Pays!D:D)</f>
        <v>0</v>
      </c>
      <c r="P740">
        <v>0.15</v>
      </c>
      <c r="Q740">
        <v>0.42</v>
      </c>
      <c r="U740">
        <v>1</v>
      </c>
      <c r="W740">
        <f>IF(COUNTIF(Pays!A:A,X740)=0,"",LOOKUP(X740,Pays!A:A,Pays!E:E))</f>
        <v>0</v>
      </c>
      <c r="X740" s="8" t="s">
        <v>37</v>
      </c>
    </row>
    <row r="741" spans="1:24" x14ac:dyDescent="0.25">
      <c r="A741" t="s">
        <v>1168</v>
      </c>
      <c r="B741" t="s">
        <v>182</v>
      </c>
      <c r="C741" s="1">
        <f t="shared" si="23"/>
        <v>46174</v>
      </c>
      <c r="F741" t="s">
        <v>155</v>
      </c>
      <c r="G741" t="s">
        <v>954</v>
      </c>
      <c r="H741" t="s">
        <v>1830</v>
      </c>
      <c r="I741" t="s">
        <v>18</v>
      </c>
      <c r="J741" t="str">
        <f>IF(COUNTIF(Pays!A:A,X741)=0,"Pays inconnu",_xlfn.XLOOKUP(X741,Pays!A:A,Pays!B:B))</f>
        <v>GB</v>
      </c>
      <c r="K741" t="str">
        <f>IF(COUNTIF(Pays!A:A,X741)=0,"Pays inconnu",_xlfn.XLOOKUP(X741,Pays!A:A,Pays!C:C))</f>
        <v>1_GB</v>
      </c>
      <c r="L741">
        <v>1</v>
      </c>
      <c r="M741">
        <f t="shared" si="22"/>
        <v>0.51</v>
      </c>
      <c r="N741" t="s">
        <v>20</v>
      </c>
      <c r="O741">
        <f>LOOKUP(X741,Pays!A:A,Pays!D:D)</f>
        <v>0</v>
      </c>
      <c r="P741">
        <v>0.15</v>
      </c>
      <c r="Q741">
        <v>0.51</v>
      </c>
      <c r="U741">
        <v>1</v>
      </c>
      <c r="W741">
        <f>IF(COUNTIF(Pays!A:A,X741)=0,"",LOOKUP(X741,Pays!A:A,Pays!E:E))</f>
        <v>0</v>
      </c>
      <c r="X741" s="8" t="s">
        <v>30</v>
      </c>
    </row>
    <row r="742" spans="1:24" x14ac:dyDescent="0.25">
      <c r="A742" t="s">
        <v>1168</v>
      </c>
      <c r="B742" t="s">
        <v>182</v>
      </c>
      <c r="C742" s="1">
        <f t="shared" si="23"/>
        <v>46174</v>
      </c>
      <c r="F742" t="s">
        <v>110</v>
      </c>
      <c r="G742" t="s">
        <v>955</v>
      </c>
      <c r="H742" t="s">
        <v>1564</v>
      </c>
      <c r="I742" t="s">
        <v>18</v>
      </c>
      <c r="J742" t="str">
        <f>IF(COUNTIF(Pays!A:A,X742)=0,"Pays inconnu",_xlfn.XLOOKUP(X742,Pays!A:A,Pays!B:B))</f>
        <v>CH</v>
      </c>
      <c r="K742" t="str">
        <f>IF(COUNTIF(Pays!A:A,X742)=0,"Pays inconnu",_xlfn.XLOOKUP(X742,Pays!A:A,Pays!C:C))</f>
        <v>1_CH</v>
      </c>
      <c r="L742">
        <v>1</v>
      </c>
      <c r="M742">
        <f t="shared" si="22"/>
        <v>0.52</v>
      </c>
      <c r="N742" t="s">
        <v>20</v>
      </c>
      <c r="O742">
        <f>LOOKUP(X742,Pays!A:A,Pays!D:D)</f>
        <v>0</v>
      </c>
      <c r="P742">
        <v>0.15</v>
      </c>
      <c r="Q742">
        <v>0.52</v>
      </c>
      <c r="U742">
        <v>1</v>
      </c>
      <c r="W742">
        <f>IF(COUNTIF(Pays!A:A,X742)=0,"",LOOKUP(X742,Pays!A:A,Pays!E:E))</f>
        <v>0</v>
      </c>
      <c r="X742" s="8" t="s">
        <v>37</v>
      </c>
    </row>
    <row r="743" spans="1:24" x14ac:dyDescent="0.25">
      <c r="A743" t="s">
        <v>1168</v>
      </c>
      <c r="B743" t="s">
        <v>182</v>
      </c>
      <c r="C743" s="1">
        <f t="shared" si="23"/>
        <v>46174</v>
      </c>
      <c r="F743" t="s">
        <v>155</v>
      </c>
      <c r="G743" t="s">
        <v>956</v>
      </c>
      <c r="H743" t="s">
        <v>1831</v>
      </c>
      <c r="I743" t="s">
        <v>18</v>
      </c>
      <c r="J743" t="str">
        <f>IF(COUNTIF(Pays!A:A,X743)=0,"Pays inconnu",_xlfn.XLOOKUP(X743,Pays!A:A,Pays!B:B))</f>
        <v>GB</v>
      </c>
      <c r="K743" t="str">
        <f>IF(COUNTIF(Pays!A:A,X743)=0,"Pays inconnu",_xlfn.XLOOKUP(X743,Pays!A:A,Pays!C:C))</f>
        <v>1_GB</v>
      </c>
      <c r="L743">
        <v>1</v>
      </c>
      <c r="M743">
        <f t="shared" si="22"/>
        <v>0.23</v>
      </c>
      <c r="N743" t="s">
        <v>20</v>
      </c>
      <c r="O743">
        <f>LOOKUP(X743,Pays!A:A,Pays!D:D)</f>
        <v>0</v>
      </c>
      <c r="P743">
        <v>0.15</v>
      </c>
      <c r="Q743">
        <v>0.23</v>
      </c>
      <c r="U743">
        <v>1</v>
      </c>
      <c r="W743">
        <f>IF(COUNTIF(Pays!A:A,X743)=0,"",LOOKUP(X743,Pays!A:A,Pays!E:E))</f>
        <v>0</v>
      </c>
      <c r="X743" s="8" t="s">
        <v>30</v>
      </c>
    </row>
    <row r="744" spans="1:24" x14ac:dyDescent="0.25">
      <c r="A744" t="s">
        <v>1168</v>
      </c>
      <c r="B744" t="s">
        <v>182</v>
      </c>
      <c r="C744" s="1">
        <f t="shared" si="23"/>
        <v>46174</v>
      </c>
      <c r="F744" t="s">
        <v>110</v>
      </c>
      <c r="G744" t="s">
        <v>957</v>
      </c>
      <c r="H744" t="s">
        <v>1428</v>
      </c>
      <c r="I744" t="s">
        <v>18</v>
      </c>
      <c r="J744" t="str">
        <f>IF(COUNTIF(Pays!A:A,X744)=0,"Pays inconnu",_xlfn.XLOOKUP(X744,Pays!A:A,Pays!B:B))</f>
        <v>SE</v>
      </c>
      <c r="K744">
        <f>IF(COUNTIF(Pays!A:A,X744)=0,"Pays inconnu",_xlfn.XLOOKUP(X744,Pays!A:A,Pays!C:C))</f>
        <v>1</v>
      </c>
      <c r="L744">
        <v>1</v>
      </c>
      <c r="M744">
        <f t="shared" si="22"/>
        <v>0.6</v>
      </c>
      <c r="N744" t="s">
        <v>20</v>
      </c>
      <c r="O744">
        <f>LOOKUP(X744,Pays!A:A,Pays!D:D)</f>
        <v>0.2</v>
      </c>
      <c r="P744">
        <v>0.15</v>
      </c>
      <c r="Q744">
        <v>0.6</v>
      </c>
      <c r="U744">
        <v>1</v>
      </c>
      <c r="W744">
        <f>IF(COUNTIF(Pays!A:A,X744)=0,"",LOOKUP(X744,Pays!A:A,Pays!E:E))</f>
        <v>0</v>
      </c>
      <c r="X744" s="8" t="s">
        <v>78</v>
      </c>
    </row>
    <row r="745" spans="1:24" x14ac:dyDescent="0.25">
      <c r="A745" t="s">
        <v>1168</v>
      </c>
      <c r="B745" t="s">
        <v>182</v>
      </c>
      <c r="C745" s="1">
        <f t="shared" si="23"/>
        <v>46174</v>
      </c>
      <c r="F745" t="s">
        <v>155</v>
      </c>
      <c r="G745" t="s">
        <v>958</v>
      </c>
      <c r="H745" t="s">
        <v>1832</v>
      </c>
      <c r="I745" t="s">
        <v>18</v>
      </c>
      <c r="J745" t="str">
        <f>IF(COUNTIF(Pays!A:A,X745)=0,"Pays inconnu",_xlfn.XLOOKUP(X745,Pays!A:A,Pays!B:B))</f>
        <v>CH</v>
      </c>
      <c r="K745" t="str">
        <f>IF(COUNTIF(Pays!A:A,X745)=0,"Pays inconnu",_xlfn.XLOOKUP(X745,Pays!A:A,Pays!C:C))</f>
        <v>1_CH</v>
      </c>
      <c r="L745">
        <v>1</v>
      </c>
      <c r="M745">
        <f t="shared" si="22"/>
        <v>0.15</v>
      </c>
      <c r="N745" t="s">
        <v>20</v>
      </c>
      <c r="O745">
        <f>LOOKUP(X745,Pays!A:A,Pays!D:D)</f>
        <v>0</v>
      </c>
      <c r="P745">
        <v>0.15</v>
      </c>
      <c r="Q745">
        <v>0.09</v>
      </c>
      <c r="U745">
        <v>1</v>
      </c>
      <c r="W745">
        <f>IF(COUNTIF(Pays!A:A,X745)=0,"",LOOKUP(X745,Pays!A:A,Pays!E:E))</f>
        <v>0</v>
      </c>
      <c r="X745" s="8" t="s">
        <v>37</v>
      </c>
    </row>
    <row r="746" spans="1:24" x14ac:dyDescent="0.25">
      <c r="A746" t="s">
        <v>1168</v>
      </c>
      <c r="B746" t="s">
        <v>182</v>
      </c>
      <c r="C746" s="1">
        <f t="shared" si="23"/>
        <v>46174</v>
      </c>
      <c r="F746" t="s">
        <v>155</v>
      </c>
      <c r="G746" t="s">
        <v>959</v>
      </c>
      <c r="H746" t="s">
        <v>1833</v>
      </c>
      <c r="I746" t="s">
        <v>18</v>
      </c>
      <c r="J746" t="str">
        <f>IF(COUNTIF(Pays!A:A,X746)=0,"Pays inconnu",_xlfn.XLOOKUP(X746,Pays!A:A,Pays!B:B))</f>
        <v>GB</v>
      </c>
      <c r="K746" t="str">
        <f>IF(COUNTIF(Pays!A:A,X746)=0,"Pays inconnu",_xlfn.XLOOKUP(X746,Pays!A:A,Pays!C:C))</f>
        <v>1_GB</v>
      </c>
      <c r="L746">
        <v>1</v>
      </c>
      <c r="M746">
        <f t="shared" si="22"/>
        <v>0.23</v>
      </c>
      <c r="N746" t="s">
        <v>20</v>
      </c>
      <c r="O746">
        <f>LOOKUP(X746,Pays!A:A,Pays!D:D)</f>
        <v>0</v>
      </c>
      <c r="P746">
        <v>0.15</v>
      </c>
      <c r="Q746">
        <v>0.23</v>
      </c>
      <c r="U746">
        <v>1</v>
      </c>
      <c r="W746">
        <f>IF(COUNTIF(Pays!A:A,X746)=0,"",LOOKUP(X746,Pays!A:A,Pays!E:E))</f>
        <v>0</v>
      </c>
      <c r="X746" s="8" t="s">
        <v>30</v>
      </c>
    </row>
    <row r="747" spans="1:24" x14ac:dyDescent="0.25">
      <c r="A747" t="s">
        <v>1168</v>
      </c>
      <c r="B747" t="s">
        <v>182</v>
      </c>
      <c r="C747" s="1">
        <f t="shared" si="23"/>
        <v>46174</v>
      </c>
      <c r="F747" t="s">
        <v>155</v>
      </c>
      <c r="G747" t="s">
        <v>960</v>
      </c>
      <c r="H747" t="s">
        <v>1834</v>
      </c>
      <c r="I747" t="s">
        <v>18</v>
      </c>
      <c r="J747" t="str">
        <f>IF(COUNTIF(Pays!A:A,X747)=0,"Pays inconnu",_xlfn.XLOOKUP(X747,Pays!A:A,Pays!B:B))</f>
        <v>CH</v>
      </c>
      <c r="K747" t="str">
        <f>IF(COUNTIF(Pays!A:A,X747)=0,"Pays inconnu",_xlfn.XLOOKUP(X747,Pays!A:A,Pays!C:C))</f>
        <v>1_CH</v>
      </c>
      <c r="L747">
        <v>1</v>
      </c>
      <c r="M747">
        <f t="shared" si="22"/>
        <v>0.24</v>
      </c>
      <c r="N747" t="s">
        <v>20</v>
      </c>
      <c r="O747">
        <f>LOOKUP(X747,Pays!A:A,Pays!D:D)</f>
        <v>0</v>
      </c>
      <c r="P747">
        <v>0.15</v>
      </c>
      <c r="Q747">
        <v>0.24</v>
      </c>
      <c r="U747">
        <v>1</v>
      </c>
      <c r="W747">
        <f>IF(COUNTIF(Pays!A:A,X747)=0,"",LOOKUP(X747,Pays!A:A,Pays!E:E))</f>
        <v>0</v>
      </c>
      <c r="X747" s="8" t="s">
        <v>37</v>
      </c>
    </row>
    <row r="748" spans="1:24" x14ac:dyDescent="0.25">
      <c r="A748" t="s">
        <v>1168</v>
      </c>
      <c r="B748" t="s">
        <v>182</v>
      </c>
      <c r="C748" s="1">
        <f t="shared" si="23"/>
        <v>46174</v>
      </c>
      <c r="F748" t="s">
        <v>155</v>
      </c>
      <c r="G748" t="s">
        <v>961</v>
      </c>
      <c r="H748" t="s">
        <v>1835</v>
      </c>
      <c r="I748" t="s">
        <v>18</v>
      </c>
      <c r="J748" t="str">
        <f>IF(COUNTIF(Pays!A:A,X748)=0,"Pays inconnu",_xlfn.XLOOKUP(X748,Pays!A:A,Pays!B:B))</f>
        <v>CH</v>
      </c>
      <c r="K748" t="str">
        <f>IF(COUNTIF(Pays!A:A,X748)=0,"Pays inconnu",_xlfn.XLOOKUP(X748,Pays!A:A,Pays!C:C))</f>
        <v>1_CH</v>
      </c>
      <c r="L748">
        <v>1</v>
      </c>
      <c r="M748">
        <f t="shared" si="22"/>
        <v>1.26</v>
      </c>
      <c r="N748" t="s">
        <v>20</v>
      </c>
      <c r="O748">
        <f>LOOKUP(X748,Pays!A:A,Pays!D:D)</f>
        <v>0</v>
      </c>
      <c r="P748">
        <v>1.26</v>
      </c>
      <c r="Q748">
        <v>1.26</v>
      </c>
      <c r="U748">
        <v>1</v>
      </c>
      <c r="W748">
        <f>IF(COUNTIF(Pays!A:A,X748)=0,"",LOOKUP(X748,Pays!A:A,Pays!E:E))</f>
        <v>0</v>
      </c>
      <c r="X748" s="8" t="s">
        <v>37</v>
      </c>
    </row>
    <row r="749" spans="1:24" x14ac:dyDescent="0.25">
      <c r="A749" t="s">
        <v>1168</v>
      </c>
      <c r="B749" t="s">
        <v>182</v>
      </c>
      <c r="C749" s="1">
        <f t="shared" si="23"/>
        <v>46174</v>
      </c>
      <c r="F749" t="s">
        <v>155</v>
      </c>
      <c r="G749" t="s">
        <v>962</v>
      </c>
      <c r="H749" t="s">
        <v>1836</v>
      </c>
      <c r="I749" t="s">
        <v>18</v>
      </c>
      <c r="J749" t="str">
        <f>IF(COUNTIF(Pays!A:A,X749)=0,"Pays inconnu",_xlfn.XLOOKUP(X749,Pays!A:A,Pays!B:B))</f>
        <v>GB</v>
      </c>
      <c r="K749" t="str">
        <f>IF(COUNTIF(Pays!A:A,X749)=0,"Pays inconnu",_xlfn.XLOOKUP(X749,Pays!A:A,Pays!C:C))</f>
        <v>1_GB</v>
      </c>
      <c r="L749">
        <v>1</v>
      </c>
      <c r="M749">
        <f t="shared" si="22"/>
        <v>0.35</v>
      </c>
      <c r="N749" t="s">
        <v>20</v>
      </c>
      <c r="O749">
        <f>LOOKUP(X749,Pays!A:A,Pays!D:D)</f>
        <v>0</v>
      </c>
      <c r="P749">
        <v>0.15</v>
      </c>
      <c r="Q749">
        <v>0.35</v>
      </c>
      <c r="U749">
        <v>1</v>
      </c>
      <c r="W749">
        <f>IF(COUNTIF(Pays!A:A,X749)=0,"",LOOKUP(X749,Pays!A:A,Pays!E:E))</f>
        <v>0</v>
      </c>
      <c r="X749" s="8" t="s">
        <v>30</v>
      </c>
    </row>
    <row r="750" spans="1:24" x14ac:dyDescent="0.25">
      <c r="A750" t="s">
        <v>1168</v>
      </c>
      <c r="B750" t="s">
        <v>182</v>
      </c>
      <c r="C750" s="1">
        <f t="shared" si="23"/>
        <v>46174</v>
      </c>
      <c r="F750" t="s">
        <v>110</v>
      </c>
      <c r="G750" t="s">
        <v>963</v>
      </c>
      <c r="H750" t="s">
        <v>1837</v>
      </c>
      <c r="I750" t="s">
        <v>18</v>
      </c>
      <c r="J750" t="str">
        <f>IF(COUNTIF(Pays!A:A,X750)=0,"Pays inconnu",_xlfn.XLOOKUP(X750,Pays!A:A,Pays!B:B))</f>
        <v>CH</v>
      </c>
      <c r="K750" t="str">
        <f>IF(COUNTIF(Pays!A:A,X750)=0,"Pays inconnu",_xlfn.XLOOKUP(X750,Pays!A:A,Pays!C:C))</f>
        <v>1_CH</v>
      </c>
      <c r="L750">
        <v>1</v>
      </c>
      <c r="M750">
        <f t="shared" si="22"/>
        <v>0.36</v>
      </c>
      <c r="N750" t="s">
        <v>20</v>
      </c>
      <c r="O750">
        <f>LOOKUP(X750,Pays!A:A,Pays!D:D)</f>
        <v>0</v>
      </c>
      <c r="P750">
        <v>0.15</v>
      </c>
      <c r="Q750">
        <v>0.36</v>
      </c>
      <c r="U750">
        <v>1</v>
      </c>
      <c r="W750">
        <f>IF(COUNTIF(Pays!A:A,X750)=0,"",LOOKUP(X750,Pays!A:A,Pays!E:E))</f>
        <v>0</v>
      </c>
      <c r="X750" s="8" t="s">
        <v>37</v>
      </c>
    </row>
    <row r="751" spans="1:24" x14ac:dyDescent="0.25">
      <c r="A751" t="s">
        <v>1168</v>
      </c>
      <c r="B751" t="s">
        <v>182</v>
      </c>
      <c r="C751" s="1">
        <f t="shared" si="23"/>
        <v>46174</v>
      </c>
      <c r="F751" t="s">
        <v>155</v>
      </c>
      <c r="G751" t="s">
        <v>964</v>
      </c>
      <c r="H751" t="s">
        <v>1838</v>
      </c>
      <c r="I751" t="s">
        <v>18</v>
      </c>
      <c r="J751" t="str">
        <f>IF(COUNTIF(Pays!A:A,X751)=0,"Pays inconnu",_xlfn.XLOOKUP(X751,Pays!A:A,Pays!B:B))</f>
        <v>GB</v>
      </c>
      <c r="K751" t="str">
        <f>IF(COUNTIF(Pays!A:A,X751)=0,"Pays inconnu",_xlfn.XLOOKUP(X751,Pays!A:A,Pays!C:C))</f>
        <v>1_GB</v>
      </c>
      <c r="L751">
        <v>1</v>
      </c>
      <c r="M751">
        <f t="shared" si="22"/>
        <v>0.15</v>
      </c>
      <c r="N751" t="s">
        <v>20</v>
      </c>
      <c r="O751">
        <f>LOOKUP(X751,Pays!A:A,Pays!D:D)</f>
        <v>0</v>
      </c>
      <c r="P751">
        <v>0.15</v>
      </c>
      <c r="Q751">
        <v>0.13</v>
      </c>
      <c r="U751">
        <v>1</v>
      </c>
      <c r="W751">
        <f>IF(COUNTIF(Pays!A:A,X751)=0,"",LOOKUP(X751,Pays!A:A,Pays!E:E))</f>
        <v>0</v>
      </c>
      <c r="X751" s="8" t="s">
        <v>30</v>
      </c>
    </row>
    <row r="752" spans="1:24" x14ac:dyDescent="0.25">
      <c r="A752" t="s">
        <v>1168</v>
      </c>
      <c r="B752" t="s">
        <v>182</v>
      </c>
      <c r="C752" s="1">
        <f t="shared" si="23"/>
        <v>46174</v>
      </c>
      <c r="F752" t="s">
        <v>110</v>
      </c>
      <c r="G752" t="s">
        <v>965</v>
      </c>
      <c r="H752" t="s">
        <v>1839</v>
      </c>
      <c r="I752" t="s">
        <v>18</v>
      </c>
      <c r="J752" t="str">
        <f>IF(COUNTIF(Pays!A:A,X752)=0,"Pays inconnu",_xlfn.XLOOKUP(X752,Pays!A:A,Pays!B:B))</f>
        <v>GB</v>
      </c>
      <c r="K752" t="str">
        <f>IF(COUNTIF(Pays!A:A,X752)=0,"Pays inconnu",_xlfn.XLOOKUP(X752,Pays!A:A,Pays!C:C))</f>
        <v>1_GB</v>
      </c>
      <c r="L752">
        <v>1</v>
      </c>
      <c r="M752">
        <f t="shared" si="22"/>
        <v>0.15</v>
      </c>
      <c r="N752" t="s">
        <v>20</v>
      </c>
      <c r="O752">
        <f>LOOKUP(X752,Pays!A:A,Pays!D:D)</f>
        <v>0</v>
      </c>
      <c r="P752">
        <v>0.15</v>
      </c>
      <c r="Q752">
        <v>0.06</v>
      </c>
      <c r="U752">
        <v>1</v>
      </c>
      <c r="W752">
        <f>IF(COUNTIF(Pays!A:A,X752)=0,"",LOOKUP(X752,Pays!A:A,Pays!E:E))</f>
        <v>0</v>
      </c>
      <c r="X752" s="8" t="s">
        <v>30</v>
      </c>
    </row>
    <row r="753" spans="1:24" x14ac:dyDescent="0.25">
      <c r="A753" t="s">
        <v>1168</v>
      </c>
      <c r="B753" t="s">
        <v>182</v>
      </c>
      <c r="C753" s="1">
        <f t="shared" si="23"/>
        <v>46174</v>
      </c>
      <c r="F753" t="s">
        <v>155</v>
      </c>
      <c r="G753" t="s">
        <v>966</v>
      </c>
      <c r="H753" t="s">
        <v>1840</v>
      </c>
      <c r="I753" t="s">
        <v>18</v>
      </c>
      <c r="J753" t="str">
        <f>IF(COUNTIF(Pays!A:A,X753)=0,"Pays inconnu",_xlfn.XLOOKUP(X753,Pays!A:A,Pays!B:B))</f>
        <v>CH</v>
      </c>
      <c r="K753" t="str">
        <f>IF(COUNTIF(Pays!A:A,X753)=0,"Pays inconnu",_xlfn.XLOOKUP(X753,Pays!A:A,Pays!C:C))</f>
        <v>1_CH</v>
      </c>
      <c r="L753">
        <v>1</v>
      </c>
      <c r="M753">
        <f t="shared" si="22"/>
        <v>0.15</v>
      </c>
      <c r="N753" t="s">
        <v>20</v>
      </c>
      <c r="O753">
        <f>LOOKUP(X753,Pays!A:A,Pays!D:D)</f>
        <v>0</v>
      </c>
      <c r="P753">
        <v>0.15</v>
      </c>
      <c r="Q753">
        <v>0.02</v>
      </c>
      <c r="U753">
        <v>1</v>
      </c>
      <c r="W753">
        <f>IF(COUNTIF(Pays!A:A,X753)=0,"",LOOKUP(X753,Pays!A:A,Pays!E:E))</f>
        <v>0</v>
      </c>
      <c r="X753" s="8" t="s">
        <v>37</v>
      </c>
    </row>
    <row r="754" spans="1:24" x14ac:dyDescent="0.25">
      <c r="A754" t="s">
        <v>1168</v>
      </c>
      <c r="B754" t="s">
        <v>182</v>
      </c>
      <c r="C754" s="1">
        <f t="shared" si="23"/>
        <v>46174</v>
      </c>
      <c r="F754" t="s">
        <v>155</v>
      </c>
      <c r="G754" t="s">
        <v>967</v>
      </c>
      <c r="H754" t="s">
        <v>1841</v>
      </c>
      <c r="I754" t="s">
        <v>18</v>
      </c>
      <c r="J754" t="str">
        <f>IF(COUNTIF(Pays!A:A,X754)=0,"Pays inconnu",_xlfn.XLOOKUP(X754,Pays!A:A,Pays!B:B))</f>
        <v>GB</v>
      </c>
      <c r="K754" t="str">
        <f>IF(COUNTIF(Pays!A:A,X754)=0,"Pays inconnu",_xlfn.XLOOKUP(X754,Pays!A:A,Pays!C:C))</f>
        <v>1_GB</v>
      </c>
      <c r="L754">
        <v>1</v>
      </c>
      <c r="M754">
        <f t="shared" si="22"/>
        <v>0.25</v>
      </c>
      <c r="N754" t="s">
        <v>20</v>
      </c>
      <c r="O754">
        <f>LOOKUP(X754,Pays!A:A,Pays!D:D)</f>
        <v>0</v>
      </c>
      <c r="P754">
        <v>0.15</v>
      </c>
      <c r="Q754">
        <v>0.25</v>
      </c>
      <c r="U754">
        <v>1</v>
      </c>
      <c r="W754">
        <f>IF(COUNTIF(Pays!A:A,X754)=0,"",LOOKUP(X754,Pays!A:A,Pays!E:E))</f>
        <v>0</v>
      </c>
      <c r="X754" s="8" t="s">
        <v>30</v>
      </c>
    </row>
    <row r="755" spans="1:24" x14ac:dyDescent="0.25">
      <c r="A755" t="s">
        <v>1168</v>
      </c>
      <c r="B755" t="s">
        <v>182</v>
      </c>
      <c r="C755" s="1">
        <f t="shared" si="23"/>
        <v>46174</v>
      </c>
      <c r="F755" t="s">
        <v>181</v>
      </c>
      <c r="G755" t="s">
        <v>968</v>
      </c>
      <c r="H755" t="s">
        <v>203</v>
      </c>
      <c r="I755" t="s">
        <v>18</v>
      </c>
      <c r="J755" t="str">
        <f>IF(COUNTIF(Pays!A:A,X755)=0,"Pays inconnu",_xlfn.XLOOKUP(X755,Pays!A:A,Pays!B:B))</f>
        <v>CH</v>
      </c>
      <c r="K755" t="str">
        <f>IF(COUNTIF(Pays!A:A,X755)=0,"Pays inconnu",_xlfn.XLOOKUP(X755,Pays!A:A,Pays!C:C))</f>
        <v>1_CH</v>
      </c>
      <c r="L755">
        <v>1</v>
      </c>
      <c r="M755">
        <f t="shared" si="22"/>
        <v>0.35</v>
      </c>
      <c r="N755" t="s">
        <v>20</v>
      </c>
      <c r="O755">
        <f>LOOKUP(X755,Pays!A:A,Pays!D:D)</f>
        <v>0</v>
      </c>
      <c r="P755">
        <v>0.15</v>
      </c>
      <c r="Q755">
        <v>0.35</v>
      </c>
      <c r="U755">
        <v>1</v>
      </c>
      <c r="W755">
        <f>IF(COUNTIF(Pays!A:A,X755)=0,"",LOOKUP(X755,Pays!A:A,Pays!E:E))</f>
        <v>0</v>
      </c>
      <c r="X755" s="8" t="s">
        <v>37</v>
      </c>
    </row>
    <row r="756" spans="1:24" x14ac:dyDescent="0.25">
      <c r="A756" t="s">
        <v>1168</v>
      </c>
      <c r="B756" t="s">
        <v>182</v>
      </c>
      <c r="C756" s="1">
        <f t="shared" si="23"/>
        <v>46174</v>
      </c>
      <c r="F756" t="s">
        <v>155</v>
      </c>
      <c r="G756" t="s">
        <v>969</v>
      </c>
      <c r="H756" t="s">
        <v>1842</v>
      </c>
      <c r="I756" t="s">
        <v>18</v>
      </c>
      <c r="J756" t="str">
        <f>IF(COUNTIF(Pays!A:A,X756)=0,"Pays inconnu",_xlfn.XLOOKUP(X756,Pays!A:A,Pays!B:B))</f>
        <v>GB</v>
      </c>
      <c r="K756" t="str">
        <f>IF(COUNTIF(Pays!A:A,X756)=0,"Pays inconnu",_xlfn.XLOOKUP(X756,Pays!A:A,Pays!C:C))</f>
        <v>1_GB</v>
      </c>
      <c r="L756">
        <v>1</v>
      </c>
      <c r="M756">
        <f t="shared" si="22"/>
        <v>0.32</v>
      </c>
      <c r="N756" t="s">
        <v>20</v>
      </c>
      <c r="O756">
        <f>LOOKUP(X756,Pays!A:A,Pays!D:D)</f>
        <v>0</v>
      </c>
      <c r="P756">
        <v>0.15</v>
      </c>
      <c r="Q756">
        <v>0.32</v>
      </c>
      <c r="U756">
        <v>1</v>
      </c>
      <c r="W756">
        <f>IF(COUNTIF(Pays!A:A,X756)=0,"",LOOKUP(X756,Pays!A:A,Pays!E:E))</f>
        <v>0</v>
      </c>
      <c r="X756" s="8" t="s">
        <v>30</v>
      </c>
    </row>
    <row r="757" spans="1:24" x14ac:dyDescent="0.25">
      <c r="A757" t="s">
        <v>1168</v>
      </c>
      <c r="B757" t="s">
        <v>182</v>
      </c>
      <c r="C757" s="1">
        <f t="shared" si="23"/>
        <v>46174</v>
      </c>
      <c r="F757" t="s">
        <v>155</v>
      </c>
      <c r="G757" t="s">
        <v>970</v>
      </c>
      <c r="H757" t="s">
        <v>1843</v>
      </c>
      <c r="I757" t="s">
        <v>18</v>
      </c>
      <c r="J757" t="str">
        <f>IF(COUNTIF(Pays!A:A,X757)=0,"Pays inconnu",_xlfn.XLOOKUP(X757,Pays!A:A,Pays!B:B))</f>
        <v>GB</v>
      </c>
      <c r="K757" t="str">
        <f>IF(COUNTIF(Pays!A:A,X757)=0,"Pays inconnu",_xlfn.XLOOKUP(X757,Pays!A:A,Pays!C:C))</f>
        <v>1_GB</v>
      </c>
      <c r="L757">
        <v>1</v>
      </c>
      <c r="M757">
        <f t="shared" si="22"/>
        <v>0.15</v>
      </c>
      <c r="N757" t="s">
        <v>20</v>
      </c>
      <c r="O757">
        <f>LOOKUP(X757,Pays!A:A,Pays!D:D)</f>
        <v>0</v>
      </c>
      <c r="P757">
        <v>0.15</v>
      </c>
      <c r="Q757">
        <v>0.08</v>
      </c>
      <c r="U757">
        <v>1</v>
      </c>
      <c r="W757">
        <f>IF(COUNTIF(Pays!A:A,X757)=0,"",LOOKUP(X757,Pays!A:A,Pays!E:E))</f>
        <v>0</v>
      </c>
      <c r="X757" s="8" t="s">
        <v>30</v>
      </c>
    </row>
    <row r="758" spans="1:24" x14ac:dyDescent="0.25">
      <c r="A758" t="s">
        <v>1168</v>
      </c>
      <c r="B758" t="s">
        <v>182</v>
      </c>
      <c r="C758" s="1">
        <f t="shared" si="23"/>
        <v>46174</v>
      </c>
      <c r="F758" t="s">
        <v>155</v>
      </c>
      <c r="G758" t="s">
        <v>971</v>
      </c>
      <c r="H758" t="s">
        <v>1844</v>
      </c>
      <c r="I758" t="s">
        <v>18</v>
      </c>
      <c r="J758" t="str">
        <f>IF(COUNTIF(Pays!A:A,X758)=0,"Pays inconnu",_xlfn.XLOOKUP(X758,Pays!A:A,Pays!B:B))</f>
        <v>CH</v>
      </c>
      <c r="K758" t="str">
        <f>IF(COUNTIF(Pays!A:A,X758)=0,"Pays inconnu",_xlfn.XLOOKUP(X758,Pays!A:A,Pays!C:C))</f>
        <v>1_CH</v>
      </c>
      <c r="L758">
        <v>1</v>
      </c>
      <c r="M758">
        <f t="shared" si="22"/>
        <v>0.42</v>
      </c>
      <c r="N758" t="s">
        <v>20</v>
      </c>
      <c r="O758">
        <f>LOOKUP(X758,Pays!A:A,Pays!D:D)</f>
        <v>0</v>
      </c>
      <c r="P758">
        <v>0.15</v>
      </c>
      <c r="Q758">
        <v>0.42</v>
      </c>
      <c r="U758">
        <v>1</v>
      </c>
      <c r="W758">
        <f>IF(COUNTIF(Pays!A:A,X758)=0,"",LOOKUP(X758,Pays!A:A,Pays!E:E))</f>
        <v>0</v>
      </c>
      <c r="X758" s="8" t="s">
        <v>37</v>
      </c>
    </row>
    <row r="759" spans="1:24" x14ac:dyDescent="0.25">
      <c r="A759" t="s">
        <v>1168</v>
      </c>
      <c r="B759" t="s">
        <v>182</v>
      </c>
      <c r="C759" s="1">
        <f t="shared" si="23"/>
        <v>46174</v>
      </c>
      <c r="F759" t="s">
        <v>110</v>
      </c>
      <c r="G759" t="s">
        <v>972</v>
      </c>
      <c r="H759" t="s">
        <v>178</v>
      </c>
      <c r="I759" t="s">
        <v>18</v>
      </c>
      <c r="J759" t="str">
        <f>IF(COUNTIF(Pays!A:A,X759)=0,"Pays inconnu",_xlfn.XLOOKUP(X759,Pays!A:A,Pays!B:B))</f>
        <v>SI</v>
      </c>
      <c r="K759">
        <f>IF(COUNTIF(Pays!A:A,X759)=0,"Pays inconnu",_xlfn.XLOOKUP(X759,Pays!A:A,Pays!C:C))</f>
        <v>1</v>
      </c>
      <c r="L759">
        <v>1</v>
      </c>
      <c r="M759">
        <f t="shared" si="22"/>
        <v>1.1499999999999999</v>
      </c>
      <c r="N759" t="s">
        <v>20</v>
      </c>
      <c r="O759">
        <f>LOOKUP(X759,Pays!A:A,Pays!D:D)</f>
        <v>0.2</v>
      </c>
      <c r="P759">
        <v>0.15</v>
      </c>
      <c r="Q759">
        <v>1.1499999999999999</v>
      </c>
      <c r="U759">
        <v>1</v>
      </c>
      <c r="W759">
        <f>IF(COUNTIF(Pays!A:A,X759)=0,"",LOOKUP(X759,Pays!A:A,Pays!E:E))</f>
        <v>0</v>
      </c>
      <c r="X759" s="8" t="s">
        <v>135</v>
      </c>
    </row>
    <row r="760" spans="1:24" x14ac:dyDescent="0.25">
      <c r="A760" t="s">
        <v>1168</v>
      </c>
      <c r="B760" t="s">
        <v>182</v>
      </c>
      <c r="C760" s="1">
        <f t="shared" si="23"/>
        <v>46174</v>
      </c>
      <c r="F760" t="s">
        <v>110</v>
      </c>
      <c r="G760" t="s">
        <v>973</v>
      </c>
      <c r="H760" t="s">
        <v>1845</v>
      </c>
      <c r="I760" t="s">
        <v>18</v>
      </c>
      <c r="J760" t="str">
        <f>IF(COUNTIF(Pays!A:A,X760)=0,"Pays inconnu",_xlfn.XLOOKUP(X760,Pays!A:A,Pays!B:B))</f>
        <v>GR</v>
      </c>
      <c r="K760">
        <f>IF(COUNTIF(Pays!A:A,X760)=0,"Pays inconnu",_xlfn.XLOOKUP(X760,Pays!A:A,Pays!C:C))</f>
        <v>1</v>
      </c>
      <c r="L760">
        <v>1</v>
      </c>
      <c r="M760">
        <f t="shared" si="22"/>
        <v>0.65</v>
      </c>
      <c r="N760" t="s">
        <v>20</v>
      </c>
      <c r="O760">
        <f>LOOKUP(X760,Pays!A:A,Pays!D:D)</f>
        <v>0.2</v>
      </c>
      <c r="P760">
        <v>0.15</v>
      </c>
      <c r="Q760">
        <v>0.65</v>
      </c>
      <c r="U760">
        <v>1</v>
      </c>
      <c r="W760">
        <f>IF(COUNTIF(Pays!A:A,X760)=0,"",LOOKUP(X760,Pays!A:A,Pays!E:E))</f>
        <v>0</v>
      </c>
      <c r="X760" s="8" t="s">
        <v>73</v>
      </c>
    </row>
    <row r="761" spans="1:24" x14ac:dyDescent="0.25">
      <c r="A761" t="s">
        <v>1168</v>
      </c>
      <c r="B761" t="s">
        <v>182</v>
      </c>
      <c r="C761" s="1">
        <f t="shared" si="23"/>
        <v>46174</v>
      </c>
      <c r="F761" t="s">
        <v>155</v>
      </c>
      <c r="G761" t="s">
        <v>974</v>
      </c>
      <c r="H761" t="s">
        <v>1846</v>
      </c>
      <c r="I761" t="s">
        <v>18</v>
      </c>
      <c r="J761" t="str">
        <f>IF(COUNTIF(Pays!A:A,X761)=0,"Pays inconnu",_xlfn.XLOOKUP(X761,Pays!A:A,Pays!B:B))</f>
        <v>IE</v>
      </c>
      <c r="K761">
        <f>IF(COUNTIF(Pays!A:A,X761)=0,"Pays inconnu",_xlfn.XLOOKUP(X761,Pays!A:A,Pays!C:C))</f>
        <v>1</v>
      </c>
      <c r="L761">
        <v>1</v>
      </c>
      <c r="M761">
        <f t="shared" si="22"/>
        <v>0.38</v>
      </c>
      <c r="N761" t="s">
        <v>20</v>
      </c>
      <c r="O761">
        <f>LOOKUP(X761,Pays!A:A,Pays!D:D)</f>
        <v>0.2</v>
      </c>
      <c r="P761">
        <v>0.15</v>
      </c>
      <c r="Q761">
        <v>0.38</v>
      </c>
      <c r="U761">
        <v>1</v>
      </c>
      <c r="W761">
        <f>IF(COUNTIF(Pays!A:A,X761)=0,"",LOOKUP(X761,Pays!A:A,Pays!E:E))</f>
        <v>0</v>
      </c>
      <c r="X761" s="8" t="s">
        <v>36</v>
      </c>
    </row>
    <row r="762" spans="1:24" x14ac:dyDescent="0.25">
      <c r="A762" t="s">
        <v>1168</v>
      </c>
      <c r="B762" t="s">
        <v>182</v>
      </c>
      <c r="C762" s="1">
        <f t="shared" si="23"/>
        <v>46174</v>
      </c>
      <c r="F762" t="s">
        <v>155</v>
      </c>
      <c r="G762" t="s">
        <v>975</v>
      </c>
      <c r="H762" t="s">
        <v>1847</v>
      </c>
      <c r="I762" t="s">
        <v>18</v>
      </c>
      <c r="J762" t="str">
        <f>IF(COUNTIF(Pays!A:A,X762)=0,"Pays inconnu",_xlfn.XLOOKUP(X762,Pays!A:A,Pays!B:B))</f>
        <v>BE</v>
      </c>
      <c r="K762" t="str">
        <f>IF(COUNTIF(Pays!A:A,X762)=0,"Pays inconnu",_xlfn.XLOOKUP(X762,Pays!A:A,Pays!C:C))</f>
        <v>1_BE</v>
      </c>
      <c r="L762">
        <v>1</v>
      </c>
      <c r="M762">
        <f t="shared" si="22"/>
        <v>0.42</v>
      </c>
      <c r="N762" t="s">
        <v>20</v>
      </c>
      <c r="O762">
        <f>LOOKUP(X762,Pays!A:A,Pays!D:D)</f>
        <v>0.2</v>
      </c>
      <c r="P762">
        <v>0.15</v>
      </c>
      <c r="Q762">
        <v>0.42</v>
      </c>
      <c r="U762">
        <v>1</v>
      </c>
      <c r="W762">
        <f>IF(COUNTIF(Pays!A:A,X762)=0,"",LOOKUP(X762,Pays!A:A,Pays!E:E))</f>
        <v>0</v>
      </c>
      <c r="X762" s="8" t="s">
        <v>28</v>
      </c>
    </row>
    <row r="763" spans="1:24" x14ac:dyDescent="0.25">
      <c r="A763" t="s">
        <v>1168</v>
      </c>
      <c r="B763" t="s">
        <v>182</v>
      </c>
      <c r="C763" s="1">
        <f t="shared" si="23"/>
        <v>46174</v>
      </c>
      <c r="F763" t="s">
        <v>155</v>
      </c>
      <c r="G763" t="s">
        <v>976</v>
      </c>
      <c r="H763" t="s">
        <v>1848</v>
      </c>
      <c r="I763" t="s">
        <v>18</v>
      </c>
      <c r="J763" t="str">
        <f>IF(COUNTIF(Pays!A:A,X763)=0,"Pays inconnu",_xlfn.XLOOKUP(X763,Pays!A:A,Pays!B:B))</f>
        <v>AT</v>
      </c>
      <c r="K763">
        <f>IF(COUNTIF(Pays!A:A,X763)=0,"Pays inconnu",_xlfn.XLOOKUP(X763,Pays!A:A,Pays!C:C))</f>
        <v>1</v>
      </c>
      <c r="L763">
        <v>1</v>
      </c>
      <c r="M763">
        <f t="shared" si="22"/>
        <v>0.47</v>
      </c>
      <c r="N763" t="s">
        <v>20</v>
      </c>
      <c r="O763">
        <f>LOOKUP(X763,Pays!A:A,Pays!D:D)</f>
        <v>0.2</v>
      </c>
      <c r="P763">
        <v>0.15</v>
      </c>
      <c r="Q763">
        <v>0.47</v>
      </c>
      <c r="U763">
        <v>1</v>
      </c>
      <c r="W763">
        <f>IF(COUNTIF(Pays!A:A,X763)=0,"",LOOKUP(X763,Pays!A:A,Pays!E:E))</f>
        <v>0</v>
      </c>
      <c r="X763" s="8" t="s">
        <v>43</v>
      </c>
    </row>
    <row r="764" spans="1:24" x14ac:dyDescent="0.25">
      <c r="A764" t="s">
        <v>1168</v>
      </c>
      <c r="B764" t="s">
        <v>182</v>
      </c>
      <c r="C764" s="1">
        <f t="shared" si="23"/>
        <v>46174</v>
      </c>
      <c r="F764" t="s">
        <v>110</v>
      </c>
      <c r="G764" t="s">
        <v>977</v>
      </c>
      <c r="H764" t="s">
        <v>1849</v>
      </c>
      <c r="I764" t="s">
        <v>18</v>
      </c>
      <c r="J764" t="str">
        <f>IF(COUNTIF(Pays!A:A,X764)=0,"Pays inconnu",_xlfn.XLOOKUP(X764,Pays!A:A,Pays!B:B))</f>
        <v>CH</v>
      </c>
      <c r="K764" t="str">
        <f>IF(COUNTIF(Pays!A:A,X764)=0,"Pays inconnu",_xlfn.XLOOKUP(X764,Pays!A:A,Pays!C:C))</f>
        <v>1_CH</v>
      </c>
      <c r="L764">
        <v>1</v>
      </c>
      <c r="M764">
        <f t="shared" si="22"/>
        <v>0.32</v>
      </c>
      <c r="N764" t="s">
        <v>20</v>
      </c>
      <c r="O764">
        <f>LOOKUP(X764,Pays!A:A,Pays!D:D)</f>
        <v>0</v>
      </c>
      <c r="P764">
        <v>0.15</v>
      </c>
      <c r="Q764">
        <v>0.32</v>
      </c>
      <c r="U764">
        <v>1</v>
      </c>
      <c r="W764">
        <f>IF(COUNTIF(Pays!A:A,X764)=0,"",LOOKUP(X764,Pays!A:A,Pays!E:E))</f>
        <v>0</v>
      </c>
      <c r="X764" s="8" t="s">
        <v>37</v>
      </c>
    </row>
    <row r="765" spans="1:24" x14ac:dyDescent="0.25">
      <c r="A765" t="s">
        <v>1168</v>
      </c>
      <c r="B765" t="s">
        <v>182</v>
      </c>
      <c r="C765" s="1">
        <f t="shared" si="23"/>
        <v>46174</v>
      </c>
      <c r="F765" t="s">
        <v>155</v>
      </c>
      <c r="G765" t="s">
        <v>978</v>
      </c>
      <c r="H765" t="s">
        <v>1850</v>
      </c>
      <c r="I765" t="s">
        <v>18</v>
      </c>
      <c r="J765" t="str">
        <f>IF(COUNTIF(Pays!A:A,X765)=0,"Pays inconnu",_xlfn.XLOOKUP(X765,Pays!A:A,Pays!B:B))</f>
        <v>CH</v>
      </c>
      <c r="K765" t="str">
        <f>IF(COUNTIF(Pays!A:A,X765)=0,"Pays inconnu",_xlfn.XLOOKUP(X765,Pays!A:A,Pays!C:C))</f>
        <v>1_CH</v>
      </c>
      <c r="L765">
        <v>1</v>
      </c>
      <c r="M765">
        <f t="shared" si="22"/>
        <v>0.43</v>
      </c>
      <c r="N765" t="s">
        <v>20</v>
      </c>
      <c r="O765">
        <f>LOOKUP(X765,Pays!A:A,Pays!D:D)</f>
        <v>0</v>
      </c>
      <c r="P765">
        <v>0.15</v>
      </c>
      <c r="Q765">
        <v>0.43</v>
      </c>
      <c r="U765">
        <v>1</v>
      </c>
      <c r="W765">
        <f>IF(COUNTIF(Pays!A:A,X765)=0,"",LOOKUP(X765,Pays!A:A,Pays!E:E))</f>
        <v>0</v>
      </c>
      <c r="X765" s="8" t="s">
        <v>37</v>
      </c>
    </row>
    <row r="766" spans="1:24" x14ac:dyDescent="0.25">
      <c r="A766" t="s">
        <v>1168</v>
      </c>
      <c r="B766" t="s">
        <v>182</v>
      </c>
      <c r="C766" s="1">
        <f t="shared" si="23"/>
        <v>46174</v>
      </c>
      <c r="F766" t="s">
        <v>155</v>
      </c>
      <c r="G766" t="s">
        <v>979</v>
      </c>
      <c r="H766" t="s">
        <v>1851</v>
      </c>
      <c r="I766" t="s">
        <v>18</v>
      </c>
      <c r="J766" t="str">
        <f>IF(COUNTIF(Pays!A:A,X766)=0,"Pays inconnu",_xlfn.XLOOKUP(X766,Pays!A:A,Pays!B:B))</f>
        <v>BE</v>
      </c>
      <c r="K766" t="str">
        <f>IF(COUNTIF(Pays!A:A,X766)=0,"Pays inconnu",_xlfn.XLOOKUP(X766,Pays!A:A,Pays!C:C))</f>
        <v>1_BE</v>
      </c>
      <c r="L766">
        <v>1</v>
      </c>
      <c r="M766">
        <f t="shared" si="22"/>
        <v>0.42</v>
      </c>
      <c r="N766" t="s">
        <v>20</v>
      </c>
      <c r="O766">
        <f>LOOKUP(X766,Pays!A:A,Pays!D:D)</f>
        <v>0.2</v>
      </c>
      <c r="P766">
        <v>0.15</v>
      </c>
      <c r="Q766">
        <v>0.42</v>
      </c>
      <c r="U766">
        <v>1</v>
      </c>
      <c r="W766">
        <f>IF(COUNTIF(Pays!A:A,X766)=0,"",LOOKUP(X766,Pays!A:A,Pays!E:E))</f>
        <v>0</v>
      </c>
      <c r="X766" s="8" t="s">
        <v>28</v>
      </c>
    </row>
    <row r="767" spans="1:24" x14ac:dyDescent="0.25">
      <c r="A767" t="s">
        <v>1168</v>
      </c>
      <c r="B767" t="s">
        <v>182</v>
      </c>
      <c r="C767" s="1">
        <f t="shared" si="23"/>
        <v>46174</v>
      </c>
      <c r="F767" t="s">
        <v>110</v>
      </c>
      <c r="G767" t="s">
        <v>980</v>
      </c>
      <c r="H767" t="s">
        <v>1852</v>
      </c>
      <c r="I767" t="s">
        <v>18</v>
      </c>
      <c r="J767" t="str">
        <f>IF(COUNTIF(Pays!A:A,X767)=0,"Pays inconnu",_xlfn.XLOOKUP(X767,Pays!A:A,Pays!B:B))</f>
        <v>CH</v>
      </c>
      <c r="K767" t="str">
        <f>IF(COUNTIF(Pays!A:A,X767)=0,"Pays inconnu",_xlfn.XLOOKUP(X767,Pays!A:A,Pays!C:C))</f>
        <v>1_CH</v>
      </c>
      <c r="L767">
        <v>1</v>
      </c>
      <c r="M767">
        <f t="shared" si="22"/>
        <v>1.23</v>
      </c>
      <c r="N767" t="s">
        <v>20</v>
      </c>
      <c r="O767">
        <f>LOOKUP(X767,Pays!A:A,Pays!D:D)</f>
        <v>0</v>
      </c>
      <c r="P767">
        <v>0.15</v>
      </c>
      <c r="Q767">
        <v>1.23</v>
      </c>
      <c r="U767">
        <v>1</v>
      </c>
      <c r="W767">
        <f>IF(COUNTIF(Pays!A:A,X767)=0,"",LOOKUP(X767,Pays!A:A,Pays!E:E))</f>
        <v>0</v>
      </c>
      <c r="X767" s="8" t="s">
        <v>37</v>
      </c>
    </row>
    <row r="768" spans="1:24" x14ac:dyDescent="0.25">
      <c r="A768" t="s">
        <v>1168</v>
      </c>
      <c r="B768" t="s">
        <v>182</v>
      </c>
      <c r="C768" s="1">
        <f t="shared" si="23"/>
        <v>46174</v>
      </c>
      <c r="F768" t="s">
        <v>155</v>
      </c>
      <c r="G768" t="s">
        <v>981</v>
      </c>
      <c r="H768" t="s">
        <v>1853</v>
      </c>
      <c r="I768" t="s">
        <v>18</v>
      </c>
      <c r="J768" t="str">
        <f>IF(COUNTIF(Pays!A:A,X768)=0,"Pays inconnu",_xlfn.XLOOKUP(X768,Pays!A:A,Pays!B:B))</f>
        <v>BE</v>
      </c>
      <c r="K768" t="str">
        <f>IF(COUNTIF(Pays!A:A,X768)=0,"Pays inconnu",_xlfn.XLOOKUP(X768,Pays!A:A,Pays!C:C))</f>
        <v>1_BE</v>
      </c>
      <c r="L768">
        <v>1</v>
      </c>
      <c r="M768">
        <f t="shared" si="22"/>
        <v>0.42</v>
      </c>
      <c r="N768" t="s">
        <v>20</v>
      </c>
      <c r="O768">
        <f>LOOKUP(X768,Pays!A:A,Pays!D:D)</f>
        <v>0.2</v>
      </c>
      <c r="P768">
        <v>0.15</v>
      </c>
      <c r="Q768">
        <v>0.42</v>
      </c>
      <c r="U768">
        <v>1</v>
      </c>
      <c r="W768">
        <f>IF(COUNTIF(Pays!A:A,X768)=0,"",LOOKUP(X768,Pays!A:A,Pays!E:E))</f>
        <v>0</v>
      </c>
      <c r="X768" s="8" t="s">
        <v>28</v>
      </c>
    </row>
    <row r="769" spans="1:24" x14ac:dyDescent="0.25">
      <c r="A769" t="s">
        <v>1168</v>
      </c>
      <c r="B769" t="s">
        <v>182</v>
      </c>
      <c r="C769" s="1">
        <f t="shared" si="23"/>
        <v>46174</v>
      </c>
      <c r="F769" t="s">
        <v>155</v>
      </c>
      <c r="G769" t="s">
        <v>982</v>
      </c>
      <c r="H769" t="s">
        <v>1854</v>
      </c>
      <c r="I769" t="s">
        <v>18</v>
      </c>
      <c r="J769" t="str">
        <f>IF(COUNTIF(Pays!A:A,X769)=0,"Pays inconnu",_xlfn.XLOOKUP(X769,Pays!A:A,Pays!B:B))</f>
        <v>CH</v>
      </c>
      <c r="K769" t="str">
        <f>IF(COUNTIF(Pays!A:A,X769)=0,"Pays inconnu",_xlfn.XLOOKUP(X769,Pays!A:A,Pays!C:C))</f>
        <v>1_CH</v>
      </c>
      <c r="L769">
        <v>1</v>
      </c>
      <c r="M769">
        <f t="shared" si="22"/>
        <v>0.42</v>
      </c>
      <c r="N769" t="s">
        <v>20</v>
      </c>
      <c r="O769">
        <f>LOOKUP(X769,Pays!A:A,Pays!D:D)</f>
        <v>0</v>
      </c>
      <c r="P769">
        <v>0.42199999999999999</v>
      </c>
      <c r="Q769">
        <v>0.42</v>
      </c>
      <c r="U769">
        <v>1</v>
      </c>
      <c r="W769">
        <f>IF(COUNTIF(Pays!A:A,X769)=0,"",LOOKUP(X769,Pays!A:A,Pays!E:E))</f>
        <v>0</v>
      </c>
      <c r="X769" s="8" t="s">
        <v>37</v>
      </c>
    </row>
    <row r="770" spans="1:24" x14ac:dyDescent="0.25">
      <c r="A770" t="s">
        <v>1168</v>
      </c>
      <c r="B770" t="s">
        <v>182</v>
      </c>
      <c r="C770" s="1">
        <f t="shared" si="23"/>
        <v>46174</v>
      </c>
      <c r="F770" t="s">
        <v>155</v>
      </c>
      <c r="G770" t="s">
        <v>983</v>
      </c>
      <c r="H770" t="s">
        <v>1810</v>
      </c>
      <c r="I770" t="s">
        <v>18</v>
      </c>
      <c r="J770" t="str">
        <f>IF(COUNTIF(Pays!A:A,X770)=0,"Pays inconnu",_xlfn.XLOOKUP(X770,Pays!A:A,Pays!B:B))</f>
        <v>CH</v>
      </c>
      <c r="K770" t="str">
        <f>IF(COUNTIF(Pays!A:A,X770)=0,"Pays inconnu",_xlfn.XLOOKUP(X770,Pays!A:A,Pays!C:C))</f>
        <v>1_CH</v>
      </c>
      <c r="L770">
        <v>1</v>
      </c>
      <c r="M770">
        <f t="shared" si="22"/>
        <v>0.53</v>
      </c>
      <c r="N770" t="s">
        <v>20</v>
      </c>
      <c r="O770">
        <f>LOOKUP(X770,Pays!A:A,Pays!D:D)</f>
        <v>0</v>
      </c>
      <c r="P770">
        <v>0.53</v>
      </c>
      <c r="Q770">
        <v>0.53</v>
      </c>
      <c r="U770">
        <v>1</v>
      </c>
      <c r="W770">
        <f>IF(COUNTIF(Pays!A:A,X770)=0,"",LOOKUP(X770,Pays!A:A,Pays!E:E))</f>
        <v>0</v>
      </c>
      <c r="X770" s="8" t="s">
        <v>37</v>
      </c>
    </row>
    <row r="771" spans="1:24" x14ac:dyDescent="0.25">
      <c r="A771" t="s">
        <v>1168</v>
      </c>
      <c r="B771" t="s">
        <v>182</v>
      </c>
      <c r="C771" s="1">
        <f t="shared" si="23"/>
        <v>46174</v>
      </c>
      <c r="F771" t="s">
        <v>155</v>
      </c>
      <c r="G771" t="s">
        <v>984</v>
      </c>
      <c r="H771" t="s">
        <v>1270</v>
      </c>
      <c r="I771" t="s">
        <v>18</v>
      </c>
      <c r="J771" t="str">
        <f>IF(COUNTIF(Pays!A:A,X771)=0,"Pays inconnu",_xlfn.XLOOKUP(X771,Pays!A:A,Pays!B:B))</f>
        <v>GB</v>
      </c>
      <c r="K771" t="str">
        <f>IF(COUNTIF(Pays!A:A,X771)=0,"Pays inconnu",_xlfn.XLOOKUP(X771,Pays!A:A,Pays!C:C))</f>
        <v>1_GB</v>
      </c>
      <c r="L771">
        <v>1</v>
      </c>
      <c r="M771">
        <f t="shared" ref="M771:M834" si="24">ROUND(MAX(P771:Q771),2)</f>
        <v>0.15</v>
      </c>
      <c r="N771" t="s">
        <v>20</v>
      </c>
      <c r="O771">
        <f>LOOKUP(X771,Pays!A:A,Pays!D:D)</f>
        <v>0</v>
      </c>
      <c r="P771">
        <v>0.15</v>
      </c>
      <c r="Q771">
        <v>0.03</v>
      </c>
      <c r="U771">
        <v>1</v>
      </c>
      <c r="W771">
        <f>IF(COUNTIF(Pays!A:A,X771)=0,"",LOOKUP(X771,Pays!A:A,Pays!E:E))</f>
        <v>0</v>
      </c>
      <c r="X771" s="8" t="s">
        <v>30</v>
      </c>
    </row>
    <row r="772" spans="1:24" x14ac:dyDescent="0.25">
      <c r="A772" t="s">
        <v>1168</v>
      </c>
      <c r="B772" t="s">
        <v>182</v>
      </c>
      <c r="C772" s="1">
        <f t="shared" ref="C772:C835" si="25">C771</f>
        <v>46174</v>
      </c>
      <c r="F772" t="s">
        <v>110</v>
      </c>
      <c r="G772" t="s">
        <v>985</v>
      </c>
      <c r="H772" t="s">
        <v>1855</v>
      </c>
      <c r="I772" t="s">
        <v>18</v>
      </c>
      <c r="J772" t="str">
        <f>IF(COUNTIF(Pays!A:A,X772)=0,"Pays inconnu",_xlfn.XLOOKUP(X772,Pays!A:A,Pays!B:B))</f>
        <v>CH</v>
      </c>
      <c r="K772" t="str">
        <f>IF(COUNTIF(Pays!A:A,X772)=0,"Pays inconnu",_xlfn.XLOOKUP(X772,Pays!A:A,Pays!C:C))</f>
        <v>1_CH</v>
      </c>
      <c r="L772">
        <v>1</v>
      </c>
      <c r="M772">
        <f t="shared" si="24"/>
        <v>0.4</v>
      </c>
      <c r="N772" t="s">
        <v>20</v>
      </c>
      <c r="O772">
        <f>LOOKUP(X772,Pays!A:A,Pays!D:D)</f>
        <v>0</v>
      </c>
      <c r="P772">
        <v>0.15</v>
      </c>
      <c r="Q772">
        <v>0.4</v>
      </c>
      <c r="U772">
        <v>1</v>
      </c>
      <c r="W772">
        <f>IF(COUNTIF(Pays!A:A,X772)=0,"",LOOKUP(X772,Pays!A:A,Pays!E:E))</f>
        <v>0</v>
      </c>
      <c r="X772" s="8" t="s">
        <v>37</v>
      </c>
    </row>
    <row r="773" spans="1:24" x14ac:dyDescent="0.25">
      <c r="A773" t="s">
        <v>1168</v>
      </c>
      <c r="B773" t="s">
        <v>182</v>
      </c>
      <c r="C773" s="1">
        <f t="shared" si="25"/>
        <v>46174</v>
      </c>
      <c r="F773" t="s">
        <v>155</v>
      </c>
      <c r="G773" t="s">
        <v>986</v>
      </c>
      <c r="H773" t="s">
        <v>1856</v>
      </c>
      <c r="I773" t="s">
        <v>18</v>
      </c>
      <c r="J773" t="str">
        <f>IF(COUNTIF(Pays!A:A,X773)=0,"Pays inconnu",_xlfn.XLOOKUP(X773,Pays!A:A,Pays!B:B))</f>
        <v>CH</v>
      </c>
      <c r="K773" t="str">
        <f>IF(COUNTIF(Pays!A:A,X773)=0,"Pays inconnu",_xlfn.XLOOKUP(X773,Pays!A:A,Pays!C:C))</f>
        <v>1_CH</v>
      </c>
      <c r="L773">
        <v>1</v>
      </c>
      <c r="M773">
        <f t="shared" si="24"/>
        <v>1.07</v>
      </c>
      <c r="N773" t="s">
        <v>20</v>
      </c>
      <c r="O773">
        <f>LOOKUP(X773,Pays!A:A,Pays!D:D)</f>
        <v>0</v>
      </c>
      <c r="P773">
        <v>1.07</v>
      </c>
      <c r="Q773">
        <v>1.07</v>
      </c>
      <c r="U773">
        <v>1</v>
      </c>
      <c r="W773">
        <f>IF(COUNTIF(Pays!A:A,X773)=0,"",LOOKUP(X773,Pays!A:A,Pays!E:E))</f>
        <v>0</v>
      </c>
      <c r="X773" s="8" t="s">
        <v>37</v>
      </c>
    </row>
    <row r="774" spans="1:24" x14ac:dyDescent="0.25">
      <c r="A774" t="s">
        <v>1168</v>
      </c>
      <c r="B774" t="s">
        <v>182</v>
      </c>
      <c r="C774" s="1">
        <f t="shared" si="25"/>
        <v>46174</v>
      </c>
      <c r="F774" t="s">
        <v>155</v>
      </c>
      <c r="G774" t="s">
        <v>987</v>
      </c>
      <c r="H774" t="s">
        <v>1857</v>
      </c>
      <c r="I774" t="s">
        <v>18</v>
      </c>
      <c r="J774" t="str">
        <f>IF(COUNTIF(Pays!A:A,X774)=0,"Pays inconnu",_xlfn.XLOOKUP(X774,Pays!A:A,Pays!B:B))</f>
        <v>GB</v>
      </c>
      <c r="K774" t="str">
        <f>IF(COUNTIF(Pays!A:A,X774)=0,"Pays inconnu",_xlfn.XLOOKUP(X774,Pays!A:A,Pays!C:C))</f>
        <v>1_GB</v>
      </c>
      <c r="L774">
        <v>1</v>
      </c>
      <c r="M774">
        <f t="shared" si="24"/>
        <v>0.46</v>
      </c>
      <c r="N774" t="s">
        <v>20</v>
      </c>
      <c r="O774">
        <f>LOOKUP(X774,Pays!A:A,Pays!D:D)</f>
        <v>0</v>
      </c>
      <c r="P774">
        <v>0.46</v>
      </c>
      <c r="Q774">
        <v>0.46</v>
      </c>
      <c r="U774">
        <v>1</v>
      </c>
      <c r="W774">
        <f>IF(COUNTIF(Pays!A:A,X774)=0,"",LOOKUP(X774,Pays!A:A,Pays!E:E))</f>
        <v>0</v>
      </c>
      <c r="X774" s="8" t="s">
        <v>30</v>
      </c>
    </row>
    <row r="775" spans="1:24" x14ac:dyDescent="0.25">
      <c r="A775" t="s">
        <v>1168</v>
      </c>
      <c r="B775" t="s">
        <v>182</v>
      </c>
      <c r="C775" s="1">
        <f t="shared" si="25"/>
        <v>46174</v>
      </c>
      <c r="F775" t="s">
        <v>110</v>
      </c>
      <c r="G775" t="s">
        <v>988</v>
      </c>
      <c r="H775" t="s">
        <v>1858</v>
      </c>
      <c r="I775" t="s">
        <v>18</v>
      </c>
      <c r="J775" t="str">
        <f>IF(COUNTIF(Pays!A:A,X775)=0,"Pays inconnu",_xlfn.XLOOKUP(X775,Pays!A:A,Pays!B:B))</f>
        <v>CH</v>
      </c>
      <c r="K775" t="str">
        <f>IF(COUNTIF(Pays!A:A,X775)=0,"Pays inconnu",_xlfn.XLOOKUP(X775,Pays!A:A,Pays!C:C))</f>
        <v>1_CH</v>
      </c>
      <c r="L775">
        <v>1</v>
      </c>
      <c r="M775">
        <f t="shared" si="24"/>
        <v>0.34</v>
      </c>
      <c r="N775" t="s">
        <v>20</v>
      </c>
      <c r="O775">
        <f>LOOKUP(X775,Pays!A:A,Pays!D:D)</f>
        <v>0</v>
      </c>
      <c r="P775">
        <v>0.15</v>
      </c>
      <c r="Q775">
        <v>0.34</v>
      </c>
      <c r="U775">
        <v>1</v>
      </c>
      <c r="W775">
        <f>IF(COUNTIF(Pays!A:A,X775)=0,"",LOOKUP(X775,Pays!A:A,Pays!E:E))</f>
        <v>0</v>
      </c>
      <c r="X775" s="8" t="s">
        <v>37</v>
      </c>
    </row>
    <row r="776" spans="1:24" x14ac:dyDescent="0.25">
      <c r="A776" t="s">
        <v>1168</v>
      </c>
      <c r="B776" t="s">
        <v>182</v>
      </c>
      <c r="C776" s="1">
        <f t="shared" si="25"/>
        <v>46174</v>
      </c>
      <c r="F776" t="s">
        <v>110</v>
      </c>
      <c r="G776" t="s">
        <v>989</v>
      </c>
      <c r="H776" t="s">
        <v>1859</v>
      </c>
      <c r="I776" t="s">
        <v>18</v>
      </c>
      <c r="J776" t="str">
        <f>IF(COUNTIF(Pays!A:A,X776)=0,"Pays inconnu",_xlfn.XLOOKUP(X776,Pays!A:A,Pays!B:B))</f>
        <v>CH</v>
      </c>
      <c r="K776" t="str">
        <f>IF(COUNTIF(Pays!A:A,X776)=0,"Pays inconnu",_xlfn.XLOOKUP(X776,Pays!A:A,Pays!C:C))</f>
        <v>1_CH</v>
      </c>
      <c r="L776">
        <v>1</v>
      </c>
      <c r="M776">
        <f t="shared" si="24"/>
        <v>0.3</v>
      </c>
      <c r="N776" t="s">
        <v>20</v>
      </c>
      <c r="O776">
        <f>LOOKUP(X776,Pays!A:A,Pays!D:D)</f>
        <v>0</v>
      </c>
      <c r="P776">
        <v>0.15</v>
      </c>
      <c r="Q776">
        <v>0.3</v>
      </c>
      <c r="U776">
        <v>1</v>
      </c>
      <c r="W776">
        <f>IF(COUNTIF(Pays!A:A,X776)=0,"",LOOKUP(X776,Pays!A:A,Pays!E:E))</f>
        <v>0</v>
      </c>
      <c r="X776" s="8" t="s">
        <v>37</v>
      </c>
    </row>
    <row r="777" spans="1:24" x14ac:dyDescent="0.25">
      <c r="A777" t="s">
        <v>1168</v>
      </c>
      <c r="B777" t="s">
        <v>182</v>
      </c>
      <c r="C777" s="1">
        <f t="shared" si="25"/>
        <v>46174</v>
      </c>
      <c r="F777" t="s">
        <v>110</v>
      </c>
      <c r="G777" t="s">
        <v>990</v>
      </c>
      <c r="H777" t="s">
        <v>1860</v>
      </c>
      <c r="I777" t="s">
        <v>18</v>
      </c>
      <c r="J777" t="str">
        <f>IF(COUNTIF(Pays!A:A,X777)=0,"Pays inconnu",_xlfn.XLOOKUP(X777,Pays!A:A,Pays!B:B))</f>
        <v>GB</v>
      </c>
      <c r="K777" t="str">
        <f>IF(COUNTIF(Pays!A:A,X777)=0,"Pays inconnu",_xlfn.XLOOKUP(X777,Pays!A:A,Pays!C:C))</f>
        <v>1_GB</v>
      </c>
      <c r="L777">
        <v>1</v>
      </c>
      <c r="M777">
        <f t="shared" si="24"/>
        <v>0.22</v>
      </c>
      <c r="N777" t="s">
        <v>20</v>
      </c>
      <c r="O777">
        <f>LOOKUP(X777,Pays!A:A,Pays!D:D)</f>
        <v>0</v>
      </c>
      <c r="P777">
        <v>0.15</v>
      </c>
      <c r="Q777">
        <v>0.22</v>
      </c>
      <c r="U777">
        <v>1</v>
      </c>
      <c r="W777">
        <f>IF(COUNTIF(Pays!A:A,X777)=0,"",LOOKUP(X777,Pays!A:A,Pays!E:E))</f>
        <v>0</v>
      </c>
      <c r="X777" s="8" t="s">
        <v>30</v>
      </c>
    </row>
    <row r="778" spans="1:24" x14ac:dyDescent="0.25">
      <c r="A778" t="s">
        <v>1168</v>
      </c>
      <c r="B778" t="s">
        <v>182</v>
      </c>
      <c r="C778" s="1">
        <f t="shared" si="25"/>
        <v>46174</v>
      </c>
      <c r="F778" t="s">
        <v>155</v>
      </c>
      <c r="G778" t="s">
        <v>991</v>
      </c>
      <c r="H778" t="s">
        <v>1861</v>
      </c>
      <c r="I778" t="s">
        <v>18</v>
      </c>
      <c r="J778" t="str">
        <f>IF(COUNTIF(Pays!A:A,X778)=0,"Pays inconnu",_xlfn.XLOOKUP(X778,Pays!A:A,Pays!B:B))</f>
        <v>GB</v>
      </c>
      <c r="K778" t="str">
        <f>IF(COUNTIF(Pays!A:A,X778)=0,"Pays inconnu",_xlfn.XLOOKUP(X778,Pays!A:A,Pays!C:C))</f>
        <v>1_GB</v>
      </c>
      <c r="L778">
        <v>1</v>
      </c>
      <c r="M778">
        <f t="shared" si="24"/>
        <v>0.86</v>
      </c>
      <c r="N778" t="s">
        <v>20</v>
      </c>
      <c r="O778">
        <f>LOOKUP(X778,Pays!A:A,Pays!D:D)</f>
        <v>0</v>
      </c>
      <c r="P778">
        <v>0.15</v>
      </c>
      <c r="Q778">
        <v>0.86</v>
      </c>
      <c r="U778">
        <v>1</v>
      </c>
      <c r="W778">
        <f>IF(COUNTIF(Pays!A:A,X778)=0,"",LOOKUP(X778,Pays!A:A,Pays!E:E))</f>
        <v>0</v>
      </c>
      <c r="X778" s="8" t="s">
        <v>30</v>
      </c>
    </row>
    <row r="779" spans="1:24" x14ac:dyDescent="0.25">
      <c r="A779" t="s">
        <v>1169</v>
      </c>
      <c r="B779" t="s">
        <v>182</v>
      </c>
      <c r="C779" s="1">
        <f t="shared" si="25"/>
        <v>46174</v>
      </c>
      <c r="F779" t="s">
        <v>110</v>
      </c>
      <c r="G779" t="s">
        <v>992</v>
      </c>
      <c r="H779" t="s">
        <v>1862</v>
      </c>
      <c r="I779" t="s">
        <v>18</v>
      </c>
      <c r="J779" t="str">
        <f>IF(COUNTIF(Pays!A:A,X779)=0,"Pays inconnu",_xlfn.XLOOKUP(X779,Pays!A:A,Pays!B:B))</f>
        <v>GB</v>
      </c>
      <c r="K779" t="str">
        <f>IF(COUNTIF(Pays!A:A,X779)=0,"Pays inconnu",_xlfn.XLOOKUP(X779,Pays!A:A,Pays!C:C))</f>
        <v>1_GB</v>
      </c>
      <c r="L779">
        <v>1</v>
      </c>
      <c r="M779">
        <f t="shared" si="24"/>
        <v>0.25</v>
      </c>
      <c r="N779" t="s">
        <v>20</v>
      </c>
      <c r="O779">
        <f>LOOKUP(X779,Pays!A:A,Pays!D:D)</f>
        <v>0</v>
      </c>
      <c r="P779">
        <v>0.15</v>
      </c>
      <c r="Q779">
        <v>0.25</v>
      </c>
      <c r="U779">
        <v>1</v>
      </c>
      <c r="W779">
        <f>IF(COUNTIF(Pays!A:A,X779)=0,"",LOOKUP(X779,Pays!A:A,Pays!E:E))</f>
        <v>0</v>
      </c>
      <c r="X779" s="8" t="s">
        <v>30</v>
      </c>
    </row>
    <row r="780" spans="1:24" x14ac:dyDescent="0.25">
      <c r="A780" t="s">
        <v>1169</v>
      </c>
      <c r="B780" t="s">
        <v>182</v>
      </c>
      <c r="C780" s="1">
        <f t="shared" si="25"/>
        <v>46174</v>
      </c>
      <c r="F780" t="s">
        <v>155</v>
      </c>
      <c r="G780" t="s">
        <v>993</v>
      </c>
      <c r="H780" t="s">
        <v>1863</v>
      </c>
      <c r="I780" t="s">
        <v>18</v>
      </c>
      <c r="J780" t="str">
        <f>IF(COUNTIF(Pays!A:A,X780)=0,"Pays inconnu",_xlfn.XLOOKUP(X780,Pays!A:A,Pays!B:B))</f>
        <v>GB</v>
      </c>
      <c r="K780" t="str">
        <f>IF(COUNTIF(Pays!A:A,X780)=0,"Pays inconnu",_xlfn.XLOOKUP(X780,Pays!A:A,Pays!C:C))</f>
        <v>1_GB</v>
      </c>
      <c r="L780">
        <v>1</v>
      </c>
      <c r="M780">
        <f t="shared" si="24"/>
        <v>0.15</v>
      </c>
      <c r="N780" t="s">
        <v>20</v>
      </c>
      <c r="O780">
        <f>LOOKUP(X780,Pays!A:A,Pays!D:D)</f>
        <v>0</v>
      </c>
      <c r="P780">
        <v>0.15</v>
      </c>
      <c r="Q780">
        <v>0.12</v>
      </c>
      <c r="U780">
        <v>1</v>
      </c>
      <c r="W780">
        <f>IF(COUNTIF(Pays!A:A,X780)=0,"",LOOKUP(X780,Pays!A:A,Pays!E:E))</f>
        <v>0</v>
      </c>
      <c r="X780" s="8" t="s">
        <v>30</v>
      </c>
    </row>
    <row r="781" spans="1:24" x14ac:dyDescent="0.25">
      <c r="A781" t="s">
        <v>1169</v>
      </c>
      <c r="B781" t="s">
        <v>182</v>
      </c>
      <c r="C781" s="1">
        <f t="shared" si="25"/>
        <v>46174</v>
      </c>
      <c r="F781" t="s">
        <v>155</v>
      </c>
      <c r="G781" t="s">
        <v>994</v>
      </c>
      <c r="H781" t="s">
        <v>1864</v>
      </c>
      <c r="I781" t="s">
        <v>18</v>
      </c>
      <c r="J781" t="str">
        <f>IF(COUNTIF(Pays!A:A,X781)=0,"Pays inconnu",_xlfn.XLOOKUP(X781,Pays!A:A,Pays!B:B))</f>
        <v>CH</v>
      </c>
      <c r="K781" t="str">
        <f>IF(COUNTIF(Pays!A:A,X781)=0,"Pays inconnu",_xlfn.XLOOKUP(X781,Pays!A:A,Pays!C:C))</f>
        <v>1_CH</v>
      </c>
      <c r="L781">
        <v>1</v>
      </c>
      <c r="M781">
        <f t="shared" si="24"/>
        <v>0.15</v>
      </c>
      <c r="N781" t="s">
        <v>20</v>
      </c>
      <c r="O781">
        <f>LOOKUP(X781,Pays!A:A,Pays!D:D)</f>
        <v>0</v>
      </c>
      <c r="P781">
        <v>0.15</v>
      </c>
      <c r="Q781">
        <v>0.11</v>
      </c>
      <c r="U781">
        <v>1</v>
      </c>
      <c r="W781">
        <f>IF(COUNTIF(Pays!A:A,X781)=0,"",LOOKUP(X781,Pays!A:A,Pays!E:E))</f>
        <v>0</v>
      </c>
      <c r="X781" s="8" t="s">
        <v>37</v>
      </c>
    </row>
    <row r="782" spans="1:24" x14ac:dyDescent="0.25">
      <c r="A782" t="s">
        <v>1169</v>
      </c>
      <c r="B782" t="s">
        <v>182</v>
      </c>
      <c r="C782" s="1">
        <f t="shared" si="25"/>
        <v>46174</v>
      </c>
      <c r="F782" t="s">
        <v>110</v>
      </c>
      <c r="G782" t="s">
        <v>995</v>
      </c>
      <c r="H782" t="s">
        <v>1865</v>
      </c>
      <c r="I782" t="s">
        <v>18</v>
      </c>
      <c r="J782" t="str">
        <f>IF(COUNTIF(Pays!A:A,X782)=0,"Pays inconnu",_xlfn.XLOOKUP(X782,Pays!A:A,Pays!B:B))</f>
        <v>GB</v>
      </c>
      <c r="K782" t="str">
        <f>IF(COUNTIF(Pays!A:A,X782)=0,"Pays inconnu",_xlfn.XLOOKUP(X782,Pays!A:A,Pays!C:C))</f>
        <v>1_GB</v>
      </c>
      <c r="L782">
        <v>1</v>
      </c>
      <c r="M782">
        <f t="shared" si="24"/>
        <v>0.15</v>
      </c>
      <c r="N782" t="s">
        <v>20</v>
      </c>
      <c r="O782">
        <f>LOOKUP(X782,Pays!A:A,Pays!D:D)</f>
        <v>0</v>
      </c>
      <c r="P782">
        <v>0.15</v>
      </c>
      <c r="Q782">
        <v>0.14000000000000001</v>
      </c>
      <c r="U782">
        <v>1</v>
      </c>
      <c r="W782">
        <f>IF(COUNTIF(Pays!A:A,X782)=0,"",LOOKUP(X782,Pays!A:A,Pays!E:E))</f>
        <v>0</v>
      </c>
      <c r="X782" s="8" t="s">
        <v>30</v>
      </c>
    </row>
    <row r="783" spans="1:24" x14ac:dyDescent="0.25">
      <c r="A783" t="s">
        <v>1169</v>
      </c>
      <c r="B783" t="s">
        <v>182</v>
      </c>
      <c r="C783" s="1">
        <f t="shared" si="25"/>
        <v>46174</v>
      </c>
      <c r="F783" t="s">
        <v>181</v>
      </c>
      <c r="G783" t="s">
        <v>996</v>
      </c>
      <c r="H783" t="s">
        <v>1866</v>
      </c>
      <c r="I783" t="s">
        <v>18</v>
      </c>
      <c r="J783" t="str">
        <f>IF(COUNTIF(Pays!A:A,X783)=0,"Pays inconnu",_xlfn.XLOOKUP(X783,Pays!A:A,Pays!B:B))</f>
        <v>IT</v>
      </c>
      <c r="K783">
        <f>IF(COUNTIF(Pays!A:A,X783)=0,"Pays inconnu",_xlfn.XLOOKUP(X783,Pays!A:A,Pays!C:C))</f>
        <v>1</v>
      </c>
      <c r="L783">
        <v>1</v>
      </c>
      <c r="M783">
        <f t="shared" si="24"/>
        <v>0.63</v>
      </c>
      <c r="N783" t="s">
        <v>20</v>
      </c>
      <c r="O783">
        <f>LOOKUP(X783,Pays!A:A,Pays!D:D)</f>
        <v>0.2</v>
      </c>
      <c r="P783">
        <v>0.15</v>
      </c>
      <c r="Q783">
        <v>0.63</v>
      </c>
      <c r="U783">
        <v>1</v>
      </c>
      <c r="W783">
        <f>IF(COUNTIF(Pays!A:A,X783)=0,"",LOOKUP(X783,Pays!A:A,Pays!E:E))</f>
        <v>0</v>
      </c>
      <c r="X783" s="8" t="s">
        <v>33</v>
      </c>
    </row>
    <row r="784" spans="1:24" x14ac:dyDescent="0.25">
      <c r="A784" t="s">
        <v>1169</v>
      </c>
      <c r="B784" t="s">
        <v>182</v>
      </c>
      <c r="C784" s="1">
        <f t="shared" si="25"/>
        <v>46174</v>
      </c>
      <c r="F784" t="s">
        <v>155</v>
      </c>
      <c r="G784" t="s">
        <v>997</v>
      </c>
      <c r="H784" t="s">
        <v>1867</v>
      </c>
      <c r="I784" t="s">
        <v>18</v>
      </c>
      <c r="J784" t="str">
        <f>IF(COUNTIF(Pays!A:A,X784)=0,"Pays inconnu",_xlfn.XLOOKUP(X784,Pays!A:A,Pays!B:B))</f>
        <v>CH</v>
      </c>
      <c r="K784" t="str">
        <f>IF(COUNTIF(Pays!A:A,X784)=0,"Pays inconnu",_xlfn.XLOOKUP(X784,Pays!A:A,Pays!C:C))</f>
        <v>1_CH</v>
      </c>
      <c r="L784">
        <v>1</v>
      </c>
      <c r="M784">
        <f t="shared" si="24"/>
        <v>1.05</v>
      </c>
      <c r="N784" t="s">
        <v>20</v>
      </c>
      <c r="O784">
        <f>LOOKUP(X784,Pays!A:A,Pays!D:D)</f>
        <v>0</v>
      </c>
      <c r="P784">
        <v>0.15</v>
      </c>
      <c r="Q784">
        <v>1.05</v>
      </c>
      <c r="U784">
        <v>1</v>
      </c>
      <c r="W784">
        <f>IF(COUNTIF(Pays!A:A,X784)=0,"",LOOKUP(X784,Pays!A:A,Pays!E:E))</f>
        <v>0</v>
      </c>
      <c r="X784" s="8" t="s">
        <v>37</v>
      </c>
    </row>
    <row r="785" spans="1:24" x14ac:dyDescent="0.25">
      <c r="A785" t="s">
        <v>1169</v>
      </c>
      <c r="B785" t="s">
        <v>182</v>
      </c>
      <c r="C785" s="1">
        <f t="shared" si="25"/>
        <v>46174</v>
      </c>
      <c r="F785" t="s">
        <v>155</v>
      </c>
      <c r="G785" t="s">
        <v>998</v>
      </c>
      <c r="H785" t="s">
        <v>1868</v>
      </c>
      <c r="I785" t="s">
        <v>18</v>
      </c>
      <c r="J785" t="str">
        <f>IF(COUNTIF(Pays!A:A,X785)=0,"Pays inconnu",_xlfn.XLOOKUP(X785,Pays!A:A,Pays!B:B))</f>
        <v>CH</v>
      </c>
      <c r="K785" t="str">
        <f>IF(COUNTIF(Pays!A:A,X785)=0,"Pays inconnu",_xlfn.XLOOKUP(X785,Pays!A:A,Pays!C:C))</f>
        <v>1_CH</v>
      </c>
      <c r="L785">
        <v>1</v>
      </c>
      <c r="M785">
        <f t="shared" si="24"/>
        <v>0.95</v>
      </c>
      <c r="N785" t="s">
        <v>20</v>
      </c>
      <c r="O785">
        <f>LOOKUP(X785,Pays!A:A,Pays!D:D)</f>
        <v>0</v>
      </c>
      <c r="P785">
        <v>0.15</v>
      </c>
      <c r="Q785">
        <v>0.95</v>
      </c>
      <c r="U785">
        <v>1</v>
      </c>
      <c r="W785">
        <f>IF(COUNTIF(Pays!A:A,X785)=0,"",LOOKUP(X785,Pays!A:A,Pays!E:E))</f>
        <v>0</v>
      </c>
      <c r="X785" s="8" t="s">
        <v>37</v>
      </c>
    </row>
    <row r="786" spans="1:24" x14ac:dyDescent="0.25">
      <c r="A786" t="s">
        <v>1169</v>
      </c>
      <c r="B786" t="s">
        <v>182</v>
      </c>
      <c r="C786" s="1">
        <f t="shared" si="25"/>
        <v>46174</v>
      </c>
      <c r="F786" t="s">
        <v>155</v>
      </c>
      <c r="G786" t="s">
        <v>999</v>
      </c>
      <c r="H786" t="s">
        <v>1869</v>
      </c>
      <c r="I786" t="s">
        <v>18</v>
      </c>
      <c r="J786" t="str">
        <f>IF(COUNTIF(Pays!A:A,X786)=0,"Pays inconnu",_xlfn.XLOOKUP(X786,Pays!A:A,Pays!B:B))</f>
        <v>GB</v>
      </c>
      <c r="K786" t="str">
        <f>IF(COUNTIF(Pays!A:A,X786)=0,"Pays inconnu",_xlfn.XLOOKUP(X786,Pays!A:A,Pays!C:C))</f>
        <v>1_GB</v>
      </c>
      <c r="L786">
        <v>1</v>
      </c>
      <c r="M786">
        <f t="shared" si="24"/>
        <v>0.15</v>
      </c>
      <c r="N786" t="s">
        <v>20</v>
      </c>
      <c r="O786">
        <f>LOOKUP(X786,Pays!A:A,Pays!D:D)</f>
        <v>0</v>
      </c>
      <c r="P786">
        <v>0.15</v>
      </c>
      <c r="Q786">
        <v>0.06</v>
      </c>
      <c r="U786">
        <v>1</v>
      </c>
      <c r="W786">
        <f>IF(COUNTIF(Pays!A:A,X786)=0,"",LOOKUP(X786,Pays!A:A,Pays!E:E))</f>
        <v>0</v>
      </c>
      <c r="X786" s="8" t="s">
        <v>30</v>
      </c>
    </row>
    <row r="787" spans="1:24" x14ac:dyDescent="0.25">
      <c r="A787" t="s">
        <v>1169</v>
      </c>
      <c r="B787" t="s">
        <v>182</v>
      </c>
      <c r="C787" s="1">
        <f t="shared" si="25"/>
        <v>46174</v>
      </c>
      <c r="F787" t="s">
        <v>155</v>
      </c>
      <c r="G787" t="s">
        <v>1000</v>
      </c>
      <c r="H787" t="s">
        <v>1870</v>
      </c>
      <c r="I787" t="s">
        <v>18</v>
      </c>
      <c r="J787" t="str">
        <f>IF(COUNTIF(Pays!A:A,X787)=0,"Pays inconnu",_xlfn.XLOOKUP(X787,Pays!A:A,Pays!B:B))</f>
        <v>GB</v>
      </c>
      <c r="K787" t="str">
        <f>IF(COUNTIF(Pays!A:A,X787)=0,"Pays inconnu",_xlfn.XLOOKUP(X787,Pays!A:A,Pays!C:C))</f>
        <v>1_GB</v>
      </c>
      <c r="L787">
        <v>1</v>
      </c>
      <c r="M787">
        <f t="shared" si="24"/>
        <v>0.22</v>
      </c>
      <c r="N787" t="s">
        <v>20</v>
      </c>
      <c r="O787">
        <f>LOOKUP(X787,Pays!A:A,Pays!D:D)</f>
        <v>0</v>
      </c>
      <c r="P787">
        <v>0.15</v>
      </c>
      <c r="Q787">
        <v>0.22</v>
      </c>
      <c r="U787">
        <v>1</v>
      </c>
      <c r="W787">
        <f>IF(COUNTIF(Pays!A:A,X787)=0,"",LOOKUP(X787,Pays!A:A,Pays!E:E))</f>
        <v>0</v>
      </c>
      <c r="X787" s="8" t="s">
        <v>30</v>
      </c>
    </row>
    <row r="788" spans="1:24" x14ac:dyDescent="0.25">
      <c r="A788" t="s">
        <v>1169</v>
      </c>
      <c r="B788" t="s">
        <v>182</v>
      </c>
      <c r="C788" s="1">
        <f t="shared" si="25"/>
        <v>46174</v>
      </c>
      <c r="F788" t="s">
        <v>110</v>
      </c>
      <c r="G788" t="s">
        <v>1001</v>
      </c>
      <c r="H788" t="s">
        <v>1871</v>
      </c>
      <c r="I788" t="s">
        <v>18</v>
      </c>
      <c r="J788" t="str">
        <f>IF(COUNTIF(Pays!A:A,X788)=0,"Pays inconnu",_xlfn.XLOOKUP(X788,Pays!A:A,Pays!B:B))</f>
        <v>CH</v>
      </c>
      <c r="K788" t="str">
        <f>IF(COUNTIF(Pays!A:A,X788)=0,"Pays inconnu",_xlfn.XLOOKUP(X788,Pays!A:A,Pays!C:C))</f>
        <v>1_CH</v>
      </c>
      <c r="L788">
        <v>1</v>
      </c>
      <c r="M788">
        <f t="shared" si="24"/>
        <v>0.23</v>
      </c>
      <c r="N788" t="s">
        <v>20</v>
      </c>
      <c r="O788">
        <f>LOOKUP(X788,Pays!A:A,Pays!D:D)</f>
        <v>0</v>
      </c>
      <c r="P788">
        <v>0.15</v>
      </c>
      <c r="Q788">
        <v>0.23</v>
      </c>
      <c r="U788">
        <v>1</v>
      </c>
      <c r="W788">
        <f>IF(COUNTIF(Pays!A:A,X788)=0,"",LOOKUP(X788,Pays!A:A,Pays!E:E))</f>
        <v>0</v>
      </c>
      <c r="X788" s="8" t="s">
        <v>37</v>
      </c>
    </row>
    <row r="789" spans="1:24" x14ac:dyDescent="0.25">
      <c r="A789" t="s">
        <v>1169</v>
      </c>
      <c r="B789" t="s">
        <v>182</v>
      </c>
      <c r="C789" s="1">
        <f t="shared" si="25"/>
        <v>46174</v>
      </c>
      <c r="F789" t="s">
        <v>110</v>
      </c>
      <c r="G789" t="s">
        <v>1002</v>
      </c>
      <c r="H789" t="s">
        <v>1872</v>
      </c>
      <c r="I789" t="s">
        <v>18</v>
      </c>
      <c r="J789" t="str">
        <f>IF(COUNTIF(Pays!A:A,X789)=0,"Pays inconnu",_xlfn.XLOOKUP(X789,Pays!A:A,Pays!B:B))</f>
        <v>CH</v>
      </c>
      <c r="K789" t="str">
        <f>IF(COUNTIF(Pays!A:A,X789)=0,"Pays inconnu",_xlfn.XLOOKUP(X789,Pays!A:A,Pays!C:C))</f>
        <v>1_CH</v>
      </c>
      <c r="L789">
        <v>1</v>
      </c>
      <c r="M789">
        <f t="shared" si="24"/>
        <v>0.3</v>
      </c>
      <c r="N789" t="s">
        <v>20</v>
      </c>
      <c r="O789">
        <f>LOOKUP(X789,Pays!A:A,Pays!D:D)</f>
        <v>0</v>
      </c>
      <c r="P789">
        <v>0.15</v>
      </c>
      <c r="Q789">
        <v>0.3</v>
      </c>
      <c r="U789">
        <v>1</v>
      </c>
      <c r="W789">
        <f>IF(COUNTIF(Pays!A:A,X789)=0,"",LOOKUP(X789,Pays!A:A,Pays!E:E))</f>
        <v>0</v>
      </c>
      <c r="X789" s="8" t="s">
        <v>37</v>
      </c>
    </row>
    <row r="790" spans="1:24" x14ac:dyDescent="0.25">
      <c r="A790" t="s">
        <v>1169</v>
      </c>
      <c r="B790" t="s">
        <v>182</v>
      </c>
      <c r="C790" s="1">
        <f t="shared" si="25"/>
        <v>46174</v>
      </c>
      <c r="F790" t="s">
        <v>155</v>
      </c>
      <c r="G790" t="s">
        <v>1003</v>
      </c>
      <c r="H790" t="s">
        <v>1873</v>
      </c>
      <c r="I790" t="s">
        <v>18</v>
      </c>
      <c r="J790" t="str">
        <f>IF(COUNTIF(Pays!A:A,X790)=0,"Pays inconnu",_xlfn.XLOOKUP(X790,Pays!A:A,Pays!B:B))</f>
        <v>GB</v>
      </c>
      <c r="K790" t="str">
        <f>IF(COUNTIF(Pays!A:A,X790)=0,"Pays inconnu",_xlfn.XLOOKUP(X790,Pays!A:A,Pays!C:C))</f>
        <v>1_GB</v>
      </c>
      <c r="L790">
        <v>1</v>
      </c>
      <c r="M790">
        <f t="shared" si="24"/>
        <v>0.3</v>
      </c>
      <c r="N790" t="s">
        <v>20</v>
      </c>
      <c r="O790">
        <f>LOOKUP(X790,Pays!A:A,Pays!D:D)</f>
        <v>0</v>
      </c>
      <c r="P790">
        <v>0.15</v>
      </c>
      <c r="Q790">
        <v>0.3</v>
      </c>
      <c r="U790">
        <v>1</v>
      </c>
      <c r="W790">
        <f>IF(COUNTIF(Pays!A:A,X790)=0,"",LOOKUP(X790,Pays!A:A,Pays!E:E))</f>
        <v>0</v>
      </c>
      <c r="X790" s="8" t="s">
        <v>30</v>
      </c>
    </row>
    <row r="791" spans="1:24" x14ac:dyDescent="0.25">
      <c r="A791" t="s">
        <v>1169</v>
      </c>
      <c r="B791" t="s">
        <v>182</v>
      </c>
      <c r="C791" s="1">
        <f t="shared" si="25"/>
        <v>46174</v>
      </c>
      <c r="F791" t="s">
        <v>155</v>
      </c>
      <c r="G791" t="s">
        <v>1004</v>
      </c>
      <c r="H791" t="s">
        <v>1874</v>
      </c>
      <c r="I791" t="s">
        <v>18</v>
      </c>
      <c r="J791" t="str">
        <f>IF(COUNTIF(Pays!A:A,X791)=0,"Pays inconnu",_xlfn.XLOOKUP(X791,Pays!A:A,Pays!B:B))</f>
        <v>GB</v>
      </c>
      <c r="K791" t="str">
        <f>IF(COUNTIF(Pays!A:A,X791)=0,"Pays inconnu",_xlfn.XLOOKUP(X791,Pays!A:A,Pays!C:C))</f>
        <v>1_GB</v>
      </c>
      <c r="L791">
        <v>1</v>
      </c>
      <c r="M791">
        <f t="shared" si="24"/>
        <v>0.15</v>
      </c>
      <c r="N791" t="s">
        <v>20</v>
      </c>
      <c r="O791">
        <f>LOOKUP(X791,Pays!A:A,Pays!D:D)</f>
        <v>0</v>
      </c>
      <c r="P791">
        <v>0.15</v>
      </c>
      <c r="Q791">
        <v>0.08</v>
      </c>
      <c r="U791">
        <v>1</v>
      </c>
      <c r="W791">
        <f>IF(COUNTIF(Pays!A:A,X791)=0,"",LOOKUP(X791,Pays!A:A,Pays!E:E))</f>
        <v>0</v>
      </c>
      <c r="X791" s="8" t="s">
        <v>30</v>
      </c>
    </row>
    <row r="792" spans="1:24" x14ac:dyDescent="0.25">
      <c r="A792" t="s">
        <v>1169</v>
      </c>
      <c r="B792" t="s">
        <v>182</v>
      </c>
      <c r="C792" s="1">
        <f t="shared" si="25"/>
        <v>46174</v>
      </c>
      <c r="F792" t="s">
        <v>155</v>
      </c>
      <c r="G792" t="s">
        <v>1005</v>
      </c>
      <c r="H792" t="s">
        <v>1875</v>
      </c>
      <c r="I792" t="s">
        <v>18</v>
      </c>
      <c r="J792" t="str">
        <f>IF(COUNTIF(Pays!A:A,X792)=0,"Pays inconnu",_xlfn.XLOOKUP(X792,Pays!A:A,Pays!B:B))</f>
        <v>CH</v>
      </c>
      <c r="K792" t="str">
        <f>IF(COUNTIF(Pays!A:A,X792)=0,"Pays inconnu",_xlfn.XLOOKUP(X792,Pays!A:A,Pays!C:C))</f>
        <v>1_CH</v>
      </c>
      <c r="L792">
        <v>1</v>
      </c>
      <c r="M792">
        <f t="shared" si="24"/>
        <v>1</v>
      </c>
      <c r="N792" t="s">
        <v>20</v>
      </c>
      <c r="O792">
        <f>LOOKUP(X792,Pays!A:A,Pays!D:D)</f>
        <v>0</v>
      </c>
      <c r="P792">
        <v>0.15</v>
      </c>
      <c r="Q792">
        <v>1</v>
      </c>
      <c r="U792">
        <v>1</v>
      </c>
      <c r="W792">
        <f>IF(COUNTIF(Pays!A:A,X792)=0,"",LOOKUP(X792,Pays!A:A,Pays!E:E))</f>
        <v>0</v>
      </c>
      <c r="X792" s="8" t="s">
        <v>37</v>
      </c>
    </row>
    <row r="793" spans="1:24" x14ac:dyDescent="0.25">
      <c r="A793" t="s">
        <v>1169</v>
      </c>
      <c r="B793" t="s">
        <v>182</v>
      </c>
      <c r="C793" s="1">
        <f t="shared" si="25"/>
        <v>46174</v>
      </c>
      <c r="F793" t="s">
        <v>110</v>
      </c>
      <c r="G793" t="s">
        <v>1006</v>
      </c>
      <c r="H793" t="s">
        <v>1876</v>
      </c>
      <c r="I793" t="s">
        <v>18</v>
      </c>
      <c r="J793" t="str">
        <f>IF(COUNTIF(Pays!A:A,X793)=0,"Pays inconnu",_xlfn.XLOOKUP(X793,Pays!A:A,Pays!B:B))</f>
        <v>CH</v>
      </c>
      <c r="K793" t="str">
        <f>IF(COUNTIF(Pays!A:A,X793)=0,"Pays inconnu",_xlfn.XLOOKUP(X793,Pays!A:A,Pays!C:C))</f>
        <v>1_CH</v>
      </c>
      <c r="L793">
        <v>1</v>
      </c>
      <c r="M793">
        <f t="shared" si="24"/>
        <v>0.42</v>
      </c>
      <c r="N793" t="s">
        <v>20</v>
      </c>
      <c r="O793">
        <f>LOOKUP(X793,Pays!A:A,Pays!D:D)</f>
        <v>0</v>
      </c>
      <c r="P793">
        <v>0.15</v>
      </c>
      <c r="Q793">
        <v>0.42</v>
      </c>
      <c r="U793">
        <v>1</v>
      </c>
      <c r="W793">
        <f>IF(COUNTIF(Pays!A:A,X793)=0,"",LOOKUP(X793,Pays!A:A,Pays!E:E))</f>
        <v>0</v>
      </c>
      <c r="X793" s="8" t="s">
        <v>37</v>
      </c>
    </row>
    <row r="794" spans="1:24" x14ac:dyDescent="0.25">
      <c r="A794" t="s">
        <v>1169</v>
      </c>
      <c r="B794" t="s">
        <v>182</v>
      </c>
      <c r="C794" s="1">
        <f t="shared" si="25"/>
        <v>46174</v>
      </c>
      <c r="F794" t="s">
        <v>110</v>
      </c>
      <c r="G794" t="s">
        <v>1007</v>
      </c>
      <c r="H794" t="s">
        <v>1877</v>
      </c>
      <c r="I794" t="s">
        <v>18</v>
      </c>
      <c r="J794" t="str">
        <f>IF(COUNTIF(Pays!A:A,X794)=0,"Pays inconnu",_xlfn.XLOOKUP(X794,Pays!A:A,Pays!B:B))</f>
        <v>CH</v>
      </c>
      <c r="K794" t="str">
        <f>IF(COUNTIF(Pays!A:A,X794)=0,"Pays inconnu",_xlfn.XLOOKUP(X794,Pays!A:A,Pays!C:C))</f>
        <v>1_CH</v>
      </c>
      <c r="L794">
        <v>1</v>
      </c>
      <c r="M794">
        <f t="shared" si="24"/>
        <v>0.34</v>
      </c>
      <c r="N794" t="s">
        <v>20</v>
      </c>
      <c r="O794">
        <f>LOOKUP(X794,Pays!A:A,Pays!D:D)</f>
        <v>0</v>
      </c>
      <c r="P794">
        <v>0.15</v>
      </c>
      <c r="Q794">
        <v>0.34</v>
      </c>
      <c r="U794">
        <v>1</v>
      </c>
      <c r="W794">
        <f>IF(COUNTIF(Pays!A:A,X794)=0,"",LOOKUP(X794,Pays!A:A,Pays!E:E))</f>
        <v>0</v>
      </c>
      <c r="X794" s="8" t="s">
        <v>37</v>
      </c>
    </row>
    <row r="795" spans="1:24" x14ac:dyDescent="0.25">
      <c r="A795" t="s">
        <v>1169</v>
      </c>
      <c r="B795" t="s">
        <v>182</v>
      </c>
      <c r="C795" s="1">
        <f t="shared" si="25"/>
        <v>46174</v>
      </c>
      <c r="F795" t="s">
        <v>155</v>
      </c>
      <c r="G795" t="s">
        <v>1008</v>
      </c>
      <c r="H795" t="s">
        <v>1878</v>
      </c>
      <c r="I795" t="s">
        <v>18</v>
      </c>
      <c r="J795" t="str">
        <f>IF(COUNTIF(Pays!A:A,X795)=0,"Pays inconnu",_xlfn.XLOOKUP(X795,Pays!A:A,Pays!B:B))</f>
        <v>GB</v>
      </c>
      <c r="K795" t="str">
        <f>IF(COUNTIF(Pays!A:A,X795)=0,"Pays inconnu",_xlfn.XLOOKUP(X795,Pays!A:A,Pays!C:C))</f>
        <v>1_GB</v>
      </c>
      <c r="L795">
        <v>1</v>
      </c>
      <c r="M795">
        <f t="shared" si="24"/>
        <v>0.15</v>
      </c>
      <c r="N795" t="s">
        <v>20</v>
      </c>
      <c r="O795">
        <f>LOOKUP(X795,Pays!A:A,Pays!D:D)</f>
        <v>0</v>
      </c>
      <c r="P795">
        <v>0.15</v>
      </c>
      <c r="Q795">
        <v>0.04</v>
      </c>
      <c r="U795">
        <v>1</v>
      </c>
      <c r="W795">
        <f>IF(COUNTIF(Pays!A:A,X795)=0,"",LOOKUP(X795,Pays!A:A,Pays!E:E))</f>
        <v>0</v>
      </c>
      <c r="X795" s="8" t="s">
        <v>30</v>
      </c>
    </row>
    <row r="796" spans="1:24" x14ac:dyDescent="0.25">
      <c r="A796" t="s">
        <v>1169</v>
      </c>
      <c r="B796" t="s">
        <v>182</v>
      </c>
      <c r="C796" s="1">
        <f t="shared" si="25"/>
        <v>46174</v>
      </c>
      <c r="F796" t="s">
        <v>110</v>
      </c>
      <c r="G796" t="s">
        <v>1009</v>
      </c>
      <c r="H796" t="s">
        <v>1879</v>
      </c>
      <c r="I796" t="s">
        <v>18</v>
      </c>
      <c r="J796" t="str">
        <f>IF(COUNTIF(Pays!A:A,X796)=0,"Pays inconnu",_xlfn.XLOOKUP(X796,Pays!A:A,Pays!B:B))</f>
        <v>CH</v>
      </c>
      <c r="K796" t="str">
        <f>IF(COUNTIF(Pays!A:A,X796)=0,"Pays inconnu",_xlfn.XLOOKUP(X796,Pays!A:A,Pays!C:C))</f>
        <v>1_CH</v>
      </c>
      <c r="L796">
        <v>1</v>
      </c>
      <c r="M796">
        <f t="shared" si="24"/>
        <v>0.28000000000000003</v>
      </c>
      <c r="N796" t="s">
        <v>20</v>
      </c>
      <c r="O796">
        <f>LOOKUP(X796,Pays!A:A,Pays!D:D)</f>
        <v>0</v>
      </c>
      <c r="P796">
        <v>0.15</v>
      </c>
      <c r="Q796">
        <v>0.28000000000000003</v>
      </c>
      <c r="U796">
        <v>1</v>
      </c>
      <c r="W796">
        <f>IF(COUNTIF(Pays!A:A,X796)=0,"",LOOKUP(X796,Pays!A:A,Pays!E:E))</f>
        <v>0</v>
      </c>
      <c r="X796" s="8" t="s">
        <v>37</v>
      </c>
    </row>
    <row r="797" spans="1:24" x14ac:dyDescent="0.25">
      <c r="A797" t="s">
        <v>1169</v>
      </c>
      <c r="B797" t="s">
        <v>182</v>
      </c>
      <c r="C797" s="1">
        <f t="shared" si="25"/>
        <v>46174</v>
      </c>
      <c r="F797" t="s">
        <v>155</v>
      </c>
      <c r="G797" t="s">
        <v>1010</v>
      </c>
      <c r="H797" t="s">
        <v>1880</v>
      </c>
      <c r="I797" t="s">
        <v>18</v>
      </c>
      <c r="J797" t="str">
        <f>IF(COUNTIF(Pays!A:A,X797)=0,"Pays inconnu",_xlfn.XLOOKUP(X797,Pays!A:A,Pays!B:B))</f>
        <v>GB</v>
      </c>
      <c r="K797" t="str">
        <f>IF(COUNTIF(Pays!A:A,X797)=0,"Pays inconnu",_xlfn.XLOOKUP(X797,Pays!A:A,Pays!C:C))</f>
        <v>1_GB</v>
      </c>
      <c r="L797">
        <v>1</v>
      </c>
      <c r="M797">
        <f t="shared" si="24"/>
        <v>0.25</v>
      </c>
      <c r="N797" t="s">
        <v>20</v>
      </c>
      <c r="O797">
        <f>LOOKUP(X797,Pays!A:A,Pays!D:D)</f>
        <v>0</v>
      </c>
      <c r="P797">
        <v>0.15</v>
      </c>
      <c r="Q797">
        <v>0.25</v>
      </c>
      <c r="U797">
        <v>1</v>
      </c>
      <c r="W797">
        <f>IF(COUNTIF(Pays!A:A,X797)=0,"",LOOKUP(X797,Pays!A:A,Pays!E:E))</f>
        <v>0</v>
      </c>
      <c r="X797" s="8" t="s">
        <v>30</v>
      </c>
    </row>
    <row r="798" spans="1:24" x14ac:dyDescent="0.25">
      <c r="A798" t="s">
        <v>1169</v>
      </c>
      <c r="B798" t="s">
        <v>182</v>
      </c>
      <c r="C798" s="1">
        <f t="shared" si="25"/>
        <v>46174</v>
      </c>
      <c r="F798" t="s">
        <v>110</v>
      </c>
      <c r="G798" t="s">
        <v>1011</v>
      </c>
      <c r="H798" t="s">
        <v>1881</v>
      </c>
      <c r="I798" t="s">
        <v>18</v>
      </c>
      <c r="J798" t="str">
        <f>IF(COUNTIF(Pays!A:A,X798)=0,"Pays inconnu",_xlfn.XLOOKUP(X798,Pays!A:A,Pays!B:B))</f>
        <v>BE</v>
      </c>
      <c r="K798" t="str">
        <f>IF(COUNTIF(Pays!A:A,X798)=0,"Pays inconnu",_xlfn.XLOOKUP(X798,Pays!A:A,Pays!C:C))</f>
        <v>1_BE</v>
      </c>
      <c r="L798">
        <v>1</v>
      </c>
      <c r="M798">
        <f t="shared" si="24"/>
        <v>0.47</v>
      </c>
      <c r="N798" t="s">
        <v>20</v>
      </c>
      <c r="O798">
        <f>LOOKUP(X798,Pays!A:A,Pays!D:D)</f>
        <v>0.2</v>
      </c>
      <c r="P798">
        <v>0.15</v>
      </c>
      <c r="Q798">
        <v>0.47</v>
      </c>
      <c r="U798">
        <v>1</v>
      </c>
      <c r="W798">
        <f>IF(COUNTIF(Pays!A:A,X798)=0,"",LOOKUP(X798,Pays!A:A,Pays!E:E))</f>
        <v>0</v>
      </c>
      <c r="X798" s="8" t="s">
        <v>28</v>
      </c>
    </row>
    <row r="799" spans="1:24" x14ac:dyDescent="0.25">
      <c r="A799" t="s">
        <v>1169</v>
      </c>
      <c r="B799" t="s">
        <v>182</v>
      </c>
      <c r="C799" s="1">
        <f t="shared" si="25"/>
        <v>46174</v>
      </c>
      <c r="F799" t="s">
        <v>155</v>
      </c>
      <c r="G799" t="s">
        <v>1012</v>
      </c>
      <c r="H799" t="s">
        <v>1882</v>
      </c>
      <c r="I799" t="s">
        <v>18</v>
      </c>
      <c r="J799" t="str">
        <f>IF(COUNTIF(Pays!A:A,X799)=0,"Pays inconnu",_xlfn.XLOOKUP(X799,Pays!A:A,Pays!B:B))</f>
        <v>CH</v>
      </c>
      <c r="K799" t="str">
        <f>IF(COUNTIF(Pays!A:A,X799)=0,"Pays inconnu",_xlfn.XLOOKUP(X799,Pays!A:A,Pays!C:C))</f>
        <v>1_CH</v>
      </c>
      <c r="L799">
        <v>1</v>
      </c>
      <c r="M799">
        <f t="shared" si="24"/>
        <v>0.21</v>
      </c>
      <c r="N799" t="s">
        <v>20</v>
      </c>
      <c r="O799">
        <f>LOOKUP(X799,Pays!A:A,Pays!D:D)</f>
        <v>0</v>
      </c>
      <c r="P799">
        <v>0.15</v>
      </c>
      <c r="Q799">
        <v>0.21</v>
      </c>
      <c r="U799">
        <v>1</v>
      </c>
      <c r="W799">
        <f>IF(COUNTIF(Pays!A:A,X799)=0,"",LOOKUP(X799,Pays!A:A,Pays!E:E))</f>
        <v>0</v>
      </c>
      <c r="X799" s="8" t="s">
        <v>37</v>
      </c>
    </row>
    <row r="800" spans="1:24" x14ac:dyDescent="0.25">
      <c r="A800" t="s">
        <v>1169</v>
      </c>
      <c r="B800" t="s">
        <v>182</v>
      </c>
      <c r="C800" s="1">
        <f t="shared" si="25"/>
        <v>46174</v>
      </c>
      <c r="F800" t="s">
        <v>110</v>
      </c>
      <c r="G800" t="s">
        <v>1013</v>
      </c>
      <c r="H800" t="s">
        <v>1883</v>
      </c>
      <c r="I800" t="s">
        <v>18</v>
      </c>
      <c r="J800" t="str">
        <f>IF(COUNTIF(Pays!A:A,X800)=0,"Pays inconnu",_xlfn.XLOOKUP(X800,Pays!A:A,Pays!B:B))</f>
        <v>BE</v>
      </c>
      <c r="K800" t="str">
        <f>IF(COUNTIF(Pays!A:A,X800)=0,"Pays inconnu",_xlfn.XLOOKUP(X800,Pays!A:A,Pays!C:C))</f>
        <v>1_BE</v>
      </c>
      <c r="L800">
        <v>1</v>
      </c>
      <c r="M800">
        <f t="shared" si="24"/>
        <v>0.3</v>
      </c>
      <c r="N800" t="s">
        <v>20</v>
      </c>
      <c r="O800">
        <f>LOOKUP(X800,Pays!A:A,Pays!D:D)</f>
        <v>0.2</v>
      </c>
      <c r="P800">
        <v>0.15</v>
      </c>
      <c r="Q800">
        <v>0.3</v>
      </c>
      <c r="U800">
        <v>1</v>
      </c>
      <c r="W800">
        <f>IF(COUNTIF(Pays!A:A,X800)=0,"",LOOKUP(X800,Pays!A:A,Pays!E:E))</f>
        <v>0</v>
      </c>
      <c r="X800" s="8" t="s">
        <v>28</v>
      </c>
    </row>
    <row r="801" spans="1:24" x14ac:dyDescent="0.25">
      <c r="A801" t="s">
        <v>1169</v>
      </c>
      <c r="B801" t="s">
        <v>182</v>
      </c>
      <c r="C801" s="1">
        <f t="shared" si="25"/>
        <v>46174</v>
      </c>
      <c r="F801" t="s">
        <v>110</v>
      </c>
      <c r="G801" t="s">
        <v>1014</v>
      </c>
      <c r="H801" t="s">
        <v>1884</v>
      </c>
      <c r="I801" t="s">
        <v>18</v>
      </c>
      <c r="J801" t="str">
        <f>IF(COUNTIF(Pays!A:A,X801)=0,"Pays inconnu",_xlfn.XLOOKUP(X801,Pays!A:A,Pays!B:B))</f>
        <v>GB</v>
      </c>
      <c r="K801" t="str">
        <f>IF(COUNTIF(Pays!A:A,X801)=0,"Pays inconnu",_xlfn.XLOOKUP(X801,Pays!A:A,Pays!C:C))</f>
        <v>1_GB</v>
      </c>
      <c r="L801">
        <v>1</v>
      </c>
      <c r="M801">
        <f t="shared" si="24"/>
        <v>0.43</v>
      </c>
      <c r="N801" t="s">
        <v>20</v>
      </c>
      <c r="O801">
        <f>LOOKUP(X801,Pays!A:A,Pays!D:D)</f>
        <v>0</v>
      </c>
      <c r="P801">
        <v>0.15</v>
      </c>
      <c r="Q801">
        <v>0.43</v>
      </c>
      <c r="U801">
        <v>1</v>
      </c>
      <c r="W801">
        <f>IF(COUNTIF(Pays!A:A,X801)=0,"",LOOKUP(X801,Pays!A:A,Pays!E:E))</f>
        <v>0</v>
      </c>
      <c r="X801" s="8" t="s">
        <v>30</v>
      </c>
    </row>
    <row r="802" spans="1:24" x14ac:dyDescent="0.25">
      <c r="A802" t="s">
        <v>1169</v>
      </c>
      <c r="B802" t="s">
        <v>182</v>
      </c>
      <c r="C802" s="1">
        <f t="shared" si="25"/>
        <v>46174</v>
      </c>
      <c r="F802" t="s">
        <v>155</v>
      </c>
      <c r="G802" t="s">
        <v>1015</v>
      </c>
      <c r="H802" t="s">
        <v>1885</v>
      </c>
      <c r="I802" t="s">
        <v>18</v>
      </c>
      <c r="J802" t="str">
        <f>IF(COUNTIF(Pays!A:A,X802)=0,"Pays inconnu",_xlfn.XLOOKUP(X802,Pays!A:A,Pays!B:B))</f>
        <v>GB</v>
      </c>
      <c r="K802" t="str">
        <f>IF(COUNTIF(Pays!A:A,X802)=0,"Pays inconnu",_xlfn.XLOOKUP(X802,Pays!A:A,Pays!C:C))</f>
        <v>1_GB</v>
      </c>
      <c r="L802">
        <v>1</v>
      </c>
      <c r="M802">
        <f t="shared" si="24"/>
        <v>0.2</v>
      </c>
      <c r="N802" t="s">
        <v>20</v>
      </c>
      <c r="O802">
        <f>LOOKUP(X802,Pays!A:A,Pays!D:D)</f>
        <v>0</v>
      </c>
      <c r="P802">
        <v>0.15</v>
      </c>
      <c r="Q802">
        <v>0.2</v>
      </c>
      <c r="U802">
        <v>1</v>
      </c>
      <c r="W802">
        <f>IF(COUNTIF(Pays!A:A,X802)=0,"",LOOKUP(X802,Pays!A:A,Pays!E:E))</f>
        <v>0</v>
      </c>
      <c r="X802" s="8" t="s">
        <v>30</v>
      </c>
    </row>
    <row r="803" spans="1:24" x14ac:dyDescent="0.25">
      <c r="A803" t="s">
        <v>1169</v>
      </c>
      <c r="B803" t="s">
        <v>182</v>
      </c>
      <c r="C803" s="1">
        <f t="shared" si="25"/>
        <v>46174</v>
      </c>
      <c r="F803" t="s">
        <v>155</v>
      </c>
      <c r="G803" t="s">
        <v>1016</v>
      </c>
      <c r="H803" t="s">
        <v>1886</v>
      </c>
      <c r="I803" t="s">
        <v>18</v>
      </c>
      <c r="J803" t="str">
        <f>IF(COUNTIF(Pays!A:A,X803)=0,"Pays inconnu",_xlfn.XLOOKUP(X803,Pays!A:A,Pays!B:B))</f>
        <v>CH</v>
      </c>
      <c r="K803" t="str">
        <f>IF(COUNTIF(Pays!A:A,X803)=0,"Pays inconnu",_xlfn.XLOOKUP(X803,Pays!A:A,Pays!C:C))</f>
        <v>1_CH</v>
      </c>
      <c r="L803">
        <v>1</v>
      </c>
      <c r="M803">
        <f t="shared" si="24"/>
        <v>0.42</v>
      </c>
      <c r="N803" t="s">
        <v>20</v>
      </c>
      <c r="O803">
        <f>LOOKUP(X803,Pays!A:A,Pays!D:D)</f>
        <v>0</v>
      </c>
      <c r="P803">
        <v>0.15</v>
      </c>
      <c r="Q803">
        <v>0.42</v>
      </c>
      <c r="U803">
        <v>1</v>
      </c>
      <c r="W803">
        <f>IF(COUNTIF(Pays!A:A,X803)=0,"",LOOKUP(X803,Pays!A:A,Pays!E:E))</f>
        <v>0</v>
      </c>
      <c r="X803" s="8" t="s">
        <v>37</v>
      </c>
    </row>
    <row r="804" spans="1:24" x14ac:dyDescent="0.25">
      <c r="A804" t="s">
        <v>1169</v>
      </c>
      <c r="B804" t="s">
        <v>182</v>
      </c>
      <c r="C804" s="1">
        <f t="shared" si="25"/>
        <v>46174</v>
      </c>
      <c r="F804" t="s">
        <v>181</v>
      </c>
      <c r="G804" t="s">
        <v>1017</v>
      </c>
      <c r="H804" t="s">
        <v>1887</v>
      </c>
      <c r="I804" t="s">
        <v>18</v>
      </c>
      <c r="J804" t="str">
        <f>IF(COUNTIF(Pays!A:A,X804)=0,"Pays inconnu",_xlfn.XLOOKUP(X804,Pays!A:A,Pays!B:B))</f>
        <v>GB</v>
      </c>
      <c r="K804" t="str">
        <f>IF(COUNTIF(Pays!A:A,X804)=0,"Pays inconnu",_xlfn.XLOOKUP(X804,Pays!A:A,Pays!C:C))</f>
        <v>1_GB</v>
      </c>
      <c r="L804">
        <v>1</v>
      </c>
      <c r="M804">
        <f t="shared" si="24"/>
        <v>0.31</v>
      </c>
      <c r="N804" t="s">
        <v>20</v>
      </c>
      <c r="O804">
        <f>LOOKUP(X804,Pays!A:A,Pays!D:D)</f>
        <v>0</v>
      </c>
      <c r="P804">
        <v>0.15</v>
      </c>
      <c r="Q804">
        <v>0.31</v>
      </c>
      <c r="U804">
        <v>1</v>
      </c>
      <c r="W804">
        <f>IF(COUNTIF(Pays!A:A,X804)=0,"",LOOKUP(X804,Pays!A:A,Pays!E:E))</f>
        <v>0</v>
      </c>
      <c r="X804" s="8" t="s">
        <v>30</v>
      </c>
    </row>
    <row r="805" spans="1:24" x14ac:dyDescent="0.25">
      <c r="A805" t="s">
        <v>1169</v>
      </c>
      <c r="B805" t="s">
        <v>182</v>
      </c>
      <c r="C805" s="1">
        <f t="shared" si="25"/>
        <v>46174</v>
      </c>
      <c r="F805" t="s">
        <v>110</v>
      </c>
      <c r="G805" t="s">
        <v>1018</v>
      </c>
      <c r="H805" t="s">
        <v>1888</v>
      </c>
      <c r="I805" t="s">
        <v>18</v>
      </c>
      <c r="J805" t="str">
        <f>IF(COUNTIF(Pays!A:A,X805)=0,"Pays inconnu",_xlfn.XLOOKUP(X805,Pays!A:A,Pays!B:B))</f>
        <v>CZ</v>
      </c>
      <c r="K805">
        <f>IF(COUNTIF(Pays!A:A,X805)=0,"Pays inconnu",_xlfn.XLOOKUP(X805,Pays!A:A,Pays!C:C))</f>
        <v>1</v>
      </c>
      <c r="L805">
        <v>1</v>
      </c>
      <c r="M805">
        <f t="shared" si="24"/>
        <v>0.54</v>
      </c>
      <c r="N805" t="s">
        <v>20</v>
      </c>
      <c r="O805">
        <f>LOOKUP(X805,Pays!A:A,Pays!D:D)</f>
        <v>0.2</v>
      </c>
      <c r="P805">
        <v>0.15</v>
      </c>
      <c r="Q805">
        <v>0.54</v>
      </c>
      <c r="U805">
        <v>1</v>
      </c>
      <c r="W805">
        <f>IF(COUNTIF(Pays!A:A,X805)=0,"",LOOKUP(X805,Pays!A:A,Pays!E:E))</f>
        <v>0</v>
      </c>
      <c r="X805" s="8" t="s">
        <v>87</v>
      </c>
    </row>
    <row r="806" spans="1:24" x14ac:dyDescent="0.25">
      <c r="A806" t="s">
        <v>1169</v>
      </c>
      <c r="B806" t="s">
        <v>182</v>
      </c>
      <c r="C806" s="1">
        <f t="shared" si="25"/>
        <v>46174</v>
      </c>
      <c r="F806" t="s">
        <v>155</v>
      </c>
      <c r="G806" t="s">
        <v>1019</v>
      </c>
      <c r="H806" t="s">
        <v>1889</v>
      </c>
      <c r="I806" t="s">
        <v>18</v>
      </c>
      <c r="J806" t="str">
        <f>IF(COUNTIF(Pays!A:A,X806)=0,"Pays inconnu",_xlfn.XLOOKUP(X806,Pays!A:A,Pays!B:B))</f>
        <v>CH</v>
      </c>
      <c r="K806" t="str">
        <f>IF(COUNTIF(Pays!A:A,X806)=0,"Pays inconnu",_xlfn.XLOOKUP(X806,Pays!A:A,Pays!C:C))</f>
        <v>1_CH</v>
      </c>
      <c r="L806">
        <v>1</v>
      </c>
      <c r="M806">
        <f t="shared" si="24"/>
        <v>0.15</v>
      </c>
      <c r="N806" t="s">
        <v>20</v>
      </c>
      <c r="O806">
        <f>LOOKUP(X806,Pays!A:A,Pays!D:D)</f>
        <v>0</v>
      </c>
      <c r="P806">
        <v>0.15</v>
      </c>
      <c r="Q806">
        <v>0.14000000000000001</v>
      </c>
      <c r="U806">
        <v>1</v>
      </c>
      <c r="W806">
        <f>IF(COUNTIF(Pays!A:A,X806)=0,"",LOOKUP(X806,Pays!A:A,Pays!E:E))</f>
        <v>0</v>
      </c>
      <c r="X806" s="8" t="s">
        <v>37</v>
      </c>
    </row>
    <row r="807" spans="1:24" x14ac:dyDescent="0.25">
      <c r="A807" t="s">
        <v>1169</v>
      </c>
      <c r="B807" t="s">
        <v>182</v>
      </c>
      <c r="C807" s="1">
        <f t="shared" si="25"/>
        <v>46174</v>
      </c>
      <c r="F807" t="s">
        <v>155</v>
      </c>
      <c r="G807" t="s">
        <v>1020</v>
      </c>
      <c r="H807" t="s">
        <v>1890</v>
      </c>
      <c r="I807" t="s">
        <v>18</v>
      </c>
      <c r="J807" t="str">
        <f>IF(COUNTIF(Pays!A:A,X807)=0,"Pays inconnu",_xlfn.XLOOKUP(X807,Pays!A:A,Pays!B:B))</f>
        <v>GB</v>
      </c>
      <c r="K807" t="str">
        <f>IF(COUNTIF(Pays!A:A,X807)=0,"Pays inconnu",_xlfn.XLOOKUP(X807,Pays!A:A,Pays!C:C))</f>
        <v>1_GB</v>
      </c>
      <c r="L807">
        <v>1</v>
      </c>
      <c r="M807">
        <f t="shared" si="24"/>
        <v>0.3</v>
      </c>
      <c r="N807" t="s">
        <v>20</v>
      </c>
      <c r="O807">
        <f>LOOKUP(X807,Pays!A:A,Pays!D:D)</f>
        <v>0</v>
      </c>
      <c r="P807">
        <v>0.15</v>
      </c>
      <c r="Q807">
        <v>0.3</v>
      </c>
      <c r="U807">
        <v>1</v>
      </c>
      <c r="W807">
        <f>IF(COUNTIF(Pays!A:A,X807)=0,"",LOOKUP(X807,Pays!A:A,Pays!E:E))</f>
        <v>0</v>
      </c>
      <c r="X807" s="8" t="s">
        <v>30</v>
      </c>
    </row>
    <row r="808" spans="1:24" x14ac:dyDescent="0.25">
      <c r="A808" t="s">
        <v>1169</v>
      </c>
      <c r="B808" t="s">
        <v>182</v>
      </c>
      <c r="C808" s="1">
        <f t="shared" si="25"/>
        <v>46174</v>
      </c>
      <c r="F808" t="s">
        <v>110</v>
      </c>
      <c r="G808" t="s">
        <v>1021</v>
      </c>
      <c r="H808" t="s">
        <v>1891</v>
      </c>
      <c r="I808" t="s">
        <v>18</v>
      </c>
      <c r="J808" t="str">
        <f>IF(COUNTIF(Pays!A:A,X808)=0,"Pays inconnu",_xlfn.XLOOKUP(X808,Pays!A:A,Pays!B:B))</f>
        <v>GB</v>
      </c>
      <c r="K808" t="str">
        <f>IF(COUNTIF(Pays!A:A,X808)=0,"Pays inconnu",_xlfn.XLOOKUP(X808,Pays!A:A,Pays!C:C))</f>
        <v>1_GB</v>
      </c>
      <c r="L808">
        <v>1</v>
      </c>
      <c r="M808">
        <f t="shared" si="24"/>
        <v>0.15</v>
      </c>
      <c r="N808" t="s">
        <v>20</v>
      </c>
      <c r="O808">
        <f>LOOKUP(X808,Pays!A:A,Pays!D:D)</f>
        <v>0</v>
      </c>
      <c r="P808">
        <v>0.15</v>
      </c>
      <c r="Q808">
        <v>0.15</v>
      </c>
      <c r="U808">
        <v>1</v>
      </c>
      <c r="W808">
        <f>IF(COUNTIF(Pays!A:A,X808)=0,"",LOOKUP(X808,Pays!A:A,Pays!E:E))</f>
        <v>0</v>
      </c>
      <c r="X808" s="8" t="s">
        <v>30</v>
      </c>
    </row>
    <row r="809" spans="1:24" x14ac:dyDescent="0.25">
      <c r="A809" t="s">
        <v>1169</v>
      </c>
      <c r="B809" t="s">
        <v>182</v>
      </c>
      <c r="C809" s="1">
        <f t="shared" si="25"/>
        <v>46174</v>
      </c>
      <c r="F809" t="s">
        <v>110</v>
      </c>
      <c r="G809" t="s">
        <v>1022</v>
      </c>
      <c r="H809" t="s">
        <v>1892</v>
      </c>
      <c r="I809" t="s">
        <v>18</v>
      </c>
      <c r="J809" t="str">
        <f>IF(COUNTIF(Pays!A:A,X809)=0,"Pays inconnu",_xlfn.XLOOKUP(X809,Pays!A:A,Pays!B:B))</f>
        <v>CH</v>
      </c>
      <c r="K809" t="str">
        <f>IF(COUNTIF(Pays!A:A,X809)=0,"Pays inconnu",_xlfn.XLOOKUP(X809,Pays!A:A,Pays!C:C))</f>
        <v>1_CH</v>
      </c>
      <c r="L809">
        <v>1</v>
      </c>
      <c r="M809">
        <f t="shared" si="24"/>
        <v>0.15</v>
      </c>
      <c r="N809" t="s">
        <v>20</v>
      </c>
      <c r="O809">
        <f>LOOKUP(X809,Pays!A:A,Pays!D:D)</f>
        <v>0</v>
      </c>
      <c r="P809">
        <v>0.15</v>
      </c>
      <c r="Q809">
        <v>0.12</v>
      </c>
      <c r="U809">
        <v>1</v>
      </c>
      <c r="W809">
        <f>IF(COUNTIF(Pays!A:A,X809)=0,"",LOOKUP(X809,Pays!A:A,Pays!E:E))</f>
        <v>0</v>
      </c>
      <c r="X809" s="8" t="s">
        <v>37</v>
      </c>
    </row>
    <row r="810" spans="1:24" x14ac:dyDescent="0.25">
      <c r="A810" t="s">
        <v>1169</v>
      </c>
      <c r="B810" t="s">
        <v>182</v>
      </c>
      <c r="C810" s="1">
        <f t="shared" si="25"/>
        <v>46174</v>
      </c>
      <c r="F810" t="s">
        <v>155</v>
      </c>
      <c r="G810" t="s">
        <v>1023</v>
      </c>
      <c r="H810" t="s">
        <v>1893</v>
      </c>
      <c r="I810" t="s">
        <v>18</v>
      </c>
      <c r="J810" t="str">
        <f>IF(COUNTIF(Pays!A:A,X810)=0,"Pays inconnu",_xlfn.XLOOKUP(X810,Pays!A:A,Pays!B:B))</f>
        <v>CH</v>
      </c>
      <c r="K810" t="str">
        <f>IF(COUNTIF(Pays!A:A,X810)=0,"Pays inconnu",_xlfn.XLOOKUP(X810,Pays!A:A,Pays!C:C))</f>
        <v>1_CH</v>
      </c>
      <c r="L810">
        <v>1</v>
      </c>
      <c r="M810">
        <f t="shared" si="24"/>
        <v>0.16</v>
      </c>
      <c r="N810" t="s">
        <v>20</v>
      </c>
      <c r="O810">
        <f>LOOKUP(X810,Pays!A:A,Pays!D:D)</f>
        <v>0</v>
      </c>
      <c r="P810">
        <v>0.15</v>
      </c>
      <c r="Q810">
        <v>0.16</v>
      </c>
      <c r="U810">
        <v>1</v>
      </c>
      <c r="W810">
        <f>IF(COUNTIF(Pays!A:A,X810)=0,"",LOOKUP(X810,Pays!A:A,Pays!E:E))</f>
        <v>0</v>
      </c>
      <c r="X810" s="8" t="s">
        <v>37</v>
      </c>
    </row>
    <row r="811" spans="1:24" x14ac:dyDescent="0.25">
      <c r="A811" t="s">
        <v>1169</v>
      </c>
      <c r="B811" t="s">
        <v>182</v>
      </c>
      <c r="C811" s="1">
        <f t="shared" si="25"/>
        <v>46174</v>
      </c>
      <c r="F811" t="s">
        <v>155</v>
      </c>
      <c r="G811" t="s">
        <v>1024</v>
      </c>
      <c r="H811" t="s">
        <v>207</v>
      </c>
      <c r="I811" t="s">
        <v>18</v>
      </c>
      <c r="J811" t="str">
        <f>IF(COUNTIF(Pays!A:A,X811)=0,"Pays inconnu",_xlfn.XLOOKUP(X811,Pays!A:A,Pays!B:B))</f>
        <v>BE</v>
      </c>
      <c r="K811" t="str">
        <f>IF(COUNTIF(Pays!A:A,X811)=0,"Pays inconnu",_xlfn.XLOOKUP(X811,Pays!A:A,Pays!C:C))</f>
        <v>1_BE</v>
      </c>
      <c r="L811">
        <v>1</v>
      </c>
      <c r="M811">
        <f t="shared" si="24"/>
        <v>0.3</v>
      </c>
      <c r="N811" t="s">
        <v>20</v>
      </c>
      <c r="O811">
        <f>LOOKUP(X811,Pays!A:A,Pays!D:D)</f>
        <v>0.2</v>
      </c>
      <c r="P811">
        <v>0.15</v>
      </c>
      <c r="Q811">
        <v>0.3</v>
      </c>
      <c r="U811">
        <v>1</v>
      </c>
      <c r="W811">
        <f>IF(COUNTIF(Pays!A:A,X811)=0,"",LOOKUP(X811,Pays!A:A,Pays!E:E))</f>
        <v>0</v>
      </c>
      <c r="X811" s="8" t="s">
        <v>28</v>
      </c>
    </row>
    <row r="812" spans="1:24" x14ac:dyDescent="0.25">
      <c r="A812" t="s">
        <v>1169</v>
      </c>
      <c r="B812" t="s">
        <v>182</v>
      </c>
      <c r="C812" s="1">
        <f t="shared" si="25"/>
        <v>46174</v>
      </c>
      <c r="F812" t="s">
        <v>110</v>
      </c>
      <c r="G812" t="s">
        <v>1025</v>
      </c>
      <c r="H812" t="s">
        <v>1894</v>
      </c>
      <c r="I812" t="s">
        <v>18</v>
      </c>
      <c r="J812" t="str">
        <f>IF(COUNTIF(Pays!A:A,X812)=0,"Pays inconnu",_xlfn.XLOOKUP(X812,Pays!A:A,Pays!B:B))</f>
        <v>EE</v>
      </c>
      <c r="K812">
        <f>IF(COUNTIF(Pays!A:A,X812)=0,"Pays inconnu",_xlfn.XLOOKUP(X812,Pays!A:A,Pays!C:C))</f>
        <v>1</v>
      </c>
      <c r="L812">
        <v>1</v>
      </c>
      <c r="M812">
        <f t="shared" si="24"/>
        <v>0.4</v>
      </c>
      <c r="N812" t="s">
        <v>20</v>
      </c>
      <c r="O812">
        <f>LOOKUP(X812,Pays!A:A,Pays!D:D)</f>
        <v>0.2</v>
      </c>
      <c r="P812">
        <v>0.4</v>
      </c>
      <c r="Q812">
        <v>0.4</v>
      </c>
      <c r="U812">
        <v>1</v>
      </c>
      <c r="W812">
        <f>IF(COUNTIF(Pays!A:A,X812)=0,"",LOOKUP(X812,Pays!A:A,Pays!E:E))</f>
        <v>0</v>
      </c>
      <c r="X812" s="8" t="s">
        <v>92</v>
      </c>
    </row>
    <row r="813" spans="1:24" x14ac:dyDescent="0.25">
      <c r="A813" t="s">
        <v>1170</v>
      </c>
      <c r="B813" t="s">
        <v>182</v>
      </c>
      <c r="C813" s="1">
        <f t="shared" si="25"/>
        <v>46174</v>
      </c>
      <c r="F813" t="s">
        <v>110</v>
      </c>
      <c r="G813" t="s">
        <v>1026</v>
      </c>
      <c r="H813" t="s">
        <v>1413</v>
      </c>
      <c r="I813" t="s">
        <v>18</v>
      </c>
      <c r="J813" t="str">
        <f>IF(COUNTIF(Pays!A:A,X813)=0,"Pays inconnu",_xlfn.XLOOKUP(X813,Pays!A:A,Pays!B:B))</f>
        <v>LU</v>
      </c>
      <c r="K813">
        <f>IF(COUNTIF(Pays!A:A,X813)=0,"Pays inconnu",_xlfn.XLOOKUP(X813,Pays!A:A,Pays!C:C))</f>
        <v>1</v>
      </c>
      <c r="L813">
        <v>1</v>
      </c>
      <c r="M813">
        <f t="shared" si="24"/>
        <v>0.6</v>
      </c>
      <c r="N813" t="s">
        <v>20</v>
      </c>
      <c r="O813">
        <f>LOOKUP(X813,Pays!A:A,Pays!D:D)</f>
        <v>0.2</v>
      </c>
      <c r="P813">
        <v>0.6</v>
      </c>
      <c r="Q813">
        <v>0.6</v>
      </c>
      <c r="U813">
        <v>1</v>
      </c>
      <c r="W813">
        <f>IF(COUNTIF(Pays!A:A,X813)=0,"",LOOKUP(X813,Pays!A:A,Pays!E:E))</f>
        <v>0</v>
      </c>
      <c r="X813" s="8" t="s">
        <v>32</v>
      </c>
    </row>
    <row r="814" spans="1:24" x14ac:dyDescent="0.25">
      <c r="A814" t="s">
        <v>1170</v>
      </c>
      <c r="B814" t="s">
        <v>182</v>
      </c>
      <c r="C814" s="1">
        <f t="shared" si="25"/>
        <v>46174</v>
      </c>
      <c r="F814" t="s">
        <v>110</v>
      </c>
      <c r="G814" t="s">
        <v>1027</v>
      </c>
      <c r="H814" t="s">
        <v>1895</v>
      </c>
      <c r="I814" t="s">
        <v>18</v>
      </c>
      <c r="J814" t="str">
        <f>IF(COUNTIF(Pays!A:A,X814)=0,"Pays inconnu",_xlfn.XLOOKUP(X814,Pays!A:A,Pays!B:B))</f>
        <v>ES</v>
      </c>
      <c r="K814">
        <f>IF(COUNTIF(Pays!A:A,X814)=0,"Pays inconnu",_xlfn.XLOOKUP(X814,Pays!A:A,Pays!C:C))</f>
        <v>1</v>
      </c>
      <c r="L814">
        <v>1</v>
      </c>
      <c r="M814">
        <f t="shared" si="24"/>
        <v>0.42</v>
      </c>
      <c r="N814" t="s">
        <v>20</v>
      </c>
      <c r="O814">
        <f>LOOKUP(X814,Pays!A:A,Pays!D:D)</f>
        <v>0.2</v>
      </c>
      <c r="P814">
        <v>0.15</v>
      </c>
      <c r="Q814">
        <v>0.42</v>
      </c>
      <c r="U814">
        <v>1</v>
      </c>
      <c r="W814">
        <f>IF(COUNTIF(Pays!A:A,X814)=0,"",LOOKUP(X814,Pays!A:A,Pays!E:E))</f>
        <v>0</v>
      </c>
      <c r="X814" s="8" t="s">
        <v>29</v>
      </c>
    </row>
    <row r="815" spans="1:24" x14ac:dyDescent="0.25">
      <c r="A815" t="s">
        <v>1170</v>
      </c>
      <c r="B815" t="s">
        <v>182</v>
      </c>
      <c r="C815" s="1">
        <f t="shared" si="25"/>
        <v>46174</v>
      </c>
      <c r="F815" t="s">
        <v>110</v>
      </c>
      <c r="G815" t="s">
        <v>1028</v>
      </c>
      <c r="H815" t="s">
        <v>1896</v>
      </c>
      <c r="I815" t="s">
        <v>18</v>
      </c>
      <c r="J815" t="str">
        <f>IF(COUNTIF(Pays!A:A,X815)=0,"Pays inconnu",_xlfn.XLOOKUP(X815,Pays!A:A,Pays!B:B))</f>
        <v>CH</v>
      </c>
      <c r="K815" t="str">
        <f>IF(COUNTIF(Pays!A:A,X815)=0,"Pays inconnu",_xlfn.XLOOKUP(X815,Pays!A:A,Pays!C:C))</f>
        <v>1_CH</v>
      </c>
      <c r="L815">
        <v>1</v>
      </c>
      <c r="M815">
        <f t="shared" si="24"/>
        <v>0.77</v>
      </c>
      <c r="N815" t="s">
        <v>20</v>
      </c>
      <c r="O815">
        <f>LOOKUP(X815,Pays!A:A,Pays!D:D)</f>
        <v>0</v>
      </c>
      <c r="P815">
        <v>0.77</v>
      </c>
      <c r="Q815">
        <v>0.77</v>
      </c>
      <c r="U815">
        <v>1</v>
      </c>
      <c r="W815">
        <f>IF(COUNTIF(Pays!A:A,X815)=0,"",LOOKUP(X815,Pays!A:A,Pays!E:E))</f>
        <v>0</v>
      </c>
      <c r="X815" s="8" t="s">
        <v>37</v>
      </c>
    </row>
    <row r="816" spans="1:24" x14ac:dyDescent="0.25">
      <c r="A816" t="s">
        <v>1170</v>
      </c>
      <c r="B816" t="s">
        <v>182</v>
      </c>
      <c r="C816" s="1">
        <f t="shared" si="25"/>
        <v>46174</v>
      </c>
      <c r="F816" t="s">
        <v>110</v>
      </c>
      <c r="G816" t="s">
        <v>1029</v>
      </c>
      <c r="H816" t="s">
        <v>1897</v>
      </c>
      <c r="I816" t="s">
        <v>18</v>
      </c>
      <c r="J816" t="str">
        <f>IF(COUNTIF(Pays!A:A,X816)=0,"Pays inconnu",_xlfn.XLOOKUP(X816,Pays!A:A,Pays!B:B))</f>
        <v>CH</v>
      </c>
      <c r="K816" t="str">
        <f>IF(COUNTIF(Pays!A:A,X816)=0,"Pays inconnu",_xlfn.XLOOKUP(X816,Pays!A:A,Pays!C:C))</f>
        <v>1_CH</v>
      </c>
      <c r="L816">
        <v>1</v>
      </c>
      <c r="M816">
        <f t="shared" si="24"/>
        <v>0.57999999999999996</v>
      </c>
      <c r="N816" t="s">
        <v>20</v>
      </c>
      <c r="O816">
        <f>LOOKUP(X816,Pays!A:A,Pays!D:D)</f>
        <v>0</v>
      </c>
      <c r="P816">
        <v>0.15</v>
      </c>
      <c r="Q816">
        <v>0.57999999999999996</v>
      </c>
      <c r="U816">
        <v>1</v>
      </c>
      <c r="W816">
        <f>IF(COUNTIF(Pays!A:A,X816)=0,"",LOOKUP(X816,Pays!A:A,Pays!E:E))</f>
        <v>0</v>
      </c>
      <c r="X816" s="8" t="s">
        <v>37</v>
      </c>
    </row>
    <row r="817" spans="1:24" x14ac:dyDescent="0.25">
      <c r="A817" t="s">
        <v>1170</v>
      </c>
      <c r="B817" t="s">
        <v>182</v>
      </c>
      <c r="C817" s="1">
        <f t="shared" si="25"/>
        <v>46174</v>
      </c>
      <c r="F817" t="s">
        <v>110</v>
      </c>
      <c r="G817" t="s">
        <v>1030</v>
      </c>
      <c r="H817" t="s">
        <v>1898</v>
      </c>
      <c r="I817" t="s">
        <v>18</v>
      </c>
      <c r="J817" t="str">
        <f>IF(COUNTIF(Pays!A:A,X817)=0,"Pays inconnu",_xlfn.XLOOKUP(X817,Pays!A:A,Pays!B:B))</f>
        <v>CH</v>
      </c>
      <c r="K817" t="str">
        <f>IF(COUNTIF(Pays!A:A,X817)=0,"Pays inconnu",_xlfn.XLOOKUP(X817,Pays!A:A,Pays!C:C))</f>
        <v>1_CH</v>
      </c>
      <c r="L817">
        <v>1</v>
      </c>
      <c r="M817">
        <f t="shared" si="24"/>
        <v>0.17</v>
      </c>
      <c r="N817" t="s">
        <v>20</v>
      </c>
      <c r="O817">
        <f>LOOKUP(X817,Pays!A:A,Pays!D:D)</f>
        <v>0</v>
      </c>
      <c r="P817">
        <v>0.15</v>
      </c>
      <c r="Q817">
        <v>0.17</v>
      </c>
      <c r="U817">
        <v>1</v>
      </c>
      <c r="W817">
        <f>IF(COUNTIF(Pays!A:A,X817)=0,"",LOOKUP(X817,Pays!A:A,Pays!E:E))</f>
        <v>0</v>
      </c>
      <c r="X817" s="8" t="s">
        <v>37</v>
      </c>
    </row>
    <row r="818" spans="1:24" x14ac:dyDescent="0.25">
      <c r="A818" t="s">
        <v>1170</v>
      </c>
      <c r="B818" t="s">
        <v>182</v>
      </c>
      <c r="C818" s="1">
        <f t="shared" si="25"/>
        <v>46174</v>
      </c>
      <c r="F818" t="s">
        <v>110</v>
      </c>
      <c r="G818" t="s">
        <v>1031</v>
      </c>
      <c r="H818" t="s">
        <v>1899</v>
      </c>
      <c r="I818" t="s">
        <v>18</v>
      </c>
      <c r="J818" t="str">
        <f>IF(COUNTIF(Pays!A:A,X818)=0,"Pays inconnu",_xlfn.XLOOKUP(X818,Pays!A:A,Pays!B:B))</f>
        <v>GB</v>
      </c>
      <c r="K818" t="str">
        <f>IF(COUNTIF(Pays!A:A,X818)=0,"Pays inconnu",_xlfn.XLOOKUP(X818,Pays!A:A,Pays!C:C))</f>
        <v>1_GB</v>
      </c>
      <c r="L818">
        <v>1</v>
      </c>
      <c r="M818">
        <f t="shared" si="24"/>
        <v>0.15</v>
      </c>
      <c r="N818" t="s">
        <v>20</v>
      </c>
      <c r="O818">
        <f>LOOKUP(X818,Pays!A:A,Pays!D:D)</f>
        <v>0</v>
      </c>
      <c r="P818">
        <v>0.15</v>
      </c>
      <c r="Q818">
        <v>0.04</v>
      </c>
      <c r="U818">
        <v>1</v>
      </c>
      <c r="W818">
        <f>IF(COUNTIF(Pays!A:A,X818)=0,"",LOOKUP(X818,Pays!A:A,Pays!E:E))</f>
        <v>0</v>
      </c>
      <c r="X818" s="8" t="s">
        <v>30</v>
      </c>
    </row>
    <row r="819" spans="1:24" x14ac:dyDescent="0.25">
      <c r="A819" t="s">
        <v>1170</v>
      </c>
      <c r="B819" t="s">
        <v>182</v>
      </c>
      <c r="C819" s="1">
        <f t="shared" si="25"/>
        <v>46174</v>
      </c>
      <c r="F819" t="s">
        <v>110</v>
      </c>
      <c r="G819" t="s">
        <v>1032</v>
      </c>
      <c r="H819" t="s">
        <v>1900</v>
      </c>
      <c r="I819" t="s">
        <v>18</v>
      </c>
      <c r="J819" t="str">
        <f>IF(COUNTIF(Pays!A:A,X819)=0,"Pays inconnu",_xlfn.XLOOKUP(X819,Pays!A:A,Pays!B:B))</f>
        <v>CH</v>
      </c>
      <c r="K819" t="str">
        <f>IF(COUNTIF(Pays!A:A,X819)=0,"Pays inconnu",_xlfn.XLOOKUP(X819,Pays!A:A,Pays!C:C))</f>
        <v>1_CH</v>
      </c>
      <c r="L819">
        <v>1</v>
      </c>
      <c r="M819">
        <f t="shared" si="24"/>
        <v>0.42</v>
      </c>
      <c r="N819" t="s">
        <v>20</v>
      </c>
      <c r="O819">
        <f>LOOKUP(X819,Pays!A:A,Pays!D:D)</f>
        <v>0</v>
      </c>
      <c r="P819">
        <v>0.15</v>
      </c>
      <c r="Q819">
        <v>0.42</v>
      </c>
      <c r="U819">
        <v>1</v>
      </c>
      <c r="W819">
        <f>IF(COUNTIF(Pays!A:A,X819)=0,"",LOOKUP(X819,Pays!A:A,Pays!E:E))</f>
        <v>0</v>
      </c>
      <c r="X819" s="8" t="s">
        <v>37</v>
      </c>
    </row>
    <row r="820" spans="1:24" x14ac:dyDescent="0.25">
      <c r="A820" t="s">
        <v>1170</v>
      </c>
      <c r="B820" t="s">
        <v>182</v>
      </c>
      <c r="C820" s="1">
        <f t="shared" si="25"/>
        <v>46174</v>
      </c>
      <c r="F820" t="s">
        <v>110</v>
      </c>
      <c r="G820" t="s">
        <v>1033</v>
      </c>
      <c r="H820" t="s">
        <v>1901</v>
      </c>
      <c r="I820" t="s">
        <v>18</v>
      </c>
      <c r="J820" t="str">
        <f>IF(COUNTIF(Pays!A:A,X820)=0,"Pays inconnu",_xlfn.XLOOKUP(X820,Pays!A:A,Pays!B:B))</f>
        <v>BE</v>
      </c>
      <c r="K820" t="str">
        <f>IF(COUNTIF(Pays!A:A,X820)=0,"Pays inconnu",_xlfn.XLOOKUP(X820,Pays!A:A,Pays!C:C))</f>
        <v>1_BE</v>
      </c>
      <c r="L820">
        <v>1</v>
      </c>
      <c r="M820">
        <f t="shared" si="24"/>
        <v>0.26</v>
      </c>
      <c r="N820" t="s">
        <v>20</v>
      </c>
      <c r="O820">
        <f>LOOKUP(X820,Pays!A:A,Pays!D:D)</f>
        <v>0.2</v>
      </c>
      <c r="P820">
        <v>0.15</v>
      </c>
      <c r="Q820">
        <v>0.26</v>
      </c>
      <c r="U820">
        <v>1</v>
      </c>
      <c r="W820">
        <f>IF(COUNTIF(Pays!A:A,X820)=0,"",LOOKUP(X820,Pays!A:A,Pays!E:E))</f>
        <v>0</v>
      </c>
      <c r="X820" s="8" t="s">
        <v>28</v>
      </c>
    </row>
    <row r="821" spans="1:24" x14ac:dyDescent="0.25">
      <c r="A821" t="s">
        <v>1170</v>
      </c>
      <c r="B821" t="s">
        <v>182</v>
      </c>
      <c r="C821" s="1">
        <f t="shared" si="25"/>
        <v>46174</v>
      </c>
      <c r="F821" t="s">
        <v>110</v>
      </c>
      <c r="G821" t="s">
        <v>1034</v>
      </c>
      <c r="H821" t="s">
        <v>1902</v>
      </c>
      <c r="I821" t="s">
        <v>18</v>
      </c>
      <c r="J821" t="str">
        <f>IF(COUNTIF(Pays!A:A,X821)=0,"Pays inconnu",_xlfn.XLOOKUP(X821,Pays!A:A,Pays!B:B))</f>
        <v>CH</v>
      </c>
      <c r="K821" t="str">
        <f>IF(COUNTIF(Pays!A:A,X821)=0,"Pays inconnu",_xlfn.XLOOKUP(X821,Pays!A:A,Pays!C:C))</f>
        <v>1_CH</v>
      </c>
      <c r="L821">
        <v>1</v>
      </c>
      <c r="M821">
        <f t="shared" si="24"/>
        <v>0.74</v>
      </c>
      <c r="N821" t="s">
        <v>20</v>
      </c>
      <c r="O821">
        <f>LOOKUP(X821,Pays!A:A,Pays!D:D)</f>
        <v>0</v>
      </c>
      <c r="P821">
        <v>0.15</v>
      </c>
      <c r="Q821">
        <v>0.74</v>
      </c>
      <c r="U821">
        <v>1</v>
      </c>
      <c r="W821">
        <f>IF(COUNTIF(Pays!A:A,X821)=0,"",LOOKUP(X821,Pays!A:A,Pays!E:E))</f>
        <v>0</v>
      </c>
      <c r="X821" s="8" t="s">
        <v>37</v>
      </c>
    </row>
    <row r="822" spans="1:24" x14ac:dyDescent="0.25">
      <c r="A822" t="s">
        <v>1170</v>
      </c>
      <c r="B822" t="s">
        <v>182</v>
      </c>
      <c r="C822" s="1">
        <f t="shared" si="25"/>
        <v>46174</v>
      </c>
      <c r="F822" t="s">
        <v>110</v>
      </c>
      <c r="G822" t="s">
        <v>1035</v>
      </c>
      <c r="H822" t="s">
        <v>1903</v>
      </c>
      <c r="I822" t="s">
        <v>18</v>
      </c>
      <c r="J822" t="str">
        <f>IF(COUNTIF(Pays!A:A,X822)=0,"Pays inconnu",_xlfn.XLOOKUP(X822,Pays!A:A,Pays!B:B))</f>
        <v>CH</v>
      </c>
      <c r="K822" t="str">
        <f>IF(COUNTIF(Pays!A:A,X822)=0,"Pays inconnu",_xlfn.XLOOKUP(X822,Pays!A:A,Pays!C:C))</f>
        <v>1_CH</v>
      </c>
      <c r="L822">
        <v>1</v>
      </c>
      <c r="M822">
        <f t="shared" si="24"/>
        <v>0.53</v>
      </c>
      <c r="N822" t="s">
        <v>20</v>
      </c>
      <c r="O822">
        <f>LOOKUP(X822,Pays!A:A,Pays!D:D)</f>
        <v>0</v>
      </c>
      <c r="P822">
        <v>0.15</v>
      </c>
      <c r="Q822">
        <v>0.53</v>
      </c>
      <c r="U822">
        <v>1</v>
      </c>
      <c r="W822">
        <f>IF(COUNTIF(Pays!A:A,X822)=0,"",LOOKUP(X822,Pays!A:A,Pays!E:E))</f>
        <v>0</v>
      </c>
      <c r="X822" s="8" t="s">
        <v>37</v>
      </c>
    </row>
    <row r="823" spans="1:24" x14ac:dyDescent="0.25">
      <c r="A823" t="s">
        <v>1170</v>
      </c>
      <c r="B823" t="s">
        <v>182</v>
      </c>
      <c r="C823" s="1">
        <f t="shared" si="25"/>
        <v>46174</v>
      </c>
      <c r="F823" t="s">
        <v>110</v>
      </c>
      <c r="G823" t="s">
        <v>1036</v>
      </c>
      <c r="H823" t="s">
        <v>1904</v>
      </c>
      <c r="I823" t="s">
        <v>18</v>
      </c>
      <c r="J823" t="str">
        <f>IF(COUNTIF(Pays!A:A,X823)=0,"Pays inconnu",_xlfn.XLOOKUP(X823,Pays!A:A,Pays!B:B))</f>
        <v>CH</v>
      </c>
      <c r="K823" t="str">
        <f>IF(COUNTIF(Pays!A:A,X823)=0,"Pays inconnu",_xlfn.XLOOKUP(X823,Pays!A:A,Pays!C:C))</f>
        <v>1_CH</v>
      </c>
      <c r="L823">
        <v>1</v>
      </c>
      <c r="M823">
        <f t="shared" si="24"/>
        <v>0.53</v>
      </c>
      <c r="N823" t="s">
        <v>20</v>
      </c>
      <c r="O823">
        <f>LOOKUP(X823,Pays!A:A,Pays!D:D)</f>
        <v>0</v>
      </c>
      <c r="P823">
        <v>0.15</v>
      </c>
      <c r="Q823">
        <v>0.53</v>
      </c>
      <c r="U823">
        <v>1</v>
      </c>
      <c r="W823">
        <f>IF(COUNTIF(Pays!A:A,X823)=0,"",LOOKUP(X823,Pays!A:A,Pays!E:E))</f>
        <v>0</v>
      </c>
      <c r="X823" s="8" t="s">
        <v>37</v>
      </c>
    </row>
    <row r="824" spans="1:24" x14ac:dyDescent="0.25">
      <c r="A824" t="s">
        <v>1170</v>
      </c>
      <c r="B824" t="s">
        <v>182</v>
      </c>
      <c r="C824" s="1">
        <f t="shared" si="25"/>
        <v>46174</v>
      </c>
      <c r="F824" t="s">
        <v>110</v>
      </c>
      <c r="G824" t="s">
        <v>1037</v>
      </c>
      <c r="H824" t="s">
        <v>1905</v>
      </c>
      <c r="I824" t="s">
        <v>18</v>
      </c>
      <c r="J824" t="str">
        <f>IF(COUNTIF(Pays!A:A,X824)=0,"Pays inconnu",_xlfn.XLOOKUP(X824,Pays!A:A,Pays!B:B))</f>
        <v>GB</v>
      </c>
      <c r="K824" t="str">
        <f>IF(COUNTIF(Pays!A:A,X824)=0,"Pays inconnu",_xlfn.XLOOKUP(X824,Pays!A:A,Pays!C:C))</f>
        <v>1_GB</v>
      </c>
      <c r="L824">
        <v>1</v>
      </c>
      <c r="M824">
        <f t="shared" si="24"/>
        <v>0.23</v>
      </c>
      <c r="N824" t="s">
        <v>20</v>
      </c>
      <c r="O824">
        <f>LOOKUP(X824,Pays!A:A,Pays!D:D)</f>
        <v>0</v>
      </c>
      <c r="P824">
        <v>0.15</v>
      </c>
      <c r="Q824">
        <v>0.23</v>
      </c>
      <c r="U824">
        <v>1</v>
      </c>
      <c r="W824">
        <f>IF(COUNTIF(Pays!A:A,X824)=0,"",LOOKUP(X824,Pays!A:A,Pays!E:E))</f>
        <v>0</v>
      </c>
      <c r="X824" s="8" t="s">
        <v>30</v>
      </c>
    </row>
    <row r="825" spans="1:24" x14ac:dyDescent="0.25">
      <c r="A825" t="s">
        <v>1170</v>
      </c>
      <c r="B825" t="s">
        <v>182</v>
      </c>
      <c r="C825" s="1">
        <f t="shared" si="25"/>
        <v>46174</v>
      </c>
      <c r="F825" t="s">
        <v>110</v>
      </c>
      <c r="G825" t="s">
        <v>1038</v>
      </c>
      <c r="H825" t="s">
        <v>1906</v>
      </c>
      <c r="I825" t="s">
        <v>18</v>
      </c>
      <c r="J825" t="str">
        <f>IF(COUNTIF(Pays!A:A,X825)=0,"Pays inconnu",_xlfn.XLOOKUP(X825,Pays!A:A,Pays!B:B))</f>
        <v>CH</v>
      </c>
      <c r="K825" t="str">
        <f>IF(COUNTIF(Pays!A:A,X825)=0,"Pays inconnu",_xlfn.XLOOKUP(X825,Pays!A:A,Pays!C:C))</f>
        <v>1_CH</v>
      </c>
      <c r="L825">
        <v>1</v>
      </c>
      <c r="M825">
        <f t="shared" si="24"/>
        <v>0.27</v>
      </c>
      <c r="N825" t="s">
        <v>20</v>
      </c>
      <c r="O825">
        <f>LOOKUP(X825,Pays!A:A,Pays!D:D)</f>
        <v>0</v>
      </c>
      <c r="P825">
        <v>0.15</v>
      </c>
      <c r="Q825">
        <v>0.27</v>
      </c>
      <c r="U825">
        <v>1</v>
      </c>
      <c r="W825">
        <f>IF(COUNTIF(Pays!A:A,X825)=0,"",LOOKUP(X825,Pays!A:A,Pays!E:E))</f>
        <v>0</v>
      </c>
      <c r="X825" s="8" t="s">
        <v>37</v>
      </c>
    </row>
    <row r="826" spans="1:24" x14ac:dyDescent="0.25">
      <c r="A826" t="s">
        <v>1170</v>
      </c>
      <c r="B826" t="s">
        <v>182</v>
      </c>
      <c r="C826" s="1">
        <f t="shared" si="25"/>
        <v>46174</v>
      </c>
      <c r="F826" t="s">
        <v>110</v>
      </c>
      <c r="G826" t="s">
        <v>1039</v>
      </c>
      <c r="H826" t="s">
        <v>1907</v>
      </c>
      <c r="I826" t="s">
        <v>18</v>
      </c>
      <c r="J826" t="str">
        <f>IF(COUNTIF(Pays!A:A,X826)=0,"Pays inconnu",_xlfn.XLOOKUP(X826,Pays!A:A,Pays!B:B))</f>
        <v>CH</v>
      </c>
      <c r="K826" t="str">
        <f>IF(COUNTIF(Pays!A:A,X826)=0,"Pays inconnu",_xlfn.XLOOKUP(X826,Pays!A:A,Pays!C:C))</f>
        <v>1_CH</v>
      </c>
      <c r="L826">
        <v>1</v>
      </c>
      <c r="M826">
        <f t="shared" si="24"/>
        <v>0.84</v>
      </c>
      <c r="N826" t="s">
        <v>20</v>
      </c>
      <c r="O826">
        <f>LOOKUP(X826,Pays!A:A,Pays!D:D)</f>
        <v>0</v>
      </c>
      <c r="P826">
        <v>0.15</v>
      </c>
      <c r="Q826">
        <v>0.84</v>
      </c>
      <c r="U826">
        <v>1</v>
      </c>
      <c r="W826">
        <f>IF(COUNTIF(Pays!A:A,X826)=0,"",LOOKUP(X826,Pays!A:A,Pays!E:E))</f>
        <v>0</v>
      </c>
      <c r="X826" s="8" t="s">
        <v>37</v>
      </c>
    </row>
    <row r="827" spans="1:24" x14ac:dyDescent="0.25">
      <c r="A827" t="s">
        <v>1170</v>
      </c>
      <c r="B827" t="s">
        <v>182</v>
      </c>
      <c r="C827" s="1">
        <f t="shared" si="25"/>
        <v>46174</v>
      </c>
      <c r="F827" t="s">
        <v>110</v>
      </c>
      <c r="G827" t="s">
        <v>1040</v>
      </c>
      <c r="H827" t="s">
        <v>1908</v>
      </c>
      <c r="I827" t="s">
        <v>18</v>
      </c>
      <c r="J827" t="str">
        <f>IF(COUNTIF(Pays!A:A,X827)=0,"Pays inconnu",_xlfn.XLOOKUP(X827,Pays!A:A,Pays!B:B))</f>
        <v>GB</v>
      </c>
      <c r="K827" t="str">
        <f>IF(COUNTIF(Pays!A:A,X827)=0,"Pays inconnu",_xlfn.XLOOKUP(X827,Pays!A:A,Pays!C:C))</f>
        <v>1_GB</v>
      </c>
      <c r="L827">
        <v>1</v>
      </c>
      <c r="M827">
        <f t="shared" si="24"/>
        <v>0.15</v>
      </c>
      <c r="N827" t="s">
        <v>20</v>
      </c>
      <c r="O827">
        <f>LOOKUP(X827,Pays!A:A,Pays!D:D)</f>
        <v>0</v>
      </c>
      <c r="P827">
        <v>0.15</v>
      </c>
      <c r="Q827">
        <v>0.1</v>
      </c>
      <c r="U827">
        <v>1</v>
      </c>
      <c r="W827">
        <f>IF(COUNTIF(Pays!A:A,X827)=0,"",LOOKUP(X827,Pays!A:A,Pays!E:E))</f>
        <v>0</v>
      </c>
      <c r="X827" s="8" t="s">
        <v>30</v>
      </c>
    </row>
    <row r="828" spans="1:24" x14ac:dyDescent="0.25">
      <c r="A828" t="s">
        <v>1170</v>
      </c>
      <c r="B828" t="s">
        <v>182</v>
      </c>
      <c r="C828" s="1">
        <f t="shared" si="25"/>
        <v>46174</v>
      </c>
      <c r="F828" t="s">
        <v>110</v>
      </c>
      <c r="G828" t="s">
        <v>1041</v>
      </c>
      <c r="H828" t="s">
        <v>1909</v>
      </c>
      <c r="I828" t="s">
        <v>18</v>
      </c>
      <c r="J828" t="str">
        <f>IF(COUNTIF(Pays!A:A,X828)=0,"Pays inconnu",_xlfn.XLOOKUP(X828,Pays!A:A,Pays!B:B))</f>
        <v>CH</v>
      </c>
      <c r="K828" t="str">
        <f>IF(COUNTIF(Pays!A:A,X828)=0,"Pays inconnu",_xlfn.XLOOKUP(X828,Pays!A:A,Pays!C:C))</f>
        <v>1_CH</v>
      </c>
      <c r="L828">
        <v>1</v>
      </c>
      <c r="M828">
        <f t="shared" si="24"/>
        <v>0.42</v>
      </c>
      <c r="N828" t="s">
        <v>20</v>
      </c>
      <c r="O828">
        <f>LOOKUP(X828,Pays!A:A,Pays!D:D)</f>
        <v>0</v>
      </c>
      <c r="P828">
        <v>0.15</v>
      </c>
      <c r="Q828">
        <v>0.42</v>
      </c>
      <c r="U828">
        <v>1</v>
      </c>
      <c r="W828">
        <f>IF(COUNTIF(Pays!A:A,X828)=0,"",LOOKUP(X828,Pays!A:A,Pays!E:E))</f>
        <v>0</v>
      </c>
      <c r="X828" s="8" t="s">
        <v>37</v>
      </c>
    </row>
    <row r="829" spans="1:24" x14ac:dyDescent="0.25">
      <c r="A829" t="s">
        <v>1170</v>
      </c>
      <c r="B829" t="s">
        <v>182</v>
      </c>
      <c r="C829" s="1">
        <f t="shared" si="25"/>
        <v>46174</v>
      </c>
      <c r="F829" t="s">
        <v>110</v>
      </c>
      <c r="G829" t="s">
        <v>1042</v>
      </c>
      <c r="H829" t="s">
        <v>1910</v>
      </c>
      <c r="I829" t="s">
        <v>18</v>
      </c>
      <c r="J829" t="str">
        <f>IF(COUNTIF(Pays!A:A,X829)=0,"Pays inconnu",_xlfn.XLOOKUP(X829,Pays!A:A,Pays!B:B))</f>
        <v>CH</v>
      </c>
      <c r="K829" t="str">
        <f>IF(COUNTIF(Pays!A:A,X829)=0,"Pays inconnu",_xlfn.XLOOKUP(X829,Pays!A:A,Pays!C:C))</f>
        <v>1_CH</v>
      </c>
      <c r="L829">
        <v>1</v>
      </c>
      <c r="M829">
        <f t="shared" si="24"/>
        <v>0.42</v>
      </c>
      <c r="N829" t="s">
        <v>20</v>
      </c>
      <c r="O829">
        <f>LOOKUP(X829,Pays!A:A,Pays!D:D)</f>
        <v>0</v>
      </c>
      <c r="P829">
        <v>0.15</v>
      </c>
      <c r="Q829">
        <v>0.42</v>
      </c>
      <c r="U829">
        <v>1</v>
      </c>
      <c r="W829">
        <f>IF(COUNTIF(Pays!A:A,X829)=0,"",LOOKUP(X829,Pays!A:A,Pays!E:E))</f>
        <v>0</v>
      </c>
      <c r="X829" s="8" t="s">
        <v>37</v>
      </c>
    </row>
    <row r="830" spans="1:24" x14ac:dyDescent="0.25">
      <c r="A830" t="s">
        <v>1170</v>
      </c>
      <c r="B830" t="s">
        <v>182</v>
      </c>
      <c r="C830" s="1">
        <f t="shared" si="25"/>
        <v>46174</v>
      </c>
      <c r="F830" t="s">
        <v>110</v>
      </c>
      <c r="G830" t="s">
        <v>1043</v>
      </c>
      <c r="H830" t="s">
        <v>1911</v>
      </c>
      <c r="I830" t="s">
        <v>18</v>
      </c>
      <c r="J830" t="str">
        <f>IF(COUNTIF(Pays!A:A,X830)=0,"Pays inconnu",_xlfn.XLOOKUP(X830,Pays!A:A,Pays!B:B))</f>
        <v>CH</v>
      </c>
      <c r="K830" t="str">
        <f>IF(COUNTIF(Pays!A:A,X830)=0,"Pays inconnu",_xlfn.XLOOKUP(X830,Pays!A:A,Pays!C:C))</f>
        <v>1_CH</v>
      </c>
      <c r="L830">
        <v>1</v>
      </c>
      <c r="M830">
        <f t="shared" si="24"/>
        <v>0.95</v>
      </c>
      <c r="N830" t="s">
        <v>20</v>
      </c>
      <c r="O830">
        <f>LOOKUP(X830,Pays!A:A,Pays!D:D)</f>
        <v>0</v>
      </c>
      <c r="P830">
        <v>0.15</v>
      </c>
      <c r="Q830">
        <v>0.95</v>
      </c>
      <c r="U830">
        <v>1</v>
      </c>
      <c r="W830">
        <f>IF(COUNTIF(Pays!A:A,X830)=0,"",LOOKUP(X830,Pays!A:A,Pays!E:E))</f>
        <v>0</v>
      </c>
      <c r="X830" s="8" t="s">
        <v>37</v>
      </c>
    </row>
    <row r="831" spans="1:24" x14ac:dyDescent="0.25">
      <c r="A831" t="s">
        <v>1170</v>
      </c>
      <c r="B831" t="s">
        <v>182</v>
      </c>
      <c r="C831" s="1">
        <f t="shared" si="25"/>
        <v>46174</v>
      </c>
      <c r="F831" t="s">
        <v>110</v>
      </c>
      <c r="G831" t="s">
        <v>1044</v>
      </c>
      <c r="H831" t="s">
        <v>1912</v>
      </c>
      <c r="I831" t="s">
        <v>18</v>
      </c>
      <c r="J831" t="str">
        <f>IF(COUNTIF(Pays!A:A,X831)=0,"Pays inconnu",_xlfn.XLOOKUP(X831,Pays!A:A,Pays!B:B))</f>
        <v>GB</v>
      </c>
      <c r="K831" t="str">
        <f>IF(COUNTIF(Pays!A:A,X831)=0,"Pays inconnu",_xlfn.XLOOKUP(X831,Pays!A:A,Pays!C:C))</f>
        <v>1_GB</v>
      </c>
      <c r="L831">
        <v>1</v>
      </c>
      <c r="M831">
        <f t="shared" si="24"/>
        <v>0.18</v>
      </c>
      <c r="N831" t="s">
        <v>20</v>
      </c>
      <c r="O831">
        <f>LOOKUP(X831,Pays!A:A,Pays!D:D)</f>
        <v>0</v>
      </c>
      <c r="P831">
        <v>0.15</v>
      </c>
      <c r="Q831">
        <v>0.18</v>
      </c>
      <c r="U831">
        <v>1</v>
      </c>
      <c r="W831">
        <f>IF(COUNTIF(Pays!A:A,X831)=0,"",LOOKUP(X831,Pays!A:A,Pays!E:E))</f>
        <v>0</v>
      </c>
      <c r="X831" s="8" t="s">
        <v>30</v>
      </c>
    </row>
    <row r="832" spans="1:24" x14ac:dyDescent="0.25">
      <c r="A832" t="s">
        <v>1170</v>
      </c>
      <c r="B832" t="s">
        <v>182</v>
      </c>
      <c r="C832" s="1">
        <f t="shared" si="25"/>
        <v>46174</v>
      </c>
      <c r="F832" t="s">
        <v>110</v>
      </c>
      <c r="G832" t="s">
        <v>1045</v>
      </c>
      <c r="H832" t="s">
        <v>1913</v>
      </c>
      <c r="I832" t="s">
        <v>18</v>
      </c>
      <c r="J832" t="str">
        <f>IF(COUNTIF(Pays!A:A,X832)=0,"Pays inconnu",_xlfn.XLOOKUP(X832,Pays!A:A,Pays!B:B))</f>
        <v>GB</v>
      </c>
      <c r="K832" t="str">
        <f>IF(COUNTIF(Pays!A:A,X832)=0,"Pays inconnu",_xlfn.XLOOKUP(X832,Pays!A:A,Pays!C:C))</f>
        <v>1_GB</v>
      </c>
      <c r="L832">
        <v>1</v>
      </c>
      <c r="M832">
        <f t="shared" si="24"/>
        <v>0.15</v>
      </c>
      <c r="N832" t="s">
        <v>20</v>
      </c>
      <c r="O832">
        <f>LOOKUP(X832,Pays!A:A,Pays!D:D)</f>
        <v>0</v>
      </c>
      <c r="P832">
        <v>0.15</v>
      </c>
      <c r="Q832">
        <v>0.15</v>
      </c>
      <c r="U832">
        <v>1</v>
      </c>
      <c r="W832">
        <f>IF(COUNTIF(Pays!A:A,X832)=0,"",LOOKUP(X832,Pays!A:A,Pays!E:E))</f>
        <v>0</v>
      </c>
      <c r="X832" s="8" t="s">
        <v>30</v>
      </c>
    </row>
    <row r="833" spans="1:24" x14ac:dyDescent="0.25">
      <c r="A833" t="s">
        <v>1170</v>
      </c>
      <c r="B833" t="s">
        <v>182</v>
      </c>
      <c r="C833" s="1">
        <f t="shared" si="25"/>
        <v>46174</v>
      </c>
      <c r="F833" t="s">
        <v>110</v>
      </c>
      <c r="G833" t="s">
        <v>1046</v>
      </c>
      <c r="H833" t="s">
        <v>1610</v>
      </c>
      <c r="I833" t="s">
        <v>18</v>
      </c>
      <c r="J833" t="str">
        <f>IF(COUNTIF(Pays!A:A,X833)=0,"Pays inconnu",_xlfn.XLOOKUP(X833,Pays!A:A,Pays!B:B))</f>
        <v>CH</v>
      </c>
      <c r="K833" t="str">
        <f>IF(COUNTIF(Pays!A:A,X833)=0,"Pays inconnu",_xlfn.XLOOKUP(X833,Pays!A:A,Pays!C:C))</f>
        <v>1_CH</v>
      </c>
      <c r="L833">
        <v>1</v>
      </c>
      <c r="M833">
        <f t="shared" si="24"/>
        <v>0.51</v>
      </c>
      <c r="N833" t="s">
        <v>20</v>
      </c>
      <c r="O833">
        <f>LOOKUP(X833,Pays!A:A,Pays!D:D)</f>
        <v>0</v>
      </c>
      <c r="P833">
        <v>0.15</v>
      </c>
      <c r="Q833">
        <v>0.51</v>
      </c>
      <c r="U833">
        <v>1</v>
      </c>
      <c r="W833">
        <f>IF(COUNTIF(Pays!A:A,X833)=0,"",LOOKUP(X833,Pays!A:A,Pays!E:E))</f>
        <v>0</v>
      </c>
      <c r="X833" s="8" t="s">
        <v>37</v>
      </c>
    </row>
    <row r="834" spans="1:24" x14ac:dyDescent="0.25">
      <c r="A834" t="s">
        <v>1170</v>
      </c>
      <c r="B834" t="s">
        <v>182</v>
      </c>
      <c r="C834" s="1">
        <f t="shared" si="25"/>
        <v>46174</v>
      </c>
      <c r="F834" t="s">
        <v>110</v>
      </c>
      <c r="G834" t="s">
        <v>1047</v>
      </c>
      <c r="H834" t="s">
        <v>1914</v>
      </c>
      <c r="I834" t="s">
        <v>18</v>
      </c>
      <c r="J834" t="str">
        <f>IF(COUNTIF(Pays!A:A,X834)=0,"Pays inconnu",_xlfn.XLOOKUP(X834,Pays!A:A,Pays!B:B))</f>
        <v>CH</v>
      </c>
      <c r="K834" t="str">
        <f>IF(COUNTIF(Pays!A:A,X834)=0,"Pays inconnu",_xlfn.XLOOKUP(X834,Pays!A:A,Pays!C:C))</f>
        <v>1_CH</v>
      </c>
      <c r="L834">
        <v>1</v>
      </c>
      <c r="M834">
        <f t="shared" si="24"/>
        <v>0.22</v>
      </c>
      <c r="N834" t="s">
        <v>20</v>
      </c>
      <c r="O834">
        <f>LOOKUP(X834,Pays!A:A,Pays!D:D)</f>
        <v>0</v>
      </c>
      <c r="P834">
        <v>0.15</v>
      </c>
      <c r="Q834">
        <v>0.22</v>
      </c>
      <c r="U834">
        <v>1</v>
      </c>
      <c r="W834">
        <f>IF(COUNTIF(Pays!A:A,X834)=0,"",LOOKUP(X834,Pays!A:A,Pays!E:E))</f>
        <v>0</v>
      </c>
      <c r="X834" s="8" t="s">
        <v>37</v>
      </c>
    </row>
    <row r="835" spans="1:24" x14ac:dyDescent="0.25">
      <c r="A835" t="s">
        <v>1170</v>
      </c>
      <c r="B835" t="s">
        <v>182</v>
      </c>
      <c r="C835" s="1">
        <f t="shared" si="25"/>
        <v>46174</v>
      </c>
      <c r="F835" t="s">
        <v>181</v>
      </c>
      <c r="G835" t="s">
        <v>1048</v>
      </c>
      <c r="H835" t="s">
        <v>1497</v>
      </c>
      <c r="I835" t="s">
        <v>18</v>
      </c>
      <c r="J835" t="str">
        <f>IF(COUNTIF(Pays!A:A,X835)=0,"Pays inconnu",_xlfn.XLOOKUP(X835,Pays!A:A,Pays!B:B))</f>
        <v>CH</v>
      </c>
      <c r="K835" t="str">
        <f>IF(COUNTIF(Pays!A:A,X835)=0,"Pays inconnu",_xlfn.XLOOKUP(X835,Pays!A:A,Pays!C:C))</f>
        <v>1_CH</v>
      </c>
      <c r="L835">
        <v>1</v>
      </c>
      <c r="M835">
        <f t="shared" ref="M835:M898" si="26">ROUND(MAX(P835:Q835),2)</f>
        <v>1.55</v>
      </c>
      <c r="N835" t="s">
        <v>20</v>
      </c>
      <c r="O835">
        <f>LOOKUP(X835,Pays!A:A,Pays!D:D)</f>
        <v>0</v>
      </c>
      <c r="P835">
        <v>0.15</v>
      </c>
      <c r="Q835">
        <v>1.55</v>
      </c>
      <c r="U835">
        <v>1</v>
      </c>
      <c r="W835">
        <f>IF(COUNTIF(Pays!A:A,X835)=0,"",LOOKUP(X835,Pays!A:A,Pays!E:E))</f>
        <v>0</v>
      </c>
      <c r="X835" s="8" t="s">
        <v>37</v>
      </c>
    </row>
    <row r="836" spans="1:24" x14ac:dyDescent="0.25">
      <c r="A836" t="s">
        <v>1170</v>
      </c>
      <c r="B836" t="s">
        <v>182</v>
      </c>
      <c r="C836" s="1">
        <f t="shared" ref="C836:C899" si="27">C835</f>
        <v>46174</v>
      </c>
      <c r="F836" t="s">
        <v>110</v>
      </c>
      <c r="G836" t="s">
        <v>1049</v>
      </c>
      <c r="H836" t="s">
        <v>1424</v>
      </c>
      <c r="I836" t="s">
        <v>18</v>
      </c>
      <c r="J836" t="str">
        <f>IF(COUNTIF(Pays!A:A,X836)=0,"Pays inconnu",_xlfn.XLOOKUP(X836,Pays!A:A,Pays!B:B))</f>
        <v>CH</v>
      </c>
      <c r="K836" t="str">
        <f>IF(COUNTIF(Pays!A:A,X836)=0,"Pays inconnu",_xlfn.XLOOKUP(X836,Pays!A:A,Pays!C:C))</f>
        <v>1_CH</v>
      </c>
      <c r="L836">
        <v>1</v>
      </c>
      <c r="M836">
        <f t="shared" si="26"/>
        <v>0.93</v>
      </c>
      <c r="N836" t="s">
        <v>20</v>
      </c>
      <c r="O836">
        <f>LOOKUP(X836,Pays!A:A,Pays!D:D)</f>
        <v>0</v>
      </c>
      <c r="P836">
        <v>0.15</v>
      </c>
      <c r="Q836">
        <v>0.93</v>
      </c>
      <c r="U836">
        <v>1</v>
      </c>
      <c r="W836">
        <f>IF(COUNTIF(Pays!A:A,X836)=0,"",LOOKUP(X836,Pays!A:A,Pays!E:E))</f>
        <v>0</v>
      </c>
      <c r="X836" s="8" t="s">
        <v>37</v>
      </c>
    </row>
    <row r="837" spans="1:24" x14ac:dyDescent="0.25">
      <c r="A837" t="s">
        <v>1170</v>
      </c>
      <c r="B837" t="s">
        <v>182</v>
      </c>
      <c r="C837" s="1">
        <f t="shared" si="27"/>
        <v>46174</v>
      </c>
      <c r="F837" t="s">
        <v>110</v>
      </c>
      <c r="G837" t="s">
        <v>1050</v>
      </c>
      <c r="H837" t="s">
        <v>1915</v>
      </c>
      <c r="I837" t="s">
        <v>18</v>
      </c>
      <c r="J837" t="str">
        <f>IF(COUNTIF(Pays!A:A,X837)=0,"Pays inconnu",_xlfn.XLOOKUP(X837,Pays!A:A,Pays!B:B))</f>
        <v>CH</v>
      </c>
      <c r="K837" t="str">
        <f>IF(COUNTIF(Pays!A:A,X837)=0,"Pays inconnu",_xlfn.XLOOKUP(X837,Pays!A:A,Pays!C:C))</f>
        <v>1_CH</v>
      </c>
      <c r="L837">
        <v>1</v>
      </c>
      <c r="M837">
        <f t="shared" si="26"/>
        <v>0.16</v>
      </c>
      <c r="N837" t="s">
        <v>20</v>
      </c>
      <c r="O837">
        <f>LOOKUP(X837,Pays!A:A,Pays!D:D)</f>
        <v>0</v>
      </c>
      <c r="P837">
        <v>0.15</v>
      </c>
      <c r="Q837">
        <v>0.16</v>
      </c>
      <c r="U837">
        <v>1</v>
      </c>
      <c r="W837">
        <f>IF(COUNTIF(Pays!A:A,X837)=0,"",LOOKUP(X837,Pays!A:A,Pays!E:E))</f>
        <v>0</v>
      </c>
      <c r="X837" s="8" t="s">
        <v>37</v>
      </c>
    </row>
    <row r="838" spans="1:24" x14ac:dyDescent="0.25">
      <c r="A838" t="s">
        <v>1170</v>
      </c>
      <c r="B838" t="s">
        <v>182</v>
      </c>
      <c r="C838" s="1">
        <f t="shared" si="27"/>
        <v>46174</v>
      </c>
      <c r="F838" t="s">
        <v>110</v>
      </c>
      <c r="G838" t="s">
        <v>1051</v>
      </c>
      <c r="H838" t="s">
        <v>1916</v>
      </c>
      <c r="I838" t="s">
        <v>18</v>
      </c>
      <c r="J838" t="str">
        <f>IF(COUNTIF(Pays!A:A,X838)=0,"Pays inconnu",_xlfn.XLOOKUP(X838,Pays!A:A,Pays!B:B))</f>
        <v>CH</v>
      </c>
      <c r="K838" t="str">
        <f>IF(COUNTIF(Pays!A:A,X838)=0,"Pays inconnu",_xlfn.XLOOKUP(X838,Pays!A:A,Pays!C:C))</f>
        <v>1_CH</v>
      </c>
      <c r="L838">
        <v>1</v>
      </c>
      <c r="M838">
        <f t="shared" si="26"/>
        <v>0.2</v>
      </c>
      <c r="N838" t="s">
        <v>20</v>
      </c>
      <c r="O838">
        <f>LOOKUP(X838,Pays!A:A,Pays!D:D)</f>
        <v>0</v>
      </c>
      <c r="P838">
        <v>0.15</v>
      </c>
      <c r="Q838">
        <v>0.2</v>
      </c>
      <c r="U838">
        <v>1</v>
      </c>
      <c r="W838">
        <f>IF(COUNTIF(Pays!A:A,X838)=0,"",LOOKUP(X838,Pays!A:A,Pays!E:E))</f>
        <v>0</v>
      </c>
      <c r="X838" s="8" t="s">
        <v>37</v>
      </c>
    </row>
    <row r="839" spans="1:24" x14ac:dyDescent="0.25">
      <c r="A839" t="s">
        <v>1170</v>
      </c>
      <c r="B839" t="s">
        <v>182</v>
      </c>
      <c r="C839" s="1">
        <f t="shared" si="27"/>
        <v>46174</v>
      </c>
      <c r="F839" t="s">
        <v>110</v>
      </c>
      <c r="G839" t="s">
        <v>1052</v>
      </c>
      <c r="H839" t="s">
        <v>1917</v>
      </c>
      <c r="I839" t="s">
        <v>18</v>
      </c>
      <c r="J839" t="str">
        <f>IF(COUNTIF(Pays!A:A,X839)=0,"Pays inconnu",_xlfn.XLOOKUP(X839,Pays!A:A,Pays!B:B))</f>
        <v>CH</v>
      </c>
      <c r="K839" t="str">
        <f>IF(COUNTIF(Pays!A:A,X839)=0,"Pays inconnu",_xlfn.XLOOKUP(X839,Pays!A:A,Pays!C:C))</f>
        <v>1_CH</v>
      </c>
      <c r="L839">
        <v>1</v>
      </c>
      <c r="M839">
        <f t="shared" si="26"/>
        <v>0.37</v>
      </c>
      <c r="N839" t="s">
        <v>20</v>
      </c>
      <c r="O839">
        <f>LOOKUP(X839,Pays!A:A,Pays!D:D)</f>
        <v>0</v>
      </c>
      <c r="P839">
        <v>0.15</v>
      </c>
      <c r="Q839">
        <v>0.37</v>
      </c>
      <c r="U839">
        <v>1</v>
      </c>
      <c r="W839">
        <f>IF(COUNTIF(Pays!A:A,X839)=0,"",LOOKUP(X839,Pays!A:A,Pays!E:E))</f>
        <v>0</v>
      </c>
      <c r="X839" s="8" t="s">
        <v>37</v>
      </c>
    </row>
    <row r="840" spans="1:24" x14ac:dyDescent="0.25">
      <c r="A840" t="s">
        <v>1170</v>
      </c>
      <c r="B840" t="s">
        <v>182</v>
      </c>
      <c r="C840" s="1">
        <f t="shared" si="27"/>
        <v>46174</v>
      </c>
      <c r="F840" t="s">
        <v>110</v>
      </c>
      <c r="G840" t="s">
        <v>1053</v>
      </c>
      <c r="H840" t="s">
        <v>1918</v>
      </c>
      <c r="I840" t="s">
        <v>18</v>
      </c>
      <c r="J840" t="str">
        <f>IF(COUNTIF(Pays!A:A,X840)=0,"Pays inconnu",_xlfn.XLOOKUP(X840,Pays!A:A,Pays!B:B))</f>
        <v>CH</v>
      </c>
      <c r="K840" t="str">
        <f>IF(COUNTIF(Pays!A:A,X840)=0,"Pays inconnu",_xlfn.XLOOKUP(X840,Pays!A:A,Pays!C:C))</f>
        <v>1_CH</v>
      </c>
      <c r="L840">
        <v>1</v>
      </c>
      <c r="M840">
        <f t="shared" si="26"/>
        <v>0.34</v>
      </c>
      <c r="N840" t="s">
        <v>20</v>
      </c>
      <c r="O840">
        <f>LOOKUP(X840,Pays!A:A,Pays!D:D)</f>
        <v>0</v>
      </c>
      <c r="P840">
        <v>0.15</v>
      </c>
      <c r="Q840">
        <v>0.34</v>
      </c>
      <c r="U840">
        <v>1</v>
      </c>
      <c r="W840">
        <f>IF(COUNTIF(Pays!A:A,X840)=0,"",LOOKUP(X840,Pays!A:A,Pays!E:E))</f>
        <v>0</v>
      </c>
      <c r="X840" s="8" t="s">
        <v>37</v>
      </c>
    </row>
    <row r="841" spans="1:24" x14ac:dyDescent="0.25">
      <c r="A841" t="s">
        <v>1170</v>
      </c>
      <c r="B841" t="s">
        <v>182</v>
      </c>
      <c r="C841" s="1">
        <f t="shared" si="27"/>
        <v>46174</v>
      </c>
      <c r="F841" t="s">
        <v>110</v>
      </c>
      <c r="G841" t="s">
        <v>1054</v>
      </c>
      <c r="H841" t="s">
        <v>1695</v>
      </c>
      <c r="I841" t="s">
        <v>18</v>
      </c>
      <c r="J841" t="str">
        <f>IF(COUNTIF(Pays!A:A,X841)=0,"Pays inconnu",_xlfn.XLOOKUP(X841,Pays!A:A,Pays!B:B))</f>
        <v>CH</v>
      </c>
      <c r="K841" t="str">
        <f>IF(COUNTIF(Pays!A:A,X841)=0,"Pays inconnu",_xlfn.XLOOKUP(X841,Pays!A:A,Pays!C:C))</f>
        <v>1_CH</v>
      </c>
      <c r="L841">
        <v>1</v>
      </c>
      <c r="M841">
        <f t="shared" si="26"/>
        <v>0.17</v>
      </c>
      <c r="N841" t="s">
        <v>20</v>
      </c>
      <c r="O841">
        <f>LOOKUP(X841,Pays!A:A,Pays!D:D)</f>
        <v>0</v>
      </c>
      <c r="P841">
        <v>0.15</v>
      </c>
      <c r="Q841">
        <v>0.17</v>
      </c>
      <c r="U841">
        <v>1</v>
      </c>
      <c r="W841">
        <f>IF(COUNTIF(Pays!A:A,X841)=0,"",LOOKUP(X841,Pays!A:A,Pays!E:E))</f>
        <v>0</v>
      </c>
      <c r="X841" s="8" t="s">
        <v>37</v>
      </c>
    </row>
    <row r="842" spans="1:24" x14ac:dyDescent="0.25">
      <c r="A842" t="s">
        <v>1170</v>
      </c>
      <c r="B842" t="s">
        <v>182</v>
      </c>
      <c r="C842" s="1">
        <f t="shared" si="27"/>
        <v>46174</v>
      </c>
      <c r="F842" t="s">
        <v>110</v>
      </c>
      <c r="G842" t="s">
        <v>1055</v>
      </c>
      <c r="H842" t="s">
        <v>1919</v>
      </c>
      <c r="I842" t="s">
        <v>18</v>
      </c>
      <c r="J842" t="str">
        <f>IF(COUNTIF(Pays!A:A,X842)=0,"Pays inconnu",_xlfn.XLOOKUP(X842,Pays!A:A,Pays!B:B))</f>
        <v>CH</v>
      </c>
      <c r="K842" t="str">
        <f>IF(COUNTIF(Pays!A:A,X842)=0,"Pays inconnu",_xlfn.XLOOKUP(X842,Pays!A:A,Pays!C:C))</f>
        <v>1_CH</v>
      </c>
      <c r="L842">
        <v>1</v>
      </c>
      <c r="M842">
        <f t="shared" si="26"/>
        <v>0.17</v>
      </c>
      <c r="N842" t="s">
        <v>20</v>
      </c>
      <c r="O842">
        <f>LOOKUP(X842,Pays!A:A,Pays!D:D)</f>
        <v>0</v>
      </c>
      <c r="P842">
        <v>0.15</v>
      </c>
      <c r="Q842">
        <v>0.17</v>
      </c>
      <c r="U842">
        <v>1</v>
      </c>
      <c r="W842">
        <f>IF(COUNTIF(Pays!A:A,X842)=0,"",LOOKUP(X842,Pays!A:A,Pays!E:E))</f>
        <v>0</v>
      </c>
      <c r="X842" s="8" t="s">
        <v>37</v>
      </c>
    </row>
    <row r="843" spans="1:24" x14ac:dyDescent="0.25">
      <c r="A843" t="s">
        <v>1170</v>
      </c>
      <c r="B843" t="s">
        <v>182</v>
      </c>
      <c r="C843" s="1">
        <f t="shared" si="27"/>
        <v>46174</v>
      </c>
      <c r="F843" t="s">
        <v>110</v>
      </c>
      <c r="G843" t="s">
        <v>1056</v>
      </c>
      <c r="H843" t="s">
        <v>1920</v>
      </c>
      <c r="I843" t="s">
        <v>18</v>
      </c>
      <c r="J843" t="str">
        <f>IF(COUNTIF(Pays!A:A,X843)=0,"Pays inconnu",_xlfn.XLOOKUP(X843,Pays!A:A,Pays!B:B))</f>
        <v>GB</v>
      </c>
      <c r="K843" t="str">
        <f>IF(COUNTIF(Pays!A:A,X843)=0,"Pays inconnu",_xlfn.XLOOKUP(X843,Pays!A:A,Pays!C:C))</f>
        <v>1_GB</v>
      </c>
      <c r="L843">
        <v>1</v>
      </c>
      <c r="M843">
        <f t="shared" si="26"/>
        <v>0.15</v>
      </c>
      <c r="N843" t="s">
        <v>20</v>
      </c>
      <c r="O843">
        <f>LOOKUP(X843,Pays!A:A,Pays!D:D)</f>
        <v>0</v>
      </c>
      <c r="P843">
        <v>0.15</v>
      </c>
      <c r="Q843">
        <v>0.04</v>
      </c>
      <c r="U843">
        <v>1</v>
      </c>
      <c r="W843">
        <f>IF(COUNTIF(Pays!A:A,X843)=0,"",LOOKUP(X843,Pays!A:A,Pays!E:E))</f>
        <v>0</v>
      </c>
      <c r="X843" s="8" t="s">
        <v>30</v>
      </c>
    </row>
    <row r="844" spans="1:24" x14ac:dyDescent="0.25">
      <c r="A844" t="s">
        <v>1170</v>
      </c>
      <c r="B844" t="s">
        <v>182</v>
      </c>
      <c r="C844" s="1">
        <f t="shared" si="27"/>
        <v>46174</v>
      </c>
      <c r="F844" t="s">
        <v>110</v>
      </c>
      <c r="G844" t="s">
        <v>1057</v>
      </c>
      <c r="H844" t="s">
        <v>1921</v>
      </c>
      <c r="I844" t="s">
        <v>18</v>
      </c>
      <c r="J844" t="str">
        <f>IF(COUNTIF(Pays!A:A,X844)=0,"Pays inconnu",_xlfn.XLOOKUP(X844,Pays!A:A,Pays!B:B))</f>
        <v>CH</v>
      </c>
      <c r="K844" t="str">
        <f>IF(COUNTIF(Pays!A:A,X844)=0,"Pays inconnu",_xlfn.XLOOKUP(X844,Pays!A:A,Pays!C:C))</f>
        <v>1_CH</v>
      </c>
      <c r="L844">
        <v>1</v>
      </c>
      <c r="M844">
        <f t="shared" si="26"/>
        <v>0.18</v>
      </c>
      <c r="N844" t="s">
        <v>20</v>
      </c>
      <c r="O844">
        <f>LOOKUP(X844,Pays!A:A,Pays!D:D)</f>
        <v>0</v>
      </c>
      <c r="P844">
        <v>0.15</v>
      </c>
      <c r="Q844">
        <v>0.18</v>
      </c>
      <c r="U844">
        <v>1</v>
      </c>
      <c r="W844">
        <f>IF(COUNTIF(Pays!A:A,X844)=0,"",LOOKUP(X844,Pays!A:A,Pays!E:E))</f>
        <v>0</v>
      </c>
      <c r="X844" s="8" t="s">
        <v>37</v>
      </c>
    </row>
    <row r="845" spans="1:24" x14ac:dyDescent="0.25">
      <c r="A845" t="s">
        <v>1170</v>
      </c>
      <c r="B845" t="s">
        <v>182</v>
      </c>
      <c r="C845" s="1">
        <f t="shared" si="27"/>
        <v>46174</v>
      </c>
      <c r="F845" t="s">
        <v>110</v>
      </c>
      <c r="G845" t="s">
        <v>1058</v>
      </c>
      <c r="H845" t="s">
        <v>1922</v>
      </c>
      <c r="I845" t="s">
        <v>18</v>
      </c>
      <c r="J845" t="str">
        <f>IF(COUNTIF(Pays!A:A,X845)=0,"Pays inconnu",_xlfn.XLOOKUP(X845,Pays!A:A,Pays!B:B))</f>
        <v>GB</v>
      </c>
      <c r="K845" t="str">
        <f>IF(COUNTIF(Pays!A:A,X845)=0,"Pays inconnu",_xlfn.XLOOKUP(X845,Pays!A:A,Pays!C:C))</f>
        <v>1_GB</v>
      </c>
      <c r="L845">
        <v>1</v>
      </c>
      <c r="M845">
        <f t="shared" si="26"/>
        <v>0.41</v>
      </c>
      <c r="N845" t="s">
        <v>20</v>
      </c>
      <c r="O845">
        <f>LOOKUP(X845,Pays!A:A,Pays!D:D)</f>
        <v>0</v>
      </c>
      <c r="P845">
        <v>0.15</v>
      </c>
      <c r="Q845">
        <v>0.41</v>
      </c>
      <c r="U845">
        <v>1</v>
      </c>
      <c r="W845">
        <f>IF(COUNTIF(Pays!A:A,X845)=0,"",LOOKUP(X845,Pays!A:A,Pays!E:E))</f>
        <v>0</v>
      </c>
      <c r="X845" s="8" t="s">
        <v>30</v>
      </c>
    </row>
    <row r="846" spans="1:24" x14ac:dyDescent="0.25">
      <c r="A846" t="s">
        <v>1170</v>
      </c>
      <c r="B846" t="s">
        <v>182</v>
      </c>
      <c r="C846" s="1">
        <f t="shared" si="27"/>
        <v>46174</v>
      </c>
      <c r="F846" t="s">
        <v>110</v>
      </c>
      <c r="G846" t="s">
        <v>1059</v>
      </c>
      <c r="H846" t="s">
        <v>1923</v>
      </c>
      <c r="I846" t="s">
        <v>18</v>
      </c>
      <c r="J846" t="str">
        <f>IF(COUNTIF(Pays!A:A,X846)=0,"Pays inconnu",_xlfn.XLOOKUP(X846,Pays!A:A,Pays!B:B))</f>
        <v>GB</v>
      </c>
      <c r="K846" t="str">
        <f>IF(COUNTIF(Pays!A:A,X846)=0,"Pays inconnu",_xlfn.XLOOKUP(X846,Pays!A:A,Pays!C:C))</f>
        <v>1_GB</v>
      </c>
      <c r="L846">
        <v>1</v>
      </c>
      <c r="M846">
        <f t="shared" si="26"/>
        <v>0.61</v>
      </c>
      <c r="N846" t="s">
        <v>20</v>
      </c>
      <c r="O846">
        <f>LOOKUP(X846,Pays!A:A,Pays!D:D)</f>
        <v>0</v>
      </c>
      <c r="P846">
        <v>0.15</v>
      </c>
      <c r="Q846">
        <v>0.61</v>
      </c>
      <c r="U846">
        <v>1</v>
      </c>
      <c r="W846">
        <f>IF(COUNTIF(Pays!A:A,X846)=0,"",LOOKUP(X846,Pays!A:A,Pays!E:E))</f>
        <v>0</v>
      </c>
      <c r="X846" s="8" t="s">
        <v>30</v>
      </c>
    </row>
    <row r="847" spans="1:24" x14ac:dyDescent="0.25">
      <c r="A847" t="s">
        <v>1170</v>
      </c>
      <c r="B847" t="s">
        <v>182</v>
      </c>
      <c r="C847" s="1">
        <f t="shared" si="27"/>
        <v>46174</v>
      </c>
      <c r="F847" t="s">
        <v>110</v>
      </c>
      <c r="G847" t="s">
        <v>1060</v>
      </c>
      <c r="H847" t="s">
        <v>1924</v>
      </c>
      <c r="I847" t="s">
        <v>18</v>
      </c>
      <c r="J847" t="str">
        <f>IF(COUNTIF(Pays!A:A,X847)=0,"Pays inconnu",_xlfn.XLOOKUP(X847,Pays!A:A,Pays!B:B))</f>
        <v>CH</v>
      </c>
      <c r="K847" t="str">
        <f>IF(COUNTIF(Pays!A:A,X847)=0,"Pays inconnu",_xlfn.XLOOKUP(X847,Pays!A:A,Pays!C:C))</f>
        <v>1_CH</v>
      </c>
      <c r="L847">
        <v>1</v>
      </c>
      <c r="M847">
        <f t="shared" si="26"/>
        <v>0.28000000000000003</v>
      </c>
      <c r="N847" t="s">
        <v>20</v>
      </c>
      <c r="O847">
        <f>LOOKUP(X847,Pays!A:A,Pays!D:D)</f>
        <v>0</v>
      </c>
      <c r="P847">
        <v>0.15</v>
      </c>
      <c r="Q847">
        <v>0.28000000000000003</v>
      </c>
      <c r="U847">
        <v>1</v>
      </c>
      <c r="W847">
        <f>IF(COUNTIF(Pays!A:A,X847)=0,"",LOOKUP(X847,Pays!A:A,Pays!E:E))</f>
        <v>0</v>
      </c>
      <c r="X847" s="8" t="s">
        <v>37</v>
      </c>
    </row>
    <row r="848" spans="1:24" x14ac:dyDescent="0.25">
      <c r="A848" t="s">
        <v>1170</v>
      </c>
      <c r="B848" t="s">
        <v>182</v>
      </c>
      <c r="C848" s="1">
        <f t="shared" si="27"/>
        <v>46174</v>
      </c>
      <c r="F848" t="s">
        <v>110</v>
      </c>
      <c r="G848" t="s">
        <v>1061</v>
      </c>
      <c r="H848" t="s">
        <v>1925</v>
      </c>
      <c r="I848" t="s">
        <v>18</v>
      </c>
      <c r="J848" t="str">
        <f>IF(COUNTIF(Pays!A:A,X848)=0,"Pays inconnu",_xlfn.XLOOKUP(X848,Pays!A:A,Pays!B:B))</f>
        <v>CH</v>
      </c>
      <c r="K848" t="str">
        <f>IF(COUNTIF(Pays!A:A,X848)=0,"Pays inconnu",_xlfn.XLOOKUP(X848,Pays!A:A,Pays!C:C))</f>
        <v>1_CH</v>
      </c>
      <c r="L848">
        <v>1</v>
      </c>
      <c r="M848">
        <f t="shared" si="26"/>
        <v>0.15</v>
      </c>
      <c r="N848" t="s">
        <v>20</v>
      </c>
      <c r="O848">
        <f>LOOKUP(X848,Pays!A:A,Pays!D:D)</f>
        <v>0</v>
      </c>
      <c r="P848">
        <v>0.15</v>
      </c>
      <c r="Q848">
        <v>0.13</v>
      </c>
      <c r="U848">
        <v>1</v>
      </c>
      <c r="W848">
        <f>IF(COUNTIF(Pays!A:A,X848)=0,"",LOOKUP(X848,Pays!A:A,Pays!E:E))</f>
        <v>0</v>
      </c>
      <c r="X848" s="8" t="s">
        <v>37</v>
      </c>
    </row>
    <row r="849" spans="1:24" x14ac:dyDescent="0.25">
      <c r="A849" t="s">
        <v>1170</v>
      </c>
      <c r="B849" t="s">
        <v>182</v>
      </c>
      <c r="C849" s="1">
        <f t="shared" si="27"/>
        <v>46174</v>
      </c>
      <c r="F849" t="s">
        <v>110</v>
      </c>
      <c r="G849" t="s">
        <v>1062</v>
      </c>
      <c r="H849" t="s">
        <v>1926</v>
      </c>
      <c r="I849" t="s">
        <v>18</v>
      </c>
      <c r="J849" t="str">
        <f>IF(COUNTIF(Pays!A:A,X849)=0,"Pays inconnu",_xlfn.XLOOKUP(X849,Pays!A:A,Pays!B:B))</f>
        <v>CH</v>
      </c>
      <c r="K849" t="str">
        <f>IF(COUNTIF(Pays!A:A,X849)=0,"Pays inconnu",_xlfn.XLOOKUP(X849,Pays!A:A,Pays!C:C))</f>
        <v>1_CH</v>
      </c>
      <c r="L849">
        <v>1</v>
      </c>
      <c r="M849">
        <f t="shared" si="26"/>
        <v>0.4</v>
      </c>
      <c r="N849" t="s">
        <v>20</v>
      </c>
      <c r="O849">
        <f>LOOKUP(X849,Pays!A:A,Pays!D:D)</f>
        <v>0</v>
      </c>
      <c r="P849">
        <v>0.15</v>
      </c>
      <c r="Q849">
        <v>0.4</v>
      </c>
      <c r="U849">
        <v>1</v>
      </c>
      <c r="W849">
        <f>IF(COUNTIF(Pays!A:A,X849)=0,"",LOOKUP(X849,Pays!A:A,Pays!E:E))</f>
        <v>0</v>
      </c>
      <c r="X849" s="8" t="s">
        <v>37</v>
      </c>
    </row>
    <row r="850" spans="1:24" x14ac:dyDescent="0.25">
      <c r="A850" t="s">
        <v>1170</v>
      </c>
      <c r="B850" t="s">
        <v>182</v>
      </c>
      <c r="C850" s="1">
        <f t="shared" si="27"/>
        <v>46174</v>
      </c>
      <c r="F850" t="s">
        <v>110</v>
      </c>
      <c r="G850" t="s">
        <v>1063</v>
      </c>
      <c r="H850" t="s">
        <v>1927</v>
      </c>
      <c r="I850" t="s">
        <v>18</v>
      </c>
      <c r="J850" t="str">
        <f>IF(COUNTIF(Pays!A:A,X850)=0,"Pays inconnu",_xlfn.XLOOKUP(X850,Pays!A:A,Pays!B:B))</f>
        <v>CH</v>
      </c>
      <c r="K850" t="str">
        <f>IF(COUNTIF(Pays!A:A,X850)=0,"Pays inconnu",_xlfn.XLOOKUP(X850,Pays!A:A,Pays!C:C))</f>
        <v>1_CH</v>
      </c>
      <c r="L850">
        <v>1</v>
      </c>
      <c r="M850">
        <f t="shared" si="26"/>
        <v>0.15</v>
      </c>
      <c r="N850" t="s">
        <v>20</v>
      </c>
      <c r="O850">
        <f>LOOKUP(X850,Pays!A:A,Pays!D:D)</f>
        <v>0</v>
      </c>
      <c r="P850">
        <v>0.15</v>
      </c>
      <c r="Q850">
        <v>0.02</v>
      </c>
      <c r="U850">
        <v>1</v>
      </c>
      <c r="W850">
        <f>IF(COUNTIF(Pays!A:A,X850)=0,"",LOOKUP(X850,Pays!A:A,Pays!E:E))</f>
        <v>0</v>
      </c>
      <c r="X850" s="8" t="s">
        <v>37</v>
      </c>
    </row>
    <row r="851" spans="1:24" x14ac:dyDescent="0.25">
      <c r="A851" t="s">
        <v>1170</v>
      </c>
      <c r="B851" t="s">
        <v>182</v>
      </c>
      <c r="C851" s="1">
        <f t="shared" si="27"/>
        <v>46174</v>
      </c>
      <c r="F851" t="s">
        <v>110</v>
      </c>
      <c r="G851" t="s">
        <v>1064</v>
      </c>
      <c r="H851" t="s">
        <v>1928</v>
      </c>
      <c r="I851" t="s">
        <v>18</v>
      </c>
      <c r="J851" t="str">
        <f>IF(COUNTIF(Pays!A:A,X851)=0,"Pays inconnu",_xlfn.XLOOKUP(X851,Pays!A:A,Pays!B:B))</f>
        <v>CH</v>
      </c>
      <c r="K851" t="str">
        <f>IF(COUNTIF(Pays!A:A,X851)=0,"Pays inconnu",_xlfn.XLOOKUP(X851,Pays!A:A,Pays!C:C))</f>
        <v>1_CH</v>
      </c>
      <c r="L851">
        <v>1</v>
      </c>
      <c r="M851">
        <f t="shared" si="26"/>
        <v>0.21</v>
      </c>
      <c r="N851" t="s">
        <v>20</v>
      </c>
      <c r="O851">
        <f>LOOKUP(X851,Pays!A:A,Pays!D:D)</f>
        <v>0</v>
      </c>
      <c r="P851">
        <v>0.15</v>
      </c>
      <c r="Q851">
        <v>0.21</v>
      </c>
      <c r="U851">
        <v>1</v>
      </c>
      <c r="W851">
        <f>IF(COUNTIF(Pays!A:A,X851)=0,"",LOOKUP(X851,Pays!A:A,Pays!E:E))</f>
        <v>0</v>
      </c>
      <c r="X851" s="8" t="s">
        <v>37</v>
      </c>
    </row>
    <row r="852" spans="1:24" x14ac:dyDescent="0.25">
      <c r="A852" t="s">
        <v>1170</v>
      </c>
      <c r="B852" t="s">
        <v>182</v>
      </c>
      <c r="C852" s="1">
        <f t="shared" si="27"/>
        <v>46174</v>
      </c>
      <c r="F852" t="s">
        <v>110</v>
      </c>
      <c r="G852" t="s">
        <v>1065</v>
      </c>
      <c r="H852" t="s">
        <v>1929</v>
      </c>
      <c r="I852" t="s">
        <v>18</v>
      </c>
      <c r="J852" t="str">
        <f>IF(COUNTIF(Pays!A:A,X852)=0,"Pays inconnu",_xlfn.XLOOKUP(X852,Pays!A:A,Pays!B:B))</f>
        <v>CH</v>
      </c>
      <c r="K852" t="str">
        <f>IF(COUNTIF(Pays!A:A,X852)=0,"Pays inconnu",_xlfn.XLOOKUP(X852,Pays!A:A,Pays!C:C))</f>
        <v>1_CH</v>
      </c>
      <c r="L852">
        <v>1</v>
      </c>
      <c r="M852">
        <f t="shared" si="26"/>
        <v>0.28000000000000003</v>
      </c>
      <c r="N852" t="s">
        <v>20</v>
      </c>
      <c r="O852">
        <f>LOOKUP(X852,Pays!A:A,Pays!D:D)</f>
        <v>0</v>
      </c>
      <c r="P852">
        <v>0.15</v>
      </c>
      <c r="Q852">
        <v>0.28000000000000003</v>
      </c>
      <c r="U852">
        <v>1</v>
      </c>
      <c r="W852">
        <f>IF(COUNTIF(Pays!A:A,X852)=0,"",LOOKUP(X852,Pays!A:A,Pays!E:E))</f>
        <v>0</v>
      </c>
      <c r="X852" s="8" t="s">
        <v>37</v>
      </c>
    </row>
    <row r="853" spans="1:24" x14ac:dyDescent="0.25">
      <c r="A853" t="s">
        <v>1170</v>
      </c>
      <c r="B853" t="s">
        <v>182</v>
      </c>
      <c r="C853" s="1">
        <f t="shared" si="27"/>
        <v>46174</v>
      </c>
      <c r="F853" t="s">
        <v>110</v>
      </c>
      <c r="G853" t="s">
        <v>1066</v>
      </c>
      <c r="H853" t="s">
        <v>1930</v>
      </c>
      <c r="I853" t="s">
        <v>18</v>
      </c>
      <c r="J853" t="str">
        <f>IF(COUNTIF(Pays!A:A,X853)=0,"Pays inconnu",_xlfn.XLOOKUP(X853,Pays!A:A,Pays!B:B))</f>
        <v>CH</v>
      </c>
      <c r="K853" t="str">
        <f>IF(COUNTIF(Pays!A:A,X853)=0,"Pays inconnu",_xlfn.XLOOKUP(X853,Pays!A:A,Pays!C:C))</f>
        <v>1_CH</v>
      </c>
      <c r="L853">
        <v>1</v>
      </c>
      <c r="M853">
        <f t="shared" si="26"/>
        <v>0.5</v>
      </c>
      <c r="N853" t="s">
        <v>20</v>
      </c>
      <c r="O853">
        <f>LOOKUP(X853,Pays!A:A,Pays!D:D)</f>
        <v>0</v>
      </c>
      <c r="P853">
        <v>0.15</v>
      </c>
      <c r="Q853">
        <v>0.5</v>
      </c>
      <c r="U853">
        <v>1</v>
      </c>
      <c r="W853">
        <f>IF(COUNTIF(Pays!A:A,X853)=0,"",LOOKUP(X853,Pays!A:A,Pays!E:E))</f>
        <v>0</v>
      </c>
      <c r="X853" s="8" t="s">
        <v>37</v>
      </c>
    </row>
    <row r="854" spans="1:24" x14ac:dyDescent="0.25">
      <c r="A854" t="s">
        <v>1170</v>
      </c>
      <c r="B854" t="s">
        <v>182</v>
      </c>
      <c r="C854" s="1">
        <f t="shared" si="27"/>
        <v>46174</v>
      </c>
      <c r="F854" t="s">
        <v>110</v>
      </c>
      <c r="G854" t="s">
        <v>1067</v>
      </c>
      <c r="H854" t="s">
        <v>1931</v>
      </c>
      <c r="I854" t="s">
        <v>18</v>
      </c>
      <c r="J854" t="str">
        <f>IF(COUNTIF(Pays!A:A,X854)=0,"Pays inconnu",_xlfn.XLOOKUP(X854,Pays!A:A,Pays!B:B))</f>
        <v>GB</v>
      </c>
      <c r="K854" t="str">
        <f>IF(COUNTIF(Pays!A:A,X854)=0,"Pays inconnu",_xlfn.XLOOKUP(X854,Pays!A:A,Pays!C:C))</f>
        <v>1_GB</v>
      </c>
      <c r="L854">
        <v>1</v>
      </c>
      <c r="M854">
        <f t="shared" si="26"/>
        <v>0.44</v>
      </c>
      <c r="N854" t="s">
        <v>20</v>
      </c>
      <c r="O854">
        <f>LOOKUP(X854,Pays!A:A,Pays!D:D)</f>
        <v>0</v>
      </c>
      <c r="P854">
        <v>0.15</v>
      </c>
      <c r="Q854">
        <v>0.44</v>
      </c>
      <c r="U854">
        <v>1</v>
      </c>
      <c r="W854">
        <f>IF(COUNTIF(Pays!A:A,X854)=0,"",LOOKUP(X854,Pays!A:A,Pays!E:E))</f>
        <v>0</v>
      </c>
      <c r="X854" s="8" t="s">
        <v>30</v>
      </c>
    </row>
    <row r="855" spans="1:24" x14ac:dyDescent="0.25">
      <c r="A855" t="s">
        <v>1170</v>
      </c>
      <c r="B855" t="s">
        <v>182</v>
      </c>
      <c r="C855" s="1">
        <f t="shared" si="27"/>
        <v>46174</v>
      </c>
      <c r="F855" t="s">
        <v>110</v>
      </c>
      <c r="G855" t="s">
        <v>1068</v>
      </c>
      <c r="H855" t="s">
        <v>1932</v>
      </c>
      <c r="I855" t="s">
        <v>18</v>
      </c>
      <c r="J855" t="str">
        <f>IF(COUNTIF(Pays!A:A,X855)=0,"Pays inconnu",_xlfn.XLOOKUP(X855,Pays!A:A,Pays!B:B))</f>
        <v>GB</v>
      </c>
      <c r="K855" t="str">
        <f>IF(COUNTIF(Pays!A:A,X855)=0,"Pays inconnu",_xlfn.XLOOKUP(X855,Pays!A:A,Pays!C:C))</f>
        <v>1_GB</v>
      </c>
      <c r="L855">
        <v>1</v>
      </c>
      <c r="M855">
        <f t="shared" si="26"/>
        <v>0.15</v>
      </c>
      <c r="N855" t="s">
        <v>20</v>
      </c>
      <c r="O855">
        <f>LOOKUP(X855,Pays!A:A,Pays!D:D)</f>
        <v>0</v>
      </c>
      <c r="P855">
        <v>0.15</v>
      </c>
      <c r="Q855">
        <v>0.06</v>
      </c>
      <c r="U855">
        <v>1</v>
      </c>
      <c r="W855">
        <f>IF(COUNTIF(Pays!A:A,X855)=0,"",LOOKUP(X855,Pays!A:A,Pays!E:E))</f>
        <v>0</v>
      </c>
      <c r="X855" s="8" t="s">
        <v>30</v>
      </c>
    </row>
    <row r="856" spans="1:24" x14ac:dyDescent="0.25">
      <c r="A856" t="s">
        <v>1170</v>
      </c>
      <c r="B856" t="s">
        <v>182</v>
      </c>
      <c r="C856" s="1">
        <f t="shared" si="27"/>
        <v>46174</v>
      </c>
      <c r="F856" t="s">
        <v>110</v>
      </c>
      <c r="G856" t="s">
        <v>1069</v>
      </c>
      <c r="H856" t="s">
        <v>1933</v>
      </c>
      <c r="I856" t="s">
        <v>18</v>
      </c>
      <c r="J856" t="str">
        <f>IF(COUNTIF(Pays!A:A,X856)=0,"Pays inconnu",_xlfn.XLOOKUP(X856,Pays!A:A,Pays!B:B))</f>
        <v>CH</v>
      </c>
      <c r="K856" t="str">
        <f>IF(COUNTIF(Pays!A:A,X856)=0,"Pays inconnu",_xlfn.XLOOKUP(X856,Pays!A:A,Pays!C:C))</f>
        <v>1_CH</v>
      </c>
      <c r="L856">
        <v>1</v>
      </c>
      <c r="M856">
        <f t="shared" si="26"/>
        <v>1.34</v>
      </c>
      <c r="N856" t="s">
        <v>20</v>
      </c>
      <c r="O856">
        <f>LOOKUP(X856,Pays!A:A,Pays!D:D)</f>
        <v>0</v>
      </c>
      <c r="P856">
        <v>0.15</v>
      </c>
      <c r="Q856">
        <v>1.34</v>
      </c>
      <c r="U856">
        <v>1</v>
      </c>
      <c r="W856">
        <f>IF(COUNTIF(Pays!A:A,X856)=0,"",LOOKUP(X856,Pays!A:A,Pays!E:E))</f>
        <v>0</v>
      </c>
      <c r="X856" s="8" t="s">
        <v>37</v>
      </c>
    </row>
    <row r="857" spans="1:24" x14ac:dyDescent="0.25">
      <c r="A857" t="s">
        <v>1170</v>
      </c>
      <c r="B857" t="s">
        <v>182</v>
      </c>
      <c r="C857" s="1">
        <f t="shared" si="27"/>
        <v>46174</v>
      </c>
      <c r="F857" t="s">
        <v>110</v>
      </c>
      <c r="G857" t="s">
        <v>1070</v>
      </c>
      <c r="H857" t="s">
        <v>1934</v>
      </c>
      <c r="I857" t="s">
        <v>18</v>
      </c>
      <c r="J857" t="str">
        <f>IF(COUNTIF(Pays!A:A,X857)=0,"Pays inconnu",_xlfn.XLOOKUP(X857,Pays!A:A,Pays!B:B))</f>
        <v>GB</v>
      </c>
      <c r="K857" t="str">
        <f>IF(COUNTIF(Pays!A:A,X857)=0,"Pays inconnu",_xlfn.XLOOKUP(X857,Pays!A:A,Pays!C:C))</f>
        <v>1_GB</v>
      </c>
      <c r="L857">
        <v>1</v>
      </c>
      <c r="M857">
        <f t="shared" si="26"/>
        <v>0.28999999999999998</v>
      </c>
      <c r="N857" t="s">
        <v>20</v>
      </c>
      <c r="O857">
        <f>LOOKUP(X857,Pays!A:A,Pays!D:D)</f>
        <v>0</v>
      </c>
      <c r="P857">
        <v>0.15</v>
      </c>
      <c r="Q857">
        <v>0.28999999999999998</v>
      </c>
      <c r="U857">
        <v>1</v>
      </c>
      <c r="W857">
        <f>IF(COUNTIF(Pays!A:A,X857)=0,"",LOOKUP(X857,Pays!A:A,Pays!E:E))</f>
        <v>0</v>
      </c>
      <c r="X857" s="8" t="s">
        <v>30</v>
      </c>
    </row>
    <row r="858" spans="1:24" x14ac:dyDescent="0.25">
      <c r="A858" t="s">
        <v>1170</v>
      </c>
      <c r="B858" t="s">
        <v>182</v>
      </c>
      <c r="C858" s="1">
        <f t="shared" si="27"/>
        <v>46174</v>
      </c>
      <c r="F858" t="s">
        <v>110</v>
      </c>
      <c r="G858" t="s">
        <v>1071</v>
      </c>
      <c r="H858" t="s">
        <v>1935</v>
      </c>
      <c r="I858" t="s">
        <v>18</v>
      </c>
      <c r="J858" t="str">
        <f>IF(COUNTIF(Pays!A:A,X858)=0,"Pays inconnu",_xlfn.XLOOKUP(X858,Pays!A:A,Pays!B:B))</f>
        <v>GB</v>
      </c>
      <c r="K858" t="str">
        <f>IF(COUNTIF(Pays!A:A,X858)=0,"Pays inconnu",_xlfn.XLOOKUP(X858,Pays!A:A,Pays!C:C))</f>
        <v>1_GB</v>
      </c>
      <c r="L858">
        <v>1</v>
      </c>
      <c r="M858">
        <f t="shared" si="26"/>
        <v>0.15</v>
      </c>
      <c r="N858" t="s">
        <v>20</v>
      </c>
      <c r="O858">
        <f>LOOKUP(X858,Pays!A:A,Pays!D:D)</f>
        <v>0</v>
      </c>
      <c r="P858">
        <v>0.15</v>
      </c>
      <c r="Q858">
        <v>0.14000000000000001</v>
      </c>
      <c r="U858">
        <v>1</v>
      </c>
      <c r="W858">
        <f>IF(COUNTIF(Pays!A:A,X858)=0,"",LOOKUP(X858,Pays!A:A,Pays!E:E))</f>
        <v>0</v>
      </c>
      <c r="X858" s="8" t="s">
        <v>30</v>
      </c>
    </row>
    <row r="859" spans="1:24" x14ac:dyDescent="0.25">
      <c r="A859" t="s">
        <v>1170</v>
      </c>
      <c r="B859" t="s">
        <v>182</v>
      </c>
      <c r="C859" s="1">
        <f t="shared" si="27"/>
        <v>46174</v>
      </c>
      <c r="F859" t="s">
        <v>110</v>
      </c>
      <c r="G859" t="s">
        <v>1072</v>
      </c>
      <c r="H859" t="s">
        <v>1936</v>
      </c>
      <c r="I859" t="s">
        <v>18</v>
      </c>
      <c r="J859" t="str">
        <f>IF(COUNTIF(Pays!A:A,X859)=0,"Pays inconnu",_xlfn.XLOOKUP(X859,Pays!A:A,Pays!B:B))</f>
        <v>GB</v>
      </c>
      <c r="K859" t="str">
        <f>IF(COUNTIF(Pays!A:A,X859)=0,"Pays inconnu",_xlfn.XLOOKUP(X859,Pays!A:A,Pays!C:C))</f>
        <v>1_GB</v>
      </c>
      <c r="L859">
        <v>1</v>
      </c>
      <c r="M859">
        <f t="shared" si="26"/>
        <v>0.15</v>
      </c>
      <c r="N859" t="s">
        <v>20</v>
      </c>
      <c r="O859">
        <f>LOOKUP(X859,Pays!A:A,Pays!D:D)</f>
        <v>0</v>
      </c>
      <c r="P859">
        <v>0.15</v>
      </c>
      <c r="Q859">
        <v>0.03</v>
      </c>
      <c r="U859">
        <v>1</v>
      </c>
      <c r="W859">
        <f>IF(COUNTIF(Pays!A:A,X859)=0,"",LOOKUP(X859,Pays!A:A,Pays!E:E))</f>
        <v>0</v>
      </c>
      <c r="X859" s="8" t="s">
        <v>30</v>
      </c>
    </row>
    <row r="860" spans="1:24" x14ac:dyDescent="0.25">
      <c r="A860" t="s">
        <v>1170</v>
      </c>
      <c r="B860" t="s">
        <v>182</v>
      </c>
      <c r="C860" s="1">
        <f t="shared" si="27"/>
        <v>46174</v>
      </c>
      <c r="F860" t="s">
        <v>110</v>
      </c>
      <c r="G860" t="s">
        <v>1073</v>
      </c>
      <c r="H860" t="s">
        <v>1937</v>
      </c>
      <c r="I860" t="s">
        <v>18</v>
      </c>
      <c r="J860" t="str">
        <f>IF(COUNTIF(Pays!A:A,X860)=0,"Pays inconnu",_xlfn.XLOOKUP(X860,Pays!A:A,Pays!B:B))</f>
        <v>CH</v>
      </c>
      <c r="K860" t="str">
        <f>IF(COUNTIF(Pays!A:A,X860)=0,"Pays inconnu",_xlfn.XLOOKUP(X860,Pays!A:A,Pays!C:C))</f>
        <v>1_CH</v>
      </c>
      <c r="L860">
        <v>1</v>
      </c>
      <c r="M860">
        <f t="shared" si="26"/>
        <v>0.42</v>
      </c>
      <c r="N860" t="s">
        <v>20</v>
      </c>
      <c r="O860">
        <f>LOOKUP(X860,Pays!A:A,Pays!D:D)</f>
        <v>0</v>
      </c>
      <c r="P860">
        <v>0.15</v>
      </c>
      <c r="Q860">
        <v>0.42</v>
      </c>
      <c r="U860">
        <v>1</v>
      </c>
      <c r="W860">
        <f>IF(COUNTIF(Pays!A:A,X860)=0,"",LOOKUP(X860,Pays!A:A,Pays!E:E))</f>
        <v>0</v>
      </c>
      <c r="X860" s="8" t="s">
        <v>37</v>
      </c>
    </row>
    <row r="861" spans="1:24" x14ac:dyDescent="0.25">
      <c r="A861" t="s">
        <v>1170</v>
      </c>
      <c r="B861" t="s">
        <v>182</v>
      </c>
      <c r="C861" s="1">
        <f t="shared" si="27"/>
        <v>46174</v>
      </c>
      <c r="F861" t="s">
        <v>110</v>
      </c>
      <c r="G861" t="s">
        <v>1074</v>
      </c>
      <c r="H861" t="s">
        <v>1938</v>
      </c>
      <c r="I861" t="s">
        <v>18</v>
      </c>
      <c r="J861" t="str">
        <f>IF(COUNTIF(Pays!A:A,X861)=0,"Pays inconnu",_xlfn.XLOOKUP(X861,Pays!A:A,Pays!B:B))</f>
        <v>CH</v>
      </c>
      <c r="K861" t="str">
        <f>IF(COUNTIF(Pays!A:A,X861)=0,"Pays inconnu",_xlfn.XLOOKUP(X861,Pays!A:A,Pays!C:C))</f>
        <v>1_CH</v>
      </c>
      <c r="L861">
        <v>1</v>
      </c>
      <c r="M861">
        <f t="shared" si="26"/>
        <v>0.15</v>
      </c>
      <c r="N861" t="s">
        <v>20</v>
      </c>
      <c r="O861">
        <f>LOOKUP(X861,Pays!A:A,Pays!D:D)</f>
        <v>0</v>
      </c>
      <c r="P861">
        <v>0.15</v>
      </c>
      <c r="Q861">
        <v>0.02</v>
      </c>
      <c r="U861">
        <v>1</v>
      </c>
      <c r="W861">
        <f>IF(COUNTIF(Pays!A:A,X861)=0,"",LOOKUP(X861,Pays!A:A,Pays!E:E))</f>
        <v>0</v>
      </c>
      <c r="X861" s="8" t="s">
        <v>37</v>
      </c>
    </row>
    <row r="862" spans="1:24" x14ac:dyDescent="0.25">
      <c r="A862" t="s">
        <v>1170</v>
      </c>
      <c r="B862" t="s">
        <v>182</v>
      </c>
      <c r="C862" s="1">
        <f t="shared" si="27"/>
        <v>46174</v>
      </c>
      <c r="F862" t="s">
        <v>110</v>
      </c>
      <c r="G862" t="s">
        <v>1075</v>
      </c>
      <c r="H862" t="s">
        <v>1939</v>
      </c>
      <c r="I862" t="s">
        <v>18</v>
      </c>
      <c r="J862" t="str">
        <f>IF(COUNTIF(Pays!A:A,X862)=0,"Pays inconnu",_xlfn.XLOOKUP(X862,Pays!A:A,Pays!B:B))</f>
        <v>GB</v>
      </c>
      <c r="K862" t="str">
        <f>IF(COUNTIF(Pays!A:A,X862)=0,"Pays inconnu",_xlfn.XLOOKUP(X862,Pays!A:A,Pays!C:C))</f>
        <v>1_GB</v>
      </c>
      <c r="L862">
        <v>1</v>
      </c>
      <c r="M862">
        <f t="shared" si="26"/>
        <v>0.24</v>
      </c>
      <c r="N862" t="s">
        <v>20</v>
      </c>
      <c r="O862">
        <f>LOOKUP(X862,Pays!A:A,Pays!D:D)</f>
        <v>0</v>
      </c>
      <c r="P862">
        <v>0.15</v>
      </c>
      <c r="Q862">
        <v>0.24</v>
      </c>
      <c r="U862">
        <v>1</v>
      </c>
      <c r="W862">
        <f>IF(COUNTIF(Pays!A:A,X862)=0,"",LOOKUP(X862,Pays!A:A,Pays!E:E))</f>
        <v>0</v>
      </c>
      <c r="X862" s="8" t="s">
        <v>30</v>
      </c>
    </row>
    <row r="863" spans="1:24" x14ac:dyDescent="0.25">
      <c r="A863" t="s">
        <v>1170</v>
      </c>
      <c r="B863" t="s">
        <v>182</v>
      </c>
      <c r="C863" s="1">
        <f t="shared" si="27"/>
        <v>46174</v>
      </c>
      <c r="F863" t="s">
        <v>110</v>
      </c>
      <c r="G863" t="s">
        <v>1076</v>
      </c>
      <c r="H863" t="s">
        <v>1940</v>
      </c>
      <c r="I863" t="s">
        <v>18</v>
      </c>
      <c r="J863" t="str">
        <f>IF(COUNTIF(Pays!A:A,X863)=0,"Pays inconnu",_xlfn.XLOOKUP(X863,Pays!A:A,Pays!B:B))</f>
        <v>CH</v>
      </c>
      <c r="K863" t="str">
        <f>IF(COUNTIF(Pays!A:A,X863)=0,"Pays inconnu",_xlfn.XLOOKUP(X863,Pays!A:A,Pays!C:C))</f>
        <v>1_CH</v>
      </c>
      <c r="L863">
        <v>1</v>
      </c>
      <c r="M863">
        <f t="shared" si="26"/>
        <v>0.15</v>
      </c>
      <c r="N863" t="s">
        <v>20</v>
      </c>
      <c r="O863">
        <f>LOOKUP(X863,Pays!A:A,Pays!D:D)</f>
        <v>0</v>
      </c>
      <c r="P863">
        <v>0.15</v>
      </c>
      <c r="Q863">
        <v>0.02</v>
      </c>
      <c r="U863">
        <v>1</v>
      </c>
      <c r="W863">
        <f>IF(COUNTIF(Pays!A:A,X863)=0,"",LOOKUP(X863,Pays!A:A,Pays!E:E))</f>
        <v>0</v>
      </c>
      <c r="X863" s="8" t="s">
        <v>37</v>
      </c>
    </row>
    <row r="864" spans="1:24" x14ac:dyDescent="0.25">
      <c r="A864" t="s">
        <v>1170</v>
      </c>
      <c r="B864" t="s">
        <v>182</v>
      </c>
      <c r="C864" s="1">
        <f t="shared" si="27"/>
        <v>46174</v>
      </c>
      <c r="F864" t="s">
        <v>110</v>
      </c>
      <c r="G864" t="s">
        <v>1077</v>
      </c>
      <c r="H864" t="s">
        <v>1941</v>
      </c>
      <c r="I864" t="s">
        <v>18</v>
      </c>
      <c r="J864" t="str">
        <f>IF(COUNTIF(Pays!A:A,X864)=0,"Pays inconnu",_xlfn.XLOOKUP(X864,Pays!A:A,Pays!B:B))</f>
        <v>GB</v>
      </c>
      <c r="K864" t="str">
        <f>IF(COUNTIF(Pays!A:A,X864)=0,"Pays inconnu",_xlfn.XLOOKUP(X864,Pays!A:A,Pays!C:C))</f>
        <v>1_GB</v>
      </c>
      <c r="L864">
        <v>1</v>
      </c>
      <c r="M864">
        <f t="shared" si="26"/>
        <v>0.45</v>
      </c>
      <c r="N864" t="s">
        <v>20</v>
      </c>
      <c r="O864">
        <f>LOOKUP(X864,Pays!A:A,Pays!D:D)</f>
        <v>0</v>
      </c>
      <c r="P864">
        <v>0.15</v>
      </c>
      <c r="Q864">
        <v>0.45</v>
      </c>
      <c r="U864">
        <v>1</v>
      </c>
      <c r="W864">
        <f>IF(COUNTIF(Pays!A:A,X864)=0,"",LOOKUP(X864,Pays!A:A,Pays!E:E))</f>
        <v>0</v>
      </c>
      <c r="X864" s="8" t="s">
        <v>30</v>
      </c>
    </row>
    <row r="865" spans="1:24" x14ac:dyDescent="0.25">
      <c r="A865" t="s">
        <v>1170</v>
      </c>
      <c r="B865" t="s">
        <v>182</v>
      </c>
      <c r="C865" s="1">
        <f t="shared" si="27"/>
        <v>46174</v>
      </c>
      <c r="F865" t="s">
        <v>181</v>
      </c>
      <c r="G865" t="s">
        <v>1078</v>
      </c>
      <c r="H865" t="s">
        <v>184</v>
      </c>
      <c r="I865" t="s">
        <v>18</v>
      </c>
      <c r="J865" t="str">
        <f>IF(COUNTIF(Pays!A:A,X865)=0,"Pays inconnu",_xlfn.XLOOKUP(X865,Pays!A:A,Pays!B:B))</f>
        <v>CH</v>
      </c>
      <c r="K865" t="str">
        <f>IF(COUNTIF(Pays!A:A,X865)=0,"Pays inconnu",_xlfn.XLOOKUP(X865,Pays!A:A,Pays!C:C))</f>
        <v>1_CH</v>
      </c>
      <c r="L865">
        <v>1</v>
      </c>
      <c r="M865">
        <f t="shared" si="26"/>
        <v>0.83</v>
      </c>
      <c r="N865" t="s">
        <v>20</v>
      </c>
      <c r="O865">
        <f>LOOKUP(X865,Pays!A:A,Pays!D:D)</f>
        <v>0</v>
      </c>
      <c r="P865">
        <v>0.15</v>
      </c>
      <c r="Q865">
        <v>0.83</v>
      </c>
      <c r="U865">
        <v>1</v>
      </c>
      <c r="W865">
        <f>IF(COUNTIF(Pays!A:A,X865)=0,"",LOOKUP(X865,Pays!A:A,Pays!E:E))</f>
        <v>0</v>
      </c>
      <c r="X865" s="8" t="s">
        <v>37</v>
      </c>
    </row>
    <row r="866" spans="1:24" x14ac:dyDescent="0.25">
      <c r="A866" t="s">
        <v>1170</v>
      </c>
      <c r="B866" t="s">
        <v>182</v>
      </c>
      <c r="C866" s="1">
        <f t="shared" si="27"/>
        <v>46174</v>
      </c>
      <c r="F866" t="s">
        <v>110</v>
      </c>
      <c r="G866" t="s">
        <v>1079</v>
      </c>
      <c r="H866" t="s">
        <v>1942</v>
      </c>
      <c r="I866" t="s">
        <v>18</v>
      </c>
      <c r="J866" t="str">
        <f>IF(COUNTIF(Pays!A:A,X866)=0,"Pays inconnu",_xlfn.XLOOKUP(X866,Pays!A:A,Pays!B:B))</f>
        <v>CH</v>
      </c>
      <c r="K866" t="str">
        <f>IF(COUNTIF(Pays!A:A,X866)=0,"Pays inconnu",_xlfn.XLOOKUP(X866,Pays!A:A,Pays!C:C))</f>
        <v>1_CH</v>
      </c>
      <c r="L866">
        <v>1</v>
      </c>
      <c r="M866">
        <f t="shared" si="26"/>
        <v>0.35</v>
      </c>
      <c r="N866" t="s">
        <v>20</v>
      </c>
      <c r="O866">
        <f>LOOKUP(X866,Pays!A:A,Pays!D:D)</f>
        <v>0</v>
      </c>
      <c r="P866">
        <v>0.15</v>
      </c>
      <c r="Q866">
        <v>0.35</v>
      </c>
      <c r="U866">
        <v>1</v>
      </c>
      <c r="W866">
        <f>IF(COUNTIF(Pays!A:A,X866)=0,"",LOOKUP(X866,Pays!A:A,Pays!E:E))</f>
        <v>0</v>
      </c>
      <c r="X866" s="8" t="s">
        <v>37</v>
      </c>
    </row>
    <row r="867" spans="1:24" x14ac:dyDescent="0.25">
      <c r="A867" t="s">
        <v>1170</v>
      </c>
      <c r="B867" t="s">
        <v>182</v>
      </c>
      <c r="C867" s="1">
        <f t="shared" si="27"/>
        <v>46174</v>
      </c>
      <c r="F867" t="s">
        <v>110</v>
      </c>
      <c r="G867" t="s">
        <v>1080</v>
      </c>
      <c r="H867" t="s">
        <v>1943</v>
      </c>
      <c r="I867" t="s">
        <v>18</v>
      </c>
      <c r="J867" t="str">
        <f>IF(COUNTIF(Pays!A:A,X867)=0,"Pays inconnu",_xlfn.XLOOKUP(X867,Pays!A:A,Pays!B:B))</f>
        <v>CH</v>
      </c>
      <c r="K867" t="str">
        <f>IF(COUNTIF(Pays!A:A,X867)=0,"Pays inconnu",_xlfn.XLOOKUP(X867,Pays!A:A,Pays!C:C))</f>
        <v>1_CH</v>
      </c>
      <c r="L867">
        <v>1</v>
      </c>
      <c r="M867">
        <f t="shared" si="26"/>
        <v>0.56999999999999995</v>
      </c>
      <c r="N867" t="s">
        <v>20</v>
      </c>
      <c r="O867">
        <f>LOOKUP(X867,Pays!A:A,Pays!D:D)</f>
        <v>0</v>
      </c>
      <c r="P867">
        <v>0.15</v>
      </c>
      <c r="Q867">
        <v>0.56999999999999995</v>
      </c>
      <c r="U867">
        <v>1</v>
      </c>
      <c r="W867">
        <f>IF(COUNTIF(Pays!A:A,X867)=0,"",LOOKUP(X867,Pays!A:A,Pays!E:E))</f>
        <v>0</v>
      </c>
      <c r="X867" s="8" t="s">
        <v>37</v>
      </c>
    </row>
    <row r="868" spans="1:24" x14ac:dyDescent="0.25">
      <c r="A868" t="s">
        <v>1170</v>
      </c>
      <c r="B868" t="s">
        <v>182</v>
      </c>
      <c r="C868" s="1">
        <f t="shared" si="27"/>
        <v>46174</v>
      </c>
      <c r="F868" t="s">
        <v>181</v>
      </c>
      <c r="G868" t="s">
        <v>1081</v>
      </c>
      <c r="H868" t="s">
        <v>1944</v>
      </c>
      <c r="I868" t="s">
        <v>18</v>
      </c>
      <c r="J868" t="str">
        <f>IF(COUNTIF(Pays!A:A,X868)=0,"Pays inconnu",_xlfn.XLOOKUP(X868,Pays!A:A,Pays!B:B))</f>
        <v>CH</v>
      </c>
      <c r="K868" t="str">
        <f>IF(COUNTIF(Pays!A:A,X868)=0,"Pays inconnu",_xlfn.XLOOKUP(X868,Pays!A:A,Pays!C:C))</f>
        <v>1_CH</v>
      </c>
      <c r="L868">
        <v>1</v>
      </c>
      <c r="M868">
        <f t="shared" si="26"/>
        <v>1.28</v>
      </c>
      <c r="N868" t="s">
        <v>20</v>
      </c>
      <c r="O868">
        <f>LOOKUP(X868,Pays!A:A,Pays!D:D)</f>
        <v>0</v>
      </c>
      <c r="P868">
        <v>0.15</v>
      </c>
      <c r="Q868">
        <v>1.28</v>
      </c>
      <c r="U868">
        <v>1</v>
      </c>
      <c r="W868">
        <f>IF(COUNTIF(Pays!A:A,X868)=0,"",LOOKUP(X868,Pays!A:A,Pays!E:E))</f>
        <v>0</v>
      </c>
      <c r="X868" s="8" t="s">
        <v>37</v>
      </c>
    </row>
    <row r="869" spans="1:24" x14ac:dyDescent="0.25">
      <c r="A869" t="s">
        <v>1170</v>
      </c>
      <c r="B869" t="s">
        <v>182</v>
      </c>
      <c r="C869" s="1">
        <f t="shared" si="27"/>
        <v>46174</v>
      </c>
      <c r="F869" t="s">
        <v>110</v>
      </c>
      <c r="G869" t="s">
        <v>1082</v>
      </c>
      <c r="H869" t="s">
        <v>1945</v>
      </c>
      <c r="I869" t="s">
        <v>18</v>
      </c>
      <c r="J869" t="str">
        <f>IF(COUNTIF(Pays!A:A,X869)=0,"Pays inconnu",_xlfn.XLOOKUP(X869,Pays!A:A,Pays!B:B))</f>
        <v>CH</v>
      </c>
      <c r="K869" t="str">
        <f>IF(COUNTIF(Pays!A:A,X869)=0,"Pays inconnu",_xlfn.XLOOKUP(X869,Pays!A:A,Pays!C:C))</f>
        <v>1_CH</v>
      </c>
      <c r="L869">
        <v>1</v>
      </c>
      <c r="M869">
        <f t="shared" si="26"/>
        <v>0.65</v>
      </c>
      <c r="N869" t="s">
        <v>20</v>
      </c>
      <c r="O869">
        <f>LOOKUP(X869,Pays!A:A,Pays!D:D)</f>
        <v>0</v>
      </c>
      <c r="P869">
        <v>0.15</v>
      </c>
      <c r="Q869">
        <v>0.65</v>
      </c>
      <c r="U869">
        <v>1</v>
      </c>
      <c r="W869">
        <f>IF(COUNTIF(Pays!A:A,X869)=0,"",LOOKUP(X869,Pays!A:A,Pays!E:E))</f>
        <v>0</v>
      </c>
      <c r="X869" s="8" t="s">
        <v>37</v>
      </c>
    </row>
    <row r="870" spans="1:24" x14ac:dyDescent="0.25">
      <c r="A870" t="s">
        <v>1170</v>
      </c>
      <c r="B870" t="s">
        <v>182</v>
      </c>
      <c r="C870" s="1">
        <f t="shared" si="27"/>
        <v>46174</v>
      </c>
      <c r="F870" t="s">
        <v>110</v>
      </c>
      <c r="G870" t="s">
        <v>1083</v>
      </c>
      <c r="H870" t="s">
        <v>1946</v>
      </c>
      <c r="I870" t="s">
        <v>18</v>
      </c>
      <c r="J870" t="str">
        <f>IF(COUNTIF(Pays!A:A,X870)=0,"Pays inconnu",_xlfn.XLOOKUP(X870,Pays!A:A,Pays!B:B))</f>
        <v>CH</v>
      </c>
      <c r="K870" t="str">
        <f>IF(COUNTIF(Pays!A:A,X870)=0,"Pays inconnu",_xlfn.XLOOKUP(X870,Pays!A:A,Pays!C:C))</f>
        <v>1_CH</v>
      </c>
      <c r="L870">
        <v>1</v>
      </c>
      <c r="M870">
        <f t="shared" si="26"/>
        <v>0.23</v>
      </c>
      <c r="N870" t="s">
        <v>20</v>
      </c>
      <c r="O870">
        <f>LOOKUP(X870,Pays!A:A,Pays!D:D)</f>
        <v>0</v>
      </c>
      <c r="P870">
        <v>0.15</v>
      </c>
      <c r="Q870">
        <v>0.23</v>
      </c>
      <c r="U870">
        <v>1</v>
      </c>
      <c r="W870">
        <f>IF(COUNTIF(Pays!A:A,X870)=0,"",LOOKUP(X870,Pays!A:A,Pays!E:E))</f>
        <v>0</v>
      </c>
      <c r="X870" s="8" t="s">
        <v>37</v>
      </c>
    </row>
    <row r="871" spans="1:24" x14ac:dyDescent="0.25">
      <c r="A871" t="s">
        <v>1170</v>
      </c>
      <c r="B871" t="s">
        <v>182</v>
      </c>
      <c r="C871" s="1">
        <f t="shared" si="27"/>
        <v>46174</v>
      </c>
      <c r="F871" t="s">
        <v>181</v>
      </c>
      <c r="G871" t="s">
        <v>1084</v>
      </c>
      <c r="H871" t="s">
        <v>1947</v>
      </c>
      <c r="I871" t="s">
        <v>18</v>
      </c>
      <c r="J871" t="str">
        <f>IF(COUNTIF(Pays!A:A,X871)=0,"Pays inconnu",_xlfn.XLOOKUP(X871,Pays!A:A,Pays!B:B))</f>
        <v>GB</v>
      </c>
      <c r="K871" t="str">
        <f>IF(COUNTIF(Pays!A:A,X871)=0,"Pays inconnu",_xlfn.XLOOKUP(X871,Pays!A:A,Pays!C:C))</f>
        <v>1_GB</v>
      </c>
      <c r="L871">
        <v>1</v>
      </c>
      <c r="M871">
        <f t="shared" si="26"/>
        <v>0.15</v>
      </c>
      <c r="N871" t="s">
        <v>20</v>
      </c>
      <c r="O871">
        <f>LOOKUP(X871,Pays!A:A,Pays!D:D)</f>
        <v>0</v>
      </c>
      <c r="P871">
        <v>0.15</v>
      </c>
      <c r="Q871">
        <v>0.05</v>
      </c>
      <c r="U871">
        <v>1</v>
      </c>
      <c r="W871">
        <f>IF(COUNTIF(Pays!A:A,X871)=0,"",LOOKUP(X871,Pays!A:A,Pays!E:E))</f>
        <v>0</v>
      </c>
      <c r="X871" s="8" t="s">
        <v>30</v>
      </c>
    </row>
    <row r="872" spans="1:24" x14ac:dyDescent="0.25">
      <c r="A872" t="s">
        <v>1170</v>
      </c>
      <c r="B872" t="s">
        <v>182</v>
      </c>
      <c r="C872" s="1">
        <f t="shared" si="27"/>
        <v>46174</v>
      </c>
      <c r="F872" t="s">
        <v>110</v>
      </c>
      <c r="G872" t="s">
        <v>1085</v>
      </c>
      <c r="H872" t="s">
        <v>1948</v>
      </c>
      <c r="I872" t="s">
        <v>18</v>
      </c>
      <c r="J872" t="str">
        <f>IF(COUNTIF(Pays!A:A,X872)=0,"Pays inconnu",_xlfn.XLOOKUP(X872,Pays!A:A,Pays!B:B))</f>
        <v>CH</v>
      </c>
      <c r="K872" t="str">
        <f>IF(COUNTIF(Pays!A:A,X872)=0,"Pays inconnu",_xlfn.XLOOKUP(X872,Pays!A:A,Pays!C:C))</f>
        <v>1_CH</v>
      </c>
      <c r="L872">
        <v>1</v>
      </c>
      <c r="M872">
        <f t="shared" si="26"/>
        <v>0.36</v>
      </c>
      <c r="N872" t="s">
        <v>20</v>
      </c>
      <c r="O872">
        <f>LOOKUP(X872,Pays!A:A,Pays!D:D)</f>
        <v>0</v>
      </c>
      <c r="P872">
        <v>0.15</v>
      </c>
      <c r="Q872">
        <v>0.36</v>
      </c>
      <c r="U872">
        <v>1</v>
      </c>
      <c r="W872">
        <f>IF(COUNTIF(Pays!A:A,X872)=0,"",LOOKUP(X872,Pays!A:A,Pays!E:E))</f>
        <v>0</v>
      </c>
      <c r="X872" s="8" t="s">
        <v>37</v>
      </c>
    </row>
    <row r="873" spans="1:24" x14ac:dyDescent="0.25">
      <c r="A873" t="s">
        <v>1170</v>
      </c>
      <c r="B873" t="s">
        <v>182</v>
      </c>
      <c r="C873" s="1">
        <f t="shared" si="27"/>
        <v>46174</v>
      </c>
      <c r="F873" t="s">
        <v>110</v>
      </c>
      <c r="G873" t="s">
        <v>1086</v>
      </c>
      <c r="H873" t="s">
        <v>1949</v>
      </c>
      <c r="I873" t="s">
        <v>18</v>
      </c>
      <c r="J873" t="str">
        <f>IF(COUNTIF(Pays!A:A,X873)=0,"Pays inconnu",_xlfn.XLOOKUP(X873,Pays!A:A,Pays!B:B))</f>
        <v>GB</v>
      </c>
      <c r="K873" t="str">
        <f>IF(COUNTIF(Pays!A:A,X873)=0,"Pays inconnu",_xlfn.XLOOKUP(X873,Pays!A:A,Pays!C:C))</f>
        <v>1_GB</v>
      </c>
      <c r="L873">
        <v>1</v>
      </c>
      <c r="M873">
        <f t="shared" si="26"/>
        <v>0.28999999999999998</v>
      </c>
      <c r="N873" t="s">
        <v>20</v>
      </c>
      <c r="O873">
        <f>LOOKUP(X873,Pays!A:A,Pays!D:D)</f>
        <v>0</v>
      </c>
      <c r="P873">
        <v>0.15</v>
      </c>
      <c r="Q873">
        <v>0.28999999999999998</v>
      </c>
      <c r="U873">
        <v>1</v>
      </c>
      <c r="W873">
        <f>IF(COUNTIF(Pays!A:A,X873)=0,"",LOOKUP(X873,Pays!A:A,Pays!E:E))</f>
        <v>0</v>
      </c>
      <c r="X873" s="8" t="s">
        <v>30</v>
      </c>
    </row>
    <row r="874" spans="1:24" x14ac:dyDescent="0.25">
      <c r="A874" t="s">
        <v>1170</v>
      </c>
      <c r="B874" t="s">
        <v>182</v>
      </c>
      <c r="C874" s="1">
        <f t="shared" si="27"/>
        <v>46174</v>
      </c>
      <c r="F874" t="s">
        <v>110</v>
      </c>
      <c r="G874" t="s">
        <v>1087</v>
      </c>
      <c r="H874" t="s">
        <v>1950</v>
      </c>
      <c r="I874" t="s">
        <v>18</v>
      </c>
      <c r="J874" t="str">
        <f>IF(COUNTIF(Pays!A:A,X874)=0,"Pays inconnu",_xlfn.XLOOKUP(X874,Pays!A:A,Pays!B:B))</f>
        <v>US</v>
      </c>
      <c r="K874" t="str">
        <f>IF(COUNTIF(Pays!A:A,X874)=0,"Pays inconnu",_xlfn.XLOOKUP(X874,Pays!A:A,Pays!C:C))</f>
        <v>2_US</v>
      </c>
      <c r="L874">
        <v>1</v>
      </c>
      <c r="M874">
        <f t="shared" si="26"/>
        <v>0.3</v>
      </c>
      <c r="N874" t="s">
        <v>20</v>
      </c>
      <c r="O874">
        <f>LOOKUP(X874,Pays!A:A,Pays!D:D)</f>
        <v>0</v>
      </c>
      <c r="P874">
        <v>0.3</v>
      </c>
      <c r="Q874">
        <v>0.3</v>
      </c>
      <c r="U874">
        <v>1</v>
      </c>
      <c r="W874">
        <f>IF(COUNTIF(Pays!A:A,X874)=0,"",LOOKUP(X874,Pays!A:A,Pays!E:E))</f>
        <v>1.5</v>
      </c>
      <c r="X874" s="8" t="s">
        <v>79</v>
      </c>
    </row>
    <row r="875" spans="1:24" x14ac:dyDescent="0.25">
      <c r="A875" t="s">
        <v>1170</v>
      </c>
      <c r="B875" t="s">
        <v>182</v>
      </c>
      <c r="C875" s="1">
        <f t="shared" si="27"/>
        <v>46174</v>
      </c>
      <c r="F875" t="s">
        <v>110</v>
      </c>
      <c r="G875" t="s">
        <v>1088</v>
      </c>
      <c r="H875" t="s">
        <v>1951</v>
      </c>
      <c r="I875" t="s">
        <v>18</v>
      </c>
      <c r="J875" t="str">
        <f>IF(COUNTIF(Pays!A:A,X875)=0,"Pays inconnu",_xlfn.XLOOKUP(X875,Pays!A:A,Pays!B:B))</f>
        <v>CH</v>
      </c>
      <c r="K875" t="str">
        <f>IF(COUNTIF(Pays!A:A,X875)=0,"Pays inconnu",_xlfn.XLOOKUP(X875,Pays!A:A,Pays!C:C))</f>
        <v>1_CH</v>
      </c>
      <c r="L875">
        <v>1</v>
      </c>
      <c r="M875">
        <f t="shared" si="26"/>
        <v>0.57999999999999996</v>
      </c>
      <c r="N875" t="s">
        <v>20</v>
      </c>
      <c r="O875">
        <f>LOOKUP(X875,Pays!A:A,Pays!D:D)</f>
        <v>0</v>
      </c>
      <c r="P875">
        <v>0.15</v>
      </c>
      <c r="Q875">
        <v>0.57999999999999996</v>
      </c>
      <c r="U875">
        <v>1</v>
      </c>
      <c r="W875">
        <f>IF(COUNTIF(Pays!A:A,X875)=0,"",LOOKUP(X875,Pays!A:A,Pays!E:E))</f>
        <v>0</v>
      </c>
      <c r="X875" s="8" t="s">
        <v>37</v>
      </c>
    </row>
    <row r="876" spans="1:24" x14ac:dyDescent="0.25">
      <c r="A876" t="s">
        <v>1170</v>
      </c>
      <c r="B876" t="s">
        <v>182</v>
      </c>
      <c r="C876" s="1">
        <f t="shared" si="27"/>
        <v>46174</v>
      </c>
      <c r="F876" t="s">
        <v>110</v>
      </c>
      <c r="G876" t="s">
        <v>1089</v>
      </c>
      <c r="H876" t="s">
        <v>1952</v>
      </c>
      <c r="I876" t="s">
        <v>18</v>
      </c>
      <c r="J876" t="str">
        <f>IF(COUNTIF(Pays!A:A,X876)=0,"Pays inconnu",_xlfn.XLOOKUP(X876,Pays!A:A,Pays!B:B))</f>
        <v>CH</v>
      </c>
      <c r="K876" t="str">
        <f>IF(COUNTIF(Pays!A:A,X876)=0,"Pays inconnu",_xlfn.XLOOKUP(X876,Pays!A:A,Pays!C:C))</f>
        <v>1_CH</v>
      </c>
      <c r="L876">
        <v>1</v>
      </c>
      <c r="M876">
        <f t="shared" si="26"/>
        <v>0.81</v>
      </c>
      <c r="N876" t="s">
        <v>20</v>
      </c>
      <c r="O876">
        <f>LOOKUP(X876,Pays!A:A,Pays!D:D)</f>
        <v>0</v>
      </c>
      <c r="P876">
        <v>0.15</v>
      </c>
      <c r="Q876">
        <v>0.81</v>
      </c>
      <c r="U876">
        <v>1</v>
      </c>
      <c r="W876">
        <f>IF(COUNTIF(Pays!A:A,X876)=0,"",LOOKUP(X876,Pays!A:A,Pays!E:E))</f>
        <v>0</v>
      </c>
      <c r="X876" s="8" t="s">
        <v>37</v>
      </c>
    </row>
    <row r="877" spans="1:24" x14ac:dyDescent="0.25">
      <c r="A877" t="s">
        <v>1170</v>
      </c>
      <c r="B877" t="s">
        <v>182</v>
      </c>
      <c r="C877" s="1">
        <f t="shared" si="27"/>
        <v>46174</v>
      </c>
      <c r="F877" t="s">
        <v>110</v>
      </c>
      <c r="G877" t="s">
        <v>1090</v>
      </c>
      <c r="H877" t="s">
        <v>194</v>
      </c>
      <c r="I877" t="s">
        <v>18</v>
      </c>
      <c r="J877" t="str">
        <f>IF(COUNTIF(Pays!A:A,X877)=0,"Pays inconnu",_xlfn.XLOOKUP(X877,Pays!A:A,Pays!B:B))</f>
        <v>CH</v>
      </c>
      <c r="K877" t="str">
        <f>IF(COUNTIF(Pays!A:A,X877)=0,"Pays inconnu",_xlfn.XLOOKUP(X877,Pays!A:A,Pays!C:C))</f>
        <v>1_CH</v>
      </c>
      <c r="L877">
        <v>1</v>
      </c>
      <c r="M877">
        <f t="shared" si="26"/>
        <v>0.2</v>
      </c>
      <c r="N877" t="s">
        <v>20</v>
      </c>
      <c r="O877">
        <f>LOOKUP(X877,Pays!A:A,Pays!D:D)</f>
        <v>0</v>
      </c>
      <c r="P877">
        <v>0.15</v>
      </c>
      <c r="Q877">
        <v>0.2</v>
      </c>
      <c r="U877">
        <v>1</v>
      </c>
      <c r="W877">
        <f>IF(COUNTIF(Pays!A:A,X877)=0,"",LOOKUP(X877,Pays!A:A,Pays!E:E))</f>
        <v>0</v>
      </c>
      <c r="X877" s="8" t="s">
        <v>37</v>
      </c>
    </row>
    <row r="878" spans="1:24" x14ac:dyDescent="0.25">
      <c r="A878" t="s">
        <v>1170</v>
      </c>
      <c r="B878" t="s">
        <v>182</v>
      </c>
      <c r="C878" s="1">
        <f t="shared" si="27"/>
        <v>46174</v>
      </c>
      <c r="F878" t="s">
        <v>110</v>
      </c>
      <c r="G878" t="s">
        <v>1091</v>
      </c>
      <c r="H878" t="s">
        <v>1953</v>
      </c>
      <c r="I878" t="s">
        <v>18</v>
      </c>
      <c r="J878" t="str">
        <f>IF(COUNTIF(Pays!A:A,X878)=0,"Pays inconnu",_xlfn.XLOOKUP(X878,Pays!A:A,Pays!B:B))</f>
        <v>CH</v>
      </c>
      <c r="K878" t="str">
        <f>IF(COUNTIF(Pays!A:A,X878)=0,"Pays inconnu",_xlfn.XLOOKUP(X878,Pays!A:A,Pays!C:C))</f>
        <v>1_CH</v>
      </c>
      <c r="L878">
        <v>1</v>
      </c>
      <c r="M878">
        <f t="shared" si="26"/>
        <v>0.17</v>
      </c>
      <c r="N878" t="s">
        <v>20</v>
      </c>
      <c r="O878">
        <f>LOOKUP(X878,Pays!A:A,Pays!D:D)</f>
        <v>0</v>
      </c>
      <c r="P878">
        <v>0.15</v>
      </c>
      <c r="Q878">
        <v>0.17</v>
      </c>
      <c r="U878">
        <v>1</v>
      </c>
      <c r="W878">
        <f>IF(COUNTIF(Pays!A:A,X878)=0,"",LOOKUP(X878,Pays!A:A,Pays!E:E))</f>
        <v>0</v>
      </c>
      <c r="X878" s="8" t="s">
        <v>37</v>
      </c>
    </row>
    <row r="879" spans="1:24" x14ac:dyDescent="0.25">
      <c r="A879" t="s">
        <v>1170</v>
      </c>
      <c r="B879" t="s">
        <v>182</v>
      </c>
      <c r="C879" s="1">
        <f t="shared" si="27"/>
        <v>46174</v>
      </c>
      <c r="F879" t="s">
        <v>110</v>
      </c>
      <c r="G879" t="s">
        <v>1092</v>
      </c>
      <c r="H879" t="s">
        <v>1954</v>
      </c>
      <c r="I879" t="s">
        <v>18</v>
      </c>
      <c r="J879" t="str">
        <f>IF(COUNTIF(Pays!A:A,X879)=0,"Pays inconnu",_xlfn.XLOOKUP(X879,Pays!A:A,Pays!B:B))</f>
        <v>CH</v>
      </c>
      <c r="K879" t="str">
        <f>IF(COUNTIF(Pays!A:A,X879)=0,"Pays inconnu",_xlfn.XLOOKUP(X879,Pays!A:A,Pays!C:C))</f>
        <v>1_CH</v>
      </c>
      <c r="L879">
        <v>1</v>
      </c>
      <c r="M879">
        <f t="shared" si="26"/>
        <v>0.27</v>
      </c>
      <c r="N879" t="s">
        <v>20</v>
      </c>
      <c r="O879">
        <f>LOOKUP(X879,Pays!A:A,Pays!D:D)</f>
        <v>0</v>
      </c>
      <c r="P879">
        <v>0.15</v>
      </c>
      <c r="Q879">
        <v>0.27</v>
      </c>
      <c r="U879">
        <v>1</v>
      </c>
      <c r="W879">
        <f>IF(COUNTIF(Pays!A:A,X879)=0,"",LOOKUP(X879,Pays!A:A,Pays!E:E))</f>
        <v>0</v>
      </c>
      <c r="X879" s="8" t="s">
        <v>37</v>
      </c>
    </row>
    <row r="880" spans="1:24" x14ac:dyDescent="0.25">
      <c r="A880" t="s">
        <v>1170</v>
      </c>
      <c r="B880" t="s">
        <v>182</v>
      </c>
      <c r="C880" s="1">
        <f t="shared" si="27"/>
        <v>46174</v>
      </c>
      <c r="F880" t="s">
        <v>181</v>
      </c>
      <c r="G880" t="s">
        <v>1093</v>
      </c>
      <c r="H880" t="s">
        <v>1955</v>
      </c>
      <c r="I880" t="s">
        <v>18</v>
      </c>
      <c r="J880" t="str">
        <f>IF(COUNTIF(Pays!A:A,X880)=0,"Pays inconnu",_xlfn.XLOOKUP(X880,Pays!A:A,Pays!B:B))</f>
        <v>CH</v>
      </c>
      <c r="K880" t="str">
        <f>IF(COUNTIF(Pays!A:A,X880)=0,"Pays inconnu",_xlfn.XLOOKUP(X880,Pays!A:A,Pays!C:C))</f>
        <v>1_CH</v>
      </c>
      <c r="L880">
        <v>1</v>
      </c>
      <c r="M880">
        <f t="shared" si="26"/>
        <v>0.15</v>
      </c>
      <c r="N880" t="s">
        <v>20</v>
      </c>
      <c r="O880">
        <f>LOOKUP(X880,Pays!A:A,Pays!D:D)</f>
        <v>0</v>
      </c>
      <c r="P880">
        <v>0.15</v>
      </c>
      <c r="Q880">
        <v>7.0000000000000007E-2</v>
      </c>
      <c r="U880">
        <v>1</v>
      </c>
      <c r="W880">
        <f>IF(COUNTIF(Pays!A:A,X880)=0,"",LOOKUP(X880,Pays!A:A,Pays!E:E))</f>
        <v>0</v>
      </c>
      <c r="X880" s="8" t="s">
        <v>37</v>
      </c>
    </row>
    <row r="881" spans="1:24" x14ac:dyDescent="0.25">
      <c r="A881" t="s">
        <v>1170</v>
      </c>
      <c r="B881" t="s">
        <v>182</v>
      </c>
      <c r="C881" s="1">
        <f t="shared" si="27"/>
        <v>46174</v>
      </c>
      <c r="F881" t="s">
        <v>181</v>
      </c>
      <c r="G881" t="s">
        <v>1094</v>
      </c>
      <c r="H881" t="s">
        <v>1956</v>
      </c>
      <c r="I881" t="s">
        <v>18</v>
      </c>
      <c r="J881" t="str">
        <f>IF(COUNTIF(Pays!A:A,X881)=0,"Pays inconnu",_xlfn.XLOOKUP(X881,Pays!A:A,Pays!B:B))</f>
        <v>GB</v>
      </c>
      <c r="K881" t="str">
        <f>IF(COUNTIF(Pays!A:A,X881)=0,"Pays inconnu",_xlfn.XLOOKUP(X881,Pays!A:A,Pays!C:C))</f>
        <v>1_GB</v>
      </c>
      <c r="L881">
        <v>1</v>
      </c>
      <c r="M881">
        <f t="shared" si="26"/>
        <v>0.24</v>
      </c>
      <c r="N881" t="s">
        <v>20</v>
      </c>
      <c r="O881">
        <f>LOOKUP(X881,Pays!A:A,Pays!D:D)</f>
        <v>0</v>
      </c>
      <c r="P881">
        <v>0.15</v>
      </c>
      <c r="Q881">
        <v>0.24</v>
      </c>
      <c r="U881">
        <v>1</v>
      </c>
      <c r="W881">
        <f>IF(COUNTIF(Pays!A:A,X881)=0,"",LOOKUP(X881,Pays!A:A,Pays!E:E))</f>
        <v>0</v>
      </c>
      <c r="X881" s="8" t="s">
        <v>30</v>
      </c>
    </row>
    <row r="882" spans="1:24" x14ac:dyDescent="0.25">
      <c r="A882" t="s">
        <v>1170</v>
      </c>
      <c r="B882" t="s">
        <v>182</v>
      </c>
      <c r="C882" s="1">
        <f t="shared" si="27"/>
        <v>46174</v>
      </c>
      <c r="F882" t="s">
        <v>181</v>
      </c>
      <c r="G882" t="s">
        <v>1095</v>
      </c>
      <c r="H882" t="s">
        <v>1957</v>
      </c>
      <c r="I882" t="s">
        <v>18</v>
      </c>
      <c r="J882" t="str">
        <f>IF(COUNTIF(Pays!A:A,X882)=0,"Pays inconnu",_xlfn.XLOOKUP(X882,Pays!A:A,Pays!B:B))</f>
        <v>CH</v>
      </c>
      <c r="K882" t="str">
        <f>IF(COUNTIF(Pays!A:A,X882)=0,"Pays inconnu",_xlfn.XLOOKUP(X882,Pays!A:A,Pays!C:C))</f>
        <v>1_CH</v>
      </c>
      <c r="L882">
        <v>1</v>
      </c>
      <c r="M882">
        <f t="shared" si="26"/>
        <v>0.15</v>
      </c>
      <c r="N882" t="s">
        <v>20</v>
      </c>
      <c r="O882">
        <f>LOOKUP(X882,Pays!A:A,Pays!D:D)</f>
        <v>0</v>
      </c>
      <c r="P882">
        <v>0.15</v>
      </c>
      <c r="Q882">
        <v>0.1</v>
      </c>
      <c r="U882">
        <v>1</v>
      </c>
      <c r="W882">
        <f>IF(COUNTIF(Pays!A:A,X882)=0,"",LOOKUP(X882,Pays!A:A,Pays!E:E))</f>
        <v>0</v>
      </c>
      <c r="X882" s="8" t="s">
        <v>37</v>
      </c>
    </row>
    <row r="883" spans="1:24" x14ac:dyDescent="0.25">
      <c r="A883" t="s">
        <v>1170</v>
      </c>
      <c r="B883" t="s">
        <v>182</v>
      </c>
      <c r="C883" s="1">
        <f t="shared" si="27"/>
        <v>46174</v>
      </c>
      <c r="F883" t="s">
        <v>181</v>
      </c>
      <c r="G883" t="s">
        <v>1096</v>
      </c>
      <c r="H883" t="s">
        <v>1958</v>
      </c>
      <c r="I883" t="s">
        <v>18</v>
      </c>
      <c r="J883" t="str">
        <f>IF(COUNTIF(Pays!A:A,X883)=0,"Pays inconnu",_xlfn.XLOOKUP(X883,Pays!A:A,Pays!B:B))</f>
        <v>CH</v>
      </c>
      <c r="K883" t="str">
        <f>IF(COUNTIF(Pays!A:A,X883)=0,"Pays inconnu",_xlfn.XLOOKUP(X883,Pays!A:A,Pays!C:C))</f>
        <v>1_CH</v>
      </c>
      <c r="L883">
        <v>1</v>
      </c>
      <c r="M883">
        <f t="shared" si="26"/>
        <v>0.26</v>
      </c>
      <c r="N883" t="s">
        <v>20</v>
      </c>
      <c r="O883">
        <f>LOOKUP(X883,Pays!A:A,Pays!D:D)</f>
        <v>0</v>
      </c>
      <c r="P883">
        <v>0.15</v>
      </c>
      <c r="Q883">
        <v>0.26</v>
      </c>
      <c r="U883">
        <v>1</v>
      </c>
      <c r="W883">
        <f>IF(COUNTIF(Pays!A:A,X883)=0,"",LOOKUP(X883,Pays!A:A,Pays!E:E))</f>
        <v>0</v>
      </c>
      <c r="X883" s="8" t="s">
        <v>37</v>
      </c>
    </row>
    <row r="884" spans="1:24" x14ac:dyDescent="0.25">
      <c r="A884" t="s">
        <v>1171</v>
      </c>
      <c r="B884" t="s">
        <v>182</v>
      </c>
      <c r="C884" s="1">
        <f t="shared" si="27"/>
        <v>46174</v>
      </c>
      <c r="F884" t="s">
        <v>181</v>
      </c>
      <c r="G884" t="s">
        <v>1097</v>
      </c>
      <c r="H884" t="s">
        <v>1959</v>
      </c>
      <c r="I884" t="s">
        <v>18</v>
      </c>
      <c r="J884" t="str">
        <f>IF(COUNTIF(Pays!A:A,X884)=0,"Pays inconnu",_xlfn.XLOOKUP(X884,Pays!A:A,Pays!B:B))</f>
        <v>CH</v>
      </c>
      <c r="K884" t="str">
        <f>IF(COUNTIF(Pays!A:A,X884)=0,"Pays inconnu",_xlfn.XLOOKUP(X884,Pays!A:A,Pays!C:C))</f>
        <v>1_CH</v>
      </c>
      <c r="L884">
        <v>1</v>
      </c>
      <c r="M884">
        <f t="shared" si="26"/>
        <v>0.43</v>
      </c>
      <c r="N884" t="s">
        <v>20</v>
      </c>
      <c r="O884">
        <f>LOOKUP(X884,Pays!A:A,Pays!D:D)</f>
        <v>0</v>
      </c>
      <c r="P884">
        <v>0.15</v>
      </c>
      <c r="Q884">
        <v>0.43</v>
      </c>
      <c r="U884">
        <v>1</v>
      </c>
      <c r="W884">
        <f>IF(COUNTIF(Pays!A:A,X884)=0,"",LOOKUP(X884,Pays!A:A,Pays!E:E))</f>
        <v>0</v>
      </c>
      <c r="X884" s="8" t="s">
        <v>37</v>
      </c>
    </row>
    <row r="885" spans="1:24" x14ac:dyDescent="0.25">
      <c r="A885" t="s">
        <v>1171</v>
      </c>
      <c r="B885" t="s">
        <v>182</v>
      </c>
      <c r="C885" s="1">
        <f t="shared" si="27"/>
        <v>46174</v>
      </c>
      <c r="F885" t="s">
        <v>181</v>
      </c>
      <c r="G885" t="s">
        <v>1098</v>
      </c>
      <c r="H885" t="s">
        <v>1960</v>
      </c>
      <c r="I885" t="s">
        <v>18</v>
      </c>
      <c r="J885" t="str">
        <f>IF(COUNTIF(Pays!A:A,X885)=0,"Pays inconnu",_xlfn.XLOOKUP(X885,Pays!A:A,Pays!B:B))</f>
        <v>GB</v>
      </c>
      <c r="K885" t="str">
        <f>IF(COUNTIF(Pays!A:A,X885)=0,"Pays inconnu",_xlfn.XLOOKUP(X885,Pays!A:A,Pays!C:C))</f>
        <v>1_GB</v>
      </c>
      <c r="L885">
        <v>1</v>
      </c>
      <c r="M885">
        <f t="shared" si="26"/>
        <v>0.15</v>
      </c>
      <c r="N885" t="s">
        <v>20</v>
      </c>
      <c r="O885">
        <f>LOOKUP(X885,Pays!A:A,Pays!D:D)</f>
        <v>0</v>
      </c>
      <c r="P885">
        <v>0.15</v>
      </c>
      <c r="Q885">
        <v>0.05</v>
      </c>
      <c r="U885">
        <v>1</v>
      </c>
      <c r="W885">
        <f>IF(COUNTIF(Pays!A:A,X885)=0,"",LOOKUP(X885,Pays!A:A,Pays!E:E))</f>
        <v>0</v>
      </c>
      <c r="X885" s="8" t="s">
        <v>30</v>
      </c>
    </row>
    <row r="886" spans="1:24" x14ac:dyDescent="0.25">
      <c r="A886" t="s">
        <v>1171</v>
      </c>
      <c r="B886" t="s">
        <v>182</v>
      </c>
      <c r="C886" s="1">
        <f t="shared" si="27"/>
        <v>46174</v>
      </c>
      <c r="F886" t="s">
        <v>181</v>
      </c>
      <c r="G886" t="s">
        <v>1099</v>
      </c>
      <c r="H886" t="s">
        <v>1961</v>
      </c>
      <c r="I886" t="s">
        <v>18</v>
      </c>
      <c r="J886" t="str">
        <f>IF(COUNTIF(Pays!A:A,X886)=0,"Pays inconnu",_xlfn.XLOOKUP(X886,Pays!A:A,Pays!B:B))</f>
        <v>CH</v>
      </c>
      <c r="K886" t="str">
        <f>IF(COUNTIF(Pays!A:A,X886)=0,"Pays inconnu",_xlfn.XLOOKUP(X886,Pays!A:A,Pays!C:C))</f>
        <v>1_CH</v>
      </c>
      <c r="L886">
        <v>1</v>
      </c>
      <c r="M886">
        <f t="shared" si="26"/>
        <v>0.56000000000000005</v>
      </c>
      <c r="N886" t="s">
        <v>20</v>
      </c>
      <c r="O886">
        <f>LOOKUP(X886,Pays!A:A,Pays!D:D)</f>
        <v>0</v>
      </c>
      <c r="P886">
        <v>0.15</v>
      </c>
      <c r="Q886">
        <v>0.56000000000000005</v>
      </c>
      <c r="U886">
        <v>1</v>
      </c>
      <c r="W886">
        <f>IF(COUNTIF(Pays!A:A,X886)=0,"",LOOKUP(X886,Pays!A:A,Pays!E:E))</f>
        <v>0</v>
      </c>
      <c r="X886" s="8" t="s">
        <v>37</v>
      </c>
    </row>
    <row r="887" spans="1:24" x14ac:dyDescent="0.25">
      <c r="A887" t="s">
        <v>1171</v>
      </c>
      <c r="B887" t="s">
        <v>182</v>
      </c>
      <c r="C887" s="1">
        <f t="shared" si="27"/>
        <v>46174</v>
      </c>
      <c r="F887" t="s">
        <v>181</v>
      </c>
      <c r="G887" t="s">
        <v>1100</v>
      </c>
      <c r="H887" t="s">
        <v>1962</v>
      </c>
      <c r="I887" t="s">
        <v>18</v>
      </c>
      <c r="J887" t="str">
        <f>IF(COUNTIF(Pays!A:A,X887)=0,"Pays inconnu",_xlfn.XLOOKUP(X887,Pays!A:A,Pays!B:B))</f>
        <v>CH</v>
      </c>
      <c r="K887" t="str">
        <f>IF(COUNTIF(Pays!A:A,X887)=0,"Pays inconnu",_xlfn.XLOOKUP(X887,Pays!A:A,Pays!C:C))</f>
        <v>1_CH</v>
      </c>
      <c r="L887">
        <v>1</v>
      </c>
      <c r="M887">
        <f t="shared" si="26"/>
        <v>0.15</v>
      </c>
      <c r="N887" t="s">
        <v>20</v>
      </c>
      <c r="O887">
        <f>LOOKUP(X887,Pays!A:A,Pays!D:D)</f>
        <v>0</v>
      </c>
      <c r="P887">
        <v>0.15</v>
      </c>
      <c r="Q887">
        <v>0.15</v>
      </c>
      <c r="U887">
        <v>1</v>
      </c>
      <c r="W887">
        <f>IF(COUNTIF(Pays!A:A,X887)=0,"",LOOKUP(X887,Pays!A:A,Pays!E:E))</f>
        <v>0</v>
      </c>
      <c r="X887" s="8" t="s">
        <v>37</v>
      </c>
    </row>
    <row r="888" spans="1:24" x14ac:dyDescent="0.25">
      <c r="A888" t="s">
        <v>1171</v>
      </c>
      <c r="B888" t="s">
        <v>182</v>
      </c>
      <c r="C888" s="1">
        <f t="shared" si="27"/>
        <v>46174</v>
      </c>
      <c r="F888" t="s">
        <v>181</v>
      </c>
      <c r="G888" t="s">
        <v>1101</v>
      </c>
      <c r="H888" t="s">
        <v>1963</v>
      </c>
      <c r="I888" t="s">
        <v>18</v>
      </c>
      <c r="J888" t="str">
        <f>IF(COUNTIF(Pays!A:A,X888)=0,"Pays inconnu",_xlfn.XLOOKUP(X888,Pays!A:A,Pays!B:B))</f>
        <v>CH</v>
      </c>
      <c r="K888" t="str">
        <f>IF(COUNTIF(Pays!A:A,X888)=0,"Pays inconnu",_xlfn.XLOOKUP(X888,Pays!A:A,Pays!C:C))</f>
        <v>1_CH</v>
      </c>
      <c r="L888">
        <v>1</v>
      </c>
      <c r="M888">
        <f t="shared" si="26"/>
        <v>0.54</v>
      </c>
      <c r="N888" t="s">
        <v>20</v>
      </c>
      <c r="O888">
        <f>LOOKUP(X888,Pays!A:A,Pays!D:D)</f>
        <v>0</v>
      </c>
      <c r="P888">
        <v>0.15</v>
      </c>
      <c r="Q888">
        <v>0.54</v>
      </c>
      <c r="U888">
        <v>1</v>
      </c>
      <c r="W888">
        <f>IF(COUNTIF(Pays!A:A,X888)=0,"",LOOKUP(X888,Pays!A:A,Pays!E:E))</f>
        <v>0</v>
      </c>
      <c r="X888" s="8" t="s">
        <v>37</v>
      </c>
    </row>
    <row r="889" spans="1:24" x14ac:dyDescent="0.25">
      <c r="A889" t="s">
        <v>1171</v>
      </c>
      <c r="B889" t="s">
        <v>182</v>
      </c>
      <c r="C889" s="1">
        <f t="shared" si="27"/>
        <v>46174</v>
      </c>
      <c r="F889" t="s">
        <v>181</v>
      </c>
      <c r="G889" t="s">
        <v>1102</v>
      </c>
      <c r="H889" t="s">
        <v>1268</v>
      </c>
      <c r="I889" t="s">
        <v>18</v>
      </c>
      <c r="J889" t="str">
        <f>IF(COUNTIF(Pays!A:A,X889)=0,"Pays inconnu",_xlfn.XLOOKUP(X889,Pays!A:A,Pays!B:B))</f>
        <v>CH</v>
      </c>
      <c r="K889" t="str">
        <f>IF(COUNTIF(Pays!A:A,X889)=0,"Pays inconnu",_xlfn.XLOOKUP(X889,Pays!A:A,Pays!C:C))</f>
        <v>1_CH</v>
      </c>
      <c r="L889">
        <v>1</v>
      </c>
      <c r="M889">
        <f t="shared" si="26"/>
        <v>0.5</v>
      </c>
      <c r="N889" t="s">
        <v>20</v>
      </c>
      <c r="O889">
        <f>LOOKUP(X889,Pays!A:A,Pays!D:D)</f>
        <v>0</v>
      </c>
      <c r="P889">
        <v>0.15</v>
      </c>
      <c r="Q889">
        <v>0.5</v>
      </c>
      <c r="U889">
        <v>1</v>
      </c>
      <c r="W889">
        <f>IF(COUNTIF(Pays!A:A,X889)=0,"",LOOKUP(X889,Pays!A:A,Pays!E:E))</f>
        <v>0</v>
      </c>
      <c r="X889" s="8" t="s">
        <v>37</v>
      </c>
    </row>
    <row r="890" spans="1:24" x14ac:dyDescent="0.25">
      <c r="A890" t="s">
        <v>1171</v>
      </c>
      <c r="B890" t="s">
        <v>182</v>
      </c>
      <c r="C890" s="1">
        <f t="shared" si="27"/>
        <v>46174</v>
      </c>
      <c r="F890" t="s">
        <v>181</v>
      </c>
      <c r="G890" t="s">
        <v>1103</v>
      </c>
      <c r="H890" t="s">
        <v>1964</v>
      </c>
      <c r="I890" t="s">
        <v>18</v>
      </c>
      <c r="J890" t="str">
        <f>IF(COUNTIF(Pays!A:A,X890)=0,"Pays inconnu",_xlfn.XLOOKUP(X890,Pays!A:A,Pays!B:B))</f>
        <v>CH</v>
      </c>
      <c r="K890" t="str">
        <f>IF(COUNTIF(Pays!A:A,X890)=0,"Pays inconnu",_xlfn.XLOOKUP(X890,Pays!A:A,Pays!C:C))</f>
        <v>1_CH</v>
      </c>
      <c r="L890">
        <v>1</v>
      </c>
      <c r="M890">
        <f t="shared" si="26"/>
        <v>0.15</v>
      </c>
      <c r="N890" t="s">
        <v>20</v>
      </c>
      <c r="O890">
        <f>LOOKUP(X890,Pays!A:A,Pays!D:D)</f>
        <v>0</v>
      </c>
      <c r="P890">
        <v>0.15</v>
      </c>
      <c r="Q890">
        <v>0.13</v>
      </c>
      <c r="U890">
        <v>1</v>
      </c>
      <c r="W890">
        <f>IF(COUNTIF(Pays!A:A,X890)=0,"",LOOKUP(X890,Pays!A:A,Pays!E:E))</f>
        <v>0</v>
      </c>
      <c r="X890" s="8" t="s">
        <v>37</v>
      </c>
    </row>
    <row r="891" spans="1:24" x14ac:dyDescent="0.25">
      <c r="A891" t="s">
        <v>1171</v>
      </c>
      <c r="B891" t="s">
        <v>182</v>
      </c>
      <c r="C891" s="1">
        <f t="shared" si="27"/>
        <v>46174</v>
      </c>
      <c r="F891" t="s">
        <v>181</v>
      </c>
      <c r="G891" t="s">
        <v>1104</v>
      </c>
      <c r="H891" t="s">
        <v>1965</v>
      </c>
      <c r="I891" t="s">
        <v>18</v>
      </c>
      <c r="J891" t="str">
        <f>IF(COUNTIF(Pays!A:A,X891)=0,"Pays inconnu",_xlfn.XLOOKUP(X891,Pays!A:A,Pays!B:B))</f>
        <v>CH</v>
      </c>
      <c r="K891" t="str">
        <f>IF(COUNTIF(Pays!A:A,X891)=0,"Pays inconnu",_xlfn.XLOOKUP(X891,Pays!A:A,Pays!C:C))</f>
        <v>1_CH</v>
      </c>
      <c r="L891">
        <v>1</v>
      </c>
      <c r="M891">
        <f t="shared" si="26"/>
        <v>0.15</v>
      </c>
      <c r="N891" t="s">
        <v>20</v>
      </c>
      <c r="O891">
        <f>LOOKUP(X891,Pays!A:A,Pays!D:D)</f>
        <v>0</v>
      </c>
      <c r="P891">
        <v>0.15</v>
      </c>
      <c r="Q891">
        <v>0.03</v>
      </c>
      <c r="U891">
        <v>1</v>
      </c>
      <c r="W891">
        <f>IF(COUNTIF(Pays!A:A,X891)=0,"",LOOKUP(X891,Pays!A:A,Pays!E:E))</f>
        <v>0</v>
      </c>
      <c r="X891" s="8" t="s">
        <v>37</v>
      </c>
    </row>
    <row r="892" spans="1:24" x14ac:dyDescent="0.25">
      <c r="A892" t="s">
        <v>1171</v>
      </c>
      <c r="B892" t="s">
        <v>182</v>
      </c>
      <c r="C892" s="1">
        <f t="shared" si="27"/>
        <v>46174</v>
      </c>
      <c r="F892" t="s">
        <v>181</v>
      </c>
      <c r="G892" t="s">
        <v>1105</v>
      </c>
      <c r="H892" t="s">
        <v>1966</v>
      </c>
      <c r="I892" t="s">
        <v>18</v>
      </c>
      <c r="J892" t="str">
        <f>IF(COUNTIF(Pays!A:A,X892)=0,"Pays inconnu",_xlfn.XLOOKUP(X892,Pays!A:A,Pays!B:B))</f>
        <v>CH</v>
      </c>
      <c r="K892" t="str">
        <f>IF(COUNTIF(Pays!A:A,X892)=0,"Pays inconnu",_xlfn.XLOOKUP(X892,Pays!A:A,Pays!C:C))</f>
        <v>1_CH</v>
      </c>
      <c r="L892">
        <v>1</v>
      </c>
      <c r="M892">
        <f t="shared" si="26"/>
        <v>1.05</v>
      </c>
      <c r="N892" t="s">
        <v>20</v>
      </c>
      <c r="O892">
        <f>LOOKUP(X892,Pays!A:A,Pays!D:D)</f>
        <v>0</v>
      </c>
      <c r="P892">
        <v>0.15</v>
      </c>
      <c r="Q892">
        <v>1.05</v>
      </c>
      <c r="U892">
        <v>1</v>
      </c>
      <c r="W892">
        <f>IF(COUNTIF(Pays!A:A,X892)=0,"",LOOKUP(X892,Pays!A:A,Pays!E:E))</f>
        <v>0</v>
      </c>
      <c r="X892" s="8" t="s">
        <v>37</v>
      </c>
    </row>
    <row r="893" spans="1:24" x14ac:dyDescent="0.25">
      <c r="A893" t="s">
        <v>1171</v>
      </c>
      <c r="B893" t="s">
        <v>182</v>
      </c>
      <c r="C893" s="1">
        <f t="shared" si="27"/>
        <v>46174</v>
      </c>
      <c r="F893" t="s">
        <v>181</v>
      </c>
      <c r="G893" t="s">
        <v>1106</v>
      </c>
      <c r="H893" t="s">
        <v>1967</v>
      </c>
      <c r="I893" t="s">
        <v>18</v>
      </c>
      <c r="J893" t="str">
        <f>IF(COUNTIF(Pays!A:A,X893)=0,"Pays inconnu",_xlfn.XLOOKUP(X893,Pays!A:A,Pays!B:B))</f>
        <v>CH</v>
      </c>
      <c r="K893" t="str">
        <f>IF(COUNTIF(Pays!A:A,X893)=0,"Pays inconnu",_xlfn.XLOOKUP(X893,Pays!A:A,Pays!C:C))</f>
        <v>1_CH</v>
      </c>
      <c r="L893">
        <v>1</v>
      </c>
      <c r="M893">
        <f t="shared" si="26"/>
        <v>0.43</v>
      </c>
      <c r="N893" t="s">
        <v>20</v>
      </c>
      <c r="O893">
        <f>LOOKUP(X893,Pays!A:A,Pays!D:D)</f>
        <v>0</v>
      </c>
      <c r="P893">
        <v>0.15</v>
      </c>
      <c r="Q893">
        <v>0.43</v>
      </c>
      <c r="U893">
        <v>1</v>
      </c>
      <c r="W893">
        <f>IF(COUNTIF(Pays!A:A,X893)=0,"",LOOKUP(X893,Pays!A:A,Pays!E:E))</f>
        <v>0</v>
      </c>
      <c r="X893" s="8" t="s">
        <v>37</v>
      </c>
    </row>
    <row r="894" spans="1:24" x14ac:dyDescent="0.25">
      <c r="A894" t="s">
        <v>1171</v>
      </c>
      <c r="B894" t="s">
        <v>182</v>
      </c>
      <c r="C894" s="1">
        <f t="shared" si="27"/>
        <v>46174</v>
      </c>
      <c r="F894" t="s">
        <v>181</v>
      </c>
      <c r="G894" t="s">
        <v>1107</v>
      </c>
      <c r="H894" t="s">
        <v>1968</v>
      </c>
      <c r="I894" t="s">
        <v>18</v>
      </c>
      <c r="J894" t="str">
        <f>IF(COUNTIF(Pays!A:A,X894)=0,"Pays inconnu",_xlfn.XLOOKUP(X894,Pays!A:A,Pays!B:B))</f>
        <v>CH</v>
      </c>
      <c r="K894" t="str">
        <f>IF(COUNTIF(Pays!A:A,X894)=0,"Pays inconnu",_xlfn.XLOOKUP(X894,Pays!A:A,Pays!C:C))</f>
        <v>1_CH</v>
      </c>
      <c r="L894">
        <v>1</v>
      </c>
      <c r="M894">
        <f t="shared" si="26"/>
        <v>0.15</v>
      </c>
      <c r="N894" t="s">
        <v>20</v>
      </c>
      <c r="O894">
        <f>LOOKUP(X894,Pays!A:A,Pays!D:D)</f>
        <v>0</v>
      </c>
      <c r="P894">
        <v>0.15</v>
      </c>
      <c r="Q894">
        <v>0.06</v>
      </c>
      <c r="U894">
        <v>1</v>
      </c>
      <c r="W894">
        <f>IF(COUNTIF(Pays!A:A,X894)=0,"",LOOKUP(X894,Pays!A:A,Pays!E:E))</f>
        <v>0</v>
      </c>
      <c r="X894" s="8" t="s">
        <v>37</v>
      </c>
    </row>
    <row r="895" spans="1:24" x14ac:dyDescent="0.25">
      <c r="A895" t="s">
        <v>1171</v>
      </c>
      <c r="B895" t="s">
        <v>182</v>
      </c>
      <c r="C895" s="1">
        <f t="shared" si="27"/>
        <v>46174</v>
      </c>
      <c r="F895" t="s">
        <v>181</v>
      </c>
      <c r="G895" t="s">
        <v>1108</v>
      </c>
      <c r="H895" t="s">
        <v>1969</v>
      </c>
      <c r="I895" t="s">
        <v>18</v>
      </c>
      <c r="J895" t="str">
        <f>IF(COUNTIF(Pays!A:A,X895)=0,"Pays inconnu",_xlfn.XLOOKUP(X895,Pays!A:A,Pays!B:B))</f>
        <v>CH</v>
      </c>
      <c r="K895" t="str">
        <f>IF(COUNTIF(Pays!A:A,X895)=0,"Pays inconnu",_xlfn.XLOOKUP(X895,Pays!A:A,Pays!C:C))</f>
        <v>1_CH</v>
      </c>
      <c r="L895">
        <v>1</v>
      </c>
      <c r="M895">
        <f t="shared" si="26"/>
        <v>0.15</v>
      </c>
      <c r="N895" t="s">
        <v>20</v>
      </c>
      <c r="O895">
        <f>LOOKUP(X895,Pays!A:A,Pays!D:D)</f>
        <v>0</v>
      </c>
      <c r="P895">
        <v>0.15</v>
      </c>
      <c r="Q895">
        <v>0.06</v>
      </c>
      <c r="U895">
        <v>1</v>
      </c>
      <c r="W895">
        <f>IF(COUNTIF(Pays!A:A,X895)=0,"",LOOKUP(X895,Pays!A:A,Pays!E:E))</f>
        <v>0</v>
      </c>
      <c r="X895" s="8" t="s">
        <v>37</v>
      </c>
    </row>
    <row r="896" spans="1:24" x14ac:dyDescent="0.25">
      <c r="A896" t="s">
        <v>1171</v>
      </c>
      <c r="B896" t="s">
        <v>182</v>
      </c>
      <c r="C896" s="1">
        <f t="shared" si="27"/>
        <v>46174</v>
      </c>
      <c r="F896" t="s">
        <v>181</v>
      </c>
      <c r="G896" t="s">
        <v>1109</v>
      </c>
      <c r="H896" t="s">
        <v>1970</v>
      </c>
      <c r="I896" t="s">
        <v>18</v>
      </c>
      <c r="J896" t="str">
        <f>IF(COUNTIF(Pays!A:A,X896)=0,"Pays inconnu",_xlfn.XLOOKUP(X896,Pays!A:A,Pays!B:B))</f>
        <v>CH</v>
      </c>
      <c r="K896" t="str">
        <f>IF(COUNTIF(Pays!A:A,X896)=0,"Pays inconnu",_xlfn.XLOOKUP(X896,Pays!A:A,Pays!C:C))</f>
        <v>1_CH</v>
      </c>
      <c r="L896">
        <v>1</v>
      </c>
      <c r="M896">
        <f t="shared" si="26"/>
        <v>0.15</v>
      </c>
      <c r="N896" t="s">
        <v>20</v>
      </c>
      <c r="O896">
        <f>LOOKUP(X896,Pays!A:A,Pays!D:D)</f>
        <v>0</v>
      </c>
      <c r="P896">
        <v>0.15</v>
      </c>
      <c r="Q896">
        <v>7.0000000000000007E-2</v>
      </c>
      <c r="U896">
        <v>1</v>
      </c>
      <c r="W896">
        <f>IF(COUNTIF(Pays!A:A,X896)=0,"",LOOKUP(X896,Pays!A:A,Pays!E:E))</f>
        <v>0</v>
      </c>
      <c r="X896" s="8" t="s">
        <v>37</v>
      </c>
    </row>
    <row r="897" spans="1:24" x14ac:dyDescent="0.25">
      <c r="A897" t="s">
        <v>1171</v>
      </c>
      <c r="B897" t="s">
        <v>182</v>
      </c>
      <c r="C897" s="1">
        <f t="shared" si="27"/>
        <v>46174</v>
      </c>
      <c r="F897" t="s">
        <v>181</v>
      </c>
      <c r="G897" t="s">
        <v>1110</v>
      </c>
      <c r="H897" t="s">
        <v>1971</v>
      </c>
      <c r="I897" t="s">
        <v>18</v>
      </c>
      <c r="J897" t="str">
        <f>IF(COUNTIF(Pays!A:A,X897)=0,"Pays inconnu",_xlfn.XLOOKUP(X897,Pays!A:A,Pays!B:B))</f>
        <v>GB</v>
      </c>
      <c r="K897" t="str">
        <f>IF(COUNTIF(Pays!A:A,X897)=0,"Pays inconnu",_xlfn.XLOOKUP(X897,Pays!A:A,Pays!C:C))</f>
        <v>1_GB</v>
      </c>
      <c r="L897">
        <v>1</v>
      </c>
      <c r="M897">
        <f t="shared" si="26"/>
        <v>0.15</v>
      </c>
      <c r="N897" t="s">
        <v>20</v>
      </c>
      <c r="O897">
        <f>LOOKUP(X897,Pays!A:A,Pays!D:D)</f>
        <v>0</v>
      </c>
      <c r="P897">
        <v>0.15</v>
      </c>
      <c r="Q897">
        <v>0.12</v>
      </c>
      <c r="U897">
        <v>1</v>
      </c>
      <c r="W897">
        <f>IF(COUNTIF(Pays!A:A,X897)=0,"",LOOKUP(X897,Pays!A:A,Pays!E:E))</f>
        <v>0</v>
      </c>
      <c r="X897" s="8" t="s">
        <v>30</v>
      </c>
    </row>
    <row r="898" spans="1:24" x14ac:dyDescent="0.25">
      <c r="A898" t="s">
        <v>1171</v>
      </c>
      <c r="B898" t="s">
        <v>182</v>
      </c>
      <c r="C898" s="1">
        <f t="shared" si="27"/>
        <v>46174</v>
      </c>
      <c r="F898" t="s">
        <v>181</v>
      </c>
      <c r="G898" t="s">
        <v>1111</v>
      </c>
      <c r="H898" t="s">
        <v>1972</v>
      </c>
      <c r="I898" t="s">
        <v>18</v>
      </c>
      <c r="J898" t="str">
        <f>IF(COUNTIF(Pays!A:A,X898)=0,"Pays inconnu",_xlfn.XLOOKUP(X898,Pays!A:A,Pays!B:B))</f>
        <v>CH</v>
      </c>
      <c r="K898" t="str">
        <f>IF(COUNTIF(Pays!A:A,X898)=0,"Pays inconnu",_xlfn.XLOOKUP(X898,Pays!A:A,Pays!C:C))</f>
        <v>1_CH</v>
      </c>
      <c r="L898">
        <v>1</v>
      </c>
      <c r="M898">
        <f t="shared" si="26"/>
        <v>0.15</v>
      </c>
      <c r="N898" t="s">
        <v>20</v>
      </c>
      <c r="O898">
        <f>LOOKUP(X898,Pays!A:A,Pays!D:D)</f>
        <v>0</v>
      </c>
      <c r="P898">
        <v>0.15</v>
      </c>
      <c r="Q898">
        <v>0.1</v>
      </c>
      <c r="U898">
        <v>1</v>
      </c>
      <c r="W898">
        <f>IF(COUNTIF(Pays!A:A,X898)=0,"",LOOKUP(X898,Pays!A:A,Pays!E:E))</f>
        <v>0</v>
      </c>
      <c r="X898" s="8" t="s">
        <v>37</v>
      </c>
    </row>
    <row r="899" spans="1:24" x14ac:dyDescent="0.25">
      <c r="A899" t="s">
        <v>1171</v>
      </c>
      <c r="B899" t="s">
        <v>182</v>
      </c>
      <c r="C899" s="1">
        <f t="shared" si="27"/>
        <v>46174</v>
      </c>
      <c r="F899" t="s">
        <v>181</v>
      </c>
      <c r="G899" t="s">
        <v>1112</v>
      </c>
      <c r="H899" t="s">
        <v>1973</v>
      </c>
      <c r="I899" t="s">
        <v>18</v>
      </c>
      <c r="J899" t="str">
        <f>IF(COUNTIF(Pays!A:A,X899)=0,"Pays inconnu",_xlfn.XLOOKUP(X899,Pays!A:A,Pays!B:B))</f>
        <v>CH</v>
      </c>
      <c r="K899" t="str">
        <f>IF(COUNTIF(Pays!A:A,X899)=0,"Pays inconnu",_xlfn.XLOOKUP(X899,Pays!A:A,Pays!C:C))</f>
        <v>1_CH</v>
      </c>
      <c r="L899">
        <v>1</v>
      </c>
      <c r="M899">
        <f t="shared" ref="M899:M936" si="28">ROUND(MAX(P899:Q899),2)</f>
        <v>0.33</v>
      </c>
      <c r="N899" t="s">
        <v>20</v>
      </c>
      <c r="O899">
        <f>LOOKUP(X899,Pays!A:A,Pays!D:D)</f>
        <v>0</v>
      </c>
      <c r="P899">
        <v>0.15</v>
      </c>
      <c r="Q899">
        <v>0.33</v>
      </c>
      <c r="U899">
        <v>1</v>
      </c>
      <c r="W899">
        <f>IF(COUNTIF(Pays!A:A,X899)=0,"",LOOKUP(X899,Pays!A:A,Pays!E:E))</f>
        <v>0</v>
      </c>
      <c r="X899" s="8" t="s">
        <v>37</v>
      </c>
    </row>
    <row r="900" spans="1:24" x14ac:dyDescent="0.25">
      <c r="A900" t="s">
        <v>1171</v>
      </c>
      <c r="B900" t="s">
        <v>182</v>
      </c>
      <c r="C900" s="1">
        <f t="shared" ref="C900:C936" si="29">C899</f>
        <v>46174</v>
      </c>
      <c r="F900" t="s">
        <v>181</v>
      </c>
      <c r="G900" t="s">
        <v>1113</v>
      </c>
      <c r="H900" t="s">
        <v>1974</v>
      </c>
      <c r="I900" t="s">
        <v>18</v>
      </c>
      <c r="J900" t="str">
        <f>IF(COUNTIF(Pays!A:A,X900)=0,"Pays inconnu",_xlfn.XLOOKUP(X900,Pays!A:A,Pays!B:B))</f>
        <v>GB</v>
      </c>
      <c r="K900" t="str">
        <f>IF(COUNTIF(Pays!A:A,X900)=0,"Pays inconnu",_xlfn.XLOOKUP(X900,Pays!A:A,Pays!C:C))</f>
        <v>1_GB</v>
      </c>
      <c r="L900">
        <v>1</v>
      </c>
      <c r="M900">
        <f t="shared" si="28"/>
        <v>0.15</v>
      </c>
      <c r="N900" t="s">
        <v>20</v>
      </c>
      <c r="O900">
        <f>LOOKUP(X900,Pays!A:A,Pays!D:D)</f>
        <v>0</v>
      </c>
      <c r="P900">
        <v>0.15</v>
      </c>
      <c r="Q900">
        <v>0.06</v>
      </c>
      <c r="U900">
        <v>1</v>
      </c>
      <c r="W900">
        <f>IF(COUNTIF(Pays!A:A,X900)=0,"",LOOKUP(X900,Pays!A:A,Pays!E:E))</f>
        <v>0</v>
      </c>
      <c r="X900" s="8" t="s">
        <v>30</v>
      </c>
    </row>
    <row r="901" spans="1:24" x14ac:dyDescent="0.25">
      <c r="A901" t="s">
        <v>1171</v>
      </c>
      <c r="B901" t="s">
        <v>182</v>
      </c>
      <c r="C901" s="1">
        <f t="shared" si="29"/>
        <v>46174</v>
      </c>
      <c r="F901" t="s">
        <v>181</v>
      </c>
      <c r="G901" t="s">
        <v>1114</v>
      </c>
      <c r="H901" t="s">
        <v>1975</v>
      </c>
      <c r="I901" t="s">
        <v>18</v>
      </c>
      <c r="J901" t="str">
        <f>IF(COUNTIF(Pays!A:A,X901)=0,"Pays inconnu",_xlfn.XLOOKUP(X901,Pays!A:A,Pays!B:B))</f>
        <v>CH</v>
      </c>
      <c r="K901" t="str">
        <f>IF(COUNTIF(Pays!A:A,X901)=0,"Pays inconnu",_xlfn.XLOOKUP(X901,Pays!A:A,Pays!C:C))</f>
        <v>1_CH</v>
      </c>
      <c r="L901">
        <v>1</v>
      </c>
      <c r="M901">
        <f t="shared" si="28"/>
        <v>0.28000000000000003</v>
      </c>
      <c r="N901" t="s">
        <v>20</v>
      </c>
      <c r="O901">
        <f>LOOKUP(X901,Pays!A:A,Pays!D:D)</f>
        <v>0</v>
      </c>
      <c r="P901">
        <v>0.15</v>
      </c>
      <c r="Q901">
        <v>0.28000000000000003</v>
      </c>
      <c r="U901">
        <v>1</v>
      </c>
      <c r="W901">
        <f>IF(COUNTIF(Pays!A:A,X901)=0,"",LOOKUP(X901,Pays!A:A,Pays!E:E))</f>
        <v>0</v>
      </c>
      <c r="X901" s="8" t="s">
        <v>37</v>
      </c>
    </row>
    <row r="902" spans="1:24" x14ac:dyDescent="0.25">
      <c r="A902" t="s">
        <v>1171</v>
      </c>
      <c r="B902" t="s">
        <v>182</v>
      </c>
      <c r="C902" s="1">
        <f t="shared" si="29"/>
        <v>46174</v>
      </c>
      <c r="F902" t="s">
        <v>181</v>
      </c>
      <c r="G902" t="s">
        <v>1115</v>
      </c>
      <c r="H902" t="s">
        <v>1976</v>
      </c>
      <c r="I902" t="s">
        <v>18</v>
      </c>
      <c r="J902" t="str">
        <f>IF(COUNTIF(Pays!A:A,X902)=0,"Pays inconnu",_xlfn.XLOOKUP(X902,Pays!A:A,Pays!B:B))</f>
        <v>CH</v>
      </c>
      <c r="K902" t="str">
        <f>IF(COUNTIF(Pays!A:A,X902)=0,"Pays inconnu",_xlfn.XLOOKUP(X902,Pays!A:A,Pays!C:C))</f>
        <v>1_CH</v>
      </c>
      <c r="L902">
        <v>1</v>
      </c>
      <c r="M902">
        <f t="shared" si="28"/>
        <v>0.94</v>
      </c>
      <c r="N902" t="s">
        <v>20</v>
      </c>
      <c r="O902">
        <f>LOOKUP(X902,Pays!A:A,Pays!D:D)</f>
        <v>0</v>
      </c>
      <c r="P902">
        <v>0.15</v>
      </c>
      <c r="Q902">
        <v>0.94</v>
      </c>
      <c r="U902">
        <v>1</v>
      </c>
      <c r="W902">
        <f>IF(COUNTIF(Pays!A:A,X902)=0,"",LOOKUP(X902,Pays!A:A,Pays!E:E))</f>
        <v>0</v>
      </c>
      <c r="X902" s="8" t="s">
        <v>37</v>
      </c>
    </row>
    <row r="903" spans="1:24" x14ac:dyDescent="0.25">
      <c r="A903" t="s">
        <v>1171</v>
      </c>
      <c r="B903" t="s">
        <v>182</v>
      </c>
      <c r="C903" s="1">
        <f t="shared" si="29"/>
        <v>46174</v>
      </c>
      <c r="F903" t="s">
        <v>181</v>
      </c>
      <c r="G903" t="s">
        <v>1116</v>
      </c>
      <c r="H903" t="s">
        <v>1977</v>
      </c>
      <c r="I903" t="s">
        <v>18</v>
      </c>
      <c r="J903" t="str">
        <f>IF(COUNTIF(Pays!A:A,X903)=0,"Pays inconnu",_xlfn.XLOOKUP(X903,Pays!A:A,Pays!B:B))</f>
        <v>GB</v>
      </c>
      <c r="K903" t="str">
        <f>IF(COUNTIF(Pays!A:A,X903)=0,"Pays inconnu",_xlfn.XLOOKUP(X903,Pays!A:A,Pays!C:C))</f>
        <v>1_GB</v>
      </c>
      <c r="L903">
        <v>1</v>
      </c>
      <c r="M903">
        <f t="shared" si="28"/>
        <v>0.49</v>
      </c>
      <c r="N903" t="s">
        <v>20</v>
      </c>
      <c r="O903">
        <f>LOOKUP(X903,Pays!A:A,Pays!D:D)</f>
        <v>0</v>
      </c>
      <c r="P903">
        <v>0.15</v>
      </c>
      <c r="Q903">
        <v>0.49</v>
      </c>
      <c r="U903">
        <v>1</v>
      </c>
      <c r="W903">
        <f>IF(COUNTIF(Pays!A:A,X903)=0,"",LOOKUP(X903,Pays!A:A,Pays!E:E))</f>
        <v>0</v>
      </c>
      <c r="X903" s="8" t="s">
        <v>30</v>
      </c>
    </row>
    <row r="904" spans="1:24" x14ac:dyDescent="0.25">
      <c r="A904" t="s">
        <v>1171</v>
      </c>
      <c r="B904" t="s">
        <v>182</v>
      </c>
      <c r="C904" s="1">
        <f t="shared" si="29"/>
        <v>46174</v>
      </c>
      <c r="F904" t="s">
        <v>181</v>
      </c>
      <c r="G904" t="s">
        <v>1117</v>
      </c>
      <c r="H904" t="s">
        <v>1978</v>
      </c>
      <c r="I904" t="s">
        <v>18</v>
      </c>
      <c r="J904" t="str">
        <f>IF(COUNTIF(Pays!A:A,X904)=0,"Pays inconnu",_xlfn.XLOOKUP(X904,Pays!A:A,Pays!B:B))</f>
        <v>CH</v>
      </c>
      <c r="K904" t="str">
        <f>IF(COUNTIF(Pays!A:A,X904)=0,"Pays inconnu",_xlfn.XLOOKUP(X904,Pays!A:A,Pays!C:C))</f>
        <v>1_CH</v>
      </c>
      <c r="L904">
        <v>1</v>
      </c>
      <c r="M904">
        <f t="shared" si="28"/>
        <v>0.53</v>
      </c>
      <c r="N904" t="s">
        <v>20</v>
      </c>
      <c r="O904">
        <f>LOOKUP(X904,Pays!A:A,Pays!D:D)</f>
        <v>0</v>
      </c>
      <c r="P904">
        <v>0.15</v>
      </c>
      <c r="Q904">
        <v>0.53</v>
      </c>
      <c r="U904">
        <v>1</v>
      </c>
      <c r="W904">
        <f>IF(COUNTIF(Pays!A:A,X904)=0,"",LOOKUP(X904,Pays!A:A,Pays!E:E))</f>
        <v>0</v>
      </c>
      <c r="X904" s="8" t="s">
        <v>37</v>
      </c>
    </row>
    <row r="905" spans="1:24" x14ac:dyDescent="0.25">
      <c r="A905" t="s">
        <v>1171</v>
      </c>
      <c r="B905" t="s">
        <v>182</v>
      </c>
      <c r="C905" s="1">
        <f t="shared" si="29"/>
        <v>46174</v>
      </c>
      <c r="F905" t="s">
        <v>181</v>
      </c>
      <c r="G905" t="s">
        <v>1118</v>
      </c>
      <c r="H905" t="s">
        <v>1979</v>
      </c>
      <c r="I905" t="s">
        <v>18</v>
      </c>
      <c r="J905" t="str">
        <f>IF(COUNTIF(Pays!A:A,X905)=0,"Pays inconnu",_xlfn.XLOOKUP(X905,Pays!A:A,Pays!B:B))</f>
        <v>GB</v>
      </c>
      <c r="K905" t="str">
        <f>IF(COUNTIF(Pays!A:A,X905)=0,"Pays inconnu",_xlfn.XLOOKUP(X905,Pays!A:A,Pays!C:C))</f>
        <v>1_GB</v>
      </c>
      <c r="L905">
        <v>1</v>
      </c>
      <c r="M905">
        <f t="shared" si="28"/>
        <v>0.15</v>
      </c>
      <c r="N905" t="s">
        <v>20</v>
      </c>
      <c r="O905">
        <f>LOOKUP(X905,Pays!A:A,Pays!D:D)</f>
        <v>0</v>
      </c>
      <c r="P905">
        <v>0.15</v>
      </c>
      <c r="Q905" t="s">
        <v>2007</v>
      </c>
      <c r="U905">
        <v>1</v>
      </c>
      <c r="W905">
        <f>IF(COUNTIF(Pays!A:A,X905)=0,"",LOOKUP(X905,Pays!A:A,Pays!E:E))</f>
        <v>0</v>
      </c>
      <c r="X905" s="8" t="s">
        <v>30</v>
      </c>
    </row>
    <row r="906" spans="1:24" x14ac:dyDescent="0.25">
      <c r="A906" t="s">
        <v>1171</v>
      </c>
      <c r="B906" t="s">
        <v>182</v>
      </c>
      <c r="C906" s="1">
        <f t="shared" si="29"/>
        <v>46174</v>
      </c>
      <c r="F906" t="s">
        <v>181</v>
      </c>
      <c r="G906" t="s">
        <v>1119</v>
      </c>
      <c r="H906" t="s">
        <v>1380</v>
      </c>
      <c r="I906" t="s">
        <v>18</v>
      </c>
      <c r="J906" t="str">
        <f>IF(COUNTIF(Pays!A:A,X906)=0,"Pays inconnu",_xlfn.XLOOKUP(X906,Pays!A:A,Pays!B:B))</f>
        <v>CH</v>
      </c>
      <c r="K906" t="str">
        <f>IF(COUNTIF(Pays!A:A,X906)=0,"Pays inconnu",_xlfn.XLOOKUP(X906,Pays!A:A,Pays!C:C))</f>
        <v>1_CH</v>
      </c>
      <c r="L906">
        <v>1</v>
      </c>
      <c r="M906">
        <f t="shared" si="28"/>
        <v>0.68</v>
      </c>
      <c r="N906" t="s">
        <v>20</v>
      </c>
      <c r="O906">
        <f>LOOKUP(X906,Pays!A:A,Pays!D:D)</f>
        <v>0</v>
      </c>
      <c r="P906">
        <v>0.15</v>
      </c>
      <c r="Q906">
        <v>0.68</v>
      </c>
      <c r="U906">
        <v>1</v>
      </c>
      <c r="W906">
        <f>IF(COUNTIF(Pays!A:A,X906)=0,"",LOOKUP(X906,Pays!A:A,Pays!E:E))</f>
        <v>0</v>
      </c>
      <c r="X906" s="8" t="s">
        <v>37</v>
      </c>
    </row>
    <row r="907" spans="1:24" x14ac:dyDescent="0.25">
      <c r="A907" t="s">
        <v>1171</v>
      </c>
      <c r="B907" t="s">
        <v>182</v>
      </c>
      <c r="C907" s="1">
        <f t="shared" si="29"/>
        <v>46174</v>
      </c>
      <c r="F907" t="s">
        <v>181</v>
      </c>
      <c r="G907" t="s">
        <v>1120</v>
      </c>
      <c r="H907" t="s">
        <v>1980</v>
      </c>
      <c r="I907" t="s">
        <v>18</v>
      </c>
      <c r="J907" t="str">
        <f>IF(COUNTIF(Pays!A:A,X907)=0,"Pays inconnu",_xlfn.XLOOKUP(X907,Pays!A:A,Pays!B:B))</f>
        <v>CH</v>
      </c>
      <c r="K907" t="str">
        <f>IF(COUNTIF(Pays!A:A,X907)=0,"Pays inconnu",_xlfn.XLOOKUP(X907,Pays!A:A,Pays!C:C))</f>
        <v>1_CH</v>
      </c>
      <c r="L907">
        <v>1</v>
      </c>
      <c r="M907">
        <f t="shared" si="28"/>
        <v>0.21</v>
      </c>
      <c r="N907" t="s">
        <v>20</v>
      </c>
      <c r="O907">
        <f>LOOKUP(X907,Pays!A:A,Pays!D:D)</f>
        <v>0</v>
      </c>
      <c r="P907">
        <v>0.15</v>
      </c>
      <c r="Q907">
        <v>0.21</v>
      </c>
      <c r="U907">
        <v>1</v>
      </c>
      <c r="W907">
        <f>IF(COUNTIF(Pays!A:A,X907)=0,"",LOOKUP(X907,Pays!A:A,Pays!E:E))</f>
        <v>0</v>
      </c>
      <c r="X907" s="8" t="s">
        <v>37</v>
      </c>
    </row>
    <row r="908" spans="1:24" x14ac:dyDescent="0.25">
      <c r="A908" t="s">
        <v>1171</v>
      </c>
      <c r="B908" t="s">
        <v>182</v>
      </c>
      <c r="C908" s="1">
        <f t="shared" si="29"/>
        <v>46174</v>
      </c>
      <c r="F908" t="s">
        <v>181</v>
      </c>
      <c r="G908" t="s">
        <v>1121</v>
      </c>
      <c r="H908" t="s">
        <v>1981</v>
      </c>
      <c r="I908" t="s">
        <v>18</v>
      </c>
      <c r="J908" t="str">
        <f>IF(COUNTIF(Pays!A:A,X908)=0,"Pays inconnu",_xlfn.XLOOKUP(X908,Pays!A:A,Pays!B:B))</f>
        <v>DE</v>
      </c>
      <c r="K908">
        <f>IF(COUNTIF(Pays!A:A,X908)=0,"Pays inconnu",_xlfn.XLOOKUP(X908,Pays!A:A,Pays!C:C))</f>
        <v>1</v>
      </c>
      <c r="L908">
        <v>1</v>
      </c>
      <c r="M908">
        <f t="shared" si="28"/>
        <v>0.3</v>
      </c>
      <c r="N908" t="s">
        <v>20</v>
      </c>
      <c r="O908">
        <f>LOOKUP(X908,Pays!A:A,Pays!D:D)</f>
        <v>0.2</v>
      </c>
      <c r="P908">
        <v>0.15</v>
      </c>
      <c r="Q908">
        <v>0.3</v>
      </c>
      <c r="U908">
        <v>1</v>
      </c>
      <c r="W908">
        <f>IF(COUNTIF(Pays!A:A,X908)=0,"",LOOKUP(X908,Pays!A:A,Pays!E:E))</f>
        <v>0</v>
      </c>
      <c r="X908" s="8" t="s">
        <v>35</v>
      </c>
    </row>
    <row r="909" spans="1:24" x14ac:dyDescent="0.25">
      <c r="A909" t="s">
        <v>1171</v>
      </c>
      <c r="B909" t="s">
        <v>182</v>
      </c>
      <c r="C909" s="1">
        <f t="shared" si="29"/>
        <v>46174</v>
      </c>
      <c r="F909" t="s">
        <v>181</v>
      </c>
      <c r="G909" t="s">
        <v>1122</v>
      </c>
      <c r="H909" t="s">
        <v>1982</v>
      </c>
      <c r="I909" t="s">
        <v>18</v>
      </c>
      <c r="J909" t="str">
        <f>IF(COUNTIF(Pays!A:A,X909)=0,"Pays inconnu",_xlfn.XLOOKUP(X909,Pays!A:A,Pays!B:B))</f>
        <v>IT</v>
      </c>
      <c r="K909">
        <f>IF(COUNTIF(Pays!A:A,X909)=0,"Pays inconnu",_xlfn.XLOOKUP(X909,Pays!A:A,Pays!C:C))</f>
        <v>1</v>
      </c>
      <c r="L909">
        <v>1</v>
      </c>
      <c r="M909">
        <f t="shared" si="28"/>
        <v>0.3</v>
      </c>
      <c r="N909" t="s">
        <v>20</v>
      </c>
      <c r="O909">
        <f>LOOKUP(X909,Pays!A:A,Pays!D:D)</f>
        <v>0.2</v>
      </c>
      <c r="P909">
        <v>0.15</v>
      </c>
      <c r="Q909">
        <v>0.3</v>
      </c>
      <c r="U909">
        <v>1</v>
      </c>
      <c r="W909">
        <f>IF(COUNTIF(Pays!A:A,X909)=0,"",LOOKUP(X909,Pays!A:A,Pays!E:E))</f>
        <v>0</v>
      </c>
      <c r="X909" s="8" t="s">
        <v>33</v>
      </c>
    </row>
    <row r="910" spans="1:24" x14ac:dyDescent="0.25">
      <c r="A910" t="s">
        <v>1171</v>
      </c>
      <c r="B910" t="s">
        <v>182</v>
      </c>
      <c r="C910" s="1">
        <f t="shared" si="29"/>
        <v>46174</v>
      </c>
      <c r="F910" t="s">
        <v>181</v>
      </c>
      <c r="G910" t="s">
        <v>1123</v>
      </c>
      <c r="H910" t="s">
        <v>1983</v>
      </c>
      <c r="I910" t="s">
        <v>18</v>
      </c>
      <c r="J910" t="str">
        <f>IF(COUNTIF(Pays!A:A,X910)=0,"Pays inconnu",_xlfn.XLOOKUP(X910,Pays!A:A,Pays!B:B))</f>
        <v>AU</v>
      </c>
      <c r="K910">
        <f>IF(COUNTIF(Pays!A:A,X910)=0,"Pays inconnu",_xlfn.XLOOKUP(X910,Pays!A:A,Pays!C:C))</f>
        <v>2</v>
      </c>
      <c r="L910">
        <v>1</v>
      </c>
      <c r="M910">
        <f t="shared" si="28"/>
        <v>0.3</v>
      </c>
      <c r="N910" t="s">
        <v>20</v>
      </c>
      <c r="O910">
        <f>LOOKUP(X910,Pays!A:A,Pays!D:D)</f>
        <v>0</v>
      </c>
      <c r="P910">
        <v>0.15</v>
      </c>
      <c r="Q910">
        <v>0.3</v>
      </c>
      <c r="U910">
        <v>1</v>
      </c>
      <c r="W910">
        <f>IF(COUNTIF(Pays!A:A,X910)=0,"",LOOKUP(X910,Pays!A:A,Pays!E:E))</f>
        <v>1.5</v>
      </c>
      <c r="X910" s="8" t="s">
        <v>46</v>
      </c>
    </row>
    <row r="911" spans="1:24" x14ac:dyDescent="0.25">
      <c r="A911" t="s">
        <v>1171</v>
      </c>
      <c r="B911" t="s">
        <v>182</v>
      </c>
      <c r="C911" s="1">
        <f t="shared" si="29"/>
        <v>46174</v>
      </c>
      <c r="F911" t="s">
        <v>181</v>
      </c>
      <c r="G911" t="s">
        <v>1124</v>
      </c>
      <c r="H911" t="s">
        <v>1984</v>
      </c>
      <c r="I911" t="s">
        <v>18</v>
      </c>
      <c r="J911" t="str">
        <f>IF(COUNTIF(Pays!A:A,X911)=0,"Pays inconnu",_xlfn.XLOOKUP(X911,Pays!A:A,Pays!B:B))</f>
        <v>IT</v>
      </c>
      <c r="K911">
        <f>IF(COUNTIF(Pays!A:A,X911)=0,"Pays inconnu",_xlfn.XLOOKUP(X911,Pays!A:A,Pays!C:C))</f>
        <v>1</v>
      </c>
      <c r="L911">
        <v>1</v>
      </c>
      <c r="M911">
        <f t="shared" si="28"/>
        <v>0.7</v>
      </c>
      <c r="N911" t="s">
        <v>20</v>
      </c>
      <c r="O911">
        <f>LOOKUP(X911,Pays!A:A,Pays!D:D)</f>
        <v>0.2</v>
      </c>
      <c r="P911">
        <v>0.15</v>
      </c>
      <c r="Q911">
        <v>0.7</v>
      </c>
      <c r="U911">
        <v>1</v>
      </c>
      <c r="W911">
        <f>IF(COUNTIF(Pays!A:A,X911)=0,"",LOOKUP(X911,Pays!A:A,Pays!E:E))</f>
        <v>0</v>
      </c>
      <c r="X911" s="8" t="s">
        <v>33</v>
      </c>
    </row>
    <row r="912" spans="1:24" x14ac:dyDescent="0.25">
      <c r="A912" t="s">
        <v>1171</v>
      </c>
      <c r="B912" t="s">
        <v>182</v>
      </c>
      <c r="C912" s="1">
        <f t="shared" si="29"/>
        <v>46174</v>
      </c>
      <c r="F912" t="s">
        <v>181</v>
      </c>
      <c r="G912" t="s">
        <v>1125</v>
      </c>
      <c r="H912" t="s">
        <v>1985</v>
      </c>
      <c r="I912" t="s">
        <v>18</v>
      </c>
      <c r="J912" t="str">
        <f>IF(COUNTIF(Pays!A:A,X912)=0,"Pays inconnu",_xlfn.XLOOKUP(X912,Pays!A:A,Pays!B:B))</f>
        <v>CH</v>
      </c>
      <c r="K912" t="str">
        <f>IF(COUNTIF(Pays!A:A,X912)=0,"Pays inconnu",_xlfn.XLOOKUP(X912,Pays!A:A,Pays!C:C))</f>
        <v>1_CH</v>
      </c>
      <c r="L912">
        <v>1</v>
      </c>
      <c r="M912">
        <f t="shared" si="28"/>
        <v>0.7</v>
      </c>
      <c r="N912" t="s">
        <v>20</v>
      </c>
      <c r="O912">
        <f>LOOKUP(X912,Pays!A:A,Pays!D:D)</f>
        <v>0</v>
      </c>
      <c r="P912">
        <v>0.15</v>
      </c>
      <c r="Q912">
        <v>0.7</v>
      </c>
      <c r="U912">
        <v>1</v>
      </c>
      <c r="W912">
        <f>IF(COUNTIF(Pays!A:A,X912)=0,"",LOOKUP(X912,Pays!A:A,Pays!E:E))</f>
        <v>0</v>
      </c>
      <c r="X912" s="8" t="s">
        <v>37</v>
      </c>
    </row>
    <row r="913" spans="1:24" x14ac:dyDescent="0.25">
      <c r="A913" t="s">
        <v>1171</v>
      </c>
      <c r="B913" t="s">
        <v>182</v>
      </c>
      <c r="C913" s="1">
        <f t="shared" si="29"/>
        <v>46174</v>
      </c>
      <c r="F913" t="s">
        <v>181</v>
      </c>
      <c r="G913" t="s">
        <v>1126</v>
      </c>
      <c r="H913" t="s">
        <v>1986</v>
      </c>
      <c r="I913" t="s">
        <v>18</v>
      </c>
      <c r="J913" t="str">
        <f>IF(COUNTIF(Pays!A:A,X913)=0,"Pays inconnu",_xlfn.XLOOKUP(X913,Pays!A:A,Pays!B:B))</f>
        <v>CH</v>
      </c>
      <c r="K913" t="str">
        <f>IF(COUNTIF(Pays!A:A,X913)=0,"Pays inconnu",_xlfn.XLOOKUP(X913,Pays!A:A,Pays!C:C))</f>
        <v>1_CH</v>
      </c>
      <c r="L913">
        <v>1</v>
      </c>
      <c r="M913">
        <f t="shared" si="28"/>
        <v>1.86</v>
      </c>
      <c r="N913" t="s">
        <v>20</v>
      </c>
      <c r="O913">
        <f>LOOKUP(X913,Pays!A:A,Pays!D:D)</f>
        <v>0</v>
      </c>
      <c r="P913">
        <v>0.15</v>
      </c>
      <c r="Q913">
        <v>1.86</v>
      </c>
      <c r="U913">
        <v>1</v>
      </c>
      <c r="W913">
        <f>IF(COUNTIF(Pays!A:A,X913)=0,"",LOOKUP(X913,Pays!A:A,Pays!E:E))</f>
        <v>0</v>
      </c>
      <c r="X913" s="8" t="s">
        <v>37</v>
      </c>
    </row>
    <row r="914" spans="1:24" x14ac:dyDescent="0.25">
      <c r="A914" t="s">
        <v>1171</v>
      </c>
      <c r="B914" t="s">
        <v>182</v>
      </c>
      <c r="C914" s="1">
        <f t="shared" si="29"/>
        <v>46174</v>
      </c>
      <c r="F914" t="s">
        <v>181</v>
      </c>
      <c r="G914" t="s">
        <v>1127</v>
      </c>
      <c r="H914" t="s">
        <v>1987</v>
      </c>
      <c r="I914" t="s">
        <v>18</v>
      </c>
      <c r="J914" t="str">
        <f>IF(COUNTIF(Pays!A:A,X914)=0,"Pays inconnu",_xlfn.XLOOKUP(X914,Pays!A:A,Pays!B:B))</f>
        <v>GB</v>
      </c>
      <c r="K914" t="str">
        <f>IF(COUNTIF(Pays!A:A,X914)=0,"Pays inconnu",_xlfn.XLOOKUP(X914,Pays!A:A,Pays!C:C))</f>
        <v>1_GB</v>
      </c>
      <c r="L914">
        <v>1</v>
      </c>
      <c r="M914">
        <f t="shared" si="28"/>
        <v>0.22</v>
      </c>
      <c r="N914" t="s">
        <v>20</v>
      </c>
      <c r="O914">
        <f>LOOKUP(X914,Pays!A:A,Pays!D:D)</f>
        <v>0</v>
      </c>
      <c r="P914">
        <v>0.15</v>
      </c>
      <c r="Q914">
        <v>0.22</v>
      </c>
      <c r="U914">
        <v>1</v>
      </c>
      <c r="W914">
        <f>IF(COUNTIF(Pays!A:A,X914)=0,"",LOOKUP(X914,Pays!A:A,Pays!E:E))</f>
        <v>0</v>
      </c>
      <c r="X914" s="8" t="s">
        <v>30</v>
      </c>
    </row>
    <row r="915" spans="1:24" x14ac:dyDescent="0.25">
      <c r="A915" t="s">
        <v>1171</v>
      </c>
      <c r="B915" t="s">
        <v>182</v>
      </c>
      <c r="C915" s="1">
        <f t="shared" si="29"/>
        <v>46174</v>
      </c>
      <c r="F915" t="s">
        <v>181</v>
      </c>
      <c r="G915" t="s">
        <v>1128</v>
      </c>
      <c r="H915" t="s">
        <v>1988</v>
      </c>
      <c r="I915" t="s">
        <v>18</v>
      </c>
      <c r="J915" t="str">
        <f>IF(COUNTIF(Pays!A:A,X915)=0,"Pays inconnu",_xlfn.XLOOKUP(X915,Pays!A:A,Pays!B:B))</f>
        <v>CH</v>
      </c>
      <c r="K915" t="str">
        <f>IF(COUNTIF(Pays!A:A,X915)=0,"Pays inconnu",_xlfn.XLOOKUP(X915,Pays!A:A,Pays!C:C))</f>
        <v>1_CH</v>
      </c>
      <c r="L915">
        <v>1</v>
      </c>
      <c r="M915">
        <f t="shared" si="28"/>
        <v>0.22</v>
      </c>
      <c r="N915" t="s">
        <v>20</v>
      </c>
      <c r="O915">
        <f>LOOKUP(X915,Pays!A:A,Pays!D:D)</f>
        <v>0</v>
      </c>
      <c r="P915">
        <v>0.15</v>
      </c>
      <c r="Q915">
        <v>0.22</v>
      </c>
      <c r="U915">
        <v>1</v>
      </c>
      <c r="W915">
        <f>IF(COUNTIF(Pays!A:A,X915)=0,"",LOOKUP(X915,Pays!A:A,Pays!E:E))</f>
        <v>0</v>
      </c>
      <c r="X915" s="8" t="s">
        <v>37</v>
      </c>
    </row>
    <row r="916" spans="1:24" x14ac:dyDescent="0.25">
      <c r="A916" t="s">
        <v>1171</v>
      </c>
      <c r="B916" t="s">
        <v>182</v>
      </c>
      <c r="C916" s="1">
        <f t="shared" si="29"/>
        <v>46174</v>
      </c>
      <c r="F916" t="s">
        <v>181</v>
      </c>
      <c r="G916" t="s">
        <v>1129</v>
      </c>
      <c r="H916" t="s">
        <v>1989</v>
      </c>
      <c r="I916" t="s">
        <v>18</v>
      </c>
      <c r="J916" t="str">
        <f>IF(COUNTIF(Pays!A:A,X916)=0,"Pays inconnu",_xlfn.XLOOKUP(X916,Pays!A:A,Pays!B:B))</f>
        <v>CH</v>
      </c>
      <c r="K916" t="str">
        <f>IF(COUNTIF(Pays!A:A,X916)=0,"Pays inconnu",_xlfn.XLOOKUP(X916,Pays!A:A,Pays!C:C))</f>
        <v>1_CH</v>
      </c>
      <c r="L916">
        <v>1</v>
      </c>
      <c r="M916">
        <f t="shared" si="28"/>
        <v>0.17</v>
      </c>
      <c r="N916" t="s">
        <v>20</v>
      </c>
      <c r="O916">
        <f>LOOKUP(X916,Pays!A:A,Pays!D:D)</f>
        <v>0</v>
      </c>
      <c r="P916">
        <v>0.15</v>
      </c>
      <c r="Q916">
        <v>0.17</v>
      </c>
      <c r="U916">
        <v>1</v>
      </c>
      <c r="W916">
        <f>IF(COUNTIF(Pays!A:A,X916)=0,"",LOOKUP(X916,Pays!A:A,Pays!E:E))</f>
        <v>0</v>
      </c>
      <c r="X916" s="8" t="s">
        <v>37</v>
      </c>
    </row>
    <row r="917" spans="1:24" x14ac:dyDescent="0.25">
      <c r="A917" t="s">
        <v>1171</v>
      </c>
      <c r="B917" t="s">
        <v>182</v>
      </c>
      <c r="C917" s="1">
        <f t="shared" si="29"/>
        <v>46174</v>
      </c>
      <c r="F917" t="s">
        <v>181</v>
      </c>
      <c r="G917" t="s">
        <v>1130</v>
      </c>
      <c r="H917" t="s">
        <v>1668</v>
      </c>
      <c r="I917" t="s">
        <v>18</v>
      </c>
      <c r="J917" t="str">
        <f>IF(COUNTIF(Pays!A:A,X917)=0,"Pays inconnu",_xlfn.XLOOKUP(X917,Pays!A:A,Pays!B:B))</f>
        <v>GB</v>
      </c>
      <c r="K917" t="str">
        <f>IF(COUNTIF(Pays!A:A,X917)=0,"Pays inconnu",_xlfn.XLOOKUP(X917,Pays!A:A,Pays!C:C))</f>
        <v>1_GB</v>
      </c>
      <c r="L917">
        <v>1</v>
      </c>
      <c r="M917">
        <f t="shared" si="28"/>
        <v>0.47</v>
      </c>
      <c r="N917" t="s">
        <v>20</v>
      </c>
      <c r="O917">
        <f>LOOKUP(X917,Pays!A:A,Pays!D:D)</f>
        <v>0</v>
      </c>
      <c r="P917">
        <v>0.15</v>
      </c>
      <c r="Q917">
        <v>0.47</v>
      </c>
      <c r="U917">
        <v>1</v>
      </c>
      <c r="W917">
        <f>IF(COUNTIF(Pays!A:A,X917)=0,"",LOOKUP(X917,Pays!A:A,Pays!E:E))</f>
        <v>0</v>
      </c>
      <c r="X917" s="8" t="s">
        <v>30</v>
      </c>
    </row>
    <row r="918" spans="1:24" x14ac:dyDescent="0.25">
      <c r="A918" t="s">
        <v>1171</v>
      </c>
      <c r="B918" t="s">
        <v>182</v>
      </c>
      <c r="C918" s="1">
        <f t="shared" si="29"/>
        <v>46174</v>
      </c>
      <c r="F918" t="s">
        <v>181</v>
      </c>
      <c r="G918" t="s">
        <v>1131</v>
      </c>
      <c r="H918" t="s">
        <v>1990</v>
      </c>
      <c r="I918" t="s">
        <v>18</v>
      </c>
      <c r="J918" t="str">
        <f>IF(COUNTIF(Pays!A:A,X918)=0,"Pays inconnu",_xlfn.XLOOKUP(X918,Pays!A:A,Pays!B:B))</f>
        <v>CH</v>
      </c>
      <c r="K918" t="str">
        <f>IF(COUNTIF(Pays!A:A,X918)=0,"Pays inconnu",_xlfn.XLOOKUP(X918,Pays!A:A,Pays!C:C))</f>
        <v>1_CH</v>
      </c>
      <c r="L918">
        <v>1</v>
      </c>
      <c r="M918">
        <f t="shared" si="28"/>
        <v>1</v>
      </c>
      <c r="N918" t="s">
        <v>20</v>
      </c>
      <c r="O918">
        <f>LOOKUP(X918,Pays!A:A,Pays!D:D)</f>
        <v>0</v>
      </c>
      <c r="P918">
        <v>0.15</v>
      </c>
      <c r="Q918">
        <v>1</v>
      </c>
      <c r="U918">
        <v>1</v>
      </c>
      <c r="W918">
        <f>IF(COUNTIF(Pays!A:A,X918)=0,"",LOOKUP(X918,Pays!A:A,Pays!E:E))</f>
        <v>0</v>
      </c>
      <c r="X918" s="8" t="s">
        <v>37</v>
      </c>
    </row>
    <row r="919" spans="1:24" x14ac:dyDescent="0.25">
      <c r="A919" t="s">
        <v>1171</v>
      </c>
      <c r="B919" t="s">
        <v>182</v>
      </c>
      <c r="C919" s="1">
        <f t="shared" si="29"/>
        <v>46174</v>
      </c>
      <c r="F919" t="s">
        <v>181</v>
      </c>
      <c r="G919" t="s">
        <v>1132</v>
      </c>
      <c r="H919" t="s">
        <v>1991</v>
      </c>
      <c r="I919" t="s">
        <v>18</v>
      </c>
      <c r="J919" t="str">
        <f>IF(COUNTIF(Pays!A:A,X919)=0,"Pays inconnu",_xlfn.XLOOKUP(X919,Pays!A:A,Pays!B:B))</f>
        <v>GB</v>
      </c>
      <c r="K919" t="str">
        <f>IF(COUNTIF(Pays!A:A,X919)=0,"Pays inconnu",_xlfn.XLOOKUP(X919,Pays!A:A,Pays!C:C))</f>
        <v>1_GB</v>
      </c>
      <c r="L919">
        <v>1</v>
      </c>
      <c r="M919">
        <f t="shared" si="28"/>
        <v>0.52</v>
      </c>
      <c r="N919" t="s">
        <v>20</v>
      </c>
      <c r="O919">
        <f>LOOKUP(X919,Pays!A:A,Pays!D:D)</f>
        <v>0</v>
      </c>
      <c r="P919">
        <v>0.15</v>
      </c>
      <c r="Q919">
        <v>0.52</v>
      </c>
      <c r="U919">
        <v>1</v>
      </c>
      <c r="W919">
        <f>IF(COUNTIF(Pays!A:A,X919)=0,"",LOOKUP(X919,Pays!A:A,Pays!E:E))</f>
        <v>0</v>
      </c>
      <c r="X919" s="8" t="s">
        <v>30</v>
      </c>
    </row>
    <row r="920" spans="1:24" x14ac:dyDescent="0.25">
      <c r="A920" t="s">
        <v>1171</v>
      </c>
      <c r="B920" t="s">
        <v>182</v>
      </c>
      <c r="C920" s="1">
        <f t="shared" si="29"/>
        <v>46174</v>
      </c>
      <c r="F920" t="s">
        <v>181</v>
      </c>
      <c r="G920" t="s">
        <v>1133</v>
      </c>
      <c r="H920" t="s">
        <v>1992</v>
      </c>
      <c r="I920" t="s">
        <v>18</v>
      </c>
      <c r="J920" t="str">
        <f>IF(COUNTIF(Pays!A:A,X920)=0,"Pays inconnu",_xlfn.XLOOKUP(X920,Pays!A:A,Pays!B:B))</f>
        <v>GB</v>
      </c>
      <c r="K920" t="str">
        <f>IF(COUNTIF(Pays!A:A,X920)=0,"Pays inconnu",_xlfn.XLOOKUP(X920,Pays!A:A,Pays!C:C))</f>
        <v>1_GB</v>
      </c>
      <c r="L920">
        <v>1</v>
      </c>
      <c r="M920">
        <f t="shared" si="28"/>
        <v>0.22</v>
      </c>
      <c r="N920" t="s">
        <v>20</v>
      </c>
      <c r="O920">
        <f>LOOKUP(X920,Pays!A:A,Pays!D:D)</f>
        <v>0</v>
      </c>
      <c r="P920">
        <v>0.15</v>
      </c>
      <c r="Q920">
        <v>0.22</v>
      </c>
      <c r="U920">
        <v>1</v>
      </c>
      <c r="W920">
        <f>IF(COUNTIF(Pays!A:A,X920)=0,"",LOOKUP(X920,Pays!A:A,Pays!E:E))</f>
        <v>0</v>
      </c>
      <c r="X920" s="8" t="s">
        <v>30</v>
      </c>
    </row>
    <row r="921" spans="1:24" x14ac:dyDescent="0.25">
      <c r="A921" t="s">
        <v>1171</v>
      </c>
      <c r="B921" t="s">
        <v>182</v>
      </c>
      <c r="C921" s="1">
        <f t="shared" si="29"/>
        <v>46174</v>
      </c>
      <c r="F921" t="s">
        <v>110</v>
      </c>
      <c r="G921" t="s">
        <v>1134</v>
      </c>
      <c r="H921" t="s">
        <v>1993</v>
      </c>
      <c r="I921" t="s">
        <v>18</v>
      </c>
      <c r="J921" t="str">
        <f>IF(COUNTIF(Pays!A:A,X921)=0,"Pays inconnu",_xlfn.XLOOKUP(X921,Pays!A:A,Pays!B:B))</f>
        <v>CH</v>
      </c>
      <c r="K921" t="str">
        <f>IF(COUNTIF(Pays!A:A,X921)=0,"Pays inconnu",_xlfn.XLOOKUP(X921,Pays!A:A,Pays!C:C))</f>
        <v>1_CH</v>
      </c>
      <c r="L921">
        <v>1</v>
      </c>
      <c r="M921">
        <f t="shared" si="28"/>
        <v>0.15</v>
      </c>
      <c r="N921" t="s">
        <v>20</v>
      </c>
      <c r="O921">
        <f>LOOKUP(X921,Pays!A:A,Pays!D:D)</f>
        <v>0</v>
      </c>
      <c r="P921">
        <v>0.15</v>
      </c>
      <c r="Q921">
        <v>7.0000000000000007E-2</v>
      </c>
      <c r="U921">
        <v>1</v>
      </c>
      <c r="W921">
        <f>IF(COUNTIF(Pays!A:A,X921)=0,"",LOOKUP(X921,Pays!A:A,Pays!E:E))</f>
        <v>0</v>
      </c>
      <c r="X921" s="8" t="s">
        <v>37</v>
      </c>
    </row>
    <row r="922" spans="1:24" x14ac:dyDescent="0.25">
      <c r="A922" t="s">
        <v>1171</v>
      </c>
      <c r="B922" t="s">
        <v>182</v>
      </c>
      <c r="C922" s="1">
        <f t="shared" si="29"/>
        <v>46174</v>
      </c>
      <c r="F922" t="s">
        <v>181</v>
      </c>
      <c r="G922" t="s">
        <v>1135</v>
      </c>
      <c r="H922" t="s">
        <v>1994</v>
      </c>
      <c r="I922" t="s">
        <v>18</v>
      </c>
      <c r="J922" t="str">
        <f>IF(COUNTIF(Pays!A:A,X922)=0,"Pays inconnu",_xlfn.XLOOKUP(X922,Pays!A:A,Pays!B:B))</f>
        <v>GB</v>
      </c>
      <c r="K922" t="str">
        <f>IF(COUNTIF(Pays!A:A,X922)=0,"Pays inconnu",_xlfn.XLOOKUP(X922,Pays!A:A,Pays!C:C))</f>
        <v>1_GB</v>
      </c>
      <c r="L922">
        <v>1</v>
      </c>
      <c r="M922">
        <f t="shared" si="28"/>
        <v>0.15</v>
      </c>
      <c r="N922" t="s">
        <v>20</v>
      </c>
      <c r="O922">
        <f>LOOKUP(X922,Pays!A:A,Pays!D:D)</f>
        <v>0</v>
      </c>
      <c r="P922">
        <v>0.15</v>
      </c>
      <c r="Q922">
        <v>0.05</v>
      </c>
      <c r="U922">
        <v>1</v>
      </c>
      <c r="W922">
        <f>IF(COUNTIF(Pays!A:A,X922)=0,"",LOOKUP(X922,Pays!A:A,Pays!E:E))</f>
        <v>0</v>
      </c>
      <c r="X922" s="8" t="s">
        <v>30</v>
      </c>
    </row>
    <row r="923" spans="1:24" x14ac:dyDescent="0.25">
      <c r="A923" t="s">
        <v>1171</v>
      </c>
      <c r="B923" t="s">
        <v>182</v>
      </c>
      <c r="C923" s="1">
        <f t="shared" si="29"/>
        <v>46174</v>
      </c>
      <c r="F923" t="s">
        <v>181</v>
      </c>
      <c r="G923" t="s">
        <v>1136</v>
      </c>
      <c r="H923" t="s">
        <v>1995</v>
      </c>
      <c r="I923" t="s">
        <v>18</v>
      </c>
      <c r="J923" t="str">
        <f>IF(COUNTIF(Pays!A:A,X923)=0,"Pays inconnu",_xlfn.XLOOKUP(X923,Pays!A:A,Pays!B:B))</f>
        <v>CH</v>
      </c>
      <c r="K923" t="str">
        <f>IF(COUNTIF(Pays!A:A,X923)=0,"Pays inconnu",_xlfn.XLOOKUP(X923,Pays!A:A,Pays!C:C))</f>
        <v>1_CH</v>
      </c>
      <c r="L923">
        <v>1</v>
      </c>
      <c r="M923">
        <f t="shared" si="28"/>
        <v>1.52</v>
      </c>
      <c r="N923" t="s">
        <v>20</v>
      </c>
      <c r="O923">
        <f>LOOKUP(X923,Pays!A:A,Pays!D:D)</f>
        <v>0</v>
      </c>
      <c r="P923">
        <v>0.15</v>
      </c>
      <c r="Q923">
        <v>1.52</v>
      </c>
      <c r="U923">
        <v>1</v>
      </c>
      <c r="W923">
        <f>IF(COUNTIF(Pays!A:A,X923)=0,"",LOOKUP(X923,Pays!A:A,Pays!E:E))</f>
        <v>0</v>
      </c>
      <c r="X923" s="8" t="s">
        <v>37</v>
      </c>
    </row>
    <row r="924" spans="1:24" x14ac:dyDescent="0.25">
      <c r="A924" t="s">
        <v>1171</v>
      </c>
      <c r="B924" t="s">
        <v>182</v>
      </c>
      <c r="C924" s="1">
        <f t="shared" si="29"/>
        <v>46174</v>
      </c>
      <c r="F924" t="s">
        <v>181</v>
      </c>
      <c r="G924" t="s">
        <v>1137</v>
      </c>
      <c r="H924" t="s">
        <v>1996</v>
      </c>
      <c r="I924" t="s">
        <v>18</v>
      </c>
      <c r="J924" t="str">
        <f>IF(COUNTIF(Pays!A:A,X924)=0,"Pays inconnu",_xlfn.XLOOKUP(X924,Pays!A:A,Pays!B:B))</f>
        <v>GB</v>
      </c>
      <c r="K924" t="str">
        <f>IF(COUNTIF(Pays!A:A,X924)=0,"Pays inconnu",_xlfn.XLOOKUP(X924,Pays!A:A,Pays!C:C))</f>
        <v>1_GB</v>
      </c>
      <c r="L924">
        <v>1</v>
      </c>
      <c r="M924">
        <f t="shared" si="28"/>
        <v>0.24</v>
      </c>
      <c r="N924" t="s">
        <v>20</v>
      </c>
      <c r="O924">
        <f>LOOKUP(X924,Pays!A:A,Pays!D:D)</f>
        <v>0</v>
      </c>
      <c r="P924">
        <v>0.15</v>
      </c>
      <c r="Q924">
        <v>0.24</v>
      </c>
      <c r="U924">
        <v>1</v>
      </c>
      <c r="W924">
        <f>IF(COUNTIF(Pays!A:A,X924)=0,"",LOOKUP(X924,Pays!A:A,Pays!E:E))</f>
        <v>0</v>
      </c>
      <c r="X924" s="8" t="s">
        <v>30</v>
      </c>
    </row>
    <row r="925" spans="1:24" x14ac:dyDescent="0.25">
      <c r="A925" t="s">
        <v>1171</v>
      </c>
      <c r="B925" t="s">
        <v>182</v>
      </c>
      <c r="C925" s="1">
        <f t="shared" si="29"/>
        <v>46174</v>
      </c>
      <c r="F925" t="s">
        <v>181</v>
      </c>
      <c r="G925" t="s">
        <v>1138</v>
      </c>
      <c r="H925" t="s">
        <v>1997</v>
      </c>
      <c r="I925" t="s">
        <v>18</v>
      </c>
      <c r="J925" t="str">
        <f>IF(COUNTIF(Pays!A:A,X925)=0,"Pays inconnu",_xlfn.XLOOKUP(X925,Pays!A:A,Pays!B:B))</f>
        <v>CH</v>
      </c>
      <c r="K925" t="str">
        <f>IF(COUNTIF(Pays!A:A,X925)=0,"Pays inconnu",_xlfn.XLOOKUP(X925,Pays!A:A,Pays!C:C))</f>
        <v>1_CH</v>
      </c>
      <c r="L925">
        <v>1</v>
      </c>
      <c r="M925">
        <f t="shared" si="28"/>
        <v>0.23</v>
      </c>
      <c r="N925" t="s">
        <v>20</v>
      </c>
      <c r="O925">
        <f>LOOKUP(X925,Pays!A:A,Pays!D:D)</f>
        <v>0</v>
      </c>
      <c r="P925">
        <v>0.15</v>
      </c>
      <c r="Q925">
        <v>0.23</v>
      </c>
      <c r="U925">
        <v>1</v>
      </c>
      <c r="W925">
        <f>IF(COUNTIF(Pays!A:A,X925)=0,"",LOOKUP(X925,Pays!A:A,Pays!E:E))</f>
        <v>0</v>
      </c>
      <c r="X925" s="8" t="s">
        <v>37</v>
      </c>
    </row>
    <row r="926" spans="1:24" x14ac:dyDescent="0.25">
      <c r="A926" t="s">
        <v>1171</v>
      </c>
      <c r="B926" t="s">
        <v>182</v>
      </c>
      <c r="C926" s="1">
        <f t="shared" si="29"/>
        <v>46174</v>
      </c>
      <c r="F926" t="s">
        <v>181</v>
      </c>
      <c r="G926" t="s">
        <v>1139</v>
      </c>
      <c r="H926" t="s">
        <v>1998</v>
      </c>
      <c r="I926" t="s">
        <v>18</v>
      </c>
      <c r="J926" t="str">
        <f>IF(COUNTIF(Pays!A:A,X926)=0,"Pays inconnu",_xlfn.XLOOKUP(X926,Pays!A:A,Pays!B:B))</f>
        <v>BE</v>
      </c>
      <c r="K926" t="str">
        <f>IF(COUNTIF(Pays!A:A,X926)=0,"Pays inconnu",_xlfn.XLOOKUP(X926,Pays!A:A,Pays!C:C))</f>
        <v>1_BE</v>
      </c>
      <c r="L926">
        <v>1</v>
      </c>
      <c r="M926">
        <f t="shared" si="28"/>
        <v>0.19</v>
      </c>
      <c r="N926" t="s">
        <v>20</v>
      </c>
      <c r="O926">
        <f>LOOKUP(X926,Pays!A:A,Pays!D:D)</f>
        <v>0.2</v>
      </c>
      <c r="P926">
        <v>0.15</v>
      </c>
      <c r="Q926">
        <v>0.19</v>
      </c>
      <c r="U926">
        <v>1</v>
      </c>
      <c r="W926">
        <f>IF(COUNTIF(Pays!A:A,X926)=0,"",LOOKUP(X926,Pays!A:A,Pays!E:E))</f>
        <v>0</v>
      </c>
      <c r="X926" s="8" t="s">
        <v>28</v>
      </c>
    </row>
    <row r="927" spans="1:24" x14ac:dyDescent="0.25">
      <c r="A927" t="s">
        <v>1171</v>
      </c>
      <c r="B927" t="s">
        <v>182</v>
      </c>
      <c r="C927" s="1">
        <f t="shared" si="29"/>
        <v>46174</v>
      </c>
      <c r="F927" t="s">
        <v>181</v>
      </c>
      <c r="G927" t="s">
        <v>1140</v>
      </c>
      <c r="H927" t="s">
        <v>1999</v>
      </c>
      <c r="I927" t="s">
        <v>18</v>
      </c>
      <c r="J927" t="str">
        <f>IF(COUNTIF(Pays!A:A,X927)=0,"Pays inconnu",_xlfn.XLOOKUP(X927,Pays!A:A,Pays!B:B))</f>
        <v>CH</v>
      </c>
      <c r="K927" t="str">
        <f>IF(COUNTIF(Pays!A:A,X927)=0,"Pays inconnu",_xlfn.XLOOKUP(X927,Pays!A:A,Pays!C:C))</f>
        <v>1_CH</v>
      </c>
      <c r="L927">
        <v>1</v>
      </c>
      <c r="M927">
        <f t="shared" si="28"/>
        <v>0.17</v>
      </c>
      <c r="N927" t="s">
        <v>20</v>
      </c>
      <c r="O927">
        <f>LOOKUP(X927,Pays!A:A,Pays!D:D)</f>
        <v>0</v>
      </c>
      <c r="P927">
        <v>0.15</v>
      </c>
      <c r="Q927">
        <v>0.17</v>
      </c>
      <c r="U927">
        <v>1</v>
      </c>
      <c r="W927">
        <f>IF(COUNTIF(Pays!A:A,X927)=0,"",LOOKUP(X927,Pays!A:A,Pays!E:E))</f>
        <v>0</v>
      </c>
      <c r="X927" s="8" t="s">
        <v>37</v>
      </c>
    </row>
    <row r="928" spans="1:24" x14ac:dyDescent="0.25">
      <c r="A928" t="s">
        <v>1171</v>
      </c>
      <c r="B928" t="s">
        <v>182</v>
      </c>
      <c r="C928" s="1">
        <f t="shared" si="29"/>
        <v>46174</v>
      </c>
      <c r="F928" t="s">
        <v>181</v>
      </c>
      <c r="G928" t="s">
        <v>1141</v>
      </c>
      <c r="H928" t="s">
        <v>2000</v>
      </c>
      <c r="I928" t="s">
        <v>18</v>
      </c>
      <c r="J928" t="str">
        <f>IF(COUNTIF(Pays!A:A,X928)=0,"Pays inconnu",_xlfn.XLOOKUP(X928,Pays!A:A,Pays!B:B))</f>
        <v>CH</v>
      </c>
      <c r="K928" t="str">
        <f>IF(COUNTIF(Pays!A:A,X928)=0,"Pays inconnu",_xlfn.XLOOKUP(X928,Pays!A:A,Pays!C:C))</f>
        <v>1_CH</v>
      </c>
      <c r="L928">
        <v>1</v>
      </c>
      <c r="M928">
        <f t="shared" si="28"/>
        <v>0.34</v>
      </c>
      <c r="N928" t="s">
        <v>20</v>
      </c>
      <c r="O928">
        <f>LOOKUP(X928,Pays!A:A,Pays!D:D)</f>
        <v>0</v>
      </c>
      <c r="P928">
        <v>0.15</v>
      </c>
      <c r="Q928">
        <v>0.34</v>
      </c>
      <c r="U928">
        <v>1</v>
      </c>
      <c r="W928">
        <f>IF(COUNTIF(Pays!A:A,X928)=0,"",LOOKUP(X928,Pays!A:A,Pays!E:E))</f>
        <v>0</v>
      </c>
      <c r="X928" s="8" t="s">
        <v>37</v>
      </c>
    </row>
    <row r="929" spans="1:24" x14ac:dyDescent="0.25">
      <c r="A929" t="s">
        <v>1171</v>
      </c>
      <c r="B929" t="s">
        <v>182</v>
      </c>
      <c r="C929" s="1">
        <f t="shared" si="29"/>
        <v>46174</v>
      </c>
      <c r="F929" t="s">
        <v>181</v>
      </c>
      <c r="G929" t="s">
        <v>1142</v>
      </c>
      <c r="H929" t="s">
        <v>2001</v>
      </c>
      <c r="I929" t="s">
        <v>18</v>
      </c>
      <c r="J929" t="str">
        <f>IF(COUNTIF(Pays!A:A,X929)=0,"Pays inconnu",_xlfn.XLOOKUP(X929,Pays!A:A,Pays!B:B))</f>
        <v>CH</v>
      </c>
      <c r="K929" t="str">
        <f>IF(COUNTIF(Pays!A:A,X929)=0,"Pays inconnu",_xlfn.XLOOKUP(X929,Pays!A:A,Pays!C:C))</f>
        <v>1_CH</v>
      </c>
      <c r="L929">
        <v>1</v>
      </c>
      <c r="M929">
        <f t="shared" si="28"/>
        <v>0.42</v>
      </c>
      <c r="N929" t="s">
        <v>20</v>
      </c>
      <c r="O929">
        <f>LOOKUP(X929,Pays!A:A,Pays!D:D)</f>
        <v>0</v>
      </c>
      <c r="P929">
        <v>0.15</v>
      </c>
      <c r="Q929">
        <v>0.42</v>
      </c>
      <c r="U929">
        <v>1</v>
      </c>
      <c r="W929">
        <f>IF(COUNTIF(Pays!A:A,X929)=0,"",LOOKUP(X929,Pays!A:A,Pays!E:E))</f>
        <v>0</v>
      </c>
      <c r="X929" s="8" t="s">
        <v>37</v>
      </c>
    </row>
    <row r="930" spans="1:24" x14ac:dyDescent="0.25">
      <c r="A930" t="s">
        <v>1171</v>
      </c>
      <c r="B930" t="s">
        <v>182</v>
      </c>
      <c r="C930" s="1">
        <f t="shared" si="29"/>
        <v>46174</v>
      </c>
      <c r="F930" t="s">
        <v>181</v>
      </c>
      <c r="G930" t="s">
        <v>1143</v>
      </c>
      <c r="H930" t="s">
        <v>2002</v>
      </c>
      <c r="I930" t="s">
        <v>18</v>
      </c>
      <c r="J930" t="str">
        <f>IF(COUNTIF(Pays!A:A,X930)=0,"Pays inconnu",_xlfn.XLOOKUP(X930,Pays!A:A,Pays!B:B))</f>
        <v>IE</v>
      </c>
      <c r="K930">
        <f>IF(COUNTIF(Pays!A:A,X930)=0,"Pays inconnu",_xlfn.XLOOKUP(X930,Pays!A:A,Pays!C:C))</f>
        <v>1</v>
      </c>
      <c r="L930">
        <v>1</v>
      </c>
      <c r="M930">
        <f t="shared" si="28"/>
        <v>0.39</v>
      </c>
      <c r="N930" t="s">
        <v>20</v>
      </c>
      <c r="O930">
        <f>LOOKUP(X930,Pays!A:A,Pays!D:D)</f>
        <v>0.2</v>
      </c>
      <c r="P930">
        <v>0.15</v>
      </c>
      <c r="Q930">
        <v>0.39</v>
      </c>
      <c r="U930">
        <v>1</v>
      </c>
      <c r="W930">
        <f>IF(COUNTIF(Pays!A:A,X930)=0,"",LOOKUP(X930,Pays!A:A,Pays!E:E))</f>
        <v>0</v>
      </c>
      <c r="X930" s="8" t="s">
        <v>36</v>
      </c>
    </row>
    <row r="931" spans="1:24" x14ac:dyDescent="0.25">
      <c r="A931" t="s">
        <v>1171</v>
      </c>
      <c r="B931" t="s">
        <v>182</v>
      </c>
      <c r="C931" s="1">
        <f t="shared" si="29"/>
        <v>46174</v>
      </c>
      <c r="F931" t="s">
        <v>181</v>
      </c>
      <c r="G931" t="s">
        <v>1144</v>
      </c>
      <c r="H931" t="s">
        <v>2003</v>
      </c>
      <c r="I931" t="s">
        <v>18</v>
      </c>
      <c r="J931" t="str">
        <f>IF(COUNTIF(Pays!A:A,X931)=0,"Pays inconnu",_xlfn.XLOOKUP(X931,Pays!A:A,Pays!B:B))</f>
        <v>CH</v>
      </c>
      <c r="K931" t="str">
        <f>IF(COUNTIF(Pays!A:A,X931)=0,"Pays inconnu",_xlfn.XLOOKUP(X931,Pays!A:A,Pays!C:C))</f>
        <v>1_CH</v>
      </c>
      <c r="L931">
        <v>1</v>
      </c>
      <c r="M931">
        <f t="shared" si="28"/>
        <v>0.49</v>
      </c>
      <c r="N931" t="s">
        <v>20</v>
      </c>
      <c r="O931">
        <f>LOOKUP(X931,Pays!A:A,Pays!D:D)</f>
        <v>0</v>
      </c>
      <c r="P931">
        <v>0.15</v>
      </c>
      <c r="Q931">
        <v>0.49</v>
      </c>
      <c r="U931">
        <v>1</v>
      </c>
      <c r="W931">
        <f>IF(COUNTIF(Pays!A:A,X931)=0,"",LOOKUP(X931,Pays!A:A,Pays!E:E))</f>
        <v>0</v>
      </c>
      <c r="X931" s="8" t="s">
        <v>37</v>
      </c>
    </row>
    <row r="932" spans="1:24" x14ac:dyDescent="0.25">
      <c r="A932" t="s">
        <v>1171</v>
      </c>
      <c r="B932" t="s">
        <v>182</v>
      </c>
      <c r="C932" s="1">
        <f t="shared" si="29"/>
        <v>46174</v>
      </c>
      <c r="F932" t="s">
        <v>181</v>
      </c>
      <c r="G932" t="s">
        <v>1145</v>
      </c>
      <c r="H932" t="s">
        <v>2004</v>
      </c>
      <c r="I932" t="s">
        <v>18</v>
      </c>
      <c r="J932" t="str">
        <f>IF(COUNTIF(Pays!A:A,X932)=0,"Pays inconnu",_xlfn.XLOOKUP(X932,Pays!A:A,Pays!B:B))</f>
        <v>PT</v>
      </c>
      <c r="K932">
        <f>IF(COUNTIF(Pays!A:A,X932)=0,"Pays inconnu",_xlfn.XLOOKUP(X932,Pays!A:A,Pays!C:C))</f>
        <v>1</v>
      </c>
      <c r="L932">
        <v>1</v>
      </c>
      <c r="M932">
        <f t="shared" si="28"/>
        <v>2.87</v>
      </c>
      <c r="N932" t="s">
        <v>20</v>
      </c>
      <c r="O932">
        <f>LOOKUP(X932,Pays!A:A,Pays!D:D)</f>
        <v>0.2</v>
      </c>
      <c r="P932">
        <v>0.15</v>
      </c>
      <c r="Q932">
        <v>2.87</v>
      </c>
      <c r="U932">
        <v>1</v>
      </c>
      <c r="W932">
        <f>IF(COUNTIF(Pays!A:A,X932)=0,"",LOOKUP(X932,Pays!A:A,Pays!E:E))</f>
        <v>0</v>
      </c>
      <c r="X932" s="8" t="s">
        <v>34</v>
      </c>
    </row>
    <row r="933" spans="1:24" x14ac:dyDescent="0.25">
      <c r="A933" t="s">
        <v>1171</v>
      </c>
      <c r="B933" t="s">
        <v>182</v>
      </c>
      <c r="C933" s="1">
        <f t="shared" si="29"/>
        <v>46174</v>
      </c>
      <c r="F933" t="s">
        <v>110</v>
      </c>
      <c r="G933" t="s">
        <v>1146</v>
      </c>
      <c r="H933" t="s">
        <v>1979</v>
      </c>
      <c r="I933" t="s">
        <v>18</v>
      </c>
      <c r="J933" t="str">
        <f>IF(COUNTIF(Pays!A:A,X933)=0,"Pays inconnu",_xlfn.XLOOKUP(X933,Pays!A:A,Pays!B:B))</f>
        <v>GB</v>
      </c>
      <c r="K933" t="str">
        <f>IF(COUNTIF(Pays!A:A,X933)=0,"Pays inconnu",_xlfn.XLOOKUP(X933,Pays!A:A,Pays!C:C))</f>
        <v>1_GB</v>
      </c>
      <c r="L933">
        <v>1</v>
      </c>
      <c r="M933">
        <f t="shared" si="28"/>
        <v>0.22</v>
      </c>
      <c r="N933" t="s">
        <v>20</v>
      </c>
      <c r="O933">
        <f>LOOKUP(X933,Pays!A:A,Pays!D:D)</f>
        <v>0</v>
      </c>
      <c r="P933">
        <v>0.15</v>
      </c>
      <c r="Q933">
        <v>0.22</v>
      </c>
      <c r="U933">
        <v>1</v>
      </c>
      <c r="W933">
        <f>IF(COUNTIF(Pays!A:A,X933)=0,"",LOOKUP(X933,Pays!A:A,Pays!E:E))</f>
        <v>0</v>
      </c>
      <c r="X933" s="8" t="s">
        <v>30</v>
      </c>
    </row>
    <row r="934" spans="1:24" x14ac:dyDescent="0.25">
      <c r="A934" t="s">
        <v>1171</v>
      </c>
      <c r="B934" t="s">
        <v>182</v>
      </c>
      <c r="C934" s="1">
        <f t="shared" si="29"/>
        <v>46174</v>
      </c>
      <c r="F934" t="s">
        <v>181</v>
      </c>
      <c r="G934" t="s">
        <v>1147</v>
      </c>
      <c r="H934" t="s">
        <v>2005</v>
      </c>
      <c r="I934" t="s">
        <v>18</v>
      </c>
      <c r="J934" t="str">
        <f>IF(COUNTIF(Pays!A:A,X934)=0,"Pays inconnu",_xlfn.XLOOKUP(X934,Pays!A:A,Pays!B:B))</f>
        <v>JP</v>
      </c>
      <c r="K934">
        <f>IF(COUNTIF(Pays!A:A,X934)=0,"Pays inconnu",_xlfn.XLOOKUP(X934,Pays!A:A,Pays!C:C))</f>
        <v>2</v>
      </c>
      <c r="L934">
        <v>1</v>
      </c>
      <c r="M934">
        <f t="shared" si="28"/>
        <v>0.48</v>
      </c>
      <c r="N934" t="s">
        <v>20</v>
      </c>
      <c r="O934">
        <f>LOOKUP(X934,Pays!A:A,Pays!D:D)</f>
        <v>0</v>
      </c>
      <c r="P934">
        <v>0.48399999999999999</v>
      </c>
      <c r="Q934">
        <v>0.48</v>
      </c>
      <c r="U934">
        <v>1</v>
      </c>
      <c r="W934">
        <f>IF(COUNTIF(Pays!A:A,X934)=0,"",LOOKUP(X934,Pays!A:A,Pays!E:E))</f>
        <v>1.5</v>
      </c>
      <c r="X934" s="8" t="s">
        <v>84</v>
      </c>
    </row>
    <row r="935" spans="1:24" x14ac:dyDescent="0.25">
      <c r="A935" t="s">
        <v>1171</v>
      </c>
      <c r="B935" t="s">
        <v>182</v>
      </c>
      <c r="C935" s="1">
        <f t="shared" si="29"/>
        <v>46174</v>
      </c>
      <c r="F935" t="s">
        <v>181</v>
      </c>
      <c r="G935" t="s">
        <v>1148</v>
      </c>
      <c r="H935" t="s">
        <v>2006</v>
      </c>
      <c r="I935" t="s">
        <v>18</v>
      </c>
      <c r="J935" t="str">
        <f>IF(COUNTIF(Pays!A:A,X935)=0,"Pays inconnu",_xlfn.XLOOKUP(X935,Pays!A:A,Pays!B:B))</f>
        <v>US</v>
      </c>
      <c r="K935" t="str">
        <f>IF(COUNTIF(Pays!A:A,X935)=0,"Pays inconnu",_xlfn.XLOOKUP(X935,Pays!A:A,Pays!C:C))</f>
        <v>2_US</v>
      </c>
      <c r="L935">
        <v>1</v>
      </c>
      <c r="M935">
        <f t="shared" si="28"/>
        <v>0.84</v>
      </c>
      <c r="N935" t="s">
        <v>20</v>
      </c>
      <c r="O935">
        <f>LOOKUP(X935,Pays!A:A,Pays!D:D)</f>
        <v>0</v>
      </c>
      <c r="P935">
        <v>0.84199999999999997</v>
      </c>
      <c r="Q935" t="s">
        <v>2007</v>
      </c>
      <c r="U935">
        <v>1</v>
      </c>
      <c r="W935">
        <f>IF(COUNTIF(Pays!A:A,X935)=0,"",LOOKUP(X935,Pays!A:A,Pays!E:E))</f>
        <v>1.5</v>
      </c>
      <c r="X935" s="8" t="s">
        <v>79</v>
      </c>
    </row>
    <row r="936" spans="1:24" x14ac:dyDescent="0.25">
      <c r="A936" t="s">
        <v>1171</v>
      </c>
      <c r="B936" t="s">
        <v>182</v>
      </c>
      <c r="C936" s="1">
        <f t="shared" si="29"/>
        <v>46174</v>
      </c>
      <c r="F936" t="s">
        <v>181</v>
      </c>
      <c r="G936" t="s">
        <v>1149</v>
      </c>
      <c r="H936" t="s">
        <v>1474</v>
      </c>
      <c r="I936" t="s">
        <v>18</v>
      </c>
      <c r="J936" t="str">
        <f>IF(COUNTIF(Pays!A:A,X936)=0,"Pays inconnu",_xlfn.XLOOKUP(X936,Pays!A:A,Pays!B:B))</f>
        <v>GB</v>
      </c>
      <c r="K936" t="str">
        <f>IF(COUNTIF(Pays!A:A,X936)=0,"Pays inconnu",_xlfn.XLOOKUP(X936,Pays!A:A,Pays!C:C))</f>
        <v>1_GB</v>
      </c>
      <c r="L936">
        <v>1</v>
      </c>
      <c r="M936">
        <f t="shared" si="28"/>
        <v>0.46</v>
      </c>
      <c r="N936" t="s">
        <v>20</v>
      </c>
      <c r="O936">
        <f>LOOKUP(X936,Pays!A:A,Pays!D:D)</f>
        <v>0</v>
      </c>
      <c r="P936">
        <v>0.46300000000000002</v>
      </c>
      <c r="Q936">
        <v>0.46</v>
      </c>
      <c r="U936">
        <v>1</v>
      </c>
      <c r="W936">
        <f>IF(COUNTIF(Pays!A:A,X936)=0,"",LOOKUP(X936,Pays!A:A,Pays!E:E))</f>
        <v>0</v>
      </c>
      <c r="X936" s="8" t="s">
        <v>30</v>
      </c>
    </row>
  </sheetData>
  <autoFilter ref="A1:X936" xr:uid="{00000000-0001-0000-0100-000000000000}"/>
  <sortState xmlns:xlrd2="http://schemas.microsoft.com/office/spreadsheetml/2017/richdata2" ref="A2:X2">
    <sortCondition ref="G1:G2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Pays</vt:lpstr>
      <vt:lpstr>Fichier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Largeron</dc:creator>
  <cp:lastModifiedBy>Contact</cp:lastModifiedBy>
  <dcterms:created xsi:type="dcterms:W3CDTF">2022-05-08T06:03:15Z</dcterms:created>
  <dcterms:modified xsi:type="dcterms:W3CDTF">2026-07-02T07:50:44Z</dcterms:modified>
</cp:coreProperties>
</file>