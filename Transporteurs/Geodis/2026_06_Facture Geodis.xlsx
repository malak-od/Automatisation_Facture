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.3\Comptabilité La Ruche\$Facturation automatique\1 - Factures transporteurs + calculs\2026\2026 06\"/>
    </mc:Choice>
  </mc:AlternateContent>
  <xr:revisionPtr revIDLastSave="0" documentId="13_ncr:1_{7C4D67AA-8F98-4E29-A48A-1B3560F00B2F}" xr6:coauthVersionLast="47" xr6:coauthVersionMax="47" xr10:uidLastSave="{00000000-0000-0000-0000-000000000000}"/>
  <bookViews>
    <workbookView xWindow="28680" yWindow="-120" windowWidth="29040" windowHeight="15720" xr2:uid="{492B16FB-9457-4CF7-8956-F1A94E7E377E}"/>
  </bookViews>
  <sheets>
    <sheet name="Factures Geodis" sheetId="1" r:id="rId1"/>
    <sheet name="Bilan Factures" sheetId="4" r:id="rId2"/>
    <sheet name="Import CSV" sheetId="3" r:id="rId3"/>
    <sheet name="Bilan Client" sheetId="7" r:id="rId4"/>
  </sheets>
  <definedNames>
    <definedName name="_xlnm._FilterDatabase" localSheetId="0" hidden="1">'Factures Geodis'!$A$1:$DE$36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I4" i="3"/>
  <c r="K4" i="3"/>
  <c r="L4" i="3"/>
  <c r="U4" i="3"/>
  <c r="G5" i="3"/>
  <c r="I5" i="3"/>
  <c r="K5" i="3"/>
  <c r="L5" i="3"/>
  <c r="U5" i="3"/>
  <c r="G6" i="3"/>
  <c r="I6" i="3"/>
  <c r="K6" i="3"/>
  <c r="L6" i="3"/>
  <c r="U6" i="3"/>
  <c r="G7" i="3"/>
  <c r="I7" i="3"/>
  <c r="K7" i="3"/>
  <c r="L7" i="3"/>
  <c r="U7" i="3"/>
  <c r="G8" i="3"/>
  <c r="I8" i="3"/>
  <c r="K8" i="3"/>
  <c r="L8" i="3"/>
  <c r="U8" i="3"/>
  <c r="G9" i="3"/>
  <c r="I9" i="3"/>
  <c r="K9" i="3"/>
  <c r="L9" i="3"/>
  <c r="U9" i="3"/>
  <c r="G10" i="3"/>
  <c r="I10" i="3"/>
  <c r="K10" i="3"/>
  <c r="L10" i="3"/>
  <c r="U10" i="3"/>
  <c r="G11" i="3"/>
  <c r="I11" i="3"/>
  <c r="K11" i="3"/>
  <c r="L11" i="3"/>
  <c r="U11" i="3"/>
  <c r="G12" i="3"/>
  <c r="I12" i="3"/>
  <c r="K12" i="3"/>
  <c r="L12" i="3"/>
  <c r="U12" i="3"/>
  <c r="G13" i="3"/>
  <c r="I13" i="3"/>
  <c r="K13" i="3"/>
  <c r="L13" i="3"/>
  <c r="U13" i="3"/>
  <c r="G14" i="3"/>
  <c r="I14" i="3"/>
  <c r="K14" i="3"/>
  <c r="L14" i="3"/>
  <c r="U14" i="3"/>
  <c r="G15" i="3"/>
  <c r="I15" i="3"/>
  <c r="K15" i="3"/>
  <c r="L15" i="3"/>
  <c r="U15" i="3"/>
  <c r="G16" i="3"/>
  <c r="I16" i="3"/>
  <c r="K16" i="3"/>
  <c r="L16" i="3"/>
  <c r="U16" i="3"/>
  <c r="G17" i="3"/>
  <c r="I17" i="3"/>
  <c r="K17" i="3"/>
  <c r="L17" i="3"/>
  <c r="U17" i="3"/>
  <c r="G18" i="3"/>
  <c r="I18" i="3"/>
  <c r="K18" i="3"/>
  <c r="L18" i="3"/>
  <c r="U18" i="3"/>
  <c r="G19" i="3"/>
  <c r="I19" i="3"/>
  <c r="K19" i="3"/>
  <c r="L19" i="3"/>
  <c r="U19" i="3"/>
  <c r="G20" i="3"/>
  <c r="I20" i="3"/>
  <c r="K20" i="3"/>
  <c r="L20" i="3"/>
  <c r="U20" i="3"/>
  <c r="G21" i="3"/>
  <c r="I21" i="3"/>
  <c r="K21" i="3"/>
  <c r="L21" i="3"/>
  <c r="S21" i="3"/>
  <c r="U21" i="3"/>
  <c r="G22" i="3"/>
  <c r="I22" i="3"/>
  <c r="K22" i="3"/>
  <c r="L22" i="3"/>
  <c r="U22" i="3"/>
  <c r="G23" i="3"/>
  <c r="I23" i="3"/>
  <c r="K23" i="3"/>
  <c r="L23" i="3"/>
  <c r="U23" i="3"/>
  <c r="G24" i="3"/>
  <c r="I24" i="3"/>
  <c r="K24" i="3"/>
  <c r="L24" i="3"/>
  <c r="U24" i="3"/>
  <c r="G25" i="3"/>
  <c r="I25" i="3"/>
  <c r="K25" i="3"/>
  <c r="L25" i="3"/>
  <c r="U25" i="3"/>
  <c r="G26" i="3"/>
  <c r="I26" i="3"/>
  <c r="K26" i="3"/>
  <c r="L26" i="3"/>
  <c r="U26" i="3"/>
  <c r="G27" i="3"/>
  <c r="I27" i="3"/>
  <c r="K27" i="3"/>
  <c r="L27" i="3"/>
  <c r="U27" i="3"/>
  <c r="G28" i="3"/>
  <c r="I28" i="3"/>
  <c r="K28" i="3"/>
  <c r="L28" i="3"/>
  <c r="U28" i="3"/>
  <c r="G29" i="3"/>
  <c r="I29" i="3"/>
  <c r="K29" i="3"/>
  <c r="L29" i="3"/>
  <c r="U29" i="3"/>
  <c r="G30" i="3"/>
  <c r="I30" i="3"/>
  <c r="K30" i="3"/>
  <c r="L30" i="3"/>
  <c r="U30" i="3"/>
  <c r="G31" i="3"/>
  <c r="I31" i="3"/>
  <c r="K31" i="3"/>
  <c r="L31" i="3"/>
  <c r="U31" i="3"/>
  <c r="G32" i="3"/>
  <c r="I32" i="3"/>
  <c r="K32" i="3"/>
  <c r="L32" i="3"/>
  <c r="U32" i="3"/>
  <c r="G33" i="3"/>
  <c r="I33" i="3"/>
  <c r="K33" i="3"/>
  <c r="L33" i="3"/>
  <c r="U33" i="3"/>
  <c r="G34" i="3"/>
  <c r="I34" i="3"/>
  <c r="K34" i="3"/>
  <c r="L34" i="3"/>
  <c r="U34" i="3"/>
  <c r="G35" i="3"/>
  <c r="I35" i="3"/>
  <c r="K35" i="3"/>
  <c r="L35" i="3"/>
  <c r="U35" i="3"/>
  <c r="G36" i="3"/>
  <c r="I36" i="3"/>
  <c r="K36" i="3"/>
  <c r="L36" i="3"/>
  <c r="U36" i="3"/>
  <c r="I3" i="1"/>
  <c r="I4" i="1"/>
  <c r="R4" i="3" s="1"/>
  <c r="I5" i="1"/>
  <c r="R5" i="3" s="1"/>
  <c r="I6" i="1"/>
  <c r="R6" i="3" s="1"/>
  <c r="I7" i="1"/>
  <c r="R7" i="3" s="1"/>
  <c r="I8" i="1"/>
  <c r="R8" i="3" s="1"/>
  <c r="I9" i="1"/>
  <c r="R9" i="3" s="1"/>
  <c r="I10" i="1"/>
  <c r="R10" i="3" s="1"/>
  <c r="I11" i="1"/>
  <c r="R11" i="3" s="1"/>
  <c r="I12" i="1"/>
  <c r="R12" i="3" s="1"/>
  <c r="I13" i="1"/>
  <c r="R13" i="3" s="1"/>
  <c r="I14" i="1"/>
  <c r="R14" i="3" s="1"/>
  <c r="I15" i="1"/>
  <c r="R15" i="3" s="1"/>
  <c r="I16" i="1"/>
  <c r="R16" i="3" s="1"/>
  <c r="I17" i="1"/>
  <c r="R17" i="3" s="1"/>
  <c r="I18" i="1"/>
  <c r="R18" i="3" s="1"/>
  <c r="I19" i="1"/>
  <c r="R19" i="3" s="1"/>
  <c r="I20" i="1"/>
  <c r="R20" i="3" s="1"/>
  <c r="I21" i="1"/>
  <c r="R21" i="3" s="1"/>
  <c r="I22" i="1"/>
  <c r="R22" i="3" s="1"/>
  <c r="I23" i="1"/>
  <c r="R23" i="3" s="1"/>
  <c r="I24" i="1"/>
  <c r="R24" i="3" s="1"/>
  <c r="I25" i="1"/>
  <c r="R25" i="3" s="1"/>
  <c r="I26" i="1"/>
  <c r="R26" i="3" s="1"/>
  <c r="I27" i="1"/>
  <c r="R27" i="3" s="1"/>
  <c r="I28" i="1"/>
  <c r="R28" i="3" s="1"/>
  <c r="I29" i="1"/>
  <c r="R29" i="3" s="1"/>
  <c r="I30" i="1"/>
  <c r="R30" i="3" s="1"/>
  <c r="I31" i="1"/>
  <c r="R31" i="3" s="1"/>
  <c r="I32" i="1"/>
  <c r="R32" i="3" s="1"/>
  <c r="I33" i="1"/>
  <c r="R33" i="3" s="1"/>
  <c r="I34" i="1"/>
  <c r="R34" i="3" s="1"/>
  <c r="I35" i="1"/>
  <c r="R35" i="3" s="1"/>
  <c r="I36" i="1"/>
  <c r="R36" i="3" s="1"/>
  <c r="I2" i="1"/>
  <c r="K24" i="1"/>
  <c r="T24" i="3" s="1"/>
  <c r="K3" i="1"/>
  <c r="K4" i="1"/>
  <c r="T4" i="3" s="1"/>
  <c r="K5" i="1"/>
  <c r="T5" i="3" s="1"/>
  <c r="K6" i="1"/>
  <c r="T6" i="3" s="1"/>
  <c r="K7" i="1"/>
  <c r="T7" i="3" s="1"/>
  <c r="K8" i="1"/>
  <c r="T8" i="3" s="1"/>
  <c r="K9" i="1"/>
  <c r="T9" i="3" s="1"/>
  <c r="K10" i="1"/>
  <c r="T10" i="3" s="1"/>
  <c r="K11" i="1"/>
  <c r="T11" i="3" s="1"/>
  <c r="K12" i="1"/>
  <c r="T12" i="3" s="1"/>
  <c r="K13" i="1"/>
  <c r="T13" i="3" s="1"/>
  <c r="K14" i="1"/>
  <c r="T14" i="3" s="1"/>
  <c r="K15" i="1"/>
  <c r="T15" i="3" s="1"/>
  <c r="K16" i="1"/>
  <c r="T16" i="3" s="1"/>
  <c r="K17" i="1"/>
  <c r="T17" i="3" s="1"/>
  <c r="K18" i="1"/>
  <c r="T18" i="3" s="1"/>
  <c r="K19" i="1"/>
  <c r="T19" i="3" s="1"/>
  <c r="K20" i="1"/>
  <c r="T20" i="3" s="1"/>
  <c r="K21" i="1"/>
  <c r="T21" i="3" s="1"/>
  <c r="K22" i="1"/>
  <c r="T22" i="3" s="1"/>
  <c r="K23" i="1"/>
  <c r="T23" i="3" s="1"/>
  <c r="K25" i="1"/>
  <c r="T25" i="3" s="1"/>
  <c r="K26" i="1"/>
  <c r="T26" i="3" s="1"/>
  <c r="K27" i="1"/>
  <c r="T27" i="3" s="1"/>
  <c r="K28" i="1"/>
  <c r="T28" i="3" s="1"/>
  <c r="K29" i="1"/>
  <c r="T29" i="3" s="1"/>
  <c r="K30" i="1"/>
  <c r="T30" i="3" s="1"/>
  <c r="K31" i="1"/>
  <c r="T31" i="3" s="1"/>
  <c r="K32" i="1"/>
  <c r="T32" i="3" s="1"/>
  <c r="K33" i="1"/>
  <c r="T33" i="3" s="1"/>
  <c r="K34" i="1"/>
  <c r="T34" i="3" s="1"/>
  <c r="K35" i="1"/>
  <c r="T35" i="3" s="1"/>
  <c r="K36" i="1"/>
  <c r="T36" i="3" s="1"/>
  <c r="K2" i="1"/>
  <c r="C3" i="1"/>
  <c r="F3" i="1"/>
  <c r="G3" i="1"/>
  <c r="H3" i="1"/>
  <c r="J3" i="1"/>
  <c r="M3" i="1"/>
  <c r="C4" i="1"/>
  <c r="F4" i="3" s="1"/>
  <c r="F4" i="1"/>
  <c r="O4" i="3" s="1"/>
  <c r="G4" i="1"/>
  <c r="P4" i="3" s="1"/>
  <c r="H4" i="1"/>
  <c r="Q4" i="3" s="1"/>
  <c r="J4" i="1"/>
  <c r="S4" i="3" s="1"/>
  <c r="M4" i="1"/>
  <c r="C5" i="1"/>
  <c r="F5" i="3" s="1"/>
  <c r="F5" i="1"/>
  <c r="O5" i="3" s="1"/>
  <c r="G5" i="1"/>
  <c r="P5" i="3" s="1"/>
  <c r="H5" i="1"/>
  <c r="Q5" i="3" s="1"/>
  <c r="J5" i="1"/>
  <c r="S5" i="3" s="1"/>
  <c r="M5" i="1"/>
  <c r="C6" i="1"/>
  <c r="F6" i="3" s="1"/>
  <c r="F6" i="1"/>
  <c r="O6" i="3" s="1"/>
  <c r="G6" i="1"/>
  <c r="P6" i="3" s="1"/>
  <c r="H6" i="1"/>
  <c r="Q6" i="3" s="1"/>
  <c r="J6" i="1"/>
  <c r="S6" i="3" s="1"/>
  <c r="M6" i="1"/>
  <c r="C7" i="1"/>
  <c r="F7" i="3" s="1"/>
  <c r="F7" i="1"/>
  <c r="O7" i="3" s="1"/>
  <c r="G7" i="1"/>
  <c r="P7" i="3" s="1"/>
  <c r="H7" i="1"/>
  <c r="Q7" i="3" s="1"/>
  <c r="J7" i="1"/>
  <c r="S7" i="3" s="1"/>
  <c r="M7" i="1"/>
  <c r="C8" i="1"/>
  <c r="F8" i="3" s="1"/>
  <c r="F8" i="1"/>
  <c r="O8" i="3" s="1"/>
  <c r="G8" i="1"/>
  <c r="P8" i="3" s="1"/>
  <c r="H8" i="1"/>
  <c r="Q8" i="3" s="1"/>
  <c r="J8" i="1"/>
  <c r="S8" i="3" s="1"/>
  <c r="M8" i="1"/>
  <c r="C9" i="1"/>
  <c r="F9" i="3" s="1"/>
  <c r="F9" i="1"/>
  <c r="O9" i="3" s="1"/>
  <c r="G9" i="1"/>
  <c r="P9" i="3" s="1"/>
  <c r="H9" i="1"/>
  <c r="Q9" i="3" s="1"/>
  <c r="J9" i="1"/>
  <c r="S9" i="3" s="1"/>
  <c r="M9" i="1"/>
  <c r="C10" i="1"/>
  <c r="F10" i="3" s="1"/>
  <c r="F10" i="1"/>
  <c r="O10" i="3" s="1"/>
  <c r="G10" i="1"/>
  <c r="P10" i="3" s="1"/>
  <c r="H10" i="1"/>
  <c r="Q10" i="3" s="1"/>
  <c r="J10" i="1"/>
  <c r="S10" i="3" s="1"/>
  <c r="M10" i="1"/>
  <c r="C11" i="1"/>
  <c r="F11" i="3" s="1"/>
  <c r="F11" i="1"/>
  <c r="O11" i="3" s="1"/>
  <c r="G11" i="1"/>
  <c r="P11" i="3" s="1"/>
  <c r="H11" i="1"/>
  <c r="Q11" i="3" s="1"/>
  <c r="J11" i="1"/>
  <c r="S11" i="3" s="1"/>
  <c r="M11" i="1"/>
  <c r="C12" i="1"/>
  <c r="F12" i="3" s="1"/>
  <c r="F12" i="1"/>
  <c r="O12" i="3" s="1"/>
  <c r="G12" i="1"/>
  <c r="P12" i="3" s="1"/>
  <c r="H12" i="1"/>
  <c r="Q12" i="3" s="1"/>
  <c r="J12" i="1"/>
  <c r="S12" i="3" s="1"/>
  <c r="M12" i="1"/>
  <c r="C13" i="1"/>
  <c r="F13" i="3" s="1"/>
  <c r="F13" i="1"/>
  <c r="O13" i="3" s="1"/>
  <c r="G13" i="1"/>
  <c r="P13" i="3" s="1"/>
  <c r="H13" i="1"/>
  <c r="Q13" i="3" s="1"/>
  <c r="J13" i="1"/>
  <c r="S13" i="3" s="1"/>
  <c r="M13" i="1"/>
  <c r="C14" i="1"/>
  <c r="F14" i="3" s="1"/>
  <c r="F14" i="1"/>
  <c r="O14" i="3" s="1"/>
  <c r="G14" i="1"/>
  <c r="P14" i="3" s="1"/>
  <c r="H14" i="1"/>
  <c r="Q14" i="3" s="1"/>
  <c r="J14" i="1"/>
  <c r="S14" i="3" s="1"/>
  <c r="M14" i="1"/>
  <c r="C15" i="1"/>
  <c r="F15" i="3" s="1"/>
  <c r="F15" i="1"/>
  <c r="O15" i="3" s="1"/>
  <c r="G15" i="1"/>
  <c r="P15" i="3" s="1"/>
  <c r="H15" i="1"/>
  <c r="Q15" i="3" s="1"/>
  <c r="J15" i="1"/>
  <c r="S15" i="3" s="1"/>
  <c r="M15" i="1"/>
  <c r="C16" i="1"/>
  <c r="F16" i="3" s="1"/>
  <c r="F16" i="1"/>
  <c r="O16" i="3" s="1"/>
  <c r="G16" i="1"/>
  <c r="P16" i="3" s="1"/>
  <c r="H16" i="1"/>
  <c r="Q16" i="3" s="1"/>
  <c r="J16" i="1"/>
  <c r="S16" i="3" s="1"/>
  <c r="M16" i="1"/>
  <c r="C17" i="1"/>
  <c r="F17" i="3" s="1"/>
  <c r="F17" i="1"/>
  <c r="O17" i="3" s="1"/>
  <c r="G17" i="1"/>
  <c r="P17" i="3" s="1"/>
  <c r="H17" i="1"/>
  <c r="Q17" i="3" s="1"/>
  <c r="J17" i="1"/>
  <c r="S17" i="3" s="1"/>
  <c r="M17" i="1"/>
  <c r="C18" i="1"/>
  <c r="F18" i="3" s="1"/>
  <c r="F18" i="1"/>
  <c r="O18" i="3" s="1"/>
  <c r="G18" i="1"/>
  <c r="P18" i="3" s="1"/>
  <c r="H18" i="1"/>
  <c r="Q18" i="3" s="1"/>
  <c r="J18" i="1"/>
  <c r="S18" i="3" s="1"/>
  <c r="M18" i="1"/>
  <c r="C19" i="1"/>
  <c r="F19" i="3" s="1"/>
  <c r="F19" i="1"/>
  <c r="O19" i="3" s="1"/>
  <c r="G19" i="1"/>
  <c r="P19" i="3" s="1"/>
  <c r="H19" i="1"/>
  <c r="Q19" i="3" s="1"/>
  <c r="J19" i="1"/>
  <c r="S19" i="3" s="1"/>
  <c r="M19" i="1"/>
  <c r="C20" i="1"/>
  <c r="F20" i="3" s="1"/>
  <c r="F20" i="1"/>
  <c r="O20" i="3" s="1"/>
  <c r="G20" i="1"/>
  <c r="P20" i="3" s="1"/>
  <c r="H20" i="1"/>
  <c r="Q20" i="3" s="1"/>
  <c r="J20" i="1"/>
  <c r="S20" i="3" s="1"/>
  <c r="M20" i="1"/>
  <c r="C21" i="1"/>
  <c r="F21" i="3" s="1"/>
  <c r="F21" i="1"/>
  <c r="O21" i="3" s="1"/>
  <c r="G21" i="1"/>
  <c r="P21" i="3" s="1"/>
  <c r="H21" i="1"/>
  <c r="Q21" i="3" s="1"/>
  <c r="J21" i="1"/>
  <c r="M21" i="1"/>
  <c r="C22" i="1"/>
  <c r="F22" i="3" s="1"/>
  <c r="F22" i="1"/>
  <c r="O22" i="3" s="1"/>
  <c r="G22" i="1"/>
  <c r="P22" i="3" s="1"/>
  <c r="H22" i="1"/>
  <c r="Q22" i="3" s="1"/>
  <c r="J22" i="1"/>
  <c r="S22" i="3" s="1"/>
  <c r="M22" i="1"/>
  <c r="C23" i="1"/>
  <c r="F23" i="3" s="1"/>
  <c r="F23" i="1"/>
  <c r="O23" i="3" s="1"/>
  <c r="G23" i="1"/>
  <c r="P23" i="3" s="1"/>
  <c r="H23" i="1"/>
  <c r="Q23" i="3" s="1"/>
  <c r="J23" i="1"/>
  <c r="S23" i="3" s="1"/>
  <c r="M23" i="1"/>
  <c r="C24" i="1"/>
  <c r="F24" i="3" s="1"/>
  <c r="F24" i="1"/>
  <c r="O24" i="3" s="1"/>
  <c r="G24" i="1"/>
  <c r="P24" i="3" s="1"/>
  <c r="H24" i="1"/>
  <c r="Q24" i="3" s="1"/>
  <c r="J24" i="1"/>
  <c r="S24" i="3" s="1"/>
  <c r="M24" i="1"/>
  <c r="C25" i="1"/>
  <c r="F25" i="3" s="1"/>
  <c r="F25" i="1"/>
  <c r="O25" i="3" s="1"/>
  <c r="G25" i="1"/>
  <c r="P25" i="3" s="1"/>
  <c r="H25" i="1"/>
  <c r="Q25" i="3" s="1"/>
  <c r="J25" i="1"/>
  <c r="S25" i="3" s="1"/>
  <c r="M25" i="1"/>
  <c r="C26" i="1"/>
  <c r="F26" i="3" s="1"/>
  <c r="F26" i="1"/>
  <c r="O26" i="3" s="1"/>
  <c r="G26" i="1"/>
  <c r="P26" i="3" s="1"/>
  <c r="H26" i="1"/>
  <c r="Q26" i="3" s="1"/>
  <c r="J26" i="1"/>
  <c r="S26" i="3" s="1"/>
  <c r="M26" i="1"/>
  <c r="C27" i="1"/>
  <c r="F27" i="3" s="1"/>
  <c r="F27" i="1"/>
  <c r="O27" i="3" s="1"/>
  <c r="G27" i="1"/>
  <c r="P27" i="3" s="1"/>
  <c r="H27" i="1"/>
  <c r="Q27" i="3" s="1"/>
  <c r="J27" i="1"/>
  <c r="S27" i="3" s="1"/>
  <c r="M27" i="1"/>
  <c r="C28" i="1"/>
  <c r="F28" i="3" s="1"/>
  <c r="F28" i="1"/>
  <c r="O28" i="3" s="1"/>
  <c r="G28" i="1"/>
  <c r="P28" i="3" s="1"/>
  <c r="H28" i="1"/>
  <c r="Q28" i="3" s="1"/>
  <c r="J28" i="1"/>
  <c r="S28" i="3" s="1"/>
  <c r="M28" i="1"/>
  <c r="C29" i="1"/>
  <c r="F29" i="3" s="1"/>
  <c r="F29" i="1"/>
  <c r="O29" i="3" s="1"/>
  <c r="G29" i="1"/>
  <c r="P29" i="3" s="1"/>
  <c r="H29" i="1"/>
  <c r="Q29" i="3" s="1"/>
  <c r="J29" i="1"/>
  <c r="S29" i="3" s="1"/>
  <c r="M29" i="1"/>
  <c r="C30" i="1"/>
  <c r="F30" i="3" s="1"/>
  <c r="F30" i="1"/>
  <c r="O30" i="3" s="1"/>
  <c r="G30" i="1"/>
  <c r="P30" i="3" s="1"/>
  <c r="H30" i="1"/>
  <c r="Q30" i="3" s="1"/>
  <c r="J30" i="1"/>
  <c r="S30" i="3" s="1"/>
  <c r="M30" i="1"/>
  <c r="C31" i="1"/>
  <c r="F31" i="3" s="1"/>
  <c r="F31" i="1"/>
  <c r="O31" i="3" s="1"/>
  <c r="G31" i="1"/>
  <c r="P31" i="3" s="1"/>
  <c r="H31" i="1"/>
  <c r="Q31" i="3" s="1"/>
  <c r="J31" i="1"/>
  <c r="S31" i="3" s="1"/>
  <c r="M31" i="1"/>
  <c r="C32" i="1"/>
  <c r="F32" i="3" s="1"/>
  <c r="F32" i="1"/>
  <c r="O32" i="3" s="1"/>
  <c r="G32" i="1"/>
  <c r="P32" i="3" s="1"/>
  <c r="H32" i="1"/>
  <c r="Q32" i="3" s="1"/>
  <c r="J32" i="1"/>
  <c r="S32" i="3" s="1"/>
  <c r="M32" i="1"/>
  <c r="C33" i="1"/>
  <c r="F33" i="3" s="1"/>
  <c r="F33" i="1"/>
  <c r="O33" i="3" s="1"/>
  <c r="G33" i="1"/>
  <c r="P33" i="3" s="1"/>
  <c r="H33" i="1"/>
  <c r="Q33" i="3" s="1"/>
  <c r="J33" i="1"/>
  <c r="S33" i="3" s="1"/>
  <c r="M33" i="1"/>
  <c r="C34" i="1"/>
  <c r="F34" i="3" s="1"/>
  <c r="F34" i="1"/>
  <c r="O34" i="3" s="1"/>
  <c r="G34" i="1"/>
  <c r="P34" i="3" s="1"/>
  <c r="H34" i="1"/>
  <c r="Q34" i="3" s="1"/>
  <c r="J34" i="1"/>
  <c r="S34" i="3" s="1"/>
  <c r="M34" i="1"/>
  <c r="C35" i="1"/>
  <c r="F35" i="3" s="1"/>
  <c r="F35" i="1"/>
  <c r="O35" i="3" s="1"/>
  <c r="G35" i="1"/>
  <c r="P35" i="3" s="1"/>
  <c r="H35" i="1"/>
  <c r="Q35" i="3" s="1"/>
  <c r="J35" i="1"/>
  <c r="S35" i="3" s="1"/>
  <c r="M35" i="1"/>
  <c r="C36" i="1"/>
  <c r="F36" i="3" s="1"/>
  <c r="F36" i="1"/>
  <c r="O36" i="3" s="1"/>
  <c r="G36" i="1"/>
  <c r="P36" i="3" s="1"/>
  <c r="H36" i="1"/>
  <c r="Q36" i="3" s="1"/>
  <c r="J36" i="1"/>
  <c r="S36" i="3" s="1"/>
  <c r="M36" i="1"/>
  <c r="D29" i="1" l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25" i="1"/>
  <c r="E25" i="1" s="1"/>
  <c r="D16" i="1"/>
  <c r="E16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7" i="1"/>
  <c r="E27" i="1" s="1"/>
  <c r="D24" i="1"/>
  <c r="E24" i="1" s="1"/>
  <c r="D26" i="1"/>
  <c r="E26" i="1" s="1"/>
  <c r="D28" i="1"/>
  <c r="E28" i="1" s="1"/>
  <c r="D36" i="1"/>
  <c r="E36" i="1" s="1"/>
  <c r="D35" i="1"/>
  <c r="E35" i="1" s="1"/>
  <c r="C2" i="1"/>
  <c r="J2" i="1"/>
  <c r="H2" i="1"/>
  <c r="G2" i="1"/>
  <c r="F2" i="1"/>
  <c r="C21" i="3" l="1"/>
  <c r="C6" i="3"/>
  <c r="C16" i="3"/>
  <c r="C22" i="3"/>
  <c r="C4" i="3"/>
  <c r="C5" i="3"/>
  <c r="C14" i="3"/>
  <c r="C19" i="3"/>
  <c r="C7" i="3"/>
  <c r="C8" i="3"/>
  <c r="C9" i="3"/>
  <c r="C10" i="3"/>
  <c r="C11" i="3"/>
  <c r="C15" i="3"/>
  <c r="C12" i="3"/>
  <c r="C13" i="3"/>
  <c r="C36" i="3"/>
  <c r="C17" i="3"/>
  <c r="C18" i="3"/>
  <c r="C20" i="3"/>
  <c r="C32" i="3"/>
  <c r="C23" i="3"/>
  <c r="C24" i="3"/>
  <c r="C25" i="3"/>
  <c r="C26" i="3"/>
  <c r="C27" i="3"/>
  <c r="C28" i="3"/>
  <c r="C29" i="3"/>
  <c r="C30" i="3"/>
  <c r="C31" i="3"/>
  <c r="C33" i="3"/>
  <c r="C34" i="3"/>
  <c r="C35" i="3"/>
  <c r="U3" i="3"/>
  <c r="U2" i="3"/>
  <c r="L3" i="3" l="1"/>
  <c r="L2" i="3"/>
  <c r="K3" i="3" l="1"/>
  <c r="K2" i="3"/>
  <c r="G3" i="3"/>
  <c r="G2" i="3"/>
  <c r="T3" i="3"/>
  <c r="T2" i="3"/>
  <c r="M2" i="1"/>
  <c r="O3" i="3"/>
  <c r="P3" i="3"/>
  <c r="Q3" i="3"/>
  <c r="R3" i="3"/>
  <c r="S3" i="3"/>
  <c r="R2" i="3"/>
  <c r="Q2" i="3"/>
  <c r="S2" i="3"/>
  <c r="P2" i="3"/>
  <c r="O2" i="3"/>
  <c r="I3" i="3"/>
  <c r="F3" i="3"/>
  <c r="E7" i="4"/>
  <c r="D2" i="1" l="1"/>
  <c r="E2" i="1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I2" i="3"/>
  <c r="F7" i="4" l="1"/>
  <c r="E6" i="4"/>
  <c r="F6" i="4" s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F2" i="3" l="1"/>
  <c r="C2" i="3" s="1"/>
  <c r="C3" i="3"/>
</calcChain>
</file>

<file path=xl/sharedStrings.xml><?xml version="1.0" encoding="utf-8"?>
<sst xmlns="http://schemas.openxmlformats.org/spreadsheetml/2006/main" count="1054" uniqueCount="399">
  <si>
    <t xml:space="preserve"> Transporteur </t>
  </si>
  <si>
    <t>Date validité tarif</t>
  </si>
  <si>
    <t>Réf.1</t>
  </si>
  <si>
    <t>Réf. 2</t>
  </si>
  <si>
    <t>Id client</t>
  </si>
  <si>
    <t>N° Tracking</t>
  </si>
  <si>
    <t>Nom</t>
  </si>
  <si>
    <t>E / P</t>
  </si>
  <si>
    <t>Pays</t>
  </si>
  <si>
    <t xml:space="preserve"> Zone </t>
  </si>
  <si>
    <t xml:space="preserve"> Nbr Colis </t>
  </si>
  <si>
    <t xml:space="preserve"> Poids </t>
  </si>
  <si>
    <t>mode envoi</t>
  </si>
  <si>
    <t xml:space="preserve"> TVA </t>
  </si>
  <si>
    <t xml:space="preserve"> Droits et taxes </t>
  </si>
  <si>
    <t xml:space="preserve"> Assurance </t>
  </si>
  <si>
    <t xml:space="preserve"> Zones éloignées </t>
  </si>
  <si>
    <t xml:space="preserve"> Colis volumineux </t>
  </si>
  <si>
    <t xml:space="preserve"> Adresses </t>
  </si>
  <si>
    <t xml:space="preserve"> Frêt </t>
  </si>
  <si>
    <t xml:space="preserve"> plus-value BtoC </t>
  </si>
  <si>
    <t>Gazole</t>
  </si>
  <si>
    <t>GEODIS</t>
  </si>
  <si>
    <t>Code agence traitante</t>
  </si>
  <si>
    <t>N° récépissé</t>
  </si>
  <si>
    <t>Raison sociale</t>
  </si>
  <si>
    <t>Date récépissé</t>
  </si>
  <si>
    <t>Référence 1</t>
  </si>
  <si>
    <t>Référence 2</t>
  </si>
  <si>
    <t>Nom client départ</t>
  </si>
  <si>
    <t>Adresse client départ</t>
  </si>
  <si>
    <t>Adresse 2 client départ</t>
  </si>
  <si>
    <t>Code pays client départ</t>
  </si>
  <si>
    <t>Département Client départ</t>
  </si>
  <si>
    <t>Code postal Client départ</t>
  </si>
  <si>
    <t>Localité client départ</t>
  </si>
  <si>
    <t>Nom destinataire</t>
  </si>
  <si>
    <t>Adresse destinataire</t>
  </si>
  <si>
    <t>Adresse 2 destinataire</t>
  </si>
  <si>
    <t>Code pays destinataire</t>
  </si>
  <si>
    <t>Code département destinataire</t>
  </si>
  <si>
    <t>Code postal destinataire</t>
  </si>
  <si>
    <t>Localité destinataire</t>
  </si>
  <si>
    <t>Nb Colis</t>
  </si>
  <si>
    <t>Mètres plancher</t>
  </si>
  <si>
    <t>Nb d'unités</t>
  </si>
  <si>
    <t>Type d'unités</t>
  </si>
  <si>
    <t>Mt HT /EXO Transport</t>
  </si>
  <si>
    <t>Mt HT/EXO Options et autres</t>
  </si>
  <si>
    <t xml:space="preserve">Mt HT/EXO Total Facturé </t>
  </si>
  <si>
    <t>Montant TVA</t>
  </si>
  <si>
    <t>Montant TTC</t>
  </si>
  <si>
    <t>Incoterm</t>
  </si>
  <si>
    <t>LA RUCHE LOGISTIQUE</t>
  </si>
  <si>
    <t>FR</t>
  </si>
  <si>
    <t>21</t>
  </si>
  <si>
    <t>VOIE COMMUNALE 4</t>
  </si>
  <si>
    <t>21320</t>
  </si>
  <si>
    <t>CREANCEY</t>
  </si>
  <si>
    <t>AFF</t>
  </si>
  <si>
    <t>95</t>
  </si>
  <si>
    <t>Récépissé</t>
  </si>
  <si>
    <t>N° pièce</t>
  </si>
  <si>
    <t>Date pièce</t>
  </si>
  <si>
    <t>Type de pièce</t>
  </si>
  <si>
    <t>Code tiers</t>
  </si>
  <si>
    <t>Code produit</t>
  </si>
  <si>
    <t>Instruction livraison 1</t>
  </si>
  <si>
    <t>Instruction livraison 2</t>
  </si>
  <si>
    <t>Nature de marchandises</t>
  </si>
  <si>
    <t>Poids origine (kg)</t>
  </si>
  <si>
    <t>Poids repesé (kg)</t>
  </si>
  <si>
    <t>Volume d'origine (m3)</t>
  </si>
  <si>
    <t>Volume réel (m3)</t>
  </si>
  <si>
    <t>Poids et/ou volume déclaré erroné</t>
  </si>
  <si>
    <t>Surcharge Carburant (HT)</t>
  </si>
  <si>
    <t>Participation Sûreté &amp; Environnement (HT)</t>
  </si>
  <si>
    <t>Montant Assurance ad valorem (HT)</t>
  </si>
  <si>
    <t>Montant valeur assurée</t>
  </si>
  <si>
    <t>Contre-remboursement (HT)</t>
  </si>
  <si>
    <t>Port dû (HT)</t>
  </si>
  <si>
    <t>Course (HT)</t>
  </si>
  <si>
    <t>Top H (HT)</t>
  </si>
  <si>
    <t>Frais fixes administratifs (HT)</t>
  </si>
  <si>
    <t>Enlèvement à blanc (HT)</t>
  </si>
  <si>
    <t>Enlèvement extérieur (HT)</t>
  </si>
  <si>
    <t>Traitement multi-colis (HT)</t>
  </si>
  <si>
    <t>Localités spécifiques (HT)</t>
  </si>
  <si>
    <t>Livraison saisonnière (HT)</t>
  </si>
  <si>
    <t>Livraison Paris - Région parisienne (HT)</t>
  </si>
  <si>
    <t>Nouvelle présentation (HT)</t>
  </si>
  <si>
    <t>Livraison GMS et PF logistiques (HT)</t>
  </si>
  <si>
    <t>Livraison MIN (HT)</t>
  </si>
  <si>
    <t>Livraison Transitaire (HT)</t>
  </si>
  <si>
    <t>Livraison du particulier (HT)</t>
  </si>
  <si>
    <t>Traitement manuel (HT)</t>
  </si>
  <si>
    <t>Modification d'écriture (HT)</t>
  </si>
  <si>
    <t>Expédition Hors Norme (HT)</t>
  </si>
  <si>
    <t>Signature hors tablette (HT)</t>
  </si>
  <si>
    <t>Transmission POD (HT)</t>
  </si>
  <si>
    <t>Surcharge monétaire (HT)</t>
  </si>
  <si>
    <t>Taxe kilométrique Belgique (HT)</t>
  </si>
  <si>
    <t>Livraison sur RV web (HT)</t>
  </si>
  <si>
    <t>Livraison le samedi (HT)</t>
  </si>
  <si>
    <t>Livraison l'après-midi (HT)</t>
  </si>
  <si>
    <t>Livraison le matin (HT)</t>
  </si>
  <si>
    <t>Livraison à date fixe (HT)</t>
  </si>
  <si>
    <t>Livraison à l'étage (HT)</t>
  </si>
  <si>
    <t>Dépotage (HT)</t>
  </si>
  <si>
    <t>Echange à la livraison (HT)</t>
  </si>
  <si>
    <t>Signature sur BL client (HT)</t>
  </si>
  <si>
    <t>Gestion des palettes Europe (HT)</t>
  </si>
  <si>
    <t>Formalités Douane Exp (HT)</t>
  </si>
  <si>
    <t>Suivi de Température (HT)</t>
  </si>
  <si>
    <t>Vins &amp; Spiritueux (HT)</t>
  </si>
  <si>
    <t>Suivi au colis (HT)</t>
  </si>
  <si>
    <t>Total CO2eq (kg)</t>
  </si>
  <si>
    <t>Particules (g)</t>
  </si>
  <si>
    <t>Poids taxable (kg)</t>
  </si>
  <si>
    <t>F</t>
  </si>
  <si>
    <t>600017</t>
  </si>
  <si>
    <t>001021</t>
  </si>
  <si>
    <t>Étiquettes de lignes</t>
  </si>
  <si>
    <t>Total général</t>
  </si>
  <si>
    <t>Total + GO</t>
  </si>
  <si>
    <t>France</t>
  </si>
  <si>
    <t>Total hors GO</t>
  </si>
  <si>
    <t>Somme de Total + GO</t>
  </si>
  <si>
    <t>PDF</t>
  </si>
  <si>
    <t>Ecarts</t>
  </si>
  <si>
    <t>(vide)</t>
  </si>
  <si>
    <t>ST</t>
  </si>
  <si>
    <t>MES</t>
  </si>
  <si>
    <t>ATIDA OMNIPHAR 07</t>
  </si>
  <si>
    <t>LOT BEL SOULEIL</t>
  </si>
  <si>
    <t>31</t>
  </si>
  <si>
    <t>31850</t>
  </si>
  <si>
    <t>MONTRABE</t>
  </si>
  <si>
    <t>LAGARDERE TRAVEL RETAIL FCE</t>
  </si>
  <si>
    <t>7 RUE JEAN JAURES</t>
  </si>
  <si>
    <t>95670</t>
  </si>
  <si>
    <t>MARLY LA VILLE</t>
  </si>
  <si>
    <t>06</t>
  </si>
  <si>
    <t>06510</t>
  </si>
  <si>
    <t>CARROS</t>
  </si>
  <si>
    <t>13</t>
  </si>
  <si>
    <t>Frais de tenue de compte 28,5€/mois</t>
  </si>
  <si>
    <t>PRISE DE RDV OBLIGATOIRE TEL 0685119484-0631875898- MAIL:C.VALLEE@TRAN</t>
  </si>
  <si>
    <t>SCAN.FR</t>
  </si>
  <si>
    <t>EASY PARAPHARMACIE</t>
  </si>
  <si>
    <t>DEPOT N  7 1ERE AVENUE</t>
  </si>
  <si>
    <t>TRANSCAN 4789</t>
  </si>
  <si>
    <t>Frais de gestion</t>
  </si>
  <si>
    <t>EQUIPEMENTS</t>
  </si>
  <si>
    <t>94</t>
  </si>
  <si>
    <t>94450</t>
  </si>
  <si>
    <t>LIMEIL BREVANNES</t>
  </si>
  <si>
    <t>Droits et taxes</t>
  </si>
  <si>
    <t>Assurance</t>
  </si>
  <si>
    <t>Zones éloignées</t>
  </si>
  <si>
    <t>Adresses</t>
  </si>
  <si>
    <t>Frêt</t>
  </si>
  <si>
    <t>Plus value B2C</t>
  </si>
  <si>
    <t>Colis volumineux</t>
  </si>
  <si>
    <t>ID Client</t>
  </si>
  <si>
    <t>PRISE DE RDV : HTTPS://ESSENTIELS-PHARMA.FR/PRISE-DE-RENDEZ-VOUS/LUNDI</t>
  </si>
  <si>
    <t>AU VENDREDI DE 7H A 10H30</t>
  </si>
  <si>
    <t>ESSENTIELS PHARMA</t>
  </si>
  <si>
    <t>1 RUE DE L'ARDELIERE</t>
  </si>
  <si>
    <t>49</t>
  </si>
  <si>
    <t>49070</t>
  </si>
  <si>
    <t>BEAUCOUZE</t>
  </si>
  <si>
    <t>INFLIGHT SALES</t>
  </si>
  <si>
    <t>PARC DES ENTREPRENEURS</t>
  </si>
  <si>
    <t>Livraison sur RV tél, (HT)</t>
  </si>
  <si>
    <t>Mise en lieu d'ut, (HT)</t>
  </si>
  <si>
    <t>Remise d'un BL au desti, (HT)</t>
  </si>
  <si>
    <t>Formalités Douane Imp, (HT)</t>
  </si>
  <si>
    <t>Traitement inform, De douane (HT)</t>
  </si>
  <si>
    <t>Marchandises Dang, ADR (HT)</t>
  </si>
  <si>
    <t>Marchandises Dang, LQEQ (HT)</t>
  </si>
  <si>
    <t>MEI</t>
  </si>
  <si>
    <t>DAP</t>
  </si>
  <si>
    <t>-</t>
  </si>
  <si>
    <t>IT</t>
  </si>
  <si>
    <t>PRENDRE RDV AVEC M. CHADER (RDV OBLIGATOIRE POUR LA LIVRAISON): M. CHA</t>
  </si>
  <si>
    <t>DER TEL+33 (0)6 69 98 42 58E-MAIL : MCHADER@MALONGO.COM</t>
  </si>
  <si>
    <t>CMC MALONGO LOGISTIQUE</t>
  </si>
  <si>
    <t>1ERE AVENUE - 2EME RUE</t>
  </si>
  <si>
    <t>PORTAIL N 2</t>
  </si>
  <si>
    <t>77</t>
  </si>
  <si>
    <t>EQUIPEMENT</t>
  </si>
  <si>
    <t>77090</t>
  </si>
  <si>
    <t>COLLEGIEN</t>
  </si>
  <si>
    <t>RETAIL CONCEPTS NV</t>
  </si>
  <si>
    <t>SMALLANDLAAN 9</t>
  </si>
  <si>
    <t>BE</t>
  </si>
  <si>
    <t>26</t>
  </si>
  <si>
    <t>2660</t>
  </si>
  <si>
    <t>HOBOKEN (ANTWERPEN)</t>
  </si>
  <si>
    <t>ERD</t>
  </si>
  <si>
    <t>NUTRILIQ BY FORENA</t>
  </si>
  <si>
    <t>VLAANDERENLAAN 27</t>
  </si>
  <si>
    <t>89</t>
  </si>
  <si>
    <t>8970</t>
  </si>
  <si>
    <t>POPERINGE</t>
  </si>
  <si>
    <t>EXW</t>
  </si>
  <si>
    <t>91</t>
  </si>
  <si>
    <t>DHYGIETAL</t>
  </si>
  <si>
    <t>1 RUE DE LA NAU DES VIGNES</t>
  </si>
  <si>
    <t>51</t>
  </si>
  <si>
    <t>51520</t>
  </si>
  <si>
    <t>LA VEUVE</t>
  </si>
  <si>
    <t>2757138</t>
  </si>
  <si>
    <t>13400</t>
  </si>
  <si>
    <t>AUBAGNE</t>
  </si>
  <si>
    <t>2026-05-28</t>
  </si>
  <si>
    <t>2763729</t>
  </si>
  <si>
    <t>93847354</t>
  </si>
  <si>
    <t>Coller en valeur la colonne C (Récépissé) et convertir en nombre</t>
  </si>
  <si>
    <t>2502109369</t>
  </si>
  <si>
    <t>2766395</t>
  </si>
  <si>
    <t>94081655</t>
  </si>
  <si>
    <t>2026-06-02</t>
  </si>
  <si>
    <t>2766417</t>
  </si>
  <si>
    <t>94231593</t>
  </si>
  <si>
    <t>2026-06-03</t>
  </si>
  <si>
    <t>CX</t>
  </si>
  <si>
    <t>999941488288</t>
  </si>
  <si>
    <t>2026-06-04</t>
  </si>
  <si>
    <t>JE REVIENS POUR L HEURE DE RDV</t>
  </si>
  <si>
    <t>SAMADA (BÂTIMENT PROLOGIS)</t>
  </si>
  <si>
    <t>1754 AVENUE PAUL DELOUVRIER</t>
  </si>
  <si>
    <t>PARK MOISSY 2 LES CHEVRONS PORTE J</t>
  </si>
  <si>
    <t>77550</t>
  </si>
  <si>
    <t>MOISSY CRAMAYEL</t>
  </si>
  <si>
    <t>000093630935</t>
  </si>
  <si>
    <t>999941536885</t>
  </si>
  <si>
    <t>2026-06-05</t>
  </si>
  <si>
    <t>ENL</t>
  </si>
  <si>
    <t>RESTITUTION D'expédition 000093630935</t>
  </si>
  <si>
    <t>RETOUR CERP RRM</t>
  </si>
  <si>
    <t>Z.A.C. DE L'ANJOLY</t>
  </si>
  <si>
    <t>VOIE D'IRLANDE</t>
  </si>
  <si>
    <t>94320254</t>
  </si>
  <si>
    <t>PARC DES EXPOS PARIS LE BOURGET HALL 4 / CARREFOUR CHARLES LINDBERGH</t>
  </si>
  <si>
    <t>- LIVRAISON AVEC TOP H AVANT 11H + APPELER CONTACT</t>
  </si>
  <si>
    <t>STAND PHARMACIE</t>
  </si>
  <si>
    <t>CARREFOUR CHARLES LINDBERGH</t>
  </si>
  <si>
    <t>93</t>
  </si>
  <si>
    <t>93350</t>
  </si>
  <si>
    <t>LE BOURGET</t>
  </si>
  <si>
    <t>2781238</t>
  </si>
  <si>
    <t>BDC79432</t>
  </si>
  <si>
    <t>94380676</t>
  </si>
  <si>
    <t>2782347</t>
  </si>
  <si>
    <t>94431027</t>
  </si>
  <si>
    <t>2026-06-08</t>
  </si>
  <si>
    <t>2778926</t>
  </si>
  <si>
    <t>94433083</t>
  </si>
  <si>
    <t>N DE COMMANDE : FBC974244 N D'ACCORD DE LIVRAISON : PPS260603020 PRI</t>
  </si>
  <si>
    <t>SE DE RDV: HTTPS://WWW.SHIPT.IO/SLOTIFY/ALLTRICKSBRUYERE / TEL: 013048</t>
  </si>
  <si>
    <t>ALLTRICKS FRANCE</t>
  </si>
  <si>
    <t>10 RUE DE LA BRUYERE</t>
  </si>
  <si>
    <t>AVANIS ALLTRICKS</t>
  </si>
  <si>
    <t>28</t>
  </si>
  <si>
    <t>28200</t>
  </si>
  <si>
    <t>CHATEAUDUN</t>
  </si>
  <si>
    <t>2774798</t>
  </si>
  <si>
    <t>94464606</t>
  </si>
  <si>
    <t>HYD06260008</t>
  </si>
  <si>
    <t>999941517742</t>
  </si>
  <si>
    <t>2026-06-09</t>
  </si>
  <si>
    <t>LIV IMPERATIVE LE 11/06 ENTRE 6 ET 8H00</t>
  </si>
  <si>
    <t>ENTREPÔT SAMADA</t>
  </si>
  <si>
    <t>PARC DU HAUT DE WISSOUS 2</t>
  </si>
  <si>
    <t>CHEMIN DE LA CROIX BRISÉE (QUAI 153</t>
  </si>
  <si>
    <t>91320</t>
  </si>
  <si>
    <t>WISSOUS</t>
  </si>
  <si>
    <t>2777656</t>
  </si>
  <si>
    <t>94291375</t>
  </si>
  <si>
    <t>2026-06-10</t>
  </si>
  <si>
    <t>AFG</t>
  </si>
  <si>
    <t>B2B PHARMA</t>
  </si>
  <si>
    <t>11 RUE DES FONDEURS</t>
  </si>
  <si>
    <t>ENTREPOT TRIGNAC - ZA ALTITUDE</t>
  </si>
  <si>
    <t>44</t>
  </si>
  <si>
    <t>44570</t>
  </si>
  <si>
    <t>TRIGNAC</t>
  </si>
  <si>
    <t>999941565971</t>
  </si>
  <si>
    <t>2026-06-11</t>
  </si>
  <si>
    <t>2792629</t>
  </si>
  <si>
    <t>94806618</t>
  </si>
  <si>
    <t>2026-06-12</t>
  </si>
  <si>
    <t>BDC2026061180462</t>
  </si>
  <si>
    <t>2792712</t>
  </si>
  <si>
    <t>94851743</t>
  </si>
  <si>
    <t>2026-06-15</t>
  </si>
  <si>
    <t>2798843</t>
  </si>
  <si>
    <t>94906944</t>
  </si>
  <si>
    <t>999941668167</t>
  </si>
  <si>
    <t>2026-06-18</t>
  </si>
  <si>
    <t>M&amp;M MILITZER &amp; MÜNCH</t>
  </si>
  <si>
    <t>19 ALLÉE DU CLOS DE CHARMES</t>
  </si>
  <si>
    <t>EXP20260615-2799804</t>
  </si>
  <si>
    <t>440823</t>
  </si>
  <si>
    <t>95104244</t>
  </si>
  <si>
    <t>2805970</t>
  </si>
  <si>
    <t>95191602</t>
  </si>
  <si>
    <t>2026-06-19</t>
  </si>
  <si>
    <t>2806998</t>
  </si>
  <si>
    <t>BDC2026061881351</t>
  </si>
  <si>
    <t>95325743</t>
  </si>
  <si>
    <t>2026-06-23</t>
  </si>
  <si>
    <t>HORAIRE DE LIVRAISON : 08H30-12H00 DU LUNDI AU JEUDI PAS DE LIVRAISON</t>
  </si>
  <si>
    <t>LE VENDREDI.</t>
  </si>
  <si>
    <t>3 RUE DES FRERES THONET</t>
  </si>
  <si>
    <t>2805267</t>
  </si>
  <si>
    <t>95334322</t>
  </si>
  <si>
    <t>2813733</t>
  </si>
  <si>
    <t>95392225</t>
  </si>
  <si>
    <t>EXP20260624-2815943</t>
  </si>
  <si>
    <t>95455892</t>
  </si>
  <si>
    <t>2026-06-24</t>
  </si>
  <si>
    <t>LE TRANSPORTEUR DOIT RESERVER LE CRENEAU DE DECHARGEMENT A L'ENTREPOT</t>
  </si>
  <si>
    <t>SUR LE PORTAIL SUIVANT : HTTPS://I-RS.RIVALTASPED.NET/</t>
  </si>
  <si>
    <t>WAREHOUSE RS 2.0 TORRE GAROFOLI</t>
  </si>
  <si>
    <t>STRADA COMUNALE BOSCO SNC</t>
  </si>
  <si>
    <t>15</t>
  </si>
  <si>
    <t>15057</t>
  </si>
  <si>
    <t>TORTONA</t>
  </si>
  <si>
    <t>999941756837</t>
  </si>
  <si>
    <t>2026-06-25</t>
  </si>
  <si>
    <t>SARL MAJ</t>
  </si>
  <si>
    <t>5 BOULEVARD EIFFEL</t>
  </si>
  <si>
    <t>21600</t>
  </si>
  <si>
    <t>2816095</t>
  </si>
  <si>
    <t>95496289</t>
  </si>
  <si>
    <t>2813873</t>
  </si>
  <si>
    <t>B2B11235</t>
  </si>
  <si>
    <t>95591735</t>
  </si>
  <si>
    <t>2026-06-26</t>
  </si>
  <si>
    <t>2815946</t>
  </si>
  <si>
    <t>95597955</t>
  </si>
  <si>
    <t>DU LUNDI AU VENDREDI DE 08H15-12H00 / 13H00-17H15 CONTACT : SEBASTIEN</t>
  </si>
  <si>
    <t>BLACOT / 0344464397 SEBASTIEN.BLECOT@GIPHAR.NET</t>
  </si>
  <si>
    <t>GROSSISTE/REPART</t>
  </si>
  <si>
    <t>42 RUE HYACINTHE PETIT</t>
  </si>
  <si>
    <t>60</t>
  </si>
  <si>
    <t>60210</t>
  </si>
  <si>
    <t>GRANDVILLIERS</t>
  </si>
  <si>
    <t>2819400</t>
  </si>
  <si>
    <t>95600280</t>
  </si>
  <si>
    <t>DU LUNDI AU VENDREDI 07H30-12H30 CONTACT : STEPHANIE LANNOY / 02413114</t>
  </si>
  <si>
    <t>71 MNAGERRECEPTION.ANG@GIPHAR.NET</t>
  </si>
  <si>
    <t>GIPHAR ANGERS</t>
  </si>
  <si>
    <t>RUE ROLAND MORENO</t>
  </si>
  <si>
    <t>49170</t>
  </si>
  <si>
    <t>ST LEGER DES BOIS</t>
  </si>
  <si>
    <t>BDC-20260624-82069</t>
  </si>
  <si>
    <t>95596160</t>
  </si>
  <si>
    <t>DU LUNDI AU VENDREDI DE 07H30 / 12H30     CONTACT :  CHRISTOPHE THERY</t>
  </si>
  <si>
    <t>/ 0380820745  CHRISTOPHE.THERY@GIPHAR.NET</t>
  </si>
  <si>
    <t>GIPHAR OUGES</t>
  </si>
  <si>
    <t>165 RUE DE L'INNOVATION</t>
  </si>
  <si>
    <t>OUGES</t>
  </si>
  <si>
    <t>2816093</t>
  </si>
  <si>
    <t>95599531</t>
  </si>
  <si>
    <t>DU LUNDI AU VENDREDI DE 7H00 / 12H00 MANAGERRECEPTION.CLL@GIPHAR.NET /</t>
  </si>
  <si>
    <t>PASCALE.COUDEYRAS@GIPHAR.NET</t>
  </si>
  <si>
    <t>GIPHAR CASTELNAU-LE-NEZ</t>
  </si>
  <si>
    <t>96 AV CLEMENT ADER</t>
  </si>
  <si>
    <t>34</t>
  </si>
  <si>
    <t>34170</t>
  </si>
  <si>
    <t>CASTELNAU LE LEZ</t>
  </si>
  <si>
    <t>EXP20260622-2812231</t>
  </si>
  <si>
    <t>95602040</t>
  </si>
  <si>
    <t>SOFIA COSMETIQUES</t>
  </si>
  <si>
    <t>ZI 1ERE AVENUE, 4E RUE</t>
  </si>
  <si>
    <t>2818456</t>
  </si>
  <si>
    <t>BDC2026062582274</t>
  </si>
  <si>
    <t>95686648</t>
  </si>
  <si>
    <t>2026-06-29</t>
  </si>
  <si>
    <t>95732649</t>
  </si>
  <si>
    <t>2026-06-30</t>
  </si>
  <si>
    <t>CELLUSA</t>
  </si>
  <si>
    <t>1 PLACE DE LA LOGISTIQUE</t>
  </si>
  <si>
    <t>SOGARIS-BAT S-Q2</t>
  </si>
  <si>
    <t>94150</t>
  </si>
  <si>
    <t>RUNGIS</t>
  </si>
  <si>
    <t>2813677</t>
  </si>
  <si>
    <t>95756330</t>
  </si>
  <si>
    <t>ENTREPOT SAMADA</t>
  </si>
  <si>
    <t>2 CHEMIN DE LA CROIX BRISEE</t>
  </si>
  <si>
    <t>PARC DU HAUT DE WISSOUS</t>
  </si>
  <si>
    <t>2828727</t>
  </si>
  <si>
    <t>95761019</t>
  </si>
  <si>
    <t>LC2 - LIVRAISON SUR CRENEAU HORAIRE  (HT)</t>
  </si>
  <si>
    <t>LCS - LIVRAISON A HEURE DETERMINEE  (HT)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</si>
</sst>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</font>
    <font>
      <b/>
      <sz val="9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3200E6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23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/>
    <xf numFmtId="0" fontId="0" fillId="5" borderId="0" xfId="0" applyFill="1"/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6" borderId="0" xfId="0" applyFill="1"/>
    <xf numFmtId="49" fontId="5" fillId="4" borderId="1" xfId="0" applyNumberFormat="1" applyFont="1" applyFill="1" applyBorder="1" applyAlignment="1">
      <alignment horizontal="center" vertical="center" wrapText="1"/>
    </xf>
    <xf numFmtId="2" fontId="0" fillId="5" borderId="0" xfId="0" applyNumberFormat="1" applyFill="1"/>
    <xf numFmtId="49" fontId="5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7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14" fontId="0" fillId="8" borderId="0" xfId="0" applyNumberFormat="1" applyFill="1"/>
  </cellXfs>
  <cellStyles count="4">
    <cellStyle name="Normal" xfId="0" builtinId="0"/>
    <cellStyle name="Normal 2" xfId="1" xr:uid="{2CB5442D-3EAD-448F-8F96-6A2708A241CF}"/>
    <cellStyle name="Normal 3" xfId="2" xr:uid="{76853BE5-93B6-4B8A-806C-CB973BE5ADD5}"/>
    <cellStyle name="Normal 4" xfId="3" xr:uid="{E9B580BE-DA32-4667-A359-B3AAB9109D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ëtan BEUTEAU" refreshedDate="46190.470321412038" createdVersion="8" refreshedVersion="8" minRefreshableVersion="3" recordCount="34" xr:uid="{5097A26A-2F92-43CB-8A0B-4C0D9967A0AF}">
  <cacheSource type="worksheet">
    <worksheetSource ref="A1:DD1048576" sheet="Factures Geodis"/>
  </cacheSource>
  <cacheFields count="108">
    <cacheField name="ID Client" numFmtId="0">
      <sharedItems containsString="0" containsBlank="1" containsNumber="1" containsInteger="1" minValue="1" maxValue="9426" count="24">
        <n v="9294"/>
        <n v="3752"/>
        <n v="8656"/>
        <n v="7254"/>
        <n v="361"/>
        <m/>
        <n v="8640"/>
        <n v="3888"/>
        <n v="8041"/>
        <n v="7261" u="1"/>
        <n v="6071" u="1"/>
        <n v="8635" u="1"/>
        <n v="6930" u="1"/>
        <n v="8639" u="1"/>
        <n v="9340" u="1"/>
        <n v="6085" u="1"/>
        <n v="9426" u="1"/>
        <n v="596" u="1"/>
        <n v="2072" u="1"/>
        <n v="9342" u="1"/>
        <n v="7477" u="1"/>
        <n v="1" u="1"/>
        <n v="2" u="1"/>
        <n v="33" u="1"/>
      </sharedItems>
    </cacheField>
    <cacheField name="Coller en valeur la colonne C (Récépissé) et convertir en nombre" numFmtId="0">
      <sharedItems containsString="0" containsBlank="1" containsNumber="1" containsInteger="1" minValue="41123636" maxValue="93884299"/>
    </cacheField>
    <cacheField name="Récépissé" numFmtId="0">
      <sharedItems containsBlank="1"/>
    </cacheField>
    <cacheField name="Total hors GO" numFmtId="0">
      <sharedItems containsString="0" containsBlank="1" containsNumber="1" minValue="0.01" maxValue="920.73"/>
    </cacheField>
    <cacheField name="Total + GO" numFmtId="0">
      <sharedItems containsString="0" containsBlank="1" containsNumber="1" minValue="0.01" maxValue="985"/>
    </cacheField>
    <cacheField name="Droits et taxes" numFmtId="0">
      <sharedItems containsString="0" containsBlank="1" containsNumber="1" containsInteger="1" minValue="0" maxValue="0"/>
    </cacheField>
    <cacheField name="Assurance" numFmtId="0">
      <sharedItems containsString="0" containsBlank="1" containsNumber="1" containsInteger="1" minValue="0" maxValue="0"/>
    </cacheField>
    <cacheField name="Zones éloignées" numFmtId="0">
      <sharedItems containsString="0" containsBlank="1" containsNumber="1" containsInteger="1" minValue="0" maxValue="0"/>
    </cacheField>
    <cacheField name="Colis volumineux" numFmtId="0">
      <sharedItems containsString="0" containsBlank="1" containsNumber="1" containsInteger="1" minValue="0" maxValue="0"/>
    </cacheField>
    <cacheField name="Adresses" numFmtId="0">
      <sharedItems containsString="0" containsBlank="1" containsNumber="1" minValue="0" maxValue="4.1399999999999997"/>
    </cacheField>
    <cacheField name="Frêt" numFmtId="0">
      <sharedItems containsString="0" containsBlank="1" containsNumber="1" minValue="0.01" maxValue="920.73"/>
    </cacheField>
    <cacheField name="Plus value B2C" numFmtId="0">
      <sharedItems containsNonDate="0" containsString="0" containsBlank="1"/>
    </cacheField>
    <cacheField name="Gazole" numFmtId="0">
      <sharedItems containsString="0" containsBlank="1" containsNumber="1" minValue="0" maxValue="104.37"/>
    </cacheField>
    <cacheField name="N° pièce" numFmtId="0">
      <sharedItems containsBlank="1"/>
    </cacheField>
    <cacheField name="Date pièce" numFmtId="0">
      <sharedItems containsNonDate="0" containsDate="1" containsString="0" containsBlank="1" minDate="2026-05-31T00:00:00" maxDate="2026-06-01T00:00:00"/>
    </cacheField>
    <cacheField name="Type de pièce" numFmtId="0">
      <sharedItems containsBlank="1"/>
    </cacheField>
    <cacheField name="Code tiers" numFmtId="0">
      <sharedItems containsBlank="1"/>
    </cacheField>
    <cacheField name="Raison sociale" numFmtId="0">
      <sharedItems containsBlank="1"/>
    </cacheField>
    <cacheField name="Code agence traitante" numFmtId="0">
      <sharedItems containsBlank="1"/>
    </cacheField>
    <cacheField name="Référence 1" numFmtId="0">
      <sharedItems containsBlank="1"/>
    </cacheField>
    <cacheField name="Référence 2" numFmtId="0">
      <sharedItems containsBlank="1"/>
    </cacheField>
    <cacheField name="N° récépissé" numFmtId="0">
      <sharedItems containsBlank="1"/>
    </cacheField>
    <cacheField name="Date récépissé" numFmtId="0">
      <sharedItems containsBlank="1"/>
    </cacheField>
    <cacheField name="Code produit" numFmtId="0">
      <sharedItems containsBlank="1"/>
    </cacheField>
    <cacheField name="Instruction livraison 1" numFmtId="0">
      <sharedItems containsBlank="1"/>
    </cacheField>
    <cacheField name="Instruction livraison 2" numFmtId="0">
      <sharedItems containsBlank="1"/>
    </cacheField>
    <cacheField name="Nom client départ" numFmtId="0">
      <sharedItems containsBlank="1"/>
    </cacheField>
    <cacheField name="Adresse client départ" numFmtId="0">
      <sharedItems containsBlank="1"/>
    </cacheField>
    <cacheField name="Adresse 2 client départ" numFmtId="0">
      <sharedItems containsNonDate="0" containsString="0" containsBlank="1"/>
    </cacheField>
    <cacheField name="Code pays client départ" numFmtId="0">
      <sharedItems containsBlank="1"/>
    </cacheField>
    <cacheField name="Département Client départ" numFmtId="0">
      <sharedItems containsBlank="1"/>
    </cacheField>
    <cacheField name="Code postal Client départ" numFmtId="0">
      <sharedItems containsBlank="1"/>
    </cacheField>
    <cacheField name="Localité client départ" numFmtId="0">
      <sharedItems containsBlank="1"/>
    </cacheField>
    <cacheField name="Nom destinataire" numFmtId="0">
      <sharedItems containsBlank="1"/>
    </cacheField>
    <cacheField name="Adresse destinataire" numFmtId="0">
      <sharedItems containsBlank="1"/>
    </cacheField>
    <cacheField name="Adresse 2 destinataire" numFmtId="0">
      <sharedItems containsBlank="1"/>
    </cacheField>
    <cacheField name="Code pays destinataire" numFmtId="0">
      <sharedItems containsBlank="1"/>
    </cacheField>
    <cacheField name="Code département destinataire" numFmtId="0">
      <sharedItems containsBlank="1"/>
    </cacheField>
    <cacheField name="Code postal destinataire" numFmtId="0">
      <sharedItems containsBlank="1"/>
    </cacheField>
    <cacheField name="Localité destinataire" numFmtId="0">
      <sharedItems containsBlank="1"/>
    </cacheField>
    <cacheField name="Nature de marchandises" numFmtId="0">
      <sharedItems containsBlank="1"/>
    </cacheField>
    <cacheField name="Nb Colis" numFmtId="0">
      <sharedItems containsString="0" containsBlank="1" containsNumber="1" containsInteger="1" minValue="1" maxValue="9"/>
    </cacheField>
    <cacheField name="Poids origine (kg)" numFmtId="0">
      <sharedItems containsString="0" containsBlank="1" containsNumber="1" minValue="2.1" maxValue="2250"/>
    </cacheField>
    <cacheField name="Poids repesé (kg)" numFmtId="0">
      <sharedItems containsString="0" containsBlank="1" containsNumber="1" minValue="4" maxValue="2250"/>
    </cacheField>
    <cacheField name="Volume d'origine (m3)" numFmtId="0">
      <sharedItems containsString="0" containsBlank="1" containsNumber="1" minValue="0" maxValue="1.421"/>
    </cacheField>
    <cacheField name="Volume réel (m3)" numFmtId="0">
      <sharedItems containsString="0" containsBlank="1" containsNumber="1" minValue="0" maxValue="1.421"/>
    </cacheField>
    <cacheField name="Poids et/ou volume déclaré erroné" numFmtId="0">
      <sharedItems containsNonDate="0" containsString="0" containsBlank="1"/>
    </cacheField>
    <cacheField name="Mètres plancher" numFmtId="0">
      <sharedItems containsString="0" containsBlank="1" containsNumber="1" minValue="0" maxValue="3.6"/>
    </cacheField>
    <cacheField name="Nb d'unités" numFmtId="0">
      <sharedItems containsString="0" containsBlank="1" containsNumber="1" containsInteger="1" minValue="0" maxValue="0"/>
    </cacheField>
    <cacheField name="Type d'unités" numFmtId="0">
      <sharedItems containsNonDate="0" containsString="0" containsBlank="1"/>
    </cacheField>
    <cacheField name="Mt HT /EXO Transport" numFmtId="0">
      <sharedItems containsString="0" containsBlank="1" containsNumber="1" minValue="0.01" maxValue="918.13"/>
    </cacheField>
    <cacheField name="Mt HT/EXO Options et autres" numFmtId="0">
      <sharedItems containsString="0" containsBlank="1" containsNumber="1" minValue="3.1" maxValue="13.6"/>
    </cacheField>
    <cacheField name="Mt HT/EXO Total Facturé " numFmtId="0">
      <sharedItems containsString="0" containsBlank="1" containsNumber="1" minValue="0.01" maxValue="918.13"/>
    </cacheField>
    <cacheField name="Surcharge Carburant (HT)" numFmtId="0">
      <sharedItems containsString="0" containsBlank="1" containsNumber="1" minValue="3.78" maxValue="104.37"/>
    </cacheField>
    <cacheField name="Participation Sûreté &amp; Environnement (HT)" numFmtId="0">
      <sharedItems containsString="0" containsBlank="1" containsNumber="1" minValue="2.6" maxValue="2.6"/>
    </cacheField>
    <cacheField name="Montant TVA" numFmtId="0">
      <sharedItems containsString="0" containsBlank="1" containsNumber="1" minValue="0" maxValue="197"/>
    </cacheField>
    <cacheField name="Montant TTC" numFmtId="0">
      <sharedItems containsString="0" containsBlank="1" containsNumber="1" minValue="0.01" maxValue="1182"/>
    </cacheField>
    <cacheField name="Montant Assurance ad valorem (HT)" numFmtId="0">
      <sharedItems containsNonDate="0" containsString="0" containsBlank="1"/>
    </cacheField>
    <cacheField name="Montant valeur assurée" numFmtId="0">
      <sharedItems containsString="0" containsBlank="1" containsNumber="1" containsInteger="1" minValue="0" maxValue="0"/>
    </cacheField>
    <cacheField name="Contre-remboursement (HT)" numFmtId="0">
      <sharedItems containsNonDate="0" containsString="0" containsBlank="1"/>
    </cacheField>
    <cacheField name="Port dû (HT)" numFmtId="0">
      <sharedItems containsNonDate="0" containsString="0" containsBlank="1"/>
    </cacheField>
    <cacheField name="Incoterm" numFmtId="0">
      <sharedItems containsBlank="1"/>
    </cacheField>
    <cacheField name="Course (HT)" numFmtId="0">
      <sharedItems containsNonDate="0" containsString="0" containsBlank="1"/>
    </cacheField>
    <cacheField name="Top H (HT)" numFmtId="0">
      <sharedItems containsNonDate="0" containsString="0" containsBlank="1"/>
    </cacheField>
    <cacheField name="Frais fixes administratifs (HT)" numFmtId="0">
      <sharedItems containsNonDate="0" containsString="0" containsBlank="1"/>
    </cacheField>
    <cacheField name="Enlèvement à blanc (HT)" numFmtId="0">
      <sharedItems containsNonDate="0" containsString="0" containsBlank="1"/>
    </cacheField>
    <cacheField name="Enlèvement extérieur (HT)" numFmtId="0">
      <sharedItems containsNonDate="0" containsString="0" containsBlank="1"/>
    </cacheField>
    <cacheField name="Traitement multi-colis (HT)" numFmtId="0">
      <sharedItems containsNonDate="0" containsString="0" containsBlank="1"/>
    </cacheField>
    <cacheField name="Localités spécifiques (HT)" numFmtId="0">
      <sharedItems containsNonDate="0" containsString="0" containsBlank="1"/>
    </cacheField>
    <cacheField name="Livraison saisonnière (HT)" numFmtId="0">
      <sharedItems containsNonDate="0" containsString="0" containsBlank="1"/>
    </cacheField>
    <cacheField name="Livraison Paris - Région parisienne (HT)" numFmtId="0">
      <sharedItems containsString="0" containsBlank="1" containsNumber="1" minValue="9.9" maxValue="9.9"/>
    </cacheField>
    <cacheField name="Nouvelle présentation (HT)" numFmtId="0">
      <sharedItems containsNonDate="0" containsString="0" containsBlank="1"/>
    </cacheField>
    <cacheField name="Livraison GMS et PF logistiques (HT)" numFmtId="0">
      <sharedItems containsString="0" containsBlank="1" containsNumber="1" minValue="3.1" maxValue="3.1"/>
    </cacheField>
    <cacheField name="Livraison MIN (HT)" numFmtId="0">
      <sharedItems containsNonDate="0" containsString="0" containsBlank="1"/>
    </cacheField>
    <cacheField name="Livraison Transitaire (HT)" numFmtId="0">
      <sharedItems containsNonDate="0" containsString="0" containsBlank="1"/>
    </cacheField>
    <cacheField name="Livraison du particulier (HT)" numFmtId="0">
      <sharedItems containsNonDate="0" containsString="0" containsBlank="1"/>
    </cacheField>
    <cacheField name="Traitement manuel (HT)" numFmtId="0">
      <sharedItems containsNonDate="0" containsString="0" containsBlank="1"/>
    </cacheField>
    <cacheField name="Modification d'écriture (HT)" numFmtId="0">
      <sharedItems containsNonDate="0" containsString="0" containsBlank="1"/>
    </cacheField>
    <cacheField name="Expédition Hors Norme (HT)" numFmtId="0">
      <sharedItems containsNonDate="0" containsString="0" containsBlank="1"/>
    </cacheField>
    <cacheField name="Signature hors tablette (HT)" numFmtId="0">
      <sharedItems containsNonDate="0" containsString="0" containsBlank="1"/>
    </cacheField>
    <cacheField name="Transmission POD (HT)" numFmtId="0">
      <sharedItems containsNonDate="0" containsString="0" containsBlank="1"/>
    </cacheField>
    <cacheField name="Surcharge monétaire (HT)" numFmtId="0">
      <sharedItems containsNonDate="0" containsString="0" containsBlank="1"/>
    </cacheField>
    <cacheField name="Taxe kilométrique Belgique (HT)" numFmtId="0">
      <sharedItems containsString="0" containsBlank="1" containsNumber="1" minValue="0.49" maxValue="4.1399999999999997"/>
    </cacheField>
    <cacheField name="Livraison sur RV tél, (HT)" numFmtId="0">
      <sharedItems containsString="0" containsBlank="1" containsNumber="1" minValue="5.7" maxValue="5.7"/>
    </cacheField>
    <cacheField name="Livraison sur RV web (HT)" numFmtId="0">
      <sharedItems containsNonDate="0" containsString="0" containsBlank="1"/>
    </cacheField>
    <cacheField name="Livraison le samedi (HT)" numFmtId="0">
      <sharedItems containsNonDate="0" containsString="0" containsBlank="1"/>
    </cacheField>
    <cacheField name="Livraison l'après-midi (HT)" numFmtId="0">
      <sharedItems containsNonDate="0" containsString="0" containsBlank="1"/>
    </cacheField>
    <cacheField name="Livraison le matin (HT)" numFmtId="0">
      <sharedItems containsNonDate="0" containsString="0" containsBlank="1"/>
    </cacheField>
    <cacheField name="Livraison à date fixe (HT)" numFmtId="0">
      <sharedItems containsString="0" containsBlank="1" containsNumber="1" minValue="3.7" maxValue="3.7"/>
    </cacheField>
    <cacheField name="Livraison à l'étage (HT)" numFmtId="0">
      <sharedItems containsNonDate="0" containsString="0" containsBlank="1"/>
    </cacheField>
    <cacheField name="Mise en lieu d'ut, (HT)" numFmtId="0">
      <sharedItems containsNonDate="0" containsString="0" containsBlank="1"/>
    </cacheField>
    <cacheField name="Dépotage (HT)" numFmtId="0">
      <sharedItems containsNonDate="0" containsString="0" containsBlank="1"/>
    </cacheField>
    <cacheField name="Echange à la livraison (HT)" numFmtId="0">
      <sharedItems containsNonDate="0" containsString="0" containsBlank="1"/>
    </cacheField>
    <cacheField name="Remise d'un BL au desti, (HT)" numFmtId="0">
      <sharedItems containsNonDate="0" containsString="0" containsBlank="1"/>
    </cacheField>
    <cacheField name="Signature sur BL client (HT)" numFmtId="0">
      <sharedItems containsNonDate="0" containsString="0" containsBlank="1"/>
    </cacheField>
    <cacheField name="Gestion des palettes Europe (HT)" numFmtId="0">
      <sharedItems containsNonDate="0" containsString="0" containsBlank="1"/>
    </cacheField>
    <cacheField name="Formalités Douane Exp (HT)" numFmtId="0">
      <sharedItems containsNonDate="0" containsString="0" containsBlank="1"/>
    </cacheField>
    <cacheField name="Formalités Douane Imp, (HT)" numFmtId="0">
      <sharedItems containsNonDate="0" containsString="0" containsBlank="1"/>
    </cacheField>
    <cacheField name="Traitement inform, De douane (HT)" numFmtId="0">
      <sharedItems containsNonDate="0" containsString="0" containsBlank="1"/>
    </cacheField>
    <cacheField name="Marchandises Dang, ADR (HT)" numFmtId="0">
      <sharedItems containsNonDate="0" containsString="0" containsBlank="1"/>
    </cacheField>
    <cacheField name="Marchandises Dang, LQEQ (HT)" numFmtId="0">
      <sharedItems containsNonDate="0" containsString="0" containsBlank="1"/>
    </cacheField>
    <cacheField name="Suivi de Température (HT)" numFmtId="0">
      <sharedItems containsNonDate="0" containsString="0" containsBlank="1"/>
    </cacheField>
    <cacheField name="Vins &amp; Spiritueux (HT)" numFmtId="0">
      <sharedItems containsNonDate="0" containsString="0" containsBlank="1"/>
    </cacheField>
    <cacheField name="Suivi au colis (HT)" numFmtId="0">
      <sharedItems containsNonDate="0" containsString="0" containsBlank="1"/>
    </cacheField>
    <cacheField name="LVL - LIVRAISON VEHICULE LEGER (HT)" numFmtId="0">
      <sharedItems containsNonDate="0" containsString="0" containsBlank="1"/>
    </cacheField>
    <cacheField name="Total CO2eq (kg)" numFmtId="0">
      <sharedItems containsBlank="1"/>
    </cacheField>
    <cacheField name="Particules (g)" numFmtId="0">
      <sharedItems containsBlank="1"/>
    </cacheField>
    <cacheField name="Poids taxable (kg)" numFmtId="0">
      <sharedItems containsString="0" containsBlank="1" containsNumber="1" containsInteger="1" minValue="5" maxValue="3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205.563229050924" createdVersion="8" refreshedVersion="8" minRefreshableVersion="3" recordCount="36" xr:uid="{5D6428CC-E07D-42EF-9489-599622DC4FE7}">
  <cacheSource type="worksheet">
    <worksheetSource ref="E1:N1048576" sheet="Factures Geodis"/>
  </cacheSource>
  <cacheFields count="10">
    <cacheField name="Total + GO" numFmtId="0">
      <sharedItems containsString="0" containsBlank="1" containsNumber="1" minValue="5.7" maxValue="1223.5099999999998"/>
    </cacheField>
    <cacheField name="Droits et taxes" numFmtId="0">
      <sharedItems containsString="0" containsBlank="1" containsNumber="1" containsInteger="1" minValue="0" maxValue="0"/>
    </cacheField>
    <cacheField name="Assurance" numFmtId="0">
      <sharedItems containsString="0" containsBlank="1" containsNumber="1" containsInteger="1" minValue="0" maxValue="0"/>
    </cacheField>
    <cacheField name="Zones éloignées" numFmtId="0">
      <sharedItems containsString="0" containsBlank="1" containsNumber="1" containsInteger="1" minValue="0" maxValue="0"/>
    </cacheField>
    <cacheField name="Colis volumineux" numFmtId="0">
      <sharedItems containsString="0" containsBlank="1" containsNumber="1" minValue="0" maxValue="9.8000000000000007"/>
    </cacheField>
    <cacheField name="Adresses" numFmtId="0">
      <sharedItems containsString="0" containsBlank="1" containsNumber="1" minValue="0" maxValue="1.87"/>
    </cacheField>
    <cacheField name="Frêt" numFmtId="0">
      <sharedItems containsString="0" containsBlank="1" containsNumber="1" minValue="5.7" maxValue="1045.2199999999998"/>
    </cacheField>
    <cacheField name="Plus value B2C" numFmtId="0">
      <sharedItems containsNonDate="0" containsString="0" containsBlank="1"/>
    </cacheField>
    <cacheField name="Gazole" numFmtId="0">
      <sharedItems containsString="0" containsBlank="1" containsNumber="1" minValue="0" maxValue="178.29"/>
    </cacheField>
    <cacheField name="N° pièce" numFmtId="0">
      <sharedItems containsBlank="1" count="13">
        <s v="2502109369"/>
        <m/>
        <s v="2502108834" u="1"/>
        <s v="2502108327" u="1"/>
        <s v="2502107792" u="1"/>
        <s v="2502107263" u="1"/>
        <s v="2502106755" u="1"/>
        <s v="2502106245" u="1"/>
        <s v="2502105723" u="1"/>
        <s v="2502105191" u="1"/>
        <s v="2502104657" u="1"/>
        <s v="2502103646" u="1"/>
        <s v="2502104137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n v="92302211"/>
    <s v="92302211"/>
    <n v="3.1"/>
    <n v="3.1"/>
    <n v="0"/>
    <n v="0"/>
    <n v="0"/>
    <n v="0"/>
    <n v="0"/>
    <n v="3.1"/>
    <m/>
    <n v="0"/>
    <s v="2502108834"/>
    <d v="2026-05-31T00:00:00"/>
    <s v="F"/>
    <s v="600017"/>
    <s v="LA RUCHE LOGISTIQUE"/>
    <s v="001021"/>
    <s v="2722185"/>
    <m/>
    <s v="92302211"/>
    <s v="2026-04-29"/>
    <s v="MES"/>
    <m/>
    <m/>
    <s v="LA RUCHE LOGISTIQUE"/>
    <s v="VOIE COMMUNALE 4"/>
    <m/>
    <s v="FR"/>
    <s v="21"/>
    <s v="21320"/>
    <s v="CREANCEY"/>
    <s v="IBV3 - AMAZON LIL8"/>
    <s v="1710 RUE DE LA PLAINE"/>
    <m/>
    <s v="FR"/>
    <s v="59"/>
    <s v="59553"/>
    <s v="LAUWIN PLANQUE"/>
    <s v="EQUIPEMENT"/>
    <n v="1"/>
    <n v="230"/>
    <n v="230"/>
    <n v="0"/>
    <n v="0"/>
    <m/>
    <n v="0"/>
    <n v="0"/>
    <m/>
    <m/>
    <n v="3.1"/>
    <n v="3.1"/>
    <m/>
    <m/>
    <n v="0.65"/>
    <n v="3.75"/>
    <m/>
    <n v="0"/>
    <m/>
    <m/>
    <m/>
    <m/>
    <m/>
    <m/>
    <m/>
    <m/>
    <m/>
    <m/>
    <m/>
    <m/>
    <m/>
    <n v="3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n v="230"/>
  </r>
  <r>
    <x v="1"/>
    <n v="92402269"/>
    <s v="92402269"/>
    <n v="5.7"/>
    <n v="5.7"/>
    <n v="0"/>
    <n v="0"/>
    <n v="0"/>
    <n v="0"/>
    <n v="0"/>
    <n v="5.7"/>
    <m/>
    <n v="0"/>
    <s v="2502108834"/>
    <d v="2026-05-31T00:00:00"/>
    <s v="F"/>
    <s v="600017"/>
    <s v="LA RUCHE LOGISTIQUE"/>
    <s v="001021"/>
    <s v="2721687"/>
    <m/>
    <s v="92402269"/>
    <s v="2026-04-29"/>
    <s v="MES"/>
    <m/>
    <m/>
    <s v="LA RUCHE LOGISTIQUE"/>
    <s v="VOIE COMMUNALE 4"/>
    <m/>
    <s v="FR"/>
    <s v="21"/>
    <s v="21320"/>
    <s v="CREANCEY"/>
    <s v="ATIDA OMNIPHAR 07"/>
    <s v="LOT BEL SOULEIL"/>
    <m/>
    <s v="FR"/>
    <s v="31"/>
    <s v="31850"/>
    <s v="MONTRABE"/>
    <s v="EQUIPEMENTS"/>
    <n v="1"/>
    <n v="76.5"/>
    <n v="76.5"/>
    <n v="0"/>
    <n v="0"/>
    <m/>
    <n v="0"/>
    <n v="0"/>
    <m/>
    <m/>
    <n v="5.7"/>
    <n v="5.7"/>
    <m/>
    <m/>
    <n v="1.1399999999999999"/>
    <n v="6.84"/>
    <m/>
    <n v="0"/>
    <m/>
    <m/>
    <m/>
    <m/>
    <m/>
    <m/>
    <m/>
    <m/>
    <m/>
    <m/>
    <m/>
    <m/>
    <m/>
    <m/>
    <m/>
    <m/>
    <m/>
    <m/>
    <m/>
    <m/>
    <m/>
    <m/>
    <m/>
    <m/>
    <n v="5.7"/>
    <m/>
    <m/>
    <m/>
    <m/>
    <m/>
    <m/>
    <m/>
    <m/>
    <m/>
    <m/>
    <m/>
    <m/>
    <m/>
    <m/>
    <m/>
    <m/>
    <m/>
    <m/>
    <m/>
    <m/>
    <m/>
    <s v="-"/>
    <s v="-"/>
    <n v="77"/>
  </r>
  <r>
    <x v="1"/>
    <n v="41123636"/>
    <s v="41123636"/>
    <n v="129.14000000000001"/>
    <n v="138"/>
    <n v="0"/>
    <n v="0"/>
    <n v="0"/>
    <n v="0"/>
    <n v="0"/>
    <n v="129.14000000000001"/>
    <m/>
    <n v="8.86"/>
    <s v="2502108834"/>
    <d v="2026-05-31T00:00:00"/>
    <s v="F"/>
    <s v="600017"/>
    <s v="LA RUCHE LOGISTIQUE"/>
    <s v="001021"/>
    <m/>
    <m/>
    <s v="999941123636"/>
    <s v="2026-05-04"/>
    <s v="AFF"/>
    <s v="LIVRAISON IMPERATIVE LE 06/05"/>
    <m/>
    <s v="LA RUCHE LOGISTIQUE"/>
    <s v="VOIE COMMUNALE 4"/>
    <m/>
    <s v="FR"/>
    <s v="21"/>
    <s v="21320"/>
    <s v="CREANCEY"/>
    <s v="INFLIGHT SALES"/>
    <s v="3 RUE DES FRÈRES THONET"/>
    <s v="PARC DES ENTREPRENEURS"/>
    <s v="FR"/>
    <s v="94"/>
    <s v="94450"/>
    <s v="LIMEIL BREVANNES"/>
    <m/>
    <n v="1"/>
    <n v="301"/>
    <n v="301"/>
    <n v="0"/>
    <n v="0"/>
    <m/>
    <n v="0.4"/>
    <n v="0"/>
    <m/>
    <n v="126.54"/>
    <m/>
    <n v="126.54"/>
    <n v="8.86"/>
    <n v="2.6"/>
    <n v="27.6"/>
    <n v="165.6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m/>
  </r>
  <r>
    <x v="2"/>
    <n v="92533121"/>
    <s v="92533121"/>
    <n v="41.940000000000005"/>
    <n v="48.34"/>
    <n v="0"/>
    <n v="0"/>
    <n v="0"/>
    <n v="0"/>
    <n v="0.49"/>
    <n v="41.45"/>
    <m/>
    <n v="6.4"/>
    <s v="2502108834"/>
    <d v="2026-05-31T00:00:00"/>
    <s v="F"/>
    <s v="600017"/>
    <s v="LA RUCHE LOGISTIQUE"/>
    <s v="001021"/>
    <s v="PO 331087-3"/>
    <m/>
    <s v="92533121"/>
    <s v="2026-05-04"/>
    <s v="MEI"/>
    <s v="LIVRAISON A 8H30"/>
    <m/>
    <s v="LA RUCHE LOGISTIQUE"/>
    <s v="VOIE COMMUNALE 4"/>
    <m/>
    <s v="FR"/>
    <s v="21"/>
    <s v="21320"/>
    <s v="CREANCEY"/>
    <s v="RETAIL CONCEPTS NV"/>
    <s v="SMALLANDLAAN 9"/>
    <m/>
    <s v="BE"/>
    <s v="26"/>
    <s v="2660"/>
    <s v="HOBOKEN (ANTWERPEN)"/>
    <m/>
    <n v="1"/>
    <n v="4"/>
    <n v="4"/>
    <n v="3.5999999999999997E-2"/>
    <n v="3.5999999999999997E-2"/>
    <m/>
    <n v="0"/>
    <n v="0"/>
    <m/>
    <n v="35.15"/>
    <n v="4.1900000000000004"/>
    <n v="39.340000000000003"/>
    <n v="6.4"/>
    <n v="2.6"/>
    <n v="9.67"/>
    <n v="58.01"/>
    <m/>
    <n v="0"/>
    <m/>
    <m/>
    <s v="DAP"/>
    <m/>
    <m/>
    <m/>
    <m/>
    <m/>
    <m/>
    <m/>
    <m/>
    <m/>
    <m/>
    <m/>
    <m/>
    <m/>
    <m/>
    <m/>
    <m/>
    <m/>
    <m/>
    <m/>
    <m/>
    <n v="0.49"/>
    <m/>
    <m/>
    <m/>
    <m/>
    <m/>
    <n v="3.7"/>
    <m/>
    <m/>
    <m/>
    <m/>
    <m/>
    <m/>
    <m/>
    <m/>
    <m/>
    <m/>
    <m/>
    <m/>
    <m/>
    <m/>
    <m/>
    <m/>
    <s v="-"/>
    <s v="-"/>
    <n v="9"/>
  </r>
  <r>
    <x v="3"/>
    <n v="92482476"/>
    <s v="92482476"/>
    <n v="575.76"/>
    <n v="680.13"/>
    <n v="0"/>
    <n v="0"/>
    <n v="0"/>
    <n v="0"/>
    <n v="0"/>
    <n v="575.76"/>
    <m/>
    <n v="104.37"/>
    <s v="2502108834"/>
    <d v="2026-05-31T00:00:00"/>
    <s v="F"/>
    <s v="600017"/>
    <s v="LA RUCHE LOGISTIQUE"/>
    <s v="001021"/>
    <s v="FL2302CST"/>
    <m/>
    <s v="92482476"/>
    <s v="2026-05-04"/>
    <s v="MEI"/>
    <s v="PRISE DE RDV MAIL: CENTRAL-STORES@AVOCA.COM"/>
    <m/>
    <s v="LA RUCHE LOGISTIQUE"/>
    <s v="VOIE COMMUNALE 4"/>
    <m/>
    <s v="FR"/>
    <s v="21"/>
    <s v="21320"/>
    <s v="CREANCEY"/>
    <s v="AVOCA HANDWEAVERS LTD"/>
    <s v="KILMACANOGUE"/>
    <m/>
    <s v="IE"/>
    <s v="A9"/>
    <s v="Y14PF64"/>
    <s v="CO WICKLOW"/>
    <s v="EQUIPEMENTS"/>
    <n v="1"/>
    <n v="110"/>
    <n v="110"/>
    <n v="1.421"/>
    <n v="1.421"/>
    <m/>
    <n v="0"/>
    <n v="0"/>
    <m/>
    <n v="573.16"/>
    <m/>
    <n v="573.16"/>
    <n v="104.37"/>
    <n v="2.6"/>
    <n v="136.02000000000001"/>
    <n v="816.15"/>
    <m/>
    <n v="0"/>
    <m/>
    <m/>
    <s v="DA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n v="360"/>
  </r>
  <r>
    <x v="1"/>
    <n v="41221649"/>
    <s v="41221649"/>
    <n v="343.3"/>
    <n v="367.15000000000003"/>
    <n v="0"/>
    <n v="0"/>
    <n v="0"/>
    <n v="0"/>
    <n v="0"/>
    <n v="343.3"/>
    <m/>
    <n v="23.85"/>
    <s v="2502108834"/>
    <d v="2026-05-31T00:00:00"/>
    <s v="F"/>
    <s v="600017"/>
    <s v="LA RUCHE LOGISTIQUE"/>
    <s v="001021"/>
    <m/>
    <m/>
    <s v="999941221649"/>
    <s v="2026-05-07"/>
    <s v="AFF"/>
    <s v="FRENCH POLYNESIA COMMANDE N° / PURCHASE ORDER NR BDC-20260430-76083"/>
    <m/>
    <s v="LA RUCHE LOGISTIQUE"/>
    <s v="VOIE COMMUNALE 4"/>
    <m/>
    <s v="FR"/>
    <s v="21"/>
    <s v="21320"/>
    <s v="CREANCEY"/>
    <s v="DISTRI PF"/>
    <s v="PARC DU HODE - ZIP 5521 C/O PHOENIX"/>
    <s v="DB SCHNEKER FRANCE"/>
    <s v="FR"/>
    <s v="76"/>
    <s v="76430"/>
    <s v="ST VIGOR D YMONVILLE"/>
    <m/>
    <n v="5"/>
    <n v="1711.5"/>
    <n v="1711.5"/>
    <n v="0"/>
    <n v="0"/>
    <m/>
    <n v="2"/>
    <n v="0"/>
    <m/>
    <n v="340.7"/>
    <m/>
    <n v="340.7"/>
    <n v="23.85"/>
    <n v="2.6"/>
    <n v="73.430000000000007"/>
    <n v="440.5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m/>
  </r>
  <r>
    <x v="2"/>
    <n v="92851559"/>
    <s v="92851559"/>
    <n v="122.11"/>
    <n v="142.44999999999999"/>
    <n v="0"/>
    <n v="0"/>
    <n v="0"/>
    <n v="0"/>
    <n v="4.1399999999999997"/>
    <n v="117.97"/>
    <m/>
    <n v="20.34"/>
    <s v="2502108834"/>
    <d v="2026-05-31T00:00:00"/>
    <s v="F"/>
    <s v="600017"/>
    <s v="LA RUCHE LOGISTIQUE"/>
    <s v="001021"/>
    <s v="PO 331087-2 / PO 331087-3"/>
    <m/>
    <s v="92851559"/>
    <s v="2026-05-07"/>
    <s v="MEI"/>
    <s v="LIVRAISON LE 13/5/26 A 8H30"/>
    <m/>
    <s v="LA RUCHE LOGISTIQUE"/>
    <s v="VOIE COMMUNALE 4"/>
    <m/>
    <s v="FR"/>
    <s v="21"/>
    <s v="21320"/>
    <s v="CREANCEY"/>
    <s v="RETAIL CONCEPTS NV"/>
    <s v="SMALLANDLAAN 9"/>
    <m/>
    <s v="BE"/>
    <s v="26"/>
    <s v="2660"/>
    <s v="HOBOKEN"/>
    <s v="EQUIPEMENTS"/>
    <n v="7"/>
    <n v="112"/>
    <n v="112"/>
    <n v="0.67200000000000004"/>
    <n v="0.67200000000000004"/>
    <m/>
    <n v="0"/>
    <n v="0"/>
    <m/>
    <n v="111.67"/>
    <n v="7.84"/>
    <n v="119.51"/>
    <n v="20.34"/>
    <n v="2.6"/>
    <n v="28.49"/>
    <n v="170.94"/>
    <m/>
    <n v="0"/>
    <m/>
    <m/>
    <s v="DAP"/>
    <m/>
    <m/>
    <m/>
    <m/>
    <m/>
    <m/>
    <m/>
    <m/>
    <m/>
    <m/>
    <m/>
    <m/>
    <m/>
    <m/>
    <m/>
    <m/>
    <m/>
    <m/>
    <m/>
    <m/>
    <n v="4.1399999999999997"/>
    <m/>
    <m/>
    <m/>
    <m/>
    <m/>
    <n v="3.7"/>
    <m/>
    <m/>
    <m/>
    <m/>
    <m/>
    <m/>
    <m/>
    <m/>
    <m/>
    <m/>
    <m/>
    <m/>
    <m/>
    <m/>
    <m/>
    <m/>
    <s v="-"/>
    <s v="-"/>
    <n v="170"/>
  </r>
  <r>
    <x v="0"/>
    <n v="41224482"/>
    <s v="41224482"/>
    <n v="190.68"/>
    <n v="203.85"/>
    <n v="0"/>
    <n v="0"/>
    <n v="0"/>
    <n v="0"/>
    <n v="0"/>
    <n v="190.68"/>
    <m/>
    <n v="13.17"/>
    <s v="2502108834"/>
    <d v="2026-05-31T00:00:00"/>
    <s v="F"/>
    <s v="600017"/>
    <s v="LA RUCHE LOGISTIQUE"/>
    <s v="001021"/>
    <m/>
    <m/>
    <s v="999941224482"/>
    <s v="2026-05-11"/>
    <s v="ERD"/>
    <m/>
    <m/>
    <s v="NUTRILIQ BY FORENA"/>
    <s v="VLAANDERENLAAN 27"/>
    <m/>
    <s v="BE"/>
    <s v="89"/>
    <s v="8970"/>
    <s v="POPERINGE"/>
    <s v="LA RUCHE LOGISTIQUE"/>
    <s v="VOIE COMMUNALE 4"/>
    <m/>
    <s v="FR"/>
    <s v="21"/>
    <s v="21320"/>
    <s v="CREANCEY"/>
    <m/>
    <n v="1"/>
    <n v="103"/>
    <n v="103"/>
    <n v="0"/>
    <n v="0"/>
    <m/>
    <n v="0.4"/>
    <n v="0"/>
    <m/>
    <n v="188.08"/>
    <m/>
    <n v="188.08"/>
    <n v="13.17"/>
    <n v="2.6"/>
    <n v="40.770000000000003"/>
    <n v="244.62"/>
    <m/>
    <n v="0"/>
    <m/>
    <m/>
    <s v="EX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m/>
  </r>
  <r>
    <x v="1"/>
    <n v="41236892"/>
    <s v="41236892"/>
    <n v="135.56"/>
    <n v="144.87"/>
    <n v="0"/>
    <n v="0"/>
    <n v="0"/>
    <n v="0"/>
    <n v="0"/>
    <n v="135.56"/>
    <m/>
    <n v="9.31"/>
    <s v="2502108834"/>
    <d v="2026-05-31T00:00:00"/>
    <s v="F"/>
    <s v="600017"/>
    <s v="LA RUCHE LOGISTIQUE"/>
    <s v="001021"/>
    <m/>
    <m/>
    <s v="999941236892"/>
    <s v="2026-05-11"/>
    <s v="AFF"/>
    <s v="5"/>
    <m/>
    <s v="LA RUCHE LOGISTIQUE"/>
    <s v="VOIE COMMUNALE 4"/>
    <m/>
    <s v="FR"/>
    <s v="21"/>
    <s v="21320"/>
    <s v="CREANCEY"/>
    <s v="INFLIGHT SALES"/>
    <s v="3 RUE DES FRÈRES THONET"/>
    <s v="PARC DES ENTREPRENEURS"/>
    <s v="FR"/>
    <s v="94"/>
    <s v="94450"/>
    <s v="LIMEIL BREVANNES"/>
    <m/>
    <n v="1"/>
    <n v="71"/>
    <n v="71"/>
    <n v="0"/>
    <n v="0"/>
    <m/>
    <n v="0.4"/>
    <n v="0"/>
    <m/>
    <n v="132.96"/>
    <m/>
    <n v="132.96"/>
    <n v="9.31"/>
    <n v="2.6"/>
    <n v="28.97"/>
    <n v="173.84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m/>
  </r>
  <r>
    <x v="1"/>
    <n v="92900908"/>
    <s v="92900908"/>
    <n v="44.31"/>
    <n v="50.870000000000005"/>
    <n v="0"/>
    <n v="0"/>
    <n v="0"/>
    <n v="0"/>
    <n v="0"/>
    <n v="44.31"/>
    <m/>
    <n v="6.56"/>
    <s v="2502108834"/>
    <d v="2026-05-31T00:00:00"/>
    <s v="F"/>
    <s v="600017"/>
    <s v="LA RUCHE LOGISTIQUE"/>
    <s v="001021"/>
    <s v="2735561"/>
    <m/>
    <s v="92900908"/>
    <s v="2026-05-11"/>
    <s v="MES"/>
    <m/>
    <m/>
    <s v="LA RUCHE LOGISTIQUE"/>
    <s v="VOIE COMMUNALE 4"/>
    <m/>
    <s v="FR"/>
    <s v="21"/>
    <s v="21320"/>
    <s v="CREANCEY"/>
    <s v="ATIDA OMNIPHAR 07"/>
    <s v="LOT BEL SOULEIL"/>
    <m/>
    <s v="FR"/>
    <s v="31"/>
    <s v="31850"/>
    <s v="MONTRABE"/>
    <s v="EQUIPEMENTS"/>
    <n v="1"/>
    <n v="35"/>
    <n v="35"/>
    <n v="0"/>
    <n v="0"/>
    <m/>
    <n v="0"/>
    <n v="0"/>
    <m/>
    <n v="36.01"/>
    <n v="5.7"/>
    <n v="41.71"/>
    <n v="6.56"/>
    <n v="2.6"/>
    <n v="10.17"/>
    <n v="61.04"/>
    <m/>
    <n v="0"/>
    <m/>
    <m/>
    <m/>
    <m/>
    <m/>
    <m/>
    <m/>
    <m/>
    <m/>
    <m/>
    <m/>
    <m/>
    <m/>
    <m/>
    <m/>
    <m/>
    <m/>
    <m/>
    <m/>
    <m/>
    <m/>
    <m/>
    <m/>
    <m/>
    <n v="5.7"/>
    <m/>
    <m/>
    <m/>
    <m/>
    <m/>
    <m/>
    <m/>
    <m/>
    <m/>
    <m/>
    <m/>
    <m/>
    <m/>
    <m/>
    <m/>
    <m/>
    <m/>
    <m/>
    <m/>
    <m/>
    <m/>
    <s v="-"/>
    <s v="-"/>
    <n v="35"/>
  </r>
  <r>
    <x v="4"/>
    <n v="92945274"/>
    <s v="92945274"/>
    <n v="123.42"/>
    <n v="144.75"/>
    <n v="0"/>
    <n v="0"/>
    <n v="0"/>
    <n v="0"/>
    <n v="0"/>
    <n v="123.42"/>
    <m/>
    <n v="21.33"/>
    <s v="2502108834"/>
    <d v="2026-05-31T00:00:00"/>
    <s v="F"/>
    <s v="600017"/>
    <s v="LA RUCHE LOGISTIQUE"/>
    <s v="001021"/>
    <s v="2735624"/>
    <m/>
    <s v="92945274"/>
    <s v="2026-05-11"/>
    <s v="MES"/>
    <s v="C/O SIMPPAR 2026, NEZ ONSITE LOGISTICS"/>
    <m/>
    <s v="LA RUCHE LOGISTIQUE"/>
    <s v="VOIE COMMUNALE 4"/>
    <m/>
    <s v="FR"/>
    <s v="21"/>
    <s v="21320"/>
    <s v="CREANCEY"/>
    <s v="CLASQUIN FAIRS &amp; EVENTS"/>
    <s v="1ERE AVENUE"/>
    <s v="NEZ ENTREPOTS MATHEZ"/>
    <s v="FR"/>
    <s v="06"/>
    <s v="06510"/>
    <s v="CARROS"/>
    <s v="EQUIPEMENTS"/>
    <n v="1"/>
    <n v="207"/>
    <n v="207"/>
    <n v="0"/>
    <n v="0"/>
    <m/>
    <n v="0"/>
    <n v="0"/>
    <m/>
    <n v="117.12"/>
    <n v="3.7"/>
    <n v="120.82"/>
    <n v="21.33"/>
    <n v="2.6"/>
    <n v="28.95"/>
    <n v="173.7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n v="3.7"/>
    <m/>
    <m/>
    <m/>
    <m/>
    <m/>
    <m/>
    <m/>
    <m/>
    <m/>
    <m/>
    <m/>
    <m/>
    <m/>
    <m/>
    <m/>
    <m/>
    <s v="-"/>
    <s v="-"/>
    <n v="210"/>
  </r>
  <r>
    <x v="1"/>
    <n v="93049142"/>
    <s v="93049142"/>
    <n v="34.85"/>
    <n v="40.72"/>
    <n v="0"/>
    <n v="0"/>
    <n v="0"/>
    <n v="0"/>
    <n v="0"/>
    <n v="34.85"/>
    <m/>
    <n v="5.87"/>
    <s v="2502108834"/>
    <d v="2026-05-31T00:00:00"/>
    <s v="F"/>
    <s v="600017"/>
    <s v="LA RUCHE LOGISTIQUE"/>
    <s v="001021"/>
    <s v="2735746"/>
    <m/>
    <s v="93049142"/>
    <s v="2026-05-12"/>
    <s v="MES"/>
    <s v="PRISE DE RDV:HTTPS://SHIPT.IO/SLOTIFY/PARCELONTIMELOG/BLISSIM#!/LOCATI"/>
    <s v="ONS/BOOK/LOT.PERPIGNAN@MAZET.FR"/>
    <s v="LA RUCHE LOGISTIQUE"/>
    <s v="VOIE COMMUNALE 4"/>
    <m/>
    <s v="FR"/>
    <s v="21"/>
    <s v="21320"/>
    <s v="CREANCEY"/>
    <s v="BLISSIM"/>
    <s v="10 RUE OLIVIER DE SERRES"/>
    <s v="ETS DE PERPIGNAN MAZET MESSAGERIE"/>
    <s v="FR"/>
    <s v="66"/>
    <s v="66600"/>
    <s v="RIVESALTES"/>
    <s v="EQUIPEMENT"/>
    <n v="3"/>
    <n v="18.2"/>
    <n v="20"/>
    <n v="0"/>
    <n v="0"/>
    <m/>
    <n v="0"/>
    <n v="0"/>
    <m/>
    <n v="32.25"/>
    <m/>
    <n v="32.25"/>
    <n v="5.87"/>
    <n v="2.6"/>
    <n v="8.14"/>
    <n v="48.86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n v="20"/>
  </r>
  <r>
    <x v="1"/>
    <n v="93090146"/>
    <s v="93090146"/>
    <n v="124.89"/>
    <n v="145.36000000000001"/>
    <n v="0"/>
    <n v="0"/>
    <n v="0"/>
    <n v="0"/>
    <n v="0"/>
    <n v="124.89"/>
    <m/>
    <n v="20.47"/>
    <s v="2502108834"/>
    <d v="2026-05-31T00:00:00"/>
    <s v="F"/>
    <s v="600017"/>
    <s v="LA RUCHE LOGISTIQUE"/>
    <s v="001021"/>
    <s v="2725050"/>
    <m/>
    <s v="93090146"/>
    <s v="2026-05-13"/>
    <s v="MES"/>
    <s v="PRISE DE RDV HTTPS://APP.BIGBLUE.CO/PUBLIC/INBOUND/APPOINTMENT/DPGCP2T"/>
    <s v="TIFCUZLVZFOU_OQHIPUKC42UHFIOCBIQZRHO54EGHZ70QWLM="/>
    <s v="LA RUCHE LOGISTIQUE"/>
    <s v="VOIE COMMUNALE 4"/>
    <m/>
    <s v="FR"/>
    <s v="21"/>
    <s v="21320"/>
    <s v="CREANCEY"/>
    <s v="LOG'S TIGERY BIGBLUE TIPS"/>
    <s v="1RUE DE L'ESPACE SCHENGEN"/>
    <s v="BAT E PARC LOG DISTRIPOLE PARIS SUD"/>
    <s v="FR"/>
    <s v="91"/>
    <s v="91250"/>
    <s v="TIGERY"/>
    <s v="EQUIPEMENTS"/>
    <n v="1"/>
    <n v="234.5"/>
    <n v="234.5"/>
    <n v="0"/>
    <n v="0"/>
    <m/>
    <n v="0"/>
    <n v="0"/>
    <m/>
    <n v="112.39"/>
    <n v="9.9"/>
    <n v="122.29"/>
    <n v="20.47"/>
    <n v="2.6"/>
    <n v="29.07"/>
    <n v="174.43"/>
    <m/>
    <n v="0"/>
    <m/>
    <m/>
    <m/>
    <m/>
    <m/>
    <m/>
    <m/>
    <m/>
    <m/>
    <m/>
    <m/>
    <n v="9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n v="240"/>
  </r>
  <r>
    <x v="1"/>
    <n v="93153344"/>
    <s v="93153344"/>
    <n v="33.25"/>
    <n v="37.79"/>
    <n v="0"/>
    <n v="0"/>
    <n v="0"/>
    <n v="0"/>
    <n v="0"/>
    <n v="33.25"/>
    <m/>
    <n v="4.54"/>
    <s v="2502108834"/>
    <d v="2026-05-31T00:00:00"/>
    <s v="F"/>
    <s v="600017"/>
    <s v="LA RUCHE LOGISTIQUE"/>
    <s v="001021"/>
    <s v="2744049"/>
    <s v="BDC77184"/>
    <s v="93153344"/>
    <s v="2026-05-15"/>
    <s v="MES"/>
    <s v="PRISE DE RDV : HTTPS://ESSENTIELS-PHARMA.FR/PRISE-DE-RENDEZ-VOUS/LUNDI"/>
    <s v="AU VENDREDI DE 7H A 10H30"/>
    <s v="LA RUCHE LOGISTIQUE"/>
    <s v="VOIE COMMUNALE 4"/>
    <m/>
    <s v="FR"/>
    <s v="21"/>
    <s v="21320"/>
    <s v="CREANCEY"/>
    <s v="ESSENTIELS PHARMA"/>
    <s v="1 RUE DE L'ARDELIERE"/>
    <m/>
    <s v="FR"/>
    <s v="49"/>
    <s v="49070"/>
    <s v="BEAUCOUZE"/>
    <m/>
    <n v="2"/>
    <n v="15"/>
    <n v="15"/>
    <n v="0"/>
    <n v="0"/>
    <m/>
    <n v="0"/>
    <n v="0"/>
    <m/>
    <n v="24.95"/>
    <n v="5.7"/>
    <n v="30.65"/>
    <n v="4.54"/>
    <n v="2.6"/>
    <n v="7.56"/>
    <n v="45.35"/>
    <m/>
    <n v="0"/>
    <m/>
    <m/>
    <m/>
    <m/>
    <m/>
    <m/>
    <m/>
    <m/>
    <m/>
    <m/>
    <m/>
    <m/>
    <m/>
    <m/>
    <m/>
    <m/>
    <m/>
    <m/>
    <m/>
    <m/>
    <m/>
    <m/>
    <m/>
    <m/>
    <n v="5.7"/>
    <m/>
    <m/>
    <m/>
    <m/>
    <m/>
    <m/>
    <m/>
    <m/>
    <m/>
    <m/>
    <m/>
    <m/>
    <m/>
    <m/>
    <m/>
    <m/>
    <m/>
    <m/>
    <m/>
    <m/>
    <m/>
    <s v="-"/>
    <s v="-"/>
    <n v="15"/>
  </r>
  <r>
    <x v="1"/>
    <n v="93173778"/>
    <s v="93173778"/>
    <n v="123.14"/>
    <n v="144.42000000000002"/>
    <n v="0"/>
    <n v="0"/>
    <n v="0"/>
    <n v="0"/>
    <n v="0"/>
    <n v="123.14"/>
    <m/>
    <n v="21.28"/>
    <s v="2502108834"/>
    <d v="2026-05-31T00:00:00"/>
    <s v="F"/>
    <s v="600017"/>
    <s v="LA RUCHE LOGISTIQUE"/>
    <s v="001021"/>
    <s v="2742213"/>
    <m/>
    <s v="93173778"/>
    <s v="2026-05-15"/>
    <s v="MES"/>
    <m/>
    <m/>
    <s v="LA RUCHE LOGISTIQUE"/>
    <s v="VOIE COMMUNALE 4"/>
    <m/>
    <s v="FR"/>
    <s v="21"/>
    <s v="21320"/>
    <s v="CREANCEY"/>
    <s v="DHYGIETAL"/>
    <s v="1 RUE DE LA NAU DES VIGNES"/>
    <m/>
    <s v="FR"/>
    <s v="51"/>
    <s v="51520"/>
    <s v="LA VEUVE"/>
    <s v="EQUIPEMENT"/>
    <n v="1"/>
    <n v="304"/>
    <n v="304"/>
    <n v="0"/>
    <n v="0"/>
    <m/>
    <n v="0"/>
    <n v="0"/>
    <m/>
    <n v="116.84"/>
    <n v="3.7"/>
    <n v="120.54"/>
    <n v="21.28"/>
    <n v="2.6"/>
    <n v="28.89"/>
    <n v="173.31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n v="3.7"/>
    <m/>
    <m/>
    <m/>
    <m/>
    <m/>
    <m/>
    <m/>
    <m/>
    <m/>
    <m/>
    <m/>
    <m/>
    <m/>
    <m/>
    <m/>
    <m/>
    <s v="-"/>
    <s v="-"/>
    <n v="310"/>
  </r>
  <r>
    <x v="1"/>
    <n v="93174814"/>
    <s v="93174814"/>
    <n v="42.02"/>
    <n v="46.720000000000006"/>
    <n v="0"/>
    <n v="0"/>
    <n v="0"/>
    <n v="0"/>
    <n v="0"/>
    <n v="42.02"/>
    <m/>
    <n v="4.7"/>
    <s v="2502108834"/>
    <d v="2026-05-31T00:00:00"/>
    <s v="F"/>
    <s v="600017"/>
    <s v="LA RUCHE LOGISTIQUE"/>
    <s v="001021"/>
    <s v="2725852"/>
    <m/>
    <s v="93174814"/>
    <s v="2026-05-15"/>
    <s v="MES"/>
    <m/>
    <m/>
    <s v="LA RUCHE LOGISTIQUE"/>
    <s v="VOIE COMMUNALE 4"/>
    <m/>
    <s v="FR"/>
    <s v="21"/>
    <s v="21320"/>
    <s v="CREANCEY"/>
    <s v="ANNETTE K SEINE / HYDRA'RUN"/>
    <s v="PORT DE JAVEL BAS"/>
    <m/>
    <s v="FR"/>
    <s v="75"/>
    <s v="75015"/>
    <s v="PARIS 15"/>
    <s v="EQUIPEMENTS"/>
    <n v="3"/>
    <n v="20"/>
    <n v="20"/>
    <n v="0"/>
    <n v="0"/>
    <m/>
    <n v="0"/>
    <n v="0"/>
    <m/>
    <n v="25.82"/>
    <n v="13.6"/>
    <n v="39.42"/>
    <n v="4.7"/>
    <n v="2.6"/>
    <n v="9.34"/>
    <n v="56.06"/>
    <m/>
    <n v="0"/>
    <m/>
    <m/>
    <m/>
    <m/>
    <m/>
    <m/>
    <m/>
    <m/>
    <m/>
    <m/>
    <m/>
    <n v="9.9"/>
    <m/>
    <m/>
    <m/>
    <m/>
    <m/>
    <m/>
    <m/>
    <m/>
    <m/>
    <m/>
    <m/>
    <m/>
    <m/>
    <m/>
    <m/>
    <m/>
    <m/>
    <n v="3.7"/>
    <m/>
    <m/>
    <m/>
    <m/>
    <m/>
    <m/>
    <m/>
    <m/>
    <m/>
    <m/>
    <m/>
    <m/>
    <m/>
    <m/>
    <m/>
    <m/>
    <s v="-"/>
    <s v="-"/>
    <n v="20"/>
  </r>
  <r>
    <x v="1"/>
    <n v="93204286"/>
    <s v="93204286"/>
    <n v="29.07"/>
    <n v="32.85"/>
    <n v="0"/>
    <n v="0"/>
    <n v="0"/>
    <n v="0"/>
    <n v="0"/>
    <n v="29.07"/>
    <m/>
    <n v="3.78"/>
    <s v="2502108834"/>
    <d v="2026-05-31T00:00:00"/>
    <s v="F"/>
    <s v="600017"/>
    <s v="LA RUCHE LOGISTIQUE"/>
    <s v="001021"/>
    <s v="EXP20260423-2715497"/>
    <s v="BDC2026042375682"/>
    <s v="93204286"/>
    <s v="2026-05-18"/>
    <s v="MES"/>
    <s v="PRISE DE RDV OBLIGATOIRE TEL 0685119484-0631875898- MAIL:C.VALLEE@TRAN"/>
    <s v="SCAN.FR"/>
    <s v="LA RUCHE LOGISTIQUE"/>
    <s v="VOIE COMMUNALE 4"/>
    <m/>
    <s v="FR"/>
    <s v="21"/>
    <s v="21320"/>
    <s v="CREANCEY"/>
    <s v="EASY PARAPHARMACIE"/>
    <s v="DEPOT N  7 1ERE AVENUE"/>
    <s v="TRANSCAN 4789"/>
    <s v="FR"/>
    <s v="06"/>
    <s v="06510"/>
    <s v="CARROS"/>
    <m/>
    <n v="1"/>
    <n v="2.1"/>
    <n v="5"/>
    <n v="0"/>
    <n v="0"/>
    <m/>
    <n v="0"/>
    <n v="0"/>
    <m/>
    <n v="20.77"/>
    <n v="5.7"/>
    <n v="26.47"/>
    <n v="3.78"/>
    <n v="2.6"/>
    <n v="6.57"/>
    <n v="39.42"/>
    <m/>
    <n v="0"/>
    <m/>
    <m/>
    <m/>
    <m/>
    <m/>
    <m/>
    <m/>
    <m/>
    <m/>
    <m/>
    <m/>
    <m/>
    <m/>
    <m/>
    <m/>
    <m/>
    <m/>
    <m/>
    <m/>
    <m/>
    <m/>
    <m/>
    <m/>
    <m/>
    <n v="5.7"/>
    <m/>
    <m/>
    <m/>
    <m/>
    <m/>
    <m/>
    <m/>
    <m/>
    <m/>
    <m/>
    <m/>
    <m/>
    <m/>
    <m/>
    <m/>
    <m/>
    <m/>
    <m/>
    <m/>
    <m/>
    <m/>
    <s v="-"/>
    <s v="-"/>
    <n v="5"/>
  </r>
  <r>
    <x v="1"/>
    <n v="41291444"/>
    <s v="41291444"/>
    <n v="142.6"/>
    <n v="155"/>
    <n v="0"/>
    <n v="0"/>
    <n v="0"/>
    <n v="0"/>
    <n v="0"/>
    <n v="142.6"/>
    <m/>
    <n v="12.4"/>
    <s v="2502108834"/>
    <d v="2026-05-31T00:00:00"/>
    <s v="F"/>
    <s v="600017"/>
    <s v="LA RUCHE LOGISTIQUE"/>
    <s v="001021"/>
    <m/>
    <m/>
    <s v="999941291444"/>
    <s v="2026-05-19"/>
    <s v="AFF"/>
    <s v="MAXI 21/05"/>
    <m/>
    <s v="LA RUCHE LOGISTIQUE"/>
    <s v="VOIE COMMUNALE 4"/>
    <m/>
    <s v="FR"/>
    <s v="21"/>
    <s v="21320"/>
    <s v="CREANCEY"/>
    <s v="UNDERSTAND"/>
    <s v="7TER ET 7BIS ALLÉE DES CARRIÈRES"/>
    <m/>
    <s v="FR"/>
    <s v="77"/>
    <s v="77090"/>
    <s v="COLLEGIEN"/>
    <m/>
    <n v="1"/>
    <n v="61"/>
    <n v="61"/>
    <n v="0"/>
    <n v="0"/>
    <m/>
    <n v="0.4"/>
    <n v="0"/>
    <m/>
    <n v="140"/>
    <m/>
    <n v="140"/>
    <n v="12.4"/>
    <n v="2.6"/>
    <n v="31"/>
    <n v="186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m/>
  </r>
  <r>
    <x v="1"/>
    <n v="93335147"/>
    <s v="93335147"/>
    <n v="23.37"/>
    <n v="27.150000000000002"/>
    <n v="0"/>
    <n v="0"/>
    <n v="0"/>
    <n v="0"/>
    <n v="0"/>
    <n v="23.37"/>
    <m/>
    <n v="3.78"/>
    <s v="2502108834"/>
    <d v="2026-05-31T00:00:00"/>
    <s v="F"/>
    <s v="600017"/>
    <s v="LA RUCHE LOGISTIQUE"/>
    <s v="001021"/>
    <s v="2747510"/>
    <m/>
    <s v="93335147"/>
    <s v="2026-05-19"/>
    <s v="MES"/>
    <s v="PRISE DE RDV OBLIGATOIRE TEL 0685119484-0631875898- MAIL:C.VALLEE@TRAN"/>
    <s v="SCAN.FR"/>
    <s v="LA RUCHE LOGISTIQUE"/>
    <s v="VOIE COMMUNALE 4"/>
    <m/>
    <s v="FR"/>
    <s v="21"/>
    <s v="21320"/>
    <s v="CREANCEY"/>
    <s v="EASY PARAPHARMACIE"/>
    <s v="DEPOT N  7 1ERE AVENUE"/>
    <s v="TRANSCAN 4789"/>
    <s v="FR"/>
    <s v="06"/>
    <s v="06510"/>
    <s v="CARROS"/>
    <s v="EQUIPEMENTS"/>
    <n v="1"/>
    <n v="6.7"/>
    <n v="6.7"/>
    <n v="0"/>
    <n v="0"/>
    <m/>
    <n v="0"/>
    <n v="0"/>
    <m/>
    <n v="20.77"/>
    <m/>
    <n v="20.77"/>
    <n v="3.78"/>
    <n v="2.6"/>
    <n v="5.43"/>
    <n v="32.5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n v="7"/>
  </r>
  <r>
    <x v="1"/>
    <n v="93335363"/>
    <s v="93335363"/>
    <n v="27.19"/>
    <n v="31.67"/>
    <n v="0"/>
    <n v="0"/>
    <n v="0"/>
    <n v="0"/>
    <n v="0"/>
    <n v="27.19"/>
    <m/>
    <n v="4.4800000000000004"/>
    <s v="2502108834"/>
    <d v="2026-05-31T00:00:00"/>
    <s v="F"/>
    <s v="600017"/>
    <s v="LA RUCHE LOGISTIQUE"/>
    <s v="001021"/>
    <s v="2747509"/>
    <m/>
    <s v="93335363"/>
    <s v="2026-05-19"/>
    <s v="MES"/>
    <s v="PRISE DE RDV OBLIGATOIRE TEL 0685119484-0631875898- MAIL:C.VALLEE@TRAN"/>
    <s v="SCAN.FR"/>
    <s v="LA RUCHE LOGISTIQUE"/>
    <s v="VOIE COMMUNALE 4"/>
    <m/>
    <s v="FR"/>
    <s v="21"/>
    <s v="21320"/>
    <s v="CREANCEY"/>
    <s v="EASY PARAPHARMACIE"/>
    <s v="DEPOT N  7 1ERE AVENUE"/>
    <s v="TRANSCAN 4789"/>
    <s v="FR"/>
    <s v="06"/>
    <s v="06510"/>
    <s v="CARROS"/>
    <s v="EQUIPEMENTS"/>
    <n v="1"/>
    <n v="9.1999999999999993"/>
    <n v="10"/>
    <n v="0"/>
    <n v="0"/>
    <m/>
    <n v="0"/>
    <n v="0"/>
    <m/>
    <n v="24.59"/>
    <m/>
    <n v="24.59"/>
    <n v="4.4800000000000004"/>
    <n v="2.6"/>
    <n v="6.34"/>
    <n v="38.01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n v="10"/>
  </r>
  <r>
    <x v="5"/>
    <n v="41378785"/>
    <s v="41378785"/>
    <n v="0.01"/>
    <n v="0.01"/>
    <n v="0"/>
    <n v="0"/>
    <n v="0"/>
    <n v="0"/>
    <n v="0"/>
    <n v="0.01"/>
    <m/>
    <n v="0"/>
    <s v="2502108834"/>
    <d v="2026-05-31T00:00:00"/>
    <s v="F"/>
    <s v="600017"/>
    <s v="LA RUCHE LOGISTIQUE"/>
    <s v="001021"/>
    <m/>
    <m/>
    <s v="999941378785"/>
    <s v="2026-05-22"/>
    <s v="AFF"/>
    <s v="LIV FOULEE"/>
    <m/>
    <s v="LA RUCHE LOGISTIQUE"/>
    <s v="VOIE COMMUNALE 4"/>
    <m/>
    <s v="FR"/>
    <s v="21"/>
    <s v="21320"/>
    <s v="CREANCEY"/>
    <s v="UNDERSTAND"/>
    <s v="7TER ET 7BIS ALLÉE DES CARRIÈRES"/>
    <m/>
    <s v="FR"/>
    <s v="77"/>
    <s v="77090"/>
    <s v="COLLEGIEN"/>
    <m/>
    <n v="1"/>
    <n v="61"/>
    <n v="61"/>
    <n v="0"/>
    <n v="0"/>
    <m/>
    <n v="0.4"/>
    <n v="0"/>
    <m/>
    <n v="0.01"/>
    <m/>
    <n v="0.01"/>
    <m/>
    <m/>
    <n v="0"/>
    <n v="0.01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m/>
  </r>
  <r>
    <x v="1"/>
    <n v="93559522"/>
    <s v="93559522"/>
    <n v="55.33"/>
    <n v="64.929999999999993"/>
    <n v="0"/>
    <n v="0"/>
    <n v="0"/>
    <n v="0"/>
    <n v="0"/>
    <n v="55.33"/>
    <m/>
    <n v="9.6"/>
    <s v="2502108834"/>
    <d v="2026-05-31T00:00:00"/>
    <s v="F"/>
    <s v="600017"/>
    <s v="LA RUCHE LOGISTIQUE"/>
    <s v="001021"/>
    <s v="2751273"/>
    <m/>
    <s v="93559522"/>
    <s v="2026-05-22"/>
    <s v="MES"/>
    <s v="LIVRAISON AVEC PRISE DE RDV OBLIGATOIRE AU 06.81.26.30.89 / LOGISTIQUE"/>
    <s v="FRANCE@REDCARE-PHARMACY.COM"/>
    <s v="LA RUCHE LOGISTIQUE"/>
    <s v="VOIE COMMUNALE 4"/>
    <m/>
    <s v="FR"/>
    <s v="21"/>
    <s v="21320"/>
    <s v="CREANCEY"/>
    <s v="REDCARE PHARMACY"/>
    <s v="4 RUE DU CHAUFFOUR"/>
    <s v="HYGEE SANTE PA DE LA BROYE"/>
    <s v="FR"/>
    <s v="59"/>
    <s v="59710"/>
    <s v="ENNEVELIN"/>
    <s v="EQUIPEMENT"/>
    <n v="1"/>
    <n v="94"/>
    <n v="94"/>
    <n v="0"/>
    <n v="0"/>
    <m/>
    <n v="0"/>
    <n v="0"/>
    <m/>
    <n v="52.73"/>
    <m/>
    <n v="52.73"/>
    <n v="9.6"/>
    <n v="2.6"/>
    <n v="12.99"/>
    <n v="77.92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n v="94"/>
  </r>
  <r>
    <x v="6"/>
    <n v="93570161"/>
    <s v="93570161"/>
    <n v="84.589999999999989"/>
    <n v="97.149999999999991"/>
    <n v="0"/>
    <n v="0"/>
    <n v="0"/>
    <n v="0"/>
    <n v="0"/>
    <n v="84.589999999999989"/>
    <m/>
    <n v="12.56"/>
    <s v="2502108834"/>
    <d v="2026-05-31T00:00:00"/>
    <s v="F"/>
    <s v="600017"/>
    <s v="LA RUCHE LOGISTIQUE"/>
    <s v="001021"/>
    <s v="2756141"/>
    <m/>
    <s v="93570161"/>
    <s v="2026-05-22"/>
    <s v="MES"/>
    <s v="LIVRAISON LE 26/05 AVANT 11H"/>
    <m/>
    <s v="LA RUCHE LOGISTIQUE"/>
    <s v="VOIE COMMUNALE 4"/>
    <m/>
    <s v="FR"/>
    <s v="21"/>
    <s v="21320"/>
    <s v="CREANCEY"/>
    <s v="CARREFOUR FRA031"/>
    <s v="AVENUE DU GENERAL DE GAULLE"/>
    <s v="CCIAL CRETEIL SOLEIL"/>
    <s v="FR"/>
    <s v="94"/>
    <s v="94000"/>
    <s v="CRETEIL"/>
    <s v="EQUIPEMENT"/>
    <n v="6"/>
    <n v="135"/>
    <n v="135"/>
    <n v="0"/>
    <n v="0"/>
    <m/>
    <n v="0"/>
    <n v="0"/>
    <m/>
    <n v="68.989999999999995"/>
    <n v="13"/>
    <n v="81.99"/>
    <n v="12.56"/>
    <n v="2.6"/>
    <n v="19.43"/>
    <n v="116.58"/>
    <m/>
    <n v="0"/>
    <m/>
    <m/>
    <m/>
    <m/>
    <m/>
    <m/>
    <m/>
    <m/>
    <m/>
    <m/>
    <m/>
    <n v="9.9"/>
    <m/>
    <n v="3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n v="140"/>
  </r>
  <r>
    <x v="1"/>
    <n v="93582108"/>
    <s v="93582108"/>
    <n v="70.410000000000011"/>
    <n v="80.280000000000015"/>
    <n v="0"/>
    <n v="0"/>
    <n v="0"/>
    <n v="0"/>
    <n v="0"/>
    <n v="70.410000000000011"/>
    <m/>
    <n v="9.8699999999999992"/>
    <s v="2502108834"/>
    <d v="2026-05-31T00:00:00"/>
    <s v="F"/>
    <s v="600017"/>
    <s v="LA RUCHE LOGISTIQUE"/>
    <s v="001021"/>
    <s v="2756147"/>
    <m/>
    <s v="93582108"/>
    <s v="2026-05-22"/>
    <s v="MES"/>
    <s v="PRISE DE RDV OBLIGATOIRE: 0140872961 / LIVRAISON ENTRE 10H00 ET 12H00"/>
    <m/>
    <s v="LA RUCHE LOGISTIQUE"/>
    <s v="VOIE COMMUNALE 4"/>
    <m/>
    <s v="FR"/>
    <s v="21"/>
    <s v="21320"/>
    <s v="CREANCEY"/>
    <s v="LAGARDERE TRAVEL RETAIL FCE"/>
    <s v="7 RUE JEAN JAURES"/>
    <m/>
    <s v="FR"/>
    <s v="95"/>
    <s v="95670"/>
    <s v="MARLY LA VILLE"/>
    <s v="EQUIPEMENTS"/>
    <n v="1"/>
    <n v="105"/>
    <n v="105"/>
    <n v="0"/>
    <n v="0"/>
    <m/>
    <n v="0"/>
    <n v="0"/>
    <m/>
    <n v="54.21"/>
    <n v="13.6"/>
    <n v="67.81"/>
    <n v="9.8699999999999992"/>
    <n v="2.6"/>
    <n v="16.05"/>
    <n v="96.33"/>
    <m/>
    <n v="0"/>
    <m/>
    <m/>
    <m/>
    <m/>
    <m/>
    <m/>
    <m/>
    <m/>
    <m/>
    <m/>
    <m/>
    <n v="9.9"/>
    <m/>
    <m/>
    <m/>
    <m/>
    <m/>
    <m/>
    <m/>
    <m/>
    <m/>
    <m/>
    <m/>
    <m/>
    <m/>
    <m/>
    <m/>
    <m/>
    <m/>
    <n v="3.7"/>
    <m/>
    <m/>
    <m/>
    <m/>
    <m/>
    <m/>
    <m/>
    <m/>
    <m/>
    <m/>
    <m/>
    <m/>
    <m/>
    <m/>
    <m/>
    <m/>
    <s v="-"/>
    <s v="-"/>
    <n v="110"/>
  </r>
  <r>
    <x v="7"/>
    <n v="41352174"/>
    <s v="41352174"/>
    <n v="920.73"/>
    <n v="985"/>
    <n v="0"/>
    <n v="0"/>
    <n v="0"/>
    <n v="0"/>
    <n v="0"/>
    <n v="920.73"/>
    <m/>
    <n v="64.27"/>
    <s v="2502108834"/>
    <d v="2026-05-31T00:00:00"/>
    <s v="F"/>
    <s v="600017"/>
    <s v="LA RUCHE LOGISTIQUE"/>
    <s v="001021"/>
    <m/>
    <m/>
    <s v="999941352174"/>
    <s v="2026-05-26"/>
    <s v="ERD"/>
    <s v="PRENDRE RDV SINON PAS ACCEPTE SIG. FEDERICO ROBELLO +39 348 2331525 /"/>
    <s v="SIG. DANIELE GANDOLFO +39 347 3593875"/>
    <s v="LA RUCHE LOGISTIQUE"/>
    <s v="VOIE COMMUNALE 4"/>
    <m/>
    <s v="FR"/>
    <s v="21"/>
    <s v="21320"/>
    <s v="CREANCEY"/>
    <s v="H6321 MV EXPLORA III FINCANTIERI YA"/>
    <s v="VIA GIACOMO SOLIMAN 47R"/>
    <s v="GENOVA SESTRI PONENTE GE"/>
    <s v="IT"/>
    <s v="16"/>
    <s v="16154"/>
    <s v="SESTRI PONENTE"/>
    <m/>
    <n v="9"/>
    <n v="2250"/>
    <n v="2250"/>
    <n v="0"/>
    <n v="0"/>
    <m/>
    <n v="3.6"/>
    <n v="0"/>
    <m/>
    <n v="918.13"/>
    <m/>
    <n v="918.13"/>
    <n v="64.27"/>
    <n v="2.6"/>
    <n v="197"/>
    <n v="1182"/>
    <m/>
    <n v="0"/>
    <m/>
    <m/>
    <s v="DAP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m/>
  </r>
  <r>
    <x v="8"/>
    <n v="93624756"/>
    <s v="93624756"/>
    <n v="84.77"/>
    <n v="99.72999999999999"/>
    <n v="0"/>
    <n v="0"/>
    <n v="0"/>
    <n v="0"/>
    <n v="0"/>
    <n v="84.77"/>
    <m/>
    <n v="14.96"/>
    <s v="2502108834"/>
    <d v="2026-05-31T00:00:00"/>
    <s v="F"/>
    <s v="600017"/>
    <s v="LA RUCHE LOGISTIQUE"/>
    <s v="001021"/>
    <s v="2733823"/>
    <m/>
    <s v="93624756"/>
    <s v="2026-05-26"/>
    <s v="MES"/>
    <s v="PRENDRE RDV AVEC M. CHADER (RDV OBLIGATOIRE POUR LA LIVRAISON): M. CHA"/>
    <s v="DER TEL+33 (0)6 69 98 42 58E-MAIL : MCHADER@MALONGO.COM"/>
    <s v="LA RUCHE LOGISTIQUE"/>
    <s v="VOIE COMMUNALE 4"/>
    <m/>
    <s v="FR"/>
    <s v="21"/>
    <s v="21320"/>
    <s v="CREANCEY"/>
    <s v="CMC MALONGO LOGISTIQUE"/>
    <s v="1ERE AVENUE - 2EME RUE"/>
    <s v="PORTAIL N 2"/>
    <s v="FR"/>
    <s v="06"/>
    <s v="06510"/>
    <s v="CARROS"/>
    <s v="EQUIPEMENTS"/>
    <n v="1"/>
    <n v="134.5"/>
    <n v="134.5"/>
    <n v="0"/>
    <n v="0"/>
    <m/>
    <n v="0"/>
    <n v="0"/>
    <m/>
    <n v="82.17"/>
    <m/>
    <n v="82.17"/>
    <n v="14.96"/>
    <n v="2.6"/>
    <n v="19.940000000000001"/>
    <n v="119.67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n v="140"/>
  </r>
  <r>
    <x v="1"/>
    <n v="93628976"/>
    <s v="93628976"/>
    <n v="51.88"/>
    <n v="59.82"/>
    <n v="0"/>
    <n v="0"/>
    <n v="0"/>
    <n v="0"/>
    <n v="0"/>
    <n v="51.88"/>
    <m/>
    <n v="7.94"/>
    <s v="2502108834"/>
    <d v="2026-05-31T00:00:00"/>
    <s v="F"/>
    <s v="600017"/>
    <s v="LA RUCHE LOGISTIQUE"/>
    <s v="001021"/>
    <s v="2754512"/>
    <m/>
    <s v="93628976"/>
    <s v="2026-05-26"/>
    <s v="MES"/>
    <m/>
    <m/>
    <s v="LA RUCHE LOGISTIQUE"/>
    <s v="VOIE COMMUNALE 4"/>
    <m/>
    <s v="FR"/>
    <s v="21"/>
    <s v="21320"/>
    <s v="CREANCEY"/>
    <s v="ATIDA OMNIPHAR 07"/>
    <s v="LOT BEL SOULEIL"/>
    <m/>
    <s v="FR"/>
    <s v="31"/>
    <s v="31850"/>
    <s v="MONTRABE"/>
    <s v="EQUIPEMENTS"/>
    <n v="1"/>
    <n v="50"/>
    <n v="50"/>
    <n v="0"/>
    <n v="0"/>
    <m/>
    <n v="0"/>
    <n v="0"/>
    <m/>
    <n v="43.58"/>
    <n v="5.7"/>
    <n v="49.28"/>
    <n v="7.94"/>
    <n v="2.6"/>
    <n v="11.97"/>
    <n v="71.790000000000006"/>
    <m/>
    <n v="0"/>
    <m/>
    <m/>
    <m/>
    <m/>
    <m/>
    <m/>
    <m/>
    <m/>
    <m/>
    <m/>
    <m/>
    <m/>
    <m/>
    <m/>
    <m/>
    <m/>
    <m/>
    <m/>
    <m/>
    <m/>
    <m/>
    <m/>
    <m/>
    <m/>
    <n v="5.7"/>
    <m/>
    <m/>
    <m/>
    <m/>
    <m/>
    <m/>
    <m/>
    <m/>
    <m/>
    <m/>
    <m/>
    <m/>
    <m/>
    <m/>
    <m/>
    <m/>
    <m/>
    <m/>
    <m/>
    <m/>
    <m/>
    <s v="-"/>
    <s v="-"/>
    <n v="50"/>
  </r>
  <r>
    <x v="1"/>
    <n v="93630935"/>
    <s v="93630935"/>
    <n v="40.110000000000007"/>
    <n v="46.27000000000001"/>
    <n v="0"/>
    <n v="0"/>
    <n v="0"/>
    <n v="0"/>
    <n v="0"/>
    <n v="40.110000000000007"/>
    <m/>
    <n v="6.16"/>
    <s v="2502108834"/>
    <d v="2026-05-31T00:00:00"/>
    <s v="F"/>
    <s v="600017"/>
    <s v="LA RUCHE LOGISTIQUE"/>
    <s v="001021"/>
    <s v="2757138"/>
    <m/>
    <s v="93630935"/>
    <s v="2026-05-26"/>
    <s v="MES"/>
    <s v="LIVRAISON IMPERATIVE LE 01/06 ENTRE 09H00 ET 10H30."/>
    <m/>
    <s v="LA RUCHE LOGISTIQUE"/>
    <s v="VOIE COMMUNALE 4"/>
    <m/>
    <s v="FR"/>
    <s v="21"/>
    <s v="21320"/>
    <s v="CREANCEY"/>
    <s v="CERP RRM"/>
    <s v="55 AV DU PASTRE"/>
    <s v="ZI LES PALUDS"/>
    <s v="FR"/>
    <s v="13"/>
    <s v="13400"/>
    <s v="AUBAGNE"/>
    <s v="EQUIPEMENTS"/>
    <n v="4"/>
    <n v="30"/>
    <n v="30"/>
    <n v="0"/>
    <n v="0"/>
    <m/>
    <n v="0"/>
    <n v="0"/>
    <m/>
    <n v="33.81"/>
    <n v="3.7"/>
    <n v="37.51"/>
    <n v="6.16"/>
    <n v="2.6"/>
    <n v="9.25"/>
    <n v="55.52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n v="3.7"/>
    <m/>
    <m/>
    <m/>
    <m/>
    <m/>
    <m/>
    <m/>
    <m/>
    <m/>
    <m/>
    <m/>
    <m/>
    <m/>
    <m/>
    <m/>
    <m/>
    <s v="-"/>
    <s v="-"/>
    <n v="30"/>
  </r>
  <r>
    <x v="1"/>
    <n v="41418601"/>
    <s v="41418601"/>
    <n v="216.89"/>
    <n v="231.89"/>
    <n v="0"/>
    <n v="0"/>
    <n v="0"/>
    <n v="0"/>
    <n v="0"/>
    <n v="216.89"/>
    <m/>
    <n v="15"/>
    <s v="2502108834"/>
    <d v="2026-05-31T00:00:00"/>
    <s v="F"/>
    <s v="600017"/>
    <s v="LA RUCHE LOGISTIQUE"/>
    <s v="001021"/>
    <m/>
    <m/>
    <s v="999941418601"/>
    <s v="2026-05-28"/>
    <s v="AFF"/>
    <s v="PRENDRE RDV IMPÉRATIVEMENT"/>
    <m/>
    <s v="LA RUCHE LOGISTIQUE"/>
    <s v="VOIE COMMUNALE 4"/>
    <m/>
    <s v="FR"/>
    <s v="21"/>
    <s v="21320"/>
    <s v="CREANCEY"/>
    <s v="CRVM GUADELOUPE"/>
    <s v="P/C BALGUERIE OUTREMER"/>
    <s v="PLPN2 - PORT 5051"/>
    <s v="FR"/>
    <s v="76"/>
    <s v="76430"/>
    <s v="OUDALLE"/>
    <m/>
    <n v="2"/>
    <n v="468"/>
    <n v="468"/>
    <n v="0"/>
    <n v="0"/>
    <m/>
    <n v="0.8"/>
    <n v="0"/>
    <m/>
    <n v="214.29"/>
    <m/>
    <n v="214.29"/>
    <n v="15"/>
    <n v="2.6"/>
    <n v="46.38"/>
    <n v="278.27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m/>
  </r>
  <r>
    <x v="1"/>
    <n v="41419461"/>
    <s v="41419461"/>
    <n v="127.22"/>
    <n v="135.94"/>
    <n v="0"/>
    <n v="0"/>
    <n v="0"/>
    <n v="0"/>
    <n v="0"/>
    <n v="127.22"/>
    <m/>
    <n v="8.7200000000000006"/>
    <s v="2502108834"/>
    <d v="2026-05-31T00:00:00"/>
    <s v="F"/>
    <s v="600017"/>
    <s v="LA RUCHE LOGISTIQUE"/>
    <s v="001021"/>
    <m/>
    <m/>
    <s v="999941419461"/>
    <s v="2026-05-28"/>
    <s v="AFF"/>
    <m/>
    <m/>
    <s v="ESAT HENRI BAILLOT"/>
    <s v="4, RUE COMBE JEAN ROBERT"/>
    <m/>
    <s v="FR"/>
    <s v="21"/>
    <s v="21400"/>
    <s v="CHATILLON SUR SEINE"/>
    <s v="LA RUCHE LOGISTIQUE"/>
    <s v="VOIE COMMUNALE 4"/>
    <m/>
    <s v="FR"/>
    <s v="21"/>
    <s v="21320"/>
    <s v="CREANCEY"/>
    <m/>
    <n v="3"/>
    <n v="600"/>
    <n v="600"/>
    <n v="0"/>
    <n v="0"/>
    <m/>
    <n v="1.2"/>
    <n v="0"/>
    <m/>
    <n v="124.62"/>
    <m/>
    <n v="124.62"/>
    <n v="8.7200000000000006"/>
    <n v="2.6"/>
    <n v="27.18"/>
    <n v="163.12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m/>
  </r>
  <r>
    <x v="5"/>
    <n v="41432449"/>
    <s v="41432449"/>
    <n v="2.6"/>
    <n v="2.6"/>
    <n v="0"/>
    <n v="0"/>
    <n v="0"/>
    <n v="0"/>
    <n v="0"/>
    <n v="2.6"/>
    <m/>
    <n v="0"/>
    <s v="2502108834"/>
    <d v="2026-05-31T00:00:00"/>
    <s v="F"/>
    <s v="600017"/>
    <s v="LA RUCHE LOGISTIQUE"/>
    <s v="001021"/>
    <s v="FRS05260001 2765992 Fré Skincare"/>
    <m/>
    <s v="999941432449"/>
    <s v="2026-05-28"/>
    <s v="COU"/>
    <m/>
    <m/>
    <s v="LA RUCHE LOGISTIQUE"/>
    <s v="VOIE COMMUNALE 4"/>
    <m/>
    <s v="FR"/>
    <s v="21"/>
    <s v="21320"/>
    <s v="CREANCEY"/>
    <s v="SICAF"/>
    <s v="ROUTE DE BAUME DE TRANSIT"/>
    <s v="ZI LA GRÈZE BP69 RÉCEPTION AC"/>
    <s v="FR"/>
    <s v="84"/>
    <s v="84600"/>
    <s v="VALREAS"/>
    <m/>
    <n v="3"/>
    <n v="450"/>
    <n v="450"/>
    <n v="0"/>
    <n v="0"/>
    <m/>
    <n v="0"/>
    <n v="0"/>
    <m/>
    <m/>
    <m/>
    <m/>
    <m/>
    <n v="2.6"/>
    <n v="0.52"/>
    <n v="3.12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m/>
  </r>
  <r>
    <x v="1"/>
    <n v="93847354"/>
    <s v="93847354"/>
    <n v="38.61"/>
    <n v="45.17"/>
    <n v="0"/>
    <n v="0"/>
    <n v="0"/>
    <n v="0"/>
    <n v="0"/>
    <n v="38.61"/>
    <m/>
    <n v="6.56"/>
    <s v="2502108834"/>
    <d v="2026-05-31T00:00:00"/>
    <s v="F"/>
    <s v="600017"/>
    <s v="LA RUCHE LOGISTIQUE"/>
    <s v="001021"/>
    <s v="2763729"/>
    <m/>
    <s v="93847354"/>
    <s v="2026-05-28"/>
    <s v="MES"/>
    <m/>
    <m/>
    <s v="LA RUCHE LOGISTIQUE"/>
    <s v="VOIE COMMUNALE 4"/>
    <m/>
    <s v="FR"/>
    <s v="21"/>
    <s v="21320"/>
    <s v="CREANCEY"/>
    <s v="ATIDA OMNIPHAR 07"/>
    <s v="LOT BEL SOULEIL"/>
    <m/>
    <s v="FR"/>
    <s v="31"/>
    <s v="31850"/>
    <s v="MONTRABE"/>
    <s v="EQUIPEMENTS"/>
    <n v="1"/>
    <n v="32"/>
    <n v="32"/>
    <n v="0"/>
    <n v="0"/>
    <m/>
    <n v="0"/>
    <n v="0"/>
    <m/>
    <n v="36.01"/>
    <m/>
    <n v="36.01"/>
    <n v="6.56"/>
    <n v="2.6"/>
    <n v="9.0299999999999994"/>
    <n v="54.2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-"/>
    <s v="-"/>
    <n v="32"/>
  </r>
  <r>
    <x v="2"/>
    <n v="93884299"/>
    <s v="93884299"/>
    <n v="147.13999999999999"/>
    <n v="172.54999999999998"/>
    <n v="0"/>
    <n v="0"/>
    <n v="0"/>
    <n v="0"/>
    <n v="1.28"/>
    <n v="145.85999999999999"/>
    <m/>
    <n v="25.41"/>
    <s v="2502108834"/>
    <d v="2026-05-31T00:00:00"/>
    <s v="F"/>
    <s v="600017"/>
    <s v="LA RUCHE LOGISTIQUE"/>
    <s v="001021"/>
    <s v="B2B11061"/>
    <m/>
    <s v="93884299"/>
    <s v="2026-05-28"/>
    <s v="EEX"/>
    <s v="LIVRAISON LE 02/06 ENTRE 12H30 ET 16H45"/>
    <m/>
    <s v="LA RUCHE LOGISTIQUE"/>
    <s v="VOIE COMMUNALE 4"/>
    <m/>
    <s v="FR"/>
    <s v="21"/>
    <s v="21320"/>
    <s v="CREANCEY"/>
    <s v="RETAIL CONCEPTS NV"/>
    <s v="SMALLANDLAAN 9"/>
    <m/>
    <s v="BE"/>
    <s v="26"/>
    <s v="2660"/>
    <s v="HOBOKEN (ANTWERPEN)"/>
    <s v="EQUIPEMENTS"/>
    <n v="3"/>
    <n v="49"/>
    <n v="49"/>
    <n v="0.28799999999999998"/>
    <n v="0.28799999999999998"/>
    <m/>
    <n v="0"/>
    <n v="0"/>
    <m/>
    <n v="139.56"/>
    <n v="4.9800000000000004"/>
    <n v="144.54"/>
    <n v="25.41"/>
    <n v="2.6"/>
    <n v="34.51"/>
    <n v="207.06"/>
    <m/>
    <n v="0"/>
    <m/>
    <m/>
    <s v="DAP"/>
    <m/>
    <m/>
    <m/>
    <m/>
    <m/>
    <m/>
    <m/>
    <m/>
    <m/>
    <m/>
    <m/>
    <m/>
    <m/>
    <m/>
    <m/>
    <m/>
    <m/>
    <m/>
    <m/>
    <m/>
    <n v="1.28"/>
    <m/>
    <m/>
    <m/>
    <m/>
    <m/>
    <n v="3.7"/>
    <m/>
    <m/>
    <m/>
    <m/>
    <m/>
    <m/>
    <m/>
    <m/>
    <m/>
    <m/>
    <m/>
    <m/>
    <m/>
    <m/>
    <m/>
    <m/>
    <s v="-"/>
    <s v="-"/>
    <n v="49"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5.7"/>
    <n v="0"/>
    <n v="0"/>
    <n v="0"/>
    <n v="0"/>
    <n v="0"/>
    <n v="5.7"/>
    <m/>
    <n v="0"/>
    <x v="0"/>
  </r>
  <r>
    <n v="54.910000000000004"/>
    <n v="0"/>
    <n v="0"/>
    <n v="0"/>
    <n v="0"/>
    <n v="0"/>
    <n v="48.1"/>
    <m/>
    <n v="6.81"/>
    <x v="0"/>
  </r>
  <r>
    <n v="128.37"/>
    <n v="0"/>
    <n v="0"/>
    <n v="0"/>
    <n v="0"/>
    <n v="0"/>
    <n v="110"/>
    <m/>
    <n v="18.37"/>
    <x v="0"/>
  </r>
  <r>
    <n v="315.85000000000002"/>
    <n v="0"/>
    <n v="0"/>
    <n v="0"/>
    <n v="0"/>
    <n v="0"/>
    <n v="295.36"/>
    <m/>
    <n v="20.49"/>
    <x v="0"/>
  </r>
  <r>
    <n v="66.400000000000006"/>
    <n v="0"/>
    <n v="0"/>
    <n v="0"/>
    <n v="0"/>
    <n v="0"/>
    <n v="57.08"/>
    <m/>
    <n v="9.32"/>
    <x v="0"/>
  </r>
  <r>
    <n v="143.32"/>
    <n v="0"/>
    <n v="0"/>
    <n v="0"/>
    <n v="0"/>
    <n v="0"/>
    <n v="133.9"/>
    <m/>
    <n v="9.42"/>
    <x v="0"/>
  </r>
  <r>
    <n v="113.27"/>
    <n v="0"/>
    <n v="0"/>
    <n v="0"/>
    <n v="0"/>
    <n v="0"/>
    <n v="97.94"/>
    <m/>
    <n v="15.33"/>
    <x v="0"/>
  </r>
  <r>
    <n v="46.06"/>
    <n v="0"/>
    <n v="0"/>
    <n v="0"/>
    <n v="0"/>
    <n v="0"/>
    <n v="40.550000000000004"/>
    <m/>
    <n v="5.51"/>
    <x v="0"/>
  </r>
  <r>
    <n v="29.21"/>
    <n v="0"/>
    <n v="0"/>
    <n v="0"/>
    <n v="0"/>
    <n v="0"/>
    <n v="26.16"/>
    <m/>
    <n v="3.05"/>
    <x v="0"/>
  </r>
  <r>
    <n v="48.2"/>
    <n v="0"/>
    <n v="0"/>
    <n v="0"/>
    <n v="0"/>
    <n v="0"/>
    <n v="41.54"/>
    <m/>
    <n v="6.66"/>
    <x v="0"/>
  </r>
  <r>
    <n v="131.56"/>
    <n v="0"/>
    <n v="0"/>
    <n v="0"/>
    <n v="0"/>
    <n v="0"/>
    <n v="123.11999999999999"/>
    <m/>
    <n v="8.44"/>
    <x v="0"/>
  </r>
  <r>
    <n v="163.57"/>
    <n v="0"/>
    <n v="0"/>
    <n v="0"/>
    <n v="0"/>
    <n v="0"/>
    <n v="140.06"/>
    <m/>
    <n v="23.51"/>
    <x v="0"/>
  </r>
  <r>
    <n v="465.91"/>
    <n v="0"/>
    <n v="0"/>
    <n v="0"/>
    <n v="0"/>
    <n v="0"/>
    <n v="435.6"/>
    <m/>
    <n v="30.31"/>
    <x v="0"/>
  </r>
  <r>
    <n v="59.010000000000005"/>
    <n v="0"/>
    <n v="0"/>
    <n v="0"/>
    <n v="9.8000000000000007"/>
    <n v="0"/>
    <n v="42.4"/>
    <m/>
    <n v="6.81"/>
    <x v="0"/>
  </r>
  <r>
    <n v="82.4"/>
    <n v="0"/>
    <n v="0"/>
    <n v="0"/>
    <n v="0"/>
    <n v="0"/>
    <n v="71.58"/>
    <m/>
    <n v="10.82"/>
    <x v="0"/>
  </r>
  <r>
    <n v="417.25"/>
    <n v="0"/>
    <n v="0"/>
    <n v="0"/>
    <n v="0"/>
    <n v="0"/>
    <n v="377.86"/>
    <m/>
    <n v="39.39"/>
    <x v="0"/>
  </r>
  <r>
    <n v="241.35"/>
    <n v="0"/>
    <n v="0"/>
    <n v="0"/>
    <n v="0"/>
    <n v="0"/>
    <n v="225.73"/>
    <m/>
    <n v="15.62"/>
    <x v="0"/>
  </r>
  <r>
    <n v="92.5"/>
    <n v="0"/>
    <n v="0"/>
    <n v="0"/>
    <n v="0"/>
    <n v="0"/>
    <n v="83.11"/>
    <m/>
    <n v="9.39"/>
    <x v="0"/>
  </r>
  <r>
    <n v="40.36"/>
    <n v="0"/>
    <n v="0"/>
    <n v="0"/>
    <n v="0"/>
    <n v="0"/>
    <n v="34.85"/>
    <m/>
    <n v="5.51"/>
    <x v="0"/>
  </r>
  <r>
    <n v="102.76"/>
    <n v="0"/>
    <n v="0"/>
    <n v="0"/>
    <n v="0"/>
    <n v="0"/>
    <n v="90.12"/>
    <m/>
    <n v="12.64"/>
    <x v="0"/>
  </r>
  <r>
    <n v="85.45"/>
    <n v="0"/>
    <n v="0"/>
    <n v="0"/>
    <n v="0"/>
    <n v="0"/>
    <n v="75.34"/>
    <m/>
    <n v="10.11"/>
    <x v="0"/>
  </r>
  <r>
    <n v="54.910000000000004"/>
    <n v="0"/>
    <n v="0"/>
    <n v="0"/>
    <n v="0"/>
    <n v="0"/>
    <n v="48.1"/>
    <m/>
    <n v="6.81"/>
    <x v="0"/>
  </r>
  <r>
    <n v="341.52000000000004"/>
    <n v="0"/>
    <n v="0"/>
    <n v="0"/>
    <n v="9.8000000000000007"/>
    <n v="0"/>
    <n v="283.66000000000003"/>
    <m/>
    <n v="48.06"/>
    <x v="0"/>
  </r>
  <r>
    <n v="260.86"/>
    <n v="0"/>
    <n v="0"/>
    <n v="0"/>
    <n v="0"/>
    <n v="0"/>
    <n v="243.96"/>
    <m/>
    <n v="16.899999999999999"/>
    <x v="0"/>
  </r>
  <r>
    <n v="70.210000000000008"/>
    <n v="0"/>
    <n v="0"/>
    <n v="0"/>
    <n v="0"/>
    <n v="0"/>
    <n v="61.78"/>
    <m/>
    <n v="8.43"/>
    <x v="0"/>
  </r>
  <r>
    <n v="86.990000000000009"/>
    <n v="0"/>
    <n v="0"/>
    <n v="0"/>
    <n v="0"/>
    <n v="1.87"/>
    <n v="73.61"/>
    <m/>
    <n v="11.51"/>
    <x v="0"/>
  </r>
  <r>
    <n v="206.26"/>
    <n v="0"/>
    <n v="0"/>
    <n v="0"/>
    <n v="0"/>
    <n v="0"/>
    <n v="176.51999999999998"/>
    <m/>
    <n v="29.74"/>
    <x v="0"/>
  </r>
  <r>
    <n v="1223.5099999999998"/>
    <n v="0"/>
    <n v="0"/>
    <n v="0"/>
    <n v="0"/>
    <n v="0"/>
    <n v="1045.2199999999998"/>
    <m/>
    <n v="178.29"/>
    <x v="0"/>
  </r>
  <r>
    <n v="50.010000000000005"/>
    <n v="0"/>
    <n v="0"/>
    <n v="0"/>
    <n v="0"/>
    <n v="0"/>
    <n v="43.09"/>
    <m/>
    <n v="6.92"/>
    <x v="0"/>
  </r>
  <r>
    <n v="678.68"/>
    <n v="0"/>
    <n v="0"/>
    <n v="0"/>
    <n v="0"/>
    <n v="0"/>
    <n v="604.04999999999995"/>
    <m/>
    <n v="74.63"/>
    <x v="0"/>
  </r>
  <r>
    <n v="77.03"/>
    <n v="0"/>
    <n v="0"/>
    <n v="0"/>
    <n v="0"/>
    <n v="0"/>
    <n v="66.989999999999995"/>
    <m/>
    <n v="10.039999999999999"/>
    <x v="0"/>
  </r>
  <r>
    <n v="53.44"/>
    <n v="0"/>
    <n v="0"/>
    <n v="0"/>
    <n v="0"/>
    <n v="0"/>
    <n v="46.85"/>
    <m/>
    <n v="6.59"/>
    <x v="0"/>
  </r>
  <r>
    <n v="44.120000000000005"/>
    <n v="0"/>
    <n v="0"/>
    <n v="0"/>
    <n v="0"/>
    <n v="0"/>
    <n v="40.160000000000004"/>
    <m/>
    <n v="3.96"/>
    <x v="0"/>
  </r>
  <r>
    <n v="427.72999999999996"/>
    <n v="0"/>
    <n v="0"/>
    <n v="0"/>
    <n v="0"/>
    <n v="0"/>
    <n v="391.91999999999996"/>
    <m/>
    <n v="35.81"/>
    <x v="0"/>
  </r>
  <r>
    <n v="44.769999999999996"/>
    <n v="0"/>
    <n v="0"/>
    <n v="0"/>
    <n v="0"/>
    <n v="0"/>
    <n v="38.61"/>
    <m/>
    <n v="6.16"/>
    <x v="0"/>
  </r>
  <r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71360-34CF-47F5-AB2B-6395D1D6889F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5:B8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m="1" x="11"/>
        <item m="1" x="12"/>
        <item x="1"/>
        <item n="2502105191" m="1" x="10"/>
        <item n="25021051912" m="1" x="9"/>
        <item m="1" x="8"/>
        <item m="1" x="7"/>
        <item m="1" x="6"/>
        <item m="1" x="5"/>
        <item m="1" x="4"/>
        <item m="1" x="3"/>
        <item m="1" x="2"/>
        <item x="0"/>
        <item t="default"/>
      </items>
    </pivotField>
  </pivotFields>
  <rowFields count="1">
    <field x="9"/>
  </rowFields>
  <rowItems count="3">
    <i>
      <x v="2"/>
    </i>
    <i>
      <x v="12"/>
    </i>
    <i t="grand">
      <x/>
    </i>
  </rowItems>
  <colItems count="1">
    <i/>
  </colItems>
  <dataFields count="1">
    <dataField name="Somme de Total + GO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934B5-4D1A-4CD7-9EA1-1B5D9A81F54B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3" firstHeaderRow="1" firstDataRow="1" firstDataCol="1"/>
  <pivotFields count="108">
    <pivotField axis="axisRow" showAll="0">
      <items count="25">
        <item x="5"/>
        <item m="1" x="21"/>
        <item m="1" x="22"/>
        <item m="1" x="23"/>
        <item x="1"/>
        <item m="1" x="13"/>
        <item m="1" x="18"/>
        <item m="1" x="19"/>
        <item m="1" x="20"/>
        <item x="7"/>
        <item x="6"/>
        <item x="0"/>
        <item x="3"/>
        <item m="1" x="14"/>
        <item m="1" x="10"/>
        <item x="2"/>
        <item m="1" x="15"/>
        <item m="1" x="12"/>
        <item x="8"/>
        <item m="1" x="16"/>
        <item m="1" x="17"/>
        <item m="1" x="9"/>
        <item m="1" x="11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4"/>
    </i>
    <i>
      <x v="9"/>
    </i>
    <i>
      <x v="10"/>
    </i>
    <i>
      <x v="11"/>
    </i>
    <i>
      <x v="12"/>
    </i>
    <i>
      <x v="15"/>
    </i>
    <i>
      <x v="18"/>
    </i>
    <i>
      <x v="23"/>
    </i>
    <i t="grand">
      <x/>
    </i>
  </rowItems>
  <colItems count="1">
    <i/>
  </colItems>
  <dataFields count="1">
    <dataField name="Somme de Total + G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1D50-D357-4643-B83C-33A31637B5AA}">
  <dimension ref="A1:DE36"/>
  <sheetViews>
    <sheetView tabSelected="1" workbookViewId="0">
      <selection activeCell="N7" sqref="N7"/>
    </sheetView>
  </sheetViews>
  <sheetFormatPr baseColWidth="10" defaultRowHeight="15" x14ac:dyDescent="0.25"/>
  <cols>
    <col min="1" max="1" width="11.42578125" style="3"/>
    <col min="2" max="2" width="15.28515625" style="3" customWidth="1"/>
    <col min="3" max="3" width="11.42578125" style="8"/>
    <col min="4" max="4" width="13" style="3" bestFit="1" customWidth="1"/>
    <col min="5" max="5" width="15.85546875" style="3" customWidth="1"/>
    <col min="6" max="6" width="13" style="8" customWidth="1"/>
    <col min="7" max="7" width="13.7109375" style="8" bestFit="1" customWidth="1"/>
    <col min="8" max="10" width="13" style="8" customWidth="1"/>
    <col min="11" max="11" width="9.5703125" style="8" bestFit="1" customWidth="1"/>
    <col min="12" max="13" width="11.42578125" style="8"/>
    <col min="15" max="15" width="15.5703125" style="2" bestFit="1" customWidth="1"/>
    <col min="22" max="22" width="16" style="12" bestFit="1" customWidth="1"/>
    <col min="35" max="35" width="34.5703125" bestFit="1" customWidth="1"/>
  </cols>
  <sheetData>
    <row r="1" spans="1:109" s="9" customFormat="1" ht="23.25" customHeight="1" x14ac:dyDescent="0.25">
      <c r="A1" s="11" t="s">
        <v>164</v>
      </c>
      <c r="B1" s="20" t="s">
        <v>219</v>
      </c>
      <c r="C1" s="10" t="s">
        <v>61</v>
      </c>
      <c r="D1" s="11" t="s">
        <v>126</v>
      </c>
      <c r="E1" s="11" t="s">
        <v>124</v>
      </c>
      <c r="F1" s="10" t="s">
        <v>157</v>
      </c>
      <c r="G1" s="10" t="s">
        <v>158</v>
      </c>
      <c r="H1" s="10" t="s">
        <v>159</v>
      </c>
      <c r="I1" s="10" t="s">
        <v>163</v>
      </c>
      <c r="J1" s="10" t="s">
        <v>160</v>
      </c>
      <c r="K1" s="10" t="s">
        <v>161</v>
      </c>
      <c r="L1" s="10" t="s">
        <v>162</v>
      </c>
      <c r="M1" s="10" t="s">
        <v>21</v>
      </c>
      <c r="N1" s="13" t="s">
        <v>62</v>
      </c>
      <c r="O1" s="13" t="s">
        <v>63</v>
      </c>
      <c r="P1" s="13" t="s">
        <v>64</v>
      </c>
      <c r="Q1" s="13" t="s">
        <v>65</v>
      </c>
      <c r="R1" s="13" t="s">
        <v>25</v>
      </c>
      <c r="S1" s="13" t="s">
        <v>23</v>
      </c>
      <c r="T1" s="13" t="s">
        <v>27</v>
      </c>
      <c r="U1" s="13" t="s">
        <v>28</v>
      </c>
      <c r="V1" s="15" t="s">
        <v>24</v>
      </c>
      <c r="W1" s="13" t="s">
        <v>26</v>
      </c>
      <c r="X1" s="13" t="s">
        <v>66</v>
      </c>
      <c r="Y1" s="13" t="s">
        <v>67</v>
      </c>
      <c r="Z1" s="13" t="s">
        <v>68</v>
      </c>
      <c r="AA1" s="13" t="s">
        <v>29</v>
      </c>
      <c r="AB1" s="13" t="s">
        <v>30</v>
      </c>
      <c r="AC1" s="13" t="s">
        <v>31</v>
      </c>
      <c r="AD1" s="13" t="s">
        <v>32</v>
      </c>
      <c r="AE1" s="13" t="s">
        <v>33</v>
      </c>
      <c r="AF1" s="13" t="s">
        <v>34</v>
      </c>
      <c r="AG1" s="13" t="s">
        <v>35</v>
      </c>
      <c r="AH1" s="13" t="s">
        <v>36</v>
      </c>
      <c r="AI1" s="13" t="s">
        <v>37</v>
      </c>
      <c r="AJ1" s="13" t="s">
        <v>38</v>
      </c>
      <c r="AK1" s="13" t="s">
        <v>39</v>
      </c>
      <c r="AL1" s="13" t="s">
        <v>40</v>
      </c>
      <c r="AM1" s="13" t="s">
        <v>41</v>
      </c>
      <c r="AN1" s="13" t="s">
        <v>42</v>
      </c>
      <c r="AO1" s="13" t="s">
        <v>69</v>
      </c>
      <c r="AP1" s="13" t="s">
        <v>43</v>
      </c>
      <c r="AQ1" s="13" t="s">
        <v>70</v>
      </c>
      <c r="AR1" s="13" t="s">
        <v>71</v>
      </c>
      <c r="AS1" s="13" t="s">
        <v>72</v>
      </c>
      <c r="AT1" s="13" t="s">
        <v>73</v>
      </c>
      <c r="AU1" s="13" t="s">
        <v>74</v>
      </c>
      <c r="AV1" s="13" t="s">
        <v>44</v>
      </c>
      <c r="AW1" s="13" t="s">
        <v>45</v>
      </c>
      <c r="AX1" s="13" t="s">
        <v>46</v>
      </c>
      <c r="AY1" s="13" t="s">
        <v>47</v>
      </c>
      <c r="AZ1" s="13" t="s">
        <v>48</v>
      </c>
      <c r="BA1" s="13" t="s">
        <v>49</v>
      </c>
      <c r="BB1" s="13" t="s">
        <v>75</v>
      </c>
      <c r="BC1" s="13" t="s">
        <v>76</v>
      </c>
      <c r="BD1" s="13" t="s">
        <v>50</v>
      </c>
      <c r="BE1" s="13" t="s">
        <v>51</v>
      </c>
      <c r="BF1" s="13" t="s">
        <v>77</v>
      </c>
      <c r="BG1" s="13" t="s">
        <v>78</v>
      </c>
      <c r="BH1" s="13" t="s">
        <v>79</v>
      </c>
      <c r="BI1" s="13" t="s">
        <v>80</v>
      </c>
      <c r="BJ1" s="13" t="s">
        <v>52</v>
      </c>
      <c r="BK1" s="13" t="s">
        <v>81</v>
      </c>
      <c r="BL1" s="13" t="s">
        <v>82</v>
      </c>
      <c r="BM1" s="13" t="s">
        <v>83</v>
      </c>
      <c r="BN1" s="13" t="s">
        <v>84</v>
      </c>
      <c r="BO1" s="13" t="s">
        <v>85</v>
      </c>
      <c r="BP1" s="13" t="s">
        <v>86</v>
      </c>
      <c r="BQ1" s="13" t="s">
        <v>87</v>
      </c>
      <c r="BR1" s="13" t="s">
        <v>88</v>
      </c>
      <c r="BS1" s="13" t="s">
        <v>89</v>
      </c>
      <c r="BT1" s="13" t="s">
        <v>90</v>
      </c>
      <c r="BU1" s="13" t="s">
        <v>91</v>
      </c>
      <c r="BV1" s="13" t="s">
        <v>92</v>
      </c>
      <c r="BW1" s="13" t="s">
        <v>93</v>
      </c>
      <c r="BX1" s="13" t="s">
        <v>94</v>
      </c>
      <c r="BY1" s="13" t="s">
        <v>95</v>
      </c>
      <c r="BZ1" s="13" t="s">
        <v>96</v>
      </c>
      <c r="CA1" s="13" t="s">
        <v>97</v>
      </c>
      <c r="CB1" s="13" t="s">
        <v>98</v>
      </c>
      <c r="CC1" s="13" t="s">
        <v>99</v>
      </c>
      <c r="CD1" s="13" t="s">
        <v>100</v>
      </c>
      <c r="CE1" s="13" t="s">
        <v>101</v>
      </c>
      <c r="CF1" s="13" t="s">
        <v>174</v>
      </c>
      <c r="CG1" s="13" t="s">
        <v>102</v>
      </c>
      <c r="CH1" s="13" t="s">
        <v>103</v>
      </c>
      <c r="CI1" s="13" t="s">
        <v>104</v>
      </c>
      <c r="CJ1" s="13" t="s">
        <v>105</v>
      </c>
      <c r="CK1" s="13" t="s">
        <v>106</v>
      </c>
      <c r="CL1" s="13" t="s">
        <v>107</v>
      </c>
      <c r="CM1" s="13" t="s">
        <v>175</v>
      </c>
      <c r="CN1" s="13" t="s">
        <v>108</v>
      </c>
      <c r="CO1" s="13" t="s">
        <v>109</v>
      </c>
      <c r="CP1" s="13" t="s">
        <v>176</v>
      </c>
      <c r="CQ1" s="13" t="s">
        <v>110</v>
      </c>
      <c r="CR1" s="13" t="s">
        <v>111</v>
      </c>
      <c r="CS1" s="13" t="s">
        <v>112</v>
      </c>
      <c r="CT1" s="13" t="s">
        <v>177</v>
      </c>
      <c r="CU1" s="13" t="s">
        <v>178</v>
      </c>
      <c r="CV1" s="13" t="s">
        <v>179</v>
      </c>
      <c r="CW1" s="13" t="s">
        <v>180</v>
      </c>
      <c r="CX1" s="13" t="s">
        <v>113</v>
      </c>
      <c r="CY1" s="13" t="s">
        <v>114</v>
      </c>
      <c r="CZ1" s="13" t="s">
        <v>115</v>
      </c>
      <c r="DA1" s="21" t="s">
        <v>397</v>
      </c>
      <c r="DB1" s="21" t="s">
        <v>398</v>
      </c>
      <c r="DC1" s="21" t="s">
        <v>116</v>
      </c>
      <c r="DD1" s="21" t="s">
        <v>117</v>
      </c>
      <c r="DE1" s="21" t="s">
        <v>118</v>
      </c>
    </row>
    <row r="2" spans="1:109" x14ac:dyDescent="0.25">
      <c r="C2" s="8" t="str">
        <f>RIGHT(V2,8)</f>
        <v>93847354</v>
      </c>
      <c r="D2" s="3">
        <f t="shared" ref="D2:D36" si="0">SUM(F2:L2)</f>
        <v>5.7</v>
      </c>
      <c r="E2" s="3">
        <f t="shared" ref="E2:E36" si="1">D2+M2</f>
        <v>5.7</v>
      </c>
      <c r="F2" s="8">
        <f>CS2+CT2+CU2</f>
        <v>0</v>
      </c>
      <c r="G2" s="8">
        <f>BF2</f>
        <v>0</v>
      </c>
      <c r="H2" s="8">
        <f>BQ2</f>
        <v>0</v>
      </c>
      <c r="I2" s="8">
        <f>AU2+CA2</f>
        <v>0</v>
      </c>
      <c r="J2" s="8">
        <f>BN2+BO2+BR2+CE2</f>
        <v>0</v>
      </c>
      <c r="K2" s="14">
        <f t="shared" ref="K2:K36" si="2">AY2+BC2+BI2+BK2+BL2+BM2+BP2+BS2+BT2+BU2+BV2+BW2+BX2+BY2+BZ2+CA2+CB2+CC2+CF2+CG2+CH2+CI2+CJ2+CK2+CL2+CM2+CN2+CO2+CP2+CQ2+CV2+CW2+CY2+CZ2+DA2+DB2</f>
        <v>5.7</v>
      </c>
      <c r="M2" s="8">
        <f>BB2</f>
        <v>0</v>
      </c>
      <c r="N2" s="17" t="s">
        <v>220</v>
      </c>
      <c r="O2" s="18">
        <v>46203</v>
      </c>
      <c r="P2" s="17" t="s">
        <v>119</v>
      </c>
      <c r="Q2" s="17" t="s">
        <v>120</v>
      </c>
      <c r="R2" s="17" t="s">
        <v>53</v>
      </c>
      <c r="S2" s="17" t="s">
        <v>121</v>
      </c>
      <c r="T2" s="17" t="s">
        <v>217</v>
      </c>
      <c r="U2" s="17"/>
      <c r="V2" s="17" t="s">
        <v>218</v>
      </c>
      <c r="W2" s="17" t="s">
        <v>216</v>
      </c>
      <c r="X2" s="17" t="s">
        <v>132</v>
      </c>
      <c r="Y2" s="17"/>
      <c r="Z2" s="17"/>
      <c r="AA2" s="17" t="s">
        <v>53</v>
      </c>
      <c r="AB2" s="17" t="s">
        <v>56</v>
      </c>
      <c r="AC2" s="17"/>
      <c r="AD2" s="17" t="s">
        <v>54</v>
      </c>
      <c r="AE2" s="17" t="s">
        <v>55</v>
      </c>
      <c r="AF2" s="17" t="s">
        <v>57</v>
      </c>
      <c r="AG2" s="17" t="s">
        <v>58</v>
      </c>
      <c r="AH2" s="17" t="s">
        <v>133</v>
      </c>
      <c r="AI2" s="17" t="s">
        <v>134</v>
      </c>
      <c r="AJ2" s="17"/>
      <c r="AK2" s="17" t="s">
        <v>54</v>
      </c>
      <c r="AL2" s="17" t="s">
        <v>135</v>
      </c>
      <c r="AM2" s="17" t="s">
        <v>136</v>
      </c>
      <c r="AN2" s="17" t="s">
        <v>137</v>
      </c>
      <c r="AO2" s="17" t="s">
        <v>153</v>
      </c>
      <c r="AP2" s="19">
        <v>1</v>
      </c>
      <c r="AQ2" s="19">
        <v>32</v>
      </c>
      <c r="AR2" s="19">
        <v>32</v>
      </c>
      <c r="AS2" s="19">
        <v>0</v>
      </c>
      <c r="AT2" s="19">
        <v>0</v>
      </c>
      <c r="AU2" s="19"/>
      <c r="AV2" s="19">
        <v>0</v>
      </c>
      <c r="AW2" s="19">
        <v>0</v>
      </c>
      <c r="AX2" s="17"/>
      <c r="AY2" s="19"/>
      <c r="AZ2" s="19">
        <v>5.7</v>
      </c>
      <c r="BA2" s="19">
        <v>5.7</v>
      </c>
      <c r="BB2" s="19"/>
      <c r="BC2" s="19"/>
      <c r="BD2" s="19">
        <v>1.18</v>
      </c>
      <c r="BE2" s="19">
        <v>6.88</v>
      </c>
      <c r="BF2" s="19"/>
      <c r="BG2" s="19">
        <v>0</v>
      </c>
      <c r="BH2" s="19"/>
      <c r="BI2" s="19"/>
      <c r="BJ2" s="17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>
        <v>5.7</v>
      </c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7"/>
      <c r="DB2" s="17"/>
      <c r="DC2" s="17" t="s">
        <v>183</v>
      </c>
      <c r="DD2" s="19" t="s">
        <v>183</v>
      </c>
      <c r="DE2">
        <v>32</v>
      </c>
    </row>
    <row r="3" spans="1:109" x14ac:dyDescent="0.25">
      <c r="C3" s="8" t="str">
        <f t="shared" ref="C3:C36" si="3">RIGHT(V3,8)</f>
        <v>94081655</v>
      </c>
      <c r="D3" s="3">
        <f t="shared" si="0"/>
        <v>48.1</v>
      </c>
      <c r="E3" s="3">
        <f t="shared" si="1"/>
        <v>54.910000000000004</v>
      </c>
      <c r="F3" s="8">
        <f t="shared" ref="F3:F36" si="4">CS3+CT3+CU3</f>
        <v>0</v>
      </c>
      <c r="G3" s="8">
        <f t="shared" ref="G3:G36" si="5">BF3</f>
        <v>0</v>
      </c>
      <c r="H3" s="8">
        <f t="shared" ref="H3:H36" si="6">BQ3</f>
        <v>0</v>
      </c>
      <c r="I3" s="8">
        <f t="shared" ref="I3:I36" si="7">AU3+CA3</f>
        <v>0</v>
      </c>
      <c r="J3" s="8">
        <f t="shared" ref="J3:J36" si="8">BN3+BO3+BR3+CE3</f>
        <v>0</v>
      </c>
      <c r="K3" s="14">
        <f t="shared" si="2"/>
        <v>48.1</v>
      </c>
      <c r="M3" s="8">
        <f t="shared" ref="M3:M36" si="9">BB3</f>
        <v>6.81</v>
      </c>
      <c r="N3" s="17" t="s">
        <v>220</v>
      </c>
      <c r="O3" s="18">
        <v>46203</v>
      </c>
      <c r="P3" s="17" t="s">
        <v>119</v>
      </c>
      <c r="Q3" s="17" t="s">
        <v>120</v>
      </c>
      <c r="R3" s="17" t="s">
        <v>53</v>
      </c>
      <c r="S3" s="17" t="s">
        <v>121</v>
      </c>
      <c r="T3" s="17" t="s">
        <v>221</v>
      </c>
      <c r="U3" s="17"/>
      <c r="V3" s="17" t="s">
        <v>222</v>
      </c>
      <c r="W3" s="17" t="s">
        <v>223</v>
      </c>
      <c r="X3" s="17" t="s">
        <v>132</v>
      </c>
      <c r="Y3" s="17"/>
      <c r="Z3" s="17"/>
      <c r="AA3" s="17" t="s">
        <v>53</v>
      </c>
      <c r="AB3" s="17" t="s">
        <v>56</v>
      </c>
      <c r="AC3" s="17"/>
      <c r="AD3" s="17" t="s">
        <v>54</v>
      </c>
      <c r="AE3" s="17" t="s">
        <v>55</v>
      </c>
      <c r="AF3" s="17" t="s">
        <v>57</v>
      </c>
      <c r="AG3" s="17" t="s">
        <v>58</v>
      </c>
      <c r="AH3" s="17" t="s">
        <v>133</v>
      </c>
      <c r="AI3" s="17" t="s">
        <v>134</v>
      </c>
      <c r="AJ3" s="17"/>
      <c r="AK3" s="17" t="s">
        <v>54</v>
      </c>
      <c r="AL3" s="17" t="s">
        <v>135</v>
      </c>
      <c r="AM3" s="17" t="s">
        <v>136</v>
      </c>
      <c r="AN3" s="17" t="s">
        <v>137</v>
      </c>
      <c r="AO3" s="17"/>
      <c r="AP3" s="19">
        <v>1</v>
      </c>
      <c r="AQ3" s="19">
        <v>44</v>
      </c>
      <c r="AR3" s="19">
        <v>44</v>
      </c>
      <c r="AS3" s="19">
        <v>0</v>
      </c>
      <c r="AT3" s="19">
        <v>0</v>
      </c>
      <c r="AU3" s="19"/>
      <c r="AV3" s="19">
        <v>0</v>
      </c>
      <c r="AW3" s="19">
        <v>0</v>
      </c>
      <c r="AX3" s="17"/>
      <c r="AY3" s="19">
        <v>39.799999999999997</v>
      </c>
      <c r="AZ3" s="19">
        <v>5.7</v>
      </c>
      <c r="BA3" s="19">
        <v>45.5</v>
      </c>
      <c r="BB3" s="19">
        <v>6.81</v>
      </c>
      <c r="BC3" s="19">
        <v>2.6</v>
      </c>
      <c r="BD3" s="19">
        <v>10.98</v>
      </c>
      <c r="BE3" s="19">
        <v>65.89</v>
      </c>
      <c r="BF3" s="19"/>
      <c r="BG3" s="19">
        <v>0</v>
      </c>
      <c r="BH3" s="19"/>
      <c r="BI3" s="19"/>
      <c r="BJ3" s="17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>
        <v>5.7</v>
      </c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7"/>
      <c r="DB3" s="17"/>
      <c r="DC3" s="17" t="s">
        <v>183</v>
      </c>
      <c r="DD3" s="19" t="s">
        <v>183</v>
      </c>
      <c r="DE3">
        <v>44</v>
      </c>
    </row>
    <row r="4" spans="1:109" x14ac:dyDescent="0.25">
      <c r="C4" s="8" t="str">
        <f t="shared" si="3"/>
        <v>94231593</v>
      </c>
      <c r="D4" s="3">
        <f t="shared" si="0"/>
        <v>110</v>
      </c>
      <c r="E4" s="3">
        <f t="shared" si="1"/>
        <v>128.37</v>
      </c>
      <c r="F4" s="8">
        <f t="shared" si="4"/>
        <v>0</v>
      </c>
      <c r="G4" s="8">
        <f t="shared" si="5"/>
        <v>0</v>
      </c>
      <c r="H4" s="8">
        <f t="shared" si="6"/>
        <v>0</v>
      </c>
      <c r="I4" s="8">
        <f t="shared" si="7"/>
        <v>0</v>
      </c>
      <c r="J4" s="8">
        <f t="shared" si="8"/>
        <v>0</v>
      </c>
      <c r="K4" s="14">
        <f t="shared" si="2"/>
        <v>110</v>
      </c>
      <c r="M4" s="8">
        <f t="shared" si="9"/>
        <v>18.37</v>
      </c>
      <c r="N4" s="17" t="s">
        <v>220</v>
      </c>
      <c r="O4" s="18">
        <v>46203</v>
      </c>
      <c r="P4" s="17" t="s">
        <v>119</v>
      </c>
      <c r="Q4" s="17" t="s">
        <v>120</v>
      </c>
      <c r="R4" s="17" t="s">
        <v>53</v>
      </c>
      <c r="S4" s="17" t="s">
        <v>121</v>
      </c>
      <c r="T4" s="17" t="s">
        <v>224</v>
      </c>
      <c r="U4" s="17"/>
      <c r="V4" s="17" t="s">
        <v>225</v>
      </c>
      <c r="W4" s="17" t="s">
        <v>226</v>
      </c>
      <c r="X4" s="17" t="s">
        <v>227</v>
      </c>
      <c r="Y4" s="17" t="s">
        <v>185</v>
      </c>
      <c r="Z4" s="17" t="s">
        <v>186</v>
      </c>
      <c r="AA4" s="17" t="s">
        <v>53</v>
      </c>
      <c r="AB4" s="17" t="s">
        <v>56</v>
      </c>
      <c r="AC4" s="17"/>
      <c r="AD4" s="17" t="s">
        <v>54</v>
      </c>
      <c r="AE4" s="17" t="s">
        <v>55</v>
      </c>
      <c r="AF4" s="17" t="s">
        <v>57</v>
      </c>
      <c r="AG4" s="17" t="s">
        <v>58</v>
      </c>
      <c r="AH4" s="17" t="s">
        <v>187</v>
      </c>
      <c r="AI4" s="17" t="s">
        <v>188</v>
      </c>
      <c r="AJ4" s="17" t="s">
        <v>189</v>
      </c>
      <c r="AK4" s="17" t="s">
        <v>54</v>
      </c>
      <c r="AL4" s="17" t="s">
        <v>142</v>
      </c>
      <c r="AM4" s="17" t="s">
        <v>143</v>
      </c>
      <c r="AN4" s="17" t="s">
        <v>144</v>
      </c>
      <c r="AO4" s="17" t="s">
        <v>153</v>
      </c>
      <c r="AP4" s="19">
        <v>2</v>
      </c>
      <c r="AQ4" s="19">
        <v>28</v>
      </c>
      <c r="AR4" s="19">
        <v>28</v>
      </c>
      <c r="AS4" s="19">
        <v>0</v>
      </c>
      <c r="AT4" s="19">
        <v>0</v>
      </c>
      <c r="AU4" s="19"/>
      <c r="AV4" s="19">
        <v>0</v>
      </c>
      <c r="AW4" s="19">
        <v>0</v>
      </c>
      <c r="AX4" s="17"/>
      <c r="AY4" s="19">
        <v>107.4</v>
      </c>
      <c r="AZ4" s="19"/>
      <c r="BA4" s="19">
        <v>107.4</v>
      </c>
      <c r="BB4" s="19">
        <v>18.37</v>
      </c>
      <c r="BC4" s="19">
        <v>2.6</v>
      </c>
      <c r="BD4" s="19">
        <v>25.67</v>
      </c>
      <c r="BE4" s="19">
        <v>154.04</v>
      </c>
      <c r="BF4" s="19"/>
      <c r="BG4" s="19">
        <v>0</v>
      </c>
      <c r="BH4" s="19"/>
      <c r="BI4" s="19"/>
      <c r="BJ4" s="17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7"/>
      <c r="DB4" s="17"/>
      <c r="DC4" s="17" t="s">
        <v>183</v>
      </c>
      <c r="DD4" s="19" t="s">
        <v>183</v>
      </c>
      <c r="DE4">
        <v>28</v>
      </c>
    </row>
    <row r="5" spans="1:109" x14ac:dyDescent="0.25">
      <c r="C5" s="3" t="str">
        <f t="shared" si="3"/>
        <v>41488288</v>
      </c>
      <c r="D5" s="3">
        <f t="shared" si="0"/>
        <v>295.36</v>
      </c>
      <c r="E5" s="3">
        <f t="shared" si="1"/>
        <v>315.85000000000002</v>
      </c>
      <c r="F5" s="8">
        <f t="shared" si="4"/>
        <v>0</v>
      </c>
      <c r="G5" s="8">
        <f t="shared" si="5"/>
        <v>0</v>
      </c>
      <c r="H5" s="8">
        <f t="shared" si="6"/>
        <v>0</v>
      </c>
      <c r="I5" s="8">
        <f t="shared" si="7"/>
        <v>0</v>
      </c>
      <c r="J5" s="8">
        <f t="shared" si="8"/>
        <v>0</v>
      </c>
      <c r="K5" s="14">
        <f t="shared" si="2"/>
        <v>295.36</v>
      </c>
      <c r="M5" s="8">
        <f t="shared" si="9"/>
        <v>20.49</v>
      </c>
      <c r="N5" s="17" t="s">
        <v>220</v>
      </c>
      <c r="O5" s="18">
        <v>46203</v>
      </c>
      <c r="P5" s="17" t="s">
        <v>119</v>
      </c>
      <c r="Q5" s="17" t="s">
        <v>120</v>
      </c>
      <c r="R5" s="17" t="s">
        <v>53</v>
      </c>
      <c r="S5" s="17" t="s">
        <v>121</v>
      </c>
      <c r="T5" s="17"/>
      <c r="U5" s="17"/>
      <c r="V5" s="17" t="s">
        <v>228</v>
      </c>
      <c r="W5" s="17" t="s">
        <v>229</v>
      </c>
      <c r="X5" s="17" t="s">
        <v>59</v>
      </c>
      <c r="Y5" s="17" t="s">
        <v>230</v>
      </c>
      <c r="Z5" s="17"/>
      <c r="AA5" s="17" t="s">
        <v>53</v>
      </c>
      <c r="AB5" s="17" t="s">
        <v>56</v>
      </c>
      <c r="AC5" s="17"/>
      <c r="AD5" s="17" t="s">
        <v>54</v>
      </c>
      <c r="AE5" s="17" t="s">
        <v>55</v>
      </c>
      <c r="AF5" s="17" t="s">
        <v>57</v>
      </c>
      <c r="AG5" s="17" t="s">
        <v>58</v>
      </c>
      <c r="AH5" s="17" t="s">
        <v>231</v>
      </c>
      <c r="AI5" s="17" t="s">
        <v>232</v>
      </c>
      <c r="AJ5" s="17" t="s">
        <v>233</v>
      </c>
      <c r="AK5" s="17" t="s">
        <v>54</v>
      </c>
      <c r="AL5" s="17" t="s">
        <v>190</v>
      </c>
      <c r="AM5" s="17" t="s">
        <v>234</v>
      </c>
      <c r="AN5" s="17" t="s">
        <v>235</v>
      </c>
      <c r="AO5" s="17"/>
      <c r="AP5" s="19">
        <v>3</v>
      </c>
      <c r="AQ5" s="19">
        <v>343</v>
      </c>
      <c r="AR5" s="19">
        <v>343</v>
      </c>
      <c r="AS5" s="19">
        <v>0</v>
      </c>
      <c r="AT5" s="19">
        <v>0</v>
      </c>
      <c r="AU5" s="19"/>
      <c r="AV5" s="19">
        <v>1.2</v>
      </c>
      <c r="AW5" s="19">
        <v>0</v>
      </c>
      <c r="AX5" s="17"/>
      <c r="AY5" s="19">
        <v>292.76</v>
      </c>
      <c r="AZ5" s="19"/>
      <c r="BA5" s="19">
        <v>292.76</v>
      </c>
      <c r="BB5" s="19">
        <v>20.49</v>
      </c>
      <c r="BC5" s="19">
        <v>2.6</v>
      </c>
      <c r="BD5" s="19">
        <v>63.17</v>
      </c>
      <c r="BE5" s="19">
        <v>379.02</v>
      </c>
      <c r="BF5" s="19"/>
      <c r="BG5" s="19">
        <v>0</v>
      </c>
      <c r="BH5" s="19"/>
      <c r="BI5" s="19"/>
      <c r="BJ5" s="17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7"/>
      <c r="DB5" s="17"/>
      <c r="DC5" s="17" t="s">
        <v>183</v>
      </c>
      <c r="DD5" s="19" t="s">
        <v>183</v>
      </c>
    </row>
    <row r="6" spans="1:109" x14ac:dyDescent="0.25">
      <c r="C6" s="8" t="str">
        <f t="shared" si="3"/>
        <v>41536885</v>
      </c>
      <c r="D6" s="3">
        <f t="shared" si="0"/>
        <v>57.08</v>
      </c>
      <c r="E6" s="3">
        <f t="shared" si="1"/>
        <v>66.400000000000006</v>
      </c>
      <c r="F6" s="8">
        <f t="shared" si="4"/>
        <v>0</v>
      </c>
      <c r="G6" s="8">
        <f t="shared" si="5"/>
        <v>0</v>
      </c>
      <c r="H6" s="8">
        <f t="shared" si="6"/>
        <v>0</v>
      </c>
      <c r="I6" s="8">
        <f t="shared" si="7"/>
        <v>0</v>
      </c>
      <c r="J6" s="8">
        <f t="shared" si="8"/>
        <v>0</v>
      </c>
      <c r="K6" s="14">
        <f t="shared" si="2"/>
        <v>57.08</v>
      </c>
      <c r="M6" s="8">
        <f t="shared" si="9"/>
        <v>9.32</v>
      </c>
      <c r="N6" s="17" t="s">
        <v>220</v>
      </c>
      <c r="O6" s="18">
        <v>46203</v>
      </c>
      <c r="P6" s="17" t="s">
        <v>119</v>
      </c>
      <c r="Q6" s="17" t="s">
        <v>120</v>
      </c>
      <c r="R6" s="17" t="s">
        <v>53</v>
      </c>
      <c r="S6" s="17" t="s">
        <v>121</v>
      </c>
      <c r="T6" s="17" t="s">
        <v>236</v>
      </c>
      <c r="U6" s="17" t="s">
        <v>213</v>
      </c>
      <c r="V6" s="17" t="s">
        <v>237</v>
      </c>
      <c r="W6" s="17" t="s">
        <v>238</v>
      </c>
      <c r="X6" s="17" t="s">
        <v>239</v>
      </c>
      <c r="Y6" s="17" t="s">
        <v>240</v>
      </c>
      <c r="Z6" s="17"/>
      <c r="AA6" s="17" t="s">
        <v>241</v>
      </c>
      <c r="AB6" s="17" t="s">
        <v>242</v>
      </c>
      <c r="AC6" s="17" t="s">
        <v>243</v>
      </c>
      <c r="AD6" s="17" t="s">
        <v>54</v>
      </c>
      <c r="AE6" s="17" t="s">
        <v>145</v>
      </c>
      <c r="AF6" s="17" t="s">
        <v>214</v>
      </c>
      <c r="AG6" s="17" t="s">
        <v>215</v>
      </c>
      <c r="AH6" s="17" t="s">
        <v>53</v>
      </c>
      <c r="AI6" s="17" t="s">
        <v>56</v>
      </c>
      <c r="AJ6" s="17"/>
      <c r="AK6" s="17" t="s">
        <v>54</v>
      </c>
      <c r="AL6" s="17" t="s">
        <v>55</v>
      </c>
      <c r="AM6" s="17" t="s">
        <v>57</v>
      </c>
      <c r="AN6" s="17" t="s">
        <v>58</v>
      </c>
      <c r="AO6" s="17" t="s">
        <v>153</v>
      </c>
      <c r="AP6" s="19">
        <v>1</v>
      </c>
      <c r="AQ6" s="19">
        <v>8.6999999999999993</v>
      </c>
      <c r="AR6" s="19">
        <v>8.6999999999999993</v>
      </c>
      <c r="AS6" s="19">
        <v>0</v>
      </c>
      <c r="AT6" s="19">
        <v>0</v>
      </c>
      <c r="AU6" s="19"/>
      <c r="AV6" s="19">
        <v>0</v>
      </c>
      <c r="AW6" s="19">
        <v>0</v>
      </c>
      <c r="AX6" s="17"/>
      <c r="AY6" s="19">
        <v>54.48</v>
      </c>
      <c r="AZ6" s="19"/>
      <c r="BA6" s="19">
        <v>54.48</v>
      </c>
      <c r="BB6" s="19">
        <v>9.32</v>
      </c>
      <c r="BC6" s="19">
        <v>2.6</v>
      </c>
      <c r="BD6" s="19">
        <v>13.28</v>
      </c>
      <c r="BE6" s="19">
        <v>79.680000000000007</v>
      </c>
      <c r="BF6" s="19"/>
      <c r="BG6" s="19">
        <v>0</v>
      </c>
      <c r="BH6" s="19"/>
      <c r="BI6" s="19"/>
      <c r="BJ6" s="17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7"/>
      <c r="DB6" s="17"/>
      <c r="DC6" s="17" t="s">
        <v>183</v>
      </c>
      <c r="DD6" s="19" t="s">
        <v>183</v>
      </c>
      <c r="DE6">
        <v>9</v>
      </c>
    </row>
    <row r="7" spans="1:109" x14ac:dyDescent="0.25">
      <c r="C7" s="3" t="str">
        <f t="shared" si="3"/>
        <v>94320254</v>
      </c>
      <c r="D7" s="3">
        <f t="shared" si="0"/>
        <v>133.9</v>
      </c>
      <c r="E7" s="3">
        <f t="shared" si="1"/>
        <v>143.32</v>
      </c>
      <c r="F7" s="8">
        <f t="shared" si="4"/>
        <v>0</v>
      </c>
      <c r="G7" s="8">
        <f t="shared" si="5"/>
        <v>0</v>
      </c>
      <c r="H7" s="8">
        <f t="shared" si="6"/>
        <v>0</v>
      </c>
      <c r="I7" s="8">
        <f t="shared" si="7"/>
        <v>0</v>
      </c>
      <c r="J7" s="8">
        <f t="shared" si="8"/>
        <v>0</v>
      </c>
      <c r="K7" s="14">
        <f t="shared" si="2"/>
        <v>133.9</v>
      </c>
      <c r="M7" s="8">
        <f t="shared" si="9"/>
        <v>9.42</v>
      </c>
      <c r="N7" s="17" t="s">
        <v>220</v>
      </c>
      <c r="O7" s="18">
        <v>46203</v>
      </c>
      <c r="P7" s="17" t="s">
        <v>119</v>
      </c>
      <c r="Q7" s="17" t="s">
        <v>120</v>
      </c>
      <c r="R7" s="17" t="s">
        <v>53</v>
      </c>
      <c r="S7" s="17" t="s">
        <v>121</v>
      </c>
      <c r="T7" s="17" t="s">
        <v>244</v>
      </c>
      <c r="U7" s="17"/>
      <c r="V7" s="17" t="s">
        <v>244</v>
      </c>
      <c r="W7" s="17" t="s">
        <v>238</v>
      </c>
      <c r="X7" s="17" t="s">
        <v>227</v>
      </c>
      <c r="Y7" s="17" t="s">
        <v>245</v>
      </c>
      <c r="Z7" s="17" t="s">
        <v>246</v>
      </c>
      <c r="AA7" s="17" t="s">
        <v>53</v>
      </c>
      <c r="AB7" s="17" t="s">
        <v>56</v>
      </c>
      <c r="AC7" s="17"/>
      <c r="AD7" s="17" t="s">
        <v>54</v>
      </c>
      <c r="AE7" s="17" t="s">
        <v>55</v>
      </c>
      <c r="AF7" s="17" t="s">
        <v>57</v>
      </c>
      <c r="AG7" s="17" t="s">
        <v>58</v>
      </c>
      <c r="AH7" s="17" t="s">
        <v>247</v>
      </c>
      <c r="AI7" s="17" t="s">
        <v>248</v>
      </c>
      <c r="AJ7" s="17"/>
      <c r="AK7" s="17" t="s">
        <v>54</v>
      </c>
      <c r="AL7" s="17" t="s">
        <v>249</v>
      </c>
      <c r="AM7" s="17" t="s">
        <v>250</v>
      </c>
      <c r="AN7" s="17" t="s">
        <v>251</v>
      </c>
      <c r="AO7" s="17"/>
      <c r="AP7" s="19">
        <v>2</v>
      </c>
      <c r="AQ7" s="19">
        <v>17.7</v>
      </c>
      <c r="AR7" s="19">
        <v>18</v>
      </c>
      <c r="AS7" s="19">
        <v>0</v>
      </c>
      <c r="AT7" s="19">
        <v>0</v>
      </c>
      <c r="AU7" s="19"/>
      <c r="AV7" s="19">
        <v>0</v>
      </c>
      <c r="AW7" s="19">
        <v>0</v>
      </c>
      <c r="AX7" s="17"/>
      <c r="AY7" s="19">
        <v>55.1</v>
      </c>
      <c r="AZ7" s="19">
        <v>76.2</v>
      </c>
      <c r="BA7" s="19">
        <v>131.30000000000001</v>
      </c>
      <c r="BB7" s="19">
        <v>9.42</v>
      </c>
      <c r="BC7" s="19">
        <v>2.6</v>
      </c>
      <c r="BD7" s="19">
        <v>28.66</v>
      </c>
      <c r="BE7" s="19">
        <v>171.98</v>
      </c>
      <c r="BF7" s="19"/>
      <c r="BG7" s="19">
        <v>0</v>
      </c>
      <c r="BH7" s="19"/>
      <c r="BI7" s="19"/>
      <c r="BJ7" s="17"/>
      <c r="BK7" s="19"/>
      <c r="BL7" s="19"/>
      <c r="BM7" s="19"/>
      <c r="BN7" s="19"/>
      <c r="BO7" s="19"/>
      <c r="BP7" s="19"/>
      <c r="BQ7" s="19"/>
      <c r="BR7" s="19"/>
      <c r="BS7" s="19">
        <v>9.9</v>
      </c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7"/>
      <c r="DB7" s="17">
        <v>66.3</v>
      </c>
      <c r="DC7" s="17" t="s">
        <v>183</v>
      </c>
      <c r="DD7" s="19" t="s">
        <v>183</v>
      </c>
    </row>
    <row r="8" spans="1:109" x14ac:dyDescent="0.25">
      <c r="C8" s="8" t="str">
        <f t="shared" si="3"/>
        <v>94380676</v>
      </c>
      <c r="D8" s="3">
        <f t="shared" si="0"/>
        <v>97.94</v>
      </c>
      <c r="E8" s="3">
        <f t="shared" si="1"/>
        <v>113.27</v>
      </c>
      <c r="F8" s="8">
        <f t="shared" si="4"/>
        <v>0</v>
      </c>
      <c r="G8" s="8">
        <f t="shared" si="5"/>
        <v>0</v>
      </c>
      <c r="H8" s="8">
        <f t="shared" si="6"/>
        <v>0</v>
      </c>
      <c r="I8" s="8">
        <f t="shared" si="7"/>
        <v>0</v>
      </c>
      <c r="J8" s="8">
        <f t="shared" si="8"/>
        <v>0</v>
      </c>
      <c r="K8" s="14">
        <f t="shared" si="2"/>
        <v>97.94</v>
      </c>
      <c r="M8" s="8">
        <f t="shared" si="9"/>
        <v>15.33</v>
      </c>
      <c r="N8" s="17" t="s">
        <v>220</v>
      </c>
      <c r="O8" s="18">
        <v>46203</v>
      </c>
      <c r="P8" s="17" t="s">
        <v>119</v>
      </c>
      <c r="Q8" s="17" t="s">
        <v>120</v>
      </c>
      <c r="R8" s="17" t="s">
        <v>53</v>
      </c>
      <c r="S8" s="17" t="s">
        <v>121</v>
      </c>
      <c r="T8" s="17" t="s">
        <v>252</v>
      </c>
      <c r="U8" s="17" t="s">
        <v>253</v>
      </c>
      <c r="V8" s="17" t="s">
        <v>254</v>
      </c>
      <c r="W8" s="17" t="s">
        <v>238</v>
      </c>
      <c r="X8" s="17" t="s">
        <v>132</v>
      </c>
      <c r="Y8" s="17" t="s">
        <v>165</v>
      </c>
      <c r="Z8" s="17" t="s">
        <v>166</v>
      </c>
      <c r="AA8" s="17" t="s">
        <v>53</v>
      </c>
      <c r="AB8" s="17" t="s">
        <v>56</v>
      </c>
      <c r="AC8" s="17"/>
      <c r="AD8" s="17" t="s">
        <v>54</v>
      </c>
      <c r="AE8" s="17" t="s">
        <v>55</v>
      </c>
      <c r="AF8" s="17" t="s">
        <v>57</v>
      </c>
      <c r="AG8" s="17" t="s">
        <v>58</v>
      </c>
      <c r="AH8" s="17" t="s">
        <v>167</v>
      </c>
      <c r="AI8" s="17" t="s">
        <v>168</v>
      </c>
      <c r="AJ8" s="17"/>
      <c r="AK8" s="17" t="s">
        <v>54</v>
      </c>
      <c r="AL8" s="17" t="s">
        <v>169</v>
      </c>
      <c r="AM8" s="17" t="s">
        <v>170</v>
      </c>
      <c r="AN8" s="17" t="s">
        <v>171</v>
      </c>
      <c r="AO8" s="17"/>
      <c r="AP8" s="19">
        <v>1</v>
      </c>
      <c r="AQ8" s="19">
        <v>170</v>
      </c>
      <c r="AR8" s="19">
        <v>170</v>
      </c>
      <c r="AS8" s="19">
        <v>0</v>
      </c>
      <c r="AT8" s="19">
        <v>0</v>
      </c>
      <c r="AU8" s="19"/>
      <c r="AV8" s="19">
        <v>0</v>
      </c>
      <c r="AW8" s="19">
        <v>0</v>
      </c>
      <c r="AX8" s="17"/>
      <c r="AY8" s="19">
        <v>89.64</v>
      </c>
      <c r="AZ8" s="19">
        <v>5.7</v>
      </c>
      <c r="BA8" s="19">
        <v>95.34</v>
      </c>
      <c r="BB8" s="19">
        <v>15.33</v>
      </c>
      <c r="BC8" s="19">
        <v>2.6</v>
      </c>
      <c r="BD8" s="19">
        <v>22.66</v>
      </c>
      <c r="BE8" s="19">
        <v>135.93</v>
      </c>
      <c r="BF8" s="19"/>
      <c r="BG8" s="19">
        <v>0</v>
      </c>
      <c r="BH8" s="19"/>
      <c r="BI8" s="19"/>
      <c r="BJ8" s="17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>
        <v>5.7</v>
      </c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7"/>
      <c r="DB8" s="17"/>
      <c r="DC8" s="17" t="s">
        <v>183</v>
      </c>
      <c r="DD8" s="19" t="s">
        <v>183</v>
      </c>
      <c r="DE8">
        <v>170</v>
      </c>
    </row>
    <row r="9" spans="1:109" x14ac:dyDescent="0.25">
      <c r="C9" s="8" t="str">
        <f t="shared" si="3"/>
        <v>94431027</v>
      </c>
      <c r="D9" s="3">
        <f t="shared" si="0"/>
        <v>40.550000000000004</v>
      </c>
      <c r="E9" s="3">
        <f t="shared" si="1"/>
        <v>46.06</v>
      </c>
      <c r="F9" s="8">
        <f t="shared" si="4"/>
        <v>0</v>
      </c>
      <c r="G9" s="8">
        <f t="shared" si="5"/>
        <v>0</v>
      </c>
      <c r="H9" s="8">
        <f t="shared" si="6"/>
        <v>0</v>
      </c>
      <c r="I9" s="8">
        <f t="shared" si="7"/>
        <v>0</v>
      </c>
      <c r="J9" s="8">
        <f t="shared" si="8"/>
        <v>0</v>
      </c>
      <c r="K9" s="14">
        <f t="shared" si="2"/>
        <v>40.550000000000004</v>
      </c>
      <c r="M9" s="8">
        <f t="shared" si="9"/>
        <v>5.51</v>
      </c>
      <c r="N9" s="17" t="s">
        <v>220</v>
      </c>
      <c r="O9" s="18">
        <v>46203</v>
      </c>
      <c r="P9" s="17" t="s">
        <v>119</v>
      </c>
      <c r="Q9" s="17" t="s">
        <v>120</v>
      </c>
      <c r="R9" s="17" t="s">
        <v>53</v>
      </c>
      <c r="S9" s="17" t="s">
        <v>121</v>
      </c>
      <c r="T9" s="17" t="s">
        <v>255</v>
      </c>
      <c r="U9" s="17"/>
      <c r="V9" s="17" t="s">
        <v>256</v>
      </c>
      <c r="W9" s="17" t="s">
        <v>257</v>
      </c>
      <c r="X9" s="17" t="s">
        <v>132</v>
      </c>
      <c r="Y9" s="17" t="s">
        <v>147</v>
      </c>
      <c r="Z9" s="17" t="s">
        <v>148</v>
      </c>
      <c r="AA9" s="17" t="s">
        <v>53</v>
      </c>
      <c r="AB9" s="17" t="s">
        <v>56</v>
      </c>
      <c r="AC9" s="17"/>
      <c r="AD9" s="17" t="s">
        <v>54</v>
      </c>
      <c r="AE9" s="17" t="s">
        <v>55</v>
      </c>
      <c r="AF9" s="17" t="s">
        <v>57</v>
      </c>
      <c r="AG9" s="17" t="s">
        <v>58</v>
      </c>
      <c r="AH9" s="17" t="s">
        <v>149</v>
      </c>
      <c r="AI9" s="17" t="s">
        <v>150</v>
      </c>
      <c r="AJ9" s="17" t="s">
        <v>151</v>
      </c>
      <c r="AK9" s="17" t="s">
        <v>54</v>
      </c>
      <c r="AL9" s="17" t="s">
        <v>142</v>
      </c>
      <c r="AM9" s="17" t="s">
        <v>143</v>
      </c>
      <c r="AN9" s="17" t="s">
        <v>144</v>
      </c>
      <c r="AO9" s="17"/>
      <c r="AP9" s="19">
        <v>3</v>
      </c>
      <c r="AQ9" s="19">
        <v>21</v>
      </c>
      <c r="AR9" s="19">
        <v>21</v>
      </c>
      <c r="AS9" s="19">
        <v>0</v>
      </c>
      <c r="AT9" s="19">
        <v>0</v>
      </c>
      <c r="AU9" s="19"/>
      <c r="AV9" s="19">
        <v>0</v>
      </c>
      <c r="AW9" s="19">
        <v>0</v>
      </c>
      <c r="AX9" s="17"/>
      <c r="AY9" s="19">
        <v>32.25</v>
      </c>
      <c r="AZ9" s="19">
        <v>5.7</v>
      </c>
      <c r="BA9" s="19">
        <v>37.950000000000003</v>
      </c>
      <c r="BB9" s="19">
        <v>5.51</v>
      </c>
      <c r="BC9" s="19">
        <v>2.6</v>
      </c>
      <c r="BD9" s="19">
        <v>9.2100000000000009</v>
      </c>
      <c r="BE9" s="19">
        <v>55.27</v>
      </c>
      <c r="BF9" s="19"/>
      <c r="BG9" s="19">
        <v>0</v>
      </c>
      <c r="BH9" s="19"/>
      <c r="BI9" s="19"/>
      <c r="BJ9" s="17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>
        <v>5.7</v>
      </c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7"/>
      <c r="DB9" s="17"/>
      <c r="DC9" s="17" t="s">
        <v>183</v>
      </c>
      <c r="DD9" s="19" t="s">
        <v>183</v>
      </c>
      <c r="DE9">
        <v>21</v>
      </c>
    </row>
    <row r="10" spans="1:109" x14ac:dyDescent="0.25">
      <c r="C10" s="8" t="str">
        <f t="shared" si="3"/>
        <v>94433083</v>
      </c>
      <c r="D10" s="3">
        <f t="shared" si="0"/>
        <v>26.16</v>
      </c>
      <c r="E10" s="3">
        <f t="shared" si="1"/>
        <v>29.21</v>
      </c>
      <c r="F10" s="8">
        <f t="shared" si="4"/>
        <v>0</v>
      </c>
      <c r="G10" s="8">
        <f t="shared" si="5"/>
        <v>0</v>
      </c>
      <c r="H10" s="8">
        <f t="shared" si="6"/>
        <v>0</v>
      </c>
      <c r="I10" s="8">
        <f t="shared" si="7"/>
        <v>0</v>
      </c>
      <c r="J10" s="8">
        <f t="shared" si="8"/>
        <v>0</v>
      </c>
      <c r="K10" s="14">
        <f t="shared" si="2"/>
        <v>26.16</v>
      </c>
      <c r="M10" s="8">
        <f t="shared" si="9"/>
        <v>3.05</v>
      </c>
      <c r="N10" s="17" t="s">
        <v>220</v>
      </c>
      <c r="O10" s="18">
        <v>46203</v>
      </c>
      <c r="P10" s="17" t="s">
        <v>119</v>
      </c>
      <c r="Q10" s="17" t="s">
        <v>120</v>
      </c>
      <c r="R10" s="17" t="s">
        <v>53</v>
      </c>
      <c r="S10" s="17" t="s">
        <v>121</v>
      </c>
      <c r="T10" s="17" t="s">
        <v>258</v>
      </c>
      <c r="U10" s="17"/>
      <c r="V10" s="17" t="s">
        <v>259</v>
      </c>
      <c r="W10" s="17" t="s">
        <v>257</v>
      </c>
      <c r="X10" s="17" t="s">
        <v>132</v>
      </c>
      <c r="Y10" s="17" t="s">
        <v>260</v>
      </c>
      <c r="Z10" s="17" t="s">
        <v>261</v>
      </c>
      <c r="AA10" s="17" t="s">
        <v>53</v>
      </c>
      <c r="AB10" s="17" t="s">
        <v>56</v>
      </c>
      <c r="AC10" s="17"/>
      <c r="AD10" s="17" t="s">
        <v>54</v>
      </c>
      <c r="AE10" s="17" t="s">
        <v>55</v>
      </c>
      <c r="AF10" s="17" t="s">
        <v>57</v>
      </c>
      <c r="AG10" s="17" t="s">
        <v>58</v>
      </c>
      <c r="AH10" s="17" t="s">
        <v>262</v>
      </c>
      <c r="AI10" s="17" t="s">
        <v>263</v>
      </c>
      <c r="AJ10" s="17" t="s">
        <v>264</v>
      </c>
      <c r="AK10" s="17" t="s">
        <v>54</v>
      </c>
      <c r="AL10" s="17" t="s">
        <v>265</v>
      </c>
      <c r="AM10" s="17" t="s">
        <v>266</v>
      </c>
      <c r="AN10" s="17" t="s">
        <v>267</v>
      </c>
      <c r="AO10" s="17" t="s">
        <v>153</v>
      </c>
      <c r="AP10" s="19">
        <v>1</v>
      </c>
      <c r="AQ10" s="19">
        <v>8</v>
      </c>
      <c r="AR10" s="19">
        <v>8</v>
      </c>
      <c r="AS10" s="19">
        <v>0</v>
      </c>
      <c r="AT10" s="19">
        <v>0</v>
      </c>
      <c r="AU10" s="19"/>
      <c r="AV10" s="19">
        <v>0</v>
      </c>
      <c r="AW10" s="19">
        <v>0</v>
      </c>
      <c r="AX10" s="17"/>
      <c r="AY10" s="19">
        <v>17.86</v>
      </c>
      <c r="AZ10" s="19">
        <v>5.7</v>
      </c>
      <c r="BA10" s="19">
        <v>23.56</v>
      </c>
      <c r="BB10" s="19">
        <v>3.05</v>
      </c>
      <c r="BC10" s="19">
        <v>2.6</v>
      </c>
      <c r="BD10" s="19">
        <v>5.84</v>
      </c>
      <c r="BE10" s="19">
        <v>35.049999999999997</v>
      </c>
      <c r="BF10" s="19"/>
      <c r="BG10" s="19">
        <v>0</v>
      </c>
      <c r="BH10" s="19"/>
      <c r="BI10" s="19"/>
      <c r="BJ10" s="17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>
        <v>5.7</v>
      </c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7"/>
      <c r="DB10" s="17"/>
      <c r="DC10" s="17" t="s">
        <v>183</v>
      </c>
      <c r="DD10" s="19" t="s">
        <v>183</v>
      </c>
      <c r="DE10">
        <v>8</v>
      </c>
    </row>
    <row r="11" spans="1:109" x14ac:dyDescent="0.25">
      <c r="C11" s="8" t="str">
        <f t="shared" si="3"/>
        <v>94464606</v>
      </c>
      <c r="D11" s="3">
        <f t="shared" si="0"/>
        <v>41.54</v>
      </c>
      <c r="E11" s="3">
        <f t="shared" si="1"/>
        <v>48.2</v>
      </c>
      <c r="F11" s="8">
        <f t="shared" si="4"/>
        <v>0</v>
      </c>
      <c r="G11" s="8">
        <f t="shared" si="5"/>
        <v>0</v>
      </c>
      <c r="H11" s="8">
        <f t="shared" si="6"/>
        <v>0</v>
      </c>
      <c r="I11" s="8">
        <f t="shared" si="7"/>
        <v>0</v>
      </c>
      <c r="J11" s="8">
        <f t="shared" si="8"/>
        <v>0</v>
      </c>
      <c r="K11" s="14">
        <f t="shared" si="2"/>
        <v>41.54</v>
      </c>
      <c r="M11" s="8">
        <f t="shared" si="9"/>
        <v>6.66</v>
      </c>
      <c r="N11" s="17" t="s">
        <v>220</v>
      </c>
      <c r="O11" s="18">
        <v>46203</v>
      </c>
      <c r="P11" s="17" t="s">
        <v>119</v>
      </c>
      <c r="Q11" s="17" t="s">
        <v>120</v>
      </c>
      <c r="R11" s="17" t="s">
        <v>53</v>
      </c>
      <c r="S11" s="17" t="s">
        <v>121</v>
      </c>
      <c r="T11" s="17" t="s">
        <v>268</v>
      </c>
      <c r="U11" s="17"/>
      <c r="V11" s="17" t="s">
        <v>269</v>
      </c>
      <c r="W11" s="17" t="s">
        <v>257</v>
      </c>
      <c r="X11" s="17" t="s">
        <v>132</v>
      </c>
      <c r="Y11" s="17"/>
      <c r="Z11" s="17"/>
      <c r="AA11" s="17" t="s">
        <v>53</v>
      </c>
      <c r="AB11" s="17" t="s">
        <v>56</v>
      </c>
      <c r="AC11" s="17"/>
      <c r="AD11" s="17" t="s">
        <v>54</v>
      </c>
      <c r="AE11" s="17" t="s">
        <v>55</v>
      </c>
      <c r="AF11" s="17" t="s">
        <v>57</v>
      </c>
      <c r="AG11" s="17" t="s">
        <v>58</v>
      </c>
      <c r="AH11" s="17" t="s">
        <v>208</v>
      </c>
      <c r="AI11" s="17" t="s">
        <v>209</v>
      </c>
      <c r="AJ11" s="17"/>
      <c r="AK11" s="17" t="s">
        <v>54</v>
      </c>
      <c r="AL11" s="17" t="s">
        <v>210</v>
      </c>
      <c r="AM11" s="17" t="s">
        <v>211</v>
      </c>
      <c r="AN11" s="17" t="s">
        <v>212</v>
      </c>
      <c r="AO11" s="17" t="s">
        <v>153</v>
      </c>
      <c r="AP11" s="19">
        <v>9</v>
      </c>
      <c r="AQ11" s="19">
        <v>80</v>
      </c>
      <c r="AR11" s="19">
        <v>80</v>
      </c>
      <c r="AS11" s="19">
        <v>0</v>
      </c>
      <c r="AT11" s="19">
        <v>0</v>
      </c>
      <c r="AU11" s="19"/>
      <c r="AV11" s="19">
        <v>0</v>
      </c>
      <c r="AW11" s="19">
        <v>0</v>
      </c>
      <c r="AX11" s="17"/>
      <c r="AY11" s="19">
        <v>38.94</v>
      </c>
      <c r="AZ11" s="19"/>
      <c r="BA11" s="19">
        <v>38.94</v>
      </c>
      <c r="BB11" s="19">
        <v>6.66</v>
      </c>
      <c r="BC11" s="19">
        <v>2.6</v>
      </c>
      <c r="BD11" s="19">
        <v>9.64</v>
      </c>
      <c r="BE11" s="19">
        <v>57.84</v>
      </c>
      <c r="BF11" s="19"/>
      <c r="BG11" s="19">
        <v>0</v>
      </c>
      <c r="BH11" s="19"/>
      <c r="BI11" s="19"/>
      <c r="BJ11" s="17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7"/>
      <c r="DB11" s="17"/>
      <c r="DC11" s="17" t="s">
        <v>183</v>
      </c>
      <c r="DD11" s="19" t="s">
        <v>183</v>
      </c>
      <c r="DE11">
        <v>80</v>
      </c>
    </row>
    <row r="12" spans="1:109" x14ac:dyDescent="0.25">
      <c r="C12" s="3" t="str">
        <f t="shared" si="3"/>
        <v>41517742</v>
      </c>
      <c r="D12" s="3">
        <f t="shared" si="0"/>
        <v>123.11999999999999</v>
      </c>
      <c r="E12" s="3">
        <f t="shared" si="1"/>
        <v>131.56</v>
      </c>
      <c r="F12" s="8">
        <f t="shared" si="4"/>
        <v>0</v>
      </c>
      <c r="G12" s="8">
        <f t="shared" si="5"/>
        <v>0</v>
      </c>
      <c r="H12" s="8">
        <f t="shared" si="6"/>
        <v>0</v>
      </c>
      <c r="I12" s="8">
        <f t="shared" si="7"/>
        <v>0</v>
      </c>
      <c r="J12" s="8">
        <f t="shared" si="8"/>
        <v>0</v>
      </c>
      <c r="K12" s="14">
        <f t="shared" si="2"/>
        <v>123.11999999999999</v>
      </c>
      <c r="M12" s="8">
        <f t="shared" si="9"/>
        <v>8.44</v>
      </c>
      <c r="N12" s="17" t="s">
        <v>220</v>
      </c>
      <c r="O12" s="18">
        <v>46203</v>
      </c>
      <c r="P12" s="17" t="s">
        <v>119</v>
      </c>
      <c r="Q12" s="17" t="s">
        <v>120</v>
      </c>
      <c r="R12" s="17" t="s">
        <v>53</v>
      </c>
      <c r="S12" s="17" t="s">
        <v>121</v>
      </c>
      <c r="T12" s="17" t="s">
        <v>270</v>
      </c>
      <c r="U12" s="17"/>
      <c r="V12" s="17" t="s">
        <v>271</v>
      </c>
      <c r="W12" s="17" t="s">
        <v>272</v>
      </c>
      <c r="X12" s="17" t="s">
        <v>59</v>
      </c>
      <c r="Y12" s="17" t="s">
        <v>273</v>
      </c>
      <c r="Z12" s="17"/>
      <c r="AA12" s="17" t="s">
        <v>53</v>
      </c>
      <c r="AB12" s="17" t="s">
        <v>56</v>
      </c>
      <c r="AC12" s="17"/>
      <c r="AD12" s="17" t="s">
        <v>54</v>
      </c>
      <c r="AE12" s="17" t="s">
        <v>55</v>
      </c>
      <c r="AF12" s="17" t="s">
        <v>57</v>
      </c>
      <c r="AG12" s="17" t="s">
        <v>58</v>
      </c>
      <c r="AH12" s="17" t="s">
        <v>274</v>
      </c>
      <c r="AI12" s="17" t="s">
        <v>275</v>
      </c>
      <c r="AJ12" s="17" t="s">
        <v>276</v>
      </c>
      <c r="AK12" s="17" t="s">
        <v>54</v>
      </c>
      <c r="AL12" s="17" t="s">
        <v>207</v>
      </c>
      <c r="AM12" s="17" t="s">
        <v>277</v>
      </c>
      <c r="AN12" s="17" t="s">
        <v>278</v>
      </c>
      <c r="AO12" s="17"/>
      <c r="AP12" s="19">
        <v>1</v>
      </c>
      <c r="AQ12" s="19">
        <v>132</v>
      </c>
      <c r="AR12" s="19">
        <v>132</v>
      </c>
      <c r="AS12" s="19">
        <v>0</v>
      </c>
      <c r="AT12" s="19">
        <v>0</v>
      </c>
      <c r="AU12" s="19"/>
      <c r="AV12" s="19">
        <v>0.4</v>
      </c>
      <c r="AW12" s="19">
        <v>0</v>
      </c>
      <c r="AX12" s="17"/>
      <c r="AY12" s="19">
        <v>120.52</v>
      </c>
      <c r="AZ12" s="19"/>
      <c r="BA12" s="19">
        <v>120.52</v>
      </c>
      <c r="BB12" s="19">
        <v>8.44</v>
      </c>
      <c r="BC12" s="19">
        <v>2.6</v>
      </c>
      <c r="BD12" s="19">
        <v>26.31</v>
      </c>
      <c r="BE12" s="19">
        <v>157.87</v>
      </c>
      <c r="BF12" s="19"/>
      <c r="BG12" s="19">
        <v>0</v>
      </c>
      <c r="BH12" s="19"/>
      <c r="BI12" s="19"/>
      <c r="BJ12" s="17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7"/>
      <c r="DB12" s="17"/>
      <c r="DC12" s="17" t="s">
        <v>183</v>
      </c>
      <c r="DD12" s="19" t="s">
        <v>183</v>
      </c>
    </row>
    <row r="13" spans="1:109" x14ac:dyDescent="0.25">
      <c r="C13" s="8" t="str">
        <f t="shared" si="3"/>
        <v>94291375</v>
      </c>
      <c r="D13" s="3">
        <f t="shared" si="0"/>
        <v>140.06</v>
      </c>
      <c r="E13" s="3">
        <f t="shared" si="1"/>
        <v>163.57</v>
      </c>
      <c r="F13" s="8">
        <f t="shared" si="4"/>
        <v>0</v>
      </c>
      <c r="G13" s="8">
        <f t="shared" si="5"/>
        <v>0</v>
      </c>
      <c r="H13" s="8">
        <f t="shared" si="6"/>
        <v>0</v>
      </c>
      <c r="I13" s="8">
        <f t="shared" si="7"/>
        <v>0</v>
      </c>
      <c r="J13" s="8">
        <f t="shared" si="8"/>
        <v>0</v>
      </c>
      <c r="K13" s="14">
        <f t="shared" si="2"/>
        <v>140.06</v>
      </c>
      <c r="M13" s="8">
        <f t="shared" si="9"/>
        <v>23.51</v>
      </c>
      <c r="N13" s="17" t="s">
        <v>220</v>
      </c>
      <c r="O13" s="18">
        <v>46203</v>
      </c>
      <c r="P13" s="17" t="s">
        <v>119</v>
      </c>
      <c r="Q13" s="17" t="s">
        <v>120</v>
      </c>
      <c r="R13" s="17" t="s">
        <v>53</v>
      </c>
      <c r="S13" s="17" t="s">
        <v>121</v>
      </c>
      <c r="T13" s="17" t="s">
        <v>279</v>
      </c>
      <c r="U13" s="17"/>
      <c r="V13" s="17" t="s">
        <v>280</v>
      </c>
      <c r="W13" s="17" t="s">
        <v>281</v>
      </c>
      <c r="X13" s="17" t="s">
        <v>282</v>
      </c>
      <c r="Y13" s="17"/>
      <c r="Z13" s="17"/>
      <c r="AA13" s="17" t="s">
        <v>53</v>
      </c>
      <c r="AB13" s="17" t="s">
        <v>56</v>
      </c>
      <c r="AC13" s="17"/>
      <c r="AD13" s="17" t="s">
        <v>54</v>
      </c>
      <c r="AE13" s="17" t="s">
        <v>55</v>
      </c>
      <c r="AF13" s="17" t="s">
        <v>57</v>
      </c>
      <c r="AG13" s="17" t="s">
        <v>58</v>
      </c>
      <c r="AH13" s="17" t="s">
        <v>283</v>
      </c>
      <c r="AI13" s="17" t="s">
        <v>284</v>
      </c>
      <c r="AJ13" s="17" t="s">
        <v>285</v>
      </c>
      <c r="AK13" s="17" t="s">
        <v>54</v>
      </c>
      <c r="AL13" s="17" t="s">
        <v>286</v>
      </c>
      <c r="AM13" s="17" t="s">
        <v>287</v>
      </c>
      <c r="AN13" s="17" t="s">
        <v>288</v>
      </c>
      <c r="AO13" s="17" t="s">
        <v>153</v>
      </c>
      <c r="AP13" s="19">
        <v>2</v>
      </c>
      <c r="AQ13" s="19">
        <v>437</v>
      </c>
      <c r="AR13" s="19">
        <v>437</v>
      </c>
      <c r="AS13" s="19">
        <v>0</v>
      </c>
      <c r="AT13" s="19">
        <v>0</v>
      </c>
      <c r="AU13" s="19"/>
      <c r="AV13" s="19">
        <v>0</v>
      </c>
      <c r="AW13" s="19">
        <v>0</v>
      </c>
      <c r="AX13" s="17"/>
      <c r="AY13" s="19">
        <v>137.46</v>
      </c>
      <c r="AZ13" s="19"/>
      <c r="BA13" s="19">
        <v>137.46</v>
      </c>
      <c r="BB13" s="19">
        <v>23.51</v>
      </c>
      <c r="BC13" s="19">
        <v>2.6</v>
      </c>
      <c r="BD13" s="19">
        <v>32.71</v>
      </c>
      <c r="BE13" s="19">
        <v>196.28</v>
      </c>
      <c r="BF13" s="19"/>
      <c r="BG13" s="19">
        <v>0</v>
      </c>
      <c r="BH13" s="19"/>
      <c r="BI13" s="19"/>
      <c r="BJ13" s="17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7"/>
      <c r="DB13" s="17"/>
      <c r="DC13" s="17" t="s">
        <v>183</v>
      </c>
      <c r="DD13" s="19" t="s">
        <v>183</v>
      </c>
      <c r="DE13">
        <v>2</v>
      </c>
    </row>
    <row r="14" spans="1:109" x14ac:dyDescent="0.25">
      <c r="C14" s="3" t="str">
        <f t="shared" si="3"/>
        <v>41565971</v>
      </c>
      <c r="D14" s="3">
        <f t="shared" si="0"/>
        <v>435.6</v>
      </c>
      <c r="E14" s="3">
        <f t="shared" si="1"/>
        <v>465.91</v>
      </c>
      <c r="F14" s="8">
        <f t="shared" si="4"/>
        <v>0</v>
      </c>
      <c r="G14" s="8">
        <f t="shared" si="5"/>
        <v>0</v>
      </c>
      <c r="H14" s="8">
        <f t="shared" si="6"/>
        <v>0</v>
      </c>
      <c r="I14" s="8">
        <f t="shared" si="7"/>
        <v>0</v>
      </c>
      <c r="J14" s="8">
        <f t="shared" si="8"/>
        <v>0</v>
      </c>
      <c r="K14" s="14">
        <f t="shared" si="2"/>
        <v>435.6</v>
      </c>
      <c r="M14" s="8">
        <f t="shared" si="9"/>
        <v>30.31</v>
      </c>
      <c r="N14" s="17" t="s">
        <v>220</v>
      </c>
      <c r="O14" s="18">
        <v>46203</v>
      </c>
      <c r="P14" s="17" t="s">
        <v>119</v>
      </c>
      <c r="Q14" s="17" t="s">
        <v>120</v>
      </c>
      <c r="R14" s="17" t="s">
        <v>53</v>
      </c>
      <c r="S14" s="17" t="s">
        <v>121</v>
      </c>
      <c r="T14" s="17"/>
      <c r="U14" s="17"/>
      <c r="V14" s="17" t="s">
        <v>289</v>
      </c>
      <c r="W14" s="17" t="s">
        <v>290</v>
      </c>
      <c r="X14" s="17" t="s">
        <v>200</v>
      </c>
      <c r="Y14" s="17"/>
      <c r="Z14" s="17"/>
      <c r="AA14" s="17" t="s">
        <v>201</v>
      </c>
      <c r="AB14" s="17" t="s">
        <v>202</v>
      </c>
      <c r="AC14" s="17"/>
      <c r="AD14" s="17" t="s">
        <v>196</v>
      </c>
      <c r="AE14" s="17" t="s">
        <v>203</v>
      </c>
      <c r="AF14" s="17" t="s">
        <v>204</v>
      </c>
      <c r="AG14" s="17" t="s">
        <v>205</v>
      </c>
      <c r="AH14" s="17" t="s">
        <v>53</v>
      </c>
      <c r="AI14" s="17" t="s">
        <v>56</v>
      </c>
      <c r="AJ14" s="17"/>
      <c r="AK14" s="17" t="s">
        <v>54</v>
      </c>
      <c r="AL14" s="17" t="s">
        <v>55</v>
      </c>
      <c r="AM14" s="17" t="s">
        <v>57</v>
      </c>
      <c r="AN14" s="17" t="s">
        <v>58</v>
      </c>
      <c r="AO14" s="17"/>
      <c r="AP14" s="19">
        <v>4</v>
      </c>
      <c r="AQ14" s="19">
        <v>1289</v>
      </c>
      <c r="AR14" s="19">
        <v>1289</v>
      </c>
      <c r="AS14" s="19">
        <v>0</v>
      </c>
      <c r="AT14" s="19">
        <v>0</v>
      </c>
      <c r="AU14" s="19"/>
      <c r="AV14" s="19">
        <v>1.6</v>
      </c>
      <c r="AW14" s="19">
        <v>0</v>
      </c>
      <c r="AX14" s="17"/>
      <c r="AY14" s="19">
        <v>433</v>
      </c>
      <c r="AZ14" s="19"/>
      <c r="BA14" s="19">
        <v>433</v>
      </c>
      <c r="BB14" s="19">
        <v>30.31</v>
      </c>
      <c r="BC14" s="19">
        <v>2.6</v>
      </c>
      <c r="BD14" s="19">
        <v>93.18</v>
      </c>
      <c r="BE14" s="19">
        <v>559.09</v>
      </c>
      <c r="BF14" s="19"/>
      <c r="BG14" s="19">
        <v>0</v>
      </c>
      <c r="BH14" s="19"/>
      <c r="BI14" s="19"/>
      <c r="BJ14" s="17" t="s">
        <v>206</v>
      </c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7"/>
      <c r="DB14" s="17"/>
      <c r="DC14" s="17" t="s">
        <v>183</v>
      </c>
      <c r="DD14" s="19" t="s">
        <v>183</v>
      </c>
    </row>
    <row r="15" spans="1:109" x14ac:dyDescent="0.25">
      <c r="C15" s="8" t="str">
        <f t="shared" si="3"/>
        <v>94806618</v>
      </c>
      <c r="D15" s="3">
        <f t="shared" si="0"/>
        <v>52.2</v>
      </c>
      <c r="E15" s="3">
        <f t="shared" si="1"/>
        <v>59.010000000000005</v>
      </c>
      <c r="F15" s="8">
        <f t="shared" si="4"/>
        <v>0</v>
      </c>
      <c r="G15" s="8">
        <f t="shared" si="5"/>
        <v>0</v>
      </c>
      <c r="H15" s="8">
        <f t="shared" si="6"/>
        <v>0</v>
      </c>
      <c r="I15" s="8">
        <f t="shared" si="7"/>
        <v>9.8000000000000007</v>
      </c>
      <c r="J15" s="8">
        <f t="shared" si="8"/>
        <v>0</v>
      </c>
      <c r="K15" s="14">
        <f t="shared" si="2"/>
        <v>42.4</v>
      </c>
      <c r="M15" s="8">
        <f t="shared" si="9"/>
        <v>6.81</v>
      </c>
      <c r="N15" s="17" t="s">
        <v>220</v>
      </c>
      <c r="O15" s="18">
        <v>46203</v>
      </c>
      <c r="P15" s="17" t="s">
        <v>119</v>
      </c>
      <c r="Q15" s="17" t="s">
        <v>120</v>
      </c>
      <c r="R15" s="17" t="s">
        <v>53</v>
      </c>
      <c r="S15" s="17" t="s">
        <v>121</v>
      </c>
      <c r="T15" s="17" t="s">
        <v>291</v>
      </c>
      <c r="U15" s="17"/>
      <c r="V15" s="17" t="s">
        <v>292</v>
      </c>
      <c r="W15" s="17" t="s">
        <v>293</v>
      </c>
      <c r="X15" s="17" t="s">
        <v>132</v>
      </c>
      <c r="Y15" s="17"/>
      <c r="Z15" s="17"/>
      <c r="AA15" s="17" t="s">
        <v>53</v>
      </c>
      <c r="AB15" s="17" t="s">
        <v>56</v>
      </c>
      <c r="AC15" s="17"/>
      <c r="AD15" s="17" t="s">
        <v>54</v>
      </c>
      <c r="AE15" s="17" t="s">
        <v>55</v>
      </c>
      <c r="AF15" s="17" t="s">
        <v>57</v>
      </c>
      <c r="AG15" s="17" t="s">
        <v>58</v>
      </c>
      <c r="AH15" s="17" t="s">
        <v>133</v>
      </c>
      <c r="AI15" s="17" t="s">
        <v>134</v>
      </c>
      <c r="AJ15" s="17"/>
      <c r="AK15" s="17" t="s">
        <v>54</v>
      </c>
      <c r="AL15" s="17" t="s">
        <v>135</v>
      </c>
      <c r="AM15" s="17" t="s">
        <v>136</v>
      </c>
      <c r="AN15" s="17" t="s">
        <v>137</v>
      </c>
      <c r="AO15" s="17" t="s">
        <v>153</v>
      </c>
      <c r="AP15" s="19">
        <v>1</v>
      </c>
      <c r="AQ15" s="19">
        <v>47</v>
      </c>
      <c r="AR15" s="19">
        <v>47</v>
      </c>
      <c r="AS15" s="19">
        <v>0</v>
      </c>
      <c r="AT15" s="19">
        <v>0</v>
      </c>
      <c r="AU15" s="19">
        <v>9.8000000000000007</v>
      </c>
      <c r="AV15" s="19">
        <v>0</v>
      </c>
      <c r="AW15" s="19">
        <v>0</v>
      </c>
      <c r="AX15" s="17"/>
      <c r="AY15" s="19">
        <v>39.799999999999997</v>
      </c>
      <c r="AZ15" s="19"/>
      <c r="BA15" s="19">
        <v>39.799999999999997</v>
      </c>
      <c r="BB15" s="19">
        <v>6.81</v>
      </c>
      <c r="BC15" s="19">
        <v>2.6</v>
      </c>
      <c r="BD15" s="19">
        <v>11.8</v>
      </c>
      <c r="BE15" s="19">
        <v>70.81</v>
      </c>
      <c r="BF15" s="19"/>
      <c r="BG15" s="19">
        <v>0</v>
      </c>
      <c r="BH15" s="19"/>
      <c r="BI15" s="19"/>
      <c r="BJ15" s="17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7"/>
      <c r="DB15" s="17"/>
      <c r="DC15" s="17" t="s">
        <v>183</v>
      </c>
      <c r="DD15" s="19" t="s">
        <v>183</v>
      </c>
      <c r="DE15">
        <v>47</v>
      </c>
    </row>
    <row r="16" spans="1:109" x14ac:dyDescent="0.25">
      <c r="C16" s="8" t="str">
        <f t="shared" si="3"/>
        <v>94851743</v>
      </c>
      <c r="D16" s="3">
        <f t="shared" si="0"/>
        <v>71.58</v>
      </c>
      <c r="E16" s="3">
        <f t="shared" si="1"/>
        <v>82.4</v>
      </c>
      <c r="F16" s="8">
        <f t="shared" si="4"/>
        <v>0</v>
      </c>
      <c r="G16" s="8">
        <f t="shared" si="5"/>
        <v>0</v>
      </c>
      <c r="H16" s="8">
        <f t="shared" si="6"/>
        <v>0</v>
      </c>
      <c r="I16" s="8">
        <f t="shared" si="7"/>
        <v>0</v>
      </c>
      <c r="J16" s="8">
        <f t="shared" si="8"/>
        <v>0</v>
      </c>
      <c r="K16" s="14">
        <f t="shared" si="2"/>
        <v>71.58</v>
      </c>
      <c r="M16" s="8">
        <f t="shared" si="9"/>
        <v>10.82</v>
      </c>
      <c r="N16" s="17" t="s">
        <v>220</v>
      </c>
      <c r="O16" s="18">
        <v>46203</v>
      </c>
      <c r="P16" s="17" t="s">
        <v>119</v>
      </c>
      <c r="Q16" s="17" t="s">
        <v>120</v>
      </c>
      <c r="R16" s="17" t="s">
        <v>53</v>
      </c>
      <c r="S16" s="17" t="s">
        <v>121</v>
      </c>
      <c r="T16" s="17" t="s">
        <v>294</v>
      </c>
      <c r="U16" s="17" t="s">
        <v>295</v>
      </c>
      <c r="V16" s="17" t="s">
        <v>296</v>
      </c>
      <c r="W16" s="17" t="s">
        <v>297</v>
      </c>
      <c r="X16" s="17" t="s">
        <v>132</v>
      </c>
      <c r="Y16" s="17" t="s">
        <v>165</v>
      </c>
      <c r="Z16" s="17" t="s">
        <v>166</v>
      </c>
      <c r="AA16" s="17" t="s">
        <v>53</v>
      </c>
      <c r="AB16" s="17" t="s">
        <v>56</v>
      </c>
      <c r="AC16" s="17"/>
      <c r="AD16" s="17" t="s">
        <v>54</v>
      </c>
      <c r="AE16" s="17" t="s">
        <v>55</v>
      </c>
      <c r="AF16" s="17" t="s">
        <v>57</v>
      </c>
      <c r="AG16" s="17" t="s">
        <v>58</v>
      </c>
      <c r="AH16" s="17" t="s">
        <v>167</v>
      </c>
      <c r="AI16" s="17" t="s">
        <v>168</v>
      </c>
      <c r="AJ16" s="17"/>
      <c r="AK16" s="17" t="s">
        <v>54</v>
      </c>
      <c r="AL16" s="17" t="s">
        <v>169</v>
      </c>
      <c r="AM16" s="17" t="s">
        <v>170</v>
      </c>
      <c r="AN16" s="17" t="s">
        <v>171</v>
      </c>
      <c r="AO16" s="17"/>
      <c r="AP16" s="19">
        <v>1</v>
      </c>
      <c r="AQ16" s="19">
        <v>115</v>
      </c>
      <c r="AR16" s="19">
        <v>115</v>
      </c>
      <c r="AS16" s="19">
        <v>0</v>
      </c>
      <c r="AT16" s="19">
        <v>0</v>
      </c>
      <c r="AU16" s="19"/>
      <c r="AV16" s="19">
        <v>0</v>
      </c>
      <c r="AW16" s="19">
        <v>0</v>
      </c>
      <c r="AX16" s="17"/>
      <c r="AY16" s="19">
        <v>63.28</v>
      </c>
      <c r="AZ16" s="19">
        <v>5.7</v>
      </c>
      <c r="BA16" s="19">
        <v>68.98</v>
      </c>
      <c r="BB16" s="19">
        <v>10.82</v>
      </c>
      <c r="BC16" s="19">
        <v>2.6</v>
      </c>
      <c r="BD16" s="19">
        <v>16.48</v>
      </c>
      <c r="BE16" s="19">
        <v>98.88</v>
      </c>
      <c r="BF16" s="19"/>
      <c r="BG16" s="19">
        <v>0</v>
      </c>
      <c r="BH16" s="19"/>
      <c r="BI16" s="19"/>
      <c r="BJ16" s="17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>
        <v>5.7</v>
      </c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7"/>
      <c r="DB16" s="17"/>
      <c r="DC16" s="17" t="s">
        <v>183</v>
      </c>
      <c r="DD16" s="19" t="s">
        <v>183</v>
      </c>
      <c r="DE16">
        <v>120</v>
      </c>
    </row>
    <row r="17" spans="3:109" x14ac:dyDescent="0.25">
      <c r="C17" s="8" t="str">
        <f t="shared" si="3"/>
        <v>94906944</v>
      </c>
      <c r="D17" s="3">
        <f t="shared" si="0"/>
        <v>377.86</v>
      </c>
      <c r="E17" s="3">
        <f t="shared" si="1"/>
        <v>417.25</v>
      </c>
      <c r="F17" s="8">
        <f t="shared" si="4"/>
        <v>0</v>
      </c>
      <c r="G17" s="8">
        <f t="shared" si="5"/>
        <v>0</v>
      </c>
      <c r="H17" s="8">
        <f t="shared" si="6"/>
        <v>0</v>
      </c>
      <c r="I17" s="8">
        <f t="shared" si="7"/>
        <v>0</v>
      </c>
      <c r="J17" s="8">
        <f t="shared" si="8"/>
        <v>0</v>
      </c>
      <c r="K17" s="14">
        <f t="shared" si="2"/>
        <v>377.86</v>
      </c>
      <c r="M17" s="8">
        <f t="shared" si="9"/>
        <v>39.39</v>
      </c>
      <c r="N17" s="17" t="s">
        <v>220</v>
      </c>
      <c r="O17" s="18">
        <v>46203</v>
      </c>
      <c r="P17" s="17" t="s">
        <v>119</v>
      </c>
      <c r="Q17" s="17" t="s">
        <v>120</v>
      </c>
      <c r="R17" s="17" t="s">
        <v>53</v>
      </c>
      <c r="S17" s="17" t="s">
        <v>121</v>
      </c>
      <c r="T17" s="17" t="s">
        <v>298</v>
      </c>
      <c r="U17" s="17"/>
      <c r="V17" s="17" t="s">
        <v>299</v>
      </c>
      <c r="W17" s="17" t="s">
        <v>297</v>
      </c>
      <c r="X17" s="17" t="s">
        <v>227</v>
      </c>
      <c r="Y17" s="17"/>
      <c r="Z17" s="17"/>
      <c r="AA17" s="17" t="s">
        <v>53</v>
      </c>
      <c r="AB17" s="17" t="s">
        <v>56</v>
      </c>
      <c r="AC17" s="17"/>
      <c r="AD17" s="17" t="s">
        <v>54</v>
      </c>
      <c r="AE17" s="17" t="s">
        <v>55</v>
      </c>
      <c r="AF17" s="17" t="s">
        <v>57</v>
      </c>
      <c r="AG17" s="17" t="s">
        <v>58</v>
      </c>
      <c r="AH17" s="17" t="s">
        <v>138</v>
      </c>
      <c r="AI17" s="17" t="s">
        <v>139</v>
      </c>
      <c r="AJ17" s="17"/>
      <c r="AK17" s="17" t="s">
        <v>54</v>
      </c>
      <c r="AL17" s="17" t="s">
        <v>60</v>
      </c>
      <c r="AM17" s="17" t="s">
        <v>140</v>
      </c>
      <c r="AN17" s="17" t="s">
        <v>141</v>
      </c>
      <c r="AO17" s="17"/>
      <c r="AP17" s="19">
        <v>1</v>
      </c>
      <c r="AQ17" s="19">
        <v>104</v>
      </c>
      <c r="AR17" s="19">
        <v>104</v>
      </c>
      <c r="AS17" s="19">
        <v>0</v>
      </c>
      <c r="AT17" s="19">
        <v>0</v>
      </c>
      <c r="AU17" s="19"/>
      <c r="AV17" s="19">
        <v>0</v>
      </c>
      <c r="AW17" s="19">
        <v>0</v>
      </c>
      <c r="AX17" s="17"/>
      <c r="AY17" s="19">
        <v>230.36</v>
      </c>
      <c r="AZ17" s="19">
        <v>144.9</v>
      </c>
      <c r="BA17" s="19">
        <v>375.26</v>
      </c>
      <c r="BB17" s="19">
        <v>39.39</v>
      </c>
      <c r="BC17" s="19">
        <v>2.6</v>
      </c>
      <c r="BD17" s="19">
        <v>83.45</v>
      </c>
      <c r="BE17" s="19">
        <v>500.7</v>
      </c>
      <c r="BF17" s="19"/>
      <c r="BG17" s="19">
        <v>0</v>
      </c>
      <c r="BH17" s="19"/>
      <c r="BI17" s="19"/>
      <c r="BJ17" s="17"/>
      <c r="BK17" s="19"/>
      <c r="BL17" s="19">
        <v>135</v>
      </c>
      <c r="BM17" s="19"/>
      <c r="BN17" s="19"/>
      <c r="BO17" s="19"/>
      <c r="BP17" s="19"/>
      <c r="BQ17" s="19"/>
      <c r="BR17" s="19"/>
      <c r="BS17" s="19">
        <v>9.9</v>
      </c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7"/>
      <c r="DB17" s="17"/>
      <c r="DC17" s="17" t="s">
        <v>183</v>
      </c>
      <c r="DD17" s="19" t="s">
        <v>183</v>
      </c>
      <c r="DE17">
        <v>110</v>
      </c>
    </row>
    <row r="18" spans="3:109" x14ac:dyDescent="0.25">
      <c r="C18" s="8" t="str">
        <f t="shared" si="3"/>
        <v>41668167</v>
      </c>
      <c r="D18" s="3">
        <f t="shared" si="0"/>
        <v>225.73</v>
      </c>
      <c r="E18" s="3">
        <f t="shared" si="1"/>
        <v>241.35</v>
      </c>
      <c r="F18" s="8">
        <f t="shared" si="4"/>
        <v>0</v>
      </c>
      <c r="G18" s="8">
        <f t="shared" si="5"/>
        <v>0</v>
      </c>
      <c r="H18" s="8">
        <f t="shared" si="6"/>
        <v>0</v>
      </c>
      <c r="I18" s="8">
        <f t="shared" si="7"/>
        <v>0</v>
      </c>
      <c r="J18" s="8">
        <f t="shared" si="8"/>
        <v>0</v>
      </c>
      <c r="K18" s="14">
        <f t="shared" si="2"/>
        <v>225.73</v>
      </c>
      <c r="M18" s="8">
        <f t="shared" si="9"/>
        <v>15.62</v>
      </c>
      <c r="N18" s="17" t="s">
        <v>220</v>
      </c>
      <c r="O18" s="18">
        <v>46203</v>
      </c>
      <c r="P18" s="17" t="s">
        <v>119</v>
      </c>
      <c r="Q18" s="17" t="s">
        <v>120</v>
      </c>
      <c r="R18" s="17" t="s">
        <v>53</v>
      </c>
      <c r="S18" s="17" t="s">
        <v>121</v>
      </c>
      <c r="T18" s="17"/>
      <c r="U18" s="17"/>
      <c r="V18" s="17" t="s">
        <v>300</v>
      </c>
      <c r="W18" s="17" t="s">
        <v>301</v>
      </c>
      <c r="X18" s="17" t="s">
        <v>59</v>
      </c>
      <c r="Y18" s="17"/>
      <c r="Z18" s="17"/>
      <c r="AA18" s="17" t="s">
        <v>53</v>
      </c>
      <c r="AB18" s="17" t="s">
        <v>56</v>
      </c>
      <c r="AC18" s="17"/>
      <c r="AD18" s="17" t="s">
        <v>54</v>
      </c>
      <c r="AE18" s="17" t="s">
        <v>55</v>
      </c>
      <c r="AF18" s="17" t="s">
        <v>57</v>
      </c>
      <c r="AG18" s="17" t="s">
        <v>58</v>
      </c>
      <c r="AH18" s="17" t="s">
        <v>302</v>
      </c>
      <c r="AI18" s="17" t="s">
        <v>303</v>
      </c>
      <c r="AJ18" s="17"/>
      <c r="AK18" s="17" t="s">
        <v>54</v>
      </c>
      <c r="AL18" s="17" t="s">
        <v>190</v>
      </c>
      <c r="AM18" s="17" t="s">
        <v>192</v>
      </c>
      <c r="AN18" s="17" t="s">
        <v>193</v>
      </c>
      <c r="AO18" s="17"/>
      <c r="AP18" s="19">
        <v>4</v>
      </c>
      <c r="AQ18" s="19">
        <v>850</v>
      </c>
      <c r="AR18" s="19">
        <v>850</v>
      </c>
      <c r="AS18" s="19">
        <v>0</v>
      </c>
      <c r="AT18" s="19">
        <v>0</v>
      </c>
      <c r="AU18" s="19"/>
      <c r="AV18" s="19">
        <v>1.6</v>
      </c>
      <c r="AW18" s="19">
        <v>0</v>
      </c>
      <c r="AX18" s="17"/>
      <c r="AY18" s="19">
        <v>223.13</v>
      </c>
      <c r="AZ18" s="19"/>
      <c r="BA18" s="19">
        <v>223.13</v>
      </c>
      <c r="BB18" s="19">
        <v>15.62</v>
      </c>
      <c r="BC18" s="19">
        <v>2.6</v>
      </c>
      <c r="BD18" s="19">
        <v>48.27</v>
      </c>
      <c r="BE18" s="19">
        <v>289.62</v>
      </c>
      <c r="BF18" s="19"/>
      <c r="BG18" s="19">
        <v>0</v>
      </c>
      <c r="BH18" s="19"/>
      <c r="BI18" s="19"/>
      <c r="BJ18" s="17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7"/>
      <c r="DB18" s="17"/>
      <c r="DC18" s="17" t="s">
        <v>183</v>
      </c>
      <c r="DD18" s="19" t="s">
        <v>183</v>
      </c>
    </row>
    <row r="19" spans="3:109" x14ac:dyDescent="0.25">
      <c r="C19" s="8" t="str">
        <f t="shared" si="3"/>
        <v>95104244</v>
      </c>
      <c r="D19" s="3">
        <f t="shared" si="0"/>
        <v>83.11</v>
      </c>
      <c r="E19" s="3">
        <f t="shared" si="1"/>
        <v>92.5</v>
      </c>
      <c r="F19" s="8">
        <f t="shared" si="4"/>
        <v>0</v>
      </c>
      <c r="G19" s="8">
        <f t="shared" si="5"/>
        <v>0</v>
      </c>
      <c r="H19" s="8">
        <f t="shared" si="6"/>
        <v>0</v>
      </c>
      <c r="I19" s="8">
        <f t="shared" si="7"/>
        <v>0</v>
      </c>
      <c r="J19" s="8">
        <f t="shared" si="8"/>
        <v>0</v>
      </c>
      <c r="K19" s="14">
        <f t="shared" si="2"/>
        <v>83.11</v>
      </c>
      <c r="M19" s="8">
        <f t="shared" si="9"/>
        <v>9.39</v>
      </c>
      <c r="N19" s="17" t="s">
        <v>220</v>
      </c>
      <c r="O19" s="18">
        <v>46203</v>
      </c>
      <c r="P19" s="17" t="s">
        <v>119</v>
      </c>
      <c r="Q19" s="17" t="s">
        <v>120</v>
      </c>
      <c r="R19" s="17" t="s">
        <v>53</v>
      </c>
      <c r="S19" s="17" t="s">
        <v>121</v>
      </c>
      <c r="T19" s="17" t="s">
        <v>304</v>
      </c>
      <c r="U19" s="17" t="s">
        <v>305</v>
      </c>
      <c r="V19" s="17" t="s">
        <v>306</v>
      </c>
      <c r="W19" s="17" t="s">
        <v>301</v>
      </c>
      <c r="X19" s="17" t="s">
        <v>132</v>
      </c>
      <c r="Y19" s="17" t="s">
        <v>185</v>
      </c>
      <c r="Z19" s="17" t="s">
        <v>186</v>
      </c>
      <c r="AA19" s="17" t="s">
        <v>53</v>
      </c>
      <c r="AB19" s="17" t="s">
        <v>56</v>
      </c>
      <c r="AC19" s="17"/>
      <c r="AD19" s="17" t="s">
        <v>54</v>
      </c>
      <c r="AE19" s="17" t="s">
        <v>55</v>
      </c>
      <c r="AF19" s="17" t="s">
        <v>57</v>
      </c>
      <c r="AG19" s="17" t="s">
        <v>58</v>
      </c>
      <c r="AH19" s="17" t="s">
        <v>187</v>
      </c>
      <c r="AI19" s="17" t="s">
        <v>188</v>
      </c>
      <c r="AJ19" s="17" t="s">
        <v>189</v>
      </c>
      <c r="AK19" s="17" t="s">
        <v>54</v>
      </c>
      <c r="AL19" s="17" t="s">
        <v>142</v>
      </c>
      <c r="AM19" s="17" t="s">
        <v>143</v>
      </c>
      <c r="AN19" s="17" t="s">
        <v>144</v>
      </c>
      <c r="AO19" s="17"/>
      <c r="AP19" s="19">
        <v>1</v>
      </c>
      <c r="AQ19" s="19">
        <v>80</v>
      </c>
      <c r="AR19" s="19">
        <v>80</v>
      </c>
      <c r="AS19" s="19">
        <v>0</v>
      </c>
      <c r="AT19" s="19">
        <v>0</v>
      </c>
      <c r="AU19" s="19"/>
      <c r="AV19" s="19">
        <v>0</v>
      </c>
      <c r="AW19" s="19">
        <v>0</v>
      </c>
      <c r="AX19" s="17"/>
      <c r="AY19" s="19">
        <v>54.91</v>
      </c>
      <c r="AZ19" s="19">
        <v>25.6</v>
      </c>
      <c r="BA19" s="19">
        <v>80.510000000000005</v>
      </c>
      <c r="BB19" s="19">
        <v>9.39</v>
      </c>
      <c r="BC19" s="19">
        <v>2.6</v>
      </c>
      <c r="BD19" s="19">
        <v>18.5</v>
      </c>
      <c r="BE19" s="19">
        <v>111</v>
      </c>
      <c r="BF19" s="19"/>
      <c r="BG19" s="19">
        <v>0</v>
      </c>
      <c r="BH19" s="19"/>
      <c r="BI19" s="19"/>
      <c r="BJ19" s="17"/>
      <c r="BK19" s="19"/>
      <c r="BL19" s="19"/>
      <c r="BM19" s="19"/>
      <c r="BN19" s="19"/>
      <c r="BO19" s="19"/>
      <c r="BP19" s="19"/>
      <c r="BQ19" s="19"/>
      <c r="BR19" s="19"/>
      <c r="BS19" s="19"/>
      <c r="BT19" s="19">
        <v>19.899999999999999</v>
      </c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>
        <v>5.7</v>
      </c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7"/>
      <c r="DB19" s="17"/>
      <c r="DC19" s="17" t="s">
        <v>183</v>
      </c>
      <c r="DD19" s="19" t="s">
        <v>183</v>
      </c>
      <c r="DE19">
        <v>80</v>
      </c>
    </row>
    <row r="20" spans="3:109" x14ac:dyDescent="0.25">
      <c r="C20" s="8" t="str">
        <f t="shared" si="3"/>
        <v>95191602</v>
      </c>
      <c r="D20" s="3">
        <f t="shared" si="0"/>
        <v>34.85</v>
      </c>
      <c r="E20" s="3">
        <f t="shared" si="1"/>
        <v>40.36</v>
      </c>
      <c r="F20" s="8">
        <f t="shared" si="4"/>
        <v>0</v>
      </c>
      <c r="G20" s="8">
        <f t="shared" si="5"/>
        <v>0</v>
      </c>
      <c r="H20" s="8">
        <f t="shared" si="6"/>
        <v>0</v>
      </c>
      <c r="I20" s="8">
        <f t="shared" si="7"/>
        <v>0</v>
      </c>
      <c r="J20" s="8">
        <f t="shared" si="8"/>
        <v>0</v>
      </c>
      <c r="K20" s="14">
        <f t="shared" si="2"/>
        <v>34.85</v>
      </c>
      <c r="M20" s="8">
        <f t="shared" si="9"/>
        <v>5.51</v>
      </c>
      <c r="N20" s="17" t="s">
        <v>220</v>
      </c>
      <c r="O20" s="18">
        <v>46203</v>
      </c>
      <c r="P20" s="17" t="s">
        <v>119</v>
      </c>
      <c r="Q20" s="17" t="s">
        <v>120</v>
      </c>
      <c r="R20" s="17" t="s">
        <v>53</v>
      </c>
      <c r="S20" s="17" t="s">
        <v>121</v>
      </c>
      <c r="T20" s="17" t="s">
        <v>307</v>
      </c>
      <c r="U20" s="17"/>
      <c r="V20" s="17" t="s">
        <v>308</v>
      </c>
      <c r="W20" s="17" t="s">
        <v>309</v>
      </c>
      <c r="X20" s="17" t="s">
        <v>132</v>
      </c>
      <c r="Y20" s="17" t="s">
        <v>147</v>
      </c>
      <c r="Z20" s="17" t="s">
        <v>148</v>
      </c>
      <c r="AA20" s="17" t="s">
        <v>53</v>
      </c>
      <c r="AB20" s="17" t="s">
        <v>56</v>
      </c>
      <c r="AC20" s="17"/>
      <c r="AD20" s="17" t="s">
        <v>54</v>
      </c>
      <c r="AE20" s="17" t="s">
        <v>55</v>
      </c>
      <c r="AF20" s="17" t="s">
        <v>57</v>
      </c>
      <c r="AG20" s="17" t="s">
        <v>58</v>
      </c>
      <c r="AH20" s="17" t="s">
        <v>149</v>
      </c>
      <c r="AI20" s="17" t="s">
        <v>150</v>
      </c>
      <c r="AJ20" s="17" t="s">
        <v>151</v>
      </c>
      <c r="AK20" s="17" t="s">
        <v>54</v>
      </c>
      <c r="AL20" s="17" t="s">
        <v>142</v>
      </c>
      <c r="AM20" s="17" t="s">
        <v>143</v>
      </c>
      <c r="AN20" s="17" t="s">
        <v>144</v>
      </c>
      <c r="AO20" s="17" t="s">
        <v>153</v>
      </c>
      <c r="AP20" s="19">
        <v>3</v>
      </c>
      <c r="AQ20" s="19">
        <v>24.7</v>
      </c>
      <c r="AR20" s="19">
        <v>26</v>
      </c>
      <c r="AS20" s="19">
        <v>0</v>
      </c>
      <c r="AT20" s="19">
        <v>0</v>
      </c>
      <c r="AU20" s="19"/>
      <c r="AV20" s="19">
        <v>0</v>
      </c>
      <c r="AW20" s="19">
        <v>0</v>
      </c>
      <c r="AX20" s="17"/>
      <c r="AY20" s="19">
        <v>32.25</v>
      </c>
      <c r="AZ20" s="19"/>
      <c r="BA20" s="19">
        <v>32.25</v>
      </c>
      <c r="BB20" s="19">
        <v>5.51</v>
      </c>
      <c r="BC20" s="19">
        <v>2.6</v>
      </c>
      <c r="BD20" s="19">
        <v>8.07</v>
      </c>
      <c r="BE20" s="19">
        <v>48.43</v>
      </c>
      <c r="BF20" s="19"/>
      <c r="BG20" s="19">
        <v>0</v>
      </c>
      <c r="BH20" s="19"/>
      <c r="BI20" s="19"/>
      <c r="BJ20" s="17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7"/>
      <c r="DB20" s="17"/>
      <c r="DC20" s="17" t="s">
        <v>183</v>
      </c>
      <c r="DD20" s="19" t="s">
        <v>183</v>
      </c>
      <c r="DE20">
        <v>26</v>
      </c>
    </row>
    <row r="21" spans="3:109" x14ac:dyDescent="0.25">
      <c r="C21" s="8" t="str">
        <f t="shared" si="3"/>
        <v>95325743</v>
      </c>
      <c r="D21" s="3">
        <f t="shared" si="0"/>
        <v>90.12</v>
      </c>
      <c r="E21" s="3">
        <f t="shared" si="1"/>
        <v>102.76</v>
      </c>
      <c r="F21" s="8">
        <f t="shared" si="4"/>
        <v>0</v>
      </c>
      <c r="G21" s="8">
        <f t="shared" si="5"/>
        <v>0</v>
      </c>
      <c r="H21" s="8">
        <f t="shared" si="6"/>
        <v>0</v>
      </c>
      <c r="I21" s="8">
        <f t="shared" si="7"/>
        <v>0</v>
      </c>
      <c r="J21" s="8">
        <f t="shared" si="8"/>
        <v>0</v>
      </c>
      <c r="K21" s="14">
        <f t="shared" si="2"/>
        <v>90.12</v>
      </c>
      <c r="M21" s="8">
        <f t="shared" si="9"/>
        <v>12.64</v>
      </c>
      <c r="N21" s="17" t="s">
        <v>220</v>
      </c>
      <c r="O21" s="18">
        <v>46203</v>
      </c>
      <c r="P21" s="17" t="s">
        <v>119</v>
      </c>
      <c r="Q21" s="17" t="s">
        <v>120</v>
      </c>
      <c r="R21" s="17" t="s">
        <v>53</v>
      </c>
      <c r="S21" s="17" t="s">
        <v>121</v>
      </c>
      <c r="T21" s="17" t="s">
        <v>310</v>
      </c>
      <c r="U21" s="17" t="s">
        <v>311</v>
      </c>
      <c r="V21" s="17" t="s">
        <v>312</v>
      </c>
      <c r="W21" s="17" t="s">
        <v>313</v>
      </c>
      <c r="X21" s="17" t="s">
        <v>132</v>
      </c>
      <c r="Y21" s="17" t="s">
        <v>314</v>
      </c>
      <c r="Z21" s="17" t="s">
        <v>315</v>
      </c>
      <c r="AA21" s="17" t="s">
        <v>53</v>
      </c>
      <c r="AB21" s="17" t="s">
        <v>56</v>
      </c>
      <c r="AC21" s="17"/>
      <c r="AD21" s="17" t="s">
        <v>54</v>
      </c>
      <c r="AE21" s="17" t="s">
        <v>55</v>
      </c>
      <c r="AF21" s="17" t="s">
        <v>57</v>
      </c>
      <c r="AG21" s="17" t="s">
        <v>58</v>
      </c>
      <c r="AH21" s="17" t="s">
        <v>172</v>
      </c>
      <c r="AI21" s="17" t="s">
        <v>316</v>
      </c>
      <c r="AJ21" s="17" t="s">
        <v>173</v>
      </c>
      <c r="AK21" s="17" t="s">
        <v>54</v>
      </c>
      <c r="AL21" s="17" t="s">
        <v>154</v>
      </c>
      <c r="AM21" s="17" t="s">
        <v>155</v>
      </c>
      <c r="AN21" s="17" t="s">
        <v>156</v>
      </c>
      <c r="AO21" s="17"/>
      <c r="AP21" s="19">
        <v>1</v>
      </c>
      <c r="AQ21" s="19">
        <v>150</v>
      </c>
      <c r="AR21" s="19">
        <v>150</v>
      </c>
      <c r="AS21" s="19">
        <v>0</v>
      </c>
      <c r="AT21" s="19">
        <v>0</v>
      </c>
      <c r="AU21" s="19"/>
      <c r="AV21" s="19">
        <v>0</v>
      </c>
      <c r="AW21" s="19">
        <v>0</v>
      </c>
      <c r="AX21" s="17"/>
      <c r="AY21" s="19">
        <v>73.92</v>
      </c>
      <c r="AZ21" s="19">
        <v>13.6</v>
      </c>
      <c r="BA21" s="19">
        <v>87.52</v>
      </c>
      <c r="BB21" s="19">
        <v>12.64</v>
      </c>
      <c r="BC21" s="19">
        <v>2.6</v>
      </c>
      <c r="BD21" s="19">
        <v>20.55</v>
      </c>
      <c r="BE21" s="19">
        <v>123.31</v>
      </c>
      <c r="BF21" s="19"/>
      <c r="BG21" s="19">
        <v>0</v>
      </c>
      <c r="BH21" s="19"/>
      <c r="BI21" s="19"/>
      <c r="BJ21" s="17"/>
      <c r="BK21" s="19"/>
      <c r="BL21" s="19"/>
      <c r="BM21" s="19"/>
      <c r="BN21" s="19"/>
      <c r="BO21" s="19"/>
      <c r="BP21" s="19"/>
      <c r="BQ21" s="19"/>
      <c r="BR21" s="19"/>
      <c r="BS21" s="19">
        <v>9.9</v>
      </c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>
        <v>3.7</v>
      </c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7"/>
      <c r="DB21" s="17"/>
      <c r="DC21" s="17" t="s">
        <v>183</v>
      </c>
      <c r="DD21" s="19" t="s">
        <v>183</v>
      </c>
      <c r="DE21">
        <v>150</v>
      </c>
    </row>
    <row r="22" spans="3:109" x14ac:dyDescent="0.25">
      <c r="C22" s="8" t="str">
        <f t="shared" si="3"/>
        <v>95334322</v>
      </c>
      <c r="D22" s="3">
        <f t="shared" si="0"/>
        <v>75.34</v>
      </c>
      <c r="E22" s="3">
        <f t="shared" si="1"/>
        <v>85.45</v>
      </c>
      <c r="F22" s="8">
        <f t="shared" si="4"/>
        <v>0</v>
      </c>
      <c r="G22" s="8">
        <f t="shared" si="5"/>
        <v>0</v>
      </c>
      <c r="H22" s="8">
        <f t="shared" si="6"/>
        <v>0</v>
      </c>
      <c r="I22" s="8">
        <f t="shared" si="7"/>
        <v>0</v>
      </c>
      <c r="J22" s="8">
        <f t="shared" si="8"/>
        <v>0</v>
      </c>
      <c r="K22" s="14">
        <f t="shared" si="2"/>
        <v>75.34</v>
      </c>
      <c r="M22" s="8">
        <f t="shared" si="9"/>
        <v>10.11</v>
      </c>
      <c r="N22" s="17" t="s">
        <v>220</v>
      </c>
      <c r="O22" s="18">
        <v>46203</v>
      </c>
      <c r="P22" s="17" t="s">
        <v>119</v>
      </c>
      <c r="Q22" s="17" t="s">
        <v>120</v>
      </c>
      <c r="R22" s="17" t="s">
        <v>53</v>
      </c>
      <c r="S22" s="17" t="s">
        <v>121</v>
      </c>
      <c r="T22" s="17" t="s">
        <v>317</v>
      </c>
      <c r="U22" s="17"/>
      <c r="V22" s="17" t="s">
        <v>318</v>
      </c>
      <c r="W22" s="17" t="s">
        <v>313</v>
      </c>
      <c r="X22" s="17" t="s">
        <v>132</v>
      </c>
      <c r="Y22" s="17"/>
      <c r="Z22" s="17"/>
      <c r="AA22" s="17" t="s">
        <v>53</v>
      </c>
      <c r="AB22" s="17" t="s">
        <v>56</v>
      </c>
      <c r="AC22" s="17"/>
      <c r="AD22" s="17" t="s">
        <v>54</v>
      </c>
      <c r="AE22" s="17" t="s">
        <v>55</v>
      </c>
      <c r="AF22" s="17" t="s">
        <v>57</v>
      </c>
      <c r="AG22" s="17" t="s">
        <v>58</v>
      </c>
      <c r="AH22" s="17" t="s">
        <v>138</v>
      </c>
      <c r="AI22" s="17" t="s">
        <v>139</v>
      </c>
      <c r="AJ22" s="17"/>
      <c r="AK22" s="17" t="s">
        <v>54</v>
      </c>
      <c r="AL22" s="17" t="s">
        <v>60</v>
      </c>
      <c r="AM22" s="17" t="s">
        <v>140</v>
      </c>
      <c r="AN22" s="17" t="s">
        <v>141</v>
      </c>
      <c r="AO22" s="17" t="s">
        <v>153</v>
      </c>
      <c r="AP22" s="19">
        <v>1</v>
      </c>
      <c r="AQ22" s="19">
        <v>111</v>
      </c>
      <c r="AR22" s="19">
        <v>111</v>
      </c>
      <c r="AS22" s="19">
        <v>0</v>
      </c>
      <c r="AT22" s="19">
        <v>0</v>
      </c>
      <c r="AU22" s="19"/>
      <c r="AV22" s="19">
        <v>0</v>
      </c>
      <c r="AW22" s="19">
        <v>0</v>
      </c>
      <c r="AX22" s="17"/>
      <c r="AY22" s="19">
        <v>59.14</v>
      </c>
      <c r="AZ22" s="19">
        <v>13.6</v>
      </c>
      <c r="BA22" s="19">
        <v>72.739999999999995</v>
      </c>
      <c r="BB22" s="19">
        <v>10.11</v>
      </c>
      <c r="BC22" s="19">
        <v>2.6</v>
      </c>
      <c r="BD22" s="19">
        <v>17.09</v>
      </c>
      <c r="BE22" s="19">
        <v>102.54</v>
      </c>
      <c r="BF22" s="19"/>
      <c r="BG22" s="19">
        <v>0</v>
      </c>
      <c r="BH22" s="19"/>
      <c r="BI22" s="19"/>
      <c r="BJ22" s="17"/>
      <c r="BK22" s="19"/>
      <c r="BL22" s="19"/>
      <c r="BM22" s="19"/>
      <c r="BN22" s="19"/>
      <c r="BO22" s="19"/>
      <c r="BP22" s="19"/>
      <c r="BQ22" s="19"/>
      <c r="BR22" s="19"/>
      <c r="BS22" s="19">
        <v>9.9</v>
      </c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>
        <v>3.7</v>
      </c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7"/>
      <c r="DB22" s="17"/>
      <c r="DC22" s="17" t="s">
        <v>183</v>
      </c>
      <c r="DD22" s="19" t="s">
        <v>183</v>
      </c>
      <c r="DE22">
        <v>120</v>
      </c>
    </row>
    <row r="23" spans="3:109" x14ac:dyDescent="0.25">
      <c r="C23" s="8" t="str">
        <f t="shared" si="3"/>
        <v>95392225</v>
      </c>
      <c r="D23" s="3">
        <f t="shared" si="0"/>
        <v>48.1</v>
      </c>
      <c r="E23" s="3">
        <f t="shared" si="1"/>
        <v>54.910000000000004</v>
      </c>
      <c r="F23" s="8">
        <f t="shared" si="4"/>
        <v>0</v>
      </c>
      <c r="G23" s="8">
        <f t="shared" si="5"/>
        <v>0</v>
      </c>
      <c r="H23" s="8">
        <f t="shared" si="6"/>
        <v>0</v>
      </c>
      <c r="I23" s="8">
        <f t="shared" si="7"/>
        <v>0</v>
      </c>
      <c r="J23" s="8">
        <f t="shared" si="8"/>
        <v>0</v>
      </c>
      <c r="K23" s="14">
        <f t="shared" si="2"/>
        <v>48.1</v>
      </c>
      <c r="M23" s="8">
        <f t="shared" si="9"/>
        <v>6.81</v>
      </c>
      <c r="N23" s="17" t="s">
        <v>220</v>
      </c>
      <c r="O23" s="18">
        <v>46203</v>
      </c>
      <c r="P23" s="17" t="s">
        <v>119</v>
      </c>
      <c r="Q23" s="17" t="s">
        <v>120</v>
      </c>
      <c r="R23" s="17" t="s">
        <v>53</v>
      </c>
      <c r="S23" s="17" t="s">
        <v>121</v>
      </c>
      <c r="T23" s="17" t="s">
        <v>319</v>
      </c>
      <c r="U23" s="17"/>
      <c r="V23" s="17" t="s">
        <v>320</v>
      </c>
      <c r="W23" s="17" t="s">
        <v>313</v>
      </c>
      <c r="X23" s="17" t="s">
        <v>132</v>
      </c>
      <c r="Y23" s="17"/>
      <c r="Z23" s="17"/>
      <c r="AA23" s="17" t="s">
        <v>53</v>
      </c>
      <c r="AB23" s="17" t="s">
        <v>56</v>
      </c>
      <c r="AC23" s="17"/>
      <c r="AD23" s="17" t="s">
        <v>54</v>
      </c>
      <c r="AE23" s="17" t="s">
        <v>55</v>
      </c>
      <c r="AF23" s="17" t="s">
        <v>57</v>
      </c>
      <c r="AG23" s="17" t="s">
        <v>58</v>
      </c>
      <c r="AH23" s="17" t="s">
        <v>133</v>
      </c>
      <c r="AI23" s="17" t="s">
        <v>134</v>
      </c>
      <c r="AJ23" s="17"/>
      <c r="AK23" s="17" t="s">
        <v>54</v>
      </c>
      <c r="AL23" s="17" t="s">
        <v>135</v>
      </c>
      <c r="AM23" s="17" t="s">
        <v>136</v>
      </c>
      <c r="AN23" s="17" t="s">
        <v>137</v>
      </c>
      <c r="AO23" s="17" t="s">
        <v>191</v>
      </c>
      <c r="AP23" s="19">
        <v>1</v>
      </c>
      <c r="AQ23" s="19">
        <v>40</v>
      </c>
      <c r="AR23" s="19">
        <v>40</v>
      </c>
      <c r="AS23" s="19">
        <v>0</v>
      </c>
      <c r="AT23" s="19">
        <v>0</v>
      </c>
      <c r="AU23" s="19"/>
      <c r="AV23" s="19">
        <v>0</v>
      </c>
      <c r="AW23" s="19">
        <v>0</v>
      </c>
      <c r="AX23" s="17"/>
      <c r="AY23" s="19">
        <v>39.799999999999997</v>
      </c>
      <c r="AZ23" s="19">
        <v>5.7</v>
      </c>
      <c r="BA23" s="19">
        <v>45.5</v>
      </c>
      <c r="BB23" s="19">
        <v>6.81</v>
      </c>
      <c r="BC23" s="19">
        <v>2.6</v>
      </c>
      <c r="BD23" s="19">
        <v>10.98</v>
      </c>
      <c r="BE23" s="19">
        <v>65.89</v>
      </c>
      <c r="BF23" s="19"/>
      <c r="BG23" s="19">
        <v>0</v>
      </c>
      <c r="BH23" s="19"/>
      <c r="BI23" s="19"/>
      <c r="BJ23" s="17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>
        <v>5.7</v>
      </c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7"/>
      <c r="DB23" s="17"/>
      <c r="DC23" s="17" t="s">
        <v>183</v>
      </c>
      <c r="DD23" s="19" t="s">
        <v>183</v>
      </c>
      <c r="DE23">
        <v>40</v>
      </c>
    </row>
    <row r="24" spans="3:109" x14ac:dyDescent="0.25">
      <c r="C24" s="8" t="str">
        <f t="shared" si="3"/>
        <v>95455892</v>
      </c>
      <c r="D24" s="3">
        <f t="shared" si="0"/>
        <v>293.46000000000004</v>
      </c>
      <c r="E24" s="3">
        <f t="shared" si="1"/>
        <v>341.52000000000004</v>
      </c>
      <c r="F24" s="8">
        <f t="shared" si="4"/>
        <v>0</v>
      </c>
      <c r="G24" s="8">
        <f t="shared" si="5"/>
        <v>0</v>
      </c>
      <c r="H24" s="8">
        <f t="shared" si="6"/>
        <v>0</v>
      </c>
      <c r="I24" s="8">
        <f t="shared" si="7"/>
        <v>9.8000000000000007</v>
      </c>
      <c r="J24" s="8">
        <f t="shared" si="8"/>
        <v>0</v>
      </c>
      <c r="K24" s="14">
        <f t="shared" si="2"/>
        <v>283.66000000000003</v>
      </c>
      <c r="M24" s="8">
        <f t="shared" si="9"/>
        <v>48.06</v>
      </c>
      <c r="N24" s="17" t="s">
        <v>220</v>
      </c>
      <c r="O24" s="18">
        <v>46203</v>
      </c>
      <c r="P24" s="17" t="s">
        <v>119</v>
      </c>
      <c r="Q24" s="17" t="s">
        <v>120</v>
      </c>
      <c r="R24" s="17" t="s">
        <v>53</v>
      </c>
      <c r="S24" s="17" t="s">
        <v>121</v>
      </c>
      <c r="T24" s="17" t="s">
        <v>321</v>
      </c>
      <c r="U24" s="17"/>
      <c r="V24" s="17" t="s">
        <v>322</v>
      </c>
      <c r="W24" s="17" t="s">
        <v>323</v>
      </c>
      <c r="X24" s="17" t="s">
        <v>181</v>
      </c>
      <c r="Y24" s="17" t="s">
        <v>324</v>
      </c>
      <c r="Z24" s="17" t="s">
        <v>325</v>
      </c>
      <c r="AA24" s="17" t="s">
        <v>53</v>
      </c>
      <c r="AB24" s="17" t="s">
        <v>56</v>
      </c>
      <c r="AC24" s="17"/>
      <c r="AD24" s="17" t="s">
        <v>54</v>
      </c>
      <c r="AE24" s="17" t="s">
        <v>55</v>
      </c>
      <c r="AF24" s="17" t="s">
        <v>57</v>
      </c>
      <c r="AG24" s="17" t="s">
        <v>58</v>
      </c>
      <c r="AH24" s="17" t="s">
        <v>326</v>
      </c>
      <c r="AI24" s="17" t="s">
        <v>327</v>
      </c>
      <c r="AJ24" s="17"/>
      <c r="AK24" s="17" t="s">
        <v>184</v>
      </c>
      <c r="AL24" s="17" t="s">
        <v>328</v>
      </c>
      <c r="AM24" s="17" t="s">
        <v>329</v>
      </c>
      <c r="AN24" s="17" t="s">
        <v>330</v>
      </c>
      <c r="AO24" s="17"/>
      <c r="AP24" s="19">
        <v>1</v>
      </c>
      <c r="AQ24" s="19">
        <v>250</v>
      </c>
      <c r="AR24" s="19">
        <v>250</v>
      </c>
      <c r="AS24" s="19">
        <v>1.728</v>
      </c>
      <c r="AT24" s="19">
        <v>2.02</v>
      </c>
      <c r="AU24" s="19">
        <v>9.8000000000000007</v>
      </c>
      <c r="AV24" s="19">
        <v>0</v>
      </c>
      <c r="AW24" s="19">
        <v>0</v>
      </c>
      <c r="AX24" s="17"/>
      <c r="AY24" s="19">
        <v>281.06</v>
      </c>
      <c r="AZ24" s="19"/>
      <c r="BA24" s="19">
        <v>281.06</v>
      </c>
      <c r="BB24" s="19">
        <v>48.06</v>
      </c>
      <c r="BC24" s="19">
        <v>2.6</v>
      </c>
      <c r="BD24" s="19">
        <v>68.3</v>
      </c>
      <c r="BE24" s="19">
        <v>409.82</v>
      </c>
      <c r="BF24" s="19"/>
      <c r="BG24" s="19">
        <v>0</v>
      </c>
      <c r="BH24" s="19"/>
      <c r="BI24" s="19"/>
      <c r="BJ24" s="17" t="s">
        <v>182</v>
      </c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7"/>
      <c r="DB24" s="17"/>
      <c r="DC24" s="17" t="s">
        <v>183</v>
      </c>
      <c r="DD24" s="19" t="s">
        <v>183</v>
      </c>
      <c r="DE24">
        <v>510</v>
      </c>
    </row>
    <row r="25" spans="3:109" x14ac:dyDescent="0.25">
      <c r="C25" s="8" t="str">
        <f t="shared" si="3"/>
        <v>41756837</v>
      </c>
      <c r="D25" s="3">
        <f t="shared" si="0"/>
        <v>243.96</v>
      </c>
      <c r="E25" s="3">
        <f t="shared" si="1"/>
        <v>260.86</v>
      </c>
      <c r="F25" s="8">
        <f t="shared" si="4"/>
        <v>0</v>
      </c>
      <c r="G25" s="8">
        <f t="shared" si="5"/>
        <v>0</v>
      </c>
      <c r="H25" s="8">
        <f t="shared" si="6"/>
        <v>0</v>
      </c>
      <c r="I25" s="8">
        <f t="shared" si="7"/>
        <v>0</v>
      </c>
      <c r="J25" s="8">
        <f t="shared" si="8"/>
        <v>0</v>
      </c>
      <c r="K25" s="14">
        <f t="shared" si="2"/>
        <v>243.96</v>
      </c>
      <c r="M25" s="8">
        <f t="shared" si="9"/>
        <v>16.899999999999999</v>
      </c>
      <c r="N25" s="17" t="s">
        <v>220</v>
      </c>
      <c r="O25" s="18">
        <v>46203</v>
      </c>
      <c r="P25" s="17" t="s">
        <v>119</v>
      </c>
      <c r="Q25" s="17" t="s">
        <v>120</v>
      </c>
      <c r="R25" s="17" t="s">
        <v>53</v>
      </c>
      <c r="S25" s="17" t="s">
        <v>121</v>
      </c>
      <c r="T25" s="17"/>
      <c r="U25" s="17"/>
      <c r="V25" s="17" t="s">
        <v>331</v>
      </c>
      <c r="W25" s="17" t="s">
        <v>332</v>
      </c>
      <c r="X25" s="17" t="s">
        <v>59</v>
      </c>
      <c r="Y25" s="17"/>
      <c r="Z25" s="17"/>
      <c r="AA25" s="17" t="s">
        <v>333</v>
      </c>
      <c r="AB25" s="17" t="s">
        <v>334</v>
      </c>
      <c r="AC25" s="17"/>
      <c r="AD25" s="17" t="s">
        <v>54</v>
      </c>
      <c r="AE25" s="17" t="s">
        <v>55</v>
      </c>
      <c r="AF25" s="17" t="s">
        <v>335</v>
      </c>
      <c r="AG25" s="17"/>
      <c r="AH25" s="17" t="s">
        <v>53</v>
      </c>
      <c r="AI25" s="17" t="s">
        <v>56</v>
      </c>
      <c r="AJ25" s="17"/>
      <c r="AK25" s="17" t="s">
        <v>54</v>
      </c>
      <c r="AL25" s="17" t="s">
        <v>55</v>
      </c>
      <c r="AM25" s="17" t="s">
        <v>57</v>
      </c>
      <c r="AN25" s="17" t="s">
        <v>58</v>
      </c>
      <c r="AO25" s="17"/>
      <c r="AP25" s="19">
        <v>1</v>
      </c>
      <c r="AQ25" s="19">
        <v>10000</v>
      </c>
      <c r="AR25" s="19">
        <v>10000</v>
      </c>
      <c r="AS25" s="19">
        <v>0</v>
      </c>
      <c r="AT25" s="19">
        <v>0</v>
      </c>
      <c r="AU25" s="19"/>
      <c r="AV25" s="19">
        <v>13.2</v>
      </c>
      <c r="AW25" s="19">
        <v>0</v>
      </c>
      <c r="AX25" s="17"/>
      <c r="AY25" s="19">
        <v>241.36</v>
      </c>
      <c r="AZ25" s="19"/>
      <c r="BA25" s="19">
        <v>241.36</v>
      </c>
      <c r="BB25" s="19">
        <v>16.899999999999999</v>
      </c>
      <c r="BC25" s="19">
        <v>2.6</v>
      </c>
      <c r="BD25" s="19">
        <v>52.17</v>
      </c>
      <c r="BE25" s="19">
        <v>313.02999999999997</v>
      </c>
      <c r="BF25" s="19"/>
      <c r="BG25" s="19">
        <v>0</v>
      </c>
      <c r="BH25" s="19"/>
      <c r="BI25" s="19"/>
      <c r="BJ25" s="17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7"/>
      <c r="DB25" s="17"/>
      <c r="DC25" s="17" t="s">
        <v>183</v>
      </c>
      <c r="DD25" s="19" t="s">
        <v>183</v>
      </c>
    </row>
    <row r="26" spans="3:109" x14ac:dyDescent="0.25">
      <c r="C26" s="8" t="str">
        <f t="shared" si="3"/>
        <v>95496289</v>
      </c>
      <c r="D26" s="3">
        <f t="shared" si="0"/>
        <v>61.78</v>
      </c>
      <c r="E26" s="3">
        <f t="shared" si="1"/>
        <v>70.210000000000008</v>
      </c>
      <c r="F26" s="8">
        <f t="shared" si="4"/>
        <v>0</v>
      </c>
      <c r="G26" s="8">
        <f t="shared" si="5"/>
        <v>0</v>
      </c>
      <c r="H26" s="8">
        <f t="shared" si="6"/>
        <v>0</v>
      </c>
      <c r="I26" s="8">
        <f t="shared" si="7"/>
        <v>0</v>
      </c>
      <c r="J26" s="8">
        <f t="shared" si="8"/>
        <v>0</v>
      </c>
      <c r="K26" s="14">
        <f t="shared" si="2"/>
        <v>61.78</v>
      </c>
      <c r="M26" s="8">
        <f t="shared" si="9"/>
        <v>8.43</v>
      </c>
      <c r="N26" s="17" t="s">
        <v>220</v>
      </c>
      <c r="O26" s="18">
        <v>46203</v>
      </c>
      <c r="P26" s="17" t="s">
        <v>119</v>
      </c>
      <c r="Q26" s="17" t="s">
        <v>120</v>
      </c>
      <c r="R26" s="17" t="s">
        <v>53</v>
      </c>
      <c r="S26" s="17" t="s">
        <v>121</v>
      </c>
      <c r="T26" s="17" t="s">
        <v>336</v>
      </c>
      <c r="U26" s="17"/>
      <c r="V26" s="17" t="s">
        <v>337</v>
      </c>
      <c r="W26" s="17" t="s">
        <v>332</v>
      </c>
      <c r="X26" s="17" t="s">
        <v>132</v>
      </c>
      <c r="Y26" s="17" t="s">
        <v>314</v>
      </c>
      <c r="Z26" s="17" t="s">
        <v>315</v>
      </c>
      <c r="AA26" s="17" t="s">
        <v>53</v>
      </c>
      <c r="AB26" s="17" t="s">
        <v>56</v>
      </c>
      <c r="AC26" s="17"/>
      <c r="AD26" s="17" t="s">
        <v>54</v>
      </c>
      <c r="AE26" s="17" t="s">
        <v>55</v>
      </c>
      <c r="AF26" s="17" t="s">
        <v>57</v>
      </c>
      <c r="AG26" s="17" t="s">
        <v>58</v>
      </c>
      <c r="AH26" s="17" t="s">
        <v>172</v>
      </c>
      <c r="AI26" s="17" t="s">
        <v>316</v>
      </c>
      <c r="AJ26" s="17" t="s">
        <v>173</v>
      </c>
      <c r="AK26" s="17" t="s">
        <v>54</v>
      </c>
      <c r="AL26" s="17" t="s">
        <v>154</v>
      </c>
      <c r="AM26" s="17" t="s">
        <v>155</v>
      </c>
      <c r="AN26" s="17" t="s">
        <v>156</v>
      </c>
      <c r="AO26" s="17" t="s">
        <v>191</v>
      </c>
      <c r="AP26" s="19">
        <v>1</v>
      </c>
      <c r="AQ26" s="19">
        <v>91.5</v>
      </c>
      <c r="AR26" s="19">
        <v>91.5</v>
      </c>
      <c r="AS26" s="19">
        <v>0</v>
      </c>
      <c r="AT26" s="19">
        <v>0</v>
      </c>
      <c r="AU26" s="19"/>
      <c r="AV26" s="19">
        <v>0</v>
      </c>
      <c r="AW26" s="19">
        <v>0</v>
      </c>
      <c r="AX26" s="17"/>
      <c r="AY26" s="19">
        <v>49.28</v>
      </c>
      <c r="AZ26" s="19">
        <v>9.9</v>
      </c>
      <c r="BA26" s="19">
        <v>59.18</v>
      </c>
      <c r="BB26" s="19">
        <v>8.43</v>
      </c>
      <c r="BC26" s="19">
        <v>2.6</v>
      </c>
      <c r="BD26" s="19">
        <v>14.05</v>
      </c>
      <c r="BE26" s="19">
        <v>84.26</v>
      </c>
      <c r="BF26" s="19"/>
      <c r="BG26" s="19">
        <v>0</v>
      </c>
      <c r="BH26" s="19"/>
      <c r="BI26" s="19"/>
      <c r="BJ26" s="17"/>
      <c r="BK26" s="19"/>
      <c r="BL26" s="19"/>
      <c r="BM26" s="19"/>
      <c r="BN26" s="19"/>
      <c r="BO26" s="19"/>
      <c r="BP26" s="19"/>
      <c r="BQ26" s="19"/>
      <c r="BR26" s="19"/>
      <c r="BS26" s="19">
        <v>9.9</v>
      </c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7"/>
      <c r="DB26" s="17"/>
      <c r="DC26" s="17" t="s">
        <v>183</v>
      </c>
      <c r="DD26" s="19" t="s">
        <v>183</v>
      </c>
      <c r="DE26">
        <v>92</v>
      </c>
    </row>
    <row r="27" spans="3:109" x14ac:dyDescent="0.25">
      <c r="C27" s="8" t="str">
        <f t="shared" si="3"/>
        <v>95591735</v>
      </c>
      <c r="D27" s="3">
        <f t="shared" si="0"/>
        <v>75.48</v>
      </c>
      <c r="E27" s="3">
        <f t="shared" si="1"/>
        <v>86.990000000000009</v>
      </c>
      <c r="F27" s="8">
        <f t="shared" si="4"/>
        <v>0</v>
      </c>
      <c r="G27" s="8">
        <f t="shared" si="5"/>
        <v>0</v>
      </c>
      <c r="H27" s="8">
        <f t="shared" si="6"/>
        <v>0</v>
      </c>
      <c r="I27" s="8">
        <f t="shared" si="7"/>
        <v>0</v>
      </c>
      <c r="J27" s="8">
        <f t="shared" si="8"/>
        <v>1.87</v>
      </c>
      <c r="K27" s="14">
        <f t="shared" si="2"/>
        <v>73.61</v>
      </c>
      <c r="M27" s="8">
        <f t="shared" si="9"/>
        <v>11.51</v>
      </c>
      <c r="N27" s="17" t="s">
        <v>220</v>
      </c>
      <c r="O27" s="18">
        <v>46203</v>
      </c>
      <c r="P27" s="17" t="s">
        <v>119</v>
      </c>
      <c r="Q27" s="17" t="s">
        <v>120</v>
      </c>
      <c r="R27" s="17" t="s">
        <v>53</v>
      </c>
      <c r="S27" s="17" t="s">
        <v>121</v>
      </c>
      <c r="T27" s="17" t="s">
        <v>338</v>
      </c>
      <c r="U27" s="17" t="s">
        <v>339</v>
      </c>
      <c r="V27" s="17" t="s">
        <v>340</v>
      </c>
      <c r="W27" s="17" t="s">
        <v>341</v>
      </c>
      <c r="X27" s="17" t="s">
        <v>181</v>
      </c>
      <c r="Y27" s="17"/>
      <c r="Z27" s="17"/>
      <c r="AA27" s="17" t="s">
        <v>53</v>
      </c>
      <c r="AB27" s="17" t="s">
        <v>56</v>
      </c>
      <c r="AC27" s="17"/>
      <c r="AD27" s="17" t="s">
        <v>54</v>
      </c>
      <c r="AE27" s="17" t="s">
        <v>55</v>
      </c>
      <c r="AF27" s="17" t="s">
        <v>57</v>
      </c>
      <c r="AG27" s="17" t="s">
        <v>58</v>
      </c>
      <c r="AH27" s="17" t="s">
        <v>194</v>
      </c>
      <c r="AI27" s="17" t="s">
        <v>195</v>
      </c>
      <c r="AJ27" s="17"/>
      <c r="AK27" s="17" t="s">
        <v>196</v>
      </c>
      <c r="AL27" s="17" t="s">
        <v>197</v>
      </c>
      <c r="AM27" s="17" t="s">
        <v>198</v>
      </c>
      <c r="AN27" s="17" t="s">
        <v>199</v>
      </c>
      <c r="AO27" s="17"/>
      <c r="AP27" s="19">
        <v>3</v>
      </c>
      <c r="AQ27" s="19">
        <v>9</v>
      </c>
      <c r="AR27" s="19">
        <v>9</v>
      </c>
      <c r="AS27" s="19">
        <v>0.28799999999999998</v>
      </c>
      <c r="AT27" s="19">
        <v>0.28799999999999998</v>
      </c>
      <c r="AU27" s="19"/>
      <c r="AV27" s="19">
        <v>0</v>
      </c>
      <c r="AW27" s="19">
        <v>0</v>
      </c>
      <c r="AX27" s="17"/>
      <c r="AY27" s="19">
        <v>67.31</v>
      </c>
      <c r="AZ27" s="19">
        <v>5.57</v>
      </c>
      <c r="BA27" s="19">
        <v>72.88</v>
      </c>
      <c r="BB27" s="19">
        <v>11.51</v>
      </c>
      <c r="BC27" s="19">
        <v>2.6</v>
      </c>
      <c r="BD27" s="19">
        <v>17.39</v>
      </c>
      <c r="BE27" s="19">
        <v>104.38</v>
      </c>
      <c r="BF27" s="19"/>
      <c r="BG27" s="19">
        <v>0</v>
      </c>
      <c r="BH27" s="19"/>
      <c r="BI27" s="19"/>
      <c r="BJ27" s="17" t="s">
        <v>182</v>
      </c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>
        <v>1.87</v>
      </c>
      <c r="CF27" s="19"/>
      <c r="CG27" s="19"/>
      <c r="CH27" s="19"/>
      <c r="CI27" s="19"/>
      <c r="CJ27" s="19"/>
      <c r="CK27" s="19">
        <v>3.7</v>
      </c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7"/>
      <c r="DB27" s="17"/>
      <c r="DC27" s="17" t="s">
        <v>183</v>
      </c>
      <c r="DD27" s="19" t="s">
        <v>183</v>
      </c>
      <c r="DE27">
        <v>72</v>
      </c>
    </row>
    <row r="28" spans="3:109" x14ac:dyDescent="0.25">
      <c r="C28" s="8" t="str">
        <f t="shared" si="3"/>
        <v>95597955</v>
      </c>
      <c r="D28" s="3">
        <f t="shared" si="0"/>
        <v>176.51999999999998</v>
      </c>
      <c r="E28" s="3">
        <f t="shared" si="1"/>
        <v>206.26</v>
      </c>
      <c r="F28" s="8">
        <f t="shared" si="4"/>
        <v>0</v>
      </c>
      <c r="G28" s="8">
        <f t="shared" si="5"/>
        <v>0</v>
      </c>
      <c r="H28" s="8">
        <f t="shared" si="6"/>
        <v>0</v>
      </c>
      <c r="I28" s="8">
        <f t="shared" si="7"/>
        <v>0</v>
      </c>
      <c r="J28" s="8">
        <f t="shared" si="8"/>
        <v>0</v>
      </c>
      <c r="K28" s="14">
        <f t="shared" si="2"/>
        <v>176.51999999999998</v>
      </c>
      <c r="M28" s="8">
        <f t="shared" si="9"/>
        <v>29.74</v>
      </c>
      <c r="N28" s="17" t="s">
        <v>220</v>
      </c>
      <c r="O28" s="18">
        <v>46203</v>
      </c>
      <c r="P28" s="17" t="s">
        <v>119</v>
      </c>
      <c r="Q28" s="17" t="s">
        <v>120</v>
      </c>
      <c r="R28" s="17" t="s">
        <v>53</v>
      </c>
      <c r="S28" s="17" t="s">
        <v>121</v>
      </c>
      <c r="T28" s="17" t="s">
        <v>342</v>
      </c>
      <c r="U28" s="17"/>
      <c r="V28" s="17" t="s">
        <v>343</v>
      </c>
      <c r="W28" s="17" t="s">
        <v>341</v>
      </c>
      <c r="X28" s="17" t="s">
        <v>227</v>
      </c>
      <c r="Y28" s="17" t="s">
        <v>344</v>
      </c>
      <c r="Z28" s="17" t="s">
        <v>345</v>
      </c>
      <c r="AA28" s="17" t="s">
        <v>53</v>
      </c>
      <c r="AB28" s="17" t="s">
        <v>56</v>
      </c>
      <c r="AC28" s="17"/>
      <c r="AD28" s="17" t="s">
        <v>54</v>
      </c>
      <c r="AE28" s="17" t="s">
        <v>55</v>
      </c>
      <c r="AF28" s="17" t="s">
        <v>57</v>
      </c>
      <c r="AG28" s="17" t="s">
        <v>58</v>
      </c>
      <c r="AH28" s="17" t="s">
        <v>346</v>
      </c>
      <c r="AI28" s="17" t="s">
        <v>347</v>
      </c>
      <c r="AJ28" s="17"/>
      <c r="AK28" s="17" t="s">
        <v>54</v>
      </c>
      <c r="AL28" s="17" t="s">
        <v>348</v>
      </c>
      <c r="AM28" s="17" t="s">
        <v>349</v>
      </c>
      <c r="AN28" s="17" t="s">
        <v>350</v>
      </c>
      <c r="AO28" s="17" t="s">
        <v>191</v>
      </c>
      <c r="AP28" s="19">
        <v>1</v>
      </c>
      <c r="AQ28" s="19">
        <v>78.5</v>
      </c>
      <c r="AR28" s="19">
        <v>78.5</v>
      </c>
      <c r="AS28" s="19">
        <v>0</v>
      </c>
      <c r="AT28" s="19">
        <v>0</v>
      </c>
      <c r="AU28" s="19"/>
      <c r="AV28" s="19">
        <v>0</v>
      </c>
      <c r="AW28" s="19">
        <v>0</v>
      </c>
      <c r="AX28" s="17"/>
      <c r="AY28" s="19">
        <v>173.92</v>
      </c>
      <c r="AZ28" s="19"/>
      <c r="BA28" s="19">
        <v>173.92</v>
      </c>
      <c r="BB28" s="19">
        <v>29.74</v>
      </c>
      <c r="BC28" s="19">
        <v>2.6</v>
      </c>
      <c r="BD28" s="19">
        <v>41.25</v>
      </c>
      <c r="BE28" s="19">
        <v>247.51</v>
      </c>
      <c r="BF28" s="19"/>
      <c r="BG28" s="19">
        <v>0</v>
      </c>
      <c r="BH28" s="19"/>
      <c r="BI28" s="19"/>
      <c r="BJ28" s="17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7"/>
      <c r="DB28" s="17"/>
      <c r="DC28" s="17" t="s">
        <v>183</v>
      </c>
      <c r="DD28" s="19" t="s">
        <v>183</v>
      </c>
      <c r="DE28">
        <v>79</v>
      </c>
    </row>
    <row r="29" spans="3:109" x14ac:dyDescent="0.25">
      <c r="C29" s="8" t="str">
        <f t="shared" si="3"/>
        <v>95600280</v>
      </c>
      <c r="D29" s="3">
        <f t="shared" si="0"/>
        <v>1045.2199999999998</v>
      </c>
      <c r="E29" s="3">
        <f t="shared" si="1"/>
        <v>1223.5099999999998</v>
      </c>
      <c r="F29" s="8">
        <f t="shared" si="4"/>
        <v>0</v>
      </c>
      <c r="G29" s="8">
        <f t="shared" si="5"/>
        <v>0</v>
      </c>
      <c r="H29" s="8">
        <f t="shared" si="6"/>
        <v>0</v>
      </c>
      <c r="I29" s="8">
        <f t="shared" si="7"/>
        <v>0</v>
      </c>
      <c r="J29" s="8">
        <f t="shared" si="8"/>
        <v>0</v>
      </c>
      <c r="K29" s="14">
        <f t="shared" si="2"/>
        <v>1045.2199999999998</v>
      </c>
      <c r="M29" s="8">
        <f t="shared" si="9"/>
        <v>178.29</v>
      </c>
      <c r="N29" s="17" t="s">
        <v>220</v>
      </c>
      <c r="O29" s="18">
        <v>46203</v>
      </c>
      <c r="P29" s="17" t="s">
        <v>119</v>
      </c>
      <c r="Q29" s="17" t="s">
        <v>120</v>
      </c>
      <c r="R29" s="17" t="s">
        <v>53</v>
      </c>
      <c r="S29" s="17" t="s">
        <v>121</v>
      </c>
      <c r="T29" s="17" t="s">
        <v>351</v>
      </c>
      <c r="U29" s="17"/>
      <c r="V29" s="17" t="s">
        <v>352</v>
      </c>
      <c r="W29" s="17" t="s">
        <v>341</v>
      </c>
      <c r="X29" s="17" t="s">
        <v>227</v>
      </c>
      <c r="Y29" s="17" t="s">
        <v>353</v>
      </c>
      <c r="Z29" s="17" t="s">
        <v>354</v>
      </c>
      <c r="AA29" s="17" t="s">
        <v>53</v>
      </c>
      <c r="AB29" s="17" t="s">
        <v>56</v>
      </c>
      <c r="AC29" s="17"/>
      <c r="AD29" s="17" t="s">
        <v>54</v>
      </c>
      <c r="AE29" s="17" t="s">
        <v>55</v>
      </c>
      <c r="AF29" s="17" t="s">
        <v>57</v>
      </c>
      <c r="AG29" s="17" t="s">
        <v>58</v>
      </c>
      <c r="AH29" s="17" t="s">
        <v>355</v>
      </c>
      <c r="AI29" s="17" t="s">
        <v>356</v>
      </c>
      <c r="AJ29" s="17"/>
      <c r="AK29" s="17" t="s">
        <v>54</v>
      </c>
      <c r="AL29" s="17" t="s">
        <v>169</v>
      </c>
      <c r="AM29" s="17" t="s">
        <v>357</v>
      </c>
      <c r="AN29" s="17" t="s">
        <v>358</v>
      </c>
      <c r="AO29" s="17" t="s">
        <v>191</v>
      </c>
      <c r="AP29" s="19">
        <v>2</v>
      </c>
      <c r="AQ29" s="19">
        <v>421.5</v>
      </c>
      <c r="AR29" s="19">
        <v>421.5</v>
      </c>
      <c r="AS29" s="19">
        <v>0</v>
      </c>
      <c r="AT29" s="19">
        <v>0</v>
      </c>
      <c r="AU29" s="19"/>
      <c r="AV29" s="19">
        <v>0</v>
      </c>
      <c r="AW29" s="19">
        <v>0</v>
      </c>
      <c r="AX29" s="17"/>
      <c r="AY29" s="19">
        <v>1042.6199999999999</v>
      </c>
      <c r="AZ29" s="19"/>
      <c r="BA29" s="19">
        <v>1042.6199999999999</v>
      </c>
      <c r="BB29" s="19">
        <v>178.29</v>
      </c>
      <c r="BC29" s="19">
        <v>2.6</v>
      </c>
      <c r="BD29" s="19">
        <v>244.7</v>
      </c>
      <c r="BE29" s="19">
        <v>1468.21</v>
      </c>
      <c r="BF29" s="19"/>
      <c r="BG29" s="19">
        <v>0</v>
      </c>
      <c r="BH29" s="19"/>
      <c r="BI29" s="19"/>
      <c r="BJ29" s="17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7"/>
      <c r="DB29" s="17"/>
      <c r="DC29" s="17" t="s">
        <v>183</v>
      </c>
      <c r="DD29" s="19" t="s">
        <v>183</v>
      </c>
      <c r="DE29">
        <v>430</v>
      </c>
    </row>
    <row r="30" spans="3:109" x14ac:dyDescent="0.25">
      <c r="C30" s="8" t="str">
        <f t="shared" si="3"/>
        <v>95596160</v>
      </c>
      <c r="D30" s="3">
        <f t="shared" si="0"/>
        <v>43.09</v>
      </c>
      <c r="E30" s="3">
        <f t="shared" si="1"/>
        <v>50.010000000000005</v>
      </c>
      <c r="F30" s="8">
        <f t="shared" si="4"/>
        <v>0</v>
      </c>
      <c r="G30" s="8">
        <f t="shared" si="5"/>
        <v>0</v>
      </c>
      <c r="H30" s="8">
        <f t="shared" si="6"/>
        <v>0</v>
      </c>
      <c r="I30" s="8">
        <f t="shared" si="7"/>
        <v>0</v>
      </c>
      <c r="J30" s="8">
        <f t="shared" si="8"/>
        <v>0</v>
      </c>
      <c r="K30" s="14">
        <f t="shared" si="2"/>
        <v>43.09</v>
      </c>
      <c r="M30" s="8">
        <f t="shared" si="9"/>
        <v>6.92</v>
      </c>
      <c r="N30" s="17" t="s">
        <v>220</v>
      </c>
      <c r="O30" s="18">
        <v>46203</v>
      </c>
      <c r="P30" s="17" t="s">
        <v>119</v>
      </c>
      <c r="Q30" s="17" t="s">
        <v>120</v>
      </c>
      <c r="R30" s="17" t="s">
        <v>53</v>
      </c>
      <c r="S30" s="17" t="s">
        <v>121</v>
      </c>
      <c r="T30" s="17"/>
      <c r="U30" s="17" t="s">
        <v>359</v>
      </c>
      <c r="V30" s="17" t="s">
        <v>360</v>
      </c>
      <c r="W30" s="17" t="s">
        <v>341</v>
      </c>
      <c r="X30" s="17" t="s">
        <v>227</v>
      </c>
      <c r="Y30" s="17" t="s">
        <v>361</v>
      </c>
      <c r="Z30" s="17" t="s">
        <v>362</v>
      </c>
      <c r="AA30" s="17" t="s">
        <v>53</v>
      </c>
      <c r="AB30" s="17" t="s">
        <v>56</v>
      </c>
      <c r="AC30" s="17"/>
      <c r="AD30" s="17" t="s">
        <v>54</v>
      </c>
      <c r="AE30" s="17" t="s">
        <v>55</v>
      </c>
      <c r="AF30" s="17" t="s">
        <v>57</v>
      </c>
      <c r="AG30" s="17" t="s">
        <v>58</v>
      </c>
      <c r="AH30" s="17" t="s">
        <v>363</v>
      </c>
      <c r="AI30" s="17" t="s">
        <v>364</v>
      </c>
      <c r="AJ30" s="17"/>
      <c r="AK30" s="17" t="s">
        <v>54</v>
      </c>
      <c r="AL30" s="17" t="s">
        <v>55</v>
      </c>
      <c r="AM30" s="17" t="s">
        <v>335</v>
      </c>
      <c r="AN30" s="17" t="s">
        <v>365</v>
      </c>
      <c r="AO30" s="17"/>
      <c r="AP30" s="19">
        <v>1</v>
      </c>
      <c r="AQ30" s="19">
        <v>55</v>
      </c>
      <c r="AR30" s="19">
        <v>55</v>
      </c>
      <c r="AS30" s="19">
        <v>0</v>
      </c>
      <c r="AT30" s="19">
        <v>0</v>
      </c>
      <c r="AU30" s="19"/>
      <c r="AV30" s="19">
        <v>0</v>
      </c>
      <c r="AW30" s="19">
        <v>0</v>
      </c>
      <c r="AX30" s="17"/>
      <c r="AY30" s="19">
        <v>40.49</v>
      </c>
      <c r="AZ30" s="19"/>
      <c r="BA30" s="19">
        <v>40.49</v>
      </c>
      <c r="BB30" s="19">
        <v>6.92</v>
      </c>
      <c r="BC30" s="19">
        <v>2.6</v>
      </c>
      <c r="BD30" s="19">
        <v>10</v>
      </c>
      <c r="BE30" s="19">
        <v>60.01</v>
      </c>
      <c r="BF30" s="19"/>
      <c r="BG30" s="19">
        <v>0</v>
      </c>
      <c r="BH30" s="19"/>
      <c r="BI30" s="19"/>
      <c r="BJ30" s="17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7"/>
      <c r="DB30" s="17"/>
      <c r="DC30" s="17" t="s">
        <v>183</v>
      </c>
      <c r="DD30" s="19" t="s">
        <v>183</v>
      </c>
      <c r="DE30">
        <v>55</v>
      </c>
    </row>
    <row r="31" spans="3:109" x14ac:dyDescent="0.25">
      <c r="C31" s="8" t="str">
        <f t="shared" si="3"/>
        <v>95599531</v>
      </c>
      <c r="D31" s="3">
        <f t="shared" si="0"/>
        <v>604.04999999999995</v>
      </c>
      <c r="E31" s="3">
        <f t="shared" si="1"/>
        <v>678.68</v>
      </c>
      <c r="F31" s="8">
        <f t="shared" si="4"/>
        <v>0</v>
      </c>
      <c r="G31" s="8">
        <f t="shared" si="5"/>
        <v>0</v>
      </c>
      <c r="H31" s="8">
        <f t="shared" si="6"/>
        <v>0</v>
      </c>
      <c r="I31" s="8">
        <f t="shared" si="7"/>
        <v>0</v>
      </c>
      <c r="J31" s="8">
        <f t="shared" si="8"/>
        <v>0</v>
      </c>
      <c r="K31" s="14">
        <f t="shared" si="2"/>
        <v>604.04999999999995</v>
      </c>
      <c r="M31" s="8">
        <f t="shared" si="9"/>
        <v>74.63</v>
      </c>
      <c r="N31" s="17" t="s">
        <v>220</v>
      </c>
      <c r="O31" s="18">
        <v>46203</v>
      </c>
      <c r="P31" s="17" t="s">
        <v>119</v>
      </c>
      <c r="Q31" s="17" t="s">
        <v>120</v>
      </c>
      <c r="R31" s="17" t="s">
        <v>53</v>
      </c>
      <c r="S31" s="17" t="s">
        <v>121</v>
      </c>
      <c r="T31" s="17" t="s">
        <v>366</v>
      </c>
      <c r="U31" s="17"/>
      <c r="V31" s="17" t="s">
        <v>367</v>
      </c>
      <c r="W31" s="17" t="s">
        <v>341</v>
      </c>
      <c r="X31" s="17" t="s">
        <v>227</v>
      </c>
      <c r="Y31" s="17" t="s">
        <v>368</v>
      </c>
      <c r="Z31" s="17" t="s">
        <v>369</v>
      </c>
      <c r="AA31" s="17" t="s">
        <v>53</v>
      </c>
      <c r="AB31" s="17" t="s">
        <v>56</v>
      </c>
      <c r="AC31" s="17"/>
      <c r="AD31" s="17" t="s">
        <v>54</v>
      </c>
      <c r="AE31" s="17" t="s">
        <v>55</v>
      </c>
      <c r="AF31" s="17" t="s">
        <v>57</v>
      </c>
      <c r="AG31" s="17" t="s">
        <v>58</v>
      </c>
      <c r="AH31" s="17" t="s">
        <v>370</v>
      </c>
      <c r="AI31" s="17" t="s">
        <v>371</v>
      </c>
      <c r="AJ31" s="17"/>
      <c r="AK31" s="17" t="s">
        <v>54</v>
      </c>
      <c r="AL31" s="17" t="s">
        <v>372</v>
      </c>
      <c r="AM31" s="17" t="s">
        <v>373</v>
      </c>
      <c r="AN31" s="17" t="s">
        <v>374</v>
      </c>
      <c r="AO31" s="17" t="s">
        <v>191</v>
      </c>
      <c r="AP31" s="19">
        <v>1</v>
      </c>
      <c r="AQ31" s="19">
        <v>174.5</v>
      </c>
      <c r="AR31" s="19">
        <v>174.5</v>
      </c>
      <c r="AS31" s="19">
        <v>0</v>
      </c>
      <c r="AT31" s="19">
        <v>0</v>
      </c>
      <c r="AU31" s="19"/>
      <c r="AV31" s="19">
        <v>0</v>
      </c>
      <c r="AW31" s="19">
        <v>0</v>
      </c>
      <c r="AX31" s="17"/>
      <c r="AY31" s="19">
        <v>436.45</v>
      </c>
      <c r="AZ31" s="19">
        <v>165</v>
      </c>
      <c r="BA31" s="19">
        <v>601.45000000000005</v>
      </c>
      <c r="BB31" s="19">
        <v>74.63</v>
      </c>
      <c r="BC31" s="19">
        <v>2.6</v>
      </c>
      <c r="BD31" s="19">
        <v>135.74</v>
      </c>
      <c r="BE31" s="19">
        <v>814.42</v>
      </c>
      <c r="BF31" s="19"/>
      <c r="BG31" s="19">
        <v>0</v>
      </c>
      <c r="BH31" s="19"/>
      <c r="BI31" s="19"/>
      <c r="BJ31" s="17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7">
        <v>165</v>
      </c>
      <c r="DB31" s="17"/>
      <c r="DC31" s="17" t="s">
        <v>183</v>
      </c>
      <c r="DD31" s="19" t="s">
        <v>183</v>
      </c>
      <c r="DE31">
        <v>180</v>
      </c>
    </row>
    <row r="32" spans="3:109" x14ac:dyDescent="0.25">
      <c r="C32" s="8" t="str">
        <f t="shared" si="3"/>
        <v>95602040</v>
      </c>
      <c r="D32" s="3">
        <f t="shared" si="0"/>
        <v>66.989999999999995</v>
      </c>
      <c r="E32" s="3">
        <f t="shared" si="1"/>
        <v>77.03</v>
      </c>
      <c r="F32" s="8">
        <f t="shared" si="4"/>
        <v>0</v>
      </c>
      <c r="G32" s="8">
        <f t="shared" si="5"/>
        <v>0</v>
      </c>
      <c r="H32" s="8">
        <f t="shared" si="6"/>
        <v>0</v>
      </c>
      <c r="I32" s="8">
        <f t="shared" si="7"/>
        <v>0</v>
      </c>
      <c r="J32" s="8">
        <f t="shared" si="8"/>
        <v>0</v>
      </c>
      <c r="K32" s="14">
        <f t="shared" si="2"/>
        <v>66.989999999999995</v>
      </c>
      <c r="M32" s="8">
        <f t="shared" si="9"/>
        <v>10.039999999999999</v>
      </c>
      <c r="N32" s="17" t="s">
        <v>220</v>
      </c>
      <c r="O32" s="18">
        <v>46203</v>
      </c>
      <c r="P32" s="17" t="s">
        <v>119</v>
      </c>
      <c r="Q32" s="17" t="s">
        <v>120</v>
      </c>
      <c r="R32" s="17" t="s">
        <v>53</v>
      </c>
      <c r="S32" s="17" t="s">
        <v>121</v>
      </c>
      <c r="T32" s="17" t="s">
        <v>375</v>
      </c>
      <c r="U32" s="17"/>
      <c r="V32" s="17" t="s">
        <v>376</v>
      </c>
      <c r="W32" s="17" t="s">
        <v>341</v>
      </c>
      <c r="X32" s="17" t="s">
        <v>132</v>
      </c>
      <c r="Y32" s="17"/>
      <c r="Z32" s="17"/>
      <c r="AA32" s="17" t="s">
        <v>53</v>
      </c>
      <c r="AB32" s="17" t="s">
        <v>56</v>
      </c>
      <c r="AC32" s="17"/>
      <c r="AD32" s="17" t="s">
        <v>54</v>
      </c>
      <c r="AE32" s="17" t="s">
        <v>55</v>
      </c>
      <c r="AF32" s="17" t="s">
        <v>57</v>
      </c>
      <c r="AG32" s="17" t="s">
        <v>58</v>
      </c>
      <c r="AH32" s="17" t="s">
        <v>377</v>
      </c>
      <c r="AI32" s="17" t="s">
        <v>378</v>
      </c>
      <c r="AJ32" s="17"/>
      <c r="AK32" s="17" t="s">
        <v>54</v>
      </c>
      <c r="AL32" s="17" t="s">
        <v>142</v>
      </c>
      <c r="AM32" s="17" t="s">
        <v>143</v>
      </c>
      <c r="AN32" s="17" t="s">
        <v>144</v>
      </c>
      <c r="AO32" s="17"/>
      <c r="AP32" s="19">
        <v>1</v>
      </c>
      <c r="AQ32" s="19">
        <v>95</v>
      </c>
      <c r="AR32" s="19">
        <v>95</v>
      </c>
      <c r="AS32" s="19">
        <v>0</v>
      </c>
      <c r="AT32" s="19">
        <v>0</v>
      </c>
      <c r="AU32" s="19"/>
      <c r="AV32" s="19">
        <v>0</v>
      </c>
      <c r="AW32" s="19">
        <v>0</v>
      </c>
      <c r="AX32" s="17"/>
      <c r="AY32" s="19">
        <v>58.69</v>
      </c>
      <c r="AZ32" s="19">
        <v>5.7</v>
      </c>
      <c r="BA32" s="19">
        <v>64.39</v>
      </c>
      <c r="BB32" s="19">
        <v>10.039999999999999</v>
      </c>
      <c r="BC32" s="19">
        <v>2.6</v>
      </c>
      <c r="BD32" s="19">
        <v>15.41</v>
      </c>
      <c r="BE32" s="19">
        <v>92.44</v>
      </c>
      <c r="BF32" s="19"/>
      <c r="BG32" s="19">
        <v>0</v>
      </c>
      <c r="BH32" s="19"/>
      <c r="BI32" s="19"/>
      <c r="BJ32" s="17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>
        <v>5.7</v>
      </c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7"/>
      <c r="DB32" s="17"/>
      <c r="DC32" s="17" t="s">
        <v>183</v>
      </c>
      <c r="DD32" s="19" t="s">
        <v>183</v>
      </c>
      <c r="DE32">
        <v>95</v>
      </c>
    </row>
    <row r="33" spans="3:109" x14ac:dyDescent="0.25">
      <c r="C33" s="8" t="str">
        <f t="shared" si="3"/>
        <v>95686648</v>
      </c>
      <c r="D33" s="3">
        <f t="shared" si="0"/>
        <v>46.85</v>
      </c>
      <c r="E33" s="3">
        <f t="shared" si="1"/>
        <v>53.44</v>
      </c>
      <c r="F33" s="8">
        <f t="shared" si="4"/>
        <v>0</v>
      </c>
      <c r="G33" s="8">
        <f t="shared" si="5"/>
        <v>0</v>
      </c>
      <c r="H33" s="8">
        <f t="shared" si="6"/>
        <v>0</v>
      </c>
      <c r="I33" s="8">
        <f t="shared" si="7"/>
        <v>0</v>
      </c>
      <c r="J33" s="8">
        <f t="shared" si="8"/>
        <v>0</v>
      </c>
      <c r="K33" s="14">
        <f t="shared" si="2"/>
        <v>46.85</v>
      </c>
      <c r="M33" s="8">
        <f t="shared" si="9"/>
        <v>6.59</v>
      </c>
      <c r="N33" s="17" t="s">
        <v>220</v>
      </c>
      <c r="O33" s="18">
        <v>46203</v>
      </c>
      <c r="P33" s="17" t="s">
        <v>119</v>
      </c>
      <c r="Q33" s="17" t="s">
        <v>120</v>
      </c>
      <c r="R33" s="17" t="s">
        <v>53</v>
      </c>
      <c r="S33" s="17" t="s">
        <v>121</v>
      </c>
      <c r="T33" s="17" t="s">
        <v>379</v>
      </c>
      <c r="U33" s="17" t="s">
        <v>380</v>
      </c>
      <c r="V33" s="17" t="s">
        <v>381</v>
      </c>
      <c r="W33" s="17" t="s">
        <v>382</v>
      </c>
      <c r="X33" s="17" t="s">
        <v>132</v>
      </c>
      <c r="Y33" s="17" t="s">
        <v>165</v>
      </c>
      <c r="Z33" s="17" t="s">
        <v>166</v>
      </c>
      <c r="AA33" s="17" t="s">
        <v>53</v>
      </c>
      <c r="AB33" s="17" t="s">
        <v>56</v>
      </c>
      <c r="AC33" s="17"/>
      <c r="AD33" s="17" t="s">
        <v>54</v>
      </c>
      <c r="AE33" s="17" t="s">
        <v>55</v>
      </c>
      <c r="AF33" s="17" t="s">
        <v>57</v>
      </c>
      <c r="AG33" s="17" t="s">
        <v>58</v>
      </c>
      <c r="AH33" s="17" t="s">
        <v>167</v>
      </c>
      <c r="AI33" s="17" t="s">
        <v>168</v>
      </c>
      <c r="AJ33" s="17"/>
      <c r="AK33" s="17" t="s">
        <v>54</v>
      </c>
      <c r="AL33" s="17" t="s">
        <v>169</v>
      </c>
      <c r="AM33" s="17" t="s">
        <v>170</v>
      </c>
      <c r="AN33" s="17" t="s">
        <v>171</v>
      </c>
      <c r="AO33" s="17"/>
      <c r="AP33" s="19">
        <v>5</v>
      </c>
      <c r="AQ33" s="19">
        <v>50</v>
      </c>
      <c r="AR33" s="19">
        <v>50</v>
      </c>
      <c r="AS33" s="19">
        <v>0</v>
      </c>
      <c r="AT33" s="19">
        <v>0</v>
      </c>
      <c r="AU33" s="19"/>
      <c r="AV33" s="19">
        <v>0</v>
      </c>
      <c r="AW33" s="19">
        <v>0</v>
      </c>
      <c r="AX33" s="17"/>
      <c r="AY33" s="19">
        <v>38.549999999999997</v>
      </c>
      <c r="AZ33" s="19">
        <v>5.7</v>
      </c>
      <c r="BA33" s="19">
        <v>44.25</v>
      </c>
      <c r="BB33" s="19">
        <v>6.59</v>
      </c>
      <c r="BC33" s="19">
        <v>2.6</v>
      </c>
      <c r="BD33" s="19">
        <v>10.69</v>
      </c>
      <c r="BE33" s="19">
        <v>64.13</v>
      </c>
      <c r="BF33" s="19"/>
      <c r="BG33" s="19">
        <v>0</v>
      </c>
      <c r="BH33" s="19"/>
      <c r="BI33" s="19"/>
      <c r="BJ33" s="17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>
        <v>5.7</v>
      </c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7"/>
      <c r="DB33" s="17"/>
      <c r="DC33" s="17" t="s">
        <v>183</v>
      </c>
      <c r="DD33" s="19" t="s">
        <v>183</v>
      </c>
      <c r="DE33">
        <v>50</v>
      </c>
    </row>
    <row r="34" spans="3:109" x14ac:dyDescent="0.25">
      <c r="C34" s="8" t="str">
        <f t="shared" si="3"/>
        <v>95732649</v>
      </c>
      <c r="D34" s="3">
        <f t="shared" si="0"/>
        <v>40.160000000000004</v>
      </c>
      <c r="E34" s="3">
        <f t="shared" si="1"/>
        <v>44.120000000000005</v>
      </c>
      <c r="F34" s="8">
        <f t="shared" si="4"/>
        <v>0</v>
      </c>
      <c r="G34" s="8">
        <f t="shared" si="5"/>
        <v>0</v>
      </c>
      <c r="H34" s="8">
        <f t="shared" si="6"/>
        <v>0</v>
      </c>
      <c r="I34" s="8">
        <f t="shared" si="7"/>
        <v>0</v>
      </c>
      <c r="J34" s="8">
        <f t="shared" si="8"/>
        <v>0</v>
      </c>
      <c r="K34" s="14">
        <f t="shared" si="2"/>
        <v>40.160000000000004</v>
      </c>
      <c r="M34" s="8">
        <f t="shared" si="9"/>
        <v>3.96</v>
      </c>
      <c r="N34" s="17" t="s">
        <v>220</v>
      </c>
      <c r="O34" s="18">
        <v>46203</v>
      </c>
      <c r="P34" s="17" t="s">
        <v>119</v>
      </c>
      <c r="Q34" s="17" t="s">
        <v>120</v>
      </c>
      <c r="R34" s="17" t="s">
        <v>53</v>
      </c>
      <c r="S34" s="17" t="s">
        <v>121</v>
      </c>
      <c r="T34" s="17"/>
      <c r="U34" s="17"/>
      <c r="V34" s="17" t="s">
        <v>383</v>
      </c>
      <c r="W34" s="17" t="s">
        <v>384</v>
      </c>
      <c r="X34" s="17" t="s">
        <v>132</v>
      </c>
      <c r="Y34" s="17"/>
      <c r="Z34" s="17"/>
      <c r="AA34" s="17" t="s">
        <v>53</v>
      </c>
      <c r="AB34" s="17" t="s">
        <v>56</v>
      </c>
      <c r="AC34" s="17"/>
      <c r="AD34" s="17" t="s">
        <v>54</v>
      </c>
      <c r="AE34" s="17" t="s">
        <v>55</v>
      </c>
      <c r="AF34" s="17" t="s">
        <v>57</v>
      </c>
      <c r="AG34" s="17" t="s">
        <v>58</v>
      </c>
      <c r="AH34" s="17" t="s">
        <v>385</v>
      </c>
      <c r="AI34" s="17" t="s">
        <v>386</v>
      </c>
      <c r="AJ34" s="17" t="s">
        <v>387</v>
      </c>
      <c r="AK34" s="17" t="s">
        <v>54</v>
      </c>
      <c r="AL34" s="17" t="s">
        <v>154</v>
      </c>
      <c r="AM34" s="17" t="s">
        <v>388</v>
      </c>
      <c r="AN34" s="17" t="s">
        <v>389</v>
      </c>
      <c r="AO34" s="17" t="s">
        <v>153</v>
      </c>
      <c r="AP34" s="19">
        <v>4</v>
      </c>
      <c r="AQ34" s="19">
        <v>19</v>
      </c>
      <c r="AR34" s="19">
        <v>19</v>
      </c>
      <c r="AS34" s="19">
        <v>0</v>
      </c>
      <c r="AT34" s="19">
        <v>0</v>
      </c>
      <c r="AU34" s="19"/>
      <c r="AV34" s="19">
        <v>0</v>
      </c>
      <c r="AW34" s="19">
        <v>0</v>
      </c>
      <c r="AX34" s="17"/>
      <c r="AY34" s="19">
        <v>23.16</v>
      </c>
      <c r="AZ34" s="19">
        <v>14.4</v>
      </c>
      <c r="BA34" s="19">
        <v>37.56</v>
      </c>
      <c r="BB34" s="19">
        <v>3.96</v>
      </c>
      <c r="BC34" s="19">
        <v>2.6</v>
      </c>
      <c r="BD34" s="19">
        <v>8.82</v>
      </c>
      <c r="BE34" s="19">
        <v>52.94</v>
      </c>
      <c r="BF34" s="19"/>
      <c r="BG34" s="19">
        <v>0</v>
      </c>
      <c r="BH34" s="19"/>
      <c r="BI34" s="19"/>
      <c r="BJ34" s="17"/>
      <c r="BK34" s="19"/>
      <c r="BL34" s="19"/>
      <c r="BM34" s="19"/>
      <c r="BN34" s="19"/>
      <c r="BO34" s="19"/>
      <c r="BP34" s="19"/>
      <c r="BQ34" s="19"/>
      <c r="BR34" s="19"/>
      <c r="BS34" s="19">
        <v>9.9</v>
      </c>
      <c r="BT34" s="19"/>
      <c r="BU34" s="19"/>
      <c r="BV34" s="19"/>
      <c r="BW34" s="19"/>
      <c r="BX34" s="19">
        <v>4.5</v>
      </c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7"/>
      <c r="DB34" s="17"/>
      <c r="DC34" s="17" t="s">
        <v>183</v>
      </c>
      <c r="DD34" s="19" t="s">
        <v>183</v>
      </c>
      <c r="DE34">
        <v>19</v>
      </c>
    </row>
    <row r="35" spans="3:109" x14ac:dyDescent="0.25">
      <c r="C35" s="8" t="str">
        <f t="shared" si="3"/>
        <v>95756330</v>
      </c>
      <c r="D35" s="3">
        <f t="shared" si="0"/>
        <v>391.91999999999996</v>
      </c>
      <c r="E35" s="3">
        <f t="shared" si="1"/>
        <v>427.72999999999996</v>
      </c>
      <c r="F35" s="8">
        <f t="shared" si="4"/>
        <v>0</v>
      </c>
      <c r="G35" s="8">
        <f t="shared" si="5"/>
        <v>0</v>
      </c>
      <c r="H35" s="8">
        <f t="shared" si="6"/>
        <v>0</v>
      </c>
      <c r="I35" s="8">
        <f t="shared" si="7"/>
        <v>0</v>
      </c>
      <c r="J35" s="8">
        <f t="shared" si="8"/>
        <v>0</v>
      </c>
      <c r="K35" s="14">
        <f t="shared" si="2"/>
        <v>391.91999999999996</v>
      </c>
      <c r="M35" s="8">
        <f t="shared" si="9"/>
        <v>35.81</v>
      </c>
      <c r="N35" t="s">
        <v>220</v>
      </c>
      <c r="O35" s="2">
        <v>46203</v>
      </c>
      <c r="P35" t="s">
        <v>119</v>
      </c>
      <c r="Q35" t="s">
        <v>120</v>
      </c>
      <c r="R35" t="s">
        <v>53</v>
      </c>
      <c r="S35" t="s">
        <v>121</v>
      </c>
      <c r="T35" t="s">
        <v>390</v>
      </c>
      <c r="V35" s="12" t="s">
        <v>391</v>
      </c>
      <c r="W35" t="s">
        <v>384</v>
      </c>
      <c r="X35" t="s">
        <v>227</v>
      </c>
      <c r="AA35" t="s">
        <v>53</v>
      </c>
      <c r="AB35" t="s">
        <v>56</v>
      </c>
      <c r="AD35" t="s">
        <v>54</v>
      </c>
      <c r="AE35" t="s">
        <v>55</v>
      </c>
      <c r="AF35" t="s">
        <v>57</v>
      </c>
      <c r="AG35" t="s">
        <v>58</v>
      </c>
      <c r="AH35" t="s">
        <v>392</v>
      </c>
      <c r="AI35" t="s">
        <v>393</v>
      </c>
      <c r="AJ35" t="s">
        <v>394</v>
      </c>
      <c r="AK35" t="s">
        <v>54</v>
      </c>
      <c r="AL35" t="s">
        <v>207</v>
      </c>
      <c r="AM35" t="s">
        <v>277</v>
      </c>
      <c r="AN35" t="s">
        <v>278</v>
      </c>
      <c r="AP35">
        <v>1</v>
      </c>
      <c r="AQ35">
        <v>90</v>
      </c>
      <c r="AR35">
        <v>90</v>
      </c>
      <c r="AS35">
        <v>0</v>
      </c>
      <c r="AT35">
        <v>0</v>
      </c>
      <c r="AV35">
        <v>0</v>
      </c>
      <c r="AW35">
        <v>0</v>
      </c>
      <c r="AY35">
        <v>209.42</v>
      </c>
      <c r="AZ35">
        <v>179.9</v>
      </c>
      <c r="BA35">
        <v>389.32</v>
      </c>
      <c r="BB35">
        <v>35.81</v>
      </c>
      <c r="BC35">
        <v>2.6</v>
      </c>
      <c r="BD35">
        <v>85.54</v>
      </c>
      <c r="BE35">
        <v>513.27</v>
      </c>
      <c r="BG35">
        <v>0</v>
      </c>
      <c r="BL35">
        <v>170</v>
      </c>
      <c r="BS35">
        <v>9.9</v>
      </c>
      <c r="DC35" t="s">
        <v>183</v>
      </c>
      <c r="DD35" t="s">
        <v>183</v>
      </c>
      <c r="DE35">
        <v>90</v>
      </c>
    </row>
    <row r="36" spans="3:109" x14ac:dyDescent="0.25">
      <c r="C36" s="8" t="str">
        <f t="shared" si="3"/>
        <v>95761019</v>
      </c>
      <c r="D36" s="3">
        <f t="shared" si="0"/>
        <v>38.61</v>
      </c>
      <c r="E36" s="3">
        <f t="shared" si="1"/>
        <v>44.769999999999996</v>
      </c>
      <c r="F36" s="8">
        <f t="shared" si="4"/>
        <v>0</v>
      </c>
      <c r="G36" s="8">
        <f t="shared" si="5"/>
        <v>0</v>
      </c>
      <c r="H36" s="8">
        <f t="shared" si="6"/>
        <v>0</v>
      </c>
      <c r="I36" s="8">
        <f t="shared" si="7"/>
        <v>0</v>
      </c>
      <c r="J36" s="8">
        <f t="shared" si="8"/>
        <v>0</v>
      </c>
      <c r="K36" s="14">
        <f t="shared" si="2"/>
        <v>38.61</v>
      </c>
      <c r="M36" s="8">
        <f t="shared" si="9"/>
        <v>6.16</v>
      </c>
      <c r="N36" t="s">
        <v>220</v>
      </c>
      <c r="O36" s="2">
        <v>46203</v>
      </c>
      <c r="P36" t="s">
        <v>119</v>
      </c>
      <c r="Q36" t="s">
        <v>120</v>
      </c>
      <c r="R36" t="s">
        <v>53</v>
      </c>
      <c r="S36" t="s">
        <v>121</v>
      </c>
      <c r="T36" t="s">
        <v>395</v>
      </c>
      <c r="V36" s="12" t="s">
        <v>396</v>
      </c>
      <c r="W36" t="s">
        <v>384</v>
      </c>
      <c r="X36" t="s">
        <v>132</v>
      </c>
      <c r="AA36" t="s">
        <v>53</v>
      </c>
      <c r="AB36" t="s">
        <v>56</v>
      </c>
      <c r="AD36" t="s">
        <v>54</v>
      </c>
      <c r="AE36" t="s">
        <v>55</v>
      </c>
      <c r="AF36" t="s">
        <v>57</v>
      </c>
      <c r="AG36" t="s">
        <v>58</v>
      </c>
      <c r="AH36" t="s">
        <v>133</v>
      </c>
      <c r="AI36" t="s">
        <v>134</v>
      </c>
      <c r="AK36" t="s">
        <v>54</v>
      </c>
      <c r="AL36" t="s">
        <v>135</v>
      </c>
      <c r="AM36" t="s">
        <v>136</v>
      </c>
      <c r="AN36" t="s">
        <v>137</v>
      </c>
      <c r="AP36">
        <v>1</v>
      </c>
      <c r="AQ36">
        <v>35.5</v>
      </c>
      <c r="AR36">
        <v>35.5</v>
      </c>
      <c r="AS36">
        <v>0</v>
      </c>
      <c r="AT36">
        <v>0</v>
      </c>
      <c r="AV36">
        <v>0</v>
      </c>
      <c r="AW36">
        <v>0</v>
      </c>
      <c r="AY36">
        <v>36.01</v>
      </c>
      <c r="BA36">
        <v>36.01</v>
      </c>
      <c r="BB36">
        <v>6.16</v>
      </c>
      <c r="BC36">
        <v>2.6</v>
      </c>
      <c r="BD36">
        <v>8.9499999999999993</v>
      </c>
      <c r="BE36">
        <v>53.72</v>
      </c>
      <c r="BG36">
        <v>0</v>
      </c>
      <c r="DC36" t="s">
        <v>183</v>
      </c>
      <c r="DD36" t="s">
        <v>183</v>
      </c>
      <c r="DE36">
        <v>36</v>
      </c>
    </row>
  </sheetData>
  <autoFilter ref="A1:DE36" xr:uid="{450D1D50-D357-4643-B83C-33A31637B5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940E-1DA2-4B24-921C-FB6C4C424E68}">
  <dimension ref="A3:F8"/>
  <sheetViews>
    <sheetView workbookViewId="0">
      <selection activeCell="A7" sqref="A7"/>
    </sheetView>
  </sheetViews>
  <sheetFormatPr baseColWidth="10" defaultRowHeight="15" x14ac:dyDescent="0.25"/>
  <cols>
    <col min="1" max="1" width="21" bestFit="1" customWidth="1"/>
    <col min="2" max="2" width="20.140625" bestFit="1" customWidth="1"/>
    <col min="3" max="3" width="20.140625" customWidth="1"/>
    <col min="4" max="4" width="9" customWidth="1"/>
    <col min="5" max="5" width="6.140625" bestFit="1" customWidth="1"/>
  </cols>
  <sheetData>
    <row r="3" spans="1:6" ht="15.75" x14ac:dyDescent="0.25">
      <c r="A3" s="7" t="s">
        <v>146</v>
      </c>
    </row>
    <row r="5" spans="1:6" x14ac:dyDescent="0.25">
      <c r="A5" s="4" t="s">
        <v>122</v>
      </c>
      <c r="B5" t="s">
        <v>127</v>
      </c>
      <c r="C5" t="s">
        <v>152</v>
      </c>
      <c r="D5" t="s">
        <v>128</v>
      </c>
      <c r="E5" t="s">
        <v>129</v>
      </c>
    </row>
    <row r="6" spans="1:6" x14ac:dyDescent="0.25">
      <c r="A6" s="5" t="s">
        <v>130</v>
      </c>
      <c r="C6">
        <v>28.5</v>
      </c>
      <c r="E6">
        <f>D6-B6</f>
        <v>0</v>
      </c>
      <c r="F6" t="str">
        <f>IF(E6=27.7,"OK","Contrôler Ecarts")</f>
        <v>Contrôler Ecarts</v>
      </c>
    </row>
    <row r="7" spans="1:6" x14ac:dyDescent="0.25">
      <c r="A7" s="5" t="s">
        <v>220</v>
      </c>
      <c r="B7">
        <v>6453.45</v>
      </c>
      <c r="D7">
        <v>6481.95</v>
      </c>
      <c r="E7">
        <f>D7-B7-C6</f>
        <v>0</v>
      </c>
      <c r="F7" t="str">
        <f>IF(E7=27.7,"OK","Contrôler Ecarts")</f>
        <v>Contrôler Ecarts</v>
      </c>
    </row>
    <row r="8" spans="1:6" x14ac:dyDescent="0.25">
      <c r="A8" s="5" t="s">
        <v>123</v>
      </c>
      <c r="B8">
        <v>6453.45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6914-10F5-4D38-96D7-69DC95ED7341}">
  <dimension ref="A1:X36"/>
  <sheetViews>
    <sheetView workbookViewId="0">
      <selection activeCell="H2" sqref="H2"/>
    </sheetView>
  </sheetViews>
  <sheetFormatPr baseColWidth="10" defaultRowHeight="15" x14ac:dyDescent="0.25"/>
  <cols>
    <col min="2" max="2" width="16.5703125" bestFit="1" customWidth="1"/>
    <col min="7" max="7" width="29.140625" bestFit="1" customWidth="1"/>
    <col min="21" max="21" width="15.7109375" bestFit="1" customWidth="1"/>
    <col min="24" max="24" width="29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43</v>
      </c>
    </row>
    <row r="2" spans="1:23" x14ac:dyDescent="0.25">
      <c r="A2" t="s">
        <v>22</v>
      </c>
      <c r="B2" s="22">
        <v>46174</v>
      </c>
      <c r="C2" t="str">
        <f>IF(_xlfn.XLOOKUP(F2,'Factures Geodis'!C:C,'Factures Geodis'!T:T,"")=0,"",_xlfn.XLOOKUP(F2,'Factures Geodis'!C:C,'Factures Geodis'!T:T,""))</f>
        <v>2763729</v>
      </c>
      <c r="F2" t="str">
        <f>'Factures Geodis'!C2</f>
        <v>93847354</v>
      </c>
      <c r="G2" s="6" t="str">
        <f>'Factures Geodis'!AH2</f>
        <v>ATIDA OMNIPHAR 07</v>
      </c>
      <c r="I2" s="6" t="str">
        <f>'Factures Geodis'!AD2</f>
        <v>FR</v>
      </c>
      <c r="J2" t="s">
        <v>125</v>
      </c>
      <c r="K2">
        <f>'Factures Geodis'!AP2</f>
        <v>1</v>
      </c>
      <c r="L2">
        <f>'Factures Geodis'!AQ2</f>
        <v>32</v>
      </c>
      <c r="M2" t="s">
        <v>131</v>
      </c>
      <c r="N2">
        <v>0.2</v>
      </c>
      <c r="O2" t="str">
        <f>IF('Factures Geodis'!F2=0,"",'Factures Geodis'!F2)</f>
        <v/>
      </c>
      <c r="P2" t="str">
        <f>IF('Factures Geodis'!G2=0,"",'Factures Geodis'!G2)</f>
        <v/>
      </c>
      <c r="Q2" t="str">
        <f>IF('Factures Geodis'!H2=0,"",'Factures Geodis'!H2)</f>
        <v/>
      </c>
      <c r="R2" t="str">
        <f>IF('Factures Geodis'!I2=0,"",'Factures Geodis'!I2)</f>
        <v/>
      </c>
      <c r="S2" t="str">
        <f>IF('Factures Geodis'!J2=0,"",'Factures Geodis'!J2)</f>
        <v/>
      </c>
      <c r="T2">
        <f>IF('Factures Geodis'!K2=0,"",'Factures Geodis'!K2)</f>
        <v>5.7</v>
      </c>
      <c r="U2" t="str">
        <f>IF('Factures Geodis'!L2=0,"",'Factures Geodis'!L2)</f>
        <v/>
      </c>
    </row>
    <row r="3" spans="1:23" x14ac:dyDescent="0.25">
      <c r="A3" t="str">
        <f>A2</f>
        <v>GEODIS</v>
      </c>
      <c r="B3" s="1">
        <f>B2</f>
        <v>46174</v>
      </c>
      <c r="C3" t="str">
        <f>IF(_xlfn.XLOOKUP(F3,'Factures Geodis'!C:C,'Factures Geodis'!T:T,"")=0,"",_xlfn.XLOOKUP(F3,'Factures Geodis'!C:C,'Factures Geodis'!T:T,""))</f>
        <v>2766395</v>
      </c>
      <c r="F3" t="str">
        <f>'Factures Geodis'!C3</f>
        <v>94081655</v>
      </c>
      <c r="G3" s="6" t="str">
        <f>'Factures Geodis'!AH3</f>
        <v>ATIDA OMNIPHAR 07</v>
      </c>
      <c r="I3" s="6" t="str">
        <f>'Factures Geodis'!AD3</f>
        <v>FR</v>
      </c>
      <c r="J3" t="str">
        <f>J2</f>
        <v>France</v>
      </c>
      <c r="K3">
        <f>'Factures Geodis'!AP3</f>
        <v>1</v>
      </c>
      <c r="L3">
        <f>'Factures Geodis'!AQ3</f>
        <v>44</v>
      </c>
      <c r="M3" t="s">
        <v>131</v>
      </c>
      <c r="N3">
        <f>N2</f>
        <v>0.2</v>
      </c>
      <c r="O3" t="str">
        <f>IF('Factures Geodis'!F3=0,"",'Factures Geodis'!F3)</f>
        <v/>
      </c>
      <c r="P3" t="str">
        <f>IF('Factures Geodis'!G3=0,"",'Factures Geodis'!G3)</f>
        <v/>
      </c>
      <c r="Q3" t="str">
        <f>IF('Factures Geodis'!H3=0,"",'Factures Geodis'!H3)</f>
        <v/>
      </c>
      <c r="R3" t="str">
        <f>IF('Factures Geodis'!I3=0,"",'Factures Geodis'!I3)</f>
        <v/>
      </c>
      <c r="S3" t="str">
        <f>IF('Factures Geodis'!J3=0,"",'Factures Geodis'!J3)</f>
        <v/>
      </c>
      <c r="T3">
        <f>IF('Factures Geodis'!K3=0,"",'Factures Geodis'!K3)</f>
        <v>48.1</v>
      </c>
      <c r="U3" t="str">
        <f>IF('Factures Geodis'!L3=0,"",'Factures Geodis'!L3)</f>
        <v/>
      </c>
    </row>
    <row r="4" spans="1:23" x14ac:dyDescent="0.25">
      <c r="A4" t="str">
        <f t="shared" ref="A4:A36" si="0">A3</f>
        <v>GEODIS</v>
      </c>
      <c r="B4" s="1">
        <f t="shared" ref="B4:B36" si="1">B3</f>
        <v>46174</v>
      </c>
      <c r="C4" t="str">
        <f>IF(_xlfn.XLOOKUP(F4,'Factures Geodis'!C:C,'Factures Geodis'!T:T,"")=0,"",_xlfn.XLOOKUP(F4,'Factures Geodis'!C:C,'Factures Geodis'!T:T,""))</f>
        <v>2766417</v>
      </c>
      <c r="F4" t="str">
        <f>'Factures Geodis'!C4</f>
        <v>94231593</v>
      </c>
      <c r="G4" s="6" t="str">
        <f>'Factures Geodis'!AH4</f>
        <v>CMC MALONGO LOGISTIQUE</v>
      </c>
      <c r="I4" s="6" t="str">
        <f>'Factures Geodis'!AD4</f>
        <v>FR</v>
      </c>
      <c r="J4" t="str">
        <f t="shared" ref="J4:J36" si="2">J3</f>
        <v>France</v>
      </c>
      <c r="K4">
        <f>'Factures Geodis'!AP4</f>
        <v>2</v>
      </c>
      <c r="L4">
        <f>'Factures Geodis'!AQ4</f>
        <v>28</v>
      </c>
      <c r="M4" t="s">
        <v>131</v>
      </c>
      <c r="N4">
        <f t="shared" ref="N4:N36" si="3">N3</f>
        <v>0.2</v>
      </c>
      <c r="O4" t="str">
        <f>IF('Factures Geodis'!F4=0,"",'Factures Geodis'!F4)</f>
        <v/>
      </c>
      <c r="P4" t="str">
        <f>IF('Factures Geodis'!G4=0,"",'Factures Geodis'!G4)</f>
        <v/>
      </c>
      <c r="Q4" t="str">
        <f>IF('Factures Geodis'!H4=0,"",'Factures Geodis'!H4)</f>
        <v/>
      </c>
      <c r="R4" t="str">
        <f>IF('Factures Geodis'!I4=0,"",'Factures Geodis'!I4)</f>
        <v/>
      </c>
      <c r="S4" t="str">
        <f>IF('Factures Geodis'!J4=0,"",'Factures Geodis'!J4)</f>
        <v/>
      </c>
      <c r="T4">
        <f>IF('Factures Geodis'!K4=0,"",'Factures Geodis'!K4)</f>
        <v>110</v>
      </c>
      <c r="U4" t="str">
        <f>IF('Factures Geodis'!L4=0,"",'Factures Geodis'!L4)</f>
        <v/>
      </c>
    </row>
    <row r="5" spans="1:23" x14ac:dyDescent="0.25">
      <c r="A5" t="str">
        <f t="shared" si="0"/>
        <v>GEODIS</v>
      </c>
      <c r="B5" s="1">
        <f t="shared" si="1"/>
        <v>46174</v>
      </c>
      <c r="C5" t="str">
        <f>IF(_xlfn.XLOOKUP(F5,'Factures Geodis'!C:C,'Factures Geodis'!T:T,"")=0,"",_xlfn.XLOOKUP(F5,'Factures Geodis'!C:C,'Factures Geodis'!T:T,""))</f>
        <v/>
      </c>
      <c r="F5" t="str">
        <f>'Factures Geodis'!C5</f>
        <v>41488288</v>
      </c>
      <c r="G5" s="6" t="str">
        <f>'Factures Geodis'!AH5</f>
        <v>SAMADA (BÂTIMENT PROLOGIS)</v>
      </c>
      <c r="I5" s="6" t="str">
        <f>'Factures Geodis'!AD5</f>
        <v>FR</v>
      </c>
      <c r="J5" t="str">
        <f t="shared" si="2"/>
        <v>France</v>
      </c>
      <c r="K5">
        <f>'Factures Geodis'!AP5</f>
        <v>3</v>
      </c>
      <c r="L5">
        <f>'Factures Geodis'!AQ5</f>
        <v>343</v>
      </c>
      <c r="M5" t="s">
        <v>131</v>
      </c>
      <c r="N5">
        <f t="shared" si="3"/>
        <v>0.2</v>
      </c>
      <c r="O5" t="str">
        <f>IF('Factures Geodis'!F5=0,"",'Factures Geodis'!F5)</f>
        <v/>
      </c>
      <c r="P5" t="str">
        <f>IF('Factures Geodis'!G5=0,"",'Factures Geodis'!G5)</f>
        <v/>
      </c>
      <c r="Q5" t="str">
        <f>IF('Factures Geodis'!H5=0,"",'Factures Geodis'!H5)</f>
        <v/>
      </c>
      <c r="R5" t="str">
        <f>IF('Factures Geodis'!I5=0,"",'Factures Geodis'!I5)</f>
        <v/>
      </c>
      <c r="S5" t="str">
        <f>IF('Factures Geodis'!J5=0,"",'Factures Geodis'!J5)</f>
        <v/>
      </c>
      <c r="T5">
        <f>IF('Factures Geodis'!K5=0,"",'Factures Geodis'!K5)</f>
        <v>295.36</v>
      </c>
      <c r="U5" t="str">
        <f>IF('Factures Geodis'!L5=0,"",'Factures Geodis'!L5)</f>
        <v/>
      </c>
    </row>
    <row r="6" spans="1:23" x14ac:dyDescent="0.25">
      <c r="A6" t="str">
        <f t="shared" si="0"/>
        <v>GEODIS</v>
      </c>
      <c r="B6" s="1">
        <f t="shared" si="1"/>
        <v>46174</v>
      </c>
      <c r="C6" t="str">
        <f>IF(_xlfn.XLOOKUP(F6,'Factures Geodis'!C:C,'Factures Geodis'!T:T,"")=0,"",_xlfn.XLOOKUP(F6,'Factures Geodis'!C:C,'Factures Geodis'!T:T,""))</f>
        <v>000093630935</v>
      </c>
      <c r="F6" t="str">
        <f>'Factures Geodis'!C6</f>
        <v>41536885</v>
      </c>
      <c r="G6" s="6" t="str">
        <f>'Factures Geodis'!AH6</f>
        <v>LA RUCHE LOGISTIQUE</v>
      </c>
      <c r="I6" s="6" t="str">
        <f>'Factures Geodis'!AD6</f>
        <v>FR</v>
      </c>
      <c r="J6" t="str">
        <f t="shared" si="2"/>
        <v>France</v>
      </c>
      <c r="K6">
        <f>'Factures Geodis'!AP6</f>
        <v>1</v>
      </c>
      <c r="L6">
        <f>'Factures Geodis'!AQ6</f>
        <v>8.6999999999999993</v>
      </c>
      <c r="M6" t="s">
        <v>131</v>
      </c>
      <c r="N6">
        <f t="shared" si="3"/>
        <v>0.2</v>
      </c>
      <c r="O6" t="str">
        <f>IF('Factures Geodis'!F6=0,"",'Factures Geodis'!F6)</f>
        <v/>
      </c>
      <c r="P6" t="str">
        <f>IF('Factures Geodis'!G6=0,"",'Factures Geodis'!G6)</f>
        <v/>
      </c>
      <c r="Q6" t="str">
        <f>IF('Factures Geodis'!H6=0,"",'Factures Geodis'!H6)</f>
        <v/>
      </c>
      <c r="R6" t="str">
        <f>IF('Factures Geodis'!I6=0,"",'Factures Geodis'!I6)</f>
        <v/>
      </c>
      <c r="S6" t="str">
        <f>IF('Factures Geodis'!J6=0,"",'Factures Geodis'!J6)</f>
        <v/>
      </c>
      <c r="T6">
        <f>IF('Factures Geodis'!K6=0,"",'Factures Geodis'!K6)</f>
        <v>57.08</v>
      </c>
      <c r="U6" t="str">
        <f>IF('Factures Geodis'!L6=0,"",'Factures Geodis'!L6)</f>
        <v/>
      </c>
    </row>
    <row r="7" spans="1:23" x14ac:dyDescent="0.25">
      <c r="A7" t="str">
        <f t="shared" si="0"/>
        <v>GEODIS</v>
      </c>
      <c r="B7" s="1">
        <f t="shared" si="1"/>
        <v>46174</v>
      </c>
      <c r="C7" t="str">
        <f>IF(_xlfn.XLOOKUP(F7,'Factures Geodis'!C:C,'Factures Geodis'!T:T,"")=0,"",_xlfn.XLOOKUP(F7,'Factures Geodis'!C:C,'Factures Geodis'!T:T,""))</f>
        <v>94320254</v>
      </c>
      <c r="F7" t="str">
        <f>'Factures Geodis'!C7</f>
        <v>94320254</v>
      </c>
      <c r="G7" s="6" t="str">
        <f>'Factures Geodis'!AH7</f>
        <v>STAND PHARMACIE</v>
      </c>
      <c r="I7" s="6" t="str">
        <f>'Factures Geodis'!AD7</f>
        <v>FR</v>
      </c>
      <c r="J7" t="str">
        <f t="shared" si="2"/>
        <v>France</v>
      </c>
      <c r="K7">
        <f>'Factures Geodis'!AP7</f>
        <v>2</v>
      </c>
      <c r="L7">
        <f>'Factures Geodis'!AQ7</f>
        <v>17.7</v>
      </c>
      <c r="M7" t="s">
        <v>131</v>
      </c>
      <c r="N7">
        <f t="shared" si="3"/>
        <v>0.2</v>
      </c>
      <c r="O7" t="str">
        <f>IF('Factures Geodis'!F7=0,"",'Factures Geodis'!F7)</f>
        <v/>
      </c>
      <c r="P7" t="str">
        <f>IF('Factures Geodis'!G7=0,"",'Factures Geodis'!G7)</f>
        <v/>
      </c>
      <c r="Q7" t="str">
        <f>IF('Factures Geodis'!H7=0,"",'Factures Geodis'!H7)</f>
        <v/>
      </c>
      <c r="R7" t="str">
        <f>IF('Factures Geodis'!I7=0,"",'Factures Geodis'!I7)</f>
        <v/>
      </c>
      <c r="S7" t="str">
        <f>IF('Factures Geodis'!J7=0,"",'Factures Geodis'!J7)</f>
        <v/>
      </c>
      <c r="T7">
        <f>IF('Factures Geodis'!K7=0,"",'Factures Geodis'!K7)</f>
        <v>133.9</v>
      </c>
      <c r="U7" t="str">
        <f>IF('Factures Geodis'!L7=0,"",'Factures Geodis'!L7)</f>
        <v/>
      </c>
    </row>
    <row r="8" spans="1:23" x14ac:dyDescent="0.25">
      <c r="A8" t="str">
        <f t="shared" si="0"/>
        <v>GEODIS</v>
      </c>
      <c r="B8" s="1">
        <f t="shared" si="1"/>
        <v>46174</v>
      </c>
      <c r="C8" t="str">
        <f>IF(_xlfn.XLOOKUP(F8,'Factures Geodis'!C:C,'Factures Geodis'!T:T,"")=0,"",_xlfn.XLOOKUP(F8,'Factures Geodis'!C:C,'Factures Geodis'!T:T,""))</f>
        <v>2781238</v>
      </c>
      <c r="F8" t="str">
        <f>'Factures Geodis'!C8</f>
        <v>94380676</v>
      </c>
      <c r="G8" s="6" t="str">
        <f>'Factures Geodis'!AH8</f>
        <v>ESSENTIELS PHARMA</v>
      </c>
      <c r="I8" s="6" t="str">
        <f>'Factures Geodis'!AD8</f>
        <v>FR</v>
      </c>
      <c r="J8" t="str">
        <f t="shared" si="2"/>
        <v>France</v>
      </c>
      <c r="K8">
        <f>'Factures Geodis'!AP8</f>
        <v>1</v>
      </c>
      <c r="L8">
        <f>'Factures Geodis'!AQ8</f>
        <v>170</v>
      </c>
      <c r="M8" t="s">
        <v>131</v>
      </c>
      <c r="N8">
        <f t="shared" si="3"/>
        <v>0.2</v>
      </c>
      <c r="O8" t="str">
        <f>IF('Factures Geodis'!F8=0,"",'Factures Geodis'!F8)</f>
        <v/>
      </c>
      <c r="P8" t="str">
        <f>IF('Factures Geodis'!G8=0,"",'Factures Geodis'!G8)</f>
        <v/>
      </c>
      <c r="Q8" t="str">
        <f>IF('Factures Geodis'!H8=0,"",'Factures Geodis'!H8)</f>
        <v/>
      </c>
      <c r="R8" t="str">
        <f>IF('Factures Geodis'!I8=0,"",'Factures Geodis'!I8)</f>
        <v/>
      </c>
      <c r="S8" t="str">
        <f>IF('Factures Geodis'!J8=0,"",'Factures Geodis'!J8)</f>
        <v/>
      </c>
      <c r="T8">
        <f>IF('Factures Geodis'!K8=0,"",'Factures Geodis'!K8)</f>
        <v>97.94</v>
      </c>
      <c r="U8" t="str">
        <f>IF('Factures Geodis'!L8=0,"",'Factures Geodis'!L8)</f>
        <v/>
      </c>
    </row>
    <row r="9" spans="1:23" x14ac:dyDescent="0.25">
      <c r="A9" t="str">
        <f t="shared" si="0"/>
        <v>GEODIS</v>
      </c>
      <c r="B9" s="1">
        <f t="shared" si="1"/>
        <v>46174</v>
      </c>
      <c r="C9" t="str">
        <f>IF(_xlfn.XLOOKUP(F9,'Factures Geodis'!C:C,'Factures Geodis'!T:T,"")=0,"",_xlfn.XLOOKUP(F9,'Factures Geodis'!C:C,'Factures Geodis'!T:T,""))</f>
        <v>2782347</v>
      </c>
      <c r="F9" t="str">
        <f>'Factures Geodis'!C9</f>
        <v>94431027</v>
      </c>
      <c r="G9" s="6" t="str">
        <f>'Factures Geodis'!AH9</f>
        <v>EASY PARAPHARMACIE</v>
      </c>
      <c r="I9" s="6" t="str">
        <f>'Factures Geodis'!AD9</f>
        <v>FR</v>
      </c>
      <c r="J9" t="str">
        <f t="shared" si="2"/>
        <v>France</v>
      </c>
      <c r="K9">
        <f>'Factures Geodis'!AP9</f>
        <v>3</v>
      </c>
      <c r="L9">
        <f>'Factures Geodis'!AQ9</f>
        <v>21</v>
      </c>
      <c r="M9" t="s">
        <v>131</v>
      </c>
      <c r="N9">
        <f t="shared" si="3"/>
        <v>0.2</v>
      </c>
      <c r="O9" t="str">
        <f>IF('Factures Geodis'!F9=0,"",'Factures Geodis'!F9)</f>
        <v/>
      </c>
      <c r="P9" t="str">
        <f>IF('Factures Geodis'!G9=0,"",'Factures Geodis'!G9)</f>
        <v/>
      </c>
      <c r="Q9" t="str">
        <f>IF('Factures Geodis'!H9=0,"",'Factures Geodis'!H9)</f>
        <v/>
      </c>
      <c r="R9" t="str">
        <f>IF('Factures Geodis'!I9=0,"",'Factures Geodis'!I9)</f>
        <v/>
      </c>
      <c r="S9" t="str">
        <f>IF('Factures Geodis'!J9=0,"",'Factures Geodis'!J9)</f>
        <v/>
      </c>
      <c r="T9">
        <f>IF('Factures Geodis'!K9=0,"",'Factures Geodis'!K9)</f>
        <v>40.550000000000004</v>
      </c>
      <c r="U9" t="str">
        <f>IF('Factures Geodis'!L9=0,"",'Factures Geodis'!L9)</f>
        <v/>
      </c>
    </row>
    <row r="10" spans="1:23" x14ac:dyDescent="0.25">
      <c r="A10" t="str">
        <f t="shared" si="0"/>
        <v>GEODIS</v>
      </c>
      <c r="B10" s="1">
        <f t="shared" si="1"/>
        <v>46174</v>
      </c>
      <c r="C10" t="str">
        <f>IF(_xlfn.XLOOKUP(F10,'Factures Geodis'!C:C,'Factures Geodis'!T:T,"")=0,"",_xlfn.XLOOKUP(F10,'Factures Geodis'!C:C,'Factures Geodis'!T:T,""))</f>
        <v>2778926</v>
      </c>
      <c r="F10" t="str">
        <f>'Factures Geodis'!C10</f>
        <v>94433083</v>
      </c>
      <c r="G10" s="6" t="str">
        <f>'Factures Geodis'!AH10</f>
        <v>ALLTRICKS FRANCE</v>
      </c>
      <c r="I10" s="6" t="str">
        <f>'Factures Geodis'!AD10</f>
        <v>FR</v>
      </c>
      <c r="J10" t="str">
        <f t="shared" si="2"/>
        <v>France</v>
      </c>
      <c r="K10">
        <f>'Factures Geodis'!AP10</f>
        <v>1</v>
      </c>
      <c r="L10">
        <f>'Factures Geodis'!AQ10</f>
        <v>8</v>
      </c>
      <c r="M10" t="s">
        <v>131</v>
      </c>
      <c r="N10">
        <f t="shared" si="3"/>
        <v>0.2</v>
      </c>
      <c r="O10" t="str">
        <f>IF('Factures Geodis'!F10=0,"",'Factures Geodis'!F10)</f>
        <v/>
      </c>
      <c r="P10" t="str">
        <f>IF('Factures Geodis'!G10=0,"",'Factures Geodis'!G10)</f>
        <v/>
      </c>
      <c r="Q10" t="str">
        <f>IF('Factures Geodis'!H10=0,"",'Factures Geodis'!H10)</f>
        <v/>
      </c>
      <c r="R10" t="str">
        <f>IF('Factures Geodis'!I10=0,"",'Factures Geodis'!I10)</f>
        <v/>
      </c>
      <c r="S10" t="str">
        <f>IF('Factures Geodis'!J10=0,"",'Factures Geodis'!J10)</f>
        <v/>
      </c>
      <c r="T10">
        <f>IF('Factures Geodis'!K10=0,"",'Factures Geodis'!K10)</f>
        <v>26.16</v>
      </c>
      <c r="U10" t="str">
        <f>IF('Factures Geodis'!L10=0,"",'Factures Geodis'!L10)</f>
        <v/>
      </c>
    </row>
    <row r="11" spans="1:23" x14ac:dyDescent="0.25">
      <c r="A11" t="str">
        <f t="shared" si="0"/>
        <v>GEODIS</v>
      </c>
      <c r="B11" s="1">
        <f t="shared" si="1"/>
        <v>46174</v>
      </c>
      <c r="C11" t="str">
        <f>IF(_xlfn.XLOOKUP(F11,'Factures Geodis'!C:C,'Factures Geodis'!T:T,"")=0,"",_xlfn.XLOOKUP(F11,'Factures Geodis'!C:C,'Factures Geodis'!T:T,""))</f>
        <v>2774798</v>
      </c>
      <c r="F11" t="str">
        <f>'Factures Geodis'!C11</f>
        <v>94464606</v>
      </c>
      <c r="G11" s="6" t="str">
        <f>'Factures Geodis'!AH11</f>
        <v>DHYGIETAL</v>
      </c>
      <c r="I11" s="6" t="str">
        <f>'Factures Geodis'!AD11</f>
        <v>FR</v>
      </c>
      <c r="J11" t="str">
        <f t="shared" si="2"/>
        <v>France</v>
      </c>
      <c r="K11">
        <f>'Factures Geodis'!AP11</f>
        <v>9</v>
      </c>
      <c r="L11">
        <f>'Factures Geodis'!AQ11</f>
        <v>80</v>
      </c>
      <c r="M11" t="s">
        <v>131</v>
      </c>
      <c r="N11">
        <f t="shared" si="3"/>
        <v>0.2</v>
      </c>
      <c r="O11" t="str">
        <f>IF('Factures Geodis'!F11=0,"",'Factures Geodis'!F11)</f>
        <v/>
      </c>
      <c r="P11" t="str">
        <f>IF('Factures Geodis'!G11=0,"",'Factures Geodis'!G11)</f>
        <v/>
      </c>
      <c r="Q11" t="str">
        <f>IF('Factures Geodis'!H11=0,"",'Factures Geodis'!H11)</f>
        <v/>
      </c>
      <c r="R11" t="str">
        <f>IF('Factures Geodis'!I11=0,"",'Factures Geodis'!I11)</f>
        <v/>
      </c>
      <c r="S11" t="str">
        <f>IF('Factures Geodis'!J11=0,"",'Factures Geodis'!J11)</f>
        <v/>
      </c>
      <c r="T11">
        <f>IF('Factures Geodis'!K11=0,"",'Factures Geodis'!K11)</f>
        <v>41.54</v>
      </c>
      <c r="U11" t="str">
        <f>IF('Factures Geodis'!L11=0,"",'Factures Geodis'!L11)</f>
        <v/>
      </c>
    </row>
    <row r="12" spans="1:23" x14ac:dyDescent="0.25">
      <c r="A12" t="str">
        <f t="shared" si="0"/>
        <v>GEODIS</v>
      </c>
      <c r="B12" s="1">
        <f t="shared" si="1"/>
        <v>46174</v>
      </c>
      <c r="C12" t="str">
        <f>IF(_xlfn.XLOOKUP(F12,'Factures Geodis'!C:C,'Factures Geodis'!T:T,"")=0,"",_xlfn.XLOOKUP(F12,'Factures Geodis'!C:C,'Factures Geodis'!T:T,""))</f>
        <v>HYD06260008</v>
      </c>
      <c r="F12" t="str">
        <f>'Factures Geodis'!C12</f>
        <v>41517742</v>
      </c>
      <c r="G12" s="6" t="str">
        <f>'Factures Geodis'!AH12</f>
        <v>ENTREPÔT SAMADA</v>
      </c>
      <c r="I12" s="6" t="str">
        <f>'Factures Geodis'!AD12</f>
        <v>FR</v>
      </c>
      <c r="J12" t="str">
        <f t="shared" si="2"/>
        <v>France</v>
      </c>
      <c r="K12">
        <f>'Factures Geodis'!AP12</f>
        <v>1</v>
      </c>
      <c r="L12">
        <f>'Factures Geodis'!AQ12</f>
        <v>132</v>
      </c>
      <c r="M12" t="s">
        <v>131</v>
      </c>
      <c r="N12">
        <f t="shared" si="3"/>
        <v>0.2</v>
      </c>
      <c r="O12" t="str">
        <f>IF('Factures Geodis'!F12=0,"",'Factures Geodis'!F12)</f>
        <v/>
      </c>
      <c r="P12" t="str">
        <f>IF('Factures Geodis'!G12=0,"",'Factures Geodis'!G12)</f>
        <v/>
      </c>
      <c r="Q12" t="str">
        <f>IF('Factures Geodis'!H12=0,"",'Factures Geodis'!H12)</f>
        <v/>
      </c>
      <c r="R12" t="str">
        <f>IF('Factures Geodis'!I12=0,"",'Factures Geodis'!I12)</f>
        <v/>
      </c>
      <c r="S12" t="str">
        <f>IF('Factures Geodis'!J12=0,"",'Factures Geodis'!J12)</f>
        <v/>
      </c>
      <c r="T12">
        <f>IF('Factures Geodis'!K12=0,"",'Factures Geodis'!K12)</f>
        <v>123.11999999999999</v>
      </c>
      <c r="U12" t="str">
        <f>IF('Factures Geodis'!L12=0,"",'Factures Geodis'!L12)</f>
        <v/>
      </c>
    </row>
    <row r="13" spans="1:23" x14ac:dyDescent="0.25">
      <c r="A13" t="str">
        <f t="shared" si="0"/>
        <v>GEODIS</v>
      </c>
      <c r="B13" s="1">
        <f t="shared" si="1"/>
        <v>46174</v>
      </c>
      <c r="C13" t="str">
        <f>IF(_xlfn.XLOOKUP(F13,'Factures Geodis'!C:C,'Factures Geodis'!T:T,"")=0,"",_xlfn.XLOOKUP(F13,'Factures Geodis'!C:C,'Factures Geodis'!T:T,""))</f>
        <v>2777656</v>
      </c>
      <c r="F13" t="str">
        <f>'Factures Geodis'!C13</f>
        <v>94291375</v>
      </c>
      <c r="G13" s="6" t="str">
        <f>'Factures Geodis'!AH13</f>
        <v>B2B PHARMA</v>
      </c>
      <c r="I13" s="6" t="str">
        <f>'Factures Geodis'!AD13</f>
        <v>FR</v>
      </c>
      <c r="J13" t="str">
        <f t="shared" si="2"/>
        <v>France</v>
      </c>
      <c r="K13">
        <f>'Factures Geodis'!AP13</f>
        <v>2</v>
      </c>
      <c r="L13">
        <f>'Factures Geodis'!AQ13</f>
        <v>437</v>
      </c>
      <c r="M13" t="s">
        <v>131</v>
      </c>
      <c r="N13">
        <f t="shared" si="3"/>
        <v>0.2</v>
      </c>
      <c r="O13" t="str">
        <f>IF('Factures Geodis'!F13=0,"",'Factures Geodis'!F13)</f>
        <v/>
      </c>
      <c r="P13" t="str">
        <f>IF('Factures Geodis'!G13=0,"",'Factures Geodis'!G13)</f>
        <v/>
      </c>
      <c r="Q13" t="str">
        <f>IF('Factures Geodis'!H13=0,"",'Factures Geodis'!H13)</f>
        <v/>
      </c>
      <c r="R13" t="str">
        <f>IF('Factures Geodis'!I13=0,"",'Factures Geodis'!I13)</f>
        <v/>
      </c>
      <c r="S13" t="str">
        <f>IF('Factures Geodis'!J13=0,"",'Factures Geodis'!J13)</f>
        <v/>
      </c>
      <c r="T13">
        <f>IF('Factures Geodis'!K13=0,"",'Factures Geodis'!K13)</f>
        <v>140.06</v>
      </c>
      <c r="U13" t="str">
        <f>IF('Factures Geodis'!L13=0,"",'Factures Geodis'!L13)</f>
        <v/>
      </c>
    </row>
    <row r="14" spans="1:23" x14ac:dyDescent="0.25">
      <c r="A14" t="str">
        <f t="shared" si="0"/>
        <v>GEODIS</v>
      </c>
      <c r="B14" s="1">
        <f t="shared" si="1"/>
        <v>46174</v>
      </c>
      <c r="C14" t="str">
        <f>IF(_xlfn.XLOOKUP(F14,'Factures Geodis'!C:C,'Factures Geodis'!T:T,"")=0,"",_xlfn.XLOOKUP(F14,'Factures Geodis'!C:C,'Factures Geodis'!T:T,""))</f>
        <v/>
      </c>
      <c r="F14" t="str">
        <f>'Factures Geodis'!C14</f>
        <v>41565971</v>
      </c>
      <c r="G14" s="6" t="str">
        <f>'Factures Geodis'!AH14</f>
        <v>LA RUCHE LOGISTIQUE</v>
      </c>
      <c r="I14" s="6" t="str">
        <f>'Factures Geodis'!AD14</f>
        <v>BE</v>
      </c>
      <c r="J14" t="str">
        <f t="shared" si="2"/>
        <v>France</v>
      </c>
      <c r="K14">
        <f>'Factures Geodis'!AP14</f>
        <v>4</v>
      </c>
      <c r="L14">
        <f>'Factures Geodis'!AQ14</f>
        <v>1289</v>
      </c>
      <c r="M14" t="s">
        <v>131</v>
      </c>
      <c r="N14">
        <f t="shared" si="3"/>
        <v>0.2</v>
      </c>
      <c r="O14" t="str">
        <f>IF('Factures Geodis'!F14=0,"",'Factures Geodis'!F14)</f>
        <v/>
      </c>
      <c r="P14" t="str">
        <f>IF('Factures Geodis'!G14=0,"",'Factures Geodis'!G14)</f>
        <v/>
      </c>
      <c r="Q14" t="str">
        <f>IF('Factures Geodis'!H14=0,"",'Factures Geodis'!H14)</f>
        <v/>
      </c>
      <c r="R14" t="str">
        <f>IF('Factures Geodis'!I14=0,"",'Factures Geodis'!I14)</f>
        <v/>
      </c>
      <c r="S14" t="str">
        <f>IF('Factures Geodis'!J14=0,"",'Factures Geodis'!J14)</f>
        <v/>
      </c>
      <c r="T14">
        <f>IF('Factures Geodis'!K14=0,"",'Factures Geodis'!K14)</f>
        <v>435.6</v>
      </c>
      <c r="U14" t="str">
        <f>IF('Factures Geodis'!L14=0,"",'Factures Geodis'!L14)</f>
        <v/>
      </c>
    </row>
    <row r="15" spans="1:23" x14ac:dyDescent="0.25">
      <c r="A15" t="str">
        <f t="shared" si="0"/>
        <v>GEODIS</v>
      </c>
      <c r="B15" s="1">
        <f t="shared" si="1"/>
        <v>46174</v>
      </c>
      <c r="C15" t="str">
        <f>IF(_xlfn.XLOOKUP(F15,'Factures Geodis'!C:C,'Factures Geodis'!T:T,"")=0,"",_xlfn.XLOOKUP(F15,'Factures Geodis'!C:C,'Factures Geodis'!T:T,""))</f>
        <v>2792629</v>
      </c>
      <c r="F15" t="str">
        <f>'Factures Geodis'!C15</f>
        <v>94806618</v>
      </c>
      <c r="G15" s="6" t="str">
        <f>'Factures Geodis'!AH15</f>
        <v>ATIDA OMNIPHAR 07</v>
      </c>
      <c r="I15" s="6" t="str">
        <f>'Factures Geodis'!AD15</f>
        <v>FR</v>
      </c>
      <c r="J15" t="str">
        <f t="shared" si="2"/>
        <v>France</v>
      </c>
      <c r="K15">
        <f>'Factures Geodis'!AP15</f>
        <v>1</v>
      </c>
      <c r="L15">
        <f>'Factures Geodis'!AQ15</f>
        <v>47</v>
      </c>
      <c r="M15" t="s">
        <v>131</v>
      </c>
      <c r="N15">
        <f t="shared" si="3"/>
        <v>0.2</v>
      </c>
      <c r="O15" t="str">
        <f>IF('Factures Geodis'!F15=0,"",'Factures Geodis'!F15)</f>
        <v/>
      </c>
      <c r="P15" t="str">
        <f>IF('Factures Geodis'!G15=0,"",'Factures Geodis'!G15)</f>
        <v/>
      </c>
      <c r="Q15" t="str">
        <f>IF('Factures Geodis'!H15=0,"",'Factures Geodis'!H15)</f>
        <v/>
      </c>
      <c r="R15">
        <f>IF('Factures Geodis'!I15=0,"",'Factures Geodis'!I15)</f>
        <v>9.8000000000000007</v>
      </c>
      <c r="S15" t="str">
        <f>IF('Factures Geodis'!J15=0,"",'Factures Geodis'!J15)</f>
        <v/>
      </c>
      <c r="T15">
        <f>IF('Factures Geodis'!K15=0,"",'Factures Geodis'!K15)</f>
        <v>42.4</v>
      </c>
      <c r="U15" t="str">
        <f>IF('Factures Geodis'!L15=0,"",'Factures Geodis'!L15)</f>
        <v/>
      </c>
    </row>
    <row r="16" spans="1:23" x14ac:dyDescent="0.25">
      <c r="A16" t="str">
        <f t="shared" si="0"/>
        <v>GEODIS</v>
      </c>
      <c r="B16" s="1">
        <f t="shared" si="1"/>
        <v>46174</v>
      </c>
      <c r="C16" t="str">
        <f>IF(_xlfn.XLOOKUP(F16,'Factures Geodis'!C:C,'Factures Geodis'!T:T,"")=0,"",_xlfn.XLOOKUP(F16,'Factures Geodis'!C:C,'Factures Geodis'!T:T,""))</f>
        <v>BDC2026061180462</v>
      </c>
      <c r="F16" t="str">
        <f>'Factures Geodis'!C16</f>
        <v>94851743</v>
      </c>
      <c r="G16" s="6" t="str">
        <f>'Factures Geodis'!AH16</f>
        <v>ESSENTIELS PHARMA</v>
      </c>
      <c r="I16" s="6" t="str">
        <f>'Factures Geodis'!AD16</f>
        <v>FR</v>
      </c>
      <c r="J16" t="str">
        <f t="shared" si="2"/>
        <v>France</v>
      </c>
      <c r="K16">
        <f>'Factures Geodis'!AP16</f>
        <v>1</v>
      </c>
      <c r="L16">
        <f>'Factures Geodis'!AQ16</f>
        <v>115</v>
      </c>
      <c r="M16" t="s">
        <v>131</v>
      </c>
      <c r="N16">
        <f t="shared" si="3"/>
        <v>0.2</v>
      </c>
      <c r="O16" t="str">
        <f>IF('Factures Geodis'!F16=0,"",'Factures Geodis'!F16)</f>
        <v/>
      </c>
      <c r="P16" t="str">
        <f>IF('Factures Geodis'!G16=0,"",'Factures Geodis'!G16)</f>
        <v/>
      </c>
      <c r="Q16" t="str">
        <f>IF('Factures Geodis'!H16=0,"",'Factures Geodis'!H16)</f>
        <v/>
      </c>
      <c r="R16" t="str">
        <f>IF('Factures Geodis'!I16=0,"",'Factures Geodis'!I16)</f>
        <v/>
      </c>
      <c r="S16" t="str">
        <f>IF('Factures Geodis'!J16=0,"",'Factures Geodis'!J16)</f>
        <v/>
      </c>
      <c r="T16">
        <f>IF('Factures Geodis'!K16=0,"",'Factures Geodis'!K16)</f>
        <v>71.58</v>
      </c>
      <c r="U16" t="str">
        <f>IF('Factures Geodis'!L16=0,"",'Factures Geodis'!L16)</f>
        <v/>
      </c>
    </row>
    <row r="17" spans="1:24" x14ac:dyDescent="0.25">
      <c r="A17" t="str">
        <f t="shared" si="0"/>
        <v>GEODIS</v>
      </c>
      <c r="B17" s="1">
        <f t="shared" si="1"/>
        <v>46174</v>
      </c>
      <c r="C17" t="str">
        <f>IF(_xlfn.XLOOKUP(F17,'Factures Geodis'!C:C,'Factures Geodis'!T:T,"")=0,"",_xlfn.XLOOKUP(F17,'Factures Geodis'!C:C,'Factures Geodis'!T:T,""))</f>
        <v>2798843</v>
      </c>
      <c r="F17" t="str">
        <f>'Factures Geodis'!C17</f>
        <v>94906944</v>
      </c>
      <c r="G17" s="6" t="str">
        <f>'Factures Geodis'!AH17</f>
        <v>LAGARDERE TRAVEL RETAIL FCE</v>
      </c>
      <c r="I17" s="6" t="str">
        <f>'Factures Geodis'!AD17</f>
        <v>FR</v>
      </c>
      <c r="J17" t="str">
        <f t="shared" si="2"/>
        <v>France</v>
      </c>
      <c r="K17">
        <f>'Factures Geodis'!AP17</f>
        <v>1</v>
      </c>
      <c r="L17">
        <f>'Factures Geodis'!AQ17</f>
        <v>104</v>
      </c>
      <c r="M17" t="s">
        <v>131</v>
      </c>
      <c r="N17">
        <f t="shared" si="3"/>
        <v>0.2</v>
      </c>
      <c r="O17" t="str">
        <f>IF('Factures Geodis'!F17=0,"",'Factures Geodis'!F17)</f>
        <v/>
      </c>
      <c r="P17" t="str">
        <f>IF('Factures Geodis'!G17=0,"",'Factures Geodis'!G17)</f>
        <v/>
      </c>
      <c r="Q17" t="str">
        <f>IF('Factures Geodis'!H17=0,"",'Factures Geodis'!H17)</f>
        <v/>
      </c>
      <c r="R17" t="str">
        <f>IF('Factures Geodis'!I17=0,"",'Factures Geodis'!I17)</f>
        <v/>
      </c>
      <c r="S17" t="str">
        <f>IF('Factures Geodis'!J17=0,"",'Factures Geodis'!J17)</f>
        <v/>
      </c>
      <c r="T17">
        <f>IF('Factures Geodis'!K17=0,"",'Factures Geodis'!K17)</f>
        <v>377.86</v>
      </c>
      <c r="U17" t="str">
        <f>IF('Factures Geodis'!L17=0,"",'Factures Geodis'!L17)</f>
        <v/>
      </c>
      <c r="X17" s="16"/>
    </row>
    <row r="18" spans="1:24" x14ac:dyDescent="0.25">
      <c r="A18" t="str">
        <f t="shared" si="0"/>
        <v>GEODIS</v>
      </c>
      <c r="B18" s="1">
        <f t="shared" si="1"/>
        <v>46174</v>
      </c>
      <c r="C18" t="str">
        <f>IF(_xlfn.XLOOKUP(F18,'Factures Geodis'!C:C,'Factures Geodis'!T:T,"")=0,"",_xlfn.XLOOKUP(F18,'Factures Geodis'!C:C,'Factures Geodis'!T:T,""))</f>
        <v/>
      </c>
      <c r="F18" t="str">
        <f>'Factures Geodis'!C18</f>
        <v>41668167</v>
      </c>
      <c r="G18" s="6" t="str">
        <f>'Factures Geodis'!AH18</f>
        <v>M&amp;M MILITZER &amp; MÜNCH</v>
      </c>
      <c r="I18" s="6" t="str">
        <f>'Factures Geodis'!AD18</f>
        <v>FR</v>
      </c>
      <c r="J18" t="str">
        <f t="shared" si="2"/>
        <v>France</v>
      </c>
      <c r="K18">
        <f>'Factures Geodis'!AP18</f>
        <v>4</v>
      </c>
      <c r="L18">
        <f>'Factures Geodis'!AQ18</f>
        <v>850</v>
      </c>
      <c r="M18" t="s">
        <v>131</v>
      </c>
      <c r="N18">
        <f t="shared" si="3"/>
        <v>0.2</v>
      </c>
      <c r="O18" t="str">
        <f>IF('Factures Geodis'!F18=0,"",'Factures Geodis'!F18)</f>
        <v/>
      </c>
      <c r="P18" t="str">
        <f>IF('Factures Geodis'!G18=0,"",'Factures Geodis'!G18)</f>
        <v/>
      </c>
      <c r="Q18" t="str">
        <f>IF('Factures Geodis'!H18=0,"",'Factures Geodis'!H18)</f>
        <v/>
      </c>
      <c r="R18" t="str">
        <f>IF('Factures Geodis'!I18=0,"",'Factures Geodis'!I18)</f>
        <v/>
      </c>
      <c r="S18" t="str">
        <f>IF('Factures Geodis'!J18=0,"",'Factures Geodis'!J18)</f>
        <v/>
      </c>
      <c r="T18">
        <f>IF('Factures Geodis'!K18=0,"",'Factures Geodis'!K18)</f>
        <v>225.73</v>
      </c>
      <c r="U18" t="str">
        <f>IF('Factures Geodis'!L18=0,"",'Factures Geodis'!L18)</f>
        <v/>
      </c>
    </row>
    <row r="19" spans="1:24" x14ac:dyDescent="0.25">
      <c r="A19" t="str">
        <f t="shared" si="0"/>
        <v>GEODIS</v>
      </c>
      <c r="B19" s="1">
        <f t="shared" si="1"/>
        <v>46174</v>
      </c>
      <c r="C19" t="str">
        <f>IF(_xlfn.XLOOKUP(F19,'Factures Geodis'!C:C,'Factures Geodis'!T:T,"")=0,"",_xlfn.XLOOKUP(F19,'Factures Geodis'!C:C,'Factures Geodis'!T:T,""))</f>
        <v>EXP20260615-2799804</v>
      </c>
      <c r="F19" t="str">
        <f>'Factures Geodis'!C19</f>
        <v>95104244</v>
      </c>
      <c r="G19" s="6" t="str">
        <f>'Factures Geodis'!AH19</f>
        <v>CMC MALONGO LOGISTIQUE</v>
      </c>
      <c r="I19" s="6" t="str">
        <f>'Factures Geodis'!AD19</f>
        <v>FR</v>
      </c>
      <c r="J19" t="str">
        <f t="shared" si="2"/>
        <v>France</v>
      </c>
      <c r="K19">
        <f>'Factures Geodis'!AP19</f>
        <v>1</v>
      </c>
      <c r="L19">
        <f>'Factures Geodis'!AQ19</f>
        <v>80</v>
      </c>
      <c r="M19" t="s">
        <v>131</v>
      </c>
      <c r="N19">
        <f t="shared" si="3"/>
        <v>0.2</v>
      </c>
      <c r="O19" t="str">
        <f>IF('Factures Geodis'!F19=0,"",'Factures Geodis'!F19)</f>
        <v/>
      </c>
      <c r="P19" t="str">
        <f>IF('Factures Geodis'!G19=0,"",'Factures Geodis'!G19)</f>
        <v/>
      </c>
      <c r="Q19" t="str">
        <f>IF('Factures Geodis'!H19=0,"",'Factures Geodis'!H19)</f>
        <v/>
      </c>
      <c r="R19" t="str">
        <f>IF('Factures Geodis'!I19=0,"",'Factures Geodis'!I19)</f>
        <v/>
      </c>
      <c r="S19" t="str">
        <f>IF('Factures Geodis'!J19=0,"",'Factures Geodis'!J19)</f>
        <v/>
      </c>
      <c r="T19">
        <f>IF('Factures Geodis'!K19=0,"",'Factures Geodis'!K19)</f>
        <v>83.11</v>
      </c>
      <c r="U19" t="str">
        <f>IF('Factures Geodis'!L19=0,"",'Factures Geodis'!L19)</f>
        <v/>
      </c>
    </row>
    <row r="20" spans="1:24" x14ac:dyDescent="0.25">
      <c r="A20" t="str">
        <f t="shared" si="0"/>
        <v>GEODIS</v>
      </c>
      <c r="B20" s="1">
        <f t="shared" si="1"/>
        <v>46174</v>
      </c>
      <c r="C20" t="str">
        <f>IF(_xlfn.XLOOKUP(F20,'Factures Geodis'!C:C,'Factures Geodis'!T:T,"")=0,"",_xlfn.XLOOKUP(F20,'Factures Geodis'!C:C,'Factures Geodis'!T:T,""))</f>
        <v>2805970</v>
      </c>
      <c r="F20" t="str">
        <f>'Factures Geodis'!C20</f>
        <v>95191602</v>
      </c>
      <c r="G20" s="6" t="str">
        <f>'Factures Geodis'!AH20</f>
        <v>EASY PARAPHARMACIE</v>
      </c>
      <c r="I20" s="6" t="str">
        <f>'Factures Geodis'!AD20</f>
        <v>FR</v>
      </c>
      <c r="J20" t="str">
        <f t="shared" si="2"/>
        <v>France</v>
      </c>
      <c r="K20">
        <f>'Factures Geodis'!AP20</f>
        <v>3</v>
      </c>
      <c r="L20">
        <f>'Factures Geodis'!AQ20</f>
        <v>24.7</v>
      </c>
      <c r="M20" t="s">
        <v>131</v>
      </c>
      <c r="N20">
        <f t="shared" si="3"/>
        <v>0.2</v>
      </c>
      <c r="O20" t="str">
        <f>IF('Factures Geodis'!F20=0,"",'Factures Geodis'!F20)</f>
        <v/>
      </c>
      <c r="P20" t="str">
        <f>IF('Factures Geodis'!G20=0,"",'Factures Geodis'!G20)</f>
        <v/>
      </c>
      <c r="Q20" t="str">
        <f>IF('Factures Geodis'!H20=0,"",'Factures Geodis'!H20)</f>
        <v/>
      </c>
      <c r="R20" t="str">
        <f>IF('Factures Geodis'!I20=0,"",'Factures Geodis'!I20)</f>
        <v/>
      </c>
      <c r="S20" t="str">
        <f>IF('Factures Geodis'!J20=0,"",'Factures Geodis'!J20)</f>
        <v/>
      </c>
      <c r="T20">
        <f>IF('Factures Geodis'!K20=0,"",'Factures Geodis'!K20)</f>
        <v>34.85</v>
      </c>
      <c r="U20" t="str">
        <f>IF('Factures Geodis'!L20=0,"",'Factures Geodis'!L20)</f>
        <v/>
      </c>
    </row>
    <row r="21" spans="1:24" x14ac:dyDescent="0.25">
      <c r="A21" t="str">
        <f t="shared" si="0"/>
        <v>GEODIS</v>
      </c>
      <c r="B21" s="1">
        <f t="shared" si="1"/>
        <v>46174</v>
      </c>
      <c r="C21" t="str">
        <f>IF(_xlfn.XLOOKUP(F21,'Factures Geodis'!C:C,'Factures Geodis'!T:T,"")=0,"",_xlfn.XLOOKUP(F21,'Factures Geodis'!C:C,'Factures Geodis'!T:T,""))</f>
        <v>2806998</v>
      </c>
      <c r="F21" t="str">
        <f>'Factures Geodis'!C21</f>
        <v>95325743</v>
      </c>
      <c r="G21" s="6" t="str">
        <f>'Factures Geodis'!AH21</f>
        <v>INFLIGHT SALES</v>
      </c>
      <c r="I21" s="6" t="str">
        <f>'Factures Geodis'!AD21</f>
        <v>FR</v>
      </c>
      <c r="J21" t="str">
        <f t="shared" si="2"/>
        <v>France</v>
      </c>
      <c r="K21">
        <f>'Factures Geodis'!AP21</f>
        <v>1</v>
      </c>
      <c r="L21">
        <f>'Factures Geodis'!AQ21</f>
        <v>150</v>
      </c>
      <c r="M21" t="s">
        <v>131</v>
      </c>
      <c r="N21">
        <f t="shared" si="3"/>
        <v>0.2</v>
      </c>
      <c r="O21" t="str">
        <f>IF('Factures Geodis'!F21=0,"",'Factures Geodis'!F21)</f>
        <v/>
      </c>
      <c r="P21" t="str">
        <f>IF('Factures Geodis'!G21=0,"",'Factures Geodis'!G21)</f>
        <v/>
      </c>
      <c r="Q21" t="str">
        <f>IF('Factures Geodis'!H21=0,"",'Factures Geodis'!H21)</f>
        <v/>
      </c>
      <c r="R21" t="str">
        <f>IF('Factures Geodis'!I21=0,"",'Factures Geodis'!I21)</f>
        <v/>
      </c>
      <c r="S21" t="str">
        <f>IF('Factures Geodis'!J21=0,"",'Factures Geodis'!J21)</f>
        <v/>
      </c>
      <c r="T21">
        <f>IF('Factures Geodis'!K21=0,"",'Factures Geodis'!K21)</f>
        <v>90.12</v>
      </c>
      <c r="U21" t="str">
        <f>IF('Factures Geodis'!L21=0,"",'Factures Geodis'!L21)</f>
        <v/>
      </c>
    </row>
    <row r="22" spans="1:24" x14ac:dyDescent="0.25">
      <c r="A22" t="str">
        <f t="shared" si="0"/>
        <v>GEODIS</v>
      </c>
      <c r="B22" s="1">
        <f t="shared" si="1"/>
        <v>46174</v>
      </c>
      <c r="C22" t="str">
        <f>IF(_xlfn.XLOOKUP(F22,'Factures Geodis'!C:C,'Factures Geodis'!T:T,"")=0,"",_xlfn.XLOOKUP(F22,'Factures Geodis'!C:C,'Factures Geodis'!T:T,""))</f>
        <v>2805267</v>
      </c>
      <c r="F22" t="str">
        <f>'Factures Geodis'!C22</f>
        <v>95334322</v>
      </c>
      <c r="G22" s="6" t="str">
        <f>'Factures Geodis'!AH22</f>
        <v>LAGARDERE TRAVEL RETAIL FCE</v>
      </c>
      <c r="I22" s="6" t="str">
        <f>'Factures Geodis'!AD22</f>
        <v>FR</v>
      </c>
      <c r="J22" t="str">
        <f t="shared" si="2"/>
        <v>France</v>
      </c>
      <c r="K22">
        <f>'Factures Geodis'!AP22</f>
        <v>1</v>
      </c>
      <c r="L22">
        <f>'Factures Geodis'!AQ22</f>
        <v>111</v>
      </c>
      <c r="M22" t="s">
        <v>131</v>
      </c>
      <c r="N22">
        <f t="shared" si="3"/>
        <v>0.2</v>
      </c>
      <c r="O22" t="str">
        <f>IF('Factures Geodis'!F22=0,"",'Factures Geodis'!F22)</f>
        <v/>
      </c>
      <c r="P22" t="str">
        <f>IF('Factures Geodis'!G22=0,"",'Factures Geodis'!G22)</f>
        <v/>
      </c>
      <c r="Q22" t="str">
        <f>IF('Factures Geodis'!H22=0,"",'Factures Geodis'!H22)</f>
        <v/>
      </c>
      <c r="R22" t="str">
        <f>IF('Factures Geodis'!I22=0,"",'Factures Geodis'!I22)</f>
        <v/>
      </c>
      <c r="S22" t="str">
        <f>IF('Factures Geodis'!J22=0,"",'Factures Geodis'!J22)</f>
        <v/>
      </c>
      <c r="T22">
        <f>IF('Factures Geodis'!K22=0,"",'Factures Geodis'!K22)</f>
        <v>75.34</v>
      </c>
      <c r="U22" t="str">
        <f>IF('Factures Geodis'!L22=0,"",'Factures Geodis'!L22)</f>
        <v/>
      </c>
    </row>
    <row r="23" spans="1:24" x14ac:dyDescent="0.25">
      <c r="A23" t="str">
        <f t="shared" si="0"/>
        <v>GEODIS</v>
      </c>
      <c r="B23" s="1">
        <f t="shared" si="1"/>
        <v>46174</v>
      </c>
      <c r="C23" t="str">
        <f>IF(_xlfn.XLOOKUP(F23,'Factures Geodis'!C:C,'Factures Geodis'!T:T,"")=0,"",_xlfn.XLOOKUP(F23,'Factures Geodis'!C:C,'Factures Geodis'!T:T,""))</f>
        <v>2813733</v>
      </c>
      <c r="F23" t="str">
        <f>'Factures Geodis'!C23</f>
        <v>95392225</v>
      </c>
      <c r="G23" s="6" t="str">
        <f>'Factures Geodis'!AH23</f>
        <v>ATIDA OMNIPHAR 07</v>
      </c>
      <c r="I23" s="6" t="str">
        <f>'Factures Geodis'!AD23</f>
        <v>FR</v>
      </c>
      <c r="J23" t="str">
        <f t="shared" si="2"/>
        <v>France</v>
      </c>
      <c r="K23">
        <f>'Factures Geodis'!AP23</f>
        <v>1</v>
      </c>
      <c r="L23">
        <f>'Factures Geodis'!AQ23</f>
        <v>40</v>
      </c>
      <c r="M23" t="s">
        <v>131</v>
      </c>
      <c r="N23">
        <f t="shared" si="3"/>
        <v>0.2</v>
      </c>
      <c r="O23" t="str">
        <f>IF('Factures Geodis'!F23=0,"",'Factures Geodis'!F23)</f>
        <v/>
      </c>
      <c r="P23" t="str">
        <f>IF('Factures Geodis'!G23=0,"",'Factures Geodis'!G23)</f>
        <v/>
      </c>
      <c r="Q23" t="str">
        <f>IF('Factures Geodis'!H23=0,"",'Factures Geodis'!H23)</f>
        <v/>
      </c>
      <c r="R23" t="str">
        <f>IF('Factures Geodis'!I23=0,"",'Factures Geodis'!I23)</f>
        <v/>
      </c>
      <c r="S23" t="str">
        <f>IF('Factures Geodis'!J23=0,"",'Factures Geodis'!J23)</f>
        <v/>
      </c>
      <c r="T23">
        <f>IF('Factures Geodis'!K23=0,"",'Factures Geodis'!K23)</f>
        <v>48.1</v>
      </c>
      <c r="U23" t="str">
        <f>IF('Factures Geodis'!L23=0,"",'Factures Geodis'!L23)</f>
        <v/>
      </c>
    </row>
    <row r="24" spans="1:24" x14ac:dyDescent="0.25">
      <c r="A24" t="str">
        <f t="shared" si="0"/>
        <v>GEODIS</v>
      </c>
      <c r="B24" s="1">
        <f t="shared" si="1"/>
        <v>46174</v>
      </c>
      <c r="C24" t="str">
        <f>IF(_xlfn.XLOOKUP(F24,'Factures Geodis'!C:C,'Factures Geodis'!T:T,"")=0,"",_xlfn.XLOOKUP(F24,'Factures Geodis'!C:C,'Factures Geodis'!T:T,""))</f>
        <v>EXP20260624-2815943</v>
      </c>
      <c r="F24" t="str">
        <f>'Factures Geodis'!C24</f>
        <v>95455892</v>
      </c>
      <c r="G24" s="6" t="str">
        <f>'Factures Geodis'!AH24</f>
        <v>WAREHOUSE RS 2.0 TORRE GAROFOLI</v>
      </c>
      <c r="I24" s="6" t="str">
        <f>'Factures Geodis'!AD24</f>
        <v>FR</v>
      </c>
      <c r="J24" t="str">
        <f t="shared" si="2"/>
        <v>France</v>
      </c>
      <c r="K24">
        <f>'Factures Geodis'!AP24</f>
        <v>1</v>
      </c>
      <c r="L24">
        <f>'Factures Geodis'!AQ24</f>
        <v>250</v>
      </c>
      <c r="M24" t="s">
        <v>131</v>
      </c>
      <c r="N24">
        <f t="shared" si="3"/>
        <v>0.2</v>
      </c>
      <c r="O24" t="str">
        <f>IF('Factures Geodis'!F24=0,"",'Factures Geodis'!F24)</f>
        <v/>
      </c>
      <c r="P24" t="str">
        <f>IF('Factures Geodis'!G24=0,"",'Factures Geodis'!G24)</f>
        <v/>
      </c>
      <c r="Q24" t="str">
        <f>IF('Factures Geodis'!H24=0,"",'Factures Geodis'!H24)</f>
        <v/>
      </c>
      <c r="R24">
        <f>IF('Factures Geodis'!I24=0,"",'Factures Geodis'!I24)</f>
        <v>9.8000000000000007</v>
      </c>
      <c r="S24" t="str">
        <f>IF('Factures Geodis'!J24=0,"",'Factures Geodis'!J24)</f>
        <v/>
      </c>
      <c r="T24">
        <f>IF('Factures Geodis'!K24=0,"",'Factures Geodis'!K24)</f>
        <v>283.66000000000003</v>
      </c>
      <c r="U24" t="str">
        <f>IF('Factures Geodis'!L24=0,"",'Factures Geodis'!L24)</f>
        <v/>
      </c>
    </row>
    <row r="25" spans="1:24" x14ac:dyDescent="0.25">
      <c r="A25" t="str">
        <f t="shared" si="0"/>
        <v>GEODIS</v>
      </c>
      <c r="B25" s="1">
        <f t="shared" si="1"/>
        <v>46174</v>
      </c>
      <c r="C25" t="str">
        <f>IF(_xlfn.XLOOKUP(F25,'Factures Geodis'!C:C,'Factures Geodis'!T:T,"")=0,"",_xlfn.XLOOKUP(F25,'Factures Geodis'!C:C,'Factures Geodis'!T:T,""))</f>
        <v/>
      </c>
      <c r="F25" t="str">
        <f>'Factures Geodis'!C25</f>
        <v>41756837</v>
      </c>
      <c r="G25" s="6" t="str">
        <f>'Factures Geodis'!AH25</f>
        <v>LA RUCHE LOGISTIQUE</v>
      </c>
      <c r="I25" s="6" t="str">
        <f>'Factures Geodis'!AD25</f>
        <v>FR</v>
      </c>
      <c r="J25" t="str">
        <f t="shared" si="2"/>
        <v>France</v>
      </c>
      <c r="K25">
        <f>'Factures Geodis'!AP25</f>
        <v>1</v>
      </c>
      <c r="L25">
        <f>'Factures Geodis'!AQ25</f>
        <v>10000</v>
      </c>
      <c r="M25" t="s">
        <v>131</v>
      </c>
      <c r="N25">
        <f t="shared" si="3"/>
        <v>0.2</v>
      </c>
      <c r="O25" t="str">
        <f>IF('Factures Geodis'!F25=0,"",'Factures Geodis'!F25)</f>
        <v/>
      </c>
      <c r="P25" t="str">
        <f>IF('Factures Geodis'!G25=0,"",'Factures Geodis'!G25)</f>
        <v/>
      </c>
      <c r="Q25" t="str">
        <f>IF('Factures Geodis'!H25=0,"",'Factures Geodis'!H25)</f>
        <v/>
      </c>
      <c r="R25" t="str">
        <f>IF('Factures Geodis'!I25=0,"",'Factures Geodis'!I25)</f>
        <v/>
      </c>
      <c r="S25" t="str">
        <f>IF('Factures Geodis'!J25=0,"",'Factures Geodis'!J25)</f>
        <v/>
      </c>
      <c r="T25">
        <f>IF('Factures Geodis'!K25=0,"",'Factures Geodis'!K25)</f>
        <v>243.96</v>
      </c>
      <c r="U25" t="str">
        <f>IF('Factures Geodis'!L25=0,"",'Factures Geodis'!L25)</f>
        <v/>
      </c>
    </row>
    <row r="26" spans="1:24" x14ac:dyDescent="0.25">
      <c r="A26" t="str">
        <f t="shared" si="0"/>
        <v>GEODIS</v>
      </c>
      <c r="B26" s="1">
        <f t="shared" si="1"/>
        <v>46174</v>
      </c>
      <c r="C26" t="str">
        <f>IF(_xlfn.XLOOKUP(F26,'Factures Geodis'!C:C,'Factures Geodis'!T:T,"")=0,"",_xlfn.XLOOKUP(F26,'Factures Geodis'!C:C,'Factures Geodis'!T:T,""))</f>
        <v>2816095</v>
      </c>
      <c r="F26" t="str">
        <f>'Factures Geodis'!C26</f>
        <v>95496289</v>
      </c>
      <c r="G26" s="6" t="str">
        <f>'Factures Geodis'!AH26</f>
        <v>INFLIGHT SALES</v>
      </c>
      <c r="I26" s="6" t="str">
        <f>'Factures Geodis'!AD26</f>
        <v>FR</v>
      </c>
      <c r="J26" t="str">
        <f t="shared" si="2"/>
        <v>France</v>
      </c>
      <c r="K26">
        <f>'Factures Geodis'!AP26</f>
        <v>1</v>
      </c>
      <c r="L26">
        <f>'Factures Geodis'!AQ26</f>
        <v>91.5</v>
      </c>
      <c r="M26" t="s">
        <v>131</v>
      </c>
      <c r="N26">
        <f t="shared" si="3"/>
        <v>0.2</v>
      </c>
      <c r="O26" t="str">
        <f>IF('Factures Geodis'!F26=0,"",'Factures Geodis'!F26)</f>
        <v/>
      </c>
      <c r="P26" t="str">
        <f>IF('Factures Geodis'!G26=0,"",'Factures Geodis'!G26)</f>
        <v/>
      </c>
      <c r="Q26" t="str">
        <f>IF('Factures Geodis'!H26=0,"",'Factures Geodis'!H26)</f>
        <v/>
      </c>
      <c r="R26" t="str">
        <f>IF('Factures Geodis'!I26=0,"",'Factures Geodis'!I26)</f>
        <v/>
      </c>
      <c r="S26" t="str">
        <f>IF('Factures Geodis'!J26=0,"",'Factures Geodis'!J26)</f>
        <v/>
      </c>
      <c r="T26">
        <f>IF('Factures Geodis'!K26=0,"",'Factures Geodis'!K26)</f>
        <v>61.78</v>
      </c>
      <c r="U26" t="str">
        <f>IF('Factures Geodis'!L26=0,"",'Factures Geodis'!L26)</f>
        <v/>
      </c>
    </row>
    <row r="27" spans="1:24" x14ac:dyDescent="0.25">
      <c r="A27" t="str">
        <f t="shared" si="0"/>
        <v>GEODIS</v>
      </c>
      <c r="B27" s="1">
        <f t="shared" si="1"/>
        <v>46174</v>
      </c>
      <c r="C27" t="str">
        <f>IF(_xlfn.XLOOKUP(F27,'Factures Geodis'!C:C,'Factures Geodis'!T:T,"")=0,"",_xlfn.XLOOKUP(F27,'Factures Geodis'!C:C,'Factures Geodis'!T:T,""))</f>
        <v>2813873</v>
      </c>
      <c r="F27" t="str">
        <f>'Factures Geodis'!C27</f>
        <v>95591735</v>
      </c>
      <c r="G27" s="6" t="str">
        <f>'Factures Geodis'!AH27</f>
        <v>RETAIL CONCEPTS NV</v>
      </c>
      <c r="I27" s="6" t="str">
        <f>'Factures Geodis'!AD27</f>
        <v>FR</v>
      </c>
      <c r="J27" t="str">
        <f t="shared" si="2"/>
        <v>France</v>
      </c>
      <c r="K27">
        <f>'Factures Geodis'!AP27</f>
        <v>3</v>
      </c>
      <c r="L27">
        <f>'Factures Geodis'!AQ27</f>
        <v>9</v>
      </c>
      <c r="M27" t="s">
        <v>131</v>
      </c>
      <c r="N27">
        <f t="shared" si="3"/>
        <v>0.2</v>
      </c>
      <c r="O27" t="str">
        <f>IF('Factures Geodis'!F27=0,"",'Factures Geodis'!F27)</f>
        <v/>
      </c>
      <c r="P27" t="str">
        <f>IF('Factures Geodis'!G27=0,"",'Factures Geodis'!G27)</f>
        <v/>
      </c>
      <c r="Q27" t="str">
        <f>IF('Factures Geodis'!H27=0,"",'Factures Geodis'!H27)</f>
        <v/>
      </c>
      <c r="R27" t="str">
        <f>IF('Factures Geodis'!I27=0,"",'Factures Geodis'!I27)</f>
        <v/>
      </c>
      <c r="S27">
        <f>IF('Factures Geodis'!J27=0,"",'Factures Geodis'!J27)</f>
        <v>1.87</v>
      </c>
      <c r="T27">
        <f>IF('Factures Geodis'!K27=0,"",'Factures Geodis'!K27)</f>
        <v>73.61</v>
      </c>
      <c r="U27" t="str">
        <f>IF('Factures Geodis'!L27=0,"",'Factures Geodis'!L27)</f>
        <v/>
      </c>
    </row>
    <row r="28" spans="1:24" x14ac:dyDescent="0.25">
      <c r="A28" t="str">
        <f t="shared" si="0"/>
        <v>GEODIS</v>
      </c>
      <c r="B28" s="1">
        <f t="shared" si="1"/>
        <v>46174</v>
      </c>
      <c r="C28" t="str">
        <f>IF(_xlfn.XLOOKUP(F28,'Factures Geodis'!C:C,'Factures Geodis'!T:T,"")=0,"",_xlfn.XLOOKUP(F28,'Factures Geodis'!C:C,'Factures Geodis'!T:T,""))</f>
        <v>2815946</v>
      </c>
      <c r="F28" t="str">
        <f>'Factures Geodis'!C28</f>
        <v>95597955</v>
      </c>
      <c r="G28" s="6" t="str">
        <f>'Factures Geodis'!AH28</f>
        <v>GROSSISTE/REPART</v>
      </c>
      <c r="I28" s="6" t="str">
        <f>'Factures Geodis'!AD28</f>
        <v>FR</v>
      </c>
      <c r="J28" t="str">
        <f t="shared" si="2"/>
        <v>France</v>
      </c>
      <c r="K28">
        <f>'Factures Geodis'!AP28</f>
        <v>1</v>
      </c>
      <c r="L28">
        <f>'Factures Geodis'!AQ28</f>
        <v>78.5</v>
      </c>
      <c r="M28" t="s">
        <v>131</v>
      </c>
      <c r="N28">
        <f t="shared" si="3"/>
        <v>0.2</v>
      </c>
      <c r="O28" t="str">
        <f>IF('Factures Geodis'!F28=0,"",'Factures Geodis'!F28)</f>
        <v/>
      </c>
      <c r="P28" t="str">
        <f>IF('Factures Geodis'!G28=0,"",'Factures Geodis'!G28)</f>
        <v/>
      </c>
      <c r="Q28" t="str">
        <f>IF('Factures Geodis'!H28=0,"",'Factures Geodis'!H28)</f>
        <v/>
      </c>
      <c r="R28" t="str">
        <f>IF('Factures Geodis'!I28=0,"",'Factures Geodis'!I28)</f>
        <v/>
      </c>
      <c r="S28" t="str">
        <f>IF('Factures Geodis'!J28=0,"",'Factures Geodis'!J28)</f>
        <v/>
      </c>
      <c r="T28">
        <f>IF('Factures Geodis'!K28=0,"",'Factures Geodis'!K28)</f>
        <v>176.51999999999998</v>
      </c>
      <c r="U28" t="str">
        <f>IF('Factures Geodis'!L28=0,"",'Factures Geodis'!L28)</f>
        <v/>
      </c>
    </row>
    <row r="29" spans="1:24" x14ac:dyDescent="0.25">
      <c r="A29" t="str">
        <f t="shared" si="0"/>
        <v>GEODIS</v>
      </c>
      <c r="B29" s="1">
        <f t="shared" si="1"/>
        <v>46174</v>
      </c>
      <c r="C29" t="str">
        <f>IF(_xlfn.XLOOKUP(F29,'Factures Geodis'!C:C,'Factures Geodis'!T:T,"")=0,"",_xlfn.XLOOKUP(F29,'Factures Geodis'!C:C,'Factures Geodis'!T:T,""))</f>
        <v>2819400</v>
      </c>
      <c r="F29" t="str">
        <f>'Factures Geodis'!C29</f>
        <v>95600280</v>
      </c>
      <c r="G29" s="6" t="str">
        <f>'Factures Geodis'!AH29</f>
        <v>GIPHAR ANGERS</v>
      </c>
      <c r="I29" s="6" t="str">
        <f>'Factures Geodis'!AD29</f>
        <v>FR</v>
      </c>
      <c r="J29" t="str">
        <f t="shared" si="2"/>
        <v>France</v>
      </c>
      <c r="K29">
        <f>'Factures Geodis'!AP29</f>
        <v>2</v>
      </c>
      <c r="L29">
        <f>'Factures Geodis'!AQ29</f>
        <v>421.5</v>
      </c>
      <c r="M29" t="s">
        <v>131</v>
      </c>
      <c r="N29">
        <f t="shared" si="3"/>
        <v>0.2</v>
      </c>
      <c r="O29" t="str">
        <f>IF('Factures Geodis'!F29=0,"",'Factures Geodis'!F29)</f>
        <v/>
      </c>
      <c r="P29" t="str">
        <f>IF('Factures Geodis'!G29=0,"",'Factures Geodis'!G29)</f>
        <v/>
      </c>
      <c r="Q29" t="str">
        <f>IF('Factures Geodis'!H29=0,"",'Factures Geodis'!H29)</f>
        <v/>
      </c>
      <c r="R29" t="str">
        <f>IF('Factures Geodis'!I29=0,"",'Factures Geodis'!I29)</f>
        <v/>
      </c>
      <c r="S29" t="str">
        <f>IF('Factures Geodis'!J29=0,"",'Factures Geodis'!J29)</f>
        <v/>
      </c>
      <c r="T29">
        <f>IF('Factures Geodis'!K29=0,"",'Factures Geodis'!K29)</f>
        <v>1045.2199999999998</v>
      </c>
      <c r="U29" t="str">
        <f>IF('Factures Geodis'!L29=0,"",'Factures Geodis'!L29)</f>
        <v/>
      </c>
    </row>
    <row r="30" spans="1:24" x14ac:dyDescent="0.25">
      <c r="A30" t="str">
        <f t="shared" si="0"/>
        <v>GEODIS</v>
      </c>
      <c r="B30" s="1">
        <f t="shared" si="1"/>
        <v>46174</v>
      </c>
      <c r="C30" t="str">
        <f>IF(_xlfn.XLOOKUP(F30,'Factures Geodis'!C:C,'Factures Geodis'!T:T,"")=0,"",_xlfn.XLOOKUP(F30,'Factures Geodis'!C:C,'Factures Geodis'!T:T,""))</f>
        <v/>
      </c>
      <c r="F30" t="str">
        <f>'Factures Geodis'!C30</f>
        <v>95596160</v>
      </c>
      <c r="G30" s="6" t="str">
        <f>'Factures Geodis'!AH30</f>
        <v>GIPHAR OUGES</v>
      </c>
      <c r="I30" s="6" t="str">
        <f>'Factures Geodis'!AD30</f>
        <v>FR</v>
      </c>
      <c r="J30" t="str">
        <f t="shared" si="2"/>
        <v>France</v>
      </c>
      <c r="K30">
        <f>'Factures Geodis'!AP30</f>
        <v>1</v>
      </c>
      <c r="L30">
        <f>'Factures Geodis'!AQ30</f>
        <v>55</v>
      </c>
      <c r="M30" t="s">
        <v>131</v>
      </c>
      <c r="N30">
        <f t="shared" si="3"/>
        <v>0.2</v>
      </c>
      <c r="O30" t="str">
        <f>IF('Factures Geodis'!F30=0,"",'Factures Geodis'!F30)</f>
        <v/>
      </c>
      <c r="P30" t="str">
        <f>IF('Factures Geodis'!G30=0,"",'Factures Geodis'!G30)</f>
        <v/>
      </c>
      <c r="Q30" t="str">
        <f>IF('Factures Geodis'!H30=0,"",'Factures Geodis'!H30)</f>
        <v/>
      </c>
      <c r="R30" t="str">
        <f>IF('Factures Geodis'!I30=0,"",'Factures Geodis'!I30)</f>
        <v/>
      </c>
      <c r="S30" t="str">
        <f>IF('Factures Geodis'!J30=0,"",'Factures Geodis'!J30)</f>
        <v/>
      </c>
      <c r="T30">
        <f>IF('Factures Geodis'!K30=0,"",'Factures Geodis'!K30)</f>
        <v>43.09</v>
      </c>
      <c r="U30" t="str">
        <f>IF('Factures Geodis'!L30=0,"",'Factures Geodis'!L30)</f>
        <v/>
      </c>
    </row>
    <row r="31" spans="1:24" x14ac:dyDescent="0.25">
      <c r="A31" t="str">
        <f t="shared" si="0"/>
        <v>GEODIS</v>
      </c>
      <c r="B31" s="1">
        <f t="shared" si="1"/>
        <v>46174</v>
      </c>
      <c r="C31" t="str">
        <f>IF(_xlfn.XLOOKUP(F31,'Factures Geodis'!C:C,'Factures Geodis'!T:T,"")=0,"",_xlfn.XLOOKUP(F31,'Factures Geodis'!C:C,'Factures Geodis'!T:T,""))</f>
        <v>2816093</v>
      </c>
      <c r="F31" t="str">
        <f>'Factures Geodis'!C31</f>
        <v>95599531</v>
      </c>
      <c r="G31" s="6" t="str">
        <f>'Factures Geodis'!AH31</f>
        <v>GIPHAR CASTELNAU-LE-NEZ</v>
      </c>
      <c r="I31" s="6" t="str">
        <f>'Factures Geodis'!AD31</f>
        <v>FR</v>
      </c>
      <c r="J31" t="str">
        <f t="shared" si="2"/>
        <v>France</v>
      </c>
      <c r="K31">
        <f>'Factures Geodis'!AP31</f>
        <v>1</v>
      </c>
      <c r="L31">
        <f>'Factures Geodis'!AQ31</f>
        <v>174.5</v>
      </c>
      <c r="M31" t="s">
        <v>131</v>
      </c>
      <c r="N31">
        <f t="shared" si="3"/>
        <v>0.2</v>
      </c>
      <c r="O31" t="str">
        <f>IF('Factures Geodis'!F31=0,"",'Factures Geodis'!F31)</f>
        <v/>
      </c>
      <c r="P31" t="str">
        <f>IF('Factures Geodis'!G31=0,"",'Factures Geodis'!G31)</f>
        <v/>
      </c>
      <c r="Q31" t="str">
        <f>IF('Factures Geodis'!H31=0,"",'Factures Geodis'!H31)</f>
        <v/>
      </c>
      <c r="R31" t="str">
        <f>IF('Factures Geodis'!I31=0,"",'Factures Geodis'!I31)</f>
        <v/>
      </c>
      <c r="S31" t="str">
        <f>IF('Factures Geodis'!J31=0,"",'Factures Geodis'!J31)</f>
        <v/>
      </c>
      <c r="T31">
        <f>IF('Factures Geodis'!K31=0,"",'Factures Geodis'!K31)</f>
        <v>604.04999999999995</v>
      </c>
      <c r="U31" t="str">
        <f>IF('Factures Geodis'!L31=0,"",'Factures Geodis'!L31)</f>
        <v/>
      </c>
    </row>
    <row r="32" spans="1:24" x14ac:dyDescent="0.25">
      <c r="A32" t="str">
        <f t="shared" si="0"/>
        <v>GEODIS</v>
      </c>
      <c r="B32" s="1">
        <f t="shared" si="1"/>
        <v>46174</v>
      </c>
      <c r="C32" t="str">
        <f>IF(_xlfn.XLOOKUP(F32,'Factures Geodis'!C:C,'Factures Geodis'!T:T,"")=0,"",_xlfn.XLOOKUP(F32,'Factures Geodis'!C:C,'Factures Geodis'!T:T,""))</f>
        <v>EXP20260622-2812231</v>
      </c>
      <c r="F32" t="str">
        <f>'Factures Geodis'!C32</f>
        <v>95602040</v>
      </c>
      <c r="G32" s="6" t="str">
        <f>'Factures Geodis'!AH32</f>
        <v>SOFIA COSMETIQUES</v>
      </c>
      <c r="I32" s="6" t="str">
        <f>'Factures Geodis'!AD32</f>
        <v>FR</v>
      </c>
      <c r="J32" t="str">
        <f t="shared" si="2"/>
        <v>France</v>
      </c>
      <c r="K32">
        <f>'Factures Geodis'!AP32</f>
        <v>1</v>
      </c>
      <c r="L32">
        <f>'Factures Geodis'!AQ32</f>
        <v>95</v>
      </c>
      <c r="M32" t="s">
        <v>131</v>
      </c>
      <c r="N32">
        <f t="shared" si="3"/>
        <v>0.2</v>
      </c>
      <c r="O32" t="str">
        <f>IF('Factures Geodis'!F32=0,"",'Factures Geodis'!F32)</f>
        <v/>
      </c>
      <c r="P32" t="str">
        <f>IF('Factures Geodis'!G32=0,"",'Factures Geodis'!G32)</f>
        <v/>
      </c>
      <c r="Q32" t="str">
        <f>IF('Factures Geodis'!H32=0,"",'Factures Geodis'!H32)</f>
        <v/>
      </c>
      <c r="R32" t="str">
        <f>IF('Factures Geodis'!I32=0,"",'Factures Geodis'!I32)</f>
        <v/>
      </c>
      <c r="S32" t="str">
        <f>IF('Factures Geodis'!J32=0,"",'Factures Geodis'!J32)</f>
        <v/>
      </c>
      <c r="T32">
        <f>IF('Factures Geodis'!K32=0,"",'Factures Geodis'!K32)</f>
        <v>66.989999999999995</v>
      </c>
      <c r="U32" t="str">
        <f>IF('Factures Geodis'!L32=0,"",'Factures Geodis'!L32)</f>
        <v/>
      </c>
    </row>
    <row r="33" spans="1:21" x14ac:dyDescent="0.25">
      <c r="A33" t="str">
        <f t="shared" si="0"/>
        <v>GEODIS</v>
      </c>
      <c r="B33" s="1">
        <f t="shared" si="1"/>
        <v>46174</v>
      </c>
      <c r="C33" t="str">
        <f>IF(_xlfn.XLOOKUP(F33,'Factures Geodis'!C:C,'Factures Geodis'!T:T,"")=0,"",_xlfn.XLOOKUP(F33,'Factures Geodis'!C:C,'Factures Geodis'!T:T,""))</f>
        <v>2818456</v>
      </c>
      <c r="F33" t="str">
        <f>'Factures Geodis'!C33</f>
        <v>95686648</v>
      </c>
      <c r="G33" s="6" t="str">
        <f>'Factures Geodis'!AH33</f>
        <v>ESSENTIELS PHARMA</v>
      </c>
      <c r="I33" s="6" t="str">
        <f>'Factures Geodis'!AD33</f>
        <v>FR</v>
      </c>
      <c r="J33" t="str">
        <f t="shared" si="2"/>
        <v>France</v>
      </c>
      <c r="K33">
        <f>'Factures Geodis'!AP33</f>
        <v>5</v>
      </c>
      <c r="L33">
        <f>'Factures Geodis'!AQ33</f>
        <v>50</v>
      </c>
      <c r="M33" t="s">
        <v>131</v>
      </c>
      <c r="N33">
        <f t="shared" si="3"/>
        <v>0.2</v>
      </c>
      <c r="O33" t="str">
        <f>IF('Factures Geodis'!F33=0,"",'Factures Geodis'!F33)</f>
        <v/>
      </c>
      <c r="P33" t="str">
        <f>IF('Factures Geodis'!G33=0,"",'Factures Geodis'!G33)</f>
        <v/>
      </c>
      <c r="Q33" t="str">
        <f>IF('Factures Geodis'!H33=0,"",'Factures Geodis'!H33)</f>
        <v/>
      </c>
      <c r="R33" t="str">
        <f>IF('Factures Geodis'!I33=0,"",'Factures Geodis'!I33)</f>
        <v/>
      </c>
      <c r="S33" t="str">
        <f>IF('Factures Geodis'!J33=0,"",'Factures Geodis'!J33)</f>
        <v/>
      </c>
      <c r="T33">
        <f>IF('Factures Geodis'!K33=0,"",'Factures Geodis'!K33)</f>
        <v>46.85</v>
      </c>
      <c r="U33" t="str">
        <f>IF('Factures Geodis'!L33=0,"",'Factures Geodis'!L33)</f>
        <v/>
      </c>
    </row>
    <row r="34" spans="1:21" x14ac:dyDescent="0.25">
      <c r="A34" t="str">
        <f t="shared" si="0"/>
        <v>GEODIS</v>
      </c>
      <c r="B34" s="1">
        <f t="shared" si="1"/>
        <v>46174</v>
      </c>
      <c r="C34" t="str">
        <f>IF(_xlfn.XLOOKUP(F34,'Factures Geodis'!C:C,'Factures Geodis'!T:T,"")=0,"",_xlfn.XLOOKUP(F34,'Factures Geodis'!C:C,'Factures Geodis'!T:T,""))</f>
        <v/>
      </c>
      <c r="F34" t="str">
        <f>'Factures Geodis'!C34</f>
        <v>95732649</v>
      </c>
      <c r="G34" s="6" t="str">
        <f>'Factures Geodis'!AH34</f>
        <v>CELLUSA</v>
      </c>
      <c r="I34" s="6" t="str">
        <f>'Factures Geodis'!AD34</f>
        <v>FR</v>
      </c>
      <c r="J34" t="str">
        <f t="shared" si="2"/>
        <v>France</v>
      </c>
      <c r="K34">
        <f>'Factures Geodis'!AP34</f>
        <v>4</v>
      </c>
      <c r="L34">
        <f>'Factures Geodis'!AQ34</f>
        <v>19</v>
      </c>
      <c r="M34" t="s">
        <v>131</v>
      </c>
      <c r="N34">
        <f t="shared" si="3"/>
        <v>0.2</v>
      </c>
      <c r="O34" t="str">
        <f>IF('Factures Geodis'!F34=0,"",'Factures Geodis'!F34)</f>
        <v/>
      </c>
      <c r="P34" t="str">
        <f>IF('Factures Geodis'!G34=0,"",'Factures Geodis'!G34)</f>
        <v/>
      </c>
      <c r="Q34" t="str">
        <f>IF('Factures Geodis'!H34=0,"",'Factures Geodis'!H34)</f>
        <v/>
      </c>
      <c r="R34" t="str">
        <f>IF('Factures Geodis'!I34=0,"",'Factures Geodis'!I34)</f>
        <v/>
      </c>
      <c r="S34" t="str">
        <f>IF('Factures Geodis'!J34=0,"",'Factures Geodis'!J34)</f>
        <v/>
      </c>
      <c r="T34">
        <f>IF('Factures Geodis'!K34=0,"",'Factures Geodis'!K34)</f>
        <v>40.160000000000004</v>
      </c>
      <c r="U34" t="str">
        <f>IF('Factures Geodis'!L34=0,"",'Factures Geodis'!L34)</f>
        <v/>
      </c>
    </row>
    <row r="35" spans="1:21" x14ac:dyDescent="0.25">
      <c r="A35" t="str">
        <f t="shared" si="0"/>
        <v>GEODIS</v>
      </c>
      <c r="B35" s="1">
        <f t="shared" si="1"/>
        <v>46174</v>
      </c>
      <c r="C35" t="str">
        <f>IF(_xlfn.XLOOKUP(F35,'Factures Geodis'!C:C,'Factures Geodis'!T:T,"")=0,"",_xlfn.XLOOKUP(F35,'Factures Geodis'!C:C,'Factures Geodis'!T:T,""))</f>
        <v>2813677</v>
      </c>
      <c r="F35" t="str">
        <f>'Factures Geodis'!C35</f>
        <v>95756330</v>
      </c>
      <c r="G35" s="6" t="str">
        <f>'Factures Geodis'!AH35</f>
        <v>ENTREPOT SAMADA</v>
      </c>
      <c r="I35" s="6" t="str">
        <f>'Factures Geodis'!AD35</f>
        <v>FR</v>
      </c>
      <c r="J35" t="str">
        <f t="shared" si="2"/>
        <v>France</v>
      </c>
      <c r="K35">
        <f>'Factures Geodis'!AP35</f>
        <v>1</v>
      </c>
      <c r="L35">
        <f>'Factures Geodis'!AQ35</f>
        <v>90</v>
      </c>
      <c r="M35" t="s">
        <v>131</v>
      </c>
      <c r="N35">
        <f t="shared" si="3"/>
        <v>0.2</v>
      </c>
      <c r="O35" t="str">
        <f>IF('Factures Geodis'!F35=0,"",'Factures Geodis'!F35)</f>
        <v/>
      </c>
      <c r="P35" t="str">
        <f>IF('Factures Geodis'!G35=0,"",'Factures Geodis'!G35)</f>
        <v/>
      </c>
      <c r="Q35" t="str">
        <f>IF('Factures Geodis'!H35=0,"",'Factures Geodis'!H35)</f>
        <v/>
      </c>
      <c r="R35" t="str">
        <f>IF('Factures Geodis'!I35=0,"",'Factures Geodis'!I35)</f>
        <v/>
      </c>
      <c r="S35" t="str">
        <f>IF('Factures Geodis'!J35=0,"",'Factures Geodis'!J35)</f>
        <v/>
      </c>
      <c r="T35">
        <f>IF('Factures Geodis'!K35=0,"",'Factures Geodis'!K35)</f>
        <v>391.91999999999996</v>
      </c>
      <c r="U35" t="str">
        <f>IF('Factures Geodis'!L35=0,"",'Factures Geodis'!L35)</f>
        <v/>
      </c>
    </row>
    <row r="36" spans="1:21" x14ac:dyDescent="0.25">
      <c r="A36" t="str">
        <f t="shared" si="0"/>
        <v>GEODIS</v>
      </c>
      <c r="B36" s="1">
        <f t="shared" si="1"/>
        <v>46174</v>
      </c>
      <c r="C36" t="str">
        <f>IF(_xlfn.XLOOKUP(F36,'Factures Geodis'!C:C,'Factures Geodis'!T:T,"")=0,"",_xlfn.XLOOKUP(F36,'Factures Geodis'!C:C,'Factures Geodis'!T:T,""))</f>
        <v>2828727</v>
      </c>
      <c r="F36" t="str">
        <f>'Factures Geodis'!C36</f>
        <v>95761019</v>
      </c>
      <c r="G36" s="6" t="str">
        <f>'Factures Geodis'!AH36</f>
        <v>ATIDA OMNIPHAR 07</v>
      </c>
      <c r="I36" s="6" t="str">
        <f>'Factures Geodis'!AD36</f>
        <v>FR</v>
      </c>
      <c r="J36" t="str">
        <f t="shared" si="2"/>
        <v>France</v>
      </c>
      <c r="K36">
        <f>'Factures Geodis'!AP36</f>
        <v>1</v>
      </c>
      <c r="L36">
        <f>'Factures Geodis'!AQ36</f>
        <v>35.5</v>
      </c>
      <c r="M36" t="s">
        <v>131</v>
      </c>
      <c r="N36">
        <f t="shared" si="3"/>
        <v>0.2</v>
      </c>
      <c r="O36" t="str">
        <f>IF('Factures Geodis'!F36=0,"",'Factures Geodis'!F36)</f>
        <v/>
      </c>
      <c r="P36" t="str">
        <f>IF('Factures Geodis'!G36=0,"",'Factures Geodis'!G36)</f>
        <v/>
      </c>
      <c r="Q36" t="str">
        <f>IF('Factures Geodis'!H36=0,"",'Factures Geodis'!H36)</f>
        <v/>
      </c>
      <c r="R36" t="str">
        <f>IF('Factures Geodis'!I36=0,"",'Factures Geodis'!I36)</f>
        <v/>
      </c>
      <c r="S36" t="str">
        <f>IF('Factures Geodis'!J36=0,"",'Factures Geodis'!J36)</f>
        <v/>
      </c>
      <c r="T36">
        <f>IF('Factures Geodis'!K36=0,"",'Factures Geodis'!K36)</f>
        <v>38.61</v>
      </c>
      <c r="U36" t="str">
        <f>IF('Factures Geodis'!L36=0,"",'Factures Geodis'!L36)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03AA-80FB-430A-B256-32F38DF4471B}">
  <dimension ref="A3:B13"/>
  <sheetViews>
    <sheetView workbookViewId="0">
      <selection activeCell="D11" sqref="D11"/>
    </sheetView>
  </sheetViews>
  <sheetFormatPr baseColWidth="10" defaultRowHeight="15" x14ac:dyDescent="0.25"/>
  <cols>
    <col min="1" max="1" width="21" bestFit="1" customWidth="1"/>
    <col min="2" max="2" width="20.140625" bestFit="1" customWidth="1"/>
    <col min="3" max="3" width="23.140625" bestFit="1" customWidth="1"/>
  </cols>
  <sheetData>
    <row r="3" spans="1:2" x14ac:dyDescent="0.25">
      <c r="A3" s="4" t="s">
        <v>122</v>
      </c>
      <c r="B3" t="s">
        <v>127</v>
      </c>
    </row>
    <row r="4" spans="1:2" x14ac:dyDescent="0.25">
      <c r="A4" s="5" t="s">
        <v>130</v>
      </c>
      <c r="B4">
        <v>2.61</v>
      </c>
    </row>
    <row r="5" spans="1:2" x14ac:dyDescent="0.25">
      <c r="A5" s="5">
        <v>3752</v>
      </c>
      <c r="B5">
        <v>2032.5700000000002</v>
      </c>
    </row>
    <row r="6" spans="1:2" x14ac:dyDescent="0.25">
      <c r="A6" s="5">
        <v>3888</v>
      </c>
      <c r="B6">
        <v>985</v>
      </c>
    </row>
    <row r="7" spans="1:2" x14ac:dyDescent="0.25">
      <c r="A7" s="5">
        <v>8640</v>
      </c>
      <c r="B7">
        <v>97.149999999999991</v>
      </c>
    </row>
    <row r="8" spans="1:2" x14ac:dyDescent="0.25">
      <c r="A8" s="5">
        <v>9294</v>
      </c>
      <c r="B8">
        <v>206.95</v>
      </c>
    </row>
    <row r="9" spans="1:2" x14ac:dyDescent="0.25">
      <c r="A9" s="5">
        <v>7254</v>
      </c>
      <c r="B9">
        <v>680.13</v>
      </c>
    </row>
    <row r="10" spans="1:2" x14ac:dyDescent="0.25">
      <c r="A10" s="5">
        <v>8656</v>
      </c>
      <c r="B10">
        <v>363.34</v>
      </c>
    </row>
    <row r="11" spans="1:2" x14ac:dyDescent="0.25">
      <c r="A11" s="5">
        <v>8041</v>
      </c>
      <c r="B11">
        <v>99.72999999999999</v>
      </c>
    </row>
    <row r="12" spans="1:2" x14ac:dyDescent="0.25">
      <c r="A12" s="5">
        <v>361</v>
      </c>
      <c r="B12">
        <v>144.75</v>
      </c>
    </row>
    <row r="13" spans="1:2" x14ac:dyDescent="0.25">
      <c r="A13" s="5" t="s">
        <v>123</v>
      </c>
      <c r="B13">
        <v>4612.2299999999996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Factures Geodis</vt:lpstr>
      <vt:lpstr>Bilan Factures</vt:lpstr>
      <vt:lpstr>Import CSV</vt:lpstr>
      <vt:lpstr>Bilan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Manon</dc:creator>
  <cp:lastModifiedBy>Contact</cp:lastModifiedBy>
  <dcterms:created xsi:type="dcterms:W3CDTF">2025-09-16T08:03:46Z</dcterms:created>
  <dcterms:modified xsi:type="dcterms:W3CDTF">2026-07-02T12:36:17Z</dcterms:modified>
</cp:coreProperties>
</file>