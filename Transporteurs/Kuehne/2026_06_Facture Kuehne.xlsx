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1A6C2B81-1236-4A44-8CF5-DCFAAE05AE6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Bareme gazole" sheetId="1" r:id="rId1"/>
    <sheet name="Fichier Kuehne" sheetId="2" r:id="rId2"/>
    <sheet name="TCD" sheetId="7" r:id="rId3"/>
    <sheet name="Kuehne_Import" sheetId="4" r:id="rId4"/>
    <sheet name="Bilan clients" sheetId="5" r:id="rId5"/>
    <sheet name="Demande avoir" sheetId="6" r:id="rId6"/>
  </sheets>
  <definedNames>
    <definedName name="_xlnm._FilterDatabase" localSheetId="5" hidden="1">'Demande avoir'!$A$1:$U$3</definedName>
    <definedName name="_xlnm._FilterDatabase" localSheetId="1" hidden="1">'Fichier Kuehne'!$A$1:$GM$191</definedName>
    <definedName name="_xlnm._FilterDatabase" localSheetId="3" hidden="1">Kuehne_Import!$A$1:$U$186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F4" i="4"/>
  <c r="G4" i="4"/>
  <c r="I4" i="4"/>
  <c r="K4" i="4"/>
  <c r="L4" i="4"/>
  <c r="O4" i="4"/>
  <c r="P4" i="4"/>
  <c r="Q4" i="4"/>
  <c r="R4" i="4"/>
  <c r="S4" i="4"/>
  <c r="T4" i="4"/>
  <c r="U4" i="4"/>
  <c r="C5" i="4"/>
  <c r="F5" i="4"/>
  <c r="G5" i="4"/>
  <c r="I5" i="4"/>
  <c r="K5" i="4"/>
  <c r="L5" i="4"/>
  <c r="O5" i="4"/>
  <c r="P5" i="4"/>
  <c r="Q5" i="4"/>
  <c r="R5" i="4"/>
  <c r="S5" i="4"/>
  <c r="T5" i="4"/>
  <c r="U5" i="4"/>
  <c r="C6" i="4"/>
  <c r="F6" i="4"/>
  <c r="G6" i="4"/>
  <c r="I6" i="4"/>
  <c r="K6" i="4"/>
  <c r="L6" i="4"/>
  <c r="O6" i="4"/>
  <c r="P6" i="4"/>
  <c r="Q6" i="4"/>
  <c r="R6" i="4"/>
  <c r="S6" i="4"/>
  <c r="T6" i="4"/>
  <c r="U6" i="4"/>
  <c r="C7" i="4"/>
  <c r="F7" i="4"/>
  <c r="G7" i="4"/>
  <c r="I7" i="4"/>
  <c r="K7" i="4"/>
  <c r="L7" i="4"/>
  <c r="O7" i="4"/>
  <c r="P7" i="4"/>
  <c r="Q7" i="4"/>
  <c r="R7" i="4"/>
  <c r="S7" i="4"/>
  <c r="T7" i="4"/>
  <c r="U7" i="4"/>
  <c r="C8" i="4"/>
  <c r="F8" i="4"/>
  <c r="G8" i="4"/>
  <c r="I8" i="4"/>
  <c r="K8" i="4"/>
  <c r="L8" i="4"/>
  <c r="O8" i="4"/>
  <c r="P8" i="4"/>
  <c r="Q8" i="4"/>
  <c r="R8" i="4"/>
  <c r="S8" i="4"/>
  <c r="T8" i="4"/>
  <c r="U8" i="4"/>
  <c r="C9" i="4"/>
  <c r="F9" i="4"/>
  <c r="G9" i="4"/>
  <c r="I9" i="4"/>
  <c r="K9" i="4"/>
  <c r="L9" i="4"/>
  <c r="O9" i="4"/>
  <c r="P9" i="4"/>
  <c r="Q9" i="4"/>
  <c r="R9" i="4"/>
  <c r="S9" i="4"/>
  <c r="T9" i="4"/>
  <c r="U9" i="4"/>
  <c r="C10" i="4"/>
  <c r="F10" i="4"/>
  <c r="G10" i="4"/>
  <c r="I10" i="4"/>
  <c r="K10" i="4"/>
  <c r="L10" i="4"/>
  <c r="O10" i="4"/>
  <c r="P10" i="4"/>
  <c r="Q10" i="4"/>
  <c r="R10" i="4"/>
  <c r="S10" i="4"/>
  <c r="T10" i="4"/>
  <c r="U10" i="4"/>
  <c r="C11" i="4"/>
  <c r="F11" i="4"/>
  <c r="G11" i="4"/>
  <c r="I11" i="4"/>
  <c r="K11" i="4"/>
  <c r="L11" i="4"/>
  <c r="O11" i="4"/>
  <c r="P11" i="4"/>
  <c r="Q11" i="4"/>
  <c r="R11" i="4"/>
  <c r="S11" i="4"/>
  <c r="T11" i="4"/>
  <c r="U11" i="4"/>
  <c r="C12" i="4"/>
  <c r="F12" i="4"/>
  <c r="G12" i="4"/>
  <c r="I12" i="4"/>
  <c r="K12" i="4"/>
  <c r="L12" i="4"/>
  <c r="O12" i="4"/>
  <c r="P12" i="4"/>
  <c r="Q12" i="4"/>
  <c r="R12" i="4"/>
  <c r="S12" i="4"/>
  <c r="T12" i="4"/>
  <c r="U12" i="4"/>
  <c r="C13" i="4"/>
  <c r="F13" i="4"/>
  <c r="G13" i="4"/>
  <c r="I13" i="4"/>
  <c r="K13" i="4"/>
  <c r="L13" i="4"/>
  <c r="O13" i="4"/>
  <c r="P13" i="4"/>
  <c r="Q13" i="4"/>
  <c r="R13" i="4"/>
  <c r="S13" i="4"/>
  <c r="T13" i="4"/>
  <c r="U13" i="4"/>
  <c r="C14" i="4"/>
  <c r="F14" i="4"/>
  <c r="G14" i="4"/>
  <c r="I14" i="4"/>
  <c r="K14" i="4"/>
  <c r="L14" i="4"/>
  <c r="O14" i="4"/>
  <c r="P14" i="4"/>
  <c r="Q14" i="4"/>
  <c r="R14" i="4"/>
  <c r="S14" i="4"/>
  <c r="T14" i="4"/>
  <c r="U14" i="4"/>
  <c r="C15" i="4"/>
  <c r="F15" i="4"/>
  <c r="G15" i="4"/>
  <c r="I15" i="4"/>
  <c r="K15" i="4"/>
  <c r="L15" i="4"/>
  <c r="O15" i="4"/>
  <c r="P15" i="4"/>
  <c r="Q15" i="4"/>
  <c r="R15" i="4"/>
  <c r="S15" i="4"/>
  <c r="T15" i="4"/>
  <c r="U15" i="4"/>
  <c r="C16" i="4"/>
  <c r="F16" i="4"/>
  <c r="G16" i="4"/>
  <c r="I16" i="4"/>
  <c r="K16" i="4"/>
  <c r="L16" i="4"/>
  <c r="O16" i="4"/>
  <c r="P16" i="4"/>
  <c r="Q16" i="4"/>
  <c r="R16" i="4"/>
  <c r="S16" i="4"/>
  <c r="T16" i="4"/>
  <c r="U16" i="4"/>
  <c r="C17" i="4"/>
  <c r="F17" i="4"/>
  <c r="G17" i="4"/>
  <c r="I17" i="4"/>
  <c r="K17" i="4"/>
  <c r="L17" i="4"/>
  <c r="O17" i="4"/>
  <c r="P17" i="4"/>
  <c r="Q17" i="4"/>
  <c r="R17" i="4"/>
  <c r="S17" i="4"/>
  <c r="T17" i="4"/>
  <c r="U17" i="4"/>
  <c r="C18" i="4"/>
  <c r="F18" i="4"/>
  <c r="G18" i="4"/>
  <c r="I18" i="4"/>
  <c r="K18" i="4"/>
  <c r="L18" i="4"/>
  <c r="O18" i="4"/>
  <c r="P18" i="4"/>
  <c r="Q18" i="4"/>
  <c r="R18" i="4"/>
  <c r="S18" i="4"/>
  <c r="T18" i="4"/>
  <c r="U18" i="4"/>
  <c r="C19" i="4"/>
  <c r="F19" i="4"/>
  <c r="G19" i="4"/>
  <c r="I19" i="4"/>
  <c r="K19" i="4"/>
  <c r="L19" i="4"/>
  <c r="O19" i="4"/>
  <c r="P19" i="4"/>
  <c r="Q19" i="4"/>
  <c r="R19" i="4"/>
  <c r="S19" i="4"/>
  <c r="T19" i="4"/>
  <c r="U19" i="4"/>
  <c r="C20" i="4"/>
  <c r="F20" i="4"/>
  <c r="G20" i="4"/>
  <c r="I20" i="4"/>
  <c r="K20" i="4"/>
  <c r="L20" i="4"/>
  <c r="O20" i="4"/>
  <c r="P20" i="4"/>
  <c r="Q20" i="4"/>
  <c r="R20" i="4"/>
  <c r="S20" i="4"/>
  <c r="T20" i="4"/>
  <c r="U20" i="4"/>
  <c r="C21" i="4"/>
  <c r="F21" i="4"/>
  <c r="G21" i="4"/>
  <c r="I21" i="4"/>
  <c r="K21" i="4"/>
  <c r="L21" i="4"/>
  <c r="O21" i="4"/>
  <c r="P21" i="4"/>
  <c r="Q21" i="4"/>
  <c r="R21" i="4"/>
  <c r="S21" i="4"/>
  <c r="T21" i="4"/>
  <c r="U21" i="4"/>
  <c r="C22" i="4"/>
  <c r="F22" i="4"/>
  <c r="G22" i="4"/>
  <c r="I22" i="4"/>
  <c r="K22" i="4"/>
  <c r="L22" i="4"/>
  <c r="O22" i="4"/>
  <c r="P22" i="4"/>
  <c r="Q22" i="4"/>
  <c r="R22" i="4"/>
  <c r="S22" i="4"/>
  <c r="T22" i="4"/>
  <c r="U22" i="4"/>
  <c r="C23" i="4"/>
  <c r="F23" i="4"/>
  <c r="G23" i="4"/>
  <c r="I23" i="4"/>
  <c r="K23" i="4"/>
  <c r="L23" i="4"/>
  <c r="O23" i="4"/>
  <c r="P23" i="4"/>
  <c r="Q23" i="4"/>
  <c r="R23" i="4"/>
  <c r="S23" i="4"/>
  <c r="T23" i="4"/>
  <c r="U23" i="4"/>
  <c r="C24" i="4"/>
  <c r="F24" i="4"/>
  <c r="G24" i="4"/>
  <c r="I24" i="4"/>
  <c r="K24" i="4"/>
  <c r="L24" i="4"/>
  <c r="O24" i="4"/>
  <c r="P24" i="4"/>
  <c r="Q24" i="4"/>
  <c r="R24" i="4"/>
  <c r="S24" i="4"/>
  <c r="T24" i="4"/>
  <c r="U24" i="4"/>
  <c r="C25" i="4"/>
  <c r="F25" i="4"/>
  <c r="G25" i="4"/>
  <c r="I25" i="4"/>
  <c r="K25" i="4"/>
  <c r="L25" i="4"/>
  <c r="O25" i="4"/>
  <c r="P25" i="4"/>
  <c r="Q25" i="4"/>
  <c r="R25" i="4"/>
  <c r="S25" i="4"/>
  <c r="T25" i="4"/>
  <c r="U25" i="4"/>
  <c r="C26" i="4"/>
  <c r="F26" i="4"/>
  <c r="G26" i="4"/>
  <c r="I26" i="4"/>
  <c r="K26" i="4"/>
  <c r="L26" i="4"/>
  <c r="O26" i="4"/>
  <c r="P26" i="4"/>
  <c r="Q26" i="4"/>
  <c r="R26" i="4"/>
  <c r="S26" i="4"/>
  <c r="T26" i="4"/>
  <c r="U26" i="4"/>
  <c r="C27" i="4"/>
  <c r="F27" i="4"/>
  <c r="G27" i="4"/>
  <c r="I27" i="4"/>
  <c r="K27" i="4"/>
  <c r="L27" i="4"/>
  <c r="O27" i="4"/>
  <c r="P27" i="4"/>
  <c r="Q27" i="4"/>
  <c r="R27" i="4"/>
  <c r="S27" i="4"/>
  <c r="T27" i="4"/>
  <c r="U27" i="4"/>
  <c r="C28" i="4"/>
  <c r="F28" i="4"/>
  <c r="G28" i="4"/>
  <c r="I28" i="4"/>
  <c r="K28" i="4"/>
  <c r="L28" i="4"/>
  <c r="O28" i="4"/>
  <c r="P28" i="4"/>
  <c r="Q28" i="4"/>
  <c r="R28" i="4"/>
  <c r="S28" i="4"/>
  <c r="T28" i="4"/>
  <c r="U28" i="4"/>
  <c r="C29" i="4"/>
  <c r="F29" i="4"/>
  <c r="G29" i="4"/>
  <c r="I29" i="4"/>
  <c r="K29" i="4"/>
  <c r="L29" i="4"/>
  <c r="O29" i="4"/>
  <c r="P29" i="4"/>
  <c r="Q29" i="4"/>
  <c r="R29" i="4"/>
  <c r="S29" i="4"/>
  <c r="T29" i="4"/>
  <c r="U29" i="4"/>
  <c r="C30" i="4"/>
  <c r="F30" i="4"/>
  <c r="G30" i="4"/>
  <c r="I30" i="4"/>
  <c r="K30" i="4"/>
  <c r="L30" i="4"/>
  <c r="O30" i="4"/>
  <c r="P30" i="4"/>
  <c r="Q30" i="4"/>
  <c r="R30" i="4"/>
  <c r="S30" i="4"/>
  <c r="T30" i="4"/>
  <c r="U30" i="4"/>
  <c r="C31" i="4"/>
  <c r="F31" i="4"/>
  <c r="G31" i="4"/>
  <c r="I31" i="4"/>
  <c r="K31" i="4"/>
  <c r="L31" i="4"/>
  <c r="O31" i="4"/>
  <c r="P31" i="4"/>
  <c r="Q31" i="4"/>
  <c r="R31" i="4"/>
  <c r="S31" i="4"/>
  <c r="T31" i="4"/>
  <c r="U31" i="4"/>
  <c r="C32" i="4"/>
  <c r="F32" i="4"/>
  <c r="G32" i="4"/>
  <c r="I32" i="4"/>
  <c r="K32" i="4"/>
  <c r="L32" i="4"/>
  <c r="O32" i="4"/>
  <c r="P32" i="4"/>
  <c r="Q32" i="4"/>
  <c r="R32" i="4"/>
  <c r="S32" i="4"/>
  <c r="T32" i="4"/>
  <c r="U32" i="4"/>
  <c r="C33" i="4"/>
  <c r="F33" i="4"/>
  <c r="G33" i="4"/>
  <c r="I33" i="4"/>
  <c r="K33" i="4"/>
  <c r="L33" i="4"/>
  <c r="O33" i="4"/>
  <c r="P33" i="4"/>
  <c r="Q33" i="4"/>
  <c r="R33" i="4"/>
  <c r="S33" i="4"/>
  <c r="T33" i="4"/>
  <c r="U33" i="4"/>
  <c r="C34" i="4"/>
  <c r="F34" i="4"/>
  <c r="G34" i="4"/>
  <c r="I34" i="4"/>
  <c r="K34" i="4"/>
  <c r="L34" i="4"/>
  <c r="O34" i="4"/>
  <c r="P34" i="4"/>
  <c r="Q34" i="4"/>
  <c r="R34" i="4"/>
  <c r="S34" i="4"/>
  <c r="T34" i="4"/>
  <c r="U34" i="4"/>
  <c r="C35" i="4"/>
  <c r="F35" i="4"/>
  <c r="G35" i="4"/>
  <c r="I35" i="4"/>
  <c r="K35" i="4"/>
  <c r="L35" i="4"/>
  <c r="O35" i="4"/>
  <c r="P35" i="4"/>
  <c r="Q35" i="4"/>
  <c r="R35" i="4"/>
  <c r="S35" i="4"/>
  <c r="T35" i="4"/>
  <c r="U35" i="4"/>
  <c r="C36" i="4"/>
  <c r="F36" i="4"/>
  <c r="G36" i="4"/>
  <c r="I36" i="4"/>
  <c r="K36" i="4"/>
  <c r="L36" i="4"/>
  <c r="O36" i="4"/>
  <c r="P36" i="4"/>
  <c r="Q36" i="4"/>
  <c r="R36" i="4"/>
  <c r="S36" i="4"/>
  <c r="T36" i="4"/>
  <c r="U36" i="4"/>
  <c r="C37" i="4"/>
  <c r="F37" i="4"/>
  <c r="G37" i="4"/>
  <c r="I37" i="4"/>
  <c r="K37" i="4"/>
  <c r="L37" i="4"/>
  <c r="O37" i="4"/>
  <c r="P37" i="4"/>
  <c r="Q37" i="4"/>
  <c r="R37" i="4"/>
  <c r="S37" i="4"/>
  <c r="T37" i="4"/>
  <c r="U37" i="4"/>
  <c r="C38" i="4"/>
  <c r="F38" i="4"/>
  <c r="G38" i="4"/>
  <c r="I38" i="4"/>
  <c r="K38" i="4"/>
  <c r="L38" i="4"/>
  <c r="O38" i="4"/>
  <c r="P38" i="4"/>
  <c r="Q38" i="4"/>
  <c r="R38" i="4"/>
  <c r="S38" i="4"/>
  <c r="T38" i="4"/>
  <c r="U38" i="4"/>
  <c r="C39" i="4"/>
  <c r="F39" i="4"/>
  <c r="G39" i="4"/>
  <c r="I39" i="4"/>
  <c r="K39" i="4"/>
  <c r="L39" i="4"/>
  <c r="O39" i="4"/>
  <c r="P39" i="4"/>
  <c r="Q39" i="4"/>
  <c r="R39" i="4"/>
  <c r="S39" i="4"/>
  <c r="T39" i="4"/>
  <c r="U39" i="4"/>
  <c r="C40" i="4"/>
  <c r="F40" i="4"/>
  <c r="G40" i="4"/>
  <c r="I40" i="4"/>
  <c r="K40" i="4"/>
  <c r="L40" i="4"/>
  <c r="O40" i="4"/>
  <c r="P40" i="4"/>
  <c r="Q40" i="4"/>
  <c r="R40" i="4"/>
  <c r="S40" i="4"/>
  <c r="T40" i="4"/>
  <c r="U40" i="4"/>
  <c r="C41" i="4"/>
  <c r="F41" i="4"/>
  <c r="G41" i="4"/>
  <c r="I41" i="4"/>
  <c r="K41" i="4"/>
  <c r="L41" i="4"/>
  <c r="O41" i="4"/>
  <c r="P41" i="4"/>
  <c r="Q41" i="4"/>
  <c r="R41" i="4"/>
  <c r="S41" i="4"/>
  <c r="T41" i="4"/>
  <c r="U41" i="4"/>
  <c r="C42" i="4"/>
  <c r="F42" i="4"/>
  <c r="G42" i="4"/>
  <c r="I42" i="4"/>
  <c r="K42" i="4"/>
  <c r="L42" i="4"/>
  <c r="O42" i="4"/>
  <c r="P42" i="4"/>
  <c r="Q42" i="4"/>
  <c r="R42" i="4"/>
  <c r="S42" i="4"/>
  <c r="T42" i="4"/>
  <c r="U42" i="4"/>
  <c r="C43" i="4"/>
  <c r="F43" i="4"/>
  <c r="G43" i="4"/>
  <c r="I43" i="4"/>
  <c r="K43" i="4"/>
  <c r="L43" i="4"/>
  <c r="O43" i="4"/>
  <c r="P43" i="4"/>
  <c r="Q43" i="4"/>
  <c r="R43" i="4"/>
  <c r="S43" i="4"/>
  <c r="T43" i="4"/>
  <c r="U43" i="4"/>
  <c r="C44" i="4"/>
  <c r="F44" i="4"/>
  <c r="G44" i="4"/>
  <c r="I44" i="4"/>
  <c r="K44" i="4"/>
  <c r="L44" i="4"/>
  <c r="O44" i="4"/>
  <c r="P44" i="4"/>
  <c r="Q44" i="4"/>
  <c r="R44" i="4"/>
  <c r="S44" i="4"/>
  <c r="T44" i="4"/>
  <c r="U44" i="4"/>
  <c r="C45" i="4"/>
  <c r="F45" i="4"/>
  <c r="G45" i="4"/>
  <c r="I45" i="4"/>
  <c r="K45" i="4"/>
  <c r="L45" i="4"/>
  <c r="O45" i="4"/>
  <c r="P45" i="4"/>
  <c r="Q45" i="4"/>
  <c r="R45" i="4"/>
  <c r="S45" i="4"/>
  <c r="T45" i="4"/>
  <c r="U45" i="4"/>
  <c r="C46" i="4"/>
  <c r="F46" i="4"/>
  <c r="G46" i="4"/>
  <c r="I46" i="4"/>
  <c r="K46" i="4"/>
  <c r="L46" i="4"/>
  <c r="O46" i="4"/>
  <c r="P46" i="4"/>
  <c r="Q46" i="4"/>
  <c r="R46" i="4"/>
  <c r="S46" i="4"/>
  <c r="T46" i="4"/>
  <c r="U46" i="4"/>
  <c r="C47" i="4"/>
  <c r="F47" i="4"/>
  <c r="G47" i="4"/>
  <c r="I47" i="4"/>
  <c r="K47" i="4"/>
  <c r="L47" i="4"/>
  <c r="O47" i="4"/>
  <c r="P47" i="4"/>
  <c r="Q47" i="4"/>
  <c r="R47" i="4"/>
  <c r="S47" i="4"/>
  <c r="T47" i="4"/>
  <c r="U47" i="4"/>
  <c r="C48" i="4"/>
  <c r="F48" i="4"/>
  <c r="G48" i="4"/>
  <c r="I48" i="4"/>
  <c r="K48" i="4"/>
  <c r="L48" i="4"/>
  <c r="O48" i="4"/>
  <c r="P48" i="4"/>
  <c r="Q48" i="4"/>
  <c r="R48" i="4"/>
  <c r="S48" i="4"/>
  <c r="T48" i="4"/>
  <c r="U48" i="4"/>
  <c r="C49" i="4"/>
  <c r="F49" i="4"/>
  <c r="G49" i="4"/>
  <c r="I49" i="4"/>
  <c r="K49" i="4"/>
  <c r="L49" i="4"/>
  <c r="O49" i="4"/>
  <c r="P49" i="4"/>
  <c r="Q49" i="4"/>
  <c r="R49" i="4"/>
  <c r="S49" i="4"/>
  <c r="T49" i="4"/>
  <c r="U49" i="4"/>
  <c r="C50" i="4"/>
  <c r="F50" i="4"/>
  <c r="G50" i="4"/>
  <c r="I50" i="4"/>
  <c r="K50" i="4"/>
  <c r="L50" i="4"/>
  <c r="O50" i="4"/>
  <c r="P50" i="4"/>
  <c r="Q50" i="4"/>
  <c r="R50" i="4"/>
  <c r="S50" i="4"/>
  <c r="T50" i="4"/>
  <c r="U50" i="4"/>
  <c r="C51" i="4"/>
  <c r="F51" i="4"/>
  <c r="G51" i="4"/>
  <c r="I51" i="4"/>
  <c r="K51" i="4"/>
  <c r="L51" i="4"/>
  <c r="O51" i="4"/>
  <c r="P51" i="4"/>
  <c r="Q51" i="4"/>
  <c r="R51" i="4"/>
  <c r="S51" i="4"/>
  <c r="T51" i="4"/>
  <c r="U51" i="4"/>
  <c r="C52" i="4"/>
  <c r="F52" i="4"/>
  <c r="G52" i="4"/>
  <c r="I52" i="4"/>
  <c r="K52" i="4"/>
  <c r="L52" i="4"/>
  <c r="O52" i="4"/>
  <c r="P52" i="4"/>
  <c r="Q52" i="4"/>
  <c r="R52" i="4"/>
  <c r="S52" i="4"/>
  <c r="T52" i="4"/>
  <c r="U52" i="4"/>
  <c r="C53" i="4"/>
  <c r="F53" i="4"/>
  <c r="G53" i="4"/>
  <c r="I53" i="4"/>
  <c r="K53" i="4"/>
  <c r="L53" i="4"/>
  <c r="O53" i="4"/>
  <c r="P53" i="4"/>
  <c r="Q53" i="4"/>
  <c r="R53" i="4"/>
  <c r="S53" i="4"/>
  <c r="T53" i="4"/>
  <c r="U53" i="4"/>
  <c r="C54" i="4"/>
  <c r="F54" i="4"/>
  <c r="G54" i="4"/>
  <c r="I54" i="4"/>
  <c r="K54" i="4"/>
  <c r="L54" i="4"/>
  <c r="O54" i="4"/>
  <c r="P54" i="4"/>
  <c r="Q54" i="4"/>
  <c r="R54" i="4"/>
  <c r="S54" i="4"/>
  <c r="T54" i="4"/>
  <c r="U54" i="4"/>
  <c r="C55" i="4"/>
  <c r="F55" i="4"/>
  <c r="G55" i="4"/>
  <c r="I55" i="4"/>
  <c r="K55" i="4"/>
  <c r="L55" i="4"/>
  <c r="O55" i="4"/>
  <c r="P55" i="4"/>
  <c r="Q55" i="4"/>
  <c r="R55" i="4"/>
  <c r="S55" i="4"/>
  <c r="T55" i="4"/>
  <c r="U55" i="4"/>
  <c r="C56" i="4"/>
  <c r="F56" i="4"/>
  <c r="G56" i="4"/>
  <c r="I56" i="4"/>
  <c r="K56" i="4"/>
  <c r="L56" i="4"/>
  <c r="O56" i="4"/>
  <c r="P56" i="4"/>
  <c r="Q56" i="4"/>
  <c r="R56" i="4"/>
  <c r="S56" i="4"/>
  <c r="T56" i="4"/>
  <c r="U56" i="4"/>
  <c r="C57" i="4"/>
  <c r="F57" i="4"/>
  <c r="G57" i="4"/>
  <c r="I57" i="4"/>
  <c r="K57" i="4"/>
  <c r="L57" i="4"/>
  <c r="O57" i="4"/>
  <c r="P57" i="4"/>
  <c r="Q57" i="4"/>
  <c r="R57" i="4"/>
  <c r="S57" i="4"/>
  <c r="T57" i="4"/>
  <c r="U57" i="4"/>
  <c r="C58" i="4"/>
  <c r="F58" i="4"/>
  <c r="G58" i="4"/>
  <c r="I58" i="4"/>
  <c r="K58" i="4"/>
  <c r="L58" i="4"/>
  <c r="O58" i="4"/>
  <c r="P58" i="4"/>
  <c r="Q58" i="4"/>
  <c r="R58" i="4"/>
  <c r="S58" i="4"/>
  <c r="T58" i="4"/>
  <c r="U58" i="4"/>
  <c r="C59" i="4"/>
  <c r="F59" i="4"/>
  <c r="G59" i="4"/>
  <c r="I59" i="4"/>
  <c r="K59" i="4"/>
  <c r="L59" i="4"/>
  <c r="O59" i="4"/>
  <c r="P59" i="4"/>
  <c r="Q59" i="4"/>
  <c r="R59" i="4"/>
  <c r="S59" i="4"/>
  <c r="T59" i="4"/>
  <c r="U59" i="4"/>
  <c r="C60" i="4"/>
  <c r="F60" i="4"/>
  <c r="G60" i="4"/>
  <c r="I60" i="4"/>
  <c r="K60" i="4"/>
  <c r="L60" i="4"/>
  <c r="O60" i="4"/>
  <c r="P60" i="4"/>
  <c r="Q60" i="4"/>
  <c r="R60" i="4"/>
  <c r="S60" i="4"/>
  <c r="T60" i="4"/>
  <c r="U60" i="4"/>
  <c r="C61" i="4"/>
  <c r="F61" i="4"/>
  <c r="G61" i="4"/>
  <c r="I61" i="4"/>
  <c r="K61" i="4"/>
  <c r="L61" i="4"/>
  <c r="O61" i="4"/>
  <c r="P61" i="4"/>
  <c r="Q61" i="4"/>
  <c r="R61" i="4"/>
  <c r="S61" i="4"/>
  <c r="T61" i="4"/>
  <c r="U61" i="4"/>
  <c r="C62" i="4"/>
  <c r="F62" i="4"/>
  <c r="G62" i="4"/>
  <c r="I62" i="4"/>
  <c r="K62" i="4"/>
  <c r="L62" i="4"/>
  <c r="O62" i="4"/>
  <c r="P62" i="4"/>
  <c r="Q62" i="4"/>
  <c r="R62" i="4"/>
  <c r="S62" i="4"/>
  <c r="T62" i="4"/>
  <c r="U62" i="4"/>
  <c r="C63" i="4"/>
  <c r="F63" i="4"/>
  <c r="G63" i="4"/>
  <c r="I63" i="4"/>
  <c r="K63" i="4"/>
  <c r="L63" i="4"/>
  <c r="O63" i="4"/>
  <c r="P63" i="4"/>
  <c r="Q63" i="4"/>
  <c r="R63" i="4"/>
  <c r="S63" i="4"/>
  <c r="T63" i="4"/>
  <c r="U63" i="4"/>
  <c r="C64" i="4"/>
  <c r="F64" i="4"/>
  <c r="G64" i="4"/>
  <c r="I64" i="4"/>
  <c r="K64" i="4"/>
  <c r="L64" i="4"/>
  <c r="O64" i="4"/>
  <c r="P64" i="4"/>
  <c r="Q64" i="4"/>
  <c r="R64" i="4"/>
  <c r="S64" i="4"/>
  <c r="T64" i="4"/>
  <c r="U64" i="4"/>
  <c r="C65" i="4"/>
  <c r="F65" i="4"/>
  <c r="G65" i="4"/>
  <c r="I65" i="4"/>
  <c r="K65" i="4"/>
  <c r="L65" i="4"/>
  <c r="O65" i="4"/>
  <c r="P65" i="4"/>
  <c r="Q65" i="4"/>
  <c r="R65" i="4"/>
  <c r="S65" i="4"/>
  <c r="T65" i="4"/>
  <c r="U65" i="4"/>
  <c r="C66" i="4"/>
  <c r="F66" i="4"/>
  <c r="G66" i="4"/>
  <c r="I66" i="4"/>
  <c r="K66" i="4"/>
  <c r="L66" i="4"/>
  <c r="O66" i="4"/>
  <c r="P66" i="4"/>
  <c r="Q66" i="4"/>
  <c r="R66" i="4"/>
  <c r="S66" i="4"/>
  <c r="T66" i="4"/>
  <c r="U66" i="4"/>
  <c r="C67" i="4"/>
  <c r="F67" i="4"/>
  <c r="G67" i="4"/>
  <c r="I67" i="4"/>
  <c r="K67" i="4"/>
  <c r="L67" i="4"/>
  <c r="O67" i="4"/>
  <c r="P67" i="4"/>
  <c r="Q67" i="4"/>
  <c r="R67" i="4"/>
  <c r="S67" i="4"/>
  <c r="T67" i="4"/>
  <c r="U67" i="4"/>
  <c r="C68" i="4"/>
  <c r="F68" i="4"/>
  <c r="G68" i="4"/>
  <c r="I68" i="4"/>
  <c r="K68" i="4"/>
  <c r="L68" i="4"/>
  <c r="O68" i="4"/>
  <c r="P68" i="4"/>
  <c r="Q68" i="4"/>
  <c r="R68" i="4"/>
  <c r="S68" i="4"/>
  <c r="T68" i="4"/>
  <c r="U68" i="4"/>
  <c r="C69" i="4"/>
  <c r="F69" i="4"/>
  <c r="G69" i="4"/>
  <c r="I69" i="4"/>
  <c r="K69" i="4"/>
  <c r="L69" i="4"/>
  <c r="O69" i="4"/>
  <c r="P69" i="4"/>
  <c r="Q69" i="4"/>
  <c r="R69" i="4"/>
  <c r="S69" i="4"/>
  <c r="T69" i="4"/>
  <c r="U69" i="4"/>
  <c r="C70" i="4"/>
  <c r="F70" i="4"/>
  <c r="G70" i="4"/>
  <c r="I70" i="4"/>
  <c r="K70" i="4"/>
  <c r="L70" i="4"/>
  <c r="O70" i="4"/>
  <c r="P70" i="4"/>
  <c r="Q70" i="4"/>
  <c r="R70" i="4"/>
  <c r="S70" i="4"/>
  <c r="T70" i="4"/>
  <c r="U70" i="4"/>
  <c r="C71" i="4"/>
  <c r="F71" i="4"/>
  <c r="G71" i="4"/>
  <c r="I71" i="4"/>
  <c r="K71" i="4"/>
  <c r="L71" i="4"/>
  <c r="O71" i="4"/>
  <c r="P71" i="4"/>
  <c r="Q71" i="4"/>
  <c r="R71" i="4"/>
  <c r="S71" i="4"/>
  <c r="T71" i="4"/>
  <c r="U71" i="4"/>
  <c r="C72" i="4"/>
  <c r="F72" i="4"/>
  <c r="G72" i="4"/>
  <c r="I72" i="4"/>
  <c r="K72" i="4"/>
  <c r="L72" i="4"/>
  <c r="O72" i="4"/>
  <c r="P72" i="4"/>
  <c r="Q72" i="4"/>
  <c r="R72" i="4"/>
  <c r="S72" i="4"/>
  <c r="T72" i="4"/>
  <c r="U72" i="4"/>
  <c r="C73" i="4"/>
  <c r="F73" i="4"/>
  <c r="G73" i="4"/>
  <c r="I73" i="4"/>
  <c r="K73" i="4"/>
  <c r="L73" i="4"/>
  <c r="O73" i="4"/>
  <c r="P73" i="4"/>
  <c r="Q73" i="4"/>
  <c r="R73" i="4"/>
  <c r="S73" i="4"/>
  <c r="T73" i="4"/>
  <c r="U73" i="4"/>
  <c r="C74" i="4"/>
  <c r="F74" i="4"/>
  <c r="G74" i="4"/>
  <c r="I74" i="4"/>
  <c r="K74" i="4"/>
  <c r="L74" i="4"/>
  <c r="O74" i="4"/>
  <c r="P74" i="4"/>
  <c r="Q74" i="4"/>
  <c r="R74" i="4"/>
  <c r="S74" i="4"/>
  <c r="T74" i="4"/>
  <c r="U74" i="4"/>
  <c r="C75" i="4"/>
  <c r="F75" i="4"/>
  <c r="G75" i="4"/>
  <c r="I75" i="4"/>
  <c r="K75" i="4"/>
  <c r="L75" i="4"/>
  <c r="O75" i="4"/>
  <c r="P75" i="4"/>
  <c r="Q75" i="4"/>
  <c r="R75" i="4"/>
  <c r="S75" i="4"/>
  <c r="T75" i="4"/>
  <c r="U75" i="4"/>
  <c r="C76" i="4"/>
  <c r="F76" i="4"/>
  <c r="G76" i="4"/>
  <c r="I76" i="4"/>
  <c r="K76" i="4"/>
  <c r="L76" i="4"/>
  <c r="O76" i="4"/>
  <c r="P76" i="4"/>
  <c r="Q76" i="4"/>
  <c r="R76" i="4"/>
  <c r="S76" i="4"/>
  <c r="T76" i="4"/>
  <c r="U76" i="4"/>
  <c r="C77" i="4"/>
  <c r="F77" i="4"/>
  <c r="G77" i="4"/>
  <c r="I77" i="4"/>
  <c r="K77" i="4"/>
  <c r="L77" i="4"/>
  <c r="O77" i="4"/>
  <c r="P77" i="4"/>
  <c r="Q77" i="4"/>
  <c r="R77" i="4"/>
  <c r="S77" i="4"/>
  <c r="T77" i="4"/>
  <c r="U77" i="4"/>
  <c r="C78" i="4"/>
  <c r="F78" i="4"/>
  <c r="G78" i="4"/>
  <c r="I78" i="4"/>
  <c r="K78" i="4"/>
  <c r="L78" i="4"/>
  <c r="O78" i="4"/>
  <c r="P78" i="4"/>
  <c r="Q78" i="4"/>
  <c r="R78" i="4"/>
  <c r="S78" i="4"/>
  <c r="T78" i="4"/>
  <c r="U78" i="4"/>
  <c r="C79" i="4"/>
  <c r="F79" i="4"/>
  <c r="G79" i="4"/>
  <c r="I79" i="4"/>
  <c r="K79" i="4"/>
  <c r="L79" i="4"/>
  <c r="O79" i="4"/>
  <c r="P79" i="4"/>
  <c r="Q79" i="4"/>
  <c r="R79" i="4"/>
  <c r="S79" i="4"/>
  <c r="T79" i="4"/>
  <c r="U79" i="4"/>
  <c r="C80" i="4"/>
  <c r="F80" i="4"/>
  <c r="G80" i="4"/>
  <c r="I80" i="4"/>
  <c r="K80" i="4"/>
  <c r="L80" i="4"/>
  <c r="O80" i="4"/>
  <c r="P80" i="4"/>
  <c r="Q80" i="4"/>
  <c r="R80" i="4"/>
  <c r="S80" i="4"/>
  <c r="T80" i="4"/>
  <c r="U80" i="4"/>
  <c r="C81" i="4"/>
  <c r="F81" i="4"/>
  <c r="G81" i="4"/>
  <c r="I81" i="4"/>
  <c r="K81" i="4"/>
  <c r="L81" i="4"/>
  <c r="O81" i="4"/>
  <c r="P81" i="4"/>
  <c r="Q81" i="4"/>
  <c r="R81" i="4"/>
  <c r="S81" i="4"/>
  <c r="T81" i="4"/>
  <c r="U81" i="4"/>
  <c r="C82" i="4"/>
  <c r="F82" i="4"/>
  <c r="G82" i="4"/>
  <c r="I82" i="4"/>
  <c r="K82" i="4"/>
  <c r="L82" i="4"/>
  <c r="O82" i="4"/>
  <c r="P82" i="4"/>
  <c r="Q82" i="4"/>
  <c r="R82" i="4"/>
  <c r="S82" i="4"/>
  <c r="T82" i="4"/>
  <c r="U82" i="4"/>
  <c r="C83" i="4"/>
  <c r="F83" i="4"/>
  <c r="G83" i="4"/>
  <c r="I83" i="4"/>
  <c r="K83" i="4"/>
  <c r="L83" i="4"/>
  <c r="O83" i="4"/>
  <c r="P83" i="4"/>
  <c r="Q83" i="4"/>
  <c r="R83" i="4"/>
  <c r="S83" i="4"/>
  <c r="T83" i="4"/>
  <c r="U83" i="4"/>
  <c r="C84" i="4"/>
  <c r="F84" i="4"/>
  <c r="G84" i="4"/>
  <c r="I84" i="4"/>
  <c r="K84" i="4"/>
  <c r="L84" i="4"/>
  <c r="O84" i="4"/>
  <c r="P84" i="4"/>
  <c r="Q84" i="4"/>
  <c r="R84" i="4"/>
  <c r="S84" i="4"/>
  <c r="T84" i="4"/>
  <c r="U84" i="4"/>
  <c r="C85" i="4"/>
  <c r="F85" i="4"/>
  <c r="G85" i="4"/>
  <c r="I85" i="4"/>
  <c r="K85" i="4"/>
  <c r="L85" i="4"/>
  <c r="O85" i="4"/>
  <c r="P85" i="4"/>
  <c r="Q85" i="4"/>
  <c r="R85" i="4"/>
  <c r="S85" i="4"/>
  <c r="T85" i="4"/>
  <c r="U85" i="4"/>
  <c r="C86" i="4"/>
  <c r="F86" i="4"/>
  <c r="G86" i="4"/>
  <c r="I86" i="4"/>
  <c r="K86" i="4"/>
  <c r="L86" i="4"/>
  <c r="O86" i="4"/>
  <c r="P86" i="4"/>
  <c r="Q86" i="4"/>
  <c r="R86" i="4"/>
  <c r="S86" i="4"/>
  <c r="T86" i="4"/>
  <c r="U86" i="4"/>
  <c r="C87" i="4"/>
  <c r="F87" i="4"/>
  <c r="G87" i="4"/>
  <c r="I87" i="4"/>
  <c r="K87" i="4"/>
  <c r="L87" i="4"/>
  <c r="O87" i="4"/>
  <c r="P87" i="4"/>
  <c r="Q87" i="4"/>
  <c r="R87" i="4"/>
  <c r="S87" i="4"/>
  <c r="T87" i="4"/>
  <c r="U87" i="4"/>
  <c r="C88" i="4"/>
  <c r="F88" i="4"/>
  <c r="G88" i="4"/>
  <c r="I88" i="4"/>
  <c r="K88" i="4"/>
  <c r="L88" i="4"/>
  <c r="O88" i="4"/>
  <c r="P88" i="4"/>
  <c r="Q88" i="4"/>
  <c r="R88" i="4"/>
  <c r="S88" i="4"/>
  <c r="T88" i="4"/>
  <c r="U88" i="4"/>
  <c r="C89" i="4"/>
  <c r="F89" i="4"/>
  <c r="G89" i="4"/>
  <c r="I89" i="4"/>
  <c r="K89" i="4"/>
  <c r="L89" i="4"/>
  <c r="O89" i="4"/>
  <c r="P89" i="4"/>
  <c r="Q89" i="4"/>
  <c r="R89" i="4"/>
  <c r="S89" i="4"/>
  <c r="T89" i="4"/>
  <c r="U89" i="4"/>
  <c r="C90" i="4"/>
  <c r="F90" i="4"/>
  <c r="G90" i="4"/>
  <c r="I90" i="4"/>
  <c r="K90" i="4"/>
  <c r="L90" i="4"/>
  <c r="O90" i="4"/>
  <c r="P90" i="4"/>
  <c r="Q90" i="4"/>
  <c r="R90" i="4"/>
  <c r="S90" i="4"/>
  <c r="T90" i="4"/>
  <c r="U90" i="4"/>
  <c r="C91" i="4"/>
  <c r="F91" i="4"/>
  <c r="G91" i="4"/>
  <c r="I91" i="4"/>
  <c r="K91" i="4"/>
  <c r="L91" i="4"/>
  <c r="O91" i="4"/>
  <c r="P91" i="4"/>
  <c r="Q91" i="4"/>
  <c r="R91" i="4"/>
  <c r="S91" i="4"/>
  <c r="T91" i="4"/>
  <c r="U91" i="4"/>
  <c r="C92" i="4"/>
  <c r="F92" i="4"/>
  <c r="G92" i="4"/>
  <c r="I92" i="4"/>
  <c r="K92" i="4"/>
  <c r="L92" i="4"/>
  <c r="O92" i="4"/>
  <c r="P92" i="4"/>
  <c r="Q92" i="4"/>
  <c r="R92" i="4"/>
  <c r="S92" i="4"/>
  <c r="T92" i="4"/>
  <c r="U92" i="4"/>
  <c r="C93" i="4"/>
  <c r="F93" i="4"/>
  <c r="G93" i="4"/>
  <c r="I93" i="4"/>
  <c r="K93" i="4"/>
  <c r="L93" i="4"/>
  <c r="O93" i="4"/>
  <c r="P93" i="4"/>
  <c r="Q93" i="4"/>
  <c r="R93" i="4"/>
  <c r="S93" i="4"/>
  <c r="T93" i="4"/>
  <c r="U93" i="4"/>
  <c r="C94" i="4"/>
  <c r="F94" i="4"/>
  <c r="G94" i="4"/>
  <c r="I94" i="4"/>
  <c r="K94" i="4"/>
  <c r="L94" i="4"/>
  <c r="O94" i="4"/>
  <c r="P94" i="4"/>
  <c r="Q94" i="4"/>
  <c r="R94" i="4"/>
  <c r="S94" i="4"/>
  <c r="T94" i="4"/>
  <c r="U94" i="4"/>
  <c r="C95" i="4"/>
  <c r="F95" i="4"/>
  <c r="G95" i="4"/>
  <c r="I95" i="4"/>
  <c r="K95" i="4"/>
  <c r="L95" i="4"/>
  <c r="O95" i="4"/>
  <c r="P95" i="4"/>
  <c r="Q95" i="4"/>
  <c r="R95" i="4"/>
  <c r="S95" i="4"/>
  <c r="T95" i="4"/>
  <c r="U95" i="4"/>
  <c r="C96" i="4"/>
  <c r="F96" i="4"/>
  <c r="G96" i="4"/>
  <c r="I96" i="4"/>
  <c r="K96" i="4"/>
  <c r="L96" i="4"/>
  <c r="O96" i="4"/>
  <c r="P96" i="4"/>
  <c r="Q96" i="4"/>
  <c r="R96" i="4"/>
  <c r="S96" i="4"/>
  <c r="T96" i="4"/>
  <c r="U96" i="4"/>
  <c r="C97" i="4"/>
  <c r="F97" i="4"/>
  <c r="G97" i="4"/>
  <c r="I97" i="4"/>
  <c r="K97" i="4"/>
  <c r="L97" i="4"/>
  <c r="O97" i="4"/>
  <c r="P97" i="4"/>
  <c r="Q97" i="4"/>
  <c r="R97" i="4"/>
  <c r="S97" i="4"/>
  <c r="T97" i="4"/>
  <c r="U97" i="4"/>
  <c r="C98" i="4"/>
  <c r="F98" i="4"/>
  <c r="G98" i="4"/>
  <c r="I98" i="4"/>
  <c r="K98" i="4"/>
  <c r="L98" i="4"/>
  <c r="O98" i="4"/>
  <c r="P98" i="4"/>
  <c r="Q98" i="4"/>
  <c r="R98" i="4"/>
  <c r="S98" i="4"/>
  <c r="T98" i="4"/>
  <c r="U98" i="4"/>
  <c r="C99" i="4"/>
  <c r="F99" i="4"/>
  <c r="G99" i="4"/>
  <c r="I99" i="4"/>
  <c r="K99" i="4"/>
  <c r="L99" i="4"/>
  <c r="O99" i="4"/>
  <c r="P99" i="4"/>
  <c r="Q99" i="4"/>
  <c r="R99" i="4"/>
  <c r="S99" i="4"/>
  <c r="T99" i="4"/>
  <c r="U99" i="4"/>
  <c r="C100" i="4"/>
  <c r="F100" i="4"/>
  <c r="G100" i="4"/>
  <c r="I100" i="4"/>
  <c r="K100" i="4"/>
  <c r="L100" i="4"/>
  <c r="O100" i="4"/>
  <c r="P100" i="4"/>
  <c r="Q100" i="4"/>
  <c r="R100" i="4"/>
  <c r="S100" i="4"/>
  <c r="T100" i="4"/>
  <c r="U100" i="4"/>
  <c r="C101" i="4"/>
  <c r="F101" i="4"/>
  <c r="G101" i="4"/>
  <c r="I101" i="4"/>
  <c r="K101" i="4"/>
  <c r="L101" i="4"/>
  <c r="O101" i="4"/>
  <c r="P101" i="4"/>
  <c r="Q101" i="4"/>
  <c r="R101" i="4"/>
  <c r="S101" i="4"/>
  <c r="T101" i="4"/>
  <c r="U101" i="4"/>
  <c r="C102" i="4"/>
  <c r="F102" i="4"/>
  <c r="G102" i="4"/>
  <c r="I102" i="4"/>
  <c r="K102" i="4"/>
  <c r="L102" i="4"/>
  <c r="O102" i="4"/>
  <c r="P102" i="4"/>
  <c r="Q102" i="4"/>
  <c r="R102" i="4"/>
  <c r="S102" i="4"/>
  <c r="T102" i="4"/>
  <c r="U102" i="4"/>
  <c r="C103" i="4"/>
  <c r="F103" i="4"/>
  <c r="G103" i="4"/>
  <c r="I103" i="4"/>
  <c r="K103" i="4"/>
  <c r="L103" i="4"/>
  <c r="O103" i="4"/>
  <c r="P103" i="4"/>
  <c r="Q103" i="4"/>
  <c r="R103" i="4"/>
  <c r="S103" i="4"/>
  <c r="T103" i="4"/>
  <c r="U103" i="4"/>
  <c r="C104" i="4"/>
  <c r="F104" i="4"/>
  <c r="G104" i="4"/>
  <c r="I104" i="4"/>
  <c r="K104" i="4"/>
  <c r="L104" i="4"/>
  <c r="O104" i="4"/>
  <c r="P104" i="4"/>
  <c r="Q104" i="4"/>
  <c r="R104" i="4"/>
  <c r="S104" i="4"/>
  <c r="T104" i="4"/>
  <c r="U104" i="4"/>
  <c r="C105" i="4"/>
  <c r="F105" i="4"/>
  <c r="G105" i="4"/>
  <c r="I105" i="4"/>
  <c r="K105" i="4"/>
  <c r="L105" i="4"/>
  <c r="O105" i="4"/>
  <c r="P105" i="4"/>
  <c r="Q105" i="4"/>
  <c r="R105" i="4"/>
  <c r="S105" i="4"/>
  <c r="T105" i="4"/>
  <c r="U105" i="4"/>
  <c r="C106" i="4"/>
  <c r="F106" i="4"/>
  <c r="G106" i="4"/>
  <c r="I106" i="4"/>
  <c r="K106" i="4"/>
  <c r="L106" i="4"/>
  <c r="O106" i="4"/>
  <c r="P106" i="4"/>
  <c r="Q106" i="4"/>
  <c r="R106" i="4"/>
  <c r="S106" i="4"/>
  <c r="T106" i="4"/>
  <c r="U106" i="4"/>
  <c r="C107" i="4"/>
  <c r="F107" i="4"/>
  <c r="G107" i="4"/>
  <c r="I107" i="4"/>
  <c r="K107" i="4"/>
  <c r="L107" i="4"/>
  <c r="O107" i="4"/>
  <c r="P107" i="4"/>
  <c r="Q107" i="4"/>
  <c r="R107" i="4"/>
  <c r="S107" i="4"/>
  <c r="T107" i="4"/>
  <c r="U107" i="4"/>
  <c r="C108" i="4"/>
  <c r="F108" i="4"/>
  <c r="G108" i="4"/>
  <c r="I108" i="4"/>
  <c r="K108" i="4"/>
  <c r="L108" i="4"/>
  <c r="O108" i="4"/>
  <c r="P108" i="4"/>
  <c r="Q108" i="4"/>
  <c r="R108" i="4"/>
  <c r="S108" i="4"/>
  <c r="T108" i="4"/>
  <c r="U108" i="4"/>
  <c r="C109" i="4"/>
  <c r="F109" i="4"/>
  <c r="G109" i="4"/>
  <c r="I109" i="4"/>
  <c r="K109" i="4"/>
  <c r="L109" i="4"/>
  <c r="O109" i="4"/>
  <c r="P109" i="4"/>
  <c r="Q109" i="4"/>
  <c r="R109" i="4"/>
  <c r="S109" i="4"/>
  <c r="T109" i="4"/>
  <c r="U109" i="4"/>
  <c r="C110" i="4"/>
  <c r="F110" i="4"/>
  <c r="G110" i="4"/>
  <c r="I110" i="4"/>
  <c r="K110" i="4"/>
  <c r="L110" i="4"/>
  <c r="O110" i="4"/>
  <c r="P110" i="4"/>
  <c r="Q110" i="4"/>
  <c r="R110" i="4"/>
  <c r="S110" i="4"/>
  <c r="T110" i="4"/>
  <c r="U110" i="4"/>
  <c r="C111" i="4"/>
  <c r="F111" i="4"/>
  <c r="G111" i="4"/>
  <c r="I111" i="4"/>
  <c r="K111" i="4"/>
  <c r="L111" i="4"/>
  <c r="O111" i="4"/>
  <c r="P111" i="4"/>
  <c r="Q111" i="4"/>
  <c r="R111" i="4"/>
  <c r="S111" i="4"/>
  <c r="T111" i="4"/>
  <c r="U111" i="4"/>
  <c r="C112" i="4"/>
  <c r="F112" i="4"/>
  <c r="G112" i="4"/>
  <c r="I112" i="4"/>
  <c r="K112" i="4"/>
  <c r="L112" i="4"/>
  <c r="O112" i="4"/>
  <c r="P112" i="4"/>
  <c r="Q112" i="4"/>
  <c r="R112" i="4"/>
  <c r="S112" i="4"/>
  <c r="T112" i="4"/>
  <c r="U112" i="4"/>
  <c r="C113" i="4"/>
  <c r="F113" i="4"/>
  <c r="G113" i="4"/>
  <c r="I113" i="4"/>
  <c r="K113" i="4"/>
  <c r="L113" i="4"/>
  <c r="O113" i="4"/>
  <c r="P113" i="4"/>
  <c r="Q113" i="4"/>
  <c r="R113" i="4"/>
  <c r="S113" i="4"/>
  <c r="T113" i="4"/>
  <c r="U113" i="4"/>
  <c r="C114" i="4"/>
  <c r="F114" i="4"/>
  <c r="G114" i="4"/>
  <c r="I114" i="4"/>
  <c r="K114" i="4"/>
  <c r="L114" i="4"/>
  <c r="O114" i="4"/>
  <c r="P114" i="4"/>
  <c r="Q114" i="4"/>
  <c r="R114" i="4"/>
  <c r="S114" i="4"/>
  <c r="T114" i="4"/>
  <c r="U114" i="4"/>
  <c r="C115" i="4"/>
  <c r="F115" i="4"/>
  <c r="G115" i="4"/>
  <c r="I115" i="4"/>
  <c r="K115" i="4"/>
  <c r="L115" i="4"/>
  <c r="O115" i="4"/>
  <c r="P115" i="4"/>
  <c r="Q115" i="4"/>
  <c r="R115" i="4"/>
  <c r="S115" i="4"/>
  <c r="T115" i="4"/>
  <c r="U115" i="4"/>
  <c r="C116" i="4"/>
  <c r="F116" i="4"/>
  <c r="G116" i="4"/>
  <c r="I116" i="4"/>
  <c r="K116" i="4"/>
  <c r="L116" i="4"/>
  <c r="O116" i="4"/>
  <c r="P116" i="4"/>
  <c r="Q116" i="4"/>
  <c r="R116" i="4"/>
  <c r="S116" i="4"/>
  <c r="T116" i="4"/>
  <c r="U116" i="4"/>
  <c r="C117" i="4"/>
  <c r="F117" i="4"/>
  <c r="G117" i="4"/>
  <c r="I117" i="4"/>
  <c r="K117" i="4"/>
  <c r="L117" i="4"/>
  <c r="O117" i="4"/>
  <c r="P117" i="4"/>
  <c r="Q117" i="4"/>
  <c r="R117" i="4"/>
  <c r="S117" i="4"/>
  <c r="T117" i="4"/>
  <c r="U117" i="4"/>
  <c r="C118" i="4"/>
  <c r="F118" i="4"/>
  <c r="G118" i="4"/>
  <c r="I118" i="4"/>
  <c r="K118" i="4"/>
  <c r="L118" i="4"/>
  <c r="O118" i="4"/>
  <c r="P118" i="4"/>
  <c r="Q118" i="4"/>
  <c r="R118" i="4"/>
  <c r="S118" i="4"/>
  <c r="T118" i="4"/>
  <c r="U118" i="4"/>
  <c r="C119" i="4"/>
  <c r="F119" i="4"/>
  <c r="G119" i="4"/>
  <c r="I119" i="4"/>
  <c r="K119" i="4"/>
  <c r="L119" i="4"/>
  <c r="O119" i="4"/>
  <c r="P119" i="4"/>
  <c r="Q119" i="4"/>
  <c r="R119" i="4"/>
  <c r="S119" i="4"/>
  <c r="T119" i="4"/>
  <c r="U119" i="4"/>
  <c r="C120" i="4"/>
  <c r="F120" i="4"/>
  <c r="G120" i="4"/>
  <c r="I120" i="4"/>
  <c r="K120" i="4"/>
  <c r="L120" i="4"/>
  <c r="O120" i="4"/>
  <c r="P120" i="4"/>
  <c r="Q120" i="4"/>
  <c r="R120" i="4"/>
  <c r="S120" i="4"/>
  <c r="T120" i="4"/>
  <c r="U120" i="4"/>
  <c r="C121" i="4"/>
  <c r="F121" i="4"/>
  <c r="G121" i="4"/>
  <c r="I121" i="4"/>
  <c r="K121" i="4"/>
  <c r="L121" i="4"/>
  <c r="O121" i="4"/>
  <c r="P121" i="4"/>
  <c r="Q121" i="4"/>
  <c r="R121" i="4"/>
  <c r="S121" i="4"/>
  <c r="T121" i="4"/>
  <c r="U121" i="4"/>
  <c r="C122" i="4"/>
  <c r="F122" i="4"/>
  <c r="G122" i="4"/>
  <c r="I122" i="4"/>
  <c r="K122" i="4"/>
  <c r="L122" i="4"/>
  <c r="O122" i="4"/>
  <c r="P122" i="4"/>
  <c r="Q122" i="4"/>
  <c r="R122" i="4"/>
  <c r="S122" i="4"/>
  <c r="T122" i="4"/>
  <c r="U122" i="4"/>
  <c r="C123" i="4"/>
  <c r="F123" i="4"/>
  <c r="G123" i="4"/>
  <c r="I123" i="4"/>
  <c r="K123" i="4"/>
  <c r="L123" i="4"/>
  <c r="O123" i="4"/>
  <c r="P123" i="4"/>
  <c r="Q123" i="4"/>
  <c r="R123" i="4"/>
  <c r="S123" i="4"/>
  <c r="T123" i="4"/>
  <c r="U123" i="4"/>
  <c r="C124" i="4"/>
  <c r="F124" i="4"/>
  <c r="G124" i="4"/>
  <c r="I124" i="4"/>
  <c r="K124" i="4"/>
  <c r="L124" i="4"/>
  <c r="O124" i="4"/>
  <c r="P124" i="4"/>
  <c r="Q124" i="4"/>
  <c r="R124" i="4"/>
  <c r="S124" i="4"/>
  <c r="T124" i="4"/>
  <c r="U124" i="4"/>
  <c r="C125" i="4"/>
  <c r="F125" i="4"/>
  <c r="G125" i="4"/>
  <c r="I125" i="4"/>
  <c r="K125" i="4"/>
  <c r="L125" i="4"/>
  <c r="O125" i="4"/>
  <c r="P125" i="4"/>
  <c r="Q125" i="4"/>
  <c r="R125" i="4"/>
  <c r="S125" i="4"/>
  <c r="T125" i="4"/>
  <c r="U125" i="4"/>
  <c r="C126" i="4"/>
  <c r="F126" i="4"/>
  <c r="G126" i="4"/>
  <c r="I126" i="4"/>
  <c r="K126" i="4"/>
  <c r="L126" i="4"/>
  <c r="O126" i="4"/>
  <c r="P126" i="4"/>
  <c r="Q126" i="4"/>
  <c r="R126" i="4"/>
  <c r="S126" i="4"/>
  <c r="T126" i="4"/>
  <c r="U126" i="4"/>
  <c r="C127" i="4"/>
  <c r="F127" i="4"/>
  <c r="G127" i="4"/>
  <c r="I127" i="4"/>
  <c r="K127" i="4"/>
  <c r="L127" i="4"/>
  <c r="O127" i="4"/>
  <c r="P127" i="4"/>
  <c r="Q127" i="4"/>
  <c r="R127" i="4"/>
  <c r="S127" i="4"/>
  <c r="T127" i="4"/>
  <c r="U127" i="4"/>
  <c r="C128" i="4"/>
  <c r="F128" i="4"/>
  <c r="G128" i="4"/>
  <c r="I128" i="4"/>
  <c r="K128" i="4"/>
  <c r="L128" i="4"/>
  <c r="O128" i="4"/>
  <c r="P128" i="4"/>
  <c r="Q128" i="4"/>
  <c r="R128" i="4"/>
  <c r="S128" i="4"/>
  <c r="T128" i="4"/>
  <c r="U128" i="4"/>
  <c r="C129" i="4"/>
  <c r="F129" i="4"/>
  <c r="G129" i="4"/>
  <c r="I129" i="4"/>
  <c r="K129" i="4"/>
  <c r="L129" i="4"/>
  <c r="O129" i="4"/>
  <c r="P129" i="4"/>
  <c r="Q129" i="4"/>
  <c r="R129" i="4"/>
  <c r="S129" i="4"/>
  <c r="T129" i="4"/>
  <c r="U129" i="4"/>
  <c r="C130" i="4"/>
  <c r="F130" i="4"/>
  <c r="G130" i="4"/>
  <c r="I130" i="4"/>
  <c r="K130" i="4"/>
  <c r="L130" i="4"/>
  <c r="O130" i="4"/>
  <c r="P130" i="4"/>
  <c r="Q130" i="4"/>
  <c r="R130" i="4"/>
  <c r="S130" i="4"/>
  <c r="T130" i="4"/>
  <c r="U130" i="4"/>
  <c r="C131" i="4"/>
  <c r="F131" i="4"/>
  <c r="G131" i="4"/>
  <c r="I131" i="4"/>
  <c r="K131" i="4"/>
  <c r="L131" i="4"/>
  <c r="O131" i="4"/>
  <c r="P131" i="4"/>
  <c r="Q131" i="4"/>
  <c r="R131" i="4"/>
  <c r="S131" i="4"/>
  <c r="T131" i="4"/>
  <c r="U131" i="4"/>
  <c r="C132" i="4"/>
  <c r="F132" i="4"/>
  <c r="G132" i="4"/>
  <c r="I132" i="4"/>
  <c r="K132" i="4"/>
  <c r="L132" i="4"/>
  <c r="O132" i="4"/>
  <c r="P132" i="4"/>
  <c r="Q132" i="4"/>
  <c r="R132" i="4"/>
  <c r="S132" i="4"/>
  <c r="T132" i="4"/>
  <c r="U132" i="4"/>
  <c r="C133" i="4"/>
  <c r="F133" i="4"/>
  <c r="G133" i="4"/>
  <c r="I133" i="4"/>
  <c r="K133" i="4"/>
  <c r="L133" i="4"/>
  <c r="O133" i="4"/>
  <c r="P133" i="4"/>
  <c r="Q133" i="4"/>
  <c r="R133" i="4"/>
  <c r="S133" i="4"/>
  <c r="T133" i="4"/>
  <c r="U133" i="4"/>
  <c r="C134" i="4"/>
  <c r="F134" i="4"/>
  <c r="G134" i="4"/>
  <c r="I134" i="4"/>
  <c r="K134" i="4"/>
  <c r="L134" i="4"/>
  <c r="O134" i="4"/>
  <c r="P134" i="4"/>
  <c r="Q134" i="4"/>
  <c r="R134" i="4"/>
  <c r="S134" i="4"/>
  <c r="T134" i="4"/>
  <c r="U134" i="4"/>
  <c r="C135" i="4"/>
  <c r="F135" i="4"/>
  <c r="G135" i="4"/>
  <c r="I135" i="4"/>
  <c r="K135" i="4"/>
  <c r="L135" i="4"/>
  <c r="O135" i="4"/>
  <c r="P135" i="4"/>
  <c r="Q135" i="4"/>
  <c r="R135" i="4"/>
  <c r="S135" i="4"/>
  <c r="T135" i="4"/>
  <c r="U135" i="4"/>
  <c r="C136" i="4"/>
  <c r="F136" i="4"/>
  <c r="G136" i="4"/>
  <c r="I136" i="4"/>
  <c r="K136" i="4"/>
  <c r="L136" i="4"/>
  <c r="O136" i="4"/>
  <c r="P136" i="4"/>
  <c r="Q136" i="4"/>
  <c r="R136" i="4"/>
  <c r="S136" i="4"/>
  <c r="T136" i="4"/>
  <c r="U136" i="4"/>
  <c r="C137" i="4"/>
  <c r="F137" i="4"/>
  <c r="G137" i="4"/>
  <c r="I137" i="4"/>
  <c r="K137" i="4"/>
  <c r="L137" i="4"/>
  <c r="O137" i="4"/>
  <c r="P137" i="4"/>
  <c r="Q137" i="4"/>
  <c r="R137" i="4"/>
  <c r="S137" i="4"/>
  <c r="T137" i="4"/>
  <c r="U137" i="4"/>
  <c r="C138" i="4"/>
  <c r="F138" i="4"/>
  <c r="G138" i="4"/>
  <c r="I138" i="4"/>
  <c r="K138" i="4"/>
  <c r="L138" i="4"/>
  <c r="O138" i="4"/>
  <c r="P138" i="4"/>
  <c r="Q138" i="4"/>
  <c r="R138" i="4"/>
  <c r="S138" i="4"/>
  <c r="T138" i="4"/>
  <c r="U138" i="4"/>
  <c r="C139" i="4"/>
  <c r="F139" i="4"/>
  <c r="G139" i="4"/>
  <c r="I139" i="4"/>
  <c r="K139" i="4"/>
  <c r="L139" i="4"/>
  <c r="O139" i="4"/>
  <c r="P139" i="4"/>
  <c r="Q139" i="4"/>
  <c r="R139" i="4"/>
  <c r="S139" i="4"/>
  <c r="T139" i="4"/>
  <c r="U139" i="4"/>
  <c r="C140" i="4"/>
  <c r="F140" i="4"/>
  <c r="G140" i="4"/>
  <c r="I140" i="4"/>
  <c r="K140" i="4"/>
  <c r="L140" i="4"/>
  <c r="O140" i="4"/>
  <c r="P140" i="4"/>
  <c r="Q140" i="4"/>
  <c r="R140" i="4"/>
  <c r="S140" i="4"/>
  <c r="T140" i="4"/>
  <c r="U140" i="4"/>
  <c r="C141" i="4"/>
  <c r="F141" i="4"/>
  <c r="G141" i="4"/>
  <c r="I141" i="4"/>
  <c r="K141" i="4"/>
  <c r="L141" i="4"/>
  <c r="O141" i="4"/>
  <c r="P141" i="4"/>
  <c r="Q141" i="4"/>
  <c r="R141" i="4"/>
  <c r="S141" i="4"/>
  <c r="T141" i="4"/>
  <c r="U141" i="4"/>
  <c r="C142" i="4"/>
  <c r="F142" i="4"/>
  <c r="G142" i="4"/>
  <c r="I142" i="4"/>
  <c r="K142" i="4"/>
  <c r="L142" i="4"/>
  <c r="O142" i="4"/>
  <c r="P142" i="4"/>
  <c r="Q142" i="4"/>
  <c r="R142" i="4"/>
  <c r="S142" i="4"/>
  <c r="T142" i="4"/>
  <c r="U142" i="4"/>
  <c r="C143" i="4"/>
  <c r="F143" i="4"/>
  <c r="G143" i="4"/>
  <c r="I143" i="4"/>
  <c r="K143" i="4"/>
  <c r="L143" i="4"/>
  <c r="O143" i="4"/>
  <c r="P143" i="4"/>
  <c r="Q143" i="4"/>
  <c r="R143" i="4"/>
  <c r="S143" i="4"/>
  <c r="T143" i="4"/>
  <c r="U143" i="4"/>
  <c r="C144" i="4"/>
  <c r="F144" i="4"/>
  <c r="G144" i="4"/>
  <c r="I144" i="4"/>
  <c r="K144" i="4"/>
  <c r="L144" i="4"/>
  <c r="O144" i="4"/>
  <c r="P144" i="4"/>
  <c r="Q144" i="4"/>
  <c r="R144" i="4"/>
  <c r="S144" i="4"/>
  <c r="T144" i="4"/>
  <c r="U144" i="4"/>
  <c r="C145" i="4"/>
  <c r="F145" i="4"/>
  <c r="G145" i="4"/>
  <c r="I145" i="4"/>
  <c r="K145" i="4"/>
  <c r="L145" i="4"/>
  <c r="O145" i="4"/>
  <c r="P145" i="4"/>
  <c r="Q145" i="4"/>
  <c r="R145" i="4"/>
  <c r="S145" i="4"/>
  <c r="T145" i="4"/>
  <c r="U145" i="4"/>
  <c r="C146" i="4"/>
  <c r="F146" i="4"/>
  <c r="G146" i="4"/>
  <c r="I146" i="4"/>
  <c r="K146" i="4"/>
  <c r="L146" i="4"/>
  <c r="O146" i="4"/>
  <c r="P146" i="4"/>
  <c r="Q146" i="4"/>
  <c r="R146" i="4"/>
  <c r="S146" i="4"/>
  <c r="T146" i="4"/>
  <c r="U146" i="4"/>
  <c r="C147" i="4"/>
  <c r="F147" i="4"/>
  <c r="G147" i="4"/>
  <c r="I147" i="4"/>
  <c r="K147" i="4"/>
  <c r="L147" i="4"/>
  <c r="O147" i="4"/>
  <c r="P147" i="4"/>
  <c r="Q147" i="4"/>
  <c r="R147" i="4"/>
  <c r="S147" i="4"/>
  <c r="T147" i="4"/>
  <c r="U147" i="4"/>
  <c r="C148" i="4"/>
  <c r="F148" i="4"/>
  <c r="G148" i="4"/>
  <c r="I148" i="4"/>
  <c r="K148" i="4"/>
  <c r="L148" i="4"/>
  <c r="O148" i="4"/>
  <c r="P148" i="4"/>
  <c r="Q148" i="4"/>
  <c r="R148" i="4"/>
  <c r="S148" i="4"/>
  <c r="T148" i="4"/>
  <c r="U148" i="4"/>
  <c r="C149" i="4"/>
  <c r="F149" i="4"/>
  <c r="G149" i="4"/>
  <c r="I149" i="4"/>
  <c r="K149" i="4"/>
  <c r="L149" i="4"/>
  <c r="O149" i="4"/>
  <c r="P149" i="4"/>
  <c r="Q149" i="4"/>
  <c r="R149" i="4"/>
  <c r="S149" i="4"/>
  <c r="T149" i="4"/>
  <c r="U149" i="4"/>
  <c r="C150" i="4"/>
  <c r="F150" i="4"/>
  <c r="G150" i="4"/>
  <c r="I150" i="4"/>
  <c r="K150" i="4"/>
  <c r="L150" i="4"/>
  <c r="O150" i="4"/>
  <c r="P150" i="4"/>
  <c r="Q150" i="4"/>
  <c r="R150" i="4"/>
  <c r="S150" i="4"/>
  <c r="T150" i="4"/>
  <c r="U150" i="4"/>
  <c r="C151" i="4"/>
  <c r="F151" i="4"/>
  <c r="G151" i="4"/>
  <c r="I151" i="4"/>
  <c r="K151" i="4"/>
  <c r="L151" i="4"/>
  <c r="O151" i="4"/>
  <c r="P151" i="4"/>
  <c r="Q151" i="4"/>
  <c r="R151" i="4"/>
  <c r="S151" i="4"/>
  <c r="T151" i="4"/>
  <c r="U151" i="4"/>
  <c r="C152" i="4"/>
  <c r="F152" i="4"/>
  <c r="G152" i="4"/>
  <c r="I152" i="4"/>
  <c r="K152" i="4"/>
  <c r="L152" i="4"/>
  <c r="O152" i="4"/>
  <c r="P152" i="4"/>
  <c r="Q152" i="4"/>
  <c r="R152" i="4"/>
  <c r="S152" i="4"/>
  <c r="T152" i="4"/>
  <c r="U152" i="4"/>
  <c r="C153" i="4"/>
  <c r="F153" i="4"/>
  <c r="G153" i="4"/>
  <c r="I153" i="4"/>
  <c r="K153" i="4"/>
  <c r="L153" i="4"/>
  <c r="O153" i="4"/>
  <c r="P153" i="4"/>
  <c r="Q153" i="4"/>
  <c r="R153" i="4"/>
  <c r="S153" i="4"/>
  <c r="T153" i="4"/>
  <c r="U153" i="4"/>
  <c r="C154" i="4"/>
  <c r="F154" i="4"/>
  <c r="G154" i="4"/>
  <c r="I154" i="4"/>
  <c r="K154" i="4"/>
  <c r="L154" i="4"/>
  <c r="O154" i="4"/>
  <c r="P154" i="4"/>
  <c r="Q154" i="4"/>
  <c r="R154" i="4"/>
  <c r="S154" i="4"/>
  <c r="T154" i="4"/>
  <c r="U154" i="4"/>
  <c r="C155" i="4"/>
  <c r="F155" i="4"/>
  <c r="G155" i="4"/>
  <c r="I155" i="4"/>
  <c r="K155" i="4"/>
  <c r="L155" i="4"/>
  <c r="O155" i="4"/>
  <c r="P155" i="4"/>
  <c r="Q155" i="4"/>
  <c r="R155" i="4"/>
  <c r="S155" i="4"/>
  <c r="T155" i="4"/>
  <c r="U155" i="4"/>
  <c r="C156" i="4"/>
  <c r="F156" i="4"/>
  <c r="G156" i="4"/>
  <c r="I156" i="4"/>
  <c r="K156" i="4"/>
  <c r="L156" i="4"/>
  <c r="O156" i="4"/>
  <c r="P156" i="4"/>
  <c r="Q156" i="4"/>
  <c r="R156" i="4"/>
  <c r="S156" i="4"/>
  <c r="T156" i="4"/>
  <c r="U156" i="4"/>
  <c r="C157" i="4"/>
  <c r="F157" i="4"/>
  <c r="G157" i="4"/>
  <c r="I157" i="4"/>
  <c r="K157" i="4"/>
  <c r="L157" i="4"/>
  <c r="O157" i="4"/>
  <c r="P157" i="4"/>
  <c r="Q157" i="4"/>
  <c r="R157" i="4"/>
  <c r="S157" i="4"/>
  <c r="T157" i="4"/>
  <c r="U157" i="4"/>
  <c r="C158" i="4"/>
  <c r="F158" i="4"/>
  <c r="G158" i="4"/>
  <c r="I158" i="4"/>
  <c r="K158" i="4"/>
  <c r="L158" i="4"/>
  <c r="O158" i="4"/>
  <c r="P158" i="4"/>
  <c r="Q158" i="4"/>
  <c r="R158" i="4"/>
  <c r="S158" i="4"/>
  <c r="T158" i="4"/>
  <c r="U158" i="4"/>
  <c r="C159" i="4"/>
  <c r="F159" i="4"/>
  <c r="G159" i="4"/>
  <c r="I159" i="4"/>
  <c r="K159" i="4"/>
  <c r="L159" i="4"/>
  <c r="O159" i="4"/>
  <c r="P159" i="4"/>
  <c r="Q159" i="4"/>
  <c r="R159" i="4"/>
  <c r="S159" i="4"/>
  <c r="T159" i="4"/>
  <c r="U159" i="4"/>
  <c r="C160" i="4"/>
  <c r="F160" i="4"/>
  <c r="G160" i="4"/>
  <c r="I160" i="4"/>
  <c r="K160" i="4"/>
  <c r="L160" i="4"/>
  <c r="O160" i="4"/>
  <c r="P160" i="4"/>
  <c r="Q160" i="4"/>
  <c r="R160" i="4"/>
  <c r="S160" i="4"/>
  <c r="T160" i="4"/>
  <c r="U160" i="4"/>
  <c r="C161" i="4"/>
  <c r="F161" i="4"/>
  <c r="G161" i="4"/>
  <c r="I161" i="4"/>
  <c r="K161" i="4"/>
  <c r="L161" i="4"/>
  <c r="O161" i="4"/>
  <c r="P161" i="4"/>
  <c r="Q161" i="4"/>
  <c r="R161" i="4"/>
  <c r="S161" i="4"/>
  <c r="T161" i="4"/>
  <c r="U161" i="4"/>
  <c r="C162" i="4"/>
  <c r="F162" i="4"/>
  <c r="G162" i="4"/>
  <c r="I162" i="4"/>
  <c r="K162" i="4"/>
  <c r="L162" i="4"/>
  <c r="O162" i="4"/>
  <c r="P162" i="4"/>
  <c r="Q162" i="4"/>
  <c r="R162" i="4"/>
  <c r="S162" i="4"/>
  <c r="T162" i="4"/>
  <c r="U162" i="4"/>
  <c r="C163" i="4"/>
  <c r="F163" i="4"/>
  <c r="G163" i="4"/>
  <c r="I163" i="4"/>
  <c r="K163" i="4"/>
  <c r="L163" i="4"/>
  <c r="O163" i="4"/>
  <c r="P163" i="4"/>
  <c r="Q163" i="4"/>
  <c r="R163" i="4"/>
  <c r="S163" i="4"/>
  <c r="T163" i="4"/>
  <c r="U163" i="4"/>
  <c r="C164" i="4"/>
  <c r="F164" i="4"/>
  <c r="G164" i="4"/>
  <c r="I164" i="4"/>
  <c r="K164" i="4"/>
  <c r="L164" i="4"/>
  <c r="O164" i="4"/>
  <c r="P164" i="4"/>
  <c r="Q164" i="4"/>
  <c r="R164" i="4"/>
  <c r="S164" i="4"/>
  <c r="T164" i="4"/>
  <c r="U164" i="4"/>
  <c r="C165" i="4"/>
  <c r="F165" i="4"/>
  <c r="G165" i="4"/>
  <c r="I165" i="4"/>
  <c r="K165" i="4"/>
  <c r="L165" i="4"/>
  <c r="O165" i="4"/>
  <c r="P165" i="4"/>
  <c r="Q165" i="4"/>
  <c r="R165" i="4"/>
  <c r="S165" i="4"/>
  <c r="T165" i="4"/>
  <c r="U165" i="4"/>
  <c r="C166" i="4"/>
  <c r="F166" i="4"/>
  <c r="G166" i="4"/>
  <c r="I166" i="4"/>
  <c r="K166" i="4"/>
  <c r="L166" i="4"/>
  <c r="O166" i="4"/>
  <c r="P166" i="4"/>
  <c r="Q166" i="4"/>
  <c r="R166" i="4"/>
  <c r="S166" i="4"/>
  <c r="T166" i="4"/>
  <c r="U166" i="4"/>
  <c r="C167" i="4"/>
  <c r="F167" i="4"/>
  <c r="G167" i="4"/>
  <c r="I167" i="4"/>
  <c r="K167" i="4"/>
  <c r="L167" i="4"/>
  <c r="O167" i="4"/>
  <c r="P167" i="4"/>
  <c r="Q167" i="4"/>
  <c r="R167" i="4"/>
  <c r="S167" i="4"/>
  <c r="T167" i="4"/>
  <c r="U167" i="4"/>
  <c r="C168" i="4"/>
  <c r="F168" i="4"/>
  <c r="G168" i="4"/>
  <c r="I168" i="4"/>
  <c r="K168" i="4"/>
  <c r="L168" i="4"/>
  <c r="O168" i="4"/>
  <c r="P168" i="4"/>
  <c r="Q168" i="4"/>
  <c r="R168" i="4"/>
  <c r="S168" i="4"/>
  <c r="T168" i="4"/>
  <c r="U168" i="4"/>
  <c r="C169" i="4"/>
  <c r="F169" i="4"/>
  <c r="G169" i="4"/>
  <c r="I169" i="4"/>
  <c r="K169" i="4"/>
  <c r="L169" i="4"/>
  <c r="O169" i="4"/>
  <c r="P169" i="4"/>
  <c r="Q169" i="4"/>
  <c r="R169" i="4"/>
  <c r="S169" i="4"/>
  <c r="T169" i="4"/>
  <c r="U169" i="4"/>
  <c r="C170" i="4"/>
  <c r="F170" i="4"/>
  <c r="G170" i="4"/>
  <c r="I170" i="4"/>
  <c r="K170" i="4"/>
  <c r="L170" i="4"/>
  <c r="O170" i="4"/>
  <c r="P170" i="4"/>
  <c r="Q170" i="4"/>
  <c r="R170" i="4"/>
  <c r="S170" i="4"/>
  <c r="T170" i="4"/>
  <c r="U170" i="4"/>
  <c r="C171" i="4"/>
  <c r="F171" i="4"/>
  <c r="G171" i="4"/>
  <c r="I171" i="4"/>
  <c r="K171" i="4"/>
  <c r="L171" i="4"/>
  <c r="O171" i="4"/>
  <c r="P171" i="4"/>
  <c r="Q171" i="4"/>
  <c r="R171" i="4"/>
  <c r="S171" i="4"/>
  <c r="T171" i="4"/>
  <c r="U171" i="4"/>
  <c r="C172" i="4"/>
  <c r="F172" i="4"/>
  <c r="G172" i="4"/>
  <c r="I172" i="4"/>
  <c r="K172" i="4"/>
  <c r="L172" i="4"/>
  <c r="O172" i="4"/>
  <c r="P172" i="4"/>
  <c r="Q172" i="4"/>
  <c r="R172" i="4"/>
  <c r="S172" i="4"/>
  <c r="T172" i="4"/>
  <c r="U172" i="4"/>
  <c r="C173" i="4"/>
  <c r="F173" i="4"/>
  <c r="G173" i="4"/>
  <c r="I173" i="4"/>
  <c r="K173" i="4"/>
  <c r="L173" i="4"/>
  <c r="O173" i="4"/>
  <c r="P173" i="4"/>
  <c r="Q173" i="4"/>
  <c r="R173" i="4"/>
  <c r="S173" i="4"/>
  <c r="T173" i="4"/>
  <c r="U173" i="4"/>
  <c r="C174" i="4"/>
  <c r="F174" i="4"/>
  <c r="G174" i="4"/>
  <c r="I174" i="4"/>
  <c r="K174" i="4"/>
  <c r="L174" i="4"/>
  <c r="O174" i="4"/>
  <c r="P174" i="4"/>
  <c r="Q174" i="4"/>
  <c r="R174" i="4"/>
  <c r="S174" i="4"/>
  <c r="T174" i="4"/>
  <c r="U174" i="4"/>
  <c r="C175" i="4"/>
  <c r="F175" i="4"/>
  <c r="G175" i="4"/>
  <c r="I175" i="4"/>
  <c r="K175" i="4"/>
  <c r="L175" i="4"/>
  <c r="O175" i="4"/>
  <c r="P175" i="4"/>
  <c r="Q175" i="4"/>
  <c r="R175" i="4"/>
  <c r="S175" i="4"/>
  <c r="T175" i="4"/>
  <c r="U175" i="4"/>
  <c r="C176" i="4"/>
  <c r="F176" i="4"/>
  <c r="G176" i="4"/>
  <c r="I176" i="4"/>
  <c r="K176" i="4"/>
  <c r="L176" i="4"/>
  <c r="O176" i="4"/>
  <c r="P176" i="4"/>
  <c r="Q176" i="4"/>
  <c r="R176" i="4"/>
  <c r="S176" i="4"/>
  <c r="T176" i="4"/>
  <c r="U176" i="4"/>
  <c r="C177" i="4"/>
  <c r="F177" i="4"/>
  <c r="G177" i="4"/>
  <c r="I177" i="4"/>
  <c r="K177" i="4"/>
  <c r="L177" i="4"/>
  <c r="O177" i="4"/>
  <c r="P177" i="4"/>
  <c r="Q177" i="4"/>
  <c r="R177" i="4"/>
  <c r="S177" i="4"/>
  <c r="T177" i="4"/>
  <c r="U177" i="4"/>
  <c r="C178" i="4"/>
  <c r="F178" i="4"/>
  <c r="G178" i="4"/>
  <c r="I178" i="4"/>
  <c r="K178" i="4"/>
  <c r="L178" i="4"/>
  <c r="O178" i="4"/>
  <c r="P178" i="4"/>
  <c r="Q178" i="4"/>
  <c r="R178" i="4"/>
  <c r="S178" i="4"/>
  <c r="T178" i="4"/>
  <c r="U178" i="4"/>
  <c r="C179" i="4"/>
  <c r="F179" i="4"/>
  <c r="G179" i="4"/>
  <c r="I179" i="4"/>
  <c r="K179" i="4"/>
  <c r="L179" i="4"/>
  <c r="O179" i="4"/>
  <c r="P179" i="4"/>
  <c r="Q179" i="4"/>
  <c r="R179" i="4"/>
  <c r="S179" i="4"/>
  <c r="T179" i="4"/>
  <c r="U179" i="4"/>
  <c r="C180" i="4"/>
  <c r="F180" i="4"/>
  <c r="G180" i="4"/>
  <c r="I180" i="4"/>
  <c r="K180" i="4"/>
  <c r="L180" i="4"/>
  <c r="O180" i="4"/>
  <c r="P180" i="4"/>
  <c r="Q180" i="4"/>
  <c r="R180" i="4"/>
  <c r="S180" i="4"/>
  <c r="T180" i="4"/>
  <c r="U180" i="4"/>
  <c r="C181" i="4"/>
  <c r="F181" i="4"/>
  <c r="G181" i="4"/>
  <c r="I181" i="4"/>
  <c r="K181" i="4"/>
  <c r="L181" i="4"/>
  <c r="O181" i="4"/>
  <c r="P181" i="4"/>
  <c r="Q181" i="4"/>
  <c r="R181" i="4"/>
  <c r="S181" i="4"/>
  <c r="T181" i="4"/>
  <c r="U181" i="4"/>
  <c r="C182" i="4"/>
  <c r="F182" i="4"/>
  <c r="G182" i="4"/>
  <c r="I182" i="4"/>
  <c r="K182" i="4"/>
  <c r="L182" i="4"/>
  <c r="O182" i="4"/>
  <c r="P182" i="4"/>
  <c r="Q182" i="4"/>
  <c r="R182" i="4"/>
  <c r="S182" i="4"/>
  <c r="T182" i="4"/>
  <c r="U182" i="4"/>
  <c r="C183" i="4"/>
  <c r="F183" i="4"/>
  <c r="G183" i="4"/>
  <c r="I183" i="4"/>
  <c r="K183" i="4"/>
  <c r="L183" i="4"/>
  <c r="O183" i="4"/>
  <c r="P183" i="4"/>
  <c r="Q183" i="4"/>
  <c r="R183" i="4"/>
  <c r="S183" i="4"/>
  <c r="T183" i="4"/>
  <c r="U183" i="4"/>
  <c r="C184" i="4"/>
  <c r="F184" i="4"/>
  <c r="G184" i="4"/>
  <c r="I184" i="4"/>
  <c r="K184" i="4"/>
  <c r="L184" i="4"/>
  <c r="O184" i="4"/>
  <c r="P184" i="4"/>
  <c r="Q184" i="4"/>
  <c r="R184" i="4"/>
  <c r="S184" i="4"/>
  <c r="T184" i="4"/>
  <c r="U184" i="4"/>
  <c r="C185" i="4"/>
  <c r="F185" i="4"/>
  <c r="G185" i="4"/>
  <c r="I185" i="4"/>
  <c r="K185" i="4"/>
  <c r="L185" i="4"/>
  <c r="O185" i="4"/>
  <c r="P185" i="4"/>
  <c r="Q185" i="4"/>
  <c r="R185" i="4"/>
  <c r="S185" i="4"/>
  <c r="T185" i="4"/>
  <c r="U185" i="4"/>
  <c r="C186" i="4"/>
  <c r="F186" i="4"/>
  <c r="G186" i="4"/>
  <c r="I186" i="4"/>
  <c r="K186" i="4"/>
  <c r="L186" i="4"/>
  <c r="O186" i="4"/>
  <c r="P186" i="4"/>
  <c r="Q186" i="4"/>
  <c r="R186" i="4"/>
  <c r="S186" i="4"/>
  <c r="T186" i="4"/>
  <c r="U186" i="4"/>
  <c r="C187" i="4"/>
  <c r="F187" i="4"/>
  <c r="G187" i="4"/>
  <c r="I187" i="4"/>
  <c r="K187" i="4"/>
  <c r="L187" i="4"/>
  <c r="O187" i="4"/>
  <c r="P187" i="4"/>
  <c r="Q187" i="4"/>
  <c r="R187" i="4"/>
  <c r="S187" i="4"/>
  <c r="T187" i="4"/>
  <c r="U187" i="4"/>
  <c r="C188" i="4"/>
  <c r="F188" i="4"/>
  <c r="G188" i="4"/>
  <c r="I188" i="4"/>
  <c r="K188" i="4"/>
  <c r="L188" i="4"/>
  <c r="O188" i="4"/>
  <c r="P188" i="4"/>
  <c r="Q188" i="4"/>
  <c r="R188" i="4"/>
  <c r="S188" i="4"/>
  <c r="T188" i="4"/>
  <c r="U188" i="4"/>
  <c r="C189" i="4"/>
  <c r="F189" i="4"/>
  <c r="G189" i="4"/>
  <c r="I189" i="4"/>
  <c r="K189" i="4"/>
  <c r="L189" i="4"/>
  <c r="O189" i="4"/>
  <c r="P189" i="4"/>
  <c r="Q189" i="4"/>
  <c r="R189" i="4"/>
  <c r="S189" i="4"/>
  <c r="T189" i="4"/>
  <c r="U189" i="4"/>
  <c r="C190" i="4"/>
  <c r="F190" i="4"/>
  <c r="G190" i="4"/>
  <c r="I190" i="4"/>
  <c r="K190" i="4"/>
  <c r="L190" i="4"/>
  <c r="O190" i="4"/>
  <c r="P190" i="4"/>
  <c r="Q190" i="4"/>
  <c r="R190" i="4"/>
  <c r="S190" i="4"/>
  <c r="T190" i="4"/>
  <c r="U190" i="4"/>
  <c r="T187" i="7"/>
  <c r="U187" i="7"/>
  <c r="W187" i="7"/>
  <c r="T188" i="7"/>
  <c r="U188" i="7"/>
  <c r="W188" i="7"/>
  <c r="T189" i="7"/>
  <c r="U189" i="7"/>
  <c r="W189" i="7"/>
  <c r="T190" i="7"/>
  <c r="U190" i="7"/>
  <c r="W190" i="7"/>
  <c r="T18" i="7"/>
  <c r="U18" i="7"/>
  <c r="W18" i="7"/>
  <c r="T19" i="7"/>
  <c r="U19" i="7"/>
  <c r="W19" i="7"/>
  <c r="T20" i="7"/>
  <c r="U20" i="7"/>
  <c r="W20" i="7"/>
  <c r="T21" i="7"/>
  <c r="U21" i="7"/>
  <c r="W21" i="7"/>
  <c r="T22" i="7"/>
  <c r="U22" i="7"/>
  <c r="W22" i="7"/>
  <c r="T23" i="7"/>
  <c r="U23" i="7"/>
  <c r="W23" i="7"/>
  <c r="T24" i="7"/>
  <c r="U24" i="7"/>
  <c r="W24" i="7"/>
  <c r="T25" i="7"/>
  <c r="U25" i="7"/>
  <c r="W25" i="7"/>
  <c r="T26" i="7"/>
  <c r="U26" i="7"/>
  <c r="W26" i="7"/>
  <c r="T27" i="7"/>
  <c r="U27" i="7"/>
  <c r="W27" i="7"/>
  <c r="T28" i="7"/>
  <c r="U28" i="7"/>
  <c r="W28" i="7"/>
  <c r="T29" i="7"/>
  <c r="U29" i="7"/>
  <c r="W29" i="7"/>
  <c r="T30" i="7"/>
  <c r="U30" i="7"/>
  <c r="W30" i="7"/>
  <c r="T31" i="7"/>
  <c r="U31" i="7"/>
  <c r="W31" i="7"/>
  <c r="T32" i="7"/>
  <c r="U32" i="7"/>
  <c r="W32" i="7"/>
  <c r="T33" i="7"/>
  <c r="U33" i="7"/>
  <c r="W33" i="7"/>
  <c r="T34" i="7"/>
  <c r="U34" i="7"/>
  <c r="W34" i="7"/>
  <c r="T35" i="7"/>
  <c r="U35" i="7"/>
  <c r="W35" i="7"/>
  <c r="T36" i="7"/>
  <c r="U36" i="7"/>
  <c r="W36" i="7"/>
  <c r="T37" i="7"/>
  <c r="U37" i="7"/>
  <c r="W37" i="7"/>
  <c r="T38" i="7"/>
  <c r="U38" i="7"/>
  <c r="W38" i="7"/>
  <c r="T39" i="7"/>
  <c r="U39" i="7"/>
  <c r="W39" i="7"/>
  <c r="T40" i="7"/>
  <c r="U40" i="7"/>
  <c r="W40" i="7"/>
  <c r="T41" i="7"/>
  <c r="U41" i="7"/>
  <c r="W41" i="7"/>
  <c r="T42" i="7"/>
  <c r="U42" i="7"/>
  <c r="W42" i="7"/>
  <c r="T43" i="7"/>
  <c r="U43" i="7"/>
  <c r="W43" i="7"/>
  <c r="T44" i="7"/>
  <c r="U44" i="7"/>
  <c r="W44" i="7"/>
  <c r="T45" i="7"/>
  <c r="U45" i="7"/>
  <c r="W45" i="7"/>
  <c r="T46" i="7"/>
  <c r="U46" i="7"/>
  <c r="W46" i="7"/>
  <c r="T47" i="7"/>
  <c r="U47" i="7"/>
  <c r="W47" i="7"/>
  <c r="T48" i="7"/>
  <c r="U48" i="7"/>
  <c r="W48" i="7"/>
  <c r="T49" i="7"/>
  <c r="U49" i="7"/>
  <c r="W49" i="7"/>
  <c r="T50" i="7"/>
  <c r="U50" i="7"/>
  <c r="W50" i="7"/>
  <c r="T51" i="7"/>
  <c r="U51" i="7"/>
  <c r="W51" i="7"/>
  <c r="T52" i="7"/>
  <c r="U52" i="7"/>
  <c r="W52" i="7"/>
  <c r="T53" i="7"/>
  <c r="U53" i="7"/>
  <c r="W53" i="7"/>
  <c r="T54" i="7"/>
  <c r="U54" i="7"/>
  <c r="W54" i="7"/>
  <c r="T55" i="7"/>
  <c r="U55" i="7"/>
  <c r="W55" i="7"/>
  <c r="T56" i="7"/>
  <c r="U56" i="7"/>
  <c r="W56" i="7"/>
  <c r="T57" i="7"/>
  <c r="U57" i="7"/>
  <c r="W57" i="7"/>
  <c r="T58" i="7"/>
  <c r="U58" i="7"/>
  <c r="W58" i="7"/>
  <c r="T59" i="7"/>
  <c r="U59" i="7"/>
  <c r="W59" i="7"/>
  <c r="T60" i="7"/>
  <c r="U60" i="7"/>
  <c r="W60" i="7"/>
  <c r="T61" i="7"/>
  <c r="U61" i="7"/>
  <c r="W61" i="7"/>
  <c r="T62" i="7"/>
  <c r="U62" i="7"/>
  <c r="W62" i="7"/>
  <c r="T63" i="7"/>
  <c r="U63" i="7"/>
  <c r="W63" i="7"/>
  <c r="T64" i="7"/>
  <c r="U64" i="7"/>
  <c r="W64" i="7"/>
  <c r="T65" i="7"/>
  <c r="U65" i="7"/>
  <c r="W65" i="7"/>
  <c r="T66" i="7"/>
  <c r="U66" i="7"/>
  <c r="W66" i="7"/>
  <c r="T67" i="7"/>
  <c r="U67" i="7"/>
  <c r="W67" i="7"/>
  <c r="T68" i="7"/>
  <c r="U68" i="7"/>
  <c r="W68" i="7"/>
  <c r="T69" i="7"/>
  <c r="U69" i="7"/>
  <c r="W69" i="7"/>
  <c r="T70" i="7"/>
  <c r="U70" i="7"/>
  <c r="W70" i="7"/>
  <c r="T71" i="7"/>
  <c r="U71" i="7"/>
  <c r="W71" i="7"/>
  <c r="T72" i="7"/>
  <c r="U72" i="7"/>
  <c r="W72" i="7"/>
  <c r="T73" i="7"/>
  <c r="U73" i="7"/>
  <c r="W73" i="7"/>
  <c r="T74" i="7"/>
  <c r="U74" i="7"/>
  <c r="W74" i="7"/>
  <c r="T75" i="7"/>
  <c r="U75" i="7"/>
  <c r="W75" i="7"/>
  <c r="T76" i="7"/>
  <c r="U76" i="7"/>
  <c r="W76" i="7"/>
  <c r="T77" i="7"/>
  <c r="U77" i="7"/>
  <c r="W77" i="7"/>
  <c r="T78" i="7"/>
  <c r="U78" i="7"/>
  <c r="W78" i="7"/>
  <c r="T79" i="7"/>
  <c r="U79" i="7"/>
  <c r="W79" i="7"/>
  <c r="T80" i="7"/>
  <c r="U80" i="7"/>
  <c r="W80" i="7"/>
  <c r="T81" i="7"/>
  <c r="U81" i="7"/>
  <c r="W81" i="7"/>
  <c r="T82" i="7"/>
  <c r="U82" i="7"/>
  <c r="W82" i="7"/>
  <c r="T83" i="7"/>
  <c r="U83" i="7"/>
  <c r="W83" i="7"/>
  <c r="T84" i="7"/>
  <c r="U84" i="7"/>
  <c r="W84" i="7"/>
  <c r="T85" i="7"/>
  <c r="U85" i="7"/>
  <c r="W85" i="7"/>
  <c r="T86" i="7"/>
  <c r="U86" i="7"/>
  <c r="W86" i="7"/>
  <c r="T87" i="7"/>
  <c r="U87" i="7"/>
  <c r="W87" i="7"/>
  <c r="T88" i="7"/>
  <c r="U88" i="7"/>
  <c r="W88" i="7"/>
  <c r="T89" i="7"/>
  <c r="U89" i="7"/>
  <c r="W89" i="7"/>
  <c r="T90" i="7"/>
  <c r="U90" i="7"/>
  <c r="W90" i="7"/>
  <c r="T91" i="7"/>
  <c r="U91" i="7"/>
  <c r="W91" i="7"/>
  <c r="T92" i="7"/>
  <c r="U92" i="7"/>
  <c r="W92" i="7"/>
  <c r="T93" i="7"/>
  <c r="U93" i="7"/>
  <c r="W93" i="7"/>
  <c r="T94" i="7"/>
  <c r="U94" i="7"/>
  <c r="W94" i="7"/>
  <c r="T95" i="7"/>
  <c r="U95" i="7"/>
  <c r="W95" i="7"/>
  <c r="T96" i="7"/>
  <c r="U96" i="7"/>
  <c r="W96" i="7"/>
  <c r="T97" i="7"/>
  <c r="U97" i="7"/>
  <c r="W97" i="7"/>
  <c r="T98" i="7"/>
  <c r="U98" i="7"/>
  <c r="W98" i="7"/>
  <c r="T99" i="7"/>
  <c r="U99" i="7"/>
  <c r="W99" i="7"/>
  <c r="T100" i="7"/>
  <c r="U100" i="7"/>
  <c r="W100" i="7"/>
  <c r="T101" i="7"/>
  <c r="U101" i="7"/>
  <c r="W101" i="7"/>
  <c r="T102" i="7"/>
  <c r="U102" i="7"/>
  <c r="W102" i="7"/>
  <c r="T103" i="7"/>
  <c r="U103" i="7"/>
  <c r="W103" i="7"/>
  <c r="T104" i="7"/>
  <c r="U104" i="7"/>
  <c r="W104" i="7"/>
  <c r="T105" i="7"/>
  <c r="U105" i="7"/>
  <c r="W105" i="7"/>
  <c r="T106" i="7"/>
  <c r="U106" i="7"/>
  <c r="W106" i="7"/>
  <c r="T107" i="7"/>
  <c r="U107" i="7"/>
  <c r="W107" i="7"/>
  <c r="T108" i="7"/>
  <c r="U108" i="7"/>
  <c r="W108" i="7"/>
  <c r="T109" i="7"/>
  <c r="U109" i="7"/>
  <c r="W109" i="7"/>
  <c r="T110" i="7"/>
  <c r="U110" i="7"/>
  <c r="W110" i="7"/>
  <c r="T111" i="7"/>
  <c r="U111" i="7"/>
  <c r="W111" i="7"/>
  <c r="T112" i="7"/>
  <c r="U112" i="7"/>
  <c r="W112" i="7"/>
  <c r="T113" i="7"/>
  <c r="U113" i="7"/>
  <c r="W113" i="7"/>
  <c r="T114" i="7"/>
  <c r="U114" i="7"/>
  <c r="W114" i="7"/>
  <c r="T115" i="7"/>
  <c r="U115" i="7"/>
  <c r="W115" i="7"/>
  <c r="T116" i="7"/>
  <c r="U116" i="7"/>
  <c r="W116" i="7"/>
  <c r="T117" i="7"/>
  <c r="U117" i="7"/>
  <c r="W117" i="7"/>
  <c r="T118" i="7"/>
  <c r="U118" i="7"/>
  <c r="W118" i="7"/>
  <c r="T119" i="7"/>
  <c r="U119" i="7"/>
  <c r="W119" i="7"/>
  <c r="T120" i="7"/>
  <c r="U120" i="7"/>
  <c r="W120" i="7"/>
  <c r="T121" i="7"/>
  <c r="U121" i="7"/>
  <c r="W121" i="7"/>
  <c r="T122" i="7"/>
  <c r="U122" i="7"/>
  <c r="W122" i="7"/>
  <c r="T123" i="7"/>
  <c r="U123" i="7"/>
  <c r="W123" i="7"/>
  <c r="T124" i="7"/>
  <c r="U124" i="7"/>
  <c r="W124" i="7"/>
  <c r="T125" i="7"/>
  <c r="U125" i="7"/>
  <c r="W125" i="7"/>
  <c r="T126" i="7"/>
  <c r="U126" i="7"/>
  <c r="W126" i="7"/>
  <c r="T127" i="7"/>
  <c r="U127" i="7"/>
  <c r="W127" i="7"/>
  <c r="T128" i="7"/>
  <c r="U128" i="7"/>
  <c r="W128" i="7"/>
  <c r="T129" i="7"/>
  <c r="U129" i="7"/>
  <c r="W129" i="7"/>
  <c r="T130" i="7"/>
  <c r="U130" i="7"/>
  <c r="W130" i="7"/>
  <c r="T131" i="7"/>
  <c r="U131" i="7"/>
  <c r="W131" i="7"/>
  <c r="T132" i="7"/>
  <c r="U132" i="7"/>
  <c r="W132" i="7"/>
  <c r="T133" i="7"/>
  <c r="U133" i="7"/>
  <c r="W133" i="7"/>
  <c r="T134" i="7"/>
  <c r="U134" i="7"/>
  <c r="W134" i="7"/>
  <c r="T135" i="7"/>
  <c r="U135" i="7"/>
  <c r="W135" i="7"/>
  <c r="T136" i="7"/>
  <c r="U136" i="7"/>
  <c r="W136" i="7"/>
  <c r="T137" i="7"/>
  <c r="U137" i="7"/>
  <c r="W137" i="7"/>
  <c r="T138" i="7"/>
  <c r="U138" i="7"/>
  <c r="W138" i="7"/>
  <c r="T139" i="7"/>
  <c r="U139" i="7"/>
  <c r="W139" i="7"/>
  <c r="T140" i="7"/>
  <c r="U140" i="7"/>
  <c r="W140" i="7"/>
  <c r="T141" i="7"/>
  <c r="U141" i="7"/>
  <c r="W141" i="7"/>
  <c r="T142" i="7"/>
  <c r="U142" i="7"/>
  <c r="W142" i="7"/>
  <c r="T143" i="7"/>
  <c r="U143" i="7"/>
  <c r="W143" i="7"/>
  <c r="T144" i="7"/>
  <c r="U144" i="7"/>
  <c r="W144" i="7"/>
  <c r="T145" i="7"/>
  <c r="U145" i="7"/>
  <c r="W145" i="7"/>
  <c r="T146" i="7"/>
  <c r="U146" i="7"/>
  <c r="W146" i="7"/>
  <c r="T147" i="7"/>
  <c r="U147" i="7"/>
  <c r="W147" i="7"/>
  <c r="T148" i="7"/>
  <c r="U148" i="7"/>
  <c r="W148" i="7"/>
  <c r="T149" i="7"/>
  <c r="U149" i="7"/>
  <c r="W149" i="7"/>
  <c r="T150" i="7"/>
  <c r="U150" i="7"/>
  <c r="W150" i="7"/>
  <c r="T151" i="7"/>
  <c r="U151" i="7"/>
  <c r="W151" i="7"/>
  <c r="T152" i="7"/>
  <c r="U152" i="7"/>
  <c r="W152" i="7"/>
  <c r="T153" i="7"/>
  <c r="U153" i="7"/>
  <c r="W153" i="7"/>
  <c r="T154" i="7"/>
  <c r="U154" i="7"/>
  <c r="W154" i="7"/>
  <c r="T155" i="7"/>
  <c r="U155" i="7"/>
  <c r="W155" i="7"/>
  <c r="T156" i="7"/>
  <c r="U156" i="7"/>
  <c r="W156" i="7"/>
  <c r="T157" i="7"/>
  <c r="U157" i="7"/>
  <c r="W157" i="7"/>
  <c r="T158" i="7"/>
  <c r="U158" i="7"/>
  <c r="W158" i="7"/>
  <c r="T159" i="7"/>
  <c r="U159" i="7"/>
  <c r="W159" i="7"/>
  <c r="T160" i="7"/>
  <c r="U160" i="7"/>
  <c r="W160" i="7"/>
  <c r="T161" i="7"/>
  <c r="U161" i="7"/>
  <c r="W161" i="7"/>
  <c r="T162" i="7"/>
  <c r="U162" i="7"/>
  <c r="W162" i="7"/>
  <c r="T163" i="7"/>
  <c r="U163" i="7"/>
  <c r="W163" i="7"/>
  <c r="T164" i="7"/>
  <c r="U164" i="7"/>
  <c r="W164" i="7"/>
  <c r="T165" i="7"/>
  <c r="U165" i="7"/>
  <c r="W165" i="7"/>
  <c r="T166" i="7"/>
  <c r="U166" i="7"/>
  <c r="W166" i="7"/>
  <c r="T167" i="7"/>
  <c r="U167" i="7"/>
  <c r="W167" i="7"/>
  <c r="T168" i="7"/>
  <c r="U168" i="7"/>
  <c r="W168" i="7"/>
  <c r="T169" i="7"/>
  <c r="U169" i="7"/>
  <c r="W169" i="7"/>
  <c r="T170" i="7"/>
  <c r="U170" i="7"/>
  <c r="W170" i="7"/>
  <c r="T171" i="7"/>
  <c r="U171" i="7"/>
  <c r="W171" i="7"/>
  <c r="T172" i="7"/>
  <c r="U172" i="7"/>
  <c r="W172" i="7"/>
  <c r="T173" i="7"/>
  <c r="U173" i="7"/>
  <c r="W173" i="7"/>
  <c r="T174" i="7"/>
  <c r="U174" i="7"/>
  <c r="W174" i="7"/>
  <c r="T175" i="7"/>
  <c r="U175" i="7"/>
  <c r="W175" i="7"/>
  <c r="T176" i="7"/>
  <c r="U176" i="7"/>
  <c r="W176" i="7"/>
  <c r="T177" i="7"/>
  <c r="U177" i="7"/>
  <c r="W177" i="7"/>
  <c r="T178" i="7"/>
  <c r="U178" i="7"/>
  <c r="W178" i="7"/>
  <c r="T179" i="7"/>
  <c r="U179" i="7"/>
  <c r="W179" i="7"/>
  <c r="T180" i="7"/>
  <c r="U180" i="7"/>
  <c r="W180" i="7"/>
  <c r="T181" i="7"/>
  <c r="U181" i="7"/>
  <c r="W181" i="7"/>
  <c r="T182" i="7"/>
  <c r="U182" i="7"/>
  <c r="W182" i="7"/>
  <c r="T183" i="7"/>
  <c r="U183" i="7"/>
  <c r="W183" i="7"/>
  <c r="T184" i="7"/>
  <c r="U184" i="7"/>
  <c r="W184" i="7"/>
  <c r="T185" i="7"/>
  <c r="U185" i="7"/>
  <c r="W185" i="7"/>
  <c r="T186" i="7"/>
  <c r="U186" i="7"/>
  <c r="W186" i="7"/>
  <c r="T3" i="7"/>
  <c r="U3" i="7"/>
  <c r="W3" i="7"/>
  <c r="T4" i="7"/>
  <c r="U4" i="7"/>
  <c r="W4" i="7"/>
  <c r="T5" i="7"/>
  <c r="U5" i="7"/>
  <c r="W5" i="7"/>
  <c r="T6" i="7"/>
  <c r="U6" i="7"/>
  <c r="W6" i="7"/>
  <c r="T7" i="7"/>
  <c r="U7" i="7"/>
  <c r="W7" i="7"/>
  <c r="T8" i="7"/>
  <c r="U8" i="7"/>
  <c r="W8" i="7"/>
  <c r="T9" i="7"/>
  <c r="U9" i="7"/>
  <c r="W9" i="7"/>
  <c r="T10" i="7"/>
  <c r="U10" i="7"/>
  <c r="W10" i="7"/>
  <c r="T11" i="7"/>
  <c r="U11" i="7"/>
  <c r="W11" i="7"/>
  <c r="T12" i="7"/>
  <c r="U12" i="7"/>
  <c r="W12" i="7"/>
  <c r="T13" i="7"/>
  <c r="U13" i="7"/>
  <c r="W13" i="7"/>
  <c r="T14" i="7"/>
  <c r="U14" i="7"/>
  <c r="W14" i="7"/>
  <c r="T15" i="7"/>
  <c r="U15" i="7"/>
  <c r="W15" i="7"/>
  <c r="T16" i="7"/>
  <c r="U16" i="7"/>
  <c r="W16" i="7"/>
  <c r="T17" i="7"/>
  <c r="U17" i="7"/>
  <c r="W17" i="7"/>
  <c r="B183" i="2"/>
  <c r="E183" i="2"/>
  <c r="F183" i="2"/>
  <c r="G183" i="2"/>
  <c r="H183" i="2"/>
  <c r="I183" i="2"/>
  <c r="J183" i="2"/>
  <c r="K183" i="2"/>
  <c r="B184" i="2"/>
  <c r="E184" i="2"/>
  <c r="F184" i="2"/>
  <c r="G184" i="2"/>
  <c r="H184" i="2"/>
  <c r="I184" i="2"/>
  <c r="J184" i="2"/>
  <c r="K184" i="2"/>
  <c r="B185" i="2"/>
  <c r="E185" i="2"/>
  <c r="F185" i="2"/>
  <c r="G185" i="2"/>
  <c r="H185" i="2"/>
  <c r="I185" i="2"/>
  <c r="J185" i="2"/>
  <c r="K185" i="2"/>
  <c r="B186" i="2"/>
  <c r="E186" i="2"/>
  <c r="F186" i="2"/>
  <c r="G186" i="2"/>
  <c r="H186" i="2"/>
  <c r="I186" i="2"/>
  <c r="J186" i="2"/>
  <c r="K186" i="2"/>
  <c r="B187" i="2"/>
  <c r="E187" i="2"/>
  <c r="F187" i="2"/>
  <c r="G187" i="2"/>
  <c r="H187" i="2"/>
  <c r="I187" i="2"/>
  <c r="J187" i="2"/>
  <c r="K187" i="2"/>
  <c r="B188" i="2"/>
  <c r="E188" i="2"/>
  <c r="F188" i="2"/>
  <c r="G188" i="2"/>
  <c r="H188" i="2"/>
  <c r="I188" i="2"/>
  <c r="J188" i="2"/>
  <c r="K188" i="2"/>
  <c r="B189" i="2"/>
  <c r="E189" i="2"/>
  <c r="F189" i="2"/>
  <c r="G189" i="2"/>
  <c r="H189" i="2"/>
  <c r="I189" i="2"/>
  <c r="J189" i="2"/>
  <c r="K189" i="2"/>
  <c r="B190" i="2"/>
  <c r="E190" i="2"/>
  <c r="F190" i="2"/>
  <c r="G190" i="2"/>
  <c r="H190" i="2"/>
  <c r="I190" i="2"/>
  <c r="J190" i="2"/>
  <c r="K190" i="2"/>
  <c r="B191" i="2"/>
  <c r="E191" i="2"/>
  <c r="F191" i="2"/>
  <c r="G191" i="2"/>
  <c r="H191" i="2"/>
  <c r="I191" i="2"/>
  <c r="J191" i="2"/>
  <c r="K191" i="2"/>
  <c r="B25" i="2"/>
  <c r="E25" i="2"/>
  <c r="F25" i="2"/>
  <c r="G25" i="2"/>
  <c r="H25" i="2"/>
  <c r="I25" i="2"/>
  <c r="J25" i="2"/>
  <c r="K25" i="2"/>
  <c r="B26" i="2"/>
  <c r="E26" i="2"/>
  <c r="F26" i="2"/>
  <c r="G26" i="2"/>
  <c r="H26" i="2"/>
  <c r="I26" i="2"/>
  <c r="J26" i="2"/>
  <c r="K26" i="2"/>
  <c r="B27" i="2"/>
  <c r="E27" i="2"/>
  <c r="F27" i="2"/>
  <c r="G27" i="2"/>
  <c r="H27" i="2"/>
  <c r="I27" i="2"/>
  <c r="J27" i="2"/>
  <c r="K27" i="2"/>
  <c r="B28" i="2"/>
  <c r="E28" i="2"/>
  <c r="F28" i="2"/>
  <c r="G28" i="2"/>
  <c r="H28" i="2"/>
  <c r="I28" i="2"/>
  <c r="J28" i="2"/>
  <c r="K28" i="2"/>
  <c r="B29" i="2"/>
  <c r="E29" i="2"/>
  <c r="F29" i="2"/>
  <c r="G29" i="2"/>
  <c r="H29" i="2"/>
  <c r="I29" i="2"/>
  <c r="J29" i="2"/>
  <c r="K29" i="2"/>
  <c r="B30" i="2"/>
  <c r="E30" i="2"/>
  <c r="F30" i="2"/>
  <c r="G30" i="2"/>
  <c r="H30" i="2"/>
  <c r="I30" i="2"/>
  <c r="J30" i="2"/>
  <c r="K30" i="2"/>
  <c r="B31" i="2"/>
  <c r="E31" i="2"/>
  <c r="F31" i="2"/>
  <c r="G31" i="2"/>
  <c r="H31" i="2"/>
  <c r="I31" i="2"/>
  <c r="J31" i="2"/>
  <c r="K31" i="2"/>
  <c r="B32" i="2"/>
  <c r="E32" i="2"/>
  <c r="F32" i="2"/>
  <c r="G32" i="2"/>
  <c r="H32" i="2"/>
  <c r="I32" i="2"/>
  <c r="J32" i="2"/>
  <c r="K32" i="2"/>
  <c r="B33" i="2"/>
  <c r="E33" i="2"/>
  <c r="F33" i="2"/>
  <c r="G33" i="2"/>
  <c r="H33" i="2"/>
  <c r="I33" i="2"/>
  <c r="J33" i="2"/>
  <c r="K33" i="2"/>
  <c r="B34" i="2"/>
  <c r="E34" i="2"/>
  <c r="F34" i="2"/>
  <c r="G34" i="2"/>
  <c r="H34" i="2"/>
  <c r="I34" i="2"/>
  <c r="J34" i="2"/>
  <c r="K34" i="2"/>
  <c r="B35" i="2"/>
  <c r="E35" i="2"/>
  <c r="F35" i="2"/>
  <c r="G35" i="2"/>
  <c r="H35" i="2"/>
  <c r="I35" i="2"/>
  <c r="J35" i="2"/>
  <c r="K35" i="2"/>
  <c r="B36" i="2"/>
  <c r="E36" i="2"/>
  <c r="F36" i="2"/>
  <c r="G36" i="2"/>
  <c r="H36" i="2"/>
  <c r="I36" i="2"/>
  <c r="J36" i="2"/>
  <c r="K36" i="2"/>
  <c r="B37" i="2"/>
  <c r="E37" i="2"/>
  <c r="F37" i="2"/>
  <c r="G37" i="2"/>
  <c r="H37" i="2"/>
  <c r="I37" i="2"/>
  <c r="J37" i="2"/>
  <c r="K37" i="2"/>
  <c r="B38" i="2"/>
  <c r="E38" i="2"/>
  <c r="F38" i="2"/>
  <c r="G38" i="2"/>
  <c r="H38" i="2"/>
  <c r="I38" i="2"/>
  <c r="J38" i="2"/>
  <c r="K38" i="2"/>
  <c r="B39" i="2"/>
  <c r="E39" i="2"/>
  <c r="F39" i="2"/>
  <c r="G39" i="2"/>
  <c r="H39" i="2"/>
  <c r="I39" i="2"/>
  <c r="J39" i="2"/>
  <c r="K39" i="2"/>
  <c r="B40" i="2"/>
  <c r="E40" i="2"/>
  <c r="F40" i="2"/>
  <c r="G40" i="2"/>
  <c r="H40" i="2"/>
  <c r="I40" i="2"/>
  <c r="J40" i="2"/>
  <c r="K40" i="2"/>
  <c r="B41" i="2"/>
  <c r="E41" i="2"/>
  <c r="F41" i="2"/>
  <c r="G41" i="2"/>
  <c r="H41" i="2"/>
  <c r="I41" i="2"/>
  <c r="J41" i="2"/>
  <c r="K41" i="2"/>
  <c r="B42" i="2"/>
  <c r="E42" i="2"/>
  <c r="F42" i="2"/>
  <c r="G42" i="2"/>
  <c r="H42" i="2"/>
  <c r="I42" i="2"/>
  <c r="J42" i="2"/>
  <c r="K42" i="2"/>
  <c r="B43" i="2"/>
  <c r="E43" i="2"/>
  <c r="F43" i="2"/>
  <c r="G43" i="2"/>
  <c r="H43" i="2"/>
  <c r="I43" i="2"/>
  <c r="J43" i="2"/>
  <c r="K43" i="2"/>
  <c r="B44" i="2"/>
  <c r="E44" i="2"/>
  <c r="F44" i="2"/>
  <c r="G44" i="2"/>
  <c r="H44" i="2"/>
  <c r="I44" i="2"/>
  <c r="J44" i="2"/>
  <c r="K44" i="2"/>
  <c r="B45" i="2"/>
  <c r="E45" i="2"/>
  <c r="F45" i="2"/>
  <c r="G45" i="2"/>
  <c r="H45" i="2"/>
  <c r="I45" i="2"/>
  <c r="J45" i="2"/>
  <c r="K45" i="2"/>
  <c r="B46" i="2"/>
  <c r="E46" i="2"/>
  <c r="F46" i="2"/>
  <c r="G46" i="2"/>
  <c r="H46" i="2"/>
  <c r="I46" i="2"/>
  <c r="J46" i="2"/>
  <c r="K46" i="2"/>
  <c r="B47" i="2"/>
  <c r="E47" i="2"/>
  <c r="F47" i="2"/>
  <c r="G47" i="2"/>
  <c r="H47" i="2"/>
  <c r="I47" i="2"/>
  <c r="J47" i="2"/>
  <c r="K47" i="2"/>
  <c r="B48" i="2"/>
  <c r="E48" i="2"/>
  <c r="F48" i="2"/>
  <c r="G48" i="2"/>
  <c r="H48" i="2"/>
  <c r="I48" i="2"/>
  <c r="J48" i="2"/>
  <c r="K48" i="2"/>
  <c r="B49" i="2"/>
  <c r="E49" i="2"/>
  <c r="F49" i="2"/>
  <c r="G49" i="2"/>
  <c r="H49" i="2"/>
  <c r="I49" i="2"/>
  <c r="J49" i="2"/>
  <c r="K49" i="2"/>
  <c r="B50" i="2"/>
  <c r="E50" i="2"/>
  <c r="F50" i="2"/>
  <c r="G50" i="2"/>
  <c r="H50" i="2"/>
  <c r="I50" i="2"/>
  <c r="J50" i="2"/>
  <c r="K50" i="2"/>
  <c r="B51" i="2"/>
  <c r="E51" i="2"/>
  <c r="F51" i="2"/>
  <c r="G51" i="2"/>
  <c r="H51" i="2"/>
  <c r="I51" i="2"/>
  <c r="J51" i="2"/>
  <c r="K51" i="2"/>
  <c r="B52" i="2"/>
  <c r="E52" i="2"/>
  <c r="F52" i="2"/>
  <c r="G52" i="2"/>
  <c r="H52" i="2"/>
  <c r="I52" i="2"/>
  <c r="J52" i="2"/>
  <c r="K52" i="2"/>
  <c r="B53" i="2"/>
  <c r="E53" i="2"/>
  <c r="F53" i="2"/>
  <c r="G53" i="2"/>
  <c r="H53" i="2"/>
  <c r="I53" i="2"/>
  <c r="J53" i="2"/>
  <c r="K53" i="2"/>
  <c r="B54" i="2"/>
  <c r="E54" i="2"/>
  <c r="F54" i="2"/>
  <c r="G54" i="2"/>
  <c r="H54" i="2"/>
  <c r="I54" i="2"/>
  <c r="J54" i="2"/>
  <c r="K54" i="2"/>
  <c r="B55" i="2"/>
  <c r="E55" i="2"/>
  <c r="F55" i="2"/>
  <c r="G55" i="2"/>
  <c r="H55" i="2"/>
  <c r="I55" i="2"/>
  <c r="J55" i="2"/>
  <c r="K55" i="2"/>
  <c r="B56" i="2"/>
  <c r="E56" i="2"/>
  <c r="F56" i="2"/>
  <c r="G56" i="2"/>
  <c r="H56" i="2"/>
  <c r="I56" i="2"/>
  <c r="J56" i="2"/>
  <c r="K56" i="2"/>
  <c r="B57" i="2"/>
  <c r="E57" i="2"/>
  <c r="F57" i="2"/>
  <c r="G57" i="2"/>
  <c r="H57" i="2"/>
  <c r="I57" i="2"/>
  <c r="J57" i="2"/>
  <c r="K57" i="2"/>
  <c r="B58" i="2"/>
  <c r="E58" i="2"/>
  <c r="F58" i="2"/>
  <c r="G58" i="2"/>
  <c r="H58" i="2"/>
  <c r="I58" i="2"/>
  <c r="J58" i="2"/>
  <c r="K58" i="2"/>
  <c r="B59" i="2"/>
  <c r="E59" i="2"/>
  <c r="F59" i="2"/>
  <c r="G59" i="2"/>
  <c r="H59" i="2"/>
  <c r="I59" i="2"/>
  <c r="J59" i="2"/>
  <c r="K59" i="2"/>
  <c r="B60" i="2"/>
  <c r="E60" i="2"/>
  <c r="F60" i="2"/>
  <c r="G60" i="2"/>
  <c r="H60" i="2"/>
  <c r="I60" i="2"/>
  <c r="J60" i="2"/>
  <c r="K60" i="2"/>
  <c r="B61" i="2"/>
  <c r="E61" i="2"/>
  <c r="F61" i="2"/>
  <c r="G61" i="2"/>
  <c r="H61" i="2"/>
  <c r="I61" i="2"/>
  <c r="J61" i="2"/>
  <c r="K61" i="2"/>
  <c r="B62" i="2"/>
  <c r="E62" i="2"/>
  <c r="F62" i="2"/>
  <c r="G62" i="2"/>
  <c r="H62" i="2"/>
  <c r="I62" i="2"/>
  <c r="J62" i="2"/>
  <c r="K62" i="2"/>
  <c r="B63" i="2"/>
  <c r="E63" i="2"/>
  <c r="F63" i="2"/>
  <c r="G63" i="2"/>
  <c r="H63" i="2"/>
  <c r="I63" i="2"/>
  <c r="J63" i="2"/>
  <c r="K63" i="2"/>
  <c r="B64" i="2"/>
  <c r="E64" i="2"/>
  <c r="F64" i="2"/>
  <c r="G64" i="2"/>
  <c r="H64" i="2"/>
  <c r="I64" i="2"/>
  <c r="J64" i="2"/>
  <c r="K64" i="2"/>
  <c r="B65" i="2"/>
  <c r="E65" i="2"/>
  <c r="F65" i="2"/>
  <c r="G65" i="2"/>
  <c r="H65" i="2"/>
  <c r="I65" i="2"/>
  <c r="J65" i="2"/>
  <c r="K65" i="2"/>
  <c r="B66" i="2"/>
  <c r="E66" i="2"/>
  <c r="F66" i="2"/>
  <c r="G66" i="2"/>
  <c r="H66" i="2"/>
  <c r="I66" i="2"/>
  <c r="J66" i="2"/>
  <c r="K66" i="2"/>
  <c r="B67" i="2"/>
  <c r="E67" i="2"/>
  <c r="F67" i="2"/>
  <c r="G67" i="2"/>
  <c r="H67" i="2"/>
  <c r="I67" i="2"/>
  <c r="J67" i="2"/>
  <c r="K67" i="2"/>
  <c r="B68" i="2"/>
  <c r="E68" i="2"/>
  <c r="F68" i="2"/>
  <c r="G68" i="2"/>
  <c r="H68" i="2"/>
  <c r="I68" i="2"/>
  <c r="J68" i="2"/>
  <c r="K68" i="2"/>
  <c r="B69" i="2"/>
  <c r="E69" i="2"/>
  <c r="F69" i="2"/>
  <c r="G69" i="2"/>
  <c r="H69" i="2"/>
  <c r="I69" i="2"/>
  <c r="J69" i="2"/>
  <c r="K69" i="2"/>
  <c r="B70" i="2"/>
  <c r="E70" i="2"/>
  <c r="F70" i="2"/>
  <c r="G70" i="2"/>
  <c r="H70" i="2"/>
  <c r="I70" i="2"/>
  <c r="J70" i="2"/>
  <c r="K70" i="2"/>
  <c r="B71" i="2"/>
  <c r="E71" i="2"/>
  <c r="F71" i="2"/>
  <c r="G71" i="2"/>
  <c r="H71" i="2"/>
  <c r="I71" i="2"/>
  <c r="J71" i="2"/>
  <c r="K71" i="2"/>
  <c r="B72" i="2"/>
  <c r="E72" i="2"/>
  <c r="F72" i="2"/>
  <c r="G72" i="2"/>
  <c r="H72" i="2"/>
  <c r="I72" i="2"/>
  <c r="J72" i="2"/>
  <c r="K72" i="2"/>
  <c r="B73" i="2"/>
  <c r="E73" i="2"/>
  <c r="F73" i="2"/>
  <c r="G73" i="2"/>
  <c r="H73" i="2"/>
  <c r="I73" i="2"/>
  <c r="J73" i="2"/>
  <c r="K73" i="2"/>
  <c r="B74" i="2"/>
  <c r="E74" i="2"/>
  <c r="F74" i="2"/>
  <c r="G74" i="2"/>
  <c r="H74" i="2"/>
  <c r="I74" i="2"/>
  <c r="J74" i="2"/>
  <c r="K74" i="2"/>
  <c r="B75" i="2"/>
  <c r="E75" i="2"/>
  <c r="F75" i="2"/>
  <c r="G75" i="2"/>
  <c r="H75" i="2"/>
  <c r="I75" i="2"/>
  <c r="J75" i="2"/>
  <c r="K75" i="2"/>
  <c r="B76" i="2"/>
  <c r="E76" i="2"/>
  <c r="F76" i="2"/>
  <c r="G76" i="2"/>
  <c r="H76" i="2"/>
  <c r="I76" i="2"/>
  <c r="J76" i="2"/>
  <c r="K76" i="2"/>
  <c r="B77" i="2"/>
  <c r="E77" i="2"/>
  <c r="F77" i="2"/>
  <c r="G77" i="2"/>
  <c r="H77" i="2"/>
  <c r="I77" i="2"/>
  <c r="J77" i="2"/>
  <c r="K77" i="2"/>
  <c r="B78" i="2"/>
  <c r="E78" i="2"/>
  <c r="F78" i="2"/>
  <c r="G78" i="2"/>
  <c r="H78" i="2"/>
  <c r="I78" i="2"/>
  <c r="J78" i="2"/>
  <c r="K78" i="2"/>
  <c r="B79" i="2"/>
  <c r="E79" i="2"/>
  <c r="F79" i="2"/>
  <c r="G79" i="2"/>
  <c r="H79" i="2"/>
  <c r="I79" i="2"/>
  <c r="J79" i="2"/>
  <c r="K79" i="2"/>
  <c r="B80" i="2"/>
  <c r="E80" i="2"/>
  <c r="F80" i="2"/>
  <c r="G80" i="2"/>
  <c r="H80" i="2"/>
  <c r="I80" i="2"/>
  <c r="J80" i="2"/>
  <c r="K80" i="2"/>
  <c r="B81" i="2"/>
  <c r="E81" i="2"/>
  <c r="F81" i="2"/>
  <c r="G81" i="2"/>
  <c r="H81" i="2"/>
  <c r="I81" i="2"/>
  <c r="J81" i="2"/>
  <c r="K81" i="2"/>
  <c r="B82" i="2"/>
  <c r="E82" i="2"/>
  <c r="F82" i="2"/>
  <c r="G82" i="2"/>
  <c r="H82" i="2"/>
  <c r="I82" i="2"/>
  <c r="J82" i="2"/>
  <c r="K82" i="2"/>
  <c r="B83" i="2"/>
  <c r="E83" i="2"/>
  <c r="F83" i="2"/>
  <c r="G83" i="2"/>
  <c r="H83" i="2"/>
  <c r="I83" i="2"/>
  <c r="J83" i="2"/>
  <c r="K83" i="2"/>
  <c r="B84" i="2"/>
  <c r="E84" i="2"/>
  <c r="F84" i="2"/>
  <c r="G84" i="2"/>
  <c r="H84" i="2"/>
  <c r="I84" i="2"/>
  <c r="J84" i="2"/>
  <c r="K84" i="2"/>
  <c r="B85" i="2"/>
  <c r="E85" i="2"/>
  <c r="F85" i="2"/>
  <c r="G85" i="2"/>
  <c r="H85" i="2"/>
  <c r="I85" i="2"/>
  <c r="J85" i="2"/>
  <c r="K85" i="2"/>
  <c r="B86" i="2"/>
  <c r="E86" i="2"/>
  <c r="F86" i="2"/>
  <c r="G86" i="2"/>
  <c r="H86" i="2"/>
  <c r="I86" i="2"/>
  <c r="J86" i="2"/>
  <c r="K86" i="2"/>
  <c r="B87" i="2"/>
  <c r="E87" i="2"/>
  <c r="F87" i="2"/>
  <c r="G87" i="2"/>
  <c r="H87" i="2"/>
  <c r="I87" i="2"/>
  <c r="J87" i="2"/>
  <c r="K87" i="2"/>
  <c r="B88" i="2"/>
  <c r="E88" i="2"/>
  <c r="F88" i="2"/>
  <c r="G88" i="2"/>
  <c r="H88" i="2"/>
  <c r="I88" i="2"/>
  <c r="J88" i="2"/>
  <c r="K88" i="2"/>
  <c r="B89" i="2"/>
  <c r="E89" i="2"/>
  <c r="F89" i="2"/>
  <c r="G89" i="2"/>
  <c r="H89" i="2"/>
  <c r="I89" i="2"/>
  <c r="J89" i="2"/>
  <c r="K89" i="2"/>
  <c r="B90" i="2"/>
  <c r="E90" i="2"/>
  <c r="F90" i="2"/>
  <c r="G90" i="2"/>
  <c r="H90" i="2"/>
  <c r="I90" i="2"/>
  <c r="J90" i="2"/>
  <c r="K90" i="2"/>
  <c r="B91" i="2"/>
  <c r="E91" i="2"/>
  <c r="F91" i="2"/>
  <c r="G91" i="2"/>
  <c r="H91" i="2"/>
  <c r="I91" i="2"/>
  <c r="J91" i="2"/>
  <c r="K91" i="2"/>
  <c r="B92" i="2"/>
  <c r="E92" i="2"/>
  <c r="F92" i="2"/>
  <c r="G92" i="2"/>
  <c r="H92" i="2"/>
  <c r="I92" i="2"/>
  <c r="J92" i="2"/>
  <c r="K92" i="2"/>
  <c r="B93" i="2"/>
  <c r="E93" i="2"/>
  <c r="F93" i="2"/>
  <c r="G93" i="2"/>
  <c r="H93" i="2"/>
  <c r="I93" i="2"/>
  <c r="J93" i="2"/>
  <c r="K93" i="2"/>
  <c r="B94" i="2"/>
  <c r="E94" i="2"/>
  <c r="F94" i="2"/>
  <c r="G94" i="2"/>
  <c r="H94" i="2"/>
  <c r="I94" i="2"/>
  <c r="J94" i="2"/>
  <c r="K94" i="2"/>
  <c r="B95" i="2"/>
  <c r="E95" i="2"/>
  <c r="F95" i="2"/>
  <c r="G95" i="2"/>
  <c r="H95" i="2"/>
  <c r="I95" i="2"/>
  <c r="J95" i="2"/>
  <c r="K95" i="2"/>
  <c r="B96" i="2"/>
  <c r="E96" i="2"/>
  <c r="F96" i="2"/>
  <c r="G96" i="2"/>
  <c r="H96" i="2"/>
  <c r="I96" i="2"/>
  <c r="J96" i="2"/>
  <c r="K96" i="2"/>
  <c r="B97" i="2"/>
  <c r="E97" i="2"/>
  <c r="F97" i="2"/>
  <c r="G97" i="2"/>
  <c r="H97" i="2"/>
  <c r="I97" i="2"/>
  <c r="J97" i="2"/>
  <c r="K97" i="2"/>
  <c r="B98" i="2"/>
  <c r="E98" i="2"/>
  <c r="F98" i="2"/>
  <c r="G98" i="2"/>
  <c r="H98" i="2"/>
  <c r="I98" i="2"/>
  <c r="J98" i="2"/>
  <c r="K98" i="2"/>
  <c r="B99" i="2"/>
  <c r="E99" i="2"/>
  <c r="F99" i="2"/>
  <c r="G99" i="2"/>
  <c r="H99" i="2"/>
  <c r="I99" i="2"/>
  <c r="J99" i="2"/>
  <c r="K99" i="2"/>
  <c r="B100" i="2"/>
  <c r="E100" i="2"/>
  <c r="F100" i="2"/>
  <c r="G100" i="2"/>
  <c r="H100" i="2"/>
  <c r="I100" i="2"/>
  <c r="J100" i="2"/>
  <c r="K100" i="2"/>
  <c r="B101" i="2"/>
  <c r="E101" i="2"/>
  <c r="F101" i="2"/>
  <c r="G101" i="2"/>
  <c r="H101" i="2"/>
  <c r="I101" i="2"/>
  <c r="J101" i="2"/>
  <c r="K101" i="2"/>
  <c r="B102" i="2"/>
  <c r="E102" i="2"/>
  <c r="F102" i="2"/>
  <c r="G102" i="2"/>
  <c r="H102" i="2"/>
  <c r="I102" i="2"/>
  <c r="J102" i="2"/>
  <c r="K102" i="2"/>
  <c r="B103" i="2"/>
  <c r="E103" i="2"/>
  <c r="F103" i="2"/>
  <c r="G103" i="2"/>
  <c r="H103" i="2"/>
  <c r="I103" i="2"/>
  <c r="J103" i="2"/>
  <c r="K103" i="2"/>
  <c r="B104" i="2"/>
  <c r="E104" i="2"/>
  <c r="F104" i="2"/>
  <c r="G104" i="2"/>
  <c r="H104" i="2"/>
  <c r="I104" i="2"/>
  <c r="J104" i="2"/>
  <c r="K104" i="2"/>
  <c r="B105" i="2"/>
  <c r="E105" i="2"/>
  <c r="F105" i="2"/>
  <c r="G105" i="2"/>
  <c r="H105" i="2"/>
  <c r="I105" i="2"/>
  <c r="J105" i="2"/>
  <c r="K105" i="2"/>
  <c r="B106" i="2"/>
  <c r="E106" i="2"/>
  <c r="F106" i="2"/>
  <c r="G106" i="2"/>
  <c r="H106" i="2"/>
  <c r="I106" i="2"/>
  <c r="J106" i="2"/>
  <c r="K106" i="2"/>
  <c r="B107" i="2"/>
  <c r="E107" i="2"/>
  <c r="F107" i="2"/>
  <c r="G107" i="2"/>
  <c r="H107" i="2"/>
  <c r="I107" i="2"/>
  <c r="J107" i="2"/>
  <c r="K107" i="2"/>
  <c r="B108" i="2"/>
  <c r="E108" i="2"/>
  <c r="F108" i="2"/>
  <c r="G108" i="2"/>
  <c r="H108" i="2"/>
  <c r="I108" i="2"/>
  <c r="J108" i="2"/>
  <c r="K108" i="2"/>
  <c r="B109" i="2"/>
  <c r="E109" i="2"/>
  <c r="F109" i="2"/>
  <c r="G109" i="2"/>
  <c r="H109" i="2"/>
  <c r="I109" i="2"/>
  <c r="J109" i="2"/>
  <c r="K109" i="2"/>
  <c r="B110" i="2"/>
  <c r="E110" i="2"/>
  <c r="F110" i="2"/>
  <c r="G110" i="2"/>
  <c r="H110" i="2"/>
  <c r="I110" i="2"/>
  <c r="J110" i="2"/>
  <c r="K110" i="2"/>
  <c r="B111" i="2"/>
  <c r="E111" i="2"/>
  <c r="F111" i="2"/>
  <c r="G111" i="2"/>
  <c r="H111" i="2"/>
  <c r="I111" i="2"/>
  <c r="J111" i="2"/>
  <c r="K111" i="2"/>
  <c r="B112" i="2"/>
  <c r="E112" i="2"/>
  <c r="F112" i="2"/>
  <c r="G112" i="2"/>
  <c r="H112" i="2"/>
  <c r="I112" i="2"/>
  <c r="J112" i="2"/>
  <c r="K112" i="2"/>
  <c r="B113" i="2"/>
  <c r="E113" i="2"/>
  <c r="F113" i="2"/>
  <c r="G113" i="2"/>
  <c r="H113" i="2"/>
  <c r="I113" i="2"/>
  <c r="J113" i="2"/>
  <c r="K113" i="2"/>
  <c r="B114" i="2"/>
  <c r="E114" i="2"/>
  <c r="F114" i="2"/>
  <c r="G114" i="2"/>
  <c r="H114" i="2"/>
  <c r="I114" i="2"/>
  <c r="J114" i="2"/>
  <c r="K114" i="2"/>
  <c r="B115" i="2"/>
  <c r="E115" i="2"/>
  <c r="F115" i="2"/>
  <c r="G115" i="2"/>
  <c r="H115" i="2"/>
  <c r="I115" i="2"/>
  <c r="J115" i="2"/>
  <c r="K115" i="2"/>
  <c r="B116" i="2"/>
  <c r="E116" i="2"/>
  <c r="F116" i="2"/>
  <c r="G116" i="2"/>
  <c r="H116" i="2"/>
  <c r="I116" i="2"/>
  <c r="J116" i="2"/>
  <c r="K116" i="2"/>
  <c r="B117" i="2"/>
  <c r="E117" i="2"/>
  <c r="F117" i="2"/>
  <c r="G117" i="2"/>
  <c r="H117" i="2"/>
  <c r="I117" i="2"/>
  <c r="J117" i="2"/>
  <c r="K117" i="2"/>
  <c r="B118" i="2"/>
  <c r="E118" i="2"/>
  <c r="F118" i="2"/>
  <c r="G118" i="2"/>
  <c r="H118" i="2"/>
  <c r="I118" i="2"/>
  <c r="J118" i="2"/>
  <c r="K118" i="2"/>
  <c r="B119" i="2"/>
  <c r="E119" i="2"/>
  <c r="F119" i="2"/>
  <c r="G119" i="2"/>
  <c r="H119" i="2"/>
  <c r="I119" i="2"/>
  <c r="J119" i="2"/>
  <c r="K119" i="2"/>
  <c r="B120" i="2"/>
  <c r="E120" i="2"/>
  <c r="F120" i="2"/>
  <c r="G120" i="2"/>
  <c r="H120" i="2"/>
  <c r="I120" i="2"/>
  <c r="J120" i="2"/>
  <c r="K120" i="2"/>
  <c r="B121" i="2"/>
  <c r="E121" i="2"/>
  <c r="F121" i="2"/>
  <c r="G121" i="2"/>
  <c r="H121" i="2"/>
  <c r="I121" i="2"/>
  <c r="J121" i="2"/>
  <c r="K121" i="2"/>
  <c r="B122" i="2"/>
  <c r="E122" i="2"/>
  <c r="F122" i="2"/>
  <c r="G122" i="2"/>
  <c r="H122" i="2"/>
  <c r="I122" i="2"/>
  <c r="J122" i="2"/>
  <c r="K122" i="2"/>
  <c r="B123" i="2"/>
  <c r="E123" i="2"/>
  <c r="F123" i="2"/>
  <c r="G123" i="2"/>
  <c r="H123" i="2"/>
  <c r="I123" i="2"/>
  <c r="J123" i="2"/>
  <c r="K123" i="2"/>
  <c r="B124" i="2"/>
  <c r="E124" i="2"/>
  <c r="F124" i="2"/>
  <c r="G124" i="2"/>
  <c r="H124" i="2"/>
  <c r="I124" i="2"/>
  <c r="J124" i="2"/>
  <c r="K124" i="2"/>
  <c r="B125" i="2"/>
  <c r="E125" i="2"/>
  <c r="F125" i="2"/>
  <c r="G125" i="2"/>
  <c r="H125" i="2"/>
  <c r="I125" i="2"/>
  <c r="J125" i="2"/>
  <c r="K125" i="2"/>
  <c r="B126" i="2"/>
  <c r="E126" i="2"/>
  <c r="F126" i="2"/>
  <c r="G126" i="2"/>
  <c r="H126" i="2"/>
  <c r="I126" i="2"/>
  <c r="J126" i="2"/>
  <c r="K126" i="2"/>
  <c r="B127" i="2"/>
  <c r="E127" i="2"/>
  <c r="F127" i="2"/>
  <c r="G127" i="2"/>
  <c r="H127" i="2"/>
  <c r="I127" i="2"/>
  <c r="J127" i="2"/>
  <c r="K127" i="2"/>
  <c r="B128" i="2"/>
  <c r="E128" i="2"/>
  <c r="F128" i="2"/>
  <c r="G128" i="2"/>
  <c r="H128" i="2"/>
  <c r="I128" i="2"/>
  <c r="J128" i="2"/>
  <c r="K128" i="2"/>
  <c r="B129" i="2"/>
  <c r="E129" i="2"/>
  <c r="F129" i="2"/>
  <c r="G129" i="2"/>
  <c r="H129" i="2"/>
  <c r="I129" i="2"/>
  <c r="J129" i="2"/>
  <c r="K129" i="2"/>
  <c r="B130" i="2"/>
  <c r="E130" i="2"/>
  <c r="F130" i="2"/>
  <c r="G130" i="2"/>
  <c r="H130" i="2"/>
  <c r="I130" i="2"/>
  <c r="J130" i="2"/>
  <c r="K130" i="2"/>
  <c r="B131" i="2"/>
  <c r="E131" i="2"/>
  <c r="F131" i="2"/>
  <c r="G131" i="2"/>
  <c r="H131" i="2"/>
  <c r="I131" i="2"/>
  <c r="J131" i="2"/>
  <c r="K131" i="2"/>
  <c r="B132" i="2"/>
  <c r="E132" i="2"/>
  <c r="F132" i="2"/>
  <c r="G132" i="2"/>
  <c r="H132" i="2"/>
  <c r="I132" i="2"/>
  <c r="J132" i="2"/>
  <c r="K132" i="2"/>
  <c r="B133" i="2"/>
  <c r="E133" i="2"/>
  <c r="F133" i="2"/>
  <c r="G133" i="2"/>
  <c r="H133" i="2"/>
  <c r="I133" i="2"/>
  <c r="J133" i="2"/>
  <c r="K133" i="2"/>
  <c r="B134" i="2"/>
  <c r="E134" i="2"/>
  <c r="F134" i="2"/>
  <c r="G134" i="2"/>
  <c r="H134" i="2"/>
  <c r="I134" i="2"/>
  <c r="J134" i="2"/>
  <c r="K134" i="2"/>
  <c r="B135" i="2"/>
  <c r="E135" i="2"/>
  <c r="F135" i="2"/>
  <c r="G135" i="2"/>
  <c r="H135" i="2"/>
  <c r="I135" i="2"/>
  <c r="J135" i="2"/>
  <c r="K135" i="2"/>
  <c r="B136" i="2"/>
  <c r="E136" i="2"/>
  <c r="F136" i="2"/>
  <c r="G136" i="2"/>
  <c r="H136" i="2"/>
  <c r="I136" i="2"/>
  <c r="J136" i="2"/>
  <c r="K136" i="2"/>
  <c r="B137" i="2"/>
  <c r="E137" i="2"/>
  <c r="F137" i="2"/>
  <c r="G137" i="2"/>
  <c r="H137" i="2"/>
  <c r="I137" i="2"/>
  <c r="J137" i="2"/>
  <c r="K137" i="2"/>
  <c r="B138" i="2"/>
  <c r="E138" i="2"/>
  <c r="F138" i="2"/>
  <c r="G138" i="2"/>
  <c r="H138" i="2"/>
  <c r="I138" i="2"/>
  <c r="J138" i="2"/>
  <c r="K138" i="2"/>
  <c r="B139" i="2"/>
  <c r="E139" i="2"/>
  <c r="F139" i="2"/>
  <c r="G139" i="2"/>
  <c r="H139" i="2"/>
  <c r="I139" i="2"/>
  <c r="J139" i="2"/>
  <c r="K139" i="2"/>
  <c r="B140" i="2"/>
  <c r="E140" i="2"/>
  <c r="F140" i="2"/>
  <c r="G140" i="2"/>
  <c r="H140" i="2"/>
  <c r="I140" i="2"/>
  <c r="J140" i="2"/>
  <c r="K140" i="2"/>
  <c r="B141" i="2"/>
  <c r="E141" i="2"/>
  <c r="F141" i="2"/>
  <c r="G141" i="2"/>
  <c r="H141" i="2"/>
  <c r="I141" i="2"/>
  <c r="J141" i="2"/>
  <c r="K141" i="2"/>
  <c r="B142" i="2"/>
  <c r="E142" i="2"/>
  <c r="F142" i="2"/>
  <c r="G142" i="2"/>
  <c r="H142" i="2"/>
  <c r="I142" i="2"/>
  <c r="J142" i="2"/>
  <c r="K142" i="2"/>
  <c r="B143" i="2"/>
  <c r="E143" i="2"/>
  <c r="F143" i="2"/>
  <c r="G143" i="2"/>
  <c r="H143" i="2"/>
  <c r="I143" i="2"/>
  <c r="J143" i="2"/>
  <c r="K143" i="2"/>
  <c r="B144" i="2"/>
  <c r="E144" i="2"/>
  <c r="F144" i="2"/>
  <c r="G144" i="2"/>
  <c r="H144" i="2"/>
  <c r="I144" i="2"/>
  <c r="J144" i="2"/>
  <c r="K144" i="2"/>
  <c r="B145" i="2"/>
  <c r="E145" i="2"/>
  <c r="F145" i="2"/>
  <c r="G145" i="2"/>
  <c r="H145" i="2"/>
  <c r="I145" i="2"/>
  <c r="J145" i="2"/>
  <c r="K145" i="2"/>
  <c r="B146" i="2"/>
  <c r="E146" i="2"/>
  <c r="F146" i="2"/>
  <c r="G146" i="2"/>
  <c r="H146" i="2"/>
  <c r="I146" i="2"/>
  <c r="J146" i="2"/>
  <c r="K146" i="2"/>
  <c r="B147" i="2"/>
  <c r="E147" i="2"/>
  <c r="F147" i="2"/>
  <c r="G147" i="2"/>
  <c r="H147" i="2"/>
  <c r="I147" i="2"/>
  <c r="J147" i="2"/>
  <c r="K147" i="2"/>
  <c r="B148" i="2"/>
  <c r="E148" i="2"/>
  <c r="F148" i="2"/>
  <c r="G148" i="2"/>
  <c r="H148" i="2"/>
  <c r="I148" i="2"/>
  <c r="J148" i="2"/>
  <c r="K148" i="2"/>
  <c r="B149" i="2"/>
  <c r="E149" i="2"/>
  <c r="F149" i="2"/>
  <c r="G149" i="2"/>
  <c r="H149" i="2"/>
  <c r="I149" i="2"/>
  <c r="J149" i="2"/>
  <c r="K149" i="2"/>
  <c r="B150" i="2"/>
  <c r="E150" i="2"/>
  <c r="F150" i="2"/>
  <c r="G150" i="2"/>
  <c r="H150" i="2"/>
  <c r="I150" i="2"/>
  <c r="J150" i="2"/>
  <c r="K150" i="2"/>
  <c r="B151" i="2"/>
  <c r="E151" i="2"/>
  <c r="F151" i="2"/>
  <c r="G151" i="2"/>
  <c r="H151" i="2"/>
  <c r="I151" i="2"/>
  <c r="J151" i="2"/>
  <c r="K151" i="2"/>
  <c r="B152" i="2"/>
  <c r="E152" i="2"/>
  <c r="F152" i="2"/>
  <c r="G152" i="2"/>
  <c r="H152" i="2"/>
  <c r="I152" i="2"/>
  <c r="J152" i="2"/>
  <c r="K152" i="2"/>
  <c r="B153" i="2"/>
  <c r="E153" i="2"/>
  <c r="F153" i="2"/>
  <c r="G153" i="2"/>
  <c r="H153" i="2"/>
  <c r="I153" i="2"/>
  <c r="J153" i="2"/>
  <c r="K153" i="2"/>
  <c r="B154" i="2"/>
  <c r="E154" i="2"/>
  <c r="F154" i="2"/>
  <c r="G154" i="2"/>
  <c r="H154" i="2"/>
  <c r="I154" i="2"/>
  <c r="J154" i="2"/>
  <c r="K154" i="2"/>
  <c r="B155" i="2"/>
  <c r="E155" i="2"/>
  <c r="F155" i="2"/>
  <c r="G155" i="2"/>
  <c r="H155" i="2"/>
  <c r="I155" i="2"/>
  <c r="J155" i="2"/>
  <c r="K155" i="2"/>
  <c r="B156" i="2"/>
  <c r="E156" i="2"/>
  <c r="F156" i="2"/>
  <c r="G156" i="2"/>
  <c r="H156" i="2"/>
  <c r="I156" i="2"/>
  <c r="J156" i="2"/>
  <c r="K156" i="2"/>
  <c r="B157" i="2"/>
  <c r="E157" i="2"/>
  <c r="F157" i="2"/>
  <c r="G157" i="2"/>
  <c r="H157" i="2"/>
  <c r="I157" i="2"/>
  <c r="J157" i="2"/>
  <c r="K157" i="2"/>
  <c r="B158" i="2"/>
  <c r="E158" i="2"/>
  <c r="F158" i="2"/>
  <c r="G158" i="2"/>
  <c r="H158" i="2"/>
  <c r="I158" i="2"/>
  <c r="J158" i="2"/>
  <c r="K158" i="2"/>
  <c r="B159" i="2"/>
  <c r="E159" i="2"/>
  <c r="F159" i="2"/>
  <c r="G159" i="2"/>
  <c r="H159" i="2"/>
  <c r="I159" i="2"/>
  <c r="J159" i="2"/>
  <c r="K159" i="2"/>
  <c r="B160" i="2"/>
  <c r="E160" i="2"/>
  <c r="F160" i="2"/>
  <c r="G160" i="2"/>
  <c r="H160" i="2"/>
  <c r="I160" i="2"/>
  <c r="J160" i="2"/>
  <c r="K160" i="2"/>
  <c r="B161" i="2"/>
  <c r="E161" i="2"/>
  <c r="F161" i="2"/>
  <c r="G161" i="2"/>
  <c r="H161" i="2"/>
  <c r="I161" i="2"/>
  <c r="J161" i="2"/>
  <c r="K161" i="2"/>
  <c r="B162" i="2"/>
  <c r="E162" i="2"/>
  <c r="F162" i="2"/>
  <c r="G162" i="2"/>
  <c r="H162" i="2"/>
  <c r="I162" i="2"/>
  <c r="J162" i="2"/>
  <c r="K162" i="2"/>
  <c r="B163" i="2"/>
  <c r="E163" i="2"/>
  <c r="F163" i="2"/>
  <c r="G163" i="2"/>
  <c r="H163" i="2"/>
  <c r="I163" i="2"/>
  <c r="J163" i="2"/>
  <c r="K163" i="2"/>
  <c r="B164" i="2"/>
  <c r="E164" i="2"/>
  <c r="F164" i="2"/>
  <c r="G164" i="2"/>
  <c r="H164" i="2"/>
  <c r="I164" i="2"/>
  <c r="J164" i="2"/>
  <c r="K164" i="2"/>
  <c r="B165" i="2"/>
  <c r="E165" i="2"/>
  <c r="F165" i="2"/>
  <c r="G165" i="2"/>
  <c r="H165" i="2"/>
  <c r="I165" i="2"/>
  <c r="J165" i="2"/>
  <c r="K165" i="2"/>
  <c r="B166" i="2"/>
  <c r="E166" i="2"/>
  <c r="F166" i="2"/>
  <c r="G166" i="2"/>
  <c r="H166" i="2"/>
  <c r="I166" i="2"/>
  <c r="J166" i="2"/>
  <c r="K166" i="2"/>
  <c r="B167" i="2"/>
  <c r="E167" i="2"/>
  <c r="F167" i="2"/>
  <c r="G167" i="2"/>
  <c r="H167" i="2"/>
  <c r="I167" i="2"/>
  <c r="J167" i="2"/>
  <c r="K167" i="2"/>
  <c r="B168" i="2"/>
  <c r="E168" i="2"/>
  <c r="F168" i="2"/>
  <c r="G168" i="2"/>
  <c r="H168" i="2"/>
  <c r="I168" i="2"/>
  <c r="J168" i="2"/>
  <c r="K168" i="2"/>
  <c r="B169" i="2"/>
  <c r="E169" i="2"/>
  <c r="F169" i="2"/>
  <c r="G169" i="2"/>
  <c r="H169" i="2"/>
  <c r="I169" i="2"/>
  <c r="J169" i="2"/>
  <c r="K169" i="2"/>
  <c r="B170" i="2"/>
  <c r="E170" i="2"/>
  <c r="F170" i="2"/>
  <c r="G170" i="2"/>
  <c r="H170" i="2"/>
  <c r="I170" i="2"/>
  <c r="J170" i="2"/>
  <c r="K170" i="2"/>
  <c r="B171" i="2"/>
  <c r="E171" i="2"/>
  <c r="F171" i="2"/>
  <c r="G171" i="2"/>
  <c r="H171" i="2"/>
  <c r="I171" i="2"/>
  <c r="J171" i="2"/>
  <c r="K171" i="2"/>
  <c r="B172" i="2"/>
  <c r="E172" i="2"/>
  <c r="F172" i="2"/>
  <c r="G172" i="2"/>
  <c r="H172" i="2"/>
  <c r="I172" i="2"/>
  <c r="J172" i="2"/>
  <c r="K172" i="2"/>
  <c r="B173" i="2"/>
  <c r="E173" i="2"/>
  <c r="F173" i="2"/>
  <c r="G173" i="2"/>
  <c r="H173" i="2"/>
  <c r="I173" i="2"/>
  <c r="J173" i="2"/>
  <c r="K173" i="2"/>
  <c r="B174" i="2"/>
  <c r="E174" i="2"/>
  <c r="F174" i="2"/>
  <c r="G174" i="2"/>
  <c r="H174" i="2"/>
  <c r="I174" i="2"/>
  <c r="J174" i="2"/>
  <c r="K174" i="2"/>
  <c r="B175" i="2"/>
  <c r="E175" i="2"/>
  <c r="F175" i="2"/>
  <c r="G175" i="2"/>
  <c r="H175" i="2"/>
  <c r="I175" i="2"/>
  <c r="J175" i="2"/>
  <c r="K175" i="2"/>
  <c r="B176" i="2"/>
  <c r="E176" i="2"/>
  <c r="F176" i="2"/>
  <c r="G176" i="2"/>
  <c r="H176" i="2"/>
  <c r="I176" i="2"/>
  <c r="J176" i="2"/>
  <c r="K176" i="2"/>
  <c r="B177" i="2"/>
  <c r="E177" i="2"/>
  <c r="F177" i="2"/>
  <c r="G177" i="2"/>
  <c r="H177" i="2"/>
  <c r="I177" i="2"/>
  <c r="J177" i="2"/>
  <c r="K177" i="2"/>
  <c r="B178" i="2"/>
  <c r="E178" i="2"/>
  <c r="F178" i="2"/>
  <c r="G178" i="2"/>
  <c r="H178" i="2"/>
  <c r="I178" i="2"/>
  <c r="J178" i="2"/>
  <c r="K178" i="2"/>
  <c r="B179" i="2"/>
  <c r="E179" i="2"/>
  <c r="F179" i="2"/>
  <c r="G179" i="2"/>
  <c r="H179" i="2"/>
  <c r="I179" i="2"/>
  <c r="J179" i="2"/>
  <c r="K179" i="2"/>
  <c r="B180" i="2"/>
  <c r="E180" i="2"/>
  <c r="F180" i="2"/>
  <c r="G180" i="2"/>
  <c r="H180" i="2"/>
  <c r="I180" i="2"/>
  <c r="J180" i="2"/>
  <c r="K180" i="2"/>
  <c r="B181" i="2"/>
  <c r="E181" i="2"/>
  <c r="F181" i="2"/>
  <c r="G181" i="2"/>
  <c r="H181" i="2"/>
  <c r="I181" i="2"/>
  <c r="J181" i="2"/>
  <c r="K181" i="2"/>
  <c r="B182" i="2"/>
  <c r="E182" i="2"/>
  <c r="F182" i="2"/>
  <c r="G182" i="2"/>
  <c r="H182" i="2"/>
  <c r="I182" i="2"/>
  <c r="J182" i="2"/>
  <c r="K182" i="2"/>
  <c r="B3" i="2"/>
  <c r="E3" i="2"/>
  <c r="F3" i="2"/>
  <c r="G3" i="2"/>
  <c r="H3" i="2"/>
  <c r="I3" i="2"/>
  <c r="J3" i="2"/>
  <c r="K3" i="2"/>
  <c r="B4" i="2"/>
  <c r="E4" i="2"/>
  <c r="F4" i="2"/>
  <c r="G4" i="2"/>
  <c r="H4" i="2"/>
  <c r="I4" i="2"/>
  <c r="J4" i="2"/>
  <c r="K4" i="2"/>
  <c r="B5" i="2"/>
  <c r="E5" i="2"/>
  <c r="F5" i="2"/>
  <c r="G5" i="2"/>
  <c r="H5" i="2"/>
  <c r="I5" i="2"/>
  <c r="J5" i="2"/>
  <c r="K5" i="2"/>
  <c r="B6" i="2"/>
  <c r="E6" i="2"/>
  <c r="F6" i="2"/>
  <c r="G6" i="2"/>
  <c r="H6" i="2"/>
  <c r="I6" i="2"/>
  <c r="J6" i="2"/>
  <c r="K6" i="2"/>
  <c r="B7" i="2"/>
  <c r="E7" i="2"/>
  <c r="F7" i="2"/>
  <c r="G7" i="2"/>
  <c r="H7" i="2"/>
  <c r="I7" i="2"/>
  <c r="J7" i="2"/>
  <c r="K7" i="2"/>
  <c r="B8" i="2"/>
  <c r="E8" i="2"/>
  <c r="F8" i="2"/>
  <c r="G8" i="2"/>
  <c r="H8" i="2"/>
  <c r="I8" i="2"/>
  <c r="J8" i="2"/>
  <c r="K8" i="2"/>
  <c r="B9" i="2"/>
  <c r="E9" i="2"/>
  <c r="F9" i="2"/>
  <c r="G9" i="2"/>
  <c r="H9" i="2"/>
  <c r="I9" i="2"/>
  <c r="J9" i="2"/>
  <c r="K9" i="2"/>
  <c r="B10" i="2"/>
  <c r="E10" i="2"/>
  <c r="F10" i="2"/>
  <c r="G10" i="2"/>
  <c r="H10" i="2"/>
  <c r="I10" i="2"/>
  <c r="J10" i="2"/>
  <c r="K10" i="2"/>
  <c r="B11" i="2"/>
  <c r="E11" i="2"/>
  <c r="F11" i="2"/>
  <c r="G11" i="2"/>
  <c r="H11" i="2"/>
  <c r="I11" i="2"/>
  <c r="J11" i="2"/>
  <c r="K11" i="2"/>
  <c r="B12" i="2"/>
  <c r="E12" i="2"/>
  <c r="F12" i="2"/>
  <c r="G12" i="2"/>
  <c r="H12" i="2"/>
  <c r="I12" i="2"/>
  <c r="J12" i="2"/>
  <c r="K12" i="2"/>
  <c r="B13" i="2"/>
  <c r="E13" i="2"/>
  <c r="F13" i="2"/>
  <c r="G13" i="2"/>
  <c r="H13" i="2"/>
  <c r="I13" i="2"/>
  <c r="J13" i="2"/>
  <c r="K13" i="2"/>
  <c r="B14" i="2"/>
  <c r="E14" i="2"/>
  <c r="F14" i="2"/>
  <c r="G14" i="2"/>
  <c r="H14" i="2"/>
  <c r="I14" i="2"/>
  <c r="J14" i="2"/>
  <c r="K14" i="2"/>
  <c r="B15" i="2"/>
  <c r="E15" i="2"/>
  <c r="F15" i="2"/>
  <c r="G15" i="2"/>
  <c r="H15" i="2"/>
  <c r="I15" i="2"/>
  <c r="J15" i="2"/>
  <c r="K15" i="2"/>
  <c r="B16" i="2"/>
  <c r="E16" i="2"/>
  <c r="F16" i="2"/>
  <c r="G16" i="2"/>
  <c r="H16" i="2"/>
  <c r="I16" i="2"/>
  <c r="J16" i="2"/>
  <c r="K16" i="2"/>
  <c r="B17" i="2"/>
  <c r="E17" i="2"/>
  <c r="F17" i="2"/>
  <c r="G17" i="2"/>
  <c r="H17" i="2"/>
  <c r="I17" i="2"/>
  <c r="J17" i="2"/>
  <c r="K17" i="2"/>
  <c r="B18" i="2"/>
  <c r="E18" i="2"/>
  <c r="F18" i="2"/>
  <c r="G18" i="2"/>
  <c r="H18" i="2"/>
  <c r="I18" i="2"/>
  <c r="J18" i="2"/>
  <c r="K18" i="2"/>
  <c r="B19" i="2"/>
  <c r="E19" i="2"/>
  <c r="F19" i="2"/>
  <c r="G19" i="2"/>
  <c r="H19" i="2"/>
  <c r="I19" i="2"/>
  <c r="J19" i="2"/>
  <c r="K19" i="2"/>
  <c r="B20" i="2"/>
  <c r="E20" i="2"/>
  <c r="F20" i="2"/>
  <c r="G20" i="2"/>
  <c r="H20" i="2"/>
  <c r="I20" i="2"/>
  <c r="J20" i="2"/>
  <c r="K20" i="2"/>
  <c r="B21" i="2"/>
  <c r="E21" i="2"/>
  <c r="F21" i="2"/>
  <c r="G21" i="2"/>
  <c r="H21" i="2"/>
  <c r="I21" i="2"/>
  <c r="J21" i="2"/>
  <c r="K21" i="2"/>
  <c r="B22" i="2"/>
  <c r="E22" i="2"/>
  <c r="F22" i="2"/>
  <c r="G22" i="2"/>
  <c r="H22" i="2"/>
  <c r="I22" i="2"/>
  <c r="J22" i="2"/>
  <c r="K22" i="2"/>
  <c r="B23" i="2"/>
  <c r="E23" i="2"/>
  <c r="F23" i="2"/>
  <c r="G23" i="2"/>
  <c r="H23" i="2"/>
  <c r="I23" i="2"/>
  <c r="J23" i="2"/>
  <c r="K23" i="2"/>
  <c r="B24" i="2"/>
  <c r="E24" i="2"/>
  <c r="F24" i="2"/>
  <c r="G24" i="2"/>
  <c r="H24" i="2"/>
  <c r="I24" i="2"/>
  <c r="J24" i="2"/>
  <c r="K24" i="2"/>
  <c r="Z1" i="7"/>
  <c r="L3" i="4"/>
  <c r="L2" i="4"/>
  <c r="W2" i="7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C3" i="4"/>
  <c r="F3" i="4"/>
  <c r="G3" i="4"/>
  <c r="I3" i="4"/>
  <c r="K3" i="4"/>
  <c r="O3" i="4"/>
  <c r="P3" i="4"/>
  <c r="Q3" i="4"/>
  <c r="R3" i="4"/>
  <c r="S3" i="4"/>
  <c r="T3" i="4"/>
  <c r="U3" i="4"/>
  <c r="C109" i="2" l="1"/>
  <c r="V27" i="7"/>
  <c r="J27" i="4" s="1"/>
  <c r="V185" i="7"/>
  <c r="J185" i="4" s="1"/>
  <c r="V131" i="7"/>
  <c r="J131" i="4" s="1"/>
  <c r="V91" i="7"/>
  <c r="J91" i="4" s="1"/>
  <c r="V108" i="7"/>
  <c r="J108" i="4" s="1"/>
  <c r="V18" i="7"/>
  <c r="J18" i="4" s="1"/>
  <c r="V40" i="7"/>
  <c r="J40" i="4" s="1"/>
  <c r="V161" i="7"/>
  <c r="J161" i="4" s="1"/>
  <c r="V3" i="7"/>
  <c r="V32" i="7"/>
  <c r="J32" i="4" s="1"/>
  <c r="V42" i="7"/>
  <c r="J42" i="4" s="1"/>
  <c r="V10" i="7"/>
  <c r="J10" i="4" s="1"/>
  <c r="V21" i="7"/>
  <c r="J21" i="4" s="1"/>
  <c r="V61" i="7"/>
  <c r="J61" i="4" s="1"/>
  <c r="V11" i="7"/>
  <c r="J11" i="4" s="1"/>
  <c r="V187" i="7"/>
  <c r="J187" i="4" s="1"/>
  <c r="V188" i="7"/>
  <c r="J188" i="4" s="1"/>
  <c r="V189" i="7"/>
  <c r="J189" i="4" s="1"/>
  <c r="V190" i="7"/>
  <c r="J190" i="4" s="1"/>
  <c r="V66" i="7"/>
  <c r="J66" i="4" s="1"/>
  <c r="V81" i="7"/>
  <c r="J81" i="4" s="1"/>
  <c r="V160" i="7"/>
  <c r="J160" i="4" s="1"/>
  <c r="V165" i="7"/>
  <c r="J165" i="4" s="1"/>
  <c r="V170" i="7"/>
  <c r="J170" i="4" s="1"/>
  <c r="V175" i="7"/>
  <c r="J175" i="4" s="1"/>
  <c r="V19" i="7"/>
  <c r="J19" i="4" s="1"/>
  <c r="V24" i="7"/>
  <c r="J24" i="4" s="1"/>
  <c r="V29" i="7"/>
  <c r="J29" i="4" s="1"/>
  <c r="V35" i="7"/>
  <c r="J35" i="4" s="1"/>
  <c r="V50" i="7"/>
  <c r="J50" i="4" s="1"/>
  <c r="V99" i="7"/>
  <c r="J99" i="4" s="1"/>
  <c r="V136" i="7"/>
  <c r="J136" i="4" s="1"/>
  <c r="V141" i="7"/>
  <c r="J141" i="4" s="1"/>
  <c r="V167" i="7"/>
  <c r="J167" i="4" s="1"/>
  <c r="V172" i="7"/>
  <c r="J172" i="4" s="1"/>
  <c r="V46" i="7"/>
  <c r="J46" i="4" s="1"/>
  <c r="V57" i="7"/>
  <c r="J57" i="4" s="1"/>
  <c r="V98" i="7"/>
  <c r="J98" i="4" s="1"/>
  <c r="V103" i="7"/>
  <c r="J103" i="4" s="1"/>
  <c r="V116" i="7"/>
  <c r="J116" i="4" s="1"/>
  <c r="V121" i="7"/>
  <c r="J121" i="4" s="1"/>
  <c r="V162" i="7"/>
  <c r="J162" i="4" s="1"/>
  <c r="V184" i="7"/>
  <c r="J184" i="4" s="1"/>
  <c r="V9" i="7"/>
  <c r="J9" i="4" s="1"/>
  <c r="V30" i="7"/>
  <c r="J30" i="4" s="1"/>
  <c r="V53" i="7"/>
  <c r="J53" i="4" s="1"/>
  <c r="V64" i="7"/>
  <c r="J64" i="4" s="1"/>
  <c r="V76" i="7"/>
  <c r="J76" i="4" s="1"/>
  <c r="V88" i="7"/>
  <c r="J88" i="4" s="1"/>
  <c r="V110" i="7"/>
  <c r="J110" i="4" s="1"/>
  <c r="V115" i="7"/>
  <c r="J115" i="4" s="1"/>
  <c r="V120" i="7"/>
  <c r="J120" i="4" s="1"/>
  <c r="V125" i="7"/>
  <c r="J125" i="4" s="1"/>
  <c r="V130" i="7"/>
  <c r="J130" i="4" s="1"/>
  <c r="V135" i="7"/>
  <c r="J135" i="4" s="1"/>
  <c r="V140" i="7"/>
  <c r="J140" i="4" s="1"/>
  <c r="V67" i="7"/>
  <c r="J67" i="4" s="1"/>
  <c r="V86" i="7"/>
  <c r="J86" i="4" s="1"/>
  <c r="V96" i="7"/>
  <c r="J96" i="4" s="1"/>
  <c r="V143" i="7"/>
  <c r="J143" i="4" s="1"/>
  <c r="V153" i="7"/>
  <c r="J153" i="4" s="1"/>
  <c r="V158" i="7"/>
  <c r="J158" i="4" s="1"/>
  <c r="V163" i="7"/>
  <c r="J163" i="4" s="1"/>
  <c r="V173" i="7"/>
  <c r="J173" i="4" s="1"/>
  <c r="V183" i="7"/>
  <c r="J183" i="4" s="1"/>
  <c r="V13" i="7"/>
  <c r="J13" i="4" s="1"/>
  <c r="V17" i="7"/>
  <c r="J17" i="4" s="1"/>
  <c r="V22" i="7"/>
  <c r="J22" i="4" s="1"/>
  <c r="V23" i="7"/>
  <c r="J23" i="4" s="1"/>
  <c r="V45" i="7"/>
  <c r="J45" i="4" s="1"/>
  <c r="V56" i="7"/>
  <c r="J56" i="4" s="1"/>
  <c r="V59" i="7"/>
  <c r="J59" i="4" s="1"/>
  <c r="V78" i="7"/>
  <c r="J78" i="4" s="1"/>
  <c r="V93" i="7"/>
  <c r="J93" i="4" s="1"/>
  <c r="V106" i="7"/>
  <c r="J106" i="4" s="1"/>
  <c r="V114" i="7"/>
  <c r="J114" i="4" s="1"/>
  <c r="V14" i="7"/>
  <c r="J14" i="4" s="1"/>
  <c r="V15" i="7"/>
  <c r="J15" i="4" s="1"/>
  <c r="V16" i="7"/>
  <c r="J16" i="4" s="1"/>
  <c r="C39" i="2"/>
  <c r="L39" i="2" s="1"/>
  <c r="D39" i="2" s="1"/>
  <c r="V20" i="7"/>
  <c r="J20" i="4" s="1"/>
  <c r="V25" i="7"/>
  <c r="J25" i="4" s="1"/>
  <c r="V33" i="7"/>
  <c r="J33" i="4" s="1"/>
  <c r="V36" i="7"/>
  <c r="J36" i="4" s="1"/>
  <c r="V38" i="7"/>
  <c r="J38" i="4" s="1"/>
  <c r="V39" i="7"/>
  <c r="J39" i="4" s="1"/>
  <c r="V41" i="7"/>
  <c r="J41" i="4" s="1"/>
  <c r="V44" i="7"/>
  <c r="J44" i="4" s="1"/>
  <c r="V47" i="7"/>
  <c r="J47" i="4" s="1"/>
  <c r="V49" i="7"/>
  <c r="J49" i="4" s="1"/>
  <c r="V52" i="7"/>
  <c r="J52" i="4" s="1"/>
  <c r="V54" i="7"/>
  <c r="J54" i="4" s="1"/>
  <c r="V55" i="7"/>
  <c r="J55" i="4" s="1"/>
  <c r="V69" i="7"/>
  <c r="J69" i="4" s="1"/>
  <c r="V70" i="7"/>
  <c r="J70" i="4" s="1"/>
  <c r="V71" i="7"/>
  <c r="J71" i="4" s="1"/>
  <c r="V72" i="7"/>
  <c r="J72" i="4" s="1"/>
  <c r="V74" i="7"/>
  <c r="J74" i="4" s="1"/>
  <c r="V75" i="7"/>
  <c r="J75" i="4" s="1"/>
  <c r="V77" i="7"/>
  <c r="J77" i="4" s="1"/>
  <c r="V79" i="7"/>
  <c r="J79" i="4" s="1"/>
  <c r="V80" i="7"/>
  <c r="J80" i="4" s="1"/>
  <c r="V82" i="7"/>
  <c r="J82" i="4" s="1"/>
  <c r="V85" i="7"/>
  <c r="J85" i="4" s="1"/>
  <c r="V87" i="7"/>
  <c r="J87" i="4" s="1"/>
  <c r="V90" i="7"/>
  <c r="J90" i="4" s="1"/>
  <c r="V92" i="7"/>
  <c r="J92" i="4" s="1"/>
  <c r="V94" i="7"/>
  <c r="J94" i="4" s="1"/>
  <c r="V95" i="7"/>
  <c r="J95" i="4" s="1"/>
  <c r="V101" i="7"/>
  <c r="J101" i="4" s="1"/>
  <c r="V104" i="7"/>
  <c r="J104" i="4" s="1"/>
  <c r="V107" i="7"/>
  <c r="J107" i="4" s="1"/>
  <c r="V109" i="7"/>
  <c r="J109" i="4" s="1"/>
  <c r="V112" i="7"/>
  <c r="J112" i="4" s="1"/>
  <c r="V117" i="7"/>
  <c r="J117" i="4" s="1"/>
  <c r="V119" i="7"/>
  <c r="J119" i="4" s="1"/>
  <c r="V122" i="7"/>
  <c r="J122" i="4" s="1"/>
  <c r="V127" i="7"/>
  <c r="J127" i="4" s="1"/>
  <c r="V132" i="7"/>
  <c r="J132" i="4" s="1"/>
  <c r="V137" i="7"/>
  <c r="J137" i="4" s="1"/>
  <c r="V142" i="7"/>
  <c r="J142" i="4" s="1"/>
  <c r="V144" i="7"/>
  <c r="J144" i="4" s="1"/>
  <c r="V145" i="7"/>
  <c r="J145" i="4" s="1"/>
  <c r="V147" i="7"/>
  <c r="J147" i="4" s="1"/>
  <c r="V149" i="7"/>
  <c r="J149" i="4" s="1"/>
  <c r="V151" i="7"/>
  <c r="J151" i="4" s="1"/>
  <c r="V155" i="7"/>
  <c r="J155" i="4" s="1"/>
  <c r="V169" i="7"/>
  <c r="J169" i="4" s="1"/>
  <c r="V171" i="7"/>
  <c r="J171" i="4" s="1"/>
  <c r="V180" i="7"/>
  <c r="J180" i="4" s="1"/>
  <c r="V182" i="7"/>
  <c r="J182" i="4" s="1"/>
  <c r="V63" i="7"/>
  <c r="J63" i="4" s="1"/>
  <c r="V68" i="7"/>
  <c r="J68" i="4" s="1"/>
  <c r="V73" i="7"/>
  <c r="J73" i="4" s="1"/>
  <c r="V84" i="7"/>
  <c r="J84" i="4" s="1"/>
  <c r="V89" i="7"/>
  <c r="J89" i="4" s="1"/>
  <c r="V97" i="7"/>
  <c r="J97" i="4" s="1"/>
  <c r="V124" i="7"/>
  <c r="J124" i="4" s="1"/>
  <c r="V129" i="7"/>
  <c r="J129" i="4" s="1"/>
  <c r="V134" i="7"/>
  <c r="J134" i="4" s="1"/>
  <c r="V139" i="7"/>
  <c r="J139" i="4" s="1"/>
  <c r="V186" i="7"/>
  <c r="J186" i="4" s="1"/>
  <c r="V26" i="7"/>
  <c r="J26" i="4" s="1"/>
  <c r="V28" i="7"/>
  <c r="J28" i="4" s="1"/>
  <c r="V31" i="7"/>
  <c r="J31" i="4" s="1"/>
  <c r="V34" i="7"/>
  <c r="J34" i="4" s="1"/>
  <c r="V37" i="7"/>
  <c r="J37" i="4" s="1"/>
  <c r="V43" i="7"/>
  <c r="J43" i="4" s="1"/>
  <c r="V48" i="7"/>
  <c r="J48" i="4" s="1"/>
  <c r="V51" i="7"/>
  <c r="J51" i="4" s="1"/>
  <c r="V58" i="7"/>
  <c r="J58" i="4" s="1"/>
  <c r="V60" i="7"/>
  <c r="J60" i="4" s="1"/>
  <c r="V62" i="7"/>
  <c r="J62" i="4" s="1"/>
  <c r="V65" i="7"/>
  <c r="J65" i="4" s="1"/>
  <c r="V83" i="7"/>
  <c r="J83" i="4" s="1"/>
  <c r="V100" i="7"/>
  <c r="J100" i="4" s="1"/>
  <c r="V102" i="7"/>
  <c r="J102" i="4" s="1"/>
  <c r="V105" i="7"/>
  <c r="J105" i="4" s="1"/>
  <c r="V111" i="7"/>
  <c r="J111" i="4" s="1"/>
  <c r="V113" i="7"/>
  <c r="J113" i="4" s="1"/>
  <c r="V118" i="7"/>
  <c r="J118" i="4" s="1"/>
  <c r="V123" i="7"/>
  <c r="J123" i="4" s="1"/>
  <c r="V126" i="7"/>
  <c r="J126" i="4" s="1"/>
  <c r="V128" i="7"/>
  <c r="J128" i="4" s="1"/>
  <c r="V133" i="7"/>
  <c r="J133" i="4" s="1"/>
  <c r="V138" i="7"/>
  <c r="J138" i="4" s="1"/>
  <c r="V146" i="7"/>
  <c r="J146" i="4" s="1"/>
  <c r="V148" i="7"/>
  <c r="J148" i="4" s="1"/>
  <c r="V156" i="7"/>
  <c r="J156" i="4" s="1"/>
  <c r="V157" i="7"/>
  <c r="J157" i="4" s="1"/>
  <c r="V159" i="7"/>
  <c r="J159" i="4" s="1"/>
  <c r="V164" i="7"/>
  <c r="J164" i="4" s="1"/>
  <c r="V166" i="7"/>
  <c r="J166" i="4" s="1"/>
  <c r="V168" i="7"/>
  <c r="J168" i="4" s="1"/>
  <c r="V177" i="7"/>
  <c r="J177" i="4" s="1"/>
  <c r="V179" i="7"/>
  <c r="J179" i="4" s="1"/>
  <c r="V181" i="7"/>
  <c r="J181" i="4" s="1"/>
  <c r="V4" i="7"/>
  <c r="J4" i="4" s="1"/>
  <c r="V5" i="7"/>
  <c r="J5" i="4" s="1"/>
  <c r="V6" i="7"/>
  <c r="J6" i="4" s="1"/>
  <c r="V7" i="7"/>
  <c r="J7" i="4" s="1"/>
  <c r="V8" i="7"/>
  <c r="J8" i="4" s="1"/>
  <c r="V150" i="7"/>
  <c r="J150" i="4" s="1"/>
  <c r="V152" i="7"/>
  <c r="J152" i="4" s="1"/>
  <c r="V154" i="7"/>
  <c r="J154" i="4" s="1"/>
  <c r="V174" i="7"/>
  <c r="J174" i="4" s="1"/>
  <c r="V176" i="7"/>
  <c r="J176" i="4" s="1"/>
  <c r="V178" i="7"/>
  <c r="J178" i="4" s="1"/>
  <c r="V12" i="7"/>
  <c r="J12" i="4" s="1"/>
  <c r="C183" i="2"/>
  <c r="L183" i="2" s="1"/>
  <c r="D183" i="2" s="1"/>
  <c r="C184" i="2"/>
  <c r="L184" i="2" s="1"/>
  <c r="D184" i="2" s="1"/>
  <c r="C185" i="2"/>
  <c r="L185" i="2" s="1"/>
  <c r="D185" i="2" s="1"/>
  <c r="C186" i="2"/>
  <c r="L186" i="2" s="1"/>
  <c r="D186" i="2" s="1"/>
  <c r="C187" i="2"/>
  <c r="L187" i="2" s="1"/>
  <c r="D187" i="2" s="1"/>
  <c r="C188" i="2"/>
  <c r="L188" i="2" s="1"/>
  <c r="D188" i="2" s="1"/>
  <c r="C189" i="2"/>
  <c r="L189" i="2" s="1"/>
  <c r="D189" i="2" s="1"/>
  <c r="C190" i="2"/>
  <c r="L190" i="2" s="1"/>
  <c r="D190" i="2" s="1"/>
  <c r="C191" i="2"/>
  <c r="L191" i="2" s="1"/>
  <c r="D191" i="2" s="1"/>
  <c r="C25" i="2"/>
  <c r="L25" i="2" s="1"/>
  <c r="D25" i="2" s="1"/>
  <c r="C26" i="2"/>
  <c r="L26" i="2" s="1"/>
  <c r="D26" i="2" s="1"/>
  <c r="C27" i="2"/>
  <c r="L27" i="2" s="1"/>
  <c r="D27" i="2" s="1"/>
  <c r="C28" i="2"/>
  <c r="L28" i="2" s="1"/>
  <c r="D28" i="2" s="1"/>
  <c r="C29" i="2"/>
  <c r="L29" i="2" s="1"/>
  <c r="D29" i="2" s="1"/>
  <c r="C30" i="2"/>
  <c r="L30" i="2" s="1"/>
  <c r="D30" i="2" s="1"/>
  <c r="C31" i="2"/>
  <c r="L31" i="2" s="1"/>
  <c r="D31" i="2" s="1"/>
  <c r="C32" i="2"/>
  <c r="L32" i="2" s="1"/>
  <c r="D32" i="2" s="1"/>
  <c r="C33" i="2"/>
  <c r="L33" i="2" s="1"/>
  <c r="D33" i="2" s="1"/>
  <c r="C34" i="2"/>
  <c r="L34" i="2" s="1"/>
  <c r="D34" i="2" s="1"/>
  <c r="C35" i="2"/>
  <c r="L35" i="2" s="1"/>
  <c r="D35" i="2" s="1"/>
  <c r="C36" i="2"/>
  <c r="L36" i="2" s="1"/>
  <c r="D36" i="2" s="1"/>
  <c r="C37" i="2"/>
  <c r="L37" i="2" s="1"/>
  <c r="D37" i="2" s="1"/>
  <c r="C38" i="2"/>
  <c r="L38" i="2" s="1"/>
  <c r="D38" i="2" s="1"/>
  <c r="C40" i="2"/>
  <c r="L40" i="2" s="1"/>
  <c r="D40" i="2" s="1"/>
  <c r="C41" i="2"/>
  <c r="L41" i="2" s="1"/>
  <c r="D41" i="2" s="1"/>
  <c r="C42" i="2"/>
  <c r="L42" i="2" s="1"/>
  <c r="D42" i="2" s="1"/>
  <c r="C43" i="2"/>
  <c r="L43" i="2" s="1"/>
  <c r="D43" i="2" s="1"/>
  <c r="C44" i="2"/>
  <c r="L44" i="2" s="1"/>
  <c r="D44" i="2" s="1"/>
  <c r="C45" i="2"/>
  <c r="L45" i="2" s="1"/>
  <c r="D45" i="2" s="1"/>
  <c r="C46" i="2"/>
  <c r="L46" i="2" s="1"/>
  <c r="D46" i="2" s="1"/>
  <c r="C47" i="2"/>
  <c r="L47" i="2" s="1"/>
  <c r="D47" i="2" s="1"/>
  <c r="C48" i="2"/>
  <c r="L48" i="2" s="1"/>
  <c r="D48" i="2" s="1"/>
  <c r="C49" i="2"/>
  <c r="L49" i="2" s="1"/>
  <c r="D49" i="2" s="1"/>
  <c r="C50" i="2"/>
  <c r="L50" i="2" s="1"/>
  <c r="D50" i="2" s="1"/>
  <c r="C51" i="2"/>
  <c r="L51" i="2" s="1"/>
  <c r="D51" i="2" s="1"/>
  <c r="C52" i="2"/>
  <c r="L52" i="2" s="1"/>
  <c r="D52" i="2" s="1"/>
  <c r="C53" i="2"/>
  <c r="L53" i="2" s="1"/>
  <c r="D53" i="2" s="1"/>
  <c r="C54" i="2"/>
  <c r="L54" i="2" s="1"/>
  <c r="D54" i="2" s="1"/>
  <c r="C55" i="2"/>
  <c r="L55" i="2" s="1"/>
  <c r="D55" i="2" s="1"/>
  <c r="C56" i="2"/>
  <c r="L56" i="2" s="1"/>
  <c r="D56" i="2" s="1"/>
  <c r="C57" i="2"/>
  <c r="L57" i="2" s="1"/>
  <c r="D57" i="2" s="1"/>
  <c r="C58" i="2"/>
  <c r="L58" i="2" s="1"/>
  <c r="D58" i="2" s="1"/>
  <c r="C59" i="2"/>
  <c r="L59" i="2" s="1"/>
  <c r="D59" i="2" s="1"/>
  <c r="C60" i="2"/>
  <c r="L60" i="2" s="1"/>
  <c r="D60" i="2" s="1"/>
  <c r="C61" i="2"/>
  <c r="L61" i="2" s="1"/>
  <c r="D61" i="2" s="1"/>
  <c r="C62" i="2"/>
  <c r="L62" i="2" s="1"/>
  <c r="D62" i="2" s="1"/>
  <c r="C63" i="2"/>
  <c r="L63" i="2" s="1"/>
  <c r="D63" i="2" s="1"/>
  <c r="C64" i="2"/>
  <c r="L64" i="2" s="1"/>
  <c r="D64" i="2" s="1"/>
  <c r="C65" i="2"/>
  <c r="L65" i="2" s="1"/>
  <c r="D65" i="2" s="1"/>
  <c r="C66" i="2"/>
  <c r="L66" i="2" s="1"/>
  <c r="D66" i="2" s="1"/>
  <c r="C67" i="2"/>
  <c r="L67" i="2" s="1"/>
  <c r="D67" i="2" s="1"/>
  <c r="C68" i="2"/>
  <c r="L68" i="2" s="1"/>
  <c r="D68" i="2" s="1"/>
  <c r="C69" i="2"/>
  <c r="L69" i="2" s="1"/>
  <c r="D69" i="2" s="1"/>
  <c r="C70" i="2"/>
  <c r="L70" i="2" s="1"/>
  <c r="D70" i="2" s="1"/>
  <c r="C71" i="2"/>
  <c r="L71" i="2" s="1"/>
  <c r="D71" i="2" s="1"/>
  <c r="C72" i="2"/>
  <c r="L72" i="2" s="1"/>
  <c r="D72" i="2" s="1"/>
  <c r="C73" i="2"/>
  <c r="L73" i="2" s="1"/>
  <c r="D73" i="2" s="1"/>
  <c r="C74" i="2"/>
  <c r="L74" i="2" s="1"/>
  <c r="D74" i="2" s="1"/>
  <c r="C75" i="2"/>
  <c r="L75" i="2" s="1"/>
  <c r="D75" i="2" s="1"/>
  <c r="C76" i="2"/>
  <c r="L76" i="2" s="1"/>
  <c r="D76" i="2" s="1"/>
  <c r="C77" i="2"/>
  <c r="L77" i="2" s="1"/>
  <c r="D77" i="2" s="1"/>
  <c r="C78" i="2"/>
  <c r="L78" i="2" s="1"/>
  <c r="D78" i="2" s="1"/>
  <c r="C79" i="2"/>
  <c r="L79" i="2" s="1"/>
  <c r="D79" i="2" s="1"/>
  <c r="C80" i="2"/>
  <c r="L80" i="2" s="1"/>
  <c r="D80" i="2" s="1"/>
  <c r="C81" i="2"/>
  <c r="L81" i="2" s="1"/>
  <c r="D81" i="2" s="1"/>
  <c r="C82" i="2"/>
  <c r="L82" i="2" s="1"/>
  <c r="D82" i="2" s="1"/>
  <c r="C83" i="2"/>
  <c r="L83" i="2" s="1"/>
  <c r="D83" i="2" s="1"/>
  <c r="C84" i="2"/>
  <c r="L84" i="2" s="1"/>
  <c r="D84" i="2" s="1"/>
  <c r="C85" i="2"/>
  <c r="L85" i="2" s="1"/>
  <c r="D85" i="2" s="1"/>
  <c r="C86" i="2"/>
  <c r="L86" i="2" s="1"/>
  <c r="D86" i="2" s="1"/>
  <c r="C87" i="2"/>
  <c r="L87" i="2" s="1"/>
  <c r="D87" i="2" s="1"/>
  <c r="C88" i="2"/>
  <c r="L88" i="2" s="1"/>
  <c r="D88" i="2" s="1"/>
  <c r="C89" i="2"/>
  <c r="L89" i="2" s="1"/>
  <c r="D89" i="2" s="1"/>
  <c r="C90" i="2"/>
  <c r="L90" i="2" s="1"/>
  <c r="D90" i="2" s="1"/>
  <c r="C91" i="2"/>
  <c r="L91" i="2" s="1"/>
  <c r="D91" i="2" s="1"/>
  <c r="C92" i="2"/>
  <c r="L92" i="2" s="1"/>
  <c r="D92" i="2" s="1"/>
  <c r="C93" i="2"/>
  <c r="L93" i="2" s="1"/>
  <c r="D93" i="2" s="1"/>
  <c r="C94" i="2"/>
  <c r="L94" i="2" s="1"/>
  <c r="D94" i="2" s="1"/>
  <c r="C95" i="2"/>
  <c r="L95" i="2" s="1"/>
  <c r="D95" i="2" s="1"/>
  <c r="C96" i="2"/>
  <c r="L96" i="2" s="1"/>
  <c r="D96" i="2" s="1"/>
  <c r="C97" i="2"/>
  <c r="L97" i="2" s="1"/>
  <c r="D97" i="2" s="1"/>
  <c r="C98" i="2"/>
  <c r="L98" i="2" s="1"/>
  <c r="D98" i="2" s="1"/>
  <c r="C99" i="2"/>
  <c r="L99" i="2" s="1"/>
  <c r="D99" i="2" s="1"/>
  <c r="C100" i="2"/>
  <c r="L100" i="2" s="1"/>
  <c r="D100" i="2" s="1"/>
  <c r="C101" i="2"/>
  <c r="L101" i="2" s="1"/>
  <c r="D101" i="2" s="1"/>
  <c r="C102" i="2"/>
  <c r="L102" i="2" s="1"/>
  <c r="D102" i="2" s="1"/>
  <c r="C103" i="2"/>
  <c r="L103" i="2" s="1"/>
  <c r="D103" i="2" s="1"/>
  <c r="C104" i="2"/>
  <c r="L104" i="2" s="1"/>
  <c r="D104" i="2" s="1"/>
  <c r="C105" i="2"/>
  <c r="L105" i="2" s="1"/>
  <c r="D105" i="2" s="1"/>
  <c r="C106" i="2"/>
  <c r="L106" i="2" s="1"/>
  <c r="D106" i="2" s="1"/>
  <c r="C107" i="2"/>
  <c r="L107" i="2" s="1"/>
  <c r="D107" i="2" s="1"/>
  <c r="C108" i="2"/>
  <c r="L108" i="2" s="1"/>
  <c r="D108" i="2" s="1"/>
  <c r="L109" i="2"/>
  <c r="D109" i="2" s="1"/>
  <c r="C110" i="2"/>
  <c r="L110" i="2" s="1"/>
  <c r="D110" i="2" s="1"/>
  <c r="C111" i="2"/>
  <c r="L111" i="2" s="1"/>
  <c r="D111" i="2" s="1"/>
  <c r="C112" i="2"/>
  <c r="L112" i="2" s="1"/>
  <c r="D112" i="2" s="1"/>
  <c r="C113" i="2"/>
  <c r="L113" i="2" s="1"/>
  <c r="D113" i="2" s="1"/>
  <c r="C114" i="2"/>
  <c r="L114" i="2" s="1"/>
  <c r="D114" i="2" s="1"/>
  <c r="C115" i="2"/>
  <c r="L115" i="2" s="1"/>
  <c r="D115" i="2" s="1"/>
  <c r="C116" i="2"/>
  <c r="L116" i="2" s="1"/>
  <c r="D116" i="2" s="1"/>
  <c r="C117" i="2"/>
  <c r="L117" i="2" s="1"/>
  <c r="D117" i="2" s="1"/>
  <c r="C118" i="2"/>
  <c r="L118" i="2" s="1"/>
  <c r="D118" i="2" s="1"/>
  <c r="C119" i="2"/>
  <c r="L119" i="2" s="1"/>
  <c r="D119" i="2" s="1"/>
  <c r="C120" i="2"/>
  <c r="L120" i="2" s="1"/>
  <c r="D120" i="2" s="1"/>
  <c r="C121" i="2"/>
  <c r="L121" i="2" s="1"/>
  <c r="D121" i="2" s="1"/>
  <c r="C122" i="2"/>
  <c r="L122" i="2" s="1"/>
  <c r="D122" i="2" s="1"/>
  <c r="C123" i="2"/>
  <c r="L123" i="2" s="1"/>
  <c r="D123" i="2" s="1"/>
  <c r="C124" i="2"/>
  <c r="L124" i="2" s="1"/>
  <c r="D124" i="2" s="1"/>
  <c r="C125" i="2"/>
  <c r="L125" i="2" s="1"/>
  <c r="D125" i="2" s="1"/>
  <c r="C126" i="2"/>
  <c r="L126" i="2" s="1"/>
  <c r="D126" i="2" s="1"/>
  <c r="C127" i="2"/>
  <c r="L127" i="2" s="1"/>
  <c r="D127" i="2" s="1"/>
  <c r="C128" i="2"/>
  <c r="L128" i="2" s="1"/>
  <c r="D128" i="2" s="1"/>
  <c r="C129" i="2"/>
  <c r="L129" i="2" s="1"/>
  <c r="D129" i="2" s="1"/>
  <c r="C130" i="2"/>
  <c r="L130" i="2" s="1"/>
  <c r="D130" i="2" s="1"/>
  <c r="C131" i="2"/>
  <c r="L131" i="2" s="1"/>
  <c r="D131" i="2" s="1"/>
  <c r="C132" i="2"/>
  <c r="L132" i="2" s="1"/>
  <c r="D132" i="2" s="1"/>
  <c r="C133" i="2"/>
  <c r="L133" i="2" s="1"/>
  <c r="D133" i="2" s="1"/>
  <c r="C134" i="2"/>
  <c r="L134" i="2" s="1"/>
  <c r="D134" i="2" s="1"/>
  <c r="C135" i="2"/>
  <c r="L135" i="2" s="1"/>
  <c r="D135" i="2" s="1"/>
  <c r="C136" i="2"/>
  <c r="L136" i="2" s="1"/>
  <c r="D136" i="2" s="1"/>
  <c r="C137" i="2"/>
  <c r="L137" i="2" s="1"/>
  <c r="D137" i="2" s="1"/>
  <c r="C138" i="2"/>
  <c r="L138" i="2" s="1"/>
  <c r="D138" i="2" s="1"/>
  <c r="C139" i="2"/>
  <c r="L139" i="2" s="1"/>
  <c r="D139" i="2" s="1"/>
  <c r="C140" i="2"/>
  <c r="L140" i="2" s="1"/>
  <c r="D140" i="2" s="1"/>
  <c r="C141" i="2"/>
  <c r="L141" i="2" s="1"/>
  <c r="D141" i="2" s="1"/>
  <c r="C142" i="2"/>
  <c r="L142" i="2" s="1"/>
  <c r="D142" i="2" s="1"/>
  <c r="C143" i="2"/>
  <c r="L143" i="2" s="1"/>
  <c r="D143" i="2" s="1"/>
  <c r="C144" i="2"/>
  <c r="L144" i="2" s="1"/>
  <c r="D144" i="2" s="1"/>
  <c r="C145" i="2"/>
  <c r="L145" i="2" s="1"/>
  <c r="D145" i="2" s="1"/>
  <c r="C146" i="2"/>
  <c r="L146" i="2" s="1"/>
  <c r="D146" i="2" s="1"/>
  <c r="C147" i="2"/>
  <c r="L147" i="2" s="1"/>
  <c r="D147" i="2" s="1"/>
  <c r="C148" i="2"/>
  <c r="L148" i="2" s="1"/>
  <c r="D148" i="2" s="1"/>
  <c r="C149" i="2"/>
  <c r="L149" i="2" s="1"/>
  <c r="D149" i="2" s="1"/>
  <c r="C150" i="2"/>
  <c r="L150" i="2" s="1"/>
  <c r="D150" i="2" s="1"/>
  <c r="C151" i="2"/>
  <c r="L151" i="2" s="1"/>
  <c r="D151" i="2" s="1"/>
  <c r="C152" i="2"/>
  <c r="L152" i="2" s="1"/>
  <c r="D152" i="2" s="1"/>
  <c r="C153" i="2"/>
  <c r="L153" i="2" s="1"/>
  <c r="D153" i="2" s="1"/>
  <c r="C154" i="2"/>
  <c r="L154" i="2" s="1"/>
  <c r="D154" i="2" s="1"/>
  <c r="C155" i="2"/>
  <c r="L155" i="2" s="1"/>
  <c r="D155" i="2" s="1"/>
  <c r="C156" i="2"/>
  <c r="L156" i="2" s="1"/>
  <c r="D156" i="2" s="1"/>
  <c r="C157" i="2"/>
  <c r="L157" i="2" s="1"/>
  <c r="D157" i="2" s="1"/>
  <c r="C158" i="2"/>
  <c r="L158" i="2" s="1"/>
  <c r="D158" i="2" s="1"/>
  <c r="C159" i="2"/>
  <c r="L159" i="2" s="1"/>
  <c r="D159" i="2" s="1"/>
  <c r="C160" i="2"/>
  <c r="L160" i="2" s="1"/>
  <c r="D160" i="2" s="1"/>
  <c r="C161" i="2"/>
  <c r="L161" i="2" s="1"/>
  <c r="D161" i="2" s="1"/>
  <c r="C162" i="2"/>
  <c r="L162" i="2" s="1"/>
  <c r="D162" i="2" s="1"/>
  <c r="C163" i="2"/>
  <c r="L163" i="2" s="1"/>
  <c r="D163" i="2" s="1"/>
  <c r="C164" i="2"/>
  <c r="L164" i="2" s="1"/>
  <c r="D164" i="2" s="1"/>
  <c r="C165" i="2"/>
  <c r="L165" i="2" s="1"/>
  <c r="D165" i="2" s="1"/>
  <c r="C166" i="2"/>
  <c r="L166" i="2" s="1"/>
  <c r="D166" i="2" s="1"/>
  <c r="C167" i="2"/>
  <c r="L167" i="2" s="1"/>
  <c r="D167" i="2" s="1"/>
  <c r="C168" i="2"/>
  <c r="L168" i="2" s="1"/>
  <c r="D168" i="2" s="1"/>
  <c r="C169" i="2"/>
  <c r="L169" i="2" s="1"/>
  <c r="D169" i="2" s="1"/>
  <c r="C170" i="2"/>
  <c r="L170" i="2" s="1"/>
  <c r="D170" i="2" s="1"/>
  <c r="C171" i="2"/>
  <c r="L171" i="2" s="1"/>
  <c r="D171" i="2" s="1"/>
  <c r="C172" i="2"/>
  <c r="L172" i="2" s="1"/>
  <c r="D172" i="2" s="1"/>
  <c r="C173" i="2"/>
  <c r="L173" i="2" s="1"/>
  <c r="D173" i="2" s="1"/>
  <c r="C174" i="2"/>
  <c r="L174" i="2" s="1"/>
  <c r="D174" i="2" s="1"/>
  <c r="C175" i="2"/>
  <c r="L175" i="2" s="1"/>
  <c r="D175" i="2" s="1"/>
  <c r="C176" i="2"/>
  <c r="L176" i="2" s="1"/>
  <c r="D176" i="2" s="1"/>
  <c r="C177" i="2"/>
  <c r="L177" i="2" s="1"/>
  <c r="D177" i="2" s="1"/>
  <c r="C178" i="2"/>
  <c r="L178" i="2" s="1"/>
  <c r="D178" i="2" s="1"/>
  <c r="C179" i="2"/>
  <c r="L179" i="2" s="1"/>
  <c r="D179" i="2" s="1"/>
  <c r="C180" i="2"/>
  <c r="L180" i="2" s="1"/>
  <c r="D180" i="2" s="1"/>
  <c r="C181" i="2"/>
  <c r="L181" i="2" s="1"/>
  <c r="D181" i="2" s="1"/>
  <c r="C182" i="2"/>
  <c r="L182" i="2" s="1"/>
  <c r="D182" i="2" s="1"/>
  <c r="C3" i="2"/>
  <c r="L3" i="2" s="1"/>
  <c r="D3" i="2" s="1"/>
  <c r="C4" i="2"/>
  <c r="L4" i="2" s="1"/>
  <c r="D4" i="2" s="1"/>
  <c r="C5" i="2"/>
  <c r="L5" i="2" s="1"/>
  <c r="D5" i="2" s="1"/>
  <c r="C6" i="2"/>
  <c r="L6" i="2" s="1"/>
  <c r="D6" i="2" s="1"/>
  <c r="C7" i="2"/>
  <c r="L7" i="2" s="1"/>
  <c r="D7" i="2" s="1"/>
  <c r="C8" i="2"/>
  <c r="L8" i="2" s="1"/>
  <c r="D8" i="2" s="1"/>
  <c r="C9" i="2"/>
  <c r="L9" i="2" s="1"/>
  <c r="D9" i="2" s="1"/>
  <c r="C10" i="2"/>
  <c r="L10" i="2" s="1"/>
  <c r="D10" i="2" s="1"/>
  <c r="C11" i="2"/>
  <c r="L11" i="2" s="1"/>
  <c r="D11" i="2" s="1"/>
  <c r="C12" i="2"/>
  <c r="L12" i="2" s="1"/>
  <c r="D12" i="2" s="1"/>
  <c r="C13" i="2"/>
  <c r="L13" i="2" s="1"/>
  <c r="D13" i="2" s="1"/>
  <c r="C14" i="2"/>
  <c r="L14" i="2" s="1"/>
  <c r="D14" i="2" s="1"/>
  <c r="C15" i="2"/>
  <c r="L15" i="2" s="1"/>
  <c r="D15" i="2" s="1"/>
  <c r="C16" i="2"/>
  <c r="L16" i="2" s="1"/>
  <c r="D16" i="2" s="1"/>
  <c r="C17" i="2"/>
  <c r="L17" i="2" s="1"/>
  <c r="D17" i="2" s="1"/>
  <c r="C18" i="2"/>
  <c r="L18" i="2" s="1"/>
  <c r="D18" i="2" s="1"/>
  <c r="C19" i="2"/>
  <c r="L19" i="2" s="1"/>
  <c r="D19" i="2" s="1"/>
  <c r="C20" i="2"/>
  <c r="L20" i="2" s="1"/>
  <c r="D20" i="2" s="1"/>
  <c r="C21" i="2"/>
  <c r="L21" i="2" s="1"/>
  <c r="D21" i="2" s="1"/>
  <c r="C22" i="2"/>
  <c r="L22" i="2" s="1"/>
  <c r="D22" i="2" s="1"/>
  <c r="C23" i="2"/>
  <c r="L23" i="2" s="1"/>
  <c r="D23" i="2" s="1"/>
  <c r="C24" i="2"/>
  <c r="L24" i="2" s="1"/>
  <c r="D24" i="2" s="1"/>
  <c r="H4" i="5"/>
  <c r="G2" i="4" l="1"/>
  <c r="I2" i="4"/>
  <c r="U2" i="4"/>
  <c r="T2" i="4"/>
  <c r="S2" i="4"/>
  <c r="R2" i="4"/>
  <c r="Q2" i="4"/>
  <c r="P2" i="4"/>
  <c r="O2" i="4"/>
  <c r="F2" i="2"/>
  <c r="G2" i="2"/>
  <c r="H2" i="2"/>
  <c r="I2" i="2"/>
  <c r="J2" i="2"/>
  <c r="E2" i="2"/>
  <c r="Z3" i="7"/>
  <c r="Z4" i="7" l="1"/>
  <c r="Z6" i="7"/>
  <c r="C2" i="4"/>
  <c r="K2" i="4"/>
  <c r="F2" i="4"/>
  <c r="Z14" i="7"/>
  <c r="U2" i="7"/>
  <c r="T2" i="7"/>
  <c r="J3" i="4" l="1"/>
  <c r="AA14" i="7"/>
  <c r="Z7" i="7"/>
  <c r="Z18" i="7"/>
  <c r="V2" i="7"/>
  <c r="J2" i="4" s="1"/>
  <c r="K2" i="2"/>
  <c r="C2" i="2" s="1"/>
  <c r="L2" i="2" s="1"/>
  <c r="D2" i="2" s="1"/>
  <c r="B2" i="2"/>
  <c r="E10" i="5" l="1"/>
  <c r="E9" i="5"/>
  <c r="E8" i="5"/>
  <c r="E7" i="5"/>
  <c r="E6" i="5"/>
  <c r="E5" i="5"/>
  <c r="E4" i="5"/>
  <c r="E3" i="5"/>
  <c r="E2" i="5"/>
  <c r="F2" i="5" l="1"/>
  <c r="F10" i="5"/>
  <c r="F6" i="5"/>
  <c r="F3" i="5"/>
  <c r="F4" i="5"/>
  <c r="F5" i="5"/>
  <c r="F7" i="5"/>
  <c r="F8" i="5"/>
  <c r="F9" i="5"/>
</calcChain>
</file>

<file path=xl/sharedStrings.xml><?xml version="1.0" encoding="utf-8"?>
<sst xmlns="http://schemas.openxmlformats.org/spreadsheetml/2006/main" count="6233" uniqueCount="1159">
  <si>
    <t>De</t>
  </si>
  <si>
    <t>A</t>
  </si>
  <si>
    <t>Messagerie</t>
  </si>
  <si>
    <t>No facture</t>
  </si>
  <si>
    <t>Date facture</t>
  </si>
  <si>
    <t>Payeur</t>
  </si>
  <si>
    <t>Ref pay</t>
  </si>
  <si>
    <t>Année</t>
  </si>
  <si>
    <t>Expedition</t>
  </si>
  <si>
    <t>Ref EDI</t>
  </si>
  <si>
    <t>ComRefExpedition</t>
  </si>
  <si>
    <t>Incoterm</t>
  </si>
  <si>
    <t>Sens</t>
  </si>
  <si>
    <t>Perimetre</t>
  </si>
  <si>
    <t>Zip Code</t>
  </si>
  <si>
    <t>Métier</t>
  </si>
  <si>
    <t>Origine expédition</t>
  </si>
  <si>
    <t>Km</t>
  </si>
  <si>
    <t>EmissionCO2</t>
  </si>
  <si>
    <t>Date sais/Chg</t>
  </si>
  <si>
    <t>Agence Saisie/Chgt</t>
  </si>
  <si>
    <t>Expéditeur</t>
  </si>
  <si>
    <t>Ref exp</t>
  </si>
  <si>
    <t>Pays exp</t>
  </si>
  <si>
    <t>Dept exp</t>
  </si>
  <si>
    <t>Commune exp</t>
  </si>
  <si>
    <t>Date livraison</t>
  </si>
  <si>
    <t>Destinataire</t>
  </si>
  <si>
    <t>Ref dest</t>
  </si>
  <si>
    <t>Pays dest</t>
  </si>
  <si>
    <t>Dept dest</t>
  </si>
  <si>
    <t>Commune dest</t>
  </si>
  <si>
    <t>Type dest</t>
  </si>
  <si>
    <t>Contraintes livr dest</t>
  </si>
  <si>
    <t>Nb colis</t>
  </si>
  <si>
    <t>Nb UM</t>
  </si>
  <si>
    <t>Poids</t>
  </si>
  <si>
    <t>Poids taxable</t>
  </si>
  <si>
    <t>Volume</t>
  </si>
  <si>
    <t>Unité Taxe</t>
  </si>
  <si>
    <t>Nb unité taxe</t>
  </si>
  <si>
    <t>Mètres linéaires</t>
  </si>
  <si>
    <t>MD</t>
  </si>
  <si>
    <t>MD(QT)</t>
  </si>
  <si>
    <t>MD(QL)</t>
  </si>
  <si>
    <t>MD(QE)</t>
  </si>
  <si>
    <t>MD(BL)</t>
  </si>
  <si>
    <t>Mode Port</t>
  </si>
  <si>
    <t>Produit</t>
  </si>
  <si>
    <t>Devise</t>
  </si>
  <si>
    <t>Nb PAL EUR</t>
  </si>
  <si>
    <t>Mt ASSIGNE</t>
  </si>
  <si>
    <t>Mt CR</t>
  </si>
  <si>
    <t>Mt VD</t>
  </si>
  <si>
    <t>Exonération TVA</t>
  </si>
  <si>
    <t>Mt HT (hors frais)</t>
  </si>
  <si>
    <t>Mt HT (avec frais)</t>
  </si>
  <si>
    <t>PLTFM_LOGISTIQUE</t>
  </si>
  <si>
    <t>NdS_Enlevement</t>
  </si>
  <si>
    <t>NdS_Livraison</t>
  </si>
  <si>
    <t>Code_Gde_Longueur</t>
  </si>
  <si>
    <t>Préavis_Téléphone</t>
  </si>
  <si>
    <t>Préavis_SMS-Mail</t>
  </si>
  <si>
    <t>Is_Douane</t>
  </si>
  <si>
    <t>Is_Douane_Export_ST</t>
  </si>
  <si>
    <t>Is_Douane_Import_ST</t>
  </si>
  <si>
    <t>T_ADMC</t>
  </si>
  <si>
    <t>T_ADMIN_ARRIVEE</t>
  </si>
  <si>
    <t>T_ADMIN_DEPART</t>
  </si>
  <si>
    <t>T_ADMIN_FOURNISSEUR</t>
  </si>
  <si>
    <t>T_ADM</t>
  </si>
  <si>
    <t>T_APPROCHE_ENLEVEMENT</t>
  </si>
  <si>
    <t>T_APPROCHE_LIVRAISON</t>
  </si>
  <si>
    <t>T_ASSIGNE</t>
  </si>
  <si>
    <t>T_CDE_MANU</t>
  </si>
  <si>
    <t>T_CONTRE_REMBOUR</t>
  </si>
  <si>
    <t>T_DOUANE_ANDORRE</t>
  </si>
  <si>
    <t>T_DOUANE_CANARIES</t>
  </si>
  <si>
    <t>T_DOUANE_EXPORT</t>
  </si>
  <si>
    <t>T_DOUANE_IMPORT</t>
  </si>
  <si>
    <t>T_FRAIS_DOSSIER</t>
  </si>
  <si>
    <t>T_FRET_SENSIBLE</t>
  </si>
  <si>
    <t>T_GENERIQUE</t>
  </si>
  <si>
    <t>T_HAYON</t>
  </si>
  <si>
    <t>T_ILE</t>
  </si>
  <si>
    <t>T_MD_QL</t>
  </si>
  <si>
    <t>T_MD_QT</t>
  </si>
  <si>
    <t>T_PALETTE_EUR</t>
  </si>
  <si>
    <t>T_PAQ_ARRIVEE</t>
  </si>
  <si>
    <t>T_PAQC</t>
  </si>
  <si>
    <t>T_PAQ_DEPART</t>
  </si>
  <si>
    <t>T_PAQ_HUB_ENTREE</t>
  </si>
  <si>
    <t>T_PAQ_HUB_SORTIE</t>
  </si>
  <si>
    <t>T_PAQ</t>
  </si>
  <si>
    <t>T_PAQ_PORTE_ENTREE</t>
  </si>
  <si>
    <t>T_PAQ_PORTE_SORTIE</t>
  </si>
  <si>
    <t>T_PAQ_TRANSIT</t>
  </si>
  <si>
    <t>T_PORTDU_APPRO</t>
  </si>
  <si>
    <t>T_PORTEUR</t>
  </si>
  <si>
    <t>T_PORTE_ENTREE</t>
  </si>
  <si>
    <t>T_PORTE_SORTIE</t>
  </si>
  <si>
    <t>T_PORT_PAYE</t>
  </si>
  <si>
    <t>T_PRS</t>
  </si>
  <si>
    <t>T_SAISO</t>
  </si>
  <si>
    <t>T_SAISO_2013</t>
  </si>
  <si>
    <t>T_SECU</t>
  </si>
  <si>
    <t>T_SURCOUT_LIV_EXPRESS</t>
  </si>
  <si>
    <t>T_LIV_SUPERMARCHE</t>
  </si>
  <si>
    <t>T_LIV_URBAINE</t>
  </si>
  <si>
    <t>T_T0</t>
  </si>
  <si>
    <t>T_T1</t>
  </si>
  <si>
    <t>T_T2</t>
  </si>
  <si>
    <t>T_T3</t>
  </si>
  <si>
    <t>T_T4</t>
  </si>
  <si>
    <t>T_T5</t>
  </si>
  <si>
    <t>T_VALEUR_DECLARE</t>
  </si>
  <si>
    <t>T_VD_VD</t>
  </si>
  <si>
    <t>T_CORR_POIDS</t>
  </si>
  <si>
    <t>T_EMBALLAGE</t>
  </si>
  <si>
    <t>T_ENLEVEMENT_VIDE</t>
  </si>
  <si>
    <t>T_GESTION_PARTICULIER</t>
  </si>
  <si>
    <t>T_LIV_ETAGE</t>
  </si>
  <si>
    <t>T_LIV_HORS_CRENEAU</t>
  </si>
  <si>
    <t>T_MD_APPROCHE_QL</t>
  </si>
  <si>
    <t>T_MD_APPROCHE_QT</t>
  </si>
  <si>
    <t>T_LIV_AEROPORT</t>
  </si>
  <si>
    <t>T_LIV_PORTUAIRE</t>
  </si>
  <si>
    <t>T_SOUFFRANCE</t>
  </si>
  <si>
    <t>T_ANNULATION</t>
  </si>
  <si>
    <t>T_ATTENTE_CHRGT</t>
  </si>
  <si>
    <t>T_ATTENTE_DECHRGT</t>
  </si>
  <si>
    <t>T_CROSS_DOCK</t>
  </si>
  <si>
    <t>T_EKAER</t>
  </si>
  <si>
    <t>T_IMMO_CHRGT</t>
  </si>
  <si>
    <t>T_IMMO_DECHRGT</t>
  </si>
  <si>
    <t>T_MAUT</t>
  </si>
  <si>
    <t>T_STOP</t>
  </si>
  <si>
    <t>T_GAZOLE</t>
  </si>
  <si>
    <t>T_PDT_FIRST</t>
  </si>
  <si>
    <t>T_PDT_FIX</t>
  </si>
  <si>
    <t>T_AUTOROUTE</t>
  </si>
  <si>
    <t>T_CONTROLE_TEMP</t>
  </si>
  <si>
    <t>T_DOUBLE_DECK</t>
  </si>
  <si>
    <t>T_ESCORTE</t>
  </si>
  <si>
    <t>T_FERRY</t>
  </si>
  <si>
    <t>T_GENERATRICE</t>
  </si>
  <si>
    <t>T_MANUTENTION</t>
  </si>
  <si>
    <t>T_KM_SUPPL</t>
  </si>
  <si>
    <t>T_BELGE</t>
  </si>
  <si>
    <t>T_FRAIS_TUNNEL</t>
  </si>
  <si>
    <t>T_GEST_EMBAL</t>
  </si>
  <si>
    <t>T_LIV_WEST</t>
  </si>
  <si>
    <t>T_ENTREE</t>
  </si>
  <si>
    <t>T_SORTIE</t>
  </si>
  <si>
    <t>T_GRUE</t>
  </si>
  <si>
    <t>T_INSTAL</t>
  </si>
  <si>
    <t>T_ASSUR</t>
  </si>
  <si>
    <t>T_GEST_STOCK</t>
  </si>
  <si>
    <t>T_IMMO_JOURF</t>
  </si>
  <si>
    <t>T_PARK_SEC</t>
  </si>
  <si>
    <t>T_IMP_TICKET</t>
  </si>
  <si>
    <t>T_DOUANE_INSPECT</t>
  </si>
  <si>
    <t>T_DOUB_CHAUF</t>
  </si>
  <si>
    <t>T_ANNUL_PARTIEL</t>
  </si>
  <si>
    <t>T_PACKLIST</t>
  </si>
  <si>
    <t>T_ATTENTE_DOUANE</t>
  </si>
  <si>
    <t>T_IMMO_DOUANE</t>
  </si>
  <si>
    <t>T_LIV_PLTFM_LOGISTIQUE</t>
  </si>
  <si>
    <t>T_01_RDV</t>
  </si>
  <si>
    <t>T_02_AVIS_TEL</t>
  </si>
  <si>
    <t>T_501_LG_LIGHT</t>
  </si>
  <si>
    <t>T_502_AVIS_SMS</t>
  </si>
  <si>
    <t>T_503_LIV_PM</t>
  </si>
  <si>
    <t>T_504_LIV_SOIR</t>
  </si>
  <si>
    <t>T_505_LIV_FIXE</t>
  </si>
  <si>
    <t>T_511_AVT_10</t>
  </si>
  <si>
    <t>T_512_AVT_12</t>
  </si>
  <si>
    <t>T_70_ENLEV_RDV</t>
  </si>
  <si>
    <t>T_755_RDV_4H</t>
  </si>
  <si>
    <t>T_88_LG_HEAVY</t>
  </si>
  <si>
    <t>T_EVT_EXCEP</t>
  </si>
  <si>
    <t>T_UIT</t>
  </si>
  <si>
    <t>T_BAT_LIT</t>
  </si>
  <si>
    <t>T_CHR_AVT_11</t>
  </si>
  <si>
    <t>T_ENS</t>
  </si>
  <si>
    <t>T_ENERGIE</t>
  </si>
  <si>
    <t>9505289-C01</t>
  </si>
  <si>
    <t>DAP</t>
  </si>
  <si>
    <t>DOMESTIC</t>
  </si>
  <si>
    <t>MESS</t>
  </si>
  <si>
    <t>EDI</t>
  </si>
  <si>
    <t>LA RUCHE LOGISTIQUE</t>
  </si>
  <si>
    <t>FR</t>
  </si>
  <si>
    <t>CREANCEY</t>
  </si>
  <si>
    <t>KG</t>
  </si>
  <si>
    <t>PORTPAYE</t>
  </si>
  <si>
    <t>STANDARD</t>
  </si>
  <si>
    <t>EUR</t>
  </si>
  <si>
    <t>LSTANDARD</t>
  </si>
  <si>
    <t>O</t>
  </si>
  <si>
    <t>Industrie</t>
  </si>
  <si>
    <t>Pal</t>
  </si>
  <si>
    <t>CHABLIS</t>
  </si>
  <si>
    <t>EXW</t>
  </si>
  <si>
    <t>AFFR</t>
  </si>
  <si>
    <t>STG</t>
  </si>
  <si>
    <t>LONGVIC</t>
  </si>
  <si>
    <t>APPRO</t>
  </si>
  <si>
    <t>AFFRET</t>
  </si>
  <si>
    <t>MERIGNAC</t>
  </si>
  <si>
    <t>AMPUIS</t>
  </si>
  <si>
    <t>PARIS</t>
  </si>
  <si>
    <t>MARSEILLE</t>
  </si>
  <si>
    <t>TIERSPAYANT</t>
  </si>
  <si>
    <t>Magasin / Commerce</t>
  </si>
  <si>
    <t>GIGONDAS</t>
  </si>
  <si>
    <t>LAVERUNE</t>
  </si>
  <si>
    <t>CHATEAUNEUF DU PAPE</t>
  </si>
  <si>
    <t>TAXE FIXE DE FACTURATION</t>
  </si>
  <si>
    <t>Qté colis</t>
  </si>
  <si>
    <t>Qté UM</t>
  </si>
  <si>
    <t>Qté Poids</t>
  </si>
  <si>
    <t>Dpt exp</t>
  </si>
  <si>
    <t>Dpt dest</t>
  </si>
  <si>
    <t>Zone</t>
  </si>
  <si>
    <t>Contrôler</t>
  </si>
  <si>
    <t>Gazole</t>
  </si>
  <si>
    <t>dpt &lt; 10 :</t>
  </si>
  <si>
    <t>1 seul chiffre</t>
  </si>
  <si>
    <t>Total hors gazole</t>
  </si>
  <si>
    <t>Total avec gazole</t>
  </si>
  <si>
    <t>Total avec frais</t>
  </si>
  <si>
    <t>Total TTC</t>
  </si>
  <si>
    <t>Taxe gazole réelle</t>
  </si>
  <si>
    <t>pdf 1</t>
  </si>
  <si>
    <t>pdf 2</t>
  </si>
  <si>
    <t>pdf 3</t>
  </si>
  <si>
    <t>pdf 4</t>
  </si>
  <si>
    <t>total pdf</t>
  </si>
  <si>
    <t>manque</t>
  </si>
  <si>
    <t>(vide)</t>
  </si>
  <si>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</si>
  <si>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</si>
  <si>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</si>
  <si>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</si>
  <si>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</si>
  <si>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</si>
  <si>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</si>
  <si>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</si>
  <si>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</si>
  <si>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</si>
  <si>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</si>
  <si>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</si>
  <si>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</si>
  <si>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</si>
  <si>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</si>
  <si>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</si>
  <si>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</si>
  <si>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</si>
  <si>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</si>
  <si>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   Frêt    </t>
  </si>
  <si>
    <t xml:space="preserve"> plus-value BtoC </t>
  </si>
  <si>
    <t>Taxe Gasoil</t>
  </si>
  <si>
    <t xml:space="preserve"> Nb colis </t>
  </si>
  <si>
    <t>KUEHNE</t>
  </si>
  <si>
    <t>E</t>
  </si>
  <si>
    <t>ST</t>
  </si>
  <si>
    <t>Logistique</t>
  </si>
  <si>
    <t>Étiquettes de lignes</t>
  </si>
  <si>
    <t>total avant gazole</t>
  </si>
  <si>
    <t>total avec gazole</t>
  </si>
  <si>
    <t>indiquer "gazole" comme client dans la ligne concernée</t>
  </si>
  <si>
    <t>gazole</t>
  </si>
  <si>
    <t>ID Client</t>
  </si>
  <si>
    <t>Total hors GO</t>
  </si>
  <si>
    <t>Total + GO</t>
  </si>
  <si>
    <t>Droits et taxes</t>
  </si>
  <si>
    <t>Assurance</t>
  </si>
  <si>
    <t>Zones éloignées</t>
  </si>
  <si>
    <t>Colis volumineux</t>
  </si>
  <si>
    <t>Adresses</t>
  </si>
  <si>
    <t>Frêt</t>
  </si>
  <si>
    <t>Plus value B2C</t>
  </si>
  <si>
    <t>Tracking</t>
  </si>
  <si>
    <t>Somme de Total + GO</t>
  </si>
  <si>
    <t>Somme de Total hors GO</t>
  </si>
  <si>
    <t xml:space="preserve"> Assurance</t>
  </si>
  <si>
    <t xml:space="preserve"> Droits et taxes</t>
  </si>
  <si>
    <t xml:space="preserve"> Gazole</t>
  </si>
  <si>
    <t xml:space="preserve"> Plus value B2C</t>
  </si>
  <si>
    <t xml:space="preserve"> Frêt</t>
  </si>
  <si>
    <t xml:space="preserve"> Adresses</t>
  </si>
  <si>
    <t xml:space="preserve"> Colis volumineux</t>
  </si>
  <si>
    <t xml:space="preserve"> Zones éloignées</t>
  </si>
  <si>
    <t>Contrôle onglet import :</t>
  </si>
  <si>
    <t>EPONE</t>
  </si>
  <si>
    <t>SARL MAS JULLIEN Olivier JULLIEN (ENTREPRISE)</t>
  </si>
  <si>
    <t>JONQUIERES</t>
  </si>
  <si>
    <t>ST EMILION</t>
  </si>
  <si>
    <t>PERPIGNAN</t>
  </si>
  <si>
    <t>MARAVENNE SELECTION BERNARD LURQUIN (ENTREPRISE)</t>
  </si>
  <si>
    <t>LA LONDE LES MAURES</t>
  </si>
  <si>
    <t>ANIANE</t>
  </si>
  <si>
    <t>Mon Caviste Logistique Alain BARDET (ENTREPRISE)</t>
  </si>
  <si>
    <t>CHILLY MAZARIN</t>
  </si>
  <si>
    <t>PONCIN</t>
  </si>
  <si>
    <t>CHATEAU INTERNET Guillaume DU FOUSS (ENTREPRISE)</t>
  </si>
  <si>
    <t>RUCH</t>
  </si>
  <si>
    <t>SCEA Vignobles MOUTY Sabine MOUTY (ENTREPRISE)</t>
  </si>
  <si>
    <t>STE TERRE</t>
  </si>
  <si>
    <t xml:space="preserve">SAGET </t>
  </si>
  <si>
    <t>POUILLY SUR LOIRE</t>
  </si>
  <si>
    <t xml:space="preserve">MAJ </t>
  </si>
  <si>
    <t>CARCES</t>
  </si>
  <si>
    <t>CHATEAU STE CROIX</t>
  </si>
  <si>
    <t>DEPOT PHARMA</t>
  </si>
  <si>
    <t>Santé pharmacie</t>
  </si>
  <si>
    <t>Pharmavance Groupement Pharmavance (ENTREPRISE)</t>
  </si>
  <si>
    <t>VILLEPARISIS</t>
  </si>
  <si>
    <t>EXPORT</t>
  </si>
  <si>
    <t>INTERNATIONAL</t>
  </si>
  <si>
    <t>L9-16RDV</t>
  </si>
  <si>
    <t>CHATEAU MOURESSE BOUVET EMMA (ENTREPRISE)</t>
  </si>
  <si>
    <t>VIDAUBAN</t>
  </si>
  <si>
    <t>Domaine de la grande sieste Leticia (ENTREPRISE)</t>
  </si>
  <si>
    <t>VERAISON Clement DEVEVEY (ENTREPRISE)</t>
  </si>
  <si>
    <t>VERS</t>
  </si>
  <si>
    <t>SARL LES HAUTS DE ROCHEVILLE Philip (ENTREPRISE)</t>
  </si>
  <si>
    <t>PARNAY</t>
  </si>
  <si>
    <t>SCEA JEROME BRETAUDEAU Jerome BRETA (ENTREPRISE)</t>
  </si>
  <si>
    <t>GETIGNE</t>
  </si>
  <si>
    <t>COURTHEZON</t>
  </si>
  <si>
    <t>VIGNOBLES CHASSON Jeremie DEPIERRE (ENTREPRISE)</t>
  </si>
  <si>
    <t>ROUSSILLON</t>
  </si>
  <si>
    <t>CHATEAU LA SABLIERE AVEZOU SYLVIE (ENTREPRISE)</t>
  </si>
  <si>
    <t>BELLEGARDE</t>
  </si>
  <si>
    <t>CHAVANAY</t>
  </si>
  <si>
    <t>EXP20260520-2755032</t>
  </si>
  <si>
    <t>26-05-0571779</t>
  </si>
  <si>
    <t>26A050571779</t>
  </si>
  <si>
    <t>MAKARI DE SUISSE DERMOROYALCLAIR (ENTREPRISE)</t>
  </si>
  <si>
    <t>OREE D ANJOU</t>
  </si>
  <si>
    <t>EXP20260523-2759144</t>
  </si>
  <si>
    <t>26-05-0674504</t>
  </si>
  <si>
    <t>26A050674504</t>
  </si>
  <si>
    <t>SARL LA COMMANDERIE DU JURANCON JEA (ENTREPRISE)</t>
  </si>
  <si>
    <t>LACOMMANDE</t>
  </si>
  <si>
    <t>Client ID</t>
  </si>
  <si>
    <t>#N/A</t>
  </si>
  <si>
    <t>Total général</t>
  </si>
  <si>
    <t>Somme de Somme de Total + GO</t>
  </si>
  <si>
    <t>Somme de Somme de Total hors GO</t>
  </si>
  <si>
    <t>F2606017122</t>
  </si>
  <si>
    <t>26-05-0838077</t>
  </si>
  <si>
    <t>26A050838077</t>
  </si>
  <si>
    <t>HASARD Françoise (ENTREPRISE)</t>
  </si>
  <si>
    <t>MURVIEL LES MONTPELLIER</t>
  </si>
  <si>
    <t>26-05-0838106</t>
  </si>
  <si>
    <t>26A050838106</t>
  </si>
  <si>
    <t>LACHAUX Guillaume (ENTREPRISE)</t>
  </si>
  <si>
    <t>VELIZY VILLACOUBLAY</t>
  </si>
  <si>
    <t>26-06-0014947</t>
  </si>
  <si>
    <t>26A060014947</t>
  </si>
  <si>
    <t>26-06-0049541</t>
  </si>
  <si>
    <t>26A060049541</t>
  </si>
  <si>
    <t>Gregory TUDELA (ENTREPRISE)</t>
  </si>
  <si>
    <t>ST GILLES</t>
  </si>
  <si>
    <t>EXP20260529-2770114</t>
  </si>
  <si>
    <t>26-06-0049547</t>
  </si>
  <si>
    <t>26A060049547</t>
  </si>
  <si>
    <t>GAEC Terres d'Esclans RAYMOND Fabri (ENTREPRISE)</t>
  </si>
  <si>
    <t>LA MOTTE</t>
  </si>
  <si>
    <t>EXP20260601-2772380</t>
  </si>
  <si>
    <t>26-06-0049550</t>
  </si>
  <si>
    <t>26A060049550</t>
  </si>
  <si>
    <t>GAEC LAROSE LAROSE JOEL (ENTREPRISE)</t>
  </si>
  <si>
    <t>ALIGNAN DU VENT</t>
  </si>
  <si>
    <t>EXP20260601-2772379</t>
  </si>
  <si>
    <t>26-06-0049553</t>
  </si>
  <si>
    <t>26A060049553</t>
  </si>
  <si>
    <t>SAS La Martine Brune CLAEYS (ENTREPRISE)</t>
  </si>
  <si>
    <t>CASTELRENG</t>
  </si>
  <si>
    <t>EXP20260528-2768110</t>
  </si>
  <si>
    <t>26-06-0049556</t>
  </si>
  <si>
    <t>26A060049556</t>
  </si>
  <si>
    <t>LA GRANDE PHARMACIE DE ST DENIS Sab (ENTREPRISE)</t>
  </si>
  <si>
    <t>ST DENIS</t>
  </si>
  <si>
    <t>EXP20260601-2772378</t>
  </si>
  <si>
    <t>26-06-0049560</t>
  </si>
  <si>
    <t>26A060049560</t>
  </si>
  <si>
    <t>GAEC LANYE BARRAC - 2 Bernhard BACK (ENTREPRISE)</t>
  </si>
  <si>
    <t>MURVIEL LES BEZIERS</t>
  </si>
  <si>
    <t>EXP20260601-2774918</t>
  </si>
  <si>
    <t>26-06-0092699</t>
  </si>
  <si>
    <t>26A060092699</t>
  </si>
  <si>
    <t>DOMAINE DE LA TETE NOIRE DE MARIA W (ENTREPRISE)</t>
  </si>
  <si>
    <t>EXP20260601-2774442</t>
  </si>
  <si>
    <t>26-06-0092703</t>
  </si>
  <si>
    <t>26A060092703</t>
  </si>
  <si>
    <t>PHARMACIE DU FOUR-BONAPARTE PHARMAC (ENTREPRISE)</t>
  </si>
  <si>
    <t>ST OUEN L AUMONE</t>
  </si>
  <si>
    <t>EXP20260601-2774095</t>
  </si>
  <si>
    <t>26-06-0092706</t>
  </si>
  <si>
    <t>26A060092706</t>
  </si>
  <si>
    <t>Kerveguen Baron Eric (ENTREPRISE)</t>
  </si>
  <si>
    <t>GUIMAEC</t>
  </si>
  <si>
    <t>EXP20260601-2774686</t>
  </si>
  <si>
    <t>26-06-0092708</t>
  </si>
  <si>
    <t>26A060092708</t>
  </si>
  <si>
    <t>EXP20260601-2774625</t>
  </si>
  <si>
    <t>26-06-0147565</t>
  </si>
  <si>
    <t>26A060147565</t>
  </si>
  <si>
    <t>EXP20260601-2774279</t>
  </si>
  <si>
    <t>26-06-0147570</t>
  </si>
  <si>
    <t>26A060147570</t>
  </si>
  <si>
    <t>CHATEAU ROMANIN</t>
  </si>
  <si>
    <t>ST REMY DE PROVENCE</t>
  </si>
  <si>
    <t>EXP20260601-2774815</t>
  </si>
  <si>
    <t>26-06-0147574</t>
  </si>
  <si>
    <t>26A060147574</t>
  </si>
  <si>
    <t>Grands Vignobles en Mediterranee Ch (ENTREPRISE)</t>
  </si>
  <si>
    <t>FELINES MINERVOIS</t>
  </si>
  <si>
    <t>EXP20260603-2778100</t>
  </si>
  <si>
    <t>26-06-0188565</t>
  </si>
  <si>
    <t>26A060188565</t>
  </si>
  <si>
    <t>DOMAINE FOND MOIROUX</t>
  </si>
  <si>
    <t>COGNY</t>
  </si>
  <si>
    <t>EXP20260604-2780722</t>
  </si>
  <si>
    <t>26-06-0188569</t>
  </si>
  <si>
    <t>26A060188569</t>
  </si>
  <si>
    <t>CHATEAUX ET VINS DE BORDEAUX BALLAN (ENTREPRISE)</t>
  </si>
  <si>
    <t>ST SULPICE DE FALEYRENS</t>
  </si>
  <si>
    <t>EXP20260602-2776631</t>
  </si>
  <si>
    <t>26-06-0188571</t>
  </si>
  <si>
    <t>26A060188571</t>
  </si>
  <si>
    <t>CHATEAU GESSAN GONZALES PATRICK (ENTREPRISE)</t>
  </si>
  <si>
    <t>EXP20260602-2777383</t>
  </si>
  <si>
    <t>26-06-0188573</t>
  </si>
  <si>
    <t>26A060188573</t>
  </si>
  <si>
    <t>Jardins de Fleury Kohler Carole (ENTREPRISE)</t>
  </si>
  <si>
    <t>THOUARS</t>
  </si>
  <si>
    <t>EXP20260602-2776061</t>
  </si>
  <si>
    <t>26-06-0188575</t>
  </si>
  <si>
    <t>26A060188575</t>
  </si>
  <si>
    <t>EXP20260603-2779296</t>
  </si>
  <si>
    <t>26-06-0188578</t>
  </si>
  <si>
    <t>26A060188578</t>
  </si>
  <si>
    <t>CHATEAU ST LOUIS LA PERDRIX CASTAN (ENTREPRISE)</t>
  </si>
  <si>
    <t>EXP20260602-2776687</t>
  </si>
  <si>
    <t>26-06-0188581</t>
  </si>
  <si>
    <t>26A060188581</t>
  </si>
  <si>
    <t>EARL LE CLOS BONVIN JEAN CLAUDE (ENTREPRISE)</t>
  </si>
  <si>
    <t>EXP20260602-2775732</t>
  </si>
  <si>
    <t>26-06-0188583</t>
  </si>
  <si>
    <t>26A060188583</t>
  </si>
  <si>
    <t>GAEC DOMAINE DEVEZA JORDAN DEVEZA (ENTREPRISE)</t>
  </si>
  <si>
    <t>ESTAGEL</t>
  </si>
  <si>
    <t>EXP20260602-2776126</t>
  </si>
  <si>
    <t>26-06-0188587</t>
  </si>
  <si>
    <t>26A060188587</t>
  </si>
  <si>
    <t>BRUNO ANDREU</t>
  </si>
  <si>
    <t>MONTBLANC</t>
  </si>
  <si>
    <t>EXP20260602-2777127</t>
  </si>
  <si>
    <t>26-06-0188590</t>
  </si>
  <si>
    <t>26A060188590</t>
  </si>
  <si>
    <t>SAS CHATEAU PUECH LONG FRIZON Lione (ENTREPRISE)</t>
  </si>
  <si>
    <t>ST NAZAIRE DES GARDIES</t>
  </si>
  <si>
    <t>EXP20260602-2775888</t>
  </si>
  <si>
    <t>26-06-0188594</t>
  </si>
  <si>
    <t>26A060188594</t>
  </si>
  <si>
    <t>SARL Antoine Olivier - Cuverie Laur (ENTREPRISE)</t>
  </si>
  <si>
    <t>SANTENAY</t>
  </si>
  <si>
    <t>EXP20260603-2778257</t>
  </si>
  <si>
    <t>26-06-0188599</t>
  </si>
  <si>
    <t>26A060188599</t>
  </si>
  <si>
    <t>EXP20260602-2776125</t>
  </si>
  <si>
    <t>26-06-0188602</t>
  </si>
  <si>
    <t>26A060188602</t>
  </si>
  <si>
    <t>Domaine Michaud Michaud Ophelie (ENTREPRISE)</t>
  </si>
  <si>
    <t>MOROGES</t>
  </si>
  <si>
    <t>EXP20260603-2778709</t>
  </si>
  <si>
    <t>26-06-0188607</t>
  </si>
  <si>
    <t>26A060188607</t>
  </si>
  <si>
    <t>SCEA Domaine DEAT Julien DEAT (ENTREPRISE)</t>
  </si>
  <si>
    <t>ST BONNET PRES RIOM</t>
  </si>
  <si>
    <t>EXP20260604-2780015</t>
  </si>
  <si>
    <t>26-06-0188611</t>
  </si>
  <si>
    <t>26A060188611</t>
  </si>
  <si>
    <t>EARL Jean-Claude BUECHER et Fils Fr (ENTREPRISE)</t>
  </si>
  <si>
    <t>WETTOLSHEIM</t>
  </si>
  <si>
    <t>EXP20260602-2775846</t>
  </si>
  <si>
    <t>26-06-0188614</t>
  </si>
  <si>
    <t>26A060188614</t>
  </si>
  <si>
    <t>Domaine Le Pere Brun Brun Nicolas (ENTREPRISE)</t>
  </si>
  <si>
    <t>SORGUES</t>
  </si>
  <si>
    <t>EXP20260603-2779250</t>
  </si>
  <si>
    <t>26-06-0188618</t>
  </si>
  <si>
    <t>26A060188618</t>
  </si>
  <si>
    <t>SCEA LEYDIER &amp; Fils Henri LEYDIER (ENTREPRISE)</t>
  </si>
  <si>
    <t>BEAUMES DE VENISE</t>
  </si>
  <si>
    <t>EXP20260603-2778099</t>
  </si>
  <si>
    <t>26-06-0188623</t>
  </si>
  <si>
    <t>26A060188623</t>
  </si>
  <si>
    <t>SCEA VICAM Jean-Luc HUSSON (ENTREPRISE)</t>
  </si>
  <si>
    <t>PUGET VILLE</t>
  </si>
  <si>
    <t>EXP20260604-2780091</t>
  </si>
  <si>
    <t>26-06-0188628</t>
  </si>
  <si>
    <t>26A060188628</t>
  </si>
  <si>
    <t>EXP20260604-2780547</t>
  </si>
  <si>
    <t>26-06-0188634</t>
  </si>
  <si>
    <t>26A060188634</t>
  </si>
  <si>
    <t>EARL DOMAINE SAINT FIRMIN DOMAINE S (ENTREPRISE)</t>
  </si>
  <si>
    <t>UZES</t>
  </si>
  <si>
    <t>EXP20260603-2779154</t>
  </si>
  <si>
    <t>26-06-0188640</t>
  </si>
  <si>
    <t>26A060188640</t>
  </si>
  <si>
    <t>EARL CHATEAU PRADEAUX Etienne PORTA (ENTREPRISE)</t>
  </si>
  <si>
    <t>ST CYR SUR MER</t>
  </si>
  <si>
    <t>EXP20260602-2777045</t>
  </si>
  <si>
    <t>26-06-0188646</t>
  </si>
  <si>
    <t>26A060188646</t>
  </si>
  <si>
    <t>Domaine LEMAIN-POUILLOT - SDS LEMAI (ENTREPRISE)</t>
  </si>
  <si>
    <t>BUE</t>
  </si>
  <si>
    <t>EXP20260603-2777654</t>
  </si>
  <si>
    <t>26-06-0188652</t>
  </si>
  <si>
    <t>26A060188652</t>
  </si>
  <si>
    <t>DACHSER France Agence de Roiss The (ENTREPRISE)</t>
  </si>
  <si>
    <t>VEMARS</t>
  </si>
  <si>
    <t>EXP20260601-2774872</t>
  </si>
  <si>
    <t>26-06-0188657</t>
  </si>
  <si>
    <t>26A060188657</t>
  </si>
  <si>
    <t>LE DOMAINE D'HENRI MARGAUX LAROCHE (ENTREPRISE)</t>
  </si>
  <si>
    <t>EXP20260603-2779194</t>
  </si>
  <si>
    <t>26-06-0188662</t>
  </si>
  <si>
    <t>26A060188662</t>
  </si>
  <si>
    <t>SARL Francine et Olivier Savary SAV (ENTREPRISE)</t>
  </si>
  <si>
    <t>MALIGNY</t>
  </si>
  <si>
    <t>EXP20260602-2776824</t>
  </si>
  <si>
    <t>26-06-0188666</t>
  </si>
  <si>
    <t>26A060188666</t>
  </si>
  <si>
    <t>Franck LARGE Franck LARGE (ENTREPRISE)</t>
  </si>
  <si>
    <t>SALLES ARBUISSONNAS EN BEAUJOLAIS</t>
  </si>
  <si>
    <t>EXP20260603-2779393</t>
  </si>
  <si>
    <t>26-06-0188670</t>
  </si>
  <si>
    <t>26A060188670</t>
  </si>
  <si>
    <t>SARL DOMAINE LES POETE Sorbe Guilla (ENTREPRISE)</t>
  </si>
  <si>
    <t>PREUILLY</t>
  </si>
  <si>
    <t>26-06-0217880</t>
  </si>
  <si>
    <t>26A060217880</t>
  </si>
  <si>
    <t>EXP20260604-2780089</t>
  </si>
  <si>
    <t>26-06-0238218</t>
  </si>
  <si>
    <t>26A060238218</t>
  </si>
  <si>
    <t xml:space="preserve">SIFA TRANSIT </t>
  </si>
  <si>
    <t>OUDALLE</t>
  </si>
  <si>
    <t>Prestataire de service</t>
  </si>
  <si>
    <t>EXP20260604-2780723</t>
  </si>
  <si>
    <t>26-06-0238223</t>
  </si>
  <si>
    <t>26A060238223</t>
  </si>
  <si>
    <t>LAUVIGE ENTREPOSAGE TRAVAILLAN MOND (ENTREPRISE)</t>
  </si>
  <si>
    <t>TRAVAILLAN</t>
  </si>
  <si>
    <t>EXP20260604-2780912</t>
  </si>
  <si>
    <t>26-06-0238225</t>
  </si>
  <si>
    <t>26A060238225</t>
  </si>
  <si>
    <t>SAS DOMAINE DES JEUNES POUSSES Nais (ENTREPRISE)</t>
  </si>
  <si>
    <t>EMERINGES</t>
  </si>
  <si>
    <t>EXP20260604-2781256</t>
  </si>
  <si>
    <t>26-06-0238228</t>
  </si>
  <si>
    <t>26A060238228</t>
  </si>
  <si>
    <t>Maison Phetisson Bonnefoy BONNEFOY (ENTREPRISE)</t>
  </si>
  <si>
    <t>VALREAS</t>
  </si>
  <si>
    <t>EXP20260528-2767800</t>
  </si>
  <si>
    <t>26-06-0238231</t>
  </si>
  <si>
    <t>26A060238231</t>
  </si>
  <si>
    <t>AMAZON CDG7</t>
  </si>
  <si>
    <t>SENLIS</t>
  </si>
  <si>
    <t>Groupe</t>
  </si>
  <si>
    <t>OUI</t>
  </si>
  <si>
    <t>26-06-0261866</t>
  </si>
  <si>
    <t>26A060261866</t>
  </si>
  <si>
    <t>26-06-0316606</t>
  </si>
  <si>
    <t>26A060316606</t>
  </si>
  <si>
    <t xml:space="preserve">SCEA LES PLAINES DE CLARY </t>
  </si>
  <si>
    <t>ST GENIES DE COMOLAS</t>
  </si>
  <si>
    <t xml:space="preserve">LES PLAINES DE CLARY </t>
  </si>
  <si>
    <t>CREPY EN VALOIS</t>
  </si>
  <si>
    <t>EXP20260605-2783336</t>
  </si>
  <si>
    <t>26-06-0332171</t>
  </si>
  <si>
    <t>26A060332171</t>
  </si>
  <si>
    <t>DOMAINE PIETRI GERAUD SARL</t>
  </si>
  <si>
    <t>COLLIOURE</t>
  </si>
  <si>
    <t>EXP20260608-2785953</t>
  </si>
  <si>
    <t>26-06-0332173</t>
  </si>
  <si>
    <t>26A060332173</t>
  </si>
  <si>
    <t>EARL MONDOLONI Mondoloni Paul Antoi (ENTREPRISE)</t>
  </si>
  <si>
    <t>EXP20260605-2782826</t>
  </si>
  <si>
    <t>26-06-0332175</t>
  </si>
  <si>
    <t>26A060332175</t>
  </si>
  <si>
    <t>EURL DE SIGALOUS AXELLE MOUTTE (ENTREPRISE)</t>
  </si>
  <si>
    <t>LA CRAU</t>
  </si>
  <si>
    <t>EXP20260608-2786159</t>
  </si>
  <si>
    <t>26-06-0332178</t>
  </si>
  <si>
    <t>26A060332178</t>
  </si>
  <si>
    <t>SCEA Chateau Beauregard Mirouze Nic (ENTREPRISE)</t>
  </si>
  <si>
    <t>BIZANET</t>
  </si>
  <si>
    <t>EXP20260605-2782634</t>
  </si>
  <si>
    <t>26-06-0332180</t>
  </si>
  <si>
    <t>26A060332180</t>
  </si>
  <si>
    <t>SARL MARCHAND DE DOUCEURS Franck VA (ENTREPRISE)</t>
  </si>
  <si>
    <t>SALERNES</t>
  </si>
  <si>
    <t>EXP20260605-2783082</t>
  </si>
  <si>
    <t>26-06-0332183</t>
  </si>
  <si>
    <t>26A060332183</t>
  </si>
  <si>
    <t>CLOS LALFERT Baptiste LALFERT (ENTREPRISE)</t>
  </si>
  <si>
    <t>LA BOISSIERE</t>
  </si>
  <si>
    <t>EXP20260604-2781391</t>
  </si>
  <si>
    <t>26-06-0332186</t>
  </si>
  <si>
    <t>26A060332186</t>
  </si>
  <si>
    <t>A VOS BULLES SERVICE EXPEDITION (ENTREPRISE)</t>
  </si>
  <si>
    <t>26-06-0354623</t>
  </si>
  <si>
    <t>26A060354623</t>
  </si>
  <si>
    <t>SOUF</t>
  </si>
  <si>
    <t>AIR TERMINAL HANDLING S.A (ATH) P/C DACHSER</t>
  </si>
  <si>
    <t>TREMBLAY EN FRANCE</t>
  </si>
  <si>
    <t>26-06-0390328</t>
  </si>
  <si>
    <t>26A060390328</t>
  </si>
  <si>
    <t>Jérôme BRETAUDEAU (ENTREPRISE)</t>
  </si>
  <si>
    <t>EXP20260610-2790057</t>
  </si>
  <si>
    <t>26-06-0390329</t>
  </si>
  <si>
    <t>26A060390329</t>
  </si>
  <si>
    <t>Les Vignerons de Mistral Sandrine V (ENTREPRISE)</t>
  </si>
  <si>
    <t>BERRE L ETANG</t>
  </si>
  <si>
    <t>EXP20260610-2789905</t>
  </si>
  <si>
    <t>26-06-0390330</t>
  </si>
  <si>
    <t>26A060390330</t>
  </si>
  <si>
    <t>DUBREUIL et FILS Pierre DUBREUIL (ENTREPRISE)</t>
  </si>
  <si>
    <t>CERDON</t>
  </si>
  <si>
    <t>EXP20260609-2788027</t>
  </si>
  <si>
    <t>26-06-0390331</t>
  </si>
  <si>
    <t>26A060390331</t>
  </si>
  <si>
    <t>MAS LAU BAGNOL Laurent (ENTREPRISE)</t>
  </si>
  <si>
    <t>SOUVIGNARGUES</t>
  </si>
  <si>
    <t>EXP20260608-2786160</t>
  </si>
  <si>
    <t>26-06-0390332</t>
  </si>
  <si>
    <t>26A060390332</t>
  </si>
  <si>
    <t>CASTEL FRERES BUDIN EMMANUEL (ENTREPRISE)</t>
  </si>
  <si>
    <t>BLANQUEFORT</t>
  </si>
  <si>
    <t>EXP20260609-2788058</t>
  </si>
  <si>
    <t>26-06-0390333</t>
  </si>
  <si>
    <t>26A060390333</t>
  </si>
  <si>
    <t>Les Vignobles Chatenet-Goujon CHATE (ENTREPRISE)</t>
  </si>
  <si>
    <t>ST CHRISTOPHE DES BARDES</t>
  </si>
  <si>
    <t>EXP20260608-2787012</t>
  </si>
  <si>
    <t>26-06-0390334</t>
  </si>
  <si>
    <t>26A060390334</t>
  </si>
  <si>
    <t>SCEA CHATEAU DE L'ENGARRAN Diane LO (ENTREPRISE)</t>
  </si>
  <si>
    <t>EXP20260609-2788973</t>
  </si>
  <si>
    <t>26-06-0390335</t>
  </si>
  <si>
    <t>26A060390335</t>
  </si>
  <si>
    <t>EARL DOMAINE DE BROUSSE BOISSEL AMA (ENTREPRISE)</t>
  </si>
  <si>
    <t>CAHUZAC SUR VERE</t>
  </si>
  <si>
    <t>EXP20260609-2789330</t>
  </si>
  <si>
    <t>26-06-0390336</t>
  </si>
  <si>
    <t>26A060390336</t>
  </si>
  <si>
    <t>SCEA DOMAINE LES FOUQUES CHRISTELLE (ENTREPRISE)</t>
  </si>
  <si>
    <t>HYERES</t>
  </si>
  <si>
    <t>EXP20260609-2788555</t>
  </si>
  <si>
    <t>26-06-0390338</t>
  </si>
  <si>
    <t>26A060390338</t>
  </si>
  <si>
    <t>Vignobles Vins de Blanville Robert (ENTREPRISE)</t>
  </si>
  <si>
    <t>ST PARGOIRE</t>
  </si>
  <si>
    <t>EXP20260608-2787224</t>
  </si>
  <si>
    <t>26-06-0390340</t>
  </si>
  <si>
    <t>26A060390340</t>
  </si>
  <si>
    <t>EXP20260610-2790604</t>
  </si>
  <si>
    <t>26-06-0390342</t>
  </si>
  <si>
    <t>26A060390342</t>
  </si>
  <si>
    <t>SAS TERRANEA Serge COSIALLS (ENTREPRISE)</t>
  </si>
  <si>
    <t>PIOLENC</t>
  </si>
  <si>
    <t>EXP20260609-2789151</t>
  </si>
  <si>
    <t>26-06-0390344</t>
  </si>
  <si>
    <t>26A060390344</t>
  </si>
  <si>
    <t>La Mondiale Grands Crus Bertrand DE (ENTREPRISE)</t>
  </si>
  <si>
    <t>EXP20260608-2786161</t>
  </si>
  <si>
    <t>26-06-0390346</t>
  </si>
  <si>
    <t>26A060390346</t>
  </si>
  <si>
    <t>Logistique Albert Bichot KRONE Typh (ENTREPRISE)</t>
  </si>
  <si>
    <t>BEAUNE</t>
  </si>
  <si>
    <t>EXP20260609-2789032</t>
  </si>
  <si>
    <t>26-06-0390349</t>
  </si>
  <si>
    <t>26A060390349</t>
  </si>
  <si>
    <t>Maison de la Chapelle VIENNOIS Delp (ENTREPRISE)</t>
  </si>
  <si>
    <t>LA CHAPELLE VAUPELTEIGNE</t>
  </si>
  <si>
    <t>EXP20260609-2789150</t>
  </si>
  <si>
    <t>26-06-0390351</t>
  </si>
  <si>
    <t>26A060390351</t>
  </si>
  <si>
    <t>SARL TRESBAUDON Olivier Ricard (ENTREPRISE)</t>
  </si>
  <si>
    <t>TALLARD</t>
  </si>
  <si>
    <t>EXP20260609-2789152</t>
  </si>
  <si>
    <t>26-06-0390352</t>
  </si>
  <si>
    <t>26A060390352</t>
  </si>
  <si>
    <t>LPL WINE LEBLOND Leo-Paul (ENTREPRISE)</t>
  </si>
  <si>
    <t>CAEN</t>
  </si>
  <si>
    <t>EXP20260609-2788554</t>
  </si>
  <si>
    <t>26-06-0390353</t>
  </si>
  <si>
    <t>26A060390353</t>
  </si>
  <si>
    <t>LA PALETTE MASSIE WILLIAM (ENTREPRISE)</t>
  </si>
  <si>
    <t>SAUCATS</t>
  </si>
  <si>
    <t>EXP20260610-2790302</t>
  </si>
  <si>
    <t>26-06-0390354</t>
  </si>
  <si>
    <t>26A060390354</t>
  </si>
  <si>
    <t>DOMAINE GENOT-BOULANGER VIRGINIE DI (ENTREPRISE)</t>
  </si>
  <si>
    <t>MEURSAULT</t>
  </si>
  <si>
    <t>EXP20260609-2788974</t>
  </si>
  <si>
    <t>26-06-0390355</t>
  </si>
  <si>
    <t>26A060390355</t>
  </si>
  <si>
    <t>EXP20260609-2788712</t>
  </si>
  <si>
    <t>26-06-0390357</t>
  </si>
  <si>
    <t>26A060390357</t>
  </si>
  <si>
    <t>EI CHOTARD SEBASTIEN CHOTARD Sebast (ENTREPRISE)</t>
  </si>
  <si>
    <t>MAISONS LAFFITTE</t>
  </si>
  <si>
    <t>EXP20260609-2788763</t>
  </si>
  <si>
    <t>26-06-0390358</t>
  </si>
  <si>
    <t>26A060390358</t>
  </si>
  <si>
    <t>Domaine Les Genets Marcel Thierry (ENTREPRISE)</t>
  </si>
  <si>
    <t>PONET ET ST AUBAN</t>
  </si>
  <si>
    <t>EXP20260609-2789083</t>
  </si>
  <si>
    <t>26-06-0390360</t>
  </si>
  <si>
    <t>26A060390360</t>
  </si>
  <si>
    <t>S.C.A.S Maison des Vignerons BOUTIN (ENTREPRISE)</t>
  </si>
  <si>
    <t>EXP20260609-2789365</t>
  </si>
  <si>
    <t>26-06-0390362</t>
  </si>
  <si>
    <t>26A060390362</t>
  </si>
  <si>
    <t>CAVE LA PETITE REINE Pierre BOUCHE (ENTREPRISE)</t>
  </si>
  <si>
    <t>BEDOIN</t>
  </si>
  <si>
    <t>EXP20260608-2787173</t>
  </si>
  <si>
    <t>26-06-0390364</t>
  </si>
  <si>
    <t>26A060390364</t>
  </si>
  <si>
    <t>SARL GUILLER MONTABONNET GUILLER IS (ENTREPRISE)</t>
  </si>
  <si>
    <t>CONDRIEU</t>
  </si>
  <si>
    <t>EXP20260609-2788711</t>
  </si>
  <si>
    <t>26-06-0390366</t>
  </si>
  <si>
    <t>26A060390366</t>
  </si>
  <si>
    <t>26-06-0428796</t>
  </si>
  <si>
    <t>26A060428796</t>
  </si>
  <si>
    <t xml:space="preserve">LA RUCHE LOGISTIQUE </t>
  </si>
  <si>
    <t>EXP20260610-2790712</t>
  </si>
  <si>
    <t>26-06-0429852</t>
  </si>
  <si>
    <t>26A060429852</t>
  </si>
  <si>
    <t>DOMAINE DE LA PROVENQUIERE</t>
  </si>
  <si>
    <t>CAPESTANG</t>
  </si>
  <si>
    <t>Particulier</t>
  </si>
  <si>
    <t>EXP20260610-2790967</t>
  </si>
  <si>
    <t>26-06-0429854</t>
  </si>
  <si>
    <t>26A060429854</t>
  </si>
  <si>
    <t>SAS LE VIEUX DONJON Claire FABRE (ENTREPRISE)</t>
  </si>
  <si>
    <t>EXP20260610-2790865</t>
  </si>
  <si>
    <t>26-06-0429857</t>
  </si>
  <si>
    <t>26A060429857</t>
  </si>
  <si>
    <t>SARL SALENTE DUSSURGET France-Laure (ENTREPRISE)</t>
  </si>
  <si>
    <t>GIGNAC</t>
  </si>
  <si>
    <t>EXP20260610-2790864</t>
  </si>
  <si>
    <t>26-06-0429859</t>
  </si>
  <si>
    <t>26A060429859</t>
  </si>
  <si>
    <t>EARL Biobonum Stephan BUFFILLE (ENTREPRISE)</t>
  </si>
  <si>
    <t>CHATEAUNEUF LES MARTIGUES</t>
  </si>
  <si>
    <t>EXP20260609-2789333</t>
  </si>
  <si>
    <t>26-06-0429861</t>
  </si>
  <si>
    <t>26A060429861</t>
  </si>
  <si>
    <t>ISIPCA Zerbib Alain (ENTREPRISE)</t>
  </si>
  <si>
    <t>VERSAILLES</t>
  </si>
  <si>
    <t>EXP20260610-2790863</t>
  </si>
  <si>
    <t>26-06-0429863</t>
  </si>
  <si>
    <t>26A060429863</t>
  </si>
  <si>
    <t>SCEA CHATEAU MAUVINON BRIGITTE TRIB (ENTREPRISE)</t>
  </si>
  <si>
    <t>EXP20260610-2790760</t>
  </si>
  <si>
    <t>26-06-0429865</t>
  </si>
  <si>
    <t>26A060429865</t>
  </si>
  <si>
    <t>EURL CENT-NEUF Julien ALBAREL (ENTREPRISE)</t>
  </si>
  <si>
    <t>CAHORS</t>
  </si>
  <si>
    <t>EXP20260611-2792844</t>
  </si>
  <si>
    <t>26-06-0483796</t>
  </si>
  <si>
    <t>26A060483796</t>
  </si>
  <si>
    <t>Domaine de la Jument Rousse PUECH S (ENTREPRISE)</t>
  </si>
  <si>
    <t>RIEUX EN VAL</t>
  </si>
  <si>
    <t>EXP20260611-2792599</t>
  </si>
  <si>
    <t>26-06-0483798</t>
  </si>
  <si>
    <t>26A060483798</t>
  </si>
  <si>
    <t>EARL CAVE RICHARD Marie-therese RIC (ENTREPRISE)</t>
  </si>
  <si>
    <t>EXP20260612-2793442</t>
  </si>
  <si>
    <t>26-06-0483799</t>
  </si>
  <si>
    <t>26A060483799</t>
  </si>
  <si>
    <t>G. Richomme Collet Florence (ENTREPRISE)</t>
  </si>
  <si>
    <t>BARBONNE FAYEL</t>
  </si>
  <si>
    <t>EXP20260612-2793349</t>
  </si>
  <si>
    <t>26-06-0483800</t>
  </si>
  <si>
    <t>26A060483800</t>
  </si>
  <si>
    <t>CHATEAU JARON PHILIPPE LIBERATORE (ENTREPRISE)</t>
  </si>
  <si>
    <t>LANDERROUAT</t>
  </si>
  <si>
    <t>EXP20260611-2792558</t>
  </si>
  <si>
    <t>26-06-0483803</t>
  </si>
  <si>
    <t>26A060483803</t>
  </si>
  <si>
    <t>Sas Mylene Bru Mylene BRU (ENTREPRISE)</t>
  </si>
  <si>
    <t>26-06-0503097</t>
  </si>
  <si>
    <t>26A060503097</t>
  </si>
  <si>
    <t>EXP20260615-2798783</t>
  </si>
  <si>
    <t>26-06-0536417</t>
  </si>
  <si>
    <t>26A060536417</t>
  </si>
  <si>
    <t>SARL DOMAINE MARC ROUGEOT MARC ROUG (ENTREPRISE)</t>
  </si>
  <si>
    <t>EXP20260614-2797923</t>
  </si>
  <si>
    <t>26-06-0536419</t>
  </si>
  <si>
    <t>26A060536419</t>
  </si>
  <si>
    <t>SCEA DOMAINE DU CHAPITRE DORTHE FRE (ENTREPRISE)</t>
  </si>
  <si>
    <t>ST MARCEL D ARDECHE</t>
  </si>
  <si>
    <t>EXP20260615-2798782</t>
  </si>
  <si>
    <t>26-06-0536420</t>
  </si>
  <si>
    <t>26A060536420</t>
  </si>
  <si>
    <t>EXP20260612-2793899</t>
  </si>
  <si>
    <t>26-06-0536421</t>
  </si>
  <si>
    <t>26A060536421</t>
  </si>
  <si>
    <t>CELLIER DES CHARMETTES 9101059</t>
  </si>
  <si>
    <t>LES ARTIGUES DE LUSSAC</t>
  </si>
  <si>
    <t>EXP20260615-2798647</t>
  </si>
  <si>
    <t>26-06-0536422</t>
  </si>
  <si>
    <t>26A060536422</t>
  </si>
  <si>
    <t>DOMAINE DE CANTALAUZE PIERRE-OLIVIE (ENTREPRISE)</t>
  </si>
  <si>
    <t>EXP20260612-2796088</t>
  </si>
  <si>
    <t>26-06-0536425</t>
  </si>
  <si>
    <t>26A060536425</t>
  </si>
  <si>
    <t>ANTOINE RENIAUME Antoine RENIAUME (ENTREPRISE)</t>
  </si>
  <si>
    <t>BOUZERON</t>
  </si>
  <si>
    <t>EXP20260612-2796040</t>
  </si>
  <si>
    <t>26-06-0536426</t>
  </si>
  <si>
    <t>26A060536426</t>
  </si>
  <si>
    <t>AUREL GREGORY Gregory AUREL (ENTREPRISE)</t>
  </si>
  <si>
    <t>EXP20260615-2799004</t>
  </si>
  <si>
    <t>26-06-0536427</t>
  </si>
  <si>
    <t>26A060536427</t>
  </si>
  <si>
    <t>DOMAINE ROLAND GRANGIER CELINE GRAN (ENTREPRISE)</t>
  </si>
  <si>
    <t>EXP20260611-2792540</t>
  </si>
  <si>
    <t>26-06-0588664</t>
  </si>
  <si>
    <t>26A060588664</t>
  </si>
  <si>
    <t>STOCK AZ</t>
  </si>
  <si>
    <t>CHAURAY</t>
  </si>
  <si>
    <t>26-06-0588666</t>
  </si>
  <si>
    <t>26A060588666</t>
  </si>
  <si>
    <t>EXP20260605-2783178</t>
  </si>
  <si>
    <t>VPMI VANDROMME PROMOTION MEDICAL (ENTREPRISE)</t>
  </si>
  <si>
    <t>LUCE</t>
  </si>
  <si>
    <t>EXP20260615-2799257</t>
  </si>
  <si>
    <t>26-06-0588668</t>
  </si>
  <si>
    <t>26A060588668</t>
  </si>
  <si>
    <t>SAUMAIZE MICHELIN Lisa SAUMAIZE (ENTREPRISE)</t>
  </si>
  <si>
    <t>VERGISSON</t>
  </si>
  <si>
    <t>EXP20260615-2799188</t>
  </si>
  <si>
    <t>26-06-0588670</t>
  </si>
  <si>
    <t>26A060588670</t>
  </si>
  <si>
    <t>26-06-0616559</t>
  </si>
  <si>
    <t>26A060616559</t>
  </si>
  <si>
    <t>EXP20260615-2799645</t>
  </si>
  <si>
    <t>26-06-0641579</t>
  </si>
  <si>
    <t>26A060641579</t>
  </si>
  <si>
    <t>SCEA DES GALLOIRES</t>
  </si>
  <si>
    <t>EXP20260617-2803080</t>
  </si>
  <si>
    <t>26-06-0641582</t>
  </si>
  <si>
    <t>26A060641582</t>
  </si>
  <si>
    <t>EXP20260616-2801965</t>
  </si>
  <si>
    <t>26-06-0641586</t>
  </si>
  <si>
    <t>26A060641586</t>
  </si>
  <si>
    <t>DOMAINE LAFAGE</t>
  </si>
  <si>
    <t>EXP20260616-2802411</t>
  </si>
  <si>
    <t>26-06-0641589</t>
  </si>
  <si>
    <t>26A060641589</t>
  </si>
  <si>
    <t>DOMAINE OBRIERE MACKAY CHARLES - GA (ENTREPRISE)</t>
  </si>
  <si>
    <t>SERVIAN</t>
  </si>
  <si>
    <t>EXP20260617-2803169</t>
  </si>
  <si>
    <t>26-06-0641592</t>
  </si>
  <si>
    <t>26A060641592</t>
  </si>
  <si>
    <t>SARL SAVEUR DES VINS WILLIAM PERLET (ENTREPRISE)</t>
  </si>
  <si>
    <t>MARMANDE</t>
  </si>
  <si>
    <t>EXP20260616-2801910</t>
  </si>
  <si>
    <t>26-06-0641595</t>
  </si>
  <si>
    <t>26A060641595</t>
  </si>
  <si>
    <t>CHATEAU FERRY LACOMBE</t>
  </si>
  <si>
    <t>TRETS</t>
  </si>
  <si>
    <t>EXP20260616-2801911</t>
  </si>
  <si>
    <t>26-06-0641599</t>
  </si>
  <si>
    <t>26A060641599</t>
  </si>
  <si>
    <t>Earl Remi &amp; Robert NIERO Remi NIERO (ENTREPRISE)</t>
  </si>
  <si>
    <t>EXP20260616-2800852</t>
  </si>
  <si>
    <t>26-06-0641603</t>
  </si>
  <si>
    <t>26A060641603</t>
  </si>
  <si>
    <t>JABOULET</t>
  </si>
  <si>
    <t>TAIN L HERMITAGE</t>
  </si>
  <si>
    <t>EXP20260615-2799936</t>
  </si>
  <si>
    <t>26-06-0641608</t>
  </si>
  <si>
    <t>26A060641608</t>
  </si>
  <si>
    <t>Magnum Pierre Fiona (ENTREPRISE)</t>
  </si>
  <si>
    <t>EXP20260616-2801321</t>
  </si>
  <si>
    <t>26-06-0641612</t>
  </si>
  <si>
    <t>26A060641612</t>
  </si>
  <si>
    <t>SOCIETE PUY GAUDIN Aurelie PREVAUD (ENTREPRISE)</t>
  </si>
  <si>
    <t>GEMOZAC</t>
  </si>
  <si>
    <t>EXP20260616-2801839</t>
  </si>
  <si>
    <t>26-06-0641615</t>
  </si>
  <si>
    <t>26A060641615</t>
  </si>
  <si>
    <t>SAS TRESLUS Sophie ROUMANET (ENTREPRISE)</t>
  </si>
  <si>
    <t>LABLACHERE</t>
  </si>
  <si>
    <t>EXP20260616-2802024</t>
  </si>
  <si>
    <t>26-06-0641619</t>
  </si>
  <si>
    <t>26A060641619</t>
  </si>
  <si>
    <t>Domaine Genoux Daniel GENOUX (ENTREPRISE)</t>
  </si>
  <si>
    <t>ARBIN</t>
  </si>
  <si>
    <t>EXP20260617-2803213</t>
  </si>
  <si>
    <t>26-06-0641622</t>
  </si>
  <si>
    <t>26A060641622</t>
  </si>
  <si>
    <t>JOIE DE VIGNE Olivier GAGNARD (ENTREPRISE)</t>
  </si>
  <si>
    <t>PERIGUEUX</t>
  </si>
  <si>
    <t>26-06-0643313</t>
  </si>
  <si>
    <t>26E005237558</t>
  </si>
  <si>
    <t>EU-5237558</t>
  </si>
  <si>
    <t>EARL LE CLOS BOIVIN</t>
  </si>
  <si>
    <t>FIRST</t>
  </si>
  <si>
    <t>26-06-0674931</t>
  </si>
  <si>
    <t>26E005237564</t>
  </si>
  <si>
    <t>EU-5237564</t>
  </si>
  <si>
    <t>EXP20260617-2803325</t>
  </si>
  <si>
    <t>26-06-0691072</t>
  </si>
  <si>
    <t>26A060691072</t>
  </si>
  <si>
    <t>BUREAU FRANCOIS LILLET Francois LIL (ENTREPRISE)</t>
  </si>
  <si>
    <t>BRUGES</t>
  </si>
  <si>
    <t>EXP20260617-2804067</t>
  </si>
  <si>
    <t>26-06-0691073</t>
  </si>
  <si>
    <t>26A060691073</t>
  </si>
  <si>
    <t>DOMAINE LA CHRETIENNE THIERRY SIMON (ENTREPRISE)</t>
  </si>
  <si>
    <t>EXP20260617-2803522</t>
  </si>
  <si>
    <t>26-06-0691074</t>
  </si>
  <si>
    <t>26A060691074</t>
  </si>
  <si>
    <t>VIGNES ET VINS PAUL FAZELI (ENTREPRISE)</t>
  </si>
  <si>
    <t>LYON</t>
  </si>
  <si>
    <t>EXP20260617-2803958</t>
  </si>
  <si>
    <t>26-06-0691075</t>
  </si>
  <si>
    <t>26A060691075</t>
  </si>
  <si>
    <t>EXP20260617-2803648</t>
  </si>
  <si>
    <t>26-06-0691076</t>
  </si>
  <si>
    <t>26A060691076</t>
  </si>
  <si>
    <t>CHATEAU DE FLAUGERGUES Pierre DE CO (ENTREPRISE)</t>
  </si>
  <si>
    <t>MONTPELLIER</t>
  </si>
  <si>
    <t>EXP20260618-2805681</t>
  </si>
  <si>
    <t>26-06-0740199</t>
  </si>
  <si>
    <t>26A060740199</t>
  </si>
  <si>
    <t>Le Clos de Chozieux Jean Luc Gaumon (ENTREPRISE)</t>
  </si>
  <si>
    <t>LEIGNEUX</t>
  </si>
  <si>
    <t>EXP20260618-2805554</t>
  </si>
  <si>
    <t>26-06-0740200</t>
  </si>
  <si>
    <t>26A060740200</t>
  </si>
  <si>
    <t>LES TERRES DE ST HILAIRE DE VISA El (ENTREPRISE)</t>
  </si>
  <si>
    <t>OLLIERES</t>
  </si>
  <si>
    <t>EXP20260618-2806068</t>
  </si>
  <si>
    <t>26-06-0740201</t>
  </si>
  <si>
    <t>26A060740201</t>
  </si>
  <si>
    <t>Domaine Xavier Muller Xavier MULLER (ENTREPRISE)</t>
  </si>
  <si>
    <t>MARLENHEIM</t>
  </si>
  <si>
    <t>EXP20260617-2803959</t>
  </si>
  <si>
    <t>26-06-0740202</t>
  </si>
  <si>
    <t>26A060740202</t>
  </si>
  <si>
    <t>Pharmacie Centrale Saint-Denis Phar (ENTREPRISE)</t>
  </si>
  <si>
    <t>26-06-0771898</t>
  </si>
  <si>
    <t>26A060771898</t>
  </si>
  <si>
    <t>EXP20260622-2811458</t>
  </si>
  <si>
    <t>26-06-0791233</t>
  </si>
  <si>
    <t>26A060791233</t>
  </si>
  <si>
    <t>SCEA LES OURSONS Fabien BROTONS (ENTREPRISE)</t>
  </si>
  <si>
    <t>COTIGNAC</t>
  </si>
  <si>
    <t>EXP20260622-2811853</t>
  </si>
  <si>
    <t>26-06-0791234</t>
  </si>
  <si>
    <t>26A060791234</t>
  </si>
  <si>
    <t>CAVE DE ROUSSET</t>
  </si>
  <si>
    <t>ROUSSET</t>
  </si>
  <si>
    <t>EXP20260621-2809330</t>
  </si>
  <si>
    <t>26-06-0791235</t>
  </si>
  <si>
    <t>26A060791235</t>
  </si>
  <si>
    <t>SAS PICHAT DIFFUSION PICHAT Stephan (ENTREPRISE)</t>
  </si>
  <si>
    <t>EXP20260619-2807212</t>
  </si>
  <si>
    <t>26-06-0791236</t>
  </si>
  <si>
    <t>26A060791236</t>
  </si>
  <si>
    <t>EXP20260619-2807520</t>
  </si>
  <si>
    <t>26-06-0791237</t>
  </si>
  <si>
    <t>26A060791237</t>
  </si>
  <si>
    <t>EXP20260619-2807740</t>
  </si>
  <si>
    <t>26-06-0791238</t>
  </si>
  <si>
    <t>26A060791238</t>
  </si>
  <si>
    <t>SOCIETE DES VINS DE PIZAY Schneider (ENTREPRISE)</t>
  </si>
  <si>
    <t>BELLEVILLE</t>
  </si>
  <si>
    <t>EXP20260622-2811664</t>
  </si>
  <si>
    <t>26-06-0791239</t>
  </si>
  <si>
    <t>26A060791239</t>
  </si>
  <si>
    <t>SCA DU CHATEAU LA BORIE RAPHAEL KNA (ENTREPRISE)</t>
  </si>
  <si>
    <t>SUZE LA ROUSSE</t>
  </si>
  <si>
    <t>EXP20260620-2808454</t>
  </si>
  <si>
    <t>26-06-0791240</t>
  </si>
  <si>
    <t>26A060791240</t>
  </si>
  <si>
    <t>Domaine Dupasquier Veronique DUPASQ (ENTREPRISE)</t>
  </si>
  <si>
    <t>JONGIEUX</t>
  </si>
  <si>
    <t>EXP20260622-2811738</t>
  </si>
  <si>
    <t>26-06-0791242</t>
  </si>
  <si>
    <t>26A060791242</t>
  </si>
  <si>
    <t>Cave les Vignerons du Luc Vignerons (ENTREPRISE)</t>
  </si>
  <si>
    <t>LE LUC</t>
  </si>
  <si>
    <t>EXP20260620-2808305</t>
  </si>
  <si>
    <t>26-06-0791243</t>
  </si>
  <si>
    <t>26A060791243</t>
  </si>
  <si>
    <t>CAMPANEUS ALEXIS RIVET DE SABATIER (ENTREPRISE)</t>
  </si>
  <si>
    <t>EXP20260619-2807521</t>
  </si>
  <si>
    <t>26-06-0791244</t>
  </si>
  <si>
    <t>26A060791244</t>
  </si>
  <si>
    <t>LES CAVES DE REUILLY JULIEN PECHINE (ENTREPRISE)</t>
  </si>
  <si>
    <t>26-06-0912817</t>
  </si>
  <si>
    <t>26A060912817</t>
  </si>
  <si>
    <t>EXP20260623-2813700</t>
  </si>
  <si>
    <t>26-06-0946593</t>
  </si>
  <si>
    <t>26A060946593</t>
  </si>
  <si>
    <t>SAS ALLOIS</t>
  </si>
  <si>
    <t>CASENEUVE</t>
  </si>
  <si>
    <t>EXP20260622-2812727</t>
  </si>
  <si>
    <t>26-06-0946594</t>
  </si>
  <si>
    <t>26A060946594</t>
  </si>
  <si>
    <t>BOTTEX Patrick BOTTEX (ENTREPRISE)</t>
  </si>
  <si>
    <t>EXP20260623-2813701</t>
  </si>
  <si>
    <t>26-06-0946595</t>
  </si>
  <si>
    <t>26A060946595</t>
  </si>
  <si>
    <t>EXP20260623-2813597</t>
  </si>
  <si>
    <t>26-06-0946596</t>
  </si>
  <si>
    <t>26A060946596</t>
  </si>
  <si>
    <t>GHAEM-THOUROUDE Alexandre THOUROUDE (ENTREPRISE)</t>
  </si>
  <si>
    <t>SARDAN</t>
  </si>
  <si>
    <t>EXP20260622-2812032</t>
  </si>
  <si>
    <t>26-06-0946597</t>
  </si>
  <si>
    <t>26A060946597</t>
  </si>
  <si>
    <t>SAS VIGNOBLES FRAYSSE FRAYSSE Guilh (ENTREPRISE)</t>
  </si>
  <si>
    <t>ENTRE VIGNES</t>
  </si>
  <si>
    <t>EXP20260623-2813496</t>
  </si>
  <si>
    <t>26-06-0946599</t>
  </si>
  <si>
    <t>26A060946599</t>
  </si>
  <si>
    <t>Maison Philippe GRISARD Philippe GR (ENTREPRISE)</t>
  </si>
  <si>
    <t>CRUET</t>
  </si>
  <si>
    <t>EXP20260622-2811890</t>
  </si>
  <si>
    <t>26-06-0946600</t>
  </si>
  <si>
    <t>26A060946600</t>
  </si>
  <si>
    <t>SARL TROPEZ</t>
  </si>
  <si>
    <t>GASSIN</t>
  </si>
  <si>
    <t>EXP20260623-2814417</t>
  </si>
  <si>
    <t>26-06-0991480</t>
  </si>
  <si>
    <t>26A060991480</t>
  </si>
  <si>
    <t>Aurelio Wine Co PETIT AURELIEN (ENTREPRISE)</t>
  </si>
  <si>
    <t>NYONS</t>
  </si>
  <si>
    <t>EXP20260623-2813702</t>
  </si>
  <si>
    <t>26-06-0991481</t>
  </si>
  <si>
    <t>26A060991481</t>
  </si>
  <si>
    <t>CLOS DE CAILLE</t>
  </si>
  <si>
    <t>ENTRECASTEAUX</t>
  </si>
  <si>
    <t>EXP20260623-2814542</t>
  </si>
  <si>
    <t>26-06-0991482</t>
  </si>
  <si>
    <t>26A060991482</t>
  </si>
  <si>
    <t>LES CAVES DU ROUSSILLO REYNAL SARAH (ENTREPRISE)</t>
  </si>
  <si>
    <t>EXP20260623-2814295</t>
  </si>
  <si>
    <t>26-06-0991484</t>
  </si>
  <si>
    <t>26A060991484</t>
  </si>
  <si>
    <t>EXP20260623-2814488</t>
  </si>
  <si>
    <t>26-06-0991485</t>
  </si>
  <si>
    <t>26A060991485</t>
  </si>
  <si>
    <t>CAVE DE NOLAY</t>
  </si>
  <si>
    <t>NOLAY</t>
  </si>
  <si>
    <t>EXP20260625-2818342</t>
  </si>
  <si>
    <t>26-06-0991486</t>
  </si>
  <si>
    <t>26A060991486</t>
  </si>
  <si>
    <t>Abdul Aziz Faso Fret - Kouloub Phar (ENTREPRISE)</t>
  </si>
  <si>
    <t>FONTENAY EN PARISIS</t>
  </si>
  <si>
    <t>EXP20260624-2816716</t>
  </si>
  <si>
    <t>26-06-1045638</t>
  </si>
  <si>
    <t>26A061045638</t>
  </si>
  <si>
    <t>SCEA Chateau Jouvente Benjamin GUTM (ENTREPRISE)</t>
  </si>
  <si>
    <t>ILLATS</t>
  </si>
  <si>
    <t>EXP20260624-2815452</t>
  </si>
  <si>
    <t>26-06-1045640</t>
  </si>
  <si>
    <t>26A061045640</t>
  </si>
  <si>
    <t>EXP20260624-2817215</t>
  </si>
  <si>
    <t>26-06-1045641</t>
  </si>
  <si>
    <t>26A061045641</t>
  </si>
  <si>
    <t>Domaine Clo Point Patrick POINT (ENTREPRISE)</t>
  </si>
  <si>
    <t>LUGNY</t>
  </si>
  <si>
    <t>EXP20260623-2814731</t>
  </si>
  <si>
    <t>26-06-1045642</t>
  </si>
  <si>
    <t>26A061045642</t>
  </si>
  <si>
    <t>EARL Sesquieres Jean-Francois Lagou (ENTREPRISE)</t>
  </si>
  <si>
    <t>ALZONNE</t>
  </si>
  <si>
    <t>EXP20260625-2818258</t>
  </si>
  <si>
    <t>26-06-1045643</t>
  </si>
  <si>
    <t>26A061045643</t>
  </si>
  <si>
    <t>Le Cellier Morvandiau JOLY Romain (ENTREPRISE)</t>
  </si>
  <si>
    <t>SAULIEU</t>
  </si>
  <si>
    <t>EXP20260625-2819637</t>
  </si>
  <si>
    <t>26-06-1045644</t>
  </si>
  <si>
    <t>26A061045644</t>
  </si>
  <si>
    <t>Le Domaine du Cers William OSSENT (ENTREPRISE)</t>
  </si>
  <si>
    <t>LUC SUR ORBIEU</t>
  </si>
  <si>
    <t>EXP20260625-2818688</t>
  </si>
  <si>
    <t>26-06-1045646</t>
  </si>
  <si>
    <t>26A061045646</t>
  </si>
  <si>
    <t>EURL MCPVR Aurelie VERGNAUD (ENTREPRISE)</t>
  </si>
  <si>
    <t>ORANGE</t>
  </si>
  <si>
    <t>EXP20260623-2814602</t>
  </si>
  <si>
    <t>26-06-1045648</t>
  </si>
  <si>
    <t>26A061045648</t>
  </si>
  <si>
    <t>EXP20260625-2818842</t>
  </si>
  <si>
    <t>26-06-1045650</t>
  </si>
  <si>
    <t>26A061045650</t>
  </si>
  <si>
    <t>SARL LA TERRASSE D'ELISE Xavier BRA (ENTREPRISE)</t>
  </si>
  <si>
    <t>EXP20260625-2819680</t>
  </si>
  <si>
    <t>26-06-1045652</t>
  </si>
  <si>
    <t>26A061045652</t>
  </si>
  <si>
    <t>SYLVIE ET FILS SYLVIE LE NEZET (ENTREPRISE)</t>
  </si>
  <si>
    <t>LE MUY</t>
  </si>
  <si>
    <t>EXP20260624-2816123</t>
  </si>
  <si>
    <t>26-06-1045655</t>
  </si>
  <si>
    <t>26A061045655</t>
  </si>
  <si>
    <t>SAS PLAGEOLLES Florent PAGEOLLES (ENTREPRISE)</t>
  </si>
  <si>
    <t>EXP20260625-2819375</t>
  </si>
  <si>
    <t>26-06-1045657</t>
  </si>
  <si>
    <t>26A061045657</t>
  </si>
  <si>
    <t>LES INFILTRES Frederic HAUSS (ENTREPRISE)</t>
  </si>
  <si>
    <t>DOUE EN ANJOU</t>
  </si>
  <si>
    <t>EXP20260624-2815862</t>
  </si>
  <si>
    <t>26-06-1045659</t>
  </si>
  <si>
    <t>26A061045659</t>
  </si>
  <si>
    <t>NOURDIN LMAKNAFI Nourdin Lmaknafi - (ENTREPRISE)</t>
  </si>
  <si>
    <t>BE</t>
  </si>
  <si>
    <t>Ixelles</t>
  </si>
  <si>
    <t>EXP20260625-2819374</t>
  </si>
  <si>
    <t>26-06-1045664</t>
  </si>
  <si>
    <t>26A061045664</t>
  </si>
  <si>
    <t>SAS MAISON CLARET LEGAULT Sean (ENTREPRISE)</t>
  </si>
  <si>
    <t>BELVES DE CASTILLON</t>
  </si>
  <si>
    <t>EXP20260625-2819560</t>
  </si>
  <si>
    <t>26-06-1045665</t>
  </si>
  <si>
    <t>26A061045665</t>
  </si>
  <si>
    <t>THIOU THOMAS EARL Thomas THIOU (ENTREPRISE)</t>
  </si>
  <si>
    <t>MONTAGNE</t>
  </si>
  <si>
    <t>EXP20260624-2816654</t>
  </si>
  <si>
    <t>26-06-1045667</t>
  </si>
  <si>
    <t>26A061045667</t>
  </si>
  <si>
    <t>EARL AU PRESSOIR DU BELON</t>
  </si>
  <si>
    <t>RIEC SUR BELON</t>
  </si>
  <si>
    <t>TAXE SURCOUT GAZOLE MESS 1,7834 EUR/l : 11,70 %</t>
  </si>
  <si>
    <t>TAXE SURCOUT GAZOLE AFFR 1,7834 EUR/l : 8,43 %</t>
  </si>
  <si>
    <t>F2606017123</t>
  </si>
  <si>
    <t>tracking</t>
  </si>
  <si>
    <t>tarif</t>
  </si>
  <si>
    <t>raison</t>
  </si>
  <si>
    <t>erreur de kuehne lors de la livraison pas livré à la bonne adresse, transfert de palette donc à ne pas 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</si>
</sst>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8323C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5" fillId="0" borderId="0" applyFont="0" applyFill="0" applyBorder="0" applyProtection="0"/>
    <xf numFmtId="44" fontId="5" fillId="0" borderId="0" applyFont="0" applyFill="0" applyBorder="0" applyProtection="0"/>
    <xf numFmtId="9" fontId="5" fillId="0" borderId="0" applyFont="0" applyFill="0" applyBorder="0" applyProtection="0"/>
    <xf numFmtId="0" fontId="1" fillId="0" borderId="0"/>
    <xf numFmtId="0" fontId="6" fillId="0" borderId="0"/>
    <xf numFmtId="0" fontId="7" fillId="0" borderId="0"/>
  </cellStyleXfs>
  <cellXfs count="34">
    <xf numFmtId="0" fontId="0" fillId="0" borderId="0" xfId="0"/>
    <xf numFmtId="43" fontId="0" fillId="0" borderId="0" xfId="1" applyFont="1" applyAlignment="1">
      <alignment horizontal="center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0" borderId="0" xfId="0" applyAlignment="1">
      <alignment vertical="center"/>
    </xf>
    <xf numFmtId="44" fontId="0" fillId="0" borderId="0" xfId="2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0" fontId="3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10" fontId="2" fillId="7" borderId="0" xfId="3" applyNumberFormat="1" applyFont="1" applyFill="1" applyAlignment="1">
      <alignment vertical="center"/>
    </xf>
    <xf numFmtId="4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44" fontId="0" fillId="6" borderId="0" xfId="2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vertical="center"/>
    </xf>
    <xf numFmtId="0" fontId="8" fillId="8" borderId="0" xfId="4" applyFont="1" applyFill="1" applyAlignment="1">
      <alignment horizontal="center" vertical="center"/>
    </xf>
    <xf numFmtId="0" fontId="0" fillId="8" borderId="0" xfId="0" applyFill="1"/>
    <xf numFmtId="0" fontId="9" fillId="0" borderId="0" xfId="0" applyFont="1"/>
    <xf numFmtId="0" fontId="0" fillId="9" borderId="0" xfId="0" applyFill="1"/>
    <xf numFmtId="0" fontId="3" fillId="0" borderId="0" xfId="0" applyFont="1"/>
    <xf numFmtId="0" fontId="0" fillId="10" borderId="0" xfId="0" applyFill="1"/>
    <xf numFmtId="14" fontId="0" fillId="11" borderId="0" xfId="0" applyNumberFormat="1" applyFill="1"/>
    <xf numFmtId="0" fontId="0" fillId="12" borderId="0" xfId="0" applyFill="1"/>
    <xf numFmtId="11" fontId="0" fillId="0" borderId="0" xfId="0" applyNumberFormat="1"/>
    <xf numFmtId="8" fontId="0" fillId="0" borderId="0" xfId="0" applyNumberFormat="1"/>
    <xf numFmtId="11" fontId="10" fillId="0" borderId="0" xfId="0" applyNumberFormat="1" applyFont="1"/>
    <xf numFmtId="8" fontId="0" fillId="0" borderId="0" xfId="0" applyNumberFormat="1" applyAlignment="1">
      <alignment vertical="center"/>
    </xf>
  </cellXfs>
  <cellStyles count="7">
    <cellStyle name="Milliers" xfId="1" builtinId="3"/>
    <cellStyle name="Monétaire" xfId="2" builtinId="4"/>
    <cellStyle name="Normal" xfId="0" builtinId="0"/>
    <cellStyle name="Normal 2" xfId="5" xr:uid="{110FF054-3CAA-48AE-B928-8994022C7958}"/>
    <cellStyle name="Normal 3" xfId="6" xr:uid="{2D37D834-E61D-43CF-9D12-A751597E6BE3}"/>
    <cellStyle name="Normal 4" xfId="4" xr:uid="{7864E18F-17D8-4FCC-AAC6-A118ED8AC8CE}"/>
    <cellStyle name="Pourcentage" xfId="3" builtinId="5"/>
  </cellStyles>
  <dxfs count="13">
    <dxf>
      <font>
        <b/>
        <i val="0"/>
        <color theme="0"/>
      </font>
      <fill>
        <patternFill patternType="solid">
          <fgColor indexed="2"/>
          <bgColor indexed="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ëtan BEUTEAU" refreshedDate="46189.69817974537" createdVersion="8" refreshedVersion="8" minRefreshableVersion="3" recordCount="186" xr:uid="{930D580C-C52A-4EBD-AB3D-6E64C50FCE83}">
  <cacheSource type="worksheet">
    <worksheetSource ref="A1:Q1048576" sheet="TCD"/>
  </cacheSource>
  <cacheFields count="17">
    <cacheField name="Client ID" numFmtId="0">
      <sharedItems containsBlank="1" containsMixedTypes="1" containsNumber="1" containsInteger="1" minValue="596" maxValue="8735" count="8">
        <m/>
        <e v="#N/A"/>
        <n v="6071"/>
        <n v="596"/>
        <n v="8735"/>
        <n v="8640"/>
        <n v="6930"/>
        <n v="3769"/>
      </sharedItems>
    </cacheField>
    <cacheField name="Étiquettes de lignes" numFmtId="0">
      <sharedItems containsBlank="1"/>
    </cacheField>
    <cacheField name="Tracking" numFmtId="0">
      <sharedItems containsBlank="1" containsMixedTypes="1" containsNumber="1" containsInteger="1" minValue="0" maxValue="5001335"/>
    </cacheField>
    <cacheField name="ComRefExpedition" numFmtId="0">
      <sharedItems containsBlank="1"/>
    </cacheField>
    <cacheField name="Destinataire" numFmtId="0">
      <sharedItems containsBlank="1"/>
    </cacheField>
    <cacheField name="Pays dest" numFmtId="0">
      <sharedItems containsBlank="1"/>
    </cacheField>
    <cacheField name=" Assurance" numFmtId="0">
      <sharedItems containsString="0" containsBlank="1" containsNumber="1" containsInteger="1" minValue="0" maxValue="0"/>
    </cacheField>
    <cacheField name=" Zones éloignées" numFmtId="0">
      <sharedItems containsString="0" containsBlank="1" containsNumber="1" containsInteger="1" minValue="0" maxValue="7"/>
    </cacheField>
    <cacheField name=" Colis volumineux" numFmtId="0">
      <sharedItems containsString="0" containsBlank="1" containsNumber="1" containsInteger="1" minValue="0" maxValue="10"/>
    </cacheField>
    <cacheField name=" Adresses" numFmtId="0">
      <sharedItems containsString="0" containsBlank="1" containsNumber="1" containsInteger="1" minValue="0" maxValue="0"/>
    </cacheField>
    <cacheField name=" Frêt" numFmtId="0">
      <sharedItems containsString="0" containsBlank="1" containsNumber="1" minValue="0" maxValue="300"/>
    </cacheField>
    <cacheField name=" Plus value B2C" numFmtId="0">
      <sharedItems containsString="0" containsBlank="1" containsNumber="1" containsInteger="1" minValue="0" maxValue="0"/>
    </cacheField>
    <cacheField name=" Gazole" numFmtId="0">
      <sharedItems containsString="0" containsBlank="1" containsNumber="1" minValue="0" maxValue="1532.05"/>
    </cacheField>
    <cacheField name=" Droits et taxes" numFmtId="0">
      <sharedItems containsString="0" containsBlank="1" containsNumber="1" containsInteger="1" minValue="0" maxValue="0"/>
    </cacheField>
    <cacheField name="Somme de Total + GO" numFmtId="0">
      <sharedItems containsString="0" containsBlank="1" containsNumber="1" minValue="10" maxValue="1532.05"/>
    </cacheField>
    <cacheField name="Somme de Total hors GO" numFmtId="0">
      <sharedItems containsString="0" containsBlank="1" containsNumber="1" minValue="0" maxValue="300"/>
    </cacheField>
    <cacheField name="Qté colis" numFmtId="0">
      <sharedItems containsString="0" containsBlank="1" containsNumber="1" containsInteger="1" minValue="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04.574379861115" createdVersion="8" refreshedVersion="8" minRefreshableVersion="3" recordCount="191" xr:uid="{641D23A3-99E6-4DBF-B5BE-E88FB64B411A}">
  <cacheSource type="worksheet">
    <worksheetSource ref="A1:GM220" sheet="Fichier Kuehne"/>
  </cacheSource>
  <cacheFields count="195">
    <cacheField name="ID Client" numFmtId="0">
      <sharedItems containsNonDate="0" containsString="0" containsBlank="1"/>
    </cacheField>
    <cacheField name="Tracking" numFmtId="0">
      <sharedItems containsBlank="1" containsMixedTypes="1" containsNumber="1" containsInteger="1" minValue="0" maxValue="5001338" count="194">
        <n v="5001334"/>
        <n v="5001333"/>
        <s v="26A060014947"/>
        <n v="5001336"/>
        <s v="EXP20260529-2770114"/>
        <s v="EXP20260601-2772380"/>
        <s v="EXP20260601-2772379"/>
        <s v="EXP20260528-2768110"/>
        <s v="EXP20260601-2772378"/>
        <s v="EXP20260601-2774918"/>
        <s v="EXP20260601-2774442"/>
        <s v="EXP20260601-2774095"/>
        <s v="EXP20260601-2774686"/>
        <s v="EXP20260601-2774625"/>
        <s v="EXP20260601-2774279"/>
        <s v="EXP20260601-2774815"/>
        <s v="EXP20260603-2778100"/>
        <s v="EXP20260604-2780722"/>
        <s v="EXP20260602-2776631"/>
        <s v="EXP20260602-2777383"/>
        <s v="EXP20260602-2776061"/>
        <s v="EXP20260603-2779296"/>
        <s v="EXP20260602-2776687"/>
        <s v="EXP20260602-2775732"/>
        <s v="EXP20260602-2776126"/>
        <s v="EXP20260602-2777127"/>
        <s v="EXP20260602-2775888"/>
        <s v="EXP20260603-2778257"/>
        <s v="EXP20260602-2776125"/>
        <s v="EXP20260603-2778709"/>
        <s v="EXP20260604-2780015"/>
        <s v="EXP20260602-2775846"/>
        <s v="EXP20260603-2779250"/>
        <s v="EXP20260603-2778099"/>
        <s v="EXP20260604-2780091"/>
        <s v="EXP20260604-2780547"/>
        <s v="EXP20260603-2779154"/>
        <s v="EXP20260602-2777045"/>
        <s v="EXP20260603-2777654"/>
        <s v="EXP20260601-2774872"/>
        <s v="EXP20260603-2779194"/>
        <s v="EXP20260602-2776824"/>
        <s v="EXP20260603-2779393"/>
        <s v="26A060217880"/>
        <s v="EXP20260604-2780089"/>
        <s v="EXP20260604-2780723"/>
        <s v="EXP20260604-2780912"/>
        <s v="EXP20260604-2781256"/>
        <s v="EXP20260528-2767800"/>
        <s v="26A060261866"/>
        <s v="26A060316606"/>
        <s v="EXP20260605-2783336"/>
        <s v="EXP20260608-2785953"/>
        <s v="EXP20260605-2782826"/>
        <s v="EXP20260608-2786159"/>
        <s v="EXP20260605-2782634"/>
        <s v="EXP20260605-2783082"/>
        <s v="EXP20260604-2781391"/>
        <s v="26A060354623"/>
        <n v="5001337"/>
        <s v="EXP20260610-2790057"/>
        <s v="EXP20260610-2789905"/>
        <s v="EXP20260609-2788027"/>
        <s v="EXP20260608-2786160"/>
        <s v="EXP20260609-2788058"/>
        <s v="EXP20260608-2787012"/>
        <s v="EXP20260609-2788973"/>
        <s v="EXP20260609-2789330"/>
        <s v="EXP20260609-2788555"/>
        <s v="EXP20260608-2787224"/>
        <s v="EXP20260610-2790604"/>
        <s v="EXP20260609-2789151"/>
        <s v="EXP20260608-2786161"/>
        <s v="EXP20260609-2789032"/>
        <s v="EXP20260609-2789150"/>
        <s v="EXP20260609-2789152"/>
        <s v="EXP20260609-2788554"/>
        <s v="EXP20260610-2790302"/>
        <s v="EXP20260609-2788974"/>
        <s v="EXP20260609-2788712"/>
        <s v="EXP20260609-2788763"/>
        <s v="EXP20260609-2789083"/>
        <s v="EXP20260609-2789365"/>
        <s v="EXP20260608-2787173"/>
        <s v="EXP20260609-2788711"/>
        <s v="26A060428796"/>
        <s v="EXP20260610-2790712"/>
        <s v="EXP20260610-2790967"/>
        <s v="EXP20260610-2790865"/>
        <s v="EXP20260610-2790864"/>
        <s v="EXP20260609-2789333"/>
        <s v="EXP20260610-2790863"/>
        <s v="EXP20260610-2790760"/>
        <s v="EXP20260611-2792844"/>
        <s v="EXP20260611-2792599"/>
        <s v="EXP20260612-2793442"/>
        <s v="EXP20260612-2793349"/>
        <s v="EXP20260611-2792558"/>
        <s v="26A060503097"/>
        <s v="EXP20260615-2798783"/>
        <s v="EXP20260614-2797923"/>
        <s v="EXP20260615-2798782"/>
        <s v="EXP20260612-2793899"/>
        <s v="EXP20260615-2798647"/>
        <s v="EXP20260612-2796088"/>
        <s v="EXP20260612-2796040"/>
        <s v="EXP20260615-2799004"/>
        <s v="EXP20260611-2792540"/>
        <n v="5001338"/>
        <s v="EXP20260615-2799257"/>
        <s v="EXP20260615-2799188"/>
        <s v="26A060616559"/>
        <s v="EXP20260615-2799645"/>
        <s v="EXP20260617-2803080"/>
        <s v="EXP20260616-2801965"/>
        <s v="EXP20260616-2802411"/>
        <s v="EXP20260617-2803169"/>
        <s v="EXP20260616-2801910"/>
        <s v="EXP20260616-2801911"/>
        <s v="EXP20260616-2800852"/>
        <s v="EXP20260615-2799936"/>
        <s v="EXP20260616-2801321"/>
        <s v="EXP20260616-2801839"/>
        <s v="EXP20260616-2802024"/>
        <s v="EXP20260617-2803213"/>
        <s v="26E005237558"/>
        <s v="26E005237564"/>
        <s v="EXP20260617-2803325"/>
        <s v="EXP20260617-2804067"/>
        <s v="EXP20260617-2803522"/>
        <s v="EXP20260617-2803958"/>
        <s v="EXP20260617-2803648"/>
        <s v="EXP20260618-2805681"/>
        <s v="EXP20260618-2805554"/>
        <s v="EXP20260618-2806068"/>
        <s v="EXP20260617-2803959"/>
        <s v="26A060771898"/>
        <s v="EXP20260622-2811458"/>
        <s v="EXP20260622-2811853"/>
        <s v="EXP20260621-2809330"/>
        <s v="EXP20260619-2807212"/>
        <s v="EXP20260619-2807520"/>
        <s v="EXP20260619-2807740"/>
        <s v="EXP20260622-2811664"/>
        <s v="EXP20260620-2808454"/>
        <s v="EXP20260622-2811738"/>
        <s v="EXP20260620-2808305"/>
        <s v="EXP20260619-2807521"/>
        <s v="26A060912817"/>
        <s v="EXP20260623-2813700"/>
        <s v="EXP20260622-2812727"/>
        <s v="EXP20260623-2813701"/>
        <s v="EXP20260623-2813597"/>
        <s v="EXP20260622-2812032"/>
        <s v="EXP20260623-2813496"/>
        <s v="EXP20260622-2811890"/>
        <s v="EXP20260623-2814417"/>
        <s v="EXP20260623-2813702"/>
        <s v="EXP20260623-2814542"/>
        <s v="EXP20260623-2814295"/>
        <s v="EXP20260623-2814488"/>
        <s v="EXP20260625-2818342"/>
        <s v="EXP20260624-2816716"/>
        <s v="EXP20260624-2815452"/>
        <s v="EXP20260624-2817215"/>
        <s v="EXP20260623-2814731"/>
        <s v="EXP20260625-2818258"/>
        <s v="EXP20260625-2819637"/>
        <s v="EXP20260625-2818688"/>
        <s v="EXP20260623-2814602"/>
        <s v="EXP20260625-2818842"/>
        <s v="EXP20260625-2819680"/>
        <s v="EXP20260624-2816123"/>
        <s v="EXP20260625-2819375"/>
        <s v="EXP20260624-2815862"/>
        <s v="EXP20260625-2819374"/>
        <s v="EXP20260625-2819560"/>
        <s v="EXP20260624-2816654"/>
        <n v="0"/>
        <s v="EXP20260520-2755032"/>
        <s v="EXP20260523-2759144"/>
        <m/>
        <n v="5001335" u="1"/>
        <n v="5001320" u="1"/>
        <n v="5001321" u="1"/>
        <n v="5001322" u="1"/>
        <n v="5001323" u="1"/>
        <n v="5001324" u="1"/>
        <n v="5001325" u="1"/>
        <n v="5001326" u="1"/>
        <n v="5001327" u="1"/>
        <n v="5001328" u="1"/>
        <n v="5001329" u="1"/>
        <n v="5001330" u="1"/>
      </sharedItems>
    </cacheField>
    <cacheField name="Total hors GO" numFmtId="0">
      <sharedItems containsString="0" containsBlank="1" containsNumber="1" minValue="0" maxValue="605"/>
    </cacheField>
    <cacheField name="Total + GO" numFmtId="0">
      <sharedItems containsString="0" containsBlank="1" containsNumber="1" minValue="0" maxValue="1176.27"/>
    </cacheField>
    <cacheField name="Droits et taxes" numFmtId="0">
      <sharedItems containsBlank="1"/>
    </cacheField>
    <cacheField name="Assurance" numFmtId="0">
      <sharedItems containsBlank="1"/>
    </cacheField>
    <cacheField name="Zones éloignées" numFmtId="0">
      <sharedItems containsBlank="1" containsMixedTypes="1" containsNumber="1" containsInteger="1" minValue="7" maxValue="21"/>
    </cacheField>
    <cacheField name="Colis volumineux" numFmtId="0">
      <sharedItems containsBlank="1" containsMixedTypes="1" containsNumber="1" containsInteger="1" minValue="10" maxValue="10"/>
    </cacheField>
    <cacheField name="Adresses" numFmtId="0">
      <sharedItems containsBlank="1" containsMixedTypes="1" containsNumber="1" minValue="25.7" maxValue="25.7"/>
    </cacheField>
    <cacheField name="Frêt" numFmtId="0">
      <sharedItems containsBlank="1" containsMixedTypes="1" containsNumber="1" minValue="22.54" maxValue="605"/>
    </cacheField>
    <cacheField name="Plus value B2C" numFmtId="0">
      <sharedItems containsString="0" containsBlank="1" containsNumber="1" containsInteger="1" minValue="0" maxValue="0"/>
    </cacheField>
    <cacheField name="Gazole" numFmtId="0">
      <sharedItems containsString="0" containsBlank="1" containsNumber="1" minValue="0" maxValue="1176.27"/>
    </cacheField>
    <cacheField name="No facture" numFmtId="0">
      <sharedItems containsBlank="1" count="7">
        <s v="F2606017122"/>
        <s v="F2606017123"/>
        <m/>
        <s v="F2605015081" u="1"/>
        <s v="F2605015082" u="1"/>
        <s v="F2604016125" u="1"/>
        <s v="F2604016126" u="1"/>
      </sharedItems>
    </cacheField>
    <cacheField name="Date facture" numFmtId="0">
      <sharedItems containsDate="1" containsString="0" containsBlank="1" containsMixedTypes="1" minDate="2026-06-30T00:00:00" maxDate="1900-01-06T02:51:04"/>
    </cacheField>
    <cacheField name="Payeur" numFmtId="0">
      <sharedItems containsBlank="1"/>
    </cacheField>
    <cacheField name="Ref pay" numFmtId="0">
      <sharedItems containsBlank="1" containsMixedTypes="1" containsNumber="1" containsInteger="1" minValue="5001333" maxValue="5001338"/>
    </cacheField>
    <cacheField name="Année" numFmtId="0">
      <sharedItems containsString="0" containsBlank="1" containsNumber="1" containsInteger="1" minValue="2026" maxValue="2026"/>
    </cacheField>
    <cacheField name="Expedition" numFmtId="0">
      <sharedItems containsBlank="1"/>
    </cacheField>
    <cacheField name="Ref EDI" numFmtId="0">
      <sharedItems containsBlank="1" containsMixedTypes="1" containsNumber="1" containsInteger="1" minValue="5001333" maxValue="5001338"/>
    </cacheField>
    <cacheField name="ComRefExpedition" numFmtId="0">
      <sharedItems containsBlank="1" count="554">
        <s v="26A050838077"/>
        <s v="26A050838106"/>
        <s v="26A060014947"/>
        <s v="26A060049541"/>
        <s v="26A060049547"/>
        <s v="26A060049550"/>
        <s v="26A060049553"/>
        <s v="26A060049556"/>
        <s v="26A060049560"/>
        <s v="26A060092699"/>
        <s v="26A060092703"/>
        <s v="26A060092706"/>
        <s v="26A060092708"/>
        <s v="26A060147565"/>
        <s v="26A060147570"/>
        <s v="26A060147574"/>
        <s v="26A060188565"/>
        <s v="26A060188569"/>
        <s v="26A060188571"/>
        <s v="26A060188573"/>
        <s v="26A060188575"/>
        <s v="26A060188578"/>
        <s v="26A060188581"/>
        <s v="26A060188583"/>
        <s v="26A060188587"/>
        <s v="26A060188590"/>
        <s v="26A060188594"/>
        <s v="26A060188599"/>
        <s v="26A060188602"/>
        <s v="26A060188607"/>
        <s v="26A060188611"/>
        <s v="26A060188614"/>
        <s v="26A060188618"/>
        <s v="26A060188623"/>
        <s v="26A060188628"/>
        <s v="26A060188634"/>
        <s v="26A060188640"/>
        <s v="26A060188646"/>
        <s v="26A060188652"/>
        <s v="26A060188657"/>
        <s v="26A060188662"/>
        <s v="26A060188666"/>
        <s v="26A060188670"/>
        <s v="26A060217880"/>
        <s v="26A060238218"/>
        <s v="26A060238223"/>
        <s v="26A060238225"/>
        <s v="26A060238228"/>
        <s v="26A060238231"/>
        <s v="26A060261866"/>
        <s v="26A060316606"/>
        <s v="26A060332171"/>
        <s v="26A060332173"/>
        <s v="26A060332175"/>
        <s v="26A060332178"/>
        <s v="26A060332180"/>
        <s v="26A060332183"/>
        <s v="26A060332186"/>
        <s v="26A060354623"/>
        <s v="26A060390328"/>
        <s v="26A060390329"/>
        <s v="26A060390330"/>
        <s v="26A060390331"/>
        <s v="26A060390332"/>
        <s v="26A060390333"/>
        <s v="26A060390334"/>
        <s v="26A060390335"/>
        <s v="26A060390336"/>
        <s v="26A060390338"/>
        <s v="26A060390340"/>
        <s v="26A060390342"/>
        <s v="26A060390344"/>
        <s v="26A060390346"/>
        <s v="26A060390349"/>
        <s v="26A060390351"/>
        <s v="26A060390352"/>
        <s v="26A060390353"/>
        <s v="26A060390354"/>
        <s v="26A060390355"/>
        <s v="26A060390357"/>
        <s v="26A060390358"/>
        <s v="26A060390360"/>
        <s v="26A060390362"/>
        <s v="26A060390364"/>
        <s v="26A060390366"/>
        <s v="26A060428796"/>
        <s v="26A060429852"/>
        <s v="26A060429854"/>
        <s v="26A060429857"/>
        <s v="26A060429859"/>
        <s v="26A060429861"/>
        <s v="26A060429863"/>
        <s v="26A060429865"/>
        <s v="26A060483796"/>
        <s v="26A060483798"/>
        <s v="26A060483799"/>
        <s v="26A060483800"/>
        <s v="26A060483803"/>
        <s v="26A060503097"/>
        <s v="26A060536417"/>
        <s v="26A060536419"/>
        <s v="26A060536420"/>
        <s v="26A060536421"/>
        <s v="26A060536422"/>
        <s v="26A060536425"/>
        <s v="26A060536426"/>
        <s v="26A060536427"/>
        <s v="26A060588664"/>
        <s v="26A060588666"/>
        <s v="26A060588668"/>
        <s v="26A060588670"/>
        <s v="26A060616559"/>
        <s v="26A060641579"/>
        <s v="26A060641582"/>
        <s v="26A060641586"/>
        <s v="26A060641589"/>
        <s v="26A060641592"/>
        <s v="26A060641595"/>
        <s v="26A060641599"/>
        <s v="26A060641603"/>
        <s v="26A060641608"/>
        <s v="26A060641612"/>
        <s v="26A060641615"/>
        <s v="26A060641619"/>
        <s v="26A060641622"/>
        <s v="26E005237558"/>
        <s v="26E005237564"/>
        <s v="26A060691072"/>
        <s v="26A060691073"/>
        <s v="26A060691074"/>
        <s v="26A060691075"/>
        <s v="26A060691076"/>
        <s v="26A060740199"/>
        <s v="26A060740200"/>
        <s v="26A060740201"/>
        <s v="26A060740202"/>
        <s v="26A060771898"/>
        <s v="26A060791233"/>
        <s v="26A060791234"/>
        <s v="26A060791235"/>
        <s v="26A060791236"/>
        <s v="26A060791237"/>
        <s v="26A060791238"/>
        <s v="26A060791239"/>
        <s v="26A060791240"/>
        <s v="26A060791242"/>
        <s v="26A060791243"/>
        <s v="26A060791244"/>
        <s v="26A060912817"/>
        <s v="26A060946593"/>
        <s v="26A060946594"/>
        <s v="26A060946595"/>
        <s v="26A060946596"/>
        <s v="26A060946597"/>
        <s v="26A060946599"/>
        <s v="26A060946600"/>
        <s v="26A060991480"/>
        <s v="26A060991481"/>
        <s v="26A060991482"/>
        <s v="26A060991484"/>
        <s v="26A060991485"/>
        <s v="26A060991486"/>
        <s v="26A061045638"/>
        <s v="26A061045640"/>
        <s v="26A061045641"/>
        <s v="26A061045642"/>
        <s v="26A061045643"/>
        <s v="26A061045644"/>
        <s v="26A061045646"/>
        <s v="26A061045648"/>
        <s v="26A061045650"/>
        <s v="26A061045652"/>
        <s v="26A061045655"/>
        <s v="26A061045657"/>
        <s v="26A061045659"/>
        <s v="26A061045664"/>
        <s v="26A061045665"/>
        <s v="26A061045667"/>
        <m/>
        <s v="26A050571779"/>
        <s v="26A050674504"/>
        <s v="26A050838080" u="1"/>
        <s v="26A041017611" u="1"/>
        <s v="26A040966844" u="1"/>
        <s v="26A041017614" u="1"/>
        <s v="26A050048320" u="1"/>
        <s v="26A041017618" u="1"/>
        <s v="26A050048312" u="1"/>
        <s v="26A050095343" u="1"/>
        <s v="26A050048328" u="1"/>
        <s v="26A050048324" u="1"/>
        <s v="26A050048331" u="1"/>
        <s v="26A050048309" u="1"/>
        <s v="26A050095340" u="1"/>
        <s v="26A050048335" u="1"/>
        <s v="26A050048315" u="1"/>
        <s v="26A050048334" u="1"/>
        <s v="26A050048317" u="1"/>
        <s v="26A050136857" u="1"/>
        <s v="26A050136859" u="1"/>
        <s v="26A050136844" u="1"/>
        <s v="26A050136856" u="1"/>
        <s v="26A050136839" u="1"/>
        <s v="26A050136848" u="1"/>
        <s v="26A050136842" u="1"/>
        <s v="26A050136854" u="1"/>
        <s v="26A050136843" u="1"/>
        <s v="26A050136861" u="1"/>
        <s v="26A050136847" u="1"/>
        <s v="26A050136840" u="1"/>
        <s v="26A050136837" u="1"/>
        <s v="26A050136851" u="1"/>
        <s v="26A050136853" u="1"/>
        <s v="26A050136841" u="1"/>
        <s v="26A050136846" u="1"/>
        <s v="26A050136845" u="1"/>
        <s v="26A050188761" u="1"/>
        <s v="26A050188767" u="1"/>
        <s v="26A050188746" u="1"/>
        <s v="26A050188749" u="1"/>
        <s v="26A050188755" u="1"/>
        <s v="26A050188758" u="1"/>
        <s v="26A050188764" u="1"/>
        <s v="26A050188752" u="1"/>
        <s v="26A050188742" u="1"/>
        <s v="26A050240038" u="1"/>
        <s v="26A050240042" u="1"/>
        <s v="26A050240046" u="1"/>
        <s v="26A050240050" u="1"/>
        <s v="26A050331674" u="1"/>
        <s v="26A050331661" u="1"/>
        <s v="26A050331664" u="1"/>
        <s v="26A050331678" u="1"/>
        <s v="26A050331671" u="1"/>
        <s v="26A050331660" u="1"/>
        <s v="26A050331672" u="1"/>
        <s v="26A050331675" u="1"/>
        <s v="26A050331676" u="1"/>
        <s v="26A050331679" u="1"/>
        <s v="26A050331677" u="1"/>
        <s v="26A050331663" u="1"/>
        <s v="26A050331662" u="1"/>
        <s v="26A050331673" u="1"/>
        <s v="26A050331668" u="1"/>
        <s v="26A050331666" u="1"/>
        <s v="26A050331670" u="1"/>
        <s v="26A050331658" u="1"/>
        <s v="26A050331669" u="1"/>
        <s v="26A050372343" u="1"/>
        <s v="26A050372349" u="1"/>
        <s v="26A050372341" u="1"/>
        <s v="26A050372360" u="1"/>
        <s v="26A050372339" u="1"/>
        <s v="26A050372347" u="1"/>
        <s v="26A050372355" u="1"/>
        <s v="26A050372335" u="1"/>
        <s v="26A050372332" u="1"/>
        <s v="26A050372351" u="1"/>
        <s v="26A050372337" u="1"/>
        <s v="26A050372357" u="1"/>
        <s v="26A050372359" u="1"/>
        <s v="26A050372344" u="1"/>
        <s v="26A050372362" u="1"/>
        <s v="26A050372361" u="1"/>
        <s v="26A050372353" u="1"/>
        <s v="26A050416077" u="1"/>
        <s v="26A050372363" u="1"/>
        <s v="26A050464288" u="1"/>
        <s v="26A050464238" u="1"/>
        <s v="26A050464304" u="1"/>
        <s v="26A050464301" u="1"/>
        <s v="26A050464271" u="1"/>
        <s v="26A050464232" u="1"/>
        <s v="26A050464275" u="1"/>
        <s v="26A050464234" u="1"/>
        <s v="26A050464292" u="1"/>
        <s v="26A050464252" u="1"/>
        <s v="26A050464284" u="1"/>
        <s v="26A050464262" u="1"/>
        <s v="26A050464268" u="1"/>
        <s v="26A050464236" u="1"/>
        <s v="26A050464265" u="1"/>
        <s v="26A050522066" u="1"/>
        <s v="26A050464241" u="1"/>
        <s v="26A050464307" u="1"/>
        <s v="26A050464280" u="1"/>
        <s v="26A050464248" u="1"/>
        <s v="26A050464298" u="1"/>
        <s v="26A050464256" u="1"/>
        <s v="26A050464259" u="1"/>
        <s v="26A050464244" u="1"/>
        <s v="26A050522068" u="1"/>
        <s v="26A050522062" u="1"/>
        <s v="26A050522064" u="1"/>
        <s v="26A050522057" u="1"/>
        <s v="26A050522060" u="1"/>
        <s v="26A050620828" u="1"/>
        <s v="26A050571787" u="1"/>
        <s v="26A050571781" u="1"/>
        <s v="26A050571784" u="1"/>
        <s v="26A050571792" u="1"/>
        <s v="26A050620820" u="1"/>
        <s v="26A050620835" u="1"/>
        <s v="26A050620843" u="1"/>
        <s v="26A050620839" u="1"/>
        <s v="26A050620826" u="1"/>
        <s v="26A050620832" u="1"/>
        <s v="26A050620816" u="1"/>
        <s v="26A050620824" u="1"/>
        <s v="26A050620823" u="1"/>
        <s v="26A050674495" u="1"/>
        <s v="26A050674489" u="1"/>
        <s v="26A050674501" u="1"/>
        <s v="26A050674494" u="1"/>
        <s v="26A050674498" u="1"/>
        <s v="26A050674475" u="1"/>
        <s v="26A050674481" u="1"/>
        <s v="26A050674485" u="1"/>
        <s v="26A050674479" u="1"/>
        <s v="26A050674507" u="1"/>
        <s v="26A050674486" u="1"/>
        <s v="26A050674483" u="1"/>
        <s v="26A050674492" u="1"/>
        <s v="26A050729932" u="1"/>
        <s v="26A050786127" u="1"/>
        <s v="26A050729915" u="1"/>
        <s v="26A050729927" u="1"/>
        <s v="26A050729912" u="1"/>
        <s v="26A050729919" u="1"/>
        <s v="26A050729923" u="1"/>
        <s v="26A050786133" u="1"/>
        <s v="26A050786123" u="1"/>
        <s v="26A050786131" u="1"/>
        <s v="26A050786129" u="1"/>
        <s v="26A050786126" u="1"/>
        <s v="26A050786124" u="1"/>
        <s v="26A050838093" u="1"/>
        <s v="26A050786125" u="1"/>
        <s v="26A050786121" u="1"/>
        <s v="26A050838085" u="1"/>
        <s v="26A050838094" u="1"/>
        <s v="26A050838108" u="1"/>
        <s v="26A050838101" u="1"/>
        <s v="26A050838096" u="1"/>
        <s v="26A050838088" u="1"/>
        <s v="26A050838100" u="1"/>
        <s v="26A050838098" u="1"/>
        <s v="26A050838082" u="1"/>
        <s v="26A050838090" u="1"/>
        <s v="26A050104548" u="1"/>
        <s v="26A050110287" u="1"/>
        <s v="26E005187136" u="1"/>
        <s v="26A050251646" u="1"/>
        <s v="26A050356173" u="1"/>
        <s v="26A050362240" u="1"/>
        <s v="26A050362449" u="1"/>
        <s v="26A050646393" u="1"/>
        <s v="26A050646810" u="1"/>
        <s v="26A040128426" u="1"/>
        <s v="26A040128422" u="1"/>
        <s v="26A040175888" u="1"/>
        <s v="26A040225637" u="1"/>
        <s v="26A040366853" u="1"/>
        <s v="26A040366899" u="1"/>
        <s v="26A040504801" u="1"/>
        <s v="26A040504798" u="1"/>
        <s v="26A040550176" u="1"/>
        <s v="26A040860620" u="1"/>
        <s v="26A040878218" u="1"/>
        <s v="26A030745822" u="1"/>
        <s v="26A040225650" u="1"/>
        <s v="26A031004447" u="1"/>
        <s v="26A040045619" u="1"/>
        <s v="26A040045595" u="1"/>
        <s v="26A040045598" u="1"/>
        <s v="26A040045608" u="1"/>
        <s v="26A040045616" u="1"/>
        <s v="26A040045605" u="1"/>
        <s v="26A040045611" u="1"/>
        <s v="26A040045597" u="1"/>
        <s v="26A040045601" u="1"/>
        <s v="26A040128427" u="1"/>
        <s v="26A040045603" u="1"/>
        <s v="26A040045621" u="1"/>
        <s v="26A040128416" u="1"/>
        <s v="26A040128420" u="1"/>
        <s v="26A040090359" u="1"/>
        <s v="26A040090351" u="1"/>
        <s v="26A040090357" u="1"/>
        <s v="26A040090355" u="1"/>
        <s v="26A040090353" u="1"/>
        <s v="26A040090362" u="1"/>
        <s v="26A040090361" u="1"/>
        <s v="26A040128425" u="1"/>
        <s v="26A040128418" u="1"/>
        <s v="26A040128424" u="1"/>
        <s v="26A040175881" u="1"/>
        <s v="26A040175886" u="1"/>
        <s v="26A040128414" u="1"/>
        <s v="26A040175879" u="1"/>
        <s v="26A040175894" u="1"/>
        <s v="26A040175876" u="1"/>
        <s v="26A040175889" u="1"/>
        <s v="26A040175892" u="1"/>
        <s v="26A040175883" u="1"/>
        <s v="26A040175901" u="1"/>
        <s v="26A040225642" u="1"/>
        <s v="26A040175898" u="1"/>
        <s v="26A040225649" u="1"/>
        <s v="26A040225648" u="1"/>
        <s v="26A040225645" u="1"/>
        <s v="26A040225644" u="1"/>
        <s v="26A040316103" u="1"/>
        <s v="26A040225646" u="1"/>
        <s v="26A040225640" u="1"/>
        <s v="26A040225638" u="1"/>
        <s v="26A040225647" u="1"/>
        <s v="26A040277585" u="1"/>
        <s v="26A040277588" u="1"/>
        <s v="26A040277596" u="1"/>
        <s v="26A040316101" u="1"/>
        <s v="26A040277592" u="1"/>
        <s v="26A040316104" u="1"/>
        <s v="26A040316114" u="1"/>
        <s v="26A040277598" u="1"/>
        <s v="26A040277599" u="1"/>
        <s v="26A040277594" u="1"/>
        <s v="26A040316112" u="1"/>
        <s v="26A040316106" u="1"/>
        <s v="26A040316108" u="1"/>
        <s v="26A040316110" u="1"/>
        <s v="26A040316107" u="1"/>
        <s v="26A040366862" u="1"/>
        <s v="26A040366874" u="1"/>
        <s v="26A040316102" u="1"/>
        <s v="26A040316100" u="1"/>
        <s v="26A040316105" u="1"/>
        <s v="26A040366877" u="1"/>
        <s v="26A040366859" u="1"/>
        <s v="26A040366883" u="1"/>
        <s v="26A040366893" u="1"/>
        <s v="26A040366880" u="1"/>
        <s v="26A040407433" u="1"/>
        <s v="26A040366889" u="1"/>
        <s v="26A040366896" u="1"/>
        <s v="26A040366868" u="1"/>
        <s v="26A040366865" u="1"/>
        <s v="26A040407468" u="1"/>
        <s v="26A040366856" u="1"/>
        <s v="26A040366886" u="1"/>
        <s v="26A040366871" u="1"/>
        <s v="26A040407450" u="1"/>
        <s v="26A040407436" u="1"/>
        <s v="26A040407456" u="1"/>
        <s v="26A040407427" u="1"/>
        <s v="26A040407453" u="1"/>
        <s v="26A040407447" u="1"/>
        <s v="26A040407470" u="1"/>
        <s v="26A040407460" u="1"/>
        <s v="26A040407463" u="1"/>
        <s v="26A040407440" u="1"/>
        <s v="26A040407443" u="1"/>
        <s v="26A040468759" u="1"/>
        <s v="26A040468768" u="1"/>
        <s v="26A040468766" u="1"/>
        <s v="26A040468762" u="1"/>
        <s v="26A040468756" u="1"/>
        <s v="26A040468763" u="1"/>
        <s v="26A040468754" u="1"/>
        <s v="26A040468769" u="1"/>
        <s v="26A040468761" u="1"/>
        <s v="26A040468764" u="1"/>
        <s v="26A040468765" u="1"/>
        <s v="26A040468771" u="1"/>
        <s v="26A040468752" u="1"/>
        <s v="26A040468770" u="1"/>
        <s v="26A040468767" u="1"/>
        <s v="26A040504804" u="1"/>
        <s v="26A040468757" u="1"/>
        <s v="26A040504811" u="1"/>
        <s v="26A040504806" u="1"/>
        <s v="26A040504808" u="1"/>
        <s v="26A040550178" u="1"/>
        <s v="26A040550183" u="1"/>
        <s v="26A040550187" u="1"/>
        <s v="26A040550185" u="1"/>
        <s v="26A040550190" u="1"/>
        <s v="26A040550180" u="1"/>
        <s v="26A040550192" u="1"/>
        <s v="26A040605477" u="1"/>
        <s v="26A040605473" u="1"/>
        <s v="26A040605472" u="1"/>
        <s v="26A040605482" u="1"/>
        <s v="26A040605479" u="1"/>
        <s v="26A040605471" u="1"/>
        <s v="26A040605485" u="1"/>
        <s v="26A040605481" u="1"/>
        <s v="26A040605475" u="1"/>
        <s v="26A040605470" u="1"/>
        <s v="26A040652454" u="1"/>
        <s v="26A040652459" u="1"/>
        <s v="26A040652449" u="1"/>
        <s v="26A040652439" u="1"/>
        <s v="26A040751159" u="1"/>
        <s v="26A040751153" u="1"/>
        <s v="26A040652445" u="1"/>
        <s v="26A040751161" u="1"/>
        <s v="26A040751163" u="1"/>
        <s v="26A040751172" u="1"/>
        <s v="26A040751156" u="1"/>
        <s v="26A040751175" u="1"/>
        <s v="26A040751178" u="1"/>
        <s v="26A040751166" u="1"/>
        <s v="26A040751169" u="1"/>
        <s v="26A040810225" u="1"/>
        <s v="26A040810220" u="1"/>
        <s v="26A040810231" u="1"/>
        <s v="26A040810223" u="1"/>
        <s v="26A040810237" u="1"/>
        <s v="26A040810234" u="1"/>
        <s v="26A040810215" u="1"/>
        <s v="26A040810236" u="1"/>
        <s v="26A040810221" u="1"/>
        <s v="26A040810217" u="1"/>
        <s v="26A040810228" u="1"/>
        <s v="26A040860614" u="1"/>
        <s v="26A040860623" u="1"/>
        <s v="26A040860621" u="1"/>
        <s v="26A040860618" u="1"/>
        <s v="26A040909671" u="1"/>
        <s v="26A040909674" u="1"/>
        <s v="26A040909669" u="1"/>
        <s v="26A040909680" u="1"/>
        <s v="26A040909677" u="1"/>
        <s v="26A041017625" u="1"/>
        <s v="26A040909683" u="1"/>
        <s v="26A040909682" u="1"/>
        <s v="26A041017643" u="1"/>
        <s v="26A041017632" u="1"/>
        <s v="26A041017637" u="1"/>
        <s v="26A041017615" u="1"/>
        <s v="26A040966842" u="1"/>
        <s v="26A041017629" u="1"/>
        <s v="26A041017622" u="1"/>
        <s v="26A041017606" u="1"/>
        <s v="26A041017642" u="1"/>
        <s v="26A041017639" u="1"/>
        <s v="26A041017603" u="1"/>
        <s v="26A041017634" u="1"/>
        <s v="26A031036186" u="1"/>
        <s v="26A040195219" u="1"/>
        <s v="26A040623886" u="1"/>
        <s v="26A040875815" u="1"/>
        <s v="26A040875997" u="1"/>
      </sharedItems>
    </cacheField>
    <cacheField name="Incoterm" numFmtId="0">
      <sharedItems containsBlank="1"/>
    </cacheField>
    <cacheField name="Sens" numFmtId="0">
      <sharedItems containsBlank="1"/>
    </cacheField>
    <cacheField name="Perimetre" numFmtId="0">
      <sharedItems containsBlank="1"/>
    </cacheField>
    <cacheField name="Zip Code" numFmtId="0">
      <sharedItems containsString="0" containsBlank="1" containsNumber="1" containsInteger="1" minValue="1050" maxValue="95470"/>
    </cacheField>
    <cacheField name="Métier" numFmtId="0">
      <sharedItems containsBlank="1"/>
    </cacheField>
    <cacheField name="Origine expédition" numFmtId="0">
      <sharedItems containsBlank="1"/>
    </cacheField>
    <cacheField name="Km" numFmtId="0">
      <sharedItems containsString="0" containsBlank="1" containsNumber="1" containsInteger="1" minValue="59" maxValue="963"/>
    </cacheField>
    <cacheField name="EmissionCO2" numFmtId="0">
      <sharedItems containsNonDate="0" containsString="0" containsBlank="1"/>
    </cacheField>
    <cacheField name="Date sais/Chg" numFmtId="0">
      <sharedItems containsDate="1" containsString="0" containsBlank="1" containsMixedTypes="1" minDate="2026-05-29T00:00:00" maxDate="1900-01-06T01:51:04"/>
    </cacheField>
    <cacheField name="Agence Saisie/Chgt" numFmtId="0">
      <sharedItems containsBlank="1" containsMixedTypes="1" containsNumber="1" containsInteger="1" minValue="11" maxValue="84"/>
    </cacheField>
    <cacheField name="Expéditeur" numFmtId="0">
      <sharedItems containsBlank="1"/>
    </cacheField>
    <cacheField name="Ref exp" numFmtId="0">
      <sharedItems containsBlank="1" containsMixedTypes="1" containsNumber="1" containsInteger="1" minValue="5001333" maxValue="5001337"/>
    </cacheField>
    <cacheField name="Pays exp" numFmtId="0">
      <sharedItems containsBlank="1"/>
    </cacheField>
    <cacheField name="Dept exp" numFmtId="0">
      <sharedItems containsString="0" containsBlank="1" containsNumber="1" containsInteger="1" minValue="21" maxValue="84"/>
    </cacheField>
    <cacheField name="Commune exp" numFmtId="0">
      <sharedItems containsBlank="1"/>
    </cacheField>
    <cacheField name="Date livraison" numFmtId="0">
      <sharedItems containsDate="1" containsString="0" containsBlank="1" containsMixedTypes="1" minDate="1900-01-05T22:51:04" maxDate="1900-01-06T02:51:04"/>
    </cacheField>
    <cacheField name="Destinataire" numFmtId="0">
      <sharedItems containsBlank="1" count="482">
        <s v="HASARD Françoise (ENTREPRISE)"/>
        <s v="LACHAUX Guillaume (ENTREPRISE)"/>
        <s v="LA RUCHE LOGISTIQUE"/>
        <s v="Gregory TUDELA (ENTREPRISE)"/>
        <s v="GAEC Terres d'Esclans RAYMOND Fabri (ENTREPRISE)"/>
        <s v="GAEC LAROSE LAROSE JOEL (ENTREPRISE)"/>
        <s v="SAS La Martine Brune CLAEYS (ENTREPRISE)"/>
        <s v="LA GRANDE PHARMACIE DE ST DENIS Sab (ENTREPRISE)"/>
        <s v="GAEC LANYE BARRAC - 2 Bernhard BACK (ENTREPRISE)"/>
        <s v="DOMAINE DE LA TETE NOIRE DE MARIA W (ENTREPRISE)"/>
        <s v="PHARMACIE DU FOUR-BONAPARTE PHARMAC (ENTREPRISE)"/>
        <s v="Kerveguen Baron Eric (ENTREPRISE)"/>
        <s v="CHATEAU LA SABLIERE AVEZOU SYLVIE (ENTREPRISE)"/>
        <s v="SAGET "/>
        <s v="CHATEAU ROMANIN"/>
        <s v="Grands Vignobles en Mediterranee Ch (ENTREPRISE)"/>
        <s v="DOMAINE FOND MOIROUX"/>
        <s v="CHATEAUX ET VINS DE BORDEAUX BALLAN (ENTREPRISE)"/>
        <s v="CHATEAU GESSAN GONZALES PATRICK (ENTREPRISE)"/>
        <s v="Jardins de Fleury Kohler Carole (ENTREPRISE)"/>
        <s v="Domaine de la grande sieste Leticia (ENTREPRISE)"/>
        <s v="CHATEAU ST LOUIS LA PERDRIX CASTAN (ENTREPRISE)"/>
        <s v="EARL LE CLOS BONVIN JEAN CLAUDE (ENTREPRISE)"/>
        <s v="GAEC DOMAINE DEVEZA JORDAN DEVEZA (ENTREPRISE)"/>
        <s v="BRUNO ANDREU"/>
        <s v="SAS CHATEAU PUECH LONG FRIZON Lione (ENTREPRISE)"/>
        <s v="SARL Antoine Olivier - Cuverie Laur (ENTREPRISE)"/>
        <s v="SARL MAS JULLIEN Olivier JULLIEN (ENTREPRISE)"/>
        <s v="Domaine Michaud Michaud Ophelie (ENTREPRISE)"/>
        <s v="SCEA Domaine DEAT Julien DEAT (ENTREPRISE)"/>
        <s v="EARL Jean-Claude BUECHER et Fils Fr (ENTREPRISE)"/>
        <s v="Domaine Le Pere Brun Brun Nicolas (ENTREPRISE)"/>
        <s v="SCEA LEYDIER &amp; Fils Henri LEYDIER (ENTREPRISE)"/>
        <s v="SCEA VICAM Jean-Luc HUSSON (ENTREPRISE)"/>
        <s v="Pharmavance Groupement Pharmavance (ENTREPRISE)"/>
        <s v="EARL DOMAINE SAINT FIRMIN DOMAINE S (ENTREPRISE)"/>
        <s v="EARL CHATEAU PRADEAUX Etienne PORTA (ENTREPRISE)"/>
        <s v="Domaine LEMAIN-POUILLOT - SDS LEMAI (ENTREPRISE)"/>
        <s v="DACHSER France Agence de Roiss The (ENTREPRISE)"/>
        <s v="LE DOMAINE D'HENRI MARGAUX LAROCHE (ENTREPRISE)"/>
        <s v="SARL Francine et Olivier Savary SAV (ENTREPRISE)"/>
        <s v="Franck LARGE Franck LARGE (ENTREPRISE)"/>
        <s v="SARL DOMAINE LES POETE Sorbe Guilla (ENTREPRISE)"/>
        <s v="SIFA TRANSIT "/>
        <s v="LAUVIGE ENTREPOSAGE TRAVAILLAN MOND (ENTREPRISE)"/>
        <s v="SAS DOMAINE DES JEUNES POUSSES Nais (ENTREPRISE)"/>
        <s v="Maison Phetisson Bonnefoy BONNEFOY (ENTREPRISE)"/>
        <s v="AMAZON CDG7"/>
        <s v="LES PLAINES DE CLARY "/>
        <s v="DOMAINE PIETRI GERAUD SARL"/>
        <s v="EARL MONDOLONI Mondoloni Paul Antoi (ENTREPRISE)"/>
        <s v="EURL DE SIGALOUS AXELLE MOUTTE (ENTREPRISE)"/>
        <s v="SCEA Chateau Beauregard Mirouze Nic (ENTREPRISE)"/>
        <s v="SARL MARCHAND DE DOUCEURS Franck VA (ENTREPRISE)"/>
        <s v="CLOS LALFERT Baptiste LALFERT (ENTREPRISE)"/>
        <s v="A VOS BULLES SERVICE EXPEDITION (ENTREPRISE)"/>
        <s v="AIR TERMINAL HANDLING S.A (ATH) P/C DACHSER"/>
        <s v="Jérôme BRETAUDEAU (ENTREPRISE)"/>
        <s v="Les Vignerons de Mistral Sandrine V (ENTREPRISE)"/>
        <s v="DUBREUIL et FILS Pierre DUBREUIL (ENTREPRISE)"/>
        <s v="MAS LAU BAGNOL Laurent (ENTREPRISE)"/>
        <s v="CASTEL FRERES BUDIN EMMANUEL (ENTREPRISE)"/>
        <s v="Les Vignobles Chatenet-Goujon CHATE (ENTREPRISE)"/>
        <s v="SCEA CHATEAU DE L'ENGARRAN Diane LO (ENTREPRISE)"/>
        <s v="EARL DOMAINE DE BROUSSE BOISSEL AMA (ENTREPRISE)"/>
        <s v="SCEA DOMAINE LES FOUQUES CHRISTELLE (ENTREPRISE)"/>
        <s v="Vignobles Vins de Blanville Robert (ENTREPRISE)"/>
        <s v="SCEA JEROME BRETAUDEAU Jerome BRETA (ENTREPRISE)"/>
        <s v="SAS TERRANEA Serge COSIALLS (ENTREPRISE)"/>
        <s v="La Mondiale Grands Crus Bertrand DE (ENTREPRISE)"/>
        <s v="Logistique Albert Bichot KRONE Typh (ENTREPRISE)"/>
        <s v="Maison de la Chapelle VIENNOIS Delp (ENTREPRISE)"/>
        <s v="SARL TRESBAUDON Olivier Ricard (ENTREPRISE)"/>
        <s v="LPL WINE LEBLOND Leo-Paul (ENTREPRISE)"/>
        <s v="LA PALETTE MASSIE WILLIAM (ENTREPRISE)"/>
        <s v="DOMAINE GENOT-BOULANGER VIRGINIE DI (ENTREPRISE)"/>
        <s v="Mon Caviste Logistique Alain BARDET (ENTREPRISE)"/>
        <s v="EI CHOTARD SEBASTIEN CHOTARD Sebast (ENTREPRISE)"/>
        <s v="Domaine Les Genets Marcel Thierry (ENTREPRISE)"/>
        <s v="S.C.A.S Maison des Vignerons BOUTIN (ENTREPRISE)"/>
        <s v="CAVE LA PETITE REINE Pierre BOUCHE (ENTREPRISE)"/>
        <s v="SARL GUILLER MONTABONNET GUILLER IS (ENTREPRISE)"/>
        <s v="CHATEAU INTERNET Guillaume DU FOUSS (ENTREPRISE)"/>
        <s v="LA RUCHE LOGISTIQUE "/>
        <s v="DOMAINE DE LA PROVENQUIERE"/>
        <s v="SAS LE VIEUX DONJON Claire FABRE (ENTREPRISE)"/>
        <s v="SARL SALENTE DUSSURGET France-Laure (ENTREPRISE)"/>
        <s v="EARL Biobonum Stephan BUFFILLE (ENTREPRISE)"/>
        <s v="ISIPCA Zerbib Alain (ENTREPRISE)"/>
        <s v="SCEA CHATEAU MAUVINON BRIGITTE TRIB (ENTREPRISE)"/>
        <s v="EURL CENT-NEUF Julien ALBAREL (ENTREPRISE)"/>
        <s v="Domaine de la Jument Rousse PUECH S (ENTREPRISE)"/>
        <s v="EARL CAVE RICHARD Marie-therese RIC (ENTREPRISE)"/>
        <s v="G. Richomme Collet Florence (ENTREPRISE)"/>
        <s v="CHATEAU JARON PHILIPPE LIBERATORE (ENTREPRISE)"/>
        <s v="Sas Mylene Bru Mylene BRU (ENTREPRISE)"/>
        <s v="SARL DOMAINE MARC ROUGEOT MARC ROUG (ENTREPRISE)"/>
        <s v="SCEA DOMAINE DU CHAPITRE DORTHE FRE (ENTREPRISE)"/>
        <s v="MARAVENNE SELECTION BERNARD LURQUIN (ENTREPRISE)"/>
        <s v="CELLIER DES CHARMETTES 9101059"/>
        <s v="DOMAINE DE CANTALAUZE PIERRE-OLIVIE (ENTREPRISE)"/>
        <s v="ANTOINE RENIAUME Antoine RENIAUME (ENTREPRISE)"/>
        <s v="AUREL GREGORY Gregory AUREL (ENTREPRISE)"/>
        <s v="DOMAINE ROLAND GRANGIER CELINE GRAN (ENTREPRISE)"/>
        <s v="STOCK AZ"/>
        <s v="VPMI VANDROMME PROMOTION MEDICAL (ENTREPRISE)"/>
        <s v="SAUMAIZE MICHELIN Lisa SAUMAIZE (ENTREPRISE)"/>
        <s v="VERAISON Clement DEVEVEY (ENTREPRISE)"/>
        <s v="SCEA DES GALLOIRES"/>
        <s v="SCEA Vignobles MOUTY Sabine MOUTY (ENTREPRISE)"/>
        <s v="DOMAINE LAFAGE"/>
        <s v="DOMAINE OBRIERE MACKAY CHARLES - GA (ENTREPRISE)"/>
        <s v="SARL SAVEUR DES VINS WILLIAM PERLET (ENTREPRISE)"/>
        <s v="CHATEAU FERRY LACOMBE"/>
        <s v="Earl Remi &amp; Robert NIERO Remi NIERO (ENTREPRISE)"/>
        <s v="JABOULET"/>
        <s v="Magnum Pierre Fiona (ENTREPRISE)"/>
        <s v="SOCIETE PUY GAUDIN Aurelie PREVAUD (ENTREPRISE)"/>
        <s v="SAS TRESLUS Sophie ROUMANET (ENTREPRISE)"/>
        <s v="Domaine Genoux Daniel GENOUX (ENTREPRISE)"/>
        <s v="JOIE DE VIGNE Olivier GAGNARD (ENTREPRISE)"/>
        <s v="EARL LE CLOS BOIVIN"/>
        <s v="BUREAU FRANCOIS LILLET Francois LIL (ENTREPRISE)"/>
        <s v="DOMAINE LA CHRETIENNE THIERRY SIMON (ENTREPRISE)"/>
        <s v="VIGNES ET VINS PAUL FAZELI (ENTREPRISE)"/>
        <s v="DEPOT PHARMA"/>
        <s v="CHATEAU DE FLAUGERGUES Pierre DE CO (ENTREPRISE)"/>
        <s v="Le Clos de Chozieux Jean Luc Gaumon (ENTREPRISE)"/>
        <s v="LES TERRES DE ST HILAIRE DE VISA El (ENTREPRISE)"/>
        <s v="Domaine Xavier Muller Xavier MULLER (ENTREPRISE)"/>
        <s v="Pharmacie Centrale Saint-Denis Phar (ENTREPRISE)"/>
        <s v="SCEA LES OURSONS Fabien BROTONS (ENTREPRISE)"/>
        <s v="CAVE DE ROUSSET"/>
        <s v="SAS PICHAT DIFFUSION PICHAT Stephan (ENTREPRISE)"/>
        <s v="CHATEAU STE CROIX"/>
        <s v="SARL LES HAUTS DE ROCHEVILLE Philip (ENTREPRISE)"/>
        <s v="SOCIETE DES VINS DE PIZAY Schneider (ENTREPRISE)"/>
        <s v="SCA DU CHATEAU LA BORIE RAPHAEL KNA (ENTREPRISE)"/>
        <s v="Domaine Dupasquier Veronique DUPASQ (ENTREPRISE)"/>
        <s v="Cave les Vignerons du Luc Vignerons (ENTREPRISE)"/>
        <s v="CAMPANEUS ALEXIS RIVET DE SABATIER (ENTREPRISE)"/>
        <s v="LES CAVES DE REUILLY JULIEN PECHINE (ENTREPRISE)"/>
        <s v="SAS ALLOIS"/>
        <s v="BOTTEX Patrick BOTTEX (ENTREPRISE)"/>
        <s v="GHAEM-THOUROUDE Alexandre THOUROUDE (ENTREPRISE)"/>
        <s v="SAS VIGNOBLES FRAYSSE FRAYSSE Guilh (ENTREPRISE)"/>
        <s v="Maison Philippe GRISARD Philippe GR (ENTREPRISE)"/>
        <s v="SARL TROPEZ"/>
        <s v="Aurelio Wine Co PETIT AURELIEN (ENTREPRISE)"/>
        <s v="CLOS DE CAILLE"/>
        <s v="LES CAVES DU ROUSSILLO REYNAL SARAH (ENTREPRISE)"/>
        <s v="VIGNOBLES CHASSON Jeremie DEPIERRE (ENTREPRISE)"/>
        <s v="CAVE DE NOLAY"/>
        <s v="Abdul Aziz Faso Fret - Kouloub Phar (ENTREPRISE)"/>
        <s v="SCEA Chateau Jouvente Benjamin GUTM (ENTREPRISE)"/>
        <s v="CHATEAU MOURESSE BOUVET EMMA (ENTREPRISE)"/>
        <s v="Domaine Clo Point Patrick POINT (ENTREPRISE)"/>
        <s v="EARL Sesquieres Jean-Francois Lagou (ENTREPRISE)"/>
        <s v="Le Cellier Morvandiau JOLY Romain (ENTREPRISE)"/>
        <s v="Le Domaine du Cers William OSSENT (ENTREPRISE)"/>
        <s v="EURL MCPVR Aurelie VERGNAUD (ENTREPRISE)"/>
        <s v="SARL LA TERRASSE D'ELISE Xavier BRA (ENTREPRISE)"/>
        <s v="SYLVIE ET FILS SYLVIE LE NEZET (ENTREPRISE)"/>
        <s v="SAS PLAGEOLLES Florent PAGEOLLES (ENTREPRISE)"/>
        <s v="LES INFILTRES Frederic HAUSS (ENTREPRISE)"/>
        <s v="NOURDIN LMAKNAFI Nourdin Lmaknafi - (ENTREPRISE)"/>
        <s v="SAS MAISON CLARET LEGAULT Sean (ENTREPRISE)"/>
        <s v="THIOU THOMAS EARL Thomas THIOU (ENTREPRISE)"/>
        <s v="EARL AU PRESSOIR DU BELON"/>
        <m/>
        <s v="MAKARI DE SUISSE DERMOROYALCLAIR (ENTREPRISE)"/>
        <s v="SARL LA COMMANDERIE DU JURANCON JEA (ENTREPRISE)"/>
        <s v="Stéphane VIGNON (ENTREPRISE)" u="1"/>
        <s v="EARL Guillemard-Pothier GUILLEMARD (ENTREPRISE)" u="1"/>
        <s v="Clos Mane Hortense (ENTREPRISE)" u="1"/>
        <s v="Domaines Devillard Celine PERNETTE (ENTREPRISE)" u="1"/>
        <s v="EARL PEDINI PEDINI Gilles (ENTREPRISE)" u="1"/>
        <s v="NUBIANCE HUYNH Minh Ngoc (ENTREPRISE)" u="1"/>
        <s v="NATURE ET DECOUVERTE" u="1"/>
        <s v="MONCETS SAS Julien NOEL (ENTREPRISE)" u="1"/>
        <s v="LE CHEMIN  DES REVES" u="1"/>
        <s v="EARL JEROME FORNEROT Jerome FORNERO (ENTREPRISE)" u="1"/>
        <s v="SCEA Chateau Peyrepertuse Axel PLA (ENTREPRISE)" u="1"/>
        <s v="W-VINE Scatamacchia Maxim (ENTREPRISE)" u="1"/>
        <s v="Domaine Daurion Fossati Stephanie (ENTREPRISE)" u="1"/>
        <s v="Federation Viticole du Puy-de-Dome (ENTREPRISE)" u="1"/>
        <s v="SCEA DUVEAU FABIEN DUVEAU FABIEN (ENTREPRISE)" u="1"/>
        <s v="SAS LE GUELLEC-DUCOUET Arnaud DUCOU (ENTREPRISE)" u="1"/>
        <s v="Domaine la Pascerette des Vignes Ce (ENTREPRISE)" u="1"/>
        <s v="JM CAZES SELECTION Savary Pauline (ENTREPRISE)" u="1"/>
        <s v="SAS Vignobles Arconian FONTANA Mari (ENTREPRISE)" u="1"/>
        <s v="SI TU SAIS SAS Patrick JOHNSTON (ENTREPRISE)" u="1"/>
        <s v="SARL DE BELMONT Paul AUBLET-CUVELIE (ENTREPRISE)" u="1"/>
        <s v="SCEA Marc Ducau SANFOURCHE Marie-La (ENTREPRISE)" u="1"/>
        <s v="Le Clos de la Meslerie Peter HAHN (ENTREPRISE)" u="1"/>
        <s v="DOMAINE ANNE GROS ANNE GROS (ENTREPRISE)" u="1"/>
        <s v="DOMAINE DES GARANCES SEBASTIEN LOGV (ENTREPRISE)" u="1"/>
        <s v="Domaine JEANSON PARIGOT JEANSON ANA (ENTREPRISE)" u="1"/>
        <s v="SCEA 2B2G - VINEYARDS Alexis DE BEN (ENTREPRISE)" u="1"/>
        <s v="SCEV Domiane Montbarbon Feral Jean (ENTREPRISE)" u="1"/>
        <s v="SARL Famille GARON Kevin GARON (ENTREPRISE)" u="1"/>
        <s v="SARL LA PROVIDENCE Jean Benoit COMO (ENTREPRISE)" u="1"/>
        <s v="SARL Laurent CASSIGNOL Laurent CASS (ENTREPRISE)" u="1"/>
        <s v="Domaine Ampelhus Thibaud VERMILLARD (ENTREPRISE)" u="1"/>
        <s v="Domaine Ecume de Lune - W.T Benoit (ENTREPRISE)" u="1"/>
        <s v="DOMAINE DU VIEUX PRESSOIR Dallancon (ENTREPRISE)" u="1"/>
        <s v="SASU LE VIN FLATTEUR CONTANS GAVARR (ENTREPRISE)" u="1"/>
        <s v="Jonah (Grigny) CHIKANO INVESTMENT L (ENTREPRISE)" u="1"/>
        <s v="LES QUATRES TOURS" u="1"/>
        <s v="CLOS DES NINES Isabelle MANGEART (ENTREPRISE)" u="1"/>
        <s v="CUISINE JEAN DE MATHIEU DEPRESLE Gi (ENTREPRISE)" u="1"/>
        <s v="DRG SARL ROUX Didier (ENTREPRISE)" u="1"/>
        <s v="Chateau de Roquefort - W.T. Gentile (ENTREPRISE)" u="1"/>
        <s v="SARL BONNIGAL BODET Jean-Baptiste B (ENTREPRISE)" u="1"/>
        <s v="MAISON BLANC SENTHILLE SENTHILLE EM (ENTREPRISE)" u="1"/>
        <s v="DOMAINE ELOY JEAN-YVES ELOY (ENTREPRISE)" u="1"/>
        <s v="PANCHAU MAXENCE Maxence PANCHAU (ENTREPRISE)" u="1"/>
        <s v="SAS CAVEAUX ENSERUNE ABASSIE Jean B (ENTREPRISE)" u="1"/>
        <s v="EARL Christian BONFILS Christian BO (ENTREPRISE)" u="1"/>
        <s v="DOMAINE LOUIS ROBINEAU ROBINEAU YOH (ENTREPRISE)" u="1"/>
        <s v="EARL MICHEL VIGNON VIGNON Stephane (ENTREPRISE)" u="1"/>
        <s v="DOMAINE CHANT DES LOUPS MARIE AYMAR (ENTREPRISE)" u="1"/>
        <s v="SCEA de la Pinsonniere Vincent GASN (ENTREPRISE)" u="1"/>
        <s v="Naturellement Vin Andre BARGES (ENTREPRISE)" u="1"/>
        <s v="MIP DIFFUSION" u="1"/>
        <s v="EARL Gourdon Franck Gourdon Franck (ENTREPRISE)" u="1"/>
        <s v="SAS Perromat Domaines Xavier PERROM (ENTREPRISE)" u="1"/>
        <s v="Domaine PIALLAT PIALLAT Laure (ENTREPRISE)" u="1"/>
        <s v="BAO VINS SAS Wettstein Richard (ENTREPRISE)" u="1"/>
        <s v="SARL Dubreuil Gerald Gerald DUBREUI (ENTREPRISE)" u="1"/>
        <s v="LES VINS VRAI DURIF ERIC (ENTREPRISE)" u="1"/>
        <s v="DOM.SAINTE CECILE DU PARC GAUTHIER (ENTREPRISE)" u="1"/>
        <s v="Clos du Caillou BERUD CECILE (ENTREPRISE)" u="1"/>
        <s v="Scea Consorts Guizard Damien BABEL (ENTREPRISE)" u="1"/>
        <s v="EARL VIGNOBLE DROUARD Pascal DROUAR (ENTREPRISE)" u="1"/>
        <s v="CHAI BERTEAUD MANCEAU Pierre MANCEA (ENTREPRISE)" u="1"/>
        <s v="Domaine du Haut Rince Stephane RAYM (ENTREPRISE)" u="1"/>
        <s v="DOMAINE ET DISTILLERIE BRILLOUET Je (ENTREPRISE)" u="1"/>
        <s v="EI CALAS MAXIME Maxime CALAS (ENTREPRISE)" u="1"/>
        <s v="Vignoble Herve Avallet AVALLET Herv (ENTREPRISE)" u="1"/>
        <s v="DOMAINE SAINTE MADELEINE Alexandre (ENTREPRISE)" u="1"/>
        <s v="DOMAINE DE LA SENCHE ARNSTEIN HERNE (ENTREPRISE)" u="1"/>
        <s v="MAS CAL DEMOURA" u="1"/>
        <s v="Paul Janin et Fils Eric JANIN (ENTREPRISE)" u="1"/>
        <s v="VINS ET TERRITOIRES RENAUDAT Pascal (ENTREPRISE)" u="1"/>
        <s v="Sarl Begey et Fils Distribution Jul (ENTREPRISE)" u="1"/>
        <s v="EI DOMAINE DE CARMEN Yohanna NYDEGG (ENTREPRISE)" u="1"/>
        <s v="SARL LES VINS D'EMILIEN Christophe (ENTREPRISE)" u="1"/>
        <s v="Domaine Daniel Dugois Melanie DUGOI (ENTREPRISE)" u="1"/>
        <s v="SCEA TERRE DES CHARDONS Alex DIDIER (ENTREPRISE)" u="1"/>
        <s v="CHATEAU DE FONTCREUSE Jean-Francois (ENTREPRISE)" u="1"/>
        <s v="EARL DU DOMAINE DU BUISSON SECHER C (ENTREPRISE)" u="1"/>
        <s v="LE RELAIS DE FRANC MAYNE Veronique (ENTREPRISE)" u="1"/>
        <s v="GALERIE K PARIS KOYAMA TATSUYA (ENTREPRISE)" u="1"/>
        <s v="EARL OSTERTAG-HURLIMANN HURLIMANN S (ENTREPRISE)" u="1"/>
        <s v="DOMAINE DE BELLIVIERE" u="1"/>
        <s v="BWC MEDIA V2VIN Service Expedition (ENTREPRISE)" u="1"/>
        <s v="EARL PHILIPPE VERZIER" u="1"/>
        <s v="CLOS LABREE Thomas PISSONDES (ENTREPRISE)" u="1"/>
        <s v="PHARMACIE TERRASSES DU PORT PHARMAC (ENTREPRISE)" u="1"/>
        <s v="SCEA Chateau La Sable Virginie MERC (ENTREPRISE)" u="1"/>
        <s v="SAS le Pavone Maxime FERNANDEZ (ENTREPRISE)" u="1"/>
        <s v="EARL VIGNOBLES CARREAU Oriane CARRE (ENTREPRISE)" u="1"/>
        <s v="Cellier et Fils Catherine CELLIER (ENTREPRISE)" u="1"/>
        <s v="VAM.FR Alain CEVEY (ENTREPRISE)" u="1"/>
        <s v="EARL CHATEAU DE COULAINE Jean de BO (ENTREPRISE)" u="1"/>
        <s v="Domaine Michel MALLARD Mallard Patr (ENTREPRISE)" u="1"/>
        <s v="CAVE DE CHAZ" u="1"/>
        <s v="SARL JOLIS CRUS JABOT Martin (ENTREPRISE)" u="1"/>
        <s v="CHATEAU DE CHAUSSE CAUDRON LIONEL (ENTREPRISE)" u="1"/>
        <s v="DOMAINE ST ANDRE" u="1"/>
        <s v="SCEV DOMAINE JOBLOT SARKIS HELENE (ENTREPRISE)" u="1"/>
        <s v="SCEA MONTEMAGNI SCEA MONTEMAGNI TRA (ENTREPRISE)" u="1"/>
        <s v="CHI DIVINE COSMETIC Chi divine cosm (ENTREPRISE)" u="1"/>
        <s v="SAS FOSSE-SECHE ADRIEN PIRE (ENTREPRISE)" u="1"/>
        <s v="SAS Sorian Selection . 2 Gabriel Gr (ENTREPRISE)" u="1"/>
        <s v="Chateau Pin Beausoleil SCEA Mivida) (ENTREPRISE)" u="1"/>
        <s v="Domaine Donadille Nathalie LENOIR (ENTREPRISE)" u="1"/>
        <s v="Domaine NAUDIN FERRAND Julie BERTHE (ENTREPRISE)" u="1"/>
        <s v="Vignoble Cogne COGNE Stephanie (ENTREPRISE)" u="1"/>
        <s v="EURL CONTENOT Noemie CONTENOT (ENTREPRISE)" u="1"/>
        <s v="LES VIGNOBLES DU SUD BAYLE Melanie (ENTREPRISE)" u="1"/>
        <s v="EARL PAILLOCHER Bruno Anne PAILLOCH (ENTREPRISE)" u="1"/>
        <s v="VIGNERONS DE TUTIAC" u="1"/>
        <s v="LES VIGNERONS DE TAVEL ET LIRAC JUL (ENTREPRISE)" u="1"/>
        <s v="LIVRAISON BETTER CALL JULIA POLLEN (ENTREPRISE)" u="1"/>
        <s v="DOMAINE DEFAIX ALEXANDRE DE OLIVEIR (ENTREPRISE)" u="1"/>
        <s v="EARL le Chat des Sources Stephane C (ENTREPRISE)" u="1"/>
        <s v="SARL Grand Mayne SICARD Coline coli (ENTREPRISE)" u="1"/>
        <s v="EARL DUMAS PIERRE-ANDRE Pierre-Andr (ENTREPRISE)" u="1"/>
        <s v="EARL DE LA TOUR ROUGE Gilles GREMEN (ENTREPRISE)" u="1"/>
        <s v="SAS MAISON BRUYERE ET DAVID SYLVAIN (ENTREPRISE)" u="1"/>
        <s v="EPICUREANS SPIRIT PEROT Gael (ENTREPRISE)" u="1"/>
        <s v="MAILING EXPRESS Philippe DOMMERGUE (ENTREPRISE)" u="1"/>
        <s v="DOMAINE D'EOLE" u="1"/>
        <s v="MAS DE LA DAME MISSOFFE CAROLINE (ENTREPRISE)" u="1"/>
        <s v="La Bastide des Terres Blanches Alai (ENTREPRISE)" u="1"/>
        <s v="SC CHATEAU D'ARSAC BRISSON Amandine (ENTREPRISE)" u="1"/>
        <s v="COSTE  Philippe COSTE Philippe COST (ENTREPRISE)" u="1"/>
        <s v="EI MARIE MENOUX Marie MENOUX (ENTREPRISE)" u="1"/>
        <s v="SARL COGNAC CHOLLET CHOLLET Christo (ENTREPRISE)" u="1"/>
        <s v="SCA LA COURTOISE Gilles VEVE (ENTREPRISE)" u="1"/>
        <s v="SCEA LEFOULON LEFOULON Patrick (ENTREPRISE)" u="1"/>
        <s v="Domaine PY Jean-Pierre PY (ENTREPRISE)" u="1"/>
        <s v="Domaine La Louviere KLAUS GROHE (ENTREPRISE)" u="1"/>
        <s v="Domaine Jean David Jean-Luc AUFFRET (ENTREPRISE)" u="1"/>
        <s v="PARTITOR Sebastien LABAILS (ENTREPRISE)" u="1"/>
        <s v="LES COTEAUX DU MINERVOIS" u="1"/>
        <s v="SAS des Gunes Frederic MORLIER (ENTREPRISE)" u="1"/>
        <s v="SAS Vignobles Arconian ARCONIAN Rom (ENTREPRISE)" u="1"/>
        <s v="EARL CHATAGNIER Aurelien CHATAGNIER (ENTREPRISE)" u="1"/>
        <s v="CAVES DU ROUSSILLON" u="1"/>
        <s v="DOMAINE BERTHET-BONDET Helene Berth (ENTREPRISE)" u="1"/>
        <s v="SCEA GOUR DE CHAULE FUMOSO Stephani (ENTREPRISE)" u="1"/>
        <s v="SAS RICHAUD MARCEL RICHAUD (ENTREPRISE)" u="1"/>
        <s v="SAS LES VINS DE PLERIMOND HOFFET AN (ENTREPRISE)" u="1"/>
        <s v="SARL SAINT JU Guillaume DE CONTI (ENTREPRISE)" u="1"/>
        <s v="EARL Domaine PETITOT Jean &amp; Fils He (ENTREPRISE)" u="1"/>
        <s v="DOMAINE LES ONDINES" u="1"/>
        <s v="CHATEAU DE LA GARDINE PASCALE MARCE (ENTREPRISE)" u="1"/>
        <s v="SARL LES GRIFFES LEFEBVRE Gaelle (ENTREPRISE)" u="1"/>
        <s v="SAS LE MOULIN DE LA BARBUISE " u="1"/>
        <s v="REBUILD PHYSIOTHERAPIE" u="1"/>
        <s v="MAJ" u="1"/>
        <s v="SARL MAJ" u="1"/>
        <s v="EI AIMAR OLIVIER Olivier AIMAR (ENTREPRISE)" u="1"/>
        <s v="SARL Benjamin et David Duclaux (ENTREPRISE)" u="1"/>
        <s v="DOMAINE GUEUGNON REMOND Véronique R (ENTREPRISE)" u="1"/>
        <s v="EI AIMAR OLIVIER (ENTREPRISE)" u="1"/>
        <s v="AXE S TPP SERVICE RECEPTION (ENTREPRISE)" u="1"/>
        <s v="SARL BONNIGAL BODET (ENTREPRISE)" u="1"/>
        <s v="BWC MEDIA V2VIN SERVICE EXPÉDITION (ENTREPRISE)" u="1"/>
        <s v="PERMENTIER Julie PERMENTIER Julie (ENTREPRISE)" u="1"/>
        <s v="ADRIEN MICHAUT (ENTREPRISE)" u="1"/>
        <s v="MARTIN JOUBERT (ENTREPRISE)" u="1"/>
        <s v="PLA  Sebastien PLA Sebastien (ENTREPRISE)" u="1"/>
        <s v="IFF Gross Judith (ENTREPRISE)" u="1"/>
        <s v="EARL TAILLEUX ET FILLES Aurelie TAI (ENTREPRISE)" u="1"/>
        <s v="SCEA DOMAINE DAURION Stephane PEREI (ENTREPRISE)" u="1"/>
        <s v="SARL JEANNIN-NALTET Benoit ESCHARD (ENTREPRISE)" u="1"/>
        <s v="EARL Pascal Mure Pascal MURE (ENTREPRISE)" u="1"/>
        <s v="PERLES DE LUNE Aurelie LATAIX (ENTREPRISE)" u="1"/>
        <s v="LES VIGNERONS DE TAVEL" u="1"/>
        <s v="Abdul Aziz Faso Fret Pharmacie Koul (ENTREPRISE)" u="1"/>
        <s v="DOMAINE DES VIGNES DU MAYNES ROMAIN (ENTREPRISE)" u="1"/>
        <s v="Chateau Clarisse Ballateau Tiphanie (ENTREPRISE)" u="1"/>
        <s v="PETRA VIRIDIS Frederic PORT (ENTREPRISE)" u="1"/>
        <s v="SAS VIGNOBLES MICHON THIERRY MICHON (ENTREPRISE)" u="1"/>
        <s v="la boutique Don De Soie la boutique (ENTREPRISE)" u="1"/>
        <s v="GAEC de la Rochette Antoine NERON (ENTREPRISE)" u="1"/>
        <s v="Poire et Cidre Thurel Julien THUREL (ENTREPRISE)" u="1"/>
        <s v="SARL La Pigeade Vaute Marina (ENTREPRISE)" u="1"/>
        <s v="Chateau Bertrand Braneyre Miquau Ni (ENTREPRISE)" u="1"/>
        <s v="EARL Le P'tit Paradis Rudy SYLVESTR (ENTREPRISE)" u="1"/>
        <s v="SARL Benjamin et David Duclaux DUCL (ENTREPRISE)" u="1"/>
        <s v="SCEA JM BERTRAND Joel DUPAS (ENTREPRISE)" u="1"/>
        <s v="Sas Distiloire Benoit CHAIGNEAU (ENTREPRISE)" u="1"/>
        <s v="SAS LE VIEUX DONJON FABRE Claire (ENTREPRISE)" u="1"/>
        <s v="IPSO VINO PIERRE KARPIK (ENTREPRISE)" u="1"/>
        <s v="SAS WILLIAM FEVRE THOMSON NICHOLAS (ENTREPRISE)" u="1"/>
        <s v="EARL DES DOMAINES LANDRON CAROLE BR (ENTREPRISE)" u="1"/>
        <s v="EARL Domaine du Courbies Damien BOU (ENTREPRISE)" u="1"/>
        <s v="PASSING CAVES PROSPER AMAR (ENTREPRISE)" u="1"/>
        <s v="SARL LES VALENTINES PONS GILLES (ENTREPRISE)" u="1"/>
        <s v="LIKORIA Julie BOUET (ENTREPRISE)" u="1"/>
        <s v="YVAN BERNARD YVAN BERNARD (ENTREPRISE)" u="1"/>
        <s v="BALGUERIE OUTRE MER" u="1"/>
        <s v="ALAINE" u="1"/>
        <s v="Mr Jonah (Grigny) Health and Beauty (ENTREPRISE)" u="1"/>
        <s v="NIVERS - ATELIERS ESAT CARLE GUILLA (ENTREPRISE)" u="1"/>
        <s v="SARL Elisabeth Jean-Claude BENASSY (ENTREPRISE)" u="1"/>
        <s v="SCEA BIZARD LITZOW BIZARD PAUL (ENTREPRISE)" u="1"/>
        <s v="SAS GOS DUPRE Gregory (ENTREPRISE)" u="1"/>
        <s v="LA CAVE SARL ROCHE Gervasony Katy (ENTREPRISE)" u="1"/>
        <s v="PELFRENE PELFRENE Pierre (ENTREPRISE)" u="1"/>
        <s v="EARL DOMAINE LA CROISEE COMTOISE Lo (ENTREPRISE)" u="1"/>
        <s v="CHATEAU DE LUC FABRE Clemence (ENTREPRISE)" u="1"/>
        <s v="RENARDAT-FACHE Elie RENARDAT-FACHE (ENTREPRISE)" u="1"/>
        <s v="SCEA La Rochaime BURGER Flora (ENTREPRISE)" u="1"/>
        <s v="PAUL JABOULE AINE CHAUSSINAND Valer (ENTREPRISE)" u="1"/>
        <s v="WINE NOT" u="1"/>
        <s v="Wines and Brands Durcan Isabelle (ENTREPRISE)" u="1"/>
        <s v="EURL DOMAINE TRILLES 18TRILLES Jean (ENTREPRISE)" u="1"/>
        <s v="SCA VITI OLERON CAUMONT PHILIPPE (ENTREPRISE)" u="1"/>
        <s v="DOMAINE DE LA LUOLLE DOVERGNE SANDR (ENTREPRISE)" u="1"/>
        <s v="SAS LES VIGNOBLES GUINDEUIL GUINDEU (ENTREPRISE)" u="1"/>
        <s v="SAS JV ROUX Vincent ROUX (ENTREPRISE)" u="1"/>
        <s v="Domaine departemental d'Ognoas Yan (ENTREPRISE)" u="1"/>
        <s v="GAEC Colline de l hirondelle Jennif (ENTREPRISE)" u="1"/>
        <s v="Vignoble Dubreuil Laure DUBREUIL (ENTREPRISE)" u="1"/>
        <s v="Sarl Chateau Guges 1785 Alexander Z (ENTREPRISE)" u="1"/>
        <s v="PRUNIER DAMY Justine PRUNIER (ENTREPRISE)" u="1"/>
        <s v="MAISON GARROS LACOSTE-SAIGE STEPHAN (ENTREPRISE)" u="1"/>
        <s v="SCEA Robin Lafugie MASSON Laurence (ENTREPRISE)" u="1"/>
        <s v="VIGNOBLES DES 3 CHATEAUX " u="1"/>
        <s v="TEXTURES" u="1"/>
        <s v="LE CHAI BORDIN" u="1"/>
        <s v="SARL FINOT FRERES FINOT Thomas (ENTREPRISE)" u="1"/>
        <s v="ENTREPOT FBL CARAIBES REC VAL MAT P (ENTREPRISE)" u="1"/>
        <s v="SAS DEVE ELBAZ ELBAZ Deve (ENTREPRISE)" u="1"/>
        <s v="Cave Lantheaume Patrick Patrick LAN (ENTREPRISE)" u="1"/>
        <s v="DOMAINE JEAN FERY" u="1"/>
        <s v="Domaine Francois Villard Francois V (ENTREPRISE)" u="1"/>
        <s v="EARL Domaine des Pothiers Alexandre (ENTREPRISE)" u="1"/>
        <s v="SCEA M3L Sebastien CRAVERIS (ENTREPRISE)" u="1"/>
        <s v="SAS DOMAINE HUBER VERDEREAU THIEBAU (ENTREPRISE)" u="1"/>
        <s v="SARL DOMAINE DU CLOS D'ALARI VAUTRI (ENTREPRISE)" u="1"/>
        <s v="EI Florent HERITIER Florent HERITIE (ENTREPRISE)" u="1"/>
        <s v="EARL DOMAINE DE TRESCOMBIER Florent (ENTREPRISE)" u="1"/>
        <s v="SARL GERARD BOYER BOYER JEAN (ENTREPRISE)" u="1"/>
        <s v="TRANSCAUSSE" u="1"/>
        <s v="LES CAVES DU ROUSSILLON SARAH REYNA (ENTREPRISE)" u="1"/>
        <s v="SCEA DOMAINE DE LA PINEDE MAHER-COU (ENTREPRISE)" u="1"/>
        <s v="LE GARAGE A VINS LEGARAGE AVINS BAS (ENTREPRISE)" u="1"/>
        <s v="EARL Mas des Restanques FARAUD Josi (ENTREPRISE)" u="1"/>
        <s v="EARL Mas D'Arcay LACAUSTE Jean (ENTREPRISE)" u="1"/>
        <s v="EARL LANDRON CHARTIER LANDRON Franc (ENTREPRISE)" u="1"/>
        <s v="DOMAINE LAFOUGE GILLES LAFOUGE (ENTREPRISE)" u="1"/>
        <s v="Vins &amp; Vinos Alexander FRANCIS (ENTREPRISE)" u="1"/>
        <s v="ANTHOCYANE Vincent LEMAITRE (ENTREPRISE)" u="1"/>
        <s v="SARL CHAN CHAN Manuel HEBRARD (ENTREPRISE)" u="1"/>
        <s v="SAS VP CONSULTING PERRIN Philippe (ENTREPRISE)" u="1"/>
        <s v="Geoffrey DE NOUEL Geoffrey DE NOUEL (ENTREPRISE)" u="1"/>
        <s v="DOMAINE CONFURON CONFURON (ENTREPRISE)" u="1"/>
        <s v="EARL CHATEAU GAUDRELLE DE LOPPINOT (ENTREPRISE)" u="1"/>
        <s v="EARL LPJ Angeline GUIGUE (ENTREPRISE)" u="1"/>
        <s v="TASSY VINS Roche Clementine (ENTREPRISE)" u="1"/>
        <s v="PCE A l'attention de EDA (ENTREPRISE)" u="1"/>
        <s v="Les Caves Vivaraises Charlotte VINC (ENTREPRISE)" u="1"/>
        <s v="Domaine du Pas de l'Escalette Delph (ENTREPRISE)" u="1"/>
        <s v="DOMAINE LES SIBU VERTICALE DES TERROIRS" u="1"/>
        <s v="EARL Stephane Briday Briday Sandrin (ENTREPRISE)" u="1"/>
        <s v="VINOSITAS JEGO Valentin (ENTREPRISE)" u="1"/>
        <s v="S.C.A Chateau de Mauvanne RAHAL RAC (ENTREPRISE)" u="1"/>
        <s v="EARL DOMAINE BILLON CHRISTOPHE CHRI (ENTREPRISE)" u="1"/>
        <s v="Maison Clusel-Roch Brigitte ROCH (ENTREPRISE)" u="1"/>
        <s v="SARL ATHENAIS Gaelle RIBE (ENTREPRISE)" u="1"/>
        <s v="CHATEAU GRAND GRANGE FAURE-CHAPPAT (ENTREPRISE)" u="1"/>
        <s v="Vignerons Proprietes Associes GARCI (ENTREPRISE)" u="1"/>
        <s v="EURL MAISON DU VIN MAISON DU VIN DE (ENTREPRISE)" u="1"/>
        <s v="VIGNOBLES FAMILLE ROBERT Georges-An (ENTREPRISE)" u="1"/>
        <s v="SCEA VIGNOBLES JALOUSIE BEAULIEU PE (ENTREPRISE)" u="1"/>
        <s v="SCA MUSCAT DE LUNEL Fabiola NOURRY (ENTREPRISE)" u="1"/>
        <s v="NICOLLE MEYER NICOLLE MEYER (ENTREPRISE)" u="1"/>
        <s v="Domaine Verret CHARDON Sandrine (ENTREPRISE)" u="1"/>
        <s v="BABINES DU PETIT SOMMELIER PIERRE V (ENTREPRISE)" u="1"/>
        <s v="DEPOT POUR PHARMACIE RER PHARMACIE (ENTREPRISE)" u="1"/>
        <s v="CHAMPAGNE L. BENARD-PITOIS MICHELLE (ENTREPRISE)" u="1"/>
        <s v="SAS Montcalmes Muriel FABRE (ENTREPRISE)" u="1"/>
        <s v="VIA CARITATIS SASU TEISSIER GABRIEL (ENTREPRISE)" u="1"/>
        <s v="PETIT VILLAGE" u="1"/>
        <s v="SAS Arnaud Boue Arnaud BOUE (ENTREPRISE)" u="1"/>
        <s v="MONGRAVEY SARL PERRIN Isabelle (ENTREPRISE)" u="1"/>
        <s v="DOMAINE PH ET V JABOULET ANNICK JAB (ENTREPRISE)" u="1"/>
        <s v="SAS RION &amp; PASCAL Thomas PASCAL (ENTREPRISE)" u="1"/>
        <s v="EARL PASCAL ROLLET PASCAL ROLLET (ENTREPRISE)" u="1"/>
        <s v="DOMAINE DE SAINT SER JACQUELINE GUI (ENTREPRISE)" u="1"/>
        <s v="EARL PHILIP LADET Anais PHILIP (ENTREPRISE)" u="1"/>
        <s v="SAS CLOS ROMANE Romane CHARANCON (ENTREPRISE)" u="1"/>
        <s v="DOMAINE DE MEUSSAUMONT Lydie DOITCH (ENTREPRISE)" u="1"/>
        <s v="SARL BAILLIF BAILLIF JOACHIM (ENTREPRISE)" u="1"/>
        <s v="SAS SEROL SEROL Stephane (ENTREPRISE)" u="1"/>
        <s v="Domaine Ferrotin Jean Claude FERROT (ENTREPRISE)" u="1"/>
        <s v="CHATEAU DU TAILLAN CELINE LORDON (ENTREPRISE)" u="1"/>
        <s v="Clos Mane MILHE-POUTINGON Hortense (ENTREPRISE)" u="1"/>
        <s v="PIERRE CHAVIN WAKNINE WILLIAM (ENTREPRISE)" u="1"/>
        <s v="DOMAINE PATRICK BAUDOUIN Roseline D (ENTREPRISE)" u="1"/>
        <s v="TERRA VITA VINUM" u="1"/>
        <s v="SCEV DE LA SAVOYARDE ANDRE ET MICHE (ENTREPRISE)" u="1"/>
        <s v="SAS DELEUZE ROCHETIN DELDYCKE Chris (ENTREPRISE)" u="1"/>
        <s v="SAS La Soeur Cadette Valentin MONTA (ENTREPRISE)" u="1"/>
        <s v="SAS AMI Willy ROULENDES (ENTREPRISE)" u="1"/>
        <s v="CHATEAU BELLES-GRAVES LAURENT PAULI (ENTREPRISE)" u="1"/>
        <s v="EARL FOUCHER FOUCHER ALBAN (ENTREPRISE)" u="1"/>
        <s v="DOMAINE LE SANG DES CAILLOUX" u="1"/>
        <s v="MATHIEU HUGUET CONSEIL HUGUET Mathi (ENTREPRISE)" u="1"/>
        <s v="DOMAINE YVON ET LAURENT VOCORET" u="1"/>
        <s v="L'AMOUR DU VIN Patrick DUSSERT (ENTREPRISE)" u="1"/>
        <s v="SCEA Les Combes Vanlancker Ambroise (ENTREPRISE)" u="1"/>
        <s v="CHAMPAGNE BONVALET TISSIER THOMAS (ENTREPRISE)" u="1"/>
        <s v="DOM BRIAL" u="1"/>
        <s v="FASO FRET" u="1"/>
      </sharedItems>
    </cacheField>
    <cacheField name="Ref dest" numFmtId="0">
      <sharedItems containsBlank="1" containsMixedTypes="1" containsNumber="1" containsInteger="1" minValue="5001333" maxValue="5001338"/>
    </cacheField>
    <cacheField name="Pays dest" numFmtId="0">
      <sharedItems containsBlank="1" count="4">
        <s v="FR"/>
        <s v="BE"/>
        <m/>
        <s v="DE" u="1"/>
      </sharedItems>
    </cacheField>
    <cacheField name="Dept dest" numFmtId="0">
      <sharedItems containsString="0" containsBlank="1" containsNumber="1" containsInteger="1" minValue="1" maxValue="95"/>
    </cacheField>
    <cacheField name="Commune dest" numFmtId="0">
      <sharedItems containsBlank="1"/>
    </cacheField>
    <cacheField name="Type dest" numFmtId="0">
      <sharedItems containsBlank="1"/>
    </cacheField>
    <cacheField name="Contraintes livr dest" numFmtId="0">
      <sharedItems containsBlank="1"/>
    </cacheField>
    <cacheField name="Nb colis" numFmtId="0">
      <sharedItems containsString="0" containsBlank="1" containsNumber="1" containsInteger="1" minValue="1" maxValue="33"/>
    </cacheField>
    <cacheField name="Nb UM" numFmtId="0">
      <sharedItems containsString="0" containsBlank="1" containsNumber="1" containsInteger="1" minValue="1" maxValue="33"/>
    </cacheField>
    <cacheField name="Poids" numFmtId="0">
      <sharedItems containsString="0" containsBlank="1" containsNumber="1" containsInteger="1" minValue="1" maxValue="25000"/>
    </cacheField>
    <cacheField name="Poids taxable" numFmtId="0">
      <sharedItems containsString="0" containsBlank="1" containsNumber="1" containsInteger="1" minValue="0" maxValue="502"/>
    </cacheField>
    <cacheField name="Volume" numFmtId="0">
      <sharedItems containsString="0" containsBlank="1" containsNumber="1" minValue="0" maxValue="1.75"/>
    </cacheField>
    <cacheField name="Unité Taxe" numFmtId="0">
      <sharedItems containsBlank="1"/>
    </cacheField>
    <cacheField name="Nb unité taxe" numFmtId="0">
      <sharedItems containsString="0" containsBlank="1" containsNumber="1" containsInteger="1" minValue="1" maxValue="192"/>
    </cacheField>
    <cacheField name="Mètres linéaires" numFmtId="0">
      <sharedItems containsString="0" containsBlank="1" containsNumber="1" minValue="0" maxValue="13.4"/>
    </cacheField>
    <cacheField name="MD" numFmtId="0">
      <sharedItems containsNonDate="0" containsString="0" containsBlank="1"/>
    </cacheField>
    <cacheField name="MD(QT)" numFmtId="0">
      <sharedItems containsNonDate="0" containsString="0" containsBlank="1"/>
    </cacheField>
    <cacheField name="MD(QL)" numFmtId="0">
      <sharedItems containsNonDate="0" containsString="0" containsBlank="1"/>
    </cacheField>
    <cacheField name="MD(QE)" numFmtId="0">
      <sharedItems containsNonDate="0" containsString="0" containsBlank="1"/>
    </cacheField>
    <cacheField name="MD(BL)" numFmtId="0">
      <sharedItems containsNonDate="0" containsString="0" containsBlank="1"/>
    </cacheField>
    <cacheField name="Mode Port" numFmtId="0">
      <sharedItems containsBlank="1"/>
    </cacheField>
    <cacheField name="Produit" numFmtId="0">
      <sharedItems containsBlank="1"/>
    </cacheField>
    <cacheField name="Devise" numFmtId="0">
      <sharedItems containsBlank="1"/>
    </cacheField>
    <cacheField name="Nb PAL EUR" numFmtId="0">
      <sharedItems containsNonDate="0" containsString="0" containsBlank="1"/>
    </cacheField>
    <cacheField name="Mt ASSIGNE" numFmtId="0">
      <sharedItems containsNonDate="0" containsString="0" containsBlank="1"/>
    </cacheField>
    <cacheField name="Mt CR" numFmtId="0">
      <sharedItems containsNonDate="0" containsString="0" containsBlank="1"/>
    </cacheField>
    <cacheField name="Mt VD" numFmtId="0">
      <sharedItems containsNonDate="0" containsString="0" containsBlank="1"/>
    </cacheField>
    <cacheField name="Exonération TVA" numFmtId="0">
      <sharedItems containsNonDate="0" containsString="0" containsBlank="1"/>
    </cacheField>
    <cacheField name="Mt HT (hors frais)" numFmtId="0">
      <sharedItems containsString="0" containsBlank="1" containsNumber="1" minValue="0" maxValue="315"/>
    </cacheField>
    <cacheField name="Mt HT (avec frais)" numFmtId="0">
      <sharedItems containsString="0" containsBlank="1" containsNumber="1" minValue="0" maxValue="1176.27"/>
    </cacheField>
    <cacheField name="PLTFM_LOGISTIQUE" numFmtId="0">
      <sharedItems containsBlank="1"/>
    </cacheField>
    <cacheField name="NdS_Enlevement" numFmtId="0">
      <sharedItems containsNonDate="0" containsString="0" containsBlank="1"/>
    </cacheField>
    <cacheField name="NdS_Livraison" numFmtId="0">
      <sharedItems containsBlank="1"/>
    </cacheField>
    <cacheField name="Code_Gde_Longueur" numFmtId="0">
      <sharedItems containsNonDate="0" containsString="0" containsBlank="1"/>
    </cacheField>
    <cacheField name="Préavis_Téléphone" numFmtId="0">
      <sharedItems containsNonDate="0" containsString="0" containsBlank="1"/>
    </cacheField>
    <cacheField name="Préavis_SMS-Mail" numFmtId="0">
      <sharedItems containsNonDate="0" containsString="0" containsBlank="1"/>
    </cacheField>
    <cacheField name="Is_Douane" numFmtId="0">
      <sharedItems containsNonDate="0" containsString="0" containsBlank="1"/>
    </cacheField>
    <cacheField name="Is_Douane_Export_ST" numFmtId="0">
      <sharedItems containsNonDate="0" containsString="0" containsBlank="1"/>
    </cacheField>
    <cacheField name="Is_Douane_Import_ST" numFmtId="0">
      <sharedItems containsNonDate="0" containsString="0" containsBlank="1"/>
    </cacheField>
    <cacheField name="T_ADMC" numFmtId="0">
      <sharedItems containsNonDate="0" containsString="0" containsBlank="1"/>
    </cacheField>
    <cacheField name="T_ADMIN_ARRIVEE" numFmtId="0">
      <sharedItems containsNonDate="0" containsString="0" containsBlank="1"/>
    </cacheField>
    <cacheField name="T_ADMIN_DEPART" numFmtId="0">
      <sharedItems containsNonDate="0" containsString="0" containsBlank="1"/>
    </cacheField>
    <cacheField name="T_ADMIN_FOURNISSEUR" numFmtId="0">
      <sharedItems containsNonDate="0" containsString="0" containsBlank="1"/>
    </cacheField>
    <cacheField name="T_ADM" numFmtId="0">
      <sharedItems containsNonDate="0" containsString="0" containsBlank="1"/>
    </cacheField>
    <cacheField name="T_APPROCHE_ENLEVEMENT" numFmtId="0">
      <sharedItems containsNonDate="0" containsString="0" containsBlank="1"/>
    </cacheField>
    <cacheField name="T_APPROCHE_LIVRAISON" numFmtId="0">
      <sharedItems containsNonDate="0" containsString="0" containsBlank="1"/>
    </cacheField>
    <cacheField name="T_ASSIGNE" numFmtId="0">
      <sharedItems containsNonDate="0" containsString="0" containsBlank="1"/>
    </cacheField>
    <cacheField name="T_CDE_MANU" numFmtId="0">
      <sharedItems containsNonDate="0" containsString="0" containsBlank="1"/>
    </cacheField>
    <cacheField name="T_CONTRE_REMBOUR" numFmtId="0">
      <sharedItems containsNonDate="0" containsString="0" containsBlank="1"/>
    </cacheField>
    <cacheField name="T_DOUANE_ANDORRE" numFmtId="0">
      <sharedItems containsNonDate="0" containsString="0" containsBlank="1"/>
    </cacheField>
    <cacheField name="T_DOUANE_CANARIES" numFmtId="0">
      <sharedItems containsNonDate="0" containsString="0" containsBlank="1"/>
    </cacheField>
    <cacheField name="T_DOUANE_EXPORT" numFmtId="0">
      <sharedItems containsNonDate="0" containsString="0" containsBlank="1"/>
    </cacheField>
    <cacheField name="T_DOUANE_IMPORT" numFmtId="0">
      <sharedItems containsNonDate="0" containsString="0" containsBlank="1"/>
    </cacheField>
    <cacheField name="T_FRAIS_DOSSIER" numFmtId="0">
      <sharedItems containsNonDate="0" containsString="0" containsBlank="1"/>
    </cacheField>
    <cacheField name="T_FRET_SENSIBLE" numFmtId="0">
      <sharedItems containsNonDate="0" containsString="0" containsBlank="1"/>
    </cacheField>
    <cacheField name="T_GENERIQUE" numFmtId="0">
      <sharedItems containsString="0" containsBlank="1" containsNumber="1" containsInteger="1" minValue="290" maxValue="290"/>
    </cacheField>
    <cacheField name="T_HAYON" numFmtId="0">
      <sharedItems containsNonDate="0" containsString="0" containsBlank="1"/>
    </cacheField>
    <cacheField name="T_ILE" numFmtId="0">
      <sharedItems containsNonDate="0" containsString="0" containsBlank="1"/>
    </cacheField>
    <cacheField name="T_MD_QL" numFmtId="0">
      <sharedItems containsNonDate="0" containsString="0" containsBlank="1"/>
    </cacheField>
    <cacheField name="T_MD_QT" numFmtId="0">
      <sharedItems containsNonDate="0" containsString="0" containsBlank="1"/>
    </cacheField>
    <cacheField name="T_PALETTE_EUR" numFmtId="0">
      <sharedItems containsNonDate="0" containsString="0" containsBlank="1"/>
    </cacheField>
    <cacheField name="T_PAQ_ARRIVEE" numFmtId="0">
      <sharedItems containsNonDate="0" containsString="0" containsBlank="1"/>
    </cacheField>
    <cacheField name="T_PAQC" numFmtId="0">
      <sharedItems containsNonDate="0" containsString="0" containsBlank="1"/>
    </cacheField>
    <cacheField name="T_PAQ_DEPART" numFmtId="0">
      <sharedItems containsNonDate="0" containsString="0" containsBlank="1"/>
    </cacheField>
    <cacheField name="T_PAQ_HUB_ENTREE" numFmtId="0">
      <sharedItems containsNonDate="0" containsString="0" containsBlank="1"/>
    </cacheField>
    <cacheField name="T_PAQ_HUB_SORTIE" numFmtId="0">
      <sharedItems containsNonDate="0" containsString="0" containsBlank="1"/>
    </cacheField>
    <cacheField name="T_PAQ" numFmtId="0">
      <sharedItems containsNonDate="0" containsString="0" containsBlank="1"/>
    </cacheField>
    <cacheField name="T_PAQ_PORTE_ENTREE" numFmtId="0">
      <sharedItems containsNonDate="0" containsString="0" containsBlank="1"/>
    </cacheField>
    <cacheField name="T_PAQ_PORTE_SORTIE" numFmtId="0">
      <sharedItems containsNonDate="0" containsString="0" containsBlank="1"/>
    </cacheField>
    <cacheField name="T_PAQ_TRANSIT" numFmtId="0">
      <sharedItems containsNonDate="0" containsString="0" containsBlank="1"/>
    </cacheField>
    <cacheField name="T_PORTDU_APPRO" numFmtId="0">
      <sharedItems containsString="0" containsBlank="1" containsNumber="1" containsInteger="1" minValue="30" maxValue="30"/>
    </cacheField>
    <cacheField name="T_PORTEUR" numFmtId="0">
      <sharedItems containsNonDate="0" containsString="0" containsBlank="1"/>
    </cacheField>
    <cacheField name="T_PORTE_ENTREE" numFmtId="0">
      <sharedItems containsNonDate="0" containsString="0" containsBlank="1"/>
    </cacheField>
    <cacheField name="T_PORTE_SORTIE" numFmtId="0">
      <sharedItems containsNonDate="0" containsString="0" containsBlank="1"/>
    </cacheField>
    <cacheField name="T_PORT_PAYE" numFmtId="0">
      <sharedItems containsNonDate="0" containsString="0" containsBlank="1"/>
    </cacheField>
    <cacheField name="T_PRS" numFmtId="0">
      <sharedItems containsString="0" containsBlank="1" containsNumber="1" minValue="38.56" maxValue="139.61000000000001"/>
    </cacheField>
    <cacheField name="T_SAISO" numFmtId="0">
      <sharedItems containsString="0" containsBlank="1" containsNumber="1" minValue="5.45" maxValue="44.36"/>
    </cacheField>
    <cacheField name="T_SAISO_2013" numFmtId="0">
      <sharedItems containsNonDate="0" containsString="0" containsBlank="1"/>
    </cacheField>
    <cacheField name="T_SECU" numFmtId="0">
      <sharedItems containsString="0" containsBlank="1" containsNumber="1" containsInteger="1" minValue="2" maxValue="2"/>
    </cacheField>
    <cacheField name="T_SURCOUT_LIV_EXPRESS" numFmtId="0">
      <sharedItems containsNonDate="0" containsString="0" containsBlank="1"/>
    </cacheField>
    <cacheField name="T_LIV_SUPERMARCHE" numFmtId="0">
      <sharedItems containsNonDate="0" containsString="0" containsBlank="1"/>
    </cacheField>
    <cacheField name="T_LIV_URBAINE" numFmtId="0">
      <sharedItems containsString="0" containsBlank="1" containsNumber="1" containsInteger="1" minValue="7" maxValue="7"/>
    </cacheField>
    <cacheField name="T_T0" numFmtId="0">
      <sharedItems containsNonDate="0" containsString="0" containsBlank="1"/>
    </cacheField>
    <cacheField name="T_T1" numFmtId="0">
      <sharedItems containsNonDate="0" containsString="0" containsBlank="1"/>
    </cacheField>
    <cacheField name="T_T2" numFmtId="0">
      <sharedItems containsNonDate="0" containsString="0" containsBlank="1"/>
    </cacheField>
    <cacheField name="T_T3" numFmtId="0">
      <sharedItems containsNonDate="0" containsString="0" containsBlank="1"/>
    </cacheField>
    <cacheField name="T_T4" numFmtId="0">
      <sharedItems containsNonDate="0" containsString="0" containsBlank="1"/>
    </cacheField>
    <cacheField name="T_T5" numFmtId="0">
      <sharedItems containsNonDate="0" containsString="0" containsBlank="1"/>
    </cacheField>
    <cacheField name="T_VALEUR_DECLARE" numFmtId="0">
      <sharedItems containsNonDate="0" containsString="0" containsBlank="1"/>
    </cacheField>
    <cacheField name="T_VD_VD" numFmtId="0">
      <sharedItems containsNonDate="0" containsString="0" containsBlank="1"/>
    </cacheField>
    <cacheField name="T_CORR_POIDS" numFmtId="0">
      <sharedItems containsString="0" containsBlank="1" containsNumber="1" containsInteger="1" minValue="10" maxValue="10"/>
    </cacheField>
    <cacheField name="T_EMBALLAGE" numFmtId="0">
      <sharedItems containsNonDate="0" containsString="0" containsBlank="1"/>
    </cacheField>
    <cacheField name="T_ENLEVEMENT_VIDE" numFmtId="0">
      <sharedItems containsNonDate="0" containsString="0" containsBlank="1"/>
    </cacheField>
    <cacheField name="T_GESTION_PARTICULIER" numFmtId="0">
      <sharedItems containsNonDate="0" containsString="0" containsBlank="1"/>
    </cacheField>
    <cacheField name="T_LIV_ETAGE" numFmtId="0">
      <sharedItems containsNonDate="0" containsString="0" containsBlank="1"/>
    </cacheField>
    <cacheField name="T_LIV_HORS_CRENEAU" numFmtId="0">
      <sharedItems containsNonDate="0" containsString="0" containsBlank="1"/>
    </cacheField>
    <cacheField name="T_MD_APPROCHE_QL" numFmtId="0">
      <sharedItems containsNonDate="0" containsString="0" containsBlank="1"/>
    </cacheField>
    <cacheField name="T_MD_APPROCHE_QT" numFmtId="0">
      <sharedItems containsNonDate="0" containsString="0" containsBlank="1"/>
    </cacheField>
    <cacheField name="T_LIV_AEROPORT" numFmtId="0">
      <sharedItems containsString="0" containsBlank="1" containsNumber="1" containsInteger="1" minValue="21" maxValue="21"/>
    </cacheField>
    <cacheField name="T_LIV_PORTUAIRE" numFmtId="0">
      <sharedItems containsString="0" containsBlank="1" containsNumber="1" containsInteger="1" minValue="21" maxValue="21"/>
    </cacheField>
    <cacheField name="T_SOUFFRANCE" numFmtId="0">
      <sharedItems containsString="0" containsBlank="1" containsNumber="1" minValue="25.7" maxValue="25.7"/>
    </cacheField>
    <cacheField name="T_ANNULATION" numFmtId="0">
      <sharedItems containsNonDate="0" containsString="0" containsBlank="1"/>
    </cacheField>
    <cacheField name="T_ATTENTE_CHRGT" numFmtId="0">
      <sharedItems containsNonDate="0" containsString="0" containsBlank="1"/>
    </cacheField>
    <cacheField name="T_ATTENTE_DECHRGT" numFmtId="0">
      <sharedItems containsNonDate="0" containsString="0" containsBlank="1"/>
    </cacheField>
    <cacheField name="T_CROSS_DOCK" numFmtId="0">
      <sharedItems containsNonDate="0" containsString="0" containsBlank="1"/>
    </cacheField>
    <cacheField name="T_EKAER" numFmtId="0">
      <sharedItems containsNonDate="0" containsString="0" containsBlank="1"/>
    </cacheField>
    <cacheField name="T_IMMO_CHRGT" numFmtId="0">
      <sharedItems containsNonDate="0" containsString="0" containsBlank="1"/>
    </cacheField>
    <cacheField name="T_IMMO_DECHRGT" numFmtId="0">
      <sharedItems containsNonDate="0" containsString="0" containsBlank="1"/>
    </cacheField>
    <cacheField name="T_MAUT" numFmtId="0">
      <sharedItems containsNonDate="0" containsString="0" containsBlank="1"/>
    </cacheField>
    <cacheField name="T_STOP" numFmtId="0">
      <sharedItems containsNonDate="0" containsString="0" containsBlank="1"/>
    </cacheField>
    <cacheField name="T_GAZOLE" numFmtId="0">
      <sharedItems containsNonDate="0" containsString="0" containsBlank="1"/>
    </cacheField>
    <cacheField name="T_PDT_FIRST" numFmtId="0">
      <sharedItems containsNonDate="0" containsString="0" containsBlank="1"/>
    </cacheField>
    <cacheField name="T_PDT_FIX" numFmtId="0">
      <sharedItems containsNonDate="0" containsString="0" containsBlank="1"/>
    </cacheField>
    <cacheField name="T_AUTOROUTE" numFmtId="0">
      <sharedItems containsNonDate="0" containsString="0" containsBlank="1"/>
    </cacheField>
    <cacheField name="T_CONTROLE_TEMP" numFmtId="0">
      <sharedItems containsNonDate="0" containsString="0" containsBlank="1"/>
    </cacheField>
    <cacheField name="T_DOUBLE_DECK" numFmtId="0">
      <sharedItems containsNonDate="0" containsString="0" containsBlank="1"/>
    </cacheField>
    <cacheField name="T_ESCORTE" numFmtId="0">
      <sharedItems containsNonDate="0" containsString="0" containsBlank="1"/>
    </cacheField>
    <cacheField name="T_FERRY" numFmtId="0">
      <sharedItems containsNonDate="0" containsString="0" containsBlank="1"/>
    </cacheField>
    <cacheField name="T_GENERATRICE" numFmtId="0">
      <sharedItems containsNonDate="0" containsString="0" containsBlank="1"/>
    </cacheField>
    <cacheField name="T_MANUTENTION" numFmtId="0">
      <sharedItems containsNonDate="0" containsString="0" containsBlank="1"/>
    </cacheField>
    <cacheField name="T_KM_SUPPL" numFmtId="0">
      <sharedItems containsNonDate="0" containsString="0" containsBlank="1"/>
    </cacheField>
    <cacheField name="T_BELGE" numFmtId="0">
      <sharedItems containsNonDate="0" containsString="0" containsBlank="1"/>
    </cacheField>
    <cacheField name="T_FRAIS_TUNNEL" numFmtId="0">
      <sharedItems containsNonDate="0" containsString="0" containsBlank="1"/>
    </cacheField>
    <cacheField name="T_GEST_EMBAL" numFmtId="0">
      <sharedItems containsNonDate="0" containsString="0" containsBlank="1"/>
    </cacheField>
    <cacheField name="T_LIV_WEST" numFmtId="0">
      <sharedItems containsNonDate="0" containsString="0" containsBlank="1"/>
    </cacheField>
    <cacheField name="T_ENTREE" numFmtId="0">
      <sharedItems containsNonDate="0" containsString="0" containsBlank="1"/>
    </cacheField>
    <cacheField name="T_SORTIE" numFmtId="0">
      <sharedItems containsNonDate="0" containsString="0" containsBlank="1"/>
    </cacheField>
    <cacheField name="T_GRUE" numFmtId="0">
      <sharedItems containsNonDate="0" containsString="0" containsBlank="1"/>
    </cacheField>
    <cacheField name="T_INSTAL" numFmtId="0">
      <sharedItems containsNonDate="0" containsString="0" containsBlank="1"/>
    </cacheField>
    <cacheField name="T_ASSUR" numFmtId="0">
      <sharedItems containsNonDate="0" containsString="0" containsBlank="1"/>
    </cacheField>
    <cacheField name="T_GEST_STOCK" numFmtId="0">
      <sharedItems containsNonDate="0" containsString="0" containsBlank="1"/>
    </cacheField>
    <cacheField name="T_IMMO_JOURF" numFmtId="0">
      <sharedItems containsNonDate="0" containsString="0" containsBlank="1"/>
    </cacheField>
    <cacheField name="T_PARK_SEC" numFmtId="0">
      <sharedItems containsNonDate="0" containsString="0" containsBlank="1"/>
    </cacheField>
    <cacheField name="T_IMP_TICKET" numFmtId="0">
      <sharedItems containsNonDate="0" containsString="0" containsBlank="1"/>
    </cacheField>
    <cacheField name="T_DOUANE_INSPECT" numFmtId="0">
      <sharedItems containsNonDate="0" containsString="0" containsBlank="1"/>
    </cacheField>
    <cacheField name="T_DOUB_CHAUF" numFmtId="0">
      <sharedItems containsNonDate="0" containsString="0" containsBlank="1"/>
    </cacheField>
    <cacheField name="T_ANNUL_PARTIEL" numFmtId="0">
      <sharedItems containsNonDate="0" containsString="0" containsBlank="1"/>
    </cacheField>
    <cacheField name="T_PACKLIST" numFmtId="0">
      <sharedItems containsNonDate="0" containsString="0" containsBlank="1"/>
    </cacheField>
    <cacheField name="T_ATTENTE_DOUANE" numFmtId="0">
      <sharedItems containsNonDate="0" containsString="0" containsBlank="1"/>
    </cacheField>
    <cacheField name="T_IMMO_DOUANE" numFmtId="0">
      <sharedItems containsNonDate="0" containsString="0" containsBlank="1"/>
    </cacheField>
    <cacheField name="T_LIV_PLTFM_LOGISTIQUE" numFmtId="0">
      <sharedItems containsNonDate="0" containsString="0" containsBlank="1"/>
    </cacheField>
    <cacheField name="T_01_RDV" numFmtId="0">
      <sharedItems containsString="0" containsBlank="1" containsNumber="1" containsInteger="1" minValue="8" maxValue="8"/>
    </cacheField>
    <cacheField name="T_02_AVIS_TEL" numFmtId="0">
      <sharedItems containsNonDate="0" containsString="0" containsBlank="1"/>
    </cacheField>
    <cacheField name="T_501_LG_LIGHT" numFmtId="0">
      <sharedItems containsNonDate="0" containsString="0" containsBlank="1"/>
    </cacheField>
    <cacheField name="T_502_AVIS_SMS" numFmtId="0">
      <sharedItems containsNonDate="0" containsString="0" containsBlank="1"/>
    </cacheField>
    <cacheField name="T_503_LIV_PM" numFmtId="0">
      <sharedItems containsNonDate="0" containsString="0" containsBlank="1"/>
    </cacheField>
    <cacheField name="T_504_LIV_SOIR" numFmtId="0">
      <sharedItems containsNonDate="0" containsString="0" containsBlank="1"/>
    </cacheField>
    <cacheField name="T_505_LIV_FIXE" numFmtId="0">
      <sharedItems containsNonDate="0" containsString="0" containsBlank="1"/>
    </cacheField>
    <cacheField name="T_511_AVT_10" numFmtId="0">
      <sharedItems containsNonDate="0" containsString="0" containsBlank="1"/>
    </cacheField>
    <cacheField name="T_512_AVT_12" numFmtId="0">
      <sharedItems containsNonDate="0" containsString="0" containsBlank="1"/>
    </cacheField>
    <cacheField name="T_70_ENLEV_RDV" numFmtId="0">
      <sharedItems containsNonDate="0" containsString="0" containsBlank="1"/>
    </cacheField>
    <cacheField name="T_755_RDV_4H" numFmtId="0">
      <sharedItems containsNonDate="0" containsString="0" containsBlank="1"/>
    </cacheField>
    <cacheField name="T_88_LG_HEAVY" numFmtId="0">
      <sharedItems containsNonDate="0" containsString="0" containsBlank="1"/>
    </cacheField>
    <cacheField name="T_EVT_EXCEP" numFmtId="0">
      <sharedItems containsNonDate="0" containsString="0" containsBlank="1"/>
    </cacheField>
    <cacheField name="T_UIT" numFmtId="0">
      <sharedItems containsNonDate="0" containsString="0" containsBlank="1"/>
    </cacheField>
    <cacheField name="T_BAT_LIT" numFmtId="0">
      <sharedItems containsNonDate="0" containsString="0" containsBlank="1"/>
    </cacheField>
    <cacheField name="T_CHR_AVT_11" numFmtId="0">
      <sharedItems containsNonDate="0" containsString="0" containsBlank="1"/>
    </cacheField>
    <cacheField name="T_ENS" numFmtId="0">
      <sharedItems containsNonDate="0" containsString="0" containsBlank="1"/>
    </cacheField>
    <cacheField name="T_ENERGIE" numFmtId="0">
      <sharedItems containsString="0" containsBlank="1" containsNumber="1" minValue="0.15" maxValue="0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x v="0"/>
    <s v="(vide)"/>
    <s v="(vide)"/>
    <s v="(vide)"/>
    <s v="(vide)"/>
    <s v="(vide)"/>
    <m/>
    <m/>
    <m/>
    <m/>
    <m/>
    <m/>
    <m/>
    <m/>
    <m/>
    <m/>
    <m/>
  </r>
  <r>
    <x v="1"/>
    <s v="F2605015081"/>
    <n v="0"/>
    <s v="(vide)"/>
    <s v="(vide)"/>
    <s v="(vide)"/>
    <n v="0"/>
    <n v="0"/>
    <n v="0"/>
    <n v="0"/>
    <n v="0"/>
    <n v="0"/>
    <n v="1532.05"/>
    <n v="0"/>
    <n v="1532.05"/>
    <n v="0"/>
    <m/>
  </r>
  <r>
    <x v="2"/>
    <s v="F2605015081"/>
    <n v="5001335"/>
    <s v="26A050838080"/>
    <s v="Stéphane VIGNON (ENTREPRISE)"/>
    <s v="FR"/>
    <n v="0"/>
    <n v="0"/>
    <n v="0"/>
    <n v="0"/>
    <n v="21.63"/>
    <n v="0"/>
    <n v="0"/>
    <n v="0"/>
    <n v="21.63"/>
    <n v="21.63"/>
    <n v="1"/>
  </r>
  <r>
    <x v="3"/>
    <s v="F2605015081"/>
    <s v="26A050104548"/>
    <s v="26A050104548"/>
    <s v="LA RUCHE LOGISTIQUE"/>
    <s v="FR"/>
    <n v="0"/>
    <n v="0"/>
    <n v="0"/>
    <n v="0"/>
    <n v="300"/>
    <n v="0"/>
    <n v="0"/>
    <n v="0"/>
    <n v="300"/>
    <n v="300"/>
    <n v="32"/>
  </r>
  <r>
    <x v="2"/>
    <s v="F2605015081"/>
    <s v="26A050110287"/>
    <s v="26A050110287"/>
    <s v="SAS LE MOULIN DE LA BARBUISE "/>
    <s v="FR"/>
    <n v="0"/>
    <n v="0"/>
    <n v="0"/>
    <n v="0"/>
    <n v="196.23"/>
    <n v="0"/>
    <n v="18.77000000000001"/>
    <n v="0"/>
    <n v="215"/>
    <n v="196.23"/>
    <n v="4"/>
  </r>
  <r>
    <x v="3"/>
    <s v="F2605015081"/>
    <s v="26A050251646"/>
    <s v="26A050251646"/>
    <s v="LA RUCHE LOGISTIQUE"/>
    <s v="FR"/>
    <n v="0"/>
    <n v="0"/>
    <n v="0"/>
    <n v="0"/>
    <n v="300"/>
    <n v="0"/>
    <n v="0"/>
    <n v="0"/>
    <n v="300"/>
    <n v="300"/>
    <n v="33"/>
  </r>
  <r>
    <x v="3"/>
    <s v="F2605015081"/>
    <s v="26A050356173"/>
    <s v="26A050356173"/>
    <s v="LA RUCHE LOGISTIQUE"/>
    <s v="FR"/>
    <n v="0"/>
    <n v="0"/>
    <n v="0"/>
    <n v="0"/>
    <n v="300"/>
    <n v="0"/>
    <n v="0"/>
    <n v="0"/>
    <n v="300"/>
    <n v="300"/>
    <n v="33"/>
  </r>
  <r>
    <x v="3"/>
    <s v="F2605015081"/>
    <s v="26A050362240"/>
    <s v="26A050362240"/>
    <s v="LA RUCHE LOGISTIQUE"/>
    <s v="FR"/>
    <n v="0"/>
    <n v="0"/>
    <n v="0"/>
    <n v="0"/>
    <n v="300"/>
    <n v="0"/>
    <n v="0"/>
    <n v="0"/>
    <n v="300"/>
    <n v="300"/>
    <n v="26"/>
  </r>
  <r>
    <x v="3"/>
    <s v="F2605015081"/>
    <s v="26A050362449"/>
    <s v="26A050362449"/>
    <s v="MAJ"/>
    <s v="FR"/>
    <n v="0"/>
    <n v="0"/>
    <n v="0"/>
    <n v="0"/>
    <n v="300"/>
    <n v="0"/>
    <n v="0"/>
    <n v="0"/>
    <n v="300"/>
    <n v="300"/>
    <n v="33"/>
  </r>
  <r>
    <x v="3"/>
    <s v="F2605015081"/>
    <s v="26A050646393"/>
    <s v="26A050646393"/>
    <s v="LA RUCHE LOGISTIQUE"/>
    <s v="FR"/>
    <n v="0"/>
    <n v="0"/>
    <n v="0"/>
    <n v="0"/>
    <n v="300"/>
    <n v="0"/>
    <n v="0"/>
    <n v="0"/>
    <n v="300"/>
    <n v="300"/>
    <n v="30"/>
  </r>
  <r>
    <x v="3"/>
    <s v="F2605015081"/>
    <s v="26A050646810"/>
    <s v="26A050646810"/>
    <s v="SARL MAJ"/>
    <s v="FR"/>
    <n v="0"/>
    <n v="0"/>
    <n v="0"/>
    <n v="0"/>
    <n v="300"/>
    <n v="0"/>
    <n v="0"/>
    <n v="0"/>
    <n v="300"/>
    <n v="300"/>
    <n v="33"/>
  </r>
  <r>
    <x v="4"/>
    <s v="F2605015081"/>
    <s v="26E005187136"/>
    <s v="26E005187136"/>
    <s v="REBUILD PHYSIOTHERAPIE"/>
    <s v="DE"/>
    <n v="0"/>
    <n v="0"/>
    <n v="0"/>
    <n v="0"/>
    <n v="81.95"/>
    <n v="0"/>
    <n v="0"/>
    <n v="0"/>
    <n v="81.95"/>
    <n v="81.95"/>
    <n v="1"/>
  </r>
  <r>
    <x v="2"/>
    <s v="F2605015081"/>
    <s v="EXP20260428-2721744"/>
    <s v="26A041017611"/>
    <s v="EARL Guillemard-Pothier GUILLEMARD (ENTREPRISE)"/>
    <s v="FR"/>
    <n v="0"/>
    <n v="0"/>
    <n v="0"/>
    <n v="0"/>
    <n v="25.82"/>
    <n v="0"/>
    <n v="0"/>
    <n v="0"/>
    <n v="25.82"/>
    <n v="25.82"/>
    <n v="1"/>
  </r>
  <r>
    <x v="2"/>
    <s v="F2605015081"/>
    <s v="EXP20260428-2722317"/>
    <s v="26A041017614"/>
    <s v="Domaines Devillard Celine PERNETTE (ENTREPRISE)"/>
    <s v="FR"/>
    <n v="0"/>
    <n v="0"/>
    <n v="0"/>
    <n v="0"/>
    <n v="33.29"/>
    <n v="0"/>
    <n v="0"/>
    <n v="0"/>
    <n v="33.29"/>
    <n v="33.29"/>
    <n v="1"/>
  </r>
  <r>
    <x v="5"/>
    <s v="F2605015081"/>
    <s v="EXP20260429-2722942"/>
    <s v="26A050048320"/>
    <s v="DEPOT PHARMA"/>
    <s v="FR"/>
    <n v="0"/>
    <n v="0"/>
    <n v="0"/>
    <n v="0"/>
    <n v="65.38"/>
    <n v="0"/>
    <n v="0"/>
    <n v="0"/>
    <n v="65.38"/>
    <n v="65.38"/>
    <n v="1"/>
  </r>
  <r>
    <x v="2"/>
    <s v="F2605015081"/>
    <s v="EXP20260429-2723473"/>
    <s v="26A041017618"/>
    <s v="EARL PEDINI PEDINI Gilles (ENTREPRISE)"/>
    <s v="FR"/>
    <n v="0"/>
    <n v="0"/>
    <n v="0"/>
    <n v="0"/>
    <n v="45.55"/>
    <n v="0"/>
    <n v="0"/>
    <n v="0"/>
    <n v="45.55"/>
    <n v="45.55"/>
    <n v="1"/>
  </r>
  <r>
    <x v="5"/>
    <s v="F2605015081"/>
    <s v="EXP20260429-2723533"/>
    <s v="26A050048312"/>
    <s v="NUBIANCE HUYNH Minh Ngoc (ENTREPRISE)"/>
    <s v="FR"/>
    <n v="0"/>
    <n v="7"/>
    <n v="0"/>
    <n v="0"/>
    <n v="59.769999999999996"/>
    <n v="0"/>
    <n v="0"/>
    <n v="0"/>
    <n v="66.77"/>
    <n v="66.77"/>
    <n v="1"/>
  </r>
  <r>
    <x v="6"/>
    <s v="F2605015081"/>
    <s v="EXP20260430-2725199"/>
    <s v="26A050095343"/>
    <s v="NATURE ET DECOUVERTE"/>
    <s v="FR"/>
    <n v="0"/>
    <n v="0"/>
    <n v="0"/>
    <n v="0"/>
    <n v="121.7"/>
    <n v="0"/>
    <n v="0"/>
    <n v="0"/>
    <n v="121.7"/>
    <n v="121.7"/>
    <n v="2"/>
  </r>
  <r>
    <x v="2"/>
    <s v="F2605015081"/>
    <s v="EXP20260430-2725631"/>
    <s v="26A050048328"/>
    <s v="MONCETS SAS Julien NOEL (ENTREPRISE)"/>
    <s v="FR"/>
    <n v="0"/>
    <n v="0"/>
    <n v="0"/>
    <n v="0"/>
    <n v="161.72999999999999"/>
    <n v="0"/>
    <n v="0"/>
    <n v="0"/>
    <n v="161.72999999999999"/>
    <n v="161.72999999999999"/>
    <n v="2"/>
  </r>
  <r>
    <x v="2"/>
    <s v="F2605015081"/>
    <s v="EXP20260430-2725880"/>
    <s v="26A050048324"/>
    <s v="MARAVENNE SELECTION BERNARD LURQUIN (ENTREPRISE)"/>
    <s v="FR"/>
    <n v="0"/>
    <n v="0"/>
    <n v="0"/>
    <n v="0"/>
    <n v="52.749999999999993"/>
    <n v="0"/>
    <n v="0"/>
    <n v="0"/>
    <n v="52.749999999999993"/>
    <n v="52.749999999999993"/>
    <n v="1"/>
  </r>
  <r>
    <x v="2"/>
    <s v="F2605015081"/>
    <s v="EXP20260430-2725914"/>
    <s v="26A050048331"/>
    <s v="LE CHEMIN  DES REVES"/>
    <s v="FR"/>
    <n v="0"/>
    <n v="0"/>
    <n v="0"/>
    <n v="0"/>
    <n v="55.089999999999996"/>
    <n v="0"/>
    <n v="0"/>
    <n v="0"/>
    <n v="55.089999999999996"/>
    <n v="55.089999999999996"/>
    <n v="1"/>
  </r>
  <r>
    <x v="2"/>
    <s v="F2605015081"/>
    <s v="EXP20260501-2726713"/>
    <s v="26A050048309"/>
    <s v="EARL JEROME FORNEROT Jerome FORNERO (ENTREPRISE)"/>
    <s v="FR"/>
    <n v="0"/>
    <n v="0"/>
    <n v="0"/>
    <n v="0"/>
    <n v="27.439999999999998"/>
    <n v="0"/>
    <n v="0"/>
    <n v="0"/>
    <n v="27.439999999999998"/>
    <n v="27.439999999999998"/>
    <n v="1"/>
  </r>
  <r>
    <x v="5"/>
    <s v="F2605015081"/>
    <s v="EXP20260501-2727218"/>
    <s v="26A050095340"/>
    <s v="Pharmavance Groupement Pharmavance (ENTREPRISE)"/>
    <s v="FR"/>
    <n v="0"/>
    <n v="0"/>
    <n v="0"/>
    <n v="0"/>
    <n v="59.69"/>
    <n v="0"/>
    <n v="0"/>
    <n v="0"/>
    <n v="59.69"/>
    <n v="59.69"/>
    <n v="1"/>
  </r>
  <r>
    <x v="2"/>
    <s v="F2605015081"/>
    <s v="EXP20260501-2727548"/>
    <s v="26A050048335"/>
    <s v="SCEA Chateau Peyrepertuse Axel PLA (ENTREPRISE)"/>
    <s v="FR"/>
    <n v="0"/>
    <n v="0"/>
    <n v="0"/>
    <n v="0"/>
    <n v="47.699999999999996"/>
    <n v="0"/>
    <n v="0"/>
    <n v="0"/>
    <n v="47.699999999999996"/>
    <n v="47.699999999999996"/>
    <n v="1"/>
  </r>
  <r>
    <x v="2"/>
    <s v="F2605015081"/>
    <s v="EXP20260504-2730707"/>
    <s v="26A050048315"/>
    <s v="W-VINE Scatamacchia Maxim (ENTREPRISE)"/>
    <s v="FR"/>
    <n v="0"/>
    <n v="0"/>
    <n v="0"/>
    <n v="0"/>
    <n v="24.189999999999998"/>
    <n v="0"/>
    <n v="0"/>
    <n v="0"/>
    <n v="24.189999999999998"/>
    <n v="24.189999999999998"/>
    <n v="1"/>
  </r>
  <r>
    <x v="2"/>
    <s v="F2605015081"/>
    <s v="EXP20260504-2730784"/>
    <s v="26A050048334"/>
    <s v="Domaine Daurion Fossati Stephanie (ENTREPRISE)"/>
    <s v="FR"/>
    <n v="0"/>
    <n v="0"/>
    <n v="0"/>
    <n v="0"/>
    <n v="44.410000000000004"/>
    <n v="0"/>
    <n v="0"/>
    <n v="0"/>
    <n v="44.410000000000004"/>
    <n v="44.410000000000004"/>
    <n v="1"/>
  </r>
  <r>
    <x v="2"/>
    <s v="F2605015081"/>
    <s v="EXP20260504-2730785"/>
    <s v="26A050048317"/>
    <s v="CHATEAU STE CROIX"/>
    <s v="FR"/>
    <n v="0"/>
    <n v="0"/>
    <n v="0"/>
    <n v="0"/>
    <n v="40.299999999999997"/>
    <n v="0"/>
    <n v="0"/>
    <n v="0"/>
    <n v="40.299999999999997"/>
    <n v="40.299999999999997"/>
    <n v="1"/>
  </r>
  <r>
    <x v="2"/>
    <s v="F2605015081"/>
    <s v="EXP20260504-2731131"/>
    <s v="26A050136857"/>
    <s v="Federation Viticole du Puy-de-Dome (ENTREPRISE)"/>
    <s v="FR"/>
    <n v="0"/>
    <n v="0"/>
    <n v="0"/>
    <n v="0"/>
    <n v="30.43"/>
    <n v="0"/>
    <n v="0"/>
    <n v="0"/>
    <n v="30.43"/>
    <n v="30.43"/>
    <n v="1"/>
  </r>
  <r>
    <x v="2"/>
    <s v="F2605015081"/>
    <s v="EXP20260504-2731462"/>
    <s v="26A050136859"/>
    <s v="SCEA DUVEAU FABIEN DUVEAU FABIEN (ENTREPRISE)"/>
    <s v="FR"/>
    <n v="0"/>
    <n v="0"/>
    <n v="0"/>
    <n v="0"/>
    <n v="29.509999999999998"/>
    <n v="0"/>
    <n v="0"/>
    <n v="0"/>
    <n v="29.509999999999998"/>
    <n v="29.509999999999998"/>
    <n v="1"/>
  </r>
  <r>
    <x v="2"/>
    <s v="F2605015081"/>
    <s v="EXP20260504-2731721"/>
    <s v="26A050136844"/>
    <s v="SAS LE GUELLEC-DUCOUET Arnaud DUCOU (ENTREPRISE)"/>
    <s v="FR"/>
    <n v="0"/>
    <n v="0"/>
    <n v="0"/>
    <n v="0"/>
    <n v="18.07"/>
    <n v="0"/>
    <n v="0"/>
    <n v="0"/>
    <n v="18.07"/>
    <n v="18.07"/>
    <n v="1"/>
  </r>
  <r>
    <x v="2"/>
    <s v="F2605015081"/>
    <s v="EXP20260505-2732838"/>
    <s v="26A050136856"/>
    <s v="Domaine la Pascerette des Vignes Ce (ENTREPRISE)"/>
    <s v="FR"/>
    <n v="0"/>
    <n v="0"/>
    <n v="0"/>
    <n v="0"/>
    <n v="26.83"/>
    <n v="0"/>
    <n v="0"/>
    <n v="0"/>
    <n v="26.83"/>
    <n v="26.83"/>
    <n v="1"/>
  </r>
  <r>
    <x v="2"/>
    <s v="F2605015081"/>
    <s v="EXP20260505-2733271"/>
    <s v="26A050136839"/>
    <s v="CHATEAU MOURESSE BOUVET EMMA (ENTREPRISE)"/>
    <s v="FR"/>
    <n v="0"/>
    <n v="0"/>
    <n v="0"/>
    <n v="0"/>
    <n v="58.19"/>
    <n v="0"/>
    <n v="0"/>
    <n v="0"/>
    <n v="58.19"/>
    <n v="58.19"/>
    <n v="1"/>
  </r>
  <r>
    <x v="2"/>
    <s v="F2605015081"/>
    <s v="EXP20260505-2733272"/>
    <s v="26A050136848"/>
    <s v="JM CAZES SELECTION Savary Pauline (ENTREPRISE)"/>
    <s v="FR"/>
    <n v="0"/>
    <n v="0"/>
    <n v="0"/>
    <n v="0"/>
    <n v="61.41"/>
    <n v="0"/>
    <n v="0"/>
    <n v="0"/>
    <n v="61.41"/>
    <n v="61.41"/>
    <n v="1"/>
  </r>
  <r>
    <x v="2"/>
    <s v="F2605015081"/>
    <s v="EXP20260505-2733273"/>
    <s v="26A050136842"/>
    <s v="SAS Vignobles Arconian FONTANA Mari (ENTREPRISE)"/>
    <s v="FR"/>
    <n v="0"/>
    <n v="0"/>
    <n v="0"/>
    <n v="0"/>
    <n v="50.85"/>
    <n v="0"/>
    <n v="0"/>
    <n v="0"/>
    <n v="50.85"/>
    <n v="50.85"/>
    <n v="1"/>
  </r>
  <r>
    <x v="2"/>
    <s v="F2605015081"/>
    <s v="EXP20260505-2733659"/>
    <s v="26A050136854"/>
    <s v="SI TU SAIS SAS Patrick JOHNSTON (ENTREPRISE)"/>
    <s v="FR"/>
    <n v="0"/>
    <n v="0"/>
    <n v="0"/>
    <n v="0"/>
    <n v="75.73"/>
    <n v="0"/>
    <n v="0"/>
    <n v="0"/>
    <n v="75.73"/>
    <n v="75.73"/>
    <n v="2"/>
  </r>
  <r>
    <x v="2"/>
    <s v="F2605015081"/>
    <s v="EXP20260505-2733939"/>
    <s v="26A050136843"/>
    <s v="SARL DE BELMONT Paul AUBLET-CUVELIE (ENTREPRISE)"/>
    <s v="FR"/>
    <n v="0"/>
    <n v="0"/>
    <n v="0"/>
    <n v="0"/>
    <n v="29.669999999999998"/>
    <n v="0"/>
    <n v="0"/>
    <n v="0"/>
    <n v="29.669999999999998"/>
    <n v="29.669999999999998"/>
    <n v="1"/>
  </r>
  <r>
    <x v="2"/>
    <s v="F2605015081"/>
    <s v="EXP20260505-2733940"/>
    <s v="26A050136861"/>
    <s v="SCEA Marc Ducau SANFOURCHE Marie-La (ENTREPRISE)"/>
    <s v="FR"/>
    <n v="0"/>
    <n v="0"/>
    <n v="0"/>
    <n v="0"/>
    <n v="42.29"/>
    <n v="0"/>
    <n v="0"/>
    <n v="0"/>
    <n v="42.29"/>
    <n v="42.29"/>
    <n v="1"/>
  </r>
  <r>
    <x v="2"/>
    <s v="F2605015081"/>
    <s v="EXP20260505-2734013"/>
    <s v="26A050136847"/>
    <s v="Le Clos de la Meslerie Peter HAHN (ENTREPRISE)"/>
    <s v="FR"/>
    <n v="0"/>
    <n v="0"/>
    <n v="0"/>
    <n v="0"/>
    <n v="26.56"/>
    <n v="0"/>
    <n v="0"/>
    <n v="0"/>
    <n v="26.56"/>
    <n v="26.56"/>
    <n v="1"/>
  </r>
  <r>
    <x v="2"/>
    <s v="F2605015081"/>
    <s v="EXP20260505-2734215"/>
    <s v="26A050136840"/>
    <s v="Domaine de la grande sieste Leticia (ENTREPRISE)"/>
    <s v="FR"/>
    <n v="0"/>
    <n v="0"/>
    <n v="0"/>
    <n v="0"/>
    <n v="44.410000000000004"/>
    <n v="0"/>
    <n v="0"/>
    <n v="0"/>
    <n v="44.410000000000004"/>
    <n v="44.410000000000004"/>
    <n v="1"/>
  </r>
  <r>
    <x v="2"/>
    <s v="F2605015081"/>
    <s v="EXP20260505-2734330"/>
    <s v="26A050136837"/>
    <s v="DOMAINE ANNE GROS ANNE GROS (ENTREPRISE)"/>
    <s v="FR"/>
    <n v="0"/>
    <n v="0"/>
    <n v="0"/>
    <n v="0"/>
    <n v="24.189999999999998"/>
    <n v="0"/>
    <n v="0"/>
    <n v="0"/>
    <n v="24.189999999999998"/>
    <n v="24.189999999999998"/>
    <n v="1"/>
  </r>
  <r>
    <x v="2"/>
    <s v="F2605015081"/>
    <s v="EXP20260506-2735068"/>
    <s v="26A050136851"/>
    <s v="VERAISON Clement DEVEVEY (ENTREPRISE)"/>
    <s v="FR"/>
    <n v="0"/>
    <n v="0"/>
    <n v="0"/>
    <n v="0"/>
    <n v="75.73"/>
    <n v="0"/>
    <n v="0"/>
    <n v="0"/>
    <n v="75.73"/>
    <n v="75.73"/>
    <n v="2"/>
  </r>
  <r>
    <x v="2"/>
    <s v="F2605015081"/>
    <s v="EXP20260506-2735138"/>
    <s v="26A050136853"/>
    <s v="DOMAINE DES GARANCES SEBASTIEN LOGV (ENTREPRISE)"/>
    <s v="FR"/>
    <n v="0"/>
    <n v="0"/>
    <n v="0"/>
    <n v="0"/>
    <n v="49.79"/>
    <n v="0"/>
    <n v="0"/>
    <n v="0"/>
    <n v="49.79"/>
    <n v="49.79"/>
    <n v="1"/>
  </r>
  <r>
    <x v="2"/>
    <s v="F2605015081"/>
    <s v="EXP20260506-2735228"/>
    <s v="26A050136841"/>
    <s v="Domaine JEANSON PARIGOT JEANSON ANA (ENTREPRISE)"/>
    <s v="FR"/>
    <n v="0"/>
    <n v="0"/>
    <n v="0"/>
    <n v="0"/>
    <n v="27.439999999999998"/>
    <n v="0"/>
    <n v="0"/>
    <n v="0"/>
    <n v="27.439999999999998"/>
    <n v="27.439999999999998"/>
    <n v="1"/>
  </r>
  <r>
    <x v="2"/>
    <s v="F2605015081"/>
    <s v="EXP20260506-2735295"/>
    <s v="26A050136846"/>
    <s v="SCEA 2B2G - VINEYARDS Alexis DE BEN (ENTREPRISE)"/>
    <s v="FR"/>
    <n v="0"/>
    <n v="0"/>
    <n v="0"/>
    <n v="0"/>
    <n v="26.83"/>
    <n v="0"/>
    <n v="0"/>
    <n v="0"/>
    <n v="26.83"/>
    <n v="26.83"/>
    <n v="1"/>
  </r>
  <r>
    <x v="2"/>
    <s v="F2605015081"/>
    <s v="EXP20260506-2735296"/>
    <s v="26A050136845"/>
    <s v="SCEV Domiane Montbarbon Feral Jean (ENTREPRISE)"/>
    <s v="FR"/>
    <n v="0"/>
    <n v="0"/>
    <n v="0"/>
    <n v="0"/>
    <n v="25.729999999999997"/>
    <n v="0"/>
    <n v="0"/>
    <n v="0"/>
    <n v="25.729999999999997"/>
    <n v="25.729999999999997"/>
    <n v="1"/>
  </r>
  <r>
    <x v="2"/>
    <s v="F2605015081"/>
    <s v="EXP20260506-2735998"/>
    <s v="26A050188761"/>
    <s v="SARL Famille GARON Kevin GARON (ENTREPRISE)"/>
    <s v="FR"/>
    <n v="0"/>
    <n v="0"/>
    <n v="0"/>
    <n v="0"/>
    <n v="30.9"/>
    <n v="0"/>
    <n v="0"/>
    <n v="0"/>
    <n v="30.9"/>
    <n v="30.9"/>
    <n v="1"/>
  </r>
  <r>
    <x v="2"/>
    <s v="F2605015081"/>
    <s v="EXP20260506-2736150"/>
    <s v="26A050188767"/>
    <s v="SARL LA PROVIDENCE Jean Benoit COMO (ENTREPRISE)"/>
    <s v="FR"/>
    <n v="0"/>
    <n v="0"/>
    <n v="0"/>
    <n v="0"/>
    <n v="41.98"/>
    <n v="0"/>
    <n v="0"/>
    <n v="0"/>
    <n v="41.98"/>
    <n v="41.98"/>
    <n v="1"/>
  </r>
  <r>
    <x v="2"/>
    <s v="F2605015081"/>
    <s v="EXP20260506-2736237"/>
    <s v="26A050188746"/>
    <s v="SARL Laurent CASSIGNOL Laurent CASS (ENTREPRISE)"/>
    <s v="FR"/>
    <n v="0"/>
    <n v="0"/>
    <n v="0"/>
    <n v="0"/>
    <n v="62.15"/>
    <n v="0"/>
    <n v="0"/>
    <n v="0"/>
    <n v="62.15"/>
    <n v="62.15"/>
    <n v="1"/>
  </r>
  <r>
    <x v="2"/>
    <s v="F2605015081"/>
    <s v="EXP20260507-2737058"/>
    <s v="26A050188749"/>
    <s v="SARL MAS JULLIEN Olivier JULLIEN (ENTREPRISE)"/>
    <s v="FR"/>
    <n v="0"/>
    <n v="0"/>
    <n v="0"/>
    <n v="0"/>
    <n v="55.089999999999996"/>
    <n v="0"/>
    <n v="0"/>
    <n v="0"/>
    <n v="55.089999999999996"/>
    <n v="55.089999999999996"/>
    <n v="1"/>
  </r>
  <r>
    <x v="2"/>
    <s v="F2605015081"/>
    <s v="EXP20260507-2737125"/>
    <s v="26A050188755"/>
    <s v="Domaine Ampelhus Thibaud VERMILLARD (ENTREPRISE)"/>
    <s v="FR"/>
    <n v="0"/>
    <n v="0"/>
    <n v="0"/>
    <n v="0"/>
    <n v="67.510000000000005"/>
    <n v="0"/>
    <n v="0"/>
    <n v="0"/>
    <n v="67.510000000000005"/>
    <n v="67.510000000000005"/>
    <n v="1"/>
  </r>
  <r>
    <x v="2"/>
    <s v="F2605015081"/>
    <s v="EXP20260507-2737126"/>
    <s v="26A050188758"/>
    <s v="Domaine Ecume de Lune - W.T Benoit (ENTREPRISE)"/>
    <s v="FR"/>
    <n v="0"/>
    <n v="0"/>
    <n v="0"/>
    <n v="0"/>
    <n v="37.61"/>
    <n v="0"/>
    <n v="0"/>
    <n v="0"/>
    <n v="37.61"/>
    <n v="37.61"/>
    <n v="1"/>
  </r>
  <r>
    <x v="2"/>
    <s v="F2605015081"/>
    <s v="EXP20260507-2737166"/>
    <s v="26A050188764"/>
    <s v="DOMAINE DU VIEUX PRESSOIR Dallancon (ENTREPRISE)"/>
    <s v="FR"/>
    <n v="0"/>
    <n v="0"/>
    <n v="0"/>
    <n v="0"/>
    <n v="63.32"/>
    <n v="0"/>
    <n v="0"/>
    <n v="0"/>
    <n v="63.32"/>
    <n v="63.32"/>
    <n v="1"/>
  </r>
  <r>
    <x v="2"/>
    <s v="F2605015081"/>
    <s v="EXP20260507-2737201"/>
    <s v="26A050188752"/>
    <s v="SARL LES HAUTS DE ROCHEVILLE Philip (ENTREPRISE)"/>
    <s v="FR"/>
    <n v="0"/>
    <n v="0"/>
    <n v="0"/>
    <n v="0"/>
    <n v="48.14"/>
    <n v="0"/>
    <n v="0"/>
    <n v="0"/>
    <n v="48.14"/>
    <n v="48.14"/>
    <n v="1"/>
  </r>
  <r>
    <x v="2"/>
    <s v="F2605015081"/>
    <s v="EXP20260507-2737231"/>
    <s v="26A050188742"/>
    <s v="SASU LE VIN FLATTEUR CONTANS GAVARR (ENTREPRISE)"/>
    <s v="FR"/>
    <n v="0"/>
    <n v="7"/>
    <n v="0"/>
    <n v="0"/>
    <n v="39.74"/>
    <n v="0"/>
    <n v="0"/>
    <n v="0"/>
    <n v="46.74"/>
    <n v="46.74"/>
    <n v="1"/>
  </r>
  <r>
    <x v="5"/>
    <s v="F2605015081"/>
    <s v="EXP20260507-2737288"/>
    <s v="26A050240038"/>
    <s v="Jonah (Grigny) CHIKANO INVESTMENT L (ENTREPRISE)"/>
    <s v="FR"/>
    <n v="0"/>
    <n v="0"/>
    <n v="0"/>
    <n v="0"/>
    <n v="58.25"/>
    <n v="0"/>
    <n v="0"/>
    <n v="0"/>
    <n v="58.25"/>
    <n v="58.25"/>
    <n v="1"/>
  </r>
  <r>
    <x v="2"/>
    <s v="F2605015081"/>
    <s v="EXP20260507-2737411"/>
    <s v="26A050240042"/>
    <s v="LES QUATRES TOURS"/>
    <s v="FR"/>
    <n v="0"/>
    <n v="0"/>
    <n v="0"/>
    <n v="0"/>
    <n v="37.61"/>
    <n v="0"/>
    <n v="0"/>
    <n v="0"/>
    <n v="37.61"/>
    <n v="37.61"/>
    <n v="1"/>
  </r>
  <r>
    <x v="2"/>
    <s v="F2605015081"/>
    <s v="EXP20260509-2739511"/>
    <s v="26A050240046"/>
    <s v="CLOS DES NINES Isabelle MANGEART (ENTREPRISE)"/>
    <s v="FR"/>
    <n v="0"/>
    <n v="0"/>
    <n v="0"/>
    <n v="0"/>
    <n v="38.33"/>
    <n v="0"/>
    <n v="0"/>
    <n v="0"/>
    <n v="38.33"/>
    <n v="38.33"/>
    <n v="1"/>
  </r>
  <r>
    <x v="2"/>
    <s v="F2605015081"/>
    <s v="EXP20260511-2741706"/>
    <s v="26A050240050"/>
    <s v="CUISINE JEAN DE MATHIEU DEPRESLE Gi (ENTREPRISE)"/>
    <s v="FR"/>
    <n v="0"/>
    <n v="0"/>
    <n v="0"/>
    <n v="0"/>
    <n v="24.189999999999998"/>
    <n v="0"/>
    <n v="0"/>
    <n v="0"/>
    <n v="24.189999999999998"/>
    <n v="24.189999999999998"/>
    <n v="1"/>
  </r>
  <r>
    <x v="2"/>
    <s v="F2605015081"/>
    <s v="EXP20260512-2744159"/>
    <s v="26A050331674"/>
    <s v="DRG SARL ROUX Didier (ENTREPRISE)"/>
    <s v="FR"/>
    <n v="0"/>
    <n v="0"/>
    <n v="0"/>
    <n v="0"/>
    <n v="37.229999999999997"/>
    <n v="0"/>
    <n v="0"/>
    <n v="0"/>
    <n v="37.229999999999997"/>
    <n v="37.229999999999997"/>
    <n v="1"/>
  </r>
  <r>
    <x v="2"/>
    <s v="F2605015081"/>
    <s v="EXP20260513-2744857"/>
    <s v="26A050331661"/>
    <s v="Chateau de Roquefort - W.T. Gentile (ENTREPRISE)"/>
    <s v="FR"/>
    <n v="0"/>
    <n v="0"/>
    <n v="0"/>
    <n v="0"/>
    <n v="50.639999999999993"/>
    <n v="0"/>
    <n v="0"/>
    <n v="0"/>
    <n v="50.639999999999993"/>
    <n v="50.639999999999993"/>
    <n v="1"/>
  </r>
  <r>
    <x v="2"/>
    <s v="F2605015081"/>
    <s v="EXP20260513-2744858"/>
    <s v="26A050331664"/>
    <s v="SARL BONNIGAL BODET Jean-Baptiste B (ENTREPRISE)"/>
    <s v="FR"/>
    <n v="0"/>
    <n v="0"/>
    <n v="0"/>
    <n v="0"/>
    <n v="26.56"/>
    <n v="0"/>
    <n v="0"/>
    <n v="0"/>
    <n v="26.56"/>
    <n v="26.56"/>
    <n v="1"/>
  </r>
  <r>
    <x v="2"/>
    <s v="F2605015081"/>
    <s v="EXP20260513-2744859"/>
    <s v="26A050331678"/>
    <s v="MAISON BLANC SENTHILLE SENTHILLE EM (ENTREPRISE)"/>
    <s v="FR"/>
    <n v="0"/>
    <n v="0"/>
    <n v="0"/>
    <n v="0"/>
    <n v="50.080000000000005"/>
    <n v="0"/>
    <n v="0"/>
    <n v="0"/>
    <n v="50.080000000000005"/>
    <n v="50.080000000000005"/>
    <n v="1"/>
  </r>
  <r>
    <x v="2"/>
    <s v="F2605015081"/>
    <s v="EXP20260513-2744860"/>
    <s v="26A050331671"/>
    <s v="DOMAINE ELOY JEAN-YVES ELOY (ENTREPRISE)"/>
    <s v="FR"/>
    <n v="0"/>
    <n v="0"/>
    <n v="0"/>
    <n v="0"/>
    <n v="38.479999999999997"/>
    <n v="0"/>
    <n v="0"/>
    <n v="0"/>
    <n v="38.479999999999997"/>
    <n v="38.479999999999997"/>
    <n v="1"/>
  </r>
  <r>
    <x v="2"/>
    <s v="F2605015081"/>
    <s v="EXP20260513-2744861"/>
    <s v="26A050331660"/>
    <s v="PANCHAU MAXENCE Maxence PANCHAU (ENTREPRISE)"/>
    <s v="FR"/>
    <n v="0"/>
    <n v="0"/>
    <n v="0"/>
    <n v="0"/>
    <n v="45.999999999999993"/>
    <n v="0"/>
    <n v="0"/>
    <n v="0"/>
    <n v="45.999999999999993"/>
    <n v="45.999999999999993"/>
    <n v="1"/>
  </r>
  <r>
    <x v="2"/>
    <s v="F2605015081"/>
    <s v="EXP20260513-2744862"/>
    <s v="26A050331672"/>
    <s v="SAS CAVEAUX ENSERUNE ABASSIE Jean B (ENTREPRISE)"/>
    <s v="FR"/>
    <n v="0"/>
    <n v="0"/>
    <n v="0"/>
    <n v="0"/>
    <n v="144.78"/>
    <n v="0"/>
    <n v="0"/>
    <n v="0"/>
    <n v="144.78"/>
    <n v="144.78"/>
    <n v="2"/>
  </r>
  <r>
    <x v="2"/>
    <s v="F2605015081"/>
    <s v="EXP20260513-2744863"/>
    <s v="26A050331675"/>
    <s v="EARL Christian BONFILS Christian BO (ENTREPRISE)"/>
    <s v="FR"/>
    <n v="0"/>
    <n v="0"/>
    <n v="0"/>
    <n v="0"/>
    <n v="67.650000000000006"/>
    <n v="0"/>
    <n v="0"/>
    <n v="0"/>
    <n v="67.650000000000006"/>
    <n v="67.650000000000006"/>
    <n v="1"/>
  </r>
  <r>
    <x v="2"/>
    <s v="F2605015081"/>
    <s v="EXP20260513-2744864"/>
    <s v="26A050331676"/>
    <s v="DOMAINE LOUIS ROBINEAU ROBINEAU YOH (ENTREPRISE)"/>
    <s v="FR"/>
    <n v="0"/>
    <n v="0"/>
    <n v="0"/>
    <n v="0"/>
    <n v="43.69"/>
    <n v="0"/>
    <n v="0"/>
    <n v="0"/>
    <n v="43.69"/>
    <n v="43.69"/>
    <n v="1"/>
  </r>
  <r>
    <x v="2"/>
    <s v="F2605015081"/>
    <s v="EXP20260513-2744865"/>
    <s v="26A050331679"/>
    <s v="EARL MICHEL VIGNON VIGNON Stephane (ENTREPRISE)"/>
    <s v="FR"/>
    <n v="0"/>
    <n v="0"/>
    <n v="0"/>
    <n v="0"/>
    <n v="142.63"/>
    <n v="0"/>
    <n v="0"/>
    <n v="0"/>
    <n v="142.63"/>
    <n v="142.63"/>
    <n v="3"/>
  </r>
  <r>
    <x v="2"/>
    <s v="F2605015081"/>
    <s v="EXP20260513-2744866"/>
    <s v="26A050331677"/>
    <s v="Mon Caviste Logistique Alain BARDET (ENTREPRISE)"/>
    <s v="FR"/>
    <n v="0"/>
    <n v="0"/>
    <n v="0"/>
    <n v="0"/>
    <n v="114.36"/>
    <n v="0"/>
    <n v="0"/>
    <n v="0"/>
    <n v="114.36"/>
    <n v="114.36"/>
    <n v="2"/>
  </r>
  <r>
    <x v="2"/>
    <s v="F2605015081"/>
    <s v="EXP20260513-2744867"/>
    <s v="26A050331663"/>
    <s v="DOMAINE CHANT DES LOUPS MARIE AYMAR (ENTREPRISE)"/>
    <s v="FR"/>
    <n v="0"/>
    <n v="0"/>
    <n v="0"/>
    <n v="0"/>
    <n v="46.64"/>
    <n v="0"/>
    <n v="0"/>
    <n v="0"/>
    <n v="46.64"/>
    <n v="46.64"/>
    <n v="1"/>
  </r>
  <r>
    <x v="2"/>
    <s v="F2605015081"/>
    <s v="EXP20260513-2744868"/>
    <s v="26A050331662"/>
    <s v="SCEA de la Pinsonniere Vincent GASN (ENTREPRISE)"/>
    <s v="FR"/>
    <n v="0"/>
    <n v="0"/>
    <n v="0"/>
    <n v="0"/>
    <n v="33.44"/>
    <n v="0"/>
    <n v="0"/>
    <n v="0"/>
    <n v="33.44"/>
    <n v="33.44"/>
    <n v="1"/>
  </r>
  <r>
    <x v="2"/>
    <s v="F2605015081"/>
    <s v="EXP20260513-2744869"/>
    <s v="26A050331673"/>
    <s v="Naturellement Vin Andre BARGES (ENTREPRISE)"/>
    <s v="FR"/>
    <n v="0"/>
    <n v="0"/>
    <n v="0"/>
    <n v="0"/>
    <n v="30.43"/>
    <n v="0"/>
    <n v="0"/>
    <n v="0"/>
    <n v="30.43"/>
    <n v="30.43"/>
    <n v="1"/>
  </r>
  <r>
    <x v="2"/>
    <s v="F2605015081"/>
    <s v="EXP20260513-2744870"/>
    <s v="26A050331668"/>
    <s v="MIP DIFFUSION"/>
    <s v="FR"/>
    <n v="0"/>
    <n v="0"/>
    <n v="0"/>
    <n v="0"/>
    <n v="45.19"/>
    <n v="0"/>
    <n v="0"/>
    <n v="0"/>
    <n v="45.19"/>
    <n v="45.19"/>
    <n v="1"/>
  </r>
  <r>
    <x v="2"/>
    <s v="F2605015081"/>
    <s v="EXP20260513-2744871"/>
    <s v="26A050331666"/>
    <s v="EARL Gourdon Franck Gourdon Franck (ENTREPRISE)"/>
    <s v="FR"/>
    <n v="0"/>
    <n v="0"/>
    <n v="0"/>
    <n v="0"/>
    <n v="50.21"/>
    <n v="0"/>
    <n v="0"/>
    <n v="0"/>
    <n v="50.21"/>
    <n v="50.21"/>
    <n v="1"/>
  </r>
  <r>
    <x v="2"/>
    <s v="F2605015081"/>
    <s v="EXP20260513-2744872"/>
    <s v="26A050331670"/>
    <s v="SAS Perromat Domaines Xavier PERROM (ENTREPRISE)"/>
    <s v="FR"/>
    <n v="0"/>
    <n v="0"/>
    <n v="0"/>
    <n v="0"/>
    <n v="57.559999999999995"/>
    <n v="0"/>
    <n v="0"/>
    <n v="0"/>
    <n v="57.559999999999995"/>
    <n v="57.559999999999995"/>
    <n v="1"/>
  </r>
  <r>
    <x v="2"/>
    <s v="F2605015081"/>
    <s v="EXP20260513-2744873"/>
    <s v="26A050331658"/>
    <s v="Domaine PIALLAT PIALLAT Laure (ENTREPRISE)"/>
    <s v="FR"/>
    <n v="0"/>
    <n v="0"/>
    <n v="0"/>
    <n v="0"/>
    <n v="33.99"/>
    <n v="0"/>
    <n v="0"/>
    <n v="0"/>
    <n v="33.99"/>
    <n v="33.99"/>
    <n v="1"/>
  </r>
  <r>
    <x v="2"/>
    <s v="F2605015081"/>
    <s v="EXP20260513-2744874"/>
    <s v="26A050331669"/>
    <s v="SCEA JEROME BRETAUDEAU Jerome BRETA (ENTREPRISE)"/>
    <s v="FR"/>
    <n v="0"/>
    <n v="0"/>
    <n v="0"/>
    <n v="0"/>
    <n v="169.3"/>
    <n v="0"/>
    <n v="0"/>
    <n v="0"/>
    <n v="169.3"/>
    <n v="169.3"/>
    <n v="2"/>
  </r>
  <r>
    <x v="2"/>
    <s v="F2605015081"/>
    <s v="EXP20260513-2744875"/>
    <s v="26A050372343"/>
    <s v="BAO VINS SAS Wettstein Richard (ENTREPRISE)"/>
    <s v="FR"/>
    <n v="0"/>
    <n v="0"/>
    <n v="0"/>
    <n v="0"/>
    <n v="49.94"/>
    <n v="0"/>
    <n v="0"/>
    <n v="0"/>
    <n v="49.94"/>
    <n v="49.94"/>
    <n v="2"/>
  </r>
  <r>
    <x v="2"/>
    <s v="F2605015081"/>
    <s v="EXP20260513-2744876"/>
    <s v="26A050372349"/>
    <s v="SARL Dubreuil Gerald Gerald DUBREUI (ENTREPRISE)"/>
    <s v="FR"/>
    <n v="0"/>
    <n v="0"/>
    <n v="0"/>
    <n v="0"/>
    <n v="83.06"/>
    <n v="0"/>
    <n v="0"/>
    <n v="0"/>
    <n v="83.06"/>
    <n v="83.06"/>
    <n v="2"/>
  </r>
  <r>
    <x v="2"/>
    <s v="F2605015081"/>
    <s v="EXP20260513-2744877"/>
    <s v="26A050372341"/>
    <s v="LES VINS VRAI DURIF ERIC (ENTREPRISE)"/>
    <s v="FR"/>
    <n v="0"/>
    <n v="0"/>
    <n v="0"/>
    <n v="0"/>
    <n v="29.38"/>
    <n v="0"/>
    <n v="0"/>
    <n v="0"/>
    <n v="29.38"/>
    <n v="29.38"/>
    <n v="1"/>
  </r>
  <r>
    <x v="2"/>
    <s v="F2605015081"/>
    <s v="EXP20260513-2744878"/>
    <s v="26A050372360"/>
    <s v="DOM.SAINTE CECILE DU PARC GAUTHIER (ENTREPRISE)"/>
    <s v="FR"/>
    <n v="0"/>
    <n v="0"/>
    <n v="0"/>
    <n v="0"/>
    <n v="57.45"/>
    <n v="0"/>
    <n v="0"/>
    <n v="0"/>
    <n v="57.45"/>
    <n v="57.45"/>
    <n v="1"/>
  </r>
  <r>
    <x v="2"/>
    <s v="F2605015081"/>
    <s v="EXP20260513-2744879"/>
    <s v="26A050372339"/>
    <s v="Clos du Caillou BERUD CECILE (ENTREPRISE)"/>
    <s v="FR"/>
    <n v="0"/>
    <n v="0"/>
    <n v="0"/>
    <n v="0"/>
    <n v="48.21"/>
    <n v="0"/>
    <n v="0"/>
    <n v="0"/>
    <n v="48.21"/>
    <n v="48.21"/>
    <n v="1"/>
  </r>
  <r>
    <x v="2"/>
    <s v="F2605015081"/>
    <s v="EXP20260513-2744933"/>
    <s v="26A050372347"/>
    <s v="Scea Consorts Guizard Damien BABEL (ENTREPRISE)"/>
    <s v="FR"/>
    <n v="0"/>
    <n v="0"/>
    <n v="0"/>
    <n v="0"/>
    <n v="45.999999999999993"/>
    <n v="0"/>
    <n v="0"/>
    <n v="0"/>
    <n v="45.999999999999993"/>
    <n v="45.999999999999993"/>
    <n v="1"/>
  </r>
  <r>
    <x v="2"/>
    <s v="F2605015081"/>
    <s v="EXP20260513-2745124"/>
    <s v="26A050372355"/>
    <s v="EARL VIGNOBLE DROUARD Pascal DROUAR (ENTREPRISE)"/>
    <s v="FR"/>
    <n v="0"/>
    <n v="0"/>
    <n v="0"/>
    <n v="0"/>
    <n v="52.98"/>
    <n v="0"/>
    <n v="0"/>
    <n v="0"/>
    <n v="52.98"/>
    <n v="52.98"/>
    <n v="1"/>
  </r>
  <r>
    <x v="2"/>
    <s v="F2605015081"/>
    <s v="EXP20260513-2745241"/>
    <s v="26A050372335"/>
    <s v="CHATEAU INTERNET Guillaume DU FOUSS (ENTREPRISE)"/>
    <s v="FR"/>
    <n v="0"/>
    <n v="0"/>
    <n v="0"/>
    <n v="0"/>
    <n v="59.489999999999995"/>
    <n v="0"/>
    <n v="0"/>
    <n v="0"/>
    <n v="59.489999999999995"/>
    <n v="59.489999999999995"/>
    <n v="1"/>
  </r>
  <r>
    <x v="2"/>
    <s v="F2605015081"/>
    <s v="EXP20260513-2745287"/>
    <s v="26A050372332"/>
    <s v="CHAI BERTEAUD MANCEAU Pierre MANCEA (ENTREPRISE)"/>
    <s v="FR"/>
    <n v="0"/>
    <n v="0"/>
    <n v="0"/>
    <n v="0"/>
    <n v="53.099999999999994"/>
    <n v="0"/>
    <n v="0"/>
    <n v="0"/>
    <n v="53.099999999999994"/>
    <n v="53.099999999999994"/>
    <n v="1"/>
  </r>
  <r>
    <x v="2"/>
    <s v="F2605015081"/>
    <s v="EXP20260513-2745522"/>
    <s v="26A050372351"/>
    <s v="VIGNOBLES CHASSON Jeremie DEPIERRE (ENTREPRISE)"/>
    <s v="FR"/>
    <n v="0"/>
    <n v="0"/>
    <n v="0"/>
    <n v="0"/>
    <n v="134.85"/>
    <n v="0"/>
    <n v="0"/>
    <n v="0"/>
    <n v="134.85"/>
    <n v="134.85"/>
    <n v="2"/>
  </r>
  <r>
    <x v="2"/>
    <s v="F2605015081"/>
    <s v="EXP20260513-2745541"/>
    <s v="26A050372337"/>
    <s v="Domaine du Haut Rince Stephane RAYM (ENTREPRISE)"/>
    <s v="FR"/>
    <n v="0"/>
    <n v="0"/>
    <n v="0"/>
    <n v="0"/>
    <n v="32.69"/>
    <n v="0"/>
    <n v="0"/>
    <n v="0"/>
    <n v="32.69"/>
    <n v="32.69"/>
    <n v="1"/>
  </r>
  <r>
    <x v="2"/>
    <s v="F2605015081"/>
    <s v="EXP20260513-2745555"/>
    <s v="26A050372357"/>
    <s v="DOMAINE ET DISTILLERIE BRILLOUET Je (ENTREPRISE)"/>
    <s v="FR"/>
    <n v="0"/>
    <n v="0"/>
    <n v="0"/>
    <n v="0"/>
    <n v="57.879999999999995"/>
    <n v="0"/>
    <n v="0"/>
    <n v="0"/>
    <n v="57.879999999999995"/>
    <n v="57.879999999999995"/>
    <n v="1"/>
  </r>
  <r>
    <x v="2"/>
    <s v="F2605015081"/>
    <s v="EXP20260514-2746245"/>
    <s v="26A050372359"/>
    <s v="EI CALAS MAXIME Maxime CALAS (ENTREPRISE)"/>
    <s v="FR"/>
    <n v="0"/>
    <n v="0"/>
    <n v="0"/>
    <n v="0"/>
    <n v="144.78"/>
    <n v="0"/>
    <n v="0"/>
    <n v="0"/>
    <n v="144.78"/>
    <n v="144.78"/>
    <n v="2"/>
  </r>
  <r>
    <x v="2"/>
    <s v="F2605015081"/>
    <s v="EXP20260515-2746804"/>
    <s v="26A050372344"/>
    <s v="Vignoble Herve Avallet AVALLET Herv (ENTREPRISE)"/>
    <s v="FR"/>
    <n v="0"/>
    <n v="0"/>
    <n v="0"/>
    <n v="0"/>
    <n v="31.889999999999997"/>
    <n v="0"/>
    <n v="0"/>
    <n v="0"/>
    <n v="31.889999999999997"/>
    <n v="31.889999999999997"/>
    <n v="1"/>
  </r>
  <r>
    <x v="2"/>
    <s v="F2605015081"/>
    <s v="EXP20260515-2746805"/>
    <s v="26A050372362"/>
    <s v="CHATEAU LA SABLIERE AVEZOU SYLVIE (ENTREPRISE)"/>
    <s v="FR"/>
    <n v="0"/>
    <n v="0"/>
    <n v="0"/>
    <n v="0"/>
    <n v="42.29"/>
    <n v="0"/>
    <n v="0"/>
    <n v="0"/>
    <n v="42.29"/>
    <n v="42.29"/>
    <n v="1"/>
  </r>
  <r>
    <x v="2"/>
    <s v="F2605015081"/>
    <s v="EXP20260515-2746951"/>
    <s v="26A050372361"/>
    <s v="DOMAINE SAINTE MADELEINE Alexandre (ENTREPRISE)"/>
    <s v="FR"/>
    <n v="0"/>
    <n v="0"/>
    <n v="0"/>
    <n v="0"/>
    <n v="26.799999999999997"/>
    <n v="0"/>
    <n v="0"/>
    <n v="0"/>
    <n v="26.799999999999997"/>
    <n v="26.799999999999997"/>
    <n v="1"/>
  </r>
  <r>
    <x v="2"/>
    <s v="F2605015081"/>
    <s v="EXP20260515-2746952"/>
    <s v="26A050372353"/>
    <s v="DOMAINE DE LA SENCHE ARNSTEIN HERNE (ENTREPRISE)"/>
    <s v="FR"/>
    <n v="0"/>
    <n v="0"/>
    <n v="0"/>
    <n v="0"/>
    <n v="42.78"/>
    <n v="0"/>
    <n v="0"/>
    <n v="0"/>
    <n v="42.78"/>
    <n v="42.78"/>
    <n v="1"/>
  </r>
  <r>
    <x v="2"/>
    <s v="F2605015081"/>
    <s v="EXP20260515-2747044"/>
    <s v="26A050416077"/>
    <s v="MAS CAL DEMOURA"/>
    <s v="FR"/>
    <n v="0"/>
    <n v="0"/>
    <n v="0"/>
    <n v="0"/>
    <n v="144.78"/>
    <n v="0"/>
    <n v="0"/>
    <n v="0"/>
    <n v="144.78"/>
    <n v="144.78"/>
    <n v="2"/>
  </r>
  <r>
    <x v="2"/>
    <s v="F2605015081"/>
    <s v="EXP20260515-2747143"/>
    <s v="26A050372363"/>
    <s v="Paul Janin et Fils Eric JANIN (ENTREPRISE)"/>
    <s v="FR"/>
    <n v="0"/>
    <n v="0"/>
    <n v="0"/>
    <n v="0"/>
    <n v="24.849999999999998"/>
    <n v="0"/>
    <n v="0"/>
    <n v="0"/>
    <n v="24.849999999999998"/>
    <n v="24.849999999999998"/>
    <n v="1"/>
  </r>
  <r>
    <x v="2"/>
    <s v="F2605015081"/>
    <s v="EXP20260515-2747323"/>
    <s v="26A050464288"/>
    <s v="VINS ET TERRITOIRES RENAUDAT Pascal (ENTREPRISE)"/>
    <s v="FR"/>
    <n v="0"/>
    <n v="0"/>
    <n v="0"/>
    <n v="0"/>
    <n v="37.24"/>
    <n v="0"/>
    <n v="0"/>
    <n v="0"/>
    <n v="37.24"/>
    <n v="37.24"/>
    <n v="1"/>
  </r>
  <r>
    <x v="2"/>
    <s v="F2605015081"/>
    <s v="EXP20260515-2748666"/>
    <s v="26A050464238"/>
    <s v="Sarl Begey et Fils Distribution Jul (ENTREPRISE)"/>
    <s v="FR"/>
    <n v="0"/>
    <n v="0"/>
    <n v="0"/>
    <n v="0"/>
    <n v="157.23000000000002"/>
    <n v="0"/>
    <n v="0"/>
    <n v="0"/>
    <n v="157.23000000000002"/>
    <n v="157.23000000000002"/>
    <n v="2"/>
  </r>
  <r>
    <x v="2"/>
    <s v="F2605015081"/>
    <s v="EXP20260515-2748731"/>
    <s v="26A050464304"/>
    <s v="EI DOMAINE DE CARMEN Yohanna NYDEGG (ENTREPRISE)"/>
    <s v="FR"/>
    <n v="0"/>
    <n v="0"/>
    <n v="0"/>
    <n v="0"/>
    <n v="41.11"/>
    <n v="0"/>
    <n v="0"/>
    <n v="0"/>
    <n v="41.11"/>
    <n v="41.11"/>
    <n v="1"/>
  </r>
  <r>
    <x v="2"/>
    <s v="F2605015081"/>
    <s v="EXP20260518-2750415"/>
    <s v="26A050464301"/>
    <s v="SARL LES VINS D'EMILIEN Christophe (ENTREPRISE)"/>
    <s v="FR"/>
    <n v="0"/>
    <n v="0"/>
    <n v="0"/>
    <n v="0"/>
    <n v="30.639999999999997"/>
    <n v="0"/>
    <n v="0"/>
    <n v="0"/>
    <n v="30.639999999999997"/>
    <n v="30.639999999999997"/>
    <n v="1"/>
  </r>
  <r>
    <x v="2"/>
    <s v="F2605015081"/>
    <s v="EXP20260518-2750642"/>
    <s v="26A050464271"/>
    <s v="Domaine Daniel Dugois Melanie DUGOI (ENTREPRISE)"/>
    <s v="FR"/>
    <n v="0"/>
    <n v="0"/>
    <n v="0"/>
    <n v="0"/>
    <n v="30.529999999999998"/>
    <n v="0"/>
    <n v="0"/>
    <n v="0"/>
    <n v="30.529999999999998"/>
    <n v="30.529999999999998"/>
    <n v="1"/>
  </r>
  <r>
    <x v="2"/>
    <s v="F2605015081"/>
    <s v="EXP20260518-2750741"/>
    <s v="26A050464232"/>
    <s v="SCEA TERRE DES CHARDONS Alex DIDIER (ENTREPRISE)"/>
    <s v="FR"/>
    <n v="0"/>
    <n v="0"/>
    <n v="0"/>
    <n v="0"/>
    <n v="48.43"/>
    <n v="0"/>
    <n v="0"/>
    <n v="0"/>
    <n v="48.43"/>
    <n v="48.43"/>
    <n v="1"/>
  </r>
  <r>
    <x v="2"/>
    <s v="F2605015081"/>
    <s v="EXP20260518-2750926"/>
    <s v="26A050464275"/>
    <s v="CHATEAU DE FONTCREUSE Jean-Francois (ENTREPRISE)"/>
    <s v="FR"/>
    <n v="0"/>
    <n v="0"/>
    <n v="0"/>
    <n v="0"/>
    <n v="48.98"/>
    <n v="0"/>
    <n v="0"/>
    <n v="0"/>
    <n v="48.98"/>
    <n v="48.98"/>
    <n v="1"/>
  </r>
  <r>
    <x v="2"/>
    <s v="F2605015081"/>
    <s v="EXP20260518-2751127"/>
    <s v="26A050464234"/>
    <s v="EARL DU DOMAINE DU BUISSON SECHER C (ENTREPRISE)"/>
    <s v="FR"/>
    <n v="0"/>
    <n v="0"/>
    <n v="0"/>
    <n v="0"/>
    <n v="126.09"/>
    <n v="0"/>
    <n v="0"/>
    <n v="0"/>
    <n v="126.09"/>
    <n v="126.09"/>
    <n v="2"/>
  </r>
  <r>
    <x v="2"/>
    <s v="F2605015081"/>
    <s v="EXP20260518-2751193"/>
    <s v="26A050464292"/>
    <s v="LE RELAIS DE FRANC MAYNE Veronique (ENTREPRISE)"/>
    <s v="FR"/>
    <n v="0"/>
    <n v="0"/>
    <n v="0"/>
    <n v="0"/>
    <n v="57.559999999999995"/>
    <n v="0"/>
    <n v="0"/>
    <n v="0"/>
    <n v="57.559999999999995"/>
    <n v="57.559999999999995"/>
    <n v="1"/>
  </r>
  <r>
    <x v="2"/>
    <s v="F2605015081"/>
    <s v="EXP20260518-2751236"/>
    <s v="26A050464252"/>
    <s v="GALERIE K PARIS KOYAMA TATSUYA (ENTREPRISE)"/>
    <s v="FR"/>
    <n v="0"/>
    <n v="7"/>
    <n v="0"/>
    <n v="0"/>
    <n v="37.049999999999997"/>
    <n v="0"/>
    <n v="0"/>
    <n v="0"/>
    <n v="44.05"/>
    <n v="44.05"/>
    <n v="1"/>
  </r>
  <r>
    <x v="2"/>
    <s v="F2605015081"/>
    <s v="EXP20260518-2751276"/>
    <s v="26A050464284"/>
    <s v="EARL OSTERTAG-HURLIMANN HURLIMANN S (ENTREPRISE)"/>
    <s v="FR"/>
    <n v="0"/>
    <n v="0"/>
    <n v="0"/>
    <n v="0"/>
    <n v="37.53"/>
    <n v="0"/>
    <n v="0"/>
    <n v="0"/>
    <n v="37.53"/>
    <n v="37.53"/>
    <n v="1"/>
  </r>
  <r>
    <x v="2"/>
    <s v="F2605015081"/>
    <s v="EXP20260518-2751277"/>
    <s v="26A050464262"/>
    <s v="DOMAINE DE BELLIVIERE"/>
    <s v="FR"/>
    <n v="0"/>
    <n v="0"/>
    <n v="0"/>
    <n v="0"/>
    <n v="36.119999999999997"/>
    <n v="0"/>
    <n v="0"/>
    <n v="0"/>
    <n v="36.119999999999997"/>
    <n v="36.119999999999997"/>
    <n v="1"/>
  </r>
  <r>
    <x v="2"/>
    <s v="F2605015081"/>
    <s v="EXP20260518-2751465"/>
    <s v="26A050464268"/>
    <s v="BWC MEDIA V2VIN Service Expedition (ENTREPRISE)"/>
    <s v="FR"/>
    <n v="0"/>
    <n v="0"/>
    <n v="0"/>
    <n v="0"/>
    <n v="223.92999999999998"/>
    <n v="0"/>
    <n v="0"/>
    <n v="0"/>
    <n v="223.92999999999998"/>
    <n v="223.92999999999998"/>
    <n v="3"/>
  </r>
  <r>
    <x v="2"/>
    <s v="F2605015081"/>
    <s v="EXP20260518-2751551"/>
    <s v="26A050464236"/>
    <s v="EARL PHILIPPE VERZIER"/>
    <s v="FR"/>
    <n v="0"/>
    <n v="0"/>
    <n v="0"/>
    <n v="0"/>
    <n v="93.350000000000009"/>
    <n v="0"/>
    <n v="0"/>
    <n v="0"/>
    <n v="93.350000000000009"/>
    <n v="93.350000000000009"/>
    <n v="2"/>
  </r>
  <r>
    <x v="2"/>
    <s v="F2605015081"/>
    <s v="EXP20260518-2751851"/>
    <s v="26A050464265"/>
    <s v="CLOS LABREE Thomas PISSONDES (ENTREPRISE)"/>
    <s v="FR"/>
    <n v="0"/>
    <n v="0"/>
    <n v="0"/>
    <n v="0"/>
    <n v="75.390000000000015"/>
    <n v="0"/>
    <n v="0"/>
    <n v="0"/>
    <n v="75.390000000000015"/>
    <n v="75.390000000000015"/>
    <n v="1"/>
  </r>
  <r>
    <x v="5"/>
    <s v="F2605015081"/>
    <s v="EXP20260518-2751855"/>
    <s v="26A050522066"/>
    <s v="PHARMACIE TERRASSES DU PORT PHARMAC (ENTREPRISE)"/>
    <s v="FR"/>
    <n v="0"/>
    <n v="7"/>
    <n v="0"/>
    <n v="0"/>
    <n v="53.999999999999993"/>
    <n v="0"/>
    <n v="0"/>
    <n v="0"/>
    <n v="60.999999999999993"/>
    <n v="60.999999999999993"/>
    <n v="1"/>
  </r>
  <r>
    <x v="2"/>
    <s v="F2605015081"/>
    <s v="EXP20260518-2751960"/>
    <s v="26A050464241"/>
    <s v="SCEA Chateau La Sable Virginie MERC (ENTREPRISE)"/>
    <s v="FR"/>
    <n v="0"/>
    <n v="0"/>
    <n v="0"/>
    <n v="0"/>
    <n v="186.54"/>
    <n v="0"/>
    <n v="0"/>
    <n v="0"/>
    <n v="186.54"/>
    <n v="186.54"/>
    <n v="3"/>
  </r>
  <r>
    <x v="2"/>
    <s v="F2605015081"/>
    <s v="EXP20260519-2752478"/>
    <s v="26A050464307"/>
    <s v="SAS le Pavone Maxime FERNANDEZ (ENTREPRISE)"/>
    <s v="FR"/>
    <n v="0"/>
    <n v="0"/>
    <n v="0"/>
    <n v="0"/>
    <n v="33.85"/>
    <n v="0"/>
    <n v="0"/>
    <n v="0"/>
    <n v="33.85"/>
    <n v="33.85"/>
    <n v="1"/>
  </r>
  <r>
    <x v="2"/>
    <s v="F2605015081"/>
    <s v="EXP20260519-2752537"/>
    <s v="26A050464280"/>
    <s v="EARL VIGNOBLES CARREAU Oriane CARRE (ENTREPRISE)"/>
    <s v="FR"/>
    <n v="0"/>
    <n v="0"/>
    <n v="0"/>
    <n v="0"/>
    <n v="41.66"/>
    <n v="0"/>
    <n v="0"/>
    <n v="0"/>
    <n v="41.66"/>
    <n v="41.66"/>
    <n v="1"/>
  </r>
  <r>
    <x v="2"/>
    <s v="F2605015081"/>
    <s v="EXP20260519-2752538"/>
    <s v="26A050464248"/>
    <s v="Cellier et Fils Catherine CELLIER (ENTREPRISE)"/>
    <s v="FR"/>
    <n v="0"/>
    <n v="0"/>
    <n v="0"/>
    <n v="0"/>
    <n v="37.94"/>
    <n v="0"/>
    <n v="0"/>
    <n v="0"/>
    <n v="37.94"/>
    <n v="37.94"/>
    <n v="1"/>
  </r>
  <r>
    <x v="2"/>
    <s v="F2605015081"/>
    <s v="EXP20260519-2752605"/>
    <s v="26A050464298"/>
    <s v="VAM.FR Alain CEVEY (ENTREPRISE)"/>
    <s v="FR"/>
    <n v="0"/>
    <n v="0"/>
    <n v="0"/>
    <n v="0"/>
    <n v="25.65"/>
    <n v="0"/>
    <n v="0"/>
    <n v="0"/>
    <n v="25.65"/>
    <n v="25.65"/>
    <n v="1"/>
  </r>
  <r>
    <x v="2"/>
    <s v="F2605015081"/>
    <s v="EXP20260519-2752671"/>
    <s v="26A050464256"/>
    <s v="EARL CHATEAU DE COULAINE Jean de BO (ENTREPRISE)"/>
    <s v="FR"/>
    <n v="0"/>
    <n v="0"/>
    <n v="0"/>
    <n v="0"/>
    <n v="56.22"/>
    <n v="0"/>
    <n v="0"/>
    <n v="0"/>
    <n v="56.22"/>
    <n v="56.22"/>
    <n v="1"/>
  </r>
  <r>
    <x v="2"/>
    <s v="F2605015081"/>
    <s v="EXP20260519-2752863"/>
    <s v="26A050464259"/>
    <s v="Domaine Michel MALLARD Mallard Patr (ENTREPRISE)"/>
    <s v="FR"/>
    <n v="0"/>
    <n v="0"/>
    <n v="0"/>
    <n v="0"/>
    <n v="23.36"/>
    <n v="0"/>
    <n v="0"/>
    <n v="0"/>
    <n v="23.36"/>
    <n v="23.36"/>
    <n v="1"/>
  </r>
  <r>
    <x v="2"/>
    <s v="F2605015081"/>
    <s v="EXP20260519-2752864"/>
    <s v="26A050464244"/>
    <s v="CAVE DE CHAZ"/>
    <s v="FR"/>
    <n v="0"/>
    <n v="0"/>
    <n v="0"/>
    <n v="0"/>
    <n v="48.43"/>
    <n v="0"/>
    <n v="0"/>
    <n v="0"/>
    <n v="48.43"/>
    <n v="48.43"/>
    <n v="1"/>
  </r>
  <r>
    <x v="2"/>
    <s v="F2605015081"/>
    <s v="EXP20260519-2752866"/>
    <s v="26A050522068"/>
    <s v="SARL JOLIS CRUS JABOT Martin (ENTREPRISE)"/>
    <s v="FR"/>
    <n v="0"/>
    <n v="0"/>
    <n v="0"/>
    <n v="0"/>
    <n v="157.23000000000002"/>
    <n v="0"/>
    <n v="0"/>
    <n v="0"/>
    <n v="157.23000000000002"/>
    <n v="157.23000000000002"/>
    <n v="2"/>
  </r>
  <r>
    <x v="2"/>
    <s v="F2605015081"/>
    <s v="EXP20260519-2753226"/>
    <s v="26A050522062"/>
    <s v="CHATEAU DE CHAUSSE CAUDRON LIONEL (ENTREPRISE)"/>
    <s v="FR"/>
    <n v="0"/>
    <n v="0"/>
    <n v="0"/>
    <n v="0"/>
    <n v="48.39"/>
    <n v="0"/>
    <n v="0"/>
    <n v="0"/>
    <n v="48.39"/>
    <n v="48.39"/>
    <n v="1"/>
  </r>
  <r>
    <x v="2"/>
    <s v="F2605015081"/>
    <s v="EXP20260519-2753467"/>
    <s v="26A050522064"/>
    <s v="DOMAINE ST ANDRE"/>
    <s v="FR"/>
    <n v="0"/>
    <n v="0"/>
    <n v="0"/>
    <n v="0"/>
    <n v="200.33"/>
    <n v="0"/>
    <n v="0"/>
    <n v="0"/>
    <n v="200.33"/>
    <n v="200.33"/>
    <n v="3"/>
  </r>
  <r>
    <x v="2"/>
    <s v="F2605015081"/>
    <s v="EXP20260520-2754095"/>
    <s v="26A050522057"/>
    <s v="SCEV DOMAINE JOBLOT SARKIS HELENE (ENTREPRISE)"/>
    <s v="FR"/>
    <n v="0"/>
    <n v="0"/>
    <n v="0"/>
    <n v="0"/>
    <n v="75.73"/>
    <n v="0"/>
    <n v="0"/>
    <n v="0"/>
    <n v="75.73"/>
    <n v="75.73"/>
    <n v="2"/>
  </r>
  <r>
    <x v="2"/>
    <s v="F2605015081"/>
    <s v="EXP20260520-2754457"/>
    <s v="26A050522060"/>
    <s v="SCEA MONTEMAGNI SCEA MONTEMAGNI TRA (ENTREPRISE)"/>
    <s v="FR"/>
    <n v="0"/>
    <n v="7"/>
    <n v="0"/>
    <n v="0"/>
    <n v="141.85000000000002"/>
    <n v="0"/>
    <n v="0"/>
    <n v="0"/>
    <n v="148.85000000000002"/>
    <n v="148.85000000000002"/>
    <n v="2"/>
  </r>
  <r>
    <x v="5"/>
    <s v="F2605015081"/>
    <s v="EXP20260520-2754791"/>
    <s v="26A050620828"/>
    <s v="CHI DIVINE COSMETIC Chi divine cosm (ENTREPRISE)"/>
    <s v="FR"/>
    <n v="0"/>
    <n v="0"/>
    <n v="0"/>
    <n v="0"/>
    <n v="158.09"/>
    <n v="0"/>
    <n v="0"/>
    <n v="0"/>
    <n v="158.09"/>
    <n v="158.09"/>
    <n v="3"/>
  </r>
  <r>
    <x v="2"/>
    <s v="F2605015081"/>
    <s v="EXP20260520-2754850"/>
    <s v="26A050571787"/>
    <s v="SAS FOSSE-SECHE ADRIEN PIRE (ENTREPRISE)"/>
    <s v="FR"/>
    <n v="0"/>
    <n v="0"/>
    <n v="0"/>
    <n v="0"/>
    <n v="46.64"/>
    <n v="0"/>
    <n v="0"/>
    <n v="0"/>
    <n v="46.64"/>
    <n v="46.64"/>
    <n v="1"/>
  </r>
  <r>
    <x v="5"/>
    <s v="F2605015081"/>
    <s v="EXP20260520-2755032"/>
    <s v="26A050571779"/>
    <s v="MAKARI DE SUISSE DERMOROYALCLAIR (ENTREPRISE)"/>
    <s v="FR"/>
    <n v="0"/>
    <n v="7"/>
    <n v="0"/>
    <n v="0"/>
    <n v="42.37"/>
    <n v="0"/>
    <n v="0"/>
    <n v="0"/>
    <n v="49.37"/>
    <n v="49.37"/>
    <n v="1"/>
  </r>
  <r>
    <x v="2"/>
    <s v="F2605015081"/>
    <s v="EXP20260521-2755734"/>
    <s v="26A050571781"/>
    <s v="SAS Sorian Selection . 2 Gabriel Gr (ENTREPRISE)"/>
    <s v="FR"/>
    <n v="0"/>
    <n v="0"/>
    <n v="0"/>
    <n v="0"/>
    <n v="72.540000000000006"/>
    <n v="0"/>
    <n v="0"/>
    <n v="0"/>
    <n v="72.540000000000006"/>
    <n v="72.540000000000006"/>
    <n v="1"/>
  </r>
  <r>
    <x v="2"/>
    <s v="F2605015081"/>
    <s v="EXP20260521-2755735"/>
    <s v="26A050571784"/>
    <s v="Chateau Pin Beausoleil SCEA Mivida) (ENTREPRISE)"/>
    <s v="FR"/>
    <n v="0"/>
    <n v="0"/>
    <n v="0"/>
    <n v="0"/>
    <n v="64.03"/>
    <n v="0"/>
    <n v="0"/>
    <n v="0"/>
    <n v="64.03"/>
    <n v="64.03"/>
    <n v="1"/>
  </r>
  <r>
    <x v="2"/>
    <s v="F2605015081"/>
    <s v="EXP20260521-2755787"/>
    <s v="26A050571792"/>
    <s v="Domaine Donadille Nathalie LENOIR (ENTREPRISE)"/>
    <s v="FR"/>
    <n v="0"/>
    <n v="0"/>
    <n v="0"/>
    <n v="0"/>
    <n v="55.71"/>
    <n v="0"/>
    <n v="0"/>
    <n v="0"/>
    <n v="55.71"/>
    <n v="55.71"/>
    <n v="1"/>
  </r>
  <r>
    <x v="2"/>
    <s v="F2605015081"/>
    <s v="EXP20260521-2756228"/>
    <s v="26A050620820"/>
    <s v="Domaine NAUDIN FERRAND Julie BERTHE (ENTREPRISE)"/>
    <s v="FR"/>
    <n v="0"/>
    <n v="0"/>
    <n v="0"/>
    <n v="0"/>
    <n v="25.82"/>
    <n v="0"/>
    <n v="0"/>
    <n v="0"/>
    <n v="25.82"/>
    <n v="25.82"/>
    <n v="1"/>
  </r>
  <r>
    <x v="2"/>
    <s v="F2605015081"/>
    <s v="EXP20260521-2756425"/>
    <s v="26A050620835"/>
    <s v="Vignoble Cogne COGNE Stephanie (ENTREPRISE)"/>
    <s v="FR"/>
    <n v="0"/>
    <n v="0"/>
    <n v="0"/>
    <n v="0"/>
    <n v="45.18"/>
    <n v="0"/>
    <n v="0"/>
    <n v="0"/>
    <n v="45.18"/>
    <n v="45.18"/>
    <n v="1"/>
  </r>
  <r>
    <x v="2"/>
    <s v="F2605015081"/>
    <s v="EXP20260522-2756950"/>
    <s v="26A050620843"/>
    <s v="EURL CONTENOT Noemie CONTENOT (ENTREPRISE)"/>
    <s v="FR"/>
    <n v="0"/>
    <n v="0"/>
    <n v="0"/>
    <n v="0"/>
    <n v="39.78"/>
    <n v="0"/>
    <n v="0"/>
    <n v="0"/>
    <n v="39.78"/>
    <n v="39.78"/>
    <n v="1"/>
  </r>
  <r>
    <x v="2"/>
    <s v="F2605015081"/>
    <s v="EXP20260522-2757101"/>
    <s v="26A050620839"/>
    <s v="LES VIGNOBLES DU SUD BAYLE Melanie (ENTREPRISE)"/>
    <s v="FR"/>
    <n v="0"/>
    <n v="0"/>
    <n v="0"/>
    <n v="0"/>
    <n v="46.64"/>
    <n v="0"/>
    <n v="0"/>
    <n v="0"/>
    <n v="46.64"/>
    <n v="46.64"/>
    <n v="1"/>
  </r>
  <r>
    <x v="2"/>
    <s v="F2605015081"/>
    <s v="EXP20260522-2757193"/>
    <s v="26A050620826"/>
    <s v="EARL PAILLOCHER Bruno Anne PAILLOCH (ENTREPRISE)"/>
    <s v="FR"/>
    <n v="0"/>
    <n v="0"/>
    <n v="0"/>
    <n v="0"/>
    <n v="29.509999999999998"/>
    <n v="0"/>
    <n v="0"/>
    <n v="0"/>
    <n v="29.509999999999998"/>
    <n v="29.509999999999998"/>
    <n v="1"/>
  </r>
  <r>
    <x v="2"/>
    <s v="F2605015081"/>
    <s v="EXP20260522-2757194"/>
    <s v="26A050620832"/>
    <s v="VIGNERONS DE TUTIAC"/>
    <s v="FR"/>
    <n v="0"/>
    <n v="0"/>
    <n v="0"/>
    <n v="0"/>
    <n v="49.06"/>
    <n v="0"/>
    <n v="0"/>
    <n v="0"/>
    <n v="49.06"/>
    <n v="49.06"/>
    <n v="1"/>
  </r>
  <r>
    <x v="2"/>
    <s v="F2605015081"/>
    <s v="EXP20260522-2757272"/>
    <s v="26A050620816"/>
    <s v="LES VIGNERONS DE TAVEL ET LIRAC JUL (ENTREPRISE)"/>
    <s v="FR"/>
    <n v="0"/>
    <n v="0"/>
    <n v="0"/>
    <n v="0"/>
    <n v="140.22999999999999"/>
    <n v="0"/>
    <n v="0"/>
    <n v="0"/>
    <n v="140.22999999999999"/>
    <n v="140.22999999999999"/>
    <n v="2"/>
  </r>
  <r>
    <x v="2"/>
    <s v="F2605015081"/>
    <s v="EXP20260522-2757273"/>
    <s v="26A050620824"/>
    <s v="LES VIGNERONS DE TAVEL ET LIRAC JUL (ENTREPRISE)"/>
    <s v="FR"/>
    <n v="0"/>
    <n v="0"/>
    <n v="0"/>
    <n v="0"/>
    <n v="140.22999999999999"/>
    <n v="0"/>
    <n v="0"/>
    <n v="0"/>
    <n v="140.22999999999999"/>
    <n v="140.22999999999999"/>
    <n v="2"/>
  </r>
  <r>
    <x v="7"/>
    <s v="F2605015081"/>
    <s v="EXP20260522-2757328"/>
    <s v="26A050620823"/>
    <s v="LIVRAISON BETTER CALL JULIA POLLEN (ENTREPRISE)"/>
    <s v="FR"/>
    <n v="0"/>
    <n v="0"/>
    <n v="0"/>
    <n v="0"/>
    <n v="85.88000000000001"/>
    <n v="0"/>
    <n v="0"/>
    <n v="0"/>
    <n v="85.88000000000001"/>
    <n v="85.88000000000001"/>
    <n v="1"/>
  </r>
  <r>
    <x v="2"/>
    <s v="F2605015081"/>
    <s v="EXP20260522-2758211"/>
    <s v="26A050674495"/>
    <s v="DOMAINE DEFAIX ALEXANDRE DE OLIVEIR (ENTREPRISE)"/>
    <s v="FR"/>
    <n v="0"/>
    <n v="0"/>
    <n v="0"/>
    <n v="0"/>
    <n v="24.09"/>
    <n v="0"/>
    <n v="0"/>
    <n v="0"/>
    <n v="24.09"/>
    <n v="24.09"/>
    <n v="1"/>
  </r>
  <r>
    <x v="2"/>
    <s v="F2605015081"/>
    <s v="EXP20260523-2758951"/>
    <s v="26A050674489"/>
    <s v="EARL le Chat des Sources Stephane C (ENTREPRISE)"/>
    <s v="FR"/>
    <n v="0"/>
    <n v="0"/>
    <n v="0"/>
    <n v="0"/>
    <n v="48.21"/>
    <n v="0"/>
    <n v="0"/>
    <n v="0"/>
    <n v="48.21"/>
    <n v="48.21"/>
    <n v="1"/>
  </r>
  <r>
    <x v="2"/>
    <s v="F2605015081"/>
    <s v="EXP20260523-2758971"/>
    <s v="26A050674501"/>
    <s v="SARL Grand Mayne SICARD Coline coli (ENTREPRISE)"/>
    <s v="FR"/>
    <n v="0"/>
    <n v="0"/>
    <n v="0"/>
    <n v="0"/>
    <n v="38.089999999999996"/>
    <n v="0"/>
    <n v="0"/>
    <n v="0"/>
    <n v="38.089999999999996"/>
    <n v="38.089999999999996"/>
    <n v="1"/>
  </r>
  <r>
    <x v="2"/>
    <s v="F2605015081"/>
    <s v="EXP20260523-2759144"/>
    <s v="26A050674504"/>
    <s v="SARL LA COMMANDERIE DU JURANCON JEA (ENTREPRISE)"/>
    <s v="FR"/>
    <n v="0"/>
    <n v="0"/>
    <n v="0"/>
    <n v="0"/>
    <n v="199.44000000000003"/>
    <n v="0"/>
    <n v="0"/>
    <n v="0"/>
    <n v="199.44000000000003"/>
    <n v="199.44000000000003"/>
    <n v="2"/>
  </r>
  <r>
    <x v="2"/>
    <s v="F2605015081"/>
    <s v="EXP20260524-2760256"/>
    <s v="26A050674494"/>
    <s v="EARL DUMAS PIERRE-ANDRE Pierre-Andr (ENTREPRISE)"/>
    <s v="FR"/>
    <n v="0"/>
    <n v="0"/>
    <n v="0"/>
    <n v="0"/>
    <n v="43.019999999999996"/>
    <n v="0"/>
    <n v="0"/>
    <n v="0"/>
    <n v="43.019999999999996"/>
    <n v="43.019999999999996"/>
    <n v="1"/>
  </r>
  <r>
    <x v="2"/>
    <s v="F2605015081"/>
    <s v="EXP20260525-2761112"/>
    <s v="26A050674498"/>
    <s v="SARL BONNIGAL BODET Jean-Baptiste B (ENTREPRISE)"/>
    <s v="FR"/>
    <n v="0"/>
    <n v="0"/>
    <n v="0"/>
    <n v="0"/>
    <n v="26.56"/>
    <n v="0"/>
    <n v="0"/>
    <n v="0"/>
    <n v="26.56"/>
    <n v="26.56"/>
    <n v="1"/>
  </r>
  <r>
    <x v="2"/>
    <s v="F2605015081"/>
    <s v="EXP20260526-2763028"/>
    <s v="26A050674475"/>
    <s v="EARL DE LA TOUR ROUGE Gilles GREMEN (ENTREPRISE)"/>
    <s v="FR"/>
    <n v="0"/>
    <n v="0"/>
    <n v="0"/>
    <n v="0"/>
    <n v="42.29"/>
    <n v="0"/>
    <n v="0"/>
    <n v="0"/>
    <n v="42.29"/>
    <n v="42.29"/>
    <n v="1"/>
  </r>
  <r>
    <x v="2"/>
    <s v="F2605015081"/>
    <s v="EXP20260526-2763051"/>
    <s v="26A050674481"/>
    <s v="SAS MAISON BRUYERE ET DAVID SYLVAIN (ENTREPRISE)"/>
    <s v="FR"/>
    <n v="0"/>
    <n v="0"/>
    <n v="0"/>
    <n v="0"/>
    <n v="25.709999999999997"/>
    <n v="0"/>
    <n v="0"/>
    <n v="0"/>
    <n v="25.709999999999997"/>
    <n v="25.709999999999997"/>
    <n v="1"/>
  </r>
  <r>
    <x v="2"/>
    <s v="F2605015081"/>
    <s v="EXP20260526-2763154"/>
    <s v="26A050674485"/>
    <s v="EPICUREANS SPIRIT PEROT Gael (ENTREPRISE)"/>
    <s v="FR"/>
    <n v="0"/>
    <n v="0"/>
    <n v="0"/>
    <n v="0"/>
    <n v="125.64"/>
    <n v="0"/>
    <n v="0"/>
    <n v="0"/>
    <n v="125.64"/>
    <n v="125.64"/>
    <n v="2"/>
  </r>
  <r>
    <x v="2"/>
    <s v="F2605015081"/>
    <s v="EXP20260526-2763221"/>
    <s v="26A050674479"/>
    <s v="MAILING EXPRESS Philippe DOMMERGUE (ENTREPRISE)"/>
    <s v="FR"/>
    <n v="0"/>
    <n v="0"/>
    <n v="0"/>
    <n v="0"/>
    <n v="50.86"/>
    <n v="0"/>
    <n v="0"/>
    <n v="0"/>
    <n v="50.86"/>
    <n v="50.86"/>
    <n v="1"/>
  </r>
  <r>
    <x v="2"/>
    <s v="F2605015081"/>
    <s v="EXP20260526-2763514"/>
    <s v="26A050674507"/>
    <s v="DOMAINE D'EOLE"/>
    <s v="FR"/>
    <n v="0"/>
    <n v="0"/>
    <n v="0"/>
    <n v="0"/>
    <n v="56.339999999999996"/>
    <n v="0"/>
    <n v="0"/>
    <n v="0"/>
    <n v="56.339999999999996"/>
    <n v="56.339999999999996"/>
    <n v="1"/>
  </r>
  <r>
    <x v="2"/>
    <s v="F2605015081"/>
    <s v="EXP20260526-2763621"/>
    <s v="26A050674486"/>
    <s v="SAGET "/>
    <s v="FR"/>
    <n v="0"/>
    <n v="0"/>
    <n v="0"/>
    <n v="0"/>
    <n v="29.33"/>
    <n v="0"/>
    <n v="0"/>
    <n v="0"/>
    <n v="29.33"/>
    <n v="29.33"/>
    <n v="1"/>
  </r>
  <r>
    <x v="2"/>
    <s v="F2605015081"/>
    <s v="EXP20260526-2763622"/>
    <s v="26A050674483"/>
    <s v="MAS DE LA DAME MISSOFFE CAROLINE (ENTREPRISE)"/>
    <s v="FR"/>
    <n v="0"/>
    <n v="0"/>
    <n v="0"/>
    <n v="0"/>
    <n v="48.98"/>
    <n v="0"/>
    <n v="0"/>
    <n v="0"/>
    <n v="48.98"/>
    <n v="48.98"/>
    <n v="1"/>
  </r>
  <r>
    <x v="2"/>
    <s v="F2605015081"/>
    <s v="EXP20260526-2763679"/>
    <s v="26A050674492"/>
    <s v="La Bastide des Terres Blanches Alai (ENTREPRISE)"/>
    <s v="FR"/>
    <n v="0"/>
    <n v="0"/>
    <n v="0"/>
    <n v="0"/>
    <n v="46.68"/>
    <n v="0"/>
    <n v="0"/>
    <n v="0"/>
    <n v="46.68"/>
    <n v="46.68"/>
    <n v="1"/>
  </r>
  <r>
    <x v="2"/>
    <s v="F2605015081"/>
    <s v="EXP20260526-2763739"/>
    <s v="26A050729932"/>
    <s v="SC CHATEAU D'ARSAC BRISSON Amandine (ENTREPRISE)"/>
    <s v="FR"/>
    <n v="0"/>
    <n v="0"/>
    <n v="0"/>
    <n v="0"/>
    <n v="50.85"/>
    <n v="0"/>
    <n v="0"/>
    <n v="0"/>
    <n v="50.85"/>
    <n v="50.85"/>
    <n v="1"/>
  </r>
  <r>
    <x v="2"/>
    <s v="F2605015081"/>
    <s v="EXP20260526-2763854"/>
    <s v="26A050786127"/>
    <s v="COSTE  Philippe COSTE Philippe COST (ENTREPRISE)"/>
    <s v="FR"/>
    <n v="0"/>
    <n v="0"/>
    <n v="0"/>
    <n v="0"/>
    <n v="47.699999999999996"/>
    <n v="0"/>
    <n v="0"/>
    <n v="0"/>
    <n v="47.699999999999996"/>
    <n v="47.699999999999996"/>
    <n v="1"/>
  </r>
  <r>
    <x v="2"/>
    <s v="F2605015081"/>
    <s v="EXP20260526-2763855"/>
    <s v="26A050729915"/>
    <s v="EI MARIE MENOUX Marie MENOUX (ENTREPRISE)"/>
    <s v="FR"/>
    <n v="0"/>
    <n v="0"/>
    <n v="0"/>
    <n v="0"/>
    <n v="26.34"/>
    <n v="0"/>
    <n v="0"/>
    <n v="0"/>
    <n v="26.34"/>
    <n v="26.34"/>
    <n v="1"/>
  </r>
  <r>
    <x v="2"/>
    <s v="F2605015081"/>
    <s v="EXP20260526-2764024"/>
    <s v="26A050729927"/>
    <s v="SARL COGNAC CHOLLET CHOLLET Christo (ENTREPRISE)"/>
    <s v="FR"/>
    <n v="0"/>
    <n v="0"/>
    <n v="0"/>
    <n v="0"/>
    <n v="125.64"/>
    <n v="0"/>
    <n v="0"/>
    <n v="0"/>
    <n v="125.64"/>
    <n v="125.64"/>
    <n v="2"/>
  </r>
  <r>
    <x v="2"/>
    <s v="F2605015081"/>
    <s v="EXP20260526-2764076"/>
    <s v="26A050729912"/>
    <s v="SCA LA COURTOISE Gilles VEVE (ENTREPRISE)"/>
    <s v="FR"/>
    <n v="0"/>
    <n v="0"/>
    <n v="0"/>
    <n v="0"/>
    <n v="49.79"/>
    <n v="0"/>
    <n v="0"/>
    <n v="0"/>
    <n v="49.79"/>
    <n v="49.79"/>
    <n v="1"/>
  </r>
  <r>
    <x v="2"/>
    <s v="F2605015081"/>
    <s v="EXP20260526-2764333"/>
    <s v="26A050729919"/>
    <s v="SCEA JEROME BRETAUDEAU Jerome BRETA (ENTREPRISE)"/>
    <s v="FR"/>
    <n v="0"/>
    <n v="0"/>
    <n v="0"/>
    <n v="0"/>
    <n v="169.3"/>
    <n v="0"/>
    <n v="0"/>
    <n v="0"/>
    <n v="169.3"/>
    <n v="169.3"/>
    <n v="2"/>
  </r>
  <r>
    <x v="2"/>
    <s v="F2605015081"/>
    <s v="EXP20260526-2764850"/>
    <s v="26A050729923"/>
    <s v="SCEA LEFOULON LEFOULON Patrick (ENTREPRISE)"/>
    <s v="FR"/>
    <n v="0"/>
    <n v="0"/>
    <n v="0"/>
    <n v="0"/>
    <n v="125.64"/>
    <n v="0"/>
    <n v="0"/>
    <n v="0"/>
    <n v="125.64"/>
    <n v="125.64"/>
    <n v="2"/>
  </r>
  <r>
    <x v="2"/>
    <s v="F2605015081"/>
    <s v="EXP20260527-2765435"/>
    <s v="26A050786133"/>
    <s v="Domaine PY Jean-Pierre PY (ENTREPRISE)"/>
    <s v="FR"/>
    <n v="0"/>
    <n v="0"/>
    <n v="0"/>
    <n v="0"/>
    <n v="55.86"/>
    <n v="0"/>
    <n v="0"/>
    <n v="0"/>
    <n v="55.86"/>
    <n v="55.86"/>
    <n v="1"/>
  </r>
  <r>
    <x v="2"/>
    <s v="F2605015081"/>
    <s v="EXP20260527-2765494"/>
    <s v="26A050786123"/>
    <s v="Domaine La Louviere KLAUS GROHE (ENTREPRISE)"/>
    <s v="FR"/>
    <n v="0"/>
    <n v="0"/>
    <n v="0"/>
    <n v="0"/>
    <n v="156.80000000000001"/>
    <n v="0"/>
    <n v="0"/>
    <n v="0"/>
    <n v="156.80000000000001"/>
    <n v="156.80000000000001"/>
    <n v="2"/>
  </r>
  <r>
    <x v="2"/>
    <s v="F2605015081"/>
    <s v="EXP20260527-2765771"/>
    <s v="26A050786131"/>
    <s v="Domaine Jean David Jean-Luc AUFFRET (ENTREPRISE)"/>
    <s v="FR"/>
    <n v="0"/>
    <n v="0"/>
    <n v="0"/>
    <n v="0"/>
    <n v="134.85"/>
    <n v="0"/>
    <n v="0"/>
    <n v="0"/>
    <n v="134.85"/>
    <n v="134.85"/>
    <n v="2"/>
  </r>
  <r>
    <x v="2"/>
    <s v="F2605015081"/>
    <s v="EXP20260527-2765987"/>
    <s v="26A050786129"/>
    <s v="PARTITOR Sebastien LABAILS (ENTREPRISE)"/>
    <s v="FR"/>
    <n v="0"/>
    <n v="0"/>
    <n v="0"/>
    <n v="0"/>
    <n v="49.06"/>
    <n v="0"/>
    <n v="0"/>
    <n v="0"/>
    <n v="49.06"/>
    <n v="49.06"/>
    <n v="1"/>
  </r>
  <r>
    <x v="2"/>
    <s v="F2605015081"/>
    <s v="EXP20260527-2766165"/>
    <s v="26A050786126"/>
    <s v="LES COTEAUX DU MINERVOIS"/>
    <s v="FR"/>
    <n v="0"/>
    <n v="0"/>
    <n v="0"/>
    <n v="0"/>
    <n v="47.699999999999996"/>
    <n v="0"/>
    <n v="0"/>
    <n v="0"/>
    <n v="47.699999999999996"/>
    <n v="47.699999999999996"/>
    <n v="1"/>
  </r>
  <r>
    <x v="2"/>
    <s v="F2605015081"/>
    <s v="EXP20260528-2767585"/>
    <s v="26A050786124"/>
    <s v="SAS des Gunes Frederic MORLIER (ENTREPRISE)"/>
    <s v="FR"/>
    <n v="0"/>
    <n v="0"/>
    <n v="0"/>
    <n v="0"/>
    <n v="50.85"/>
    <n v="0"/>
    <n v="0"/>
    <n v="0"/>
    <n v="50.85"/>
    <n v="50.85"/>
    <n v="1"/>
  </r>
  <r>
    <x v="2"/>
    <s v="F2605015081"/>
    <s v="EXP20260528-2767679"/>
    <s v="26A050838093"/>
    <s v="SAS Vignobles Arconian ARCONIAN Rom (ENTREPRISE)"/>
    <s v="FR"/>
    <n v="0"/>
    <n v="0"/>
    <n v="0"/>
    <n v="0"/>
    <n v="55.639999999999993"/>
    <n v="0"/>
    <n v="0"/>
    <n v="0"/>
    <n v="55.639999999999993"/>
    <n v="55.639999999999993"/>
    <n v="1"/>
  </r>
  <r>
    <x v="2"/>
    <s v="F2605015081"/>
    <s v="EXP20260528-2767754"/>
    <s v="26A050786125"/>
    <s v="EARL CHATAGNIER Aurelien CHATAGNIER (ENTREPRISE)"/>
    <s v="FR"/>
    <n v="0"/>
    <n v="0"/>
    <n v="0"/>
    <n v="0"/>
    <n v="32.729999999999997"/>
    <n v="0"/>
    <n v="0"/>
    <n v="0"/>
    <n v="32.729999999999997"/>
    <n v="32.729999999999997"/>
    <n v="1"/>
  </r>
  <r>
    <x v="2"/>
    <s v="F2605015081"/>
    <s v="EXP20260528-2767755"/>
    <s v="26A050786121"/>
    <s v="CAVES DU ROUSSILLON"/>
    <s v="FR"/>
    <n v="0"/>
    <n v="0"/>
    <n v="0"/>
    <n v="0"/>
    <n v="48.75"/>
    <n v="0"/>
    <n v="0"/>
    <n v="0"/>
    <n v="48.75"/>
    <n v="48.75"/>
    <n v="1"/>
  </r>
  <r>
    <x v="2"/>
    <s v="F2605015081"/>
    <s v="EXP20260528-2767876"/>
    <s v="26A050838085"/>
    <s v="DOMAINE BERTHET-BONDET Helene Berth (ENTREPRISE)"/>
    <s v="FR"/>
    <n v="0"/>
    <n v="0"/>
    <n v="0"/>
    <n v="0"/>
    <n v="41.14"/>
    <n v="0"/>
    <n v="0"/>
    <n v="0"/>
    <n v="41.14"/>
    <n v="41.14"/>
    <n v="1"/>
  </r>
  <r>
    <x v="2"/>
    <s v="F2605015081"/>
    <s v="EXP20260528-2768214"/>
    <s v="26A050838094"/>
    <s v="SCEA Vignobles MOUTY Sabine MOUTY (ENTREPRISE)"/>
    <s v="FR"/>
    <n v="0"/>
    <n v="0"/>
    <n v="0"/>
    <n v="0"/>
    <n v="64.03"/>
    <n v="0"/>
    <n v="0"/>
    <n v="0"/>
    <n v="64.03"/>
    <n v="64.03"/>
    <n v="1"/>
  </r>
  <r>
    <x v="2"/>
    <s v="F2605015081"/>
    <s v="EXP20260528-2768261"/>
    <s v="26A050838108"/>
    <s v="SCEA GOUR DE CHAULE FUMOSO Stephani (ENTREPRISE)"/>
    <s v="FR"/>
    <n v="0"/>
    <n v="0"/>
    <n v="0"/>
    <n v="0"/>
    <n v="41.66"/>
    <n v="0"/>
    <n v="0"/>
    <n v="0"/>
    <n v="41.66"/>
    <n v="41.66"/>
    <n v="1"/>
  </r>
  <r>
    <x v="2"/>
    <s v="F2605015081"/>
    <s v="EXP20260528-2768468"/>
    <s v="26A050838101"/>
    <s v="SAS RICHAUD MARCEL RICHAUD (ENTREPRISE)"/>
    <s v="FR"/>
    <n v="0"/>
    <n v="0"/>
    <n v="0"/>
    <n v="0"/>
    <n v="134.85"/>
    <n v="0"/>
    <n v="0"/>
    <n v="0"/>
    <n v="134.85"/>
    <n v="134.85"/>
    <n v="2"/>
  </r>
  <r>
    <x v="2"/>
    <s v="F2605015081"/>
    <s v="EXP20260528-2768509"/>
    <s v="26A050838096"/>
    <s v="SAS LES VINS DE PLERIMOND HOFFET AN (ENTREPRISE)"/>
    <s v="FR"/>
    <n v="0"/>
    <n v="0"/>
    <n v="0"/>
    <n v="0"/>
    <n v="48.39"/>
    <n v="0"/>
    <n v="0"/>
    <n v="0"/>
    <n v="48.39"/>
    <n v="48.39"/>
    <n v="1"/>
  </r>
  <r>
    <x v="2"/>
    <s v="F2605015081"/>
    <s v="EXP20260529-2769553"/>
    <s v="26A050838088"/>
    <s v="SARL SAINT JU Guillaume DE CONTI (ENTREPRISE)"/>
    <s v="FR"/>
    <n v="0"/>
    <n v="0"/>
    <n v="0"/>
    <n v="0"/>
    <n v="42.12"/>
    <n v="0"/>
    <n v="0"/>
    <n v="0"/>
    <n v="42.12"/>
    <n v="42.12"/>
    <n v="1"/>
  </r>
  <r>
    <x v="2"/>
    <s v="F2605015081"/>
    <s v="EXP20260529-2769554"/>
    <s v="26A050838100"/>
    <s v="EARL Domaine PETITOT Jean &amp; Fils He (ENTREPRISE)"/>
    <s v="FR"/>
    <n v="0"/>
    <n v="0"/>
    <n v="0"/>
    <n v="0"/>
    <n v="28.57"/>
    <n v="0"/>
    <n v="0"/>
    <n v="0"/>
    <n v="28.57"/>
    <n v="28.57"/>
    <n v="1"/>
  </r>
  <r>
    <x v="2"/>
    <s v="F2605015081"/>
    <s v="EXP20260529-2769555"/>
    <s v="26A050838098"/>
    <s v="DOMAINE LES ONDINES"/>
    <s v="FR"/>
    <n v="0"/>
    <n v="0"/>
    <n v="0"/>
    <n v="0"/>
    <n v="46.64"/>
    <n v="0"/>
    <n v="0"/>
    <n v="0"/>
    <n v="46.64"/>
    <n v="46.64"/>
    <n v="1"/>
  </r>
  <r>
    <x v="2"/>
    <s v="F2605015081"/>
    <s v="EXP20260529-2769728"/>
    <s v="26A050838082"/>
    <s v="CHATEAU DE LA GARDINE PASCALE MARCE (ENTREPRISE)"/>
    <s v="FR"/>
    <n v="0"/>
    <n v="0"/>
    <n v="0"/>
    <n v="0"/>
    <n v="186.54"/>
    <n v="0"/>
    <n v="0"/>
    <n v="0"/>
    <n v="186.54"/>
    <n v="186.54"/>
    <n v="3"/>
  </r>
  <r>
    <x v="2"/>
    <s v="F2605015081"/>
    <s v="EXP20260529-2769795"/>
    <s v="26A050838090"/>
    <s v="SARL LES GRIFFES LEFEBVRE Gaelle (ENTREPRISE)"/>
    <s v="FR"/>
    <n v="0"/>
    <n v="0"/>
    <n v="0"/>
    <n v="0"/>
    <n v="30.63"/>
    <n v="0"/>
    <n v="0"/>
    <n v="0"/>
    <n v="30.63"/>
    <n v="30.63"/>
    <n v="1"/>
  </r>
  <r>
    <x v="2"/>
    <s v="F2605015082"/>
    <s v="EXP20260428-2722235"/>
    <s v="26A040966844"/>
    <s v="Clos Mane Hortense (ENTREPRISE)"/>
    <s v="FR"/>
    <n v="0"/>
    <n v="0"/>
    <n v="10"/>
    <n v="0"/>
    <n v="0"/>
    <n v="0"/>
    <n v="0"/>
    <n v="0"/>
    <n v="10"/>
    <n v="10"/>
    <n v="1"/>
  </r>
  <r>
    <x v="2"/>
    <s v="F2605015082"/>
    <s v="EXP20260507-2737231"/>
    <s v="26A050188742"/>
    <s v="SASU LE VIN FLATTEUR CONTANS GAVARR (ENTREPRISE)"/>
    <s v="FR"/>
    <n v="0"/>
    <n v="0"/>
    <n v="10"/>
    <n v="0"/>
    <n v="0"/>
    <n v="0"/>
    <n v="0"/>
    <n v="0"/>
    <n v="10"/>
    <n v="10"/>
    <n v="1"/>
  </r>
  <r>
    <x v="2"/>
    <s v="F2605015082"/>
    <s v="EXP20260513-2744872"/>
    <s v="26A050331670"/>
    <s v="SAS Perromat Domaines Xavier PERROM (ENTREPRISE)"/>
    <s v="FR"/>
    <n v="0"/>
    <n v="0"/>
    <n v="10"/>
    <n v="0"/>
    <n v="0"/>
    <n v="0"/>
    <n v="0"/>
    <n v="0"/>
    <n v="10"/>
    <n v="10"/>
    <n v="1"/>
  </r>
  <r>
    <x v="2"/>
    <s v="F2605015082"/>
    <s v="EXP20260518-2750415"/>
    <s v="26A050464301"/>
    <s v="SARL LES VINS D'EMILIEN Christophe (ENTREPRISE)"/>
    <s v="FR"/>
    <n v="0"/>
    <n v="0"/>
    <n v="10"/>
    <n v="0"/>
    <n v="0"/>
    <n v="0"/>
    <n v="0"/>
    <n v="0"/>
    <n v="10"/>
    <n v="10"/>
    <n v="1"/>
  </r>
  <r>
    <x v="2"/>
    <s v="F2605015082"/>
    <s v="EXP20260519-2752537"/>
    <s v="26A050464280"/>
    <s v="EARL VIGNOBLES CARREAU Oriane CARRE (ENTREPRISE)"/>
    <s v="FR"/>
    <n v="0"/>
    <n v="0"/>
    <n v="10"/>
    <n v="0"/>
    <n v="0"/>
    <n v="0"/>
    <n v="0"/>
    <n v="0"/>
    <n v="10"/>
    <n v="10"/>
    <n v="1"/>
  </r>
  <r>
    <x v="0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m/>
    <x v="0"/>
    <n v="29.38"/>
    <n v="29.38"/>
    <s v=""/>
    <s v=""/>
    <s v=""/>
    <s v=""/>
    <s v=""/>
    <n v="29.38"/>
    <n v="0"/>
    <n v="0"/>
    <x v="0"/>
    <d v="2026-06-30T00:00:00"/>
    <s v="9505289-C01"/>
    <n v="5001334"/>
    <n v="2026"/>
    <s v="26-05-0838077"/>
    <n v="5001334"/>
    <x v="0"/>
    <s v="DAP"/>
    <s v="DOMESTIC"/>
    <s v="DOMESTIC"/>
    <n v="34570"/>
    <s v="MESS"/>
    <s v="EDI"/>
    <n v="560"/>
    <m/>
    <d v="2026-05-29T00:00:00"/>
    <n v="21"/>
    <s v="LA RUCHE LOGISTIQUE"/>
    <n v="5001334"/>
    <s v="FR"/>
    <n v="21"/>
    <s v="CREANCEY"/>
    <n v="46178"/>
    <x v="0"/>
    <n v="5001334"/>
    <x v="0"/>
    <n v="34"/>
    <s v="MURVIEL LES MONTPELLIER"/>
    <m/>
    <m/>
    <n v="1"/>
    <n v="1"/>
    <n v="1"/>
    <n v="5"/>
    <n v="0.02"/>
    <s v="KG"/>
    <n v="1"/>
    <n v="0"/>
    <m/>
    <m/>
    <m/>
    <m/>
    <m/>
    <s v="PORTPAYE"/>
    <s v="STANDARD"/>
    <s v="EUR"/>
    <m/>
    <m/>
    <m/>
    <m/>
    <m/>
    <n v="21.78"/>
    <n v="29.3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"/>
    <n v="25.139999999999997"/>
    <n v="25.139999999999997"/>
    <s v=""/>
    <s v=""/>
    <s v=""/>
    <s v=""/>
    <s v=""/>
    <n v="25.139999999999997"/>
    <n v="0"/>
    <n v="0"/>
    <x v="0"/>
    <d v="2026-06-30T00:00:00"/>
    <s v="9505289-C01"/>
    <n v="5001333"/>
    <n v="2026"/>
    <s v="26-05-0838106"/>
    <n v="5001333"/>
    <x v="1"/>
    <s v="DAP"/>
    <s v="DOMESTIC"/>
    <s v="DOMESTIC"/>
    <n v="78140"/>
    <s v="MESS"/>
    <s v="EDI"/>
    <n v="467"/>
    <m/>
    <d v="2026-05-29T00:00:00"/>
    <n v="21"/>
    <s v="LA RUCHE LOGISTIQUE"/>
    <n v="5001333"/>
    <s v="FR"/>
    <n v="21"/>
    <s v="CREANCEY"/>
    <d v="2026-06-04T00:00:00"/>
    <x v="1"/>
    <n v="5001333"/>
    <x v="0"/>
    <n v="78"/>
    <s v="VELIZY VILLACOUBLAY"/>
    <m/>
    <m/>
    <n v="1"/>
    <n v="1"/>
    <n v="6"/>
    <n v="13"/>
    <n v="0.05"/>
    <s v="KG"/>
    <n v="6"/>
    <n v="0"/>
    <m/>
    <m/>
    <m/>
    <m/>
    <m/>
    <s v="PORTPAYE"/>
    <s v="STANDARD"/>
    <s v="EUR"/>
    <m/>
    <m/>
    <m/>
    <m/>
    <m/>
    <n v="22.99"/>
    <n v="25.1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"/>
    <n v="300"/>
    <n v="300"/>
    <s v=""/>
    <s v=""/>
    <s v=""/>
    <s v=""/>
    <s v=""/>
    <n v="300"/>
    <n v="0"/>
    <n v="0"/>
    <x v="0"/>
    <n v="46203"/>
    <s v="9505289-C01"/>
    <m/>
    <n v="2026"/>
    <s v="26-06-0014947"/>
    <m/>
    <x v="2"/>
    <s v="EXW"/>
    <s v="DOMESTIC"/>
    <s v="DOMESTIC"/>
    <n v="21320"/>
    <s v="AFFR"/>
    <m/>
    <n v="60"/>
    <m/>
    <n v="46176"/>
    <n v="21"/>
    <s v="STG"/>
    <m/>
    <s v="FR"/>
    <n v="21"/>
    <s v="LONGVIC"/>
    <n v="46177"/>
    <x v="2"/>
    <m/>
    <x v="0"/>
    <n v="21"/>
    <s v="CREANCEY"/>
    <m/>
    <m/>
    <n v="33"/>
    <n v="33"/>
    <n v="25000"/>
    <n v="0"/>
    <n v="0"/>
    <s v="Pal"/>
    <n v="33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3"/>
    <n v="32.9"/>
    <n v="32.9"/>
    <s v=""/>
    <s v=""/>
    <s v=""/>
    <s v=""/>
    <s v=""/>
    <n v="32.9"/>
    <n v="0"/>
    <n v="0"/>
    <x v="0"/>
    <d v="2026-06-30T00:00:00"/>
    <s v="9505289-C01"/>
    <n v="5001336"/>
    <n v="2026"/>
    <s v="26-06-0049541"/>
    <n v="5001336"/>
    <x v="3"/>
    <s v="DAP"/>
    <s v="DOMESTIC"/>
    <s v="DOMESTIC"/>
    <n v="30800"/>
    <s v="MESS"/>
    <s v="EDI"/>
    <n v="540"/>
    <m/>
    <d v="2026-06-01T00:00:00"/>
    <n v="21"/>
    <s v="LA RUCHE LOGISTIQUE"/>
    <n v="5001336"/>
    <s v="FR"/>
    <n v="21"/>
    <s v="CREANCEY"/>
    <d v="2026-06-10T00:00:00"/>
    <x v="3"/>
    <n v="5001336"/>
    <x v="0"/>
    <n v="30"/>
    <s v="ST GILLES"/>
    <m/>
    <m/>
    <n v="1"/>
    <n v="1"/>
    <n v="10"/>
    <n v="40"/>
    <n v="0.16"/>
    <s v="KG"/>
    <n v="10"/>
    <n v="0"/>
    <m/>
    <m/>
    <m/>
    <m/>
    <m/>
    <s v="PORTPAYE"/>
    <s v="STANDARD"/>
    <s v="EUR"/>
    <m/>
    <m/>
    <m/>
    <m/>
    <m/>
    <n v="24.6"/>
    <n v="32.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"/>
    <n v="76.660000000000011"/>
    <n v="76.660000000000011"/>
    <s v=""/>
    <s v=""/>
    <s v=""/>
    <s v=""/>
    <s v=""/>
    <n v="76.660000000000011"/>
    <n v="0"/>
    <n v="0"/>
    <x v="0"/>
    <d v="2026-06-30T00:00:00"/>
    <s v="9505289-C01"/>
    <s v="EXP20260529-2770114"/>
    <n v="2026"/>
    <s v="26-06-0049547"/>
    <s v="EXP20260529-2770114"/>
    <x v="4"/>
    <s v="DAP"/>
    <s v="DOMESTIC"/>
    <s v="DOMESTIC"/>
    <n v="83920"/>
    <s v="MESS"/>
    <s v="EDI"/>
    <n v="599"/>
    <m/>
    <d v="2026-06-01T00:00:00"/>
    <n v="21"/>
    <s v="LA RUCHE LOGISTIQUE"/>
    <s v="EXP20260529-2770114"/>
    <s v="FR"/>
    <n v="21"/>
    <s v="CREANCEY"/>
    <d v="2026-06-03T00:00:00"/>
    <x v="4"/>
    <s v="EXP20260529-2770114"/>
    <x v="0"/>
    <n v="83"/>
    <s v="LA MOTTE"/>
    <m/>
    <m/>
    <n v="1"/>
    <n v="1"/>
    <n v="134"/>
    <n v="134"/>
    <n v="0"/>
    <s v="KG"/>
    <n v="134"/>
    <n v="0"/>
    <m/>
    <m/>
    <m/>
    <m/>
    <m/>
    <s v="PORTPAYE"/>
    <s v="STANDARD"/>
    <s v="EUR"/>
    <m/>
    <m/>
    <m/>
    <m/>
    <m/>
    <n v="59.61"/>
    <n v="76.6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"/>
    <n v="33.85"/>
    <n v="33.85"/>
    <s v=""/>
    <s v=""/>
    <s v=""/>
    <s v=""/>
    <s v=""/>
    <n v="33.85"/>
    <n v="0"/>
    <n v="0"/>
    <x v="0"/>
    <d v="2026-06-30T00:00:00"/>
    <s v="9505289-C01"/>
    <s v="EXP20260601-2772380"/>
    <n v="2026"/>
    <s v="26-06-0049550"/>
    <s v="EXP20260601-2772380"/>
    <x v="5"/>
    <s v="DAP"/>
    <s v="DOMESTIC"/>
    <s v="DOMESTIC"/>
    <n v="34290"/>
    <s v="MESS"/>
    <s v="EDI"/>
    <n v="695"/>
    <m/>
    <d v="2026-06-01T00:00:00"/>
    <n v="21"/>
    <s v="LA RUCHE LOGISTIQUE"/>
    <s v="EXP20260601-2772380"/>
    <s v="FR"/>
    <n v="21"/>
    <s v="CREANCEY"/>
    <d v="2026-06-03T00:00:00"/>
    <x v="5"/>
    <s v="EXP20260601-2772380"/>
    <x v="0"/>
    <n v="34"/>
    <s v="ALIGNAN DU VENT"/>
    <m/>
    <m/>
    <n v="1"/>
    <n v="1"/>
    <n v="13"/>
    <n v="13"/>
    <n v="0"/>
    <s v="KG"/>
    <n v="13"/>
    <n v="0"/>
    <m/>
    <m/>
    <m/>
    <m/>
    <m/>
    <s v="PORTPAYE"/>
    <s v="STANDARD"/>
    <s v="EUR"/>
    <m/>
    <m/>
    <m/>
    <m/>
    <m/>
    <n v="25.36"/>
    <n v="33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"/>
    <n v="55.86"/>
    <n v="55.86"/>
    <s v=""/>
    <s v=""/>
    <s v=""/>
    <s v=""/>
    <s v=""/>
    <n v="55.86"/>
    <n v="0"/>
    <n v="0"/>
    <x v="0"/>
    <d v="2026-06-30T00:00:00"/>
    <s v="9505289-C01"/>
    <s v="EXP20260601-2772379"/>
    <n v="2026"/>
    <s v="26-06-0049553"/>
    <s v="EXP20260601-2772379"/>
    <x v="6"/>
    <s v="DAP"/>
    <s v="DOMESTIC"/>
    <s v="DOMESTIC"/>
    <n v="11300"/>
    <s v="MESS"/>
    <s v="EDI"/>
    <n v="847"/>
    <m/>
    <d v="2026-06-01T00:00:00"/>
    <n v="21"/>
    <s v="LA RUCHE LOGISTIQUE"/>
    <s v="EXP20260601-2772379"/>
    <s v="FR"/>
    <n v="21"/>
    <s v="CREANCEY"/>
    <d v="2026-06-05T00:00:00"/>
    <x v="6"/>
    <s v="EXP20260601-2772379"/>
    <x v="0"/>
    <n v="11"/>
    <s v="CASTELRENG"/>
    <m/>
    <m/>
    <n v="1"/>
    <n v="1"/>
    <n v="72"/>
    <n v="72"/>
    <n v="0"/>
    <s v="KG"/>
    <n v="72"/>
    <n v="0"/>
    <m/>
    <m/>
    <m/>
    <m/>
    <m/>
    <s v="PORTPAYE"/>
    <s v="STANDARD"/>
    <s v="EUR"/>
    <m/>
    <m/>
    <m/>
    <m/>
    <m/>
    <n v="42.97"/>
    <n v="55.8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7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"/>
    <n v="42.96"/>
    <n v="42.96"/>
    <s v=""/>
    <s v=""/>
    <n v="7"/>
    <s v=""/>
    <s v=""/>
    <n v="35.96"/>
    <n v="0"/>
    <n v="0"/>
    <x v="0"/>
    <d v="2026-06-30T00:00:00"/>
    <s v="9505289-C01"/>
    <s v="EXP20260528-2768110"/>
    <n v="2026"/>
    <s v="26-06-0049556"/>
    <s v="EXP20260528-2768110"/>
    <x v="7"/>
    <s v="DAP"/>
    <s v="DOMESTIC"/>
    <s v="DOMESTIC"/>
    <n v="93200"/>
    <s v="MESS"/>
    <s v="EDI"/>
    <n v="413"/>
    <m/>
    <d v="2026-06-01T00:00:00"/>
    <n v="21"/>
    <s v="LA RUCHE LOGISTIQUE"/>
    <s v="EXP20260528-2768110"/>
    <s v="FR"/>
    <n v="21"/>
    <s v="CREANCEY"/>
    <d v="2026-06-05T00:00:00"/>
    <x v="7"/>
    <s v="EXP20260528-2768110"/>
    <x v="0"/>
    <n v="93"/>
    <s v="ST DENIS"/>
    <m/>
    <m/>
    <n v="1"/>
    <n v="1"/>
    <n v="38"/>
    <n v="38"/>
    <n v="0"/>
    <s v="KG"/>
    <n v="38"/>
    <n v="0"/>
    <m/>
    <m/>
    <m/>
    <m/>
    <m/>
    <s v="PORTPAYE"/>
    <s v="STANDARD"/>
    <s v="EUR"/>
    <m/>
    <m/>
    <m/>
    <m/>
    <m/>
    <n v="33.81"/>
    <n v="42.9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"/>
    <n v="55.089999999999996"/>
    <n v="55.089999999999996"/>
    <s v=""/>
    <s v=""/>
    <s v=""/>
    <s v=""/>
    <s v=""/>
    <n v="55.089999999999996"/>
    <n v="0"/>
    <n v="0"/>
    <x v="0"/>
    <d v="2026-06-30T00:00:00"/>
    <s v="9505289-C01"/>
    <s v="EXP20260601-2772378"/>
    <n v="2026"/>
    <s v="26-06-0049560"/>
    <s v="EXP20260601-2772378"/>
    <x v="8"/>
    <s v="DAP"/>
    <s v="DOMESTIC"/>
    <s v="DOMESTIC"/>
    <n v="34490"/>
    <s v="MESS"/>
    <s v="EDI"/>
    <n v="695"/>
    <m/>
    <d v="2026-06-01T00:00:00"/>
    <n v="21"/>
    <s v="LA RUCHE LOGISTIQUE"/>
    <s v="EXP20260601-2772378"/>
    <s v="FR"/>
    <n v="21"/>
    <s v="CREANCEY"/>
    <d v="2026-06-12T00:00:00"/>
    <x v="8"/>
    <s v="EXP20260601-2772378"/>
    <x v="0"/>
    <n v="34"/>
    <s v="MURVIEL LES BEZIERS"/>
    <m/>
    <m/>
    <n v="1"/>
    <n v="1"/>
    <n v="100"/>
    <n v="100"/>
    <n v="0"/>
    <s v="KG"/>
    <n v="100"/>
    <n v="0"/>
    <m/>
    <m/>
    <m/>
    <m/>
    <m/>
    <s v="PORTPAYE"/>
    <s v="STANDARD"/>
    <s v="EUR"/>
    <m/>
    <m/>
    <m/>
    <m/>
    <m/>
    <n v="42.35"/>
    <n v="55.0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5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"/>
    <n v="43.19"/>
    <n v="43.19"/>
    <s v=""/>
    <s v=""/>
    <s v=""/>
    <s v=""/>
    <s v=""/>
    <n v="43.19"/>
    <n v="0"/>
    <n v="0"/>
    <x v="0"/>
    <d v="2026-06-30T00:00:00"/>
    <s v="9505289-C01"/>
    <s v="EXP20260601-2774918"/>
    <n v="2026"/>
    <s v="26-06-0092699"/>
    <s v="EXP20260601-2774918"/>
    <x v="9"/>
    <s v="DAP"/>
    <s v="DOMESTIC"/>
    <s v="DOMESTIC"/>
    <n v="84190"/>
    <s v="MESS"/>
    <s v="EDI"/>
    <n v="468"/>
    <m/>
    <d v="2026-06-02T00:00:00"/>
    <n v="21"/>
    <s v="LA RUCHE LOGISTIQUE"/>
    <s v="EXP20260601-2774918"/>
    <s v="FR"/>
    <n v="21"/>
    <s v="CREANCEY"/>
    <d v="2026-06-05T00:00:00"/>
    <x v="9"/>
    <s v="EXP20260601-2774918"/>
    <x v="0"/>
    <n v="84"/>
    <s v="GIGONDAS"/>
    <m/>
    <m/>
    <n v="1"/>
    <n v="1"/>
    <n v="59"/>
    <n v="59"/>
    <n v="0"/>
    <s v="KG"/>
    <n v="59"/>
    <n v="0"/>
    <m/>
    <m/>
    <m/>
    <m/>
    <m/>
    <s v="PORTPAYE"/>
    <s v="STANDARD"/>
    <s v="EUR"/>
    <m/>
    <m/>
    <m/>
    <m/>
    <m/>
    <n v="32.83"/>
    <n v="43.1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210000000000000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"/>
    <n v="48.37"/>
    <n v="48.37"/>
    <s v=""/>
    <s v=""/>
    <s v=""/>
    <s v=""/>
    <s v=""/>
    <n v="48.37"/>
    <n v="0"/>
    <n v="0"/>
    <x v="0"/>
    <d v="2026-06-30T00:00:00"/>
    <s v="9505289-C01"/>
    <s v="EXP20260601-2774442"/>
    <n v="2026"/>
    <s v="26-06-0092703"/>
    <s v="EXP20260601-2774442"/>
    <x v="10"/>
    <s v="DAP"/>
    <s v="DOMESTIC"/>
    <s v="DOMESTIC"/>
    <n v="95310"/>
    <s v="MESS"/>
    <s v="EDI"/>
    <n v="472"/>
    <m/>
    <d v="2026-06-02T00:00:00"/>
    <n v="21"/>
    <s v="LA RUCHE LOGISTIQUE"/>
    <s v="EXP20260601-2774442"/>
    <s v="FR"/>
    <n v="21"/>
    <s v="CREANCEY"/>
    <n v="46181"/>
    <x v="10"/>
    <s v="EXP20260601-2774442"/>
    <x v="0"/>
    <n v="95"/>
    <s v="ST OUEN L AUMONE"/>
    <m/>
    <m/>
    <n v="1"/>
    <n v="1"/>
    <n v="104"/>
    <n v="104"/>
    <n v="0"/>
    <s v="KG"/>
    <n v="104"/>
    <n v="0"/>
    <m/>
    <m/>
    <m/>
    <m/>
    <m/>
    <s v="PORTPAYE"/>
    <s v="STANDARD"/>
    <s v="EUR"/>
    <m/>
    <m/>
    <m/>
    <m/>
    <m/>
    <n v="46.22"/>
    <n v="48.3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"/>
    <n v="80.78"/>
    <n v="80.78"/>
    <s v=""/>
    <s v=""/>
    <s v=""/>
    <s v=""/>
    <s v=""/>
    <n v="80.78"/>
    <n v="0"/>
    <n v="0"/>
    <x v="0"/>
    <d v="2026-06-30T00:00:00"/>
    <s v="9505289-C01"/>
    <s v="EXP20260601-2774095"/>
    <n v="2026"/>
    <s v="26-06-0092706"/>
    <s v="EXP20260601-2774095"/>
    <x v="11"/>
    <s v="DAP"/>
    <s v="DOMESTIC"/>
    <s v="DOMESTIC"/>
    <n v="29620"/>
    <s v="MESS"/>
    <s v="EDI"/>
    <n v="897"/>
    <m/>
    <d v="2026-06-02T00:00:00"/>
    <n v="21"/>
    <s v="LA RUCHE LOGISTIQUE"/>
    <s v="EXP20260601-2774095"/>
    <s v="FR"/>
    <n v="21"/>
    <s v="CREANCEY"/>
    <d v="2026-06-05T00:00:00"/>
    <x v="11"/>
    <s v="EXP20260601-2774095"/>
    <x v="0"/>
    <n v="29"/>
    <s v="GUIMAEC"/>
    <m/>
    <m/>
    <n v="1"/>
    <n v="1"/>
    <n v="115"/>
    <n v="115"/>
    <n v="0"/>
    <s v="KG"/>
    <n v="115"/>
    <n v="0"/>
    <m/>
    <m/>
    <m/>
    <m/>
    <m/>
    <s v="PORTPAYE"/>
    <s v="STANDARD"/>
    <s v="EUR"/>
    <m/>
    <m/>
    <m/>
    <m/>
    <m/>
    <n v="62.9"/>
    <n v="80.7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.7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"/>
    <n v="37.309999999999995"/>
    <n v="37.309999999999995"/>
    <s v=""/>
    <s v=""/>
    <s v=""/>
    <s v=""/>
    <s v=""/>
    <n v="37.309999999999995"/>
    <n v="0"/>
    <n v="0"/>
    <x v="0"/>
    <d v="2026-06-30T00:00:00"/>
    <s v="9505289-C01"/>
    <s v="EXP20260601-2774686"/>
    <n v="2026"/>
    <s v="26-06-0092708"/>
    <s v="EXP20260601-2774686"/>
    <x v="12"/>
    <s v="DAP"/>
    <s v="DOMESTIC"/>
    <s v="DOMESTIC"/>
    <n v="33330"/>
    <s v="MESS"/>
    <s v="EDI"/>
    <n v="713"/>
    <m/>
    <d v="2026-06-02T00:00:00"/>
    <n v="21"/>
    <s v="LA RUCHE LOGISTIQUE"/>
    <s v="EXP20260601-2774686"/>
    <s v="FR"/>
    <n v="21"/>
    <s v="CREANCEY"/>
    <d v="2026-06-04T00:00:00"/>
    <x v="12"/>
    <s v="EXP20260601-2774686"/>
    <x v="0"/>
    <n v="33"/>
    <s v="ST EMILION"/>
    <m/>
    <m/>
    <n v="1"/>
    <n v="1"/>
    <n v="10"/>
    <n v="10"/>
    <n v="0"/>
    <s v="KG"/>
    <n v="10"/>
    <n v="0"/>
    <m/>
    <m/>
    <m/>
    <m/>
    <m/>
    <s v="PORTPAYE"/>
    <s v="STANDARD"/>
    <s v="EUR"/>
    <m/>
    <m/>
    <m/>
    <m/>
    <m/>
    <n v="28.13"/>
    <n v="37.3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0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"/>
    <n v="32.309999999999995"/>
    <n v="32.309999999999995"/>
    <s v=""/>
    <s v=""/>
    <s v=""/>
    <s v=""/>
    <s v=""/>
    <n v="32.309999999999995"/>
    <n v="0"/>
    <n v="0"/>
    <x v="0"/>
    <d v="2026-06-30T00:00:00"/>
    <s v="9505289-C01"/>
    <s v="EXP20260601-2774625"/>
    <n v="2026"/>
    <s v="26-06-0147565"/>
    <s v="EXP20260601-2774625"/>
    <x v="13"/>
    <s v="DAP"/>
    <s v="DOMESTIC"/>
    <s v="DOMESTIC"/>
    <n v="58150"/>
    <s v="MESS"/>
    <s v="EDI"/>
    <n v="356"/>
    <m/>
    <d v="2026-06-03T00:00:00"/>
    <n v="21"/>
    <s v="LA RUCHE LOGISTIQUE"/>
    <s v="EXP20260601-2774625"/>
    <s v="FR"/>
    <n v="21"/>
    <s v="CREANCEY"/>
    <d v="2026-06-05T00:00:00"/>
    <x v="13"/>
    <s v="EXP20260601-2774625"/>
    <x v="0"/>
    <n v="58"/>
    <s v="POUILLY SUR LOIRE"/>
    <s v="Magasin / Commerce"/>
    <s v="O"/>
    <n v="1"/>
    <n v="1"/>
    <n v="66"/>
    <n v="66"/>
    <n v="0"/>
    <s v="KG"/>
    <n v="66"/>
    <n v="0"/>
    <m/>
    <m/>
    <m/>
    <m/>
    <m/>
    <s v="PORTPAYE"/>
    <s v="STANDARD"/>
    <s v="EUR"/>
    <m/>
    <m/>
    <m/>
    <m/>
    <m/>
    <n v="30.16"/>
    <n v="32.3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"/>
    <n v="48.98"/>
    <n v="48.98"/>
    <s v=""/>
    <s v=""/>
    <s v=""/>
    <s v=""/>
    <s v=""/>
    <n v="48.98"/>
    <n v="0"/>
    <n v="0"/>
    <x v="0"/>
    <d v="2026-06-30T00:00:00"/>
    <s v="9505289-C01"/>
    <s v="EXP20260601-2774279"/>
    <n v="2026"/>
    <s v="26-06-0147570"/>
    <s v="EXP20260601-2774279"/>
    <x v="14"/>
    <s v="DAP"/>
    <s v="DOMESTIC"/>
    <s v="DOMESTIC"/>
    <n v="13210"/>
    <s v="MESS"/>
    <s v="EDI"/>
    <n v="448"/>
    <m/>
    <d v="2026-06-03T00:00:00"/>
    <n v="21"/>
    <s v="LA RUCHE LOGISTIQUE"/>
    <s v="EXP20260601-2774279"/>
    <s v="FR"/>
    <n v="21"/>
    <s v="CREANCEY"/>
    <d v="2026-06-09T00:00:00"/>
    <x v="14"/>
    <s v="EXP20260601-2774279"/>
    <x v="0"/>
    <n v="13"/>
    <s v="ST REMY DE PROVENCE"/>
    <s v="Magasin / Commerce"/>
    <s v="O"/>
    <n v="1"/>
    <n v="1"/>
    <n v="68"/>
    <n v="68"/>
    <n v="0"/>
    <s v="KG"/>
    <n v="68"/>
    <n v="0"/>
    <m/>
    <m/>
    <m/>
    <m/>
    <m/>
    <s v="PORTPAYE"/>
    <s v="STANDARD"/>
    <s v="EUR"/>
    <m/>
    <m/>
    <m/>
    <m/>
    <m/>
    <n v="37.46"/>
    <n v="48.9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369999999999999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"/>
    <n v="53.36"/>
    <n v="53.36"/>
    <s v=""/>
    <s v=""/>
    <s v=""/>
    <s v=""/>
    <s v=""/>
    <n v="53.36"/>
    <n v="0"/>
    <n v="0"/>
    <x v="0"/>
    <d v="2026-06-30T00:00:00"/>
    <s v="9505289-C01"/>
    <s v="EXP20260601-2774815"/>
    <n v="2026"/>
    <s v="26-06-0147574"/>
    <s v="EXP20260601-2774815"/>
    <x v="15"/>
    <s v="DAP"/>
    <s v="DOMESTIC"/>
    <s v="DOMESTIC"/>
    <n v="34210"/>
    <s v="MESS"/>
    <s v="EDI"/>
    <n v="695"/>
    <m/>
    <d v="2026-06-03T00:00:00"/>
    <n v="21"/>
    <s v="LA RUCHE LOGISTIQUE"/>
    <s v="EXP20260601-2774815"/>
    <s v="FR"/>
    <n v="21"/>
    <s v="CREANCEY"/>
    <n v="46181"/>
    <x v="15"/>
    <s v="EXP20260601-2774815"/>
    <x v="0"/>
    <n v="34"/>
    <s v="FELINES MINERVOIS"/>
    <m/>
    <m/>
    <n v="1"/>
    <n v="1"/>
    <n v="83"/>
    <n v="83"/>
    <n v="0"/>
    <s v="KG"/>
    <n v="83"/>
    <n v="0"/>
    <m/>
    <m/>
    <m/>
    <m/>
    <m/>
    <s v="PORTPAYE"/>
    <s v="STANDARD"/>
    <s v="EUR"/>
    <m/>
    <m/>
    <m/>
    <m/>
    <m/>
    <n v="40.97"/>
    <n v="53.3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2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"/>
    <n v="27.38"/>
    <n v="27.38"/>
    <s v=""/>
    <s v=""/>
    <s v=""/>
    <s v=""/>
    <s v=""/>
    <n v="27.38"/>
    <n v="0"/>
    <n v="0"/>
    <x v="0"/>
    <d v="2026-06-30T00:00:00"/>
    <s v="9505289-C01"/>
    <s v="EXP20260603-2778100"/>
    <n v="2026"/>
    <s v="26-06-0188565"/>
    <s v="EXP20260603-2778100"/>
    <x v="16"/>
    <s v="DAP"/>
    <s v="DOMESTIC"/>
    <s v="DOMESTIC"/>
    <n v="69640"/>
    <s v="MESS"/>
    <s v="EDI"/>
    <n v="187"/>
    <m/>
    <d v="2026-06-04T00:00:00"/>
    <n v="21"/>
    <s v="LA RUCHE LOGISTIQUE"/>
    <s v="EXP20260603-2778100"/>
    <s v="FR"/>
    <n v="21"/>
    <s v="CREANCEY"/>
    <d v="2026-06-12T00:00:00"/>
    <x v="16"/>
    <s v="EXP20260603-2778100"/>
    <x v="0"/>
    <n v="69"/>
    <s v="COGNY"/>
    <m/>
    <m/>
    <n v="1"/>
    <n v="1"/>
    <n v="45"/>
    <n v="45"/>
    <n v="0"/>
    <s v="KG"/>
    <n v="45"/>
    <n v="0"/>
    <m/>
    <m/>
    <m/>
    <m/>
    <m/>
    <s v="PORTPAYE"/>
    <s v="STANDARD"/>
    <s v="EUR"/>
    <m/>
    <m/>
    <m/>
    <m/>
    <m/>
    <n v="25.23"/>
    <n v="27.3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"/>
    <n v="81.950000000000017"/>
    <n v="81.950000000000017"/>
    <s v=""/>
    <s v=""/>
    <s v=""/>
    <s v=""/>
    <s v=""/>
    <n v="81.950000000000017"/>
    <n v="0"/>
    <n v="0"/>
    <x v="0"/>
    <d v="2026-06-30T00:00:00"/>
    <s v="9505289-C01"/>
    <s v="EXP20260604-2780722"/>
    <n v="2026"/>
    <s v="26-06-0188569"/>
    <s v="EXP20260604-2780722"/>
    <x v="17"/>
    <s v="DAP"/>
    <s v="DOMESTIC"/>
    <s v="DOMESTIC"/>
    <n v="33330"/>
    <s v="MESS"/>
    <s v="EDI"/>
    <n v="713"/>
    <m/>
    <d v="2026-06-04T00:00:00"/>
    <n v="21"/>
    <s v="LA RUCHE LOGISTIQUE"/>
    <s v="EXP20260604-2780722"/>
    <s v="FR"/>
    <n v="21"/>
    <s v="CREANCEY"/>
    <d v="2026-06-08T00:00:00"/>
    <x v="17"/>
    <s v="EXP20260604-2780722"/>
    <x v="0"/>
    <n v="33"/>
    <s v="ST SULPICE DE FALEYRENS"/>
    <m/>
    <m/>
    <n v="1"/>
    <n v="1"/>
    <n v="153"/>
    <n v="153"/>
    <n v="0"/>
    <s v="Pal"/>
    <n v="1"/>
    <n v="0"/>
    <m/>
    <m/>
    <m/>
    <m/>
    <m/>
    <s v="PORTPAYE"/>
    <s v="STANDARD"/>
    <s v="EUR"/>
    <m/>
    <m/>
    <m/>
    <m/>
    <m/>
    <n v="63.84"/>
    <n v="81.9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.9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8"/>
    <n v="59.489999999999995"/>
    <n v="59.489999999999995"/>
    <s v=""/>
    <s v=""/>
    <s v=""/>
    <s v=""/>
    <s v=""/>
    <n v="59.489999999999995"/>
    <n v="0"/>
    <n v="0"/>
    <x v="0"/>
    <d v="2026-06-30T00:00:00"/>
    <s v="9505289-C01"/>
    <s v="EXP20260602-2776631"/>
    <n v="2026"/>
    <s v="26-06-0188571"/>
    <s v="EXP20260602-2776631"/>
    <x v="18"/>
    <s v="DAP"/>
    <s v="DOMESTIC"/>
    <s v="DOMESTIC"/>
    <n v="33330"/>
    <s v="MESS"/>
    <s v="EDI"/>
    <n v="713"/>
    <m/>
    <d v="2026-06-04T00:00:00"/>
    <n v="21"/>
    <s v="LA RUCHE LOGISTIQUE"/>
    <s v="EXP20260602-2776631"/>
    <s v="FR"/>
    <n v="21"/>
    <s v="CREANCEY"/>
    <d v="2026-06-09T00:00:00"/>
    <x v="18"/>
    <s v="EXP20260602-2776631"/>
    <x v="0"/>
    <n v="33"/>
    <s v="ST SULPICE DE FALEYRENS"/>
    <m/>
    <m/>
    <n v="1"/>
    <n v="1"/>
    <n v="81"/>
    <n v="81"/>
    <n v="0"/>
    <s v="KG"/>
    <n v="81"/>
    <n v="0"/>
    <m/>
    <m/>
    <m/>
    <m/>
    <m/>
    <s v="PORTPAYE"/>
    <s v="STANDARD"/>
    <s v="EUR"/>
    <m/>
    <m/>
    <m/>
    <m/>
    <m/>
    <n v="45.87"/>
    <n v="59.4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47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9"/>
    <n v="32.4"/>
    <n v="32.4"/>
    <s v=""/>
    <s v=""/>
    <s v=""/>
    <s v=""/>
    <s v=""/>
    <n v="32.4"/>
    <n v="0"/>
    <n v="0"/>
    <x v="0"/>
    <d v="2026-06-30T00:00:00"/>
    <s v="9505289-C01"/>
    <s v="EXP20260602-2777383"/>
    <n v="2026"/>
    <s v="26-06-0188573"/>
    <s v="EXP20260602-2777383"/>
    <x v="19"/>
    <s v="DAP"/>
    <s v="DOMESTIC"/>
    <s v="DOMESTIC"/>
    <n v="79100"/>
    <s v="MESS"/>
    <s v="EDI"/>
    <n v="782"/>
    <m/>
    <d v="2026-06-04T00:00:00"/>
    <n v="21"/>
    <s v="LA RUCHE LOGISTIQUE"/>
    <s v="EXP20260602-2777383"/>
    <s v="FR"/>
    <n v="21"/>
    <s v="CREANCEY"/>
    <d v="2026-06-09T00:00:00"/>
    <x v="19"/>
    <s v="EXP20260602-2777383"/>
    <x v="0"/>
    <n v="79"/>
    <s v="THOUARS"/>
    <m/>
    <m/>
    <n v="1"/>
    <n v="1"/>
    <n v="25"/>
    <n v="25"/>
    <n v="0"/>
    <s v="KG"/>
    <n v="25"/>
    <n v="0"/>
    <m/>
    <m/>
    <m/>
    <m/>
    <m/>
    <s v="PORTPAYE"/>
    <s v="STANDARD"/>
    <s v="EUR"/>
    <m/>
    <m/>
    <m/>
    <m/>
    <m/>
    <n v="30.25"/>
    <n v="32.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0"/>
    <n v="49.95"/>
    <n v="49.95"/>
    <s v=""/>
    <s v=""/>
    <s v=""/>
    <s v=""/>
    <s v=""/>
    <n v="49.95"/>
    <n v="0"/>
    <n v="0"/>
    <x v="0"/>
    <d v="2026-06-30T00:00:00"/>
    <s v="9505289-C01"/>
    <s v="EXP20260602-2776061"/>
    <n v="2026"/>
    <s v="26-06-0188575"/>
    <s v="EXP20260602-2776061"/>
    <x v="20"/>
    <s v="DAP"/>
    <s v="DOMESTIC"/>
    <s v="DOMESTIC"/>
    <n v="34150"/>
    <s v="MESS"/>
    <s v="EDI"/>
    <n v="560"/>
    <m/>
    <d v="2026-06-04T00:00:00"/>
    <n v="21"/>
    <s v="LA RUCHE LOGISTIQUE"/>
    <s v="EXP20260602-2776061"/>
    <s v="FR"/>
    <n v="21"/>
    <s v="CREANCEY"/>
    <d v="2026-06-10T00:00:00"/>
    <x v="20"/>
    <s v="EXP20260602-2776061"/>
    <x v="0"/>
    <n v="34"/>
    <s v="ANIANE"/>
    <m/>
    <m/>
    <n v="1"/>
    <n v="1"/>
    <n v="67"/>
    <n v="67"/>
    <n v="0"/>
    <s v="KG"/>
    <n v="67"/>
    <n v="0"/>
    <m/>
    <m/>
    <m/>
    <m/>
    <m/>
    <s v="PORTPAYE"/>
    <s v="STANDARD"/>
    <s v="EUR"/>
    <m/>
    <m/>
    <m/>
    <m/>
    <m/>
    <n v="38.24"/>
    <n v="49.9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5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1"/>
    <n v="140.22999999999999"/>
    <n v="140.22999999999999"/>
    <s v=""/>
    <s v=""/>
    <s v=""/>
    <s v=""/>
    <s v=""/>
    <n v="140.22999999999999"/>
    <n v="0"/>
    <n v="0"/>
    <x v="0"/>
    <d v="2026-06-30T00:00:00"/>
    <s v="9505289-C01"/>
    <s v="EXP20260603-2779296"/>
    <n v="2026"/>
    <s v="26-06-0188578"/>
    <s v="EXP20260603-2779296"/>
    <x v="21"/>
    <s v="DAP"/>
    <s v="DOMESTIC"/>
    <s v="DOMESTIC"/>
    <n v="30127"/>
    <s v="MESS"/>
    <s v="EDI"/>
    <n v="540"/>
    <m/>
    <d v="2026-06-04T00:00:00"/>
    <n v="21"/>
    <s v="LA RUCHE LOGISTIQUE"/>
    <s v="EXP20260603-2779296"/>
    <s v="FR"/>
    <n v="21"/>
    <s v="CREANCEY"/>
    <n v="46181"/>
    <x v="21"/>
    <s v="EXP20260603-2779296"/>
    <x v="0"/>
    <n v="30"/>
    <s v="BELLEGARDE"/>
    <m/>
    <m/>
    <n v="2"/>
    <n v="2"/>
    <n v="207"/>
    <n v="207"/>
    <n v="0"/>
    <s v="Pal"/>
    <n v="2"/>
    <n v="0"/>
    <m/>
    <m/>
    <m/>
    <m/>
    <m/>
    <s v="PORTPAYE"/>
    <s v="STANDARD"/>
    <s v="EUR"/>
    <m/>
    <m/>
    <m/>
    <m/>
    <m/>
    <n v="110.46"/>
    <n v="140.2299999999999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.6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2"/>
    <n v="40.14"/>
    <n v="40.14"/>
    <s v=""/>
    <s v=""/>
    <s v=""/>
    <s v=""/>
    <s v=""/>
    <n v="40.14"/>
    <n v="0"/>
    <n v="0"/>
    <x v="0"/>
    <d v="2026-06-30T00:00:00"/>
    <s v="9505289-C01"/>
    <s v="EXP20260602-2776687"/>
    <n v="2026"/>
    <s v="26-06-0188581"/>
    <s v="EXP20260602-2776687"/>
    <x v="22"/>
    <s v="DAP"/>
    <s v="DOMESTIC"/>
    <s v="DOMESTIC"/>
    <n v="84350"/>
    <s v="MESS"/>
    <s v="EDI"/>
    <n v="468"/>
    <m/>
    <d v="2026-06-04T00:00:00"/>
    <n v="21"/>
    <s v="LA RUCHE LOGISTIQUE"/>
    <s v="EXP20260602-2776687"/>
    <s v="FR"/>
    <n v="21"/>
    <s v="CREANCEY"/>
    <d v="2026-06-08T00:00:00"/>
    <x v="22"/>
    <s v="EXP20260602-2776687"/>
    <x v="0"/>
    <n v="84"/>
    <s v="COURTHEZON"/>
    <m/>
    <m/>
    <n v="1"/>
    <n v="1"/>
    <n v="32"/>
    <n v="32"/>
    <n v="0"/>
    <s v="KG"/>
    <n v="32"/>
    <n v="0"/>
    <m/>
    <m/>
    <m/>
    <m/>
    <m/>
    <s v="PORTPAYE"/>
    <s v="STANDARD"/>
    <s v="EUR"/>
    <m/>
    <m/>
    <m/>
    <m/>
    <m/>
    <n v="30.39"/>
    <n v="40.1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3"/>
    <n v="48.75"/>
    <n v="48.75"/>
    <s v=""/>
    <s v=""/>
    <s v=""/>
    <s v=""/>
    <s v=""/>
    <n v="48.75"/>
    <n v="0"/>
    <n v="0"/>
    <x v="0"/>
    <d v="2026-06-30T00:00:00"/>
    <s v="9505289-C01"/>
    <s v="EXP20260602-2775732"/>
    <n v="2026"/>
    <s v="26-06-0188583"/>
    <s v="EXP20260602-2775732"/>
    <x v="23"/>
    <s v="DAP"/>
    <s v="DOMESTIC"/>
    <s v="DOMESTIC"/>
    <n v="66310"/>
    <s v="MESS"/>
    <s v="EDI"/>
    <n v="725"/>
    <m/>
    <d v="2026-06-04T00:00:00"/>
    <n v="21"/>
    <s v="LA RUCHE LOGISTIQUE"/>
    <s v="EXP20260602-2775732"/>
    <s v="FR"/>
    <n v="21"/>
    <s v="CREANCEY"/>
    <d v="2026-06-09T00:00:00"/>
    <x v="23"/>
    <s v="EXP20260602-2775732"/>
    <x v="0"/>
    <n v="66"/>
    <s v="ESTAGEL"/>
    <m/>
    <m/>
    <n v="1"/>
    <n v="1"/>
    <n v="46"/>
    <n v="46"/>
    <n v="0"/>
    <s v="KG"/>
    <n v="46"/>
    <n v="0"/>
    <m/>
    <m/>
    <m/>
    <m/>
    <m/>
    <s v="PORTPAYE"/>
    <s v="STANDARD"/>
    <s v="EUR"/>
    <m/>
    <m/>
    <m/>
    <m/>
    <m/>
    <n v="37.28"/>
    <n v="48.7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3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4"/>
    <n v="62.48"/>
    <n v="62.48"/>
    <s v=""/>
    <s v=""/>
    <s v=""/>
    <s v=""/>
    <s v=""/>
    <n v="62.48"/>
    <n v="0"/>
    <n v="0"/>
    <x v="0"/>
    <d v="2026-06-30T00:00:00"/>
    <s v="9505289-C01"/>
    <s v="EXP20260602-2776126"/>
    <n v="2026"/>
    <s v="26-06-0188587"/>
    <s v="EXP20260602-2776126"/>
    <x v="24"/>
    <s v="DAP"/>
    <s v="DOMESTIC"/>
    <s v="DOMESTIC"/>
    <n v="34290"/>
    <s v="MESS"/>
    <s v="EDI"/>
    <n v="695"/>
    <m/>
    <d v="2026-06-04T00:00:00"/>
    <n v="21"/>
    <s v="LA RUCHE LOGISTIQUE"/>
    <s v="EXP20260602-2776126"/>
    <s v="FR"/>
    <n v="21"/>
    <s v="CREANCEY"/>
    <d v="2026-06-09T00:00:00"/>
    <x v="24"/>
    <s v="EXP20260602-2776126"/>
    <x v="0"/>
    <n v="34"/>
    <s v="MONTBLANC"/>
    <m/>
    <m/>
    <n v="1"/>
    <n v="1"/>
    <n v="112"/>
    <n v="112"/>
    <n v="0"/>
    <s v="KG"/>
    <n v="112"/>
    <n v="0"/>
    <m/>
    <m/>
    <m/>
    <m/>
    <m/>
    <s v="PORTPAYE"/>
    <s v="STANDARD"/>
    <s v="EUR"/>
    <m/>
    <m/>
    <m/>
    <m/>
    <m/>
    <n v="48.26"/>
    <n v="62.4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07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5"/>
    <n v="43.15"/>
    <n v="43.15"/>
    <s v=""/>
    <s v=""/>
    <s v=""/>
    <s v=""/>
    <s v=""/>
    <n v="43.15"/>
    <n v="0"/>
    <n v="0"/>
    <x v="0"/>
    <d v="2026-06-30T00:00:00"/>
    <s v="9505289-C01"/>
    <s v="EXP20260602-2777127"/>
    <n v="2026"/>
    <s v="26-06-0188590"/>
    <s v="EXP20260602-2777127"/>
    <x v="25"/>
    <s v="DAP"/>
    <s v="DOMESTIC"/>
    <s v="DOMESTIC"/>
    <n v="30610"/>
    <s v="MESS"/>
    <s v="EDI"/>
    <n v="540"/>
    <m/>
    <d v="2026-06-04T00:00:00"/>
    <n v="21"/>
    <s v="LA RUCHE LOGISTIQUE"/>
    <s v="EXP20260602-2777127"/>
    <s v="FR"/>
    <n v="21"/>
    <s v="CREANCEY"/>
    <d v="2026-06-15T00:00:00"/>
    <x v="25"/>
    <s v="EXP20260602-2777127"/>
    <x v="0"/>
    <n v="30"/>
    <s v="ST NAZAIRE DES GARDIES"/>
    <m/>
    <m/>
    <n v="1"/>
    <n v="1"/>
    <n v="45"/>
    <n v="45"/>
    <n v="0"/>
    <s v="KG"/>
    <n v="45"/>
    <n v="0"/>
    <m/>
    <m/>
    <m/>
    <m/>
    <m/>
    <s v="PORTPAYE"/>
    <s v="STANDARD"/>
    <s v="EUR"/>
    <m/>
    <m/>
    <m/>
    <m/>
    <m/>
    <n v="32.799999999999997"/>
    <n v="43.1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199999999999999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6"/>
    <n v="22.54"/>
    <n v="22.54"/>
    <s v=""/>
    <s v=""/>
    <s v=""/>
    <s v=""/>
    <s v=""/>
    <n v="22.54"/>
    <n v="0"/>
    <n v="0"/>
    <x v="0"/>
    <d v="2026-06-30T00:00:00"/>
    <s v="9505289-C01"/>
    <s v="EXP20260602-2775888"/>
    <n v="2026"/>
    <s v="26-06-0188594"/>
    <s v="EXP20260602-2775888"/>
    <x v="26"/>
    <s v="DAP"/>
    <s v="DOMESTIC"/>
    <s v="DOMESTIC"/>
    <n v="21590"/>
    <s v="MESS"/>
    <s v="EDI"/>
    <n v="81"/>
    <m/>
    <d v="2026-06-04T00:00:00"/>
    <n v="21"/>
    <s v="LA RUCHE LOGISTIQUE"/>
    <s v="EXP20260602-2775888"/>
    <s v="FR"/>
    <n v="21"/>
    <s v="CREANCEY"/>
    <d v="2026-06-05T00:00:00"/>
    <x v="26"/>
    <s v="EXP20260602-2775888"/>
    <x v="0"/>
    <n v="21"/>
    <s v="SANTENAY"/>
    <m/>
    <m/>
    <n v="1"/>
    <n v="1"/>
    <n v="30"/>
    <n v="30"/>
    <n v="0"/>
    <s v="KG"/>
    <n v="30"/>
    <n v="0"/>
    <m/>
    <m/>
    <m/>
    <m/>
    <m/>
    <s v="PORTPAYE"/>
    <s v="STANDARD"/>
    <s v="EUR"/>
    <m/>
    <m/>
    <m/>
    <m/>
    <m/>
    <n v="20.39"/>
    <n v="22.5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7"/>
    <n v="144.78"/>
    <n v="144.78"/>
    <s v=""/>
    <s v=""/>
    <s v=""/>
    <s v=""/>
    <s v=""/>
    <n v="144.78"/>
    <n v="0"/>
    <n v="0"/>
    <x v="0"/>
    <d v="2026-06-30T00:00:00"/>
    <s v="9505289-C01"/>
    <s v="EXP20260603-2778257"/>
    <n v="2026"/>
    <s v="26-06-0188599"/>
    <s v="EXP20260603-2778257"/>
    <x v="27"/>
    <s v="DAP"/>
    <s v="DOMESTIC"/>
    <s v="DOMESTIC"/>
    <n v="34725"/>
    <s v="MESS"/>
    <s v="EDI"/>
    <n v="560"/>
    <m/>
    <d v="2026-06-04T00:00:00"/>
    <n v="21"/>
    <s v="LA RUCHE LOGISTIQUE"/>
    <s v="EXP20260603-2778257"/>
    <s v="FR"/>
    <n v="21"/>
    <s v="CREANCEY"/>
    <d v="2026-06-10T00:00:00"/>
    <x v="27"/>
    <s v="EXP20260603-2778257"/>
    <x v="0"/>
    <n v="34"/>
    <s v="JONQUIERES"/>
    <m/>
    <m/>
    <n v="2"/>
    <n v="2"/>
    <n v="166"/>
    <n v="166"/>
    <n v="0"/>
    <s v="Pal"/>
    <n v="2"/>
    <n v="0"/>
    <m/>
    <m/>
    <m/>
    <m/>
    <m/>
    <s v="PORTPAYE"/>
    <s v="STANDARD"/>
    <s v="EUR"/>
    <m/>
    <m/>
    <m/>
    <m/>
    <m/>
    <n v="114.1"/>
    <n v="144.7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.5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8"/>
    <n v="27.729999999999997"/>
    <n v="27.729999999999997"/>
    <s v=""/>
    <s v=""/>
    <s v=""/>
    <s v=""/>
    <s v=""/>
    <n v="27.729999999999997"/>
    <n v="0"/>
    <n v="0"/>
    <x v="0"/>
    <d v="2026-06-30T00:00:00"/>
    <s v="9505289-C01"/>
    <s v="EXP20260602-2776125"/>
    <n v="2026"/>
    <s v="26-06-0188602"/>
    <s v="EXP20260602-2776125"/>
    <x v="28"/>
    <s v="DAP"/>
    <s v="DOMESTIC"/>
    <s v="DOMESTIC"/>
    <n v="71390"/>
    <s v="MESS"/>
    <s v="EDI"/>
    <n v="91"/>
    <m/>
    <d v="2026-06-04T00:00:00"/>
    <n v="21"/>
    <s v="LA RUCHE LOGISTIQUE"/>
    <s v="EXP20260602-2776125"/>
    <s v="FR"/>
    <n v="21"/>
    <s v="CREANCEY"/>
    <n v="46183"/>
    <x v="28"/>
    <s v="EXP20260602-2776125"/>
    <x v="0"/>
    <n v="71"/>
    <s v="MOROGES"/>
    <m/>
    <m/>
    <n v="1"/>
    <n v="1"/>
    <n v="73"/>
    <n v="73"/>
    <n v="0"/>
    <s v="KG"/>
    <n v="73"/>
    <n v="0"/>
    <m/>
    <m/>
    <m/>
    <m/>
    <m/>
    <s v="PORTPAYE"/>
    <s v="STANDARD"/>
    <s v="EUR"/>
    <m/>
    <m/>
    <m/>
    <m/>
    <m/>
    <n v="25.58"/>
    <n v="27.7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29"/>
    <n v="28.33"/>
    <n v="28.33"/>
    <s v=""/>
    <s v=""/>
    <s v=""/>
    <s v=""/>
    <s v=""/>
    <n v="28.33"/>
    <n v="0"/>
    <n v="0"/>
    <x v="0"/>
    <d v="2026-06-30T00:00:00"/>
    <s v="9505289-C01"/>
    <s v="EXP20260603-2778709"/>
    <n v="2026"/>
    <s v="26-06-0188607"/>
    <s v="EXP20260603-2778709"/>
    <x v="29"/>
    <s v="DAP"/>
    <s v="DOMESTIC"/>
    <s v="DOMESTIC"/>
    <n v="63200"/>
    <s v="MESS"/>
    <s v="EDI"/>
    <n v="320"/>
    <m/>
    <d v="2026-06-04T00:00:00"/>
    <n v="21"/>
    <s v="LA RUCHE LOGISTIQUE"/>
    <s v="EXP20260603-2778709"/>
    <s v="FR"/>
    <n v="21"/>
    <s v="CREANCEY"/>
    <d v="2026-06-11T00:00:00"/>
    <x v="29"/>
    <s v="EXP20260603-2778709"/>
    <x v="0"/>
    <n v="63"/>
    <s v="ST BONNET PRES RIOM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26.18"/>
    <n v="28.3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0"/>
    <n v="47.36"/>
    <n v="47.36"/>
    <s v=""/>
    <s v=""/>
    <s v=""/>
    <s v=""/>
    <s v=""/>
    <n v="47.36"/>
    <n v="0"/>
    <n v="0"/>
    <x v="0"/>
    <d v="2026-06-30T00:00:00"/>
    <s v="9505289-C01"/>
    <s v="EXP20260604-2780015"/>
    <n v="2026"/>
    <s v="26-06-0188611"/>
    <s v="EXP20260604-2780015"/>
    <x v="30"/>
    <s v="DAP"/>
    <s v="DOMESTIC"/>
    <s v="DOMESTIC"/>
    <n v="68920"/>
    <s v="MESS"/>
    <s v="EDI"/>
    <n v="298"/>
    <m/>
    <d v="2026-06-04T00:00:00"/>
    <n v="21"/>
    <s v="LA RUCHE LOGISTIQUE"/>
    <s v="EXP20260604-2780015"/>
    <s v="FR"/>
    <n v="21"/>
    <s v="CREANCEY"/>
    <d v="2026-06-11T00:00:00"/>
    <x v="30"/>
    <s v="EXP20260604-2780015"/>
    <x v="0"/>
    <n v="68"/>
    <s v="WETTOLSHEIM"/>
    <m/>
    <m/>
    <n v="1"/>
    <n v="1"/>
    <n v="156"/>
    <n v="156"/>
    <n v="0"/>
    <s v="Pal"/>
    <n v="1"/>
    <n v="0"/>
    <m/>
    <m/>
    <m/>
    <m/>
    <m/>
    <s v="PORTPAYE"/>
    <s v="STANDARD"/>
    <s v="EUR"/>
    <m/>
    <m/>
    <m/>
    <m/>
    <m/>
    <n v="45.21"/>
    <n v="47.3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1"/>
    <n v="51.4"/>
    <n v="51.4"/>
    <s v=""/>
    <s v=""/>
    <s v=""/>
    <s v=""/>
    <s v=""/>
    <n v="51.4"/>
    <n v="0"/>
    <n v="0"/>
    <x v="0"/>
    <d v="2026-06-30T00:00:00"/>
    <s v="9505289-C01"/>
    <s v="EXP20260602-2775846"/>
    <n v="2026"/>
    <s v="26-06-0188614"/>
    <s v="EXP20260602-2775846"/>
    <x v="31"/>
    <s v="DAP"/>
    <s v="DOMESTIC"/>
    <s v="DOMESTIC"/>
    <n v="84700"/>
    <s v="MESS"/>
    <s v="EDI"/>
    <n v="468"/>
    <m/>
    <d v="2026-06-04T00:00:00"/>
    <n v="21"/>
    <s v="LA RUCHE LOGISTIQUE"/>
    <s v="EXP20260602-2775846"/>
    <s v="FR"/>
    <n v="21"/>
    <s v="CREANCEY"/>
    <d v="2026-06-10T00:00:00"/>
    <x v="31"/>
    <s v="EXP20260602-2775846"/>
    <x v="0"/>
    <n v="84"/>
    <s v="SORGUES"/>
    <m/>
    <m/>
    <n v="1"/>
    <n v="1"/>
    <n v="90"/>
    <n v="90"/>
    <n v="0"/>
    <s v="KG"/>
    <n v="90"/>
    <n v="0"/>
    <m/>
    <m/>
    <m/>
    <m/>
    <m/>
    <s v="PORTPAYE"/>
    <s v="STANDARD"/>
    <s v="EUR"/>
    <m/>
    <m/>
    <m/>
    <m/>
    <m/>
    <n v="39.4"/>
    <n v="51.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8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2"/>
    <n v="58.300000000000004"/>
    <n v="58.300000000000004"/>
    <s v=""/>
    <s v=""/>
    <s v=""/>
    <s v=""/>
    <s v=""/>
    <n v="58.300000000000004"/>
    <n v="0"/>
    <n v="0"/>
    <x v="0"/>
    <d v="2026-06-30T00:00:00"/>
    <s v="9505289-C01"/>
    <s v="EXP20260603-2779250"/>
    <n v="2026"/>
    <s v="26-06-0188618"/>
    <s v="EXP20260603-2779250"/>
    <x v="32"/>
    <s v="DAP"/>
    <s v="DOMESTIC"/>
    <s v="DOMESTIC"/>
    <n v="84190"/>
    <s v="MESS"/>
    <s v="EDI"/>
    <n v="468"/>
    <m/>
    <d v="2026-06-04T00:00:00"/>
    <n v="21"/>
    <s v="LA RUCHE LOGISTIQUE"/>
    <s v="EXP20260603-2779250"/>
    <s v="FR"/>
    <n v="21"/>
    <s v="CREANCEY"/>
    <d v="2026-06-08T00:00:00"/>
    <x v="32"/>
    <s v="EXP20260603-2779250"/>
    <x v="0"/>
    <n v="84"/>
    <s v="BEAUMES DE VENISE"/>
    <m/>
    <m/>
    <n v="1"/>
    <n v="1"/>
    <n v="112"/>
    <n v="112"/>
    <n v="0"/>
    <s v="KG"/>
    <n v="112"/>
    <n v="0"/>
    <m/>
    <m/>
    <m/>
    <m/>
    <m/>
    <s v="PORTPAYE"/>
    <s v="STANDARD"/>
    <s v="EUR"/>
    <m/>
    <m/>
    <m/>
    <m/>
    <m/>
    <n v="44.92"/>
    <n v="58.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2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3"/>
    <n v="35.54"/>
    <n v="35.54"/>
    <s v=""/>
    <s v=""/>
    <s v=""/>
    <s v=""/>
    <s v=""/>
    <n v="35.54"/>
    <n v="0"/>
    <n v="0"/>
    <x v="0"/>
    <d v="2026-06-30T00:00:00"/>
    <s v="9505289-C01"/>
    <s v="EXP20260603-2778099"/>
    <n v="2026"/>
    <s v="26-06-0188623"/>
    <s v="EXP20260603-2778099"/>
    <x v="33"/>
    <s v="DAP"/>
    <s v="DOMESTIC"/>
    <s v="DOMESTIC"/>
    <n v="83390"/>
    <s v="MESS"/>
    <s v="EDI"/>
    <n v="599"/>
    <m/>
    <d v="2026-06-04T00:00:00"/>
    <n v="21"/>
    <s v="LA RUCHE LOGISTIQUE"/>
    <s v="EXP20260603-2778099"/>
    <s v="FR"/>
    <n v="21"/>
    <s v="CREANCEY"/>
    <d v="2026-06-09T00:00:00"/>
    <x v="33"/>
    <s v="EXP20260603-2778099"/>
    <x v="0"/>
    <n v="83"/>
    <s v="PUGET VILLE"/>
    <m/>
    <m/>
    <n v="1"/>
    <n v="1"/>
    <n v="11"/>
    <n v="11"/>
    <n v="0"/>
    <s v="KG"/>
    <n v="11"/>
    <n v="0"/>
    <m/>
    <m/>
    <m/>
    <m/>
    <m/>
    <s v="PORTPAYE"/>
    <s v="STANDARD"/>
    <s v="EUR"/>
    <m/>
    <m/>
    <m/>
    <m/>
    <m/>
    <n v="26.71"/>
    <n v="35.5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4"/>
    <n v="59.69"/>
    <n v="59.69"/>
    <s v=""/>
    <s v=""/>
    <s v=""/>
    <s v=""/>
    <s v=""/>
    <n v="59.69"/>
    <n v="0"/>
    <n v="0"/>
    <x v="0"/>
    <d v="2026-06-30T00:00:00"/>
    <s v="9505289-C01"/>
    <s v="EXP20260604-2780091"/>
    <n v="2026"/>
    <s v="26-06-0188628"/>
    <s v="EXP20260604-2780091"/>
    <x v="34"/>
    <s v="DAP"/>
    <s v="DOMESTIC"/>
    <s v="DOMESTIC"/>
    <n v="77270"/>
    <s v="MESS"/>
    <s v="EDI"/>
    <n v="454"/>
    <m/>
    <d v="2026-06-04T00:00:00"/>
    <n v="21"/>
    <s v="LA RUCHE LOGISTIQUE"/>
    <s v="EXP20260604-2780091"/>
    <s v="FR"/>
    <n v="21"/>
    <s v="CREANCEY"/>
    <d v="2026-06-08T00:00:00"/>
    <x v="34"/>
    <s v="EXP20260604-2780091"/>
    <x v="0"/>
    <n v="77"/>
    <s v="VILLEPARISIS"/>
    <m/>
    <m/>
    <n v="1"/>
    <n v="1"/>
    <n v="274"/>
    <n v="274"/>
    <n v="0"/>
    <s v="Pal"/>
    <n v="1"/>
    <n v="0"/>
    <m/>
    <m/>
    <m/>
    <m/>
    <m/>
    <s v="PORTPAYE"/>
    <s v="STANDARD"/>
    <s v="EUR"/>
    <m/>
    <m/>
    <m/>
    <m/>
    <m/>
    <n v="57.54"/>
    <n v="59.6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5"/>
    <n v="140.22999999999999"/>
    <n v="140.22999999999999"/>
    <s v=""/>
    <s v=""/>
    <s v=""/>
    <s v=""/>
    <s v=""/>
    <n v="140.22999999999999"/>
    <n v="0"/>
    <n v="0"/>
    <x v="0"/>
    <d v="2026-06-30T00:00:00"/>
    <s v="9505289-C01"/>
    <s v="EXP20260604-2780547"/>
    <n v="2026"/>
    <s v="26-06-0188634"/>
    <s v="EXP20260604-2780547"/>
    <x v="35"/>
    <s v="DAP"/>
    <s v="DOMESTIC"/>
    <s v="DOMESTIC"/>
    <n v="30700"/>
    <s v="MESS"/>
    <s v="EDI"/>
    <n v="478"/>
    <m/>
    <d v="2026-06-04T00:00:00"/>
    <n v="21"/>
    <s v="LA RUCHE LOGISTIQUE"/>
    <s v="EXP20260604-2780547"/>
    <s v="FR"/>
    <n v="21"/>
    <s v="CREANCEY"/>
    <d v="2026-06-08T00:00:00"/>
    <x v="35"/>
    <s v="EXP20260604-2780547"/>
    <x v="0"/>
    <n v="30"/>
    <s v="UZES"/>
    <m/>
    <m/>
    <n v="2"/>
    <n v="2"/>
    <n v="244"/>
    <n v="244"/>
    <n v="0"/>
    <s v="Pal"/>
    <n v="2"/>
    <n v="0"/>
    <m/>
    <m/>
    <m/>
    <m/>
    <m/>
    <s v="PORTPAYE"/>
    <s v="STANDARD"/>
    <s v="EUR"/>
    <m/>
    <m/>
    <m/>
    <m/>
    <m/>
    <n v="110.46"/>
    <n v="140.2299999999999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.6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6"/>
    <n v="44.96"/>
    <n v="44.96"/>
    <s v=""/>
    <s v=""/>
    <s v=""/>
    <s v=""/>
    <s v=""/>
    <n v="44.96"/>
    <n v="0"/>
    <n v="0"/>
    <x v="0"/>
    <d v="2026-06-30T00:00:00"/>
    <s v="9505289-C01"/>
    <s v="EXP20260603-2779154"/>
    <n v="2026"/>
    <s v="26-06-0188640"/>
    <s v="EXP20260603-2779154"/>
    <x v="36"/>
    <s v="DAP"/>
    <s v="DOMESTIC"/>
    <s v="DOMESTIC"/>
    <n v="83270"/>
    <s v="MESS"/>
    <s v="EDI"/>
    <n v="599"/>
    <m/>
    <d v="2026-06-04T00:00:00"/>
    <n v="21"/>
    <s v="LA RUCHE LOGISTIQUE"/>
    <s v="EXP20260603-2779154"/>
    <s v="FR"/>
    <n v="21"/>
    <s v="CREANCEY"/>
    <d v="2026-06-08T00:00:00"/>
    <x v="36"/>
    <s v="EXP20260603-2779154"/>
    <x v="0"/>
    <n v="83"/>
    <s v="ST CYR SUR MER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34.25"/>
    <n v="44.9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7"/>
    <n v="46.98"/>
    <n v="46.98"/>
    <s v=""/>
    <s v=""/>
    <s v=""/>
    <s v=""/>
    <s v=""/>
    <n v="46.98"/>
    <n v="0"/>
    <n v="0"/>
    <x v="0"/>
    <d v="2026-06-30T00:00:00"/>
    <s v="9505289-C01"/>
    <s v="EXP20260602-2777045"/>
    <n v="2026"/>
    <s v="26-06-0188646"/>
    <s v="EXP20260602-2777045"/>
    <x v="37"/>
    <s v="DAP"/>
    <s v="DOMESTIC"/>
    <s v="DOMESTIC"/>
    <n v="18300"/>
    <s v="MESS"/>
    <s v="EDI"/>
    <n v="297"/>
    <m/>
    <d v="2026-06-04T00:00:00"/>
    <n v="21"/>
    <s v="LA RUCHE LOGISTIQUE"/>
    <s v="EXP20260602-2777045"/>
    <s v="FR"/>
    <n v="21"/>
    <s v="CREANCEY"/>
    <d v="2026-06-08T00:00:00"/>
    <x v="37"/>
    <s v="EXP20260602-2777045"/>
    <x v="0"/>
    <n v="18"/>
    <s v="BUE"/>
    <m/>
    <m/>
    <n v="1"/>
    <n v="1"/>
    <n v="139"/>
    <n v="139"/>
    <n v="0"/>
    <s v="KG"/>
    <n v="139"/>
    <n v="0"/>
    <m/>
    <m/>
    <m/>
    <m/>
    <m/>
    <s v="PORTPAYE"/>
    <s v="STANDARD"/>
    <s v="EUR"/>
    <m/>
    <m/>
    <m/>
    <m/>
    <m/>
    <n v="44.83"/>
    <n v="46.9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8"/>
    <n v="61.74"/>
    <n v="61.74"/>
    <s v=""/>
    <s v=""/>
    <s v=""/>
    <s v=""/>
    <s v=""/>
    <n v="61.74"/>
    <n v="0"/>
    <n v="0"/>
    <x v="0"/>
    <d v="2026-06-30T00:00:00"/>
    <s v="9505289-C01"/>
    <s v="EXP20260603-2777654"/>
    <n v="2026"/>
    <s v="26-06-0188652"/>
    <s v="EXP20260603-2777654"/>
    <x v="38"/>
    <s v="DAP"/>
    <s v="DOMESTIC"/>
    <s v="DOMESTIC"/>
    <n v="95470"/>
    <s v="MESS"/>
    <s v="EDI"/>
    <n v="505"/>
    <m/>
    <d v="2026-06-04T00:00:00"/>
    <n v="21"/>
    <s v="LA RUCHE LOGISTIQUE"/>
    <s v="EXP20260603-2777654"/>
    <s v="FR"/>
    <n v="21"/>
    <s v="CREANCEY"/>
    <m/>
    <x v="38"/>
    <s v="EXP20260603-2777654"/>
    <x v="0"/>
    <n v="95"/>
    <s v="VEMARS"/>
    <m/>
    <m/>
    <n v="1"/>
    <n v="1"/>
    <n v="354"/>
    <n v="354"/>
    <n v="0"/>
    <s v="Pal"/>
    <n v="1"/>
    <n v="0"/>
    <m/>
    <m/>
    <m/>
    <m/>
    <m/>
    <s v="PORTPAYE"/>
    <s v="STANDARD"/>
    <s v="EUR"/>
    <m/>
    <m/>
    <m/>
    <m/>
    <m/>
    <n v="59.59"/>
    <n v="61.7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39"/>
    <n v="27.79"/>
    <n v="27.79"/>
    <s v=""/>
    <s v=""/>
    <s v=""/>
    <s v=""/>
    <s v=""/>
    <n v="27.79"/>
    <n v="0"/>
    <n v="0"/>
    <x v="0"/>
    <d v="2026-06-30T00:00:00"/>
    <s v="9505289-C01"/>
    <s v="EXP20260601-2774872"/>
    <n v="2026"/>
    <s v="26-06-0188657"/>
    <s v="EXP20260601-2774872"/>
    <x v="39"/>
    <s v="DAP"/>
    <s v="DOMESTIC"/>
    <s v="DOMESTIC"/>
    <n v="89800"/>
    <s v="MESS"/>
    <s v="EDI"/>
    <n v="236"/>
    <m/>
    <d v="2026-06-04T00:00:00"/>
    <n v="21"/>
    <s v="LA RUCHE LOGISTIQUE"/>
    <s v="EXP20260601-2774872"/>
    <s v="FR"/>
    <n v="21"/>
    <s v="CREANCEY"/>
    <d v="2026-06-08T00:00:00"/>
    <x v="39"/>
    <s v="EXP20260601-2774872"/>
    <x v="0"/>
    <n v="89"/>
    <s v="CHABLIS"/>
    <m/>
    <m/>
    <n v="1"/>
    <n v="1"/>
    <n v="44"/>
    <n v="44"/>
    <n v="0"/>
    <s v="KG"/>
    <n v="44"/>
    <n v="0"/>
    <m/>
    <m/>
    <m/>
    <m/>
    <m/>
    <s v="PORTPAYE"/>
    <s v="STANDARD"/>
    <s v="EUR"/>
    <m/>
    <m/>
    <m/>
    <m/>
    <m/>
    <n v="25.64"/>
    <n v="27.7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0"/>
    <n v="33.46"/>
    <n v="33.46"/>
    <s v=""/>
    <s v=""/>
    <s v=""/>
    <s v=""/>
    <s v=""/>
    <n v="33.46"/>
    <n v="0"/>
    <n v="0"/>
    <x v="0"/>
    <d v="2026-06-30T00:00:00"/>
    <s v="9505289-C01"/>
    <s v="EXP20260603-2779194"/>
    <n v="2026"/>
    <s v="26-06-0188662"/>
    <s v="EXP20260603-2779194"/>
    <x v="40"/>
    <s v="DAP"/>
    <s v="DOMESTIC"/>
    <s v="DOMESTIC"/>
    <n v="89800"/>
    <s v="MESS"/>
    <s v="EDI"/>
    <n v="236"/>
    <m/>
    <d v="2026-06-04T00:00:00"/>
    <n v="21"/>
    <s v="LA RUCHE LOGISTIQUE"/>
    <s v="EXP20260603-2779194"/>
    <s v="FR"/>
    <n v="21"/>
    <s v="CREANCEY"/>
    <d v="2026-06-08T00:00:00"/>
    <x v="40"/>
    <s v="EXP20260603-2779194"/>
    <x v="0"/>
    <n v="89"/>
    <s v="MALIGNY"/>
    <m/>
    <m/>
    <n v="1"/>
    <n v="1"/>
    <n v="100"/>
    <n v="100"/>
    <n v="0"/>
    <s v="KG"/>
    <n v="100"/>
    <n v="0"/>
    <m/>
    <m/>
    <m/>
    <m/>
    <m/>
    <s v="PORTPAYE"/>
    <s v="STANDARD"/>
    <s v="EUR"/>
    <m/>
    <m/>
    <m/>
    <m/>
    <m/>
    <n v="31.31"/>
    <n v="33.4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1"/>
    <n v="29.9"/>
    <n v="29.9"/>
    <s v=""/>
    <s v=""/>
    <s v=""/>
    <s v=""/>
    <s v=""/>
    <n v="29.9"/>
    <n v="0"/>
    <n v="0"/>
    <x v="0"/>
    <d v="2026-06-30T00:00:00"/>
    <s v="9505289-C01"/>
    <s v="EXP20260602-2776824"/>
    <n v="2026"/>
    <s v="26-06-0188666"/>
    <s v="EXP20260602-2776824"/>
    <x v="41"/>
    <s v="DAP"/>
    <s v="DOMESTIC"/>
    <s v="DOMESTIC"/>
    <n v="69460"/>
    <s v="MESS"/>
    <s v="EDI"/>
    <n v="187"/>
    <m/>
    <d v="2026-06-04T00:00:00"/>
    <n v="21"/>
    <s v="LA RUCHE LOGISTIQUE"/>
    <s v="EXP20260602-2776824"/>
    <s v="FR"/>
    <n v="21"/>
    <s v="CREANCEY"/>
    <d v="2026-06-08T00:00:00"/>
    <x v="41"/>
    <s v="EXP20260602-2776824"/>
    <x v="0"/>
    <n v="69"/>
    <s v="SALLES ARBUISSONNAS EN BEAUJOLAIS"/>
    <m/>
    <m/>
    <n v="1"/>
    <n v="1"/>
    <n v="67"/>
    <n v="67"/>
    <n v="0"/>
    <s v="KG"/>
    <n v="67"/>
    <n v="0"/>
    <m/>
    <m/>
    <m/>
    <m/>
    <m/>
    <s v="PORTPAYE"/>
    <s v="STANDARD"/>
    <s v="EUR"/>
    <m/>
    <m/>
    <m/>
    <m/>
    <m/>
    <n v="27.75"/>
    <n v="29.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2"/>
    <n v="28.52"/>
    <n v="28.52"/>
    <s v=""/>
    <s v=""/>
    <s v=""/>
    <s v=""/>
    <s v=""/>
    <n v="28.52"/>
    <n v="0"/>
    <n v="0"/>
    <x v="0"/>
    <d v="2026-06-30T00:00:00"/>
    <s v="9505289-C01"/>
    <s v="EXP20260603-2779393"/>
    <n v="2026"/>
    <s v="26-06-0188670"/>
    <s v="EXP20260603-2779393"/>
    <x v="42"/>
    <s v="DAP"/>
    <s v="DOMESTIC"/>
    <s v="DOMESTIC"/>
    <n v="18120"/>
    <s v="MESS"/>
    <s v="EDI"/>
    <n v="297"/>
    <m/>
    <d v="2026-06-04T00:00:00"/>
    <n v="21"/>
    <s v="LA RUCHE LOGISTIQUE"/>
    <s v="EXP20260603-2779393"/>
    <s v="FR"/>
    <n v="21"/>
    <s v="CREANCEY"/>
    <d v="2026-06-11T00:00:00"/>
    <x v="42"/>
    <s v="EXP20260603-2779393"/>
    <x v="0"/>
    <n v="18"/>
    <s v="PREUILLY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26.37"/>
    <n v="28.5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3"/>
    <n v="300"/>
    <n v="300"/>
    <s v=""/>
    <s v=""/>
    <s v=""/>
    <s v=""/>
    <s v=""/>
    <n v="300"/>
    <n v="0"/>
    <n v="0"/>
    <x v="0"/>
    <d v="2026-06-30T00:00:00"/>
    <s v="9505289-C01"/>
    <m/>
    <n v="2026"/>
    <s v="26-06-0217880"/>
    <m/>
    <x v="43"/>
    <s v="EXW"/>
    <s v="DOMESTIC"/>
    <s v="DOMESTIC"/>
    <n v="21320"/>
    <s v="AFFR"/>
    <m/>
    <n v="60"/>
    <m/>
    <d v="2026-06-08T00:00:00"/>
    <n v="21"/>
    <s v="STG"/>
    <m/>
    <s v="FR"/>
    <n v="21"/>
    <s v="LONGVIC"/>
    <m/>
    <x v="2"/>
    <m/>
    <x v="0"/>
    <n v="21"/>
    <s v="CREANCEY"/>
    <m/>
    <m/>
    <n v="33"/>
    <n v="33"/>
    <n v="25000"/>
    <n v="0"/>
    <n v="0"/>
    <s v="Pal"/>
    <n v="33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4"/>
    <n v="44.22"/>
    <n v="44.22"/>
    <s v=""/>
    <s v=""/>
    <s v=""/>
    <s v=""/>
    <s v=""/>
    <n v="44.22"/>
    <n v="0"/>
    <n v="0"/>
    <x v="0"/>
    <n v="46203"/>
    <s v="9505289-C01"/>
    <s v="EXP20260604-2780089"/>
    <n v="2026"/>
    <s v="26-06-0238218"/>
    <s v="EXP20260604-2780089"/>
    <x v="44"/>
    <s v="DAP"/>
    <s v="DOMESTIC"/>
    <s v="DOMESTIC"/>
    <n v="76430"/>
    <s v="MESS"/>
    <s v="EDI"/>
    <n v="533"/>
    <m/>
    <n v="46178"/>
    <n v="21"/>
    <s v="LA RUCHE LOGISTIQUE"/>
    <s v="EXP20260604-2780089"/>
    <s v="FR"/>
    <n v="21"/>
    <s v="CREANCEY"/>
    <n v="46182"/>
    <x v="43"/>
    <s v="EXP20260604-2780089"/>
    <x v="0"/>
    <n v="76"/>
    <s v="OUDALLE"/>
    <s v="Prestataire de service"/>
    <s v="O"/>
    <n v="1"/>
    <n v="1"/>
    <n v="90"/>
    <n v="90"/>
    <n v="0"/>
    <s v="KG"/>
    <n v="90"/>
    <n v="0"/>
    <m/>
    <m/>
    <m/>
    <m/>
    <m/>
    <s v="PORTPAYE"/>
    <s v="STANDARD"/>
    <s v="EUR"/>
    <m/>
    <m/>
    <m/>
    <m/>
    <m/>
    <n v="42.07"/>
    <n v="44.2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5"/>
    <n v="186.54"/>
    <n v="186.54"/>
    <s v=""/>
    <s v=""/>
    <s v=""/>
    <s v=""/>
    <s v=""/>
    <n v="186.54"/>
    <n v="0"/>
    <n v="0"/>
    <x v="0"/>
    <d v="2026-06-30T00:00:00"/>
    <s v="9505289-C01"/>
    <s v="EXP20260604-2780723"/>
    <n v="2026"/>
    <s v="26-06-0238223"/>
    <s v="EXP20260604-2780723"/>
    <x v="45"/>
    <s v="DAP"/>
    <s v="DOMESTIC"/>
    <s v="DOMESTIC"/>
    <n v="84850"/>
    <s v="MESS"/>
    <s v="EDI"/>
    <n v="468"/>
    <m/>
    <d v="2026-06-05T00:00:00"/>
    <n v="21"/>
    <s v="LA RUCHE LOGISTIQUE"/>
    <s v="EXP20260604-2780723"/>
    <s v="FR"/>
    <n v="21"/>
    <s v="CREANCEY"/>
    <d v="2026-06-09T00:00:00"/>
    <x v="44"/>
    <s v="EXP20260604-2780723"/>
    <x v="0"/>
    <n v="84"/>
    <s v="TRAVAILLAN"/>
    <m/>
    <m/>
    <n v="3"/>
    <n v="3"/>
    <n v="502"/>
    <n v="502"/>
    <n v="0"/>
    <s v="Pal"/>
    <n v="3"/>
    <n v="0"/>
    <m/>
    <m/>
    <m/>
    <m/>
    <m/>
    <s v="PORTPAYE"/>
    <s v="STANDARD"/>
    <s v="EUR"/>
    <m/>
    <m/>
    <m/>
    <m/>
    <m/>
    <n v="147.51"/>
    <n v="186.5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.88000000000000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6"/>
    <n v="30.9"/>
    <n v="30.9"/>
    <s v=""/>
    <s v=""/>
    <s v=""/>
    <s v=""/>
    <s v=""/>
    <n v="30.9"/>
    <n v="0"/>
    <n v="0"/>
    <x v="0"/>
    <d v="2026-06-30T00:00:00"/>
    <s v="9505289-C01"/>
    <s v="EXP20260604-2780912"/>
    <n v="2026"/>
    <s v="26-06-0238225"/>
    <s v="EXP20260604-2780912"/>
    <x v="46"/>
    <s v="DAP"/>
    <s v="DOMESTIC"/>
    <s v="DOMESTIC"/>
    <n v="69840"/>
    <s v="MESS"/>
    <s v="EDI"/>
    <n v="187"/>
    <m/>
    <d v="2026-06-05T00:00:00"/>
    <n v="21"/>
    <s v="LA RUCHE LOGISTIQUE"/>
    <s v="EXP20260604-2780912"/>
    <s v="FR"/>
    <n v="21"/>
    <s v="CREANCEY"/>
    <d v="2026-06-09T00:00:00"/>
    <x v="45"/>
    <s v="EXP20260604-2780912"/>
    <x v="0"/>
    <n v="69"/>
    <s v="EMERINGES"/>
    <m/>
    <m/>
    <n v="1"/>
    <n v="1"/>
    <n v="76"/>
    <n v="76"/>
    <n v="0"/>
    <s v="KG"/>
    <n v="76"/>
    <n v="0"/>
    <m/>
    <m/>
    <m/>
    <m/>
    <m/>
    <s v="PORTPAYE"/>
    <s v="STANDARD"/>
    <s v="EUR"/>
    <m/>
    <m/>
    <m/>
    <m/>
    <m/>
    <n v="28.75"/>
    <n v="30.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7"/>
    <n v="49.79"/>
    <n v="49.79"/>
    <s v=""/>
    <s v=""/>
    <s v=""/>
    <s v=""/>
    <s v=""/>
    <n v="49.79"/>
    <n v="0"/>
    <n v="0"/>
    <x v="0"/>
    <d v="2026-06-30T00:00:00"/>
    <s v="9505289-C01"/>
    <s v="EXP20260604-2781256"/>
    <n v="2026"/>
    <s v="26-06-0238228"/>
    <s v="EXP20260604-2781256"/>
    <x v="47"/>
    <s v="DAP"/>
    <s v="DOMESTIC"/>
    <s v="DOMESTIC"/>
    <n v="84600"/>
    <s v="MESS"/>
    <s v="EDI"/>
    <n v="498"/>
    <m/>
    <d v="2026-06-05T00:00:00"/>
    <n v="21"/>
    <s v="LA RUCHE LOGISTIQUE"/>
    <s v="EXP20260604-2781256"/>
    <s v="FR"/>
    <n v="21"/>
    <s v="CREANCEY"/>
    <d v="2026-06-12T00:00:00"/>
    <x v="46"/>
    <s v="EXP20260604-2781256"/>
    <x v="0"/>
    <n v="84"/>
    <s v="VALREAS"/>
    <m/>
    <m/>
    <n v="1"/>
    <n v="1"/>
    <n v="85"/>
    <n v="85"/>
    <n v="0"/>
    <s v="KG"/>
    <n v="85"/>
    <n v="0"/>
    <m/>
    <m/>
    <m/>
    <m/>
    <m/>
    <s v="PORTPAYE"/>
    <s v="STANDARD"/>
    <s v="EUR"/>
    <m/>
    <m/>
    <m/>
    <m/>
    <m/>
    <n v="38.11"/>
    <n v="49.7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529999999999999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8"/>
    <n v="63.44"/>
    <n v="63.44"/>
    <s v=""/>
    <s v=""/>
    <s v=""/>
    <s v=""/>
    <s v=""/>
    <n v="63.44"/>
    <n v="0"/>
    <n v="0"/>
    <x v="0"/>
    <d v="2026-06-30T00:00:00"/>
    <s v="9505289-C01"/>
    <s v="EXP20260528-2767800"/>
    <n v="2026"/>
    <s v="26-06-0238231"/>
    <s v="EXP20260528-2767800"/>
    <x v="48"/>
    <s v="DAP"/>
    <s v="DOMESTIC"/>
    <s v="DOMESTIC"/>
    <n v="60300"/>
    <s v="MESS"/>
    <s v="EDI"/>
    <n v="485"/>
    <m/>
    <d v="2026-06-05T00:00:00"/>
    <n v="21"/>
    <s v="LA RUCHE LOGISTIQUE"/>
    <s v="EXP20260528-2767800"/>
    <s v="FR"/>
    <n v="21"/>
    <s v="CREANCEY"/>
    <d v="2026-06-11T00:00:00"/>
    <x v="47"/>
    <s v="EXP20260528-2767800"/>
    <x v="0"/>
    <n v="60"/>
    <s v="SENLIS"/>
    <s v="Groupe"/>
    <s v="O"/>
    <n v="1"/>
    <n v="1"/>
    <n v="328"/>
    <n v="328"/>
    <n v="0"/>
    <s v="Pal"/>
    <n v="1"/>
    <n v="0"/>
    <m/>
    <m/>
    <m/>
    <m/>
    <m/>
    <s v="PORTPAYE"/>
    <s v="STANDARD"/>
    <s v="EUR"/>
    <m/>
    <m/>
    <m/>
    <m/>
    <m/>
    <n v="61.29"/>
    <n v="63.44"/>
    <s v="OUI"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49"/>
    <n v="300"/>
    <n v="300"/>
    <s v=""/>
    <s v=""/>
    <s v=""/>
    <s v=""/>
    <s v=""/>
    <n v="300"/>
    <n v="0"/>
    <n v="0"/>
    <x v="0"/>
    <d v="2026-06-30T00:00:00"/>
    <s v="9505289-C01"/>
    <m/>
    <n v="2026"/>
    <s v="26-06-0261866"/>
    <m/>
    <x v="49"/>
    <s v="EXW"/>
    <s v="DOMESTIC"/>
    <s v="DOMESTIC"/>
    <n v="21320"/>
    <s v="AFFR"/>
    <m/>
    <n v="60"/>
    <m/>
    <d v="2026-06-10T00:00:00"/>
    <n v="21"/>
    <s v="STG"/>
    <m/>
    <s v="FR"/>
    <n v="21"/>
    <s v="LONGVIC"/>
    <m/>
    <x v="2"/>
    <m/>
    <x v="0"/>
    <n v="21"/>
    <s v="CREANCEY"/>
    <m/>
    <m/>
    <n v="33"/>
    <n v="33"/>
    <n v="25000"/>
    <n v="0"/>
    <n v="0"/>
    <s v="Pal"/>
    <n v="33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0"/>
    <n v="605"/>
    <n v="605"/>
    <s v=""/>
    <s v=""/>
    <s v=""/>
    <s v=""/>
    <s v=""/>
    <n v="605"/>
    <n v="0"/>
    <n v="0"/>
    <x v="0"/>
    <d v="2026-06-30T00:00:00"/>
    <s v="9505289-C01"/>
    <m/>
    <n v="2026"/>
    <s v="26-06-0316606"/>
    <m/>
    <x v="50"/>
    <s v="DAP"/>
    <s v="DOMESTIC"/>
    <s v="DOMESTIC"/>
    <n v="60800"/>
    <s v="AFFR"/>
    <m/>
    <n v="746"/>
    <m/>
    <d v="2026-06-15T00:00:00"/>
    <n v="21"/>
    <s v="SCEA LES PLAINES DE CLARY "/>
    <m/>
    <s v="FR"/>
    <n v="30"/>
    <s v="ST GENIES DE COMOLAS"/>
    <m/>
    <x v="48"/>
    <m/>
    <x v="0"/>
    <n v="60"/>
    <s v="CREPY EN VALOIS"/>
    <m/>
    <m/>
    <n v="2"/>
    <n v="2"/>
    <n v="900"/>
    <n v="0"/>
    <n v="0"/>
    <s v="Pal"/>
    <n v="2"/>
    <n v="0.8"/>
    <m/>
    <m/>
    <m/>
    <m/>
    <m/>
    <s v="PORTPAYE"/>
    <s v="AFFRET"/>
    <s v="EUR"/>
    <m/>
    <m/>
    <m/>
    <m/>
    <m/>
    <n v="315"/>
    <n v="605"/>
    <m/>
    <m/>
    <m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1"/>
    <n v="57.19"/>
    <n v="57.19"/>
    <s v=""/>
    <s v=""/>
    <s v=""/>
    <s v=""/>
    <s v=""/>
    <n v="57.19"/>
    <n v="0"/>
    <n v="0"/>
    <x v="0"/>
    <d v="2026-06-30T00:00:00"/>
    <s v="9505289-C01"/>
    <s v="EXP20260605-2783336"/>
    <n v="2026"/>
    <s v="26-06-0332171"/>
    <s v="EXP20260605-2783336"/>
    <x v="51"/>
    <s v="DAP"/>
    <s v="DOMESTIC"/>
    <s v="DOMESTIC"/>
    <n v="66190"/>
    <s v="MESS"/>
    <s v="EDI"/>
    <n v="725"/>
    <m/>
    <d v="2026-06-09T00:00:00"/>
    <n v="21"/>
    <s v="LA RUCHE LOGISTIQUE"/>
    <s v="EXP20260605-2783336"/>
    <s v="FR"/>
    <n v="21"/>
    <s v="CREANCEY"/>
    <d v="2026-06-11T00:00:00"/>
    <x v="49"/>
    <s v="EXP20260605-2783336"/>
    <x v="0"/>
    <n v="66"/>
    <s v="COLLIOURE"/>
    <s v="Magasin / Commerce"/>
    <m/>
    <n v="1"/>
    <n v="1"/>
    <n v="71"/>
    <n v="71"/>
    <n v="0"/>
    <s v="KG"/>
    <n v="71"/>
    <n v="0"/>
    <m/>
    <m/>
    <m/>
    <m/>
    <m/>
    <s v="PORTPAYE"/>
    <s v="STANDARD"/>
    <s v="EUR"/>
    <m/>
    <m/>
    <m/>
    <m/>
    <m/>
    <n v="44.03"/>
    <n v="57.1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0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2"/>
    <n v="50.589999999999996"/>
    <n v="50.589999999999996"/>
    <s v=""/>
    <s v=""/>
    <n v="7"/>
    <s v=""/>
    <s v=""/>
    <n v="43.589999999999996"/>
    <n v="0"/>
    <n v="0"/>
    <x v="0"/>
    <d v="2026-06-30T00:00:00"/>
    <s v="9505289-C01"/>
    <s v="EXP20260608-2785953"/>
    <n v="2026"/>
    <s v="26-06-0332173"/>
    <s v="EXP20260608-2785953"/>
    <x v="52"/>
    <s v="DAP"/>
    <s v="DOMESTIC"/>
    <s v="DOMESTIC"/>
    <n v="13001"/>
    <s v="MESS"/>
    <s v="EDI"/>
    <n v="530"/>
    <m/>
    <d v="2026-06-09T00:00:00"/>
    <n v="21"/>
    <s v="LA RUCHE LOGISTIQUE"/>
    <s v="EXP20260608-2785953"/>
    <s v="FR"/>
    <n v="21"/>
    <s v="CREANCEY"/>
    <d v="2026-06-10T00:00:00"/>
    <x v="50"/>
    <s v="EXP20260608-2785953"/>
    <x v="0"/>
    <n v="13"/>
    <s v="MARSEILLE"/>
    <m/>
    <m/>
    <n v="1"/>
    <n v="1"/>
    <n v="45"/>
    <n v="45"/>
    <n v="0"/>
    <s v="KG"/>
    <n v="45"/>
    <n v="0"/>
    <m/>
    <m/>
    <m/>
    <m/>
    <m/>
    <s v="PORTPAYE"/>
    <s v="STANDARD"/>
    <s v="EUR"/>
    <m/>
    <m/>
    <m/>
    <m/>
    <m/>
    <n v="33.15"/>
    <n v="50.5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2899999999999991"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3"/>
    <n v="60.7"/>
    <n v="60.7"/>
    <s v=""/>
    <s v=""/>
    <s v=""/>
    <s v=""/>
    <s v=""/>
    <n v="60.7"/>
    <n v="0"/>
    <n v="0"/>
    <x v="0"/>
    <d v="2026-06-30T00:00:00"/>
    <s v="9505289-C01"/>
    <s v="EXP20260605-2782826"/>
    <n v="2026"/>
    <s v="26-06-0332175"/>
    <s v="EXP20260605-2782826"/>
    <x v="53"/>
    <s v="DAP"/>
    <s v="DOMESTIC"/>
    <s v="DOMESTIC"/>
    <n v="83260"/>
    <s v="MESS"/>
    <s v="EDI"/>
    <n v="599"/>
    <m/>
    <d v="2026-06-09T00:00:00"/>
    <n v="21"/>
    <s v="LA RUCHE LOGISTIQUE"/>
    <s v="EXP20260605-2782826"/>
    <s v="FR"/>
    <n v="21"/>
    <s v="CREANCEY"/>
    <d v="2026-06-11T00:00:00"/>
    <x v="51"/>
    <s v="EXP20260605-2782826"/>
    <x v="0"/>
    <n v="83"/>
    <s v="LA CRAU"/>
    <m/>
    <m/>
    <n v="1"/>
    <n v="1"/>
    <n v="109"/>
    <n v="109"/>
    <n v="0"/>
    <s v="KG"/>
    <n v="109"/>
    <n v="0"/>
    <m/>
    <m/>
    <m/>
    <m/>
    <m/>
    <s v="PORTPAYE"/>
    <s v="STANDARD"/>
    <s v="EUR"/>
    <m/>
    <m/>
    <m/>
    <m/>
    <m/>
    <n v="46.84"/>
    <n v="60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7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4"/>
    <n v="45.94"/>
    <n v="45.94"/>
    <s v=""/>
    <s v=""/>
    <s v=""/>
    <s v=""/>
    <s v=""/>
    <n v="45.94"/>
    <n v="0"/>
    <n v="0"/>
    <x v="0"/>
    <d v="2026-06-30T00:00:00"/>
    <s v="9505289-C01"/>
    <s v="EXP20260608-2786159"/>
    <n v="2026"/>
    <s v="26-06-0332178"/>
    <s v="EXP20260608-2786159"/>
    <x v="54"/>
    <s v="DAP"/>
    <s v="DOMESTIC"/>
    <s v="DOMESTIC"/>
    <n v="11200"/>
    <s v="MESS"/>
    <s v="EDI"/>
    <n v="685"/>
    <m/>
    <d v="2026-06-09T00:00:00"/>
    <n v="21"/>
    <s v="LA RUCHE LOGISTIQUE"/>
    <s v="EXP20260608-2786159"/>
    <s v="FR"/>
    <n v="21"/>
    <s v="CREANCEY"/>
    <d v="2026-06-11T00:00:00"/>
    <x v="52"/>
    <s v="EXP20260608-2786159"/>
    <x v="0"/>
    <n v="11"/>
    <s v="BIZANET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35.03"/>
    <n v="45.9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5"/>
    <n v="48.39"/>
    <n v="48.39"/>
    <s v=""/>
    <s v=""/>
    <s v=""/>
    <s v=""/>
    <s v=""/>
    <n v="48.39"/>
    <n v="0"/>
    <n v="0"/>
    <x v="0"/>
    <d v="2026-06-30T00:00:00"/>
    <s v="9505289-C01"/>
    <s v="EXP20260605-2782634"/>
    <n v="2026"/>
    <s v="26-06-0332180"/>
    <s v="EXP20260605-2782634"/>
    <x v="55"/>
    <s v="DAP"/>
    <s v="DOMESTIC"/>
    <s v="DOMESTIC"/>
    <n v="83690"/>
    <s v="MESS"/>
    <s v="EDI"/>
    <n v="599"/>
    <m/>
    <d v="2026-06-09T00:00:00"/>
    <n v="21"/>
    <s v="LA RUCHE LOGISTIQUE"/>
    <s v="EXP20260605-2782634"/>
    <s v="FR"/>
    <n v="21"/>
    <s v="CREANCEY"/>
    <d v="2026-06-15T00:00:00"/>
    <x v="53"/>
    <s v="EXP20260605-2782634"/>
    <x v="0"/>
    <n v="83"/>
    <s v="SALERNES"/>
    <m/>
    <m/>
    <n v="1"/>
    <n v="1"/>
    <n v="51"/>
    <n v="51"/>
    <n v="0"/>
    <s v="KG"/>
    <n v="51"/>
    <n v="0"/>
    <m/>
    <m/>
    <m/>
    <m/>
    <m/>
    <s v="PORTPAYE"/>
    <s v="STANDARD"/>
    <s v="EUR"/>
    <m/>
    <m/>
    <m/>
    <m/>
    <m/>
    <n v="36.99"/>
    <n v="48.3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6"/>
    <n v="33.85"/>
    <n v="33.85"/>
    <s v=""/>
    <s v=""/>
    <s v=""/>
    <s v=""/>
    <s v=""/>
    <n v="33.85"/>
    <n v="0"/>
    <n v="0"/>
    <x v="0"/>
    <d v="2026-06-30T00:00:00"/>
    <s v="9505289-C01"/>
    <s v="EXP20260605-2783082"/>
    <n v="2026"/>
    <s v="26-06-0332183"/>
    <s v="EXP20260605-2783082"/>
    <x v="56"/>
    <s v="DAP"/>
    <s v="DOMESTIC"/>
    <s v="DOMESTIC"/>
    <n v="34150"/>
    <s v="MESS"/>
    <s v="EDI"/>
    <n v="560"/>
    <m/>
    <d v="2026-06-09T00:00:00"/>
    <n v="21"/>
    <s v="LA RUCHE LOGISTIQUE"/>
    <s v="EXP20260605-2783082"/>
    <s v="FR"/>
    <n v="21"/>
    <s v="CREANCEY"/>
    <d v="2026-06-15T00:00:00"/>
    <x v="54"/>
    <s v="EXP20260605-2783082"/>
    <x v="0"/>
    <n v="34"/>
    <s v="LA BOISSIERE"/>
    <m/>
    <m/>
    <n v="1"/>
    <n v="1"/>
    <n v="14"/>
    <n v="14"/>
    <n v="0"/>
    <s v="KG"/>
    <n v="14"/>
    <n v="0"/>
    <m/>
    <m/>
    <m/>
    <m/>
    <m/>
    <s v="PORTPAYE"/>
    <s v="STANDARD"/>
    <s v="EUR"/>
    <m/>
    <m/>
    <m/>
    <m/>
    <m/>
    <n v="25.36"/>
    <n v="33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7"/>
    <n v="223.92999999999998"/>
    <n v="223.92999999999998"/>
    <s v=""/>
    <s v=""/>
    <s v=""/>
    <s v=""/>
    <s v=""/>
    <n v="223.92999999999998"/>
    <n v="0"/>
    <n v="0"/>
    <x v="0"/>
    <d v="2026-06-30T00:00:00"/>
    <s v="9505289-C01"/>
    <s v="EXP20260604-2781391"/>
    <n v="2026"/>
    <s v="26-06-0332186"/>
    <s v="EXP20260604-2781391"/>
    <x v="57"/>
    <s v="DAP"/>
    <s v="DOMESTIC"/>
    <s v="DOMESTIC"/>
    <n v="33700"/>
    <s v="MESS"/>
    <s v="EDI"/>
    <n v="690"/>
    <m/>
    <d v="2026-06-09T00:00:00"/>
    <n v="21"/>
    <s v="LA RUCHE LOGISTIQUE"/>
    <s v="EXP20260604-2781391"/>
    <s v="FR"/>
    <n v="21"/>
    <s v="CREANCEY"/>
    <d v="2026-06-12T00:00:00"/>
    <x v="55"/>
    <s v="EXP20260604-2781391"/>
    <x v="0"/>
    <n v="33"/>
    <s v="MERIGNAC"/>
    <m/>
    <m/>
    <n v="3"/>
    <n v="3"/>
    <n v="390"/>
    <n v="390"/>
    <n v="0"/>
    <s v="Pal"/>
    <n v="3"/>
    <n v="0"/>
    <m/>
    <m/>
    <m/>
    <m/>
    <m/>
    <s v="PORTPAYE"/>
    <s v="STANDARD"/>
    <s v="EUR"/>
    <m/>
    <m/>
    <m/>
    <m/>
    <m/>
    <n v="177.42"/>
    <n v="223.9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.3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58"/>
    <n v="41.71"/>
    <n v="41.71"/>
    <s v=""/>
    <s v=""/>
    <s v=""/>
    <s v=""/>
    <s v=""/>
    <n v="41.71"/>
    <n v="0"/>
    <n v="0"/>
    <x v="0"/>
    <d v="2026-06-30T00:00:00"/>
    <s v="9505289-C01"/>
    <s v="EXP20260603-2777654"/>
    <n v="2026"/>
    <s v="26-06-0354623"/>
    <m/>
    <x v="58"/>
    <s v="DAP"/>
    <s v="DOMESTIC"/>
    <s v="DOMESTIC"/>
    <n v="93290"/>
    <s v="MESS"/>
    <s v="SOUF"/>
    <n v="126"/>
    <m/>
    <d v="2026-06-10T00:00:00"/>
    <n v="60"/>
    <s v="LA RUCHE LOGISTIQUE"/>
    <s v="EXP20260603-2777654"/>
    <s v="FR"/>
    <n v="21"/>
    <s v="CREANCEY"/>
    <d v="2026-06-11T00:00:00"/>
    <x v="56"/>
    <s v="EXP20260603-2777654"/>
    <x v="0"/>
    <n v="93"/>
    <s v="TREMBLAY EN FRANCE"/>
    <m/>
    <m/>
    <n v="1"/>
    <n v="1"/>
    <n v="354"/>
    <n v="354"/>
    <n v="0"/>
    <s v="Pal"/>
    <n v="1"/>
    <n v="0"/>
    <m/>
    <m/>
    <m/>
    <m/>
    <m/>
    <s v="TIERSPAYANT"/>
    <s v="STANDARD"/>
    <s v="EUR"/>
    <m/>
    <m/>
    <m/>
    <m/>
    <m/>
    <n v="41.71"/>
    <n v="41.7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9"/>
    <n v="85.700000000000017"/>
    <n v="85.700000000000017"/>
    <s v=""/>
    <s v=""/>
    <s v=""/>
    <s v=""/>
    <s v=""/>
    <n v="85.700000000000017"/>
    <n v="0"/>
    <n v="0"/>
    <x v="0"/>
    <d v="2026-06-30T00:00:00"/>
    <s v="9505289-C01"/>
    <n v="5001337"/>
    <n v="2026"/>
    <s v="26-06-0390328"/>
    <n v="5001337"/>
    <x v="59"/>
    <s v="DAP"/>
    <s v="DOMESTIC"/>
    <s v="DOMESTIC"/>
    <n v="44190"/>
    <s v="MESS"/>
    <s v="EDI"/>
    <n v="769"/>
    <m/>
    <d v="2026-06-10T00:00:00"/>
    <n v="21"/>
    <s v="LA RUCHE LOGISTIQUE"/>
    <n v="5001337"/>
    <s v="FR"/>
    <n v="21"/>
    <s v="CREANCEY"/>
    <d v="2026-06-12T00:00:00"/>
    <x v="57"/>
    <n v="5001337"/>
    <x v="0"/>
    <n v="44"/>
    <s v="GETIGNE"/>
    <m/>
    <m/>
    <n v="1"/>
    <n v="1"/>
    <n v="157"/>
    <n v="438"/>
    <n v="1.75"/>
    <s v="Pal"/>
    <n v="1"/>
    <n v="0"/>
    <m/>
    <m/>
    <m/>
    <m/>
    <m/>
    <s v="PORTPAYE"/>
    <s v="STANDARD"/>
    <s v="EUR"/>
    <m/>
    <m/>
    <m/>
    <m/>
    <m/>
    <n v="66.84"/>
    <n v="85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.7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0"/>
    <n v="41.98"/>
    <n v="41.98"/>
    <s v=""/>
    <s v=""/>
    <s v=""/>
    <s v=""/>
    <s v=""/>
    <n v="41.98"/>
    <n v="0"/>
    <n v="0"/>
    <x v="0"/>
    <d v="2026-06-30T00:00:00"/>
    <s v="9505289-C01"/>
    <s v="EXP20260610-2790057"/>
    <n v="2026"/>
    <s v="26-06-0390329"/>
    <s v="EXP20260610-2790057"/>
    <x v="60"/>
    <s v="DAP"/>
    <s v="DOMESTIC"/>
    <s v="DOMESTIC"/>
    <n v="13130"/>
    <s v="MESS"/>
    <s v="EDI"/>
    <n v="565"/>
    <m/>
    <d v="2026-06-10T00:00:00"/>
    <n v="21"/>
    <s v="LA RUCHE LOGISTIQUE"/>
    <s v="EXP20260610-2790057"/>
    <s v="FR"/>
    <n v="21"/>
    <s v="CREANCEY"/>
    <d v="2026-06-17T00:00:00"/>
    <x v="58"/>
    <s v="EXP20260610-2790057"/>
    <x v="0"/>
    <n v="13"/>
    <s v="BERRE L ETANG"/>
    <m/>
    <m/>
    <n v="1"/>
    <n v="1"/>
    <n v="39"/>
    <n v="39"/>
    <n v="0"/>
    <s v="KG"/>
    <n v="39"/>
    <n v="0"/>
    <m/>
    <m/>
    <m/>
    <m/>
    <m/>
    <s v="PORTPAYE"/>
    <s v="STANDARD"/>
    <s v="EUR"/>
    <m/>
    <m/>
    <m/>
    <m/>
    <m/>
    <n v="31.86"/>
    <n v="41.9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97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1"/>
    <n v="83.06"/>
    <n v="83.06"/>
    <s v=""/>
    <s v=""/>
    <s v=""/>
    <s v=""/>
    <s v=""/>
    <n v="83.06"/>
    <n v="0"/>
    <n v="0"/>
    <x v="0"/>
    <d v="2026-06-30T00:00:00"/>
    <s v="9505289-C01"/>
    <s v="EXP20260610-2789905"/>
    <n v="2026"/>
    <s v="26-06-0390330"/>
    <s v="EXP20260610-2789905"/>
    <x v="61"/>
    <s v="DAP"/>
    <s v="DOMESTIC"/>
    <s v="DOMESTIC"/>
    <n v="1450"/>
    <s v="MESS"/>
    <s v="EDI"/>
    <n v="312"/>
    <m/>
    <d v="2026-06-10T00:00:00"/>
    <n v="21"/>
    <s v="LA RUCHE LOGISTIQUE"/>
    <s v="EXP20260610-2789905"/>
    <s v="FR"/>
    <n v="21"/>
    <s v="CREANCEY"/>
    <d v="2026-06-15T00:00:00"/>
    <x v="59"/>
    <s v="EXP20260610-2789905"/>
    <x v="0"/>
    <n v="1"/>
    <s v="CERDON"/>
    <m/>
    <m/>
    <n v="2"/>
    <n v="2"/>
    <n v="234"/>
    <n v="234"/>
    <n v="0"/>
    <s v="Pal"/>
    <n v="2"/>
    <n v="0"/>
    <m/>
    <m/>
    <m/>
    <m/>
    <m/>
    <s v="PORTPAYE"/>
    <s v="STANDARD"/>
    <s v="EUR"/>
    <m/>
    <m/>
    <m/>
    <m/>
    <m/>
    <n v="80.91"/>
    <n v="83.0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2"/>
    <n v="51.74"/>
    <n v="51.74"/>
    <s v=""/>
    <s v=""/>
    <s v=""/>
    <s v=""/>
    <s v=""/>
    <n v="51.74"/>
    <n v="0"/>
    <n v="0"/>
    <x v="0"/>
    <d v="2026-06-30T00:00:00"/>
    <s v="9505289-C01"/>
    <s v="EXP20260609-2788027"/>
    <n v="2026"/>
    <s v="26-06-0390331"/>
    <s v="EXP20260609-2788027"/>
    <x v="62"/>
    <s v="DAP"/>
    <s v="DOMESTIC"/>
    <s v="DOMESTIC"/>
    <n v="30250"/>
    <s v="MESS"/>
    <s v="EDI"/>
    <n v="540"/>
    <m/>
    <d v="2026-06-10T00:00:00"/>
    <n v="21"/>
    <s v="LA RUCHE LOGISTIQUE"/>
    <s v="EXP20260609-2788027"/>
    <s v="FR"/>
    <n v="21"/>
    <s v="CREANCEY"/>
    <d v="2026-06-15T00:00:00"/>
    <x v="60"/>
    <s v="EXP20260609-2788027"/>
    <x v="0"/>
    <n v="30"/>
    <s v="SOUVIGNARGUES"/>
    <m/>
    <m/>
    <n v="1"/>
    <n v="1"/>
    <n v="85"/>
    <n v="85"/>
    <n v="0"/>
    <s v="KG"/>
    <n v="85"/>
    <n v="0"/>
    <m/>
    <m/>
    <m/>
    <m/>
    <m/>
    <s v="PORTPAYE"/>
    <s v="STANDARD"/>
    <s v="EUR"/>
    <m/>
    <m/>
    <m/>
    <m/>
    <m/>
    <n v="39.67"/>
    <n v="51.7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9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3"/>
    <n v="80.900000000000006"/>
    <n v="80.900000000000006"/>
    <s v=""/>
    <s v=""/>
    <s v=""/>
    <s v=""/>
    <s v=""/>
    <n v="80.900000000000006"/>
    <n v="0"/>
    <n v="0"/>
    <x v="0"/>
    <d v="2026-06-30T00:00:00"/>
    <s v="9505289-C01"/>
    <s v="EXP20260608-2786160"/>
    <n v="2026"/>
    <s v="26-06-0390332"/>
    <s v="EXP20260608-2786160"/>
    <x v="63"/>
    <s v="DAP"/>
    <s v="DOMESTIC"/>
    <s v="DOMESTIC"/>
    <n v="33290"/>
    <s v="MESS"/>
    <s v="EDI"/>
    <n v="739"/>
    <m/>
    <d v="2026-06-10T00:00:00"/>
    <n v="21"/>
    <s v="LA RUCHE LOGISTIQUE"/>
    <s v="EXP20260608-2786160"/>
    <s v="FR"/>
    <n v="21"/>
    <s v="CREANCEY"/>
    <d v="2026-06-22T00:00:00"/>
    <x v="61"/>
    <s v="EXP20260608-2786160"/>
    <x v="0"/>
    <n v="33"/>
    <s v="BLANQUEFORT"/>
    <m/>
    <m/>
    <n v="1"/>
    <n v="1"/>
    <n v="138"/>
    <n v="138"/>
    <n v="0"/>
    <s v="KG"/>
    <n v="138"/>
    <n v="0"/>
    <m/>
    <m/>
    <m/>
    <m/>
    <m/>
    <s v="PORTPAYE"/>
    <s v="STANDARD"/>
    <s v="EUR"/>
    <m/>
    <m/>
    <m/>
    <m/>
    <m/>
    <n v="63"/>
    <n v="80.90000000000000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.7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4"/>
    <n v="69.650000000000006"/>
    <n v="69.650000000000006"/>
    <s v=""/>
    <s v=""/>
    <s v=""/>
    <s v=""/>
    <s v=""/>
    <n v="69.650000000000006"/>
    <n v="0"/>
    <n v="0"/>
    <x v="0"/>
    <d v="2026-06-30T00:00:00"/>
    <s v="9505289-C01"/>
    <s v="EXP20260609-2788058"/>
    <n v="2026"/>
    <s v="26-06-0390333"/>
    <s v="EXP20260609-2788058"/>
    <x v="64"/>
    <s v="DAP"/>
    <s v="DOMESTIC"/>
    <s v="DOMESTIC"/>
    <n v="33330"/>
    <s v="MESS"/>
    <s v="EDI"/>
    <n v="713"/>
    <m/>
    <d v="2026-06-10T00:00:00"/>
    <n v="21"/>
    <s v="LA RUCHE LOGISTIQUE"/>
    <s v="EXP20260609-2788058"/>
    <s v="FR"/>
    <n v="21"/>
    <s v="CREANCEY"/>
    <d v="2026-06-12T00:00:00"/>
    <x v="62"/>
    <s v="EXP20260609-2788058"/>
    <x v="0"/>
    <n v="33"/>
    <s v="ST CHRISTOPHE DES BARDES"/>
    <m/>
    <m/>
    <n v="1"/>
    <n v="1"/>
    <n v="118"/>
    <n v="118"/>
    <n v="0"/>
    <s v="KG"/>
    <n v="118"/>
    <n v="0"/>
    <m/>
    <m/>
    <m/>
    <m/>
    <m/>
    <s v="PORTPAYE"/>
    <s v="STANDARD"/>
    <s v="EUR"/>
    <m/>
    <m/>
    <m/>
    <m/>
    <m/>
    <n v="54"/>
    <n v="69.65000000000000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5"/>
    <n v="73.460000000000008"/>
    <n v="73.460000000000008"/>
    <s v=""/>
    <s v=""/>
    <s v=""/>
    <s v=""/>
    <s v=""/>
    <n v="73.460000000000008"/>
    <n v="0"/>
    <n v="0"/>
    <x v="0"/>
    <d v="2026-06-30T00:00:00"/>
    <s v="9505289-C01"/>
    <s v="EXP20260608-2787012"/>
    <n v="2026"/>
    <s v="26-06-0390334"/>
    <s v="EXP20260608-2787012"/>
    <x v="65"/>
    <s v="DAP"/>
    <s v="DOMESTIC"/>
    <s v="DOMESTIC"/>
    <n v="34880"/>
    <s v="MESS"/>
    <s v="EDI"/>
    <n v="560"/>
    <m/>
    <d v="2026-06-10T00:00:00"/>
    <n v="21"/>
    <s v="LA RUCHE LOGISTIQUE"/>
    <s v="EXP20260608-2787012"/>
    <s v="FR"/>
    <n v="21"/>
    <s v="CREANCEY"/>
    <d v="2026-06-12T00:00:00"/>
    <x v="63"/>
    <s v="EXP20260608-2787012"/>
    <x v="0"/>
    <n v="34"/>
    <s v="LAVERUNE"/>
    <m/>
    <m/>
    <n v="1"/>
    <n v="1"/>
    <n v="161"/>
    <n v="161"/>
    <n v="0"/>
    <s v="Pal"/>
    <n v="1"/>
    <n v="0"/>
    <m/>
    <m/>
    <m/>
    <m/>
    <m/>
    <s v="PORTPAYE"/>
    <s v="STANDARD"/>
    <s v="EUR"/>
    <m/>
    <m/>
    <m/>
    <m/>
    <m/>
    <n v="57.05"/>
    <n v="73.45999999999999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2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6"/>
    <n v="72.63000000000001"/>
    <n v="72.63000000000001"/>
    <s v=""/>
    <s v=""/>
    <s v=""/>
    <s v=""/>
    <s v=""/>
    <n v="72.63000000000001"/>
    <n v="0"/>
    <n v="0"/>
    <x v="0"/>
    <n v="46203"/>
    <s v="9505289-C01"/>
    <s v="EXP20260609-2788973"/>
    <n v="2026"/>
    <s v="26-06-0390335"/>
    <s v="EXP20260609-2788973"/>
    <x v="66"/>
    <s v="DAP"/>
    <s v="DOMESTIC"/>
    <s v="DOMESTIC"/>
    <n v="81140"/>
    <s v="MESS"/>
    <s v="EDI"/>
    <n v="660"/>
    <m/>
    <n v="46183"/>
    <n v="21"/>
    <s v="LA RUCHE LOGISTIQUE"/>
    <s v="EXP20260609-2788973"/>
    <s v="FR"/>
    <n v="21"/>
    <s v="CREANCEY"/>
    <n v="46190"/>
    <x v="64"/>
    <s v="EXP20260609-2788973"/>
    <x v="0"/>
    <n v="81"/>
    <s v="CAHUZAC SUR VERE"/>
    <m/>
    <m/>
    <n v="1"/>
    <n v="1"/>
    <n v="132"/>
    <n v="132"/>
    <n v="0"/>
    <s v="KG"/>
    <n v="132"/>
    <n v="0"/>
    <m/>
    <m/>
    <m/>
    <m/>
    <m/>
    <s v="PORTPAYE"/>
    <s v="STANDARD"/>
    <s v="EUR"/>
    <m/>
    <m/>
    <m/>
    <m/>
    <m/>
    <n v="70.48"/>
    <n v="72.6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7"/>
    <n v="56.4"/>
    <n v="56.4"/>
    <s v=""/>
    <s v=""/>
    <s v=""/>
    <s v=""/>
    <s v=""/>
    <n v="56.4"/>
    <n v="0"/>
    <n v="0"/>
    <x v="0"/>
    <d v="2026-06-30T00:00:00"/>
    <s v="9505289-C01"/>
    <s v="EXP20260609-2789330"/>
    <n v="2026"/>
    <s v="26-06-0390336"/>
    <s v="EXP20260609-2789330"/>
    <x v="67"/>
    <s v="DAP"/>
    <s v="DOMESTIC"/>
    <s v="DOMESTIC"/>
    <n v="83400"/>
    <s v="MESS"/>
    <s v="EDI"/>
    <n v="604"/>
    <m/>
    <d v="2026-06-10T00:00:00"/>
    <n v="21"/>
    <s v="LA RUCHE LOGISTIQUE"/>
    <s v="EXP20260609-2789330"/>
    <s v="FR"/>
    <n v="21"/>
    <s v="CREANCEY"/>
    <d v="2026-06-15T00:00:00"/>
    <x v="65"/>
    <s v="EXP20260609-2789330"/>
    <x v="0"/>
    <n v="83"/>
    <s v="HYERES"/>
    <m/>
    <m/>
    <n v="1"/>
    <n v="1"/>
    <n v="82"/>
    <n v="82"/>
    <n v="0"/>
    <s v="KG"/>
    <n v="82"/>
    <n v="0"/>
    <m/>
    <m/>
    <m/>
    <m/>
    <m/>
    <s v="PORTPAYE"/>
    <s v="STANDARD"/>
    <s v="EUR"/>
    <m/>
    <m/>
    <m/>
    <m/>
    <m/>
    <n v="43.4"/>
    <n v="56.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8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8"/>
    <n v="45.999999999999993"/>
    <n v="45.999999999999993"/>
    <s v=""/>
    <s v=""/>
    <s v=""/>
    <s v=""/>
    <s v=""/>
    <n v="45.999999999999993"/>
    <n v="0"/>
    <n v="0"/>
    <x v="0"/>
    <d v="2026-06-30T00:00:00"/>
    <s v="9505289-C01"/>
    <s v="EXP20260609-2788555"/>
    <n v="2026"/>
    <s v="26-06-0390338"/>
    <s v="EXP20260609-2788555"/>
    <x v="68"/>
    <s v="DAP"/>
    <s v="DOMESTIC"/>
    <s v="DOMESTIC"/>
    <n v="34230"/>
    <s v="MESS"/>
    <s v="EDI"/>
    <n v="560"/>
    <m/>
    <d v="2026-06-10T00:00:00"/>
    <n v="21"/>
    <s v="LA RUCHE LOGISTIQUE"/>
    <s v="EXP20260609-2788555"/>
    <s v="FR"/>
    <n v="21"/>
    <s v="CREANCEY"/>
    <d v="2026-06-15T00:00:00"/>
    <x v="66"/>
    <s v="EXP20260609-2788555"/>
    <x v="0"/>
    <n v="34"/>
    <s v="ST PARGOIRE"/>
    <m/>
    <m/>
    <n v="1"/>
    <n v="1"/>
    <n v="58"/>
    <n v="58"/>
    <n v="0"/>
    <s v="KG"/>
    <n v="58"/>
    <n v="0"/>
    <m/>
    <m/>
    <m/>
    <m/>
    <m/>
    <s v="PORTPAYE"/>
    <s v="STANDARD"/>
    <s v="EUR"/>
    <m/>
    <m/>
    <m/>
    <m/>
    <m/>
    <n v="35.08"/>
    <n v="4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7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69"/>
    <n v="85.700000000000017"/>
    <n v="85.700000000000017"/>
    <s v=""/>
    <s v=""/>
    <s v=""/>
    <s v=""/>
    <s v=""/>
    <n v="85.700000000000017"/>
    <n v="0"/>
    <n v="0"/>
    <x v="0"/>
    <d v="2026-06-30T00:00:00"/>
    <s v="9505289-C01"/>
    <s v="EXP20260608-2787224"/>
    <n v="2026"/>
    <s v="26-06-0390340"/>
    <s v="EXP20260608-2787224"/>
    <x v="69"/>
    <s v="DAP"/>
    <s v="DOMESTIC"/>
    <s v="DOMESTIC"/>
    <n v="44190"/>
    <s v="MESS"/>
    <s v="EDI"/>
    <n v="769"/>
    <m/>
    <d v="2026-06-10T00:00:00"/>
    <n v="21"/>
    <s v="LA RUCHE LOGISTIQUE"/>
    <s v="EXP20260608-2787224"/>
    <s v="FR"/>
    <n v="21"/>
    <s v="CREANCEY"/>
    <d v="2026-06-15T00:00:00"/>
    <x v="67"/>
    <s v="EXP20260608-2787224"/>
    <x v="0"/>
    <n v="44"/>
    <s v="GETIGNE"/>
    <m/>
    <m/>
    <n v="1"/>
    <n v="1"/>
    <n v="231"/>
    <n v="231"/>
    <n v="0"/>
    <s v="Pal"/>
    <n v="1"/>
    <n v="0"/>
    <m/>
    <m/>
    <m/>
    <m/>
    <m/>
    <s v="PORTPAYE"/>
    <s v="STANDARD"/>
    <s v="EUR"/>
    <m/>
    <m/>
    <m/>
    <m/>
    <m/>
    <n v="66.84"/>
    <n v="85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.7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0"/>
    <n v="51.4"/>
    <n v="51.4"/>
    <s v=""/>
    <s v=""/>
    <s v=""/>
    <s v=""/>
    <s v=""/>
    <n v="51.4"/>
    <n v="0"/>
    <n v="0"/>
    <x v="0"/>
    <d v="2026-06-30T00:00:00"/>
    <s v="9505289-C01"/>
    <s v="EXP20260610-2790604"/>
    <n v="2026"/>
    <s v="26-06-0390342"/>
    <s v="EXP20260610-2790604"/>
    <x v="70"/>
    <s v="DAP"/>
    <s v="DOMESTIC"/>
    <s v="DOMESTIC"/>
    <n v="84420"/>
    <s v="MESS"/>
    <s v="EDI"/>
    <n v="468"/>
    <m/>
    <d v="2026-06-10T00:00:00"/>
    <n v="21"/>
    <s v="LA RUCHE LOGISTIQUE"/>
    <s v="EXP20260610-2790604"/>
    <s v="FR"/>
    <n v="21"/>
    <s v="CREANCEY"/>
    <d v="2026-06-15T00:00:00"/>
    <x v="68"/>
    <s v="EXP20260610-2790604"/>
    <x v="0"/>
    <n v="84"/>
    <s v="PIOLENC"/>
    <m/>
    <m/>
    <n v="1"/>
    <n v="1"/>
    <n v="98"/>
    <n v="98"/>
    <n v="0"/>
    <s v="KG"/>
    <n v="98"/>
    <n v="0"/>
    <m/>
    <m/>
    <m/>
    <m/>
    <m/>
    <s v="PORTPAYE"/>
    <s v="STANDARD"/>
    <s v="EUR"/>
    <m/>
    <m/>
    <m/>
    <m/>
    <m/>
    <n v="39.4"/>
    <n v="51.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8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1"/>
    <n v="161.72999999999999"/>
    <n v="161.72999999999999"/>
    <s v=""/>
    <s v=""/>
    <s v=""/>
    <s v=""/>
    <s v=""/>
    <n v="161.72999999999999"/>
    <n v="0"/>
    <n v="0"/>
    <x v="0"/>
    <d v="2026-06-30T00:00:00"/>
    <s v="9505289-C01"/>
    <s v="EXP20260609-2789151"/>
    <n v="2026"/>
    <s v="26-06-0390344"/>
    <s v="EXP20260609-2789151"/>
    <x v="71"/>
    <s v="DAP"/>
    <s v="DOMESTIC"/>
    <s v="DOMESTIC"/>
    <n v="33330"/>
    <s v="MESS"/>
    <s v="EDI"/>
    <n v="713"/>
    <m/>
    <d v="2026-06-10T00:00:00"/>
    <n v="21"/>
    <s v="LA RUCHE LOGISTIQUE"/>
    <s v="EXP20260609-2789151"/>
    <s v="FR"/>
    <n v="21"/>
    <s v="CREANCEY"/>
    <d v="2026-06-15T00:00:00"/>
    <x v="69"/>
    <s v="EXP20260609-2789151"/>
    <x v="0"/>
    <n v="33"/>
    <s v="ST EMILION"/>
    <m/>
    <m/>
    <n v="2"/>
    <n v="2"/>
    <n v="276"/>
    <n v="276"/>
    <n v="0"/>
    <s v="Pal"/>
    <n v="2"/>
    <n v="0"/>
    <m/>
    <m/>
    <m/>
    <m/>
    <m/>
    <s v="PORTPAYE"/>
    <s v="STANDARD"/>
    <s v="EUR"/>
    <m/>
    <m/>
    <m/>
    <m/>
    <m/>
    <n v="127.66"/>
    <n v="161.7299999999999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.9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2"/>
    <n v="30.97"/>
    <n v="30.97"/>
    <s v=""/>
    <s v=""/>
    <s v=""/>
    <s v=""/>
    <s v=""/>
    <n v="30.97"/>
    <n v="0"/>
    <n v="0"/>
    <x v="0"/>
    <d v="2026-06-30T00:00:00"/>
    <s v="9505289-C01"/>
    <s v="EXP20260608-2786161"/>
    <n v="2026"/>
    <s v="26-06-0390346"/>
    <s v="EXP20260608-2786161"/>
    <x v="72"/>
    <s v="DAP"/>
    <s v="DOMESTIC"/>
    <s v="DOMESTIC"/>
    <n v="21200"/>
    <s v="MESS"/>
    <s v="EDI"/>
    <n v="81"/>
    <m/>
    <d v="2026-06-10T00:00:00"/>
    <n v="21"/>
    <s v="LA RUCHE LOGISTIQUE"/>
    <s v="EXP20260608-2786161"/>
    <s v="FR"/>
    <n v="21"/>
    <s v="CREANCEY"/>
    <d v="2026-06-12T00:00:00"/>
    <x v="70"/>
    <s v="EXP20260608-2786161"/>
    <x v="0"/>
    <n v="21"/>
    <s v="BEAUNE"/>
    <m/>
    <m/>
    <n v="1"/>
    <n v="1"/>
    <n v="114"/>
    <n v="114"/>
    <n v="0"/>
    <s v="KG"/>
    <n v="114"/>
    <n v="0"/>
    <m/>
    <m/>
    <m/>
    <m/>
    <m/>
    <s v="PORTPAYE"/>
    <s v="STANDARD"/>
    <s v="EUR"/>
    <m/>
    <m/>
    <m/>
    <m/>
    <m/>
    <n v="28.82"/>
    <n v="30.9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3"/>
    <n v="28.779999999999998"/>
    <n v="28.779999999999998"/>
    <s v=""/>
    <s v=""/>
    <s v=""/>
    <s v=""/>
    <s v=""/>
    <n v="28.779999999999998"/>
    <n v="0"/>
    <n v="0"/>
    <x v="0"/>
    <d v="2026-06-30T00:00:00"/>
    <s v="9505289-C01"/>
    <s v="EXP20260609-2789032"/>
    <n v="2026"/>
    <s v="26-06-0390349"/>
    <s v="EXP20260609-2789032"/>
    <x v="73"/>
    <s v="DAP"/>
    <s v="DOMESTIC"/>
    <s v="DOMESTIC"/>
    <n v="89800"/>
    <s v="MESS"/>
    <s v="EDI"/>
    <n v="236"/>
    <m/>
    <d v="2026-06-10T00:00:00"/>
    <n v="21"/>
    <s v="LA RUCHE LOGISTIQUE"/>
    <s v="EXP20260609-2789032"/>
    <s v="FR"/>
    <n v="21"/>
    <s v="CREANCEY"/>
    <d v="2026-06-22T00:00:00"/>
    <x v="71"/>
    <s v="EXP20260609-2789032"/>
    <x v="0"/>
    <n v="89"/>
    <s v="LA CHAPELLE VAUPELTEIGNE"/>
    <m/>
    <m/>
    <n v="1"/>
    <n v="1"/>
    <n v="52"/>
    <n v="52"/>
    <n v="0"/>
    <s v="KG"/>
    <n v="52"/>
    <n v="0"/>
    <m/>
    <m/>
    <m/>
    <m/>
    <m/>
    <s v="PORTPAYE"/>
    <s v="STANDARD"/>
    <s v="EUR"/>
    <m/>
    <m/>
    <m/>
    <m/>
    <m/>
    <n v="26.63"/>
    <n v="28.7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4"/>
    <n v="110.42"/>
    <n v="110.42"/>
    <s v=""/>
    <s v=""/>
    <s v=""/>
    <s v=""/>
    <s v=""/>
    <n v="110.42"/>
    <n v="0"/>
    <n v="0"/>
    <x v="0"/>
    <d v="2026-06-30T00:00:00"/>
    <s v="9505289-C01"/>
    <s v="EXP20260609-2789150"/>
    <n v="2026"/>
    <s v="26-06-0390351"/>
    <s v="EXP20260609-2789150"/>
    <x v="74"/>
    <s v="DAP"/>
    <s v="DOMESTIC"/>
    <s v="DOMESTIC"/>
    <n v="5130"/>
    <s v="MESS"/>
    <s v="EDI"/>
    <n v="524"/>
    <m/>
    <d v="2026-06-10T00:00:00"/>
    <n v="21"/>
    <s v="LA RUCHE LOGISTIQUE"/>
    <s v="EXP20260609-2789150"/>
    <s v="FR"/>
    <n v="21"/>
    <s v="CREANCEY"/>
    <d v="2026-06-15T00:00:00"/>
    <x v="72"/>
    <s v="EXP20260609-2789150"/>
    <x v="0"/>
    <n v="5"/>
    <s v="TALLARD"/>
    <m/>
    <m/>
    <n v="2"/>
    <n v="2"/>
    <n v="231"/>
    <n v="231"/>
    <n v="0"/>
    <s v="Pal"/>
    <n v="2"/>
    <n v="0"/>
    <m/>
    <m/>
    <m/>
    <m/>
    <m/>
    <s v="PORTPAYE"/>
    <s v="STANDARD"/>
    <s v="EUR"/>
    <m/>
    <m/>
    <m/>
    <m/>
    <m/>
    <n v="108.27"/>
    <n v="110.4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5"/>
    <n v="29.08"/>
    <n v="29.08"/>
    <s v=""/>
    <s v=""/>
    <s v=""/>
    <s v=""/>
    <s v=""/>
    <n v="29.08"/>
    <n v="0"/>
    <n v="0"/>
    <x v="0"/>
    <d v="2026-06-30T00:00:00"/>
    <s v="9505289-C01"/>
    <s v="EXP20260609-2789152"/>
    <n v="2026"/>
    <s v="26-06-0390352"/>
    <s v="EXP20260609-2789152"/>
    <x v="75"/>
    <s v="DAP"/>
    <s v="DOMESTIC"/>
    <s v="DOMESTIC"/>
    <n v="14000"/>
    <s v="MESS"/>
    <s v="EDI"/>
    <n v="644"/>
    <m/>
    <d v="2026-06-10T00:00:00"/>
    <n v="21"/>
    <s v="LA RUCHE LOGISTIQUE"/>
    <s v="EXP20260609-2789152"/>
    <s v="FR"/>
    <n v="21"/>
    <s v="CREANCEY"/>
    <d v="2026-06-12T00:00:00"/>
    <x v="73"/>
    <s v="EXP20260609-2789152"/>
    <x v="0"/>
    <n v="14"/>
    <s v="CAEN"/>
    <m/>
    <m/>
    <n v="1"/>
    <n v="1"/>
    <n v="13"/>
    <n v="13"/>
    <n v="0"/>
    <s v="KG"/>
    <n v="13"/>
    <n v="0"/>
    <m/>
    <m/>
    <m/>
    <m/>
    <m/>
    <s v="PORTPAYE"/>
    <s v="STANDARD"/>
    <s v="EUR"/>
    <m/>
    <m/>
    <m/>
    <m/>
    <m/>
    <n v="26.93"/>
    <n v="29.0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6"/>
    <n v="161.72999999999999"/>
    <n v="161.72999999999999"/>
    <s v=""/>
    <s v=""/>
    <s v=""/>
    <s v=""/>
    <s v=""/>
    <n v="161.72999999999999"/>
    <n v="0"/>
    <n v="0"/>
    <x v="0"/>
    <d v="2026-06-30T00:00:00"/>
    <s v="9505289-C01"/>
    <s v="EXP20260609-2788554"/>
    <n v="2026"/>
    <s v="26-06-0390353"/>
    <s v="EXP20260609-2788554"/>
    <x v="76"/>
    <s v="DAP"/>
    <s v="DOMESTIC"/>
    <s v="DOMESTIC"/>
    <n v="33650"/>
    <s v="MESS"/>
    <s v="EDI"/>
    <n v="713"/>
    <m/>
    <d v="2026-06-10T00:00:00"/>
    <n v="21"/>
    <s v="LA RUCHE LOGISTIQUE"/>
    <s v="EXP20260609-2788554"/>
    <s v="FR"/>
    <n v="21"/>
    <s v="CREANCEY"/>
    <d v="2026-06-15T00:00:00"/>
    <x v="74"/>
    <s v="EXP20260609-2788554"/>
    <x v="0"/>
    <n v="33"/>
    <s v="SAUCATS"/>
    <m/>
    <m/>
    <n v="2"/>
    <n v="2"/>
    <n v="193"/>
    <n v="193"/>
    <n v="0"/>
    <s v="Pal"/>
    <n v="2"/>
    <n v="0"/>
    <m/>
    <m/>
    <m/>
    <m/>
    <m/>
    <s v="PORTPAYE"/>
    <s v="STANDARD"/>
    <s v="EUR"/>
    <m/>
    <m/>
    <m/>
    <m/>
    <m/>
    <n v="127.66"/>
    <n v="161.7299999999999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.9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7"/>
    <n v="24.189999999999998"/>
    <n v="24.189999999999998"/>
    <s v=""/>
    <s v=""/>
    <s v=""/>
    <s v=""/>
    <s v=""/>
    <n v="24.189999999999998"/>
    <n v="0"/>
    <n v="0"/>
    <x v="0"/>
    <d v="2026-06-30T00:00:00"/>
    <s v="9505289-C01"/>
    <s v="EXP20260610-2790302"/>
    <n v="2026"/>
    <s v="26-06-0390354"/>
    <s v="EXP20260610-2790302"/>
    <x v="77"/>
    <s v="DAP"/>
    <s v="DOMESTIC"/>
    <s v="DOMESTIC"/>
    <n v="21190"/>
    <s v="MESS"/>
    <s v="EDI"/>
    <n v="81"/>
    <m/>
    <d v="2026-06-10T00:00:00"/>
    <n v="21"/>
    <s v="LA RUCHE LOGISTIQUE"/>
    <s v="EXP20260610-2790302"/>
    <s v="FR"/>
    <n v="21"/>
    <s v="CREANCEY"/>
    <d v="2026-06-12T00:00:00"/>
    <x v="75"/>
    <s v="EXP20260610-2790302"/>
    <x v="0"/>
    <n v="21"/>
    <s v="MEURSAULT"/>
    <m/>
    <m/>
    <n v="1"/>
    <n v="1"/>
    <n v="55"/>
    <n v="55"/>
    <n v="0"/>
    <s v="KG"/>
    <n v="55"/>
    <n v="0"/>
    <m/>
    <m/>
    <m/>
    <m/>
    <m/>
    <s v="PORTPAYE"/>
    <s v="STANDARD"/>
    <s v="EUR"/>
    <m/>
    <m/>
    <m/>
    <m/>
    <m/>
    <n v="22.04"/>
    <n v="24.1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8"/>
    <n v="114.36"/>
    <n v="114.36"/>
    <s v=""/>
    <s v=""/>
    <s v=""/>
    <s v=""/>
    <s v=""/>
    <n v="114.36"/>
    <n v="0"/>
    <n v="0"/>
    <x v="0"/>
    <d v="2026-06-30T00:00:00"/>
    <s v="9505289-C01"/>
    <s v="EXP20260609-2788974"/>
    <n v="2026"/>
    <s v="26-06-0390355"/>
    <s v="EXP20260609-2788974"/>
    <x v="78"/>
    <s v="DAP"/>
    <s v="DOMESTIC"/>
    <s v="DOMESTIC"/>
    <n v="91380"/>
    <s v="MESS"/>
    <s v="EDI"/>
    <n v="437"/>
    <m/>
    <d v="2026-06-10T00:00:00"/>
    <n v="21"/>
    <s v="LA RUCHE LOGISTIQUE"/>
    <s v="EXP20260609-2788974"/>
    <s v="FR"/>
    <n v="21"/>
    <s v="CREANCEY"/>
    <d v="2026-06-15T00:00:00"/>
    <x v="76"/>
    <s v="EXP20260609-2788974"/>
    <x v="0"/>
    <n v="91"/>
    <s v="CHILLY MAZARIN"/>
    <m/>
    <m/>
    <n v="2"/>
    <n v="2"/>
    <n v="222"/>
    <n v="222"/>
    <n v="0"/>
    <s v="Pal"/>
    <n v="2"/>
    <n v="0"/>
    <m/>
    <m/>
    <m/>
    <m/>
    <m/>
    <s v="PORTPAYE"/>
    <s v="STANDARD"/>
    <s v="EUR"/>
    <m/>
    <m/>
    <m/>
    <m/>
    <m/>
    <n v="112.21"/>
    <n v="114.3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79"/>
    <n v="36.46"/>
    <n v="36.46"/>
    <s v=""/>
    <s v=""/>
    <s v=""/>
    <s v=""/>
    <s v=""/>
    <n v="36.46"/>
    <n v="0"/>
    <n v="0"/>
    <x v="0"/>
    <d v="2026-06-30T00:00:00"/>
    <s v="9505289-C01"/>
    <s v="EXP20260609-2788712"/>
    <n v="2026"/>
    <s v="26-06-0390357"/>
    <s v="EXP20260609-2788712"/>
    <x v="79"/>
    <s v="DAP"/>
    <s v="DOMESTIC"/>
    <s v="DOMESTIC"/>
    <n v="78600"/>
    <s v="MESS"/>
    <s v="EDI"/>
    <n v="467"/>
    <m/>
    <d v="2026-06-10T00:00:00"/>
    <n v="21"/>
    <s v="LA RUCHE LOGISTIQUE"/>
    <s v="EXP20260609-2788712"/>
    <s v="FR"/>
    <n v="21"/>
    <s v="CREANCEY"/>
    <d v="2026-06-12T00:00:00"/>
    <x v="77"/>
    <s v="EXP20260609-2788712"/>
    <x v="0"/>
    <n v="78"/>
    <s v="MAISONS LAFFITTE"/>
    <m/>
    <m/>
    <n v="1"/>
    <n v="1"/>
    <n v="33"/>
    <n v="33"/>
    <n v="0"/>
    <s v="KG"/>
    <n v="33"/>
    <n v="0"/>
    <m/>
    <m/>
    <m/>
    <m/>
    <m/>
    <s v="PORTPAYE"/>
    <s v="STANDARD"/>
    <s v="EUR"/>
    <m/>
    <m/>
    <m/>
    <m/>
    <m/>
    <n v="34.31"/>
    <n v="36.4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0"/>
    <n v="52.42"/>
    <n v="52.42"/>
    <s v=""/>
    <s v=""/>
    <s v=""/>
    <s v=""/>
    <s v=""/>
    <n v="52.42"/>
    <n v="0"/>
    <n v="0"/>
    <x v="0"/>
    <d v="2026-06-30T00:00:00"/>
    <s v="9505289-C01"/>
    <s v="EXP20260609-2788763"/>
    <n v="2026"/>
    <s v="26-06-0390358"/>
    <s v="EXP20260609-2788763"/>
    <x v="80"/>
    <s v="DAP"/>
    <s v="DOMESTIC"/>
    <s v="DOMESTIC"/>
    <n v="26150"/>
    <s v="MESS"/>
    <s v="EDI"/>
    <n v="348"/>
    <m/>
    <d v="2026-06-10T00:00:00"/>
    <n v="21"/>
    <s v="LA RUCHE LOGISTIQUE"/>
    <s v="EXP20260609-2788763"/>
    <s v="FR"/>
    <n v="21"/>
    <s v="CREANCEY"/>
    <d v="2026-06-16T00:00:00"/>
    <x v="78"/>
    <s v="EXP20260609-2788763"/>
    <x v="0"/>
    <n v="26"/>
    <s v="PONET ET ST AUBAN"/>
    <m/>
    <m/>
    <n v="1"/>
    <n v="1"/>
    <n v="143"/>
    <n v="143"/>
    <n v="0"/>
    <s v="KG"/>
    <n v="143"/>
    <n v="0"/>
    <m/>
    <m/>
    <m/>
    <m/>
    <m/>
    <s v="PORTPAYE"/>
    <s v="STANDARD"/>
    <s v="EUR"/>
    <m/>
    <m/>
    <m/>
    <m/>
    <m/>
    <n v="50.27"/>
    <n v="52.4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1"/>
    <n v="134.85"/>
    <n v="134.85"/>
    <s v=""/>
    <s v=""/>
    <s v=""/>
    <s v=""/>
    <s v=""/>
    <n v="134.85"/>
    <n v="0"/>
    <n v="0"/>
    <x v="0"/>
    <d v="2026-06-30T00:00:00"/>
    <s v="9505289-C01"/>
    <s v="EXP20260609-2789083"/>
    <n v="2026"/>
    <s v="26-06-0390360"/>
    <s v="EXP20260609-2789083"/>
    <x v="81"/>
    <s v="DAP"/>
    <s v="DOMESTIC"/>
    <s v="DOMESTIC"/>
    <n v="84230"/>
    <s v="MESS"/>
    <s v="EDI"/>
    <n v="468"/>
    <m/>
    <d v="2026-06-10T00:00:00"/>
    <n v="21"/>
    <s v="LA RUCHE LOGISTIQUE"/>
    <s v="EXP20260609-2789083"/>
    <s v="FR"/>
    <n v="21"/>
    <s v="CREANCEY"/>
    <d v="2026-06-15T00:00:00"/>
    <x v="79"/>
    <s v="EXP20260609-2789083"/>
    <x v="0"/>
    <n v="84"/>
    <s v="CHATEAUNEUF DU PAPE"/>
    <m/>
    <m/>
    <n v="2"/>
    <n v="2"/>
    <n v="316"/>
    <n v="316"/>
    <n v="0"/>
    <s v="Pal"/>
    <n v="2"/>
    <n v="0"/>
    <m/>
    <m/>
    <m/>
    <m/>
    <m/>
    <s v="PORTPAYE"/>
    <s v="STANDARD"/>
    <s v="EUR"/>
    <m/>
    <m/>
    <m/>
    <m/>
    <m/>
    <n v="106.16"/>
    <n v="134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.5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2"/>
    <n v="43.19"/>
    <n v="43.19"/>
    <s v=""/>
    <s v=""/>
    <s v=""/>
    <s v=""/>
    <s v=""/>
    <n v="43.19"/>
    <n v="0"/>
    <n v="0"/>
    <x v="0"/>
    <d v="2026-06-30T00:00:00"/>
    <s v="9505289-C01"/>
    <s v="EXP20260609-2789365"/>
    <n v="2026"/>
    <s v="26-06-0390362"/>
    <s v="EXP20260609-2789365"/>
    <x v="82"/>
    <s v="DAP"/>
    <s v="DOMESTIC"/>
    <s v="DOMESTIC"/>
    <n v="84410"/>
    <s v="MESS"/>
    <s v="EDI"/>
    <n v="468"/>
    <m/>
    <d v="2026-06-10T00:00:00"/>
    <n v="21"/>
    <s v="LA RUCHE LOGISTIQUE"/>
    <s v="EXP20260609-2789365"/>
    <s v="FR"/>
    <n v="21"/>
    <s v="CREANCEY"/>
    <d v="2026-06-15T00:00:00"/>
    <x v="80"/>
    <s v="EXP20260609-2789365"/>
    <x v="0"/>
    <n v="84"/>
    <s v="BEDOIN"/>
    <m/>
    <m/>
    <n v="1"/>
    <n v="1"/>
    <n v="58"/>
    <n v="58"/>
    <n v="0"/>
    <s v="KG"/>
    <n v="58"/>
    <n v="0"/>
    <m/>
    <m/>
    <m/>
    <m/>
    <m/>
    <s v="PORTPAYE"/>
    <s v="STANDARD"/>
    <s v="EUR"/>
    <m/>
    <m/>
    <m/>
    <m/>
    <m/>
    <n v="32.83"/>
    <n v="43.1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210000000000000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3"/>
    <n v="29.9"/>
    <n v="29.9"/>
    <s v=""/>
    <s v=""/>
    <s v=""/>
    <s v=""/>
    <s v=""/>
    <n v="29.9"/>
    <n v="0"/>
    <n v="0"/>
    <x v="0"/>
    <d v="2026-06-30T00:00:00"/>
    <s v="9505289-C01"/>
    <s v="EXP20260608-2787173"/>
    <n v="2026"/>
    <s v="26-06-0390364"/>
    <s v="EXP20260608-2787173"/>
    <x v="83"/>
    <s v="DAP"/>
    <s v="DOMESTIC"/>
    <s v="DOMESTIC"/>
    <n v="69420"/>
    <s v="MESS"/>
    <s v="EDI"/>
    <n v="230"/>
    <m/>
    <d v="2026-06-10T00:00:00"/>
    <n v="21"/>
    <s v="LA RUCHE LOGISTIQUE"/>
    <s v="EXP20260608-2787173"/>
    <s v="FR"/>
    <n v="21"/>
    <s v="CREANCEY"/>
    <d v="2026-06-18T00:00:00"/>
    <x v="81"/>
    <s v="EXP20260608-2787173"/>
    <x v="0"/>
    <n v="69"/>
    <s v="CONDRIEU"/>
    <m/>
    <m/>
    <n v="1"/>
    <n v="1"/>
    <n v="66"/>
    <n v="66"/>
    <n v="0"/>
    <s v="KG"/>
    <n v="66"/>
    <n v="0"/>
    <m/>
    <m/>
    <m/>
    <m/>
    <m/>
    <s v="PORTPAYE"/>
    <s v="STANDARD"/>
    <s v="EUR"/>
    <m/>
    <m/>
    <m/>
    <m/>
    <m/>
    <n v="27.75"/>
    <n v="29.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4"/>
    <n v="81.950000000000017"/>
    <n v="81.950000000000017"/>
    <s v=""/>
    <s v=""/>
    <s v=""/>
    <s v=""/>
    <s v=""/>
    <n v="81.950000000000017"/>
    <n v="0"/>
    <n v="0"/>
    <x v="0"/>
    <d v="2026-06-30T00:00:00"/>
    <s v="9505289-C01"/>
    <s v="EXP20260609-2788711"/>
    <n v="2026"/>
    <s v="26-06-0390366"/>
    <s v="EXP20260609-2788711"/>
    <x v="84"/>
    <s v="DAP"/>
    <s v="DOMESTIC"/>
    <s v="DOMESTIC"/>
    <n v="33350"/>
    <s v="MESS"/>
    <s v="EDI"/>
    <n v="713"/>
    <m/>
    <d v="2026-06-10T00:00:00"/>
    <n v="21"/>
    <s v="LA RUCHE LOGISTIQUE"/>
    <s v="EXP20260609-2788711"/>
    <s v="FR"/>
    <n v="21"/>
    <s v="CREANCEY"/>
    <d v="2026-06-16T00:00:00"/>
    <x v="82"/>
    <s v="EXP20260609-2788711"/>
    <x v="0"/>
    <n v="33"/>
    <s v="RUCH"/>
    <m/>
    <m/>
    <n v="1"/>
    <n v="1"/>
    <n v="154"/>
    <n v="154"/>
    <n v="0"/>
    <s v="Pal"/>
    <n v="1"/>
    <n v="0"/>
    <m/>
    <m/>
    <m/>
    <m/>
    <m/>
    <s v="PORTPAYE"/>
    <s v="STANDARD"/>
    <s v="EUR"/>
    <m/>
    <m/>
    <m/>
    <m/>
    <m/>
    <n v="63.84"/>
    <n v="81.9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.9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5"/>
    <n v="250"/>
    <n v="250"/>
    <s v=""/>
    <s v=""/>
    <s v=""/>
    <s v=""/>
    <s v=""/>
    <n v="250"/>
    <n v="0"/>
    <n v="0"/>
    <x v="0"/>
    <d v="2026-06-30T00:00:00"/>
    <s v="9505289-C01"/>
    <m/>
    <n v="2026"/>
    <s v="26-06-0428796"/>
    <m/>
    <x v="85"/>
    <s v="EXW"/>
    <s v="DOMESTIC"/>
    <s v="DOMESTIC"/>
    <n v="21320"/>
    <s v="AFFR"/>
    <m/>
    <n v="59"/>
    <m/>
    <d v="2026-06-12T00:00:00"/>
    <n v="21"/>
    <s v="MAJ "/>
    <m/>
    <s v="FR"/>
    <n v="21"/>
    <s v="LONGVIC"/>
    <m/>
    <x v="83"/>
    <m/>
    <x v="0"/>
    <n v="21"/>
    <s v="CREANCEY"/>
    <m/>
    <m/>
    <n v="13"/>
    <n v="13"/>
    <n v="10000"/>
    <n v="0"/>
    <n v="0"/>
    <s v="Pal"/>
    <n v="13"/>
    <n v="5.2"/>
    <m/>
    <m/>
    <m/>
    <m/>
    <m/>
    <s v="APPRO"/>
    <s v="AFFRET"/>
    <s v="EUR"/>
    <m/>
    <m/>
    <m/>
    <m/>
    <m/>
    <n v="250"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n v="72.540000000000006"/>
    <n v="72.540000000000006"/>
    <s v=""/>
    <s v=""/>
    <s v=""/>
    <s v=""/>
    <s v=""/>
    <n v="72.540000000000006"/>
    <n v="0"/>
    <n v="0"/>
    <x v="0"/>
    <d v="2026-06-30T00:00:00"/>
    <s v="9505289-C01"/>
    <s v="EXP20260610-2790712"/>
    <n v="2026"/>
    <s v="26-06-0429852"/>
    <s v="EXP20260610-2790712"/>
    <x v="86"/>
    <s v="DAP"/>
    <s v="DOMESTIC"/>
    <s v="DOMESTIC"/>
    <n v="34310"/>
    <s v="MESS"/>
    <s v="EDI"/>
    <n v="695"/>
    <m/>
    <d v="2026-06-11T00:00:00"/>
    <n v="21"/>
    <s v="LA RUCHE LOGISTIQUE"/>
    <s v="EXP20260610-2790712"/>
    <s v="FR"/>
    <n v="21"/>
    <s v="CREANCEY"/>
    <d v="2026-06-16T00:00:00"/>
    <x v="84"/>
    <s v="EXP20260610-2790712"/>
    <x v="0"/>
    <n v="34"/>
    <s v="CAPESTANG"/>
    <s v="Particulier"/>
    <s v="O"/>
    <n v="1"/>
    <n v="1"/>
    <n v="134"/>
    <n v="134"/>
    <n v="0"/>
    <s v="KG"/>
    <n v="134"/>
    <n v="0"/>
    <m/>
    <m/>
    <m/>
    <m/>
    <m/>
    <s v="PORTPAYE"/>
    <s v="STANDARD"/>
    <s v="EUR"/>
    <m/>
    <m/>
    <m/>
    <m/>
    <m/>
    <n v="56.31"/>
    <n v="72.54000000000000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0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7"/>
    <n v="35.949999999999996"/>
    <n v="35.949999999999996"/>
    <s v=""/>
    <s v=""/>
    <s v=""/>
    <s v=""/>
    <s v=""/>
    <n v="35.949999999999996"/>
    <n v="0"/>
    <n v="0"/>
    <x v="0"/>
    <d v="2026-06-30T00:00:00"/>
    <s v="9505289-C01"/>
    <s v="EXP20260610-2790967"/>
    <n v="2026"/>
    <s v="26-06-0429854"/>
    <s v="EXP20260610-2790967"/>
    <x v="87"/>
    <s v="DAP"/>
    <s v="DOMESTIC"/>
    <s v="DOMESTIC"/>
    <n v="84230"/>
    <s v="MESS"/>
    <s v="EDI"/>
    <n v="468"/>
    <m/>
    <d v="2026-06-11T00:00:00"/>
    <n v="21"/>
    <s v="LA RUCHE LOGISTIQUE"/>
    <s v="EXP20260610-2790967"/>
    <s v="FR"/>
    <n v="21"/>
    <s v="CREANCEY"/>
    <d v="2026-06-15T00:00:00"/>
    <x v="85"/>
    <s v="EXP20260610-2790967"/>
    <x v="0"/>
    <n v="84"/>
    <s v="CHATEAUNEUF DU PAPE"/>
    <m/>
    <m/>
    <n v="1"/>
    <n v="1"/>
    <n v="24"/>
    <n v="24"/>
    <n v="0"/>
    <s v="KG"/>
    <n v="24"/>
    <n v="0"/>
    <m/>
    <m/>
    <m/>
    <m/>
    <m/>
    <s v="PORTPAYE"/>
    <s v="STANDARD"/>
    <s v="EUR"/>
    <m/>
    <m/>
    <m/>
    <m/>
    <m/>
    <n v="27.04"/>
    <n v="35.95000000000000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8"/>
    <n v="144.78"/>
    <n v="144.78"/>
    <s v=""/>
    <s v=""/>
    <s v=""/>
    <s v=""/>
    <s v=""/>
    <n v="144.78"/>
    <n v="0"/>
    <n v="0"/>
    <x v="0"/>
    <d v="2026-06-30T00:00:00"/>
    <s v="9505289-C01"/>
    <s v="EXP20260610-2790865"/>
    <n v="2026"/>
    <s v="26-06-0429857"/>
    <s v="EXP20260610-2790865"/>
    <x v="88"/>
    <s v="DAP"/>
    <s v="DOMESTIC"/>
    <s v="DOMESTIC"/>
    <n v="34150"/>
    <s v="MESS"/>
    <s v="EDI"/>
    <n v="560"/>
    <m/>
    <d v="2026-06-11T00:00:00"/>
    <n v="21"/>
    <s v="LA RUCHE LOGISTIQUE"/>
    <s v="EXP20260610-2790865"/>
    <s v="FR"/>
    <n v="21"/>
    <s v="CREANCEY"/>
    <d v="2026-06-17T00:00:00"/>
    <x v="86"/>
    <s v="EXP20260610-2790865"/>
    <x v="0"/>
    <n v="34"/>
    <s v="GIGNAC"/>
    <m/>
    <m/>
    <n v="2"/>
    <n v="2"/>
    <n v="204"/>
    <n v="204"/>
    <n v="0"/>
    <s v="Pal"/>
    <n v="2"/>
    <n v="0"/>
    <m/>
    <m/>
    <m/>
    <m/>
    <m/>
    <s v="PORTPAYE"/>
    <s v="STANDARD"/>
    <s v="EUR"/>
    <m/>
    <m/>
    <m/>
    <m/>
    <m/>
    <n v="114.1"/>
    <n v="144.7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.5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89"/>
    <n v="41.98"/>
    <n v="41.98"/>
    <s v=""/>
    <s v=""/>
    <s v=""/>
    <s v=""/>
    <s v=""/>
    <n v="41.98"/>
    <n v="0"/>
    <n v="0"/>
    <x v="0"/>
    <d v="2026-06-30T00:00:00"/>
    <s v="9505289-C01"/>
    <s v="EXP20260610-2790864"/>
    <n v="2026"/>
    <s v="26-06-0429859"/>
    <s v="EXP20260610-2790864"/>
    <x v="89"/>
    <s v="DAP"/>
    <s v="DOMESTIC"/>
    <s v="DOMESTIC"/>
    <n v="13220"/>
    <s v="MESS"/>
    <s v="EDI"/>
    <n v="540"/>
    <m/>
    <d v="2026-06-11T00:00:00"/>
    <n v="21"/>
    <s v="LA RUCHE LOGISTIQUE"/>
    <s v="EXP20260610-2790864"/>
    <s v="FR"/>
    <n v="21"/>
    <s v="CREANCEY"/>
    <d v="2026-06-12T00:00:00"/>
    <x v="87"/>
    <s v="EXP20260610-2790864"/>
    <x v="0"/>
    <n v="13"/>
    <s v="CHATEAUNEUF LES MARTIGUES"/>
    <m/>
    <m/>
    <n v="1"/>
    <n v="1"/>
    <n v="32"/>
    <n v="32"/>
    <n v="0"/>
    <s v="KG"/>
    <n v="32"/>
    <n v="0"/>
    <m/>
    <m/>
    <m/>
    <m/>
    <m/>
    <s v="PORTPAYE"/>
    <s v="STANDARD"/>
    <s v="EUR"/>
    <m/>
    <m/>
    <m/>
    <m/>
    <m/>
    <n v="31.86"/>
    <n v="41.9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97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0"/>
    <n v="61.93"/>
    <n v="61.93"/>
    <s v=""/>
    <s v=""/>
    <s v=""/>
    <s v=""/>
    <s v=""/>
    <n v="61.93"/>
    <n v="0"/>
    <n v="0"/>
    <x v="0"/>
    <d v="2026-06-30T00:00:00"/>
    <s v="9505289-C01"/>
    <s v="EXP20260609-2789333"/>
    <n v="2026"/>
    <s v="26-06-0429861"/>
    <s v="EXP20260609-2789333"/>
    <x v="90"/>
    <s v="DAP"/>
    <s v="DOMESTIC"/>
    <s v="DOMESTIC"/>
    <n v="78000"/>
    <s v="MESS"/>
    <s v="EDI"/>
    <n v="467"/>
    <m/>
    <d v="2026-06-11T00:00:00"/>
    <n v="21"/>
    <s v="LA RUCHE LOGISTIQUE"/>
    <s v="EXP20260609-2789333"/>
    <s v="FR"/>
    <n v="21"/>
    <s v="CREANCEY"/>
    <d v="2026-06-17T00:00:00"/>
    <x v="88"/>
    <s v="EXP20260609-2789333"/>
    <x v="0"/>
    <n v="78"/>
    <s v="VERSAILLES"/>
    <m/>
    <m/>
    <n v="1"/>
    <n v="1"/>
    <n v="152"/>
    <n v="152"/>
    <n v="0"/>
    <s v="Pal"/>
    <n v="1"/>
    <n v="0"/>
    <m/>
    <m/>
    <m/>
    <m/>
    <m/>
    <s v="PORTPAYE"/>
    <s v="STANDARD"/>
    <s v="EUR"/>
    <m/>
    <m/>
    <m/>
    <m/>
    <m/>
    <n v="59.78"/>
    <n v="61.9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1"/>
    <n v="64.03"/>
    <n v="64.03"/>
    <s v=""/>
    <s v=""/>
    <s v=""/>
    <s v=""/>
    <s v=""/>
    <n v="64.03"/>
    <n v="0"/>
    <n v="0"/>
    <x v="0"/>
    <d v="2026-06-30T00:00:00"/>
    <s v="9505289-C01"/>
    <s v="EXP20260610-2790863"/>
    <n v="2026"/>
    <s v="26-06-0429863"/>
    <s v="EXP20260610-2790863"/>
    <x v="91"/>
    <s v="DAP"/>
    <s v="DOMESTIC"/>
    <s v="DOMESTIC"/>
    <n v="33330"/>
    <s v="MESS"/>
    <s v="EDI"/>
    <n v="713"/>
    <m/>
    <d v="2026-06-11T00:00:00"/>
    <n v="21"/>
    <s v="LA RUCHE LOGISTIQUE"/>
    <s v="EXP20260610-2790863"/>
    <s v="FR"/>
    <n v="21"/>
    <s v="CREANCEY"/>
    <d v="2026-06-15T00:00:00"/>
    <x v="89"/>
    <s v="EXP20260610-2790863"/>
    <x v="0"/>
    <n v="33"/>
    <s v="ST SULPICE DE FALEYRENS"/>
    <m/>
    <m/>
    <n v="1"/>
    <n v="1"/>
    <n v="104"/>
    <n v="104"/>
    <n v="0"/>
    <s v="KG"/>
    <n v="104"/>
    <n v="0"/>
    <m/>
    <m/>
    <m/>
    <m/>
    <m/>
    <s v="PORTPAYE"/>
    <s v="STANDARD"/>
    <s v="EUR"/>
    <m/>
    <m/>
    <m/>
    <m/>
    <m/>
    <n v="49.5"/>
    <n v="64.0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3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2"/>
    <n v="43.72"/>
    <n v="43.72"/>
    <s v=""/>
    <s v=""/>
    <s v=""/>
    <s v=""/>
    <s v=""/>
    <n v="43.72"/>
    <n v="0"/>
    <n v="0"/>
    <x v="0"/>
    <n v="46203"/>
    <s v="9505289-C01"/>
    <s v="EXP20260610-2790760"/>
    <n v="2026"/>
    <s v="26-06-0429865"/>
    <s v="EXP20260610-2790760"/>
    <x v="92"/>
    <s v="DAP"/>
    <s v="DOMESTIC"/>
    <s v="DOMESTIC"/>
    <n v="46000"/>
    <s v="MESS"/>
    <s v="EDI"/>
    <n v="655"/>
    <m/>
    <n v="46184"/>
    <n v="21"/>
    <s v="LA RUCHE LOGISTIQUE"/>
    <s v="EXP20260610-2790760"/>
    <s v="FR"/>
    <n v="21"/>
    <s v="CREANCEY"/>
    <n v="46190"/>
    <x v="90"/>
    <s v="EXP20260610-2790760"/>
    <x v="0"/>
    <n v="46"/>
    <s v="CAHORS"/>
    <m/>
    <m/>
    <n v="1"/>
    <n v="1"/>
    <n v="51"/>
    <n v="51"/>
    <n v="0"/>
    <s v="KG"/>
    <n v="51"/>
    <n v="0"/>
    <m/>
    <m/>
    <m/>
    <m/>
    <m/>
    <s v="PORTPAYE"/>
    <s v="STANDARD"/>
    <s v="EUR"/>
    <m/>
    <m/>
    <m/>
    <m/>
    <m/>
    <n v="41.57"/>
    <n v="43.7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3"/>
    <n v="41.11"/>
    <n v="41.11"/>
    <s v=""/>
    <s v=""/>
    <s v=""/>
    <s v=""/>
    <s v=""/>
    <n v="41.11"/>
    <n v="0"/>
    <n v="0"/>
    <x v="0"/>
    <d v="2026-06-30T00:00:00"/>
    <s v="9505289-C01"/>
    <s v="EXP20260611-2792844"/>
    <n v="2026"/>
    <s v="26-06-0483796"/>
    <s v="EXP20260611-2792844"/>
    <x v="93"/>
    <s v="DAP"/>
    <s v="DOMESTIC"/>
    <s v="DOMESTIC"/>
    <n v="11220"/>
    <s v="MESS"/>
    <s v="EDI"/>
    <n v="847"/>
    <m/>
    <d v="2026-06-12T00:00:00"/>
    <n v="21"/>
    <s v="LA RUCHE LOGISTIQUE"/>
    <s v="EXP20260611-2792844"/>
    <s v="FR"/>
    <n v="21"/>
    <s v="CREANCEY"/>
    <d v="2026-06-16T00:00:00"/>
    <x v="91"/>
    <s v="EXP20260611-2792844"/>
    <x v="0"/>
    <n v="11"/>
    <s v="RIEUX EN VAL"/>
    <m/>
    <m/>
    <n v="1"/>
    <n v="1"/>
    <n v="23"/>
    <n v="23"/>
    <n v="0"/>
    <s v="KG"/>
    <n v="23"/>
    <n v="0"/>
    <m/>
    <m/>
    <m/>
    <m/>
    <m/>
    <s v="PORTPAYE"/>
    <s v="STANDARD"/>
    <s v="EUR"/>
    <m/>
    <m/>
    <m/>
    <m/>
    <m/>
    <n v="31.17"/>
    <n v="41.1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7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4"/>
    <n v="47.16"/>
    <n v="47.16"/>
    <s v=""/>
    <s v=""/>
    <s v=""/>
    <s v=""/>
    <s v=""/>
    <n v="47.16"/>
    <n v="0"/>
    <n v="0"/>
    <x v="0"/>
    <d v="2026-06-30T00:00:00"/>
    <s v="9505289-C01"/>
    <s v="EXP20260611-2792599"/>
    <n v="2026"/>
    <s v="26-06-0483798"/>
    <s v="EXP20260611-2792599"/>
    <x v="94"/>
    <s v="DAP"/>
    <s v="DOMESTIC"/>
    <s v="DOMESTIC"/>
    <n v="42410"/>
    <s v="MESS"/>
    <s v="EDI"/>
    <n v="250"/>
    <m/>
    <d v="2026-06-12T00:00:00"/>
    <n v="21"/>
    <s v="LA RUCHE LOGISTIQUE"/>
    <s v="EXP20260611-2792599"/>
    <s v="FR"/>
    <n v="21"/>
    <s v="CREANCEY"/>
    <d v="2026-06-22T00:00:00"/>
    <x v="92"/>
    <s v="EXP20260611-2792599"/>
    <x v="0"/>
    <n v="42"/>
    <s v="CHAVANAY"/>
    <m/>
    <m/>
    <n v="1"/>
    <n v="1"/>
    <n v="134"/>
    <n v="134"/>
    <n v="0"/>
    <s v="KG"/>
    <n v="134"/>
    <n v="0"/>
    <m/>
    <m/>
    <m/>
    <m/>
    <m/>
    <s v="PORTPAYE"/>
    <s v="STANDARD"/>
    <s v="EUR"/>
    <m/>
    <m/>
    <m/>
    <m/>
    <m/>
    <n v="45.01"/>
    <n v="47.1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5"/>
    <n v="24.83"/>
    <n v="24.83"/>
    <s v=""/>
    <s v=""/>
    <s v=""/>
    <s v=""/>
    <s v=""/>
    <n v="24.83"/>
    <n v="0"/>
    <n v="0"/>
    <x v="0"/>
    <d v="2026-06-30T00:00:00"/>
    <s v="9505289-C01"/>
    <s v="EXP20260612-2793442"/>
    <n v="2026"/>
    <s v="26-06-0483799"/>
    <s v="EXP20260612-2793442"/>
    <x v="95"/>
    <s v="DAP"/>
    <s v="DOMESTIC"/>
    <s v="DOMESTIC"/>
    <n v="51120"/>
    <s v="MESS"/>
    <s v="EDI"/>
    <n v="448"/>
    <m/>
    <d v="2026-06-12T00:00:00"/>
    <n v="21"/>
    <s v="LA RUCHE LOGISTIQUE"/>
    <s v="EXP20260612-2793442"/>
    <s v="FR"/>
    <n v="21"/>
    <s v="CREANCEY"/>
    <d v="2026-06-19T00:00:00"/>
    <x v="93"/>
    <s v="EXP20260612-2793442"/>
    <x v="0"/>
    <n v="51"/>
    <s v="BARBONNE FAYEL"/>
    <m/>
    <m/>
    <n v="1"/>
    <n v="1"/>
    <n v="14"/>
    <n v="14"/>
    <n v="0"/>
    <s v="KG"/>
    <n v="14"/>
    <n v="0"/>
    <m/>
    <m/>
    <m/>
    <m/>
    <m/>
    <s v="PORTPAYE"/>
    <s v="STANDARD"/>
    <s v="EUR"/>
    <m/>
    <m/>
    <m/>
    <m/>
    <m/>
    <n v="22.68"/>
    <n v="24.8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6"/>
    <n v="61.41"/>
    <n v="61.41"/>
    <s v=""/>
    <s v=""/>
    <s v=""/>
    <s v=""/>
    <s v=""/>
    <n v="61.41"/>
    <n v="0"/>
    <n v="0"/>
    <x v="0"/>
    <d v="2026-06-30T00:00:00"/>
    <s v="9505289-C01"/>
    <s v="EXP20260612-2793349"/>
    <n v="2026"/>
    <s v="26-06-0483800"/>
    <s v="EXP20260612-2793349"/>
    <x v="96"/>
    <s v="DAP"/>
    <s v="DOMESTIC"/>
    <s v="DOMESTIC"/>
    <n v="33790"/>
    <s v="MESS"/>
    <s v="EDI"/>
    <n v="697"/>
    <m/>
    <d v="2026-06-12T00:00:00"/>
    <n v="21"/>
    <s v="LA RUCHE LOGISTIQUE"/>
    <s v="EXP20260612-2793349"/>
    <s v="FR"/>
    <n v="21"/>
    <s v="CREANCEY"/>
    <d v="2026-06-17T00:00:00"/>
    <x v="94"/>
    <s v="EXP20260612-2793349"/>
    <x v="0"/>
    <n v="33"/>
    <s v="LANDERROUAT"/>
    <m/>
    <m/>
    <n v="1"/>
    <n v="1"/>
    <n v="100"/>
    <n v="100"/>
    <n v="0"/>
    <s v="KG"/>
    <n v="100"/>
    <n v="0"/>
    <m/>
    <m/>
    <m/>
    <m/>
    <m/>
    <s v="PORTPAYE"/>
    <s v="STANDARD"/>
    <s v="EUR"/>
    <m/>
    <m/>
    <m/>
    <m/>
    <m/>
    <n v="47.41"/>
    <n v="61.4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8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7"/>
    <n v="57.45"/>
    <n v="57.45"/>
    <s v=""/>
    <s v=""/>
    <s v=""/>
    <s v=""/>
    <s v=""/>
    <n v="57.45"/>
    <n v="0"/>
    <n v="0"/>
    <x v="0"/>
    <d v="2026-06-30T00:00:00"/>
    <s v="9505289-C01"/>
    <s v="EXP20260611-2792558"/>
    <n v="2026"/>
    <s v="26-06-0483803"/>
    <s v="EXP20260611-2792558"/>
    <x v="97"/>
    <s v="DAP"/>
    <s v="DOMESTIC"/>
    <s v="DOMESTIC"/>
    <n v="34230"/>
    <s v="MESS"/>
    <s v="EDI"/>
    <n v="560"/>
    <m/>
    <d v="2026-06-12T00:00:00"/>
    <n v="21"/>
    <s v="LA RUCHE LOGISTIQUE"/>
    <s v="EXP20260611-2792558"/>
    <s v="FR"/>
    <n v="21"/>
    <s v="CREANCEY"/>
    <d v="2026-06-17T00:00:00"/>
    <x v="95"/>
    <s v="EXP20260611-2792558"/>
    <x v="0"/>
    <n v="34"/>
    <s v="ST PARGOIRE"/>
    <m/>
    <m/>
    <n v="1"/>
    <n v="1"/>
    <n v="110"/>
    <n v="110"/>
    <n v="0"/>
    <s v="KG"/>
    <n v="110"/>
    <n v="0"/>
    <m/>
    <m/>
    <m/>
    <m/>
    <m/>
    <s v="PORTPAYE"/>
    <s v="STANDARD"/>
    <s v="EUR"/>
    <m/>
    <m/>
    <m/>
    <m/>
    <m/>
    <n v="44.24"/>
    <n v="57.4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0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98"/>
    <n v="300"/>
    <n v="300"/>
    <s v=""/>
    <s v=""/>
    <s v=""/>
    <s v=""/>
    <s v=""/>
    <n v="300"/>
    <n v="0"/>
    <n v="0"/>
    <x v="0"/>
    <d v="2026-06-30T00:00:00"/>
    <s v="9505289-C01"/>
    <m/>
    <n v="2026"/>
    <s v="26-06-0503097"/>
    <m/>
    <x v="98"/>
    <s v="EXW"/>
    <s v="DOMESTIC"/>
    <s v="DOMESTIC"/>
    <n v="21320"/>
    <s v="AFFR"/>
    <m/>
    <n v="60"/>
    <m/>
    <d v="2026-06-16T00:00:00"/>
    <n v="21"/>
    <s v="STG"/>
    <m/>
    <s v="FR"/>
    <n v="21"/>
    <s v="LONGVIC"/>
    <m/>
    <x v="2"/>
    <m/>
    <x v="0"/>
    <n v="21"/>
    <s v="CREANCEY"/>
    <m/>
    <m/>
    <n v="33"/>
    <n v="33"/>
    <n v="25000"/>
    <n v="0"/>
    <n v="0"/>
    <s v="Pal"/>
    <n v="33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99"/>
    <n v="26.63"/>
    <n v="26.63"/>
    <s v=""/>
    <s v=""/>
    <s v=""/>
    <s v=""/>
    <s v=""/>
    <n v="26.63"/>
    <n v="0"/>
    <n v="0"/>
    <x v="0"/>
    <d v="2026-06-30T00:00:00"/>
    <s v="9505289-C01"/>
    <s v="EXP20260615-2798783"/>
    <n v="2026"/>
    <s v="26-06-0536417"/>
    <s v="EXP20260615-2798783"/>
    <x v="99"/>
    <s v="DAP"/>
    <s v="DOMESTIC"/>
    <s v="DOMESTIC"/>
    <n v="21190"/>
    <s v="MESS"/>
    <s v="EDI"/>
    <n v="81"/>
    <m/>
    <d v="2026-06-15T00:00:00"/>
    <n v="21"/>
    <s v="LA RUCHE LOGISTIQUE"/>
    <s v="EXP20260615-2798783"/>
    <s v="FR"/>
    <n v="21"/>
    <s v="CREANCEY"/>
    <d v="2026-06-16T00:00:00"/>
    <x v="96"/>
    <s v="EXP20260615-2798783"/>
    <x v="0"/>
    <n v="21"/>
    <s v="MEURSAULT"/>
    <m/>
    <m/>
    <n v="1"/>
    <n v="1"/>
    <n v="87"/>
    <n v="87"/>
    <n v="0"/>
    <s v="KG"/>
    <n v="87"/>
    <n v="0"/>
    <m/>
    <m/>
    <m/>
    <m/>
    <m/>
    <s v="PORTPAYE"/>
    <s v="STANDARD"/>
    <s v="EUR"/>
    <m/>
    <m/>
    <m/>
    <m/>
    <m/>
    <n v="24.48"/>
    <n v="26.6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0"/>
    <n v="30.7"/>
    <n v="30.7"/>
    <s v=""/>
    <s v=""/>
    <s v=""/>
    <s v=""/>
    <s v=""/>
    <n v="30.7"/>
    <n v="0"/>
    <n v="0"/>
    <x v="0"/>
    <d v="2026-06-30T00:00:00"/>
    <s v="9505289-C01"/>
    <s v="EXP20260614-2797923"/>
    <n v="2026"/>
    <s v="26-06-0536419"/>
    <s v="EXP20260614-2797923"/>
    <x v="100"/>
    <s v="DAP"/>
    <s v="DOMESTIC"/>
    <s v="DOMESTIC"/>
    <n v="7700"/>
    <s v="MESS"/>
    <s v="EDI"/>
    <n v="348"/>
    <m/>
    <d v="2026-06-15T00:00:00"/>
    <n v="21"/>
    <s v="LA RUCHE LOGISTIQUE"/>
    <s v="EXP20260614-2797923"/>
    <s v="FR"/>
    <n v="21"/>
    <s v="CREANCEY"/>
    <d v="2026-06-16T00:00:00"/>
    <x v="97"/>
    <s v="EXP20260614-2797923"/>
    <x v="0"/>
    <n v="7"/>
    <s v="ST MARCEL D ARDECHE"/>
    <m/>
    <m/>
    <n v="1"/>
    <n v="1"/>
    <n v="44"/>
    <n v="44"/>
    <n v="0"/>
    <s v="KG"/>
    <n v="44"/>
    <n v="0"/>
    <m/>
    <m/>
    <m/>
    <m/>
    <m/>
    <s v="PORTPAYE"/>
    <s v="STANDARD"/>
    <s v="EUR"/>
    <m/>
    <m/>
    <m/>
    <m/>
    <m/>
    <n v="28.55"/>
    <n v="30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1"/>
    <n v="40.299999999999997"/>
    <n v="40.299999999999997"/>
    <s v=""/>
    <s v=""/>
    <s v=""/>
    <s v=""/>
    <s v=""/>
    <n v="40.299999999999997"/>
    <n v="0"/>
    <n v="0"/>
    <x v="0"/>
    <d v="2026-06-30T00:00:00"/>
    <s v="9505289-C01"/>
    <s v="EXP20260615-2798782"/>
    <n v="2026"/>
    <s v="26-06-0536420"/>
    <s v="EXP20260615-2798782"/>
    <x v="101"/>
    <s v="DAP"/>
    <s v="DOMESTIC"/>
    <s v="DOMESTIC"/>
    <n v="83250"/>
    <s v="MESS"/>
    <s v="EDI"/>
    <n v="599"/>
    <m/>
    <d v="2026-06-15T00:00:00"/>
    <n v="21"/>
    <s v="LA RUCHE LOGISTIQUE"/>
    <s v="EXP20260615-2798782"/>
    <s v="FR"/>
    <n v="21"/>
    <s v="CREANCEY"/>
    <d v="2026-06-17T00:00:00"/>
    <x v="98"/>
    <s v="EXP20260615-2798782"/>
    <x v="0"/>
    <n v="83"/>
    <s v="LA LONDE LES MAURES"/>
    <m/>
    <m/>
    <n v="1"/>
    <n v="1"/>
    <n v="23"/>
    <n v="23"/>
    <n v="0"/>
    <s v="KG"/>
    <n v="23"/>
    <n v="0"/>
    <m/>
    <m/>
    <m/>
    <m/>
    <m/>
    <s v="PORTPAYE"/>
    <s v="STANDARD"/>
    <s v="EUR"/>
    <m/>
    <m/>
    <m/>
    <m/>
    <m/>
    <n v="30.52"/>
    <n v="40.29999999999999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6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2"/>
    <n v="64.03"/>
    <n v="64.03"/>
    <s v=""/>
    <s v=""/>
    <s v=""/>
    <s v=""/>
    <s v=""/>
    <n v="64.03"/>
    <n v="0"/>
    <n v="0"/>
    <x v="0"/>
    <d v="2026-06-30T00:00:00"/>
    <s v="9505289-C01"/>
    <s v="EXP20260612-2793899"/>
    <n v="2026"/>
    <s v="26-06-0536421"/>
    <s v="EXP20260612-2793899"/>
    <x v="102"/>
    <s v="DAP"/>
    <s v="DOMESTIC"/>
    <s v="DOMESTIC"/>
    <n v="33570"/>
    <s v="MESS"/>
    <s v="EDI"/>
    <n v="713"/>
    <m/>
    <d v="2026-06-15T00:00:00"/>
    <n v="21"/>
    <s v="LA RUCHE LOGISTIQUE"/>
    <s v="EXP20260612-2793899"/>
    <s v="FR"/>
    <n v="21"/>
    <s v="CREANCEY"/>
    <d v="2026-06-18T00:00:00"/>
    <x v="99"/>
    <s v="EXP20260612-2793899"/>
    <x v="0"/>
    <n v="33"/>
    <s v="LES ARTIGUES DE LUSSAC"/>
    <m/>
    <m/>
    <n v="1"/>
    <n v="1"/>
    <n v="110"/>
    <n v="110"/>
    <n v="0"/>
    <s v="KG"/>
    <n v="110"/>
    <n v="0"/>
    <m/>
    <m/>
    <m/>
    <m/>
    <m/>
    <s v="PORTPAYE"/>
    <s v="STANDARD"/>
    <s v="EUR"/>
    <m/>
    <m/>
    <m/>
    <m/>
    <m/>
    <n v="49.5"/>
    <n v="64.0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3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3"/>
    <n v="45.8"/>
    <n v="45.8"/>
    <s v=""/>
    <s v=""/>
    <s v=""/>
    <s v=""/>
    <s v=""/>
    <n v="45.8"/>
    <n v="0"/>
    <n v="0"/>
    <x v="0"/>
    <d v="2026-06-30T00:00:00"/>
    <s v="9505289-C01"/>
    <s v="EXP20260615-2798647"/>
    <n v="2026"/>
    <s v="26-06-0536422"/>
    <s v="EXP20260615-2798647"/>
    <x v="103"/>
    <s v="DAP"/>
    <s v="DOMESTIC"/>
    <s v="DOMESTIC"/>
    <n v="81140"/>
    <s v="MESS"/>
    <s v="EDI"/>
    <n v="660"/>
    <m/>
    <d v="2026-06-15T00:00:00"/>
    <n v="21"/>
    <s v="LA RUCHE LOGISTIQUE"/>
    <s v="EXP20260615-2798647"/>
    <s v="FR"/>
    <n v="21"/>
    <s v="CREANCEY"/>
    <d v="2026-06-17T00:00:00"/>
    <x v="100"/>
    <s v="EXP20260615-2798647"/>
    <x v="0"/>
    <n v="81"/>
    <s v="CAHUZAC SUR VERE"/>
    <m/>
    <m/>
    <n v="1"/>
    <n v="1"/>
    <n v="56"/>
    <n v="56"/>
    <n v="0"/>
    <s v="KG"/>
    <n v="56"/>
    <n v="0"/>
    <m/>
    <m/>
    <m/>
    <m/>
    <m/>
    <s v="PORTPAYE"/>
    <s v="STANDARD"/>
    <s v="EUR"/>
    <m/>
    <m/>
    <m/>
    <m/>
    <m/>
    <n v="43.65"/>
    <n v="45.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4"/>
    <n v="24.849999999999998"/>
    <n v="24.849999999999998"/>
    <s v=""/>
    <s v=""/>
    <s v=""/>
    <s v=""/>
    <s v=""/>
    <n v="24.849999999999998"/>
    <n v="0"/>
    <n v="0"/>
    <x v="0"/>
    <d v="2026-06-30T00:00:00"/>
    <s v="9505289-C01"/>
    <s v="EXP20260612-2796088"/>
    <n v="2026"/>
    <s v="26-06-0536425"/>
    <s v="EXP20260612-2796088"/>
    <x v="104"/>
    <s v="DAP"/>
    <s v="DOMESTIC"/>
    <s v="DOMESTIC"/>
    <n v="71150"/>
    <s v="MESS"/>
    <s v="EDI"/>
    <n v="91"/>
    <m/>
    <d v="2026-06-15T00:00:00"/>
    <n v="21"/>
    <s v="LA RUCHE LOGISTIQUE"/>
    <s v="EXP20260612-2796088"/>
    <s v="FR"/>
    <n v="21"/>
    <s v="CREANCEY"/>
    <d v="2026-06-18T00:00:00"/>
    <x v="101"/>
    <s v="EXP20260612-2796088"/>
    <x v="0"/>
    <n v="71"/>
    <s v="BOUZERON"/>
    <m/>
    <m/>
    <n v="1"/>
    <n v="1"/>
    <n v="40"/>
    <n v="40"/>
    <n v="0"/>
    <s v="KG"/>
    <n v="40"/>
    <n v="0"/>
    <m/>
    <m/>
    <m/>
    <m/>
    <m/>
    <s v="PORTPAYE"/>
    <s v="STANDARD"/>
    <s v="EUR"/>
    <m/>
    <m/>
    <m/>
    <m/>
    <m/>
    <n v="22.7"/>
    <n v="24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5"/>
    <n v="38.129999999999995"/>
    <n v="38.129999999999995"/>
    <s v=""/>
    <s v=""/>
    <s v=""/>
    <s v=""/>
    <s v=""/>
    <n v="38.129999999999995"/>
    <n v="0"/>
    <n v="0"/>
    <x v="0"/>
    <d v="2026-06-30T00:00:00"/>
    <s v="9505289-C01"/>
    <s v="EXP20260612-2796040"/>
    <n v="2026"/>
    <s v="26-06-0536426"/>
    <s v="EXP20260612-2796040"/>
    <x v="105"/>
    <s v="DAP"/>
    <s v="DOMESTIC"/>
    <s v="DOMESTIC"/>
    <n v="81140"/>
    <s v="MESS"/>
    <s v="EDI"/>
    <n v="660"/>
    <m/>
    <d v="2026-06-15T00:00:00"/>
    <n v="21"/>
    <s v="LA RUCHE LOGISTIQUE"/>
    <s v="EXP20260612-2796040"/>
    <s v="FR"/>
    <n v="21"/>
    <s v="CREANCEY"/>
    <d v="2026-06-23T00:00:00"/>
    <x v="102"/>
    <s v="EXP20260612-2796040"/>
    <x v="0"/>
    <n v="81"/>
    <s v="CAHUZAC SUR VERE"/>
    <m/>
    <m/>
    <n v="1"/>
    <n v="1"/>
    <n v="24"/>
    <n v="24"/>
    <n v="0"/>
    <s v="KG"/>
    <n v="24"/>
    <n v="0"/>
    <m/>
    <m/>
    <m/>
    <m/>
    <m/>
    <s v="PORTPAYE"/>
    <s v="STANDARD"/>
    <s v="EUR"/>
    <m/>
    <m/>
    <m/>
    <m/>
    <m/>
    <n v="35.979999999999997"/>
    <n v="38.13000000000000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6"/>
    <n v="93.350000000000009"/>
    <n v="93.350000000000009"/>
    <s v=""/>
    <s v=""/>
    <s v=""/>
    <s v=""/>
    <s v=""/>
    <n v="93.350000000000009"/>
    <n v="0"/>
    <n v="0"/>
    <x v="0"/>
    <d v="2026-06-30T00:00:00"/>
    <s v="9505289-C01"/>
    <s v="EXP20260615-2799004"/>
    <n v="2026"/>
    <s v="26-06-0536427"/>
    <s v="EXP20260615-2799004"/>
    <x v="106"/>
    <s v="DAP"/>
    <s v="DOMESTIC"/>
    <s v="DOMESTIC"/>
    <n v="42410"/>
    <s v="MESS"/>
    <s v="EDI"/>
    <n v="250"/>
    <m/>
    <d v="2026-06-15T00:00:00"/>
    <n v="21"/>
    <s v="LA RUCHE LOGISTIQUE"/>
    <s v="EXP20260615-2799004"/>
    <s v="FR"/>
    <n v="21"/>
    <s v="CREANCEY"/>
    <d v="2026-06-17T00:00:00"/>
    <x v="103"/>
    <s v="EXP20260615-2799004"/>
    <x v="0"/>
    <n v="42"/>
    <s v="CHAVANAY"/>
    <m/>
    <m/>
    <n v="2"/>
    <n v="2"/>
    <n v="222"/>
    <n v="222"/>
    <n v="0"/>
    <s v="Pal"/>
    <n v="2"/>
    <n v="0"/>
    <m/>
    <m/>
    <m/>
    <m/>
    <m/>
    <s v="PORTPAYE"/>
    <s v="STANDARD"/>
    <s v="EUR"/>
    <m/>
    <m/>
    <m/>
    <m/>
    <m/>
    <n v="91.2"/>
    <n v="93.3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7"/>
    <n v="168.5"/>
    <n v="168.5"/>
    <s v=""/>
    <s v=""/>
    <s v=""/>
    <s v=""/>
    <s v=""/>
    <n v="168.5"/>
    <n v="0"/>
    <n v="0"/>
    <x v="0"/>
    <d v="2026-06-30T00:00:00"/>
    <s v="9505289-C01"/>
    <s v="EXP20260611-2792540"/>
    <n v="2026"/>
    <s v="26-06-0588664"/>
    <s v="EXP20260611-2792540"/>
    <x v="107"/>
    <s v="DAP"/>
    <s v="DOMESTIC"/>
    <s v="DOMESTIC"/>
    <n v="79180"/>
    <s v="MESS"/>
    <s v="EDI"/>
    <n v="782"/>
    <m/>
    <d v="2026-06-16T00:00:00"/>
    <n v="21"/>
    <s v="LA RUCHE LOGISTIQUE"/>
    <s v="EXP20260611-2792540"/>
    <s v="FR"/>
    <n v="21"/>
    <s v="CREANCEY"/>
    <d v="2026-06-18T00:00:00"/>
    <x v="104"/>
    <s v="EXP20260611-2792540"/>
    <x v="0"/>
    <n v="79"/>
    <s v="CHAURAY"/>
    <s v="Industrie"/>
    <s v="O"/>
    <n v="3"/>
    <n v="3"/>
    <n v="174"/>
    <n v="174"/>
    <n v="0"/>
    <s v="Pal"/>
    <n v="3"/>
    <n v="0"/>
    <m/>
    <m/>
    <m/>
    <m/>
    <m/>
    <s v="PORTPAYE"/>
    <s v="STANDARD"/>
    <s v="EUR"/>
    <m/>
    <m/>
    <m/>
    <m/>
    <m/>
    <n v="166.35"/>
    <n v="168.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8"/>
    <n v="52.58"/>
    <n v="52.58"/>
    <s v=""/>
    <s v=""/>
    <s v=""/>
    <s v=""/>
    <s v=""/>
    <n v="52.58"/>
    <n v="0"/>
    <n v="0"/>
    <x v="0"/>
    <n v="46203"/>
    <s v="9505289-C01"/>
    <n v="5001338"/>
    <n v="2026"/>
    <s v="26-06-0588666"/>
    <n v="5001338"/>
    <x v="108"/>
    <s v="DAP"/>
    <s v="DOMESTIC"/>
    <s v="DOMESTIC"/>
    <n v="28110"/>
    <s v="MESS"/>
    <s v="EDI"/>
    <n v="401"/>
    <m/>
    <n v="46189"/>
    <n v="21"/>
    <s v="LA RUCHE LOGISTIQUE"/>
    <s v="EXP20260605-2783178"/>
    <s v="FR"/>
    <n v="21"/>
    <s v="CREANCEY"/>
    <m/>
    <x v="105"/>
    <n v="5001338"/>
    <x v="0"/>
    <n v="28"/>
    <s v="LUCE"/>
    <m/>
    <m/>
    <n v="1"/>
    <n v="1"/>
    <n v="400"/>
    <n v="400"/>
    <n v="0"/>
    <s v="Pal"/>
    <n v="1"/>
    <n v="0"/>
    <m/>
    <m/>
    <m/>
    <m/>
    <m/>
    <s v="PORTPAYE"/>
    <s v="STANDARD"/>
    <s v="EUR"/>
    <m/>
    <m/>
    <m/>
    <m/>
    <m/>
    <n v="50.43"/>
    <n v="52.5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09"/>
    <n v="26.83"/>
    <n v="26.83"/>
    <s v=""/>
    <s v=""/>
    <s v=""/>
    <s v=""/>
    <s v=""/>
    <n v="26.83"/>
    <n v="0"/>
    <n v="0"/>
    <x v="0"/>
    <d v="2026-06-30T00:00:00"/>
    <s v="9505289-C01"/>
    <s v="EXP20260615-2799257"/>
    <n v="2026"/>
    <s v="26-06-0588668"/>
    <s v="EXP20260615-2799257"/>
    <x v="109"/>
    <s v="DAP"/>
    <s v="DOMESTIC"/>
    <s v="DOMESTIC"/>
    <n v="71960"/>
    <s v="MESS"/>
    <s v="EDI"/>
    <n v="224"/>
    <m/>
    <d v="2026-06-16T00:00:00"/>
    <n v="21"/>
    <s v="LA RUCHE LOGISTIQUE"/>
    <s v="EXP20260615-2799257"/>
    <s v="FR"/>
    <n v="21"/>
    <s v="CREANCEY"/>
    <d v="2026-06-19T00:00:00"/>
    <x v="106"/>
    <s v="EXP20260615-2799257"/>
    <x v="0"/>
    <n v="71"/>
    <s v="VERGISSON"/>
    <m/>
    <m/>
    <n v="1"/>
    <n v="1"/>
    <n v="63"/>
    <n v="63"/>
    <n v="0"/>
    <s v="KG"/>
    <n v="63"/>
    <n v="0"/>
    <m/>
    <m/>
    <m/>
    <m/>
    <m/>
    <s v="PORTPAYE"/>
    <s v="STANDARD"/>
    <s v="EUR"/>
    <m/>
    <m/>
    <m/>
    <m/>
    <m/>
    <n v="24.68"/>
    <n v="26.8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0"/>
    <n v="75.73"/>
    <n v="75.73"/>
    <s v=""/>
    <s v=""/>
    <s v=""/>
    <s v=""/>
    <s v=""/>
    <n v="75.73"/>
    <n v="0"/>
    <n v="0"/>
    <x v="0"/>
    <d v="2026-06-30T00:00:00"/>
    <s v="9505289-C01"/>
    <s v="EXP20260615-2799188"/>
    <n v="2026"/>
    <s v="26-06-0588670"/>
    <s v="EXP20260615-2799188"/>
    <x v="110"/>
    <s v="DAP"/>
    <s v="DOMESTIC"/>
    <s v="DOMESTIC"/>
    <n v="71240"/>
    <s v="MESS"/>
    <s v="EDI"/>
    <n v="91"/>
    <m/>
    <d v="2026-06-16T00:00:00"/>
    <n v="21"/>
    <s v="LA RUCHE LOGISTIQUE"/>
    <s v="EXP20260615-2799188"/>
    <s v="FR"/>
    <n v="21"/>
    <s v="CREANCEY"/>
    <d v="2026-06-22T00:00:00"/>
    <x v="107"/>
    <s v="EXP20260615-2799188"/>
    <x v="0"/>
    <n v="71"/>
    <s v="VERS"/>
    <m/>
    <m/>
    <n v="2"/>
    <n v="2"/>
    <n v="220"/>
    <n v="220"/>
    <n v="0"/>
    <s v="Pal"/>
    <n v="2"/>
    <n v="0"/>
    <m/>
    <m/>
    <m/>
    <m/>
    <m/>
    <s v="PORTPAYE"/>
    <s v="STANDARD"/>
    <s v="EUR"/>
    <m/>
    <m/>
    <m/>
    <m/>
    <m/>
    <n v="73.58"/>
    <n v="75.7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1"/>
    <n v="300"/>
    <n v="300"/>
    <s v=""/>
    <s v=""/>
    <s v=""/>
    <s v=""/>
    <s v=""/>
    <n v="300"/>
    <n v="0"/>
    <n v="0"/>
    <x v="0"/>
    <d v="2026-06-30T00:00:00"/>
    <s v="9505289-C01"/>
    <m/>
    <n v="2026"/>
    <s v="26-06-0616559"/>
    <m/>
    <x v="111"/>
    <s v="EXW"/>
    <s v="DOMESTIC"/>
    <s v="DOMESTIC"/>
    <n v="21320"/>
    <s v="AFFR"/>
    <m/>
    <n v="60"/>
    <m/>
    <d v="2026-06-18T00:00:00"/>
    <n v="21"/>
    <s v="STG"/>
    <m/>
    <s v="FR"/>
    <n v="21"/>
    <s v="LONGVIC"/>
    <m/>
    <x v="2"/>
    <m/>
    <x v="0"/>
    <n v="21"/>
    <s v="CREANCEY"/>
    <m/>
    <m/>
    <n v="32"/>
    <n v="32"/>
    <n v="25000"/>
    <n v="0"/>
    <n v="0"/>
    <s v="Pal"/>
    <n v="32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12"/>
    <n v="126.09"/>
    <n v="126.09"/>
    <s v=""/>
    <s v=""/>
    <s v=""/>
    <s v=""/>
    <s v=""/>
    <n v="126.09"/>
    <n v="0"/>
    <n v="0"/>
    <x v="0"/>
    <d v="2026-06-30T00:00:00"/>
    <s v="9505289-C01"/>
    <s v="EXP20260615-2799645"/>
    <n v="2026"/>
    <s v="26-06-0641579"/>
    <s v="EXP20260615-2799645"/>
    <x v="112"/>
    <s v="DAP"/>
    <s v="DOMESTIC"/>
    <s v="DOMESTIC"/>
    <n v="49270"/>
    <s v="MESS"/>
    <s v="EDI"/>
    <n v="754"/>
    <m/>
    <d v="2026-06-17T00:00:00"/>
    <n v="21"/>
    <s v="LA RUCHE LOGISTIQUE"/>
    <s v="EXP20260615-2799645"/>
    <s v="FR"/>
    <n v="21"/>
    <s v="CREANCEY"/>
    <d v="2026-06-22T00:00:00"/>
    <x v="108"/>
    <s v="EXP20260615-2799645"/>
    <x v="0"/>
    <n v="49"/>
    <s v="OREE D ANJOU"/>
    <m/>
    <m/>
    <n v="2"/>
    <n v="2"/>
    <n v="314"/>
    <n v="314"/>
    <n v="0"/>
    <s v="Pal"/>
    <n v="2"/>
    <n v="0"/>
    <m/>
    <m/>
    <m/>
    <m/>
    <m/>
    <s v="PORTPAYE"/>
    <s v="STANDARD"/>
    <s v="EUR"/>
    <m/>
    <m/>
    <m/>
    <m/>
    <m/>
    <n v="123.94"/>
    <n v="126.0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3"/>
    <n v="161.72999999999999"/>
    <n v="161.72999999999999"/>
    <s v=""/>
    <s v=""/>
    <s v=""/>
    <s v=""/>
    <s v=""/>
    <n v="161.72999999999999"/>
    <n v="0"/>
    <n v="0"/>
    <x v="0"/>
    <d v="2026-06-30T00:00:00"/>
    <s v="9505289-C01"/>
    <s v="EXP20260617-2803080"/>
    <n v="2026"/>
    <s v="26-06-0641582"/>
    <s v="EXP20260617-2803080"/>
    <x v="113"/>
    <s v="DAP"/>
    <s v="DOMESTIC"/>
    <s v="DOMESTIC"/>
    <n v="33350"/>
    <s v="MESS"/>
    <s v="EDI"/>
    <n v="713"/>
    <m/>
    <d v="2026-06-17T00:00:00"/>
    <n v="21"/>
    <s v="LA RUCHE LOGISTIQUE"/>
    <s v="EXP20260617-2803080"/>
    <s v="FR"/>
    <n v="21"/>
    <s v="CREANCEY"/>
    <d v="2026-06-23T00:00:00"/>
    <x v="109"/>
    <s v="EXP20260617-2803080"/>
    <x v="0"/>
    <n v="33"/>
    <s v="STE TERRE"/>
    <m/>
    <m/>
    <n v="2"/>
    <n v="2"/>
    <n v="168"/>
    <n v="168"/>
    <n v="0"/>
    <s v="Pal"/>
    <n v="2"/>
    <n v="0"/>
    <m/>
    <m/>
    <m/>
    <m/>
    <m/>
    <s v="PORTPAYE"/>
    <s v="STANDARD"/>
    <s v="EUR"/>
    <m/>
    <m/>
    <m/>
    <m/>
    <m/>
    <n v="127.66"/>
    <n v="161.7299999999999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.9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4"/>
    <n v="50.54"/>
    <n v="50.54"/>
    <s v=""/>
    <s v=""/>
    <s v=""/>
    <s v=""/>
    <s v=""/>
    <n v="50.54"/>
    <n v="0"/>
    <n v="0"/>
    <x v="0"/>
    <d v="2026-06-30T00:00:00"/>
    <s v="9505289-C01"/>
    <s v="EXP20260616-2801965"/>
    <n v="2026"/>
    <s v="26-06-0641586"/>
    <s v="EXP20260616-2801965"/>
    <x v="114"/>
    <s v="DAP"/>
    <s v="DOMESTIC"/>
    <s v="DOMESTIC"/>
    <n v="66000"/>
    <s v="MESS"/>
    <s v="EDI"/>
    <n v="685"/>
    <m/>
    <d v="2026-06-17T00:00:00"/>
    <n v="21"/>
    <s v="LA RUCHE LOGISTIQUE"/>
    <s v="EXP20260616-2801965"/>
    <s v="FR"/>
    <n v="21"/>
    <s v="CREANCEY"/>
    <d v="2026-06-22T00:00:00"/>
    <x v="110"/>
    <s v="EXP20260616-2801965"/>
    <x v="0"/>
    <n v="66"/>
    <s v="PERPIGNAN"/>
    <s v="Magasin / Commerce"/>
    <m/>
    <n v="1"/>
    <n v="1"/>
    <n v="59"/>
    <n v="59"/>
    <n v="0"/>
    <s v="KG"/>
    <n v="59"/>
    <n v="0"/>
    <m/>
    <m/>
    <m/>
    <m/>
    <m/>
    <s v="PORTPAYE"/>
    <s v="STANDARD"/>
    <s v="EUR"/>
    <m/>
    <m/>
    <m/>
    <m/>
    <m/>
    <n v="38.71"/>
    <n v="50.5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5"/>
    <n v="42.78"/>
    <n v="42.78"/>
    <s v=""/>
    <s v=""/>
    <s v=""/>
    <s v=""/>
    <s v=""/>
    <n v="42.78"/>
    <n v="0"/>
    <n v="0"/>
    <x v="0"/>
    <d v="2026-06-30T00:00:00"/>
    <s v="9505289-C01"/>
    <s v="EXP20260616-2802411"/>
    <n v="2026"/>
    <s v="26-06-0641589"/>
    <s v="EXP20260616-2802411"/>
    <x v="115"/>
    <s v="DAP"/>
    <s v="DOMESTIC"/>
    <s v="DOMESTIC"/>
    <n v="34290"/>
    <s v="MESS"/>
    <s v="EDI"/>
    <n v="695"/>
    <m/>
    <d v="2026-06-17T00:00:00"/>
    <n v="21"/>
    <s v="LA RUCHE LOGISTIQUE"/>
    <s v="EXP20260616-2802411"/>
    <s v="FR"/>
    <n v="21"/>
    <s v="CREANCEY"/>
    <d v="2026-06-19T00:00:00"/>
    <x v="111"/>
    <s v="EXP20260616-2802411"/>
    <x v="0"/>
    <n v="34"/>
    <s v="SERVIAN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32.5"/>
    <n v="42.7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130000000000000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6"/>
    <n v="30.18"/>
    <n v="30.18"/>
    <s v=""/>
    <s v=""/>
    <s v=""/>
    <s v=""/>
    <s v=""/>
    <n v="30.18"/>
    <n v="0"/>
    <n v="0"/>
    <x v="0"/>
    <d v="2026-06-30T00:00:00"/>
    <s v="9505289-C01"/>
    <s v="EXP20260617-2803169"/>
    <n v="2026"/>
    <s v="26-06-0641592"/>
    <s v="EXP20260617-2803169"/>
    <x v="116"/>
    <s v="DAP"/>
    <s v="DOMESTIC"/>
    <s v="DOMESTIC"/>
    <n v="47200"/>
    <s v="MESS"/>
    <s v="EDI"/>
    <n v="828"/>
    <m/>
    <d v="2026-06-17T00:00:00"/>
    <n v="21"/>
    <s v="LA RUCHE LOGISTIQUE"/>
    <s v="EXP20260617-2803169"/>
    <s v="FR"/>
    <n v="21"/>
    <s v="CREANCEY"/>
    <d v="2026-06-22T00:00:00"/>
    <x v="112"/>
    <s v="EXP20260617-2803169"/>
    <x v="0"/>
    <n v="47"/>
    <s v="MARMANDE"/>
    <m/>
    <m/>
    <n v="1"/>
    <n v="1"/>
    <n v="18"/>
    <n v="18"/>
    <n v="0"/>
    <s v="KG"/>
    <n v="18"/>
    <n v="0"/>
    <m/>
    <m/>
    <m/>
    <m/>
    <m/>
    <s v="PORTPAYE"/>
    <s v="STANDARD"/>
    <s v="EUR"/>
    <m/>
    <m/>
    <m/>
    <m/>
    <m/>
    <n v="28.03"/>
    <n v="30.1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7"/>
    <n v="66.19"/>
    <n v="66.19"/>
    <s v=""/>
    <s v=""/>
    <s v=""/>
    <s v=""/>
    <s v=""/>
    <n v="66.19"/>
    <n v="0"/>
    <n v="0"/>
    <x v="0"/>
    <d v="2026-06-30T00:00:00"/>
    <s v="9505289-C01"/>
    <s v="EXP20260616-2801910"/>
    <n v="2026"/>
    <s v="26-06-0641595"/>
    <s v="EXP20260616-2801910"/>
    <x v="117"/>
    <s v="DAP"/>
    <s v="DOMESTIC"/>
    <s v="DOMESTIC"/>
    <n v="13530"/>
    <s v="MESS"/>
    <s v="EDI"/>
    <n v="540"/>
    <m/>
    <d v="2026-06-17T00:00:00"/>
    <n v="21"/>
    <s v="LA RUCHE LOGISTIQUE"/>
    <s v="EXP20260616-2801910"/>
    <s v="FR"/>
    <n v="21"/>
    <s v="CREANCEY"/>
    <d v="2026-06-23T00:00:00"/>
    <x v="113"/>
    <s v="EXP20260616-2801910"/>
    <x v="0"/>
    <n v="13"/>
    <s v="TRETS"/>
    <s v="Magasin / Commerce"/>
    <s v="O"/>
    <n v="1"/>
    <n v="1"/>
    <n v="124"/>
    <n v="124"/>
    <n v="0"/>
    <s v="KG"/>
    <n v="124"/>
    <n v="0"/>
    <m/>
    <m/>
    <m/>
    <m/>
    <m/>
    <s v="PORTPAYE"/>
    <s v="STANDARD"/>
    <s v="EUR"/>
    <m/>
    <m/>
    <m/>
    <m/>
    <m/>
    <n v="51.23"/>
    <n v="66.1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8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8"/>
    <n v="28.34"/>
    <n v="28.34"/>
    <s v=""/>
    <s v=""/>
    <s v=""/>
    <s v=""/>
    <s v=""/>
    <n v="28.34"/>
    <n v="0"/>
    <n v="0"/>
    <x v="0"/>
    <d v="2026-06-30T00:00:00"/>
    <s v="9505289-C01"/>
    <s v="EXP20260616-2801911"/>
    <n v="2026"/>
    <s v="26-06-0641599"/>
    <s v="EXP20260616-2801911"/>
    <x v="118"/>
    <s v="DAP"/>
    <s v="DOMESTIC"/>
    <s v="DOMESTIC"/>
    <n v="69420"/>
    <s v="MESS"/>
    <s v="EDI"/>
    <n v="230"/>
    <m/>
    <d v="2026-06-17T00:00:00"/>
    <n v="21"/>
    <s v="LA RUCHE LOGISTIQUE"/>
    <s v="EXP20260616-2801911"/>
    <s v="FR"/>
    <n v="21"/>
    <s v="CREANCEY"/>
    <d v="2026-06-22T00:00:00"/>
    <x v="114"/>
    <s v="EXP20260616-2801911"/>
    <x v="0"/>
    <n v="69"/>
    <s v="CONDRIEU"/>
    <m/>
    <m/>
    <n v="1"/>
    <n v="1"/>
    <n v="55"/>
    <n v="55"/>
    <n v="0"/>
    <s v="KG"/>
    <n v="55"/>
    <n v="0"/>
    <m/>
    <m/>
    <m/>
    <m/>
    <m/>
    <s v="PORTPAYE"/>
    <s v="STANDARD"/>
    <s v="EUR"/>
    <m/>
    <m/>
    <m/>
    <m/>
    <m/>
    <n v="26.19"/>
    <n v="28.3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19"/>
    <n v="134.22"/>
    <n v="134.22"/>
    <s v=""/>
    <s v=""/>
    <s v=""/>
    <s v=""/>
    <s v=""/>
    <n v="134.22"/>
    <n v="0"/>
    <n v="0"/>
    <x v="0"/>
    <d v="2026-06-30T00:00:00"/>
    <s v="9505289-C01"/>
    <s v="EXP20260616-2800852"/>
    <n v="2026"/>
    <s v="26-06-0641603"/>
    <s v="EXP20260616-2800852"/>
    <x v="119"/>
    <s v="DAP"/>
    <s v="DOMESTIC"/>
    <s v="DOMESTIC"/>
    <n v="26600"/>
    <s v="MESS"/>
    <s v="EDI"/>
    <n v="348"/>
    <m/>
    <d v="2026-06-17T00:00:00"/>
    <n v="21"/>
    <s v="LA RUCHE LOGISTIQUE"/>
    <s v="EXP20260616-2800852"/>
    <s v="FR"/>
    <n v="21"/>
    <s v="CREANCEY"/>
    <d v="2026-06-19T00:00:00"/>
    <x v="115"/>
    <s v="EXP20260616-2800852"/>
    <x v="0"/>
    <n v="26"/>
    <s v="TAIN L HERMITAGE"/>
    <s v="Magasin / Commerce"/>
    <m/>
    <n v="3"/>
    <n v="3"/>
    <n v="304"/>
    <n v="304"/>
    <n v="0"/>
    <s v="Pal"/>
    <n v="3"/>
    <n v="0"/>
    <m/>
    <m/>
    <m/>
    <m/>
    <m/>
    <s v="PORTPAYE"/>
    <s v="STANDARD"/>
    <s v="EUR"/>
    <m/>
    <m/>
    <m/>
    <m/>
    <m/>
    <n v="132.07"/>
    <n v="134.2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0"/>
    <n v="23.36"/>
    <n v="23.36"/>
    <s v=""/>
    <s v=""/>
    <s v=""/>
    <s v=""/>
    <s v=""/>
    <n v="23.36"/>
    <n v="0"/>
    <n v="0"/>
    <x v="0"/>
    <d v="2026-06-30T00:00:00"/>
    <s v="9505289-C01"/>
    <s v="EXP20260615-2799936"/>
    <n v="2026"/>
    <s v="26-06-0641608"/>
    <s v="EXP20260615-2799936"/>
    <x v="120"/>
    <s v="DAP"/>
    <s v="DOMESTIC"/>
    <s v="DOMESTIC"/>
    <n v="21200"/>
    <s v="MESS"/>
    <s v="EDI"/>
    <n v="81"/>
    <m/>
    <d v="2026-06-17T00:00:00"/>
    <n v="21"/>
    <s v="LA RUCHE LOGISTIQUE"/>
    <s v="EXP20260615-2799936"/>
    <s v="FR"/>
    <n v="21"/>
    <s v="CREANCEY"/>
    <d v="2026-06-19T00:00:00"/>
    <x v="116"/>
    <s v="EXP20260615-2799936"/>
    <x v="0"/>
    <n v="21"/>
    <s v="BEAUNE"/>
    <m/>
    <m/>
    <n v="1"/>
    <n v="1"/>
    <n v="48"/>
    <n v="48"/>
    <n v="0"/>
    <s v="KG"/>
    <n v="48"/>
    <n v="0"/>
    <m/>
    <m/>
    <m/>
    <m/>
    <m/>
    <s v="PORTPAYE"/>
    <s v="STANDARD"/>
    <s v="EUR"/>
    <m/>
    <m/>
    <m/>
    <m/>
    <m/>
    <n v="21.21"/>
    <n v="23.3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1"/>
    <n v="73.210000000000008"/>
    <n v="73.210000000000008"/>
    <s v=""/>
    <s v=""/>
    <s v=""/>
    <s v=""/>
    <s v=""/>
    <n v="73.210000000000008"/>
    <n v="0"/>
    <n v="0"/>
    <x v="0"/>
    <d v="2026-06-30T00:00:00"/>
    <s v="9505289-C01"/>
    <s v="EXP20260616-2801321"/>
    <n v="2026"/>
    <s v="26-06-0641612"/>
    <s v="EXP20260616-2801321"/>
    <x v="121"/>
    <s v="DAP"/>
    <s v="DOMESTIC"/>
    <s v="DOMESTIC"/>
    <n v="17260"/>
    <s v="MESS"/>
    <s v="EDI"/>
    <n v="879"/>
    <m/>
    <d v="2026-06-17T00:00:00"/>
    <n v="21"/>
    <s v="LA RUCHE LOGISTIQUE"/>
    <s v="EXP20260616-2801321"/>
    <s v="FR"/>
    <n v="21"/>
    <s v="CREANCEY"/>
    <d v="2026-06-22T00:00:00"/>
    <x v="117"/>
    <s v="EXP20260616-2801321"/>
    <x v="0"/>
    <n v="17"/>
    <s v="GEMOZAC"/>
    <m/>
    <m/>
    <n v="1"/>
    <n v="1"/>
    <n v="124"/>
    <n v="124"/>
    <n v="0"/>
    <s v="KG"/>
    <n v="124"/>
    <n v="0"/>
    <m/>
    <m/>
    <m/>
    <m/>
    <m/>
    <s v="PORTPAYE"/>
    <s v="STANDARD"/>
    <s v="EUR"/>
    <m/>
    <m/>
    <m/>
    <m/>
    <m/>
    <n v="56.85"/>
    <n v="73.20999999999999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2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2"/>
    <n v="23.549999999999997"/>
    <n v="23.549999999999997"/>
    <s v=""/>
    <s v=""/>
    <s v=""/>
    <s v=""/>
    <s v=""/>
    <n v="23.549999999999997"/>
    <n v="0"/>
    <n v="0"/>
    <x v="0"/>
    <d v="2026-06-30T00:00:00"/>
    <s v="9505289-C01"/>
    <s v="EXP20260616-2801839"/>
    <n v="2026"/>
    <s v="26-06-0641615"/>
    <s v="EXP20260616-2801839"/>
    <x v="122"/>
    <s v="DAP"/>
    <s v="DOMESTIC"/>
    <s v="DOMESTIC"/>
    <n v="7230"/>
    <s v="MESS"/>
    <s v="EDI"/>
    <n v="418"/>
    <m/>
    <d v="2026-06-17T00:00:00"/>
    <n v="21"/>
    <s v="LA RUCHE LOGISTIQUE"/>
    <s v="EXP20260616-2801839"/>
    <s v="FR"/>
    <n v="21"/>
    <s v="CREANCEY"/>
    <m/>
    <x v="118"/>
    <s v="EXP20260616-2801839"/>
    <x v="0"/>
    <n v="7"/>
    <s v="LABLACHERE"/>
    <m/>
    <m/>
    <n v="1"/>
    <n v="1"/>
    <n v="18"/>
    <n v="18"/>
    <n v="0"/>
    <s v="KG"/>
    <n v="18"/>
    <n v="0"/>
    <m/>
    <m/>
    <m/>
    <m/>
    <m/>
    <s v="PORTPAYE"/>
    <s v="STANDARD"/>
    <s v="EUR"/>
    <m/>
    <m/>
    <m/>
    <m/>
    <m/>
    <n v="21.4"/>
    <n v="23.5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3"/>
    <n v="31.139999999999997"/>
    <n v="31.139999999999997"/>
    <s v=""/>
    <s v=""/>
    <s v=""/>
    <s v=""/>
    <s v=""/>
    <n v="31.139999999999997"/>
    <n v="0"/>
    <n v="0"/>
    <x v="0"/>
    <d v="2026-06-30T00:00:00"/>
    <s v="9505289-C01"/>
    <s v="EXP20260616-2802024"/>
    <n v="2026"/>
    <s v="26-06-0641619"/>
    <s v="EXP20260616-2802024"/>
    <x v="123"/>
    <s v="DAP"/>
    <s v="DOMESTIC"/>
    <s v="DOMESTIC"/>
    <n v="73800"/>
    <s v="MESS"/>
    <s v="EDI"/>
    <n v="370"/>
    <m/>
    <d v="2026-06-17T00:00:00"/>
    <n v="21"/>
    <s v="LA RUCHE LOGISTIQUE"/>
    <s v="EXP20260616-2802024"/>
    <s v="FR"/>
    <n v="21"/>
    <s v="CREANCEY"/>
    <d v="2026-06-19T00:00:00"/>
    <x v="119"/>
    <s v="EXP20260616-2802024"/>
    <x v="0"/>
    <n v="73"/>
    <s v="ARBIN"/>
    <m/>
    <m/>
    <n v="1"/>
    <n v="1"/>
    <n v="56"/>
    <n v="56"/>
    <n v="0"/>
    <s v="KG"/>
    <n v="56"/>
    <n v="0"/>
    <m/>
    <m/>
    <m/>
    <m/>
    <m/>
    <s v="PORTPAYE"/>
    <s v="STANDARD"/>
    <s v="EUR"/>
    <m/>
    <m/>
    <m/>
    <m/>
    <m/>
    <n v="28.99"/>
    <n v="31.1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4"/>
    <n v="37.549999999999997"/>
    <n v="37.549999999999997"/>
    <s v=""/>
    <s v=""/>
    <s v=""/>
    <s v=""/>
    <s v=""/>
    <n v="37.549999999999997"/>
    <n v="0"/>
    <n v="0"/>
    <x v="0"/>
    <d v="2026-06-30T00:00:00"/>
    <s v="9505289-C01"/>
    <s v="EXP20260617-2803213"/>
    <n v="2026"/>
    <s v="26-06-0641622"/>
    <s v="EXP20260617-2803213"/>
    <x v="124"/>
    <s v="DAP"/>
    <s v="DOMESTIC"/>
    <s v="DOMESTIC"/>
    <n v="24000"/>
    <s v="MESS"/>
    <s v="EDI"/>
    <n v="851"/>
    <m/>
    <d v="2026-06-17T00:00:00"/>
    <n v="21"/>
    <s v="LA RUCHE LOGISTIQUE"/>
    <s v="EXP20260617-2803213"/>
    <s v="FR"/>
    <n v="21"/>
    <s v="CREANCEY"/>
    <d v="2026-06-19T00:00:00"/>
    <x v="120"/>
    <s v="EXP20260617-2803213"/>
    <x v="0"/>
    <n v="24"/>
    <s v="PERIGUEUX"/>
    <m/>
    <m/>
    <n v="1"/>
    <n v="1"/>
    <n v="56"/>
    <n v="56"/>
    <n v="0"/>
    <s v="KG"/>
    <n v="56"/>
    <n v="0"/>
    <m/>
    <m/>
    <m/>
    <m/>
    <m/>
    <s v="PORTPAYE"/>
    <s v="STANDARD"/>
    <s v="EUR"/>
    <m/>
    <m/>
    <m/>
    <m/>
    <m/>
    <n v="35.4"/>
    <n v="37.54999999999999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5"/>
    <n v="124.23"/>
    <n v="124.23"/>
    <s v=""/>
    <s v=""/>
    <s v=""/>
    <s v=""/>
    <s v=""/>
    <n v="124.23"/>
    <n v="0"/>
    <n v="0"/>
    <x v="0"/>
    <d v="2026-06-30T00:00:00"/>
    <s v="9505289-C01"/>
    <s v="EXP20260602-2776687"/>
    <n v="2026"/>
    <s v="26-06-0643313"/>
    <m/>
    <x v="125"/>
    <s v="DAP"/>
    <s v="DOMESTIC"/>
    <s v="DOMESTIC"/>
    <n v="34290"/>
    <s v="MESS"/>
    <s v="EU-5237558"/>
    <n v="314"/>
    <m/>
    <d v="2026-06-17T00:00:00"/>
    <n v="84"/>
    <s v="EARL LE CLOS BOIVIN"/>
    <s v="EXP20260602-2776687"/>
    <s v="FR"/>
    <n v="84"/>
    <s v="COURTHEZON"/>
    <d v="2026-06-18T00:00:00"/>
    <x v="24"/>
    <s v="EXP20260602-2776126"/>
    <x v="0"/>
    <n v="34"/>
    <s v="MONTBLANC"/>
    <m/>
    <m/>
    <n v="1"/>
    <n v="1"/>
    <n v="112"/>
    <n v="112"/>
    <n v="0"/>
    <s v="KG"/>
    <n v="112"/>
    <n v="0"/>
    <m/>
    <m/>
    <m/>
    <m/>
    <m/>
    <s v="TIERSPAYANT"/>
    <s v="FIRST"/>
    <s v="EUR"/>
    <m/>
    <m/>
    <m/>
    <m/>
    <m/>
    <n v="73.66"/>
    <n v="124.2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n v="18.42000000000000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6"/>
    <n v="107.21000000000001"/>
    <n v="107.21000000000001"/>
    <s v=""/>
    <s v=""/>
    <s v=""/>
    <s v=""/>
    <s v=""/>
    <n v="107.21000000000001"/>
    <n v="0"/>
    <n v="0"/>
    <x v="0"/>
    <d v="2026-06-30T00:00:00"/>
    <s v="9505289-C01"/>
    <s v="EXP20260602-2776126"/>
    <n v="2026"/>
    <s v="26-06-0674931"/>
    <m/>
    <x v="126"/>
    <s v="DAP"/>
    <s v="DOMESTIC"/>
    <s v="DOMESTIC"/>
    <n v="84350"/>
    <s v="MESS"/>
    <s v="EU-5237564"/>
    <n v="312"/>
    <m/>
    <d v="2026-06-18T00:00:00"/>
    <n v="11"/>
    <s v="BRUNO ANDREU"/>
    <s v="EXP20260602-2776126"/>
    <s v="FR"/>
    <n v="34"/>
    <s v="MONTBLANC"/>
    <d v="2026-06-22T00:00:00"/>
    <x v="121"/>
    <s v="EXP20260602-2776687"/>
    <x v="0"/>
    <n v="84"/>
    <s v="COURTHEZON"/>
    <m/>
    <m/>
    <n v="1"/>
    <n v="1"/>
    <n v="44"/>
    <n v="44"/>
    <n v="0"/>
    <s v="KG"/>
    <n v="44"/>
    <n v="0"/>
    <m/>
    <m/>
    <m/>
    <m/>
    <m/>
    <s v="TIERSPAYANT"/>
    <s v="FIRST"/>
    <s v="EUR"/>
    <m/>
    <m/>
    <m/>
    <m/>
    <m/>
    <n v="60.05"/>
    <n v="107.2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n v="15.0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7"/>
    <n v="47.24"/>
    <n v="47.24"/>
    <s v=""/>
    <s v=""/>
    <s v=""/>
    <s v=""/>
    <s v=""/>
    <n v="47.24"/>
    <n v="0"/>
    <n v="0"/>
    <x v="0"/>
    <d v="2026-06-30T00:00:00"/>
    <s v="9505289-C01"/>
    <s v="EXP20260617-2803325"/>
    <n v="2026"/>
    <s v="26-06-0691072"/>
    <s v="EXP20260617-2803325"/>
    <x v="127"/>
    <s v="DAP"/>
    <s v="DOMESTIC"/>
    <s v="DOMESTIC"/>
    <n v="33520"/>
    <s v="MESS"/>
    <s v="EDI"/>
    <n v="739"/>
    <m/>
    <d v="2026-06-18T00:00:00"/>
    <n v="21"/>
    <s v="LA RUCHE LOGISTIQUE"/>
    <s v="EXP20260617-2803325"/>
    <s v="FR"/>
    <n v="21"/>
    <s v="CREANCEY"/>
    <d v="2026-06-24T00:00:00"/>
    <x v="122"/>
    <s v="EXP20260617-2803325"/>
    <x v="0"/>
    <n v="33"/>
    <s v="BRUGES"/>
    <m/>
    <m/>
    <n v="1"/>
    <n v="1"/>
    <n v="30"/>
    <n v="30"/>
    <n v="0"/>
    <s v="KG"/>
    <n v="30"/>
    <n v="0"/>
    <m/>
    <m/>
    <m/>
    <m/>
    <m/>
    <s v="PORTPAYE"/>
    <s v="STANDARD"/>
    <s v="EUR"/>
    <m/>
    <m/>
    <m/>
    <m/>
    <m/>
    <n v="36.07"/>
    <n v="47.2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0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8"/>
    <n v="153.13"/>
    <n v="153.13"/>
    <s v=""/>
    <s v=""/>
    <s v=""/>
    <s v=""/>
    <s v=""/>
    <n v="153.13"/>
    <n v="0"/>
    <n v="0"/>
    <x v="0"/>
    <d v="2026-06-30T00:00:00"/>
    <s v="9505289-C01"/>
    <s v="EXP20260617-2804067"/>
    <n v="2026"/>
    <s v="26-06-0691073"/>
    <s v="EXP20260617-2804067"/>
    <x v="128"/>
    <s v="DAP"/>
    <s v="DOMESTIC"/>
    <s v="DOMESTIC"/>
    <n v="83270"/>
    <s v="MESS"/>
    <s v="EDI"/>
    <n v="599"/>
    <m/>
    <d v="2026-06-18T00:00:00"/>
    <n v="21"/>
    <s v="LA RUCHE LOGISTIQUE"/>
    <s v="EXP20260617-2804067"/>
    <s v="FR"/>
    <n v="21"/>
    <s v="CREANCEY"/>
    <d v="2026-06-23T00:00:00"/>
    <x v="123"/>
    <s v="EXP20260617-2804067"/>
    <x v="0"/>
    <n v="83"/>
    <s v="ST CYR SUR MER"/>
    <m/>
    <m/>
    <n v="2"/>
    <n v="2"/>
    <n v="230"/>
    <n v="230"/>
    <n v="0"/>
    <s v="Pal"/>
    <n v="2"/>
    <n v="0"/>
    <m/>
    <m/>
    <m/>
    <m/>
    <m/>
    <s v="PORTPAYE"/>
    <s v="STANDARD"/>
    <s v="EUR"/>
    <m/>
    <m/>
    <m/>
    <m/>
    <m/>
    <n v="120.78"/>
    <n v="153.1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.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29"/>
    <n v="44.18"/>
    <n v="44.18"/>
    <s v=""/>
    <s v=""/>
    <n v="7"/>
    <s v=""/>
    <s v=""/>
    <n v="37.18"/>
    <n v="0"/>
    <n v="0"/>
    <x v="0"/>
    <d v="2026-06-30T00:00:00"/>
    <s v="9505289-C01"/>
    <s v="EXP20260617-2803522"/>
    <n v="2026"/>
    <s v="26-06-0691074"/>
    <s v="EXP20260617-2803522"/>
    <x v="129"/>
    <s v="DAP"/>
    <s v="DOMESTIC"/>
    <s v="DOMESTIC"/>
    <n v="69001"/>
    <s v="MESS"/>
    <s v="EDI"/>
    <n v="237"/>
    <m/>
    <d v="2026-06-18T00:00:00"/>
    <n v="21"/>
    <s v="LA RUCHE LOGISTIQUE"/>
    <s v="EXP20260617-2803522"/>
    <s v="FR"/>
    <n v="21"/>
    <s v="CREANCEY"/>
    <d v="2026-06-22T00:00:00"/>
    <x v="124"/>
    <s v="EXP20260617-2803522"/>
    <x v="0"/>
    <n v="69"/>
    <s v="LYON"/>
    <m/>
    <m/>
    <n v="1"/>
    <n v="1"/>
    <n v="115"/>
    <n v="115"/>
    <n v="0"/>
    <s v="KG"/>
    <n v="115"/>
    <n v="0"/>
    <m/>
    <m/>
    <m/>
    <m/>
    <m/>
    <s v="PORTPAYE"/>
    <s v="STANDARD"/>
    <s v="EUR"/>
    <m/>
    <m/>
    <m/>
    <m/>
    <m/>
    <n v="35.03"/>
    <n v="44.1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0"/>
    <n v="61.93"/>
    <n v="61.93"/>
    <s v=""/>
    <s v=""/>
    <s v=""/>
    <s v=""/>
    <s v=""/>
    <n v="61.93"/>
    <n v="0"/>
    <n v="0"/>
    <x v="0"/>
    <d v="2026-06-30T00:00:00"/>
    <s v="9505289-C01"/>
    <s v="EXP20260617-2803958"/>
    <n v="2026"/>
    <s v="26-06-0691075"/>
    <s v="EXP20260617-2803958"/>
    <x v="130"/>
    <s v="DAP"/>
    <s v="DOMESTIC"/>
    <s v="DOMESTIC"/>
    <n v="78680"/>
    <s v="MESS"/>
    <s v="EDI"/>
    <n v="467"/>
    <m/>
    <d v="2026-06-18T00:00:00"/>
    <n v="21"/>
    <s v="LA RUCHE LOGISTIQUE"/>
    <s v="EXP20260617-2803958"/>
    <s v="FR"/>
    <n v="21"/>
    <s v="CREANCEY"/>
    <d v="2026-06-23T00:00:00"/>
    <x v="125"/>
    <s v="EXP20260617-2803958"/>
    <x v="0"/>
    <n v="78"/>
    <s v="EPONE"/>
    <s v="Santé pharmacie"/>
    <s v="O"/>
    <n v="1"/>
    <n v="1"/>
    <n v="151"/>
    <n v="151"/>
    <n v="0"/>
    <s v="Pal"/>
    <n v="1"/>
    <n v="0"/>
    <m/>
    <m/>
    <m/>
    <m/>
    <m/>
    <s v="PORTPAYE"/>
    <s v="STANDARD"/>
    <s v="EUR"/>
    <m/>
    <m/>
    <m/>
    <m/>
    <m/>
    <n v="59.78"/>
    <n v="61.9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1"/>
    <n v="51.68"/>
    <n v="51.68"/>
    <s v=""/>
    <s v=""/>
    <s v=""/>
    <s v=""/>
    <s v=""/>
    <n v="51.68"/>
    <n v="0"/>
    <n v="0"/>
    <x v="0"/>
    <d v="2026-06-30T00:00:00"/>
    <s v="9505289-C01"/>
    <s v="EXP20260617-2803648"/>
    <n v="2026"/>
    <s v="26-06-0691076"/>
    <s v="EXP20260617-2803648"/>
    <x v="131"/>
    <s v="DAP"/>
    <s v="DOMESTIC"/>
    <s v="DOMESTIC"/>
    <n v="34000"/>
    <s v="MESS"/>
    <s v="EDI"/>
    <n v="525"/>
    <m/>
    <d v="2026-06-18T00:00:00"/>
    <n v="21"/>
    <s v="LA RUCHE LOGISTIQUE"/>
    <s v="EXP20260617-2803648"/>
    <s v="FR"/>
    <n v="21"/>
    <s v="CREANCEY"/>
    <d v="2026-06-23T00:00:00"/>
    <x v="126"/>
    <s v="EXP20260617-2803648"/>
    <x v="0"/>
    <n v="34"/>
    <s v="MONTPELLIER"/>
    <m/>
    <m/>
    <n v="1"/>
    <n v="1"/>
    <n v="72"/>
    <n v="72"/>
    <n v="0"/>
    <s v="KG"/>
    <n v="72"/>
    <n v="0"/>
    <m/>
    <m/>
    <m/>
    <m/>
    <m/>
    <s v="PORTPAYE"/>
    <s v="STANDARD"/>
    <s v="EUR"/>
    <m/>
    <m/>
    <m/>
    <m/>
    <m/>
    <n v="39.619999999999997"/>
    <n v="51.6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9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2"/>
    <n v="32.729999999999997"/>
    <n v="32.729999999999997"/>
    <s v=""/>
    <s v=""/>
    <s v=""/>
    <s v=""/>
    <s v=""/>
    <n v="32.729999999999997"/>
    <n v="0"/>
    <n v="0"/>
    <x v="0"/>
    <d v="2026-06-30T00:00:00"/>
    <s v="9505289-C01"/>
    <s v="EXP20260618-2805681"/>
    <n v="2026"/>
    <s v="26-06-0740199"/>
    <s v="EXP20260618-2805681"/>
    <x v="132"/>
    <s v="DAP"/>
    <s v="DOMESTIC"/>
    <s v="DOMESTIC"/>
    <n v="42130"/>
    <s v="MESS"/>
    <s v="EDI"/>
    <n v="337"/>
    <m/>
    <d v="2026-06-19T00:00:00"/>
    <n v="21"/>
    <s v="LA RUCHE LOGISTIQUE"/>
    <s v="EXP20260618-2805681"/>
    <s v="FR"/>
    <n v="21"/>
    <s v="CREANCEY"/>
    <d v="2026-06-23T00:00:00"/>
    <x v="127"/>
    <s v="EXP20260618-2805681"/>
    <x v="0"/>
    <n v="42"/>
    <s v="LEIGNEUX"/>
    <m/>
    <m/>
    <n v="1"/>
    <n v="1"/>
    <n v="67"/>
    <n v="67"/>
    <n v="0"/>
    <s v="KG"/>
    <n v="67"/>
    <n v="0"/>
    <m/>
    <m/>
    <m/>
    <m/>
    <m/>
    <s v="PORTPAYE"/>
    <s v="STANDARD"/>
    <s v="EUR"/>
    <m/>
    <m/>
    <m/>
    <m/>
    <m/>
    <n v="30.58"/>
    <n v="32.72999999999999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3"/>
    <n v="56.4"/>
    <n v="56.4"/>
    <s v=""/>
    <s v=""/>
    <s v=""/>
    <s v=""/>
    <s v=""/>
    <n v="56.4"/>
    <n v="0"/>
    <n v="0"/>
    <x v="0"/>
    <d v="2026-06-30T00:00:00"/>
    <s v="9505289-C01"/>
    <s v="EXP20260618-2805554"/>
    <n v="2026"/>
    <s v="26-06-0740200"/>
    <s v="EXP20260618-2805554"/>
    <x v="133"/>
    <s v="DAP"/>
    <s v="DOMESTIC"/>
    <s v="DOMESTIC"/>
    <n v="83470"/>
    <s v="MESS"/>
    <s v="EDI"/>
    <n v="599"/>
    <m/>
    <d v="2026-06-19T00:00:00"/>
    <n v="21"/>
    <s v="LA RUCHE LOGISTIQUE"/>
    <s v="EXP20260618-2805554"/>
    <s v="FR"/>
    <n v="21"/>
    <s v="CREANCEY"/>
    <d v="2026-06-24T00:00:00"/>
    <x v="128"/>
    <s v="EXP20260618-2805554"/>
    <x v="0"/>
    <n v="83"/>
    <s v="OLLIERES"/>
    <m/>
    <m/>
    <n v="1"/>
    <n v="1"/>
    <n v="87"/>
    <n v="87"/>
    <n v="0"/>
    <s v="KG"/>
    <n v="87"/>
    <n v="0"/>
    <m/>
    <m/>
    <m/>
    <m/>
    <m/>
    <s v="PORTPAYE"/>
    <s v="STANDARD"/>
    <s v="EUR"/>
    <m/>
    <m/>
    <m/>
    <m/>
    <m/>
    <n v="43.4"/>
    <n v="56.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8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4"/>
    <n v="52.47"/>
    <n v="52.47"/>
    <s v=""/>
    <s v=""/>
    <s v=""/>
    <s v=""/>
    <s v=""/>
    <n v="52.47"/>
    <n v="0"/>
    <n v="0"/>
    <x v="0"/>
    <d v="2026-06-30T00:00:00"/>
    <s v="9505289-C01"/>
    <s v="EXP20260618-2806068"/>
    <n v="2026"/>
    <s v="26-06-0740201"/>
    <s v="EXP20260618-2806068"/>
    <x v="134"/>
    <s v="DAP"/>
    <s v="DOMESTIC"/>
    <s v="DOMESTIC"/>
    <n v="67520"/>
    <s v="MESS"/>
    <s v="EDI"/>
    <n v="410"/>
    <m/>
    <d v="2026-06-19T00:00:00"/>
    <n v="21"/>
    <s v="LA RUCHE LOGISTIQUE"/>
    <s v="EXP20260618-2806068"/>
    <s v="FR"/>
    <n v="21"/>
    <s v="CREANCEY"/>
    <d v="2026-06-26T00:00:00"/>
    <x v="129"/>
    <s v="EXP20260618-2806068"/>
    <x v="0"/>
    <n v="67"/>
    <s v="MARLENHEIM"/>
    <m/>
    <m/>
    <n v="1"/>
    <n v="1"/>
    <n v="132"/>
    <n v="132"/>
    <n v="0"/>
    <s v="KG"/>
    <n v="132"/>
    <n v="0"/>
    <m/>
    <m/>
    <m/>
    <m/>
    <m/>
    <s v="PORTPAYE"/>
    <s v="STANDARD"/>
    <s v="EUR"/>
    <m/>
    <m/>
    <m/>
    <m/>
    <m/>
    <n v="50.32"/>
    <n v="52.4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5"/>
    <n v="45.67"/>
    <n v="45.67"/>
    <s v=""/>
    <s v=""/>
    <n v="7"/>
    <s v=""/>
    <s v=""/>
    <n v="38.67"/>
    <n v="0"/>
    <n v="0"/>
    <x v="0"/>
    <d v="2026-06-30T00:00:00"/>
    <s v="9505289-C01"/>
    <s v="EXP20260617-2803959"/>
    <n v="2026"/>
    <s v="26-06-0740202"/>
    <s v="EXP20260617-2803959"/>
    <x v="135"/>
    <s v="DAP"/>
    <s v="DOMESTIC"/>
    <s v="DOMESTIC"/>
    <n v="93200"/>
    <s v="MESS"/>
    <s v="EDI"/>
    <n v="413"/>
    <m/>
    <d v="2026-06-19T00:00:00"/>
    <n v="21"/>
    <s v="LA RUCHE LOGISTIQUE"/>
    <s v="EXP20260617-2803959"/>
    <s v="FR"/>
    <n v="21"/>
    <s v="CREANCEY"/>
    <d v="2026-06-23T00:00:00"/>
    <x v="130"/>
    <s v="EXP20260617-2803959"/>
    <x v="0"/>
    <n v="93"/>
    <s v="ST DENIS"/>
    <m/>
    <m/>
    <n v="1"/>
    <n v="1"/>
    <n v="56"/>
    <n v="56"/>
    <n v="0"/>
    <s v="KG"/>
    <n v="56"/>
    <n v="0"/>
    <m/>
    <m/>
    <m/>
    <m/>
    <m/>
    <s v="PORTPAYE"/>
    <s v="STANDARD"/>
    <s v="EUR"/>
    <m/>
    <m/>
    <m/>
    <m/>
    <m/>
    <n v="36.520000000000003"/>
    <n v="45.6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6"/>
    <n v="300"/>
    <n v="300"/>
    <s v=""/>
    <s v=""/>
    <s v=""/>
    <s v=""/>
    <s v=""/>
    <n v="300"/>
    <n v="0"/>
    <n v="0"/>
    <x v="0"/>
    <d v="2026-06-30T00:00:00"/>
    <s v="9505289-C01"/>
    <m/>
    <n v="2026"/>
    <s v="26-06-0771898"/>
    <m/>
    <x v="136"/>
    <s v="EXW"/>
    <s v="DOMESTIC"/>
    <s v="DOMESTIC"/>
    <n v="21320"/>
    <s v="AFFR"/>
    <m/>
    <n v="60"/>
    <m/>
    <d v="2026-06-23T00:00:00"/>
    <n v="21"/>
    <s v="STG"/>
    <m/>
    <s v="FR"/>
    <n v="21"/>
    <s v="LONGVIC"/>
    <m/>
    <x v="2"/>
    <m/>
    <x v="0"/>
    <n v="21"/>
    <s v="CREANCEY"/>
    <m/>
    <m/>
    <n v="33"/>
    <n v="33"/>
    <n v="25000"/>
    <n v="0"/>
    <n v="0"/>
    <s v="Pal"/>
    <n v="33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37"/>
    <n v="48.39"/>
    <n v="48.39"/>
    <s v=""/>
    <s v=""/>
    <s v=""/>
    <s v=""/>
    <s v=""/>
    <n v="48.39"/>
    <n v="0"/>
    <n v="0"/>
    <x v="0"/>
    <d v="2026-06-30T00:00:00"/>
    <s v="9505289-C01"/>
    <s v="EXP20260622-2811458"/>
    <n v="2026"/>
    <s v="26-06-0791233"/>
    <s v="EXP20260622-2811458"/>
    <x v="137"/>
    <s v="DAP"/>
    <s v="DOMESTIC"/>
    <s v="DOMESTIC"/>
    <n v="83570"/>
    <s v="MESS"/>
    <s v="EDI"/>
    <n v="599"/>
    <m/>
    <d v="2026-06-22T00:00:00"/>
    <n v="21"/>
    <s v="LA RUCHE LOGISTIQUE"/>
    <s v="EXP20260622-2811458"/>
    <s v="FR"/>
    <n v="21"/>
    <s v="CREANCEY"/>
    <d v="2026-06-24T00:00:00"/>
    <x v="131"/>
    <s v="EXP20260622-2811458"/>
    <x v="0"/>
    <n v="83"/>
    <s v="COTIGNAC"/>
    <m/>
    <m/>
    <n v="1"/>
    <n v="1"/>
    <n v="58"/>
    <n v="58"/>
    <n v="0"/>
    <s v="KG"/>
    <n v="58"/>
    <n v="0"/>
    <m/>
    <m/>
    <m/>
    <m/>
    <m/>
    <s v="PORTPAYE"/>
    <s v="STANDARD"/>
    <s v="EUR"/>
    <m/>
    <m/>
    <m/>
    <m/>
    <m/>
    <n v="36.99"/>
    <n v="48.3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5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8"/>
    <n v="43.589999999999996"/>
    <n v="43.589999999999996"/>
    <s v=""/>
    <s v=""/>
    <s v=""/>
    <s v=""/>
    <s v=""/>
    <n v="43.589999999999996"/>
    <n v="0"/>
    <n v="0"/>
    <x v="0"/>
    <d v="2026-06-30T00:00:00"/>
    <s v="9505289-C01"/>
    <s v="EXP20260622-2811853"/>
    <n v="2026"/>
    <s v="26-06-0791234"/>
    <s v="EXP20260622-2811853"/>
    <x v="138"/>
    <s v="DAP"/>
    <s v="DOMESTIC"/>
    <s v="DOMESTIC"/>
    <n v="13790"/>
    <s v="MESS"/>
    <s v="EDI"/>
    <n v="540"/>
    <m/>
    <d v="2026-06-22T00:00:00"/>
    <n v="21"/>
    <s v="LA RUCHE LOGISTIQUE"/>
    <s v="EXP20260622-2811853"/>
    <s v="FR"/>
    <n v="21"/>
    <s v="CREANCEY"/>
    <d v="2026-06-24T00:00:00"/>
    <x v="132"/>
    <s v="EXP20260622-2811853"/>
    <x v="0"/>
    <n v="13"/>
    <s v="ROUSSET"/>
    <s v="Magasin / Commerce"/>
    <s v="O"/>
    <n v="1"/>
    <n v="1"/>
    <n v="44"/>
    <n v="44"/>
    <n v="0"/>
    <s v="KG"/>
    <n v="44"/>
    <n v="0"/>
    <m/>
    <m/>
    <m/>
    <m/>
    <m/>
    <s v="PORTPAYE"/>
    <s v="STANDARD"/>
    <s v="EUR"/>
    <m/>
    <m/>
    <m/>
    <m/>
    <m/>
    <n v="33.15"/>
    <n v="43.5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289999999999999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39"/>
    <n v="40.1"/>
    <n v="40.1"/>
    <s v=""/>
    <s v=""/>
    <s v=""/>
    <s v=""/>
    <s v=""/>
    <n v="40.1"/>
    <n v="0"/>
    <n v="0"/>
    <x v="0"/>
    <d v="2026-06-30T00:00:00"/>
    <s v="9505289-C01"/>
    <s v="EXP20260621-2809330"/>
    <n v="2026"/>
    <s v="26-06-0791235"/>
    <s v="EXP20260621-2809330"/>
    <x v="139"/>
    <s v="DAP"/>
    <s v="DOMESTIC"/>
    <s v="DOMESTIC"/>
    <n v="69420"/>
    <s v="MESS"/>
    <s v="EDI"/>
    <n v="230"/>
    <m/>
    <d v="2026-06-22T00:00:00"/>
    <n v="21"/>
    <s v="LA RUCHE LOGISTIQUE"/>
    <s v="EXP20260621-2809330"/>
    <s v="FR"/>
    <n v="21"/>
    <s v="CREANCEY"/>
    <d v="2026-06-24T00:00:00"/>
    <x v="133"/>
    <s v="EXP20260621-2809330"/>
    <x v="0"/>
    <n v="69"/>
    <s v="AMPUIS"/>
    <m/>
    <m/>
    <n v="1"/>
    <n v="1"/>
    <n v="126"/>
    <n v="126"/>
    <n v="0"/>
    <s v="KG"/>
    <n v="126"/>
    <n v="0"/>
    <m/>
    <m/>
    <m/>
    <m/>
    <m/>
    <s v="PORTPAYE"/>
    <s v="STANDARD"/>
    <s v="EUR"/>
    <m/>
    <m/>
    <m/>
    <m/>
    <m/>
    <n v="37.950000000000003"/>
    <n v="40.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0"/>
    <n v="44.96"/>
    <n v="44.96"/>
    <s v=""/>
    <s v=""/>
    <s v=""/>
    <s v=""/>
    <s v=""/>
    <n v="44.96"/>
    <n v="0"/>
    <n v="0"/>
    <x v="0"/>
    <d v="2026-06-30T00:00:00"/>
    <s v="9505289-C01"/>
    <s v="EXP20260619-2807212"/>
    <n v="2026"/>
    <s v="26-06-0791236"/>
    <s v="EXP20260619-2807212"/>
    <x v="140"/>
    <s v="DAP"/>
    <s v="DOMESTIC"/>
    <s v="DOMESTIC"/>
    <n v="83570"/>
    <s v="MESS"/>
    <s v="EDI"/>
    <n v="599"/>
    <m/>
    <d v="2026-06-22T00:00:00"/>
    <n v="21"/>
    <s v="LA RUCHE LOGISTIQUE"/>
    <s v="EXP20260619-2807212"/>
    <s v="FR"/>
    <n v="21"/>
    <s v="CREANCEY"/>
    <d v="2026-06-24T00:00:00"/>
    <x v="134"/>
    <s v="EXP20260619-2807212"/>
    <x v="0"/>
    <n v="83"/>
    <s v="CARCES"/>
    <s v="Industrie"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34.25"/>
    <n v="44.9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1"/>
    <n v="58.949999999999996"/>
    <n v="58.949999999999996"/>
    <s v=""/>
    <s v=""/>
    <s v=""/>
    <s v=""/>
    <s v=""/>
    <n v="58.949999999999996"/>
    <n v="0"/>
    <n v="0"/>
    <x v="0"/>
    <d v="2026-06-30T00:00:00"/>
    <s v="9505289-C01"/>
    <s v="EXP20260619-2807520"/>
    <n v="2026"/>
    <s v="26-06-0791237"/>
    <s v="EXP20260619-2807520"/>
    <x v="141"/>
    <s v="DAP"/>
    <s v="DOMESTIC"/>
    <s v="DOMESTIC"/>
    <n v="49730"/>
    <s v="MESS"/>
    <s v="EDI"/>
    <n v="641"/>
    <m/>
    <d v="2026-06-22T00:00:00"/>
    <n v="21"/>
    <s v="LA RUCHE LOGISTIQUE"/>
    <s v="EXP20260619-2807520"/>
    <s v="FR"/>
    <n v="21"/>
    <s v="CREANCEY"/>
    <d v="2026-06-29T00:00:00"/>
    <x v="135"/>
    <s v="EXP20260619-2807520"/>
    <x v="0"/>
    <n v="49"/>
    <s v="PARNAY"/>
    <m/>
    <m/>
    <n v="1"/>
    <n v="1"/>
    <n v="121"/>
    <n v="121"/>
    <n v="0"/>
    <s v="KG"/>
    <n v="121"/>
    <n v="0"/>
    <m/>
    <m/>
    <m/>
    <m/>
    <m/>
    <s v="PORTPAYE"/>
    <s v="STANDARD"/>
    <s v="EUR"/>
    <m/>
    <m/>
    <m/>
    <m/>
    <m/>
    <n v="56.8"/>
    <n v="58.9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2"/>
    <n v="30.9"/>
    <n v="30.9"/>
    <s v=""/>
    <s v=""/>
    <s v=""/>
    <s v=""/>
    <s v=""/>
    <n v="30.9"/>
    <n v="0"/>
    <n v="0"/>
    <x v="0"/>
    <d v="2026-06-30T00:00:00"/>
    <s v="9505289-C01"/>
    <s v="EXP20260619-2807740"/>
    <n v="2026"/>
    <s v="26-06-0791238"/>
    <s v="EXP20260619-2807740"/>
    <x v="142"/>
    <s v="DAP"/>
    <s v="DOMESTIC"/>
    <s v="DOMESTIC"/>
    <n v="69220"/>
    <s v="MESS"/>
    <s v="EDI"/>
    <n v="187"/>
    <m/>
    <d v="2026-06-22T00:00:00"/>
    <n v="21"/>
    <s v="LA RUCHE LOGISTIQUE"/>
    <s v="EXP20260619-2807740"/>
    <s v="FR"/>
    <n v="21"/>
    <s v="CREANCEY"/>
    <d v="2026-06-24T00:00:00"/>
    <x v="136"/>
    <s v="EXP20260619-2807740"/>
    <x v="0"/>
    <n v="69"/>
    <s v="BELLEVILLE"/>
    <m/>
    <m/>
    <n v="1"/>
    <n v="1"/>
    <n v="72"/>
    <n v="72"/>
    <n v="0"/>
    <s v="KG"/>
    <n v="72"/>
    <n v="0"/>
    <m/>
    <m/>
    <m/>
    <m/>
    <m/>
    <s v="PORTPAYE"/>
    <s v="STANDARD"/>
    <s v="EUR"/>
    <m/>
    <m/>
    <m/>
    <m/>
    <m/>
    <n v="28.75"/>
    <n v="30.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3"/>
    <n v="26.599999999999998"/>
    <n v="26.599999999999998"/>
    <s v=""/>
    <s v=""/>
    <s v=""/>
    <s v=""/>
    <s v=""/>
    <n v="26.599999999999998"/>
    <n v="0"/>
    <n v="0"/>
    <x v="0"/>
    <d v="2026-06-30T00:00:00"/>
    <s v="9505289-C01"/>
    <s v="EXP20260622-2811664"/>
    <n v="2026"/>
    <s v="26-06-0791239"/>
    <s v="EXP20260622-2811664"/>
    <x v="143"/>
    <s v="DAP"/>
    <s v="DOMESTIC"/>
    <s v="DOMESTIC"/>
    <n v="26790"/>
    <s v="MESS"/>
    <s v="EDI"/>
    <n v="507"/>
    <m/>
    <d v="2026-06-22T00:00:00"/>
    <n v="21"/>
    <s v="LA RUCHE LOGISTIQUE"/>
    <s v="EXP20260622-2811664"/>
    <s v="FR"/>
    <n v="21"/>
    <s v="CREANCEY"/>
    <d v="2026-06-24T00:00:00"/>
    <x v="137"/>
    <s v="EXP20260622-2811664"/>
    <x v="0"/>
    <n v="26"/>
    <s v="SUZE LA ROUSSE"/>
    <m/>
    <m/>
    <n v="1"/>
    <n v="1"/>
    <n v="27"/>
    <n v="27"/>
    <n v="0"/>
    <s v="KG"/>
    <n v="27"/>
    <n v="0"/>
    <m/>
    <m/>
    <m/>
    <m/>
    <m/>
    <s v="PORTPAYE"/>
    <s v="STANDARD"/>
    <s v="EUR"/>
    <m/>
    <m/>
    <m/>
    <m/>
    <m/>
    <n v="24.45"/>
    <n v="26.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4"/>
    <n v="35.44"/>
    <n v="35.44"/>
    <s v=""/>
    <s v=""/>
    <s v=""/>
    <s v=""/>
    <s v=""/>
    <n v="35.44"/>
    <n v="0"/>
    <n v="0"/>
    <x v="0"/>
    <d v="2026-06-30T00:00:00"/>
    <s v="9505289-C01"/>
    <s v="EXP20260620-2808454"/>
    <n v="2026"/>
    <s v="26-06-0791240"/>
    <s v="EXP20260620-2808454"/>
    <x v="144"/>
    <s v="DAP"/>
    <s v="DOMESTIC"/>
    <s v="DOMESTIC"/>
    <n v="73170"/>
    <s v="MESS"/>
    <s v="EDI"/>
    <n v="370"/>
    <m/>
    <d v="2026-06-22T00:00:00"/>
    <n v="21"/>
    <s v="LA RUCHE LOGISTIQUE"/>
    <s v="EXP20260620-2808454"/>
    <s v="FR"/>
    <n v="21"/>
    <s v="CREANCEY"/>
    <d v="2026-06-24T00:00:00"/>
    <x v="138"/>
    <s v="EXP20260620-2808454"/>
    <x v="0"/>
    <n v="73"/>
    <s v="JONGIEUX"/>
    <m/>
    <m/>
    <n v="1"/>
    <n v="1"/>
    <n v="88"/>
    <n v="88"/>
    <n v="0"/>
    <s v="KG"/>
    <n v="88"/>
    <n v="0"/>
    <m/>
    <m/>
    <m/>
    <m/>
    <m/>
    <s v="PORTPAYE"/>
    <s v="STANDARD"/>
    <s v="EUR"/>
    <m/>
    <m/>
    <m/>
    <m/>
    <m/>
    <n v="33.29"/>
    <n v="35.4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5"/>
    <n v="153.13"/>
    <n v="153.13"/>
    <s v=""/>
    <s v=""/>
    <s v=""/>
    <s v=""/>
    <s v=""/>
    <n v="153.13"/>
    <n v="0"/>
    <n v="0"/>
    <x v="0"/>
    <d v="2026-06-30T00:00:00"/>
    <s v="9505289-C01"/>
    <s v="EXP20260622-2811738"/>
    <n v="2026"/>
    <s v="26-06-0791242"/>
    <s v="EXP20260622-2811738"/>
    <x v="145"/>
    <s v="DAP"/>
    <s v="DOMESTIC"/>
    <s v="DOMESTIC"/>
    <n v="83340"/>
    <s v="MESS"/>
    <s v="EDI"/>
    <n v="599"/>
    <m/>
    <d v="2026-06-22T00:00:00"/>
    <n v="21"/>
    <s v="LA RUCHE LOGISTIQUE"/>
    <s v="EXP20260622-2811738"/>
    <s v="FR"/>
    <n v="21"/>
    <s v="CREANCEY"/>
    <d v="2026-06-23T00:00:00"/>
    <x v="139"/>
    <s v="EXP20260622-2811738"/>
    <x v="0"/>
    <n v="83"/>
    <s v="LE LUC"/>
    <m/>
    <m/>
    <n v="2"/>
    <n v="2"/>
    <n v="264"/>
    <n v="264"/>
    <n v="0"/>
    <s v="Pal"/>
    <n v="2"/>
    <n v="0"/>
    <m/>
    <m/>
    <m/>
    <m/>
    <m/>
    <s v="PORTPAYE"/>
    <s v="STANDARD"/>
    <s v="EUR"/>
    <m/>
    <m/>
    <m/>
    <m/>
    <m/>
    <n v="120.78"/>
    <n v="153.1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.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6"/>
    <n v="49.37"/>
    <n v="49.37"/>
    <s v=""/>
    <s v=""/>
    <n v="7"/>
    <s v=""/>
    <s v=""/>
    <n v="42.37"/>
    <n v="0"/>
    <n v="0"/>
    <x v="0"/>
    <d v="2026-06-30T00:00:00"/>
    <s v="9505289-C01"/>
    <s v="EXP20260620-2808305"/>
    <n v="2026"/>
    <s v="26-06-0791243"/>
    <s v="EXP20260620-2808305"/>
    <x v="146"/>
    <s v="DAP"/>
    <s v="DOMESTIC"/>
    <s v="DOMESTIC"/>
    <n v="75001"/>
    <s v="MESS"/>
    <s v="EDI"/>
    <n v="395"/>
    <m/>
    <d v="2026-06-22T00:00:00"/>
    <n v="21"/>
    <s v="LA RUCHE LOGISTIQUE"/>
    <s v="EXP20260620-2808305"/>
    <s v="FR"/>
    <n v="21"/>
    <s v="CREANCEY"/>
    <d v="2026-06-29T00:00:00"/>
    <x v="140"/>
    <s v="EXP20260620-2808305"/>
    <x v="0"/>
    <n v="75"/>
    <s v="PARIS"/>
    <m/>
    <m/>
    <n v="1"/>
    <n v="1"/>
    <n v="88"/>
    <n v="88"/>
    <n v="0"/>
    <s v="KG"/>
    <n v="88"/>
    <n v="0"/>
    <m/>
    <m/>
    <m/>
    <m/>
    <m/>
    <s v="PORTPAYE"/>
    <s v="STANDARD"/>
    <s v="EUR"/>
    <m/>
    <m/>
    <m/>
    <m/>
    <m/>
    <n v="40.22"/>
    <n v="49.3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7"/>
    <n v="37.92"/>
    <n v="37.92"/>
    <s v=""/>
    <s v=""/>
    <n v="7"/>
    <s v=""/>
    <s v=""/>
    <n v="30.919999999999998"/>
    <n v="0"/>
    <n v="0"/>
    <x v="0"/>
    <d v="2026-06-30T00:00:00"/>
    <s v="9505289-C01"/>
    <s v="EXP20260619-2807521"/>
    <n v="2026"/>
    <s v="26-06-0791244"/>
    <s v="EXP20260619-2807521"/>
    <x v="147"/>
    <s v="DAP"/>
    <s v="DOMESTIC"/>
    <s v="DOMESTIC"/>
    <n v="75001"/>
    <s v="MESS"/>
    <s v="EDI"/>
    <n v="395"/>
    <m/>
    <d v="2026-06-22T00:00:00"/>
    <n v="21"/>
    <s v="LA RUCHE LOGISTIQUE"/>
    <s v="EXP20260619-2807521"/>
    <s v="FR"/>
    <n v="21"/>
    <s v="CREANCEY"/>
    <m/>
    <x v="141"/>
    <s v="EXP20260619-2807521"/>
    <x v="0"/>
    <n v="75"/>
    <s v="PARIS"/>
    <m/>
    <m/>
    <n v="1"/>
    <n v="1"/>
    <n v="28"/>
    <n v="28"/>
    <n v="0"/>
    <s v="KG"/>
    <n v="28"/>
    <n v="0"/>
    <m/>
    <m/>
    <m/>
    <m/>
    <m/>
    <s v="PORTPAYE"/>
    <s v="STANDARD"/>
    <s v="EUR"/>
    <m/>
    <m/>
    <m/>
    <m/>
    <m/>
    <n v="28.77"/>
    <n v="37.92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48"/>
    <n v="300"/>
    <n v="300"/>
    <s v=""/>
    <s v=""/>
    <s v=""/>
    <s v=""/>
    <s v=""/>
    <n v="300"/>
    <n v="0"/>
    <n v="0"/>
    <x v="0"/>
    <d v="2026-06-30T00:00:00"/>
    <s v="9505289-C01"/>
    <m/>
    <n v="2026"/>
    <s v="26-06-0912817"/>
    <m/>
    <x v="148"/>
    <s v="EXW"/>
    <s v="DOMESTIC"/>
    <s v="DOMESTIC"/>
    <n v="21320"/>
    <s v="AFFR"/>
    <m/>
    <n v="59"/>
    <m/>
    <d v="2026-06-25T00:00:00"/>
    <n v="21"/>
    <s v="MAJ "/>
    <m/>
    <s v="FR"/>
    <n v="21"/>
    <s v="LONGVIC"/>
    <m/>
    <x v="2"/>
    <m/>
    <x v="0"/>
    <n v="21"/>
    <s v="CREANCEY"/>
    <m/>
    <m/>
    <n v="33"/>
    <n v="33"/>
    <n v="20000"/>
    <n v="0"/>
    <n v="0"/>
    <s v="Pal"/>
    <n v="33"/>
    <n v="13.4"/>
    <m/>
    <m/>
    <m/>
    <m/>
    <m/>
    <s v="APPRO"/>
    <s v="AFFRET"/>
    <s v="EUR"/>
    <m/>
    <m/>
    <m/>
    <m/>
    <m/>
    <n v="30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49"/>
    <n v="53.61"/>
    <n v="53.61"/>
    <s v=""/>
    <s v=""/>
    <s v=""/>
    <s v=""/>
    <s v=""/>
    <n v="53.61"/>
    <n v="0"/>
    <n v="0"/>
    <x v="0"/>
    <d v="2026-06-30T00:00:00"/>
    <s v="9505289-C01"/>
    <s v="EXP20260623-2813700"/>
    <n v="2026"/>
    <s v="26-06-0946593"/>
    <s v="EXP20260623-2813700"/>
    <x v="149"/>
    <s v="DAP"/>
    <s v="DOMESTIC"/>
    <s v="DOMESTIC"/>
    <n v="84750"/>
    <s v="MESS"/>
    <s v="EDI"/>
    <n v="468"/>
    <m/>
    <d v="2026-06-25T00:00:00"/>
    <n v="21"/>
    <s v="LA RUCHE LOGISTIQUE"/>
    <s v="EXP20260623-2813700"/>
    <s v="FR"/>
    <n v="21"/>
    <s v="CREANCEY"/>
    <d v="2026-06-29T00:00:00"/>
    <x v="142"/>
    <s v="EXP20260623-2813700"/>
    <x v="0"/>
    <n v="84"/>
    <s v="CASENEUVE"/>
    <m/>
    <m/>
    <n v="1"/>
    <n v="1"/>
    <n v="109"/>
    <n v="109"/>
    <n v="0"/>
    <s v="KG"/>
    <n v="109"/>
    <n v="0"/>
    <m/>
    <m/>
    <m/>
    <m/>
    <m/>
    <s v="PORTPAYE"/>
    <s v="STANDARD"/>
    <s v="EUR"/>
    <m/>
    <m/>
    <m/>
    <m/>
    <m/>
    <n v="41.17"/>
    <n v="53.6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2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0"/>
    <n v="44.93"/>
    <n v="44.93"/>
    <s v=""/>
    <s v=""/>
    <s v=""/>
    <s v=""/>
    <s v=""/>
    <n v="44.93"/>
    <n v="0"/>
    <n v="0"/>
    <x v="0"/>
    <d v="2026-06-30T00:00:00"/>
    <s v="9505289-C01"/>
    <s v="EXP20260622-2812727"/>
    <n v="2026"/>
    <s v="26-06-0946594"/>
    <s v="EXP20260622-2812727"/>
    <x v="150"/>
    <s v="DAP"/>
    <s v="DOMESTIC"/>
    <s v="DOMESTIC"/>
    <n v="1450"/>
    <s v="MESS"/>
    <s v="EDI"/>
    <n v="243"/>
    <m/>
    <d v="2026-06-25T00:00:00"/>
    <n v="21"/>
    <s v="LA RUCHE LOGISTIQUE"/>
    <s v="EXP20260622-2812727"/>
    <s v="FR"/>
    <n v="21"/>
    <s v="CREANCEY"/>
    <d v="2026-06-30T00:00:00"/>
    <x v="143"/>
    <s v="EXP20260622-2812727"/>
    <x v="0"/>
    <n v="1"/>
    <s v="PONCIN"/>
    <m/>
    <m/>
    <n v="1"/>
    <n v="1"/>
    <n v="146"/>
    <n v="146"/>
    <n v="0"/>
    <s v="KG"/>
    <n v="146"/>
    <n v="0"/>
    <m/>
    <m/>
    <m/>
    <m/>
    <m/>
    <s v="PORTPAYE"/>
    <s v="STANDARD"/>
    <s v="EUR"/>
    <m/>
    <m/>
    <m/>
    <m/>
    <m/>
    <n v="42.78"/>
    <n v="44.9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1"/>
    <n v="46.68"/>
    <n v="46.68"/>
    <s v=""/>
    <s v=""/>
    <s v=""/>
    <s v=""/>
    <s v=""/>
    <n v="46.68"/>
    <n v="0"/>
    <n v="0"/>
    <x v="0"/>
    <d v="2026-06-30T00:00:00"/>
    <s v="9505289-C01"/>
    <s v="EXP20260623-2813701"/>
    <n v="2026"/>
    <s v="26-06-0946595"/>
    <s v="EXP20260623-2813701"/>
    <x v="151"/>
    <s v="DAP"/>
    <s v="DOMESTIC"/>
    <s v="DOMESTIC"/>
    <n v="83690"/>
    <s v="MESS"/>
    <s v="EDI"/>
    <n v="599"/>
    <m/>
    <d v="2026-06-25T00:00:00"/>
    <n v="21"/>
    <s v="LA RUCHE LOGISTIQUE"/>
    <s v="EXP20260623-2813701"/>
    <s v="FR"/>
    <n v="21"/>
    <s v="CREANCEY"/>
    <d v="2026-06-30T00:00:00"/>
    <x v="53"/>
    <s v="EXP20260623-2813701"/>
    <x v="0"/>
    <n v="83"/>
    <s v="SALERNES"/>
    <m/>
    <m/>
    <n v="1"/>
    <n v="1"/>
    <n v="44"/>
    <n v="44"/>
    <n v="0"/>
    <s v="KG"/>
    <n v="44"/>
    <n v="0"/>
    <m/>
    <m/>
    <m/>
    <m/>
    <m/>
    <s v="PORTPAYE"/>
    <s v="STANDARD"/>
    <s v="EUR"/>
    <m/>
    <m/>
    <m/>
    <m/>
    <m/>
    <n v="35.619999999999997"/>
    <n v="46.6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9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2"/>
    <n v="53.36"/>
    <n v="53.36"/>
    <s v=""/>
    <s v=""/>
    <s v=""/>
    <s v=""/>
    <s v=""/>
    <n v="53.36"/>
    <n v="0"/>
    <n v="0"/>
    <x v="0"/>
    <d v="2026-06-30T00:00:00"/>
    <s v="9505289-C01"/>
    <s v="EXP20260623-2813597"/>
    <n v="2026"/>
    <s v="26-06-0946596"/>
    <s v="EXP20260623-2813597"/>
    <x v="152"/>
    <s v="DAP"/>
    <s v="DOMESTIC"/>
    <s v="DOMESTIC"/>
    <n v="30260"/>
    <s v="MESS"/>
    <s v="EDI"/>
    <n v="540"/>
    <m/>
    <d v="2026-06-25T00:00:00"/>
    <n v="21"/>
    <s v="LA RUCHE LOGISTIQUE"/>
    <s v="EXP20260623-2813597"/>
    <s v="FR"/>
    <n v="21"/>
    <s v="CREANCEY"/>
    <m/>
    <x v="144"/>
    <s v="EXP20260623-2813597"/>
    <x v="0"/>
    <n v="30"/>
    <s v="SARDAN"/>
    <m/>
    <m/>
    <n v="1"/>
    <n v="1"/>
    <n v="98"/>
    <n v="98"/>
    <n v="0"/>
    <s v="KG"/>
    <n v="98"/>
    <n v="0"/>
    <m/>
    <m/>
    <m/>
    <m/>
    <m/>
    <s v="PORTPAYE"/>
    <s v="STANDARD"/>
    <s v="EUR"/>
    <m/>
    <m/>
    <m/>
    <m/>
    <m/>
    <n v="40.97"/>
    <n v="53.3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2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3"/>
    <n v="33.85"/>
    <n v="33.85"/>
    <s v=""/>
    <s v=""/>
    <s v=""/>
    <s v=""/>
    <s v=""/>
    <n v="33.85"/>
    <n v="0"/>
    <n v="0"/>
    <x v="0"/>
    <d v="2026-06-30T00:00:00"/>
    <s v="9505289-C01"/>
    <s v="EXP20260622-2812032"/>
    <n v="2026"/>
    <s v="26-06-0946597"/>
    <s v="EXP20260622-2812032"/>
    <x v="153"/>
    <s v="DAP"/>
    <s v="DOMESTIC"/>
    <s v="DOMESTIC"/>
    <n v="34400"/>
    <s v="MESS"/>
    <s v="EDI"/>
    <n v="560"/>
    <m/>
    <d v="2026-06-25T00:00:00"/>
    <n v="21"/>
    <s v="LA RUCHE LOGISTIQUE"/>
    <s v="EXP20260622-2812032"/>
    <s v="FR"/>
    <n v="21"/>
    <s v="CREANCEY"/>
    <d v="2026-06-29T00:00:00"/>
    <x v="145"/>
    <s v="EXP20260622-2812032"/>
    <x v="0"/>
    <n v="34"/>
    <s v="ENTRE VIGNES"/>
    <m/>
    <m/>
    <n v="1"/>
    <n v="1"/>
    <n v="19"/>
    <n v="19"/>
    <n v="0"/>
    <s v="KG"/>
    <n v="19"/>
    <n v="0"/>
    <m/>
    <m/>
    <m/>
    <m/>
    <m/>
    <s v="PORTPAYE"/>
    <s v="STANDARD"/>
    <s v="EUR"/>
    <m/>
    <m/>
    <m/>
    <m/>
    <m/>
    <n v="25.36"/>
    <n v="33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4"/>
    <n v="38.1"/>
    <n v="38.1"/>
    <s v=""/>
    <s v=""/>
    <s v=""/>
    <s v=""/>
    <s v=""/>
    <n v="38.1"/>
    <n v="0"/>
    <n v="0"/>
    <x v="0"/>
    <d v="2026-06-30T00:00:00"/>
    <s v="9505289-C01"/>
    <s v="EXP20260623-2813496"/>
    <n v="2026"/>
    <s v="26-06-0946599"/>
    <s v="EXP20260623-2813496"/>
    <x v="154"/>
    <s v="DAP"/>
    <s v="DOMESTIC"/>
    <s v="DOMESTIC"/>
    <n v="73800"/>
    <s v="MESS"/>
    <s v="EDI"/>
    <n v="370"/>
    <m/>
    <d v="2026-06-25T00:00:00"/>
    <n v="21"/>
    <s v="LA RUCHE LOGISTIQUE"/>
    <s v="EXP20260623-2813496"/>
    <s v="FR"/>
    <n v="21"/>
    <s v="CREANCEY"/>
    <d v="2026-06-29T00:00:00"/>
    <x v="146"/>
    <s v="EXP20260623-2813496"/>
    <x v="0"/>
    <n v="73"/>
    <s v="CRUET"/>
    <m/>
    <m/>
    <n v="1"/>
    <n v="1"/>
    <n v="102"/>
    <n v="102"/>
    <n v="0"/>
    <s v="KG"/>
    <n v="102"/>
    <n v="0"/>
    <m/>
    <m/>
    <m/>
    <m/>
    <m/>
    <s v="PORTPAYE"/>
    <s v="STANDARD"/>
    <s v="EUR"/>
    <m/>
    <m/>
    <m/>
    <m/>
    <m/>
    <n v="35.950000000000003"/>
    <n v="38.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5"/>
    <n v="153.13"/>
    <n v="153.13"/>
    <s v=""/>
    <s v=""/>
    <s v=""/>
    <s v=""/>
    <s v=""/>
    <n v="153.13"/>
    <n v="0"/>
    <n v="0"/>
    <x v="0"/>
    <d v="2026-06-30T00:00:00"/>
    <s v="9505289-C01"/>
    <s v="EXP20260622-2811890"/>
    <n v="2026"/>
    <s v="26-06-0946600"/>
    <s v="EXP20260622-2811890"/>
    <x v="155"/>
    <s v="DAP"/>
    <s v="DOMESTIC"/>
    <s v="DOMESTIC"/>
    <n v="83580"/>
    <s v="MESS"/>
    <s v="EDI"/>
    <n v="599"/>
    <m/>
    <d v="2026-06-25T00:00:00"/>
    <n v="21"/>
    <s v="LA RUCHE LOGISTIQUE"/>
    <s v="EXP20260622-2811890"/>
    <s v="FR"/>
    <n v="21"/>
    <s v="CREANCEY"/>
    <d v="2026-06-29T00:00:00"/>
    <x v="147"/>
    <s v="EXP20260622-2811890"/>
    <x v="0"/>
    <n v="83"/>
    <s v="GASSIN"/>
    <s v="Magasin / Commerce"/>
    <m/>
    <n v="2"/>
    <n v="2"/>
    <n v="205"/>
    <n v="205"/>
    <n v="0"/>
    <s v="Pal"/>
    <n v="2"/>
    <n v="0"/>
    <m/>
    <m/>
    <m/>
    <m/>
    <m/>
    <s v="PORTPAYE"/>
    <s v="STANDARD"/>
    <s v="EUR"/>
    <m/>
    <m/>
    <m/>
    <m/>
    <m/>
    <n v="120.78"/>
    <n v="153.1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.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6"/>
    <n v="29.639999999999997"/>
    <n v="29.639999999999997"/>
    <s v=""/>
    <s v=""/>
    <s v=""/>
    <s v=""/>
    <s v=""/>
    <n v="29.639999999999997"/>
    <n v="0"/>
    <n v="0"/>
    <x v="0"/>
    <d v="2026-06-30T00:00:00"/>
    <s v="9505289-C01"/>
    <s v="EXP20260623-2814417"/>
    <n v="2026"/>
    <s v="26-06-0991480"/>
    <s v="EXP20260623-2814417"/>
    <x v="156"/>
    <s v="DAP"/>
    <s v="DOMESTIC"/>
    <s v="DOMESTIC"/>
    <n v="26110"/>
    <s v="MESS"/>
    <s v="EDI"/>
    <n v="428"/>
    <m/>
    <d v="2026-06-26T00:00:00"/>
    <n v="21"/>
    <s v="LA RUCHE LOGISTIQUE"/>
    <s v="EXP20260623-2814417"/>
    <s v="FR"/>
    <n v="21"/>
    <s v="CREANCEY"/>
    <d v="2026-06-30T00:00:00"/>
    <x v="148"/>
    <s v="EXP20260623-2814417"/>
    <x v="0"/>
    <n v="26"/>
    <s v="NYONS"/>
    <m/>
    <m/>
    <n v="1"/>
    <n v="1"/>
    <n v="30"/>
    <n v="30"/>
    <n v="0"/>
    <s v="KG"/>
    <n v="30"/>
    <n v="0"/>
    <m/>
    <m/>
    <m/>
    <m/>
    <m/>
    <s v="PORTPAYE"/>
    <s v="STANDARD"/>
    <s v="EUR"/>
    <m/>
    <m/>
    <m/>
    <m/>
    <m/>
    <n v="27.49"/>
    <n v="29.6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7"/>
    <n v="46.68"/>
    <n v="46.68"/>
    <s v=""/>
    <s v=""/>
    <s v=""/>
    <s v=""/>
    <s v=""/>
    <n v="46.68"/>
    <n v="0"/>
    <n v="0"/>
    <x v="0"/>
    <d v="2026-06-30T00:00:00"/>
    <s v="9505289-C01"/>
    <s v="EXP20260623-2813702"/>
    <n v="2026"/>
    <s v="26-06-0991481"/>
    <s v="EXP20260623-2813702"/>
    <x v="157"/>
    <s v="DAP"/>
    <s v="DOMESTIC"/>
    <s v="DOMESTIC"/>
    <n v="83570"/>
    <s v="MESS"/>
    <s v="EDI"/>
    <n v="599"/>
    <m/>
    <d v="2026-06-26T00:00:00"/>
    <n v="21"/>
    <s v="LA RUCHE LOGISTIQUE"/>
    <s v="EXP20260623-2813702"/>
    <s v="FR"/>
    <n v="21"/>
    <s v="CREANCEY"/>
    <m/>
    <x v="149"/>
    <s v="EXP20260623-2813702"/>
    <x v="0"/>
    <n v="83"/>
    <s v="ENTRECASTEAUX"/>
    <s v="Magasin / Commerce"/>
    <m/>
    <n v="1"/>
    <n v="1"/>
    <n v="45"/>
    <n v="45"/>
    <n v="0"/>
    <s v="KG"/>
    <n v="45"/>
    <n v="0"/>
    <m/>
    <m/>
    <m/>
    <m/>
    <m/>
    <s v="PORTPAYE"/>
    <s v="STANDARD"/>
    <s v="EUR"/>
    <m/>
    <m/>
    <m/>
    <m/>
    <m/>
    <n v="35.619999999999997"/>
    <n v="46.68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9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8"/>
    <n v="48.75"/>
    <n v="48.75"/>
    <s v=""/>
    <s v=""/>
    <s v=""/>
    <s v=""/>
    <s v=""/>
    <n v="48.75"/>
    <n v="0"/>
    <n v="0"/>
    <x v="0"/>
    <d v="2026-06-30T00:00:00"/>
    <s v="9505289-C01"/>
    <s v="EXP20260623-2814542"/>
    <n v="2026"/>
    <s v="26-06-0991482"/>
    <s v="EXP20260623-2814542"/>
    <x v="158"/>
    <s v="DAP"/>
    <s v="DOMESTIC"/>
    <s v="DOMESTIC"/>
    <n v="66000"/>
    <s v="MESS"/>
    <s v="EDI"/>
    <n v="685"/>
    <m/>
    <d v="2026-06-26T00:00:00"/>
    <n v="21"/>
    <s v="LA RUCHE LOGISTIQUE"/>
    <s v="EXP20260623-2814542"/>
    <s v="FR"/>
    <n v="21"/>
    <s v="CREANCEY"/>
    <d v="2026-06-30T00:00:00"/>
    <x v="150"/>
    <s v="EXP20260623-2814542"/>
    <x v="0"/>
    <n v="66"/>
    <s v="PERPIGNAN"/>
    <m/>
    <m/>
    <n v="1"/>
    <n v="1"/>
    <n v="40"/>
    <n v="40"/>
    <n v="0"/>
    <s v="KG"/>
    <n v="40"/>
    <n v="0"/>
    <m/>
    <m/>
    <m/>
    <m/>
    <m/>
    <s v="PORTPAYE"/>
    <s v="STANDARD"/>
    <s v="EUR"/>
    <m/>
    <m/>
    <m/>
    <m/>
    <m/>
    <n v="37.28"/>
    <n v="48.7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32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59"/>
    <n v="134.85"/>
    <n v="134.85"/>
    <s v=""/>
    <s v=""/>
    <s v=""/>
    <s v=""/>
    <s v=""/>
    <n v="134.85"/>
    <n v="0"/>
    <n v="0"/>
    <x v="0"/>
    <d v="2026-06-30T00:00:00"/>
    <s v="9505289-C01"/>
    <s v="EXP20260623-2814295"/>
    <n v="2026"/>
    <s v="26-06-0991484"/>
    <s v="EXP20260623-2814295"/>
    <x v="159"/>
    <s v="DAP"/>
    <s v="DOMESTIC"/>
    <s v="DOMESTIC"/>
    <n v="84220"/>
    <s v="MESS"/>
    <s v="EDI"/>
    <n v="468"/>
    <m/>
    <d v="2026-06-26T00:00:00"/>
    <n v="21"/>
    <s v="LA RUCHE LOGISTIQUE"/>
    <s v="EXP20260623-2814295"/>
    <s v="FR"/>
    <n v="21"/>
    <s v="CREANCEY"/>
    <d v="2026-06-30T00:00:00"/>
    <x v="151"/>
    <s v="EXP20260623-2814295"/>
    <x v="0"/>
    <n v="84"/>
    <s v="ROUSSILLON"/>
    <m/>
    <m/>
    <n v="2"/>
    <n v="2"/>
    <n v="330"/>
    <n v="330"/>
    <n v="0"/>
    <s v="Pal"/>
    <n v="2"/>
    <n v="0"/>
    <m/>
    <m/>
    <m/>
    <m/>
    <m/>
    <s v="PORTPAYE"/>
    <s v="STANDARD"/>
    <s v="EUR"/>
    <m/>
    <m/>
    <m/>
    <m/>
    <m/>
    <n v="106.16"/>
    <n v="134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.5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0"/>
    <n v="70.300000000000011"/>
    <n v="70.300000000000011"/>
    <s v=""/>
    <s v=""/>
    <s v=""/>
    <s v=""/>
    <s v=""/>
    <n v="70.300000000000011"/>
    <n v="0"/>
    <n v="0"/>
    <x v="0"/>
    <d v="2026-06-30T00:00:00"/>
    <s v="9505289-C01"/>
    <s v="EXP20260623-2814488"/>
    <n v="2026"/>
    <s v="26-06-0991485"/>
    <s v="EXP20260623-2814488"/>
    <x v="160"/>
    <s v="DAP"/>
    <s v="DOMESTIC"/>
    <s v="DOMESTIC"/>
    <n v="21340"/>
    <s v="MESS"/>
    <s v="EDI"/>
    <n v="81"/>
    <m/>
    <d v="2026-06-26T00:00:00"/>
    <n v="21"/>
    <s v="LA RUCHE LOGISTIQUE"/>
    <s v="EXP20260623-2814488"/>
    <s v="FR"/>
    <n v="21"/>
    <s v="CREANCEY"/>
    <d v="2026-06-29T00:00:00"/>
    <x v="152"/>
    <s v="EXP20260623-2814488"/>
    <x v="0"/>
    <n v="21"/>
    <s v="NOLAY"/>
    <s v="Magasin / Commerce"/>
    <m/>
    <n v="2"/>
    <n v="2"/>
    <n v="243"/>
    <n v="243"/>
    <n v="0"/>
    <s v="Pal"/>
    <n v="2"/>
    <n v="0"/>
    <m/>
    <m/>
    <m/>
    <m/>
    <m/>
    <s v="PORTPAYE"/>
    <s v="STANDARD"/>
    <s v="EUR"/>
    <m/>
    <m/>
    <m/>
    <m/>
    <m/>
    <n v="68.150000000000006"/>
    <n v="70.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1"/>
    <n v="61.74"/>
    <n v="61.74"/>
    <s v=""/>
    <s v=""/>
    <s v=""/>
    <s v=""/>
    <s v=""/>
    <n v="61.74"/>
    <n v="0"/>
    <n v="0"/>
    <x v="0"/>
    <d v="2026-06-30T00:00:00"/>
    <s v="9505289-C01"/>
    <s v="EXP20260625-2818342"/>
    <n v="2026"/>
    <s v="26-06-0991486"/>
    <s v="EXP20260625-2818342"/>
    <x v="161"/>
    <s v="DAP"/>
    <s v="DOMESTIC"/>
    <s v="DOMESTIC"/>
    <n v="95190"/>
    <s v="MESS"/>
    <s v="EDI"/>
    <n v="408"/>
    <m/>
    <d v="2026-06-26T00:00:00"/>
    <n v="21"/>
    <s v="LA RUCHE LOGISTIQUE"/>
    <s v="EXP20260625-2818342"/>
    <s v="FR"/>
    <n v="21"/>
    <s v="CREANCEY"/>
    <m/>
    <x v="153"/>
    <s v="EXP20260625-2818342"/>
    <x v="0"/>
    <n v="95"/>
    <s v="FONTENAY EN PARISIS"/>
    <m/>
    <m/>
    <n v="1"/>
    <n v="1"/>
    <n v="277"/>
    <n v="277"/>
    <n v="0"/>
    <s v="Pal"/>
    <n v="1"/>
    <n v="0"/>
    <m/>
    <m/>
    <m/>
    <m/>
    <m/>
    <s v="PORTPAYE"/>
    <s v="STANDARD"/>
    <s v="EUR"/>
    <m/>
    <m/>
    <m/>
    <m/>
    <m/>
    <n v="59.59"/>
    <n v="61.7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2"/>
    <n v="50.85"/>
    <n v="50.85"/>
    <s v=""/>
    <s v=""/>
    <s v=""/>
    <s v=""/>
    <s v=""/>
    <n v="50.85"/>
    <n v="0"/>
    <n v="0"/>
    <x v="0"/>
    <d v="2026-06-30T00:00:00"/>
    <s v="9505289-C01"/>
    <s v="EXP20260624-2816716"/>
    <n v="2026"/>
    <s v="26-06-1045638"/>
    <s v="EXP20260624-2816716"/>
    <x v="162"/>
    <s v="DAP"/>
    <s v="DOMESTIC"/>
    <s v="DOMESTIC"/>
    <n v="33720"/>
    <s v="MESS"/>
    <s v="EDI"/>
    <n v="697"/>
    <m/>
    <d v="2026-06-29T00:00:00"/>
    <n v="21"/>
    <s v="LA RUCHE LOGISTIQUE"/>
    <s v="EXP20260624-2816716"/>
    <s v="FR"/>
    <n v="21"/>
    <s v="CREANCEY"/>
    <m/>
    <x v="154"/>
    <s v="EXP20260624-2816716"/>
    <x v="0"/>
    <n v="33"/>
    <s v="ILLATS"/>
    <m/>
    <m/>
    <n v="1"/>
    <n v="1"/>
    <n v="56"/>
    <n v="56"/>
    <n v="0"/>
    <s v="KG"/>
    <n v="56"/>
    <n v="0"/>
    <m/>
    <m/>
    <m/>
    <m/>
    <m/>
    <s v="PORTPAYE"/>
    <s v="STANDARD"/>
    <s v="EUR"/>
    <m/>
    <m/>
    <m/>
    <m/>
    <m/>
    <n v="38.96"/>
    <n v="50.8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7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3"/>
    <n v="35.54"/>
    <n v="35.54"/>
    <s v=""/>
    <s v=""/>
    <s v=""/>
    <s v=""/>
    <s v=""/>
    <n v="35.54"/>
    <n v="0"/>
    <n v="0"/>
    <x v="0"/>
    <d v="2026-06-30T00:00:00"/>
    <s v="9505289-C01"/>
    <s v="EXP20260624-2815452"/>
    <n v="2026"/>
    <s v="26-06-1045640"/>
    <s v="EXP20260624-2815452"/>
    <x v="163"/>
    <s v="DAP"/>
    <s v="DOMESTIC"/>
    <s v="DOMESTIC"/>
    <n v="83550"/>
    <s v="MESS"/>
    <s v="EDI"/>
    <n v="599"/>
    <m/>
    <d v="2026-06-29T00:00:00"/>
    <n v="21"/>
    <s v="LA RUCHE LOGISTIQUE"/>
    <s v="EXP20260624-2815452"/>
    <s v="FR"/>
    <n v="21"/>
    <s v="CREANCEY"/>
    <m/>
    <x v="155"/>
    <s v="EXP20260624-2815452"/>
    <x v="0"/>
    <n v="83"/>
    <s v="VIDAUBAN"/>
    <m/>
    <m/>
    <n v="1"/>
    <n v="1"/>
    <n v="17"/>
    <n v="17"/>
    <n v="0"/>
    <s v="KG"/>
    <n v="17"/>
    <n v="0"/>
    <m/>
    <m/>
    <m/>
    <m/>
    <m/>
    <s v="PORTPAYE"/>
    <s v="STANDARD"/>
    <s v="EUR"/>
    <m/>
    <m/>
    <m/>
    <m/>
    <m/>
    <n v="26.71"/>
    <n v="35.5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4"/>
    <n v="23.99"/>
    <n v="23.99"/>
    <s v=""/>
    <s v=""/>
    <s v=""/>
    <s v=""/>
    <s v=""/>
    <n v="23.99"/>
    <n v="0"/>
    <n v="0"/>
    <x v="0"/>
    <d v="2026-06-30T00:00:00"/>
    <s v="9505289-C01"/>
    <s v="EXP20260624-2817215"/>
    <n v="2026"/>
    <s v="26-06-1045641"/>
    <s v="EXP20260624-2817215"/>
    <x v="164"/>
    <s v="DAP"/>
    <s v="DOMESTIC"/>
    <s v="DOMESTIC"/>
    <n v="71260"/>
    <s v="MESS"/>
    <s v="EDI"/>
    <n v="224"/>
    <m/>
    <d v="2026-06-29T00:00:00"/>
    <n v="21"/>
    <s v="LA RUCHE LOGISTIQUE"/>
    <s v="EXP20260624-2817215"/>
    <s v="FR"/>
    <n v="21"/>
    <s v="CREANCEY"/>
    <m/>
    <x v="156"/>
    <s v="EXP20260624-2817215"/>
    <x v="0"/>
    <n v="71"/>
    <s v="LUGNY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21.84"/>
    <n v="23.9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5"/>
    <n v="41.11"/>
    <n v="41.11"/>
    <s v=""/>
    <s v=""/>
    <s v=""/>
    <s v=""/>
    <s v=""/>
    <n v="41.11"/>
    <n v="0"/>
    <n v="0"/>
    <x v="0"/>
    <d v="2026-06-30T00:00:00"/>
    <s v="9505289-C01"/>
    <s v="EXP20260623-2814731"/>
    <n v="2026"/>
    <s v="26-06-1045642"/>
    <s v="EXP20260623-2814731"/>
    <x v="165"/>
    <s v="DAP"/>
    <s v="DOMESTIC"/>
    <s v="DOMESTIC"/>
    <n v="11170"/>
    <s v="MESS"/>
    <s v="EDI"/>
    <n v="685"/>
    <m/>
    <d v="2026-06-29T00:00:00"/>
    <n v="21"/>
    <s v="LA RUCHE LOGISTIQUE"/>
    <s v="EXP20260623-2814731"/>
    <s v="FR"/>
    <n v="21"/>
    <s v="CREANCEY"/>
    <m/>
    <x v="157"/>
    <s v="EXP20260623-2814731"/>
    <x v="0"/>
    <n v="11"/>
    <s v="ALZONNE"/>
    <m/>
    <m/>
    <n v="1"/>
    <n v="1"/>
    <n v="25"/>
    <n v="25"/>
    <n v="0"/>
    <s v="KG"/>
    <n v="25"/>
    <n v="0"/>
    <m/>
    <m/>
    <m/>
    <m/>
    <m/>
    <s v="PORTPAYE"/>
    <s v="STANDARD"/>
    <s v="EUR"/>
    <m/>
    <m/>
    <m/>
    <m/>
    <m/>
    <n v="31.17"/>
    <n v="41.1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7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6"/>
    <n v="30.97"/>
    <n v="30.97"/>
    <s v=""/>
    <s v=""/>
    <s v=""/>
    <s v=""/>
    <s v=""/>
    <n v="30.97"/>
    <n v="0"/>
    <n v="0"/>
    <x v="0"/>
    <d v="2026-06-30T00:00:00"/>
    <s v="9505289-C01"/>
    <s v="EXP20260625-2818258"/>
    <n v="2026"/>
    <s v="26-06-1045643"/>
    <s v="EXP20260625-2818258"/>
    <x v="166"/>
    <s v="DAP"/>
    <s v="DOMESTIC"/>
    <s v="DOMESTIC"/>
    <n v="21210"/>
    <s v="MESS"/>
    <s v="EDI"/>
    <n v="81"/>
    <m/>
    <d v="2026-06-29T00:00:00"/>
    <n v="21"/>
    <s v="LA RUCHE LOGISTIQUE"/>
    <s v="EXP20260625-2818258"/>
    <s v="FR"/>
    <n v="21"/>
    <s v="CREANCEY"/>
    <m/>
    <x v="158"/>
    <s v="EXP20260625-2818258"/>
    <x v="0"/>
    <n v="21"/>
    <s v="SAULIEU"/>
    <m/>
    <m/>
    <n v="1"/>
    <n v="1"/>
    <n v="120"/>
    <n v="120"/>
    <n v="0"/>
    <s v="KG"/>
    <n v="120"/>
    <n v="0"/>
    <m/>
    <m/>
    <m/>
    <m/>
    <m/>
    <s v="PORTPAYE"/>
    <s v="STANDARD"/>
    <s v="EUR"/>
    <m/>
    <m/>
    <m/>
    <m/>
    <m/>
    <n v="28.82"/>
    <n v="30.9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7"/>
    <n v="47.699999999999996"/>
    <n v="47.699999999999996"/>
    <s v=""/>
    <s v=""/>
    <s v=""/>
    <s v=""/>
    <s v=""/>
    <n v="47.699999999999996"/>
    <n v="0"/>
    <n v="0"/>
    <x v="0"/>
    <d v="2026-06-30T00:00:00"/>
    <s v="9505289-C01"/>
    <s v="EXP20260625-2819637"/>
    <n v="2026"/>
    <s v="26-06-1045644"/>
    <s v="EXP20260625-2819637"/>
    <x v="167"/>
    <s v="DAP"/>
    <s v="DOMESTIC"/>
    <s v="DOMESTIC"/>
    <n v="11200"/>
    <s v="MESS"/>
    <s v="EDI"/>
    <n v="685"/>
    <m/>
    <d v="2026-06-29T00:00:00"/>
    <n v="21"/>
    <s v="LA RUCHE LOGISTIQUE"/>
    <s v="EXP20260625-2819637"/>
    <s v="FR"/>
    <n v="21"/>
    <s v="CREANCEY"/>
    <m/>
    <x v="159"/>
    <s v="EXP20260625-2819637"/>
    <x v="0"/>
    <n v="11"/>
    <s v="LUC SUR ORBIEU"/>
    <m/>
    <m/>
    <n v="1"/>
    <n v="1"/>
    <n v="44"/>
    <n v="44"/>
    <n v="0"/>
    <s v="KG"/>
    <n v="44"/>
    <n v="0"/>
    <m/>
    <m/>
    <m/>
    <m/>
    <m/>
    <s v="PORTPAYE"/>
    <s v="STANDARD"/>
    <s v="EUR"/>
    <m/>
    <m/>
    <m/>
    <m/>
    <m/>
    <n v="36.44"/>
    <n v="47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1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8"/>
    <n v="41.66"/>
    <n v="41.66"/>
    <s v=""/>
    <s v=""/>
    <s v=""/>
    <s v=""/>
    <s v=""/>
    <n v="41.66"/>
    <n v="0"/>
    <n v="0"/>
    <x v="0"/>
    <d v="2026-06-30T00:00:00"/>
    <s v="9505289-C01"/>
    <s v="EXP20260625-2818688"/>
    <n v="2026"/>
    <s v="26-06-1045646"/>
    <s v="EXP20260625-2818688"/>
    <x v="168"/>
    <s v="DAP"/>
    <s v="DOMESTIC"/>
    <s v="DOMESTIC"/>
    <n v="84100"/>
    <s v="MESS"/>
    <s v="EDI"/>
    <n v="468"/>
    <m/>
    <d v="2026-06-29T00:00:00"/>
    <n v="21"/>
    <s v="LA RUCHE LOGISTIQUE"/>
    <s v="EXP20260625-2818688"/>
    <s v="FR"/>
    <n v="21"/>
    <s v="CREANCEY"/>
    <m/>
    <x v="160"/>
    <s v="EXP20260625-2818688"/>
    <x v="0"/>
    <n v="84"/>
    <s v="ORANGE"/>
    <m/>
    <m/>
    <n v="1"/>
    <n v="1"/>
    <n v="40"/>
    <n v="40"/>
    <n v="0"/>
    <s v="KG"/>
    <n v="40"/>
    <n v="0"/>
    <m/>
    <m/>
    <m/>
    <m/>
    <m/>
    <s v="PORTPAYE"/>
    <s v="STANDARD"/>
    <s v="EUR"/>
    <m/>
    <m/>
    <m/>
    <m/>
    <m/>
    <n v="31.61"/>
    <n v="41.6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9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69"/>
    <n v="38.33"/>
    <n v="38.33"/>
    <s v=""/>
    <s v=""/>
    <s v=""/>
    <s v=""/>
    <s v=""/>
    <n v="38.33"/>
    <n v="0"/>
    <n v="0"/>
    <x v="0"/>
    <d v="2026-06-30T00:00:00"/>
    <s v="9505289-C01"/>
    <s v="EXP20260623-2814602"/>
    <n v="2026"/>
    <s v="26-06-1045648"/>
    <s v="EXP20260623-2814602"/>
    <x v="169"/>
    <s v="DAP"/>
    <s v="DOMESTIC"/>
    <s v="DOMESTIC"/>
    <n v="34150"/>
    <s v="MESS"/>
    <s v="EDI"/>
    <n v="560"/>
    <m/>
    <d v="2026-06-29T00:00:00"/>
    <n v="21"/>
    <s v="LA RUCHE LOGISTIQUE"/>
    <s v="EXP20260623-2814602"/>
    <s v="FR"/>
    <n v="21"/>
    <s v="CREANCEY"/>
    <m/>
    <x v="20"/>
    <s v="EXP20260623-2814602"/>
    <x v="0"/>
    <n v="34"/>
    <s v="GIGNAC"/>
    <m/>
    <m/>
    <n v="1"/>
    <n v="1"/>
    <n v="27"/>
    <n v="27"/>
    <n v="0"/>
    <s v="KG"/>
    <n v="27"/>
    <n v="0"/>
    <m/>
    <m/>
    <m/>
    <m/>
    <m/>
    <s v="PORTPAYE"/>
    <s v="STANDARD"/>
    <s v="EUR"/>
    <m/>
    <m/>
    <m/>
    <m/>
    <m/>
    <n v="28.94"/>
    <n v="38.3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2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0"/>
    <n v="49.95"/>
    <n v="49.95"/>
    <s v=""/>
    <s v=""/>
    <s v=""/>
    <s v=""/>
    <s v=""/>
    <n v="49.95"/>
    <n v="0"/>
    <n v="0"/>
    <x v="0"/>
    <d v="2026-06-30T00:00:00"/>
    <s v="9505289-C01"/>
    <s v="EXP20260625-2818842"/>
    <n v="2026"/>
    <s v="26-06-1045650"/>
    <s v="EXP20260625-2818842"/>
    <x v="170"/>
    <s v="DAP"/>
    <s v="DOMESTIC"/>
    <s v="DOMESTIC"/>
    <n v="34150"/>
    <s v="MESS"/>
    <s v="EDI"/>
    <n v="560"/>
    <m/>
    <d v="2026-06-29T00:00:00"/>
    <n v="21"/>
    <s v="LA RUCHE LOGISTIQUE"/>
    <s v="EXP20260625-2818842"/>
    <s v="FR"/>
    <n v="21"/>
    <s v="CREANCEY"/>
    <m/>
    <x v="161"/>
    <s v="EXP20260625-2818842"/>
    <x v="0"/>
    <n v="34"/>
    <s v="ANIANE"/>
    <m/>
    <m/>
    <n v="1"/>
    <n v="1"/>
    <n v="60"/>
    <n v="60"/>
    <n v="0"/>
    <s v="KG"/>
    <n v="60"/>
    <n v="0"/>
    <m/>
    <m/>
    <m/>
    <m/>
    <m/>
    <s v="PORTPAYE"/>
    <s v="STANDARD"/>
    <s v="EUR"/>
    <m/>
    <m/>
    <m/>
    <m/>
    <m/>
    <n v="38.24"/>
    <n v="49.95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5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1"/>
    <n v="44.96"/>
    <n v="44.96"/>
    <s v=""/>
    <s v=""/>
    <s v=""/>
    <s v=""/>
    <s v=""/>
    <n v="44.96"/>
    <n v="0"/>
    <n v="0"/>
    <x v="0"/>
    <d v="2026-06-30T00:00:00"/>
    <s v="9505289-C01"/>
    <s v="EXP20260625-2819680"/>
    <n v="2026"/>
    <s v="26-06-1045652"/>
    <s v="EXP20260625-2819680"/>
    <x v="171"/>
    <s v="DAP"/>
    <s v="DOMESTIC"/>
    <s v="DOMESTIC"/>
    <n v="83490"/>
    <s v="MESS"/>
    <s v="EDI"/>
    <n v="599"/>
    <m/>
    <d v="2026-06-29T00:00:00"/>
    <n v="21"/>
    <s v="LA RUCHE LOGISTIQUE"/>
    <s v="EXP20260625-2819680"/>
    <s v="FR"/>
    <n v="21"/>
    <s v="CREANCEY"/>
    <m/>
    <x v="162"/>
    <s v="EXP20260625-2819680"/>
    <x v="0"/>
    <n v="83"/>
    <s v="LE MUY"/>
    <m/>
    <m/>
    <n v="1"/>
    <n v="1"/>
    <n v="39"/>
    <n v="39"/>
    <n v="0"/>
    <s v="KG"/>
    <n v="39"/>
    <n v="0"/>
    <m/>
    <m/>
    <m/>
    <m/>
    <m/>
    <s v="PORTPAYE"/>
    <s v="STANDARD"/>
    <s v="EUR"/>
    <m/>
    <m/>
    <m/>
    <m/>
    <m/>
    <n v="34.25"/>
    <n v="44.9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2"/>
    <n v="53.43"/>
    <n v="53.43"/>
    <s v=""/>
    <s v=""/>
    <s v=""/>
    <s v=""/>
    <s v=""/>
    <n v="53.43"/>
    <n v="0"/>
    <n v="0"/>
    <x v="0"/>
    <d v="2026-06-30T00:00:00"/>
    <s v="9505289-C01"/>
    <s v="EXP20260624-2816123"/>
    <n v="2026"/>
    <s v="26-06-1045655"/>
    <s v="EXP20260624-2816123"/>
    <x v="172"/>
    <s v="DAP"/>
    <s v="DOMESTIC"/>
    <s v="DOMESTIC"/>
    <n v="81140"/>
    <s v="MESS"/>
    <s v="EDI"/>
    <n v="660"/>
    <m/>
    <d v="2026-06-29T00:00:00"/>
    <n v="21"/>
    <s v="LA RUCHE LOGISTIQUE"/>
    <s v="EXP20260624-2816123"/>
    <s v="FR"/>
    <n v="21"/>
    <s v="CREANCEY"/>
    <m/>
    <x v="163"/>
    <s v="EXP20260624-2816123"/>
    <x v="0"/>
    <n v="81"/>
    <s v="CAHUZAC SUR VERE"/>
    <m/>
    <m/>
    <n v="1"/>
    <n v="1"/>
    <n v="89"/>
    <n v="89"/>
    <n v="0"/>
    <s v="KG"/>
    <n v="89"/>
    <n v="0"/>
    <m/>
    <m/>
    <m/>
    <m/>
    <m/>
    <s v="PORTPAYE"/>
    <s v="STANDARD"/>
    <s v="EUR"/>
    <m/>
    <m/>
    <m/>
    <m/>
    <m/>
    <n v="51.28"/>
    <n v="53.43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3"/>
    <n v="33.369999999999997"/>
    <n v="33.369999999999997"/>
    <s v=""/>
    <s v=""/>
    <s v=""/>
    <s v=""/>
    <s v=""/>
    <n v="33.369999999999997"/>
    <n v="0"/>
    <n v="0"/>
    <x v="0"/>
    <d v="2026-06-30T00:00:00"/>
    <s v="9505289-C01"/>
    <s v="EXP20260625-2819375"/>
    <n v="2026"/>
    <s v="26-06-1045657"/>
    <s v="EXP20260625-2819375"/>
    <x v="173"/>
    <s v="DAP"/>
    <s v="DOMESTIC"/>
    <s v="DOMESTIC"/>
    <n v="49700"/>
    <s v="MESS"/>
    <s v="EDI"/>
    <n v="641"/>
    <m/>
    <d v="2026-06-29T00:00:00"/>
    <n v="21"/>
    <s v="LA RUCHE LOGISTIQUE"/>
    <s v="EXP20260625-2819375"/>
    <s v="FR"/>
    <n v="21"/>
    <s v="CREANCEY"/>
    <m/>
    <x v="164"/>
    <s v="EXP20260625-2819375"/>
    <x v="0"/>
    <n v="49"/>
    <s v="DOUE EN ANJOU"/>
    <m/>
    <m/>
    <n v="1"/>
    <n v="1"/>
    <n v="20"/>
    <n v="20"/>
    <n v="0"/>
    <s v="KG"/>
    <n v="20"/>
    <n v="0"/>
    <m/>
    <m/>
    <m/>
    <m/>
    <m/>
    <s v="PORTPAYE"/>
    <s v="STANDARD"/>
    <s v="EUR"/>
    <m/>
    <m/>
    <m/>
    <m/>
    <m/>
    <n v="31.22"/>
    <n v="33.36999999999999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4"/>
    <n v="83.75"/>
    <n v="83.75"/>
    <s v=""/>
    <s v=""/>
    <n v="7"/>
    <s v=""/>
    <s v=""/>
    <n v="76.75"/>
    <n v="0"/>
    <n v="0"/>
    <x v="0"/>
    <d v="2026-06-30T00:00:00"/>
    <s v="9505289-C01"/>
    <s v="EXP20260624-2815862"/>
    <n v="2026"/>
    <s v="26-06-1045659"/>
    <s v="EXP20260624-2815862"/>
    <x v="174"/>
    <s v="DAP"/>
    <s v="EXPORT"/>
    <s v="INTERNATIONAL"/>
    <n v="1050"/>
    <s v="MESS"/>
    <s v="EDI"/>
    <n v="731"/>
    <m/>
    <d v="2026-06-29T00:00:00"/>
    <n v="21"/>
    <s v="LA RUCHE LOGISTIQUE"/>
    <s v="EXP20260624-2815862"/>
    <s v="FR"/>
    <n v="21"/>
    <s v="CREANCEY"/>
    <m/>
    <x v="165"/>
    <s v="EXP20260624-2815862"/>
    <x v="1"/>
    <n v="10"/>
    <s v="Ixelles"/>
    <m/>
    <m/>
    <n v="1"/>
    <n v="1"/>
    <n v="80"/>
    <n v="192"/>
    <n v="0.77"/>
    <s v="KG"/>
    <n v="192"/>
    <n v="0"/>
    <m/>
    <m/>
    <m/>
    <m/>
    <m/>
    <s v="PORTPAYE"/>
    <s v="STANDARD"/>
    <s v="EUR"/>
    <m/>
    <m/>
    <m/>
    <m/>
    <m/>
    <n v="66.599999999999994"/>
    <n v="83.75"/>
    <m/>
    <m/>
    <s v="L9-16RDV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m/>
    <m/>
    <m/>
    <n v="0.15"/>
  </r>
  <r>
    <m/>
    <x v="175"/>
    <n v="42.29"/>
    <n v="42.29"/>
    <s v=""/>
    <s v=""/>
    <s v=""/>
    <s v=""/>
    <s v=""/>
    <n v="42.29"/>
    <n v="0"/>
    <n v="0"/>
    <x v="0"/>
    <d v="2026-06-30T00:00:00"/>
    <s v="9505289-C01"/>
    <s v="EXP20260625-2819374"/>
    <n v="2026"/>
    <s v="26-06-1045664"/>
    <s v="EXP20260625-2819374"/>
    <x v="175"/>
    <s v="DAP"/>
    <s v="DOMESTIC"/>
    <s v="DOMESTIC"/>
    <n v="33350"/>
    <s v="MESS"/>
    <s v="EDI"/>
    <n v="713"/>
    <m/>
    <d v="2026-06-29T00:00:00"/>
    <n v="21"/>
    <s v="LA RUCHE LOGISTIQUE"/>
    <s v="EXP20260625-2819374"/>
    <s v="FR"/>
    <n v="21"/>
    <s v="CREANCEY"/>
    <m/>
    <x v="166"/>
    <s v="EXP20260625-2819374"/>
    <x v="0"/>
    <n v="33"/>
    <s v="BELVES DE CASTILLON"/>
    <m/>
    <m/>
    <n v="1"/>
    <n v="1"/>
    <n v="26"/>
    <n v="26"/>
    <n v="0"/>
    <s v="KG"/>
    <n v="26"/>
    <n v="0"/>
    <m/>
    <m/>
    <m/>
    <m/>
    <m/>
    <s v="PORTPAYE"/>
    <s v="STANDARD"/>
    <s v="EUR"/>
    <m/>
    <m/>
    <m/>
    <m/>
    <m/>
    <n v="32.11"/>
    <n v="42.29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0299999999999994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6"/>
    <n v="49.06"/>
    <n v="49.06"/>
    <s v=""/>
    <s v=""/>
    <s v=""/>
    <s v=""/>
    <s v=""/>
    <n v="49.06"/>
    <n v="0"/>
    <n v="0"/>
    <x v="0"/>
    <d v="2026-06-30T00:00:00"/>
    <s v="9505289-C01"/>
    <s v="EXP20260625-2819560"/>
    <n v="2026"/>
    <s v="26-06-1045665"/>
    <s v="EXP20260625-2819560"/>
    <x v="176"/>
    <s v="DAP"/>
    <s v="DOMESTIC"/>
    <s v="DOMESTIC"/>
    <n v="33570"/>
    <s v="MESS"/>
    <s v="EDI"/>
    <n v="713"/>
    <m/>
    <d v="2026-06-29T00:00:00"/>
    <n v="21"/>
    <s v="LA RUCHE LOGISTIQUE"/>
    <s v="EXP20260625-2819560"/>
    <s v="FR"/>
    <n v="21"/>
    <s v="CREANCEY"/>
    <m/>
    <x v="167"/>
    <s v="EXP20260625-2819560"/>
    <x v="0"/>
    <n v="33"/>
    <s v="MONTAGNE"/>
    <m/>
    <m/>
    <n v="1"/>
    <n v="1"/>
    <n v="44"/>
    <n v="44"/>
    <n v="0"/>
    <s v="KG"/>
    <n v="44"/>
    <n v="0"/>
    <m/>
    <m/>
    <m/>
    <m/>
    <m/>
    <s v="PORTPAYE"/>
    <s v="STANDARD"/>
    <s v="EUR"/>
    <m/>
    <m/>
    <m/>
    <m/>
    <m/>
    <n v="37.53"/>
    <n v="49.0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3800000000000008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7"/>
    <n v="64.460000000000008"/>
    <n v="64.460000000000008"/>
    <s v=""/>
    <s v=""/>
    <s v=""/>
    <s v=""/>
    <s v=""/>
    <n v="64.460000000000008"/>
    <n v="0"/>
    <n v="0"/>
    <x v="0"/>
    <d v="2026-06-30T00:00:00"/>
    <s v="9505289-C01"/>
    <s v="EXP20260624-2816654"/>
    <n v="2026"/>
    <s v="26-06-1045667"/>
    <s v="EXP20260624-2816654"/>
    <x v="177"/>
    <s v="DAP"/>
    <s v="DOMESTIC"/>
    <s v="DOMESTIC"/>
    <n v="29340"/>
    <s v="MESS"/>
    <s v="EDI"/>
    <n v="897"/>
    <m/>
    <d v="2026-06-29T00:00:00"/>
    <n v="21"/>
    <s v="LA RUCHE LOGISTIQUE"/>
    <s v="EXP20260624-2816654"/>
    <s v="FR"/>
    <n v="21"/>
    <s v="CREANCEY"/>
    <m/>
    <x v="168"/>
    <s v="EXP20260624-2816654"/>
    <x v="0"/>
    <n v="29"/>
    <s v="RIEC SUR BELON"/>
    <m/>
    <m/>
    <n v="1"/>
    <n v="1"/>
    <n v="60"/>
    <n v="60"/>
    <n v="0"/>
    <s v="KG"/>
    <n v="60"/>
    <n v="0"/>
    <m/>
    <m/>
    <m/>
    <m/>
    <m/>
    <s v="PORTPAYE"/>
    <s v="STANDARD"/>
    <s v="EUR"/>
    <m/>
    <m/>
    <m/>
    <m/>
    <m/>
    <n v="49.85"/>
    <n v="64.459999999999994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46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"/>
  </r>
  <r>
    <m/>
    <x v="178"/>
    <n v="0"/>
    <n v="1176.27"/>
    <s v=""/>
    <s v=""/>
    <s v=""/>
    <s v=""/>
    <s v=""/>
    <s v=""/>
    <n v="0"/>
    <n v="1176.27"/>
    <x v="0"/>
    <m/>
    <m/>
    <m/>
    <m/>
    <m/>
    <m/>
    <x v="178"/>
    <m/>
    <m/>
    <m/>
    <m/>
    <m/>
    <m/>
    <m/>
    <m/>
    <m/>
    <s v="TAXE SURCOUT GAZOLE MESS 1,7834 EUR/l : 11,70 %"/>
    <m/>
    <m/>
    <m/>
    <m/>
    <m/>
    <m/>
    <x v="169"/>
    <m/>
    <x v="2"/>
    <m/>
    <m/>
    <m/>
    <m/>
    <m/>
    <m/>
    <m/>
    <m/>
    <m/>
    <m/>
    <m/>
    <m/>
    <m/>
    <m/>
    <m/>
    <m/>
    <m/>
    <m/>
    <m/>
    <s v="EUR"/>
    <m/>
    <m/>
    <m/>
    <m/>
    <m/>
    <m/>
    <n v="1176.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8"/>
    <n v="0"/>
    <n v="249.11"/>
    <s v=""/>
    <s v=""/>
    <s v=""/>
    <s v=""/>
    <s v=""/>
    <s v=""/>
    <n v="0"/>
    <n v="249.11"/>
    <x v="0"/>
    <m/>
    <m/>
    <m/>
    <m/>
    <m/>
    <m/>
    <x v="178"/>
    <m/>
    <m/>
    <m/>
    <m/>
    <m/>
    <m/>
    <m/>
    <m/>
    <m/>
    <s v="TAXE SURCOUT GAZOLE AFFR 1,7834 EUR/l : 8,43 %"/>
    <m/>
    <m/>
    <m/>
    <m/>
    <m/>
    <m/>
    <x v="169"/>
    <m/>
    <x v="2"/>
    <m/>
    <m/>
    <m/>
    <m/>
    <m/>
    <m/>
    <m/>
    <m/>
    <m/>
    <m/>
    <m/>
    <m/>
    <m/>
    <m/>
    <m/>
    <m/>
    <m/>
    <m/>
    <m/>
    <s v="EUR"/>
    <m/>
    <m/>
    <m/>
    <m/>
    <m/>
    <m/>
    <n v="249.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8"/>
    <n v="0"/>
    <n v="0"/>
    <s v=""/>
    <s v=""/>
    <s v=""/>
    <s v=""/>
    <s v=""/>
    <s v=""/>
    <n v="0"/>
    <n v="0"/>
    <x v="0"/>
    <m/>
    <m/>
    <m/>
    <m/>
    <m/>
    <m/>
    <x v="178"/>
    <m/>
    <m/>
    <m/>
    <m/>
    <m/>
    <m/>
    <m/>
    <m/>
    <m/>
    <s v="TAXE FIXE DE FACTURATION"/>
    <m/>
    <m/>
    <m/>
    <m/>
    <m/>
    <m/>
    <x v="169"/>
    <m/>
    <x v="2"/>
    <m/>
    <m/>
    <m/>
    <m/>
    <m/>
    <m/>
    <m/>
    <m/>
    <m/>
    <m/>
    <m/>
    <m/>
    <m/>
    <m/>
    <m/>
    <m/>
    <m/>
    <m/>
    <m/>
    <s v="EUR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9"/>
    <n v="25.7"/>
    <n v="25.7"/>
    <s v=""/>
    <s v=""/>
    <s v=""/>
    <s v=""/>
    <n v="25.7"/>
    <s v=""/>
    <n v="0"/>
    <n v="0"/>
    <x v="1"/>
    <n v="46203"/>
    <s v="9505289-C01"/>
    <s v="EXP20260520-2755032"/>
    <n v="2026"/>
    <s v="26-05-0571779"/>
    <s v="EXP20260520-2755032"/>
    <x v="179"/>
    <s v="DAP"/>
    <s v="DOMESTIC"/>
    <s v="DOMESTIC"/>
    <n v="75001"/>
    <s v="MESS"/>
    <s v="EDI"/>
    <n v="395"/>
    <m/>
    <n v="46163"/>
    <n v="21"/>
    <s v="LA RUCHE LOGISTIQUE"/>
    <s v="EXP20260520-2755032"/>
    <s v="FR"/>
    <n v="21"/>
    <s v="CREANCEY"/>
    <n v="46177"/>
    <x v="170"/>
    <s v="EXP20260520-2755032"/>
    <x v="0"/>
    <n v="75"/>
    <s v="PARIS"/>
    <m/>
    <m/>
    <n v="1"/>
    <n v="1"/>
    <n v="80"/>
    <n v="80"/>
    <n v="0"/>
    <s v="KG"/>
    <n v="80"/>
    <n v="0"/>
    <m/>
    <m/>
    <m/>
    <m/>
    <m/>
    <s v="PORTPAYE"/>
    <s v="STANDARD"/>
    <s v="EUR"/>
    <m/>
    <m/>
    <m/>
    <m/>
    <m/>
    <n v="0"/>
    <n v="25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0"/>
    <n v="139.61000000000001"/>
    <n v="139.61000000000001"/>
    <s v=""/>
    <s v=""/>
    <s v=""/>
    <s v=""/>
    <s v=""/>
    <n v="139.61000000000001"/>
    <n v="0"/>
    <n v="0"/>
    <x v="1"/>
    <n v="46203"/>
    <s v="9505289-C01"/>
    <s v="EXP20260523-2759144"/>
    <n v="2026"/>
    <s v="26-05-0674504"/>
    <s v="EXP20260523-2759144"/>
    <x v="180"/>
    <s v="DAP"/>
    <s v="DOMESTIC"/>
    <s v="DOMESTIC"/>
    <n v="64360"/>
    <s v="MESS"/>
    <s v="EDI"/>
    <n v="963"/>
    <m/>
    <n v="46168"/>
    <n v="21"/>
    <s v="LA RUCHE LOGISTIQUE"/>
    <s v="EXP20260523-2759144"/>
    <s v="FR"/>
    <n v="21"/>
    <s v="CREANCEY"/>
    <n v="46175"/>
    <x v="171"/>
    <s v="EXP20260523-2759144"/>
    <x v="0"/>
    <n v="64"/>
    <s v="LACOMMANDE"/>
    <s v="Magasin / Commerce"/>
    <m/>
    <n v="2"/>
    <n v="2"/>
    <n v="258"/>
    <n v="258"/>
    <n v="0"/>
    <s v="Pal"/>
    <n v="2"/>
    <n v="0"/>
    <m/>
    <m/>
    <m/>
    <m/>
    <m/>
    <s v="PORTPAYE"/>
    <s v="STANDARD"/>
    <s v="EUR"/>
    <m/>
    <m/>
    <m/>
    <m/>
    <m/>
    <n v="0"/>
    <n v="139.6100000000000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.61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"/>
    <n v="38.56"/>
    <n v="38.56"/>
    <s v=""/>
    <s v=""/>
    <s v=""/>
    <s v=""/>
    <s v=""/>
    <n v="38.56"/>
    <n v="0"/>
    <n v="0"/>
    <x v="1"/>
    <n v="46203"/>
    <s v="9505289-C01"/>
    <s v="EXP20260601-2772378"/>
    <n v="2026"/>
    <s v="26-06-0049560"/>
    <s v="EXP20260601-2772378"/>
    <x v="8"/>
    <s v="DAP"/>
    <s v="DOMESTIC"/>
    <s v="DOMESTIC"/>
    <n v="34490"/>
    <s v="MESS"/>
    <s v="EDI"/>
    <n v="695"/>
    <m/>
    <n v="46174"/>
    <n v="21"/>
    <s v="LA RUCHE LOGISTIQUE"/>
    <s v="EXP20260601-2772378"/>
    <s v="FR"/>
    <n v="21"/>
    <s v="CREANCEY"/>
    <n v="46185"/>
    <x v="8"/>
    <s v="EXP20260601-2772378"/>
    <x v="0"/>
    <n v="34"/>
    <s v="MURVIEL LES BEZIERS"/>
    <m/>
    <m/>
    <n v="1"/>
    <n v="1"/>
    <n v="100"/>
    <n v="100"/>
    <n v="0"/>
    <s v="KG"/>
    <n v="100"/>
    <n v="0"/>
    <m/>
    <m/>
    <m/>
    <m/>
    <m/>
    <s v="PORTPAYE"/>
    <s v="STANDARD"/>
    <s v="EUR"/>
    <m/>
    <m/>
    <m/>
    <m/>
    <m/>
    <n v="0"/>
    <n v="38.56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38"/>
    <n v="25.7"/>
    <n v="25.7"/>
    <s v=""/>
    <s v=""/>
    <s v=""/>
    <s v=""/>
    <n v="25.7"/>
    <s v=""/>
    <n v="0"/>
    <n v="0"/>
    <x v="1"/>
    <n v="46203"/>
    <s v="9505289-C01"/>
    <s v="EXP20260603-2777654"/>
    <n v="2026"/>
    <s v="26-06-0188652"/>
    <s v="EXP20260603-2777654"/>
    <x v="38"/>
    <s v="DAP"/>
    <s v="DOMESTIC"/>
    <s v="DOMESTIC"/>
    <n v="95470"/>
    <s v="MESS"/>
    <s v="EDI"/>
    <n v="505"/>
    <m/>
    <n v="46177"/>
    <n v="21"/>
    <s v="LA RUCHE LOGISTIQUE"/>
    <s v="EXP20260603-2777654"/>
    <s v="FR"/>
    <n v="21"/>
    <s v="CREANCEY"/>
    <m/>
    <x v="38"/>
    <s v="EXP20260603-2777654"/>
    <x v="0"/>
    <n v="95"/>
    <s v="VEMARS"/>
    <m/>
    <m/>
    <n v="1"/>
    <n v="1"/>
    <n v="354"/>
    <n v="354"/>
    <n v="0"/>
    <s v="Pal"/>
    <n v="1"/>
    <n v="0"/>
    <m/>
    <m/>
    <m/>
    <m/>
    <m/>
    <s v="PORTPAYE"/>
    <s v="STANDARD"/>
    <s v="EUR"/>
    <m/>
    <m/>
    <m/>
    <m/>
    <m/>
    <n v="0"/>
    <n v="25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"/>
    <n v="25.7"/>
    <n v="25.7"/>
    <s v=""/>
    <s v=""/>
    <s v=""/>
    <s v=""/>
    <n v="25.7"/>
    <s v=""/>
    <n v="0"/>
    <n v="0"/>
    <x v="1"/>
    <n v="46203"/>
    <s v="9505289-C01"/>
    <s v="EXP20260603-2779393"/>
    <n v="2026"/>
    <s v="26-06-0188670"/>
    <s v="EXP20260603-2779393"/>
    <x v="42"/>
    <s v="DAP"/>
    <s v="DOMESTIC"/>
    <s v="DOMESTIC"/>
    <n v="18120"/>
    <s v="MESS"/>
    <s v="EDI"/>
    <n v="297"/>
    <m/>
    <n v="46177"/>
    <n v="21"/>
    <s v="LA RUCHE LOGISTIQUE"/>
    <s v="EXP20260603-2779393"/>
    <s v="FR"/>
    <n v="21"/>
    <s v="CREANCEY"/>
    <n v="46184"/>
    <x v="42"/>
    <s v="EXP20260603-2779393"/>
    <x v="0"/>
    <n v="18"/>
    <s v="PREUILLY"/>
    <m/>
    <m/>
    <n v="1"/>
    <n v="1"/>
    <n v="34"/>
    <n v="34"/>
    <n v="0"/>
    <s v="KG"/>
    <n v="34"/>
    <n v="0"/>
    <m/>
    <m/>
    <m/>
    <m/>
    <m/>
    <s v="PORTPAYE"/>
    <s v="STANDARD"/>
    <s v="EUR"/>
    <m/>
    <m/>
    <m/>
    <m/>
    <m/>
    <n v="0"/>
    <n v="25.7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4"/>
    <n v="31"/>
    <n v="31"/>
    <s v=""/>
    <s v=""/>
    <n v="21"/>
    <n v="10"/>
    <s v=""/>
    <s v=""/>
    <n v="0"/>
    <n v="0"/>
    <x v="1"/>
    <n v="46203"/>
    <s v="9505289-C01"/>
    <s v="EXP20260604-2780089"/>
    <n v="2026"/>
    <s v="26-06-0238218"/>
    <s v="EXP20260604-2780089"/>
    <x v="44"/>
    <s v="DAP"/>
    <s v="DOMESTIC"/>
    <s v="DOMESTIC"/>
    <n v="76430"/>
    <s v="MESS"/>
    <s v="EDI"/>
    <n v="533"/>
    <m/>
    <n v="46178"/>
    <n v="21"/>
    <s v="LA RUCHE LOGISTIQUE"/>
    <s v="EXP20260604-2780089"/>
    <s v="FR"/>
    <n v="21"/>
    <s v="CREANCEY"/>
    <n v="46182"/>
    <x v="43"/>
    <s v="EXP20260604-2780089"/>
    <x v="0"/>
    <n v="76"/>
    <s v="OUDALLE"/>
    <s v="Prestataire de service"/>
    <s v="O"/>
    <n v="1"/>
    <n v="1"/>
    <n v="90"/>
    <n v="90"/>
    <n v="0"/>
    <s v="KG"/>
    <n v="90"/>
    <n v="0"/>
    <m/>
    <m/>
    <m/>
    <m/>
    <m/>
    <s v="PORTPAYE"/>
    <s v="STANDARD"/>
    <s v="EUR"/>
    <m/>
    <m/>
    <m/>
    <m/>
    <m/>
    <n v="0"/>
    <n v="3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8"/>
    <n v="21"/>
    <n v="21"/>
    <s v=""/>
    <s v=""/>
    <n v="21"/>
    <s v=""/>
    <s v=""/>
    <s v=""/>
    <n v="0"/>
    <n v="0"/>
    <x v="1"/>
    <n v="46203"/>
    <s v="9505289-C01"/>
    <s v="EXP20260603-2777654"/>
    <n v="2026"/>
    <s v="26-06-0354623"/>
    <m/>
    <x v="58"/>
    <s v="DAP"/>
    <s v="DOMESTIC"/>
    <s v="DOMESTIC"/>
    <n v="93290"/>
    <s v="MESS"/>
    <s v="SOUF"/>
    <n v="126"/>
    <m/>
    <n v="46183"/>
    <n v="60"/>
    <s v="LA RUCHE LOGISTIQUE"/>
    <s v="EXP20260603-2777654"/>
    <s v="FR"/>
    <n v="21"/>
    <s v="CREANCEY"/>
    <n v="46184"/>
    <x v="56"/>
    <s v="EXP20260603-2777654"/>
    <x v="0"/>
    <n v="93"/>
    <s v="TREMBLAY EN FRANCE"/>
    <m/>
    <m/>
    <n v="1"/>
    <n v="1"/>
    <n v="354"/>
    <n v="354"/>
    <n v="0"/>
    <s v="Pal"/>
    <n v="1"/>
    <n v="0"/>
    <m/>
    <m/>
    <m/>
    <m/>
    <m/>
    <s v="TIERSPAYANT"/>
    <s v="STANDARD"/>
    <s v="EUR"/>
    <m/>
    <m/>
    <m/>
    <m/>
    <m/>
    <n v="0"/>
    <n v="21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90"/>
    <n v="10"/>
    <n v="10"/>
    <s v=""/>
    <s v=""/>
    <s v=""/>
    <n v="10"/>
    <s v=""/>
    <s v=""/>
    <n v="0"/>
    <n v="0"/>
    <x v="1"/>
    <n v="46203"/>
    <s v="9505289-C01"/>
    <s v="EXP20260609-2789333"/>
    <n v="2026"/>
    <s v="26-06-0429861"/>
    <s v="EXP20260609-2789333"/>
    <x v="90"/>
    <s v="DAP"/>
    <s v="DOMESTIC"/>
    <s v="DOMESTIC"/>
    <n v="78000"/>
    <s v="MESS"/>
    <s v="EDI"/>
    <n v="467"/>
    <m/>
    <n v="46184"/>
    <n v="21"/>
    <s v="LA RUCHE LOGISTIQUE"/>
    <s v="EXP20260609-2789333"/>
    <s v="FR"/>
    <n v="21"/>
    <s v="CREANCEY"/>
    <n v="46190"/>
    <x v="88"/>
    <s v="EXP20260609-2789333"/>
    <x v="0"/>
    <n v="78"/>
    <s v="VERSAILLES"/>
    <m/>
    <m/>
    <n v="1"/>
    <n v="1"/>
    <n v="152"/>
    <n v="152"/>
    <n v="0"/>
    <s v="Pal"/>
    <n v="1"/>
    <n v="0"/>
    <m/>
    <m/>
    <m/>
    <m/>
    <m/>
    <s v="PORTPAYE"/>
    <s v="STANDARD"/>
    <s v="EUR"/>
    <m/>
    <m/>
    <m/>
    <m/>
    <m/>
    <n v="0"/>
    <n v="10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41"/>
    <n v="10"/>
    <n v="10"/>
    <s v=""/>
    <s v=""/>
    <s v=""/>
    <n v="10"/>
    <s v=""/>
    <s v=""/>
    <n v="0"/>
    <n v="0"/>
    <x v="1"/>
    <n v="46203"/>
    <s v="9505289-C01"/>
    <s v="EXP20260619-2807520"/>
    <n v="2026"/>
    <s v="26-06-0791237"/>
    <s v="EXP20260619-2807520"/>
    <x v="141"/>
    <s v="DAP"/>
    <s v="DOMESTIC"/>
    <s v="DOMESTIC"/>
    <n v="49730"/>
    <s v="MESS"/>
    <s v="EDI"/>
    <n v="641"/>
    <m/>
    <n v="46195"/>
    <n v="21"/>
    <s v="LA RUCHE LOGISTIQUE"/>
    <s v="EXP20260619-2807520"/>
    <s v="FR"/>
    <n v="21"/>
    <s v="CREANCEY"/>
    <n v="46202"/>
    <x v="135"/>
    <s v="EXP20260619-2807520"/>
    <x v="0"/>
    <n v="49"/>
    <s v="PARNAY"/>
    <m/>
    <m/>
    <n v="1"/>
    <n v="1"/>
    <n v="121"/>
    <n v="121"/>
    <n v="0"/>
    <s v="KG"/>
    <n v="121"/>
    <n v="0"/>
    <m/>
    <m/>
    <m/>
    <m/>
    <m/>
    <s v="PORTPAYE"/>
    <s v="STANDARD"/>
    <s v="EUR"/>
    <m/>
    <m/>
    <m/>
    <m/>
    <m/>
    <n v="0"/>
    <n v="10"/>
    <m/>
    <m/>
    <s v="LSTANDAR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1"/>
    <m/>
    <m/>
    <m/>
    <m/>
    <m/>
    <m/>
    <m/>
    <m/>
    <m/>
    <m/>
    <x v="2"/>
    <m/>
    <m/>
    <m/>
    <m/>
    <m/>
    <m/>
    <x v="178"/>
    <m/>
    <m/>
    <m/>
    <m/>
    <m/>
    <m/>
    <m/>
    <m/>
    <m/>
    <m/>
    <m/>
    <m/>
    <m/>
    <m/>
    <m/>
    <m/>
    <x v="169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6A60C-B77F-4705-A748-B21087B9EBF5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B1:S190" firstHeaderRow="0" firstDataRow="1" firstDataCol="5"/>
  <pivotFields count="195">
    <pivotField showAll="0"/>
    <pivotField axis="axisRow" outline="0" showAll="0" sortType="ascending" defaultSubtotal="0">
      <items count="194">
        <item x="178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x="1"/>
        <item x="0"/>
        <item m="1" x="182"/>
        <item x="3"/>
        <item x="59"/>
        <item x="108"/>
        <item x="2"/>
        <item x="43"/>
        <item x="49"/>
        <item x="50"/>
        <item x="58"/>
        <item x="85"/>
        <item x="98"/>
        <item x="111"/>
        <item x="136"/>
        <item x="148"/>
        <item x="125"/>
        <item x="126"/>
        <item x="179"/>
        <item x="180"/>
        <item x="48"/>
        <item x="7"/>
        <item x="4"/>
        <item x="8"/>
        <item x="6"/>
        <item x="5"/>
        <item x="11"/>
        <item x="14"/>
        <item x="10"/>
        <item x="13"/>
        <item x="12"/>
        <item x="15"/>
        <item x="39"/>
        <item x="9"/>
        <item x="23"/>
        <item x="31"/>
        <item x="26"/>
        <item x="20"/>
        <item x="28"/>
        <item x="24"/>
        <item x="18"/>
        <item x="22"/>
        <item x="41"/>
        <item x="37"/>
        <item x="25"/>
        <item x="19"/>
        <item x="38"/>
        <item x="33"/>
        <item x="16"/>
        <item x="27"/>
        <item x="29"/>
        <item x="36"/>
        <item x="40"/>
        <item x="32"/>
        <item x="21"/>
        <item x="42"/>
        <item x="30"/>
        <item x="44"/>
        <item x="34"/>
        <item x="35"/>
        <item x="17"/>
        <item x="45"/>
        <item x="46"/>
        <item x="47"/>
        <item x="57"/>
        <item x="55"/>
        <item x="53"/>
        <item x="56"/>
        <item x="51"/>
        <item x="52"/>
        <item x="54"/>
        <item x="63"/>
        <item x="72"/>
        <item x="65"/>
        <item x="83"/>
        <item x="69"/>
        <item x="62"/>
        <item x="64"/>
        <item x="76"/>
        <item x="68"/>
        <item x="84"/>
        <item x="79"/>
        <item x="80"/>
        <item x="66"/>
        <item x="78"/>
        <item x="73"/>
        <item x="81"/>
        <item x="74"/>
        <item x="71"/>
        <item x="75"/>
        <item x="67"/>
        <item x="90"/>
        <item x="82"/>
        <item x="61"/>
        <item x="60"/>
        <item x="77"/>
        <item x="70"/>
        <item x="86"/>
        <item x="92"/>
        <item x="91"/>
        <item x="89"/>
        <item x="88"/>
        <item x="87"/>
        <item x="107"/>
        <item x="97"/>
        <item x="94"/>
        <item x="93"/>
        <item x="96"/>
        <item x="95"/>
        <item x="102"/>
        <item x="105"/>
        <item x="104"/>
        <item x="100"/>
        <item x="103"/>
        <item x="101"/>
        <item x="99"/>
        <item x="106"/>
        <item x="110"/>
        <item x="109"/>
        <item x="112"/>
        <item x="120"/>
        <item x="119"/>
        <item x="121"/>
        <item x="122"/>
        <item x="117"/>
        <item x="118"/>
        <item x="114"/>
        <item x="123"/>
        <item x="115"/>
        <item x="113"/>
        <item x="116"/>
        <item x="124"/>
        <item x="127"/>
        <item x="129"/>
        <item x="131"/>
        <item x="130"/>
        <item x="135"/>
        <item x="128"/>
        <item x="133"/>
        <item x="132"/>
        <item x="134"/>
        <item x="140"/>
        <item x="141"/>
        <item x="147"/>
        <item x="142"/>
        <item x="146"/>
        <item x="144"/>
        <item x="139"/>
        <item x="137"/>
        <item x="143"/>
        <item x="145"/>
        <item x="138"/>
        <item x="155"/>
        <item x="153"/>
        <item x="150"/>
        <item x="154"/>
        <item x="152"/>
        <item x="149"/>
        <item x="151"/>
        <item x="157"/>
        <item x="159"/>
        <item x="156"/>
        <item x="160"/>
        <item x="158"/>
        <item x="169"/>
        <item x="165"/>
        <item x="163"/>
        <item x="174"/>
        <item x="172"/>
        <item x="177"/>
        <item x="162"/>
        <item x="164"/>
        <item x="166"/>
        <item x="161"/>
        <item x="168"/>
        <item x="170"/>
        <item x="175"/>
        <item x="173"/>
        <item x="176"/>
        <item x="167"/>
        <item x="171"/>
        <item x="1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outline="0" showAll="0" defaultSubtotal="0">
      <items count="7">
        <item m="1" x="5"/>
        <item m="1" x="6"/>
        <item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showAll="0"/>
    <pivotField axis="axisRow" outline="0" showAll="0" defaultSubtotal="0">
      <items count="554">
        <item x="178"/>
        <item m="1" x="369"/>
        <item m="1" x="371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70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183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181"/>
        <item m="1" x="182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x="179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x="180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482">
        <item m="1" x="256"/>
        <item m="1" x="459"/>
        <item m="1" x="476"/>
        <item m="1" x="360"/>
        <item x="15"/>
        <item x="2"/>
        <item m="1" x="323"/>
        <item m="1" x="379"/>
        <item x="79"/>
        <item m="1" x="320"/>
        <item m="1" x="469"/>
        <item m="1" x="461"/>
        <item m="1" x="383"/>
        <item x="63"/>
        <item m="1" x="478"/>
        <item m="1" x="393"/>
        <item m="1" x="432"/>
        <item m="1" x="381"/>
        <item x="169"/>
        <item x="16"/>
        <item m="1" x="228"/>
        <item x="162"/>
        <item x="27"/>
        <item m="1" x="463"/>
        <item m="1" x="267"/>
        <item m="1" x="382"/>
        <item m="1" x="335"/>
        <item x="98"/>
        <item x="161"/>
        <item m="1" x="458"/>
        <item m="1" x="426"/>
        <item m="1" x="453"/>
        <item m="1" x="337"/>
        <item m="1" x="325"/>
        <item m="1" x="326"/>
        <item m="1" x="327"/>
        <item x="47"/>
        <item m="1" x="328"/>
        <item m="1" x="329"/>
        <item m="1" x="330"/>
        <item m="1" x="331"/>
        <item m="1" x="332"/>
        <item m="1" x="333"/>
        <item m="1" x="334"/>
        <item m="1" x="336"/>
        <item m="1" x="338"/>
        <item m="1" x="339"/>
        <item m="1" x="340"/>
        <item m="1" x="341"/>
        <item m="1" x="342"/>
        <item m="1" x="343"/>
        <item x="76"/>
        <item m="1" x="344"/>
        <item m="1" x="345"/>
        <item m="1" x="346"/>
        <item x="24"/>
        <item m="1" x="347"/>
        <item m="1" x="348"/>
        <item m="1" x="349"/>
        <item m="1" x="350"/>
        <item m="1" x="351"/>
        <item m="1" x="352"/>
        <item m="1" x="353"/>
        <item x="69"/>
        <item m="1" x="354"/>
        <item m="1" x="355"/>
        <item m="1" x="356"/>
        <item m="1" x="357"/>
        <item m="1" x="358"/>
        <item m="1" x="359"/>
        <item m="1" x="361"/>
        <item m="1" x="362"/>
        <item m="1" x="363"/>
        <item m="1" x="364"/>
        <item m="1" x="308"/>
        <item m="1" x="365"/>
        <item m="1" x="366"/>
        <item x="36"/>
        <item m="1" x="367"/>
        <item m="1" x="368"/>
        <item m="1" x="369"/>
        <item m="1" x="370"/>
        <item m="1" x="371"/>
        <item m="1" x="372"/>
        <item x="35"/>
        <item m="1" x="373"/>
        <item m="1" x="374"/>
        <item m="1" x="375"/>
        <item m="1" x="376"/>
        <item m="1" x="377"/>
        <item m="1" x="378"/>
        <item m="1" x="380"/>
        <item x="126"/>
        <item m="1" x="384"/>
        <item m="1" x="385"/>
        <item x="106"/>
        <item m="1" x="386"/>
        <item m="1" x="387"/>
        <item m="1" x="388"/>
        <item m="1" x="389"/>
        <item m="1" x="390"/>
        <item x="143"/>
        <item m="1" x="391"/>
        <item m="1" x="392"/>
        <item m="1" x="394"/>
        <item m="1" x="303"/>
        <item m="1" x="395"/>
        <item m="1" x="396"/>
        <item m="1" x="397"/>
        <item m="1" x="398"/>
        <item m="1" x="399"/>
        <item m="1" x="400"/>
        <item m="1" x="401"/>
        <item x="82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7"/>
        <item m="1" x="428"/>
        <item m="1" x="429"/>
        <item m="1" x="430"/>
        <item x="109"/>
        <item m="1" x="431"/>
        <item m="1" x="433"/>
        <item m="1" x="434"/>
        <item m="1" x="435"/>
        <item m="1" x="436"/>
        <item m="1" x="437"/>
        <item m="1" x="438"/>
        <item m="1" x="439"/>
        <item x="65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242"/>
        <item x="114"/>
        <item x="13"/>
        <item m="1" x="450"/>
        <item m="1" x="451"/>
        <item m="1" x="452"/>
        <item m="1" x="454"/>
        <item m="1" x="455"/>
        <item m="1" x="456"/>
        <item m="1" x="457"/>
        <item x="149"/>
        <item m="1" x="460"/>
        <item m="1" x="462"/>
        <item m="1" x="464"/>
        <item m="1" x="465"/>
        <item m="1" x="466"/>
        <item m="1" x="467"/>
        <item m="1" x="468"/>
        <item m="1" x="470"/>
        <item m="1" x="471"/>
        <item m="1" x="174"/>
        <item m="1" x="472"/>
        <item m="1" x="473"/>
        <item m="1" x="207"/>
        <item m="1" x="474"/>
        <item m="1" x="475"/>
        <item m="1" x="477"/>
        <item m="1" x="479"/>
        <item m="1" x="480"/>
        <item m="1" x="481"/>
        <item m="1" x="172"/>
        <item m="1" x="173"/>
        <item m="1" x="175"/>
        <item x="125"/>
        <item m="1" x="176"/>
        <item m="1" x="177"/>
        <item m="1" x="178"/>
        <item m="1" x="179"/>
        <item m="1" x="180"/>
        <item m="1" x="181"/>
        <item x="34"/>
        <item m="1" x="182"/>
        <item m="1" x="183"/>
        <item m="1" x="184"/>
        <item x="134"/>
        <item m="1" x="185"/>
        <item m="1" x="186"/>
        <item m="1" x="187"/>
        <item m="1" x="188"/>
        <item x="155"/>
        <item m="1" x="189"/>
        <item m="1" x="190"/>
        <item m="1" x="191"/>
        <item m="1" x="192"/>
        <item m="1" x="193"/>
        <item m="1" x="194"/>
        <item x="20"/>
        <item m="1" x="195"/>
        <item x="107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x="135"/>
        <item m="1" x="206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x="67"/>
        <item m="1" x="229"/>
        <item m="1" x="230"/>
        <item m="1" x="231"/>
        <item m="1" x="232"/>
        <item m="1" x="233"/>
        <item m="1" x="234"/>
        <item m="1" x="235"/>
        <item x="151"/>
        <item m="1" x="236"/>
        <item m="1" x="237"/>
        <item m="1" x="238"/>
        <item m="1" x="239"/>
        <item x="12"/>
        <item m="1" x="240"/>
        <item m="1" x="241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8"/>
        <item m="1" x="269"/>
        <item m="1" x="270"/>
        <item m="1" x="271"/>
        <item m="1" x="272"/>
        <item m="1" x="273"/>
        <item m="1" x="274"/>
        <item x="170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x="171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4"/>
        <item m="1" x="305"/>
        <item m="1" x="306"/>
        <item m="1" x="307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1"/>
        <item m="1" x="322"/>
        <item m="1" x="324"/>
        <item x="0"/>
        <item x="1"/>
        <item x="3"/>
        <item x="4"/>
        <item x="5"/>
        <item x="6"/>
        <item x="7"/>
        <item x="8"/>
        <item x="9"/>
        <item x="10"/>
        <item x="11"/>
        <item x="14"/>
        <item x="17"/>
        <item x="18"/>
        <item x="19"/>
        <item x="21"/>
        <item x="22"/>
        <item x="23"/>
        <item x="25"/>
        <item x="26"/>
        <item x="28"/>
        <item x="29"/>
        <item x="30"/>
        <item x="31"/>
        <item x="32"/>
        <item x="33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6"/>
        <item x="68"/>
        <item x="70"/>
        <item x="71"/>
        <item x="72"/>
        <item x="73"/>
        <item x="74"/>
        <item x="75"/>
        <item x="77"/>
        <item x="78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128"/>
        <item x="129"/>
        <item x="130"/>
        <item x="131"/>
        <item x="132"/>
        <item x="133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50"/>
        <item x="152"/>
        <item x="153"/>
        <item x="154"/>
        <item x="156"/>
        <item x="157"/>
        <item x="158"/>
        <item x="159"/>
        <item x="160"/>
        <item x="163"/>
        <item x="164"/>
        <item x="165"/>
        <item x="166"/>
        <item x="167"/>
        <item x="1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4">
        <item x="0"/>
        <item x="2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12"/>
    <field x="1"/>
    <field x="19"/>
    <field x="36"/>
    <field x="38"/>
  </rowFields>
  <rowItems count="189">
    <i>
      <x v="2"/>
      <x v="193"/>
      <x/>
      <x v="18"/>
      <x v="1"/>
    </i>
    <i>
      <x v="5"/>
      <x/>
      <x/>
      <x v="18"/>
      <x v="1"/>
    </i>
    <i r="1">
      <x v="12"/>
      <x v="377"/>
      <x v="348"/>
      <x/>
    </i>
    <i r="1">
      <x v="13"/>
      <x v="376"/>
      <x v="347"/>
      <x/>
    </i>
    <i r="1">
      <x v="15"/>
      <x v="379"/>
      <x v="349"/>
      <x/>
    </i>
    <i r="1">
      <x v="16"/>
      <x v="435"/>
      <x v="392"/>
      <x/>
    </i>
    <i r="1">
      <x v="17"/>
      <x v="484"/>
      <x v="432"/>
      <x/>
    </i>
    <i r="1">
      <x v="18"/>
      <x v="378"/>
      <x v="5"/>
      <x/>
    </i>
    <i r="1">
      <x v="19"/>
      <x v="419"/>
      <x v="5"/>
      <x/>
    </i>
    <i r="1">
      <x v="20"/>
      <x v="425"/>
      <x v="5"/>
      <x/>
    </i>
    <i r="1">
      <x v="21"/>
      <x v="426"/>
      <x v="383"/>
      <x/>
    </i>
    <i r="1">
      <x v="22"/>
      <x v="434"/>
      <x v="391"/>
      <x/>
    </i>
    <i r="1">
      <x v="23"/>
      <x v="461"/>
      <x v="411"/>
      <x/>
    </i>
    <i r="1">
      <x v="24"/>
      <x v="474"/>
      <x v="5"/>
      <x/>
    </i>
    <i r="1">
      <x v="25"/>
      <x v="487"/>
      <x v="5"/>
      <x/>
    </i>
    <i r="1">
      <x v="26"/>
      <x v="512"/>
      <x v="5"/>
      <x/>
    </i>
    <i r="1">
      <x v="27"/>
      <x v="524"/>
      <x v="5"/>
      <x/>
    </i>
    <i r="1">
      <x v="28"/>
      <x v="501"/>
      <x v="55"/>
      <x/>
    </i>
    <i r="1">
      <x v="29"/>
      <x v="502"/>
      <x v="444"/>
      <x/>
    </i>
    <i r="1">
      <x v="32"/>
      <x v="424"/>
      <x v="36"/>
      <x/>
    </i>
    <i r="1">
      <x v="33"/>
      <x v="383"/>
      <x v="353"/>
      <x/>
    </i>
    <i r="1">
      <x v="34"/>
      <x v="380"/>
      <x v="350"/>
      <x/>
    </i>
    <i r="1">
      <x v="35"/>
      <x v="384"/>
      <x v="354"/>
      <x/>
    </i>
    <i r="1">
      <x v="36"/>
      <x v="382"/>
      <x v="352"/>
      <x/>
    </i>
    <i r="1">
      <x v="37"/>
      <x v="381"/>
      <x v="351"/>
      <x/>
    </i>
    <i r="1">
      <x v="38"/>
      <x v="387"/>
      <x v="357"/>
      <x/>
    </i>
    <i r="1">
      <x v="39"/>
      <x v="390"/>
      <x v="358"/>
      <x/>
    </i>
    <i r="1">
      <x v="40"/>
      <x v="386"/>
      <x v="356"/>
      <x/>
    </i>
    <i r="1">
      <x v="41"/>
      <x v="389"/>
      <x v="164"/>
      <x/>
    </i>
    <i r="1">
      <x v="42"/>
      <x v="388"/>
      <x v="266"/>
      <x/>
    </i>
    <i r="1">
      <x v="43"/>
      <x v="391"/>
      <x v="4"/>
      <x/>
    </i>
    <i r="1">
      <x v="44"/>
      <x v="415"/>
      <x v="375"/>
      <x/>
    </i>
    <i r="1">
      <x v="45"/>
      <x v="385"/>
      <x v="355"/>
      <x/>
    </i>
    <i r="1">
      <x v="46"/>
      <x v="399"/>
      <x v="364"/>
      <x/>
    </i>
    <i r="1">
      <x v="47"/>
      <x v="407"/>
      <x v="370"/>
      <x/>
    </i>
    <i r="1">
      <x v="48"/>
      <x v="402"/>
      <x v="366"/>
      <x/>
    </i>
    <i r="1">
      <x v="49"/>
      <x v="396"/>
      <x v="218"/>
      <x/>
    </i>
    <i r="1">
      <x v="50"/>
      <x v="404"/>
      <x v="367"/>
      <x/>
    </i>
    <i r="1">
      <x v="51"/>
      <x v="400"/>
      <x v="55"/>
      <x/>
    </i>
    <i r="1">
      <x v="52"/>
      <x v="394"/>
      <x v="360"/>
      <x/>
    </i>
    <i r="1">
      <x v="53"/>
      <x v="398"/>
      <x v="363"/>
      <x/>
    </i>
    <i r="1">
      <x v="54"/>
      <x v="417"/>
      <x v="377"/>
      <x/>
    </i>
    <i r="1">
      <x v="55"/>
      <x v="413"/>
      <x v="373"/>
      <x/>
    </i>
    <i r="1">
      <x v="56"/>
      <x v="401"/>
      <x v="365"/>
      <x/>
    </i>
    <i r="1">
      <x v="57"/>
      <x v="395"/>
      <x v="361"/>
      <x/>
    </i>
    <i r="1">
      <x v="58"/>
      <x v="414"/>
      <x v="374"/>
      <x/>
    </i>
    <i r="1">
      <x v="59"/>
      <x v="409"/>
      <x v="372"/>
      <x/>
    </i>
    <i r="1">
      <x v="60"/>
      <x v="392"/>
      <x v="19"/>
      <x/>
    </i>
    <i r="1">
      <x v="61"/>
      <x v="403"/>
      <x v="22"/>
      <x/>
    </i>
    <i r="1">
      <x v="62"/>
      <x v="405"/>
      <x v="368"/>
      <x/>
    </i>
    <i r="1">
      <x v="63"/>
      <x v="412"/>
      <x v="77"/>
      <x/>
    </i>
    <i r="1">
      <x v="64"/>
      <x v="416"/>
      <x v="376"/>
      <x/>
    </i>
    <i r="1">
      <x v="65"/>
      <x v="408"/>
      <x v="371"/>
      <x/>
    </i>
    <i r="1">
      <x v="66"/>
      <x v="397"/>
      <x v="362"/>
      <x/>
    </i>
    <i r="1">
      <x v="67"/>
      <x v="418"/>
      <x v="378"/>
      <x/>
    </i>
    <i r="1">
      <x v="68"/>
      <x v="406"/>
      <x v="369"/>
      <x/>
    </i>
    <i r="1">
      <x v="69"/>
      <x v="420"/>
      <x v="379"/>
      <x/>
    </i>
    <i r="1">
      <x v="70"/>
      <x v="410"/>
      <x v="202"/>
      <x/>
    </i>
    <i r="1">
      <x v="71"/>
      <x v="411"/>
      <x v="84"/>
      <x/>
    </i>
    <i r="1">
      <x v="72"/>
      <x v="393"/>
      <x v="359"/>
      <x/>
    </i>
    <i r="1">
      <x v="73"/>
      <x v="421"/>
      <x v="380"/>
      <x/>
    </i>
    <i r="1">
      <x v="74"/>
      <x v="422"/>
      <x v="381"/>
      <x/>
    </i>
    <i r="1">
      <x v="75"/>
      <x v="423"/>
      <x v="382"/>
      <x/>
    </i>
    <i r="1">
      <x v="76"/>
      <x v="433"/>
      <x v="390"/>
      <x/>
    </i>
    <i r="1">
      <x v="77"/>
      <x v="431"/>
      <x v="388"/>
      <x/>
    </i>
    <i r="1">
      <x v="78"/>
      <x v="429"/>
      <x v="386"/>
      <x/>
    </i>
    <i r="1">
      <x v="79"/>
      <x v="432"/>
      <x v="389"/>
      <x/>
    </i>
    <i r="1">
      <x v="80"/>
      <x v="427"/>
      <x v="384"/>
      <x/>
    </i>
    <i r="1">
      <x v="81"/>
      <x v="428"/>
      <x v="385"/>
      <x/>
    </i>
    <i r="1">
      <x v="82"/>
      <x v="430"/>
      <x v="387"/>
      <x/>
    </i>
    <i r="1">
      <x v="83"/>
      <x v="439"/>
      <x v="396"/>
      <x/>
    </i>
    <i r="1">
      <x v="84"/>
      <x v="448"/>
      <x v="401"/>
      <x/>
    </i>
    <i r="1">
      <x v="85"/>
      <x v="441"/>
      <x v="13"/>
      <x/>
    </i>
    <i r="1">
      <x v="86"/>
      <x v="459"/>
      <x v="410"/>
      <x/>
    </i>
    <i r="1">
      <x v="87"/>
      <x v="445"/>
      <x v="253"/>
      <x/>
    </i>
    <i r="1">
      <x v="88"/>
      <x v="438"/>
      <x v="395"/>
      <x/>
    </i>
    <i r="1">
      <x v="89"/>
      <x v="440"/>
      <x v="397"/>
      <x/>
    </i>
    <i r="1">
      <x v="90"/>
      <x v="452"/>
      <x v="405"/>
      <x/>
    </i>
    <i r="1">
      <x v="91"/>
      <x v="444"/>
      <x v="399"/>
      <x/>
    </i>
    <i r="1">
      <x v="92"/>
      <x v="460"/>
      <x v="113"/>
      <x/>
    </i>
    <i r="1">
      <x v="93"/>
      <x v="455"/>
      <x v="407"/>
      <x/>
    </i>
    <i r="1">
      <x v="94"/>
      <x v="456"/>
      <x v="408"/>
      <x/>
    </i>
    <i r="1">
      <x v="95"/>
      <x v="442"/>
      <x v="398"/>
      <x/>
    </i>
    <i r="1">
      <x v="96"/>
      <x v="454"/>
      <x v="51"/>
      <x/>
    </i>
    <i r="1">
      <x v="97"/>
      <x v="449"/>
      <x v="402"/>
      <x/>
    </i>
    <i r="1">
      <x v="98"/>
      <x v="457"/>
      <x v="8"/>
      <x/>
    </i>
    <i r="1">
      <x v="99"/>
      <x v="450"/>
      <x v="403"/>
      <x/>
    </i>
    <i r="1">
      <x v="100"/>
      <x v="447"/>
      <x v="63"/>
      <x/>
    </i>
    <i r="1">
      <x v="101"/>
      <x v="451"/>
      <x v="404"/>
      <x/>
    </i>
    <i r="1">
      <x v="102"/>
      <x v="443"/>
      <x v="151"/>
      <x/>
    </i>
    <i r="1">
      <x v="103"/>
      <x v="466"/>
      <x v="416"/>
      <x/>
    </i>
    <i r="1">
      <x v="104"/>
      <x v="458"/>
      <x v="409"/>
      <x/>
    </i>
    <i r="1">
      <x v="105"/>
      <x v="437"/>
      <x v="394"/>
      <x/>
    </i>
    <i r="1">
      <x v="106"/>
      <x v="436"/>
      <x v="393"/>
      <x/>
    </i>
    <i r="1">
      <x v="107"/>
      <x v="453"/>
      <x v="406"/>
      <x/>
    </i>
    <i r="1">
      <x v="108"/>
      <x v="446"/>
      <x v="400"/>
      <x/>
    </i>
    <i r="1">
      <x v="109"/>
      <x v="462"/>
      <x v="412"/>
      <x/>
    </i>
    <i r="1">
      <x v="110"/>
      <x v="468"/>
      <x v="418"/>
      <x/>
    </i>
    <i r="1">
      <x v="111"/>
      <x v="467"/>
      <x v="417"/>
      <x/>
    </i>
    <i r="1">
      <x v="112"/>
      <x v="465"/>
      <x v="415"/>
      <x/>
    </i>
    <i r="1">
      <x v="113"/>
      <x v="464"/>
      <x v="414"/>
      <x/>
    </i>
    <i r="1">
      <x v="114"/>
      <x v="463"/>
      <x v="413"/>
      <x/>
    </i>
    <i r="1">
      <x v="115"/>
      <x v="483"/>
      <x v="431"/>
      <x/>
    </i>
    <i r="1">
      <x v="116"/>
      <x v="473"/>
      <x v="423"/>
      <x/>
    </i>
    <i r="1">
      <x v="117"/>
      <x v="470"/>
      <x v="420"/>
      <x/>
    </i>
    <i r="1">
      <x v="118"/>
      <x v="469"/>
      <x v="419"/>
      <x/>
    </i>
    <i r="1">
      <x v="119"/>
      <x v="472"/>
      <x v="422"/>
      <x/>
    </i>
    <i r="1">
      <x v="120"/>
      <x v="471"/>
      <x v="421"/>
      <x/>
    </i>
    <i r="1">
      <x v="121"/>
      <x v="478"/>
      <x v="426"/>
      <x/>
    </i>
    <i r="1">
      <x v="122"/>
      <x v="481"/>
      <x v="429"/>
      <x/>
    </i>
    <i r="1">
      <x v="123"/>
      <x v="480"/>
      <x v="428"/>
      <x/>
    </i>
    <i r="1">
      <x v="124"/>
      <x v="476"/>
      <x v="425"/>
      <x/>
    </i>
    <i r="1">
      <x v="125"/>
      <x v="479"/>
      <x v="427"/>
      <x/>
    </i>
    <i r="1">
      <x v="126"/>
      <x v="477"/>
      <x v="27"/>
      <x/>
    </i>
    <i r="1">
      <x v="127"/>
      <x v="475"/>
      <x v="424"/>
      <x/>
    </i>
    <i r="1">
      <x v="128"/>
      <x v="482"/>
      <x v="430"/>
      <x/>
    </i>
    <i r="1">
      <x v="129"/>
      <x v="486"/>
      <x v="220"/>
      <x/>
    </i>
    <i r="1">
      <x v="130"/>
      <x v="485"/>
      <x v="95"/>
      <x/>
    </i>
    <i r="1">
      <x v="131"/>
      <x v="488"/>
      <x v="433"/>
      <x/>
    </i>
    <i r="1">
      <x v="132"/>
      <x v="496"/>
      <x v="439"/>
      <x/>
    </i>
    <i r="1">
      <x v="133"/>
      <x v="495"/>
      <x v="438"/>
      <x/>
    </i>
    <i r="1">
      <x v="134"/>
      <x v="497"/>
      <x v="440"/>
      <x/>
    </i>
    <i r="1">
      <x v="135"/>
      <x v="498"/>
      <x v="441"/>
      <x/>
    </i>
    <i r="1">
      <x v="136"/>
      <x v="493"/>
      <x v="437"/>
      <x/>
    </i>
    <i r="1">
      <x v="137"/>
      <x v="494"/>
      <x v="163"/>
      <x/>
    </i>
    <i r="1">
      <x v="138"/>
      <x v="490"/>
      <x v="434"/>
      <x/>
    </i>
    <i r="1">
      <x v="139"/>
      <x v="499"/>
      <x v="442"/>
      <x/>
    </i>
    <i r="1">
      <x v="140"/>
      <x v="491"/>
      <x v="435"/>
      <x/>
    </i>
    <i r="1">
      <x v="141"/>
      <x v="489"/>
      <x v="142"/>
      <x/>
    </i>
    <i r="1">
      <x v="142"/>
      <x v="492"/>
      <x v="436"/>
      <x/>
    </i>
    <i r="1">
      <x v="143"/>
      <x v="500"/>
      <x v="443"/>
      <x/>
    </i>
    <i r="1">
      <x v="144"/>
      <x v="503"/>
      <x v="445"/>
      <x/>
    </i>
    <i r="1">
      <x v="145"/>
      <x v="505"/>
      <x v="447"/>
      <x/>
    </i>
    <i r="1">
      <x v="146"/>
      <x v="507"/>
      <x v="92"/>
      <x/>
    </i>
    <i r="1">
      <x v="147"/>
      <x v="506"/>
      <x v="195"/>
      <x/>
    </i>
    <i r="1">
      <x v="148"/>
      <x v="511"/>
      <x v="451"/>
      <x/>
    </i>
    <i r="1">
      <x v="149"/>
      <x v="504"/>
      <x v="446"/>
      <x/>
    </i>
    <i r="1">
      <x v="150"/>
      <x v="509"/>
      <x v="449"/>
      <x/>
    </i>
    <i r="1">
      <x v="151"/>
      <x v="508"/>
      <x v="448"/>
      <x/>
    </i>
    <i r="1">
      <x v="152"/>
      <x v="510"/>
      <x v="450"/>
      <x/>
    </i>
    <i r="1">
      <x v="153"/>
      <x v="516"/>
      <x v="206"/>
      <x/>
    </i>
    <i r="1">
      <x v="154"/>
      <x v="517"/>
      <x v="231"/>
      <x/>
    </i>
    <i r="1">
      <x v="155"/>
      <x v="523"/>
      <x v="460"/>
      <x/>
    </i>
    <i r="1">
      <x v="156"/>
      <x v="518"/>
      <x v="455"/>
      <x/>
    </i>
    <i r="1">
      <x v="157"/>
      <x v="522"/>
      <x v="459"/>
      <x/>
    </i>
    <i r="1">
      <x v="158"/>
      <x v="520"/>
      <x v="457"/>
      <x/>
    </i>
    <i r="1">
      <x v="159"/>
      <x v="515"/>
      <x v="454"/>
      <x/>
    </i>
    <i r="1">
      <x v="160"/>
      <x v="513"/>
      <x v="452"/>
      <x/>
    </i>
    <i r="1">
      <x v="161"/>
      <x v="519"/>
      <x v="456"/>
      <x/>
    </i>
    <i r="1">
      <x v="162"/>
      <x v="521"/>
      <x v="458"/>
      <x/>
    </i>
    <i r="1">
      <x v="163"/>
      <x v="514"/>
      <x v="453"/>
      <x/>
    </i>
    <i r="1">
      <x v="164"/>
      <x v="531"/>
      <x v="465"/>
      <x/>
    </i>
    <i r="1">
      <x v="165"/>
      <x v="529"/>
      <x v="463"/>
      <x/>
    </i>
    <i r="1">
      <x v="166"/>
      <x v="526"/>
      <x v="101"/>
      <x/>
    </i>
    <i r="1">
      <x v="167"/>
      <x v="530"/>
      <x v="464"/>
      <x/>
    </i>
    <i r="1">
      <x v="168"/>
      <x v="528"/>
      <x v="462"/>
      <x/>
    </i>
    <i r="1">
      <x v="169"/>
      <x v="525"/>
      <x v="461"/>
      <x/>
    </i>
    <i r="1">
      <x v="170"/>
      <x v="527"/>
      <x v="388"/>
      <x/>
    </i>
    <i r="1">
      <x v="171"/>
      <x v="533"/>
      <x v="172"/>
      <x/>
    </i>
    <i r="1">
      <x v="172"/>
      <x v="535"/>
      <x v="261"/>
      <x/>
    </i>
    <i r="1">
      <x v="173"/>
      <x v="532"/>
      <x v="466"/>
      <x/>
    </i>
    <i r="1">
      <x v="174"/>
      <x v="536"/>
      <x v="468"/>
      <x/>
    </i>
    <i r="1">
      <x v="175"/>
      <x v="534"/>
      <x v="467"/>
      <x/>
    </i>
    <i r="1">
      <x v="176"/>
      <x v="545"/>
      <x v="218"/>
      <x/>
    </i>
    <i r="1">
      <x v="177"/>
      <x v="541"/>
      <x v="472"/>
      <x/>
    </i>
    <i r="1">
      <x v="178"/>
      <x v="539"/>
      <x v="211"/>
      <x/>
    </i>
    <i r="1">
      <x v="179"/>
      <x v="550"/>
      <x v="478"/>
      <x v="3"/>
    </i>
    <i r="1">
      <x v="180"/>
      <x v="548"/>
      <x v="476"/>
      <x/>
    </i>
    <i r="1">
      <x v="181"/>
      <x v="553"/>
      <x v="481"/>
      <x/>
    </i>
    <i r="1">
      <x v="182"/>
      <x v="538"/>
      <x v="470"/>
      <x/>
    </i>
    <i r="1">
      <x v="183"/>
      <x v="540"/>
      <x v="471"/>
      <x/>
    </i>
    <i r="1">
      <x v="184"/>
      <x v="542"/>
      <x v="473"/>
      <x/>
    </i>
    <i r="1">
      <x v="185"/>
      <x v="537"/>
      <x v="469"/>
      <x/>
    </i>
    <i r="1">
      <x v="186"/>
      <x v="544"/>
      <x v="475"/>
      <x/>
    </i>
    <i r="1">
      <x v="187"/>
      <x v="546"/>
      <x v="28"/>
      <x/>
    </i>
    <i r="1">
      <x v="188"/>
      <x v="551"/>
      <x v="479"/>
      <x/>
    </i>
    <i r="1">
      <x v="189"/>
      <x v="549"/>
      <x v="477"/>
      <x/>
    </i>
    <i r="1">
      <x v="190"/>
      <x v="552"/>
      <x v="480"/>
      <x/>
    </i>
    <i r="1">
      <x v="191"/>
      <x v="543"/>
      <x v="474"/>
      <x/>
    </i>
    <i r="1">
      <x v="192"/>
      <x v="547"/>
      <x v="21"/>
      <x/>
    </i>
    <i>
      <x v="6"/>
      <x v="22"/>
      <x v="434"/>
      <x v="391"/>
      <x/>
    </i>
    <i r="1">
      <x v="30"/>
      <x v="314"/>
      <x v="299"/>
      <x/>
    </i>
    <i r="1">
      <x v="31"/>
      <x v="330"/>
      <x v="314"/>
      <x/>
    </i>
    <i r="1">
      <x v="35"/>
      <x v="384"/>
      <x v="354"/>
      <x/>
    </i>
    <i r="1">
      <x v="58"/>
      <x v="414"/>
      <x v="374"/>
      <x/>
    </i>
    <i r="1">
      <x v="67"/>
      <x v="418"/>
      <x v="378"/>
      <x/>
    </i>
    <i r="1">
      <x v="69"/>
      <x v="420"/>
      <x v="379"/>
      <x/>
    </i>
    <i r="1">
      <x v="103"/>
      <x v="466"/>
      <x v="416"/>
      <x/>
    </i>
    <i r="1">
      <x v="154"/>
      <x v="517"/>
      <x v="231"/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Assurance" fld="5" baseField="38" baseItem="2"/>
    <dataField name=" Zones éloignées" fld="6" baseField="0" baseItem="0"/>
    <dataField name=" Colis volumineux" fld="7" baseField="0" baseItem="0"/>
    <dataField name=" Adresses" fld="8" baseField="0" baseItem="0"/>
    <dataField name=" Frêt" fld="9" baseField="0" baseItem="0"/>
    <dataField name=" Plus value B2C" fld="10" baseField="0" baseItem="0"/>
    <dataField name=" Gazole" fld="11" baseField="0" baseItem="0"/>
    <dataField name=" Droits et taxes" fld="4" baseField="0" baseItem="0"/>
    <dataField name="Somme de Total + GO" fld="3" baseField="0" baseItem="0"/>
    <dataField name="Somme de Total hors GO" fld="2" baseField="0" baseItem="0"/>
    <dataField name="Qté colis" fld="43" baseField="0" baseItem="0"/>
    <dataField name="Qté UM" fld="44" baseField="0" baseItem="0"/>
    <dataField name="Qté Poids" fld="45" baseField="0" baseItem="0"/>
  </dataFields>
  <formats count="2">
    <format dxfId="12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EB7CF-2C32-4BD2-BEB0-060BCB96ADDD}" name="Tableau croisé dynamique4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B1:D10" firstHeaderRow="0" firstDataRow="1" firstDataCol="1"/>
  <pivotFields count="17">
    <pivotField axis="axisRow" showAll="0">
      <items count="9">
        <item x="3"/>
        <item x="7"/>
        <item x="2"/>
        <item x="6"/>
        <item x="5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omme de Total hors GO" fld="15" baseField="0" baseItem="0"/>
    <dataField name="Somme de Somme de Total + G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zoomScale="80" workbookViewId="0">
      <selection activeCell="S34" sqref="S34"/>
    </sheetView>
  </sheetViews>
  <sheetFormatPr baseColWidth="10" defaultRowHeight="14.5" x14ac:dyDescent="0.35"/>
  <cols>
    <col min="1" max="2" width="11.453125" style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s="1">
        <v>0.7</v>
      </c>
      <c r="B2" s="1">
        <v>0.74</v>
      </c>
      <c r="C2" s="2">
        <v>8.0000000000000002E-3</v>
      </c>
    </row>
    <row r="3" spans="1:3" x14ac:dyDescent="0.35">
      <c r="A3" s="1">
        <v>0.75</v>
      </c>
      <c r="B3" s="1">
        <v>0.79</v>
      </c>
      <c r="C3" s="2">
        <v>1.15E-2</v>
      </c>
    </row>
    <row r="4" spans="1:3" x14ac:dyDescent="0.35">
      <c r="A4" s="1">
        <v>0.8</v>
      </c>
      <c r="B4" s="1">
        <v>0.84</v>
      </c>
      <c r="C4" s="2">
        <v>1.6E-2</v>
      </c>
    </row>
    <row r="5" spans="1:3" x14ac:dyDescent="0.35">
      <c r="A5" s="1">
        <v>0.85</v>
      </c>
      <c r="B5" s="1">
        <v>0.89</v>
      </c>
      <c r="C5" s="2">
        <v>0.02</v>
      </c>
    </row>
    <row r="6" spans="1:3" x14ac:dyDescent="0.35">
      <c r="A6" s="1">
        <v>0.9</v>
      </c>
      <c r="B6" s="1">
        <v>0.94</v>
      </c>
      <c r="C6" s="2">
        <v>2.4500000000000001E-2</v>
      </c>
    </row>
    <row r="7" spans="1:3" x14ac:dyDescent="0.35">
      <c r="A7" s="1">
        <v>0.95</v>
      </c>
      <c r="B7" s="1">
        <v>0.99</v>
      </c>
      <c r="C7" s="2">
        <v>2.9499999999999998E-2</v>
      </c>
    </row>
    <row r="8" spans="1:3" x14ac:dyDescent="0.35">
      <c r="A8" s="1">
        <v>1</v>
      </c>
      <c r="B8" s="1">
        <v>1.04</v>
      </c>
      <c r="C8" s="2">
        <v>3.5499999999999997E-2</v>
      </c>
    </row>
    <row r="9" spans="1:3" x14ac:dyDescent="0.35">
      <c r="A9" s="1">
        <v>1.05</v>
      </c>
      <c r="B9" s="1">
        <v>1.0900000000000001</v>
      </c>
      <c r="C9" s="2">
        <v>0.04</v>
      </c>
    </row>
    <row r="10" spans="1:3" x14ac:dyDescent="0.35">
      <c r="A10" s="1">
        <v>1.1000000000000001</v>
      </c>
      <c r="B10" s="1">
        <v>1.1399999999999999</v>
      </c>
      <c r="C10" s="2">
        <v>4.4499999999999998E-2</v>
      </c>
    </row>
    <row r="11" spans="1:3" x14ac:dyDescent="0.35">
      <c r="A11" s="1">
        <v>1.1499999999999999</v>
      </c>
      <c r="B11" s="1">
        <v>1.19</v>
      </c>
      <c r="C11" s="2">
        <v>5.6000000000000001E-2</v>
      </c>
    </row>
    <row r="12" spans="1:3" x14ac:dyDescent="0.35">
      <c r="A12" s="1">
        <v>1.2</v>
      </c>
      <c r="B12" s="1">
        <v>1.24</v>
      </c>
      <c r="C12" s="2">
        <v>6.1499999999999999E-2</v>
      </c>
    </row>
    <row r="13" spans="1:3" x14ac:dyDescent="0.35">
      <c r="A13" s="1">
        <v>1.25</v>
      </c>
      <c r="B13" s="1">
        <v>1.29</v>
      </c>
      <c r="C13" s="2">
        <v>6.9000000000000006E-2</v>
      </c>
    </row>
    <row r="14" spans="1:3" x14ac:dyDescent="0.35">
      <c r="A14" s="1">
        <v>1.3</v>
      </c>
      <c r="B14" s="1">
        <v>1.34</v>
      </c>
      <c r="C14" s="2">
        <v>7.4499999999999997E-2</v>
      </c>
    </row>
    <row r="15" spans="1:3" x14ac:dyDescent="0.35">
      <c r="A15" s="1">
        <v>1.35</v>
      </c>
      <c r="B15" s="1">
        <v>1.39</v>
      </c>
      <c r="C15" s="2">
        <v>0.08</v>
      </c>
    </row>
    <row r="16" spans="1:3" x14ac:dyDescent="0.35">
      <c r="A16" s="1">
        <v>1.4</v>
      </c>
      <c r="B16" s="1">
        <v>1.44</v>
      </c>
      <c r="C16" s="2">
        <v>8.8499999999999995E-2</v>
      </c>
    </row>
    <row r="17" spans="1:3" x14ac:dyDescent="0.35">
      <c r="A17" s="1">
        <v>1.45</v>
      </c>
      <c r="B17" s="1">
        <v>1.49</v>
      </c>
      <c r="C17" s="2">
        <v>9.4500000000000001E-2</v>
      </c>
    </row>
    <row r="18" spans="1:3" x14ac:dyDescent="0.35">
      <c r="A18" s="1">
        <v>1.5</v>
      </c>
      <c r="B18" s="1">
        <v>1.54</v>
      </c>
      <c r="C18" s="2">
        <v>9.8299999999999998E-2</v>
      </c>
    </row>
    <row r="19" spans="1:3" x14ac:dyDescent="0.35">
      <c r="A19" s="1">
        <v>1.55</v>
      </c>
      <c r="B19" s="1">
        <v>1.59</v>
      </c>
      <c r="C19" s="2">
        <v>0.10199999999999999</v>
      </c>
    </row>
    <row r="20" spans="1:3" x14ac:dyDescent="0.35">
      <c r="A20" s="1">
        <v>1.6</v>
      </c>
      <c r="B20" s="1">
        <v>1.64</v>
      </c>
      <c r="C20" s="2">
        <v>0.10580000000000001</v>
      </c>
    </row>
    <row r="21" spans="1:3" x14ac:dyDescent="0.35">
      <c r="A21" s="1">
        <v>1.65</v>
      </c>
      <c r="B21" s="1">
        <v>1.69</v>
      </c>
      <c r="C21" s="2">
        <v>0.1095</v>
      </c>
    </row>
    <row r="22" spans="1:3" x14ac:dyDescent="0.35">
      <c r="A22" s="1">
        <v>1.7</v>
      </c>
      <c r="B22" s="1">
        <v>1.74</v>
      </c>
      <c r="C22" s="2">
        <v>0.113</v>
      </c>
    </row>
    <row r="23" spans="1:3" x14ac:dyDescent="0.35">
      <c r="A23" s="1">
        <v>1.75</v>
      </c>
      <c r="B23" s="1">
        <v>1.79</v>
      </c>
      <c r="C23" s="2">
        <v>0.11700000000000001</v>
      </c>
    </row>
    <row r="24" spans="1:3" x14ac:dyDescent="0.35">
      <c r="A24" s="1">
        <v>1.8</v>
      </c>
      <c r="B24" s="1">
        <v>1.84</v>
      </c>
      <c r="C24" s="2">
        <v>0.1208</v>
      </c>
    </row>
    <row r="25" spans="1:3" x14ac:dyDescent="0.35">
      <c r="A25" s="1">
        <v>1.85</v>
      </c>
      <c r="B25" s="1">
        <v>1.89</v>
      </c>
      <c r="C25" s="2">
        <v>0.1245</v>
      </c>
    </row>
    <row r="26" spans="1:3" x14ac:dyDescent="0.35">
      <c r="A26" s="1">
        <v>1.9</v>
      </c>
      <c r="B26" s="1">
        <v>1.94</v>
      </c>
      <c r="C26" s="2">
        <v>0.1283</v>
      </c>
    </row>
    <row r="27" spans="1:3" x14ac:dyDescent="0.35">
      <c r="A27" s="1">
        <v>1.95</v>
      </c>
      <c r="B27" s="1">
        <v>1.99</v>
      </c>
      <c r="C27" s="2">
        <v>0.13200000000000001</v>
      </c>
    </row>
    <row r="28" spans="1:3" x14ac:dyDescent="0.35">
      <c r="A28" s="1">
        <v>2</v>
      </c>
      <c r="B28" s="1">
        <v>2.04</v>
      </c>
      <c r="C28" s="2">
        <v>0.1358</v>
      </c>
    </row>
    <row r="29" spans="1:3" x14ac:dyDescent="0.35">
      <c r="A29" s="1">
        <v>2.0499999999999998</v>
      </c>
      <c r="B29" s="1">
        <v>2.09</v>
      </c>
      <c r="C29" s="2">
        <v>0.13950000000000001</v>
      </c>
    </row>
    <row r="30" spans="1:3" x14ac:dyDescent="0.35">
      <c r="A30" s="1">
        <v>2.1</v>
      </c>
      <c r="B30" s="1">
        <v>2.14</v>
      </c>
      <c r="C30" s="2">
        <v>0.14330000000000001</v>
      </c>
    </row>
    <row r="31" spans="1:3" x14ac:dyDescent="0.35">
      <c r="A31" s="1">
        <v>2.15</v>
      </c>
      <c r="B31" s="1">
        <v>2.19</v>
      </c>
      <c r="C31" s="2">
        <v>0.14699999999999999</v>
      </c>
    </row>
    <row r="32" spans="1:3" x14ac:dyDescent="0.35">
      <c r="A32" s="1">
        <v>2.2000000000000002</v>
      </c>
      <c r="B32" s="1">
        <v>2.2400000000000002</v>
      </c>
      <c r="C32" s="2">
        <v>0.14949999999999999</v>
      </c>
    </row>
    <row r="33" spans="1:3" x14ac:dyDescent="0.35">
      <c r="A33" s="1">
        <v>2.25</v>
      </c>
      <c r="B33" s="1">
        <v>2.29</v>
      </c>
      <c r="C33" s="2">
        <v>0.152</v>
      </c>
    </row>
    <row r="34" spans="1:3" x14ac:dyDescent="0.35">
      <c r="A34" s="1">
        <v>2.2999999999999998</v>
      </c>
      <c r="B34" s="1">
        <v>2.34</v>
      </c>
      <c r="C34" s="2">
        <v>0.1545</v>
      </c>
    </row>
    <row r="35" spans="1:3" x14ac:dyDescent="0.35">
      <c r="A35" s="1">
        <v>2.35</v>
      </c>
      <c r="B35" s="1">
        <v>2.39</v>
      </c>
      <c r="C35" s="2">
        <v>0.157</v>
      </c>
    </row>
    <row r="36" spans="1:3" x14ac:dyDescent="0.35">
      <c r="A36" s="1">
        <v>2.4</v>
      </c>
      <c r="B36" s="1">
        <v>2.44</v>
      </c>
      <c r="C36" s="2">
        <v>0.1595</v>
      </c>
    </row>
    <row r="37" spans="1:3" x14ac:dyDescent="0.35">
      <c r="A37" s="1">
        <v>2.4500000000000002</v>
      </c>
      <c r="B37" s="1">
        <v>2.4900000000000002</v>
      </c>
      <c r="C37" s="2">
        <v>0.16200000000000001</v>
      </c>
    </row>
    <row r="38" spans="1:3" x14ac:dyDescent="0.35">
      <c r="A38" s="1">
        <v>2.5</v>
      </c>
      <c r="B38" s="1">
        <v>2.54</v>
      </c>
      <c r="C38" s="2">
        <v>0.16450000000000001</v>
      </c>
    </row>
    <row r="39" spans="1:3" x14ac:dyDescent="0.35">
      <c r="A39" s="1">
        <v>2.5499999999999998</v>
      </c>
      <c r="B39" s="1">
        <v>2.59</v>
      </c>
      <c r="C39" s="2">
        <v>0.16700000000000001</v>
      </c>
    </row>
    <row r="40" spans="1:3" x14ac:dyDescent="0.35">
      <c r="A40" s="1">
        <v>2.6</v>
      </c>
      <c r="B40" s="1">
        <v>2.64</v>
      </c>
      <c r="C40" s="2">
        <v>0.16950000000000001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GM191"/>
  <sheetViews>
    <sheetView tabSelected="1" topLeftCell="B1" zoomScale="85" workbookViewId="0">
      <pane ySplit="1" topLeftCell="A21" activePane="bottomLeft" state="frozen"/>
      <selection activeCell="DW195" sqref="B195:DW195"/>
      <selection pane="bottomLeft" activeCell="Q28" sqref="Q28"/>
    </sheetView>
  </sheetViews>
  <sheetFormatPr baseColWidth="10" defaultRowHeight="14.5" x14ac:dyDescent="0.35"/>
  <cols>
    <col min="1" max="1" width="11.453125" style="23"/>
    <col min="2" max="2" width="20.1796875" style="23" bestFit="1" customWidth="1"/>
    <col min="3" max="3" width="11.453125" style="23"/>
    <col min="4" max="4" width="15.81640625" style="23" bestFit="1" customWidth="1"/>
    <col min="5" max="6" width="11.453125" style="23"/>
    <col min="7" max="7" width="13.81640625" style="23" bestFit="1" customWidth="1"/>
    <col min="8" max="8" width="14.54296875" style="23" bestFit="1" customWidth="1"/>
    <col min="9" max="12" width="11.453125" style="23"/>
    <col min="13" max="13" width="13.26953125" bestFit="1" customWidth="1"/>
    <col min="16" max="16" width="32.7265625" bestFit="1" customWidth="1"/>
    <col min="18" max="18" width="14.453125" style="4" bestFit="1" customWidth="1"/>
    <col min="19" max="19" width="21.453125" style="5" bestFit="1" customWidth="1"/>
    <col min="20" max="20" width="20.7265625" bestFit="1" customWidth="1"/>
    <col min="21" max="28" width="8.453125" customWidth="1"/>
    <col min="29" max="29" width="14.26953125" customWidth="1"/>
    <col min="30" max="31" width="8.453125" customWidth="1"/>
    <col min="32" max="32" width="23.453125" customWidth="1"/>
    <col min="33" max="35" width="8.453125" customWidth="1"/>
    <col min="36" max="36" width="13.26953125" customWidth="1"/>
    <col min="66" max="66" width="11.453125" style="6"/>
    <col min="70" max="70" width="22.7265625" bestFit="1" customWidth="1"/>
    <col min="71" max="71" width="21.453125" bestFit="1" customWidth="1"/>
    <col min="72" max="72" width="20.1796875" bestFit="1" customWidth="1"/>
    <col min="73" max="73" width="13.7265625" bestFit="1" customWidth="1"/>
    <col min="74" max="74" width="23.54296875" bestFit="1" customWidth="1"/>
    <col min="75" max="75" width="24" bestFit="1" customWidth="1"/>
    <col min="76" max="76" width="11" bestFit="1" customWidth="1"/>
    <col min="77" max="77" width="20.7265625" bestFit="1" customWidth="1"/>
    <col min="78" max="78" width="20" bestFit="1" customWidth="1"/>
    <col min="79" max="79" width="25.81640625" bestFit="1" customWidth="1"/>
    <col min="80" max="80" width="10" customWidth="1"/>
    <col min="81" max="81" width="27.81640625" bestFit="1" customWidth="1"/>
    <col min="82" max="82" width="25.7265625" bestFit="1" customWidth="1"/>
    <col min="83" max="83" width="13.453125" bestFit="1" customWidth="1"/>
    <col min="84" max="84" width="15.7265625" bestFit="1" customWidth="1"/>
    <col min="85" max="85" width="22.81640625" bestFit="1" customWidth="1"/>
    <col min="86" max="87" width="23.1796875" bestFit="1" customWidth="1"/>
    <col min="88" max="88" width="21.1796875" bestFit="1" customWidth="1"/>
    <col min="89" max="89" width="21.453125" bestFit="1" customWidth="1"/>
    <col min="90" max="90" width="19.54296875" bestFit="1" customWidth="1"/>
    <col min="91" max="91" width="19.26953125" bestFit="1" customWidth="1"/>
    <col min="92" max="92" width="16.1796875" bestFit="1" customWidth="1"/>
    <col min="93" max="93" width="12.1796875" bestFit="1" customWidth="1"/>
    <col min="94" max="94" width="8.453125" bestFit="1" customWidth="1"/>
    <col min="95" max="95" width="12.1796875" bestFit="1" customWidth="1"/>
    <col min="96" max="96" width="12.26953125" bestFit="1" customWidth="1"/>
    <col min="97" max="97" width="17.453125" bestFit="1" customWidth="1"/>
    <col min="98" max="98" width="17.81640625" bestFit="1" customWidth="1"/>
    <col min="99" max="99" width="10.453125" bestFit="1" customWidth="1"/>
    <col min="100" max="100" width="17.1796875" bestFit="1" customWidth="1"/>
    <col min="101" max="101" width="22" bestFit="1" customWidth="1"/>
    <col min="102" max="102" width="21.7265625" bestFit="1" customWidth="1"/>
    <col min="104" max="104" width="23.7265625" bestFit="1" customWidth="1"/>
    <col min="105" max="105" width="23.26953125" bestFit="1" customWidth="1"/>
    <col min="106" max="106" width="17.81640625" bestFit="1" customWidth="1"/>
    <col min="107" max="107" width="20" bestFit="1" customWidth="1"/>
    <col min="108" max="108" width="13.81640625" bestFit="1" customWidth="1"/>
    <col min="109" max="109" width="19.1796875" bestFit="1" customWidth="1"/>
    <col min="110" max="110" width="18.54296875" bestFit="1" customWidth="1"/>
    <col min="111" max="111" width="15.54296875" bestFit="1" customWidth="1"/>
    <col min="112" max="112" width="9" bestFit="1" customWidth="1"/>
    <col min="113" max="113" width="11" bestFit="1" customWidth="1"/>
    <col min="116" max="116" width="26.453125" bestFit="1" customWidth="1"/>
    <col min="117" max="117" width="22.7265625" bestFit="1" customWidth="1"/>
    <col min="118" max="118" width="17.453125" bestFit="1" customWidth="1"/>
    <col min="125" max="125" width="21.26953125" bestFit="1" customWidth="1"/>
    <col min="126" max="126" width="11.81640625" bestFit="1" customWidth="1"/>
    <col min="127" max="127" width="17" bestFit="1" customWidth="1"/>
    <col min="128" max="128" width="16.1796875" bestFit="1" customWidth="1"/>
    <col min="129" max="129" width="22.7265625" bestFit="1" customWidth="1"/>
    <col min="130" max="130" width="26" bestFit="1" customWidth="1"/>
    <col min="131" max="131" width="15.1796875" bestFit="1" customWidth="1"/>
    <col min="132" max="132" width="23.7265625" bestFit="1" customWidth="1"/>
    <col min="133" max="133" width="22.26953125" bestFit="1" customWidth="1"/>
    <col min="134" max="134" width="22.453125" bestFit="1" customWidth="1"/>
    <col min="135" max="135" width="18.81640625" bestFit="1" customWidth="1"/>
    <col min="136" max="136" width="24.7265625" customWidth="1"/>
    <col min="137" max="137" width="17.26953125" bestFit="1" customWidth="1"/>
    <col min="138" max="138" width="17.453125" bestFit="1" customWidth="1"/>
    <col min="139" max="139" width="20.453125" bestFit="1" customWidth="1"/>
    <col min="140" max="140" width="22.81640625" bestFit="1" customWidth="1"/>
    <col min="141" max="141" width="17.1796875" bestFit="1" customWidth="1"/>
    <col min="142" max="142" width="11.26953125" bestFit="1" customWidth="1"/>
    <col min="143" max="143" width="18.1796875" bestFit="1" customWidth="1"/>
    <col min="144" max="144" width="20.7265625" bestFit="1" customWidth="1"/>
    <col min="145" max="145" width="11" customWidth="1"/>
    <col min="146" max="146" width="26" customWidth="1"/>
    <col min="147" max="147" width="29.26953125" customWidth="1"/>
    <col min="148" max="148" width="15.1796875" bestFit="1" customWidth="1"/>
    <col min="149" max="149" width="12.81640625" bestFit="1" customWidth="1"/>
    <col min="150" max="150" width="16.54296875" bestFit="1" customWidth="1"/>
    <col min="151" max="151" width="20.81640625" bestFit="1" customWidth="1"/>
    <col min="152" max="152" width="18.26953125" bestFit="1" customWidth="1"/>
    <col min="153" max="153" width="13.453125" bestFit="1" customWidth="1"/>
    <col min="154" max="154" width="11.26953125" bestFit="1" customWidth="1"/>
    <col min="155" max="155" width="17.81640625" bestFit="1" customWidth="1"/>
    <col min="156" max="156" width="19.26953125" bestFit="1" customWidth="1"/>
    <col min="158" max="158" width="11.26953125" bestFit="1" customWidth="1"/>
    <col min="159" max="159" width="18.81640625" bestFit="1" customWidth="1"/>
    <col min="160" max="160" width="17.1796875" bestFit="1" customWidth="1"/>
    <col min="161" max="161" width="14.453125" bestFit="1" customWidth="1"/>
    <col min="162" max="162" width="12.453125" bestFit="1" customWidth="1"/>
    <col min="163" max="163" width="12.1796875" bestFit="1" customWidth="1"/>
    <col min="164" max="164" width="10.7265625" bestFit="1" customWidth="1"/>
    <col min="165" max="165" width="11.81640625" bestFit="1" customWidth="1"/>
    <col min="166" max="166" width="11.54296875" bestFit="1" customWidth="1"/>
    <col min="167" max="167" width="16.54296875" bestFit="1" customWidth="1"/>
    <col min="168" max="168" width="17.81640625" bestFit="1" customWidth="1"/>
    <col min="169" max="169" width="14.26953125" bestFit="1" customWidth="1"/>
    <col min="170" max="170" width="16" bestFit="1" customWidth="1"/>
    <col min="171" max="171" width="21.7265625" bestFit="1" customWidth="1"/>
    <col min="172" max="172" width="18" bestFit="1" customWidth="1"/>
    <col min="173" max="173" width="20" bestFit="1" customWidth="1"/>
    <col min="174" max="174" width="13.54296875" bestFit="1" customWidth="1"/>
    <col min="175" max="175" width="22.1796875" bestFit="1" customWidth="1"/>
    <col min="176" max="176" width="20" bestFit="1" customWidth="1"/>
    <col min="177" max="177" width="27" bestFit="1" customWidth="1"/>
    <col min="178" max="178" width="33" customWidth="1"/>
    <col min="179" max="179" width="16.7265625" bestFit="1" customWidth="1"/>
    <col min="180" max="180" width="18.26953125" bestFit="1" customWidth="1"/>
    <col min="181" max="181" width="18.54296875" bestFit="1" customWidth="1"/>
    <col min="182" max="182" width="16.26953125" bestFit="1" customWidth="1"/>
    <col min="183" max="183" width="17.81640625" bestFit="1" customWidth="1"/>
    <col min="184" max="184" width="17.26953125" bestFit="1" customWidth="1"/>
    <col min="185" max="186" width="16.26953125" bestFit="1" customWidth="1"/>
    <col min="187" max="187" width="19.1796875" bestFit="1" customWidth="1"/>
    <col min="188" max="188" width="17" bestFit="1" customWidth="1"/>
    <col min="189" max="189" width="17.81640625" bestFit="1" customWidth="1"/>
    <col min="190" max="190" width="15.1796875" bestFit="1" customWidth="1"/>
    <col min="191" max="191" width="8.81640625" bestFit="1" customWidth="1"/>
    <col min="192" max="192" width="12.7265625" bestFit="1" customWidth="1"/>
    <col min="193" max="193" width="16.7265625" customWidth="1"/>
    <col min="194" max="194" width="9.26953125" bestFit="1" customWidth="1"/>
  </cols>
  <sheetData>
    <row r="1" spans="1:195" x14ac:dyDescent="0.35">
      <c r="A1" s="22" t="s">
        <v>273</v>
      </c>
      <c r="B1" s="22" t="s">
        <v>283</v>
      </c>
      <c r="C1" s="22" t="s">
        <v>274</v>
      </c>
      <c r="D1" s="22" t="s">
        <v>275</v>
      </c>
      <c r="E1" s="22" t="s">
        <v>276</v>
      </c>
      <c r="F1" s="22" t="s">
        <v>277</v>
      </c>
      <c r="G1" s="22" t="s">
        <v>278</v>
      </c>
      <c r="H1" s="22" t="s">
        <v>279</v>
      </c>
      <c r="I1" s="22" t="s">
        <v>280</v>
      </c>
      <c r="J1" s="22" t="s">
        <v>281</v>
      </c>
      <c r="K1" s="22" t="s">
        <v>282</v>
      </c>
      <c r="L1" s="22" t="s">
        <v>226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s="5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s="6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128</v>
      </c>
      <c r="EI1" t="s">
        <v>129</v>
      </c>
      <c r="EJ1" t="s">
        <v>130</v>
      </c>
      <c r="EK1" t="s">
        <v>131</v>
      </c>
      <c r="EL1" t="s">
        <v>132</v>
      </c>
      <c r="EM1" t="s">
        <v>133</v>
      </c>
      <c r="EN1" t="s">
        <v>134</v>
      </c>
      <c r="EO1" t="s">
        <v>135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153</v>
      </c>
      <c r="FH1" t="s">
        <v>154</v>
      </c>
      <c r="FI1" t="s">
        <v>155</v>
      </c>
      <c r="FJ1" t="s">
        <v>156</v>
      </c>
      <c r="FK1" t="s">
        <v>157</v>
      </c>
      <c r="FL1" t="s">
        <v>158</v>
      </c>
      <c r="FM1" t="s">
        <v>159</v>
      </c>
      <c r="FN1" t="s">
        <v>160</v>
      </c>
      <c r="FO1" t="s">
        <v>161</v>
      </c>
      <c r="FP1" t="s">
        <v>162</v>
      </c>
      <c r="FQ1" t="s">
        <v>163</v>
      </c>
      <c r="FR1" t="s">
        <v>164</v>
      </c>
      <c r="FS1" t="s">
        <v>165</v>
      </c>
      <c r="FT1" t="s">
        <v>166</v>
      </c>
      <c r="FU1" t="s">
        <v>167</v>
      </c>
      <c r="FV1" t="s">
        <v>168</v>
      </c>
      <c r="FW1" t="s">
        <v>169</v>
      </c>
      <c r="FX1" t="s">
        <v>170</v>
      </c>
      <c r="FY1" t="s">
        <v>171</v>
      </c>
      <c r="FZ1" t="s">
        <v>172</v>
      </c>
      <c r="GA1" t="s">
        <v>173</v>
      </c>
      <c r="GB1" t="s">
        <v>174</v>
      </c>
      <c r="GC1" t="s">
        <v>175</v>
      </c>
      <c r="GD1" t="s">
        <v>176</v>
      </c>
      <c r="GE1" t="s">
        <v>177</v>
      </c>
      <c r="GF1" t="s">
        <v>178</v>
      </c>
      <c r="GG1" t="s">
        <v>179</v>
      </c>
      <c r="GH1" t="s">
        <v>180</v>
      </c>
      <c r="GI1" t="s">
        <v>181</v>
      </c>
      <c r="GJ1" t="s">
        <v>182</v>
      </c>
      <c r="GK1" t="s">
        <v>183</v>
      </c>
      <c r="GL1" t="s">
        <v>184</v>
      </c>
      <c r="GM1" t="s">
        <v>185</v>
      </c>
    </row>
    <row r="2" spans="1:195" x14ac:dyDescent="0.35">
      <c r="B2" s="23">
        <f>IF(S2&lt;&gt;"",S2,T2)</f>
        <v>5001334</v>
      </c>
      <c r="C2" s="23">
        <f>SUM(E2:K2)</f>
        <v>29.38</v>
      </c>
      <c r="D2" s="23">
        <f>SUM(E2:L2)</f>
        <v>29.38</v>
      </c>
      <c r="E2" s="23" t="str">
        <f>IF(BU2+BV2+BW2+CH2+CI2+CJ2+CK2+FO2+FS2+FT2=0,"",BU2+BV2+BW2+CH2+CI2+CJ2+CK2+FO2+FS2+FT2)</f>
        <v/>
      </c>
      <c r="F2" s="23" t="str">
        <f>IF(FJ2=0,"",FJ2)</f>
        <v/>
      </c>
      <c r="G2" s="23" t="str">
        <f>IF(CP2+DM2+DN2+EE2+EX2+EF2=0,"",CP2+DM2+DN2+EE2+EX2+EF2)</f>
        <v/>
      </c>
      <c r="H2" s="23" t="str">
        <f>IF(DW2=0,"",DW2)</f>
        <v/>
      </c>
      <c r="I2" s="23" t="str">
        <f>IF(DZ2+EA2+EG2=0,"",DZ2+EA2+EG2)</f>
        <v/>
      </c>
      <c r="J2" s="23">
        <f>IF(BM2+BS2+BT2+BY2+BZ2+CA2+CB2+CC2+CD2+CE2+CF2+CG2+CL2+CM2+CN2+CO2+CQ2+CR2+CT2+CU2+CV2+CW2+CX2+CY2+CZ2+DA2+DB2+DC2+DD2+DE2+DF2+DG2+DH2+DI2+DJ2+DK2+DL2+DO2+DP2+DQ2+DR2+DS2+DT2+DY2+EB2+EC2+ED2+EH2+EI2+EJ2+EK2+EL2+EM2+EN2+EO2+EP2+ER2+ES2+ET2+EU2+EV2+EW2+EY2+EZ2+FA2+FB2+FC2+FD2+FE2+FF2+FG2+FH2+FI2+FK2+FL2+FM2+FN2+FP2+FQ2+FR2+FU2+FV2+FW2+FX2+FY2+FZ2+GA2+GB2+GC2+GD2+GE2+GF2+GG2+GH2+GI2+GJ2+GK2+GL2+GM2=0,"",BM2+BS2+BT2+BY2+BZ2+CA2+CB2+CC2+CD2+CE2+CF2+CG2+CL2+CM2+CN2+CO2+CQ2+CR2+CT2+CU2+CV2+CW2+CX2+CY2+CZ2+DA2+DB2+DC2+DD2+DE2+DF2+DG2+DH2+DI2+DJ2+DK2+DL2+DO2+DP2+DQ2+DR2+DS2+DT2+DY2+EB2+EC2+ED2+EH2+EI2+EJ2+EK2+EL2+EM2+EN2+EO2+EP2+ER2+ES2+ET2+EU2+EV2+EW2+EY2+EZ2+FA2+FB2+FC2+FD2+FE2+FF2+FG2+FH2+FI2+FK2+FL2+FM2+FN2+FP2+FQ2+FR2+FU2+FV2+FW2+FX2+FY2+FZ2+GA2+GB2+GC2+GD2+GE2+GF2+GG2+GH2+GI2+GJ2+GK2+GL2+GM2)</f>
        <v>29.38</v>
      </c>
      <c r="K2" s="23">
        <f>DX2+CS2</f>
        <v>0</v>
      </c>
      <c r="L2" s="23">
        <f>BN2-C2</f>
        <v>0</v>
      </c>
      <c r="M2" t="s">
        <v>352</v>
      </c>
      <c r="N2" s="7">
        <v>46203</v>
      </c>
      <c r="O2" t="s">
        <v>186</v>
      </c>
      <c r="P2">
        <v>5001334</v>
      </c>
      <c r="Q2">
        <v>2026</v>
      </c>
      <c r="R2" s="27" t="s">
        <v>353</v>
      </c>
      <c r="S2" s="27">
        <v>5001334</v>
      </c>
      <c r="T2" t="s">
        <v>354</v>
      </c>
      <c r="U2" t="s">
        <v>187</v>
      </c>
      <c r="V2" t="s">
        <v>188</v>
      </c>
      <c r="W2" t="s">
        <v>188</v>
      </c>
      <c r="X2">
        <v>34570</v>
      </c>
      <c r="Y2" t="s">
        <v>189</v>
      </c>
      <c r="Z2" t="s">
        <v>190</v>
      </c>
      <c r="AA2">
        <v>560</v>
      </c>
      <c r="AC2" s="7">
        <v>46171</v>
      </c>
      <c r="AD2">
        <v>21</v>
      </c>
      <c r="AE2" t="s">
        <v>191</v>
      </c>
      <c r="AF2">
        <v>5001334</v>
      </c>
      <c r="AG2" t="s">
        <v>192</v>
      </c>
      <c r="AH2">
        <v>21</v>
      </c>
      <c r="AI2" t="s">
        <v>193</v>
      </c>
      <c r="AJ2">
        <v>46178</v>
      </c>
      <c r="AK2" t="s">
        <v>355</v>
      </c>
      <c r="AL2">
        <v>5001334</v>
      </c>
      <c r="AM2" t="s">
        <v>192</v>
      </c>
      <c r="AN2">
        <v>34</v>
      </c>
      <c r="AO2" t="s">
        <v>356</v>
      </c>
      <c r="AR2">
        <v>1</v>
      </c>
      <c r="AS2">
        <v>1</v>
      </c>
      <c r="AT2">
        <v>1</v>
      </c>
      <c r="AU2">
        <v>5</v>
      </c>
      <c r="AV2">
        <v>0.02</v>
      </c>
      <c r="AW2" t="s">
        <v>194</v>
      </c>
      <c r="AX2">
        <v>1</v>
      </c>
      <c r="AY2">
        <v>0</v>
      </c>
      <c r="BE2" t="s">
        <v>195</v>
      </c>
      <c r="BF2" t="s">
        <v>196</v>
      </c>
      <c r="BG2" t="s">
        <v>197</v>
      </c>
      <c r="BM2">
        <v>21.78</v>
      </c>
      <c r="BN2" s="23">
        <v>29.38</v>
      </c>
      <c r="BQ2" t="s">
        <v>198</v>
      </c>
      <c r="DI2">
        <v>5.45</v>
      </c>
      <c r="DK2">
        <v>2</v>
      </c>
      <c r="GM2">
        <v>0.15</v>
      </c>
    </row>
    <row r="3" spans="1:195" x14ac:dyDescent="0.35">
      <c r="B3" s="23">
        <f t="shared" ref="B3:B25" si="0">IF(S3&lt;&gt;"",S3,T3)</f>
        <v>5001333</v>
      </c>
      <c r="C3" s="23">
        <f t="shared" ref="C3:C25" si="1">SUM(E3:K3)</f>
        <v>25.139999999999997</v>
      </c>
      <c r="D3" s="23">
        <f t="shared" ref="D3:D25" si="2">SUM(E3:L3)</f>
        <v>25.139999999999997</v>
      </c>
      <c r="E3" s="23" t="str">
        <f t="shared" ref="E3:E25" si="3">IF(BU3+BV3+BW3+CH3+CI3+CJ3+CK3+FO3+FS3+FT3=0,"",BU3+BV3+BW3+CH3+CI3+CJ3+CK3+FO3+FS3+FT3)</f>
        <v/>
      </c>
      <c r="F3" s="23" t="str">
        <f t="shared" ref="F3:F25" si="4">IF(FJ3=0,"",FJ3)</f>
        <v/>
      </c>
      <c r="G3" s="23" t="str">
        <f t="shared" ref="G3:G25" si="5">IF(CP3+DM3+DN3+EE3+EX3+EF3=0,"",CP3+DM3+DN3+EE3+EX3+EF3)</f>
        <v/>
      </c>
      <c r="H3" s="23" t="str">
        <f t="shared" ref="H3:H25" si="6">IF(DW3=0,"",DW3)</f>
        <v/>
      </c>
      <c r="I3" s="23" t="str">
        <f t="shared" ref="I3:I25" si="7">IF(DZ3+EA3+EG3=0,"",DZ3+EA3+EG3)</f>
        <v/>
      </c>
      <c r="J3" s="23">
        <f t="shared" ref="J3:J25" si="8">IF(BM3+BS3+BT3+BY3+BZ3+CA3+CB3+CC3+CD3+CE3+CF3+CG3+CL3+CM3+CN3+CO3+CQ3+CR3+CT3+CU3+CV3+CW3+CX3+CY3+CZ3+DA3+DB3+DC3+DD3+DE3+DF3+DG3+DH3+DI3+DJ3+DK3+DL3+DO3+DP3+DQ3+DR3+DS3+DT3+DY3+EB3+EC3+ED3+EH3+EI3+EJ3+EK3+EL3+EM3+EN3+EO3+EP3+ER3+ES3+ET3+EU3+EV3+EW3+EY3+EZ3+FA3+FB3+FC3+FD3+FE3+FF3+FG3+FH3+FI3+FK3+FL3+FM3+FN3+FP3+FQ3+FR3+FU3+FV3+FW3+FX3+FY3+FZ3+GA3+GB3+GC3+GD3+GE3+GF3+GG3+GH3+GI3+GJ3+GK3+GL3+GM3=0,"",BM3+BS3+BT3+BY3+BZ3+CA3+CB3+CC3+CD3+CE3+CF3+CG3+CL3+CM3+CN3+CO3+CQ3+CR3+CT3+CU3+CV3+CW3+CX3+CY3+CZ3+DA3+DB3+DC3+DD3+DE3+DF3+DG3+DH3+DI3+DJ3+DK3+DL3+DO3+DP3+DQ3+DR3+DS3+DT3+DY3+EB3+EC3+ED3+EH3+EI3+EJ3+EK3+EL3+EM3+EN3+EO3+EP3+ER3+ES3+ET3+EU3+EV3+EW3+EY3+EZ3+FA3+FB3+FC3+FD3+FE3+FF3+FG3+FH3+FI3+FK3+FL3+FM3+FN3+FP3+FQ3+FR3+FU3+FV3+FW3+FX3+FY3+FZ3+GA3+GB3+GC3+GD3+GE3+GF3+GG3+GH3+GI3+GJ3+GK3+GL3+GM3)</f>
        <v>25.139999999999997</v>
      </c>
      <c r="K3" s="23">
        <f t="shared" ref="K3:K25" si="9">DX3+CS3</f>
        <v>0</v>
      </c>
      <c r="L3" s="23">
        <f t="shared" ref="L3:L25" si="10">BN3-C3</f>
        <v>0</v>
      </c>
      <c r="M3" t="s">
        <v>352</v>
      </c>
      <c r="N3" s="7">
        <v>46203</v>
      </c>
      <c r="O3" t="s">
        <v>186</v>
      </c>
      <c r="P3">
        <v>5001333</v>
      </c>
      <c r="Q3">
        <v>2026</v>
      </c>
      <c r="R3" s="27" t="s">
        <v>357</v>
      </c>
      <c r="S3" s="27">
        <v>5001333</v>
      </c>
      <c r="T3" t="s">
        <v>358</v>
      </c>
      <c r="U3" t="s">
        <v>187</v>
      </c>
      <c r="V3" t="s">
        <v>188</v>
      </c>
      <c r="W3" t="s">
        <v>188</v>
      </c>
      <c r="X3">
        <v>78140</v>
      </c>
      <c r="Y3" t="s">
        <v>189</v>
      </c>
      <c r="Z3" t="s">
        <v>190</v>
      </c>
      <c r="AA3">
        <v>467</v>
      </c>
      <c r="AC3" s="7">
        <v>46171</v>
      </c>
      <c r="AD3">
        <v>21</v>
      </c>
      <c r="AE3" t="s">
        <v>191</v>
      </c>
      <c r="AF3">
        <v>5001333</v>
      </c>
      <c r="AG3" t="s">
        <v>192</v>
      </c>
      <c r="AH3">
        <v>21</v>
      </c>
      <c r="AI3" t="s">
        <v>193</v>
      </c>
      <c r="AJ3" s="7">
        <v>46177</v>
      </c>
      <c r="AK3" t="s">
        <v>359</v>
      </c>
      <c r="AL3">
        <v>5001333</v>
      </c>
      <c r="AM3" t="s">
        <v>192</v>
      </c>
      <c r="AN3">
        <v>78</v>
      </c>
      <c r="AO3" t="s">
        <v>360</v>
      </c>
      <c r="AR3">
        <v>1</v>
      </c>
      <c r="AS3">
        <v>1</v>
      </c>
      <c r="AT3">
        <v>6</v>
      </c>
      <c r="AU3">
        <v>13</v>
      </c>
      <c r="AV3">
        <v>0.05</v>
      </c>
      <c r="AW3" t="s">
        <v>194</v>
      </c>
      <c r="AX3">
        <v>6</v>
      </c>
      <c r="AY3">
        <v>0</v>
      </c>
      <c r="BE3" t="s">
        <v>195</v>
      </c>
      <c r="BF3" t="s">
        <v>196</v>
      </c>
      <c r="BG3" t="s">
        <v>197</v>
      </c>
      <c r="BM3">
        <v>22.99</v>
      </c>
      <c r="BN3" s="23">
        <v>25.14</v>
      </c>
      <c r="BQ3" t="s">
        <v>198</v>
      </c>
      <c r="DK3">
        <v>2</v>
      </c>
      <c r="GM3">
        <v>0.15</v>
      </c>
    </row>
    <row r="4" spans="1:195" x14ac:dyDescent="0.35">
      <c r="B4" s="23" t="str">
        <f t="shared" si="0"/>
        <v>26A060014947</v>
      </c>
      <c r="C4" s="23">
        <f t="shared" si="1"/>
        <v>300</v>
      </c>
      <c r="D4" s="23">
        <f t="shared" si="2"/>
        <v>300</v>
      </c>
      <c r="E4" s="23" t="str">
        <f t="shared" si="3"/>
        <v/>
      </c>
      <c r="F4" s="23" t="str">
        <f t="shared" si="4"/>
        <v/>
      </c>
      <c r="G4" s="23" t="str">
        <f t="shared" si="5"/>
        <v/>
      </c>
      <c r="H4" s="23" t="str">
        <f t="shared" si="6"/>
        <v/>
      </c>
      <c r="I4" s="23" t="str">
        <f t="shared" si="7"/>
        <v/>
      </c>
      <c r="J4" s="23">
        <f t="shared" si="8"/>
        <v>300</v>
      </c>
      <c r="K4" s="23">
        <f t="shared" si="9"/>
        <v>0</v>
      </c>
      <c r="L4" s="23">
        <f t="shared" si="10"/>
        <v>0</v>
      </c>
      <c r="M4" t="s">
        <v>352</v>
      </c>
      <c r="N4">
        <v>46203</v>
      </c>
      <c r="O4" t="s">
        <v>186</v>
      </c>
      <c r="Q4">
        <v>2026</v>
      </c>
      <c r="R4" s="4" t="s">
        <v>361</v>
      </c>
      <c r="T4" t="s">
        <v>362</v>
      </c>
      <c r="U4" t="s">
        <v>203</v>
      </c>
      <c r="V4" t="s">
        <v>188</v>
      </c>
      <c r="W4" t="s">
        <v>188</v>
      </c>
      <c r="X4">
        <v>21320</v>
      </c>
      <c r="Y4" t="s">
        <v>204</v>
      </c>
      <c r="AA4">
        <v>60</v>
      </c>
      <c r="AC4">
        <v>46176</v>
      </c>
      <c r="AD4">
        <v>21</v>
      </c>
      <c r="AE4" t="s">
        <v>205</v>
      </c>
      <c r="AG4" t="s">
        <v>192</v>
      </c>
      <c r="AH4">
        <v>21</v>
      </c>
      <c r="AI4" t="s">
        <v>206</v>
      </c>
      <c r="AJ4">
        <v>46177</v>
      </c>
      <c r="AK4" t="s">
        <v>191</v>
      </c>
      <c r="AM4" t="s">
        <v>192</v>
      </c>
      <c r="AN4">
        <v>21</v>
      </c>
      <c r="AO4" t="s">
        <v>193</v>
      </c>
      <c r="AR4">
        <v>33</v>
      </c>
      <c r="AS4">
        <v>33</v>
      </c>
      <c r="AT4">
        <v>25000</v>
      </c>
      <c r="AU4">
        <v>0</v>
      </c>
      <c r="AV4">
        <v>0</v>
      </c>
      <c r="AW4" t="s">
        <v>201</v>
      </c>
      <c r="AX4">
        <v>33</v>
      </c>
      <c r="AY4">
        <v>13.4</v>
      </c>
      <c r="BE4" t="s">
        <v>207</v>
      </c>
      <c r="BF4" t="s">
        <v>208</v>
      </c>
      <c r="BG4" t="s">
        <v>197</v>
      </c>
      <c r="BM4">
        <v>300</v>
      </c>
      <c r="BN4" s="6">
        <v>300</v>
      </c>
    </row>
    <row r="5" spans="1:195" x14ac:dyDescent="0.35">
      <c r="B5" s="23">
        <f t="shared" si="0"/>
        <v>5001336</v>
      </c>
      <c r="C5" s="23">
        <f t="shared" si="1"/>
        <v>32.9</v>
      </c>
      <c r="D5" s="23">
        <f t="shared" si="2"/>
        <v>32.9</v>
      </c>
      <c r="E5" s="23" t="str">
        <f t="shared" si="3"/>
        <v/>
      </c>
      <c r="F5" s="23" t="str">
        <f t="shared" si="4"/>
        <v/>
      </c>
      <c r="G5" s="23" t="str">
        <f t="shared" si="5"/>
        <v/>
      </c>
      <c r="H5" s="23" t="str">
        <f t="shared" si="6"/>
        <v/>
      </c>
      <c r="I5" s="23" t="str">
        <f t="shared" si="7"/>
        <v/>
      </c>
      <c r="J5" s="23">
        <f t="shared" si="8"/>
        <v>32.9</v>
      </c>
      <c r="K5" s="23">
        <f t="shared" si="9"/>
        <v>0</v>
      </c>
      <c r="L5" s="23">
        <f t="shared" si="10"/>
        <v>0</v>
      </c>
      <c r="M5" t="s">
        <v>352</v>
      </c>
      <c r="N5" s="7">
        <v>46203</v>
      </c>
      <c r="O5" t="s">
        <v>186</v>
      </c>
      <c r="P5">
        <v>5001336</v>
      </c>
      <c r="Q5">
        <v>2026</v>
      </c>
      <c r="R5" s="27" t="s">
        <v>363</v>
      </c>
      <c r="S5" s="27">
        <v>5001336</v>
      </c>
      <c r="T5" t="s">
        <v>364</v>
      </c>
      <c r="U5" t="s">
        <v>187</v>
      </c>
      <c r="V5" t="s">
        <v>188</v>
      </c>
      <c r="W5" t="s">
        <v>188</v>
      </c>
      <c r="X5">
        <v>30800</v>
      </c>
      <c r="Y5" t="s">
        <v>189</v>
      </c>
      <c r="Z5" t="s">
        <v>190</v>
      </c>
      <c r="AA5">
        <v>540</v>
      </c>
      <c r="AC5" s="7">
        <v>46174</v>
      </c>
      <c r="AD5">
        <v>21</v>
      </c>
      <c r="AE5" t="s">
        <v>191</v>
      </c>
      <c r="AF5">
        <v>5001336</v>
      </c>
      <c r="AG5" t="s">
        <v>192</v>
      </c>
      <c r="AH5">
        <v>21</v>
      </c>
      <c r="AI5" t="s">
        <v>193</v>
      </c>
      <c r="AJ5" s="7">
        <v>46183</v>
      </c>
      <c r="AK5" t="s">
        <v>365</v>
      </c>
      <c r="AL5">
        <v>5001336</v>
      </c>
      <c r="AM5" t="s">
        <v>192</v>
      </c>
      <c r="AN5">
        <v>30</v>
      </c>
      <c r="AO5" t="s">
        <v>366</v>
      </c>
      <c r="AR5">
        <v>1</v>
      </c>
      <c r="AS5">
        <v>1</v>
      </c>
      <c r="AT5">
        <v>10</v>
      </c>
      <c r="AU5">
        <v>40</v>
      </c>
      <c r="AV5">
        <v>0.16</v>
      </c>
      <c r="AW5" t="s">
        <v>194</v>
      </c>
      <c r="AX5">
        <v>10</v>
      </c>
      <c r="AY5">
        <v>0</v>
      </c>
      <c r="BE5" t="s">
        <v>195</v>
      </c>
      <c r="BF5" t="s">
        <v>196</v>
      </c>
      <c r="BG5" t="s">
        <v>197</v>
      </c>
      <c r="BM5">
        <v>24.6</v>
      </c>
      <c r="BN5" s="23">
        <v>32.9</v>
      </c>
      <c r="BQ5" t="s">
        <v>198</v>
      </c>
      <c r="DI5">
        <v>6.15</v>
      </c>
      <c r="DK5">
        <v>2</v>
      </c>
      <c r="GM5">
        <v>0.15</v>
      </c>
    </row>
    <row r="6" spans="1:195" x14ac:dyDescent="0.35">
      <c r="B6" s="23" t="str">
        <f t="shared" si="0"/>
        <v>EXP20260529-2770114</v>
      </c>
      <c r="C6" s="23">
        <f t="shared" si="1"/>
        <v>76.660000000000011</v>
      </c>
      <c r="D6" s="23">
        <f t="shared" si="2"/>
        <v>76.660000000000011</v>
      </c>
      <c r="E6" s="23" t="str">
        <f t="shared" si="3"/>
        <v/>
      </c>
      <c r="F6" s="23" t="str">
        <f t="shared" si="4"/>
        <v/>
      </c>
      <c r="G6" s="23" t="str">
        <f t="shared" si="5"/>
        <v/>
      </c>
      <c r="H6" s="23" t="str">
        <f t="shared" si="6"/>
        <v/>
      </c>
      <c r="I6" s="23" t="str">
        <f t="shared" si="7"/>
        <v/>
      </c>
      <c r="J6" s="23">
        <f t="shared" si="8"/>
        <v>76.660000000000011</v>
      </c>
      <c r="K6" s="23">
        <f t="shared" si="9"/>
        <v>0</v>
      </c>
      <c r="L6" s="23">
        <f t="shared" si="10"/>
        <v>0</v>
      </c>
      <c r="M6" t="s">
        <v>352</v>
      </c>
      <c r="N6" s="7">
        <v>46203</v>
      </c>
      <c r="O6" t="s">
        <v>186</v>
      </c>
      <c r="P6" t="s">
        <v>367</v>
      </c>
      <c r="Q6">
        <v>2026</v>
      </c>
      <c r="R6" s="27" t="s">
        <v>368</v>
      </c>
      <c r="S6" s="27" t="s">
        <v>367</v>
      </c>
      <c r="T6" t="s">
        <v>369</v>
      </c>
      <c r="U6" t="s">
        <v>187</v>
      </c>
      <c r="V6" t="s">
        <v>188</v>
      </c>
      <c r="W6" t="s">
        <v>188</v>
      </c>
      <c r="X6">
        <v>83920</v>
      </c>
      <c r="Y6" t="s">
        <v>189</v>
      </c>
      <c r="Z6" t="s">
        <v>190</v>
      </c>
      <c r="AA6">
        <v>599</v>
      </c>
      <c r="AC6" s="7">
        <v>46174</v>
      </c>
      <c r="AD6">
        <v>21</v>
      </c>
      <c r="AE6" t="s">
        <v>191</v>
      </c>
      <c r="AF6" t="s">
        <v>367</v>
      </c>
      <c r="AG6" t="s">
        <v>192</v>
      </c>
      <c r="AH6">
        <v>21</v>
      </c>
      <c r="AI6" t="s">
        <v>193</v>
      </c>
      <c r="AJ6" s="7">
        <v>46176</v>
      </c>
      <c r="AK6" t="s">
        <v>370</v>
      </c>
      <c r="AL6" t="s">
        <v>367</v>
      </c>
      <c r="AM6" t="s">
        <v>192</v>
      </c>
      <c r="AN6">
        <v>83</v>
      </c>
      <c r="AO6" t="s">
        <v>371</v>
      </c>
      <c r="AR6">
        <v>1</v>
      </c>
      <c r="AS6">
        <v>1</v>
      </c>
      <c r="AT6">
        <v>134</v>
      </c>
      <c r="AU6">
        <v>134</v>
      </c>
      <c r="AV6">
        <v>0</v>
      </c>
      <c r="AW6" t="s">
        <v>194</v>
      </c>
      <c r="AX6">
        <v>134</v>
      </c>
      <c r="AY6">
        <v>0</v>
      </c>
      <c r="BE6" t="s">
        <v>195</v>
      </c>
      <c r="BF6" t="s">
        <v>196</v>
      </c>
      <c r="BG6" t="s">
        <v>197</v>
      </c>
      <c r="BM6">
        <v>59.61</v>
      </c>
      <c r="BN6" s="23">
        <v>76.66</v>
      </c>
      <c r="BQ6" t="s">
        <v>198</v>
      </c>
      <c r="DI6">
        <v>14.9</v>
      </c>
      <c r="DK6">
        <v>2</v>
      </c>
      <c r="GM6">
        <v>0.15</v>
      </c>
    </row>
    <row r="7" spans="1:195" x14ac:dyDescent="0.35">
      <c r="B7" s="23" t="str">
        <f t="shared" si="0"/>
        <v>EXP20260601-2772380</v>
      </c>
      <c r="C7" s="23">
        <f t="shared" si="1"/>
        <v>33.85</v>
      </c>
      <c r="D7" s="23">
        <f t="shared" si="2"/>
        <v>33.85</v>
      </c>
      <c r="E7" s="23" t="str">
        <f t="shared" si="3"/>
        <v/>
      </c>
      <c r="F7" s="23" t="str">
        <f t="shared" si="4"/>
        <v/>
      </c>
      <c r="G7" s="23" t="str">
        <f t="shared" si="5"/>
        <v/>
      </c>
      <c r="H7" s="23" t="str">
        <f t="shared" si="6"/>
        <v/>
      </c>
      <c r="I7" s="23" t="str">
        <f t="shared" si="7"/>
        <v/>
      </c>
      <c r="J7" s="23">
        <f t="shared" si="8"/>
        <v>33.85</v>
      </c>
      <c r="K7" s="23">
        <f t="shared" si="9"/>
        <v>0</v>
      </c>
      <c r="L7" s="23">
        <f t="shared" si="10"/>
        <v>0</v>
      </c>
      <c r="M7" t="s">
        <v>352</v>
      </c>
      <c r="N7" s="7">
        <v>46203</v>
      </c>
      <c r="O7" t="s">
        <v>186</v>
      </c>
      <c r="P7" t="s">
        <v>372</v>
      </c>
      <c r="Q7">
        <v>2026</v>
      </c>
      <c r="R7" s="27" t="s">
        <v>373</v>
      </c>
      <c r="S7" s="27" t="s">
        <v>372</v>
      </c>
      <c r="T7" t="s">
        <v>374</v>
      </c>
      <c r="U7" t="s">
        <v>187</v>
      </c>
      <c r="V7" t="s">
        <v>188</v>
      </c>
      <c r="W7" t="s">
        <v>188</v>
      </c>
      <c r="X7">
        <v>34290</v>
      </c>
      <c r="Y7" t="s">
        <v>189</v>
      </c>
      <c r="Z7" t="s">
        <v>190</v>
      </c>
      <c r="AA7">
        <v>695</v>
      </c>
      <c r="AC7" s="7">
        <v>46174</v>
      </c>
      <c r="AD7">
        <v>21</v>
      </c>
      <c r="AE7" t="s">
        <v>191</v>
      </c>
      <c r="AF7" t="s">
        <v>372</v>
      </c>
      <c r="AG7" t="s">
        <v>192</v>
      </c>
      <c r="AH7">
        <v>21</v>
      </c>
      <c r="AI7" t="s">
        <v>193</v>
      </c>
      <c r="AJ7" s="7">
        <v>46176</v>
      </c>
      <c r="AK7" t="s">
        <v>375</v>
      </c>
      <c r="AL7" t="s">
        <v>372</v>
      </c>
      <c r="AM7" t="s">
        <v>192</v>
      </c>
      <c r="AN7">
        <v>34</v>
      </c>
      <c r="AO7" t="s">
        <v>376</v>
      </c>
      <c r="AR7">
        <v>1</v>
      </c>
      <c r="AS7">
        <v>1</v>
      </c>
      <c r="AT7">
        <v>13</v>
      </c>
      <c r="AU7">
        <v>13</v>
      </c>
      <c r="AV7">
        <v>0</v>
      </c>
      <c r="AW7" t="s">
        <v>194</v>
      </c>
      <c r="AX7">
        <v>13</v>
      </c>
      <c r="AY7">
        <v>0</v>
      </c>
      <c r="BE7" t="s">
        <v>195</v>
      </c>
      <c r="BF7" t="s">
        <v>196</v>
      </c>
      <c r="BG7" t="s">
        <v>197</v>
      </c>
      <c r="BM7">
        <v>25.36</v>
      </c>
      <c r="BN7" s="23">
        <v>33.85</v>
      </c>
      <c r="BQ7" t="s">
        <v>198</v>
      </c>
      <c r="DI7">
        <v>6.34</v>
      </c>
      <c r="DK7">
        <v>2</v>
      </c>
      <c r="GM7">
        <v>0.15</v>
      </c>
    </row>
    <row r="8" spans="1:195" x14ac:dyDescent="0.35">
      <c r="B8" s="23" t="str">
        <f t="shared" si="0"/>
        <v>EXP20260601-2772379</v>
      </c>
      <c r="C8" s="23">
        <f t="shared" si="1"/>
        <v>55.86</v>
      </c>
      <c r="D8" s="23">
        <f t="shared" si="2"/>
        <v>55.86</v>
      </c>
      <c r="E8" s="23" t="str">
        <f t="shared" si="3"/>
        <v/>
      </c>
      <c r="F8" s="23" t="str">
        <f t="shared" si="4"/>
        <v/>
      </c>
      <c r="G8" s="23" t="str">
        <f t="shared" si="5"/>
        <v/>
      </c>
      <c r="H8" s="23" t="str">
        <f t="shared" si="6"/>
        <v/>
      </c>
      <c r="I8" s="23" t="str">
        <f t="shared" si="7"/>
        <v/>
      </c>
      <c r="J8" s="23">
        <f t="shared" si="8"/>
        <v>55.86</v>
      </c>
      <c r="K8" s="23">
        <f t="shared" si="9"/>
        <v>0</v>
      </c>
      <c r="L8" s="23">
        <f t="shared" si="10"/>
        <v>0</v>
      </c>
      <c r="M8" t="s">
        <v>352</v>
      </c>
      <c r="N8" s="7">
        <v>46203</v>
      </c>
      <c r="O8" t="s">
        <v>186</v>
      </c>
      <c r="P8" t="s">
        <v>377</v>
      </c>
      <c r="Q8">
        <v>2026</v>
      </c>
      <c r="R8" s="27" t="s">
        <v>378</v>
      </c>
      <c r="S8" s="27" t="s">
        <v>377</v>
      </c>
      <c r="T8" t="s">
        <v>379</v>
      </c>
      <c r="U8" t="s">
        <v>187</v>
      </c>
      <c r="V8" t="s">
        <v>188</v>
      </c>
      <c r="W8" t="s">
        <v>188</v>
      </c>
      <c r="X8">
        <v>11300</v>
      </c>
      <c r="Y8" t="s">
        <v>189</v>
      </c>
      <c r="Z8" t="s">
        <v>190</v>
      </c>
      <c r="AA8">
        <v>847</v>
      </c>
      <c r="AC8" s="7">
        <v>46174</v>
      </c>
      <c r="AD8">
        <v>21</v>
      </c>
      <c r="AE8" t="s">
        <v>191</v>
      </c>
      <c r="AF8" t="s">
        <v>377</v>
      </c>
      <c r="AG8" t="s">
        <v>192</v>
      </c>
      <c r="AH8">
        <v>21</v>
      </c>
      <c r="AI8" t="s">
        <v>193</v>
      </c>
      <c r="AJ8" s="7">
        <v>46178</v>
      </c>
      <c r="AK8" t="s">
        <v>380</v>
      </c>
      <c r="AL8" t="s">
        <v>377</v>
      </c>
      <c r="AM8" t="s">
        <v>192</v>
      </c>
      <c r="AN8">
        <v>11</v>
      </c>
      <c r="AO8" t="s">
        <v>381</v>
      </c>
      <c r="AR8">
        <v>1</v>
      </c>
      <c r="AS8">
        <v>1</v>
      </c>
      <c r="AT8">
        <v>72</v>
      </c>
      <c r="AU8">
        <v>72</v>
      </c>
      <c r="AV8">
        <v>0</v>
      </c>
      <c r="AW8" t="s">
        <v>194</v>
      </c>
      <c r="AX8">
        <v>72</v>
      </c>
      <c r="AY8">
        <v>0</v>
      </c>
      <c r="BE8" t="s">
        <v>195</v>
      </c>
      <c r="BF8" t="s">
        <v>196</v>
      </c>
      <c r="BG8" t="s">
        <v>197</v>
      </c>
      <c r="BM8">
        <v>42.97</v>
      </c>
      <c r="BN8" s="23">
        <v>55.86</v>
      </c>
      <c r="BQ8" t="s">
        <v>198</v>
      </c>
      <c r="DI8">
        <v>10.74</v>
      </c>
      <c r="DK8">
        <v>2</v>
      </c>
      <c r="GM8">
        <v>0.15</v>
      </c>
    </row>
    <row r="9" spans="1:195" x14ac:dyDescent="0.35">
      <c r="B9" s="23" t="str">
        <f t="shared" si="0"/>
        <v>EXP20260528-2768110</v>
      </c>
      <c r="C9" s="23">
        <f t="shared" si="1"/>
        <v>42.96</v>
      </c>
      <c r="D9" s="23">
        <f t="shared" si="2"/>
        <v>42.96</v>
      </c>
      <c r="E9" s="23" t="str">
        <f t="shared" si="3"/>
        <v/>
      </c>
      <c r="F9" s="23" t="str">
        <f t="shared" si="4"/>
        <v/>
      </c>
      <c r="G9" s="23">
        <f t="shared" si="5"/>
        <v>7</v>
      </c>
      <c r="H9" s="23" t="str">
        <f t="shared" si="6"/>
        <v/>
      </c>
      <c r="I9" s="23" t="str">
        <f t="shared" si="7"/>
        <v/>
      </c>
      <c r="J9" s="23">
        <f t="shared" si="8"/>
        <v>35.96</v>
      </c>
      <c r="K9" s="23">
        <f t="shared" si="9"/>
        <v>0</v>
      </c>
      <c r="L9" s="23">
        <f t="shared" si="10"/>
        <v>0</v>
      </c>
      <c r="M9" t="s">
        <v>352</v>
      </c>
      <c r="N9" s="7">
        <v>46203</v>
      </c>
      <c r="O9" t="s">
        <v>186</v>
      </c>
      <c r="P9" t="s">
        <v>382</v>
      </c>
      <c r="Q9">
        <v>2026</v>
      </c>
      <c r="R9" s="27" t="s">
        <v>383</v>
      </c>
      <c r="S9" s="27" t="s">
        <v>382</v>
      </c>
      <c r="T9" t="s">
        <v>384</v>
      </c>
      <c r="U9" t="s">
        <v>187</v>
      </c>
      <c r="V9" t="s">
        <v>188</v>
      </c>
      <c r="W9" t="s">
        <v>188</v>
      </c>
      <c r="X9">
        <v>93200</v>
      </c>
      <c r="Y9" t="s">
        <v>189</v>
      </c>
      <c r="Z9" t="s">
        <v>190</v>
      </c>
      <c r="AA9">
        <v>413</v>
      </c>
      <c r="AC9" s="7">
        <v>46174</v>
      </c>
      <c r="AD9">
        <v>21</v>
      </c>
      <c r="AE9" t="s">
        <v>191</v>
      </c>
      <c r="AF9" t="s">
        <v>382</v>
      </c>
      <c r="AG9" t="s">
        <v>192</v>
      </c>
      <c r="AH9">
        <v>21</v>
      </c>
      <c r="AI9" t="s">
        <v>193</v>
      </c>
      <c r="AJ9" s="7">
        <v>46178</v>
      </c>
      <c r="AK9" t="s">
        <v>385</v>
      </c>
      <c r="AL9" t="s">
        <v>382</v>
      </c>
      <c r="AM9" t="s">
        <v>192</v>
      </c>
      <c r="AN9">
        <v>93</v>
      </c>
      <c r="AO9" t="s">
        <v>386</v>
      </c>
      <c r="AR9">
        <v>1</v>
      </c>
      <c r="AS9">
        <v>1</v>
      </c>
      <c r="AT9">
        <v>38</v>
      </c>
      <c r="AU9">
        <v>38</v>
      </c>
      <c r="AV9">
        <v>0</v>
      </c>
      <c r="AW9" t="s">
        <v>194</v>
      </c>
      <c r="AX9">
        <v>38</v>
      </c>
      <c r="AY9">
        <v>0</v>
      </c>
      <c r="BE9" t="s">
        <v>195</v>
      </c>
      <c r="BF9" t="s">
        <v>196</v>
      </c>
      <c r="BG9" t="s">
        <v>197</v>
      </c>
      <c r="BM9">
        <v>33.81</v>
      </c>
      <c r="BN9" s="23">
        <v>42.96</v>
      </c>
      <c r="BQ9" t="s">
        <v>198</v>
      </c>
      <c r="DK9">
        <v>2</v>
      </c>
      <c r="DN9">
        <v>7</v>
      </c>
      <c r="GM9">
        <v>0.15</v>
      </c>
    </row>
    <row r="10" spans="1:195" x14ac:dyDescent="0.35">
      <c r="B10" s="23" t="str">
        <f t="shared" si="0"/>
        <v>EXP20260601-2772378</v>
      </c>
      <c r="C10" s="23">
        <f t="shared" si="1"/>
        <v>55.089999999999996</v>
      </c>
      <c r="D10" s="23">
        <f t="shared" si="2"/>
        <v>55.089999999999996</v>
      </c>
      <c r="E10" s="23" t="str">
        <f t="shared" si="3"/>
        <v/>
      </c>
      <c r="F10" s="23" t="str">
        <f t="shared" si="4"/>
        <v/>
      </c>
      <c r="G10" s="23" t="str">
        <f t="shared" si="5"/>
        <v/>
      </c>
      <c r="H10" s="23" t="str">
        <f t="shared" si="6"/>
        <v/>
      </c>
      <c r="I10" s="23" t="str">
        <f t="shared" si="7"/>
        <v/>
      </c>
      <c r="J10" s="23">
        <f t="shared" si="8"/>
        <v>55.089999999999996</v>
      </c>
      <c r="K10" s="23">
        <f t="shared" si="9"/>
        <v>0</v>
      </c>
      <c r="L10" s="23">
        <f t="shared" si="10"/>
        <v>0</v>
      </c>
      <c r="M10" t="s">
        <v>352</v>
      </c>
      <c r="N10" s="7">
        <v>46203</v>
      </c>
      <c r="O10" t="s">
        <v>186</v>
      </c>
      <c r="P10" t="s">
        <v>387</v>
      </c>
      <c r="Q10">
        <v>2026</v>
      </c>
      <c r="R10" s="27" t="s">
        <v>388</v>
      </c>
      <c r="S10" s="27" t="s">
        <v>387</v>
      </c>
      <c r="T10" t="s">
        <v>389</v>
      </c>
      <c r="U10" t="s">
        <v>187</v>
      </c>
      <c r="V10" t="s">
        <v>188</v>
      </c>
      <c r="W10" t="s">
        <v>188</v>
      </c>
      <c r="X10">
        <v>34490</v>
      </c>
      <c r="Y10" t="s">
        <v>189</v>
      </c>
      <c r="Z10" t="s">
        <v>190</v>
      </c>
      <c r="AA10">
        <v>695</v>
      </c>
      <c r="AC10" s="7">
        <v>46174</v>
      </c>
      <c r="AD10">
        <v>21</v>
      </c>
      <c r="AE10" t="s">
        <v>191</v>
      </c>
      <c r="AF10" t="s">
        <v>387</v>
      </c>
      <c r="AG10" t="s">
        <v>192</v>
      </c>
      <c r="AH10">
        <v>21</v>
      </c>
      <c r="AI10" t="s">
        <v>193</v>
      </c>
      <c r="AJ10" s="7">
        <v>46185</v>
      </c>
      <c r="AK10" t="s">
        <v>390</v>
      </c>
      <c r="AL10" t="s">
        <v>387</v>
      </c>
      <c r="AM10" t="s">
        <v>192</v>
      </c>
      <c r="AN10">
        <v>34</v>
      </c>
      <c r="AO10" t="s">
        <v>391</v>
      </c>
      <c r="AR10">
        <v>1</v>
      </c>
      <c r="AS10">
        <v>1</v>
      </c>
      <c r="AT10">
        <v>100</v>
      </c>
      <c r="AU10">
        <v>100</v>
      </c>
      <c r="AV10">
        <v>0</v>
      </c>
      <c r="AW10" t="s">
        <v>194</v>
      </c>
      <c r="AX10">
        <v>100</v>
      </c>
      <c r="AY10">
        <v>0</v>
      </c>
      <c r="BE10" t="s">
        <v>195</v>
      </c>
      <c r="BF10" t="s">
        <v>196</v>
      </c>
      <c r="BG10" t="s">
        <v>197</v>
      </c>
      <c r="BM10">
        <v>42.35</v>
      </c>
      <c r="BN10" s="23">
        <v>55.09</v>
      </c>
      <c r="BQ10" t="s">
        <v>198</v>
      </c>
      <c r="DI10">
        <v>10.59</v>
      </c>
      <c r="DK10">
        <v>2</v>
      </c>
      <c r="GM10">
        <v>0.15</v>
      </c>
    </row>
    <row r="11" spans="1:195" x14ac:dyDescent="0.35">
      <c r="B11" s="23" t="str">
        <f t="shared" si="0"/>
        <v>EXP20260601-2774918</v>
      </c>
      <c r="C11" s="23">
        <f t="shared" si="1"/>
        <v>43.19</v>
      </c>
      <c r="D11" s="23">
        <f t="shared" si="2"/>
        <v>43.19</v>
      </c>
      <c r="E11" s="23" t="str">
        <f t="shared" si="3"/>
        <v/>
      </c>
      <c r="F11" s="23" t="str">
        <f t="shared" si="4"/>
        <v/>
      </c>
      <c r="G11" s="23" t="str">
        <f t="shared" si="5"/>
        <v/>
      </c>
      <c r="H11" s="23" t="str">
        <f t="shared" si="6"/>
        <v/>
      </c>
      <c r="I11" s="23" t="str">
        <f t="shared" si="7"/>
        <v/>
      </c>
      <c r="J11" s="23">
        <f t="shared" si="8"/>
        <v>43.19</v>
      </c>
      <c r="K11" s="23">
        <f t="shared" si="9"/>
        <v>0</v>
      </c>
      <c r="L11" s="23">
        <f t="shared" si="10"/>
        <v>0</v>
      </c>
      <c r="M11" t="s">
        <v>352</v>
      </c>
      <c r="N11" s="7">
        <v>46203</v>
      </c>
      <c r="O11" t="s">
        <v>186</v>
      </c>
      <c r="P11" t="s">
        <v>392</v>
      </c>
      <c r="Q11">
        <v>2026</v>
      </c>
      <c r="R11" s="27" t="s">
        <v>393</v>
      </c>
      <c r="S11" s="27" t="s">
        <v>392</v>
      </c>
      <c r="T11" t="s">
        <v>394</v>
      </c>
      <c r="U11" t="s">
        <v>187</v>
      </c>
      <c r="V11" t="s">
        <v>188</v>
      </c>
      <c r="W11" t="s">
        <v>188</v>
      </c>
      <c r="X11">
        <v>84190</v>
      </c>
      <c r="Y11" t="s">
        <v>189</v>
      </c>
      <c r="Z11" t="s">
        <v>190</v>
      </c>
      <c r="AA11">
        <v>468</v>
      </c>
      <c r="AC11" s="7">
        <v>46175</v>
      </c>
      <c r="AD11">
        <v>21</v>
      </c>
      <c r="AE11" t="s">
        <v>191</v>
      </c>
      <c r="AF11" t="s">
        <v>392</v>
      </c>
      <c r="AG11" t="s">
        <v>192</v>
      </c>
      <c r="AH11">
        <v>21</v>
      </c>
      <c r="AI11" t="s">
        <v>193</v>
      </c>
      <c r="AJ11" s="7">
        <v>46178</v>
      </c>
      <c r="AK11" t="s">
        <v>395</v>
      </c>
      <c r="AL11" t="s">
        <v>392</v>
      </c>
      <c r="AM11" t="s">
        <v>192</v>
      </c>
      <c r="AN11">
        <v>84</v>
      </c>
      <c r="AO11" t="s">
        <v>215</v>
      </c>
      <c r="AR11">
        <v>1</v>
      </c>
      <c r="AS11">
        <v>1</v>
      </c>
      <c r="AT11">
        <v>59</v>
      </c>
      <c r="AU11">
        <v>59</v>
      </c>
      <c r="AV11">
        <v>0</v>
      </c>
      <c r="AW11" t="s">
        <v>194</v>
      </c>
      <c r="AX11">
        <v>59</v>
      </c>
      <c r="AY11">
        <v>0</v>
      </c>
      <c r="BE11" t="s">
        <v>195</v>
      </c>
      <c r="BF11" t="s">
        <v>196</v>
      </c>
      <c r="BG11" t="s">
        <v>197</v>
      </c>
      <c r="BM11">
        <v>32.83</v>
      </c>
      <c r="BN11" s="23">
        <v>43.19</v>
      </c>
      <c r="BQ11" t="s">
        <v>198</v>
      </c>
      <c r="DI11">
        <v>8.2100000000000009</v>
      </c>
      <c r="DK11">
        <v>2</v>
      </c>
      <c r="GM11">
        <v>0.15</v>
      </c>
    </row>
    <row r="12" spans="1:195" x14ac:dyDescent="0.35">
      <c r="B12" s="23" t="str">
        <f t="shared" si="0"/>
        <v>EXP20260601-2774442</v>
      </c>
      <c r="C12" s="23">
        <f t="shared" si="1"/>
        <v>48.37</v>
      </c>
      <c r="D12" s="23">
        <f t="shared" si="2"/>
        <v>48.37</v>
      </c>
      <c r="E12" s="23" t="str">
        <f t="shared" si="3"/>
        <v/>
      </c>
      <c r="F12" s="23" t="str">
        <f t="shared" si="4"/>
        <v/>
      </c>
      <c r="G12" s="23" t="str">
        <f t="shared" si="5"/>
        <v/>
      </c>
      <c r="H12" s="23" t="str">
        <f t="shared" si="6"/>
        <v/>
      </c>
      <c r="I12" s="23" t="str">
        <f t="shared" si="7"/>
        <v/>
      </c>
      <c r="J12" s="23">
        <f t="shared" si="8"/>
        <v>48.37</v>
      </c>
      <c r="K12" s="23">
        <f t="shared" si="9"/>
        <v>0</v>
      </c>
      <c r="L12" s="23">
        <f t="shared" si="10"/>
        <v>0</v>
      </c>
      <c r="M12" t="s">
        <v>352</v>
      </c>
      <c r="N12" s="7">
        <v>46203</v>
      </c>
      <c r="O12" t="s">
        <v>186</v>
      </c>
      <c r="P12" t="s">
        <v>396</v>
      </c>
      <c r="Q12">
        <v>2026</v>
      </c>
      <c r="R12" s="27" t="s">
        <v>397</v>
      </c>
      <c r="S12" s="27" t="s">
        <v>396</v>
      </c>
      <c r="T12" t="s">
        <v>398</v>
      </c>
      <c r="U12" t="s">
        <v>187</v>
      </c>
      <c r="V12" t="s">
        <v>188</v>
      </c>
      <c r="W12" t="s">
        <v>188</v>
      </c>
      <c r="X12">
        <v>95310</v>
      </c>
      <c r="Y12" t="s">
        <v>189</v>
      </c>
      <c r="Z12" t="s">
        <v>190</v>
      </c>
      <c r="AA12">
        <v>472</v>
      </c>
      <c r="AC12" s="7">
        <v>46175</v>
      </c>
      <c r="AD12">
        <v>21</v>
      </c>
      <c r="AE12" t="s">
        <v>191</v>
      </c>
      <c r="AF12" t="s">
        <v>396</v>
      </c>
      <c r="AG12" t="s">
        <v>192</v>
      </c>
      <c r="AH12">
        <v>21</v>
      </c>
      <c r="AI12" t="s">
        <v>193</v>
      </c>
      <c r="AJ12">
        <v>46181</v>
      </c>
      <c r="AK12" t="s">
        <v>399</v>
      </c>
      <c r="AL12" t="s">
        <v>396</v>
      </c>
      <c r="AM12" t="s">
        <v>192</v>
      </c>
      <c r="AN12">
        <v>95</v>
      </c>
      <c r="AO12" t="s">
        <v>400</v>
      </c>
      <c r="AR12">
        <v>1</v>
      </c>
      <c r="AS12">
        <v>1</v>
      </c>
      <c r="AT12">
        <v>104</v>
      </c>
      <c r="AU12">
        <v>104</v>
      </c>
      <c r="AV12">
        <v>0</v>
      </c>
      <c r="AW12" t="s">
        <v>194</v>
      </c>
      <c r="AX12">
        <v>104</v>
      </c>
      <c r="AY12">
        <v>0</v>
      </c>
      <c r="BE12" t="s">
        <v>195</v>
      </c>
      <c r="BF12" t="s">
        <v>196</v>
      </c>
      <c r="BG12" t="s">
        <v>197</v>
      </c>
      <c r="BM12">
        <v>46.22</v>
      </c>
      <c r="BN12" s="23">
        <v>48.37</v>
      </c>
      <c r="BQ12" t="s">
        <v>198</v>
      </c>
      <c r="DK12">
        <v>2</v>
      </c>
      <c r="GM12">
        <v>0.15</v>
      </c>
    </row>
    <row r="13" spans="1:195" x14ac:dyDescent="0.35">
      <c r="B13" s="23" t="str">
        <f t="shared" si="0"/>
        <v>EXP20260601-2774095</v>
      </c>
      <c r="C13" s="23">
        <f t="shared" si="1"/>
        <v>80.78</v>
      </c>
      <c r="D13" s="23">
        <f t="shared" si="2"/>
        <v>80.78</v>
      </c>
      <c r="E13" s="23" t="str">
        <f t="shared" si="3"/>
        <v/>
      </c>
      <c r="F13" s="23" t="str">
        <f t="shared" si="4"/>
        <v/>
      </c>
      <c r="G13" s="23" t="str">
        <f t="shared" si="5"/>
        <v/>
      </c>
      <c r="H13" s="23" t="str">
        <f t="shared" si="6"/>
        <v/>
      </c>
      <c r="I13" s="23" t="str">
        <f t="shared" si="7"/>
        <v/>
      </c>
      <c r="J13" s="23">
        <f t="shared" si="8"/>
        <v>80.78</v>
      </c>
      <c r="K13" s="23">
        <f t="shared" si="9"/>
        <v>0</v>
      </c>
      <c r="L13" s="23">
        <f t="shared" si="10"/>
        <v>0</v>
      </c>
      <c r="M13" t="s">
        <v>352</v>
      </c>
      <c r="N13" s="7">
        <v>46203</v>
      </c>
      <c r="O13" t="s">
        <v>186</v>
      </c>
      <c r="P13" t="s">
        <v>401</v>
      </c>
      <c r="Q13">
        <v>2026</v>
      </c>
      <c r="R13" s="27" t="s">
        <v>402</v>
      </c>
      <c r="S13" s="27" t="s">
        <v>401</v>
      </c>
      <c r="T13" t="s">
        <v>403</v>
      </c>
      <c r="U13" t="s">
        <v>187</v>
      </c>
      <c r="V13" t="s">
        <v>188</v>
      </c>
      <c r="W13" t="s">
        <v>188</v>
      </c>
      <c r="X13">
        <v>29620</v>
      </c>
      <c r="Y13" t="s">
        <v>189</v>
      </c>
      <c r="Z13" t="s">
        <v>190</v>
      </c>
      <c r="AA13">
        <v>897</v>
      </c>
      <c r="AC13" s="7">
        <v>46175</v>
      </c>
      <c r="AD13">
        <v>21</v>
      </c>
      <c r="AE13" t="s">
        <v>191</v>
      </c>
      <c r="AF13" t="s">
        <v>401</v>
      </c>
      <c r="AG13" t="s">
        <v>192</v>
      </c>
      <c r="AH13">
        <v>21</v>
      </c>
      <c r="AI13" t="s">
        <v>193</v>
      </c>
      <c r="AJ13" s="7">
        <v>46178</v>
      </c>
      <c r="AK13" t="s">
        <v>404</v>
      </c>
      <c r="AL13" t="s">
        <v>401</v>
      </c>
      <c r="AM13" t="s">
        <v>192</v>
      </c>
      <c r="AN13">
        <v>29</v>
      </c>
      <c r="AO13" t="s">
        <v>405</v>
      </c>
      <c r="AR13">
        <v>1</v>
      </c>
      <c r="AS13">
        <v>1</v>
      </c>
      <c r="AT13">
        <v>115</v>
      </c>
      <c r="AU13">
        <v>115</v>
      </c>
      <c r="AV13">
        <v>0</v>
      </c>
      <c r="AW13" t="s">
        <v>194</v>
      </c>
      <c r="AX13">
        <v>115</v>
      </c>
      <c r="AY13">
        <v>0</v>
      </c>
      <c r="BE13" t="s">
        <v>195</v>
      </c>
      <c r="BF13" t="s">
        <v>196</v>
      </c>
      <c r="BG13" t="s">
        <v>197</v>
      </c>
      <c r="BM13">
        <v>62.9</v>
      </c>
      <c r="BN13" s="23">
        <v>80.78</v>
      </c>
      <c r="BQ13" t="s">
        <v>198</v>
      </c>
      <c r="DI13">
        <v>15.73</v>
      </c>
      <c r="DK13">
        <v>2</v>
      </c>
      <c r="GM13">
        <v>0.15</v>
      </c>
    </row>
    <row r="14" spans="1:195" x14ac:dyDescent="0.35">
      <c r="B14" s="23" t="str">
        <f t="shared" si="0"/>
        <v>EXP20260601-2774686</v>
      </c>
      <c r="C14" s="23">
        <f t="shared" si="1"/>
        <v>37.309999999999995</v>
      </c>
      <c r="D14" s="23">
        <f t="shared" si="2"/>
        <v>37.309999999999995</v>
      </c>
      <c r="E14" s="23" t="str">
        <f t="shared" si="3"/>
        <v/>
      </c>
      <c r="F14" s="23" t="str">
        <f t="shared" si="4"/>
        <v/>
      </c>
      <c r="G14" s="23" t="str">
        <f t="shared" si="5"/>
        <v/>
      </c>
      <c r="H14" s="23" t="str">
        <f t="shared" si="6"/>
        <v/>
      </c>
      <c r="I14" s="23" t="str">
        <f t="shared" si="7"/>
        <v/>
      </c>
      <c r="J14" s="23">
        <f t="shared" si="8"/>
        <v>37.309999999999995</v>
      </c>
      <c r="K14" s="23">
        <f t="shared" si="9"/>
        <v>0</v>
      </c>
      <c r="L14" s="23">
        <f t="shared" si="10"/>
        <v>0</v>
      </c>
      <c r="M14" t="s">
        <v>352</v>
      </c>
      <c r="N14" s="7">
        <v>46203</v>
      </c>
      <c r="O14" t="s">
        <v>186</v>
      </c>
      <c r="P14" t="s">
        <v>406</v>
      </c>
      <c r="Q14">
        <v>2026</v>
      </c>
      <c r="R14" s="27" t="s">
        <v>407</v>
      </c>
      <c r="S14" s="27" t="s">
        <v>406</v>
      </c>
      <c r="T14" t="s">
        <v>408</v>
      </c>
      <c r="U14" t="s">
        <v>187</v>
      </c>
      <c r="V14" t="s">
        <v>188</v>
      </c>
      <c r="W14" t="s">
        <v>188</v>
      </c>
      <c r="X14">
        <v>33330</v>
      </c>
      <c r="Y14" t="s">
        <v>189</v>
      </c>
      <c r="Z14" t="s">
        <v>190</v>
      </c>
      <c r="AA14">
        <v>713</v>
      </c>
      <c r="AC14" s="7">
        <v>46175</v>
      </c>
      <c r="AD14">
        <v>21</v>
      </c>
      <c r="AE14" t="s">
        <v>191</v>
      </c>
      <c r="AF14" t="s">
        <v>406</v>
      </c>
      <c r="AG14" t="s">
        <v>192</v>
      </c>
      <c r="AH14">
        <v>21</v>
      </c>
      <c r="AI14" t="s">
        <v>193</v>
      </c>
      <c r="AJ14" s="7">
        <v>46177</v>
      </c>
      <c r="AK14" t="s">
        <v>334</v>
      </c>
      <c r="AL14" t="s">
        <v>406</v>
      </c>
      <c r="AM14" t="s">
        <v>192</v>
      </c>
      <c r="AN14">
        <v>33</v>
      </c>
      <c r="AO14" t="s">
        <v>298</v>
      </c>
      <c r="AR14">
        <v>1</v>
      </c>
      <c r="AS14">
        <v>1</v>
      </c>
      <c r="AT14">
        <v>10</v>
      </c>
      <c r="AU14">
        <v>10</v>
      </c>
      <c r="AV14">
        <v>0</v>
      </c>
      <c r="AW14" t="s">
        <v>194</v>
      </c>
      <c r="AX14">
        <v>10</v>
      </c>
      <c r="AY14">
        <v>0</v>
      </c>
      <c r="BE14" t="s">
        <v>195</v>
      </c>
      <c r="BF14" t="s">
        <v>196</v>
      </c>
      <c r="BG14" t="s">
        <v>197</v>
      </c>
      <c r="BM14">
        <v>28.13</v>
      </c>
      <c r="BN14" s="23">
        <v>37.31</v>
      </c>
      <c r="BQ14" t="s">
        <v>198</v>
      </c>
      <c r="DI14">
        <v>7.03</v>
      </c>
      <c r="DK14">
        <v>2</v>
      </c>
      <c r="GM14">
        <v>0.15</v>
      </c>
    </row>
    <row r="15" spans="1:195" x14ac:dyDescent="0.35">
      <c r="B15" s="23" t="str">
        <f t="shared" si="0"/>
        <v>EXP20260601-2774625</v>
      </c>
      <c r="C15" s="23">
        <f t="shared" si="1"/>
        <v>32.309999999999995</v>
      </c>
      <c r="D15" s="23">
        <f t="shared" si="2"/>
        <v>32.309999999999995</v>
      </c>
      <c r="E15" s="23" t="str">
        <f t="shared" si="3"/>
        <v/>
      </c>
      <c r="F15" s="23" t="str">
        <f t="shared" si="4"/>
        <v/>
      </c>
      <c r="G15" s="23" t="str">
        <f t="shared" si="5"/>
        <v/>
      </c>
      <c r="H15" s="23" t="str">
        <f t="shared" si="6"/>
        <v/>
      </c>
      <c r="I15" s="23" t="str">
        <f t="shared" si="7"/>
        <v/>
      </c>
      <c r="J15" s="23">
        <f t="shared" si="8"/>
        <v>32.309999999999995</v>
      </c>
      <c r="K15" s="23">
        <f t="shared" si="9"/>
        <v>0</v>
      </c>
      <c r="L15" s="23">
        <f t="shared" si="10"/>
        <v>0</v>
      </c>
      <c r="M15" t="s">
        <v>352</v>
      </c>
      <c r="N15" s="7">
        <v>46203</v>
      </c>
      <c r="O15" t="s">
        <v>186</v>
      </c>
      <c r="P15" t="s">
        <v>409</v>
      </c>
      <c r="Q15">
        <v>2026</v>
      </c>
      <c r="R15" s="27" t="s">
        <v>410</v>
      </c>
      <c r="S15" s="27" t="s">
        <v>409</v>
      </c>
      <c r="T15" t="s">
        <v>411</v>
      </c>
      <c r="U15" t="s">
        <v>187</v>
      </c>
      <c r="V15" t="s">
        <v>188</v>
      </c>
      <c r="W15" t="s">
        <v>188</v>
      </c>
      <c r="X15">
        <v>58150</v>
      </c>
      <c r="Y15" t="s">
        <v>189</v>
      </c>
      <c r="Z15" t="s">
        <v>190</v>
      </c>
      <c r="AA15">
        <v>356</v>
      </c>
      <c r="AC15" s="7">
        <v>46176</v>
      </c>
      <c r="AD15">
        <v>21</v>
      </c>
      <c r="AE15" t="s">
        <v>191</v>
      </c>
      <c r="AF15" t="s">
        <v>409</v>
      </c>
      <c r="AG15" t="s">
        <v>192</v>
      </c>
      <c r="AH15">
        <v>21</v>
      </c>
      <c r="AI15" t="s">
        <v>193</v>
      </c>
      <c r="AJ15" s="7">
        <v>46178</v>
      </c>
      <c r="AK15" t="s">
        <v>310</v>
      </c>
      <c r="AL15" t="s">
        <v>409</v>
      </c>
      <c r="AM15" t="s">
        <v>192</v>
      </c>
      <c r="AN15">
        <v>58</v>
      </c>
      <c r="AO15" t="s">
        <v>311</v>
      </c>
      <c r="AP15" t="s">
        <v>214</v>
      </c>
      <c r="AQ15" t="s">
        <v>199</v>
      </c>
      <c r="AR15">
        <v>1</v>
      </c>
      <c r="AS15">
        <v>1</v>
      </c>
      <c r="AT15">
        <v>66</v>
      </c>
      <c r="AU15">
        <v>66</v>
      </c>
      <c r="AV15">
        <v>0</v>
      </c>
      <c r="AW15" t="s">
        <v>194</v>
      </c>
      <c r="AX15">
        <v>66</v>
      </c>
      <c r="AY15">
        <v>0</v>
      </c>
      <c r="BE15" t="s">
        <v>195</v>
      </c>
      <c r="BF15" t="s">
        <v>196</v>
      </c>
      <c r="BG15" t="s">
        <v>197</v>
      </c>
      <c r="BM15">
        <v>30.16</v>
      </c>
      <c r="BN15" s="23">
        <v>32.31</v>
      </c>
      <c r="BQ15" t="s">
        <v>198</v>
      </c>
      <c r="DK15">
        <v>2</v>
      </c>
      <c r="GM15">
        <v>0.15</v>
      </c>
    </row>
    <row r="16" spans="1:195" x14ac:dyDescent="0.35">
      <c r="B16" s="23" t="str">
        <f t="shared" si="0"/>
        <v>EXP20260601-2774279</v>
      </c>
      <c r="C16" s="23">
        <f t="shared" si="1"/>
        <v>48.98</v>
      </c>
      <c r="D16" s="23">
        <f t="shared" si="2"/>
        <v>48.98</v>
      </c>
      <c r="E16" s="23" t="str">
        <f t="shared" si="3"/>
        <v/>
      </c>
      <c r="F16" s="23" t="str">
        <f t="shared" si="4"/>
        <v/>
      </c>
      <c r="G16" s="23" t="str">
        <f t="shared" si="5"/>
        <v/>
      </c>
      <c r="H16" s="23" t="str">
        <f t="shared" si="6"/>
        <v/>
      </c>
      <c r="I16" s="23" t="str">
        <f t="shared" si="7"/>
        <v/>
      </c>
      <c r="J16" s="23">
        <f t="shared" si="8"/>
        <v>48.98</v>
      </c>
      <c r="K16" s="23">
        <f t="shared" si="9"/>
        <v>0</v>
      </c>
      <c r="L16" s="23">
        <f t="shared" si="10"/>
        <v>0</v>
      </c>
      <c r="M16" t="s">
        <v>352</v>
      </c>
      <c r="N16" s="7">
        <v>46203</v>
      </c>
      <c r="O16" t="s">
        <v>186</v>
      </c>
      <c r="P16" t="s">
        <v>412</v>
      </c>
      <c r="Q16">
        <v>2026</v>
      </c>
      <c r="R16" s="27" t="s">
        <v>413</v>
      </c>
      <c r="S16" s="27" t="s">
        <v>412</v>
      </c>
      <c r="T16" t="s">
        <v>414</v>
      </c>
      <c r="U16" t="s">
        <v>187</v>
      </c>
      <c r="V16" t="s">
        <v>188</v>
      </c>
      <c r="W16" t="s">
        <v>188</v>
      </c>
      <c r="X16">
        <v>13210</v>
      </c>
      <c r="Y16" t="s">
        <v>189</v>
      </c>
      <c r="Z16" t="s">
        <v>190</v>
      </c>
      <c r="AA16">
        <v>448</v>
      </c>
      <c r="AC16" s="7">
        <v>46176</v>
      </c>
      <c r="AD16">
        <v>21</v>
      </c>
      <c r="AE16" t="s">
        <v>191</v>
      </c>
      <c r="AF16" t="s">
        <v>412</v>
      </c>
      <c r="AG16" t="s">
        <v>192</v>
      </c>
      <c r="AH16">
        <v>21</v>
      </c>
      <c r="AI16" t="s">
        <v>193</v>
      </c>
      <c r="AJ16" s="7">
        <v>46182</v>
      </c>
      <c r="AK16" t="s">
        <v>415</v>
      </c>
      <c r="AL16" t="s">
        <v>412</v>
      </c>
      <c r="AM16" t="s">
        <v>192</v>
      </c>
      <c r="AN16">
        <v>13</v>
      </c>
      <c r="AO16" t="s">
        <v>416</v>
      </c>
      <c r="AP16" t="s">
        <v>214</v>
      </c>
      <c r="AQ16" t="s">
        <v>199</v>
      </c>
      <c r="AR16">
        <v>1</v>
      </c>
      <c r="AS16">
        <v>1</v>
      </c>
      <c r="AT16">
        <v>68</v>
      </c>
      <c r="AU16">
        <v>68</v>
      </c>
      <c r="AV16">
        <v>0</v>
      </c>
      <c r="AW16" t="s">
        <v>194</v>
      </c>
      <c r="AX16">
        <v>68</v>
      </c>
      <c r="AY16">
        <v>0</v>
      </c>
      <c r="BE16" t="s">
        <v>195</v>
      </c>
      <c r="BF16" t="s">
        <v>196</v>
      </c>
      <c r="BG16" t="s">
        <v>197</v>
      </c>
      <c r="BM16">
        <v>37.46</v>
      </c>
      <c r="BN16" s="23">
        <v>48.98</v>
      </c>
      <c r="BQ16" t="s">
        <v>198</v>
      </c>
      <c r="DI16">
        <v>9.3699999999999992</v>
      </c>
      <c r="DK16">
        <v>2</v>
      </c>
      <c r="GM16">
        <v>0.15</v>
      </c>
    </row>
    <row r="17" spans="2:195" x14ac:dyDescent="0.35">
      <c r="B17" s="23" t="str">
        <f t="shared" si="0"/>
        <v>EXP20260601-2774815</v>
      </c>
      <c r="C17" s="23">
        <f t="shared" si="1"/>
        <v>53.36</v>
      </c>
      <c r="D17" s="23">
        <f t="shared" si="2"/>
        <v>53.36</v>
      </c>
      <c r="E17" s="23" t="str">
        <f t="shared" si="3"/>
        <v/>
      </c>
      <c r="F17" s="23" t="str">
        <f t="shared" si="4"/>
        <v/>
      </c>
      <c r="G17" s="23" t="str">
        <f t="shared" si="5"/>
        <v/>
      </c>
      <c r="H17" s="23" t="str">
        <f t="shared" si="6"/>
        <v/>
      </c>
      <c r="I17" s="23" t="str">
        <f t="shared" si="7"/>
        <v/>
      </c>
      <c r="J17" s="23">
        <f t="shared" si="8"/>
        <v>53.36</v>
      </c>
      <c r="K17" s="23">
        <f t="shared" si="9"/>
        <v>0</v>
      </c>
      <c r="L17" s="23">
        <f t="shared" si="10"/>
        <v>0</v>
      </c>
      <c r="M17" t="s">
        <v>352</v>
      </c>
      <c r="N17" s="7">
        <v>46203</v>
      </c>
      <c r="O17" t="s">
        <v>186</v>
      </c>
      <c r="P17" t="s">
        <v>417</v>
      </c>
      <c r="Q17">
        <v>2026</v>
      </c>
      <c r="R17" s="27" t="s">
        <v>418</v>
      </c>
      <c r="S17" s="27" t="s">
        <v>417</v>
      </c>
      <c r="T17" t="s">
        <v>419</v>
      </c>
      <c r="U17" t="s">
        <v>187</v>
      </c>
      <c r="V17" t="s">
        <v>188</v>
      </c>
      <c r="W17" t="s">
        <v>188</v>
      </c>
      <c r="X17">
        <v>34210</v>
      </c>
      <c r="Y17" t="s">
        <v>189</v>
      </c>
      <c r="Z17" t="s">
        <v>190</v>
      </c>
      <c r="AA17">
        <v>695</v>
      </c>
      <c r="AC17" s="7">
        <v>46176</v>
      </c>
      <c r="AD17">
        <v>21</v>
      </c>
      <c r="AE17" t="s">
        <v>191</v>
      </c>
      <c r="AF17" t="s">
        <v>417</v>
      </c>
      <c r="AG17" t="s">
        <v>192</v>
      </c>
      <c r="AH17">
        <v>21</v>
      </c>
      <c r="AI17" t="s">
        <v>193</v>
      </c>
      <c r="AJ17">
        <v>46181</v>
      </c>
      <c r="AK17" t="s">
        <v>420</v>
      </c>
      <c r="AL17" t="s">
        <v>417</v>
      </c>
      <c r="AM17" t="s">
        <v>192</v>
      </c>
      <c r="AN17">
        <v>34</v>
      </c>
      <c r="AO17" t="s">
        <v>421</v>
      </c>
      <c r="AR17">
        <v>1</v>
      </c>
      <c r="AS17">
        <v>1</v>
      </c>
      <c r="AT17">
        <v>83</v>
      </c>
      <c r="AU17">
        <v>83</v>
      </c>
      <c r="AV17">
        <v>0</v>
      </c>
      <c r="AW17" t="s">
        <v>194</v>
      </c>
      <c r="AX17">
        <v>83</v>
      </c>
      <c r="AY17">
        <v>0</v>
      </c>
      <c r="BE17" t="s">
        <v>195</v>
      </c>
      <c r="BF17" t="s">
        <v>196</v>
      </c>
      <c r="BG17" t="s">
        <v>197</v>
      </c>
      <c r="BM17">
        <v>40.97</v>
      </c>
      <c r="BN17" s="23">
        <v>53.36</v>
      </c>
      <c r="BQ17" t="s">
        <v>198</v>
      </c>
      <c r="DI17">
        <v>10.24</v>
      </c>
      <c r="DK17">
        <v>2</v>
      </c>
      <c r="GM17">
        <v>0.15</v>
      </c>
    </row>
    <row r="18" spans="2:195" x14ac:dyDescent="0.35">
      <c r="B18" s="23" t="str">
        <f t="shared" si="0"/>
        <v>EXP20260603-2778100</v>
      </c>
      <c r="C18" s="23">
        <f t="shared" si="1"/>
        <v>27.38</v>
      </c>
      <c r="D18" s="23">
        <f t="shared" si="2"/>
        <v>27.38</v>
      </c>
      <c r="E18" s="23" t="str">
        <f t="shared" si="3"/>
        <v/>
      </c>
      <c r="F18" s="23" t="str">
        <f t="shared" si="4"/>
        <v/>
      </c>
      <c r="G18" s="23" t="str">
        <f t="shared" si="5"/>
        <v/>
      </c>
      <c r="H18" s="23" t="str">
        <f t="shared" si="6"/>
        <v/>
      </c>
      <c r="I18" s="23" t="str">
        <f t="shared" si="7"/>
        <v/>
      </c>
      <c r="J18" s="23">
        <f t="shared" si="8"/>
        <v>27.38</v>
      </c>
      <c r="K18" s="23">
        <f t="shared" si="9"/>
        <v>0</v>
      </c>
      <c r="L18" s="23">
        <f t="shared" si="10"/>
        <v>0</v>
      </c>
      <c r="M18" t="s">
        <v>352</v>
      </c>
      <c r="N18" s="7">
        <v>46203</v>
      </c>
      <c r="O18" t="s">
        <v>186</v>
      </c>
      <c r="P18" t="s">
        <v>422</v>
      </c>
      <c r="Q18">
        <v>2026</v>
      </c>
      <c r="R18" s="27" t="s">
        <v>423</v>
      </c>
      <c r="S18" s="27" t="s">
        <v>422</v>
      </c>
      <c r="T18" t="s">
        <v>424</v>
      </c>
      <c r="U18" t="s">
        <v>187</v>
      </c>
      <c r="V18" t="s">
        <v>188</v>
      </c>
      <c r="W18" t="s">
        <v>188</v>
      </c>
      <c r="X18">
        <v>69640</v>
      </c>
      <c r="Y18" t="s">
        <v>189</v>
      </c>
      <c r="Z18" t="s">
        <v>190</v>
      </c>
      <c r="AA18">
        <v>187</v>
      </c>
      <c r="AC18" s="7">
        <v>46177</v>
      </c>
      <c r="AD18">
        <v>21</v>
      </c>
      <c r="AE18" t="s">
        <v>191</v>
      </c>
      <c r="AF18" t="s">
        <v>422</v>
      </c>
      <c r="AG18" t="s">
        <v>192</v>
      </c>
      <c r="AH18">
        <v>21</v>
      </c>
      <c r="AI18" t="s">
        <v>193</v>
      </c>
      <c r="AJ18" s="7">
        <v>46185</v>
      </c>
      <c r="AK18" t="s">
        <v>425</v>
      </c>
      <c r="AL18" t="s">
        <v>422</v>
      </c>
      <c r="AM18" t="s">
        <v>192</v>
      </c>
      <c r="AN18">
        <v>69</v>
      </c>
      <c r="AO18" t="s">
        <v>426</v>
      </c>
      <c r="AR18">
        <v>1</v>
      </c>
      <c r="AS18">
        <v>1</v>
      </c>
      <c r="AT18">
        <v>45</v>
      </c>
      <c r="AU18">
        <v>45</v>
      </c>
      <c r="AV18">
        <v>0</v>
      </c>
      <c r="AW18" t="s">
        <v>194</v>
      </c>
      <c r="AX18">
        <v>45</v>
      </c>
      <c r="AY18">
        <v>0</v>
      </c>
      <c r="BE18" t="s">
        <v>195</v>
      </c>
      <c r="BF18" t="s">
        <v>196</v>
      </c>
      <c r="BG18" t="s">
        <v>197</v>
      </c>
      <c r="BM18">
        <v>25.23</v>
      </c>
      <c r="BN18" s="23">
        <v>27.38</v>
      </c>
      <c r="BQ18" t="s">
        <v>198</v>
      </c>
      <c r="DK18">
        <v>2</v>
      </c>
      <c r="GM18">
        <v>0.15</v>
      </c>
    </row>
    <row r="19" spans="2:195" x14ac:dyDescent="0.35">
      <c r="B19" s="23" t="str">
        <f t="shared" si="0"/>
        <v>EXP20260604-2780722</v>
      </c>
      <c r="C19" s="23">
        <f t="shared" si="1"/>
        <v>81.950000000000017</v>
      </c>
      <c r="D19" s="23">
        <f t="shared" si="2"/>
        <v>81.950000000000017</v>
      </c>
      <c r="E19" s="23" t="str">
        <f t="shared" si="3"/>
        <v/>
      </c>
      <c r="F19" s="23" t="str">
        <f t="shared" si="4"/>
        <v/>
      </c>
      <c r="G19" s="23" t="str">
        <f t="shared" si="5"/>
        <v/>
      </c>
      <c r="H19" s="23" t="str">
        <f t="shared" si="6"/>
        <v/>
      </c>
      <c r="I19" s="23" t="str">
        <f t="shared" si="7"/>
        <v/>
      </c>
      <c r="J19" s="23">
        <f t="shared" si="8"/>
        <v>81.950000000000017</v>
      </c>
      <c r="K19" s="23">
        <f t="shared" si="9"/>
        <v>0</v>
      </c>
      <c r="L19" s="23">
        <f t="shared" si="10"/>
        <v>0</v>
      </c>
      <c r="M19" t="s">
        <v>352</v>
      </c>
      <c r="N19" s="7">
        <v>46203</v>
      </c>
      <c r="O19" t="s">
        <v>186</v>
      </c>
      <c r="P19" t="s">
        <v>427</v>
      </c>
      <c r="Q19">
        <v>2026</v>
      </c>
      <c r="R19" s="27" t="s">
        <v>428</v>
      </c>
      <c r="S19" s="27" t="s">
        <v>427</v>
      </c>
      <c r="T19" t="s">
        <v>429</v>
      </c>
      <c r="U19" t="s">
        <v>187</v>
      </c>
      <c r="V19" t="s">
        <v>188</v>
      </c>
      <c r="W19" t="s">
        <v>188</v>
      </c>
      <c r="X19">
        <v>33330</v>
      </c>
      <c r="Y19" t="s">
        <v>189</v>
      </c>
      <c r="Z19" t="s">
        <v>190</v>
      </c>
      <c r="AA19">
        <v>713</v>
      </c>
      <c r="AC19" s="7">
        <v>46177</v>
      </c>
      <c r="AD19">
        <v>21</v>
      </c>
      <c r="AE19" t="s">
        <v>191</v>
      </c>
      <c r="AF19" t="s">
        <v>427</v>
      </c>
      <c r="AG19" t="s">
        <v>192</v>
      </c>
      <c r="AH19">
        <v>21</v>
      </c>
      <c r="AI19" t="s">
        <v>193</v>
      </c>
      <c r="AJ19" s="7">
        <v>46181</v>
      </c>
      <c r="AK19" t="s">
        <v>430</v>
      </c>
      <c r="AL19" t="s">
        <v>427</v>
      </c>
      <c r="AM19" t="s">
        <v>192</v>
      </c>
      <c r="AN19">
        <v>33</v>
      </c>
      <c r="AO19" t="s">
        <v>431</v>
      </c>
      <c r="AR19">
        <v>1</v>
      </c>
      <c r="AS19">
        <v>1</v>
      </c>
      <c r="AT19">
        <v>153</v>
      </c>
      <c r="AU19">
        <v>153</v>
      </c>
      <c r="AV19">
        <v>0</v>
      </c>
      <c r="AW19" t="s">
        <v>201</v>
      </c>
      <c r="AX19">
        <v>1</v>
      </c>
      <c r="AY19">
        <v>0</v>
      </c>
      <c r="BE19" t="s">
        <v>195</v>
      </c>
      <c r="BF19" t="s">
        <v>196</v>
      </c>
      <c r="BG19" t="s">
        <v>197</v>
      </c>
      <c r="BM19">
        <v>63.84</v>
      </c>
      <c r="BN19" s="23">
        <v>81.95</v>
      </c>
      <c r="BQ19" t="s">
        <v>198</v>
      </c>
      <c r="DI19">
        <v>15.96</v>
      </c>
      <c r="DK19">
        <v>2</v>
      </c>
      <c r="GM19">
        <v>0.15</v>
      </c>
    </row>
    <row r="20" spans="2:195" x14ac:dyDescent="0.35">
      <c r="B20" s="23" t="str">
        <f t="shared" si="0"/>
        <v>EXP20260602-2776631</v>
      </c>
      <c r="C20" s="23">
        <f t="shared" si="1"/>
        <v>59.489999999999995</v>
      </c>
      <c r="D20" s="23">
        <f t="shared" si="2"/>
        <v>59.489999999999995</v>
      </c>
      <c r="E20" s="23" t="str">
        <f t="shared" si="3"/>
        <v/>
      </c>
      <c r="F20" s="23" t="str">
        <f t="shared" si="4"/>
        <v/>
      </c>
      <c r="G20" s="23" t="str">
        <f t="shared" si="5"/>
        <v/>
      </c>
      <c r="H20" s="23" t="str">
        <f t="shared" si="6"/>
        <v/>
      </c>
      <c r="I20" s="23" t="str">
        <f t="shared" si="7"/>
        <v/>
      </c>
      <c r="J20" s="23">
        <f t="shared" si="8"/>
        <v>59.489999999999995</v>
      </c>
      <c r="K20" s="23">
        <f t="shared" si="9"/>
        <v>0</v>
      </c>
      <c r="L20" s="23">
        <f t="shared" si="10"/>
        <v>0</v>
      </c>
      <c r="M20" t="s">
        <v>352</v>
      </c>
      <c r="N20" s="7">
        <v>46203</v>
      </c>
      <c r="O20" t="s">
        <v>186</v>
      </c>
      <c r="P20" t="s">
        <v>432</v>
      </c>
      <c r="Q20">
        <v>2026</v>
      </c>
      <c r="R20" s="27" t="s">
        <v>433</v>
      </c>
      <c r="S20" s="27" t="s">
        <v>432</v>
      </c>
      <c r="T20" t="s">
        <v>434</v>
      </c>
      <c r="U20" t="s">
        <v>187</v>
      </c>
      <c r="V20" t="s">
        <v>188</v>
      </c>
      <c r="W20" t="s">
        <v>188</v>
      </c>
      <c r="X20">
        <v>33330</v>
      </c>
      <c r="Y20" t="s">
        <v>189</v>
      </c>
      <c r="Z20" t="s">
        <v>190</v>
      </c>
      <c r="AA20">
        <v>713</v>
      </c>
      <c r="AC20" s="7">
        <v>46177</v>
      </c>
      <c r="AD20">
        <v>21</v>
      </c>
      <c r="AE20" t="s">
        <v>191</v>
      </c>
      <c r="AF20" t="s">
        <v>432</v>
      </c>
      <c r="AG20" t="s">
        <v>192</v>
      </c>
      <c r="AH20">
        <v>21</v>
      </c>
      <c r="AI20" t="s">
        <v>193</v>
      </c>
      <c r="AJ20" s="7">
        <v>46182</v>
      </c>
      <c r="AK20" t="s">
        <v>435</v>
      </c>
      <c r="AL20" t="s">
        <v>432</v>
      </c>
      <c r="AM20" t="s">
        <v>192</v>
      </c>
      <c r="AN20">
        <v>33</v>
      </c>
      <c r="AO20" t="s">
        <v>431</v>
      </c>
      <c r="AR20">
        <v>1</v>
      </c>
      <c r="AS20">
        <v>1</v>
      </c>
      <c r="AT20">
        <v>81</v>
      </c>
      <c r="AU20">
        <v>81</v>
      </c>
      <c r="AV20">
        <v>0</v>
      </c>
      <c r="AW20" t="s">
        <v>194</v>
      </c>
      <c r="AX20">
        <v>81</v>
      </c>
      <c r="AY20">
        <v>0</v>
      </c>
      <c r="BE20" t="s">
        <v>195</v>
      </c>
      <c r="BF20" t="s">
        <v>196</v>
      </c>
      <c r="BG20" t="s">
        <v>197</v>
      </c>
      <c r="BM20">
        <v>45.87</v>
      </c>
      <c r="BN20" s="23">
        <v>59.49</v>
      </c>
      <c r="BQ20" t="s">
        <v>198</v>
      </c>
      <c r="DI20">
        <v>11.47</v>
      </c>
      <c r="DK20">
        <v>2</v>
      </c>
      <c r="GM20">
        <v>0.15</v>
      </c>
    </row>
    <row r="21" spans="2:195" x14ac:dyDescent="0.35">
      <c r="B21" s="23" t="str">
        <f t="shared" si="0"/>
        <v>EXP20260602-2777383</v>
      </c>
      <c r="C21" s="23">
        <f t="shared" si="1"/>
        <v>32.4</v>
      </c>
      <c r="D21" s="23">
        <f t="shared" si="2"/>
        <v>32.4</v>
      </c>
      <c r="E21" s="23" t="str">
        <f t="shared" si="3"/>
        <v/>
      </c>
      <c r="F21" s="23" t="str">
        <f t="shared" si="4"/>
        <v/>
      </c>
      <c r="G21" s="23" t="str">
        <f t="shared" si="5"/>
        <v/>
      </c>
      <c r="H21" s="23" t="str">
        <f t="shared" si="6"/>
        <v/>
      </c>
      <c r="I21" s="23" t="str">
        <f t="shared" si="7"/>
        <v/>
      </c>
      <c r="J21" s="23">
        <f t="shared" si="8"/>
        <v>32.4</v>
      </c>
      <c r="K21" s="23">
        <f t="shared" si="9"/>
        <v>0</v>
      </c>
      <c r="L21" s="23">
        <f t="shared" si="10"/>
        <v>0</v>
      </c>
      <c r="M21" t="s">
        <v>352</v>
      </c>
      <c r="N21" s="7">
        <v>46203</v>
      </c>
      <c r="O21" t="s">
        <v>186</v>
      </c>
      <c r="P21" t="s">
        <v>436</v>
      </c>
      <c r="Q21">
        <v>2026</v>
      </c>
      <c r="R21" s="27" t="s">
        <v>437</v>
      </c>
      <c r="S21" s="27" t="s">
        <v>436</v>
      </c>
      <c r="T21" t="s">
        <v>438</v>
      </c>
      <c r="U21" t="s">
        <v>187</v>
      </c>
      <c r="V21" t="s">
        <v>188</v>
      </c>
      <c r="W21" t="s">
        <v>188</v>
      </c>
      <c r="X21">
        <v>79100</v>
      </c>
      <c r="Y21" t="s">
        <v>189</v>
      </c>
      <c r="Z21" t="s">
        <v>190</v>
      </c>
      <c r="AA21">
        <v>782</v>
      </c>
      <c r="AC21" s="7">
        <v>46177</v>
      </c>
      <c r="AD21">
        <v>21</v>
      </c>
      <c r="AE21" t="s">
        <v>191</v>
      </c>
      <c r="AF21" t="s">
        <v>436</v>
      </c>
      <c r="AG21" t="s">
        <v>192</v>
      </c>
      <c r="AH21">
        <v>21</v>
      </c>
      <c r="AI21" t="s">
        <v>193</v>
      </c>
      <c r="AJ21" s="7">
        <v>46182</v>
      </c>
      <c r="AK21" t="s">
        <v>439</v>
      </c>
      <c r="AL21" t="s">
        <v>436</v>
      </c>
      <c r="AM21" t="s">
        <v>192</v>
      </c>
      <c r="AN21">
        <v>79</v>
      </c>
      <c r="AO21" t="s">
        <v>440</v>
      </c>
      <c r="AR21">
        <v>1</v>
      </c>
      <c r="AS21">
        <v>1</v>
      </c>
      <c r="AT21">
        <v>25</v>
      </c>
      <c r="AU21">
        <v>25</v>
      </c>
      <c r="AV21">
        <v>0</v>
      </c>
      <c r="AW21" t="s">
        <v>194</v>
      </c>
      <c r="AX21">
        <v>25</v>
      </c>
      <c r="AY21">
        <v>0</v>
      </c>
      <c r="BE21" t="s">
        <v>195</v>
      </c>
      <c r="BF21" t="s">
        <v>196</v>
      </c>
      <c r="BG21" t="s">
        <v>197</v>
      </c>
      <c r="BM21">
        <v>30.25</v>
      </c>
      <c r="BN21" s="23">
        <v>32.4</v>
      </c>
      <c r="BQ21" t="s">
        <v>198</v>
      </c>
      <c r="DK21">
        <v>2</v>
      </c>
      <c r="GM21">
        <v>0.15</v>
      </c>
    </row>
    <row r="22" spans="2:195" x14ac:dyDescent="0.35">
      <c r="B22" s="23" t="str">
        <f t="shared" si="0"/>
        <v>EXP20260602-2776061</v>
      </c>
      <c r="C22" s="23">
        <f t="shared" si="1"/>
        <v>49.95</v>
      </c>
      <c r="D22" s="23">
        <f t="shared" si="2"/>
        <v>49.95</v>
      </c>
      <c r="E22" s="23" t="str">
        <f t="shared" si="3"/>
        <v/>
      </c>
      <c r="F22" s="23" t="str">
        <f t="shared" si="4"/>
        <v/>
      </c>
      <c r="G22" s="23" t="str">
        <f t="shared" si="5"/>
        <v/>
      </c>
      <c r="H22" s="23" t="str">
        <f t="shared" si="6"/>
        <v/>
      </c>
      <c r="I22" s="23" t="str">
        <f t="shared" si="7"/>
        <v/>
      </c>
      <c r="J22" s="23">
        <f t="shared" si="8"/>
        <v>49.95</v>
      </c>
      <c r="K22" s="23">
        <f t="shared" si="9"/>
        <v>0</v>
      </c>
      <c r="L22" s="23">
        <f t="shared" si="10"/>
        <v>0</v>
      </c>
      <c r="M22" t="s">
        <v>352</v>
      </c>
      <c r="N22" s="7">
        <v>46203</v>
      </c>
      <c r="O22" t="s">
        <v>186</v>
      </c>
      <c r="P22" t="s">
        <v>441</v>
      </c>
      <c r="Q22">
        <v>2026</v>
      </c>
      <c r="R22" s="27" t="s">
        <v>442</v>
      </c>
      <c r="S22" s="27" t="s">
        <v>441</v>
      </c>
      <c r="T22" t="s">
        <v>443</v>
      </c>
      <c r="U22" t="s">
        <v>187</v>
      </c>
      <c r="V22" t="s">
        <v>188</v>
      </c>
      <c r="W22" t="s">
        <v>188</v>
      </c>
      <c r="X22">
        <v>34150</v>
      </c>
      <c r="Y22" t="s">
        <v>189</v>
      </c>
      <c r="Z22" t="s">
        <v>190</v>
      </c>
      <c r="AA22">
        <v>560</v>
      </c>
      <c r="AC22" s="7">
        <v>46177</v>
      </c>
      <c r="AD22">
        <v>21</v>
      </c>
      <c r="AE22" t="s">
        <v>191</v>
      </c>
      <c r="AF22" t="s">
        <v>441</v>
      </c>
      <c r="AG22" t="s">
        <v>192</v>
      </c>
      <c r="AH22">
        <v>21</v>
      </c>
      <c r="AI22" t="s">
        <v>193</v>
      </c>
      <c r="AJ22" s="7">
        <v>46183</v>
      </c>
      <c r="AK22" t="s">
        <v>324</v>
      </c>
      <c r="AL22" t="s">
        <v>441</v>
      </c>
      <c r="AM22" t="s">
        <v>192</v>
      </c>
      <c r="AN22">
        <v>34</v>
      </c>
      <c r="AO22" t="s">
        <v>302</v>
      </c>
      <c r="AR22">
        <v>1</v>
      </c>
      <c r="AS22">
        <v>1</v>
      </c>
      <c r="AT22">
        <v>67</v>
      </c>
      <c r="AU22">
        <v>67</v>
      </c>
      <c r="AV22">
        <v>0</v>
      </c>
      <c r="AW22" t="s">
        <v>194</v>
      </c>
      <c r="AX22">
        <v>67</v>
      </c>
      <c r="AY22">
        <v>0</v>
      </c>
      <c r="BE22" t="s">
        <v>195</v>
      </c>
      <c r="BF22" t="s">
        <v>196</v>
      </c>
      <c r="BG22" t="s">
        <v>197</v>
      </c>
      <c r="BM22">
        <v>38.24</v>
      </c>
      <c r="BN22" s="23">
        <v>49.95</v>
      </c>
      <c r="BQ22" t="s">
        <v>198</v>
      </c>
      <c r="DI22">
        <v>9.56</v>
      </c>
      <c r="DK22">
        <v>2</v>
      </c>
      <c r="GM22">
        <v>0.15</v>
      </c>
    </row>
    <row r="23" spans="2:195" x14ac:dyDescent="0.35">
      <c r="B23" s="23" t="str">
        <f t="shared" si="0"/>
        <v>EXP20260603-2779296</v>
      </c>
      <c r="C23" s="23">
        <f t="shared" si="1"/>
        <v>140.22999999999999</v>
      </c>
      <c r="D23" s="23">
        <f t="shared" si="2"/>
        <v>140.22999999999999</v>
      </c>
      <c r="E23" s="23" t="str">
        <f t="shared" si="3"/>
        <v/>
      </c>
      <c r="F23" s="23" t="str">
        <f t="shared" si="4"/>
        <v/>
      </c>
      <c r="G23" s="23" t="str">
        <f t="shared" si="5"/>
        <v/>
      </c>
      <c r="H23" s="23" t="str">
        <f t="shared" si="6"/>
        <v/>
      </c>
      <c r="I23" s="23" t="str">
        <f t="shared" si="7"/>
        <v/>
      </c>
      <c r="J23" s="23">
        <f t="shared" si="8"/>
        <v>140.22999999999999</v>
      </c>
      <c r="K23" s="23">
        <f t="shared" si="9"/>
        <v>0</v>
      </c>
      <c r="L23" s="23">
        <f t="shared" si="10"/>
        <v>0</v>
      </c>
      <c r="M23" t="s">
        <v>352</v>
      </c>
      <c r="N23" s="7">
        <v>46203</v>
      </c>
      <c r="O23" t="s">
        <v>186</v>
      </c>
      <c r="P23" t="s">
        <v>444</v>
      </c>
      <c r="Q23">
        <v>2026</v>
      </c>
      <c r="R23" s="27" t="s">
        <v>445</v>
      </c>
      <c r="S23" s="27" t="s">
        <v>444</v>
      </c>
      <c r="T23" t="s">
        <v>446</v>
      </c>
      <c r="U23" t="s">
        <v>187</v>
      </c>
      <c r="V23" t="s">
        <v>188</v>
      </c>
      <c r="W23" t="s">
        <v>188</v>
      </c>
      <c r="X23">
        <v>30127</v>
      </c>
      <c r="Y23" t="s">
        <v>189</v>
      </c>
      <c r="Z23" t="s">
        <v>190</v>
      </c>
      <c r="AA23">
        <v>540</v>
      </c>
      <c r="AC23" s="7">
        <v>46177</v>
      </c>
      <c r="AD23">
        <v>21</v>
      </c>
      <c r="AE23" t="s">
        <v>191</v>
      </c>
      <c r="AF23" t="s">
        <v>444</v>
      </c>
      <c r="AG23" t="s">
        <v>192</v>
      </c>
      <c r="AH23">
        <v>21</v>
      </c>
      <c r="AI23" t="s">
        <v>193</v>
      </c>
      <c r="AJ23">
        <v>46181</v>
      </c>
      <c r="AK23" t="s">
        <v>447</v>
      </c>
      <c r="AL23" t="s">
        <v>444</v>
      </c>
      <c r="AM23" t="s">
        <v>192</v>
      </c>
      <c r="AN23">
        <v>30</v>
      </c>
      <c r="AO23" t="s">
        <v>335</v>
      </c>
      <c r="AR23">
        <v>2</v>
      </c>
      <c r="AS23">
        <v>2</v>
      </c>
      <c r="AT23">
        <v>207</v>
      </c>
      <c r="AU23">
        <v>207</v>
      </c>
      <c r="AV23">
        <v>0</v>
      </c>
      <c r="AW23" t="s">
        <v>201</v>
      </c>
      <c r="AX23">
        <v>2</v>
      </c>
      <c r="AY23">
        <v>0</v>
      </c>
      <c r="BE23" t="s">
        <v>195</v>
      </c>
      <c r="BF23" t="s">
        <v>196</v>
      </c>
      <c r="BG23" t="s">
        <v>197</v>
      </c>
      <c r="BM23">
        <v>110.46</v>
      </c>
      <c r="BN23" s="23">
        <v>140.22999999999999</v>
      </c>
      <c r="BQ23" t="s">
        <v>198</v>
      </c>
      <c r="DI23">
        <v>27.62</v>
      </c>
      <c r="DK23">
        <v>2</v>
      </c>
      <c r="GM23">
        <v>0.15</v>
      </c>
    </row>
    <row r="24" spans="2:195" x14ac:dyDescent="0.35">
      <c r="B24" s="23" t="str">
        <f t="shared" si="0"/>
        <v>EXP20260602-2776687</v>
      </c>
      <c r="C24" s="23">
        <f t="shared" si="1"/>
        <v>40.14</v>
      </c>
      <c r="D24" s="23">
        <f t="shared" si="2"/>
        <v>40.14</v>
      </c>
      <c r="E24" s="23" t="str">
        <f t="shared" si="3"/>
        <v/>
      </c>
      <c r="F24" s="23" t="str">
        <f t="shared" si="4"/>
        <v/>
      </c>
      <c r="G24" s="23" t="str">
        <f t="shared" si="5"/>
        <v/>
      </c>
      <c r="H24" s="23" t="str">
        <f t="shared" si="6"/>
        <v/>
      </c>
      <c r="I24" s="23" t="str">
        <f t="shared" si="7"/>
        <v/>
      </c>
      <c r="J24" s="23">
        <f t="shared" si="8"/>
        <v>40.14</v>
      </c>
      <c r="K24" s="23">
        <f t="shared" si="9"/>
        <v>0</v>
      </c>
      <c r="L24" s="23">
        <f t="shared" si="10"/>
        <v>0</v>
      </c>
      <c r="M24" t="s">
        <v>352</v>
      </c>
      <c r="N24" s="7">
        <v>46203</v>
      </c>
      <c r="O24" t="s">
        <v>186</v>
      </c>
      <c r="P24" t="s">
        <v>448</v>
      </c>
      <c r="Q24">
        <v>2026</v>
      </c>
      <c r="R24" s="27" t="s">
        <v>449</v>
      </c>
      <c r="S24" s="27" t="s">
        <v>448</v>
      </c>
      <c r="T24" t="s">
        <v>450</v>
      </c>
      <c r="U24" t="s">
        <v>187</v>
      </c>
      <c r="V24" t="s">
        <v>188</v>
      </c>
      <c r="W24" t="s">
        <v>188</v>
      </c>
      <c r="X24">
        <v>84350</v>
      </c>
      <c r="Y24" t="s">
        <v>189</v>
      </c>
      <c r="Z24" t="s">
        <v>190</v>
      </c>
      <c r="AA24">
        <v>468</v>
      </c>
      <c r="AC24" s="7">
        <v>46177</v>
      </c>
      <c r="AD24">
        <v>21</v>
      </c>
      <c r="AE24" t="s">
        <v>191</v>
      </c>
      <c r="AF24" t="s">
        <v>448</v>
      </c>
      <c r="AG24" t="s">
        <v>192</v>
      </c>
      <c r="AH24">
        <v>21</v>
      </c>
      <c r="AI24" t="s">
        <v>193</v>
      </c>
      <c r="AJ24" s="7">
        <v>46181</v>
      </c>
      <c r="AK24" t="s">
        <v>451</v>
      </c>
      <c r="AL24" t="s">
        <v>448</v>
      </c>
      <c r="AM24" t="s">
        <v>192</v>
      </c>
      <c r="AN24">
        <v>84</v>
      </c>
      <c r="AO24" t="s">
        <v>331</v>
      </c>
      <c r="AR24">
        <v>1</v>
      </c>
      <c r="AS24">
        <v>1</v>
      </c>
      <c r="AT24">
        <v>32</v>
      </c>
      <c r="AU24">
        <v>32</v>
      </c>
      <c r="AV24">
        <v>0</v>
      </c>
      <c r="AW24" t="s">
        <v>194</v>
      </c>
      <c r="AX24">
        <v>32</v>
      </c>
      <c r="AY24">
        <v>0</v>
      </c>
      <c r="BE24" t="s">
        <v>195</v>
      </c>
      <c r="BF24" t="s">
        <v>196</v>
      </c>
      <c r="BG24" t="s">
        <v>197</v>
      </c>
      <c r="BM24">
        <v>30.39</v>
      </c>
      <c r="BN24" s="23">
        <v>40.14</v>
      </c>
      <c r="BQ24" t="s">
        <v>198</v>
      </c>
      <c r="DI24">
        <v>7.6</v>
      </c>
      <c r="DK24">
        <v>2</v>
      </c>
      <c r="GM24">
        <v>0.15</v>
      </c>
    </row>
    <row r="25" spans="2:195" x14ac:dyDescent="0.35">
      <c r="B25" s="23" t="str">
        <f t="shared" si="0"/>
        <v>EXP20260602-2775732</v>
      </c>
      <c r="C25" s="23">
        <f t="shared" si="1"/>
        <v>48.75</v>
      </c>
      <c r="D25" s="23">
        <f t="shared" si="2"/>
        <v>48.75</v>
      </c>
      <c r="E25" s="23" t="str">
        <f t="shared" si="3"/>
        <v/>
      </c>
      <c r="F25" s="23" t="str">
        <f t="shared" si="4"/>
        <v/>
      </c>
      <c r="G25" s="23" t="str">
        <f t="shared" si="5"/>
        <v/>
      </c>
      <c r="H25" s="23" t="str">
        <f t="shared" si="6"/>
        <v/>
      </c>
      <c r="I25" s="23" t="str">
        <f t="shared" si="7"/>
        <v/>
      </c>
      <c r="J25" s="23">
        <f t="shared" si="8"/>
        <v>48.75</v>
      </c>
      <c r="K25" s="23">
        <f t="shared" si="9"/>
        <v>0</v>
      </c>
      <c r="L25" s="23">
        <f t="shared" si="10"/>
        <v>0</v>
      </c>
      <c r="M25" t="s">
        <v>352</v>
      </c>
      <c r="N25" s="7">
        <v>46203</v>
      </c>
      <c r="O25" t="s">
        <v>186</v>
      </c>
      <c r="P25" t="s">
        <v>452</v>
      </c>
      <c r="Q25">
        <v>2026</v>
      </c>
      <c r="R25" s="27" t="s">
        <v>453</v>
      </c>
      <c r="S25" s="27" t="s">
        <v>452</v>
      </c>
      <c r="T25" t="s">
        <v>454</v>
      </c>
      <c r="U25" t="s">
        <v>187</v>
      </c>
      <c r="V25" t="s">
        <v>188</v>
      </c>
      <c r="W25" t="s">
        <v>188</v>
      </c>
      <c r="X25">
        <v>66310</v>
      </c>
      <c r="Y25" t="s">
        <v>189</v>
      </c>
      <c r="Z25" t="s">
        <v>190</v>
      </c>
      <c r="AA25">
        <v>725</v>
      </c>
      <c r="AC25" s="7">
        <v>46177</v>
      </c>
      <c r="AD25">
        <v>21</v>
      </c>
      <c r="AE25" t="s">
        <v>191</v>
      </c>
      <c r="AF25" t="s">
        <v>452</v>
      </c>
      <c r="AG25" t="s">
        <v>192</v>
      </c>
      <c r="AH25">
        <v>21</v>
      </c>
      <c r="AI25" t="s">
        <v>193</v>
      </c>
      <c r="AJ25" s="7">
        <v>46182</v>
      </c>
      <c r="AK25" t="s">
        <v>455</v>
      </c>
      <c r="AL25" t="s">
        <v>452</v>
      </c>
      <c r="AM25" t="s">
        <v>192</v>
      </c>
      <c r="AN25">
        <v>66</v>
      </c>
      <c r="AO25" t="s">
        <v>456</v>
      </c>
      <c r="AR25">
        <v>1</v>
      </c>
      <c r="AS25">
        <v>1</v>
      </c>
      <c r="AT25">
        <v>46</v>
      </c>
      <c r="AU25">
        <v>46</v>
      </c>
      <c r="AV25">
        <v>0</v>
      </c>
      <c r="AW25" t="s">
        <v>194</v>
      </c>
      <c r="AX25">
        <v>46</v>
      </c>
      <c r="AY25">
        <v>0</v>
      </c>
      <c r="BE25" t="s">
        <v>195</v>
      </c>
      <c r="BF25" t="s">
        <v>196</v>
      </c>
      <c r="BG25" t="s">
        <v>197</v>
      </c>
      <c r="BM25">
        <v>37.28</v>
      </c>
      <c r="BN25" s="23">
        <v>48.75</v>
      </c>
      <c r="BQ25" t="s">
        <v>198</v>
      </c>
      <c r="DI25">
        <v>9.32</v>
      </c>
      <c r="DK25">
        <v>2</v>
      </c>
      <c r="GM25">
        <v>0.15</v>
      </c>
    </row>
    <row r="26" spans="2:195" x14ac:dyDescent="0.35">
      <c r="B26" s="23" t="str">
        <f t="shared" ref="B26:B89" si="11">IF(S26&lt;&gt;"",S26,T26)</f>
        <v>EXP20260602-2776126</v>
      </c>
      <c r="C26" s="23">
        <f t="shared" ref="C26:C89" si="12">SUM(E26:K26)</f>
        <v>62.48</v>
      </c>
      <c r="D26" s="23">
        <f t="shared" ref="D26:D89" si="13">SUM(E26:L26)</f>
        <v>62.48</v>
      </c>
      <c r="E26" s="23" t="str">
        <f t="shared" ref="E26:E89" si="14">IF(BU26+BV26+BW26+CH26+CI26+CJ26+CK26+FO26+FS26+FT26=0,"",BU26+BV26+BW26+CH26+CI26+CJ26+CK26+FO26+FS26+FT26)</f>
        <v/>
      </c>
      <c r="F26" s="23" t="str">
        <f t="shared" ref="F26:F89" si="15">IF(FJ26=0,"",FJ26)</f>
        <v/>
      </c>
      <c r="G26" s="23" t="str">
        <f t="shared" ref="G26:G89" si="16">IF(CP26+DM26+DN26+EE26+EX26+EF26=0,"",CP26+DM26+DN26+EE26+EX26+EF26)</f>
        <v/>
      </c>
      <c r="H26" s="23" t="str">
        <f t="shared" ref="H26:H89" si="17">IF(DW26=0,"",DW26)</f>
        <v/>
      </c>
      <c r="I26" s="23" t="str">
        <f t="shared" ref="I26:I89" si="18">IF(DZ26+EA26+EG26=0,"",DZ26+EA26+EG26)</f>
        <v/>
      </c>
      <c r="J26" s="23">
        <f t="shared" ref="J26:J89" si="19">IF(BM26+BS26+BT26+BY26+BZ26+CA26+CB26+CC26+CD26+CE26+CF26+CG26+CL26+CM26+CN26+CO26+CQ26+CR26+CT26+CU26+CV26+CW26+CX26+CY26+CZ26+DA26+DB26+DC26+DD26+DE26+DF26+DG26+DH26+DI26+DJ26+DK26+DL26+DO26+DP26+DQ26+DR26+DS26+DT26+DY26+EB26+EC26+ED26+EH26+EI26+EJ26+EK26+EL26+EM26+EN26+EO26+EP26+ER26+ES26+ET26+EU26+EV26+EW26+EY26+EZ26+FA26+FB26+FC26+FD26+FE26+FF26+FG26+FH26+FI26+FK26+FL26+FM26+FN26+FP26+FQ26+FR26+FU26+FV26+FW26+FX26+FY26+FZ26+GA26+GB26+GC26+GD26+GE26+GF26+GG26+GH26+GI26+GJ26+GK26+GL26+GM26=0,"",BM26+BS26+BT26+BY26+BZ26+CA26+CB26+CC26+CD26+CE26+CF26+CG26+CL26+CM26+CN26+CO26+CQ26+CR26+CT26+CU26+CV26+CW26+CX26+CY26+CZ26+DA26+DB26+DC26+DD26+DE26+DF26+DG26+DH26+DI26+DJ26+DK26+DL26+DO26+DP26+DQ26+DR26+DS26+DT26+DY26+EB26+EC26+ED26+EH26+EI26+EJ26+EK26+EL26+EM26+EN26+EO26+EP26+ER26+ES26+ET26+EU26+EV26+EW26+EY26+EZ26+FA26+FB26+FC26+FD26+FE26+FF26+FG26+FH26+FI26+FK26+FL26+FM26+FN26+FP26+FQ26+FR26+FU26+FV26+FW26+FX26+FY26+FZ26+GA26+GB26+GC26+GD26+GE26+GF26+GG26+GH26+GI26+GJ26+GK26+GL26+GM26)</f>
        <v>62.48</v>
      </c>
      <c r="K26" s="23">
        <f t="shared" ref="K26:K89" si="20">DX26+CS26</f>
        <v>0</v>
      </c>
      <c r="L26" s="23">
        <f t="shared" ref="L26:L89" si="21">BN26-C26</f>
        <v>0</v>
      </c>
      <c r="M26" t="s">
        <v>352</v>
      </c>
      <c r="N26" s="7">
        <v>46203</v>
      </c>
      <c r="O26" t="s">
        <v>186</v>
      </c>
      <c r="P26" t="s">
        <v>457</v>
      </c>
      <c r="Q26">
        <v>2026</v>
      </c>
      <c r="R26" s="27" t="s">
        <v>458</v>
      </c>
      <c r="S26" s="27" t="s">
        <v>457</v>
      </c>
      <c r="T26" t="s">
        <v>459</v>
      </c>
      <c r="U26" t="s">
        <v>187</v>
      </c>
      <c r="V26" t="s">
        <v>188</v>
      </c>
      <c r="W26" t="s">
        <v>188</v>
      </c>
      <c r="X26">
        <v>34290</v>
      </c>
      <c r="Y26" t="s">
        <v>189</v>
      </c>
      <c r="Z26" t="s">
        <v>190</v>
      </c>
      <c r="AA26">
        <v>695</v>
      </c>
      <c r="AC26" s="7">
        <v>46177</v>
      </c>
      <c r="AD26">
        <v>21</v>
      </c>
      <c r="AE26" t="s">
        <v>191</v>
      </c>
      <c r="AF26" t="s">
        <v>457</v>
      </c>
      <c r="AG26" t="s">
        <v>192</v>
      </c>
      <c r="AH26">
        <v>21</v>
      </c>
      <c r="AI26" t="s">
        <v>193</v>
      </c>
      <c r="AJ26" s="7">
        <v>46182</v>
      </c>
      <c r="AK26" t="s">
        <v>460</v>
      </c>
      <c r="AL26" t="s">
        <v>457</v>
      </c>
      <c r="AM26" t="s">
        <v>192</v>
      </c>
      <c r="AN26">
        <v>34</v>
      </c>
      <c r="AO26" t="s">
        <v>461</v>
      </c>
      <c r="AR26">
        <v>1</v>
      </c>
      <c r="AS26">
        <v>1</v>
      </c>
      <c r="AT26">
        <v>112</v>
      </c>
      <c r="AU26">
        <v>112</v>
      </c>
      <c r="AV26">
        <v>0</v>
      </c>
      <c r="AW26" t="s">
        <v>194</v>
      </c>
      <c r="AX26">
        <v>112</v>
      </c>
      <c r="AY26">
        <v>0</v>
      </c>
      <c r="BE26" t="s">
        <v>195</v>
      </c>
      <c r="BF26" t="s">
        <v>196</v>
      </c>
      <c r="BG26" t="s">
        <v>197</v>
      </c>
      <c r="BM26">
        <v>48.26</v>
      </c>
      <c r="BN26" s="23">
        <v>62.48</v>
      </c>
      <c r="BQ26" t="s">
        <v>198</v>
      </c>
      <c r="DI26">
        <v>12.07</v>
      </c>
      <c r="DK26">
        <v>2</v>
      </c>
      <c r="GM26">
        <v>0.15</v>
      </c>
    </row>
    <row r="27" spans="2:195" x14ac:dyDescent="0.35">
      <c r="B27" s="23" t="str">
        <f t="shared" si="11"/>
        <v>EXP20260602-2777127</v>
      </c>
      <c r="C27" s="23">
        <f t="shared" si="12"/>
        <v>43.15</v>
      </c>
      <c r="D27" s="23">
        <f t="shared" si="13"/>
        <v>43.15</v>
      </c>
      <c r="E27" s="23" t="str">
        <f t="shared" si="14"/>
        <v/>
      </c>
      <c r="F27" s="23" t="str">
        <f t="shared" si="15"/>
        <v/>
      </c>
      <c r="G27" s="23" t="str">
        <f t="shared" si="16"/>
        <v/>
      </c>
      <c r="H27" s="23" t="str">
        <f t="shared" si="17"/>
        <v/>
      </c>
      <c r="I27" s="23" t="str">
        <f t="shared" si="18"/>
        <v/>
      </c>
      <c r="J27" s="23">
        <f t="shared" si="19"/>
        <v>43.15</v>
      </c>
      <c r="K27" s="23">
        <f t="shared" si="20"/>
        <v>0</v>
      </c>
      <c r="L27" s="23">
        <f t="shared" si="21"/>
        <v>0</v>
      </c>
      <c r="M27" t="s">
        <v>352</v>
      </c>
      <c r="N27" s="7">
        <v>46203</v>
      </c>
      <c r="O27" t="s">
        <v>186</v>
      </c>
      <c r="P27" t="s">
        <v>462</v>
      </c>
      <c r="Q27">
        <v>2026</v>
      </c>
      <c r="R27" s="27" t="s">
        <v>463</v>
      </c>
      <c r="S27" s="27" t="s">
        <v>462</v>
      </c>
      <c r="T27" t="s">
        <v>464</v>
      </c>
      <c r="U27" t="s">
        <v>187</v>
      </c>
      <c r="V27" t="s">
        <v>188</v>
      </c>
      <c r="W27" t="s">
        <v>188</v>
      </c>
      <c r="X27">
        <v>30610</v>
      </c>
      <c r="Y27" t="s">
        <v>189</v>
      </c>
      <c r="Z27" t="s">
        <v>190</v>
      </c>
      <c r="AA27">
        <v>540</v>
      </c>
      <c r="AC27" s="7">
        <v>46177</v>
      </c>
      <c r="AD27">
        <v>21</v>
      </c>
      <c r="AE27" t="s">
        <v>191</v>
      </c>
      <c r="AF27" t="s">
        <v>462</v>
      </c>
      <c r="AG27" t="s">
        <v>192</v>
      </c>
      <c r="AH27">
        <v>21</v>
      </c>
      <c r="AI27" t="s">
        <v>193</v>
      </c>
      <c r="AJ27" s="7">
        <v>46188</v>
      </c>
      <c r="AK27" t="s">
        <v>465</v>
      </c>
      <c r="AL27" t="s">
        <v>462</v>
      </c>
      <c r="AM27" t="s">
        <v>192</v>
      </c>
      <c r="AN27">
        <v>30</v>
      </c>
      <c r="AO27" t="s">
        <v>466</v>
      </c>
      <c r="AR27">
        <v>1</v>
      </c>
      <c r="AS27">
        <v>1</v>
      </c>
      <c r="AT27">
        <v>45</v>
      </c>
      <c r="AU27">
        <v>45</v>
      </c>
      <c r="AV27">
        <v>0</v>
      </c>
      <c r="AW27" t="s">
        <v>194</v>
      </c>
      <c r="AX27">
        <v>45</v>
      </c>
      <c r="AY27">
        <v>0</v>
      </c>
      <c r="BE27" t="s">
        <v>195</v>
      </c>
      <c r="BF27" t="s">
        <v>196</v>
      </c>
      <c r="BG27" t="s">
        <v>197</v>
      </c>
      <c r="BM27">
        <v>32.799999999999997</v>
      </c>
      <c r="BN27" s="23">
        <v>43.15</v>
      </c>
      <c r="BQ27" t="s">
        <v>198</v>
      </c>
      <c r="DI27">
        <v>8.1999999999999993</v>
      </c>
      <c r="DK27">
        <v>2</v>
      </c>
      <c r="GM27">
        <v>0.15</v>
      </c>
    </row>
    <row r="28" spans="2:195" x14ac:dyDescent="0.35">
      <c r="B28" s="23" t="str">
        <f t="shared" si="11"/>
        <v>EXP20260602-2775888</v>
      </c>
      <c r="C28" s="23">
        <f t="shared" si="12"/>
        <v>22.54</v>
      </c>
      <c r="D28" s="23">
        <f t="shared" si="13"/>
        <v>22.54</v>
      </c>
      <c r="E28" s="23" t="str">
        <f t="shared" si="14"/>
        <v/>
      </c>
      <c r="F28" s="23" t="str">
        <f t="shared" si="15"/>
        <v/>
      </c>
      <c r="G28" s="23" t="str">
        <f t="shared" si="16"/>
        <v/>
      </c>
      <c r="H28" s="23" t="str">
        <f t="shared" si="17"/>
        <v/>
      </c>
      <c r="I28" s="23" t="str">
        <f t="shared" si="18"/>
        <v/>
      </c>
      <c r="J28" s="23">
        <f t="shared" si="19"/>
        <v>22.54</v>
      </c>
      <c r="K28" s="23">
        <f t="shared" si="20"/>
        <v>0</v>
      </c>
      <c r="L28" s="23">
        <f t="shared" si="21"/>
        <v>0</v>
      </c>
      <c r="M28" t="s">
        <v>352</v>
      </c>
      <c r="N28" s="7">
        <v>46203</v>
      </c>
      <c r="O28" t="s">
        <v>186</v>
      </c>
      <c r="P28" t="s">
        <v>467</v>
      </c>
      <c r="Q28">
        <v>2026</v>
      </c>
      <c r="R28" s="27" t="s">
        <v>468</v>
      </c>
      <c r="S28" s="27" t="s">
        <v>467</v>
      </c>
      <c r="T28" t="s">
        <v>469</v>
      </c>
      <c r="U28" t="s">
        <v>187</v>
      </c>
      <c r="V28" t="s">
        <v>188</v>
      </c>
      <c r="W28" t="s">
        <v>188</v>
      </c>
      <c r="X28">
        <v>21590</v>
      </c>
      <c r="Y28" t="s">
        <v>189</v>
      </c>
      <c r="Z28" t="s">
        <v>190</v>
      </c>
      <c r="AA28">
        <v>81</v>
      </c>
      <c r="AC28" s="7">
        <v>46177</v>
      </c>
      <c r="AD28">
        <v>21</v>
      </c>
      <c r="AE28" t="s">
        <v>191</v>
      </c>
      <c r="AF28" t="s">
        <v>467</v>
      </c>
      <c r="AG28" t="s">
        <v>192</v>
      </c>
      <c r="AH28">
        <v>21</v>
      </c>
      <c r="AI28" t="s">
        <v>193</v>
      </c>
      <c r="AJ28" s="7">
        <v>46178</v>
      </c>
      <c r="AK28" t="s">
        <v>470</v>
      </c>
      <c r="AL28" t="s">
        <v>467</v>
      </c>
      <c r="AM28" t="s">
        <v>192</v>
      </c>
      <c r="AN28">
        <v>21</v>
      </c>
      <c r="AO28" t="s">
        <v>471</v>
      </c>
      <c r="AR28">
        <v>1</v>
      </c>
      <c r="AS28">
        <v>1</v>
      </c>
      <c r="AT28">
        <v>30</v>
      </c>
      <c r="AU28">
        <v>30</v>
      </c>
      <c r="AV28">
        <v>0</v>
      </c>
      <c r="AW28" t="s">
        <v>194</v>
      </c>
      <c r="AX28">
        <v>30</v>
      </c>
      <c r="AY28">
        <v>0</v>
      </c>
      <c r="BE28" t="s">
        <v>195</v>
      </c>
      <c r="BF28" t="s">
        <v>196</v>
      </c>
      <c r="BG28" t="s">
        <v>197</v>
      </c>
      <c r="BM28">
        <v>20.39</v>
      </c>
      <c r="BN28" s="23">
        <v>22.54</v>
      </c>
      <c r="BQ28" t="s">
        <v>198</v>
      </c>
      <c r="DK28">
        <v>2</v>
      </c>
      <c r="GM28">
        <v>0.15</v>
      </c>
    </row>
    <row r="29" spans="2:195" x14ac:dyDescent="0.35">
      <c r="B29" s="23" t="str">
        <f t="shared" si="11"/>
        <v>EXP20260603-2778257</v>
      </c>
      <c r="C29" s="23">
        <f t="shared" si="12"/>
        <v>144.78</v>
      </c>
      <c r="D29" s="23">
        <f t="shared" si="13"/>
        <v>144.78</v>
      </c>
      <c r="E29" s="23" t="str">
        <f t="shared" si="14"/>
        <v/>
      </c>
      <c r="F29" s="23" t="str">
        <f t="shared" si="15"/>
        <v/>
      </c>
      <c r="G29" s="23" t="str">
        <f t="shared" si="16"/>
        <v/>
      </c>
      <c r="H29" s="23" t="str">
        <f t="shared" si="17"/>
        <v/>
      </c>
      <c r="I29" s="23" t="str">
        <f t="shared" si="18"/>
        <v/>
      </c>
      <c r="J29" s="23">
        <f t="shared" si="19"/>
        <v>144.78</v>
      </c>
      <c r="K29" s="23">
        <f t="shared" si="20"/>
        <v>0</v>
      </c>
      <c r="L29" s="23">
        <f t="shared" si="21"/>
        <v>0</v>
      </c>
      <c r="M29" t="s">
        <v>352</v>
      </c>
      <c r="N29" s="7">
        <v>46203</v>
      </c>
      <c r="O29" t="s">
        <v>186</v>
      </c>
      <c r="P29" t="s">
        <v>472</v>
      </c>
      <c r="Q29">
        <v>2026</v>
      </c>
      <c r="R29" s="27" t="s">
        <v>473</v>
      </c>
      <c r="S29" s="27" t="s">
        <v>472</v>
      </c>
      <c r="T29" t="s">
        <v>474</v>
      </c>
      <c r="U29" t="s">
        <v>187</v>
      </c>
      <c r="V29" t="s">
        <v>188</v>
      </c>
      <c r="W29" t="s">
        <v>188</v>
      </c>
      <c r="X29">
        <v>34725</v>
      </c>
      <c r="Y29" t="s">
        <v>189</v>
      </c>
      <c r="Z29" t="s">
        <v>190</v>
      </c>
      <c r="AA29">
        <v>560</v>
      </c>
      <c r="AC29" s="7">
        <v>46177</v>
      </c>
      <c r="AD29">
        <v>21</v>
      </c>
      <c r="AE29" t="s">
        <v>191</v>
      </c>
      <c r="AF29" t="s">
        <v>472</v>
      </c>
      <c r="AG29" t="s">
        <v>192</v>
      </c>
      <c r="AH29">
        <v>21</v>
      </c>
      <c r="AI29" t="s">
        <v>193</v>
      </c>
      <c r="AJ29" s="7">
        <v>46183</v>
      </c>
      <c r="AK29" t="s">
        <v>296</v>
      </c>
      <c r="AL29" t="s">
        <v>472</v>
      </c>
      <c r="AM29" t="s">
        <v>192</v>
      </c>
      <c r="AN29">
        <v>34</v>
      </c>
      <c r="AO29" t="s">
        <v>297</v>
      </c>
      <c r="AR29">
        <v>2</v>
      </c>
      <c r="AS29">
        <v>2</v>
      </c>
      <c r="AT29">
        <v>166</v>
      </c>
      <c r="AU29">
        <v>166</v>
      </c>
      <c r="AV29">
        <v>0</v>
      </c>
      <c r="AW29" t="s">
        <v>201</v>
      </c>
      <c r="AX29">
        <v>2</v>
      </c>
      <c r="AY29">
        <v>0</v>
      </c>
      <c r="BE29" t="s">
        <v>195</v>
      </c>
      <c r="BF29" t="s">
        <v>196</v>
      </c>
      <c r="BG29" t="s">
        <v>197</v>
      </c>
      <c r="BM29">
        <v>114.1</v>
      </c>
      <c r="BN29" s="23">
        <v>144.78</v>
      </c>
      <c r="BQ29" t="s">
        <v>198</v>
      </c>
      <c r="DI29">
        <v>28.53</v>
      </c>
      <c r="DK29">
        <v>2</v>
      </c>
      <c r="GM29">
        <v>0.15</v>
      </c>
    </row>
    <row r="30" spans="2:195" x14ac:dyDescent="0.35">
      <c r="B30" s="23" t="str">
        <f t="shared" si="11"/>
        <v>EXP20260602-2776125</v>
      </c>
      <c r="C30" s="23">
        <f t="shared" si="12"/>
        <v>27.729999999999997</v>
      </c>
      <c r="D30" s="23">
        <f t="shared" si="13"/>
        <v>27.729999999999997</v>
      </c>
      <c r="E30" s="23" t="str">
        <f t="shared" si="14"/>
        <v/>
      </c>
      <c r="F30" s="23" t="str">
        <f t="shared" si="15"/>
        <v/>
      </c>
      <c r="G30" s="23" t="str">
        <f t="shared" si="16"/>
        <v/>
      </c>
      <c r="H30" s="23" t="str">
        <f t="shared" si="17"/>
        <v/>
      </c>
      <c r="I30" s="23" t="str">
        <f t="shared" si="18"/>
        <v/>
      </c>
      <c r="J30" s="23">
        <f t="shared" si="19"/>
        <v>27.729999999999997</v>
      </c>
      <c r="K30" s="23">
        <f t="shared" si="20"/>
        <v>0</v>
      </c>
      <c r="L30" s="23">
        <f t="shared" si="21"/>
        <v>0</v>
      </c>
      <c r="M30" t="s">
        <v>352</v>
      </c>
      <c r="N30" s="7">
        <v>46203</v>
      </c>
      <c r="O30" t="s">
        <v>186</v>
      </c>
      <c r="P30" t="s">
        <v>475</v>
      </c>
      <c r="Q30">
        <v>2026</v>
      </c>
      <c r="R30" s="27" t="s">
        <v>476</v>
      </c>
      <c r="S30" s="27" t="s">
        <v>475</v>
      </c>
      <c r="T30" t="s">
        <v>477</v>
      </c>
      <c r="U30" t="s">
        <v>187</v>
      </c>
      <c r="V30" t="s">
        <v>188</v>
      </c>
      <c r="W30" t="s">
        <v>188</v>
      </c>
      <c r="X30">
        <v>71390</v>
      </c>
      <c r="Y30" t="s">
        <v>189</v>
      </c>
      <c r="Z30" t="s">
        <v>190</v>
      </c>
      <c r="AA30">
        <v>91</v>
      </c>
      <c r="AC30" s="7">
        <v>46177</v>
      </c>
      <c r="AD30">
        <v>21</v>
      </c>
      <c r="AE30" t="s">
        <v>191</v>
      </c>
      <c r="AF30" t="s">
        <v>475</v>
      </c>
      <c r="AG30" t="s">
        <v>192</v>
      </c>
      <c r="AH30">
        <v>21</v>
      </c>
      <c r="AI30" t="s">
        <v>193</v>
      </c>
      <c r="AJ30">
        <v>46183</v>
      </c>
      <c r="AK30" t="s">
        <v>478</v>
      </c>
      <c r="AL30" t="s">
        <v>475</v>
      </c>
      <c r="AM30" t="s">
        <v>192</v>
      </c>
      <c r="AN30">
        <v>71</v>
      </c>
      <c r="AO30" t="s">
        <v>479</v>
      </c>
      <c r="AR30">
        <v>1</v>
      </c>
      <c r="AS30">
        <v>1</v>
      </c>
      <c r="AT30">
        <v>73</v>
      </c>
      <c r="AU30">
        <v>73</v>
      </c>
      <c r="AV30">
        <v>0</v>
      </c>
      <c r="AW30" t="s">
        <v>194</v>
      </c>
      <c r="AX30">
        <v>73</v>
      </c>
      <c r="AY30">
        <v>0</v>
      </c>
      <c r="BE30" t="s">
        <v>195</v>
      </c>
      <c r="BF30" t="s">
        <v>196</v>
      </c>
      <c r="BG30" t="s">
        <v>197</v>
      </c>
      <c r="BM30">
        <v>25.58</v>
      </c>
      <c r="BN30" s="23">
        <v>27.73</v>
      </c>
      <c r="BQ30" t="s">
        <v>198</v>
      </c>
      <c r="DK30">
        <v>2</v>
      </c>
      <c r="GM30">
        <v>0.15</v>
      </c>
    </row>
    <row r="31" spans="2:195" x14ac:dyDescent="0.35">
      <c r="B31" s="23" t="str">
        <f t="shared" si="11"/>
        <v>EXP20260603-2778709</v>
      </c>
      <c r="C31" s="23">
        <f t="shared" si="12"/>
        <v>28.33</v>
      </c>
      <c r="D31" s="23">
        <f t="shared" si="13"/>
        <v>28.33</v>
      </c>
      <c r="E31" s="23" t="str">
        <f t="shared" si="14"/>
        <v/>
      </c>
      <c r="F31" s="23" t="str">
        <f t="shared" si="15"/>
        <v/>
      </c>
      <c r="G31" s="23" t="str">
        <f t="shared" si="16"/>
        <v/>
      </c>
      <c r="H31" s="23" t="str">
        <f t="shared" si="17"/>
        <v/>
      </c>
      <c r="I31" s="23" t="str">
        <f t="shared" si="18"/>
        <v/>
      </c>
      <c r="J31" s="23">
        <f t="shared" si="19"/>
        <v>28.33</v>
      </c>
      <c r="K31" s="23">
        <f t="shared" si="20"/>
        <v>0</v>
      </c>
      <c r="L31" s="23">
        <f t="shared" si="21"/>
        <v>0</v>
      </c>
      <c r="M31" t="s">
        <v>352</v>
      </c>
      <c r="N31" s="7">
        <v>46203</v>
      </c>
      <c r="O31" t="s">
        <v>186</v>
      </c>
      <c r="P31" t="s">
        <v>480</v>
      </c>
      <c r="Q31">
        <v>2026</v>
      </c>
      <c r="R31" s="27" t="s">
        <v>481</v>
      </c>
      <c r="S31" s="27" t="s">
        <v>480</v>
      </c>
      <c r="T31" t="s">
        <v>482</v>
      </c>
      <c r="U31" t="s">
        <v>187</v>
      </c>
      <c r="V31" t="s">
        <v>188</v>
      </c>
      <c r="W31" t="s">
        <v>188</v>
      </c>
      <c r="X31">
        <v>63200</v>
      </c>
      <c r="Y31" t="s">
        <v>189</v>
      </c>
      <c r="Z31" t="s">
        <v>190</v>
      </c>
      <c r="AA31">
        <v>320</v>
      </c>
      <c r="AC31" s="7">
        <v>46177</v>
      </c>
      <c r="AD31">
        <v>21</v>
      </c>
      <c r="AE31" t="s">
        <v>191</v>
      </c>
      <c r="AF31" t="s">
        <v>480</v>
      </c>
      <c r="AG31" t="s">
        <v>192</v>
      </c>
      <c r="AH31">
        <v>21</v>
      </c>
      <c r="AI31" t="s">
        <v>193</v>
      </c>
      <c r="AJ31" s="7">
        <v>46184</v>
      </c>
      <c r="AK31" t="s">
        <v>483</v>
      </c>
      <c r="AL31" t="s">
        <v>480</v>
      </c>
      <c r="AM31" t="s">
        <v>192</v>
      </c>
      <c r="AN31">
        <v>63</v>
      </c>
      <c r="AO31" t="s">
        <v>484</v>
      </c>
      <c r="AR31">
        <v>1</v>
      </c>
      <c r="AS31">
        <v>1</v>
      </c>
      <c r="AT31">
        <v>34</v>
      </c>
      <c r="AU31">
        <v>34</v>
      </c>
      <c r="AV31">
        <v>0</v>
      </c>
      <c r="AW31" t="s">
        <v>194</v>
      </c>
      <c r="AX31">
        <v>34</v>
      </c>
      <c r="AY31">
        <v>0</v>
      </c>
      <c r="BE31" t="s">
        <v>195</v>
      </c>
      <c r="BF31" t="s">
        <v>196</v>
      </c>
      <c r="BG31" t="s">
        <v>197</v>
      </c>
      <c r="BM31">
        <v>26.18</v>
      </c>
      <c r="BN31" s="23">
        <v>28.33</v>
      </c>
      <c r="BQ31" t="s">
        <v>198</v>
      </c>
      <c r="DK31">
        <v>2</v>
      </c>
      <c r="GM31">
        <v>0.15</v>
      </c>
    </row>
    <row r="32" spans="2:195" x14ac:dyDescent="0.35">
      <c r="B32" s="23" t="str">
        <f t="shared" si="11"/>
        <v>EXP20260604-2780015</v>
      </c>
      <c r="C32" s="23">
        <f t="shared" si="12"/>
        <v>47.36</v>
      </c>
      <c r="D32" s="23">
        <f t="shared" si="13"/>
        <v>47.36</v>
      </c>
      <c r="E32" s="23" t="str">
        <f t="shared" si="14"/>
        <v/>
      </c>
      <c r="F32" s="23" t="str">
        <f t="shared" si="15"/>
        <v/>
      </c>
      <c r="G32" s="23" t="str">
        <f t="shared" si="16"/>
        <v/>
      </c>
      <c r="H32" s="23" t="str">
        <f t="shared" si="17"/>
        <v/>
      </c>
      <c r="I32" s="23" t="str">
        <f t="shared" si="18"/>
        <v/>
      </c>
      <c r="J32" s="23">
        <f t="shared" si="19"/>
        <v>47.36</v>
      </c>
      <c r="K32" s="23">
        <f t="shared" si="20"/>
        <v>0</v>
      </c>
      <c r="L32" s="23">
        <f t="shared" si="21"/>
        <v>0</v>
      </c>
      <c r="M32" t="s">
        <v>352</v>
      </c>
      <c r="N32" s="7">
        <v>46203</v>
      </c>
      <c r="O32" t="s">
        <v>186</v>
      </c>
      <c r="P32" t="s">
        <v>485</v>
      </c>
      <c r="Q32">
        <v>2026</v>
      </c>
      <c r="R32" s="27" t="s">
        <v>486</v>
      </c>
      <c r="S32" s="27" t="s">
        <v>485</v>
      </c>
      <c r="T32" t="s">
        <v>487</v>
      </c>
      <c r="U32" t="s">
        <v>187</v>
      </c>
      <c r="V32" t="s">
        <v>188</v>
      </c>
      <c r="W32" t="s">
        <v>188</v>
      </c>
      <c r="X32">
        <v>68920</v>
      </c>
      <c r="Y32" t="s">
        <v>189</v>
      </c>
      <c r="Z32" t="s">
        <v>190</v>
      </c>
      <c r="AA32">
        <v>298</v>
      </c>
      <c r="AC32" s="7">
        <v>46177</v>
      </c>
      <c r="AD32">
        <v>21</v>
      </c>
      <c r="AE32" t="s">
        <v>191</v>
      </c>
      <c r="AF32" t="s">
        <v>485</v>
      </c>
      <c r="AG32" t="s">
        <v>192</v>
      </c>
      <c r="AH32">
        <v>21</v>
      </c>
      <c r="AI32" t="s">
        <v>193</v>
      </c>
      <c r="AJ32" s="7">
        <v>46184</v>
      </c>
      <c r="AK32" t="s">
        <v>488</v>
      </c>
      <c r="AL32" t="s">
        <v>485</v>
      </c>
      <c r="AM32" t="s">
        <v>192</v>
      </c>
      <c r="AN32">
        <v>68</v>
      </c>
      <c r="AO32" t="s">
        <v>489</v>
      </c>
      <c r="AR32">
        <v>1</v>
      </c>
      <c r="AS32">
        <v>1</v>
      </c>
      <c r="AT32">
        <v>156</v>
      </c>
      <c r="AU32">
        <v>156</v>
      </c>
      <c r="AV32">
        <v>0</v>
      </c>
      <c r="AW32" t="s">
        <v>201</v>
      </c>
      <c r="AX32">
        <v>1</v>
      </c>
      <c r="AY32">
        <v>0</v>
      </c>
      <c r="BE32" t="s">
        <v>195</v>
      </c>
      <c r="BF32" t="s">
        <v>196</v>
      </c>
      <c r="BG32" t="s">
        <v>197</v>
      </c>
      <c r="BM32">
        <v>45.21</v>
      </c>
      <c r="BN32" s="23">
        <v>47.36</v>
      </c>
      <c r="BQ32" t="s">
        <v>198</v>
      </c>
      <c r="DK32">
        <v>2</v>
      </c>
      <c r="GM32">
        <v>0.15</v>
      </c>
    </row>
    <row r="33" spans="2:195" x14ac:dyDescent="0.35">
      <c r="B33" s="23" t="str">
        <f t="shared" si="11"/>
        <v>EXP20260602-2775846</v>
      </c>
      <c r="C33" s="23">
        <f t="shared" si="12"/>
        <v>51.4</v>
      </c>
      <c r="D33" s="23">
        <f t="shared" si="13"/>
        <v>51.4</v>
      </c>
      <c r="E33" s="23" t="str">
        <f t="shared" si="14"/>
        <v/>
      </c>
      <c r="F33" s="23" t="str">
        <f t="shared" si="15"/>
        <v/>
      </c>
      <c r="G33" s="23" t="str">
        <f t="shared" si="16"/>
        <v/>
      </c>
      <c r="H33" s="23" t="str">
        <f t="shared" si="17"/>
        <v/>
      </c>
      <c r="I33" s="23" t="str">
        <f t="shared" si="18"/>
        <v/>
      </c>
      <c r="J33" s="23">
        <f t="shared" si="19"/>
        <v>51.4</v>
      </c>
      <c r="K33" s="23">
        <f t="shared" si="20"/>
        <v>0</v>
      </c>
      <c r="L33" s="23">
        <f t="shared" si="21"/>
        <v>0</v>
      </c>
      <c r="M33" t="s">
        <v>352</v>
      </c>
      <c r="N33" s="7">
        <v>46203</v>
      </c>
      <c r="O33" t="s">
        <v>186</v>
      </c>
      <c r="P33" t="s">
        <v>490</v>
      </c>
      <c r="Q33">
        <v>2026</v>
      </c>
      <c r="R33" s="27" t="s">
        <v>491</v>
      </c>
      <c r="S33" s="27" t="s">
        <v>490</v>
      </c>
      <c r="T33" t="s">
        <v>492</v>
      </c>
      <c r="U33" t="s">
        <v>187</v>
      </c>
      <c r="V33" t="s">
        <v>188</v>
      </c>
      <c r="W33" t="s">
        <v>188</v>
      </c>
      <c r="X33">
        <v>84700</v>
      </c>
      <c r="Y33" t="s">
        <v>189</v>
      </c>
      <c r="Z33" t="s">
        <v>190</v>
      </c>
      <c r="AA33">
        <v>468</v>
      </c>
      <c r="AC33" s="7">
        <v>46177</v>
      </c>
      <c r="AD33">
        <v>21</v>
      </c>
      <c r="AE33" t="s">
        <v>191</v>
      </c>
      <c r="AF33" t="s">
        <v>490</v>
      </c>
      <c r="AG33" t="s">
        <v>192</v>
      </c>
      <c r="AH33">
        <v>21</v>
      </c>
      <c r="AI33" t="s">
        <v>193</v>
      </c>
      <c r="AJ33" s="7">
        <v>46183</v>
      </c>
      <c r="AK33" t="s">
        <v>493</v>
      </c>
      <c r="AL33" t="s">
        <v>490</v>
      </c>
      <c r="AM33" t="s">
        <v>192</v>
      </c>
      <c r="AN33">
        <v>84</v>
      </c>
      <c r="AO33" t="s">
        <v>494</v>
      </c>
      <c r="AR33">
        <v>1</v>
      </c>
      <c r="AS33">
        <v>1</v>
      </c>
      <c r="AT33">
        <v>90</v>
      </c>
      <c r="AU33">
        <v>90</v>
      </c>
      <c r="AV33">
        <v>0</v>
      </c>
      <c r="AW33" t="s">
        <v>194</v>
      </c>
      <c r="AX33">
        <v>90</v>
      </c>
      <c r="AY33">
        <v>0</v>
      </c>
      <c r="BE33" t="s">
        <v>195</v>
      </c>
      <c r="BF33" t="s">
        <v>196</v>
      </c>
      <c r="BG33" t="s">
        <v>197</v>
      </c>
      <c r="BM33">
        <v>39.4</v>
      </c>
      <c r="BN33" s="23">
        <v>51.4</v>
      </c>
      <c r="BQ33" t="s">
        <v>198</v>
      </c>
      <c r="DI33">
        <v>9.85</v>
      </c>
      <c r="DK33">
        <v>2</v>
      </c>
      <c r="GM33">
        <v>0.15</v>
      </c>
    </row>
    <row r="34" spans="2:195" x14ac:dyDescent="0.35">
      <c r="B34" s="23" t="str">
        <f t="shared" si="11"/>
        <v>EXP20260603-2779250</v>
      </c>
      <c r="C34" s="23">
        <f t="shared" si="12"/>
        <v>58.300000000000004</v>
      </c>
      <c r="D34" s="23">
        <f t="shared" si="13"/>
        <v>58.300000000000004</v>
      </c>
      <c r="E34" s="23" t="str">
        <f t="shared" si="14"/>
        <v/>
      </c>
      <c r="F34" s="23" t="str">
        <f t="shared" si="15"/>
        <v/>
      </c>
      <c r="G34" s="23" t="str">
        <f t="shared" si="16"/>
        <v/>
      </c>
      <c r="H34" s="23" t="str">
        <f t="shared" si="17"/>
        <v/>
      </c>
      <c r="I34" s="23" t="str">
        <f t="shared" si="18"/>
        <v/>
      </c>
      <c r="J34" s="23">
        <f t="shared" si="19"/>
        <v>58.300000000000004</v>
      </c>
      <c r="K34" s="23">
        <f t="shared" si="20"/>
        <v>0</v>
      </c>
      <c r="L34" s="23">
        <f t="shared" si="21"/>
        <v>0</v>
      </c>
      <c r="M34" t="s">
        <v>352</v>
      </c>
      <c r="N34" s="7">
        <v>46203</v>
      </c>
      <c r="O34" t="s">
        <v>186</v>
      </c>
      <c r="P34" t="s">
        <v>495</v>
      </c>
      <c r="Q34">
        <v>2026</v>
      </c>
      <c r="R34" s="27" t="s">
        <v>496</v>
      </c>
      <c r="S34" s="27" t="s">
        <v>495</v>
      </c>
      <c r="T34" t="s">
        <v>497</v>
      </c>
      <c r="U34" t="s">
        <v>187</v>
      </c>
      <c r="V34" t="s">
        <v>188</v>
      </c>
      <c r="W34" t="s">
        <v>188</v>
      </c>
      <c r="X34">
        <v>84190</v>
      </c>
      <c r="Y34" t="s">
        <v>189</v>
      </c>
      <c r="Z34" t="s">
        <v>190</v>
      </c>
      <c r="AA34">
        <v>468</v>
      </c>
      <c r="AC34" s="7">
        <v>46177</v>
      </c>
      <c r="AD34">
        <v>21</v>
      </c>
      <c r="AE34" t="s">
        <v>191</v>
      </c>
      <c r="AF34" t="s">
        <v>495</v>
      </c>
      <c r="AG34" t="s">
        <v>192</v>
      </c>
      <c r="AH34">
        <v>21</v>
      </c>
      <c r="AI34" t="s">
        <v>193</v>
      </c>
      <c r="AJ34" s="7">
        <v>46181</v>
      </c>
      <c r="AK34" t="s">
        <v>498</v>
      </c>
      <c r="AL34" t="s">
        <v>495</v>
      </c>
      <c r="AM34" t="s">
        <v>192</v>
      </c>
      <c r="AN34">
        <v>84</v>
      </c>
      <c r="AO34" t="s">
        <v>499</v>
      </c>
      <c r="AR34">
        <v>1</v>
      </c>
      <c r="AS34">
        <v>1</v>
      </c>
      <c r="AT34">
        <v>112</v>
      </c>
      <c r="AU34">
        <v>112</v>
      </c>
      <c r="AV34">
        <v>0</v>
      </c>
      <c r="AW34" t="s">
        <v>194</v>
      </c>
      <c r="AX34">
        <v>112</v>
      </c>
      <c r="AY34">
        <v>0</v>
      </c>
      <c r="BE34" t="s">
        <v>195</v>
      </c>
      <c r="BF34" t="s">
        <v>196</v>
      </c>
      <c r="BG34" t="s">
        <v>197</v>
      </c>
      <c r="BM34">
        <v>44.92</v>
      </c>
      <c r="BN34" s="23">
        <v>58.3</v>
      </c>
      <c r="BQ34" t="s">
        <v>198</v>
      </c>
      <c r="DI34">
        <v>11.23</v>
      </c>
      <c r="DK34">
        <v>2</v>
      </c>
      <c r="GM34">
        <v>0.15</v>
      </c>
    </row>
    <row r="35" spans="2:195" x14ac:dyDescent="0.35">
      <c r="B35" s="23" t="str">
        <f t="shared" si="11"/>
        <v>EXP20260603-2778099</v>
      </c>
      <c r="C35" s="23">
        <f t="shared" si="12"/>
        <v>35.54</v>
      </c>
      <c r="D35" s="23">
        <f t="shared" si="13"/>
        <v>35.54</v>
      </c>
      <c r="E35" s="23" t="str">
        <f t="shared" si="14"/>
        <v/>
      </c>
      <c r="F35" s="23" t="str">
        <f t="shared" si="15"/>
        <v/>
      </c>
      <c r="G35" s="23" t="str">
        <f t="shared" si="16"/>
        <v/>
      </c>
      <c r="H35" s="23" t="str">
        <f t="shared" si="17"/>
        <v/>
      </c>
      <c r="I35" s="23" t="str">
        <f t="shared" si="18"/>
        <v/>
      </c>
      <c r="J35" s="23">
        <f t="shared" si="19"/>
        <v>35.54</v>
      </c>
      <c r="K35" s="23">
        <f t="shared" si="20"/>
        <v>0</v>
      </c>
      <c r="L35" s="23">
        <f t="shared" si="21"/>
        <v>0</v>
      </c>
      <c r="M35" t="s">
        <v>352</v>
      </c>
      <c r="N35" s="7">
        <v>46203</v>
      </c>
      <c r="O35" t="s">
        <v>186</v>
      </c>
      <c r="P35" t="s">
        <v>500</v>
      </c>
      <c r="Q35">
        <v>2026</v>
      </c>
      <c r="R35" s="27" t="s">
        <v>501</v>
      </c>
      <c r="S35" s="27" t="s">
        <v>500</v>
      </c>
      <c r="T35" t="s">
        <v>502</v>
      </c>
      <c r="U35" t="s">
        <v>187</v>
      </c>
      <c r="V35" t="s">
        <v>188</v>
      </c>
      <c r="W35" t="s">
        <v>188</v>
      </c>
      <c r="X35">
        <v>83390</v>
      </c>
      <c r="Y35" t="s">
        <v>189</v>
      </c>
      <c r="Z35" t="s">
        <v>190</v>
      </c>
      <c r="AA35">
        <v>599</v>
      </c>
      <c r="AC35" s="7">
        <v>46177</v>
      </c>
      <c r="AD35">
        <v>21</v>
      </c>
      <c r="AE35" t="s">
        <v>191</v>
      </c>
      <c r="AF35" t="s">
        <v>500</v>
      </c>
      <c r="AG35" t="s">
        <v>192</v>
      </c>
      <c r="AH35">
        <v>21</v>
      </c>
      <c r="AI35" t="s">
        <v>193</v>
      </c>
      <c r="AJ35" s="7">
        <v>46182</v>
      </c>
      <c r="AK35" t="s">
        <v>503</v>
      </c>
      <c r="AL35" t="s">
        <v>500</v>
      </c>
      <c r="AM35" t="s">
        <v>192</v>
      </c>
      <c r="AN35">
        <v>83</v>
      </c>
      <c r="AO35" t="s">
        <v>504</v>
      </c>
      <c r="AR35">
        <v>1</v>
      </c>
      <c r="AS35">
        <v>1</v>
      </c>
      <c r="AT35">
        <v>11</v>
      </c>
      <c r="AU35">
        <v>11</v>
      </c>
      <c r="AV35">
        <v>0</v>
      </c>
      <c r="AW35" t="s">
        <v>194</v>
      </c>
      <c r="AX35">
        <v>11</v>
      </c>
      <c r="AY35">
        <v>0</v>
      </c>
      <c r="BE35" t="s">
        <v>195</v>
      </c>
      <c r="BF35" t="s">
        <v>196</v>
      </c>
      <c r="BG35" t="s">
        <v>197</v>
      </c>
      <c r="BM35">
        <v>26.71</v>
      </c>
      <c r="BN35" s="23">
        <v>35.54</v>
      </c>
      <c r="BQ35" t="s">
        <v>198</v>
      </c>
      <c r="DI35">
        <v>6.68</v>
      </c>
      <c r="DK35">
        <v>2</v>
      </c>
      <c r="GM35">
        <v>0.15</v>
      </c>
    </row>
    <row r="36" spans="2:195" x14ac:dyDescent="0.35">
      <c r="B36" s="23" t="str">
        <f t="shared" si="11"/>
        <v>EXP20260604-2780091</v>
      </c>
      <c r="C36" s="23">
        <f t="shared" si="12"/>
        <v>59.69</v>
      </c>
      <c r="D36" s="23">
        <f t="shared" si="13"/>
        <v>59.69</v>
      </c>
      <c r="E36" s="23" t="str">
        <f t="shared" si="14"/>
        <v/>
      </c>
      <c r="F36" s="23" t="str">
        <f t="shared" si="15"/>
        <v/>
      </c>
      <c r="G36" s="23" t="str">
        <f t="shared" si="16"/>
        <v/>
      </c>
      <c r="H36" s="23" t="str">
        <f t="shared" si="17"/>
        <v/>
      </c>
      <c r="I36" s="23" t="str">
        <f t="shared" si="18"/>
        <v/>
      </c>
      <c r="J36" s="23">
        <f t="shared" si="19"/>
        <v>59.69</v>
      </c>
      <c r="K36" s="23">
        <f t="shared" si="20"/>
        <v>0</v>
      </c>
      <c r="L36" s="23">
        <f t="shared" si="21"/>
        <v>0</v>
      </c>
      <c r="M36" t="s">
        <v>352</v>
      </c>
      <c r="N36" s="7">
        <v>46203</v>
      </c>
      <c r="O36" t="s">
        <v>186</v>
      </c>
      <c r="P36" t="s">
        <v>505</v>
      </c>
      <c r="Q36">
        <v>2026</v>
      </c>
      <c r="R36" s="27" t="s">
        <v>506</v>
      </c>
      <c r="S36" s="27" t="s">
        <v>505</v>
      </c>
      <c r="T36" t="s">
        <v>507</v>
      </c>
      <c r="U36" t="s">
        <v>187</v>
      </c>
      <c r="V36" t="s">
        <v>188</v>
      </c>
      <c r="W36" t="s">
        <v>188</v>
      </c>
      <c r="X36">
        <v>77270</v>
      </c>
      <c r="Y36" t="s">
        <v>189</v>
      </c>
      <c r="Z36" t="s">
        <v>190</v>
      </c>
      <c r="AA36">
        <v>454</v>
      </c>
      <c r="AC36" s="7">
        <v>46177</v>
      </c>
      <c r="AD36">
        <v>21</v>
      </c>
      <c r="AE36" t="s">
        <v>191</v>
      </c>
      <c r="AF36" t="s">
        <v>505</v>
      </c>
      <c r="AG36" t="s">
        <v>192</v>
      </c>
      <c r="AH36">
        <v>21</v>
      </c>
      <c r="AI36" t="s">
        <v>193</v>
      </c>
      <c r="AJ36" s="7">
        <v>46181</v>
      </c>
      <c r="AK36" t="s">
        <v>317</v>
      </c>
      <c r="AL36" t="s">
        <v>505</v>
      </c>
      <c r="AM36" t="s">
        <v>192</v>
      </c>
      <c r="AN36">
        <v>77</v>
      </c>
      <c r="AO36" t="s">
        <v>318</v>
      </c>
      <c r="AR36">
        <v>1</v>
      </c>
      <c r="AS36">
        <v>1</v>
      </c>
      <c r="AT36">
        <v>274</v>
      </c>
      <c r="AU36">
        <v>274</v>
      </c>
      <c r="AV36">
        <v>0</v>
      </c>
      <c r="AW36" t="s">
        <v>201</v>
      </c>
      <c r="AX36">
        <v>1</v>
      </c>
      <c r="AY36">
        <v>0</v>
      </c>
      <c r="BE36" t="s">
        <v>195</v>
      </c>
      <c r="BF36" t="s">
        <v>196</v>
      </c>
      <c r="BG36" t="s">
        <v>197</v>
      </c>
      <c r="BM36">
        <v>57.54</v>
      </c>
      <c r="BN36" s="23">
        <v>59.69</v>
      </c>
      <c r="BQ36" t="s">
        <v>198</v>
      </c>
      <c r="DK36">
        <v>2</v>
      </c>
      <c r="GM36">
        <v>0.15</v>
      </c>
    </row>
    <row r="37" spans="2:195" x14ac:dyDescent="0.35">
      <c r="B37" s="23" t="str">
        <f t="shared" si="11"/>
        <v>EXP20260604-2780547</v>
      </c>
      <c r="C37" s="23">
        <f t="shared" si="12"/>
        <v>140.22999999999999</v>
      </c>
      <c r="D37" s="23">
        <f t="shared" si="13"/>
        <v>140.22999999999999</v>
      </c>
      <c r="E37" s="23" t="str">
        <f t="shared" si="14"/>
        <v/>
      </c>
      <c r="F37" s="23" t="str">
        <f t="shared" si="15"/>
        <v/>
      </c>
      <c r="G37" s="23" t="str">
        <f t="shared" si="16"/>
        <v/>
      </c>
      <c r="H37" s="23" t="str">
        <f t="shared" si="17"/>
        <v/>
      </c>
      <c r="I37" s="23" t="str">
        <f t="shared" si="18"/>
        <v/>
      </c>
      <c r="J37" s="23">
        <f t="shared" si="19"/>
        <v>140.22999999999999</v>
      </c>
      <c r="K37" s="23">
        <f t="shared" si="20"/>
        <v>0</v>
      </c>
      <c r="L37" s="23">
        <f t="shared" si="21"/>
        <v>0</v>
      </c>
      <c r="M37" t="s">
        <v>352</v>
      </c>
      <c r="N37" s="7">
        <v>46203</v>
      </c>
      <c r="O37" t="s">
        <v>186</v>
      </c>
      <c r="P37" t="s">
        <v>508</v>
      </c>
      <c r="Q37">
        <v>2026</v>
      </c>
      <c r="R37" s="27" t="s">
        <v>509</v>
      </c>
      <c r="S37" s="27" t="s">
        <v>508</v>
      </c>
      <c r="T37" t="s">
        <v>510</v>
      </c>
      <c r="U37" t="s">
        <v>187</v>
      </c>
      <c r="V37" t="s">
        <v>188</v>
      </c>
      <c r="W37" t="s">
        <v>188</v>
      </c>
      <c r="X37">
        <v>30700</v>
      </c>
      <c r="Y37" t="s">
        <v>189</v>
      </c>
      <c r="Z37" t="s">
        <v>190</v>
      </c>
      <c r="AA37">
        <v>478</v>
      </c>
      <c r="AC37" s="7">
        <v>46177</v>
      </c>
      <c r="AD37">
        <v>21</v>
      </c>
      <c r="AE37" t="s">
        <v>191</v>
      </c>
      <c r="AF37" t="s">
        <v>508</v>
      </c>
      <c r="AG37" t="s">
        <v>192</v>
      </c>
      <c r="AH37">
        <v>21</v>
      </c>
      <c r="AI37" t="s">
        <v>193</v>
      </c>
      <c r="AJ37" s="7">
        <v>46181</v>
      </c>
      <c r="AK37" t="s">
        <v>511</v>
      </c>
      <c r="AL37" t="s">
        <v>508</v>
      </c>
      <c r="AM37" t="s">
        <v>192</v>
      </c>
      <c r="AN37">
        <v>30</v>
      </c>
      <c r="AO37" t="s">
        <v>512</v>
      </c>
      <c r="AR37">
        <v>2</v>
      </c>
      <c r="AS37">
        <v>2</v>
      </c>
      <c r="AT37">
        <v>244</v>
      </c>
      <c r="AU37">
        <v>244</v>
      </c>
      <c r="AV37">
        <v>0</v>
      </c>
      <c r="AW37" t="s">
        <v>201</v>
      </c>
      <c r="AX37">
        <v>2</v>
      </c>
      <c r="AY37">
        <v>0</v>
      </c>
      <c r="BE37" t="s">
        <v>195</v>
      </c>
      <c r="BF37" t="s">
        <v>196</v>
      </c>
      <c r="BG37" t="s">
        <v>197</v>
      </c>
      <c r="BM37">
        <v>110.46</v>
      </c>
      <c r="BN37" s="23">
        <v>140.22999999999999</v>
      </c>
      <c r="BQ37" t="s">
        <v>198</v>
      </c>
      <c r="DI37">
        <v>27.62</v>
      </c>
      <c r="DK37">
        <v>2</v>
      </c>
      <c r="GM37">
        <v>0.15</v>
      </c>
    </row>
    <row r="38" spans="2:195" x14ac:dyDescent="0.35">
      <c r="B38" s="23" t="str">
        <f t="shared" si="11"/>
        <v>EXP20260603-2779154</v>
      </c>
      <c r="C38" s="23">
        <f t="shared" si="12"/>
        <v>44.96</v>
      </c>
      <c r="D38" s="23">
        <f t="shared" si="13"/>
        <v>44.96</v>
      </c>
      <c r="E38" s="23" t="str">
        <f t="shared" si="14"/>
        <v/>
      </c>
      <c r="F38" s="23" t="str">
        <f t="shared" si="15"/>
        <v/>
      </c>
      <c r="G38" s="23" t="str">
        <f t="shared" si="16"/>
        <v/>
      </c>
      <c r="H38" s="23" t="str">
        <f t="shared" si="17"/>
        <v/>
      </c>
      <c r="I38" s="23" t="str">
        <f t="shared" si="18"/>
        <v/>
      </c>
      <c r="J38" s="23">
        <f t="shared" si="19"/>
        <v>44.96</v>
      </c>
      <c r="K38" s="23">
        <f t="shared" si="20"/>
        <v>0</v>
      </c>
      <c r="L38" s="23">
        <f t="shared" si="21"/>
        <v>0</v>
      </c>
      <c r="M38" t="s">
        <v>352</v>
      </c>
      <c r="N38" s="7">
        <v>46203</v>
      </c>
      <c r="O38" t="s">
        <v>186</v>
      </c>
      <c r="P38" t="s">
        <v>513</v>
      </c>
      <c r="Q38">
        <v>2026</v>
      </c>
      <c r="R38" s="27" t="s">
        <v>514</v>
      </c>
      <c r="S38" s="27" t="s">
        <v>513</v>
      </c>
      <c r="T38" t="s">
        <v>515</v>
      </c>
      <c r="U38" t="s">
        <v>187</v>
      </c>
      <c r="V38" t="s">
        <v>188</v>
      </c>
      <c r="W38" t="s">
        <v>188</v>
      </c>
      <c r="X38">
        <v>83270</v>
      </c>
      <c r="Y38" t="s">
        <v>189</v>
      </c>
      <c r="Z38" t="s">
        <v>190</v>
      </c>
      <c r="AA38">
        <v>599</v>
      </c>
      <c r="AC38" s="7">
        <v>46177</v>
      </c>
      <c r="AD38">
        <v>21</v>
      </c>
      <c r="AE38" t="s">
        <v>191</v>
      </c>
      <c r="AF38" t="s">
        <v>513</v>
      </c>
      <c r="AG38" t="s">
        <v>192</v>
      </c>
      <c r="AH38">
        <v>21</v>
      </c>
      <c r="AI38" t="s">
        <v>193</v>
      </c>
      <c r="AJ38" s="7">
        <v>46181</v>
      </c>
      <c r="AK38" t="s">
        <v>516</v>
      </c>
      <c r="AL38" t="s">
        <v>513</v>
      </c>
      <c r="AM38" t="s">
        <v>192</v>
      </c>
      <c r="AN38">
        <v>83</v>
      </c>
      <c r="AO38" t="s">
        <v>517</v>
      </c>
      <c r="AR38">
        <v>1</v>
      </c>
      <c r="AS38">
        <v>1</v>
      </c>
      <c r="AT38">
        <v>34</v>
      </c>
      <c r="AU38">
        <v>34</v>
      </c>
      <c r="AV38">
        <v>0</v>
      </c>
      <c r="AW38" t="s">
        <v>194</v>
      </c>
      <c r="AX38">
        <v>34</v>
      </c>
      <c r="AY38">
        <v>0</v>
      </c>
      <c r="BE38" t="s">
        <v>195</v>
      </c>
      <c r="BF38" t="s">
        <v>196</v>
      </c>
      <c r="BG38" t="s">
        <v>197</v>
      </c>
      <c r="BM38">
        <v>34.25</v>
      </c>
      <c r="BN38" s="23">
        <v>44.96</v>
      </c>
      <c r="BQ38" t="s">
        <v>198</v>
      </c>
      <c r="DI38">
        <v>8.56</v>
      </c>
      <c r="DK38">
        <v>2</v>
      </c>
      <c r="GM38">
        <v>0.15</v>
      </c>
    </row>
    <row r="39" spans="2:195" x14ac:dyDescent="0.35">
      <c r="B39" s="23" t="str">
        <f t="shared" si="11"/>
        <v>EXP20260602-2777045</v>
      </c>
      <c r="C39" s="23">
        <f t="shared" si="12"/>
        <v>46.98</v>
      </c>
      <c r="D39" s="23">
        <f t="shared" si="13"/>
        <v>46.98</v>
      </c>
      <c r="E39" s="23" t="str">
        <f t="shared" si="14"/>
        <v/>
      </c>
      <c r="F39" s="23" t="str">
        <f t="shared" si="15"/>
        <v/>
      </c>
      <c r="G39" s="23" t="str">
        <f t="shared" si="16"/>
        <v/>
      </c>
      <c r="H39" s="23" t="str">
        <f t="shared" si="17"/>
        <v/>
      </c>
      <c r="I39" s="23" t="str">
        <f t="shared" si="18"/>
        <v/>
      </c>
      <c r="J39" s="23">
        <f t="shared" si="19"/>
        <v>46.98</v>
      </c>
      <c r="K39" s="23">
        <f t="shared" si="20"/>
        <v>0</v>
      </c>
      <c r="L39" s="23">
        <f t="shared" si="21"/>
        <v>0</v>
      </c>
      <c r="M39" t="s">
        <v>352</v>
      </c>
      <c r="N39" s="7">
        <v>46203</v>
      </c>
      <c r="O39" t="s">
        <v>186</v>
      </c>
      <c r="P39" t="s">
        <v>518</v>
      </c>
      <c r="Q39">
        <v>2026</v>
      </c>
      <c r="R39" s="27" t="s">
        <v>519</v>
      </c>
      <c r="S39" s="27" t="s">
        <v>518</v>
      </c>
      <c r="T39" t="s">
        <v>520</v>
      </c>
      <c r="U39" t="s">
        <v>187</v>
      </c>
      <c r="V39" t="s">
        <v>188</v>
      </c>
      <c r="W39" t="s">
        <v>188</v>
      </c>
      <c r="X39">
        <v>18300</v>
      </c>
      <c r="Y39" t="s">
        <v>189</v>
      </c>
      <c r="Z39" t="s">
        <v>190</v>
      </c>
      <c r="AA39">
        <v>297</v>
      </c>
      <c r="AC39" s="7">
        <v>46177</v>
      </c>
      <c r="AD39">
        <v>21</v>
      </c>
      <c r="AE39" t="s">
        <v>191</v>
      </c>
      <c r="AF39" t="s">
        <v>518</v>
      </c>
      <c r="AG39" t="s">
        <v>192</v>
      </c>
      <c r="AH39">
        <v>21</v>
      </c>
      <c r="AI39" t="s">
        <v>193</v>
      </c>
      <c r="AJ39" s="7">
        <v>46181</v>
      </c>
      <c r="AK39" t="s">
        <v>521</v>
      </c>
      <c r="AL39" t="s">
        <v>518</v>
      </c>
      <c r="AM39" t="s">
        <v>192</v>
      </c>
      <c r="AN39">
        <v>18</v>
      </c>
      <c r="AO39" t="s">
        <v>522</v>
      </c>
      <c r="AR39">
        <v>1</v>
      </c>
      <c r="AS39">
        <v>1</v>
      </c>
      <c r="AT39">
        <v>139</v>
      </c>
      <c r="AU39">
        <v>139</v>
      </c>
      <c r="AV39">
        <v>0</v>
      </c>
      <c r="AW39" t="s">
        <v>194</v>
      </c>
      <c r="AX39">
        <v>139</v>
      </c>
      <c r="AY39">
        <v>0</v>
      </c>
      <c r="BE39" t="s">
        <v>195</v>
      </c>
      <c r="BF39" t="s">
        <v>196</v>
      </c>
      <c r="BG39" t="s">
        <v>197</v>
      </c>
      <c r="BM39">
        <v>44.83</v>
      </c>
      <c r="BN39" s="23">
        <v>46.98</v>
      </c>
      <c r="BQ39" t="s">
        <v>198</v>
      </c>
      <c r="DK39">
        <v>2</v>
      </c>
      <c r="GM39">
        <v>0.15</v>
      </c>
    </row>
    <row r="40" spans="2:195" x14ac:dyDescent="0.35">
      <c r="B40" s="23" t="str">
        <f t="shared" si="11"/>
        <v>EXP20260603-2777654</v>
      </c>
      <c r="C40" s="23">
        <f t="shared" si="12"/>
        <v>61.74</v>
      </c>
      <c r="D40" s="23">
        <f t="shared" si="13"/>
        <v>61.74</v>
      </c>
      <c r="E40" s="23" t="str">
        <f t="shared" si="14"/>
        <v/>
      </c>
      <c r="F40" s="23" t="str">
        <f t="shared" si="15"/>
        <v/>
      </c>
      <c r="G40" s="23" t="str">
        <f t="shared" si="16"/>
        <v/>
      </c>
      <c r="H40" s="23" t="str">
        <f t="shared" si="17"/>
        <v/>
      </c>
      <c r="I40" s="23" t="str">
        <f t="shared" si="18"/>
        <v/>
      </c>
      <c r="J40" s="23">
        <f t="shared" si="19"/>
        <v>61.74</v>
      </c>
      <c r="K40" s="23">
        <f t="shared" si="20"/>
        <v>0</v>
      </c>
      <c r="L40" s="23">
        <f t="shared" si="21"/>
        <v>0</v>
      </c>
      <c r="M40" t="s">
        <v>352</v>
      </c>
      <c r="N40" s="7">
        <v>46203</v>
      </c>
      <c r="O40" t="s">
        <v>186</v>
      </c>
      <c r="P40" t="s">
        <v>523</v>
      </c>
      <c r="Q40">
        <v>2026</v>
      </c>
      <c r="R40" s="27" t="s">
        <v>524</v>
      </c>
      <c r="S40" s="27" t="s">
        <v>523</v>
      </c>
      <c r="T40" t="s">
        <v>525</v>
      </c>
      <c r="U40" t="s">
        <v>187</v>
      </c>
      <c r="V40" t="s">
        <v>188</v>
      </c>
      <c r="W40" t="s">
        <v>188</v>
      </c>
      <c r="X40">
        <v>95470</v>
      </c>
      <c r="Y40" t="s">
        <v>189</v>
      </c>
      <c r="Z40" t="s">
        <v>190</v>
      </c>
      <c r="AA40">
        <v>505</v>
      </c>
      <c r="AC40" s="7">
        <v>46177</v>
      </c>
      <c r="AD40">
        <v>21</v>
      </c>
      <c r="AE40" t="s">
        <v>191</v>
      </c>
      <c r="AF40" t="s">
        <v>523</v>
      </c>
      <c r="AG40" t="s">
        <v>192</v>
      </c>
      <c r="AH40">
        <v>21</v>
      </c>
      <c r="AI40" t="s">
        <v>193</v>
      </c>
      <c r="AJ40" s="7"/>
      <c r="AK40" t="s">
        <v>526</v>
      </c>
      <c r="AL40" t="s">
        <v>523</v>
      </c>
      <c r="AM40" t="s">
        <v>192</v>
      </c>
      <c r="AN40">
        <v>95</v>
      </c>
      <c r="AO40" t="s">
        <v>527</v>
      </c>
      <c r="AR40">
        <v>1</v>
      </c>
      <c r="AS40">
        <v>1</v>
      </c>
      <c r="AT40">
        <v>354</v>
      </c>
      <c r="AU40">
        <v>354</v>
      </c>
      <c r="AV40">
        <v>0</v>
      </c>
      <c r="AW40" t="s">
        <v>201</v>
      </c>
      <c r="AX40">
        <v>1</v>
      </c>
      <c r="AY40">
        <v>0</v>
      </c>
      <c r="BE40" t="s">
        <v>195</v>
      </c>
      <c r="BF40" t="s">
        <v>196</v>
      </c>
      <c r="BG40" t="s">
        <v>197</v>
      </c>
      <c r="BM40">
        <v>59.59</v>
      </c>
      <c r="BN40" s="23">
        <v>61.74</v>
      </c>
      <c r="BQ40" t="s">
        <v>198</v>
      </c>
      <c r="DK40">
        <v>2</v>
      </c>
      <c r="GM40">
        <v>0.15</v>
      </c>
    </row>
    <row r="41" spans="2:195" x14ac:dyDescent="0.35">
      <c r="B41" s="23" t="str">
        <f t="shared" si="11"/>
        <v>EXP20260601-2774872</v>
      </c>
      <c r="C41" s="23">
        <f t="shared" si="12"/>
        <v>27.79</v>
      </c>
      <c r="D41" s="23">
        <f t="shared" si="13"/>
        <v>27.79</v>
      </c>
      <c r="E41" s="23" t="str">
        <f t="shared" si="14"/>
        <v/>
      </c>
      <c r="F41" s="23" t="str">
        <f t="shared" si="15"/>
        <v/>
      </c>
      <c r="G41" s="23" t="str">
        <f t="shared" si="16"/>
        <v/>
      </c>
      <c r="H41" s="23" t="str">
        <f t="shared" si="17"/>
        <v/>
      </c>
      <c r="I41" s="23" t="str">
        <f t="shared" si="18"/>
        <v/>
      </c>
      <c r="J41" s="23">
        <f t="shared" si="19"/>
        <v>27.79</v>
      </c>
      <c r="K41" s="23">
        <f t="shared" si="20"/>
        <v>0</v>
      </c>
      <c r="L41" s="23">
        <f t="shared" si="21"/>
        <v>0</v>
      </c>
      <c r="M41" t="s">
        <v>352</v>
      </c>
      <c r="N41" s="7">
        <v>46203</v>
      </c>
      <c r="O41" t="s">
        <v>186</v>
      </c>
      <c r="P41" t="s">
        <v>528</v>
      </c>
      <c r="Q41">
        <v>2026</v>
      </c>
      <c r="R41" s="27" t="s">
        <v>529</v>
      </c>
      <c r="S41" s="27" t="s">
        <v>528</v>
      </c>
      <c r="T41" t="s">
        <v>530</v>
      </c>
      <c r="U41" t="s">
        <v>187</v>
      </c>
      <c r="V41" t="s">
        <v>188</v>
      </c>
      <c r="W41" t="s">
        <v>188</v>
      </c>
      <c r="X41">
        <v>89800</v>
      </c>
      <c r="Y41" t="s">
        <v>189</v>
      </c>
      <c r="Z41" t="s">
        <v>190</v>
      </c>
      <c r="AA41">
        <v>236</v>
      </c>
      <c r="AC41" s="7">
        <v>46177</v>
      </c>
      <c r="AD41">
        <v>21</v>
      </c>
      <c r="AE41" t="s">
        <v>191</v>
      </c>
      <c r="AF41" t="s">
        <v>528</v>
      </c>
      <c r="AG41" t="s">
        <v>192</v>
      </c>
      <c r="AH41">
        <v>21</v>
      </c>
      <c r="AI41" t="s">
        <v>193</v>
      </c>
      <c r="AJ41" s="7">
        <v>46181</v>
      </c>
      <c r="AK41" t="s">
        <v>531</v>
      </c>
      <c r="AL41" t="s">
        <v>528</v>
      </c>
      <c r="AM41" t="s">
        <v>192</v>
      </c>
      <c r="AN41">
        <v>89</v>
      </c>
      <c r="AO41" t="s">
        <v>202</v>
      </c>
      <c r="AR41">
        <v>1</v>
      </c>
      <c r="AS41">
        <v>1</v>
      </c>
      <c r="AT41">
        <v>44</v>
      </c>
      <c r="AU41">
        <v>44</v>
      </c>
      <c r="AV41">
        <v>0</v>
      </c>
      <c r="AW41" t="s">
        <v>194</v>
      </c>
      <c r="AX41">
        <v>44</v>
      </c>
      <c r="AY41">
        <v>0</v>
      </c>
      <c r="BE41" t="s">
        <v>195</v>
      </c>
      <c r="BF41" t="s">
        <v>196</v>
      </c>
      <c r="BG41" t="s">
        <v>197</v>
      </c>
      <c r="BM41">
        <v>25.64</v>
      </c>
      <c r="BN41" s="23">
        <v>27.79</v>
      </c>
      <c r="BQ41" t="s">
        <v>198</v>
      </c>
      <c r="DK41">
        <v>2</v>
      </c>
      <c r="GM41">
        <v>0.15</v>
      </c>
    </row>
    <row r="42" spans="2:195" x14ac:dyDescent="0.35">
      <c r="B42" s="23" t="str">
        <f t="shared" si="11"/>
        <v>EXP20260603-2779194</v>
      </c>
      <c r="C42" s="23">
        <f t="shared" si="12"/>
        <v>33.46</v>
      </c>
      <c r="D42" s="23">
        <f t="shared" si="13"/>
        <v>33.46</v>
      </c>
      <c r="E42" s="23" t="str">
        <f t="shared" si="14"/>
        <v/>
      </c>
      <c r="F42" s="23" t="str">
        <f t="shared" si="15"/>
        <v/>
      </c>
      <c r="G42" s="23" t="str">
        <f t="shared" si="16"/>
        <v/>
      </c>
      <c r="H42" s="23" t="str">
        <f t="shared" si="17"/>
        <v/>
      </c>
      <c r="I42" s="23" t="str">
        <f t="shared" si="18"/>
        <v/>
      </c>
      <c r="J42" s="23">
        <f t="shared" si="19"/>
        <v>33.46</v>
      </c>
      <c r="K42" s="23">
        <f t="shared" si="20"/>
        <v>0</v>
      </c>
      <c r="L42" s="23">
        <f t="shared" si="21"/>
        <v>0</v>
      </c>
      <c r="M42" t="s">
        <v>352</v>
      </c>
      <c r="N42" s="7">
        <v>46203</v>
      </c>
      <c r="O42" t="s">
        <v>186</v>
      </c>
      <c r="P42" t="s">
        <v>532</v>
      </c>
      <c r="Q42">
        <v>2026</v>
      </c>
      <c r="R42" s="27" t="s">
        <v>533</v>
      </c>
      <c r="S42" s="27" t="s">
        <v>532</v>
      </c>
      <c r="T42" t="s">
        <v>534</v>
      </c>
      <c r="U42" t="s">
        <v>187</v>
      </c>
      <c r="V42" t="s">
        <v>188</v>
      </c>
      <c r="W42" t="s">
        <v>188</v>
      </c>
      <c r="X42">
        <v>89800</v>
      </c>
      <c r="Y42" t="s">
        <v>189</v>
      </c>
      <c r="Z42" t="s">
        <v>190</v>
      </c>
      <c r="AA42">
        <v>236</v>
      </c>
      <c r="AC42" s="7">
        <v>46177</v>
      </c>
      <c r="AD42">
        <v>21</v>
      </c>
      <c r="AE42" t="s">
        <v>191</v>
      </c>
      <c r="AF42" t="s">
        <v>532</v>
      </c>
      <c r="AG42" t="s">
        <v>192</v>
      </c>
      <c r="AH42">
        <v>21</v>
      </c>
      <c r="AI42" t="s">
        <v>193</v>
      </c>
      <c r="AJ42" s="7">
        <v>46181</v>
      </c>
      <c r="AK42" t="s">
        <v>535</v>
      </c>
      <c r="AL42" t="s">
        <v>532</v>
      </c>
      <c r="AM42" t="s">
        <v>192</v>
      </c>
      <c r="AN42">
        <v>89</v>
      </c>
      <c r="AO42" t="s">
        <v>536</v>
      </c>
      <c r="AR42">
        <v>1</v>
      </c>
      <c r="AS42">
        <v>1</v>
      </c>
      <c r="AT42">
        <v>100</v>
      </c>
      <c r="AU42">
        <v>100</v>
      </c>
      <c r="AV42">
        <v>0</v>
      </c>
      <c r="AW42" t="s">
        <v>194</v>
      </c>
      <c r="AX42">
        <v>100</v>
      </c>
      <c r="AY42">
        <v>0</v>
      </c>
      <c r="BE42" t="s">
        <v>195</v>
      </c>
      <c r="BF42" t="s">
        <v>196</v>
      </c>
      <c r="BG42" t="s">
        <v>197</v>
      </c>
      <c r="BM42">
        <v>31.31</v>
      </c>
      <c r="BN42" s="23">
        <v>33.46</v>
      </c>
      <c r="BQ42" t="s">
        <v>198</v>
      </c>
      <c r="DK42">
        <v>2</v>
      </c>
      <c r="GM42">
        <v>0.15</v>
      </c>
    </row>
    <row r="43" spans="2:195" x14ac:dyDescent="0.35">
      <c r="B43" s="23" t="str">
        <f t="shared" si="11"/>
        <v>EXP20260602-2776824</v>
      </c>
      <c r="C43" s="23">
        <f t="shared" si="12"/>
        <v>29.9</v>
      </c>
      <c r="D43" s="23">
        <f t="shared" si="13"/>
        <v>29.9</v>
      </c>
      <c r="E43" s="23" t="str">
        <f t="shared" si="14"/>
        <v/>
      </c>
      <c r="F43" s="23" t="str">
        <f t="shared" si="15"/>
        <v/>
      </c>
      <c r="G43" s="23" t="str">
        <f t="shared" si="16"/>
        <v/>
      </c>
      <c r="H43" s="23" t="str">
        <f t="shared" si="17"/>
        <v/>
      </c>
      <c r="I43" s="23" t="str">
        <f t="shared" si="18"/>
        <v/>
      </c>
      <c r="J43" s="23">
        <f t="shared" si="19"/>
        <v>29.9</v>
      </c>
      <c r="K43" s="23">
        <f t="shared" si="20"/>
        <v>0</v>
      </c>
      <c r="L43" s="23">
        <f t="shared" si="21"/>
        <v>0</v>
      </c>
      <c r="M43" t="s">
        <v>352</v>
      </c>
      <c r="N43" s="7">
        <v>46203</v>
      </c>
      <c r="O43" t="s">
        <v>186</v>
      </c>
      <c r="P43" t="s">
        <v>537</v>
      </c>
      <c r="Q43">
        <v>2026</v>
      </c>
      <c r="R43" s="27" t="s">
        <v>538</v>
      </c>
      <c r="S43" s="27" t="s">
        <v>537</v>
      </c>
      <c r="T43" t="s">
        <v>539</v>
      </c>
      <c r="U43" t="s">
        <v>187</v>
      </c>
      <c r="V43" t="s">
        <v>188</v>
      </c>
      <c r="W43" t="s">
        <v>188</v>
      </c>
      <c r="X43">
        <v>69460</v>
      </c>
      <c r="Y43" t="s">
        <v>189</v>
      </c>
      <c r="Z43" t="s">
        <v>190</v>
      </c>
      <c r="AA43">
        <v>187</v>
      </c>
      <c r="AC43" s="7">
        <v>46177</v>
      </c>
      <c r="AD43">
        <v>21</v>
      </c>
      <c r="AE43" t="s">
        <v>191</v>
      </c>
      <c r="AF43" t="s">
        <v>537</v>
      </c>
      <c r="AG43" t="s">
        <v>192</v>
      </c>
      <c r="AH43">
        <v>21</v>
      </c>
      <c r="AI43" t="s">
        <v>193</v>
      </c>
      <c r="AJ43" s="7">
        <v>46181</v>
      </c>
      <c r="AK43" t="s">
        <v>540</v>
      </c>
      <c r="AL43" t="s">
        <v>537</v>
      </c>
      <c r="AM43" t="s">
        <v>192</v>
      </c>
      <c r="AN43">
        <v>69</v>
      </c>
      <c r="AO43" t="s">
        <v>541</v>
      </c>
      <c r="AR43">
        <v>1</v>
      </c>
      <c r="AS43">
        <v>1</v>
      </c>
      <c r="AT43">
        <v>67</v>
      </c>
      <c r="AU43">
        <v>67</v>
      </c>
      <c r="AV43">
        <v>0</v>
      </c>
      <c r="AW43" t="s">
        <v>194</v>
      </c>
      <c r="AX43">
        <v>67</v>
      </c>
      <c r="AY43">
        <v>0</v>
      </c>
      <c r="BE43" t="s">
        <v>195</v>
      </c>
      <c r="BF43" t="s">
        <v>196</v>
      </c>
      <c r="BG43" t="s">
        <v>197</v>
      </c>
      <c r="BM43">
        <v>27.75</v>
      </c>
      <c r="BN43" s="23">
        <v>29.9</v>
      </c>
      <c r="BQ43" t="s">
        <v>198</v>
      </c>
      <c r="DK43">
        <v>2</v>
      </c>
      <c r="GM43">
        <v>0.15</v>
      </c>
    </row>
    <row r="44" spans="2:195" x14ac:dyDescent="0.35">
      <c r="B44" s="23" t="str">
        <f t="shared" si="11"/>
        <v>EXP20260603-2779393</v>
      </c>
      <c r="C44" s="23">
        <f t="shared" si="12"/>
        <v>28.52</v>
      </c>
      <c r="D44" s="23">
        <f t="shared" si="13"/>
        <v>28.52</v>
      </c>
      <c r="E44" s="23" t="str">
        <f t="shared" si="14"/>
        <v/>
      </c>
      <c r="F44" s="23" t="str">
        <f t="shared" si="15"/>
        <v/>
      </c>
      <c r="G44" s="23" t="str">
        <f t="shared" si="16"/>
        <v/>
      </c>
      <c r="H44" s="23" t="str">
        <f t="shared" si="17"/>
        <v/>
      </c>
      <c r="I44" s="23" t="str">
        <f t="shared" si="18"/>
        <v/>
      </c>
      <c r="J44" s="23">
        <f t="shared" si="19"/>
        <v>28.52</v>
      </c>
      <c r="K44" s="23">
        <f t="shared" si="20"/>
        <v>0</v>
      </c>
      <c r="L44" s="23">
        <f t="shared" si="21"/>
        <v>0</v>
      </c>
      <c r="M44" t="s">
        <v>352</v>
      </c>
      <c r="N44" s="7">
        <v>46203</v>
      </c>
      <c r="O44" t="s">
        <v>186</v>
      </c>
      <c r="P44" t="s">
        <v>542</v>
      </c>
      <c r="Q44">
        <v>2026</v>
      </c>
      <c r="R44" s="27" t="s">
        <v>543</v>
      </c>
      <c r="S44" s="27" t="s">
        <v>542</v>
      </c>
      <c r="T44" t="s">
        <v>544</v>
      </c>
      <c r="U44" t="s">
        <v>187</v>
      </c>
      <c r="V44" t="s">
        <v>188</v>
      </c>
      <c r="W44" t="s">
        <v>188</v>
      </c>
      <c r="X44">
        <v>18120</v>
      </c>
      <c r="Y44" t="s">
        <v>189</v>
      </c>
      <c r="Z44" t="s">
        <v>190</v>
      </c>
      <c r="AA44">
        <v>297</v>
      </c>
      <c r="AC44" s="7">
        <v>46177</v>
      </c>
      <c r="AD44">
        <v>21</v>
      </c>
      <c r="AE44" t="s">
        <v>191</v>
      </c>
      <c r="AF44" t="s">
        <v>542</v>
      </c>
      <c r="AG44" t="s">
        <v>192</v>
      </c>
      <c r="AH44">
        <v>21</v>
      </c>
      <c r="AI44" t="s">
        <v>193</v>
      </c>
      <c r="AJ44" s="7">
        <v>46184</v>
      </c>
      <c r="AK44" t="s">
        <v>545</v>
      </c>
      <c r="AL44" t="s">
        <v>542</v>
      </c>
      <c r="AM44" t="s">
        <v>192</v>
      </c>
      <c r="AN44">
        <v>18</v>
      </c>
      <c r="AO44" t="s">
        <v>546</v>
      </c>
      <c r="AR44">
        <v>1</v>
      </c>
      <c r="AS44">
        <v>1</v>
      </c>
      <c r="AT44">
        <v>34</v>
      </c>
      <c r="AU44">
        <v>34</v>
      </c>
      <c r="AV44">
        <v>0</v>
      </c>
      <c r="AW44" t="s">
        <v>194</v>
      </c>
      <c r="AX44">
        <v>34</v>
      </c>
      <c r="AY44">
        <v>0</v>
      </c>
      <c r="BE44" t="s">
        <v>195</v>
      </c>
      <c r="BF44" t="s">
        <v>196</v>
      </c>
      <c r="BG44" t="s">
        <v>197</v>
      </c>
      <c r="BM44">
        <v>26.37</v>
      </c>
      <c r="BN44" s="23">
        <v>28.52</v>
      </c>
      <c r="BQ44" t="s">
        <v>198</v>
      </c>
      <c r="DK44">
        <v>2</v>
      </c>
      <c r="GM44">
        <v>0.15</v>
      </c>
    </row>
    <row r="45" spans="2:195" x14ac:dyDescent="0.35">
      <c r="B45" s="23" t="str">
        <f t="shared" si="11"/>
        <v>26A060217880</v>
      </c>
      <c r="C45" s="23">
        <f t="shared" si="12"/>
        <v>300</v>
      </c>
      <c r="D45" s="23">
        <f t="shared" si="13"/>
        <v>300</v>
      </c>
      <c r="E45" s="23" t="str">
        <f t="shared" si="14"/>
        <v/>
      </c>
      <c r="F45" s="23" t="str">
        <f t="shared" si="15"/>
        <v/>
      </c>
      <c r="G45" s="23" t="str">
        <f t="shared" si="16"/>
        <v/>
      </c>
      <c r="H45" s="23" t="str">
        <f t="shared" si="17"/>
        <v/>
      </c>
      <c r="I45" s="23" t="str">
        <f t="shared" si="18"/>
        <v/>
      </c>
      <c r="J45" s="23">
        <f t="shared" si="19"/>
        <v>300</v>
      </c>
      <c r="K45" s="23">
        <f t="shared" si="20"/>
        <v>0</v>
      </c>
      <c r="L45" s="23">
        <f t="shared" si="21"/>
        <v>0</v>
      </c>
      <c r="M45" t="s">
        <v>352</v>
      </c>
      <c r="N45" s="7">
        <v>46203</v>
      </c>
      <c r="O45" t="s">
        <v>186</v>
      </c>
      <c r="Q45">
        <v>2026</v>
      </c>
      <c r="R45" s="27" t="s">
        <v>547</v>
      </c>
      <c r="S45" s="27"/>
      <c r="T45" t="s">
        <v>548</v>
      </c>
      <c r="U45" t="s">
        <v>203</v>
      </c>
      <c r="V45" t="s">
        <v>188</v>
      </c>
      <c r="W45" t="s">
        <v>188</v>
      </c>
      <c r="X45">
        <v>21320</v>
      </c>
      <c r="Y45" t="s">
        <v>204</v>
      </c>
      <c r="AA45">
        <v>60</v>
      </c>
      <c r="AC45" s="7">
        <v>46181</v>
      </c>
      <c r="AD45">
        <v>21</v>
      </c>
      <c r="AE45" t="s">
        <v>205</v>
      </c>
      <c r="AG45" t="s">
        <v>192</v>
      </c>
      <c r="AH45">
        <v>21</v>
      </c>
      <c r="AI45" t="s">
        <v>206</v>
      </c>
      <c r="AJ45" s="7"/>
      <c r="AK45" t="s">
        <v>191</v>
      </c>
      <c r="AM45" t="s">
        <v>192</v>
      </c>
      <c r="AN45">
        <v>21</v>
      </c>
      <c r="AO45" t="s">
        <v>193</v>
      </c>
      <c r="AR45">
        <v>33</v>
      </c>
      <c r="AS45">
        <v>33</v>
      </c>
      <c r="AT45">
        <v>25000</v>
      </c>
      <c r="AU45">
        <v>0</v>
      </c>
      <c r="AV45">
        <v>0</v>
      </c>
      <c r="AW45" t="s">
        <v>201</v>
      </c>
      <c r="AX45">
        <v>33</v>
      </c>
      <c r="AY45">
        <v>13.4</v>
      </c>
      <c r="BE45" t="s">
        <v>207</v>
      </c>
      <c r="BF45" t="s">
        <v>208</v>
      </c>
      <c r="BG45" t="s">
        <v>197</v>
      </c>
      <c r="BM45">
        <v>300</v>
      </c>
      <c r="BN45" s="23">
        <v>300</v>
      </c>
    </row>
    <row r="46" spans="2:195" x14ac:dyDescent="0.35">
      <c r="B46" s="23" t="str">
        <f t="shared" si="11"/>
        <v>EXP20260604-2780089</v>
      </c>
      <c r="C46" s="23">
        <f t="shared" si="12"/>
        <v>44.22</v>
      </c>
      <c r="D46" s="23">
        <f t="shared" si="13"/>
        <v>44.22</v>
      </c>
      <c r="E46" s="23" t="str">
        <f t="shared" si="14"/>
        <v/>
      </c>
      <c r="F46" s="23" t="str">
        <f t="shared" si="15"/>
        <v/>
      </c>
      <c r="G46" s="23" t="str">
        <f t="shared" si="16"/>
        <v/>
      </c>
      <c r="H46" s="23" t="str">
        <f t="shared" si="17"/>
        <v/>
      </c>
      <c r="I46" s="23" t="str">
        <f t="shared" si="18"/>
        <v/>
      </c>
      <c r="J46" s="23">
        <f t="shared" si="19"/>
        <v>44.22</v>
      </c>
      <c r="K46" s="23">
        <f t="shared" si="20"/>
        <v>0</v>
      </c>
      <c r="L46" s="23">
        <f t="shared" si="21"/>
        <v>0</v>
      </c>
      <c r="M46" t="s">
        <v>352</v>
      </c>
      <c r="N46">
        <v>46203</v>
      </c>
      <c r="O46" t="s">
        <v>186</v>
      </c>
      <c r="P46" t="s">
        <v>549</v>
      </c>
      <c r="Q46">
        <v>2026</v>
      </c>
      <c r="R46" s="4" t="s">
        <v>550</v>
      </c>
      <c r="S46" s="5" t="s">
        <v>549</v>
      </c>
      <c r="T46" t="s">
        <v>551</v>
      </c>
      <c r="U46" t="s">
        <v>187</v>
      </c>
      <c r="V46" t="s">
        <v>188</v>
      </c>
      <c r="W46" t="s">
        <v>188</v>
      </c>
      <c r="X46">
        <v>76430</v>
      </c>
      <c r="Y46" t="s">
        <v>189</v>
      </c>
      <c r="Z46" t="s">
        <v>190</v>
      </c>
      <c r="AA46">
        <v>533</v>
      </c>
      <c r="AC46">
        <v>46178</v>
      </c>
      <c r="AD46">
        <v>21</v>
      </c>
      <c r="AE46" t="s">
        <v>191</v>
      </c>
      <c r="AF46" t="s">
        <v>549</v>
      </c>
      <c r="AG46" t="s">
        <v>192</v>
      </c>
      <c r="AH46">
        <v>21</v>
      </c>
      <c r="AI46" t="s">
        <v>193</v>
      </c>
      <c r="AJ46">
        <v>46182</v>
      </c>
      <c r="AK46" t="s">
        <v>552</v>
      </c>
      <c r="AL46" t="s">
        <v>549</v>
      </c>
      <c r="AM46" t="s">
        <v>192</v>
      </c>
      <c r="AN46">
        <v>76</v>
      </c>
      <c r="AO46" t="s">
        <v>553</v>
      </c>
      <c r="AP46" t="s">
        <v>554</v>
      </c>
      <c r="AQ46" t="s">
        <v>199</v>
      </c>
      <c r="AR46">
        <v>1</v>
      </c>
      <c r="AS46">
        <v>1</v>
      </c>
      <c r="AT46">
        <v>90</v>
      </c>
      <c r="AU46">
        <v>90</v>
      </c>
      <c r="AV46">
        <v>0</v>
      </c>
      <c r="AW46" t="s">
        <v>194</v>
      </c>
      <c r="AX46">
        <v>90</v>
      </c>
      <c r="AY46">
        <v>0</v>
      </c>
      <c r="BE46" t="s">
        <v>195</v>
      </c>
      <c r="BF46" t="s">
        <v>196</v>
      </c>
      <c r="BG46" t="s">
        <v>197</v>
      </c>
      <c r="BM46">
        <v>42.07</v>
      </c>
      <c r="BN46" s="6">
        <v>44.22</v>
      </c>
      <c r="BQ46" t="s">
        <v>198</v>
      </c>
      <c r="DK46">
        <v>2</v>
      </c>
      <c r="GM46">
        <v>0.15</v>
      </c>
    </row>
    <row r="47" spans="2:195" x14ac:dyDescent="0.35">
      <c r="B47" s="23" t="str">
        <f t="shared" si="11"/>
        <v>EXP20260604-2780723</v>
      </c>
      <c r="C47" s="23">
        <f t="shared" si="12"/>
        <v>186.54</v>
      </c>
      <c r="D47" s="23">
        <f t="shared" si="13"/>
        <v>186.54</v>
      </c>
      <c r="E47" s="23" t="str">
        <f t="shared" si="14"/>
        <v/>
      </c>
      <c r="F47" s="23" t="str">
        <f t="shared" si="15"/>
        <v/>
      </c>
      <c r="G47" s="23" t="str">
        <f t="shared" si="16"/>
        <v/>
      </c>
      <c r="H47" s="23" t="str">
        <f t="shared" si="17"/>
        <v/>
      </c>
      <c r="I47" s="23" t="str">
        <f t="shared" si="18"/>
        <v/>
      </c>
      <c r="J47" s="23">
        <f t="shared" si="19"/>
        <v>186.54</v>
      </c>
      <c r="K47" s="23">
        <f t="shared" si="20"/>
        <v>0</v>
      </c>
      <c r="L47" s="23">
        <f t="shared" si="21"/>
        <v>0</v>
      </c>
      <c r="M47" t="s">
        <v>352</v>
      </c>
      <c r="N47" s="7">
        <v>46203</v>
      </c>
      <c r="O47" t="s">
        <v>186</v>
      </c>
      <c r="P47" t="s">
        <v>555</v>
      </c>
      <c r="Q47">
        <v>2026</v>
      </c>
      <c r="R47" s="27" t="s">
        <v>556</v>
      </c>
      <c r="S47" s="27" t="s">
        <v>555</v>
      </c>
      <c r="T47" t="s">
        <v>557</v>
      </c>
      <c r="U47" t="s">
        <v>187</v>
      </c>
      <c r="V47" t="s">
        <v>188</v>
      </c>
      <c r="W47" t="s">
        <v>188</v>
      </c>
      <c r="X47">
        <v>84850</v>
      </c>
      <c r="Y47" t="s">
        <v>189</v>
      </c>
      <c r="Z47" t="s">
        <v>190</v>
      </c>
      <c r="AA47">
        <v>468</v>
      </c>
      <c r="AC47" s="7">
        <v>46178</v>
      </c>
      <c r="AD47">
        <v>21</v>
      </c>
      <c r="AE47" t="s">
        <v>191</v>
      </c>
      <c r="AF47" t="s">
        <v>555</v>
      </c>
      <c r="AG47" t="s">
        <v>192</v>
      </c>
      <c r="AH47">
        <v>21</v>
      </c>
      <c r="AI47" t="s">
        <v>193</v>
      </c>
      <c r="AJ47" s="7">
        <v>46182</v>
      </c>
      <c r="AK47" t="s">
        <v>558</v>
      </c>
      <c r="AL47" t="s">
        <v>555</v>
      </c>
      <c r="AM47" t="s">
        <v>192</v>
      </c>
      <c r="AN47">
        <v>84</v>
      </c>
      <c r="AO47" t="s">
        <v>559</v>
      </c>
      <c r="AR47">
        <v>3</v>
      </c>
      <c r="AS47">
        <v>3</v>
      </c>
      <c r="AT47">
        <v>502</v>
      </c>
      <c r="AU47">
        <v>502</v>
      </c>
      <c r="AV47">
        <v>0</v>
      </c>
      <c r="AW47" t="s">
        <v>201</v>
      </c>
      <c r="AX47">
        <v>3</v>
      </c>
      <c r="AY47">
        <v>0</v>
      </c>
      <c r="BE47" t="s">
        <v>195</v>
      </c>
      <c r="BF47" t="s">
        <v>196</v>
      </c>
      <c r="BG47" t="s">
        <v>197</v>
      </c>
      <c r="BM47">
        <v>147.51</v>
      </c>
      <c r="BN47" s="23">
        <v>186.54</v>
      </c>
      <c r="BQ47" t="s">
        <v>198</v>
      </c>
      <c r="DI47">
        <v>36.880000000000003</v>
      </c>
      <c r="DK47">
        <v>2</v>
      </c>
      <c r="GM47">
        <v>0.15</v>
      </c>
    </row>
    <row r="48" spans="2:195" x14ac:dyDescent="0.35">
      <c r="B48" s="23" t="str">
        <f t="shared" si="11"/>
        <v>EXP20260604-2780912</v>
      </c>
      <c r="C48" s="23">
        <f t="shared" si="12"/>
        <v>30.9</v>
      </c>
      <c r="D48" s="23">
        <f t="shared" si="13"/>
        <v>30.9</v>
      </c>
      <c r="E48" s="23" t="str">
        <f t="shared" si="14"/>
        <v/>
      </c>
      <c r="F48" s="23" t="str">
        <f t="shared" si="15"/>
        <v/>
      </c>
      <c r="G48" s="23" t="str">
        <f t="shared" si="16"/>
        <v/>
      </c>
      <c r="H48" s="23" t="str">
        <f t="shared" si="17"/>
        <v/>
      </c>
      <c r="I48" s="23" t="str">
        <f t="shared" si="18"/>
        <v/>
      </c>
      <c r="J48" s="23">
        <f t="shared" si="19"/>
        <v>30.9</v>
      </c>
      <c r="K48" s="23">
        <f t="shared" si="20"/>
        <v>0</v>
      </c>
      <c r="L48" s="23">
        <f t="shared" si="21"/>
        <v>0</v>
      </c>
      <c r="M48" t="s">
        <v>352</v>
      </c>
      <c r="N48" s="7">
        <v>46203</v>
      </c>
      <c r="O48" t="s">
        <v>186</v>
      </c>
      <c r="P48" t="s">
        <v>560</v>
      </c>
      <c r="Q48">
        <v>2026</v>
      </c>
      <c r="R48" s="27" t="s">
        <v>561</v>
      </c>
      <c r="S48" s="27" t="s">
        <v>560</v>
      </c>
      <c r="T48" t="s">
        <v>562</v>
      </c>
      <c r="U48" t="s">
        <v>187</v>
      </c>
      <c r="V48" t="s">
        <v>188</v>
      </c>
      <c r="W48" t="s">
        <v>188</v>
      </c>
      <c r="X48">
        <v>69840</v>
      </c>
      <c r="Y48" t="s">
        <v>189</v>
      </c>
      <c r="Z48" t="s">
        <v>190</v>
      </c>
      <c r="AA48">
        <v>187</v>
      </c>
      <c r="AC48" s="7">
        <v>46178</v>
      </c>
      <c r="AD48">
        <v>21</v>
      </c>
      <c r="AE48" t="s">
        <v>191</v>
      </c>
      <c r="AF48" t="s">
        <v>560</v>
      </c>
      <c r="AG48" t="s">
        <v>192</v>
      </c>
      <c r="AH48">
        <v>21</v>
      </c>
      <c r="AI48" t="s">
        <v>193</v>
      </c>
      <c r="AJ48" s="7">
        <v>46182</v>
      </c>
      <c r="AK48" t="s">
        <v>563</v>
      </c>
      <c r="AL48" t="s">
        <v>560</v>
      </c>
      <c r="AM48" t="s">
        <v>192</v>
      </c>
      <c r="AN48">
        <v>69</v>
      </c>
      <c r="AO48" t="s">
        <v>564</v>
      </c>
      <c r="AR48">
        <v>1</v>
      </c>
      <c r="AS48">
        <v>1</v>
      </c>
      <c r="AT48">
        <v>76</v>
      </c>
      <c r="AU48">
        <v>76</v>
      </c>
      <c r="AV48">
        <v>0</v>
      </c>
      <c r="AW48" t="s">
        <v>194</v>
      </c>
      <c r="AX48">
        <v>76</v>
      </c>
      <c r="AY48">
        <v>0</v>
      </c>
      <c r="BE48" t="s">
        <v>195</v>
      </c>
      <c r="BF48" t="s">
        <v>196</v>
      </c>
      <c r="BG48" t="s">
        <v>197</v>
      </c>
      <c r="BM48">
        <v>28.75</v>
      </c>
      <c r="BN48" s="23">
        <v>30.9</v>
      </c>
      <c r="BQ48" t="s">
        <v>198</v>
      </c>
      <c r="DK48">
        <v>2</v>
      </c>
      <c r="GM48">
        <v>0.15</v>
      </c>
    </row>
    <row r="49" spans="2:195" x14ac:dyDescent="0.35">
      <c r="B49" s="23" t="str">
        <f t="shared" si="11"/>
        <v>EXP20260604-2781256</v>
      </c>
      <c r="C49" s="23">
        <f t="shared" si="12"/>
        <v>49.79</v>
      </c>
      <c r="D49" s="23">
        <f t="shared" si="13"/>
        <v>49.79</v>
      </c>
      <c r="E49" s="23" t="str">
        <f t="shared" si="14"/>
        <v/>
      </c>
      <c r="F49" s="23" t="str">
        <f t="shared" si="15"/>
        <v/>
      </c>
      <c r="G49" s="23" t="str">
        <f t="shared" si="16"/>
        <v/>
      </c>
      <c r="H49" s="23" t="str">
        <f t="shared" si="17"/>
        <v/>
      </c>
      <c r="I49" s="23" t="str">
        <f t="shared" si="18"/>
        <v/>
      </c>
      <c r="J49" s="23">
        <f t="shared" si="19"/>
        <v>49.79</v>
      </c>
      <c r="K49" s="23">
        <f t="shared" si="20"/>
        <v>0</v>
      </c>
      <c r="L49" s="23">
        <f t="shared" si="21"/>
        <v>0</v>
      </c>
      <c r="M49" t="s">
        <v>352</v>
      </c>
      <c r="N49" s="7">
        <v>46203</v>
      </c>
      <c r="O49" t="s">
        <v>186</v>
      </c>
      <c r="P49" t="s">
        <v>565</v>
      </c>
      <c r="Q49">
        <v>2026</v>
      </c>
      <c r="R49" s="27" t="s">
        <v>566</v>
      </c>
      <c r="S49" s="27" t="s">
        <v>565</v>
      </c>
      <c r="T49" t="s">
        <v>567</v>
      </c>
      <c r="U49" t="s">
        <v>187</v>
      </c>
      <c r="V49" t="s">
        <v>188</v>
      </c>
      <c r="W49" t="s">
        <v>188</v>
      </c>
      <c r="X49">
        <v>84600</v>
      </c>
      <c r="Y49" t="s">
        <v>189</v>
      </c>
      <c r="Z49" t="s">
        <v>190</v>
      </c>
      <c r="AA49">
        <v>498</v>
      </c>
      <c r="AC49" s="7">
        <v>46178</v>
      </c>
      <c r="AD49">
        <v>21</v>
      </c>
      <c r="AE49" t="s">
        <v>191</v>
      </c>
      <c r="AF49" t="s">
        <v>565</v>
      </c>
      <c r="AG49" t="s">
        <v>192</v>
      </c>
      <c r="AH49">
        <v>21</v>
      </c>
      <c r="AI49" t="s">
        <v>193</v>
      </c>
      <c r="AJ49" s="7">
        <v>46185</v>
      </c>
      <c r="AK49" t="s">
        <v>568</v>
      </c>
      <c r="AL49" t="s">
        <v>565</v>
      </c>
      <c r="AM49" t="s">
        <v>192</v>
      </c>
      <c r="AN49">
        <v>84</v>
      </c>
      <c r="AO49" t="s">
        <v>569</v>
      </c>
      <c r="AR49">
        <v>1</v>
      </c>
      <c r="AS49">
        <v>1</v>
      </c>
      <c r="AT49">
        <v>85</v>
      </c>
      <c r="AU49">
        <v>85</v>
      </c>
      <c r="AV49">
        <v>0</v>
      </c>
      <c r="AW49" t="s">
        <v>194</v>
      </c>
      <c r="AX49">
        <v>85</v>
      </c>
      <c r="AY49">
        <v>0</v>
      </c>
      <c r="BE49" t="s">
        <v>195</v>
      </c>
      <c r="BF49" t="s">
        <v>196</v>
      </c>
      <c r="BG49" t="s">
        <v>197</v>
      </c>
      <c r="BM49">
        <v>38.11</v>
      </c>
      <c r="BN49" s="23">
        <v>49.79</v>
      </c>
      <c r="BQ49" t="s">
        <v>198</v>
      </c>
      <c r="DI49">
        <v>9.5299999999999994</v>
      </c>
      <c r="DK49">
        <v>2</v>
      </c>
      <c r="GM49">
        <v>0.15</v>
      </c>
    </row>
    <row r="50" spans="2:195" x14ac:dyDescent="0.35">
      <c r="B50" s="23" t="str">
        <f t="shared" si="11"/>
        <v>EXP20260528-2767800</v>
      </c>
      <c r="C50" s="23">
        <f t="shared" si="12"/>
        <v>63.44</v>
      </c>
      <c r="D50" s="23">
        <f t="shared" si="13"/>
        <v>63.44</v>
      </c>
      <c r="E50" s="23" t="str">
        <f t="shared" si="14"/>
        <v/>
      </c>
      <c r="F50" s="23" t="str">
        <f t="shared" si="15"/>
        <v/>
      </c>
      <c r="G50" s="23" t="str">
        <f t="shared" si="16"/>
        <v/>
      </c>
      <c r="H50" s="23" t="str">
        <f t="shared" si="17"/>
        <v/>
      </c>
      <c r="I50" s="23" t="str">
        <f t="shared" si="18"/>
        <v/>
      </c>
      <c r="J50" s="23">
        <f t="shared" si="19"/>
        <v>63.44</v>
      </c>
      <c r="K50" s="23">
        <f t="shared" si="20"/>
        <v>0</v>
      </c>
      <c r="L50" s="23">
        <f t="shared" si="21"/>
        <v>0</v>
      </c>
      <c r="M50" t="s">
        <v>352</v>
      </c>
      <c r="N50" s="7">
        <v>46203</v>
      </c>
      <c r="O50" t="s">
        <v>186</v>
      </c>
      <c r="P50" t="s">
        <v>570</v>
      </c>
      <c r="Q50">
        <v>2026</v>
      </c>
      <c r="R50" s="27" t="s">
        <v>571</v>
      </c>
      <c r="S50" s="27" t="s">
        <v>570</v>
      </c>
      <c r="T50" t="s">
        <v>572</v>
      </c>
      <c r="U50" t="s">
        <v>187</v>
      </c>
      <c r="V50" t="s">
        <v>188</v>
      </c>
      <c r="W50" t="s">
        <v>188</v>
      </c>
      <c r="X50">
        <v>60300</v>
      </c>
      <c r="Y50" t="s">
        <v>189</v>
      </c>
      <c r="Z50" t="s">
        <v>190</v>
      </c>
      <c r="AA50">
        <v>485</v>
      </c>
      <c r="AC50" s="7">
        <v>46178</v>
      </c>
      <c r="AD50">
        <v>21</v>
      </c>
      <c r="AE50" t="s">
        <v>191</v>
      </c>
      <c r="AF50" t="s">
        <v>570</v>
      </c>
      <c r="AG50" t="s">
        <v>192</v>
      </c>
      <c r="AH50">
        <v>21</v>
      </c>
      <c r="AI50" t="s">
        <v>193</v>
      </c>
      <c r="AJ50" s="7">
        <v>46184</v>
      </c>
      <c r="AK50" t="s">
        <v>573</v>
      </c>
      <c r="AL50" t="s">
        <v>570</v>
      </c>
      <c r="AM50" t="s">
        <v>192</v>
      </c>
      <c r="AN50">
        <v>60</v>
      </c>
      <c r="AO50" t="s">
        <v>574</v>
      </c>
      <c r="AP50" t="s">
        <v>575</v>
      </c>
      <c r="AQ50" t="s">
        <v>199</v>
      </c>
      <c r="AR50">
        <v>1</v>
      </c>
      <c r="AS50">
        <v>1</v>
      </c>
      <c r="AT50">
        <v>328</v>
      </c>
      <c r="AU50">
        <v>328</v>
      </c>
      <c r="AV50">
        <v>0</v>
      </c>
      <c r="AW50" t="s">
        <v>201</v>
      </c>
      <c r="AX50">
        <v>1</v>
      </c>
      <c r="AY50">
        <v>0</v>
      </c>
      <c r="BE50" t="s">
        <v>195</v>
      </c>
      <c r="BF50" t="s">
        <v>196</v>
      </c>
      <c r="BG50" t="s">
        <v>197</v>
      </c>
      <c r="BM50">
        <v>61.29</v>
      </c>
      <c r="BN50" s="23">
        <v>63.44</v>
      </c>
      <c r="BO50" t="s">
        <v>576</v>
      </c>
      <c r="BQ50" t="s">
        <v>198</v>
      </c>
      <c r="DK50">
        <v>2</v>
      </c>
      <c r="GM50">
        <v>0.15</v>
      </c>
    </row>
    <row r="51" spans="2:195" x14ac:dyDescent="0.35">
      <c r="B51" s="23" t="str">
        <f t="shared" si="11"/>
        <v>26A060261866</v>
      </c>
      <c r="C51" s="23">
        <f t="shared" si="12"/>
        <v>300</v>
      </c>
      <c r="D51" s="23">
        <f t="shared" si="13"/>
        <v>300</v>
      </c>
      <c r="E51" s="23" t="str">
        <f t="shared" si="14"/>
        <v/>
      </c>
      <c r="F51" s="23" t="str">
        <f t="shared" si="15"/>
        <v/>
      </c>
      <c r="G51" s="23" t="str">
        <f t="shared" si="16"/>
        <v/>
      </c>
      <c r="H51" s="23" t="str">
        <f t="shared" si="17"/>
        <v/>
      </c>
      <c r="I51" s="23" t="str">
        <f t="shared" si="18"/>
        <v/>
      </c>
      <c r="J51" s="23">
        <f t="shared" si="19"/>
        <v>300</v>
      </c>
      <c r="K51" s="23">
        <f t="shared" si="20"/>
        <v>0</v>
      </c>
      <c r="L51" s="23">
        <f t="shared" si="21"/>
        <v>0</v>
      </c>
      <c r="M51" t="s">
        <v>352</v>
      </c>
      <c r="N51" s="7">
        <v>46203</v>
      </c>
      <c r="O51" t="s">
        <v>186</v>
      </c>
      <c r="Q51">
        <v>2026</v>
      </c>
      <c r="R51" s="27" t="s">
        <v>577</v>
      </c>
      <c r="S51" s="27"/>
      <c r="T51" t="s">
        <v>578</v>
      </c>
      <c r="U51" t="s">
        <v>203</v>
      </c>
      <c r="V51" t="s">
        <v>188</v>
      </c>
      <c r="W51" t="s">
        <v>188</v>
      </c>
      <c r="X51">
        <v>21320</v>
      </c>
      <c r="Y51" t="s">
        <v>204</v>
      </c>
      <c r="AA51">
        <v>60</v>
      </c>
      <c r="AC51" s="7">
        <v>46183</v>
      </c>
      <c r="AD51">
        <v>21</v>
      </c>
      <c r="AE51" t="s">
        <v>205</v>
      </c>
      <c r="AG51" t="s">
        <v>192</v>
      </c>
      <c r="AH51">
        <v>21</v>
      </c>
      <c r="AI51" t="s">
        <v>206</v>
      </c>
      <c r="AJ51" s="7"/>
      <c r="AK51" t="s">
        <v>191</v>
      </c>
      <c r="AM51" t="s">
        <v>192</v>
      </c>
      <c r="AN51">
        <v>21</v>
      </c>
      <c r="AO51" t="s">
        <v>193</v>
      </c>
      <c r="AR51">
        <v>33</v>
      </c>
      <c r="AS51">
        <v>33</v>
      </c>
      <c r="AT51">
        <v>25000</v>
      </c>
      <c r="AU51">
        <v>0</v>
      </c>
      <c r="AV51">
        <v>0</v>
      </c>
      <c r="AW51" t="s">
        <v>201</v>
      </c>
      <c r="AX51">
        <v>33</v>
      </c>
      <c r="AY51">
        <v>13.4</v>
      </c>
      <c r="BE51" t="s">
        <v>207</v>
      </c>
      <c r="BF51" t="s">
        <v>208</v>
      </c>
      <c r="BG51" t="s">
        <v>197</v>
      </c>
      <c r="BM51">
        <v>300</v>
      </c>
      <c r="BN51" s="23">
        <v>300</v>
      </c>
    </row>
    <row r="52" spans="2:195" x14ac:dyDescent="0.35">
      <c r="B52" s="29" t="str">
        <f t="shared" si="11"/>
        <v>26A060316606</v>
      </c>
      <c r="C52" s="23">
        <f t="shared" si="12"/>
        <v>605</v>
      </c>
      <c r="D52" s="23">
        <f t="shared" si="13"/>
        <v>605</v>
      </c>
      <c r="E52" s="23" t="str">
        <f t="shared" si="14"/>
        <v/>
      </c>
      <c r="F52" s="23" t="str">
        <f t="shared" si="15"/>
        <v/>
      </c>
      <c r="G52" s="23" t="str">
        <f t="shared" si="16"/>
        <v/>
      </c>
      <c r="H52" s="23" t="str">
        <f t="shared" si="17"/>
        <v/>
      </c>
      <c r="I52" s="23" t="str">
        <f t="shared" si="18"/>
        <v/>
      </c>
      <c r="J52" s="23">
        <f t="shared" si="19"/>
        <v>605</v>
      </c>
      <c r="K52" s="23">
        <f t="shared" si="20"/>
        <v>0</v>
      </c>
      <c r="L52" s="23">
        <f t="shared" si="21"/>
        <v>0</v>
      </c>
      <c r="M52" t="s">
        <v>352</v>
      </c>
      <c r="N52" s="7">
        <v>46203</v>
      </c>
      <c r="O52" t="s">
        <v>186</v>
      </c>
      <c r="Q52">
        <v>2026</v>
      </c>
      <c r="R52" s="27" t="s">
        <v>579</v>
      </c>
      <c r="S52" s="27"/>
      <c r="T52" t="s">
        <v>580</v>
      </c>
      <c r="U52" t="s">
        <v>187</v>
      </c>
      <c r="V52" t="s">
        <v>188</v>
      </c>
      <c r="W52" t="s">
        <v>188</v>
      </c>
      <c r="X52">
        <v>60800</v>
      </c>
      <c r="Y52" t="s">
        <v>204</v>
      </c>
      <c r="AA52">
        <v>746</v>
      </c>
      <c r="AC52" s="7">
        <v>46188</v>
      </c>
      <c r="AD52">
        <v>21</v>
      </c>
      <c r="AE52" t="s">
        <v>581</v>
      </c>
      <c r="AG52" t="s">
        <v>192</v>
      </c>
      <c r="AH52">
        <v>30</v>
      </c>
      <c r="AI52" t="s">
        <v>582</v>
      </c>
      <c r="AJ52" s="7"/>
      <c r="AK52" t="s">
        <v>583</v>
      </c>
      <c r="AM52" t="s">
        <v>192</v>
      </c>
      <c r="AN52">
        <v>60</v>
      </c>
      <c r="AO52" t="s">
        <v>584</v>
      </c>
      <c r="AR52">
        <v>2</v>
      </c>
      <c r="AS52">
        <v>2</v>
      </c>
      <c r="AT52">
        <v>900</v>
      </c>
      <c r="AU52">
        <v>0</v>
      </c>
      <c r="AV52">
        <v>0</v>
      </c>
      <c r="AW52" t="s">
        <v>201</v>
      </c>
      <c r="AX52">
        <v>2</v>
      </c>
      <c r="AY52">
        <v>0.8</v>
      </c>
      <c r="BE52" t="s">
        <v>195</v>
      </c>
      <c r="BF52" t="s">
        <v>208</v>
      </c>
      <c r="BG52" t="s">
        <v>197</v>
      </c>
      <c r="BM52">
        <v>315</v>
      </c>
      <c r="BN52" s="23">
        <v>605</v>
      </c>
      <c r="CN52">
        <v>290</v>
      </c>
    </row>
    <row r="53" spans="2:195" x14ac:dyDescent="0.35">
      <c r="B53" s="23" t="str">
        <f t="shared" si="11"/>
        <v>EXP20260605-2783336</v>
      </c>
      <c r="C53" s="23">
        <f t="shared" si="12"/>
        <v>57.19</v>
      </c>
      <c r="D53" s="23">
        <f t="shared" si="13"/>
        <v>57.19</v>
      </c>
      <c r="E53" s="23" t="str">
        <f t="shared" si="14"/>
        <v/>
      </c>
      <c r="F53" s="23" t="str">
        <f t="shared" si="15"/>
        <v/>
      </c>
      <c r="G53" s="23" t="str">
        <f t="shared" si="16"/>
        <v/>
      </c>
      <c r="H53" s="23" t="str">
        <f t="shared" si="17"/>
        <v/>
      </c>
      <c r="I53" s="23" t="str">
        <f t="shared" si="18"/>
        <v/>
      </c>
      <c r="J53" s="23">
        <f t="shared" si="19"/>
        <v>57.19</v>
      </c>
      <c r="K53" s="23">
        <f t="shared" si="20"/>
        <v>0</v>
      </c>
      <c r="L53" s="23">
        <f t="shared" si="21"/>
        <v>0</v>
      </c>
      <c r="M53" t="s">
        <v>352</v>
      </c>
      <c r="N53" s="7">
        <v>46203</v>
      </c>
      <c r="O53" t="s">
        <v>186</v>
      </c>
      <c r="P53" t="s">
        <v>585</v>
      </c>
      <c r="Q53">
        <v>2026</v>
      </c>
      <c r="R53" s="27" t="s">
        <v>586</v>
      </c>
      <c r="S53" s="27" t="s">
        <v>585</v>
      </c>
      <c r="T53" t="s">
        <v>587</v>
      </c>
      <c r="U53" t="s">
        <v>187</v>
      </c>
      <c r="V53" t="s">
        <v>188</v>
      </c>
      <c r="W53" t="s">
        <v>188</v>
      </c>
      <c r="X53">
        <v>66190</v>
      </c>
      <c r="Y53" t="s">
        <v>189</v>
      </c>
      <c r="Z53" t="s">
        <v>190</v>
      </c>
      <c r="AA53">
        <v>725</v>
      </c>
      <c r="AC53" s="7">
        <v>46182</v>
      </c>
      <c r="AD53">
        <v>21</v>
      </c>
      <c r="AE53" t="s">
        <v>191</v>
      </c>
      <c r="AF53" t="s">
        <v>585</v>
      </c>
      <c r="AG53" t="s">
        <v>192</v>
      </c>
      <c r="AH53">
        <v>21</v>
      </c>
      <c r="AI53" t="s">
        <v>193</v>
      </c>
      <c r="AJ53" s="7">
        <v>46184</v>
      </c>
      <c r="AK53" t="s">
        <v>588</v>
      </c>
      <c r="AL53" t="s">
        <v>585</v>
      </c>
      <c r="AM53" t="s">
        <v>192</v>
      </c>
      <c r="AN53">
        <v>66</v>
      </c>
      <c r="AO53" t="s">
        <v>589</v>
      </c>
      <c r="AP53" t="s">
        <v>214</v>
      </c>
      <c r="AR53">
        <v>1</v>
      </c>
      <c r="AS53">
        <v>1</v>
      </c>
      <c r="AT53">
        <v>71</v>
      </c>
      <c r="AU53">
        <v>71</v>
      </c>
      <c r="AV53">
        <v>0</v>
      </c>
      <c r="AW53" t="s">
        <v>194</v>
      </c>
      <c r="AX53">
        <v>71</v>
      </c>
      <c r="AY53">
        <v>0</v>
      </c>
      <c r="BE53" t="s">
        <v>195</v>
      </c>
      <c r="BF53" t="s">
        <v>196</v>
      </c>
      <c r="BG53" t="s">
        <v>197</v>
      </c>
      <c r="BM53">
        <v>44.03</v>
      </c>
      <c r="BN53" s="23">
        <v>57.19</v>
      </c>
      <c r="BQ53" t="s">
        <v>198</v>
      </c>
      <c r="DI53">
        <v>11.01</v>
      </c>
      <c r="DK53">
        <v>2</v>
      </c>
      <c r="GM53">
        <v>0.15</v>
      </c>
    </row>
    <row r="54" spans="2:195" x14ac:dyDescent="0.35">
      <c r="B54" s="23" t="str">
        <f t="shared" si="11"/>
        <v>EXP20260608-2785953</v>
      </c>
      <c r="C54" s="23">
        <f t="shared" si="12"/>
        <v>50.589999999999996</v>
      </c>
      <c r="D54" s="23">
        <f t="shared" si="13"/>
        <v>50.589999999999996</v>
      </c>
      <c r="E54" s="23" t="str">
        <f t="shared" si="14"/>
        <v/>
      </c>
      <c r="F54" s="23" t="str">
        <f t="shared" si="15"/>
        <v/>
      </c>
      <c r="G54" s="23">
        <f t="shared" si="16"/>
        <v>7</v>
      </c>
      <c r="H54" s="23" t="str">
        <f t="shared" si="17"/>
        <v/>
      </c>
      <c r="I54" s="23" t="str">
        <f t="shared" si="18"/>
        <v/>
      </c>
      <c r="J54" s="23">
        <f t="shared" si="19"/>
        <v>43.589999999999996</v>
      </c>
      <c r="K54" s="23">
        <f t="shared" si="20"/>
        <v>0</v>
      </c>
      <c r="L54" s="23">
        <f t="shared" si="21"/>
        <v>0</v>
      </c>
      <c r="M54" t="s">
        <v>352</v>
      </c>
      <c r="N54" s="7">
        <v>46203</v>
      </c>
      <c r="O54" t="s">
        <v>186</v>
      </c>
      <c r="P54" t="s">
        <v>590</v>
      </c>
      <c r="Q54">
        <v>2026</v>
      </c>
      <c r="R54" s="27" t="s">
        <v>591</v>
      </c>
      <c r="S54" s="27" t="s">
        <v>590</v>
      </c>
      <c r="T54" t="s">
        <v>592</v>
      </c>
      <c r="U54" t="s">
        <v>187</v>
      </c>
      <c r="V54" t="s">
        <v>188</v>
      </c>
      <c r="W54" t="s">
        <v>188</v>
      </c>
      <c r="X54">
        <v>13001</v>
      </c>
      <c r="Y54" t="s">
        <v>189</v>
      </c>
      <c r="Z54" t="s">
        <v>190</v>
      </c>
      <c r="AA54">
        <v>530</v>
      </c>
      <c r="AC54" s="7">
        <v>46182</v>
      </c>
      <c r="AD54">
        <v>21</v>
      </c>
      <c r="AE54" t="s">
        <v>191</v>
      </c>
      <c r="AF54" t="s">
        <v>590</v>
      </c>
      <c r="AG54" t="s">
        <v>192</v>
      </c>
      <c r="AH54">
        <v>21</v>
      </c>
      <c r="AI54" t="s">
        <v>193</v>
      </c>
      <c r="AJ54" s="7">
        <v>46183</v>
      </c>
      <c r="AK54" t="s">
        <v>593</v>
      </c>
      <c r="AL54" t="s">
        <v>590</v>
      </c>
      <c r="AM54" t="s">
        <v>192</v>
      </c>
      <c r="AN54">
        <v>13</v>
      </c>
      <c r="AO54" t="s">
        <v>212</v>
      </c>
      <c r="AR54">
        <v>1</v>
      </c>
      <c r="AS54">
        <v>1</v>
      </c>
      <c r="AT54">
        <v>45</v>
      </c>
      <c r="AU54">
        <v>45</v>
      </c>
      <c r="AV54">
        <v>0</v>
      </c>
      <c r="AW54" t="s">
        <v>194</v>
      </c>
      <c r="AX54">
        <v>45</v>
      </c>
      <c r="AY54">
        <v>0</v>
      </c>
      <c r="BE54" t="s">
        <v>195</v>
      </c>
      <c r="BF54" t="s">
        <v>196</v>
      </c>
      <c r="BG54" t="s">
        <v>197</v>
      </c>
      <c r="BM54">
        <v>33.15</v>
      </c>
      <c r="BN54" s="23">
        <v>50.59</v>
      </c>
      <c r="BQ54" t="s">
        <v>198</v>
      </c>
      <c r="DI54">
        <v>8.2899999999999991</v>
      </c>
      <c r="DK54">
        <v>2</v>
      </c>
      <c r="DN54">
        <v>7</v>
      </c>
      <c r="GM54">
        <v>0.15</v>
      </c>
    </row>
    <row r="55" spans="2:195" x14ac:dyDescent="0.35">
      <c r="B55" s="23" t="str">
        <f t="shared" si="11"/>
        <v>EXP20260605-2782826</v>
      </c>
      <c r="C55" s="23">
        <f t="shared" si="12"/>
        <v>60.7</v>
      </c>
      <c r="D55" s="23">
        <f t="shared" si="13"/>
        <v>60.7</v>
      </c>
      <c r="E55" s="23" t="str">
        <f t="shared" si="14"/>
        <v/>
      </c>
      <c r="F55" s="23" t="str">
        <f t="shared" si="15"/>
        <v/>
      </c>
      <c r="G55" s="23" t="str">
        <f t="shared" si="16"/>
        <v/>
      </c>
      <c r="H55" s="23" t="str">
        <f t="shared" si="17"/>
        <v/>
      </c>
      <c r="I55" s="23" t="str">
        <f t="shared" si="18"/>
        <v/>
      </c>
      <c r="J55" s="23">
        <f t="shared" si="19"/>
        <v>60.7</v>
      </c>
      <c r="K55" s="23">
        <f t="shared" si="20"/>
        <v>0</v>
      </c>
      <c r="L55" s="23">
        <f t="shared" si="21"/>
        <v>0</v>
      </c>
      <c r="M55" t="s">
        <v>352</v>
      </c>
      <c r="N55" s="7">
        <v>46203</v>
      </c>
      <c r="O55" t="s">
        <v>186</v>
      </c>
      <c r="P55" t="s">
        <v>594</v>
      </c>
      <c r="Q55">
        <v>2026</v>
      </c>
      <c r="R55" s="27" t="s">
        <v>595</v>
      </c>
      <c r="S55" s="27" t="s">
        <v>594</v>
      </c>
      <c r="T55" t="s">
        <v>596</v>
      </c>
      <c r="U55" t="s">
        <v>187</v>
      </c>
      <c r="V55" t="s">
        <v>188</v>
      </c>
      <c r="W55" t="s">
        <v>188</v>
      </c>
      <c r="X55">
        <v>83260</v>
      </c>
      <c r="Y55" t="s">
        <v>189</v>
      </c>
      <c r="Z55" t="s">
        <v>190</v>
      </c>
      <c r="AA55">
        <v>599</v>
      </c>
      <c r="AC55" s="7">
        <v>46182</v>
      </c>
      <c r="AD55">
        <v>21</v>
      </c>
      <c r="AE55" t="s">
        <v>191</v>
      </c>
      <c r="AF55" t="s">
        <v>594</v>
      </c>
      <c r="AG55" t="s">
        <v>192</v>
      </c>
      <c r="AH55">
        <v>21</v>
      </c>
      <c r="AI55" t="s">
        <v>193</v>
      </c>
      <c r="AJ55" s="7">
        <v>46184</v>
      </c>
      <c r="AK55" t="s">
        <v>597</v>
      </c>
      <c r="AL55" t="s">
        <v>594</v>
      </c>
      <c r="AM55" t="s">
        <v>192</v>
      </c>
      <c r="AN55">
        <v>83</v>
      </c>
      <c r="AO55" t="s">
        <v>598</v>
      </c>
      <c r="AR55">
        <v>1</v>
      </c>
      <c r="AS55">
        <v>1</v>
      </c>
      <c r="AT55">
        <v>109</v>
      </c>
      <c r="AU55">
        <v>109</v>
      </c>
      <c r="AV55">
        <v>0</v>
      </c>
      <c r="AW55" t="s">
        <v>194</v>
      </c>
      <c r="AX55">
        <v>109</v>
      </c>
      <c r="AY55">
        <v>0</v>
      </c>
      <c r="BE55" t="s">
        <v>195</v>
      </c>
      <c r="BF55" t="s">
        <v>196</v>
      </c>
      <c r="BG55" t="s">
        <v>197</v>
      </c>
      <c r="BM55">
        <v>46.84</v>
      </c>
      <c r="BN55" s="23">
        <v>60.7</v>
      </c>
      <c r="BQ55" t="s">
        <v>198</v>
      </c>
      <c r="DI55">
        <v>11.71</v>
      </c>
      <c r="DK55">
        <v>2</v>
      </c>
      <c r="GM55">
        <v>0.15</v>
      </c>
    </row>
    <row r="56" spans="2:195" x14ac:dyDescent="0.35">
      <c r="B56" s="23" t="str">
        <f t="shared" si="11"/>
        <v>EXP20260608-2786159</v>
      </c>
      <c r="C56" s="23">
        <f t="shared" si="12"/>
        <v>45.94</v>
      </c>
      <c r="D56" s="23">
        <f t="shared" si="13"/>
        <v>45.94</v>
      </c>
      <c r="E56" s="23" t="str">
        <f t="shared" si="14"/>
        <v/>
      </c>
      <c r="F56" s="23" t="str">
        <f t="shared" si="15"/>
        <v/>
      </c>
      <c r="G56" s="23" t="str">
        <f t="shared" si="16"/>
        <v/>
      </c>
      <c r="H56" s="23" t="str">
        <f t="shared" si="17"/>
        <v/>
      </c>
      <c r="I56" s="23" t="str">
        <f t="shared" si="18"/>
        <v/>
      </c>
      <c r="J56" s="23">
        <f t="shared" si="19"/>
        <v>45.94</v>
      </c>
      <c r="K56" s="23">
        <f t="shared" si="20"/>
        <v>0</v>
      </c>
      <c r="L56" s="23">
        <f t="shared" si="21"/>
        <v>0</v>
      </c>
      <c r="M56" t="s">
        <v>352</v>
      </c>
      <c r="N56" s="7">
        <v>46203</v>
      </c>
      <c r="O56" t="s">
        <v>186</v>
      </c>
      <c r="P56" t="s">
        <v>599</v>
      </c>
      <c r="Q56">
        <v>2026</v>
      </c>
      <c r="R56" s="27" t="s">
        <v>600</v>
      </c>
      <c r="S56" s="27" t="s">
        <v>599</v>
      </c>
      <c r="T56" t="s">
        <v>601</v>
      </c>
      <c r="U56" t="s">
        <v>187</v>
      </c>
      <c r="V56" t="s">
        <v>188</v>
      </c>
      <c r="W56" t="s">
        <v>188</v>
      </c>
      <c r="X56">
        <v>11200</v>
      </c>
      <c r="Y56" t="s">
        <v>189</v>
      </c>
      <c r="Z56" t="s">
        <v>190</v>
      </c>
      <c r="AA56">
        <v>685</v>
      </c>
      <c r="AC56" s="7">
        <v>46182</v>
      </c>
      <c r="AD56">
        <v>21</v>
      </c>
      <c r="AE56" t="s">
        <v>191</v>
      </c>
      <c r="AF56" t="s">
        <v>599</v>
      </c>
      <c r="AG56" t="s">
        <v>192</v>
      </c>
      <c r="AH56">
        <v>21</v>
      </c>
      <c r="AI56" t="s">
        <v>193</v>
      </c>
      <c r="AJ56" s="7">
        <v>46184</v>
      </c>
      <c r="AK56" t="s">
        <v>602</v>
      </c>
      <c r="AL56" t="s">
        <v>599</v>
      </c>
      <c r="AM56" t="s">
        <v>192</v>
      </c>
      <c r="AN56">
        <v>11</v>
      </c>
      <c r="AO56" t="s">
        <v>603</v>
      </c>
      <c r="AR56">
        <v>1</v>
      </c>
      <c r="AS56">
        <v>1</v>
      </c>
      <c r="AT56">
        <v>34</v>
      </c>
      <c r="AU56">
        <v>34</v>
      </c>
      <c r="AV56">
        <v>0</v>
      </c>
      <c r="AW56" t="s">
        <v>194</v>
      </c>
      <c r="AX56">
        <v>34</v>
      </c>
      <c r="AY56">
        <v>0</v>
      </c>
      <c r="BE56" t="s">
        <v>195</v>
      </c>
      <c r="BF56" t="s">
        <v>196</v>
      </c>
      <c r="BG56" t="s">
        <v>197</v>
      </c>
      <c r="BM56">
        <v>35.03</v>
      </c>
      <c r="BN56" s="23">
        <v>45.94</v>
      </c>
      <c r="BQ56" t="s">
        <v>198</v>
      </c>
      <c r="DI56">
        <v>8.76</v>
      </c>
      <c r="DK56">
        <v>2</v>
      </c>
      <c r="GM56">
        <v>0.15</v>
      </c>
    </row>
    <row r="57" spans="2:195" x14ac:dyDescent="0.35">
      <c r="B57" s="23" t="str">
        <f t="shared" si="11"/>
        <v>EXP20260605-2782634</v>
      </c>
      <c r="C57" s="23">
        <f t="shared" si="12"/>
        <v>48.39</v>
      </c>
      <c r="D57" s="23">
        <f t="shared" si="13"/>
        <v>48.39</v>
      </c>
      <c r="E57" s="23" t="str">
        <f t="shared" si="14"/>
        <v/>
      </c>
      <c r="F57" s="23" t="str">
        <f t="shared" si="15"/>
        <v/>
      </c>
      <c r="G57" s="23" t="str">
        <f t="shared" si="16"/>
        <v/>
      </c>
      <c r="H57" s="23" t="str">
        <f t="shared" si="17"/>
        <v/>
      </c>
      <c r="I57" s="23" t="str">
        <f t="shared" si="18"/>
        <v/>
      </c>
      <c r="J57" s="23">
        <f t="shared" si="19"/>
        <v>48.39</v>
      </c>
      <c r="K57" s="23">
        <f t="shared" si="20"/>
        <v>0</v>
      </c>
      <c r="L57" s="23">
        <f t="shared" si="21"/>
        <v>0</v>
      </c>
      <c r="M57" t="s">
        <v>352</v>
      </c>
      <c r="N57" s="7">
        <v>46203</v>
      </c>
      <c r="O57" t="s">
        <v>186</v>
      </c>
      <c r="P57" t="s">
        <v>604</v>
      </c>
      <c r="Q57">
        <v>2026</v>
      </c>
      <c r="R57" s="27" t="s">
        <v>605</v>
      </c>
      <c r="S57" s="27" t="s">
        <v>604</v>
      </c>
      <c r="T57" t="s">
        <v>606</v>
      </c>
      <c r="U57" t="s">
        <v>187</v>
      </c>
      <c r="V57" t="s">
        <v>188</v>
      </c>
      <c r="W57" t="s">
        <v>188</v>
      </c>
      <c r="X57">
        <v>83690</v>
      </c>
      <c r="Y57" t="s">
        <v>189</v>
      </c>
      <c r="Z57" t="s">
        <v>190</v>
      </c>
      <c r="AA57">
        <v>599</v>
      </c>
      <c r="AC57" s="7">
        <v>46182</v>
      </c>
      <c r="AD57">
        <v>21</v>
      </c>
      <c r="AE57" t="s">
        <v>191</v>
      </c>
      <c r="AF57" t="s">
        <v>604</v>
      </c>
      <c r="AG57" t="s">
        <v>192</v>
      </c>
      <c r="AH57">
        <v>21</v>
      </c>
      <c r="AI57" t="s">
        <v>193</v>
      </c>
      <c r="AJ57" s="7">
        <v>46188</v>
      </c>
      <c r="AK57" t="s">
        <v>607</v>
      </c>
      <c r="AL57" t="s">
        <v>604</v>
      </c>
      <c r="AM57" t="s">
        <v>192</v>
      </c>
      <c r="AN57">
        <v>83</v>
      </c>
      <c r="AO57" t="s">
        <v>608</v>
      </c>
      <c r="AR57">
        <v>1</v>
      </c>
      <c r="AS57">
        <v>1</v>
      </c>
      <c r="AT57">
        <v>51</v>
      </c>
      <c r="AU57">
        <v>51</v>
      </c>
      <c r="AV57">
        <v>0</v>
      </c>
      <c r="AW57" t="s">
        <v>194</v>
      </c>
      <c r="AX57">
        <v>51</v>
      </c>
      <c r="AY57">
        <v>0</v>
      </c>
      <c r="BE57" t="s">
        <v>195</v>
      </c>
      <c r="BF57" t="s">
        <v>196</v>
      </c>
      <c r="BG57" t="s">
        <v>197</v>
      </c>
      <c r="BM57">
        <v>36.99</v>
      </c>
      <c r="BN57" s="23">
        <v>48.39</v>
      </c>
      <c r="BQ57" t="s">
        <v>198</v>
      </c>
      <c r="DI57">
        <v>9.25</v>
      </c>
      <c r="DK57">
        <v>2</v>
      </c>
      <c r="GM57">
        <v>0.15</v>
      </c>
    </row>
    <row r="58" spans="2:195" x14ac:dyDescent="0.35">
      <c r="B58" s="23" t="str">
        <f t="shared" si="11"/>
        <v>EXP20260605-2783082</v>
      </c>
      <c r="C58" s="23">
        <f t="shared" si="12"/>
        <v>33.85</v>
      </c>
      <c r="D58" s="23">
        <f t="shared" si="13"/>
        <v>33.85</v>
      </c>
      <c r="E58" s="23" t="str">
        <f t="shared" si="14"/>
        <v/>
      </c>
      <c r="F58" s="23" t="str">
        <f t="shared" si="15"/>
        <v/>
      </c>
      <c r="G58" s="23" t="str">
        <f t="shared" si="16"/>
        <v/>
      </c>
      <c r="H58" s="23" t="str">
        <f t="shared" si="17"/>
        <v/>
      </c>
      <c r="I58" s="23" t="str">
        <f t="shared" si="18"/>
        <v/>
      </c>
      <c r="J58" s="23">
        <f t="shared" si="19"/>
        <v>33.85</v>
      </c>
      <c r="K58" s="23">
        <f t="shared" si="20"/>
        <v>0</v>
      </c>
      <c r="L58" s="23">
        <f t="shared" si="21"/>
        <v>0</v>
      </c>
      <c r="M58" t="s">
        <v>352</v>
      </c>
      <c r="N58" s="7">
        <v>46203</v>
      </c>
      <c r="O58" t="s">
        <v>186</v>
      </c>
      <c r="P58" t="s">
        <v>609</v>
      </c>
      <c r="Q58">
        <v>2026</v>
      </c>
      <c r="R58" s="27" t="s">
        <v>610</v>
      </c>
      <c r="S58" s="27" t="s">
        <v>609</v>
      </c>
      <c r="T58" t="s">
        <v>611</v>
      </c>
      <c r="U58" t="s">
        <v>187</v>
      </c>
      <c r="V58" t="s">
        <v>188</v>
      </c>
      <c r="W58" t="s">
        <v>188</v>
      </c>
      <c r="X58">
        <v>34150</v>
      </c>
      <c r="Y58" t="s">
        <v>189</v>
      </c>
      <c r="Z58" t="s">
        <v>190</v>
      </c>
      <c r="AA58">
        <v>560</v>
      </c>
      <c r="AC58" s="7">
        <v>46182</v>
      </c>
      <c r="AD58">
        <v>21</v>
      </c>
      <c r="AE58" t="s">
        <v>191</v>
      </c>
      <c r="AF58" t="s">
        <v>609</v>
      </c>
      <c r="AG58" t="s">
        <v>192</v>
      </c>
      <c r="AH58">
        <v>21</v>
      </c>
      <c r="AI58" t="s">
        <v>193</v>
      </c>
      <c r="AJ58" s="7">
        <v>46188</v>
      </c>
      <c r="AK58" t="s">
        <v>612</v>
      </c>
      <c r="AL58" t="s">
        <v>609</v>
      </c>
      <c r="AM58" t="s">
        <v>192</v>
      </c>
      <c r="AN58">
        <v>34</v>
      </c>
      <c r="AO58" t="s">
        <v>613</v>
      </c>
      <c r="AR58">
        <v>1</v>
      </c>
      <c r="AS58">
        <v>1</v>
      </c>
      <c r="AT58">
        <v>14</v>
      </c>
      <c r="AU58">
        <v>14</v>
      </c>
      <c r="AV58">
        <v>0</v>
      </c>
      <c r="AW58" t="s">
        <v>194</v>
      </c>
      <c r="AX58">
        <v>14</v>
      </c>
      <c r="AY58">
        <v>0</v>
      </c>
      <c r="BE58" t="s">
        <v>195</v>
      </c>
      <c r="BF58" t="s">
        <v>196</v>
      </c>
      <c r="BG58" t="s">
        <v>197</v>
      </c>
      <c r="BM58">
        <v>25.36</v>
      </c>
      <c r="BN58" s="23">
        <v>33.85</v>
      </c>
      <c r="BQ58" t="s">
        <v>198</v>
      </c>
      <c r="DI58">
        <v>6.34</v>
      </c>
      <c r="DK58">
        <v>2</v>
      </c>
      <c r="GM58">
        <v>0.15</v>
      </c>
    </row>
    <row r="59" spans="2:195" x14ac:dyDescent="0.35">
      <c r="B59" s="23" t="str">
        <f t="shared" si="11"/>
        <v>EXP20260604-2781391</v>
      </c>
      <c r="C59" s="23">
        <f t="shared" si="12"/>
        <v>223.92999999999998</v>
      </c>
      <c r="D59" s="23">
        <f t="shared" si="13"/>
        <v>223.92999999999998</v>
      </c>
      <c r="E59" s="23" t="str">
        <f t="shared" si="14"/>
        <v/>
      </c>
      <c r="F59" s="23" t="str">
        <f t="shared" si="15"/>
        <v/>
      </c>
      <c r="G59" s="23" t="str">
        <f t="shared" si="16"/>
        <v/>
      </c>
      <c r="H59" s="23" t="str">
        <f t="shared" si="17"/>
        <v/>
      </c>
      <c r="I59" s="23" t="str">
        <f t="shared" si="18"/>
        <v/>
      </c>
      <c r="J59" s="23">
        <f t="shared" si="19"/>
        <v>223.92999999999998</v>
      </c>
      <c r="K59" s="23">
        <f t="shared" si="20"/>
        <v>0</v>
      </c>
      <c r="L59" s="23">
        <f t="shared" si="21"/>
        <v>0</v>
      </c>
      <c r="M59" t="s">
        <v>352</v>
      </c>
      <c r="N59" s="7">
        <v>46203</v>
      </c>
      <c r="O59" t="s">
        <v>186</v>
      </c>
      <c r="P59" t="s">
        <v>614</v>
      </c>
      <c r="Q59">
        <v>2026</v>
      </c>
      <c r="R59" s="27" t="s">
        <v>615</v>
      </c>
      <c r="S59" s="27" t="s">
        <v>614</v>
      </c>
      <c r="T59" t="s">
        <v>616</v>
      </c>
      <c r="U59" t="s">
        <v>187</v>
      </c>
      <c r="V59" t="s">
        <v>188</v>
      </c>
      <c r="W59" t="s">
        <v>188</v>
      </c>
      <c r="X59">
        <v>33700</v>
      </c>
      <c r="Y59" t="s">
        <v>189</v>
      </c>
      <c r="Z59" t="s">
        <v>190</v>
      </c>
      <c r="AA59">
        <v>690</v>
      </c>
      <c r="AC59" s="7">
        <v>46182</v>
      </c>
      <c r="AD59">
        <v>21</v>
      </c>
      <c r="AE59" t="s">
        <v>191</v>
      </c>
      <c r="AF59" t="s">
        <v>614</v>
      </c>
      <c r="AG59" t="s">
        <v>192</v>
      </c>
      <c r="AH59">
        <v>21</v>
      </c>
      <c r="AI59" t="s">
        <v>193</v>
      </c>
      <c r="AJ59" s="7">
        <v>46185</v>
      </c>
      <c r="AK59" t="s">
        <v>617</v>
      </c>
      <c r="AL59" t="s">
        <v>614</v>
      </c>
      <c r="AM59" t="s">
        <v>192</v>
      </c>
      <c r="AN59">
        <v>33</v>
      </c>
      <c r="AO59" t="s">
        <v>209</v>
      </c>
      <c r="AR59">
        <v>3</v>
      </c>
      <c r="AS59">
        <v>3</v>
      </c>
      <c r="AT59">
        <v>390</v>
      </c>
      <c r="AU59">
        <v>390</v>
      </c>
      <c r="AV59">
        <v>0</v>
      </c>
      <c r="AW59" t="s">
        <v>201</v>
      </c>
      <c r="AX59">
        <v>3</v>
      </c>
      <c r="AY59">
        <v>0</v>
      </c>
      <c r="BE59" t="s">
        <v>195</v>
      </c>
      <c r="BF59" t="s">
        <v>196</v>
      </c>
      <c r="BG59" t="s">
        <v>197</v>
      </c>
      <c r="BM59">
        <v>177.42</v>
      </c>
      <c r="BN59" s="23">
        <v>223.93</v>
      </c>
      <c r="BQ59" t="s">
        <v>198</v>
      </c>
      <c r="DI59">
        <v>44.36</v>
      </c>
      <c r="DK59">
        <v>2</v>
      </c>
      <c r="GM59">
        <v>0.15</v>
      </c>
    </row>
    <row r="60" spans="2:195" x14ac:dyDescent="0.35">
      <c r="B60" s="23" t="str">
        <f t="shared" si="11"/>
        <v>26A060354623</v>
      </c>
      <c r="C60" s="23">
        <f t="shared" si="12"/>
        <v>41.71</v>
      </c>
      <c r="D60" s="23">
        <f t="shared" si="13"/>
        <v>41.71</v>
      </c>
      <c r="E60" s="23" t="str">
        <f t="shared" si="14"/>
        <v/>
      </c>
      <c r="F60" s="23" t="str">
        <f t="shared" si="15"/>
        <v/>
      </c>
      <c r="G60" s="23" t="str">
        <f t="shared" si="16"/>
        <v/>
      </c>
      <c r="H60" s="23" t="str">
        <f t="shared" si="17"/>
        <v/>
      </c>
      <c r="I60" s="23" t="str">
        <f t="shared" si="18"/>
        <v/>
      </c>
      <c r="J60" s="23">
        <f t="shared" si="19"/>
        <v>41.71</v>
      </c>
      <c r="K60" s="23">
        <f t="shared" si="20"/>
        <v>0</v>
      </c>
      <c r="L60" s="23">
        <f t="shared" si="21"/>
        <v>0</v>
      </c>
      <c r="M60" t="s">
        <v>352</v>
      </c>
      <c r="N60" s="7">
        <v>46203</v>
      </c>
      <c r="O60" t="s">
        <v>186</v>
      </c>
      <c r="P60" t="s">
        <v>523</v>
      </c>
      <c r="Q60">
        <v>2026</v>
      </c>
      <c r="R60" s="27" t="s">
        <v>618</v>
      </c>
      <c r="S60" s="27"/>
      <c r="T60" t="s">
        <v>619</v>
      </c>
      <c r="U60" t="s">
        <v>187</v>
      </c>
      <c r="V60" t="s">
        <v>188</v>
      </c>
      <c r="W60" t="s">
        <v>188</v>
      </c>
      <c r="X60">
        <v>93290</v>
      </c>
      <c r="Y60" t="s">
        <v>189</v>
      </c>
      <c r="Z60" t="s">
        <v>620</v>
      </c>
      <c r="AA60">
        <v>126</v>
      </c>
      <c r="AC60" s="7">
        <v>46183</v>
      </c>
      <c r="AD60">
        <v>60</v>
      </c>
      <c r="AE60" t="s">
        <v>191</v>
      </c>
      <c r="AF60" t="s">
        <v>523</v>
      </c>
      <c r="AG60" t="s">
        <v>192</v>
      </c>
      <c r="AH60">
        <v>21</v>
      </c>
      <c r="AI60" t="s">
        <v>193</v>
      </c>
      <c r="AJ60" s="7">
        <v>46184</v>
      </c>
      <c r="AK60" t="s">
        <v>621</v>
      </c>
      <c r="AL60" t="s">
        <v>523</v>
      </c>
      <c r="AM60" t="s">
        <v>192</v>
      </c>
      <c r="AN60">
        <v>93</v>
      </c>
      <c r="AO60" t="s">
        <v>622</v>
      </c>
      <c r="AR60">
        <v>1</v>
      </c>
      <c r="AS60">
        <v>1</v>
      </c>
      <c r="AT60">
        <v>354</v>
      </c>
      <c r="AU60">
        <v>354</v>
      </c>
      <c r="AV60">
        <v>0</v>
      </c>
      <c r="AW60" t="s">
        <v>201</v>
      </c>
      <c r="AX60">
        <v>1</v>
      </c>
      <c r="AY60">
        <v>0</v>
      </c>
      <c r="BE60" t="s">
        <v>213</v>
      </c>
      <c r="BF60" t="s">
        <v>196</v>
      </c>
      <c r="BG60" t="s">
        <v>197</v>
      </c>
      <c r="BM60">
        <v>41.71</v>
      </c>
      <c r="BN60" s="23">
        <v>41.71</v>
      </c>
      <c r="BQ60" t="s">
        <v>198</v>
      </c>
    </row>
    <row r="61" spans="2:195" x14ac:dyDescent="0.35">
      <c r="B61" s="23">
        <f t="shared" si="11"/>
        <v>5001337</v>
      </c>
      <c r="C61" s="23">
        <f t="shared" si="12"/>
        <v>85.700000000000017</v>
      </c>
      <c r="D61" s="23">
        <f t="shared" si="13"/>
        <v>85.700000000000017</v>
      </c>
      <c r="E61" s="23" t="str">
        <f t="shared" si="14"/>
        <v/>
      </c>
      <c r="F61" s="23" t="str">
        <f t="shared" si="15"/>
        <v/>
      </c>
      <c r="G61" s="23" t="str">
        <f t="shared" si="16"/>
        <v/>
      </c>
      <c r="H61" s="23" t="str">
        <f t="shared" si="17"/>
        <v/>
      </c>
      <c r="I61" s="23" t="str">
        <f t="shared" si="18"/>
        <v/>
      </c>
      <c r="J61" s="23">
        <f t="shared" si="19"/>
        <v>85.700000000000017</v>
      </c>
      <c r="K61" s="23">
        <f t="shared" si="20"/>
        <v>0</v>
      </c>
      <c r="L61" s="23">
        <f t="shared" si="21"/>
        <v>0</v>
      </c>
      <c r="M61" t="s">
        <v>352</v>
      </c>
      <c r="N61" s="7">
        <v>46203</v>
      </c>
      <c r="O61" t="s">
        <v>186</v>
      </c>
      <c r="P61">
        <v>5001337</v>
      </c>
      <c r="Q61">
        <v>2026</v>
      </c>
      <c r="R61" s="27" t="s">
        <v>623</v>
      </c>
      <c r="S61" s="27">
        <v>5001337</v>
      </c>
      <c r="T61" t="s">
        <v>624</v>
      </c>
      <c r="U61" t="s">
        <v>187</v>
      </c>
      <c r="V61" t="s">
        <v>188</v>
      </c>
      <c r="W61" t="s">
        <v>188</v>
      </c>
      <c r="X61">
        <v>44190</v>
      </c>
      <c r="Y61" t="s">
        <v>189</v>
      </c>
      <c r="Z61" t="s">
        <v>190</v>
      </c>
      <c r="AA61">
        <v>769</v>
      </c>
      <c r="AC61" s="7">
        <v>46183</v>
      </c>
      <c r="AD61">
        <v>21</v>
      </c>
      <c r="AE61" t="s">
        <v>191</v>
      </c>
      <c r="AF61">
        <v>5001337</v>
      </c>
      <c r="AG61" t="s">
        <v>192</v>
      </c>
      <c r="AH61">
        <v>21</v>
      </c>
      <c r="AI61" t="s">
        <v>193</v>
      </c>
      <c r="AJ61" s="7">
        <v>46185</v>
      </c>
      <c r="AK61" t="s">
        <v>625</v>
      </c>
      <c r="AL61">
        <v>5001337</v>
      </c>
      <c r="AM61" t="s">
        <v>192</v>
      </c>
      <c r="AN61">
        <v>44</v>
      </c>
      <c r="AO61" t="s">
        <v>330</v>
      </c>
      <c r="AR61">
        <v>1</v>
      </c>
      <c r="AS61">
        <v>1</v>
      </c>
      <c r="AT61">
        <v>157</v>
      </c>
      <c r="AU61">
        <v>438</v>
      </c>
      <c r="AV61">
        <v>1.75</v>
      </c>
      <c r="AW61" t="s">
        <v>201</v>
      </c>
      <c r="AX61">
        <v>1</v>
      </c>
      <c r="AY61">
        <v>0</v>
      </c>
      <c r="BE61" t="s">
        <v>195</v>
      </c>
      <c r="BF61" t="s">
        <v>196</v>
      </c>
      <c r="BG61" t="s">
        <v>197</v>
      </c>
      <c r="BM61">
        <v>66.84</v>
      </c>
      <c r="BN61" s="23">
        <v>85.7</v>
      </c>
      <c r="BQ61" t="s">
        <v>198</v>
      </c>
      <c r="DI61">
        <v>16.71</v>
      </c>
      <c r="DK61">
        <v>2</v>
      </c>
      <c r="GM61">
        <v>0.15</v>
      </c>
    </row>
    <row r="62" spans="2:195" x14ac:dyDescent="0.35">
      <c r="B62" s="23" t="str">
        <f t="shared" si="11"/>
        <v>EXP20260610-2790057</v>
      </c>
      <c r="C62" s="23">
        <f t="shared" si="12"/>
        <v>41.98</v>
      </c>
      <c r="D62" s="23">
        <f t="shared" si="13"/>
        <v>41.98</v>
      </c>
      <c r="E62" s="23" t="str">
        <f t="shared" si="14"/>
        <v/>
      </c>
      <c r="F62" s="23" t="str">
        <f t="shared" si="15"/>
        <v/>
      </c>
      <c r="G62" s="23" t="str">
        <f t="shared" si="16"/>
        <v/>
      </c>
      <c r="H62" s="23" t="str">
        <f t="shared" si="17"/>
        <v/>
      </c>
      <c r="I62" s="23" t="str">
        <f t="shared" si="18"/>
        <v/>
      </c>
      <c r="J62" s="23">
        <f t="shared" si="19"/>
        <v>41.98</v>
      </c>
      <c r="K62" s="23">
        <f t="shared" si="20"/>
        <v>0</v>
      </c>
      <c r="L62" s="23">
        <f t="shared" si="21"/>
        <v>0</v>
      </c>
      <c r="M62" t="s">
        <v>352</v>
      </c>
      <c r="N62" s="7">
        <v>46203</v>
      </c>
      <c r="O62" t="s">
        <v>186</v>
      </c>
      <c r="P62" t="s">
        <v>626</v>
      </c>
      <c r="Q62">
        <v>2026</v>
      </c>
      <c r="R62" s="27" t="s">
        <v>627</v>
      </c>
      <c r="S62" s="27" t="s">
        <v>626</v>
      </c>
      <c r="T62" t="s">
        <v>628</v>
      </c>
      <c r="U62" t="s">
        <v>187</v>
      </c>
      <c r="V62" t="s">
        <v>188</v>
      </c>
      <c r="W62" t="s">
        <v>188</v>
      </c>
      <c r="X62">
        <v>13130</v>
      </c>
      <c r="Y62" t="s">
        <v>189</v>
      </c>
      <c r="Z62" t="s">
        <v>190</v>
      </c>
      <c r="AA62">
        <v>565</v>
      </c>
      <c r="AC62" s="7">
        <v>46183</v>
      </c>
      <c r="AD62">
        <v>21</v>
      </c>
      <c r="AE62" t="s">
        <v>191</v>
      </c>
      <c r="AF62" t="s">
        <v>626</v>
      </c>
      <c r="AG62" t="s">
        <v>192</v>
      </c>
      <c r="AH62">
        <v>21</v>
      </c>
      <c r="AI62" t="s">
        <v>193</v>
      </c>
      <c r="AJ62" s="7">
        <v>46190</v>
      </c>
      <c r="AK62" t="s">
        <v>629</v>
      </c>
      <c r="AL62" t="s">
        <v>626</v>
      </c>
      <c r="AM62" t="s">
        <v>192</v>
      </c>
      <c r="AN62">
        <v>13</v>
      </c>
      <c r="AO62" t="s">
        <v>630</v>
      </c>
      <c r="AR62">
        <v>1</v>
      </c>
      <c r="AS62">
        <v>1</v>
      </c>
      <c r="AT62">
        <v>39</v>
      </c>
      <c r="AU62">
        <v>39</v>
      </c>
      <c r="AV62">
        <v>0</v>
      </c>
      <c r="AW62" t="s">
        <v>194</v>
      </c>
      <c r="AX62">
        <v>39</v>
      </c>
      <c r="AY62">
        <v>0</v>
      </c>
      <c r="BE62" t="s">
        <v>195</v>
      </c>
      <c r="BF62" t="s">
        <v>196</v>
      </c>
      <c r="BG62" t="s">
        <v>197</v>
      </c>
      <c r="BM62">
        <v>31.86</v>
      </c>
      <c r="BN62" s="23">
        <v>41.98</v>
      </c>
      <c r="BQ62" t="s">
        <v>198</v>
      </c>
      <c r="DI62">
        <v>7.97</v>
      </c>
      <c r="DK62">
        <v>2</v>
      </c>
      <c r="GM62">
        <v>0.15</v>
      </c>
    </row>
    <row r="63" spans="2:195" x14ac:dyDescent="0.35">
      <c r="B63" s="23" t="str">
        <f t="shared" si="11"/>
        <v>EXP20260610-2789905</v>
      </c>
      <c r="C63" s="23">
        <f t="shared" si="12"/>
        <v>83.06</v>
      </c>
      <c r="D63" s="23">
        <f t="shared" si="13"/>
        <v>83.06</v>
      </c>
      <c r="E63" s="23" t="str">
        <f t="shared" si="14"/>
        <v/>
      </c>
      <c r="F63" s="23" t="str">
        <f t="shared" si="15"/>
        <v/>
      </c>
      <c r="G63" s="23" t="str">
        <f t="shared" si="16"/>
        <v/>
      </c>
      <c r="H63" s="23" t="str">
        <f t="shared" si="17"/>
        <v/>
      </c>
      <c r="I63" s="23" t="str">
        <f t="shared" si="18"/>
        <v/>
      </c>
      <c r="J63" s="23">
        <f t="shared" si="19"/>
        <v>83.06</v>
      </c>
      <c r="K63" s="23">
        <f t="shared" si="20"/>
        <v>0</v>
      </c>
      <c r="L63" s="23">
        <f t="shared" si="21"/>
        <v>0</v>
      </c>
      <c r="M63" t="s">
        <v>352</v>
      </c>
      <c r="N63" s="7">
        <v>46203</v>
      </c>
      <c r="O63" t="s">
        <v>186</v>
      </c>
      <c r="P63" t="s">
        <v>631</v>
      </c>
      <c r="Q63">
        <v>2026</v>
      </c>
      <c r="R63" s="27" t="s">
        <v>632</v>
      </c>
      <c r="S63" s="27" t="s">
        <v>631</v>
      </c>
      <c r="T63" t="s">
        <v>633</v>
      </c>
      <c r="U63" t="s">
        <v>187</v>
      </c>
      <c r="V63" t="s">
        <v>188</v>
      </c>
      <c r="W63" t="s">
        <v>188</v>
      </c>
      <c r="X63">
        <v>1450</v>
      </c>
      <c r="Y63" t="s">
        <v>189</v>
      </c>
      <c r="Z63" t="s">
        <v>190</v>
      </c>
      <c r="AA63">
        <v>312</v>
      </c>
      <c r="AC63" s="7">
        <v>46183</v>
      </c>
      <c r="AD63">
        <v>21</v>
      </c>
      <c r="AE63" t="s">
        <v>191</v>
      </c>
      <c r="AF63" t="s">
        <v>631</v>
      </c>
      <c r="AG63" t="s">
        <v>192</v>
      </c>
      <c r="AH63">
        <v>21</v>
      </c>
      <c r="AI63" t="s">
        <v>193</v>
      </c>
      <c r="AJ63" s="7">
        <v>46188</v>
      </c>
      <c r="AK63" t="s">
        <v>634</v>
      </c>
      <c r="AL63" t="s">
        <v>631</v>
      </c>
      <c r="AM63" t="s">
        <v>192</v>
      </c>
      <c r="AN63">
        <v>1</v>
      </c>
      <c r="AO63" t="s">
        <v>635</v>
      </c>
      <c r="AR63">
        <v>2</v>
      </c>
      <c r="AS63">
        <v>2</v>
      </c>
      <c r="AT63">
        <v>234</v>
      </c>
      <c r="AU63">
        <v>234</v>
      </c>
      <c r="AV63">
        <v>0</v>
      </c>
      <c r="AW63" t="s">
        <v>201</v>
      </c>
      <c r="AX63">
        <v>2</v>
      </c>
      <c r="AY63">
        <v>0</v>
      </c>
      <c r="BE63" t="s">
        <v>195</v>
      </c>
      <c r="BF63" t="s">
        <v>196</v>
      </c>
      <c r="BG63" t="s">
        <v>197</v>
      </c>
      <c r="BM63">
        <v>80.91</v>
      </c>
      <c r="BN63" s="23">
        <v>83.06</v>
      </c>
      <c r="BQ63" t="s">
        <v>198</v>
      </c>
      <c r="DK63">
        <v>2</v>
      </c>
      <c r="GM63">
        <v>0.15</v>
      </c>
    </row>
    <row r="64" spans="2:195" x14ac:dyDescent="0.35">
      <c r="B64" s="23" t="str">
        <f t="shared" si="11"/>
        <v>EXP20260609-2788027</v>
      </c>
      <c r="C64" s="23">
        <f t="shared" si="12"/>
        <v>51.74</v>
      </c>
      <c r="D64" s="23">
        <f t="shared" si="13"/>
        <v>51.74</v>
      </c>
      <c r="E64" s="23" t="str">
        <f t="shared" si="14"/>
        <v/>
      </c>
      <c r="F64" s="23" t="str">
        <f t="shared" si="15"/>
        <v/>
      </c>
      <c r="G64" s="23" t="str">
        <f t="shared" si="16"/>
        <v/>
      </c>
      <c r="H64" s="23" t="str">
        <f t="shared" si="17"/>
        <v/>
      </c>
      <c r="I64" s="23" t="str">
        <f t="shared" si="18"/>
        <v/>
      </c>
      <c r="J64" s="23">
        <f t="shared" si="19"/>
        <v>51.74</v>
      </c>
      <c r="K64" s="23">
        <f t="shared" si="20"/>
        <v>0</v>
      </c>
      <c r="L64" s="23">
        <f t="shared" si="21"/>
        <v>0</v>
      </c>
      <c r="M64" t="s">
        <v>352</v>
      </c>
      <c r="N64" s="7">
        <v>46203</v>
      </c>
      <c r="O64" t="s">
        <v>186</v>
      </c>
      <c r="P64" t="s">
        <v>636</v>
      </c>
      <c r="Q64">
        <v>2026</v>
      </c>
      <c r="R64" s="27" t="s">
        <v>637</v>
      </c>
      <c r="S64" s="27" t="s">
        <v>636</v>
      </c>
      <c r="T64" t="s">
        <v>638</v>
      </c>
      <c r="U64" t="s">
        <v>187</v>
      </c>
      <c r="V64" t="s">
        <v>188</v>
      </c>
      <c r="W64" t="s">
        <v>188</v>
      </c>
      <c r="X64">
        <v>30250</v>
      </c>
      <c r="Y64" t="s">
        <v>189</v>
      </c>
      <c r="Z64" t="s">
        <v>190</v>
      </c>
      <c r="AA64">
        <v>540</v>
      </c>
      <c r="AC64" s="7">
        <v>46183</v>
      </c>
      <c r="AD64">
        <v>21</v>
      </c>
      <c r="AE64" t="s">
        <v>191</v>
      </c>
      <c r="AF64" t="s">
        <v>636</v>
      </c>
      <c r="AG64" t="s">
        <v>192</v>
      </c>
      <c r="AH64">
        <v>21</v>
      </c>
      <c r="AI64" t="s">
        <v>193</v>
      </c>
      <c r="AJ64" s="7">
        <v>46188</v>
      </c>
      <c r="AK64" t="s">
        <v>639</v>
      </c>
      <c r="AL64" t="s">
        <v>636</v>
      </c>
      <c r="AM64" t="s">
        <v>192</v>
      </c>
      <c r="AN64">
        <v>30</v>
      </c>
      <c r="AO64" t="s">
        <v>640</v>
      </c>
      <c r="AR64">
        <v>1</v>
      </c>
      <c r="AS64">
        <v>1</v>
      </c>
      <c r="AT64">
        <v>85</v>
      </c>
      <c r="AU64">
        <v>85</v>
      </c>
      <c r="AV64">
        <v>0</v>
      </c>
      <c r="AW64" t="s">
        <v>194</v>
      </c>
      <c r="AX64">
        <v>85</v>
      </c>
      <c r="AY64">
        <v>0</v>
      </c>
      <c r="BE64" t="s">
        <v>195</v>
      </c>
      <c r="BF64" t="s">
        <v>196</v>
      </c>
      <c r="BG64" t="s">
        <v>197</v>
      </c>
      <c r="BM64">
        <v>39.67</v>
      </c>
      <c r="BN64" s="23">
        <v>51.74</v>
      </c>
      <c r="BQ64" t="s">
        <v>198</v>
      </c>
      <c r="DI64">
        <v>9.92</v>
      </c>
      <c r="DK64">
        <v>2</v>
      </c>
      <c r="GM64">
        <v>0.15</v>
      </c>
    </row>
    <row r="65" spans="2:195" x14ac:dyDescent="0.35">
      <c r="B65" s="23" t="str">
        <f t="shared" si="11"/>
        <v>EXP20260608-2786160</v>
      </c>
      <c r="C65" s="23">
        <f t="shared" si="12"/>
        <v>80.900000000000006</v>
      </c>
      <c r="D65" s="23">
        <f t="shared" si="13"/>
        <v>80.900000000000006</v>
      </c>
      <c r="E65" s="23" t="str">
        <f t="shared" si="14"/>
        <v/>
      </c>
      <c r="F65" s="23" t="str">
        <f t="shared" si="15"/>
        <v/>
      </c>
      <c r="G65" s="23" t="str">
        <f t="shared" si="16"/>
        <v/>
      </c>
      <c r="H65" s="23" t="str">
        <f t="shared" si="17"/>
        <v/>
      </c>
      <c r="I65" s="23" t="str">
        <f t="shared" si="18"/>
        <v/>
      </c>
      <c r="J65" s="23">
        <f t="shared" si="19"/>
        <v>80.900000000000006</v>
      </c>
      <c r="K65" s="23">
        <f t="shared" si="20"/>
        <v>0</v>
      </c>
      <c r="L65" s="23">
        <f t="shared" si="21"/>
        <v>0</v>
      </c>
      <c r="M65" t="s">
        <v>352</v>
      </c>
      <c r="N65" s="7">
        <v>46203</v>
      </c>
      <c r="O65" t="s">
        <v>186</v>
      </c>
      <c r="P65" t="s">
        <v>641</v>
      </c>
      <c r="Q65">
        <v>2026</v>
      </c>
      <c r="R65" s="27" t="s">
        <v>642</v>
      </c>
      <c r="S65" s="27" t="s">
        <v>641</v>
      </c>
      <c r="T65" t="s">
        <v>643</v>
      </c>
      <c r="U65" t="s">
        <v>187</v>
      </c>
      <c r="V65" t="s">
        <v>188</v>
      </c>
      <c r="W65" t="s">
        <v>188</v>
      </c>
      <c r="X65">
        <v>33290</v>
      </c>
      <c r="Y65" t="s">
        <v>189</v>
      </c>
      <c r="Z65" t="s">
        <v>190</v>
      </c>
      <c r="AA65">
        <v>739</v>
      </c>
      <c r="AC65" s="7">
        <v>46183</v>
      </c>
      <c r="AD65">
        <v>21</v>
      </c>
      <c r="AE65" t="s">
        <v>191</v>
      </c>
      <c r="AF65" t="s">
        <v>641</v>
      </c>
      <c r="AG65" t="s">
        <v>192</v>
      </c>
      <c r="AH65">
        <v>21</v>
      </c>
      <c r="AI65" t="s">
        <v>193</v>
      </c>
      <c r="AJ65" s="7">
        <v>46195</v>
      </c>
      <c r="AK65" t="s">
        <v>644</v>
      </c>
      <c r="AL65" t="s">
        <v>641</v>
      </c>
      <c r="AM65" t="s">
        <v>192</v>
      </c>
      <c r="AN65">
        <v>33</v>
      </c>
      <c r="AO65" t="s">
        <v>645</v>
      </c>
      <c r="AR65">
        <v>1</v>
      </c>
      <c r="AS65">
        <v>1</v>
      </c>
      <c r="AT65">
        <v>138</v>
      </c>
      <c r="AU65">
        <v>138</v>
      </c>
      <c r="AV65">
        <v>0</v>
      </c>
      <c r="AW65" t="s">
        <v>194</v>
      </c>
      <c r="AX65">
        <v>138</v>
      </c>
      <c r="AY65">
        <v>0</v>
      </c>
      <c r="BE65" t="s">
        <v>195</v>
      </c>
      <c r="BF65" t="s">
        <v>196</v>
      </c>
      <c r="BG65" t="s">
        <v>197</v>
      </c>
      <c r="BM65">
        <v>63</v>
      </c>
      <c r="BN65" s="23">
        <v>80.900000000000006</v>
      </c>
      <c r="BQ65" t="s">
        <v>198</v>
      </c>
      <c r="DI65">
        <v>15.75</v>
      </c>
      <c r="DK65">
        <v>2</v>
      </c>
      <c r="GM65">
        <v>0.15</v>
      </c>
    </row>
    <row r="66" spans="2:195" x14ac:dyDescent="0.35">
      <c r="B66" s="23" t="str">
        <f t="shared" si="11"/>
        <v>EXP20260609-2788058</v>
      </c>
      <c r="C66" s="23">
        <f t="shared" si="12"/>
        <v>69.650000000000006</v>
      </c>
      <c r="D66" s="23">
        <f t="shared" si="13"/>
        <v>69.650000000000006</v>
      </c>
      <c r="E66" s="23" t="str">
        <f t="shared" si="14"/>
        <v/>
      </c>
      <c r="F66" s="23" t="str">
        <f t="shared" si="15"/>
        <v/>
      </c>
      <c r="G66" s="23" t="str">
        <f t="shared" si="16"/>
        <v/>
      </c>
      <c r="H66" s="23" t="str">
        <f t="shared" si="17"/>
        <v/>
      </c>
      <c r="I66" s="23" t="str">
        <f t="shared" si="18"/>
        <v/>
      </c>
      <c r="J66" s="23">
        <f t="shared" si="19"/>
        <v>69.650000000000006</v>
      </c>
      <c r="K66" s="23">
        <f t="shared" si="20"/>
        <v>0</v>
      </c>
      <c r="L66" s="23">
        <f t="shared" si="21"/>
        <v>0</v>
      </c>
      <c r="M66" t="s">
        <v>352</v>
      </c>
      <c r="N66" s="7">
        <v>46203</v>
      </c>
      <c r="O66" t="s">
        <v>186</v>
      </c>
      <c r="P66" t="s">
        <v>646</v>
      </c>
      <c r="Q66">
        <v>2026</v>
      </c>
      <c r="R66" s="27" t="s">
        <v>647</v>
      </c>
      <c r="S66" s="27" t="s">
        <v>646</v>
      </c>
      <c r="T66" t="s">
        <v>648</v>
      </c>
      <c r="U66" t="s">
        <v>187</v>
      </c>
      <c r="V66" t="s">
        <v>188</v>
      </c>
      <c r="W66" t="s">
        <v>188</v>
      </c>
      <c r="X66">
        <v>33330</v>
      </c>
      <c r="Y66" t="s">
        <v>189</v>
      </c>
      <c r="Z66" t="s">
        <v>190</v>
      </c>
      <c r="AA66">
        <v>713</v>
      </c>
      <c r="AC66" s="7">
        <v>46183</v>
      </c>
      <c r="AD66">
        <v>21</v>
      </c>
      <c r="AE66" t="s">
        <v>191</v>
      </c>
      <c r="AF66" t="s">
        <v>646</v>
      </c>
      <c r="AG66" t="s">
        <v>192</v>
      </c>
      <c r="AH66">
        <v>21</v>
      </c>
      <c r="AI66" t="s">
        <v>193</v>
      </c>
      <c r="AJ66" s="7">
        <v>46185</v>
      </c>
      <c r="AK66" t="s">
        <v>649</v>
      </c>
      <c r="AL66" t="s">
        <v>646</v>
      </c>
      <c r="AM66" t="s">
        <v>192</v>
      </c>
      <c r="AN66">
        <v>33</v>
      </c>
      <c r="AO66" t="s">
        <v>650</v>
      </c>
      <c r="AR66">
        <v>1</v>
      </c>
      <c r="AS66">
        <v>1</v>
      </c>
      <c r="AT66">
        <v>118</v>
      </c>
      <c r="AU66">
        <v>118</v>
      </c>
      <c r="AV66">
        <v>0</v>
      </c>
      <c r="AW66" t="s">
        <v>194</v>
      </c>
      <c r="AX66">
        <v>118</v>
      </c>
      <c r="AY66">
        <v>0</v>
      </c>
      <c r="BE66" t="s">
        <v>195</v>
      </c>
      <c r="BF66" t="s">
        <v>196</v>
      </c>
      <c r="BG66" t="s">
        <v>197</v>
      </c>
      <c r="BM66">
        <v>54</v>
      </c>
      <c r="BN66" s="23">
        <v>69.650000000000006</v>
      </c>
      <c r="BQ66" t="s">
        <v>198</v>
      </c>
      <c r="DI66">
        <v>13.5</v>
      </c>
      <c r="DK66">
        <v>2</v>
      </c>
      <c r="GM66">
        <v>0.15</v>
      </c>
    </row>
    <row r="67" spans="2:195" x14ac:dyDescent="0.35">
      <c r="B67" s="23" t="str">
        <f t="shared" si="11"/>
        <v>EXP20260608-2787012</v>
      </c>
      <c r="C67" s="23">
        <f t="shared" si="12"/>
        <v>73.460000000000008</v>
      </c>
      <c r="D67" s="23">
        <f t="shared" si="13"/>
        <v>73.460000000000008</v>
      </c>
      <c r="E67" s="23" t="str">
        <f t="shared" si="14"/>
        <v/>
      </c>
      <c r="F67" s="23" t="str">
        <f t="shared" si="15"/>
        <v/>
      </c>
      <c r="G67" s="23" t="str">
        <f t="shared" si="16"/>
        <v/>
      </c>
      <c r="H67" s="23" t="str">
        <f t="shared" si="17"/>
        <v/>
      </c>
      <c r="I67" s="23" t="str">
        <f t="shared" si="18"/>
        <v/>
      </c>
      <c r="J67" s="23">
        <f t="shared" si="19"/>
        <v>73.460000000000008</v>
      </c>
      <c r="K67" s="23">
        <f t="shared" si="20"/>
        <v>0</v>
      </c>
      <c r="L67" s="23">
        <f t="shared" si="21"/>
        <v>0</v>
      </c>
      <c r="M67" t="s">
        <v>352</v>
      </c>
      <c r="N67" s="7">
        <v>46203</v>
      </c>
      <c r="O67" t="s">
        <v>186</v>
      </c>
      <c r="P67" t="s">
        <v>651</v>
      </c>
      <c r="Q67">
        <v>2026</v>
      </c>
      <c r="R67" s="27" t="s">
        <v>652</v>
      </c>
      <c r="S67" s="27" t="s">
        <v>651</v>
      </c>
      <c r="T67" t="s">
        <v>653</v>
      </c>
      <c r="U67" t="s">
        <v>187</v>
      </c>
      <c r="V67" t="s">
        <v>188</v>
      </c>
      <c r="W67" t="s">
        <v>188</v>
      </c>
      <c r="X67">
        <v>34880</v>
      </c>
      <c r="Y67" t="s">
        <v>189</v>
      </c>
      <c r="Z67" t="s">
        <v>190</v>
      </c>
      <c r="AA67">
        <v>560</v>
      </c>
      <c r="AC67" s="7">
        <v>46183</v>
      </c>
      <c r="AD67">
        <v>21</v>
      </c>
      <c r="AE67" t="s">
        <v>191</v>
      </c>
      <c r="AF67" t="s">
        <v>651</v>
      </c>
      <c r="AG67" t="s">
        <v>192</v>
      </c>
      <c r="AH67">
        <v>21</v>
      </c>
      <c r="AI67" t="s">
        <v>193</v>
      </c>
      <c r="AJ67" s="7">
        <v>46185</v>
      </c>
      <c r="AK67" t="s">
        <v>654</v>
      </c>
      <c r="AL67" t="s">
        <v>651</v>
      </c>
      <c r="AM67" t="s">
        <v>192</v>
      </c>
      <c r="AN67">
        <v>34</v>
      </c>
      <c r="AO67" t="s">
        <v>216</v>
      </c>
      <c r="AR67">
        <v>1</v>
      </c>
      <c r="AS67">
        <v>1</v>
      </c>
      <c r="AT67">
        <v>161</v>
      </c>
      <c r="AU67">
        <v>161</v>
      </c>
      <c r="AV67">
        <v>0</v>
      </c>
      <c r="AW67" t="s">
        <v>201</v>
      </c>
      <c r="AX67">
        <v>1</v>
      </c>
      <c r="AY67">
        <v>0</v>
      </c>
      <c r="BE67" t="s">
        <v>195</v>
      </c>
      <c r="BF67" t="s">
        <v>196</v>
      </c>
      <c r="BG67" t="s">
        <v>197</v>
      </c>
      <c r="BM67">
        <v>57.05</v>
      </c>
      <c r="BN67" s="23">
        <v>73.459999999999994</v>
      </c>
      <c r="BQ67" t="s">
        <v>198</v>
      </c>
      <c r="DI67">
        <v>14.26</v>
      </c>
      <c r="DK67">
        <v>2</v>
      </c>
      <c r="GM67">
        <v>0.15</v>
      </c>
    </row>
    <row r="68" spans="2:195" x14ac:dyDescent="0.35">
      <c r="B68" s="23" t="str">
        <f t="shared" si="11"/>
        <v>EXP20260609-2788973</v>
      </c>
      <c r="C68" s="23">
        <f t="shared" si="12"/>
        <v>72.63000000000001</v>
      </c>
      <c r="D68" s="23">
        <f t="shared" si="13"/>
        <v>72.63000000000001</v>
      </c>
      <c r="E68" s="23" t="str">
        <f t="shared" si="14"/>
        <v/>
      </c>
      <c r="F68" s="23" t="str">
        <f t="shared" si="15"/>
        <v/>
      </c>
      <c r="G68" s="23" t="str">
        <f t="shared" si="16"/>
        <v/>
      </c>
      <c r="H68" s="23" t="str">
        <f t="shared" si="17"/>
        <v/>
      </c>
      <c r="I68" s="23" t="str">
        <f t="shared" si="18"/>
        <v/>
      </c>
      <c r="J68" s="23">
        <f t="shared" si="19"/>
        <v>72.63000000000001</v>
      </c>
      <c r="K68" s="23">
        <f t="shared" si="20"/>
        <v>0</v>
      </c>
      <c r="L68" s="23">
        <f t="shared" si="21"/>
        <v>0</v>
      </c>
      <c r="M68" t="s">
        <v>352</v>
      </c>
      <c r="N68">
        <v>46203</v>
      </c>
      <c r="O68" t="s">
        <v>186</v>
      </c>
      <c r="P68" t="s">
        <v>655</v>
      </c>
      <c r="Q68">
        <v>2026</v>
      </c>
      <c r="R68" s="4" t="s">
        <v>656</v>
      </c>
      <c r="S68" s="5" t="s">
        <v>655</v>
      </c>
      <c r="T68" t="s">
        <v>657</v>
      </c>
      <c r="U68" t="s">
        <v>187</v>
      </c>
      <c r="V68" t="s">
        <v>188</v>
      </c>
      <c r="W68" t="s">
        <v>188</v>
      </c>
      <c r="X68">
        <v>81140</v>
      </c>
      <c r="Y68" t="s">
        <v>189</v>
      </c>
      <c r="Z68" t="s">
        <v>190</v>
      </c>
      <c r="AA68">
        <v>660</v>
      </c>
      <c r="AC68">
        <v>46183</v>
      </c>
      <c r="AD68">
        <v>21</v>
      </c>
      <c r="AE68" t="s">
        <v>191</v>
      </c>
      <c r="AF68" t="s">
        <v>655</v>
      </c>
      <c r="AG68" t="s">
        <v>192</v>
      </c>
      <c r="AH68">
        <v>21</v>
      </c>
      <c r="AI68" t="s">
        <v>193</v>
      </c>
      <c r="AJ68">
        <v>46190</v>
      </c>
      <c r="AK68" t="s">
        <v>658</v>
      </c>
      <c r="AL68" t="s">
        <v>655</v>
      </c>
      <c r="AM68" t="s">
        <v>192</v>
      </c>
      <c r="AN68">
        <v>81</v>
      </c>
      <c r="AO68" t="s">
        <v>659</v>
      </c>
      <c r="AR68">
        <v>1</v>
      </c>
      <c r="AS68">
        <v>1</v>
      </c>
      <c r="AT68">
        <v>132</v>
      </c>
      <c r="AU68">
        <v>132</v>
      </c>
      <c r="AV68">
        <v>0</v>
      </c>
      <c r="AW68" t="s">
        <v>194</v>
      </c>
      <c r="AX68">
        <v>132</v>
      </c>
      <c r="AY68">
        <v>0</v>
      </c>
      <c r="BE68" t="s">
        <v>195</v>
      </c>
      <c r="BF68" t="s">
        <v>196</v>
      </c>
      <c r="BG68" t="s">
        <v>197</v>
      </c>
      <c r="BM68">
        <v>70.48</v>
      </c>
      <c r="BN68" s="6">
        <v>72.63</v>
      </c>
      <c r="BQ68" t="s">
        <v>198</v>
      </c>
      <c r="DK68">
        <v>2</v>
      </c>
      <c r="GM68">
        <v>0.15</v>
      </c>
    </row>
    <row r="69" spans="2:195" x14ac:dyDescent="0.35">
      <c r="B69" s="23" t="str">
        <f t="shared" si="11"/>
        <v>EXP20260609-2789330</v>
      </c>
      <c r="C69" s="23">
        <f t="shared" si="12"/>
        <v>56.4</v>
      </c>
      <c r="D69" s="23">
        <f t="shared" si="13"/>
        <v>56.4</v>
      </c>
      <c r="E69" s="23" t="str">
        <f t="shared" si="14"/>
        <v/>
      </c>
      <c r="F69" s="23" t="str">
        <f t="shared" si="15"/>
        <v/>
      </c>
      <c r="G69" s="23" t="str">
        <f t="shared" si="16"/>
        <v/>
      </c>
      <c r="H69" s="23" t="str">
        <f t="shared" si="17"/>
        <v/>
      </c>
      <c r="I69" s="23" t="str">
        <f t="shared" si="18"/>
        <v/>
      </c>
      <c r="J69" s="23">
        <f t="shared" si="19"/>
        <v>56.4</v>
      </c>
      <c r="K69" s="23">
        <f t="shared" si="20"/>
        <v>0</v>
      </c>
      <c r="L69" s="23">
        <f t="shared" si="21"/>
        <v>0</v>
      </c>
      <c r="M69" t="s">
        <v>352</v>
      </c>
      <c r="N69" s="7">
        <v>46203</v>
      </c>
      <c r="O69" t="s">
        <v>186</v>
      </c>
      <c r="P69" t="s">
        <v>660</v>
      </c>
      <c r="Q69">
        <v>2026</v>
      </c>
      <c r="R69" s="27" t="s">
        <v>661</v>
      </c>
      <c r="S69" s="27" t="s">
        <v>660</v>
      </c>
      <c r="T69" t="s">
        <v>662</v>
      </c>
      <c r="U69" t="s">
        <v>187</v>
      </c>
      <c r="V69" t="s">
        <v>188</v>
      </c>
      <c r="W69" t="s">
        <v>188</v>
      </c>
      <c r="X69">
        <v>83400</v>
      </c>
      <c r="Y69" t="s">
        <v>189</v>
      </c>
      <c r="Z69" t="s">
        <v>190</v>
      </c>
      <c r="AA69">
        <v>604</v>
      </c>
      <c r="AC69" s="7">
        <v>46183</v>
      </c>
      <c r="AD69">
        <v>21</v>
      </c>
      <c r="AE69" t="s">
        <v>191</v>
      </c>
      <c r="AF69" t="s">
        <v>660</v>
      </c>
      <c r="AG69" t="s">
        <v>192</v>
      </c>
      <c r="AH69">
        <v>21</v>
      </c>
      <c r="AI69" t="s">
        <v>193</v>
      </c>
      <c r="AJ69" s="7">
        <v>46188</v>
      </c>
      <c r="AK69" t="s">
        <v>663</v>
      </c>
      <c r="AL69" t="s">
        <v>660</v>
      </c>
      <c r="AM69" t="s">
        <v>192</v>
      </c>
      <c r="AN69">
        <v>83</v>
      </c>
      <c r="AO69" t="s">
        <v>664</v>
      </c>
      <c r="AR69">
        <v>1</v>
      </c>
      <c r="AS69">
        <v>1</v>
      </c>
      <c r="AT69">
        <v>82</v>
      </c>
      <c r="AU69">
        <v>82</v>
      </c>
      <c r="AV69">
        <v>0</v>
      </c>
      <c r="AW69" t="s">
        <v>194</v>
      </c>
      <c r="AX69">
        <v>82</v>
      </c>
      <c r="AY69">
        <v>0</v>
      </c>
      <c r="BE69" t="s">
        <v>195</v>
      </c>
      <c r="BF69" t="s">
        <v>196</v>
      </c>
      <c r="BG69" t="s">
        <v>197</v>
      </c>
      <c r="BM69">
        <v>43.4</v>
      </c>
      <c r="BN69" s="23">
        <v>56.4</v>
      </c>
      <c r="BQ69" t="s">
        <v>198</v>
      </c>
      <c r="DI69">
        <v>10.85</v>
      </c>
      <c r="DK69">
        <v>2</v>
      </c>
      <c r="GM69">
        <v>0.15</v>
      </c>
    </row>
    <row r="70" spans="2:195" x14ac:dyDescent="0.35">
      <c r="B70" s="23" t="str">
        <f t="shared" si="11"/>
        <v>EXP20260609-2788555</v>
      </c>
      <c r="C70" s="23">
        <f t="shared" si="12"/>
        <v>45.999999999999993</v>
      </c>
      <c r="D70" s="23">
        <f t="shared" si="13"/>
        <v>45.999999999999993</v>
      </c>
      <c r="E70" s="23" t="str">
        <f t="shared" si="14"/>
        <v/>
      </c>
      <c r="F70" s="23" t="str">
        <f t="shared" si="15"/>
        <v/>
      </c>
      <c r="G70" s="23" t="str">
        <f t="shared" si="16"/>
        <v/>
      </c>
      <c r="H70" s="23" t="str">
        <f t="shared" si="17"/>
        <v/>
      </c>
      <c r="I70" s="23" t="str">
        <f t="shared" si="18"/>
        <v/>
      </c>
      <c r="J70" s="23">
        <f t="shared" si="19"/>
        <v>45.999999999999993</v>
      </c>
      <c r="K70" s="23">
        <f t="shared" si="20"/>
        <v>0</v>
      </c>
      <c r="L70" s="23">
        <f t="shared" si="21"/>
        <v>0</v>
      </c>
      <c r="M70" t="s">
        <v>352</v>
      </c>
      <c r="N70" s="7">
        <v>46203</v>
      </c>
      <c r="O70" t="s">
        <v>186</v>
      </c>
      <c r="P70" t="s">
        <v>665</v>
      </c>
      <c r="Q70">
        <v>2026</v>
      </c>
      <c r="R70" s="27" t="s">
        <v>666</v>
      </c>
      <c r="S70" s="27" t="s">
        <v>665</v>
      </c>
      <c r="T70" t="s">
        <v>667</v>
      </c>
      <c r="U70" t="s">
        <v>187</v>
      </c>
      <c r="V70" t="s">
        <v>188</v>
      </c>
      <c r="W70" t="s">
        <v>188</v>
      </c>
      <c r="X70">
        <v>34230</v>
      </c>
      <c r="Y70" t="s">
        <v>189</v>
      </c>
      <c r="Z70" t="s">
        <v>190</v>
      </c>
      <c r="AA70">
        <v>560</v>
      </c>
      <c r="AC70" s="7">
        <v>46183</v>
      </c>
      <c r="AD70">
        <v>21</v>
      </c>
      <c r="AE70" t="s">
        <v>191</v>
      </c>
      <c r="AF70" t="s">
        <v>665</v>
      </c>
      <c r="AG70" t="s">
        <v>192</v>
      </c>
      <c r="AH70">
        <v>21</v>
      </c>
      <c r="AI70" t="s">
        <v>193</v>
      </c>
      <c r="AJ70" s="7">
        <v>46188</v>
      </c>
      <c r="AK70" t="s">
        <v>668</v>
      </c>
      <c r="AL70" t="s">
        <v>665</v>
      </c>
      <c r="AM70" t="s">
        <v>192</v>
      </c>
      <c r="AN70">
        <v>34</v>
      </c>
      <c r="AO70" t="s">
        <v>669</v>
      </c>
      <c r="AR70">
        <v>1</v>
      </c>
      <c r="AS70">
        <v>1</v>
      </c>
      <c r="AT70">
        <v>58</v>
      </c>
      <c r="AU70">
        <v>58</v>
      </c>
      <c r="AV70">
        <v>0</v>
      </c>
      <c r="AW70" t="s">
        <v>194</v>
      </c>
      <c r="AX70">
        <v>58</v>
      </c>
      <c r="AY70">
        <v>0</v>
      </c>
      <c r="BE70" t="s">
        <v>195</v>
      </c>
      <c r="BF70" t="s">
        <v>196</v>
      </c>
      <c r="BG70" t="s">
        <v>197</v>
      </c>
      <c r="BM70">
        <v>35.08</v>
      </c>
      <c r="BN70" s="23">
        <v>46</v>
      </c>
      <c r="BQ70" t="s">
        <v>198</v>
      </c>
      <c r="DI70">
        <v>8.77</v>
      </c>
      <c r="DK70">
        <v>2</v>
      </c>
      <c r="GM70">
        <v>0.15</v>
      </c>
    </row>
    <row r="71" spans="2:195" x14ac:dyDescent="0.35">
      <c r="B71" s="23" t="str">
        <f t="shared" si="11"/>
        <v>EXP20260608-2787224</v>
      </c>
      <c r="C71" s="23">
        <f t="shared" si="12"/>
        <v>85.700000000000017</v>
      </c>
      <c r="D71" s="23">
        <f t="shared" si="13"/>
        <v>85.700000000000017</v>
      </c>
      <c r="E71" s="23" t="str">
        <f t="shared" si="14"/>
        <v/>
      </c>
      <c r="F71" s="23" t="str">
        <f t="shared" si="15"/>
        <v/>
      </c>
      <c r="G71" s="23" t="str">
        <f t="shared" si="16"/>
        <v/>
      </c>
      <c r="H71" s="23" t="str">
        <f t="shared" si="17"/>
        <v/>
      </c>
      <c r="I71" s="23" t="str">
        <f t="shared" si="18"/>
        <v/>
      </c>
      <c r="J71" s="23">
        <f t="shared" si="19"/>
        <v>85.700000000000017</v>
      </c>
      <c r="K71" s="23">
        <f t="shared" si="20"/>
        <v>0</v>
      </c>
      <c r="L71" s="23">
        <f t="shared" si="21"/>
        <v>0</v>
      </c>
      <c r="M71" t="s">
        <v>352</v>
      </c>
      <c r="N71" s="7">
        <v>46203</v>
      </c>
      <c r="O71" t="s">
        <v>186</v>
      </c>
      <c r="P71" t="s">
        <v>670</v>
      </c>
      <c r="Q71">
        <v>2026</v>
      </c>
      <c r="R71" s="27" t="s">
        <v>671</v>
      </c>
      <c r="S71" s="27" t="s">
        <v>670</v>
      </c>
      <c r="T71" t="s">
        <v>672</v>
      </c>
      <c r="U71" t="s">
        <v>187</v>
      </c>
      <c r="V71" t="s">
        <v>188</v>
      </c>
      <c r="W71" t="s">
        <v>188</v>
      </c>
      <c r="X71">
        <v>44190</v>
      </c>
      <c r="Y71" t="s">
        <v>189</v>
      </c>
      <c r="Z71" t="s">
        <v>190</v>
      </c>
      <c r="AA71">
        <v>769</v>
      </c>
      <c r="AC71" s="7">
        <v>46183</v>
      </c>
      <c r="AD71">
        <v>21</v>
      </c>
      <c r="AE71" t="s">
        <v>191</v>
      </c>
      <c r="AF71" t="s">
        <v>670</v>
      </c>
      <c r="AG71" t="s">
        <v>192</v>
      </c>
      <c r="AH71">
        <v>21</v>
      </c>
      <c r="AI71" t="s">
        <v>193</v>
      </c>
      <c r="AJ71" s="7">
        <v>46188</v>
      </c>
      <c r="AK71" t="s">
        <v>329</v>
      </c>
      <c r="AL71" t="s">
        <v>670</v>
      </c>
      <c r="AM71" t="s">
        <v>192</v>
      </c>
      <c r="AN71">
        <v>44</v>
      </c>
      <c r="AO71" t="s">
        <v>330</v>
      </c>
      <c r="AR71">
        <v>1</v>
      </c>
      <c r="AS71">
        <v>1</v>
      </c>
      <c r="AT71">
        <v>231</v>
      </c>
      <c r="AU71">
        <v>231</v>
      </c>
      <c r="AV71">
        <v>0</v>
      </c>
      <c r="AW71" t="s">
        <v>201</v>
      </c>
      <c r="AX71">
        <v>1</v>
      </c>
      <c r="AY71">
        <v>0</v>
      </c>
      <c r="BE71" t="s">
        <v>195</v>
      </c>
      <c r="BF71" t="s">
        <v>196</v>
      </c>
      <c r="BG71" t="s">
        <v>197</v>
      </c>
      <c r="BM71">
        <v>66.84</v>
      </c>
      <c r="BN71" s="23">
        <v>85.7</v>
      </c>
      <c r="BQ71" t="s">
        <v>198</v>
      </c>
      <c r="DI71">
        <v>16.71</v>
      </c>
      <c r="DK71">
        <v>2</v>
      </c>
      <c r="GM71">
        <v>0.15</v>
      </c>
    </row>
    <row r="72" spans="2:195" x14ac:dyDescent="0.35">
      <c r="B72" s="23" t="str">
        <f t="shared" si="11"/>
        <v>EXP20260610-2790604</v>
      </c>
      <c r="C72" s="23">
        <f t="shared" si="12"/>
        <v>51.4</v>
      </c>
      <c r="D72" s="23">
        <f t="shared" si="13"/>
        <v>51.4</v>
      </c>
      <c r="E72" s="23" t="str">
        <f t="shared" si="14"/>
        <v/>
      </c>
      <c r="F72" s="23" t="str">
        <f t="shared" si="15"/>
        <v/>
      </c>
      <c r="G72" s="23" t="str">
        <f t="shared" si="16"/>
        <v/>
      </c>
      <c r="H72" s="23" t="str">
        <f t="shared" si="17"/>
        <v/>
      </c>
      <c r="I72" s="23" t="str">
        <f t="shared" si="18"/>
        <v/>
      </c>
      <c r="J72" s="23">
        <f t="shared" si="19"/>
        <v>51.4</v>
      </c>
      <c r="K72" s="23">
        <f t="shared" si="20"/>
        <v>0</v>
      </c>
      <c r="L72" s="23">
        <f t="shared" si="21"/>
        <v>0</v>
      </c>
      <c r="M72" t="s">
        <v>352</v>
      </c>
      <c r="N72" s="7">
        <v>46203</v>
      </c>
      <c r="O72" t="s">
        <v>186</v>
      </c>
      <c r="P72" t="s">
        <v>673</v>
      </c>
      <c r="Q72">
        <v>2026</v>
      </c>
      <c r="R72" s="27" t="s">
        <v>674</v>
      </c>
      <c r="S72" s="27" t="s">
        <v>673</v>
      </c>
      <c r="T72" t="s">
        <v>675</v>
      </c>
      <c r="U72" t="s">
        <v>187</v>
      </c>
      <c r="V72" t="s">
        <v>188</v>
      </c>
      <c r="W72" t="s">
        <v>188</v>
      </c>
      <c r="X72">
        <v>84420</v>
      </c>
      <c r="Y72" t="s">
        <v>189</v>
      </c>
      <c r="Z72" t="s">
        <v>190</v>
      </c>
      <c r="AA72">
        <v>468</v>
      </c>
      <c r="AC72" s="7">
        <v>46183</v>
      </c>
      <c r="AD72">
        <v>21</v>
      </c>
      <c r="AE72" t="s">
        <v>191</v>
      </c>
      <c r="AF72" t="s">
        <v>673</v>
      </c>
      <c r="AG72" t="s">
        <v>192</v>
      </c>
      <c r="AH72">
        <v>21</v>
      </c>
      <c r="AI72" t="s">
        <v>193</v>
      </c>
      <c r="AJ72" s="7">
        <v>46188</v>
      </c>
      <c r="AK72" t="s">
        <v>676</v>
      </c>
      <c r="AL72" t="s">
        <v>673</v>
      </c>
      <c r="AM72" t="s">
        <v>192</v>
      </c>
      <c r="AN72">
        <v>84</v>
      </c>
      <c r="AO72" t="s">
        <v>677</v>
      </c>
      <c r="AR72">
        <v>1</v>
      </c>
      <c r="AS72">
        <v>1</v>
      </c>
      <c r="AT72">
        <v>98</v>
      </c>
      <c r="AU72">
        <v>98</v>
      </c>
      <c r="AV72">
        <v>0</v>
      </c>
      <c r="AW72" t="s">
        <v>194</v>
      </c>
      <c r="AX72">
        <v>98</v>
      </c>
      <c r="AY72">
        <v>0</v>
      </c>
      <c r="BE72" t="s">
        <v>195</v>
      </c>
      <c r="BF72" t="s">
        <v>196</v>
      </c>
      <c r="BG72" t="s">
        <v>197</v>
      </c>
      <c r="BM72">
        <v>39.4</v>
      </c>
      <c r="BN72" s="23">
        <v>51.4</v>
      </c>
      <c r="BQ72" t="s">
        <v>198</v>
      </c>
      <c r="DI72">
        <v>9.85</v>
      </c>
      <c r="DK72">
        <v>2</v>
      </c>
      <c r="GM72">
        <v>0.15</v>
      </c>
    </row>
    <row r="73" spans="2:195" x14ac:dyDescent="0.35">
      <c r="B73" s="23" t="str">
        <f t="shared" si="11"/>
        <v>EXP20260609-2789151</v>
      </c>
      <c r="C73" s="23">
        <f t="shared" si="12"/>
        <v>161.72999999999999</v>
      </c>
      <c r="D73" s="23">
        <f t="shared" si="13"/>
        <v>161.72999999999999</v>
      </c>
      <c r="E73" s="23" t="str">
        <f t="shared" si="14"/>
        <v/>
      </c>
      <c r="F73" s="23" t="str">
        <f t="shared" si="15"/>
        <v/>
      </c>
      <c r="G73" s="23" t="str">
        <f t="shared" si="16"/>
        <v/>
      </c>
      <c r="H73" s="23" t="str">
        <f t="shared" si="17"/>
        <v/>
      </c>
      <c r="I73" s="23" t="str">
        <f t="shared" si="18"/>
        <v/>
      </c>
      <c r="J73" s="23">
        <f t="shared" si="19"/>
        <v>161.72999999999999</v>
      </c>
      <c r="K73" s="23">
        <f t="shared" si="20"/>
        <v>0</v>
      </c>
      <c r="L73" s="23">
        <f t="shared" si="21"/>
        <v>0</v>
      </c>
      <c r="M73" t="s">
        <v>352</v>
      </c>
      <c r="N73" s="7">
        <v>46203</v>
      </c>
      <c r="O73" t="s">
        <v>186</v>
      </c>
      <c r="P73" t="s">
        <v>678</v>
      </c>
      <c r="Q73">
        <v>2026</v>
      </c>
      <c r="R73" s="27" t="s">
        <v>679</v>
      </c>
      <c r="S73" s="27" t="s">
        <v>678</v>
      </c>
      <c r="T73" t="s">
        <v>680</v>
      </c>
      <c r="U73" t="s">
        <v>187</v>
      </c>
      <c r="V73" t="s">
        <v>188</v>
      </c>
      <c r="W73" t="s">
        <v>188</v>
      </c>
      <c r="X73">
        <v>33330</v>
      </c>
      <c r="Y73" t="s">
        <v>189</v>
      </c>
      <c r="Z73" t="s">
        <v>190</v>
      </c>
      <c r="AA73">
        <v>713</v>
      </c>
      <c r="AC73" s="7">
        <v>46183</v>
      </c>
      <c r="AD73">
        <v>21</v>
      </c>
      <c r="AE73" t="s">
        <v>191</v>
      </c>
      <c r="AF73" t="s">
        <v>678</v>
      </c>
      <c r="AG73" t="s">
        <v>192</v>
      </c>
      <c r="AH73">
        <v>21</v>
      </c>
      <c r="AI73" t="s">
        <v>193</v>
      </c>
      <c r="AJ73" s="7">
        <v>46188</v>
      </c>
      <c r="AK73" t="s">
        <v>681</v>
      </c>
      <c r="AL73" t="s">
        <v>678</v>
      </c>
      <c r="AM73" t="s">
        <v>192</v>
      </c>
      <c r="AN73">
        <v>33</v>
      </c>
      <c r="AO73" t="s">
        <v>298</v>
      </c>
      <c r="AR73">
        <v>2</v>
      </c>
      <c r="AS73">
        <v>2</v>
      </c>
      <c r="AT73">
        <v>276</v>
      </c>
      <c r="AU73">
        <v>276</v>
      </c>
      <c r="AV73">
        <v>0</v>
      </c>
      <c r="AW73" t="s">
        <v>201</v>
      </c>
      <c r="AX73">
        <v>2</v>
      </c>
      <c r="AY73">
        <v>0</v>
      </c>
      <c r="BE73" t="s">
        <v>195</v>
      </c>
      <c r="BF73" t="s">
        <v>196</v>
      </c>
      <c r="BG73" t="s">
        <v>197</v>
      </c>
      <c r="BM73">
        <v>127.66</v>
      </c>
      <c r="BN73" s="23">
        <v>161.72999999999999</v>
      </c>
      <c r="BQ73" t="s">
        <v>198</v>
      </c>
      <c r="DI73">
        <v>31.92</v>
      </c>
      <c r="DK73">
        <v>2</v>
      </c>
      <c r="GM73">
        <v>0.15</v>
      </c>
    </row>
    <row r="74" spans="2:195" x14ac:dyDescent="0.35">
      <c r="B74" s="23" t="str">
        <f t="shared" si="11"/>
        <v>EXP20260608-2786161</v>
      </c>
      <c r="C74" s="23">
        <f t="shared" si="12"/>
        <v>30.97</v>
      </c>
      <c r="D74" s="23">
        <f t="shared" si="13"/>
        <v>30.97</v>
      </c>
      <c r="E74" s="23" t="str">
        <f t="shared" si="14"/>
        <v/>
      </c>
      <c r="F74" s="23" t="str">
        <f t="shared" si="15"/>
        <v/>
      </c>
      <c r="G74" s="23" t="str">
        <f t="shared" si="16"/>
        <v/>
      </c>
      <c r="H74" s="23" t="str">
        <f t="shared" si="17"/>
        <v/>
      </c>
      <c r="I74" s="23" t="str">
        <f t="shared" si="18"/>
        <v/>
      </c>
      <c r="J74" s="23">
        <f t="shared" si="19"/>
        <v>30.97</v>
      </c>
      <c r="K74" s="23">
        <f t="shared" si="20"/>
        <v>0</v>
      </c>
      <c r="L74" s="23">
        <f t="shared" si="21"/>
        <v>0</v>
      </c>
      <c r="M74" t="s">
        <v>352</v>
      </c>
      <c r="N74" s="7">
        <v>46203</v>
      </c>
      <c r="O74" t="s">
        <v>186</v>
      </c>
      <c r="P74" t="s">
        <v>682</v>
      </c>
      <c r="Q74">
        <v>2026</v>
      </c>
      <c r="R74" s="27" t="s">
        <v>683</v>
      </c>
      <c r="S74" s="27" t="s">
        <v>682</v>
      </c>
      <c r="T74" t="s">
        <v>684</v>
      </c>
      <c r="U74" t="s">
        <v>187</v>
      </c>
      <c r="V74" t="s">
        <v>188</v>
      </c>
      <c r="W74" t="s">
        <v>188</v>
      </c>
      <c r="X74">
        <v>21200</v>
      </c>
      <c r="Y74" t="s">
        <v>189</v>
      </c>
      <c r="Z74" t="s">
        <v>190</v>
      </c>
      <c r="AA74">
        <v>81</v>
      </c>
      <c r="AC74" s="7">
        <v>46183</v>
      </c>
      <c r="AD74">
        <v>21</v>
      </c>
      <c r="AE74" t="s">
        <v>191</v>
      </c>
      <c r="AF74" t="s">
        <v>682</v>
      </c>
      <c r="AG74" t="s">
        <v>192</v>
      </c>
      <c r="AH74">
        <v>21</v>
      </c>
      <c r="AI74" t="s">
        <v>193</v>
      </c>
      <c r="AJ74" s="7">
        <v>46185</v>
      </c>
      <c r="AK74" t="s">
        <v>685</v>
      </c>
      <c r="AL74" t="s">
        <v>682</v>
      </c>
      <c r="AM74" t="s">
        <v>192</v>
      </c>
      <c r="AN74">
        <v>21</v>
      </c>
      <c r="AO74" t="s">
        <v>686</v>
      </c>
      <c r="AR74">
        <v>1</v>
      </c>
      <c r="AS74">
        <v>1</v>
      </c>
      <c r="AT74">
        <v>114</v>
      </c>
      <c r="AU74">
        <v>114</v>
      </c>
      <c r="AV74">
        <v>0</v>
      </c>
      <c r="AW74" t="s">
        <v>194</v>
      </c>
      <c r="AX74">
        <v>114</v>
      </c>
      <c r="AY74">
        <v>0</v>
      </c>
      <c r="BE74" t="s">
        <v>195</v>
      </c>
      <c r="BF74" t="s">
        <v>196</v>
      </c>
      <c r="BG74" t="s">
        <v>197</v>
      </c>
      <c r="BM74">
        <v>28.82</v>
      </c>
      <c r="BN74" s="23">
        <v>30.97</v>
      </c>
      <c r="BQ74" t="s">
        <v>198</v>
      </c>
      <c r="DK74">
        <v>2</v>
      </c>
      <c r="GM74">
        <v>0.15</v>
      </c>
    </row>
    <row r="75" spans="2:195" x14ac:dyDescent="0.35">
      <c r="B75" s="23" t="str">
        <f t="shared" si="11"/>
        <v>EXP20260609-2789032</v>
      </c>
      <c r="C75" s="23">
        <f t="shared" si="12"/>
        <v>28.779999999999998</v>
      </c>
      <c r="D75" s="23">
        <f t="shared" si="13"/>
        <v>28.779999999999998</v>
      </c>
      <c r="E75" s="23" t="str">
        <f t="shared" si="14"/>
        <v/>
      </c>
      <c r="F75" s="23" t="str">
        <f t="shared" si="15"/>
        <v/>
      </c>
      <c r="G75" s="23" t="str">
        <f t="shared" si="16"/>
        <v/>
      </c>
      <c r="H75" s="23" t="str">
        <f t="shared" si="17"/>
        <v/>
      </c>
      <c r="I75" s="23" t="str">
        <f t="shared" si="18"/>
        <v/>
      </c>
      <c r="J75" s="23">
        <f t="shared" si="19"/>
        <v>28.779999999999998</v>
      </c>
      <c r="K75" s="23">
        <f t="shared" si="20"/>
        <v>0</v>
      </c>
      <c r="L75" s="23">
        <f t="shared" si="21"/>
        <v>0</v>
      </c>
      <c r="M75" t="s">
        <v>352</v>
      </c>
      <c r="N75" s="7">
        <v>46203</v>
      </c>
      <c r="O75" t="s">
        <v>186</v>
      </c>
      <c r="P75" t="s">
        <v>687</v>
      </c>
      <c r="Q75">
        <v>2026</v>
      </c>
      <c r="R75" s="27" t="s">
        <v>688</v>
      </c>
      <c r="S75" s="27" t="s">
        <v>687</v>
      </c>
      <c r="T75" t="s">
        <v>689</v>
      </c>
      <c r="U75" t="s">
        <v>187</v>
      </c>
      <c r="V75" t="s">
        <v>188</v>
      </c>
      <c r="W75" t="s">
        <v>188</v>
      </c>
      <c r="X75">
        <v>89800</v>
      </c>
      <c r="Y75" t="s">
        <v>189</v>
      </c>
      <c r="Z75" t="s">
        <v>190</v>
      </c>
      <c r="AA75">
        <v>236</v>
      </c>
      <c r="AC75" s="7">
        <v>46183</v>
      </c>
      <c r="AD75">
        <v>21</v>
      </c>
      <c r="AE75" t="s">
        <v>191</v>
      </c>
      <c r="AF75" t="s">
        <v>687</v>
      </c>
      <c r="AG75" t="s">
        <v>192</v>
      </c>
      <c r="AH75">
        <v>21</v>
      </c>
      <c r="AI75" t="s">
        <v>193</v>
      </c>
      <c r="AJ75" s="7">
        <v>46195</v>
      </c>
      <c r="AK75" t="s">
        <v>690</v>
      </c>
      <c r="AL75" t="s">
        <v>687</v>
      </c>
      <c r="AM75" t="s">
        <v>192</v>
      </c>
      <c r="AN75">
        <v>89</v>
      </c>
      <c r="AO75" t="s">
        <v>691</v>
      </c>
      <c r="AR75">
        <v>1</v>
      </c>
      <c r="AS75">
        <v>1</v>
      </c>
      <c r="AT75">
        <v>52</v>
      </c>
      <c r="AU75">
        <v>52</v>
      </c>
      <c r="AV75">
        <v>0</v>
      </c>
      <c r="AW75" t="s">
        <v>194</v>
      </c>
      <c r="AX75">
        <v>52</v>
      </c>
      <c r="AY75">
        <v>0</v>
      </c>
      <c r="BE75" t="s">
        <v>195</v>
      </c>
      <c r="BF75" t="s">
        <v>196</v>
      </c>
      <c r="BG75" t="s">
        <v>197</v>
      </c>
      <c r="BM75">
        <v>26.63</v>
      </c>
      <c r="BN75" s="23">
        <v>28.78</v>
      </c>
      <c r="BQ75" t="s">
        <v>198</v>
      </c>
      <c r="DK75">
        <v>2</v>
      </c>
      <c r="GM75">
        <v>0.15</v>
      </c>
    </row>
    <row r="76" spans="2:195" x14ac:dyDescent="0.35">
      <c r="B76" s="23" t="str">
        <f t="shared" si="11"/>
        <v>EXP20260609-2789150</v>
      </c>
      <c r="C76" s="23">
        <f t="shared" si="12"/>
        <v>110.42</v>
      </c>
      <c r="D76" s="23">
        <f t="shared" si="13"/>
        <v>110.42</v>
      </c>
      <c r="E76" s="23" t="str">
        <f t="shared" si="14"/>
        <v/>
      </c>
      <c r="F76" s="23" t="str">
        <f t="shared" si="15"/>
        <v/>
      </c>
      <c r="G76" s="23" t="str">
        <f t="shared" si="16"/>
        <v/>
      </c>
      <c r="H76" s="23" t="str">
        <f t="shared" si="17"/>
        <v/>
      </c>
      <c r="I76" s="23" t="str">
        <f t="shared" si="18"/>
        <v/>
      </c>
      <c r="J76" s="23">
        <f t="shared" si="19"/>
        <v>110.42</v>
      </c>
      <c r="K76" s="23">
        <f t="shared" si="20"/>
        <v>0</v>
      </c>
      <c r="L76" s="23">
        <f t="shared" si="21"/>
        <v>0</v>
      </c>
      <c r="M76" t="s">
        <v>352</v>
      </c>
      <c r="N76" s="7">
        <v>46203</v>
      </c>
      <c r="O76" t="s">
        <v>186</v>
      </c>
      <c r="P76" t="s">
        <v>692</v>
      </c>
      <c r="Q76">
        <v>2026</v>
      </c>
      <c r="R76" s="27" t="s">
        <v>693</v>
      </c>
      <c r="S76" s="27" t="s">
        <v>692</v>
      </c>
      <c r="T76" t="s">
        <v>694</v>
      </c>
      <c r="U76" t="s">
        <v>187</v>
      </c>
      <c r="V76" t="s">
        <v>188</v>
      </c>
      <c r="W76" t="s">
        <v>188</v>
      </c>
      <c r="X76">
        <v>5130</v>
      </c>
      <c r="Y76" t="s">
        <v>189</v>
      </c>
      <c r="Z76" t="s">
        <v>190</v>
      </c>
      <c r="AA76">
        <v>524</v>
      </c>
      <c r="AC76" s="7">
        <v>46183</v>
      </c>
      <c r="AD76">
        <v>21</v>
      </c>
      <c r="AE76" t="s">
        <v>191</v>
      </c>
      <c r="AF76" t="s">
        <v>692</v>
      </c>
      <c r="AG76" t="s">
        <v>192</v>
      </c>
      <c r="AH76">
        <v>21</v>
      </c>
      <c r="AI76" t="s">
        <v>193</v>
      </c>
      <c r="AJ76" s="7">
        <v>46188</v>
      </c>
      <c r="AK76" t="s">
        <v>695</v>
      </c>
      <c r="AL76" t="s">
        <v>692</v>
      </c>
      <c r="AM76" t="s">
        <v>192</v>
      </c>
      <c r="AN76">
        <v>5</v>
      </c>
      <c r="AO76" t="s">
        <v>696</v>
      </c>
      <c r="AR76">
        <v>2</v>
      </c>
      <c r="AS76">
        <v>2</v>
      </c>
      <c r="AT76">
        <v>231</v>
      </c>
      <c r="AU76">
        <v>231</v>
      </c>
      <c r="AV76">
        <v>0</v>
      </c>
      <c r="AW76" t="s">
        <v>201</v>
      </c>
      <c r="AX76">
        <v>2</v>
      </c>
      <c r="AY76">
        <v>0</v>
      </c>
      <c r="BE76" t="s">
        <v>195</v>
      </c>
      <c r="BF76" t="s">
        <v>196</v>
      </c>
      <c r="BG76" t="s">
        <v>197</v>
      </c>
      <c r="BM76">
        <v>108.27</v>
      </c>
      <c r="BN76" s="23">
        <v>110.42</v>
      </c>
      <c r="BQ76" t="s">
        <v>198</v>
      </c>
      <c r="DK76">
        <v>2</v>
      </c>
      <c r="GM76">
        <v>0.15</v>
      </c>
    </row>
    <row r="77" spans="2:195" x14ac:dyDescent="0.35">
      <c r="B77" s="23" t="str">
        <f t="shared" si="11"/>
        <v>EXP20260609-2789152</v>
      </c>
      <c r="C77" s="23">
        <f t="shared" si="12"/>
        <v>29.08</v>
      </c>
      <c r="D77" s="23">
        <f t="shared" si="13"/>
        <v>29.08</v>
      </c>
      <c r="E77" s="23" t="str">
        <f t="shared" si="14"/>
        <v/>
      </c>
      <c r="F77" s="23" t="str">
        <f t="shared" si="15"/>
        <v/>
      </c>
      <c r="G77" s="23" t="str">
        <f t="shared" si="16"/>
        <v/>
      </c>
      <c r="H77" s="23" t="str">
        <f t="shared" si="17"/>
        <v/>
      </c>
      <c r="I77" s="23" t="str">
        <f t="shared" si="18"/>
        <v/>
      </c>
      <c r="J77" s="23">
        <f t="shared" si="19"/>
        <v>29.08</v>
      </c>
      <c r="K77" s="23">
        <f t="shared" si="20"/>
        <v>0</v>
      </c>
      <c r="L77" s="23">
        <f t="shared" si="21"/>
        <v>0</v>
      </c>
      <c r="M77" t="s">
        <v>352</v>
      </c>
      <c r="N77" s="7">
        <v>46203</v>
      </c>
      <c r="O77" t="s">
        <v>186</v>
      </c>
      <c r="P77" t="s">
        <v>697</v>
      </c>
      <c r="Q77">
        <v>2026</v>
      </c>
      <c r="R77" s="27" t="s">
        <v>698</v>
      </c>
      <c r="S77" s="27" t="s">
        <v>697</v>
      </c>
      <c r="T77" t="s">
        <v>699</v>
      </c>
      <c r="U77" t="s">
        <v>187</v>
      </c>
      <c r="V77" t="s">
        <v>188</v>
      </c>
      <c r="W77" t="s">
        <v>188</v>
      </c>
      <c r="X77">
        <v>14000</v>
      </c>
      <c r="Y77" t="s">
        <v>189</v>
      </c>
      <c r="Z77" t="s">
        <v>190</v>
      </c>
      <c r="AA77">
        <v>644</v>
      </c>
      <c r="AC77" s="7">
        <v>46183</v>
      </c>
      <c r="AD77">
        <v>21</v>
      </c>
      <c r="AE77" t="s">
        <v>191</v>
      </c>
      <c r="AF77" t="s">
        <v>697</v>
      </c>
      <c r="AG77" t="s">
        <v>192</v>
      </c>
      <c r="AH77">
        <v>21</v>
      </c>
      <c r="AI77" t="s">
        <v>193</v>
      </c>
      <c r="AJ77" s="7">
        <v>46185</v>
      </c>
      <c r="AK77" t="s">
        <v>700</v>
      </c>
      <c r="AL77" t="s">
        <v>697</v>
      </c>
      <c r="AM77" t="s">
        <v>192</v>
      </c>
      <c r="AN77">
        <v>14</v>
      </c>
      <c r="AO77" t="s">
        <v>701</v>
      </c>
      <c r="AR77">
        <v>1</v>
      </c>
      <c r="AS77">
        <v>1</v>
      </c>
      <c r="AT77">
        <v>13</v>
      </c>
      <c r="AU77">
        <v>13</v>
      </c>
      <c r="AV77">
        <v>0</v>
      </c>
      <c r="AW77" t="s">
        <v>194</v>
      </c>
      <c r="AX77">
        <v>13</v>
      </c>
      <c r="AY77">
        <v>0</v>
      </c>
      <c r="BE77" t="s">
        <v>195</v>
      </c>
      <c r="BF77" t="s">
        <v>196</v>
      </c>
      <c r="BG77" t="s">
        <v>197</v>
      </c>
      <c r="BM77">
        <v>26.93</v>
      </c>
      <c r="BN77" s="23">
        <v>29.08</v>
      </c>
      <c r="BQ77" t="s">
        <v>198</v>
      </c>
      <c r="DK77">
        <v>2</v>
      </c>
      <c r="GM77">
        <v>0.15</v>
      </c>
    </row>
    <row r="78" spans="2:195" x14ac:dyDescent="0.35">
      <c r="B78" s="23" t="str">
        <f t="shared" si="11"/>
        <v>EXP20260609-2788554</v>
      </c>
      <c r="C78" s="23">
        <f t="shared" si="12"/>
        <v>161.72999999999999</v>
      </c>
      <c r="D78" s="23">
        <f t="shared" si="13"/>
        <v>161.72999999999999</v>
      </c>
      <c r="E78" s="23" t="str">
        <f t="shared" si="14"/>
        <v/>
      </c>
      <c r="F78" s="23" t="str">
        <f t="shared" si="15"/>
        <v/>
      </c>
      <c r="G78" s="23" t="str">
        <f t="shared" si="16"/>
        <v/>
      </c>
      <c r="H78" s="23" t="str">
        <f t="shared" si="17"/>
        <v/>
      </c>
      <c r="I78" s="23" t="str">
        <f t="shared" si="18"/>
        <v/>
      </c>
      <c r="J78" s="23">
        <f t="shared" si="19"/>
        <v>161.72999999999999</v>
      </c>
      <c r="K78" s="23">
        <f t="shared" si="20"/>
        <v>0</v>
      </c>
      <c r="L78" s="23">
        <f t="shared" si="21"/>
        <v>0</v>
      </c>
      <c r="M78" t="s">
        <v>352</v>
      </c>
      <c r="N78" s="7">
        <v>46203</v>
      </c>
      <c r="O78" t="s">
        <v>186</v>
      </c>
      <c r="P78" t="s">
        <v>702</v>
      </c>
      <c r="Q78">
        <v>2026</v>
      </c>
      <c r="R78" s="27" t="s">
        <v>703</v>
      </c>
      <c r="S78" s="27" t="s">
        <v>702</v>
      </c>
      <c r="T78" t="s">
        <v>704</v>
      </c>
      <c r="U78" t="s">
        <v>187</v>
      </c>
      <c r="V78" t="s">
        <v>188</v>
      </c>
      <c r="W78" t="s">
        <v>188</v>
      </c>
      <c r="X78">
        <v>33650</v>
      </c>
      <c r="Y78" t="s">
        <v>189</v>
      </c>
      <c r="Z78" t="s">
        <v>190</v>
      </c>
      <c r="AA78">
        <v>713</v>
      </c>
      <c r="AC78" s="7">
        <v>46183</v>
      </c>
      <c r="AD78">
        <v>21</v>
      </c>
      <c r="AE78" t="s">
        <v>191</v>
      </c>
      <c r="AF78" t="s">
        <v>702</v>
      </c>
      <c r="AG78" t="s">
        <v>192</v>
      </c>
      <c r="AH78">
        <v>21</v>
      </c>
      <c r="AI78" t="s">
        <v>193</v>
      </c>
      <c r="AJ78" s="7">
        <v>46188</v>
      </c>
      <c r="AK78" t="s">
        <v>705</v>
      </c>
      <c r="AL78" t="s">
        <v>702</v>
      </c>
      <c r="AM78" t="s">
        <v>192</v>
      </c>
      <c r="AN78">
        <v>33</v>
      </c>
      <c r="AO78" t="s">
        <v>706</v>
      </c>
      <c r="AR78">
        <v>2</v>
      </c>
      <c r="AS78">
        <v>2</v>
      </c>
      <c r="AT78">
        <v>193</v>
      </c>
      <c r="AU78">
        <v>193</v>
      </c>
      <c r="AV78">
        <v>0</v>
      </c>
      <c r="AW78" t="s">
        <v>201</v>
      </c>
      <c r="AX78">
        <v>2</v>
      </c>
      <c r="AY78">
        <v>0</v>
      </c>
      <c r="BE78" t="s">
        <v>195</v>
      </c>
      <c r="BF78" t="s">
        <v>196</v>
      </c>
      <c r="BG78" t="s">
        <v>197</v>
      </c>
      <c r="BM78">
        <v>127.66</v>
      </c>
      <c r="BN78" s="23">
        <v>161.72999999999999</v>
      </c>
      <c r="BQ78" t="s">
        <v>198</v>
      </c>
      <c r="DI78">
        <v>31.92</v>
      </c>
      <c r="DK78">
        <v>2</v>
      </c>
      <c r="GM78">
        <v>0.15</v>
      </c>
    </row>
    <row r="79" spans="2:195" x14ac:dyDescent="0.35">
      <c r="B79" s="23" t="str">
        <f t="shared" si="11"/>
        <v>EXP20260610-2790302</v>
      </c>
      <c r="C79" s="23">
        <f t="shared" si="12"/>
        <v>24.189999999999998</v>
      </c>
      <c r="D79" s="23">
        <f t="shared" si="13"/>
        <v>24.189999999999998</v>
      </c>
      <c r="E79" s="23" t="str">
        <f t="shared" si="14"/>
        <v/>
      </c>
      <c r="F79" s="23" t="str">
        <f t="shared" si="15"/>
        <v/>
      </c>
      <c r="G79" s="23" t="str">
        <f t="shared" si="16"/>
        <v/>
      </c>
      <c r="H79" s="23" t="str">
        <f t="shared" si="17"/>
        <v/>
      </c>
      <c r="I79" s="23" t="str">
        <f t="shared" si="18"/>
        <v/>
      </c>
      <c r="J79" s="23">
        <f t="shared" si="19"/>
        <v>24.189999999999998</v>
      </c>
      <c r="K79" s="23">
        <f t="shared" si="20"/>
        <v>0</v>
      </c>
      <c r="L79" s="23">
        <f t="shared" si="21"/>
        <v>0</v>
      </c>
      <c r="M79" t="s">
        <v>352</v>
      </c>
      <c r="N79" s="7">
        <v>46203</v>
      </c>
      <c r="O79" t="s">
        <v>186</v>
      </c>
      <c r="P79" t="s">
        <v>707</v>
      </c>
      <c r="Q79">
        <v>2026</v>
      </c>
      <c r="R79" s="27" t="s">
        <v>708</v>
      </c>
      <c r="S79" s="27" t="s">
        <v>707</v>
      </c>
      <c r="T79" t="s">
        <v>709</v>
      </c>
      <c r="U79" t="s">
        <v>187</v>
      </c>
      <c r="V79" t="s">
        <v>188</v>
      </c>
      <c r="W79" t="s">
        <v>188</v>
      </c>
      <c r="X79">
        <v>21190</v>
      </c>
      <c r="Y79" t="s">
        <v>189</v>
      </c>
      <c r="Z79" t="s">
        <v>190</v>
      </c>
      <c r="AA79">
        <v>81</v>
      </c>
      <c r="AC79" s="7">
        <v>46183</v>
      </c>
      <c r="AD79">
        <v>21</v>
      </c>
      <c r="AE79" t="s">
        <v>191</v>
      </c>
      <c r="AF79" t="s">
        <v>707</v>
      </c>
      <c r="AG79" t="s">
        <v>192</v>
      </c>
      <c r="AH79">
        <v>21</v>
      </c>
      <c r="AI79" t="s">
        <v>193</v>
      </c>
      <c r="AJ79" s="7">
        <v>46185</v>
      </c>
      <c r="AK79" t="s">
        <v>710</v>
      </c>
      <c r="AL79" t="s">
        <v>707</v>
      </c>
      <c r="AM79" t="s">
        <v>192</v>
      </c>
      <c r="AN79">
        <v>21</v>
      </c>
      <c r="AO79" t="s">
        <v>711</v>
      </c>
      <c r="AR79">
        <v>1</v>
      </c>
      <c r="AS79">
        <v>1</v>
      </c>
      <c r="AT79">
        <v>55</v>
      </c>
      <c r="AU79">
        <v>55</v>
      </c>
      <c r="AV79">
        <v>0</v>
      </c>
      <c r="AW79" t="s">
        <v>194</v>
      </c>
      <c r="AX79">
        <v>55</v>
      </c>
      <c r="AY79">
        <v>0</v>
      </c>
      <c r="BE79" t="s">
        <v>195</v>
      </c>
      <c r="BF79" t="s">
        <v>196</v>
      </c>
      <c r="BG79" t="s">
        <v>197</v>
      </c>
      <c r="BM79">
        <v>22.04</v>
      </c>
      <c r="BN79" s="23">
        <v>24.19</v>
      </c>
      <c r="BQ79" t="s">
        <v>198</v>
      </c>
      <c r="DK79">
        <v>2</v>
      </c>
      <c r="GM79">
        <v>0.15</v>
      </c>
    </row>
    <row r="80" spans="2:195" x14ac:dyDescent="0.35">
      <c r="B80" s="23" t="str">
        <f t="shared" si="11"/>
        <v>EXP20260609-2788974</v>
      </c>
      <c r="C80" s="23">
        <f t="shared" si="12"/>
        <v>114.36</v>
      </c>
      <c r="D80" s="23">
        <f t="shared" si="13"/>
        <v>114.36</v>
      </c>
      <c r="E80" s="23" t="str">
        <f t="shared" si="14"/>
        <v/>
      </c>
      <c r="F80" s="23" t="str">
        <f t="shared" si="15"/>
        <v/>
      </c>
      <c r="G80" s="23" t="str">
        <f t="shared" si="16"/>
        <v/>
      </c>
      <c r="H80" s="23" t="str">
        <f t="shared" si="17"/>
        <v/>
      </c>
      <c r="I80" s="23" t="str">
        <f t="shared" si="18"/>
        <v/>
      </c>
      <c r="J80" s="23">
        <f t="shared" si="19"/>
        <v>114.36</v>
      </c>
      <c r="K80" s="23">
        <f t="shared" si="20"/>
        <v>0</v>
      </c>
      <c r="L80" s="23">
        <f t="shared" si="21"/>
        <v>0</v>
      </c>
      <c r="M80" t="s">
        <v>352</v>
      </c>
      <c r="N80" s="7">
        <v>46203</v>
      </c>
      <c r="O80" t="s">
        <v>186</v>
      </c>
      <c r="P80" t="s">
        <v>712</v>
      </c>
      <c r="Q80">
        <v>2026</v>
      </c>
      <c r="R80" s="27" t="s">
        <v>713</v>
      </c>
      <c r="S80" s="27" t="s">
        <v>712</v>
      </c>
      <c r="T80" t="s">
        <v>714</v>
      </c>
      <c r="U80" t="s">
        <v>187</v>
      </c>
      <c r="V80" t="s">
        <v>188</v>
      </c>
      <c r="W80" t="s">
        <v>188</v>
      </c>
      <c r="X80">
        <v>91380</v>
      </c>
      <c r="Y80" t="s">
        <v>189</v>
      </c>
      <c r="Z80" t="s">
        <v>190</v>
      </c>
      <c r="AA80">
        <v>437</v>
      </c>
      <c r="AC80" s="7">
        <v>46183</v>
      </c>
      <c r="AD80">
        <v>21</v>
      </c>
      <c r="AE80" t="s">
        <v>191</v>
      </c>
      <c r="AF80" t="s">
        <v>712</v>
      </c>
      <c r="AG80" t="s">
        <v>192</v>
      </c>
      <c r="AH80">
        <v>21</v>
      </c>
      <c r="AI80" t="s">
        <v>193</v>
      </c>
      <c r="AJ80" s="7">
        <v>46188</v>
      </c>
      <c r="AK80" t="s">
        <v>303</v>
      </c>
      <c r="AL80" t="s">
        <v>712</v>
      </c>
      <c r="AM80" t="s">
        <v>192</v>
      </c>
      <c r="AN80">
        <v>91</v>
      </c>
      <c r="AO80" t="s">
        <v>304</v>
      </c>
      <c r="AR80">
        <v>2</v>
      </c>
      <c r="AS80">
        <v>2</v>
      </c>
      <c r="AT80">
        <v>222</v>
      </c>
      <c r="AU80">
        <v>222</v>
      </c>
      <c r="AV80">
        <v>0</v>
      </c>
      <c r="AW80" t="s">
        <v>201</v>
      </c>
      <c r="AX80">
        <v>2</v>
      </c>
      <c r="AY80">
        <v>0</v>
      </c>
      <c r="BE80" t="s">
        <v>195</v>
      </c>
      <c r="BF80" t="s">
        <v>196</v>
      </c>
      <c r="BG80" t="s">
        <v>197</v>
      </c>
      <c r="BM80">
        <v>112.21</v>
      </c>
      <c r="BN80" s="23">
        <v>114.36</v>
      </c>
      <c r="BQ80" t="s">
        <v>198</v>
      </c>
      <c r="DK80">
        <v>2</v>
      </c>
      <c r="GM80">
        <v>0.15</v>
      </c>
    </row>
    <row r="81" spans="2:195" x14ac:dyDescent="0.35">
      <c r="B81" s="23" t="str">
        <f t="shared" si="11"/>
        <v>EXP20260609-2788712</v>
      </c>
      <c r="C81" s="23">
        <f t="shared" si="12"/>
        <v>36.46</v>
      </c>
      <c r="D81" s="23">
        <f t="shared" si="13"/>
        <v>36.46</v>
      </c>
      <c r="E81" s="23" t="str">
        <f t="shared" si="14"/>
        <v/>
      </c>
      <c r="F81" s="23" t="str">
        <f t="shared" si="15"/>
        <v/>
      </c>
      <c r="G81" s="23" t="str">
        <f t="shared" si="16"/>
        <v/>
      </c>
      <c r="H81" s="23" t="str">
        <f t="shared" si="17"/>
        <v/>
      </c>
      <c r="I81" s="23" t="str">
        <f t="shared" si="18"/>
        <v/>
      </c>
      <c r="J81" s="23">
        <f t="shared" si="19"/>
        <v>36.46</v>
      </c>
      <c r="K81" s="23">
        <f t="shared" si="20"/>
        <v>0</v>
      </c>
      <c r="L81" s="23">
        <f t="shared" si="21"/>
        <v>0</v>
      </c>
      <c r="M81" t="s">
        <v>352</v>
      </c>
      <c r="N81" s="7">
        <v>46203</v>
      </c>
      <c r="O81" t="s">
        <v>186</v>
      </c>
      <c r="P81" t="s">
        <v>715</v>
      </c>
      <c r="Q81">
        <v>2026</v>
      </c>
      <c r="R81" s="27" t="s">
        <v>716</v>
      </c>
      <c r="S81" s="27" t="s">
        <v>715</v>
      </c>
      <c r="T81" t="s">
        <v>717</v>
      </c>
      <c r="U81" t="s">
        <v>187</v>
      </c>
      <c r="V81" t="s">
        <v>188</v>
      </c>
      <c r="W81" t="s">
        <v>188</v>
      </c>
      <c r="X81">
        <v>78600</v>
      </c>
      <c r="Y81" t="s">
        <v>189</v>
      </c>
      <c r="Z81" t="s">
        <v>190</v>
      </c>
      <c r="AA81">
        <v>467</v>
      </c>
      <c r="AC81" s="7">
        <v>46183</v>
      </c>
      <c r="AD81">
        <v>21</v>
      </c>
      <c r="AE81" t="s">
        <v>191</v>
      </c>
      <c r="AF81" t="s">
        <v>715</v>
      </c>
      <c r="AG81" t="s">
        <v>192</v>
      </c>
      <c r="AH81">
        <v>21</v>
      </c>
      <c r="AI81" t="s">
        <v>193</v>
      </c>
      <c r="AJ81" s="7">
        <v>46185</v>
      </c>
      <c r="AK81" t="s">
        <v>718</v>
      </c>
      <c r="AL81" t="s">
        <v>715</v>
      </c>
      <c r="AM81" t="s">
        <v>192</v>
      </c>
      <c r="AN81">
        <v>78</v>
      </c>
      <c r="AO81" t="s">
        <v>719</v>
      </c>
      <c r="AR81">
        <v>1</v>
      </c>
      <c r="AS81">
        <v>1</v>
      </c>
      <c r="AT81">
        <v>33</v>
      </c>
      <c r="AU81">
        <v>33</v>
      </c>
      <c r="AV81">
        <v>0</v>
      </c>
      <c r="AW81" t="s">
        <v>194</v>
      </c>
      <c r="AX81">
        <v>33</v>
      </c>
      <c r="AY81">
        <v>0</v>
      </c>
      <c r="BE81" t="s">
        <v>195</v>
      </c>
      <c r="BF81" t="s">
        <v>196</v>
      </c>
      <c r="BG81" t="s">
        <v>197</v>
      </c>
      <c r="BM81">
        <v>34.31</v>
      </c>
      <c r="BN81" s="23">
        <v>36.46</v>
      </c>
      <c r="BQ81" t="s">
        <v>198</v>
      </c>
      <c r="DK81">
        <v>2</v>
      </c>
      <c r="GM81">
        <v>0.15</v>
      </c>
    </row>
    <row r="82" spans="2:195" x14ac:dyDescent="0.35">
      <c r="B82" s="23" t="str">
        <f t="shared" si="11"/>
        <v>EXP20260609-2788763</v>
      </c>
      <c r="C82" s="23">
        <f t="shared" si="12"/>
        <v>52.42</v>
      </c>
      <c r="D82" s="23">
        <f t="shared" si="13"/>
        <v>52.42</v>
      </c>
      <c r="E82" s="23" t="str">
        <f t="shared" si="14"/>
        <v/>
      </c>
      <c r="F82" s="23" t="str">
        <f t="shared" si="15"/>
        <v/>
      </c>
      <c r="G82" s="23" t="str">
        <f t="shared" si="16"/>
        <v/>
      </c>
      <c r="H82" s="23" t="str">
        <f t="shared" si="17"/>
        <v/>
      </c>
      <c r="I82" s="23" t="str">
        <f t="shared" si="18"/>
        <v/>
      </c>
      <c r="J82" s="23">
        <f t="shared" si="19"/>
        <v>52.42</v>
      </c>
      <c r="K82" s="23">
        <f t="shared" si="20"/>
        <v>0</v>
      </c>
      <c r="L82" s="23">
        <f t="shared" si="21"/>
        <v>0</v>
      </c>
      <c r="M82" t="s">
        <v>352</v>
      </c>
      <c r="N82" s="7">
        <v>46203</v>
      </c>
      <c r="O82" t="s">
        <v>186</v>
      </c>
      <c r="P82" t="s">
        <v>720</v>
      </c>
      <c r="Q82">
        <v>2026</v>
      </c>
      <c r="R82" s="27" t="s">
        <v>721</v>
      </c>
      <c r="S82" s="27" t="s">
        <v>720</v>
      </c>
      <c r="T82" t="s">
        <v>722</v>
      </c>
      <c r="U82" t="s">
        <v>187</v>
      </c>
      <c r="V82" t="s">
        <v>188</v>
      </c>
      <c r="W82" t="s">
        <v>188</v>
      </c>
      <c r="X82">
        <v>26150</v>
      </c>
      <c r="Y82" t="s">
        <v>189</v>
      </c>
      <c r="Z82" t="s">
        <v>190</v>
      </c>
      <c r="AA82">
        <v>348</v>
      </c>
      <c r="AC82" s="7">
        <v>46183</v>
      </c>
      <c r="AD82">
        <v>21</v>
      </c>
      <c r="AE82" t="s">
        <v>191</v>
      </c>
      <c r="AF82" t="s">
        <v>720</v>
      </c>
      <c r="AG82" t="s">
        <v>192</v>
      </c>
      <c r="AH82">
        <v>21</v>
      </c>
      <c r="AI82" t="s">
        <v>193</v>
      </c>
      <c r="AJ82" s="7">
        <v>46189</v>
      </c>
      <c r="AK82" t="s">
        <v>723</v>
      </c>
      <c r="AL82" t="s">
        <v>720</v>
      </c>
      <c r="AM82" t="s">
        <v>192</v>
      </c>
      <c r="AN82">
        <v>26</v>
      </c>
      <c r="AO82" t="s">
        <v>724</v>
      </c>
      <c r="AR82">
        <v>1</v>
      </c>
      <c r="AS82">
        <v>1</v>
      </c>
      <c r="AT82">
        <v>143</v>
      </c>
      <c r="AU82">
        <v>143</v>
      </c>
      <c r="AV82">
        <v>0</v>
      </c>
      <c r="AW82" t="s">
        <v>194</v>
      </c>
      <c r="AX82">
        <v>143</v>
      </c>
      <c r="AY82">
        <v>0</v>
      </c>
      <c r="BE82" t="s">
        <v>195</v>
      </c>
      <c r="BF82" t="s">
        <v>196</v>
      </c>
      <c r="BG82" t="s">
        <v>197</v>
      </c>
      <c r="BM82">
        <v>50.27</v>
      </c>
      <c r="BN82" s="23">
        <v>52.42</v>
      </c>
      <c r="BQ82" t="s">
        <v>198</v>
      </c>
      <c r="DK82">
        <v>2</v>
      </c>
      <c r="GM82">
        <v>0.15</v>
      </c>
    </row>
    <row r="83" spans="2:195" x14ac:dyDescent="0.35">
      <c r="B83" s="23" t="str">
        <f t="shared" si="11"/>
        <v>EXP20260609-2789083</v>
      </c>
      <c r="C83" s="23">
        <f t="shared" si="12"/>
        <v>134.85</v>
      </c>
      <c r="D83" s="23">
        <f t="shared" si="13"/>
        <v>134.85</v>
      </c>
      <c r="E83" s="23" t="str">
        <f t="shared" si="14"/>
        <v/>
      </c>
      <c r="F83" s="23" t="str">
        <f t="shared" si="15"/>
        <v/>
      </c>
      <c r="G83" s="23" t="str">
        <f t="shared" si="16"/>
        <v/>
      </c>
      <c r="H83" s="23" t="str">
        <f t="shared" si="17"/>
        <v/>
      </c>
      <c r="I83" s="23" t="str">
        <f t="shared" si="18"/>
        <v/>
      </c>
      <c r="J83" s="23">
        <f t="shared" si="19"/>
        <v>134.85</v>
      </c>
      <c r="K83" s="23">
        <f t="shared" si="20"/>
        <v>0</v>
      </c>
      <c r="L83" s="23">
        <f t="shared" si="21"/>
        <v>0</v>
      </c>
      <c r="M83" t="s">
        <v>352</v>
      </c>
      <c r="N83" s="7">
        <v>46203</v>
      </c>
      <c r="O83" t="s">
        <v>186</v>
      </c>
      <c r="P83" t="s">
        <v>725</v>
      </c>
      <c r="Q83">
        <v>2026</v>
      </c>
      <c r="R83" s="27" t="s">
        <v>726</v>
      </c>
      <c r="S83" s="27" t="s">
        <v>725</v>
      </c>
      <c r="T83" t="s">
        <v>727</v>
      </c>
      <c r="U83" t="s">
        <v>187</v>
      </c>
      <c r="V83" t="s">
        <v>188</v>
      </c>
      <c r="W83" t="s">
        <v>188</v>
      </c>
      <c r="X83">
        <v>84230</v>
      </c>
      <c r="Y83" t="s">
        <v>189</v>
      </c>
      <c r="Z83" t="s">
        <v>190</v>
      </c>
      <c r="AA83">
        <v>468</v>
      </c>
      <c r="AC83" s="7">
        <v>46183</v>
      </c>
      <c r="AD83">
        <v>21</v>
      </c>
      <c r="AE83" t="s">
        <v>191</v>
      </c>
      <c r="AF83" t="s">
        <v>725</v>
      </c>
      <c r="AG83" t="s">
        <v>192</v>
      </c>
      <c r="AH83">
        <v>21</v>
      </c>
      <c r="AI83" t="s">
        <v>193</v>
      </c>
      <c r="AJ83" s="7">
        <v>46188</v>
      </c>
      <c r="AK83" t="s">
        <v>728</v>
      </c>
      <c r="AL83" t="s">
        <v>725</v>
      </c>
      <c r="AM83" t="s">
        <v>192</v>
      </c>
      <c r="AN83">
        <v>84</v>
      </c>
      <c r="AO83" t="s">
        <v>217</v>
      </c>
      <c r="AR83">
        <v>2</v>
      </c>
      <c r="AS83">
        <v>2</v>
      </c>
      <c r="AT83">
        <v>316</v>
      </c>
      <c r="AU83">
        <v>316</v>
      </c>
      <c r="AV83">
        <v>0</v>
      </c>
      <c r="AW83" t="s">
        <v>201</v>
      </c>
      <c r="AX83">
        <v>2</v>
      </c>
      <c r="AY83">
        <v>0</v>
      </c>
      <c r="BE83" t="s">
        <v>195</v>
      </c>
      <c r="BF83" t="s">
        <v>196</v>
      </c>
      <c r="BG83" t="s">
        <v>197</v>
      </c>
      <c r="BM83">
        <v>106.16</v>
      </c>
      <c r="BN83" s="23">
        <v>134.85</v>
      </c>
      <c r="BQ83" t="s">
        <v>198</v>
      </c>
      <c r="DI83">
        <v>26.54</v>
      </c>
      <c r="DK83">
        <v>2</v>
      </c>
      <c r="GM83">
        <v>0.15</v>
      </c>
    </row>
    <row r="84" spans="2:195" x14ac:dyDescent="0.35">
      <c r="B84" s="23" t="str">
        <f t="shared" si="11"/>
        <v>EXP20260609-2789365</v>
      </c>
      <c r="C84" s="23">
        <f t="shared" si="12"/>
        <v>43.19</v>
      </c>
      <c r="D84" s="23">
        <f t="shared" si="13"/>
        <v>43.19</v>
      </c>
      <c r="E84" s="23" t="str">
        <f t="shared" si="14"/>
        <v/>
      </c>
      <c r="F84" s="23" t="str">
        <f t="shared" si="15"/>
        <v/>
      </c>
      <c r="G84" s="23" t="str">
        <f t="shared" si="16"/>
        <v/>
      </c>
      <c r="H84" s="23" t="str">
        <f t="shared" si="17"/>
        <v/>
      </c>
      <c r="I84" s="23" t="str">
        <f t="shared" si="18"/>
        <v/>
      </c>
      <c r="J84" s="23">
        <f t="shared" si="19"/>
        <v>43.19</v>
      </c>
      <c r="K84" s="23">
        <f t="shared" si="20"/>
        <v>0</v>
      </c>
      <c r="L84" s="23">
        <f t="shared" si="21"/>
        <v>0</v>
      </c>
      <c r="M84" t="s">
        <v>352</v>
      </c>
      <c r="N84" s="7">
        <v>46203</v>
      </c>
      <c r="O84" t="s">
        <v>186</v>
      </c>
      <c r="P84" t="s">
        <v>729</v>
      </c>
      <c r="Q84">
        <v>2026</v>
      </c>
      <c r="R84" s="27" t="s">
        <v>730</v>
      </c>
      <c r="S84" s="27" t="s">
        <v>729</v>
      </c>
      <c r="T84" t="s">
        <v>731</v>
      </c>
      <c r="U84" t="s">
        <v>187</v>
      </c>
      <c r="V84" t="s">
        <v>188</v>
      </c>
      <c r="W84" t="s">
        <v>188</v>
      </c>
      <c r="X84">
        <v>84410</v>
      </c>
      <c r="Y84" t="s">
        <v>189</v>
      </c>
      <c r="Z84" t="s">
        <v>190</v>
      </c>
      <c r="AA84">
        <v>468</v>
      </c>
      <c r="AC84" s="7">
        <v>46183</v>
      </c>
      <c r="AD84">
        <v>21</v>
      </c>
      <c r="AE84" t="s">
        <v>191</v>
      </c>
      <c r="AF84" t="s">
        <v>729</v>
      </c>
      <c r="AG84" t="s">
        <v>192</v>
      </c>
      <c r="AH84">
        <v>21</v>
      </c>
      <c r="AI84" t="s">
        <v>193</v>
      </c>
      <c r="AJ84" s="7">
        <v>46188</v>
      </c>
      <c r="AK84" t="s">
        <v>732</v>
      </c>
      <c r="AL84" t="s">
        <v>729</v>
      </c>
      <c r="AM84" t="s">
        <v>192</v>
      </c>
      <c r="AN84">
        <v>84</v>
      </c>
      <c r="AO84" t="s">
        <v>733</v>
      </c>
      <c r="AR84">
        <v>1</v>
      </c>
      <c r="AS84">
        <v>1</v>
      </c>
      <c r="AT84">
        <v>58</v>
      </c>
      <c r="AU84">
        <v>58</v>
      </c>
      <c r="AV84">
        <v>0</v>
      </c>
      <c r="AW84" t="s">
        <v>194</v>
      </c>
      <c r="AX84">
        <v>58</v>
      </c>
      <c r="AY84">
        <v>0</v>
      </c>
      <c r="BE84" t="s">
        <v>195</v>
      </c>
      <c r="BF84" t="s">
        <v>196</v>
      </c>
      <c r="BG84" t="s">
        <v>197</v>
      </c>
      <c r="BM84">
        <v>32.83</v>
      </c>
      <c r="BN84" s="23">
        <v>43.19</v>
      </c>
      <c r="BQ84" t="s">
        <v>198</v>
      </c>
      <c r="DI84">
        <v>8.2100000000000009</v>
      </c>
      <c r="DK84">
        <v>2</v>
      </c>
      <c r="GM84">
        <v>0.15</v>
      </c>
    </row>
    <row r="85" spans="2:195" x14ac:dyDescent="0.35">
      <c r="B85" s="23" t="str">
        <f t="shared" si="11"/>
        <v>EXP20260608-2787173</v>
      </c>
      <c r="C85" s="23">
        <f t="shared" si="12"/>
        <v>29.9</v>
      </c>
      <c r="D85" s="23">
        <f t="shared" si="13"/>
        <v>29.9</v>
      </c>
      <c r="E85" s="23" t="str">
        <f t="shared" si="14"/>
        <v/>
      </c>
      <c r="F85" s="23" t="str">
        <f t="shared" si="15"/>
        <v/>
      </c>
      <c r="G85" s="23" t="str">
        <f t="shared" si="16"/>
        <v/>
      </c>
      <c r="H85" s="23" t="str">
        <f t="shared" si="17"/>
        <v/>
      </c>
      <c r="I85" s="23" t="str">
        <f t="shared" si="18"/>
        <v/>
      </c>
      <c r="J85" s="23">
        <f t="shared" si="19"/>
        <v>29.9</v>
      </c>
      <c r="K85" s="23">
        <f t="shared" si="20"/>
        <v>0</v>
      </c>
      <c r="L85" s="23">
        <f t="shared" si="21"/>
        <v>0</v>
      </c>
      <c r="M85" t="s">
        <v>352</v>
      </c>
      <c r="N85" s="7">
        <v>46203</v>
      </c>
      <c r="O85" t="s">
        <v>186</v>
      </c>
      <c r="P85" t="s">
        <v>734</v>
      </c>
      <c r="Q85">
        <v>2026</v>
      </c>
      <c r="R85" s="27" t="s">
        <v>735</v>
      </c>
      <c r="S85" s="27" t="s">
        <v>734</v>
      </c>
      <c r="T85" t="s">
        <v>736</v>
      </c>
      <c r="U85" t="s">
        <v>187</v>
      </c>
      <c r="V85" t="s">
        <v>188</v>
      </c>
      <c r="W85" t="s">
        <v>188</v>
      </c>
      <c r="X85">
        <v>69420</v>
      </c>
      <c r="Y85" t="s">
        <v>189</v>
      </c>
      <c r="Z85" t="s">
        <v>190</v>
      </c>
      <c r="AA85">
        <v>230</v>
      </c>
      <c r="AC85" s="7">
        <v>46183</v>
      </c>
      <c r="AD85">
        <v>21</v>
      </c>
      <c r="AE85" t="s">
        <v>191</v>
      </c>
      <c r="AF85" t="s">
        <v>734</v>
      </c>
      <c r="AG85" t="s">
        <v>192</v>
      </c>
      <c r="AH85">
        <v>21</v>
      </c>
      <c r="AI85" t="s">
        <v>193</v>
      </c>
      <c r="AJ85" s="7">
        <v>46191</v>
      </c>
      <c r="AK85" t="s">
        <v>737</v>
      </c>
      <c r="AL85" t="s">
        <v>734</v>
      </c>
      <c r="AM85" t="s">
        <v>192</v>
      </c>
      <c r="AN85">
        <v>69</v>
      </c>
      <c r="AO85" t="s">
        <v>738</v>
      </c>
      <c r="AR85">
        <v>1</v>
      </c>
      <c r="AS85">
        <v>1</v>
      </c>
      <c r="AT85">
        <v>66</v>
      </c>
      <c r="AU85">
        <v>66</v>
      </c>
      <c r="AV85">
        <v>0</v>
      </c>
      <c r="AW85" t="s">
        <v>194</v>
      </c>
      <c r="AX85">
        <v>66</v>
      </c>
      <c r="AY85">
        <v>0</v>
      </c>
      <c r="BE85" t="s">
        <v>195</v>
      </c>
      <c r="BF85" t="s">
        <v>196</v>
      </c>
      <c r="BG85" t="s">
        <v>197</v>
      </c>
      <c r="BM85">
        <v>27.75</v>
      </c>
      <c r="BN85" s="23">
        <v>29.9</v>
      </c>
      <c r="BQ85" t="s">
        <v>198</v>
      </c>
      <c r="DK85">
        <v>2</v>
      </c>
      <c r="GM85">
        <v>0.15</v>
      </c>
    </row>
    <row r="86" spans="2:195" x14ac:dyDescent="0.35">
      <c r="B86" s="23" t="str">
        <f t="shared" si="11"/>
        <v>EXP20260609-2788711</v>
      </c>
      <c r="C86" s="23">
        <f t="shared" si="12"/>
        <v>81.950000000000017</v>
      </c>
      <c r="D86" s="23">
        <f t="shared" si="13"/>
        <v>81.950000000000017</v>
      </c>
      <c r="E86" s="23" t="str">
        <f t="shared" si="14"/>
        <v/>
      </c>
      <c r="F86" s="23" t="str">
        <f t="shared" si="15"/>
        <v/>
      </c>
      <c r="G86" s="23" t="str">
        <f t="shared" si="16"/>
        <v/>
      </c>
      <c r="H86" s="23" t="str">
        <f t="shared" si="17"/>
        <v/>
      </c>
      <c r="I86" s="23" t="str">
        <f t="shared" si="18"/>
        <v/>
      </c>
      <c r="J86" s="23">
        <f t="shared" si="19"/>
        <v>81.950000000000017</v>
      </c>
      <c r="K86" s="23">
        <f t="shared" si="20"/>
        <v>0</v>
      </c>
      <c r="L86" s="23">
        <f t="shared" si="21"/>
        <v>0</v>
      </c>
      <c r="M86" t="s">
        <v>352</v>
      </c>
      <c r="N86" s="7">
        <v>46203</v>
      </c>
      <c r="O86" t="s">
        <v>186</v>
      </c>
      <c r="P86" t="s">
        <v>739</v>
      </c>
      <c r="Q86">
        <v>2026</v>
      </c>
      <c r="R86" s="27" t="s">
        <v>740</v>
      </c>
      <c r="S86" s="27" t="s">
        <v>739</v>
      </c>
      <c r="T86" t="s">
        <v>741</v>
      </c>
      <c r="U86" t="s">
        <v>187</v>
      </c>
      <c r="V86" t="s">
        <v>188</v>
      </c>
      <c r="W86" t="s">
        <v>188</v>
      </c>
      <c r="X86">
        <v>33350</v>
      </c>
      <c r="Y86" t="s">
        <v>189</v>
      </c>
      <c r="Z86" t="s">
        <v>190</v>
      </c>
      <c r="AA86">
        <v>713</v>
      </c>
      <c r="AC86" s="7">
        <v>46183</v>
      </c>
      <c r="AD86">
        <v>21</v>
      </c>
      <c r="AE86" t="s">
        <v>191</v>
      </c>
      <c r="AF86" t="s">
        <v>739</v>
      </c>
      <c r="AG86" t="s">
        <v>192</v>
      </c>
      <c r="AH86">
        <v>21</v>
      </c>
      <c r="AI86" t="s">
        <v>193</v>
      </c>
      <c r="AJ86" s="7">
        <v>46189</v>
      </c>
      <c r="AK86" t="s">
        <v>306</v>
      </c>
      <c r="AL86" t="s">
        <v>739</v>
      </c>
      <c r="AM86" t="s">
        <v>192</v>
      </c>
      <c r="AN86">
        <v>33</v>
      </c>
      <c r="AO86" t="s">
        <v>307</v>
      </c>
      <c r="AR86">
        <v>1</v>
      </c>
      <c r="AS86">
        <v>1</v>
      </c>
      <c r="AT86">
        <v>154</v>
      </c>
      <c r="AU86">
        <v>154</v>
      </c>
      <c r="AV86">
        <v>0</v>
      </c>
      <c r="AW86" t="s">
        <v>201</v>
      </c>
      <c r="AX86">
        <v>1</v>
      </c>
      <c r="AY86">
        <v>0</v>
      </c>
      <c r="BE86" t="s">
        <v>195</v>
      </c>
      <c r="BF86" t="s">
        <v>196</v>
      </c>
      <c r="BG86" t="s">
        <v>197</v>
      </c>
      <c r="BM86">
        <v>63.84</v>
      </c>
      <c r="BN86" s="23">
        <v>81.95</v>
      </c>
      <c r="BQ86" t="s">
        <v>198</v>
      </c>
      <c r="DI86">
        <v>15.96</v>
      </c>
      <c r="DK86">
        <v>2</v>
      </c>
      <c r="GM86">
        <v>0.15</v>
      </c>
    </row>
    <row r="87" spans="2:195" x14ac:dyDescent="0.35">
      <c r="B87" s="23" t="str">
        <f t="shared" si="11"/>
        <v>26A060428796</v>
      </c>
      <c r="C87" s="23">
        <f t="shared" si="12"/>
        <v>250</v>
      </c>
      <c r="D87" s="23">
        <f t="shared" si="13"/>
        <v>250</v>
      </c>
      <c r="E87" s="23" t="str">
        <f t="shared" si="14"/>
        <v/>
      </c>
      <c r="F87" s="23" t="str">
        <f t="shared" si="15"/>
        <v/>
      </c>
      <c r="G87" s="23" t="str">
        <f t="shared" si="16"/>
        <v/>
      </c>
      <c r="H87" s="23" t="str">
        <f t="shared" si="17"/>
        <v/>
      </c>
      <c r="I87" s="23" t="str">
        <f t="shared" si="18"/>
        <v/>
      </c>
      <c r="J87" s="23">
        <f t="shared" si="19"/>
        <v>250</v>
      </c>
      <c r="K87" s="23">
        <f t="shared" si="20"/>
        <v>0</v>
      </c>
      <c r="L87" s="23">
        <f t="shared" si="21"/>
        <v>0</v>
      </c>
      <c r="M87" t="s">
        <v>352</v>
      </c>
      <c r="N87" s="7">
        <v>46203</v>
      </c>
      <c r="O87" t="s">
        <v>186</v>
      </c>
      <c r="Q87">
        <v>2026</v>
      </c>
      <c r="R87" s="27" t="s">
        <v>742</v>
      </c>
      <c r="S87" s="27"/>
      <c r="T87" t="s">
        <v>743</v>
      </c>
      <c r="U87" t="s">
        <v>203</v>
      </c>
      <c r="V87" t="s">
        <v>188</v>
      </c>
      <c r="W87" t="s">
        <v>188</v>
      </c>
      <c r="X87">
        <v>21320</v>
      </c>
      <c r="Y87" t="s">
        <v>204</v>
      </c>
      <c r="AA87">
        <v>59</v>
      </c>
      <c r="AC87" s="7">
        <v>46185</v>
      </c>
      <c r="AD87">
        <v>21</v>
      </c>
      <c r="AE87" t="s">
        <v>312</v>
      </c>
      <c r="AG87" t="s">
        <v>192</v>
      </c>
      <c r="AH87">
        <v>21</v>
      </c>
      <c r="AI87" t="s">
        <v>206</v>
      </c>
      <c r="AJ87" s="7"/>
      <c r="AK87" t="s">
        <v>744</v>
      </c>
      <c r="AM87" t="s">
        <v>192</v>
      </c>
      <c r="AN87">
        <v>21</v>
      </c>
      <c r="AO87" t="s">
        <v>193</v>
      </c>
      <c r="AR87">
        <v>13</v>
      </c>
      <c r="AS87">
        <v>13</v>
      </c>
      <c r="AT87">
        <v>10000</v>
      </c>
      <c r="AU87">
        <v>0</v>
      </c>
      <c r="AV87">
        <v>0</v>
      </c>
      <c r="AW87" t="s">
        <v>201</v>
      </c>
      <c r="AX87">
        <v>13</v>
      </c>
      <c r="AY87">
        <v>5.2</v>
      </c>
      <c r="BE87" t="s">
        <v>207</v>
      </c>
      <c r="BF87" t="s">
        <v>208</v>
      </c>
      <c r="BG87" t="s">
        <v>197</v>
      </c>
      <c r="BM87">
        <v>250</v>
      </c>
      <c r="BN87" s="23">
        <v>250</v>
      </c>
    </row>
    <row r="88" spans="2:195" x14ac:dyDescent="0.35">
      <c r="B88" s="23" t="str">
        <f t="shared" si="11"/>
        <v>EXP20260610-2790712</v>
      </c>
      <c r="C88" s="23">
        <f t="shared" si="12"/>
        <v>72.540000000000006</v>
      </c>
      <c r="D88" s="23">
        <f t="shared" si="13"/>
        <v>72.540000000000006</v>
      </c>
      <c r="E88" s="23" t="str">
        <f t="shared" si="14"/>
        <v/>
      </c>
      <c r="F88" s="23" t="str">
        <f t="shared" si="15"/>
        <v/>
      </c>
      <c r="G88" s="23" t="str">
        <f t="shared" si="16"/>
        <v/>
      </c>
      <c r="H88" s="23" t="str">
        <f t="shared" si="17"/>
        <v/>
      </c>
      <c r="I88" s="23" t="str">
        <f t="shared" si="18"/>
        <v/>
      </c>
      <c r="J88" s="23">
        <f t="shared" si="19"/>
        <v>72.540000000000006</v>
      </c>
      <c r="K88" s="23">
        <f t="shared" si="20"/>
        <v>0</v>
      </c>
      <c r="L88" s="23">
        <f t="shared" si="21"/>
        <v>0</v>
      </c>
      <c r="M88" t="s">
        <v>352</v>
      </c>
      <c r="N88" s="7">
        <v>46203</v>
      </c>
      <c r="O88" t="s">
        <v>186</v>
      </c>
      <c r="P88" t="s">
        <v>745</v>
      </c>
      <c r="Q88">
        <v>2026</v>
      </c>
      <c r="R88" s="27" t="s">
        <v>746</v>
      </c>
      <c r="S88" s="27" t="s">
        <v>745</v>
      </c>
      <c r="T88" t="s">
        <v>747</v>
      </c>
      <c r="U88" t="s">
        <v>187</v>
      </c>
      <c r="V88" t="s">
        <v>188</v>
      </c>
      <c r="W88" t="s">
        <v>188</v>
      </c>
      <c r="X88">
        <v>34310</v>
      </c>
      <c r="Y88" t="s">
        <v>189</v>
      </c>
      <c r="Z88" t="s">
        <v>190</v>
      </c>
      <c r="AA88">
        <v>695</v>
      </c>
      <c r="AC88" s="7">
        <v>46184</v>
      </c>
      <c r="AD88">
        <v>21</v>
      </c>
      <c r="AE88" t="s">
        <v>191</v>
      </c>
      <c r="AF88" t="s">
        <v>745</v>
      </c>
      <c r="AG88" t="s">
        <v>192</v>
      </c>
      <c r="AH88">
        <v>21</v>
      </c>
      <c r="AI88" t="s">
        <v>193</v>
      </c>
      <c r="AJ88" s="7">
        <v>46189</v>
      </c>
      <c r="AK88" t="s">
        <v>748</v>
      </c>
      <c r="AL88" t="s">
        <v>745</v>
      </c>
      <c r="AM88" t="s">
        <v>192</v>
      </c>
      <c r="AN88">
        <v>34</v>
      </c>
      <c r="AO88" t="s">
        <v>749</v>
      </c>
      <c r="AP88" t="s">
        <v>750</v>
      </c>
      <c r="AQ88" t="s">
        <v>199</v>
      </c>
      <c r="AR88">
        <v>1</v>
      </c>
      <c r="AS88">
        <v>1</v>
      </c>
      <c r="AT88">
        <v>134</v>
      </c>
      <c r="AU88">
        <v>134</v>
      </c>
      <c r="AV88">
        <v>0</v>
      </c>
      <c r="AW88" t="s">
        <v>194</v>
      </c>
      <c r="AX88">
        <v>134</v>
      </c>
      <c r="AY88">
        <v>0</v>
      </c>
      <c r="BE88" t="s">
        <v>195</v>
      </c>
      <c r="BF88" t="s">
        <v>196</v>
      </c>
      <c r="BG88" t="s">
        <v>197</v>
      </c>
      <c r="BM88">
        <v>56.31</v>
      </c>
      <c r="BN88" s="23">
        <v>72.540000000000006</v>
      </c>
      <c r="BQ88" t="s">
        <v>198</v>
      </c>
      <c r="DI88">
        <v>14.08</v>
      </c>
      <c r="DK88">
        <v>2</v>
      </c>
      <c r="GM88">
        <v>0.15</v>
      </c>
    </row>
    <row r="89" spans="2:195" x14ac:dyDescent="0.35">
      <c r="B89" s="23" t="str">
        <f t="shared" si="11"/>
        <v>EXP20260610-2790967</v>
      </c>
      <c r="C89" s="23">
        <f t="shared" si="12"/>
        <v>35.949999999999996</v>
      </c>
      <c r="D89" s="23">
        <f t="shared" si="13"/>
        <v>35.949999999999996</v>
      </c>
      <c r="E89" s="23" t="str">
        <f t="shared" si="14"/>
        <v/>
      </c>
      <c r="F89" s="23" t="str">
        <f t="shared" si="15"/>
        <v/>
      </c>
      <c r="G89" s="23" t="str">
        <f t="shared" si="16"/>
        <v/>
      </c>
      <c r="H89" s="23" t="str">
        <f t="shared" si="17"/>
        <v/>
      </c>
      <c r="I89" s="23" t="str">
        <f t="shared" si="18"/>
        <v/>
      </c>
      <c r="J89" s="23">
        <f t="shared" si="19"/>
        <v>35.949999999999996</v>
      </c>
      <c r="K89" s="23">
        <f t="shared" si="20"/>
        <v>0</v>
      </c>
      <c r="L89" s="23">
        <f t="shared" si="21"/>
        <v>0</v>
      </c>
      <c r="M89" t="s">
        <v>352</v>
      </c>
      <c r="N89" s="7">
        <v>46203</v>
      </c>
      <c r="O89" t="s">
        <v>186</v>
      </c>
      <c r="P89" t="s">
        <v>751</v>
      </c>
      <c r="Q89">
        <v>2026</v>
      </c>
      <c r="R89" s="27" t="s">
        <v>752</v>
      </c>
      <c r="S89" s="27" t="s">
        <v>751</v>
      </c>
      <c r="T89" t="s">
        <v>753</v>
      </c>
      <c r="U89" t="s">
        <v>187</v>
      </c>
      <c r="V89" t="s">
        <v>188</v>
      </c>
      <c r="W89" t="s">
        <v>188</v>
      </c>
      <c r="X89">
        <v>84230</v>
      </c>
      <c r="Y89" t="s">
        <v>189</v>
      </c>
      <c r="Z89" t="s">
        <v>190</v>
      </c>
      <c r="AA89">
        <v>468</v>
      </c>
      <c r="AC89" s="7">
        <v>46184</v>
      </c>
      <c r="AD89">
        <v>21</v>
      </c>
      <c r="AE89" t="s">
        <v>191</v>
      </c>
      <c r="AF89" t="s">
        <v>751</v>
      </c>
      <c r="AG89" t="s">
        <v>192</v>
      </c>
      <c r="AH89">
        <v>21</v>
      </c>
      <c r="AI89" t="s">
        <v>193</v>
      </c>
      <c r="AJ89" s="7">
        <v>46188</v>
      </c>
      <c r="AK89" t="s">
        <v>754</v>
      </c>
      <c r="AL89" t="s">
        <v>751</v>
      </c>
      <c r="AM89" t="s">
        <v>192</v>
      </c>
      <c r="AN89">
        <v>84</v>
      </c>
      <c r="AO89" t="s">
        <v>217</v>
      </c>
      <c r="AR89">
        <v>1</v>
      </c>
      <c r="AS89">
        <v>1</v>
      </c>
      <c r="AT89">
        <v>24</v>
      </c>
      <c r="AU89">
        <v>24</v>
      </c>
      <c r="AV89">
        <v>0</v>
      </c>
      <c r="AW89" t="s">
        <v>194</v>
      </c>
      <c r="AX89">
        <v>24</v>
      </c>
      <c r="AY89">
        <v>0</v>
      </c>
      <c r="BE89" t="s">
        <v>195</v>
      </c>
      <c r="BF89" t="s">
        <v>196</v>
      </c>
      <c r="BG89" t="s">
        <v>197</v>
      </c>
      <c r="BM89">
        <v>27.04</v>
      </c>
      <c r="BN89" s="23">
        <v>35.950000000000003</v>
      </c>
      <c r="BQ89" t="s">
        <v>198</v>
      </c>
      <c r="DI89">
        <v>6.76</v>
      </c>
      <c r="DK89">
        <v>2</v>
      </c>
      <c r="GM89">
        <v>0.15</v>
      </c>
    </row>
    <row r="90" spans="2:195" x14ac:dyDescent="0.35">
      <c r="B90" s="23" t="str">
        <f t="shared" ref="B90:B153" si="22">IF(S90&lt;&gt;"",S90,T90)</f>
        <v>EXP20260610-2790865</v>
      </c>
      <c r="C90" s="23">
        <f t="shared" ref="C90:C153" si="23">SUM(E90:K90)</f>
        <v>144.78</v>
      </c>
      <c r="D90" s="23">
        <f t="shared" ref="D90:D153" si="24">SUM(E90:L90)</f>
        <v>144.78</v>
      </c>
      <c r="E90" s="23" t="str">
        <f t="shared" ref="E90:E153" si="25">IF(BU90+BV90+BW90+CH90+CI90+CJ90+CK90+FO90+FS90+FT90=0,"",BU90+BV90+BW90+CH90+CI90+CJ90+CK90+FO90+FS90+FT90)</f>
        <v/>
      </c>
      <c r="F90" s="23" t="str">
        <f t="shared" ref="F90:F153" si="26">IF(FJ90=0,"",FJ90)</f>
        <v/>
      </c>
      <c r="G90" s="23" t="str">
        <f t="shared" ref="G90:G153" si="27">IF(CP90+DM90+DN90+EE90+EX90+EF90=0,"",CP90+DM90+DN90+EE90+EX90+EF90)</f>
        <v/>
      </c>
      <c r="H90" s="23" t="str">
        <f t="shared" ref="H90:H153" si="28">IF(DW90=0,"",DW90)</f>
        <v/>
      </c>
      <c r="I90" s="23" t="str">
        <f t="shared" ref="I90:I153" si="29">IF(DZ90+EA90+EG90=0,"",DZ90+EA90+EG90)</f>
        <v/>
      </c>
      <c r="J90" s="23">
        <f t="shared" ref="J90:J153" si="30">IF(BM90+BS90+BT90+BY90+BZ90+CA90+CB90+CC90+CD90+CE90+CF90+CG90+CL90+CM90+CN90+CO90+CQ90+CR90+CT90+CU90+CV90+CW90+CX90+CY90+CZ90+DA90+DB90+DC90+DD90+DE90+DF90+DG90+DH90+DI90+DJ90+DK90+DL90+DO90+DP90+DQ90+DR90+DS90+DT90+DY90+EB90+EC90+ED90+EH90+EI90+EJ90+EK90+EL90+EM90+EN90+EO90+EP90+ER90+ES90+ET90+EU90+EV90+EW90+EY90+EZ90+FA90+FB90+FC90+FD90+FE90+FF90+FG90+FH90+FI90+FK90+FL90+FM90+FN90+FP90+FQ90+FR90+FU90+FV90+FW90+FX90+FY90+FZ90+GA90+GB90+GC90+GD90+GE90+GF90+GG90+GH90+GI90+GJ90+GK90+GL90+GM90=0,"",BM90+BS90+BT90+BY90+BZ90+CA90+CB90+CC90+CD90+CE90+CF90+CG90+CL90+CM90+CN90+CO90+CQ90+CR90+CT90+CU90+CV90+CW90+CX90+CY90+CZ90+DA90+DB90+DC90+DD90+DE90+DF90+DG90+DH90+DI90+DJ90+DK90+DL90+DO90+DP90+DQ90+DR90+DS90+DT90+DY90+EB90+EC90+ED90+EH90+EI90+EJ90+EK90+EL90+EM90+EN90+EO90+EP90+ER90+ES90+ET90+EU90+EV90+EW90+EY90+EZ90+FA90+FB90+FC90+FD90+FE90+FF90+FG90+FH90+FI90+FK90+FL90+FM90+FN90+FP90+FQ90+FR90+FU90+FV90+FW90+FX90+FY90+FZ90+GA90+GB90+GC90+GD90+GE90+GF90+GG90+GH90+GI90+GJ90+GK90+GL90+GM90)</f>
        <v>144.78</v>
      </c>
      <c r="K90" s="23">
        <f t="shared" ref="K90:K153" si="31">DX90+CS90</f>
        <v>0</v>
      </c>
      <c r="L90" s="23">
        <f t="shared" ref="L90:L153" si="32">BN90-C90</f>
        <v>0</v>
      </c>
      <c r="M90" t="s">
        <v>352</v>
      </c>
      <c r="N90" s="7">
        <v>46203</v>
      </c>
      <c r="O90" t="s">
        <v>186</v>
      </c>
      <c r="P90" t="s">
        <v>755</v>
      </c>
      <c r="Q90">
        <v>2026</v>
      </c>
      <c r="R90" s="27" t="s">
        <v>756</v>
      </c>
      <c r="S90" s="27" t="s">
        <v>755</v>
      </c>
      <c r="T90" t="s">
        <v>757</v>
      </c>
      <c r="U90" t="s">
        <v>187</v>
      </c>
      <c r="V90" t="s">
        <v>188</v>
      </c>
      <c r="W90" t="s">
        <v>188</v>
      </c>
      <c r="X90">
        <v>34150</v>
      </c>
      <c r="Y90" t="s">
        <v>189</v>
      </c>
      <c r="Z90" t="s">
        <v>190</v>
      </c>
      <c r="AA90">
        <v>560</v>
      </c>
      <c r="AC90" s="7">
        <v>46184</v>
      </c>
      <c r="AD90">
        <v>21</v>
      </c>
      <c r="AE90" t="s">
        <v>191</v>
      </c>
      <c r="AF90" t="s">
        <v>755</v>
      </c>
      <c r="AG90" t="s">
        <v>192</v>
      </c>
      <c r="AH90">
        <v>21</v>
      </c>
      <c r="AI90" t="s">
        <v>193</v>
      </c>
      <c r="AJ90" s="7">
        <v>46190</v>
      </c>
      <c r="AK90" t="s">
        <v>758</v>
      </c>
      <c r="AL90" t="s">
        <v>755</v>
      </c>
      <c r="AM90" t="s">
        <v>192</v>
      </c>
      <c r="AN90">
        <v>34</v>
      </c>
      <c r="AO90" t="s">
        <v>759</v>
      </c>
      <c r="AR90">
        <v>2</v>
      </c>
      <c r="AS90">
        <v>2</v>
      </c>
      <c r="AT90">
        <v>204</v>
      </c>
      <c r="AU90">
        <v>204</v>
      </c>
      <c r="AV90">
        <v>0</v>
      </c>
      <c r="AW90" t="s">
        <v>201</v>
      </c>
      <c r="AX90">
        <v>2</v>
      </c>
      <c r="AY90">
        <v>0</v>
      </c>
      <c r="BE90" t="s">
        <v>195</v>
      </c>
      <c r="BF90" t="s">
        <v>196</v>
      </c>
      <c r="BG90" t="s">
        <v>197</v>
      </c>
      <c r="BM90">
        <v>114.1</v>
      </c>
      <c r="BN90" s="23">
        <v>144.78</v>
      </c>
      <c r="BQ90" t="s">
        <v>198</v>
      </c>
      <c r="DI90">
        <v>28.53</v>
      </c>
      <c r="DK90">
        <v>2</v>
      </c>
      <c r="GM90">
        <v>0.15</v>
      </c>
    </row>
    <row r="91" spans="2:195" x14ac:dyDescent="0.35">
      <c r="B91" s="23" t="str">
        <f t="shared" si="22"/>
        <v>EXP20260610-2790864</v>
      </c>
      <c r="C91" s="23">
        <f t="shared" si="23"/>
        <v>41.98</v>
      </c>
      <c r="D91" s="23">
        <f t="shared" si="24"/>
        <v>41.98</v>
      </c>
      <c r="E91" s="23" t="str">
        <f t="shared" si="25"/>
        <v/>
      </c>
      <c r="F91" s="23" t="str">
        <f t="shared" si="26"/>
        <v/>
      </c>
      <c r="G91" s="23" t="str">
        <f t="shared" si="27"/>
        <v/>
      </c>
      <c r="H91" s="23" t="str">
        <f t="shared" si="28"/>
        <v/>
      </c>
      <c r="I91" s="23" t="str">
        <f t="shared" si="29"/>
        <v/>
      </c>
      <c r="J91" s="23">
        <f t="shared" si="30"/>
        <v>41.98</v>
      </c>
      <c r="K91" s="23">
        <f t="shared" si="31"/>
        <v>0</v>
      </c>
      <c r="L91" s="23">
        <f t="shared" si="32"/>
        <v>0</v>
      </c>
      <c r="M91" t="s">
        <v>352</v>
      </c>
      <c r="N91" s="7">
        <v>46203</v>
      </c>
      <c r="O91" t="s">
        <v>186</v>
      </c>
      <c r="P91" t="s">
        <v>760</v>
      </c>
      <c r="Q91">
        <v>2026</v>
      </c>
      <c r="R91" s="27" t="s">
        <v>761</v>
      </c>
      <c r="S91" s="27" t="s">
        <v>760</v>
      </c>
      <c r="T91" t="s">
        <v>762</v>
      </c>
      <c r="U91" t="s">
        <v>187</v>
      </c>
      <c r="V91" t="s">
        <v>188</v>
      </c>
      <c r="W91" t="s">
        <v>188</v>
      </c>
      <c r="X91">
        <v>13220</v>
      </c>
      <c r="Y91" t="s">
        <v>189</v>
      </c>
      <c r="Z91" t="s">
        <v>190</v>
      </c>
      <c r="AA91">
        <v>540</v>
      </c>
      <c r="AC91" s="7">
        <v>46184</v>
      </c>
      <c r="AD91">
        <v>21</v>
      </c>
      <c r="AE91" t="s">
        <v>191</v>
      </c>
      <c r="AF91" t="s">
        <v>760</v>
      </c>
      <c r="AG91" t="s">
        <v>192</v>
      </c>
      <c r="AH91">
        <v>21</v>
      </c>
      <c r="AI91" t="s">
        <v>193</v>
      </c>
      <c r="AJ91" s="7">
        <v>46185</v>
      </c>
      <c r="AK91" t="s">
        <v>763</v>
      </c>
      <c r="AL91" t="s">
        <v>760</v>
      </c>
      <c r="AM91" t="s">
        <v>192</v>
      </c>
      <c r="AN91">
        <v>13</v>
      </c>
      <c r="AO91" t="s">
        <v>764</v>
      </c>
      <c r="AR91">
        <v>1</v>
      </c>
      <c r="AS91">
        <v>1</v>
      </c>
      <c r="AT91">
        <v>32</v>
      </c>
      <c r="AU91">
        <v>32</v>
      </c>
      <c r="AV91">
        <v>0</v>
      </c>
      <c r="AW91" t="s">
        <v>194</v>
      </c>
      <c r="AX91">
        <v>32</v>
      </c>
      <c r="AY91">
        <v>0</v>
      </c>
      <c r="BE91" t="s">
        <v>195</v>
      </c>
      <c r="BF91" t="s">
        <v>196</v>
      </c>
      <c r="BG91" t="s">
        <v>197</v>
      </c>
      <c r="BM91">
        <v>31.86</v>
      </c>
      <c r="BN91" s="23">
        <v>41.98</v>
      </c>
      <c r="BQ91" t="s">
        <v>198</v>
      </c>
      <c r="DI91">
        <v>7.97</v>
      </c>
      <c r="DK91">
        <v>2</v>
      </c>
      <c r="GM91">
        <v>0.15</v>
      </c>
    </row>
    <row r="92" spans="2:195" x14ac:dyDescent="0.35">
      <c r="B92" s="23" t="str">
        <f t="shared" si="22"/>
        <v>EXP20260609-2789333</v>
      </c>
      <c r="C92" s="23">
        <f t="shared" si="23"/>
        <v>61.93</v>
      </c>
      <c r="D92" s="23">
        <f t="shared" si="24"/>
        <v>61.93</v>
      </c>
      <c r="E92" s="23" t="str">
        <f t="shared" si="25"/>
        <v/>
      </c>
      <c r="F92" s="23" t="str">
        <f t="shared" si="26"/>
        <v/>
      </c>
      <c r="G92" s="23" t="str">
        <f t="shared" si="27"/>
        <v/>
      </c>
      <c r="H92" s="23" t="str">
        <f t="shared" si="28"/>
        <v/>
      </c>
      <c r="I92" s="23" t="str">
        <f t="shared" si="29"/>
        <v/>
      </c>
      <c r="J92" s="23">
        <f t="shared" si="30"/>
        <v>61.93</v>
      </c>
      <c r="K92" s="23">
        <f t="shared" si="31"/>
        <v>0</v>
      </c>
      <c r="L92" s="23">
        <f t="shared" si="32"/>
        <v>0</v>
      </c>
      <c r="M92" t="s">
        <v>352</v>
      </c>
      <c r="N92" s="7">
        <v>46203</v>
      </c>
      <c r="O92" t="s">
        <v>186</v>
      </c>
      <c r="P92" t="s">
        <v>765</v>
      </c>
      <c r="Q92">
        <v>2026</v>
      </c>
      <c r="R92" s="27" t="s">
        <v>766</v>
      </c>
      <c r="S92" s="27" t="s">
        <v>765</v>
      </c>
      <c r="T92" t="s">
        <v>767</v>
      </c>
      <c r="U92" t="s">
        <v>187</v>
      </c>
      <c r="V92" t="s">
        <v>188</v>
      </c>
      <c r="W92" t="s">
        <v>188</v>
      </c>
      <c r="X92">
        <v>78000</v>
      </c>
      <c r="Y92" t="s">
        <v>189</v>
      </c>
      <c r="Z92" t="s">
        <v>190</v>
      </c>
      <c r="AA92">
        <v>467</v>
      </c>
      <c r="AC92" s="7">
        <v>46184</v>
      </c>
      <c r="AD92">
        <v>21</v>
      </c>
      <c r="AE92" t="s">
        <v>191</v>
      </c>
      <c r="AF92" t="s">
        <v>765</v>
      </c>
      <c r="AG92" t="s">
        <v>192</v>
      </c>
      <c r="AH92">
        <v>21</v>
      </c>
      <c r="AI92" t="s">
        <v>193</v>
      </c>
      <c r="AJ92" s="7">
        <v>46190</v>
      </c>
      <c r="AK92" t="s">
        <v>768</v>
      </c>
      <c r="AL92" t="s">
        <v>765</v>
      </c>
      <c r="AM92" t="s">
        <v>192</v>
      </c>
      <c r="AN92">
        <v>78</v>
      </c>
      <c r="AO92" t="s">
        <v>769</v>
      </c>
      <c r="AR92">
        <v>1</v>
      </c>
      <c r="AS92">
        <v>1</v>
      </c>
      <c r="AT92">
        <v>152</v>
      </c>
      <c r="AU92">
        <v>152</v>
      </c>
      <c r="AV92">
        <v>0</v>
      </c>
      <c r="AW92" t="s">
        <v>201</v>
      </c>
      <c r="AX92">
        <v>1</v>
      </c>
      <c r="AY92">
        <v>0</v>
      </c>
      <c r="BE92" t="s">
        <v>195</v>
      </c>
      <c r="BF92" t="s">
        <v>196</v>
      </c>
      <c r="BG92" t="s">
        <v>197</v>
      </c>
      <c r="BM92">
        <v>59.78</v>
      </c>
      <c r="BN92" s="23">
        <v>61.93</v>
      </c>
      <c r="BQ92" t="s">
        <v>198</v>
      </c>
      <c r="DK92">
        <v>2</v>
      </c>
      <c r="GM92">
        <v>0.15</v>
      </c>
    </row>
    <row r="93" spans="2:195" x14ac:dyDescent="0.35">
      <c r="B93" s="23" t="str">
        <f t="shared" si="22"/>
        <v>EXP20260610-2790863</v>
      </c>
      <c r="C93" s="23">
        <f t="shared" si="23"/>
        <v>64.03</v>
      </c>
      <c r="D93" s="23">
        <f t="shared" si="24"/>
        <v>64.03</v>
      </c>
      <c r="E93" s="23" t="str">
        <f t="shared" si="25"/>
        <v/>
      </c>
      <c r="F93" s="23" t="str">
        <f t="shared" si="26"/>
        <v/>
      </c>
      <c r="G93" s="23" t="str">
        <f t="shared" si="27"/>
        <v/>
      </c>
      <c r="H93" s="23" t="str">
        <f t="shared" si="28"/>
        <v/>
      </c>
      <c r="I93" s="23" t="str">
        <f t="shared" si="29"/>
        <v/>
      </c>
      <c r="J93" s="23">
        <f t="shared" si="30"/>
        <v>64.03</v>
      </c>
      <c r="K93" s="23">
        <f t="shared" si="31"/>
        <v>0</v>
      </c>
      <c r="L93" s="23">
        <f t="shared" si="32"/>
        <v>0</v>
      </c>
      <c r="M93" t="s">
        <v>352</v>
      </c>
      <c r="N93" s="7">
        <v>46203</v>
      </c>
      <c r="O93" t="s">
        <v>186</v>
      </c>
      <c r="P93" t="s">
        <v>770</v>
      </c>
      <c r="Q93">
        <v>2026</v>
      </c>
      <c r="R93" s="27" t="s">
        <v>771</v>
      </c>
      <c r="S93" s="27" t="s">
        <v>770</v>
      </c>
      <c r="T93" t="s">
        <v>772</v>
      </c>
      <c r="U93" t="s">
        <v>187</v>
      </c>
      <c r="V93" t="s">
        <v>188</v>
      </c>
      <c r="W93" t="s">
        <v>188</v>
      </c>
      <c r="X93">
        <v>33330</v>
      </c>
      <c r="Y93" t="s">
        <v>189</v>
      </c>
      <c r="Z93" t="s">
        <v>190</v>
      </c>
      <c r="AA93">
        <v>713</v>
      </c>
      <c r="AC93" s="7">
        <v>46184</v>
      </c>
      <c r="AD93">
        <v>21</v>
      </c>
      <c r="AE93" t="s">
        <v>191</v>
      </c>
      <c r="AF93" t="s">
        <v>770</v>
      </c>
      <c r="AG93" t="s">
        <v>192</v>
      </c>
      <c r="AH93">
        <v>21</v>
      </c>
      <c r="AI93" t="s">
        <v>193</v>
      </c>
      <c r="AJ93" s="7">
        <v>46188</v>
      </c>
      <c r="AK93" t="s">
        <v>773</v>
      </c>
      <c r="AL93" t="s">
        <v>770</v>
      </c>
      <c r="AM93" t="s">
        <v>192</v>
      </c>
      <c r="AN93">
        <v>33</v>
      </c>
      <c r="AO93" t="s">
        <v>431</v>
      </c>
      <c r="AR93">
        <v>1</v>
      </c>
      <c r="AS93">
        <v>1</v>
      </c>
      <c r="AT93">
        <v>104</v>
      </c>
      <c r="AU93">
        <v>104</v>
      </c>
      <c r="AV93">
        <v>0</v>
      </c>
      <c r="AW93" t="s">
        <v>194</v>
      </c>
      <c r="AX93">
        <v>104</v>
      </c>
      <c r="AY93">
        <v>0</v>
      </c>
      <c r="BE93" t="s">
        <v>195</v>
      </c>
      <c r="BF93" t="s">
        <v>196</v>
      </c>
      <c r="BG93" t="s">
        <v>197</v>
      </c>
      <c r="BM93">
        <v>49.5</v>
      </c>
      <c r="BN93" s="23">
        <v>64.03</v>
      </c>
      <c r="BQ93" t="s">
        <v>198</v>
      </c>
      <c r="DI93">
        <v>12.38</v>
      </c>
      <c r="DK93">
        <v>2</v>
      </c>
      <c r="GM93">
        <v>0.15</v>
      </c>
    </row>
    <row r="94" spans="2:195" x14ac:dyDescent="0.35">
      <c r="B94" s="23" t="str">
        <f t="shared" si="22"/>
        <v>EXP20260610-2790760</v>
      </c>
      <c r="C94" s="23">
        <f t="shared" si="23"/>
        <v>43.72</v>
      </c>
      <c r="D94" s="23">
        <f t="shared" si="24"/>
        <v>43.72</v>
      </c>
      <c r="E94" s="23" t="str">
        <f t="shared" si="25"/>
        <v/>
      </c>
      <c r="F94" s="23" t="str">
        <f t="shared" si="26"/>
        <v/>
      </c>
      <c r="G94" s="23" t="str">
        <f t="shared" si="27"/>
        <v/>
      </c>
      <c r="H94" s="23" t="str">
        <f t="shared" si="28"/>
        <v/>
      </c>
      <c r="I94" s="23" t="str">
        <f t="shared" si="29"/>
        <v/>
      </c>
      <c r="J94" s="23">
        <f t="shared" si="30"/>
        <v>43.72</v>
      </c>
      <c r="K94" s="23">
        <f t="shared" si="31"/>
        <v>0</v>
      </c>
      <c r="L94" s="23">
        <f t="shared" si="32"/>
        <v>0</v>
      </c>
      <c r="M94" t="s">
        <v>352</v>
      </c>
      <c r="N94">
        <v>46203</v>
      </c>
      <c r="O94" t="s">
        <v>186</v>
      </c>
      <c r="P94" t="s">
        <v>774</v>
      </c>
      <c r="Q94">
        <v>2026</v>
      </c>
      <c r="R94" s="4" t="s">
        <v>775</v>
      </c>
      <c r="S94" s="5" t="s">
        <v>774</v>
      </c>
      <c r="T94" t="s">
        <v>776</v>
      </c>
      <c r="U94" t="s">
        <v>187</v>
      </c>
      <c r="V94" t="s">
        <v>188</v>
      </c>
      <c r="W94" t="s">
        <v>188</v>
      </c>
      <c r="X94">
        <v>46000</v>
      </c>
      <c r="Y94" t="s">
        <v>189</v>
      </c>
      <c r="Z94" t="s">
        <v>190</v>
      </c>
      <c r="AA94">
        <v>655</v>
      </c>
      <c r="AC94">
        <v>46184</v>
      </c>
      <c r="AD94">
        <v>21</v>
      </c>
      <c r="AE94" t="s">
        <v>191</v>
      </c>
      <c r="AF94" t="s">
        <v>774</v>
      </c>
      <c r="AG94" t="s">
        <v>192</v>
      </c>
      <c r="AH94">
        <v>21</v>
      </c>
      <c r="AI94" t="s">
        <v>193</v>
      </c>
      <c r="AJ94">
        <v>46190</v>
      </c>
      <c r="AK94" t="s">
        <v>777</v>
      </c>
      <c r="AL94" t="s">
        <v>774</v>
      </c>
      <c r="AM94" t="s">
        <v>192</v>
      </c>
      <c r="AN94">
        <v>46</v>
      </c>
      <c r="AO94" t="s">
        <v>778</v>
      </c>
      <c r="AR94">
        <v>1</v>
      </c>
      <c r="AS94">
        <v>1</v>
      </c>
      <c r="AT94">
        <v>51</v>
      </c>
      <c r="AU94">
        <v>51</v>
      </c>
      <c r="AV94">
        <v>0</v>
      </c>
      <c r="AW94" t="s">
        <v>194</v>
      </c>
      <c r="AX94">
        <v>51</v>
      </c>
      <c r="AY94">
        <v>0</v>
      </c>
      <c r="BE94" t="s">
        <v>195</v>
      </c>
      <c r="BF94" t="s">
        <v>196</v>
      </c>
      <c r="BG94" t="s">
        <v>197</v>
      </c>
      <c r="BM94">
        <v>41.57</v>
      </c>
      <c r="BN94" s="6">
        <v>43.72</v>
      </c>
      <c r="BQ94" t="s">
        <v>198</v>
      </c>
      <c r="DK94">
        <v>2</v>
      </c>
      <c r="GM94">
        <v>0.15</v>
      </c>
    </row>
    <row r="95" spans="2:195" x14ac:dyDescent="0.35">
      <c r="B95" s="23" t="str">
        <f t="shared" si="22"/>
        <v>EXP20260611-2792844</v>
      </c>
      <c r="C95" s="23">
        <f t="shared" si="23"/>
        <v>41.11</v>
      </c>
      <c r="D95" s="23">
        <f t="shared" si="24"/>
        <v>41.11</v>
      </c>
      <c r="E95" s="23" t="str">
        <f t="shared" si="25"/>
        <v/>
      </c>
      <c r="F95" s="23" t="str">
        <f t="shared" si="26"/>
        <v/>
      </c>
      <c r="G95" s="23" t="str">
        <f t="shared" si="27"/>
        <v/>
      </c>
      <c r="H95" s="23" t="str">
        <f t="shared" si="28"/>
        <v/>
      </c>
      <c r="I95" s="23" t="str">
        <f t="shared" si="29"/>
        <v/>
      </c>
      <c r="J95" s="23">
        <f t="shared" si="30"/>
        <v>41.11</v>
      </c>
      <c r="K95" s="23">
        <f t="shared" si="31"/>
        <v>0</v>
      </c>
      <c r="L95" s="23">
        <f t="shared" si="32"/>
        <v>0</v>
      </c>
      <c r="M95" t="s">
        <v>352</v>
      </c>
      <c r="N95" s="7">
        <v>46203</v>
      </c>
      <c r="O95" t="s">
        <v>186</v>
      </c>
      <c r="P95" t="s">
        <v>779</v>
      </c>
      <c r="Q95">
        <v>2026</v>
      </c>
      <c r="R95" s="27" t="s">
        <v>780</v>
      </c>
      <c r="S95" s="27" t="s">
        <v>779</v>
      </c>
      <c r="T95" t="s">
        <v>781</v>
      </c>
      <c r="U95" t="s">
        <v>187</v>
      </c>
      <c r="V95" t="s">
        <v>188</v>
      </c>
      <c r="W95" t="s">
        <v>188</v>
      </c>
      <c r="X95">
        <v>11220</v>
      </c>
      <c r="Y95" t="s">
        <v>189</v>
      </c>
      <c r="Z95" t="s">
        <v>190</v>
      </c>
      <c r="AA95">
        <v>847</v>
      </c>
      <c r="AC95" s="7">
        <v>46185</v>
      </c>
      <c r="AD95">
        <v>21</v>
      </c>
      <c r="AE95" t="s">
        <v>191</v>
      </c>
      <c r="AF95" t="s">
        <v>779</v>
      </c>
      <c r="AG95" t="s">
        <v>192</v>
      </c>
      <c r="AH95">
        <v>21</v>
      </c>
      <c r="AI95" t="s">
        <v>193</v>
      </c>
      <c r="AJ95" s="7">
        <v>46189</v>
      </c>
      <c r="AK95" t="s">
        <v>782</v>
      </c>
      <c r="AL95" t="s">
        <v>779</v>
      </c>
      <c r="AM95" t="s">
        <v>192</v>
      </c>
      <c r="AN95">
        <v>11</v>
      </c>
      <c r="AO95" t="s">
        <v>783</v>
      </c>
      <c r="AR95">
        <v>1</v>
      </c>
      <c r="AS95">
        <v>1</v>
      </c>
      <c r="AT95">
        <v>23</v>
      </c>
      <c r="AU95">
        <v>23</v>
      </c>
      <c r="AV95">
        <v>0</v>
      </c>
      <c r="AW95" t="s">
        <v>194</v>
      </c>
      <c r="AX95">
        <v>23</v>
      </c>
      <c r="AY95">
        <v>0</v>
      </c>
      <c r="BE95" t="s">
        <v>195</v>
      </c>
      <c r="BF95" t="s">
        <v>196</v>
      </c>
      <c r="BG95" t="s">
        <v>197</v>
      </c>
      <c r="BM95">
        <v>31.17</v>
      </c>
      <c r="BN95" s="23">
        <v>41.11</v>
      </c>
      <c r="BQ95" t="s">
        <v>198</v>
      </c>
      <c r="DI95">
        <v>7.79</v>
      </c>
      <c r="DK95">
        <v>2</v>
      </c>
      <c r="GM95">
        <v>0.15</v>
      </c>
    </row>
    <row r="96" spans="2:195" x14ac:dyDescent="0.35">
      <c r="B96" s="23" t="str">
        <f t="shared" si="22"/>
        <v>EXP20260611-2792599</v>
      </c>
      <c r="C96" s="23">
        <f t="shared" si="23"/>
        <v>47.16</v>
      </c>
      <c r="D96" s="23">
        <f t="shared" si="24"/>
        <v>47.16</v>
      </c>
      <c r="E96" s="23" t="str">
        <f t="shared" si="25"/>
        <v/>
      </c>
      <c r="F96" s="23" t="str">
        <f t="shared" si="26"/>
        <v/>
      </c>
      <c r="G96" s="23" t="str">
        <f t="shared" si="27"/>
        <v/>
      </c>
      <c r="H96" s="23" t="str">
        <f t="shared" si="28"/>
        <v/>
      </c>
      <c r="I96" s="23" t="str">
        <f t="shared" si="29"/>
        <v/>
      </c>
      <c r="J96" s="23">
        <f t="shared" si="30"/>
        <v>47.16</v>
      </c>
      <c r="K96" s="23">
        <f t="shared" si="31"/>
        <v>0</v>
      </c>
      <c r="L96" s="23">
        <f t="shared" si="32"/>
        <v>0</v>
      </c>
      <c r="M96" t="s">
        <v>352</v>
      </c>
      <c r="N96" s="7">
        <v>46203</v>
      </c>
      <c r="O96" t="s">
        <v>186</v>
      </c>
      <c r="P96" t="s">
        <v>784</v>
      </c>
      <c r="Q96">
        <v>2026</v>
      </c>
      <c r="R96" s="27" t="s">
        <v>785</v>
      </c>
      <c r="S96" s="27" t="s">
        <v>784</v>
      </c>
      <c r="T96" t="s">
        <v>786</v>
      </c>
      <c r="U96" t="s">
        <v>187</v>
      </c>
      <c r="V96" t="s">
        <v>188</v>
      </c>
      <c r="W96" t="s">
        <v>188</v>
      </c>
      <c r="X96">
        <v>42410</v>
      </c>
      <c r="Y96" t="s">
        <v>189</v>
      </c>
      <c r="Z96" t="s">
        <v>190</v>
      </c>
      <c r="AA96">
        <v>250</v>
      </c>
      <c r="AC96" s="7">
        <v>46185</v>
      </c>
      <c r="AD96">
        <v>21</v>
      </c>
      <c r="AE96" t="s">
        <v>191</v>
      </c>
      <c r="AF96" t="s">
        <v>784</v>
      </c>
      <c r="AG96" t="s">
        <v>192</v>
      </c>
      <c r="AH96">
        <v>21</v>
      </c>
      <c r="AI96" t="s">
        <v>193</v>
      </c>
      <c r="AJ96" s="7">
        <v>46195</v>
      </c>
      <c r="AK96" t="s">
        <v>787</v>
      </c>
      <c r="AL96" t="s">
        <v>784</v>
      </c>
      <c r="AM96" t="s">
        <v>192</v>
      </c>
      <c r="AN96">
        <v>42</v>
      </c>
      <c r="AO96" t="s">
        <v>336</v>
      </c>
      <c r="AR96">
        <v>1</v>
      </c>
      <c r="AS96">
        <v>1</v>
      </c>
      <c r="AT96">
        <v>134</v>
      </c>
      <c r="AU96">
        <v>134</v>
      </c>
      <c r="AV96">
        <v>0</v>
      </c>
      <c r="AW96" t="s">
        <v>194</v>
      </c>
      <c r="AX96">
        <v>134</v>
      </c>
      <c r="AY96">
        <v>0</v>
      </c>
      <c r="BE96" t="s">
        <v>195</v>
      </c>
      <c r="BF96" t="s">
        <v>196</v>
      </c>
      <c r="BG96" t="s">
        <v>197</v>
      </c>
      <c r="BM96">
        <v>45.01</v>
      </c>
      <c r="BN96" s="23">
        <v>47.16</v>
      </c>
      <c r="BQ96" t="s">
        <v>198</v>
      </c>
      <c r="DK96">
        <v>2</v>
      </c>
      <c r="GM96">
        <v>0.15</v>
      </c>
    </row>
    <row r="97" spans="2:195" x14ac:dyDescent="0.35">
      <c r="B97" s="23" t="str">
        <f t="shared" si="22"/>
        <v>EXP20260612-2793442</v>
      </c>
      <c r="C97" s="23">
        <f t="shared" si="23"/>
        <v>24.83</v>
      </c>
      <c r="D97" s="23">
        <f t="shared" si="24"/>
        <v>24.83</v>
      </c>
      <c r="E97" s="23" t="str">
        <f t="shared" si="25"/>
        <v/>
      </c>
      <c r="F97" s="23" t="str">
        <f t="shared" si="26"/>
        <v/>
      </c>
      <c r="G97" s="23" t="str">
        <f t="shared" si="27"/>
        <v/>
      </c>
      <c r="H97" s="23" t="str">
        <f t="shared" si="28"/>
        <v/>
      </c>
      <c r="I97" s="23" t="str">
        <f t="shared" si="29"/>
        <v/>
      </c>
      <c r="J97" s="23">
        <f t="shared" si="30"/>
        <v>24.83</v>
      </c>
      <c r="K97" s="23">
        <f t="shared" si="31"/>
        <v>0</v>
      </c>
      <c r="L97" s="23">
        <f t="shared" si="32"/>
        <v>0</v>
      </c>
      <c r="M97" t="s">
        <v>352</v>
      </c>
      <c r="N97" s="7">
        <v>46203</v>
      </c>
      <c r="O97" t="s">
        <v>186</v>
      </c>
      <c r="P97" t="s">
        <v>788</v>
      </c>
      <c r="Q97">
        <v>2026</v>
      </c>
      <c r="R97" s="27" t="s">
        <v>789</v>
      </c>
      <c r="S97" s="27" t="s">
        <v>788</v>
      </c>
      <c r="T97" t="s">
        <v>790</v>
      </c>
      <c r="U97" t="s">
        <v>187</v>
      </c>
      <c r="V97" t="s">
        <v>188</v>
      </c>
      <c r="W97" t="s">
        <v>188</v>
      </c>
      <c r="X97">
        <v>51120</v>
      </c>
      <c r="Y97" t="s">
        <v>189</v>
      </c>
      <c r="Z97" t="s">
        <v>190</v>
      </c>
      <c r="AA97">
        <v>448</v>
      </c>
      <c r="AC97" s="7">
        <v>46185</v>
      </c>
      <c r="AD97">
        <v>21</v>
      </c>
      <c r="AE97" t="s">
        <v>191</v>
      </c>
      <c r="AF97" t="s">
        <v>788</v>
      </c>
      <c r="AG97" t="s">
        <v>192</v>
      </c>
      <c r="AH97">
        <v>21</v>
      </c>
      <c r="AI97" t="s">
        <v>193</v>
      </c>
      <c r="AJ97" s="7">
        <v>46192</v>
      </c>
      <c r="AK97" t="s">
        <v>791</v>
      </c>
      <c r="AL97" t="s">
        <v>788</v>
      </c>
      <c r="AM97" t="s">
        <v>192</v>
      </c>
      <c r="AN97">
        <v>51</v>
      </c>
      <c r="AO97" t="s">
        <v>792</v>
      </c>
      <c r="AR97">
        <v>1</v>
      </c>
      <c r="AS97">
        <v>1</v>
      </c>
      <c r="AT97">
        <v>14</v>
      </c>
      <c r="AU97">
        <v>14</v>
      </c>
      <c r="AV97">
        <v>0</v>
      </c>
      <c r="AW97" t="s">
        <v>194</v>
      </c>
      <c r="AX97">
        <v>14</v>
      </c>
      <c r="AY97">
        <v>0</v>
      </c>
      <c r="BE97" t="s">
        <v>195</v>
      </c>
      <c r="BF97" t="s">
        <v>196</v>
      </c>
      <c r="BG97" t="s">
        <v>197</v>
      </c>
      <c r="BM97">
        <v>22.68</v>
      </c>
      <c r="BN97" s="23">
        <v>24.83</v>
      </c>
      <c r="BQ97" t="s">
        <v>198</v>
      </c>
      <c r="DK97">
        <v>2</v>
      </c>
      <c r="GM97">
        <v>0.15</v>
      </c>
    </row>
    <row r="98" spans="2:195" x14ac:dyDescent="0.35">
      <c r="B98" s="23" t="str">
        <f t="shared" si="22"/>
        <v>EXP20260612-2793349</v>
      </c>
      <c r="C98" s="23">
        <f t="shared" si="23"/>
        <v>61.41</v>
      </c>
      <c r="D98" s="23">
        <f t="shared" si="24"/>
        <v>61.41</v>
      </c>
      <c r="E98" s="23" t="str">
        <f t="shared" si="25"/>
        <v/>
      </c>
      <c r="F98" s="23" t="str">
        <f t="shared" si="26"/>
        <v/>
      </c>
      <c r="G98" s="23" t="str">
        <f t="shared" si="27"/>
        <v/>
      </c>
      <c r="H98" s="23" t="str">
        <f t="shared" si="28"/>
        <v/>
      </c>
      <c r="I98" s="23" t="str">
        <f t="shared" si="29"/>
        <v/>
      </c>
      <c r="J98" s="23">
        <f t="shared" si="30"/>
        <v>61.41</v>
      </c>
      <c r="K98" s="23">
        <f t="shared" si="31"/>
        <v>0</v>
      </c>
      <c r="L98" s="23">
        <f t="shared" si="32"/>
        <v>0</v>
      </c>
      <c r="M98" t="s">
        <v>352</v>
      </c>
      <c r="N98" s="7">
        <v>46203</v>
      </c>
      <c r="O98" t="s">
        <v>186</v>
      </c>
      <c r="P98" t="s">
        <v>793</v>
      </c>
      <c r="Q98">
        <v>2026</v>
      </c>
      <c r="R98" s="27" t="s">
        <v>794</v>
      </c>
      <c r="S98" s="27" t="s">
        <v>793</v>
      </c>
      <c r="T98" t="s">
        <v>795</v>
      </c>
      <c r="U98" t="s">
        <v>187</v>
      </c>
      <c r="V98" t="s">
        <v>188</v>
      </c>
      <c r="W98" t="s">
        <v>188</v>
      </c>
      <c r="X98">
        <v>33790</v>
      </c>
      <c r="Y98" t="s">
        <v>189</v>
      </c>
      <c r="Z98" t="s">
        <v>190</v>
      </c>
      <c r="AA98">
        <v>697</v>
      </c>
      <c r="AC98" s="7">
        <v>46185</v>
      </c>
      <c r="AD98">
        <v>21</v>
      </c>
      <c r="AE98" t="s">
        <v>191</v>
      </c>
      <c r="AF98" t="s">
        <v>793</v>
      </c>
      <c r="AG98" t="s">
        <v>192</v>
      </c>
      <c r="AH98">
        <v>21</v>
      </c>
      <c r="AI98" t="s">
        <v>193</v>
      </c>
      <c r="AJ98" s="7">
        <v>46190</v>
      </c>
      <c r="AK98" t="s">
        <v>796</v>
      </c>
      <c r="AL98" t="s">
        <v>793</v>
      </c>
      <c r="AM98" t="s">
        <v>192</v>
      </c>
      <c r="AN98">
        <v>33</v>
      </c>
      <c r="AO98" t="s">
        <v>797</v>
      </c>
      <c r="AR98">
        <v>1</v>
      </c>
      <c r="AS98">
        <v>1</v>
      </c>
      <c r="AT98">
        <v>100</v>
      </c>
      <c r="AU98">
        <v>100</v>
      </c>
      <c r="AV98">
        <v>0</v>
      </c>
      <c r="AW98" t="s">
        <v>194</v>
      </c>
      <c r="AX98">
        <v>100</v>
      </c>
      <c r="AY98">
        <v>0</v>
      </c>
      <c r="BE98" t="s">
        <v>195</v>
      </c>
      <c r="BF98" t="s">
        <v>196</v>
      </c>
      <c r="BG98" t="s">
        <v>197</v>
      </c>
      <c r="BM98">
        <v>47.41</v>
      </c>
      <c r="BN98" s="23">
        <v>61.41</v>
      </c>
      <c r="BQ98" t="s">
        <v>198</v>
      </c>
      <c r="DI98">
        <v>11.85</v>
      </c>
      <c r="DK98">
        <v>2</v>
      </c>
      <c r="GM98">
        <v>0.15</v>
      </c>
    </row>
    <row r="99" spans="2:195" x14ac:dyDescent="0.35">
      <c r="B99" s="23" t="str">
        <f t="shared" si="22"/>
        <v>EXP20260611-2792558</v>
      </c>
      <c r="C99" s="23">
        <f t="shared" si="23"/>
        <v>57.45</v>
      </c>
      <c r="D99" s="23">
        <f t="shared" si="24"/>
        <v>57.45</v>
      </c>
      <c r="E99" s="23" t="str">
        <f t="shared" si="25"/>
        <v/>
      </c>
      <c r="F99" s="23" t="str">
        <f t="shared" si="26"/>
        <v/>
      </c>
      <c r="G99" s="23" t="str">
        <f t="shared" si="27"/>
        <v/>
      </c>
      <c r="H99" s="23" t="str">
        <f t="shared" si="28"/>
        <v/>
      </c>
      <c r="I99" s="23" t="str">
        <f t="shared" si="29"/>
        <v/>
      </c>
      <c r="J99" s="23">
        <f t="shared" si="30"/>
        <v>57.45</v>
      </c>
      <c r="K99" s="23">
        <f t="shared" si="31"/>
        <v>0</v>
      </c>
      <c r="L99" s="23">
        <f t="shared" si="32"/>
        <v>0</v>
      </c>
      <c r="M99" t="s">
        <v>352</v>
      </c>
      <c r="N99" s="7">
        <v>46203</v>
      </c>
      <c r="O99" t="s">
        <v>186</v>
      </c>
      <c r="P99" t="s">
        <v>798</v>
      </c>
      <c r="Q99">
        <v>2026</v>
      </c>
      <c r="R99" s="27" t="s">
        <v>799</v>
      </c>
      <c r="S99" s="27" t="s">
        <v>798</v>
      </c>
      <c r="T99" t="s">
        <v>800</v>
      </c>
      <c r="U99" t="s">
        <v>187</v>
      </c>
      <c r="V99" t="s">
        <v>188</v>
      </c>
      <c r="W99" t="s">
        <v>188</v>
      </c>
      <c r="X99">
        <v>34230</v>
      </c>
      <c r="Y99" t="s">
        <v>189</v>
      </c>
      <c r="Z99" t="s">
        <v>190</v>
      </c>
      <c r="AA99">
        <v>560</v>
      </c>
      <c r="AC99" s="7">
        <v>46185</v>
      </c>
      <c r="AD99">
        <v>21</v>
      </c>
      <c r="AE99" t="s">
        <v>191</v>
      </c>
      <c r="AF99" t="s">
        <v>798</v>
      </c>
      <c r="AG99" t="s">
        <v>192</v>
      </c>
      <c r="AH99">
        <v>21</v>
      </c>
      <c r="AI99" t="s">
        <v>193</v>
      </c>
      <c r="AJ99" s="7">
        <v>46190</v>
      </c>
      <c r="AK99" t="s">
        <v>801</v>
      </c>
      <c r="AL99" t="s">
        <v>798</v>
      </c>
      <c r="AM99" t="s">
        <v>192</v>
      </c>
      <c r="AN99">
        <v>34</v>
      </c>
      <c r="AO99" t="s">
        <v>669</v>
      </c>
      <c r="AR99">
        <v>1</v>
      </c>
      <c r="AS99">
        <v>1</v>
      </c>
      <c r="AT99">
        <v>110</v>
      </c>
      <c r="AU99">
        <v>110</v>
      </c>
      <c r="AV99">
        <v>0</v>
      </c>
      <c r="AW99" t="s">
        <v>194</v>
      </c>
      <c r="AX99">
        <v>110</v>
      </c>
      <c r="AY99">
        <v>0</v>
      </c>
      <c r="BE99" t="s">
        <v>195</v>
      </c>
      <c r="BF99" t="s">
        <v>196</v>
      </c>
      <c r="BG99" t="s">
        <v>197</v>
      </c>
      <c r="BM99">
        <v>44.24</v>
      </c>
      <c r="BN99" s="23">
        <v>57.45</v>
      </c>
      <c r="BQ99" t="s">
        <v>198</v>
      </c>
      <c r="DI99">
        <v>11.06</v>
      </c>
      <c r="DK99">
        <v>2</v>
      </c>
      <c r="GM99">
        <v>0.15</v>
      </c>
    </row>
    <row r="100" spans="2:195" x14ac:dyDescent="0.35">
      <c r="B100" s="23" t="str">
        <f t="shared" si="22"/>
        <v>26A060503097</v>
      </c>
      <c r="C100" s="23">
        <f t="shared" si="23"/>
        <v>300</v>
      </c>
      <c r="D100" s="23">
        <f t="shared" si="24"/>
        <v>300</v>
      </c>
      <c r="E100" s="23" t="str">
        <f t="shared" si="25"/>
        <v/>
      </c>
      <c r="F100" s="23" t="str">
        <f t="shared" si="26"/>
        <v/>
      </c>
      <c r="G100" s="23" t="str">
        <f t="shared" si="27"/>
        <v/>
      </c>
      <c r="H100" s="23" t="str">
        <f t="shared" si="28"/>
        <v/>
      </c>
      <c r="I100" s="23" t="str">
        <f t="shared" si="29"/>
        <v/>
      </c>
      <c r="J100" s="23">
        <f t="shared" si="30"/>
        <v>300</v>
      </c>
      <c r="K100" s="23">
        <f t="shared" si="31"/>
        <v>0</v>
      </c>
      <c r="L100" s="23">
        <f t="shared" si="32"/>
        <v>0</v>
      </c>
      <c r="M100" t="s">
        <v>352</v>
      </c>
      <c r="N100" s="7">
        <v>46203</v>
      </c>
      <c r="O100" t="s">
        <v>186</v>
      </c>
      <c r="Q100">
        <v>2026</v>
      </c>
      <c r="R100" s="27" t="s">
        <v>802</v>
      </c>
      <c r="S100" s="27"/>
      <c r="T100" t="s">
        <v>803</v>
      </c>
      <c r="U100" t="s">
        <v>203</v>
      </c>
      <c r="V100" t="s">
        <v>188</v>
      </c>
      <c r="W100" t="s">
        <v>188</v>
      </c>
      <c r="X100">
        <v>21320</v>
      </c>
      <c r="Y100" t="s">
        <v>204</v>
      </c>
      <c r="AA100">
        <v>60</v>
      </c>
      <c r="AC100" s="7">
        <v>46189</v>
      </c>
      <c r="AD100">
        <v>21</v>
      </c>
      <c r="AE100" t="s">
        <v>205</v>
      </c>
      <c r="AG100" t="s">
        <v>192</v>
      </c>
      <c r="AH100">
        <v>21</v>
      </c>
      <c r="AI100" t="s">
        <v>206</v>
      </c>
      <c r="AJ100" s="7"/>
      <c r="AK100" t="s">
        <v>191</v>
      </c>
      <c r="AM100" t="s">
        <v>192</v>
      </c>
      <c r="AN100">
        <v>21</v>
      </c>
      <c r="AO100" t="s">
        <v>193</v>
      </c>
      <c r="AR100">
        <v>33</v>
      </c>
      <c r="AS100">
        <v>33</v>
      </c>
      <c r="AT100">
        <v>25000</v>
      </c>
      <c r="AU100">
        <v>0</v>
      </c>
      <c r="AV100">
        <v>0</v>
      </c>
      <c r="AW100" t="s">
        <v>201</v>
      </c>
      <c r="AX100">
        <v>33</v>
      </c>
      <c r="AY100">
        <v>13.4</v>
      </c>
      <c r="BE100" t="s">
        <v>207</v>
      </c>
      <c r="BF100" t="s">
        <v>208</v>
      </c>
      <c r="BG100" t="s">
        <v>197</v>
      </c>
      <c r="BM100">
        <v>300</v>
      </c>
      <c r="BN100" s="23">
        <v>300</v>
      </c>
    </row>
    <row r="101" spans="2:195" x14ac:dyDescent="0.35">
      <c r="B101" s="23" t="str">
        <f t="shared" si="22"/>
        <v>EXP20260615-2798783</v>
      </c>
      <c r="C101" s="23">
        <f t="shared" si="23"/>
        <v>26.63</v>
      </c>
      <c r="D101" s="23">
        <f t="shared" si="24"/>
        <v>26.63</v>
      </c>
      <c r="E101" s="23" t="str">
        <f t="shared" si="25"/>
        <v/>
      </c>
      <c r="F101" s="23" t="str">
        <f t="shared" si="26"/>
        <v/>
      </c>
      <c r="G101" s="23" t="str">
        <f t="shared" si="27"/>
        <v/>
      </c>
      <c r="H101" s="23" t="str">
        <f t="shared" si="28"/>
        <v/>
      </c>
      <c r="I101" s="23" t="str">
        <f t="shared" si="29"/>
        <v/>
      </c>
      <c r="J101" s="23">
        <f t="shared" si="30"/>
        <v>26.63</v>
      </c>
      <c r="K101" s="23">
        <f t="shared" si="31"/>
        <v>0</v>
      </c>
      <c r="L101" s="23">
        <f t="shared" si="32"/>
        <v>0</v>
      </c>
      <c r="M101" t="s">
        <v>352</v>
      </c>
      <c r="N101" s="7">
        <v>46203</v>
      </c>
      <c r="O101" t="s">
        <v>186</v>
      </c>
      <c r="P101" t="s">
        <v>804</v>
      </c>
      <c r="Q101">
        <v>2026</v>
      </c>
      <c r="R101" s="27" t="s">
        <v>805</v>
      </c>
      <c r="S101" s="27" t="s">
        <v>804</v>
      </c>
      <c r="T101" t="s">
        <v>806</v>
      </c>
      <c r="U101" t="s">
        <v>187</v>
      </c>
      <c r="V101" t="s">
        <v>188</v>
      </c>
      <c r="W101" t="s">
        <v>188</v>
      </c>
      <c r="X101">
        <v>21190</v>
      </c>
      <c r="Y101" t="s">
        <v>189</v>
      </c>
      <c r="Z101" t="s">
        <v>190</v>
      </c>
      <c r="AA101">
        <v>81</v>
      </c>
      <c r="AC101" s="7">
        <v>46188</v>
      </c>
      <c r="AD101">
        <v>21</v>
      </c>
      <c r="AE101" t="s">
        <v>191</v>
      </c>
      <c r="AF101" t="s">
        <v>804</v>
      </c>
      <c r="AG101" t="s">
        <v>192</v>
      </c>
      <c r="AH101">
        <v>21</v>
      </c>
      <c r="AI101" t="s">
        <v>193</v>
      </c>
      <c r="AJ101" s="7">
        <v>46189</v>
      </c>
      <c r="AK101" t="s">
        <v>807</v>
      </c>
      <c r="AL101" t="s">
        <v>804</v>
      </c>
      <c r="AM101" t="s">
        <v>192</v>
      </c>
      <c r="AN101">
        <v>21</v>
      </c>
      <c r="AO101" t="s">
        <v>711</v>
      </c>
      <c r="AR101">
        <v>1</v>
      </c>
      <c r="AS101">
        <v>1</v>
      </c>
      <c r="AT101">
        <v>87</v>
      </c>
      <c r="AU101">
        <v>87</v>
      </c>
      <c r="AV101">
        <v>0</v>
      </c>
      <c r="AW101" t="s">
        <v>194</v>
      </c>
      <c r="AX101">
        <v>87</v>
      </c>
      <c r="AY101">
        <v>0</v>
      </c>
      <c r="BE101" t="s">
        <v>195</v>
      </c>
      <c r="BF101" t="s">
        <v>196</v>
      </c>
      <c r="BG101" t="s">
        <v>197</v>
      </c>
      <c r="BM101">
        <v>24.48</v>
      </c>
      <c r="BN101" s="23">
        <v>26.63</v>
      </c>
      <c r="BQ101" t="s">
        <v>198</v>
      </c>
      <c r="DK101">
        <v>2</v>
      </c>
      <c r="GM101">
        <v>0.15</v>
      </c>
    </row>
    <row r="102" spans="2:195" x14ac:dyDescent="0.35">
      <c r="B102" s="23" t="str">
        <f t="shared" si="22"/>
        <v>EXP20260614-2797923</v>
      </c>
      <c r="C102" s="23">
        <f t="shared" si="23"/>
        <v>30.7</v>
      </c>
      <c r="D102" s="23">
        <f t="shared" si="24"/>
        <v>30.7</v>
      </c>
      <c r="E102" s="23" t="str">
        <f t="shared" si="25"/>
        <v/>
      </c>
      <c r="F102" s="23" t="str">
        <f t="shared" si="26"/>
        <v/>
      </c>
      <c r="G102" s="23" t="str">
        <f t="shared" si="27"/>
        <v/>
      </c>
      <c r="H102" s="23" t="str">
        <f t="shared" si="28"/>
        <v/>
      </c>
      <c r="I102" s="23" t="str">
        <f t="shared" si="29"/>
        <v/>
      </c>
      <c r="J102" s="23">
        <f t="shared" si="30"/>
        <v>30.7</v>
      </c>
      <c r="K102" s="23">
        <f t="shared" si="31"/>
        <v>0</v>
      </c>
      <c r="L102" s="23">
        <f t="shared" si="32"/>
        <v>0</v>
      </c>
      <c r="M102" t="s">
        <v>352</v>
      </c>
      <c r="N102" s="7">
        <v>46203</v>
      </c>
      <c r="O102" t="s">
        <v>186</v>
      </c>
      <c r="P102" t="s">
        <v>808</v>
      </c>
      <c r="Q102">
        <v>2026</v>
      </c>
      <c r="R102" s="27" t="s">
        <v>809</v>
      </c>
      <c r="S102" s="27" t="s">
        <v>808</v>
      </c>
      <c r="T102" t="s">
        <v>810</v>
      </c>
      <c r="U102" t="s">
        <v>187</v>
      </c>
      <c r="V102" t="s">
        <v>188</v>
      </c>
      <c r="W102" t="s">
        <v>188</v>
      </c>
      <c r="X102">
        <v>7700</v>
      </c>
      <c r="Y102" t="s">
        <v>189</v>
      </c>
      <c r="Z102" t="s">
        <v>190</v>
      </c>
      <c r="AA102">
        <v>348</v>
      </c>
      <c r="AC102" s="7">
        <v>46188</v>
      </c>
      <c r="AD102">
        <v>21</v>
      </c>
      <c r="AE102" t="s">
        <v>191</v>
      </c>
      <c r="AF102" t="s">
        <v>808</v>
      </c>
      <c r="AG102" t="s">
        <v>192</v>
      </c>
      <c r="AH102">
        <v>21</v>
      </c>
      <c r="AI102" t="s">
        <v>193</v>
      </c>
      <c r="AJ102" s="7">
        <v>46189</v>
      </c>
      <c r="AK102" t="s">
        <v>811</v>
      </c>
      <c r="AL102" t="s">
        <v>808</v>
      </c>
      <c r="AM102" t="s">
        <v>192</v>
      </c>
      <c r="AN102">
        <v>7</v>
      </c>
      <c r="AO102" t="s">
        <v>812</v>
      </c>
      <c r="AR102">
        <v>1</v>
      </c>
      <c r="AS102">
        <v>1</v>
      </c>
      <c r="AT102">
        <v>44</v>
      </c>
      <c r="AU102">
        <v>44</v>
      </c>
      <c r="AV102">
        <v>0</v>
      </c>
      <c r="AW102" t="s">
        <v>194</v>
      </c>
      <c r="AX102">
        <v>44</v>
      </c>
      <c r="AY102">
        <v>0</v>
      </c>
      <c r="BE102" t="s">
        <v>195</v>
      </c>
      <c r="BF102" t="s">
        <v>196</v>
      </c>
      <c r="BG102" t="s">
        <v>197</v>
      </c>
      <c r="BM102">
        <v>28.55</v>
      </c>
      <c r="BN102" s="23">
        <v>30.7</v>
      </c>
      <c r="BQ102" t="s">
        <v>198</v>
      </c>
      <c r="DK102">
        <v>2</v>
      </c>
      <c r="GM102">
        <v>0.15</v>
      </c>
    </row>
    <row r="103" spans="2:195" x14ac:dyDescent="0.35">
      <c r="B103" s="23" t="str">
        <f t="shared" si="22"/>
        <v>EXP20260615-2798782</v>
      </c>
      <c r="C103" s="23">
        <f t="shared" si="23"/>
        <v>40.299999999999997</v>
      </c>
      <c r="D103" s="23">
        <f t="shared" si="24"/>
        <v>40.299999999999997</v>
      </c>
      <c r="E103" s="23" t="str">
        <f t="shared" si="25"/>
        <v/>
      </c>
      <c r="F103" s="23" t="str">
        <f t="shared" si="26"/>
        <v/>
      </c>
      <c r="G103" s="23" t="str">
        <f t="shared" si="27"/>
        <v/>
      </c>
      <c r="H103" s="23" t="str">
        <f t="shared" si="28"/>
        <v/>
      </c>
      <c r="I103" s="23" t="str">
        <f t="shared" si="29"/>
        <v/>
      </c>
      <c r="J103" s="23">
        <f t="shared" si="30"/>
        <v>40.299999999999997</v>
      </c>
      <c r="K103" s="23">
        <f t="shared" si="31"/>
        <v>0</v>
      </c>
      <c r="L103" s="23">
        <f t="shared" si="32"/>
        <v>0</v>
      </c>
      <c r="M103" t="s">
        <v>352</v>
      </c>
      <c r="N103" s="7">
        <v>46203</v>
      </c>
      <c r="O103" t="s">
        <v>186</v>
      </c>
      <c r="P103" t="s">
        <v>813</v>
      </c>
      <c r="Q103">
        <v>2026</v>
      </c>
      <c r="R103" s="27" t="s">
        <v>814</v>
      </c>
      <c r="S103" s="27" t="s">
        <v>813</v>
      </c>
      <c r="T103" t="s">
        <v>815</v>
      </c>
      <c r="U103" t="s">
        <v>187</v>
      </c>
      <c r="V103" t="s">
        <v>188</v>
      </c>
      <c r="W103" t="s">
        <v>188</v>
      </c>
      <c r="X103">
        <v>83250</v>
      </c>
      <c r="Y103" t="s">
        <v>189</v>
      </c>
      <c r="Z103" t="s">
        <v>190</v>
      </c>
      <c r="AA103">
        <v>599</v>
      </c>
      <c r="AC103" s="7">
        <v>46188</v>
      </c>
      <c r="AD103">
        <v>21</v>
      </c>
      <c r="AE103" t="s">
        <v>191</v>
      </c>
      <c r="AF103" t="s">
        <v>813</v>
      </c>
      <c r="AG103" t="s">
        <v>192</v>
      </c>
      <c r="AH103">
        <v>21</v>
      </c>
      <c r="AI103" t="s">
        <v>193</v>
      </c>
      <c r="AJ103" s="7">
        <v>46190</v>
      </c>
      <c r="AK103" t="s">
        <v>300</v>
      </c>
      <c r="AL103" t="s">
        <v>813</v>
      </c>
      <c r="AM103" t="s">
        <v>192</v>
      </c>
      <c r="AN103">
        <v>83</v>
      </c>
      <c r="AO103" t="s">
        <v>301</v>
      </c>
      <c r="AR103">
        <v>1</v>
      </c>
      <c r="AS103">
        <v>1</v>
      </c>
      <c r="AT103">
        <v>23</v>
      </c>
      <c r="AU103">
        <v>23</v>
      </c>
      <c r="AV103">
        <v>0</v>
      </c>
      <c r="AW103" t="s">
        <v>194</v>
      </c>
      <c r="AX103">
        <v>23</v>
      </c>
      <c r="AY103">
        <v>0</v>
      </c>
      <c r="BE103" t="s">
        <v>195</v>
      </c>
      <c r="BF103" t="s">
        <v>196</v>
      </c>
      <c r="BG103" t="s">
        <v>197</v>
      </c>
      <c r="BM103">
        <v>30.52</v>
      </c>
      <c r="BN103" s="23">
        <v>40.299999999999997</v>
      </c>
      <c r="BQ103" t="s">
        <v>198</v>
      </c>
      <c r="DI103">
        <v>7.63</v>
      </c>
      <c r="DK103">
        <v>2</v>
      </c>
      <c r="GM103">
        <v>0.15</v>
      </c>
    </row>
    <row r="104" spans="2:195" x14ac:dyDescent="0.35">
      <c r="B104" s="23" t="str">
        <f t="shared" si="22"/>
        <v>EXP20260612-2793899</v>
      </c>
      <c r="C104" s="23">
        <f t="shared" si="23"/>
        <v>64.03</v>
      </c>
      <c r="D104" s="23">
        <f t="shared" si="24"/>
        <v>64.03</v>
      </c>
      <c r="E104" s="23" t="str">
        <f t="shared" si="25"/>
        <v/>
      </c>
      <c r="F104" s="23" t="str">
        <f t="shared" si="26"/>
        <v/>
      </c>
      <c r="G104" s="23" t="str">
        <f t="shared" si="27"/>
        <v/>
      </c>
      <c r="H104" s="23" t="str">
        <f t="shared" si="28"/>
        <v/>
      </c>
      <c r="I104" s="23" t="str">
        <f t="shared" si="29"/>
        <v/>
      </c>
      <c r="J104" s="23">
        <f t="shared" si="30"/>
        <v>64.03</v>
      </c>
      <c r="K104" s="23">
        <f t="shared" si="31"/>
        <v>0</v>
      </c>
      <c r="L104" s="23">
        <f t="shared" si="32"/>
        <v>0</v>
      </c>
      <c r="M104" t="s">
        <v>352</v>
      </c>
      <c r="N104" s="7">
        <v>46203</v>
      </c>
      <c r="O104" t="s">
        <v>186</v>
      </c>
      <c r="P104" t="s">
        <v>816</v>
      </c>
      <c r="Q104">
        <v>2026</v>
      </c>
      <c r="R104" s="27" t="s">
        <v>817</v>
      </c>
      <c r="S104" s="27" t="s">
        <v>816</v>
      </c>
      <c r="T104" t="s">
        <v>818</v>
      </c>
      <c r="U104" t="s">
        <v>187</v>
      </c>
      <c r="V104" t="s">
        <v>188</v>
      </c>
      <c r="W104" t="s">
        <v>188</v>
      </c>
      <c r="X104">
        <v>33570</v>
      </c>
      <c r="Y104" t="s">
        <v>189</v>
      </c>
      <c r="Z104" t="s">
        <v>190</v>
      </c>
      <c r="AA104">
        <v>713</v>
      </c>
      <c r="AC104" s="7">
        <v>46188</v>
      </c>
      <c r="AD104">
        <v>21</v>
      </c>
      <c r="AE104" t="s">
        <v>191</v>
      </c>
      <c r="AF104" t="s">
        <v>816</v>
      </c>
      <c r="AG104" t="s">
        <v>192</v>
      </c>
      <c r="AH104">
        <v>21</v>
      </c>
      <c r="AI104" t="s">
        <v>193</v>
      </c>
      <c r="AJ104" s="7">
        <v>46191</v>
      </c>
      <c r="AK104" t="s">
        <v>819</v>
      </c>
      <c r="AL104" t="s">
        <v>816</v>
      </c>
      <c r="AM104" t="s">
        <v>192</v>
      </c>
      <c r="AN104">
        <v>33</v>
      </c>
      <c r="AO104" t="s">
        <v>820</v>
      </c>
      <c r="AR104">
        <v>1</v>
      </c>
      <c r="AS104">
        <v>1</v>
      </c>
      <c r="AT104">
        <v>110</v>
      </c>
      <c r="AU104">
        <v>110</v>
      </c>
      <c r="AV104">
        <v>0</v>
      </c>
      <c r="AW104" t="s">
        <v>194</v>
      </c>
      <c r="AX104">
        <v>110</v>
      </c>
      <c r="AY104">
        <v>0</v>
      </c>
      <c r="BE104" t="s">
        <v>195</v>
      </c>
      <c r="BF104" t="s">
        <v>196</v>
      </c>
      <c r="BG104" t="s">
        <v>197</v>
      </c>
      <c r="BM104">
        <v>49.5</v>
      </c>
      <c r="BN104" s="23">
        <v>64.03</v>
      </c>
      <c r="BQ104" t="s">
        <v>198</v>
      </c>
      <c r="DI104">
        <v>12.38</v>
      </c>
      <c r="DK104">
        <v>2</v>
      </c>
      <c r="GM104">
        <v>0.15</v>
      </c>
    </row>
    <row r="105" spans="2:195" x14ac:dyDescent="0.35">
      <c r="B105" s="23" t="str">
        <f t="shared" si="22"/>
        <v>EXP20260615-2798647</v>
      </c>
      <c r="C105" s="23">
        <f t="shared" si="23"/>
        <v>45.8</v>
      </c>
      <c r="D105" s="23">
        <f t="shared" si="24"/>
        <v>45.8</v>
      </c>
      <c r="E105" s="23" t="str">
        <f t="shared" si="25"/>
        <v/>
      </c>
      <c r="F105" s="23" t="str">
        <f t="shared" si="26"/>
        <v/>
      </c>
      <c r="G105" s="23" t="str">
        <f t="shared" si="27"/>
        <v/>
      </c>
      <c r="H105" s="23" t="str">
        <f t="shared" si="28"/>
        <v/>
      </c>
      <c r="I105" s="23" t="str">
        <f t="shared" si="29"/>
        <v/>
      </c>
      <c r="J105" s="23">
        <f t="shared" si="30"/>
        <v>45.8</v>
      </c>
      <c r="K105" s="23">
        <f t="shared" si="31"/>
        <v>0</v>
      </c>
      <c r="L105" s="23">
        <f t="shared" si="32"/>
        <v>0</v>
      </c>
      <c r="M105" t="s">
        <v>352</v>
      </c>
      <c r="N105" s="7">
        <v>46203</v>
      </c>
      <c r="O105" t="s">
        <v>186</v>
      </c>
      <c r="P105" t="s">
        <v>821</v>
      </c>
      <c r="Q105">
        <v>2026</v>
      </c>
      <c r="R105" s="27" t="s">
        <v>822</v>
      </c>
      <c r="S105" s="27" t="s">
        <v>821</v>
      </c>
      <c r="T105" t="s">
        <v>823</v>
      </c>
      <c r="U105" t="s">
        <v>187</v>
      </c>
      <c r="V105" t="s">
        <v>188</v>
      </c>
      <c r="W105" t="s">
        <v>188</v>
      </c>
      <c r="X105">
        <v>81140</v>
      </c>
      <c r="Y105" t="s">
        <v>189</v>
      </c>
      <c r="Z105" t="s">
        <v>190</v>
      </c>
      <c r="AA105">
        <v>660</v>
      </c>
      <c r="AC105" s="7">
        <v>46188</v>
      </c>
      <c r="AD105">
        <v>21</v>
      </c>
      <c r="AE105" t="s">
        <v>191</v>
      </c>
      <c r="AF105" t="s">
        <v>821</v>
      </c>
      <c r="AG105" t="s">
        <v>192</v>
      </c>
      <c r="AH105">
        <v>21</v>
      </c>
      <c r="AI105" t="s">
        <v>193</v>
      </c>
      <c r="AJ105" s="7">
        <v>46190</v>
      </c>
      <c r="AK105" t="s">
        <v>824</v>
      </c>
      <c r="AL105" t="s">
        <v>821</v>
      </c>
      <c r="AM105" t="s">
        <v>192</v>
      </c>
      <c r="AN105">
        <v>81</v>
      </c>
      <c r="AO105" t="s">
        <v>659</v>
      </c>
      <c r="AR105">
        <v>1</v>
      </c>
      <c r="AS105">
        <v>1</v>
      </c>
      <c r="AT105">
        <v>56</v>
      </c>
      <c r="AU105">
        <v>56</v>
      </c>
      <c r="AV105">
        <v>0</v>
      </c>
      <c r="AW105" t="s">
        <v>194</v>
      </c>
      <c r="AX105">
        <v>56</v>
      </c>
      <c r="AY105">
        <v>0</v>
      </c>
      <c r="BE105" t="s">
        <v>195</v>
      </c>
      <c r="BF105" t="s">
        <v>196</v>
      </c>
      <c r="BG105" t="s">
        <v>197</v>
      </c>
      <c r="BM105">
        <v>43.65</v>
      </c>
      <c r="BN105" s="23">
        <v>45.8</v>
      </c>
      <c r="BQ105" t="s">
        <v>198</v>
      </c>
      <c r="DK105">
        <v>2</v>
      </c>
      <c r="GM105">
        <v>0.15</v>
      </c>
    </row>
    <row r="106" spans="2:195" x14ac:dyDescent="0.35">
      <c r="B106" s="23" t="str">
        <f t="shared" si="22"/>
        <v>EXP20260612-2796088</v>
      </c>
      <c r="C106" s="23">
        <f t="shared" si="23"/>
        <v>24.849999999999998</v>
      </c>
      <c r="D106" s="23">
        <f t="shared" si="24"/>
        <v>24.849999999999998</v>
      </c>
      <c r="E106" s="23" t="str">
        <f t="shared" si="25"/>
        <v/>
      </c>
      <c r="F106" s="23" t="str">
        <f t="shared" si="26"/>
        <v/>
      </c>
      <c r="G106" s="23" t="str">
        <f t="shared" si="27"/>
        <v/>
      </c>
      <c r="H106" s="23" t="str">
        <f t="shared" si="28"/>
        <v/>
      </c>
      <c r="I106" s="23" t="str">
        <f t="shared" si="29"/>
        <v/>
      </c>
      <c r="J106" s="23">
        <f t="shared" si="30"/>
        <v>24.849999999999998</v>
      </c>
      <c r="K106" s="23">
        <f t="shared" si="31"/>
        <v>0</v>
      </c>
      <c r="L106" s="23">
        <f t="shared" si="32"/>
        <v>0</v>
      </c>
      <c r="M106" t="s">
        <v>352</v>
      </c>
      <c r="N106" s="7">
        <v>46203</v>
      </c>
      <c r="O106" t="s">
        <v>186</v>
      </c>
      <c r="P106" t="s">
        <v>825</v>
      </c>
      <c r="Q106">
        <v>2026</v>
      </c>
      <c r="R106" s="27" t="s">
        <v>826</v>
      </c>
      <c r="S106" s="27" t="s">
        <v>825</v>
      </c>
      <c r="T106" t="s">
        <v>827</v>
      </c>
      <c r="U106" t="s">
        <v>187</v>
      </c>
      <c r="V106" t="s">
        <v>188</v>
      </c>
      <c r="W106" t="s">
        <v>188</v>
      </c>
      <c r="X106">
        <v>71150</v>
      </c>
      <c r="Y106" t="s">
        <v>189</v>
      </c>
      <c r="Z106" t="s">
        <v>190</v>
      </c>
      <c r="AA106">
        <v>91</v>
      </c>
      <c r="AC106" s="7">
        <v>46188</v>
      </c>
      <c r="AD106">
        <v>21</v>
      </c>
      <c r="AE106" t="s">
        <v>191</v>
      </c>
      <c r="AF106" t="s">
        <v>825</v>
      </c>
      <c r="AG106" t="s">
        <v>192</v>
      </c>
      <c r="AH106">
        <v>21</v>
      </c>
      <c r="AI106" t="s">
        <v>193</v>
      </c>
      <c r="AJ106" s="7">
        <v>46191</v>
      </c>
      <c r="AK106" t="s">
        <v>828</v>
      </c>
      <c r="AL106" t="s">
        <v>825</v>
      </c>
      <c r="AM106" t="s">
        <v>192</v>
      </c>
      <c r="AN106">
        <v>71</v>
      </c>
      <c r="AO106" t="s">
        <v>829</v>
      </c>
      <c r="AR106">
        <v>1</v>
      </c>
      <c r="AS106">
        <v>1</v>
      </c>
      <c r="AT106">
        <v>40</v>
      </c>
      <c r="AU106">
        <v>40</v>
      </c>
      <c r="AV106">
        <v>0</v>
      </c>
      <c r="AW106" t="s">
        <v>194</v>
      </c>
      <c r="AX106">
        <v>40</v>
      </c>
      <c r="AY106">
        <v>0</v>
      </c>
      <c r="BE106" t="s">
        <v>195</v>
      </c>
      <c r="BF106" t="s">
        <v>196</v>
      </c>
      <c r="BG106" t="s">
        <v>197</v>
      </c>
      <c r="BM106">
        <v>22.7</v>
      </c>
      <c r="BN106" s="23">
        <v>24.85</v>
      </c>
      <c r="BQ106" t="s">
        <v>198</v>
      </c>
      <c r="DK106">
        <v>2</v>
      </c>
      <c r="GM106">
        <v>0.15</v>
      </c>
    </row>
    <row r="107" spans="2:195" x14ac:dyDescent="0.35">
      <c r="B107" s="23" t="str">
        <f t="shared" si="22"/>
        <v>EXP20260612-2796040</v>
      </c>
      <c r="C107" s="23">
        <f t="shared" si="23"/>
        <v>38.129999999999995</v>
      </c>
      <c r="D107" s="23">
        <f t="shared" si="24"/>
        <v>38.129999999999995</v>
      </c>
      <c r="E107" s="23" t="str">
        <f t="shared" si="25"/>
        <v/>
      </c>
      <c r="F107" s="23" t="str">
        <f t="shared" si="26"/>
        <v/>
      </c>
      <c r="G107" s="23" t="str">
        <f t="shared" si="27"/>
        <v/>
      </c>
      <c r="H107" s="23" t="str">
        <f t="shared" si="28"/>
        <v/>
      </c>
      <c r="I107" s="23" t="str">
        <f t="shared" si="29"/>
        <v/>
      </c>
      <c r="J107" s="23">
        <f t="shared" si="30"/>
        <v>38.129999999999995</v>
      </c>
      <c r="K107" s="23">
        <f t="shared" si="31"/>
        <v>0</v>
      </c>
      <c r="L107" s="23">
        <f t="shared" si="32"/>
        <v>0</v>
      </c>
      <c r="M107" t="s">
        <v>352</v>
      </c>
      <c r="N107" s="7">
        <v>46203</v>
      </c>
      <c r="O107" t="s">
        <v>186</v>
      </c>
      <c r="P107" t="s">
        <v>830</v>
      </c>
      <c r="Q107">
        <v>2026</v>
      </c>
      <c r="R107" s="27" t="s">
        <v>831</v>
      </c>
      <c r="S107" s="27" t="s">
        <v>830</v>
      </c>
      <c r="T107" t="s">
        <v>832</v>
      </c>
      <c r="U107" t="s">
        <v>187</v>
      </c>
      <c r="V107" t="s">
        <v>188</v>
      </c>
      <c r="W107" t="s">
        <v>188</v>
      </c>
      <c r="X107">
        <v>81140</v>
      </c>
      <c r="Y107" t="s">
        <v>189</v>
      </c>
      <c r="Z107" t="s">
        <v>190</v>
      </c>
      <c r="AA107">
        <v>660</v>
      </c>
      <c r="AC107" s="7">
        <v>46188</v>
      </c>
      <c r="AD107">
        <v>21</v>
      </c>
      <c r="AE107" t="s">
        <v>191</v>
      </c>
      <c r="AF107" t="s">
        <v>830</v>
      </c>
      <c r="AG107" t="s">
        <v>192</v>
      </c>
      <c r="AH107">
        <v>21</v>
      </c>
      <c r="AI107" t="s">
        <v>193</v>
      </c>
      <c r="AJ107" s="7">
        <v>46196</v>
      </c>
      <c r="AK107" t="s">
        <v>833</v>
      </c>
      <c r="AL107" t="s">
        <v>830</v>
      </c>
      <c r="AM107" t="s">
        <v>192</v>
      </c>
      <c r="AN107">
        <v>81</v>
      </c>
      <c r="AO107" t="s">
        <v>659</v>
      </c>
      <c r="AR107">
        <v>1</v>
      </c>
      <c r="AS107">
        <v>1</v>
      </c>
      <c r="AT107">
        <v>24</v>
      </c>
      <c r="AU107">
        <v>24</v>
      </c>
      <c r="AV107">
        <v>0</v>
      </c>
      <c r="AW107" t="s">
        <v>194</v>
      </c>
      <c r="AX107">
        <v>24</v>
      </c>
      <c r="AY107">
        <v>0</v>
      </c>
      <c r="BE107" t="s">
        <v>195</v>
      </c>
      <c r="BF107" t="s">
        <v>196</v>
      </c>
      <c r="BG107" t="s">
        <v>197</v>
      </c>
      <c r="BM107">
        <v>35.979999999999997</v>
      </c>
      <c r="BN107" s="23">
        <v>38.130000000000003</v>
      </c>
      <c r="BQ107" t="s">
        <v>198</v>
      </c>
      <c r="DK107">
        <v>2</v>
      </c>
      <c r="GM107">
        <v>0.15</v>
      </c>
    </row>
    <row r="108" spans="2:195" x14ac:dyDescent="0.35">
      <c r="B108" s="23" t="str">
        <f t="shared" si="22"/>
        <v>EXP20260615-2799004</v>
      </c>
      <c r="C108" s="23">
        <f t="shared" si="23"/>
        <v>93.350000000000009</v>
      </c>
      <c r="D108" s="23">
        <f t="shared" si="24"/>
        <v>93.350000000000009</v>
      </c>
      <c r="E108" s="23" t="str">
        <f t="shared" si="25"/>
        <v/>
      </c>
      <c r="F108" s="23" t="str">
        <f t="shared" si="26"/>
        <v/>
      </c>
      <c r="G108" s="23" t="str">
        <f t="shared" si="27"/>
        <v/>
      </c>
      <c r="H108" s="23" t="str">
        <f t="shared" si="28"/>
        <v/>
      </c>
      <c r="I108" s="23" t="str">
        <f t="shared" si="29"/>
        <v/>
      </c>
      <c r="J108" s="23">
        <f t="shared" si="30"/>
        <v>93.350000000000009</v>
      </c>
      <c r="K108" s="23">
        <f t="shared" si="31"/>
        <v>0</v>
      </c>
      <c r="L108" s="23">
        <f t="shared" si="32"/>
        <v>0</v>
      </c>
      <c r="M108" t="s">
        <v>352</v>
      </c>
      <c r="N108" s="7">
        <v>46203</v>
      </c>
      <c r="O108" t="s">
        <v>186</v>
      </c>
      <c r="P108" t="s">
        <v>834</v>
      </c>
      <c r="Q108">
        <v>2026</v>
      </c>
      <c r="R108" s="27" t="s">
        <v>835</v>
      </c>
      <c r="S108" s="27" t="s">
        <v>834</v>
      </c>
      <c r="T108" t="s">
        <v>836</v>
      </c>
      <c r="U108" t="s">
        <v>187</v>
      </c>
      <c r="V108" t="s">
        <v>188</v>
      </c>
      <c r="W108" t="s">
        <v>188</v>
      </c>
      <c r="X108">
        <v>42410</v>
      </c>
      <c r="Y108" t="s">
        <v>189</v>
      </c>
      <c r="Z108" t="s">
        <v>190</v>
      </c>
      <c r="AA108">
        <v>250</v>
      </c>
      <c r="AC108" s="7">
        <v>46188</v>
      </c>
      <c r="AD108">
        <v>21</v>
      </c>
      <c r="AE108" t="s">
        <v>191</v>
      </c>
      <c r="AF108" t="s">
        <v>834</v>
      </c>
      <c r="AG108" t="s">
        <v>192</v>
      </c>
      <c r="AH108">
        <v>21</v>
      </c>
      <c r="AI108" t="s">
        <v>193</v>
      </c>
      <c r="AJ108" s="7">
        <v>46190</v>
      </c>
      <c r="AK108" t="s">
        <v>837</v>
      </c>
      <c r="AL108" t="s">
        <v>834</v>
      </c>
      <c r="AM108" t="s">
        <v>192</v>
      </c>
      <c r="AN108">
        <v>42</v>
      </c>
      <c r="AO108" t="s">
        <v>336</v>
      </c>
      <c r="AR108">
        <v>2</v>
      </c>
      <c r="AS108">
        <v>2</v>
      </c>
      <c r="AT108">
        <v>222</v>
      </c>
      <c r="AU108">
        <v>222</v>
      </c>
      <c r="AV108">
        <v>0</v>
      </c>
      <c r="AW108" t="s">
        <v>201</v>
      </c>
      <c r="AX108">
        <v>2</v>
      </c>
      <c r="AY108">
        <v>0</v>
      </c>
      <c r="BE108" t="s">
        <v>195</v>
      </c>
      <c r="BF108" t="s">
        <v>196</v>
      </c>
      <c r="BG108" t="s">
        <v>197</v>
      </c>
      <c r="BM108">
        <v>91.2</v>
      </c>
      <c r="BN108" s="23">
        <v>93.35</v>
      </c>
      <c r="BQ108" t="s">
        <v>198</v>
      </c>
      <c r="DK108">
        <v>2</v>
      </c>
      <c r="GM108">
        <v>0.15</v>
      </c>
    </row>
    <row r="109" spans="2:195" x14ac:dyDescent="0.35">
      <c r="B109" s="23" t="str">
        <f t="shared" si="22"/>
        <v>EXP20260611-2792540</v>
      </c>
      <c r="C109" s="23">
        <f>SUM(E109:K109)</f>
        <v>168.5</v>
      </c>
      <c r="D109" s="23">
        <f t="shared" si="24"/>
        <v>168.5</v>
      </c>
      <c r="E109" s="23" t="str">
        <f t="shared" si="25"/>
        <v/>
      </c>
      <c r="F109" s="23" t="str">
        <f t="shared" si="26"/>
        <v/>
      </c>
      <c r="G109" s="23" t="str">
        <f t="shared" si="27"/>
        <v/>
      </c>
      <c r="H109" s="23" t="str">
        <f t="shared" si="28"/>
        <v/>
      </c>
      <c r="I109" s="23" t="str">
        <f t="shared" si="29"/>
        <v/>
      </c>
      <c r="J109" s="23">
        <f t="shared" si="30"/>
        <v>168.5</v>
      </c>
      <c r="K109" s="23">
        <f t="shared" si="31"/>
        <v>0</v>
      </c>
      <c r="L109" s="23">
        <f t="shared" si="32"/>
        <v>0</v>
      </c>
      <c r="M109" t="s">
        <v>352</v>
      </c>
      <c r="N109" s="7">
        <v>46203</v>
      </c>
      <c r="O109" t="s">
        <v>186</v>
      </c>
      <c r="P109" t="s">
        <v>838</v>
      </c>
      <c r="Q109">
        <v>2026</v>
      </c>
      <c r="R109" s="27" t="s">
        <v>839</v>
      </c>
      <c r="S109" s="27" t="s">
        <v>838</v>
      </c>
      <c r="T109" t="s">
        <v>840</v>
      </c>
      <c r="U109" t="s">
        <v>187</v>
      </c>
      <c r="V109" t="s">
        <v>188</v>
      </c>
      <c r="W109" t="s">
        <v>188</v>
      </c>
      <c r="X109">
        <v>79180</v>
      </c>
      <c r="Y109" t="s">
        <v>189</v>
      </c>
      <c r="Z109" t="s">
        <v>190</v>
      </c>
      <c r="AA109">
        <v>782</v>
      </c>
      <c r="AC109" s="7">
        <v>46189</v>
      </c>
      <c r="AD109">
        <v>21</v>
      </c>
      <c r="AE109" t="s">
        <v>191</v>
      </c>
      <c r="AF109" t="s">
        <v>838</v>
      </c>
      <c r="AG109" t="s">
        <v>192</v>
      </c>
      <c r="AH109">
        <v>21</v>
      </c>
      <c r="AI109" t="s">
        <v>193</v>
      </c>
      <c r="AJ109" s="7">
        <v>46191</v>
      </c>
      <c r="AK109" t="s">
        <v>841</v>
      </c>
      <c r="AL109" t="s">
        <v>838</v>
      </c>
      <c r="AM109" t="s">
        <v>192</v>
      </c>
      <c r="AN109">
        <v>79</v>
      </c>
      <c r="AO109" t="s">
        <v>842</v>
      </c>
      <c r="AP109" t="s">
        <v>200</v>
      </c>
      <c r="AQ109" t="s">
        <v>199</v>
      </c>
      <c r="AR109">
        <v>3</v>
      </c>
      <c r="AS109">
        <v>3</v>
      </c>
      <c r="AT109">
        <v>174</v>
      </c>
      <c r="AU109">
        <v>174</v>
      </c>
      <c r="AV109">
        <v>0</v>
      </c>
      <c r="AW109" t="s">
        <v>201</v>
      </c>
      <c r="AX109">
        <v>3</v>
      </c>
      <c r="AY109">
        <v>0</v>
      </c>
      <c r="BE109" t="s">
        <v>195</v>
      </c>
      <c r="BF109" t="s">
        <v>196</v>
      </c>
      <c r="BG109" t="s">
        <v>197</v>
      </c>
      <c r="BM109">
        <v>166.35</v>
      </c>
      <c r="BN109" s="23">
        <v>168.5</v>
      </c>
      <c r="BQ109" t="s">
        <v>198</v>
      </c>
      <c r="DK109">
        <v>2</v>
      </c>
      <c r="GM109">
        <v>0.15</v>
      </c>
    </row>
    <row r="110" spans="2:195" x14ac:dyDescent="0.35">
      <c r="B110" s="23">
        <f t="shared" si="22"/>
        <v>5001338</v>
      </c>
      <c r="C110" s="23">
        <f t="shared" si="23"/>
        <v>52.58</v>
      </c>
      <c r="D110" s="23">
        <f t="shared" si="24"/>
        <v>52.58</v>
      </c>
      <c r="E110" s="23" t="str">
        <f t="shared" si="25"/>
        <v/>
      </c>
      <c r="F110" s="23" t="str">
        <f t="shared" si="26"/>
        <v/>
      </c>
      <c r="G110" s="23" t="str">
        <f t="shared" si="27"/>
        <v/>
      </c>
      <c r="H110" s="23" t="str">
        <f t="shared" si="28"/>
        <v/>
      </c>
      <c r="I110" s="23" t="str">
        <f t="shared" si="29"/>
        <v/>
      </c>
      <c r="J110" s="23">
        <f t="shared" si="30"/>
        <v>52.58</v>
      </c>
      <c r="K110" s="23">
        <f t="shared" si="31"/>
        <v>0</v>
      </c>
      <c r="L110" s="23">
        <f t="shared" si="32"/>
        <v>0</v>
      </c>
      <c r="M110" t="s">
        <v>352</v>
      </c>
      <c r="N110">
        <v>46203</v>
      </c>
      <c r="O110" t="s">
        <v>186</v>
      </c>
      <c r="P110">
        <v>5001338</v>
      </c>
      <c r="Q110">
        <v>2026</v>
      </c>
      <c r="R110" s="4" t="s">
        <v>843</v>
      </c>
      <c r="S110" s="5">
        <v>5001338</v>
      </c>
      <c r="T110" t="s">
        <v>844</v>
      </c>
      <c r="U110" t="s">
        <v>187</v>
      </c>
      <c r="V110" t="s">
        <v>188</v>
      </c>
      <c r="W110" t="s">
        <v>188</v>
      </c>
      <c r="X110">
        <v>28110</v>
      </c>
      <c r="Y110" t="s">
        <v>189</v>
      </c>
      <c r="Z110" t="s">
        <v>190</v>
      </c>
      <c r="AA110">
        <v>401</v>
      </c>
      <c r="AC110">
        <v>46189</v>
      </c>
      <c r="AD110">
        <v>21</v>
      </c>
      <c r="AE110" t="s">
        <v>191</v>
      </c>
      <c r="AF110" t="s">
        <v>845</v>
      </c>
      <c r="AG110" t="s">
        <v>192</v>
      </c>
      <c r="AH110">
        <v>21</v>
      </c>
      <c r="AI110" t="s">
        <v>193</v>
      </c>
      <c r="AK110" t="s">
        <v>846</v>
      </c>
      <c r="AL110">
        <v>5001338</v>
      </c>
      <c r="AM110" t="s">
        <v>192</v>
      </c>
      <c r="AN110">
        <v>28</v>
      </c>
      <c r="AO110" t="s">
        <v>847</v>
      </c>
      <c r="AR110">
        <v>1</v>
      </c>
      <c r="AS110">
        <v>1</v>
      </c>
      <c r="AT110">
        <v>400</v>
      </c>
      <c r="AU110">
        <v>400</v>
      </c>
      <c r="AV110">
        <v>0</v>
      </c>
      <c r="AW110" t="s">
        <v>201</v>
      </c>
      <c r="AX110">
        <v>1</v>
      </c>
      <c r="AY110">
        <v>0</v>
      </c>
      <c r="BE110" t="s">
        <v>195</v>
      </c>
      <c r="BF110" t="s">
        <v>196</v>
      </c>
      <c r="BG110" t="s">
        <v>197</v>
      </c>
      <c r="BM110">
        <v>50.43</v>
      </c>
      <c r="BN110" s="6">
        <v>52.58</v>
      </c>
      <c r="BQ110" t="s">
        <v>198</v>
      </c>
      <c r="DK110">
        <v>2</v>
      </c>
      <c r="GM110">
        <v>0.15</v>
      </c>
    </row>
    <row r="111" spans="2:195" x14ac:dyDescent="0.35">
      <c r="B111" s="23" t="str">
        <f t="shared" si="22"/>
        <v>EXP20260615-2799257</v>
      </c>
      <c r="C111" s="23">
        <f t="shared" si="23"/>
        <v>26.83</v>
      </c>
      <c r="D111" s="23">
        <f t="shared" si="24"/>
        <v>26.83</v>
      </c>
      <c r="E111" s="23" t="str">
        <f t="shared" si="25"/>
        <v/>
      </c>
      <c r="F111" s="23" t="str">
        <f t="shared" si="26"/>
        <v/>
      </c>
      <c r="G111" s="23" t="str">
        <f t="shared" si="27"/>
        <v/>
      </c>
      <c r="H111" s="23" t="str">
        <f t="shared" si="28"/>
        <v/>
      </c>
      <c r="I111" s="23" t="str">
        <f t="shared" si="29"/>
        <v/>
      </c>
      <c r="J111" s="23">
        <f t="shared" si="30"/>
        <v>26.83</v>
      </c>
      <c r="K111" s="23">
        <f t="shared" si="31"/>
        <v>0</v>
      </c>
      <c r="L111" s="23">
        <f t="shared" si="32"/>
        <v>0</v>
      </c>
      <c r="M111" t="s">
        <v>352</v>
      </c>
      <c r="N111" s="7">
        <v>46203</v>
      </c>
      <c r="O111" t="s">
        <v>186</v>
      </c>
      <c r="P111" t="s">
        <v>848</v>
      </c>
      <c r="Q111">
        <v>2026</v>
      </c>
      <c r="R111" s="27" t="s">
        <v>849</v>
      </c>
      <c r="S111" s="27" t="s">
        <v>848</v>
      </c>
      <c r="T111" t="s">
        <v>850</v>
      </c>
      <c r="U111" t="s">
        <v>187</v>
      </c>
      <c r="V111" t="s">
        <v>188</v>
      </c>
      <c r="W111" t="s">
        <v>188</v>
      </c>
      <c r="X111">
        <v>71960</v>
      </c>
      <c r="Y111" t="s">
        <v>189</v>
      </c>
      <c r="Z111" t="s">
        <v>190</v>
      </c>
      <c r="AA111">
        <v>224</v>
      </c>
      <c r="AC111" s="7">
        <v>46189</v>
      </c>
      <c r="AD111">
        <v>21</v>
      </c>
      <c r="AE111" t="s">
        <v>191</v>
      </c>
      <c r="AF111" t="s">
        <v>848</v>
      </c>
      <c r="AG111" t="s">
        <v>192</v>
      </c>
      <c r="AH111">
        <v>21</v>
      </c>
      <c r="AI111" t="s">
        <v>193</v>
      </c>
      <c r="AJ111" s="7">
        <v>46192</v>
      </c>
      <c r="AK111" t="s">
        <v>851</v>
      </c>
      <c r="AL111" t="s">
        <v>848</v>
      </c>
      <c r="AM111" t="s">
        <v>192</v>
      </c>
      <c r="AN111">
        <v>71</v>
      </c>
      <c r="AO111" t="s">
        <v>852</v>
      </c>
      <c r="AR111">
        <v>1</v>
      </c>
      <c r="AS111">
        <v>1</v>
      </c>
      <c r="AT111">
        <v>63</v>
      </c>
      <c r="AU111">
        <v>63</v>
      </c>
      <c r="AV111">
        <v>0</v>
      </c>
      <c r="AW111" t="s">
        <v>194</v>
      </c>
      <c r="AX111">
        <v>63</v>
      </c>
      <c r="AY111">
        <v>0</v>
      </c>
      <c r="BE111" t="s">
        <v>195</v>
      </c>
      <c r="BF111" t="s">
        <v>196</v>
      </c>
      <c r="BG111" t="s">
        <v>197</v>
      </c>
      <c r="BM111">
        <v>24.68</v>
      </c>
      <c r="BN111" s="23">
        <v>26.83</v>
      </c>
      <c r="BQ111" t="s">
        <v>198</v>
      </c>
      <c r="DK111">
        <v>2</v>
      </c>
      <c r="GM111">
        <v>0.15</v>
      </c>
    </row>
    <row r="112" spans="2:195" x14ac:dyDescent="0.35">
      <c r="B112" s="23" t="str">
        <f t="shared" si="22"/>
        <v>EXP20260615-2799188</v>
      </c>
      <c r="C112" s="23">
        <f t="shared" si="23"/>
        <v>75.73</v>
      </c>
      <c r="D112" s="23">
        <f t="shared" si="24"/>
        <v>75.73</v>
      </c>
      <c r="E112" s="23" t="str">
        <f t="shared" si="25"/>
        <v/>
      </c>
      <c r="F112" s="23" t="str">
        <f t="shared" si="26"/>
        <v/>
      </c>
      <c r="G112" s="23" t="str">
        <f t="shared" si="27"/>
        <v/>
      </c>
      <c r="H112" s="23" t="str">
        <f t="shared" si="28"/>
        <v/>
      </c>
      <c r="I112" s="23" t="str">
        <f t="shared" si="29"/>
        <v/>
      </c>
      <c r="J112" s="23">
        <f t="shared" si="30"/>
        <v>75.73</v>
      </c>
      <c r="K112" s="23">
        <f t="shared" si="31"/>
        <v>0</v>
      </c>
      <c r="L112" s="23">
        <f t="shared" si="32"/>
        <v>0</v>
      </c>
      <c r="M112" t="s">
        <v>352</v>
      </c>
      <c r="N112" s="7">
        <v>46203</v>
      </c>
      <c r="O112" t="s">
        <v>186</v>
      </c>
      <c r="P112" t="s">
        <v>853</v>
      </c>
      <c r="Q112">
        <v>2026</v>
      </c>
      <c r="R112" s="27" t="s">
        <v>854</v>
      </c>
      <c r="S112" s="27" t="s">
        <v>853</v>
      </c>
      <c r="T112" t="s">
        <v>855</v>
      </c>
      <c r="U112" t="s">
        <v>187</v>
      </c>
      <c r="V112" t="s">
        <v>188</v>
      </c>
      <c r="W112" t="s">
        <v>188</v>
      </c>
      <c r="X112">
        <v>71240</v>
      </c>
      <c r="Y112" t="s">
        <v>189</v>
      </c>
      <c r="Z112" t="s">
        <v>190</v>
      </c>
      <c r="AA112">
        <v>91</v>
      </c>
      <c r="AC112" s="7">
        <v>46189</v>
      </c>
      <c r="AD112">
        <v>21</v>
      </c>
      <c r="AE112" t="s">
        <v>191</v>
      </c>
      <c r="AF112" t="s">
        <v>853</v>
      </c>
      <c r="AG112" t="s">
        <v>192</v>
      </c>
      <c r="AH112">
        <v>21</v>
      </c>
      <c r="AI112" t="s">
        <v>193</v>
      </c>
      <c r="AJ112" s="7">
        <v>46195</v>
      </c>
      <c r="AK112" t="s">
        <v>325</v>
      </c>
      <c r="AL112" t="s">
        <v>853</v>
      </c>
      <c r="AM112" t="s">
        <v>192</v>
      </c>
      <c r="AN112">
        <v>71</v>
      </c>
      <c r="AO112" t="s">
        <v>326</v>
      </c>
      <c r="AR112">
        <v>2</v>
      </c>
      <c r="AS112">
        <v>2</v>
      </c>
      <c r="AT112">
        <v>220</v>
      </c>
      <c r="AU112">
        <v>220</v>
      </c>
      <c r="AV112">
        <v>0</v>
      </c>
      <c r="AW112" t="s">
        <v>201</v>
      </c>
      <c r="AX112">
        <v>2</v>
      </c>
      <c r="AY112">
        <v>0</v>
      </c>
      <c r="BE112" t="s">
        <v>195</v>
      </c>
      <c r="BF112" t="s">
        <v>196</v>
      </c>
      <c r="BG112" t="s">
        <v>197</v>
      </c>
      <c r="BM112">
        <v>73.58</v>
      </c>
      <c r="BN112" s="23">
        <v>75.73</v>
      </c>
      <c r="BQ112" t="s">
        <v>198</v>
      </c>
      <c r="DK112">
        <v>2</v>
      </c>
      <c r="GM112">
        <v>0.15</v>
      </c>
    </row>
    <row r="113" spans="2:195" x14ac:dyDescent="0.35">
      <c r="B113" s="23" t="str">
        <f t="shared" si="22"/>
        <v>26A060616559</v>
      </c>
      <c r="C113" s="23">
        <f t="shared" si="23"/>
        <v>300</v>
      </c>
      <c r="D113" s="23">
        <f t="shared" si="24"/>
        <v>300</v>
      </c>
      <c r="E113" s="23" t="str">
        <f t="shared" si="25"/>
        <v/>
      </c>
      <c r="F113" s="23" t="str">
        <f t="shared" si="26"/>
        <v/>
      </c>
      <c r="G113" s="23" t="str">
        <f t="shared" si="27"/>
        <v/>
      </c>
      <c r="H113" s="23" t="str">
        <f t="shared" si="28"/>
        <v/>
      </c>
      <c r="I113" s="23" t="str">
        <f t="shared" si="29"/>
        <v/>
      </c>
      <c r="J113" s="23">
        <f t="shared" si="30"/>
        <v>300</v>
      </c>
      <c r="K113" s="23">
        <f t="shared" si="31"/>
        <v>0</v>
      </c>
      <c r="L113" s="23">
        <f t="shared" si="32"/>
        <v>0</v>
      </c>
      <c r="M113" t="s">
        <v>352</v>
      </c>
      <c r="N113" s="7">
        <v>46203</v>
      </c>
      <c r="O113" t="s">
        <v>186</v>
      </c>
      <c r="Q113">
        <v>2026</v>
      </c>
      <c r="R113" s="27" t="s">
        <v>856</v>
      </c>
      <c r="S113" s="27"/>
      <c r="T113" t="s">
        <v>857</v>
      </c>
      <c r="U113" t="s">
        <v>203</v>
      </c>
      <c r="V113" t="s">
        <v>188</v>
      </c>
      <c r="W113" t="s">
        <v>188</v>
      </c>
      <c r="X113">
        <v>21320</v>
      </c>
      <c r="Y113" t="s">
        <v>204</v>
      </c>
      <c r="AA113">
        <v>60</v>
      </c>
      <c r="AC113" s="7">
        <v>46191</v>
      </c>
      <c r="AD113">
        <v>21</v>
      </c>
      <c r="AE113" t="s">
        <v>205</v>
      </c>
      <c r="AG113" t="s">
        <v>192</v>
      </c>
      <c r="AH113">
        <v>21</v>
      </c>
      <c r="AI113" t="s">
        <v>206</v>
      </c>
      <c r="AJ113" s="7"/>
      <c r="AK113" t="s">
        <v>191</v>
      </c>
      <c r="AM113" t="s">
        <v>192</v>
      </c>
      <c r="AN113">
        <v>21</v>
      </c>
      <c r="AO113" t="s">
        <v>193</v>
      </c>
      <c r="AR113">
        <v>32</v>
      </c>
      <c r="AS113">
        <v>32</v>
      </c>
      <c r="AT113">
        <v>25000</v>
      </c>
      <c r="AU113">
        <v>0</v>
      </c>
      <c r="AV113">
        <v>0</v>
      </c>
      <c r="AW113" t="s">
        <v>201</v>
      </c>
      <c r="AX113">
        <v>32</v>
      </c>
      <c r="AY113">
        <v>13.4</v>
      </c>
      <c r="BE113" t="s">
        <v>207</v>
      </c>
      <c r="BF113" t="s">
        <v>208</v>
      </c>
      <c r="BG113" t="s">
        <v>197</v>
      </c>
      <c r="BM113">
        <v>300</v>
      </c>
      <c r="BN113" s="23">
        <v>300</v>
      </c>
    </row>
    <row r="114" spans="2:195" x14ac:dyDescent="0.35">
      <c r="B114" s="23" t="str">
        <f t="shared" si="22"/>
        <v>EXP20260615-2799645</v>
      </c>
      <c r="C114" s="23">
        <f t="shared" si="23"/>
        <v>126.09</v>
      </c>
      <c r="D114" s="23">
        <f t="shared" si="24"/>
        <v>126.09</v>
      </c>
      <c r="E114" s="23" t="str">
        <f t="shared" si="25"/>
        <v/>
      </c>
      <c r="F114" s="23" t="str">
        <f t="shared" si="26"/>
        <v/>
      </c>
      <c r="G114" s="23" t="str">
        <f t="shared" si="27"/>
        <v/>
      </c>
      <c r="H114" s="23" t="str">
        <f t="shared" si="28"/>
        <v/>
      </c>
      <c r="I114" s="23" t="str">
        <f t="shared" si="29"/>
        <v/>
      </c>
      <c r="J114" s="23">
        <f t="shared" si="30"/>
        <v>126.09</v>
      </c>
      <c r="K114" s="23">
        <f t="shared" si="31"/>
        <v>0</v>
      </c>
      <c r="L114" s="23">
        <f t="shared" si="32"/>
        <v>0</v>
      </c>
      <c r="M114" t="s">
        <v>352</v>
      </c>
      <c r="N114" s="7">
        <v>46203</v>
      </c>
      <c r="O114" t="s">
        <v>186</v>
      </c>
      <c r="P114" t="s">
        <v>858</v>
      </c>
      <c r="Q114">
        <v>2026</v>
      </c>
      <c r="R114" s="27" t="s">
        <v>859</v>
      </c>
      <c r="S114" s="27" t="s">
        <v>858</v>
      </c>
      <c r="T114" t="s">
        <v>860</v>
      </c>
      <c r="U114" t="s">
        <v>187</v>
      </c>
      <c r="V114" t="s">
        <v>188</v>
      </c>
      <c r="W114" t="s">
        <v>188</v>
      </c>
      <c r="X114">
        <v>49270</v>
      </c>
      <c r="Y114" t="s">
        <v>189</v>
      </c>
      <c r="Z114" t="s">
        <v>190</v>
      </c>
      <c r="AA114">
        <v>754</v>
      </c>
      <c r="AC114" s="7">
        <v>46190</v>
      </c>
      <c r="AD114">
        <v>21</v>
      </c>
      <c r="AE114" t="s">
        <v>191</v>
      </c>
      <c r="AF114" t="s">
        <v>858</v>
      </c>
      <c r="AG114" t="s">
        <v>192</v>
      </c>
      <c r="AH114">
        <v>21</v>
      </c>
      <c r="AI114" t="s">
        <v>193</v>
      </c>
      <c r="AJ114" s="7">
        <v>46195</v>
      </c>
      <c r="AK114" t="s">
        <v>861</v>
      </c>
      <c r="AL114" t="s">
        <v>858</v>
      </c>
      <c r="AM114" t="s">
        <v>192</v>
      </c>
      <c r="AN114">
        <v>49</v>
      </c>
      <c r="AO114" t="s">
        <v>341</v>
      </c>
      <c r="AR114">
        <v>2</v>
      </c>
      <c r="AS114">
        <v>2</v>
      </c>
      <c r="AT114">
        <v>314</v>
      </c>
      <c r="AU114">
        <v>314</v>
      </c>
      <c r="AV114">
        <v>0</v>
      </c>
      <c r="AW114" t="s">
        <v>201</v>
      </c>
      <c r="AX114">
        <v>2</v>
      </c>
      <c r="AY114">
        <v>0</v>
      </c>
      <c r="BE114" t="s">
        <v>195</v>
      </c>
      <c r="BF114" t="s">
        <v>196</v>
      </c>
      <c r="BG114" t="s">
        <v>197</v>
      </c>
      <c r="BM114">
        <v>123.94</v>
      </c>
      <c r="BN114" s="23">
        <v>126.09</v>
      </c>
      <c r="BQ114" t="s">
        <v>198</v>
      </c>
      <c r="DK114">
        <v>2</v>
      </c>
      <c r="GM114">
        <v>0.15</v>
      </c>
    </row>
    <row r="115" spans="2:195" x14ac:dyDescent="0.35">
      <c r="B115" s="23" t="str">
        <f t="shared" si="22"/>
        <v>EXP20260617-2803080</v>
      </c>
      <c r="C115" s="23">
        <f t="shared" si="23"/>
        <v>161.72999999999999</v>
      </c>
      <c r="D115" s="23">
        <f t="shared" si="24"/>
        <v>161.72999999999999</v>
      </c>
      <c r="E115" s="23" t="str">
        <f t="shared" si="25"/>
        <v/>
      </c>
      <c r="F115" s="23" t="str">
        <f t="shared" si="26"/>
        <v/>
      </c>
      <c r="G115" s="23" t="str">
        <f t="shared" si="27"/>
        <v/>
      </c>
      <c r="H115" s="23" t="str">
        <f t="shared" si="28"/>
        <v/>
      </c>
      <c r="I115" s="23" t="str">
        <f t="shared" si="29"/>
        <v/>
      </c>
      <c r="J115" s="23">
        <f t="shared" si="30"/>
        <v>161.72999999999999</v>
      </c>
      <c r="K115" s="23">
        <f t="shared" si="31"/>
        <v>0</v>
      </c>
      <c r="L115" s="23">
        <f t="shared" si="32"/>
        <v>0</v>
      </c>
      <c r="M115" t="s">
        <v>352</v>
      </c>
      <c r="N115" s="7">
        <v>46203</v>
      </c>
      <c r="O115" t="s">
        <v>186</v>
      </c>
      <c r="P115" t="s">
        <v>862</v>
      </c>
      <c r="Q115">
        <v>2026</v>
      </c>
      <c r="R115" s="27" t="s">
        <v>863</v>
      </c>
      <c r="S115" s="27" t="s">
        <v>862</v>
      </c>
      <c r="T115" t="s">
        <v>864</v>
      </c>
      <c r="U115" t="s">
        <v>187</v>
      </c>
      <c r="V115" t="s">
        <v>188</v>
      </c>
      <c r="W115" t="s">
        <v>188</v>
      </c>
      <c r="X115">
        <v>33350</v>
      </c>
      <c r="Y115" t="s">
        <v>189</v>
      </c>
      <c r="Z115" t="s">
        <v>190</v>
      </c>
      <c r="AA115">
        <v>713</v>
      </c>
      <c r="AC115" s="7">
        <v>46190</v>
      </c>
      <c r="AD115">
        <v>21</v>
      </c>
      <c r="AE115" t="s">
        <v>191</v>
      </c>
      <c r="AF115" t="s">
        <v>862</v>
      </c>
      <c r="AG115" t="s">
        <v>192</v>
      </c>
      <c r="AH115">
        <v>21</v>
      </c>
      <c r="AI115" t="s">
        <v>193</v>
      </c>
      <c r="AJ115" s="7">
        <v>46196</v>
      </c>
      <c r="AK115" t="s">
        <v>308</v>
      </c>
      <c r="AL115" t="s">
        <v>862</v>
      </c>
      <c r="AM115" t="s">
        <v>192</v>
      </c>
      <c r="AN115">
        <v>33</v>
      </c>
      <c r="AO115" t="s">
        <v>309</v>
      </c>
      <c r="AR115">
        <v>2</v>
      </c>
      <c r="AS115">
        <v>2</v>
      </c>
      <c r="AT115">
        <v>168</v>
      </c>
      <c r="AU115">
        <v>168</v>
      </c>
      <c r="AV115">
        <v>0</v>
      </c>
      <c r="AW115" t="s">
        <v>201</v>
      </c>
      <c r="AX115">
        <v>2</v>
      </c>
      <c r="AY115">
        <v>0</v>
      </c>
      <c r="BE115" t="s">
        <v>195</v>
      </c>
      <c r="BF115" t="s">
        <v>196</v>
      </c>
      <c r="BG115" t="s">
        <v>197</v>
      </c>
      <c r="BM115">
        <v>127.66</v>
      </c>
      <c r="BN115" s="23">
        <v>161.72999999999999</v>
      </c>
      <c r="BQ115" t="s">
        <v>198</v>
      </c>
      <c r="DI115">
        <v>31.92</v>
      </c>
      <c r="DK115">
        <v>2</v>
      </c>
      <c r="GM115">
        <v>0.15</v>
      </c>
    </row>
    <row r="116" spans="2:195" x14ac:dyDescent="0.35">
      <c r="B116" s="23" t="str">
        <f t="shared" si="22"/>
        <v>EXP20260616-2801965</v>
      </c>
      <c r="C116" s="23">
        <f t="shared" si="23"/>
        <v>50.54</v>
      </c>
      <c r="D116" s="23">
        <f t="shared" si="24"/>
        <v>50.54</v>
      </c>
      <c r="E116" s="23" t="str">
        <f t="shared" si="25"/>
        <v/>
      </c>
      <c r="F116" s="23" t="str">
        <f t="shared" si="26"/>
        <v/>
      </c>
      <c r="G116" s="23" t="str">
        <f t="shared" si="27"/>
        <v/>
      </c>
      <c r="H116" s="23" t="str">
        <f t="shared" si="28"/>
        <v/>
      </c>
      <c r="I116" s="23" t="str">
        <f t="shared" si="29"/>
        <v/>
      </c>
      <c r="J116" s="23">
        <f t="shared" si="30"/>
        <v>50.54</v>
      </c>
      <c r="K116" s="23">
        <f t="shared" si="31"/>
        <v>0</v>
      </c>
      <c r="L116" s="23">
        <f t="shared" si="32"/>
        <v>0</v>
      </c>
      <c r="M116" t="s">
        <v>352</v>
      </c>
      <c r="N116" s="7">
        <v>46203</v>
      </c>
      <c r="O116" t="s">
        <v>186</v>
      </c>
      <c r="P116" t="s">
        <v>865</v>
      </c>
      <c r="Q116">
        <v>2026</v>
      </c>
      <c r="R116" s="27" t="s">
        <v>866</v>
      </c>
      <c r="S116" s="27" t="s">
        <v>865</v>
      </c>
      <c r="T116" t="s">
        <v>867</v>
      </c>
      <c r="U116" t="s">
        <v>187</v>
      </c>
      <c r="V116" t="s">
        <v>188</v>
      </c>
      <c r="W116" t="s">
        <v>188</v>
      </c>
      <c r="X116">
        <v>66000</v>
      </c>
      <c r="Y116" t="s">
        <v>189</v>
      </c>
      <c r="Z116" t="s">
        <v>190</v>
      </c>
      <c r="AA116">
        <v>685</v>
      </c>
      <c r="AC116" s="7">
        <v>46190</v>
      </c>
      <c r="AD116">
        <v>21</v>
      </c>
      <c r="AE116" t="s">
        <v>191</v>
      </c>
      <c r="AF116" t="s">
        <v>865</v>
      </c>
      <c r="AG116" t="s">
        <v>192</v>
      </c>
      <c r="AH116">
        <v>21</v>
      </c>
      <c r="AI116" t="s">
        <v>193</v>
      </c>
      <c r="AJ116" s="7">
        <v>46195</v>
      </c>
      <c r="AK116" t="s">
        <v>868</v>
      </c>
      <c r="AL116" t="s">
        <v>865</v>
      </c>
      <c r="AM116" t="s">
        <v>192</v>
      </c>
      <c r="AN116">
        <v>66</v>
      </c>
      <c r="AO116" t="s">
        <v>299</v>
      </c>
      <c r="AP116" t="s">
        <v>214</v>
      </c>
      <c r="AR116">
        <v>1</v>
      </c>
      <c r="AS116">
        <v>1</v>
      </c>
      <c r="AT116">
        <v>59</v>
      </c>
      <c r="AU116">
        <v>59</v>
      </c>
      <c r="AV116">
        <v>0</v>
      </c>
      <c r="AW116" t="s">
        <v>194</v>
      </c>
      <c r="AX116">
        <v>59</v>
      </c>
      <c r="AY116">
        <v>0</v>
      </c>
      <c r="BE116" t="s">
        <v>195</v>
      </c>
      <c r="BF116" t="s">
        <v>196</v>
      </c>
      <c r="BG116" t="s">
        <v>197</v>
      </c>
      <c r="BM116">
        <v>38.71</v>
      </c>
      <c r="BN116" s="23">
        <v>50.54</v>
      </c>
      <c r="BQ116" t="s">
        <v>198</v>
      </c>
      <c r="DI116">
        <v>9.68</v>
      </c>
      <c r="DK116">
        <v>2</v>
      </c>
      <c r="GM116">
        <v>0.15</v>
      </c>
    </row>
    <row r="117" spans="2:195" x14ac:dyDescent="0.35">
      <c r="B117" s="23" t="str">
        <f t="shared" si="22"/>
        <v>EXP20260616-2802411</v>
      </c>
      <c r="C117" s="23">
        <f t="shared" si="23"/>
        <v>42.78</v>
      </c>
      <c r="D117" s="23">
        <f t="shared" si="24"/>
        <v>42.78</v>
      </c>
      <c r="E117" s="23" t="str">
        <f t="shared" si="25"/>
        <v/>
      </c>
      <c r="F117" s="23" t="str">
        <f t="shared" si="26"/>
        <v/>
      </c>
      <c r="G117" s="23" t="str">
        <f t="shared" si="27"/>
        <v/>
      </c>
      <c r="H117" s="23" t="str">
        <f t="shared" si="28"/>
        <v/>
      </c>
      <c r="I117" s="23" t="str">
        <f t="shared" si="29"/>
        <v/>
      </c>
      <c r="J117" s="23">
        <f t="shared" si="30"/>
        <v>42.78</v>
      </c>
      <c r="K117" s="23">
        <f t="shared" si="31"/>
        <v>0</v>
      </c>
      <c r="L117" s="23">
        <f t="shared" si="32"/>
        <v>0</v>
      </c>
      <c r="M117" t="s">
        <v>352</v>
      </c>
      <c r="N117" s="7">
        <v>46203</v>
      </c>
      <c r="O117" t="s">
        <v>186</v>
      </c>
      <c r="P117" t="s">
        <v>869</v>
      </c>
      <c r="Q117">
        <v>2026</v>
      </c>
      <c r="R117" s="27" t="s">
        <v>870</v>
      </c>
      <c r="S117" s="27" t="s">
        <v>869</v>
      </c>
      <c r="T117" t="s">
        <v>871</v>
      </c>
      <c r="U117" t="s">
        <v>187</v>
      </c>
      <c r="V117" t="s">
        <v>188</v>
      </c>
      <c r="W117" t="s">
        <v>188</v>
      </c>
      <c r="X117">
        <v>34290</v>
      </c>
      <c r="Y117" t="s">
        <v>189</v>
      </c>
      <c r="Z117" t="s">
        <v>190</v>
      </c>
      <c r="AA117">
        <v>695</v>
      </c>
      <c r="AC117" s="7">
        <v>46190</v>
      </c>
      <c r="AD117">
        <v>21</v>
      </c>
      <c r="AE117" t="s">
        <v>191</v>
      </c>
      <c r="AF117" t="s">
        <v>869</v>
      </c>
      <c r="AG117" t="s">
        <v>192</v>
      </c>
      <c r="AH117">
        <v>21</v>
      </c>
      <c r="AI117" t="s">
        <v>193</v>
      </c>
      <c r="AJ117" s="7">
        <v>46192</v>
      </c>
      <c r="AK117" t="s">
        <v>872</v>
      </c>
      <c r="AL117" t="s">
        <v>869</v>
      </c>
      <c r="AM117" t="s">
        <v>192</v>
      </c>
      <c r="AN117">
        <v>34</v>
      </c>
      <c r="AO117" t="s">
        <v>873</v>
      </c>
      <c r="AR117">
        <v>1</v>
      </c>
      <c r="AS117">
        <v>1</v>
      </c>
      <c r="AT117">
        <v>34</v>
      </c>
      <c r="AU117">
        <v>34</v>
      </c>
      <c r="AV117">
        <v>0</v>
      </c>
      <c r="AW117" t="s">
        <v>194</v>
      </c>
      <c r="AX117">
        <v>34</v>
      </c>
      <c r="AY117">
        <v>0</v>
      </c>
      <c r="BE117" t="s">
        <v>195</v>
      </c>
      <c r="BF117" t="s">
        <v>196</v>
      </c>
      <c r="BG117" t="s">
        <v>197</v>
      </c>
      <c r="BM117">
        <v>32.5</v>
      </c>
      <c r="BN117" s="23">
        <v>42.78</v>
      </c>
      <c r="BQ117" t="s">
        <v>198</v>
      </c>
      <c r="DI117">
        <v>8.1300000000000008</v>
      </c>
      <c r="DK117">
        <v>2</v>
      </c>
      <c r="GM117">
        <v>0.15</v>
      </c>
    </row>
    <row r="118" spans="2:195" x14ac:dyDescent="0.35">
      <c r="B118" s="23" t="str">
        <f t="shared" si="22"/>
        <v>EXP20260617-2803169</v>
      </c>
      <c r="C118" s="23">
        <f t="shared" si="23"/>
        <v>30.18</v>
      </c>
      <c r="D118" s="23">
        <f t="shared" si="24"/>
        <v>30.18</v>
      </c>
      <c r="E118" s="23" t="str">
        <f t="shared" si="25"/>
        <v/>
      </c>
      <c r="F118" s="23" t="str">
        <f t="shared" si="26"/>
        <v/>
      </c>
      <c r="G118" s="23" t="str">
        <f t="shared" si="27"/>
        <v/>
      </c>
      <c r="H118" s="23" t="str">
        <f t="shared" si="28"/>
        <v/>
      </c>
      <c r="I118" s="23" t="str">
        <f t="shared" si="29"/>
        <v/>
      </c>
      <c r="J118" s="23">
        <f t="shared" si="30"/>
        <v>30.18</v>
      </c>
      <c r="K118" s="23">
        <f t="shared" si="31"/>
        <v>0</v>
      </c>
      <c r="L118" s="23">
        <f t="shared" si="32"/>
        <v>0</v>
      </c>
      <c r="M118" t="s">
        <v>352</v>
      </c>
      <c r="N118" s="7">
        <v>46203</v>
      </c>
      <c r="O118" t="s">
        <v>186</v>
      </c>
      <c r="P118" t="s">
        <v>874</v>
      </c>
      <c r="Q118">
        <v>2026</v>
      </c>
      <c r="R118" s="27" t="s">
        <v>875</v>
      </c>
      <c r="S118" s="27" t="s">
        <v>874</v>
      </c>
      <c r="T118" t="s">
        <v>876</v>
      </c>
      <c r="U118" t="s">
        <v>187</v>
      </c>
      <c r="V118" t="s">
        <v>188</v>
      </c>
      <c r="W118" t="s">
        <v>188</v>
      </c>
      <c r="X118">
        <v>47200</v>
      </c>
      <c r="Y118" t="s">
        <v>189</v>
      </c>
      <c r="Z118" t="s">
        <v>190</v>
      </c>
      <c r="AA118">
        <v>828</v>
      </c>
      <c r="AC118" s="7">
        <v>46190</v>
      </c>
      <c r="AD118">
        <v>21</v>
      </c>
      <c r="AE118" t="s">
        <v>191</v>
      </c>
      <c r="AF118" t="s">
        <v>874</v>
      </c>
      <c r="AG118" t="s">
        <v>192</v>
      </c>
      <c r="AH118">
        <v>21</v>
      </c>
      <c r="AI118" t="s">
        <v>193</v>
      </c>
      <c r="AJ118" s="7">
        <v>46195</v>
      </c>
      <c r="AK118" t="s">
        <v>877</v>
      </c>
      <c r="AL118" t="s">
        <v>874</v>
      </c>
      <c r="AM118" t="s">
        <v>192</v>
      </c>
      <c r="AN118">
        <v>47</v>
      </c>
      <c r="AO118" t="s">
        <v>878</v>
      </c>
      <c r="AR118">
        <v>1</v>
      </c>
      <c r="AS118">
        <v>1</v>
      </c>
      <c r="AT118">
        <v>18</v>
      </c>
      <c r="AU118">
        <v>18</v>
      </c>
      <c r="AV118">
        <v>0</v>
      </c>
      <c r="AW118" t="s">
        <v>194</v>
      </c>
      <c r="AX118">
        <v>18</v>
      </c>
      <c r="AY118">
        <v>0</v>
      </c>
      <c r="BE118" t="s">
        <v>195</v>
      </c>
      <c r="BF118" t="s">
        <v>196</v>
      </c>
      <c r="BG118" t="s">
        <v>197</v>
      </c>
      <c r="BM118">
        <v>28.03</v>
      </c>
      <c r="BN118" s="23">
        <v>30.18</v>
      </c>
      <c r="BQ118" t="s">
        <v>198</v>
      </c>
      <c r="DK118">
        <v>2</v>
      </c>
      <c r="GM118">
        <v>0.15</v>
      </c>
    </row>
    <row r="119" spans="2:195" x14ac:dyDescent="0.35">
      <c r="B119" s="23" t="str">
        <f t="shared" si="22"/>
        <v>EXP20260616-2801910</v>
      </c>
      <c r="C119" s="23">
        <f t="shared" si="23"/>
        <v>66.19</v>
      </c>
      <c r="D119" s="23">
        <f t="shared" si="24"/>
        <v>66.19</v>
      </c>
      <c r="E119" s="23" t="str">
        <f t="shared" si="25"/>
        <v/>
      </c>
      <c r="F119" s="23" t="str">
        <f t="shared" si="26"/>
        <v/>
      </c>
      <c r="G119" s="23" t="str">
        <f t="shared" si="27"/>
        <v/>
      </c>
      <c r="H119" s="23" t="str">
        <f t="shared" si="28"/>
        <v/>
      </c>
      <c r="I119" s="23" t="str">
        <f t="shared" si="29"/>
        <v/>
      </c>
      <c r="J119" s="23">
        <f t="shared" si="30"/>
        <v>66.19</v>
      </c>
      <c r="K119" s="23">
        <f t="shared" si="31"/>
        <v>0</v>
      </c>
      <c r="L119" s="23">
        <f t="shared" si="32"/>
        <v>0</v>
      </c>
      <c r="M119" t="s">
        <v>352</v>
      </c>
      <c r="N119" s="7">
        <v>46203</v>
      </c>
      <c r="O119" t="s">
        <v>186</v>
      </c>
      <c r="P119" t="s">
        <v>879</v>
      </c>
      <c r="Q119">
        <v>2026</v>
      </c>
      <c r="R119" s="27" t="s">
        <v>880</v>
      </c>
      <c r="S119" s="27" t="s">
        <v>879</v>
      </c>
      <c r="T119" t="s">
        <v>881</v>
      </c>
      <c r="U119" t="s">
        <v>187</v>
      </c>
      <c r="V119" t="s">
        <v>188</v>
      </c>
      <c r="W119" t="s">
        <v>188</v>
      </c>
      <c r="X119">
        <v>13530</v>
      </c>
      <c r="Y119" t="s">
        <v>189</v>
      </c>
      <c r="Z119" t="s">
        <v>190</v>
      </c>
      <c r="AA119">
        <v>540</v>
      </c>
      <c r="AC119" s="7">
        <v>46190</v>
      </c>
      <c r="AD119">
        <v>21</v>
      </c>
      <c r="AE119" t="s">
        <v>191</v>
      </c>
      <c r="AF119" t="s">
        <v>879</v>
      </c>
      <c r="AG119" t="s">
        <v>192</v>
      </c>
      <c r="AH119">
        <v>21</v>
      </c>
      <c r="AI119" t="s">
        <v>193</v>
      </c>
      <c r="AJ119" s="7">
        <v>46196</v>
      </c>
      <c r="AK119" t="s">
        <v>882</v>
      </c>
      <c r="AL119" t="s">
        <v>879</v>
      </c>
      <c r="AM119" t="s">
        <v>192</v>
      </c>
      <c r="AN119">
        <v>13</v>
      </c>
      <c r="AO119" t="s">
        <v>883</v>
      </c>
      <c r="AP119" t="s">
        <v>214</v>
      </c>
      <c r="AQ119" t="s">
        <v>199</v>
      </c>
      <c r="AR119">
        <v>1</v>
      </c>
      <c r="AS119">
        <v>1</v>
      </c>
      <c r="AT119">
        <v>124</v>
      </c>
      <c r="AU119">
        <v>124</v>
      </c>
      <c r="AV119">
        <v>0</v>
      </c>
      <c r="AW119" t="s">
        <v>194</v>
      </c>
      <c r="AX119">
        <v>124</v>
      </c>
      <c r="AY119">
        <v>0</v>
      </c>
      <c r="BE119" t="s">
        <v>195</v>
      </c>
      <c r="BF119" t="s">
        <v>196</v>
      </c>
      <c r="BG119" t="s">
        <v>197</v>
      </c>
      <c r="BM119">
        <v>51.23</v>
      </c>
      <c r="BN119" s="23">
        <v>66.19</v>
      </c>
      <c r="BQ119" t="s">
        <v>198</v>
      </c>
      <c r="DI119">
        <v>12.81</v>
      </c>
      <c r="DK119">
        <v>2</v>
      </c>
      <c r="GM119">
        <v>0.15</v>
      </c>
    </row>
    <row r="120" spans="2:195" x14ac:dyDescent="0.35">
      <c r="B120" s="23" t="str">
        <f t="shared" si="22"/>
        <v>EXP20260616-2801911</v>
      </c>
      <c r="C120" s="23">
        <f t="shared" si="23"/>
        <v>28.34</v>
      </c>
      <c r="D120" s="23">
        <f t="shared" si="24"/>
        <v>28.34</v>
      </c>
      <c r="E120" s="23" t="str">
        <f t="shared" si="25"/>
        <v/>
      </c>
      <c r="F120" s="23" t="str">
        <f t="shared" si="26"/>
        <v/>
      </c>
      <c r="G120" s="23" t="str">
        <f t="shared" si="27"/>
        <v/>
      </c>
      <c r="H120" s="23" t="str">
        <f t="shared" si="28"/>
        <v/>
      </c>
      <c r="I120" s="23" t="str">
        <f t="shared" si="29"/>
        <v/>
      </c>
      <c r="J120" s="23">
        <f t="shared" si="30"/>
        <v>28.34</v>
      </c>
      <c r="K120" s="23">
        <f t="shared" si="31"/>
        <v>0</v>
      </c>
      <c r="L120" s="23">
        <f t="shared" si="32"/>
        <v>0</v>
      </c>
      <c r="M120" t="s">
        <v>352</v>
      </c>
      <c r="N120" s="7">
        <v>46203</v>
      </c>
      <c r="O120" t="s">
        <v>186</v>
      </c>
      <c r="P120" t="s">
        <v>884</v>
      </c>
      <c r="Q120">
        <v>2026</v>
      </c>
      <c r="R120" s="27" t="s">
        <v>885</v>
      </c>
      <c r="S120" s="27" t="s">
        <v>884</v>
      </c>
      <c r="T120" t="s">
        <v>886</v>
      </c>
      <c r="U120" t="s">
        <v>187</v>
      </c>
      <c r="V120" t="s">
        <v>188</v>
      </c>
      <c r="W120" t="s">
        <v>188</v>
      </c>
      <c r="X120">
        <v>69420</v>
      </c>
      <c r="Y120" t="s">
        <v>189</v>
      </c>
      <c r="Z120" t="s">
        <v>190</v>
      </c>
      <c r="AA120">
        <v>230</v>
      </c>
      <c r="AC120" s="7">
        <v>46190</v>
      </c>
      <c r="AD120">
        <v>21</v>
      </c>
      <c r="AE120" t="s">
        <v>191</v>
      </c>
      <c r="AF120" t="s">
        <v>884</v>
      </c>
      <c r="AG120" t="s">
        <v>192</v>
      </c>
      <c r="AH120">
        <v>21</v>
      </c>
      <c r="AI120" t="s">
        <v>193</v>
      </c>
      <c r="AJ120" s="7">
        <v>46195</v>
      </c>
      <c r="AK120" t="s">
        <v>887</v>
      </c>
      <c r="AL120" t="s">
        <v>884</v>
      </c>
      <c r="AM120" t="s">
        <v>192</v>
      </c>
      <c r="AN120">
        <v>69</v>
      </c>
      <c r="AO120" t="s">
        <v>738</v>
      </c>
      <c r="AR120">
        <v>1</v>
      </c>
      <c r="AS120">
        <v>1</v>
      </c>
      <c r="AT120">
        <v>55</v>
      </c>
      <c r="AU120">
        <v>55</v>
      </c>
      <c r="AV120">
        <v>0</v>
      </c>
      <c r="AW120" t="s">
        <v>194</v>
      </c>
      <c r="AX120">
        <v>55</v>
      </c>
      <c r="AY120">
        <v>0</v>
      </c>
      <c r="BE120" t="s">
        <v>195</v>
      </c>
      <c r="BF120" t="s">
        <v>196</v>
      </c>
      <c r="BG120" t="s">
        <v>197</v>
      </c>
      <c r="BM120">
        <v>26.19</v>
      </c>
      <c r="BN120" s="23">
        <v>28.34</v>
      </c>
      <c r="BQ120" t="s">
        <v>198</v>
      </c>
      <c r="DK120">
        <v>2</v>
      </c>
      <c r="GM120">
        <v>0.15</v>
      </c>
    </row>
    <row r="121" spans="2:195" x14ac:dyDescent="0.35">
      <c r="B121" s="23" t="str">
        <f t="shared" si="22"/>
        <v>EXP20260616-2800852</v>
      </c>
      <c r="C121" s="23">
        <f t="shared" si="23"/>
        <v>134.22</v>
      </c>
      <c r="D121" s="23">
        <f t="shared" si="24"/>
        <v>134.22</v>
      </c>
      <c r="E121" s="23" t="str">
        <f t="shared" si="25"/>
        <v/>
      </c>
      <c r="F121" s="23" t="str">
        <f t="shared" si="26"/>
        <v/>
      </c>
      <c r="G121" s="23" t="str">
        <f t="shared" si="27"/>
        <v/>
      </c>
      <c r="H121" s="23" t="str">
        <f t="shared" si="28"/>
        <v/>
      </c>
      <c r="I121" s="23" t="str">
        <f t="shared" si="29"/>
        <v/>
      </c>
      <c r="J121" s="23">
        <f t="shared" si="30"/>
        <v>134.22</v>
      </c>
      <c r="K121" s="23">
        <f t="shared" si="31"/>
        <v>0</v>
      </c>
      <c r="L121" s="23">
        <f t="shared" si="32"/>
        <v>0</v>
      </c>
      <c r="M121" t="s">
        <v>352</v>
      </c>
      <c r="N121" s="7">
        <v>46203</v>
      </c>
      <c r="O121" t="s">
        <v>186</v>
      </c>
      <c r="P121" t="s">
        <v>888</v>
      </c>
      <c r="Q121">
        <v>2026</v>
      </c>
      <c r="R121" s="27" t="s">
        <v>889</v>
      </c>
      <c r="S121" s="27" t="s">
        <v>888</v>
      </c>
      <c r="T121" t="s">
        <v>890</v>
      </c>
      <c r="U121" t="s">
        <v>187</v>
      </c>
      <c r="V121" t="s">
        <v>188</v>
      </c>
      <c r="W121" t="s">
        <v>188</v>
      </c>
      <c r="X121">
        <v>26600</v>
      </c>
      <c r="Y121" t="s">
        <v>189</v>
      </c>
      <c r="Z121" t="s">
        <v>190</v>
      </c>
      <c r="AA121">
        <v>348</v>
      </c>
      <c r="AC121" s="7">
        <v>46190</v>
      </c>
      <c r="AD121">
        <v>21</v>
      </c>
      <c r="AE121" t="s">
        <v>191</v>
      </c>
      <c r="AF121" t="s">
        <v>888</v>
      </c>
      <c r="AG121" t="s">
        <v>192</v>
      </c>
      <c r="AH121">
        <v>21</v>
      </c>
      <c r="AI121" t="s">
        <v>193</v>
      </c>
      <c r="AJ121" s="7">
        <v>46192</v>
      </c>
      <c r="AK121" t="s">
        <v>891</v>
      </c>
      <c r="AL121" t="s">
        <v>888</v>
      </c>
      <c r="AM121" t="s">
        <v>192</v>
      </c>
      <c r="AN121">
        <v>26</v>
      </c>
      <c r="AO121" t="s">
        <v>892</v>
      </c>
      <c r="AP121" t="s">
        <v>214</v>
      </c>
      <c r="AR121">
        <v>3</v>
      </c>
      <c r="AS121">
        <v>3</v>
      </c>
      <c r="AT121">
        <v>304</v>
      </c>
      <c r="AU121">
        <v>304</v>
      </c>
      <c r="AV121">
        <v>0</v>
      </c>
      <c r="AW121" t="s">
        <v>201</v>
      </c>
      <c r="AX121">
        <v>3</v>
      </c>
      <c r="AY121">
        <v>0</v>
      </c>
      <c r="BE121" t="s">
        <v>195</v>
      </c>
      <c r="BF121" t="s">
        <v>196</v>
      </c>
      <c r="BG121" t="s">
        <v>197</v>
      </c>
      <c r="BM121">
        <v>132.07</v>
      </c>
      <c r="BN121" s="23">
        <v>134.22</v>
      </c>
      <c r="BQ121" t="s">
        <v>198</v>
      </c>
      <c r="DK121">
        <v>2</v>
      </c>
      <c r="GM121">
        <v>0.15</v>
      </c>
    </row>
    <row r="122" spans="2:195" x14ac:dyDescent="0.35">
      <c r="B122" s="23" t="str">
        <f t="shared" si="22"/>
        <v>EXP20260615-2799936</v>
      </c>
      <c r="C122" s="23">
        <f t="shared" si="23"/>
        <v>23.36</v>
      </c>
      <c r="D122" s="23">
        <f t="shared" si="24"/>
        <v>23.36</v>
      </c>
      <c r="E122" s="23" t="str">
        <f t="shared" si="25"/>
        <v/>
      </c>
      <c r="F122" s="23" t="str">
        <f t="shared" si="26"/>
        <v/>
      </c>
      <c r="G122" s="23" t="str">
        <f t="shared" si="27"/>
        <v/>
      </c>
      <c r="H122" s="23" t="str">
        <f t="shared" si="28"/>
        <v/>
      </c>
      <c r="I122" s="23" t="str">
        <f t="shared" si="29"/>
        <v/>
      </c>
      <c r="J122" s="23">
        <f t="shared" si="30"/>
        <v>23.36</v>
      </c>
      <c r="K122" s="23">
        <f t="shared" si="31"/>
        <v>0</v>
      </c>
      <c r="L122" s="23">
        <f t="shared" si="32"/>
        <v>0</v>
      </c>
      <c r="M122" t="s">
        <v>352</v>
      </c>
      <c r="N122" s="7">
        <v>46203</v>
      </c>
      <c r="O122" t="s">
        <v>186</v>
      </c>
      <c r="P122" t="s">
        <v>893</v>
      </c>
      <c r="Q122">
        <v>2026</v>
      </c>
      <c r="R122" s="27" t="s">
        <v>894</v>
      </c>
      <c r="S122" s="27" t="s">
        <v>893</v>
      </c>
      <c r="T122" t="s">
        <v>895</v>
      </c>
      <c r="U122" t="s">
        <v>187</v>
      </c>
      <c r="V122" t="s">
        <v>188</v>
      </c>
      <c r="W122" t="s">
        <v>188</v>
      </c>
      <c r="X122">
        <v>21200</v>
      </c>
      <c r="Y122" t="s">
        <v>189</v>
      </c>
      <c r="Z122" t="s">
        <v>190</v>
      </c>
      <c r="AA122">
        <v>81</v>
      </c>
      <c r="AC122" s="7">
        <v>46190</v>
      </c>
      <c r="AD122">
        <v>21</v>
      </c>
      <c r="AE122" t="s">
        <v>191</v>
      </c>
      <c r="AF122" t="s">
        <v>893</v>
      </c>
      <c r="AG122" t="s">
        <v>192</v>
      </c>
      <c r="AH122">
        <v>21</v>
      </c>
      <c r="AI122" t="s">
        <v>193</v>
      </c>
      <c r="AJ122" s="7">
        <v>46192</v>
      </c>
      <c r="AK122" t="s">
        <v>896</v>
      </c>
      <c r="AL122" t="s">
        <v>893</v>
      </c>
      <c r="AM122" t="s">
        <v>192</v>
      </c>
      <c r="AN122">
        <v>21</v>
      </c>
      <c r="AO122" t="s">
        <v>686</v>
      </c>
      <c r="AR122">
        <v>1</v>
      </c>
      <c r="AS122">
        <v>1</v>
      </c>
      <c r="AT122">
        <v>48</v>
      </c>
      <c r="AU122">
        <v>48</v>
      </c>
      <c r="AV122">
        <v>0</v>
      </c>
      <c r="AW122" t="s">
        <v>194</v>
      </c>
      <c r="AX122">
        <v>48</v>
      </c>
      <c r="AY122">
        <v>0</v>
      </c>
      <c r="BE122" t="s">
        <v>195</v>
      </c>
      <c r="BF122" t="s">
        <v>196</v>
      </c>
      <c r="BG122" t="s">
        <v>197</v>
      </c>
      <c r="BM122">
        <v>21.21</v>
      </c>
      <c r="BN122" s="23">
        <v>23.36</v>
      </c>
      <c r="BQ122" t="s">
        <v>198</v>
      </c>
      <c r="DK122">
        <v>2</v>
      </c>
      <c r="GM122">
        <v>0.15</v>
      </c>
    </row>
    <row r="123" spans="2:195" x14ac:dyDescent="0.35">
      <c r="B123" s="23" t="str">
        <f t="shared" si="22"/>
        <v>EXP20260616-2801321</v>
      </c>
      <c r="C123" s="23">
        <f t="shared" si="23"/>
        <v>73.210000000000008</v>
      </c>
      <c r="D123" s="23">
        <f t="shared" si="24"/>
        <v>73.210000000000008</v>
      </c>
      <c r="E123" s="23" t="str">
        <f t="shared" si="25"/>
        <v/>
      </c>
      <c r="F123" s="23" t="str">
        <f t="shared" si="26"/>
        <v/>
      </c>
      <c r="G123" s="23" t="str">
        <f t="shared" si="27"/>
        <v/>
      </c>
      <c r="H123" s="23" t="str">
        <f t="shared" si="28"/>
        <v/>
      </c>
      <c r="I123" s="23" t="str">
        <f t="shared" si="29"/>
        <v/>
      </c>
      <c r="J123" s="23">
        <f t="shared" si="30"/>
        <v>73.210000000000008</v>
      </c>
      <c r="K123" s="23">
        <f t="shared" si="31"/>
        <v>0</v>
      </c>
      <c r="L123" s="23">
        <f t="shared" si="32"/>
        <v>0</v>
      </c>
      <c r="M123" t="s">
        <v>352</v>
      </c>
      <c r="N123" s="7">
        <v>46203</v>
      </c>
      <c r="O123" t="s">
        <v>186</v>
      </c>
      <c r="P123" t="s">
        <v>897</v>
      </c>
      <c r="Q123">
        <v>2026</v>
      </c>
      <c r="R123" s="27" t="s">
        <v>898</v>
      </c>
      <c r="S123" s="27" t="s">
        <v>897</v>
      </c>
      <c r="T123" t="s">
        <v>899</v>
      </c>
      <c r="U123" t="s">
        <v>187</v>
      </c>
      <c r="V123" t="s">
        <v>188</v>
      </c>
      <c r="W123" t="s">
        <v>188</v>
      </c>
      <c r="X123">
        <v>17260</v>
      </c>
      <c r="Y123" t="s">
        <v>189</v>
      </c>
      <c r="Z123" t="s">
        <v>190</v>
      </c>
      <c r="AA123">
        <v>879</v>
      </c>
      <c r="AC123" s="7">
        <v>46190</v>
      </c>
      <c r="AD123">
        <v>21</v>
      </c>
      <c r="AE123" t="s">
        <v>191</v>
      </c>
      <c r="AF123" t="s">
        <v>897</v>
      </c>
      <c r="AG123" t="s">
        <v>192</v>
      </c>
      <c r="AH123">
        <v>21</v>
      </c>
      <c r="AI123" t="s">
        <v>193</v>
      </c>
      <c r="AJ123" s="7">
        <v>46195</v>
      </c>
      <c r="AK123" t="s">
        <v>900</v>
      </c>
      <c r="AL123" t="s">
        <v>897</v>
      </c>
      <c r="AM123" t="s">
        <v>192</v>
      </c>
      <c r="AN123">
        <v>17</v>
      </c>
      <c r="AO123" t="s">
        <v>901</v>
      </c>
      <c r="AR123">
        <v>1</v>
      </c>
      <c r="AS123">
        <v>1</v>
      </c>
      <c r="AT123">
        <v>124</v>
      </c>
      <c r="AU123">
        <v>124</v>
      </c>
      <c r="AV123">
        <v>0</v>
      </c>
      <c r="AW123" t="s">
        <v>194</v>
      </c>
      <c r="AX123">
        <v>124</v>
      </c>
      <c r="AY123">
        <v>0</v>
      </c>
      <c r="BE123" t="s">
        <v>195</v>
      </c>
      <c r="BF123" t="s">
        <v>196</v>
      </c>
      <c r="BG123" t="s">
        <v>197</v>
      </c>
      <c r="BM123">
        <v>56.85</v>
      </c>
      <c r="BN123" s="23">
        <v>73.209999999999994</v>
      </c>
      <c r="BQ123" t="s">
        <v>198</v>
      </c>
      <c r="DI123">
        <v>14.21</v>
      </c>
      <c r="DK123">
        <v>2</v>
      </c>
      <c r="GM123">
        <v>0.15</v>
      </c>
    </row>
    <row r="124" spans="2:195" x14ac:dyDescent="0.35">
      <c r="B124" s="23" t="str">
        <f t="shared" si="22"/>
        <v>EXP20260616-2801839</v>
      </c>
      <c r="C124" s="23">
        <f t="shared" si="23"/>
        <v>23.549999999999997</v>
      </c>
      <c r="D124" s="23">
        <f t="shared" si="24"/>
        <v>23.549999999999997</v>
      </c>
      <c r="E124" s="23" t="str">
        <f t="shared" si="25"/>
        <v/>
      </c>
      <c r="F124" s="23" t="str">
        <f t="shared" si="26"/>
        <v/>
      </c>
      <c r="G124" s="23" t="str">
        <f t="shared" si="27"/>
        <v/>
      </c>
      <c r="H124" s="23" t="str">
        <f t="shared" si="28"/>
        <v/>
      </c>
      <c r="I124" s="23" t="str">
        <f t="shared" si="29"/>
        <v/>
      </c>
      <c r="J124" s="23">
        <f t="shared" si="30"/>
        <v>23.549999999999997</v>
      </c>
      <c r="K124" s="23">
        <f t="shared" si="31"/>
        <v>0</v>
      </c>
      <c r="L124" s="23">
        <f t="shared" si="32"/>
        <v>0</v>
      </c>
      <c r="M124" t="s">
        <v>352</v>
      </c>
      <c r="N124" s="7">
        <v>46203</v>
      </c>
      <c r="O124" t="s">
        <v>186</v>
      </c>
      <c r="P124" t="s">
        <v>902</v>
      </c>
      <c r="Q124">
        <v>2026</v>
      </c>
      <c r="R124" s="27" t="s">
        <v>903</v>
      </c>
      <c r="S124" s="27" t="s">
        <v>902</v>
      </c>
      <c r="T124" t="s">
        <v>904</v>
      </c>
      <c r="U124" t="s">
        <v>187</v>
      </c>
      <c r="V124" t="s">
        <v>188</v>
      </c>
      <c r="W124" t="s">
        <v>188</v>
      </c>
      <c r="X124">
        <v>7230</v>
      </c>
      <c r="Y124" t="s">
        <v>189</v>
      </c>
      <c r="Z124" t="s">
        <v>190</v>
      </c>
      <c r="AA124">
        <v>418</v>
      </c>
      <c r="AC124" s="7">
        <v>46190</v>
      </c>
      <c r="AD124">
        <v>21</v>
      </c>
      <c r="AE124" t="s">
        <v>191</v>
      </c>
      <c r="AF124" t="s">
        <v>902</v>
      </c>
      <c r="AG124" t="s">
        <v>192</v>
      </c>
      <c r="AH124">
        <v>21</v>
      </c>
      <c r="AI124" t="s">
        <v>193</v>
      </c>
      <c r="AJ124" s="7"/>
      <c r="AK124" t="s">
        <v>905</v>
      </c>
      <c r="AL124" t="s">
        <v>902</v>
      </c>
      <c r="AM124" t="s">
        <v>192</v>
      </c>
      <c r="AN124">
        <v>7</v>
      </c>
      <c r="AO124" t="s">
        <v>906</v>
      </c>
      <c r="AR124">
        <v>1</v>
      </c>
      <c r="AS124">
        <v>1</v>
      </c>
      <c r="AT124">
        <v>18</v>
      </c>
      <c r="AU124">
        <v>18</v>
      </c>
      <c r="AV124">
        <v>0</v>
      </c>
      <c r="AW124" t="s">
        <v>194</v>
      </c>
      <c r="AX124">
        <v>18</v>
      </c>
      <c r="AY124">
        <v>0</v>
      </c>
      <c r="BE124" t="s">
        <v>195</v>
      </c>
      <c r="BF124" t="s">
        <v>196</v>
      </c>
      <c r="BG124" t="s">
        <v>197</v>
      </c>
      <c r="BM124">
        <v>21.4</v>
      </c>
      <c r="BN124" s="23">
        <v>23.55</v>
      </c>
      <c r="BQ124" t="s">
        <v>198</v>
      </c>
      <c r="DK124">
        <v>2</v>
      </c>
      <c r="GM124">
        <v>0.15</v>
      </c>
    </row>
    <row r="125" spans="2:195" x14ac:dyDescent="0.35">
      <c r="B125" s="23" t="str">
        <f t="shared" si="22"/>
        <v>EXP20260616-2802024</v>
      </c>
      <c r="C125" s="23">
        <f t="shared" si="23"/>
        <v>31.139999999999997</v>
      </c>
      <c r="D125" s="23">
        <f t="shared" si="24"/>
        <v>31.139999999999997</v>
      </c>
      <c r="E125" s="23" t="str">
        <f t="shared" si="25"/>
        <v/>
      </c>
      <c r="F125" s="23" t="str">
        <f t="shared" si="26"/>
        <v/>
      </c>
      <c r="G125" s="23" t="str">
        <f t="shared" si="27"/>
        <v/>
      </c>
      <c r="H125" s="23" t="str">
        <f t="shared" si="28"/>
        <v/>
      </c>
      <c r="I125" s="23" t="str">
        <f t="shared" si="29"/>
        <v/>
      </c>
      <c r="J125" s="23">
        <f t="shared" si="30"/>
        <v>31.139999999999997</v>
      </c>
      <c r="K125" s="23">
        <f t="shared" si="31"/>
        <v>0</v>
      </c>
      <c r="L125" s="23">
        <f t="shared" si="32"/>
        <v>0</v>
      </c>
      <c r="M125" t="s">
        <v>352</v>
      </c>
      <c r="N125" s="7">
        <v>46203</v>
      </c>
      <c r="O125" t="s">
        <v>186</v>
      </c>
      <c r="P125" t="s">
        <v>907</v>
      </c>
      <c r="Q125">
        <v>2026</v>
      </c>
      <c r="R125" s="27" t="s">
        <v>908</v>
      </c>
      <c r="S125" s="27" t="s">
        <v>907</v>
      </c>
      <c r="T125" t="s">
        <v>909</v>
      </c>
      <c r="U125" t="s">
        <v>187</v>
      </c>
      <c r="V125" t="s">
        <v>188</v>
      </c>
      <c r="W125" t="s">
        <v>188</v>
      </c>
      <c r="X125">
        <v>73800</v>
      </c>
      <c r="Y125" t="s">
        <v>189</v>
      </c>
      <c r="Z125" t="s">
        <v>190</v>
      </c>
      <c r="AA125">
        <v>370</v>
      </c>
      <c r="AC125" s="7">
        <v>46190</v>
      </c>
      <c r="AD125">
        <v>21</v>
      </c>
      <c r="AE125" t="s">
        <v>191</v>
      </c>
      <c r="AF125" t="s">
        <v>907</v>
      </c>
      <c r="AG125" t="s">
        <v>192</v>
      </c>
      <c r="AH125">
        <v>21</v>
      </c>
      <c r="AI125" t="s">
        <v>193</v>
      </c>
      <c r="AJ125" s="7">
        <v>46192</v>
      </c>
      <c r="AK125" t="s">
        <v>910</v>
      </c>
      <c r="AL125" t="s">
        <v>907</v>
      </c>
      <c r="AM125" t="s">
        <v>192</v>
      </c>
      <c r="AN125">
        <v>73</v>
      </c>
      <c r="AO125" t="s">
        <v>911</v>
      </c>
      <c r="AR125">
        <v>1</v>
      </c>
      <c r="AS125">
        <v>1</v>
      </c>
      <c r="AT125">
        <v>56</v>
      </c>
      <c r="AU125">
        <v>56</v>
      </c>
      <c r="AV125">
        <v>0</v>
      </c>
      <c r="AW125" t="s">
        <v>194</v>
      </c>
      <c r="AX125">
        <v>56</v>
      </c>
      <c r="AY125">
        <v>0</v>
      </c>
      <c r="BE125" t="s">
        <v>195</v>
      </c>
      <c r="BF125" t="s">
        <v>196</v>
      </c>
      <c r="BG125" t="s">
        <v>197</v>
      </c>
      <c r="BM125">
        <v>28.99</v>
      </c>
      <c r="BN125" s="23">
        <v>31.14</v>
      </c>
      <c r="BQ125" t="s">
        <v>198</v>
      </c>
      <c r="DK125">
        <v>2</v>
      </c>
      <c r="GM125">
        <v>0.15</v>
      </c>
    </row>
    <row r="126" spans="2:195" x14ac:dyDescent="0.35">
      <c r="B126" s="23" t="str">
        <f t="shared" si="22"/>
        <v>EXP20260617-2803213</v>
      </c>
      <c r="C126" s="23">
        <f t="shared" si="23"/>
        <v>37.549999999999997</v>
      </c>
      <c r="D126" s="23">
        <f t="shared" si="24"/>
        <v>37.549999999999997</v>
      </c>
      <c r="E126" s="23" t="str">
        <f t="shared" si="25"/>
        <v/>
      </c>
      <c r="F126" s="23" t="str">
        <f t="shared" si="26"/>
        <v/>
      </c>
      <c r="G126" s="23" t="str">
        <f t="shared" si="27"/>
        <v/>
      </c>
      <c r="H126" s="23" t="str">
        <f t="shared" si="28"/>
        <v/>
      </c>
      <c r="I126" s="23" t="str">
        <f t="shared" si="29"/>
        <v/>
      </c>
      <c r="J126" s="23">
        <f t="shared" si="30"/>
        <v>37.549999999999997</v>
      </c>
      <c r="K126" s="23">
        <f t="shared" si="31"/>
        <v>0</v>
      </c>
      <c r="L126" s="23">
        <f t="shared" si="32"/>
        <v>0</v>
      </c>
      <c r="M126" t="s">
        <v>352</v>
      </c>
      <c r="N126" s="7">
        <v>46203</v>
      </c>
      <c r="O126" t="s">
        <v>186</v>
      </c>
      <c r="P126" t="s">
        <v>912</v>
      </c>
      <c r="Q126">
        <v>2026</v>
      </c>
      <c r="R126" s="27" t="s">
        <v>913</v>
      </c>
      <c r="S126" s="27" t="s">
        <v>912</v>
      </c>
      <c r="T126" t="s">
        <v>914</v>
      </c>
      <c r="U126" t="s">
        <v>187</v>
      </c>
      <c r="V126" t="s">
        <v>188</v>
      </c>
      <c r="W126" t="s">
        <v>188</v>
      </c>
      <c r="X126">
        <v>24000</v>
      </c>
      <c r="Y126" t="s">
        <v>189</v>
      </c>
      <c r="Z126" t="s">
        <v>190</v>
      </c>
      <c r="AA126">
        <v>851</v>
      </c>
      <c r="AC126" s="7">
        <v>46190</v>
      </c>
      <c r="AD126">
        <v>21</v>
      </c>
      <c r="AE126" t="s">
        <v>191</v>
      </c>
      <c r="AF126" t="s">
        <v>912</v>
      </c>
      <c r="AG126" t="s">
        <v>192</v>
      </c>
      <c r="AH126">
        <v>21</v>
      </c>
      <c r="AI126" t="s">
        <v>193</v>
      </c>
      <c r="AJ126" s="7">
        <v>46192</v>
      </c>
      <c r="AK126" t="s">
        <v>915</v>
      </c>
      <c r="AL126" t="s">
        <v>912</v>
      </c>
      <c r="AM126" t="s">
        <v>192</v>
      </c>
      <c r="AN126">
        <v>24</v>
      </c>
      <c r="AO126" t="s">
        <v>916</v>
      </c>
      <c r="AR126">
        <v>1</v>
      </c>
      <c r="AS126">
        <v>1</v>
      </c>
      <c r="AT126">
        <v>56</v>
      </c>
      <c r="AU126">
        <v>56</v>
      </c>
      <c r="AV126">
        <v>0</v>
      </c>
      <c r="AW126" t="s">
        <v>194</v>
      </c>
      <c r="AX126">
        <v>56</v>
      </c>
      <c r="AY126">
        <v>0</v>
      </c>
      <c r="BE126" t="s">
        <v>195</v>
      </c>
      <c r="BF126" t="s">
        <v>196</v>
      </c>
      <c r="BG126" t="s">
        <v>197</v>
      </c>
      <c r="BM126">
        <v>35.4</v>
      </c>
      <c r="BN126" s="23">
        <v>37.549999999999997</v>
      </c>
      <c r="BQ126" t="s">
        <v>198</v>
      </c>
      <c r="DK126">
        <v>2</v>
      </c>
      <c r="GM126">
        <v>0.15</v>
      </c>
    </row>
    <row r="127" spans="2:195" x14ac:dyDescent="0.35">
      <c r="B127" s="23" t="str">
        <f t="shared" si="22"/>
        <v>26E005237558</v>
      </c>
      <c r="C127" s="23">
        <f t="shared" si="23"/>
        <v>124.23</v>
      </c>
      <c r="D127" s="23">
        <f t="shared" si="24"/>
        <v>124.23</v>
      </c>
      <c r="E127" s="23" t="str">
        <f t="shared" si="25"/>
        <v/>
      </c>
      <c r="F127" s="23" t="str">
        <f t="shared" si="26"/>
        <v/>
      </c>
      <c r="G127" s="23" t="str">
        <f t="shared" si="27"/>
        <v/>
      </c>
      <c r="H127" s="23" t="str">
        <f t="shared" si="28"/>
        <v/>
      </c>
      <c r="I127" s="23" t="str">
        <f t="shared" si="29"/>
        <v/>
      </c>
      <c r="J127" s="23">
        <f t="shared" si="30"/>
        <v>124.23</v>
      </c>
      <c r="K127" s="23">
        <f t="shared" si="31"/>
        <v>0</v>
      </c>
      <c r="L127" s="23">
        <f t="shared" si="32"/>
        <v>0</v>
      </c>
      <c r="M127" t="s">
        <v>352</v>
      </c>
      <c r="N127" s="7">
        <v>46203</v>
      </c>
      <c r="O127" t="s">
        <v>186</v>
      </c>
      <c r="P127" t="s">
        <v>448</v>
      </c>
      <c r="Q127">
        <v>2026</v>
      </c>
      <c r="R127" s="27" t="s">
        <v>917</v>
      </c>
      <c r="S127" s="27"/>
      <c r="T127" t="s">
        <v>918</v>
      </c>
      <c r="U127" t="s">
        <v>187</v>
      </c>
      <c r="V127" t="s">
        <v>188</v>
      </c>
      <c r="W127" t="s">
        <v>188</v>
      </c>
      <c r="X127">
        <v>34290</v>
      </c>
      <c r="Y127" t="s">
        <v>189</v>
      </c>
      <c r="Z127" t="s">
        <v>919</v>
      </c>
      <c r="AA127">
        <v>314</v>
      </c>
      <c r="AC127" s="7">
        <v>46190</v>
      </c>
      <c r="AD127">
        <v>84</v>
      </c>
      <c r="AE127" t="s">
        <v>920</v>
      </c>
      <c r="AF127" t="s">
        <v>448</v>
      </c>
      <c r="AG127" t="s">
        <v>192</v>
      </c>
      <c r="AH127">
        <v>84</v>
      </c>
      <c r="AI127" t="s">
        <v>331</v>
      </c>
      <c r="AJ127" s="7">
        <v>46191</v>
      </c>
      <c r="AK127" t="s">
        <v>460</v>
      </c>
      <c r="AL127" t="s">
        <v>457</v>
      </c>
      <c r="AM127" t="s">
        <v>192</v>
      </c>
      <c r="AN127">
        <v>34</v>
      </c>
      <c r="AO127" t="s">
        <v>461</v>
      </c>
      <c r="AR127">
        <v>1</v>
      </c>
      <c r="AS127">
        <v>1</v>
      </c>
      <c r="AT127">
        <v>112</v>
      </c>
      <c r="AU127">
        <v>112</v>
      </c>
      <c r="AV127">
        <v>0</v>
      </c>
      <c r="AW127" t="s">
        <v>194</v>
      </c>
      <c r="AX127">
        <v>112</v>
      </c>
      <c r="AY127">
        <v>0</v>
      </c>
      <c r="BE127" t="s">
        <v>213</v>
      </c>
      <c r="BF127" t="s">
        <v>921</v>
      </c>
      <c r="BG127" t="s">
        <v>197</v>
      </c>
      <c r="BM127">
        <v>73.66</v>
      </c>
      <c r="BN127" s="23">
        <v>124.23</v>
      </c>
      <c r="BQ127" t="s">
        <v>198</v>
      </c>
      <c r="DC127">
        <v>30</v>
      </c>
      <c r="DI127">
        <v>18.420000000000002</v>
      </c>
      <c r="DK127">
        <v>2</v>
      </c>
      <c r="GM127">
        <v>0.15</v>
      </c>
    </row>
    <row r="128" spans="2:195" x14ac:dyDescent="0.35">
      <c r="B128" s="23" t="str">
        <f t="shared" si="22"/>
        <v>26E005237564</v>
      </c>
      <c r="C128" s="23">
        <f t="shared" si="23"/>
        <v>107.21000000000001</v>
      </c>
      <c r="D128" s="23">
        <f t="shared" si="24"/>
        <v>107.21000000000001</v>
      </c>
      <c r="E128" s="23" t="str">
        <f t="shared" si="25"/>
        <v/>
      </c>
      <c r="F128" s="23" t="str">
        <f t="shared" si="26"/>
        <v/>
      </c>
      <c r="G128" s="23" t="str">
        <f t="shared" si="27"/>
        <v/>
      </c>
      <c r="H128" s="23" t="str">
        <f t="shared" si="28"/>
        <v/>
      </c>
      <c r="I128" s="23" t="str">
        <f t="shared" si="29"/>
        <v/>
      </c>
      <c r="J128" s="23">
        <f t="shared" si="30"/>
        <v>107.21000000000001</v>
      </c>
      <c r="K128" s="23">
        <f t="shared" si="31"/>
        <v>0</v>
      </c>
      <c r="L128" s="23">
        <f t="shared" si="32"/>
        <v>0</v>
      </c>
      <c r="M128" t="s">
        <v>352</v>
      </c>
      <c r="N128" s="7">
        <v>46203</v>
      </c>
      <c r="O128" t="s">
        <v>186</v>
      </c>
      <c r="P128" t="s">
        <v>457</v>
      </c>
      <c r="Q128">
        <v>2026</v>
      </c>
      <c r="R128" s="27" t="s">
        <v>922</v>
      </c>
      <c r="S128" s="27"/>
      <c r="T128" t="s">
        <v>923</v>
      </c>
      <c r="U128" t="s">
        <v>187</v>
      </c>
      <c r="V128" t="s">
        <v>188</v>
      </c>
      <c r="W128" t="s">
        <v>188</v>
      </c>
      <c r="X128">
        <v>84350</v>
      </c>
      <c r="Y128" t="s">
        <v>189</v>
      </c>
      <c r="Z128" t="s">
        <v>924</v>
      </c>
      <c r="AA128">
        <v>312</v>
      </c>
      <c r="AC128" s="7">
        <v>46191</v>
      </c>
      <c r="AD128">
        <v>11</v>
      </c>
      <c r="AE128" t="s">
        <v>460</v>
      </c>
      <c r="AF128" t="s">
        <v>457</v>
      </c>
      <c r="AG128" t="s">
        <v>192</v>
      </c>
      <c r="AH128">
        <v>34</v>
      </c>
      <c r="AI128" t="s">
        <v>461</v>
      </c>
      <c r="AJ128" s="7">
        <v>46195</v>
      </c>
      <c r="AK128" t="s">
        <v>920</v>
      </c>
      <c r="AL128" t="s">
        <v>448</v>
      </c>
      <c r="AM128" t="s">
        <v>192</v>
      </c>
      <c r="AN128">
        <v>84</v>
      </c>
      <c r="AO128" t="s">
        <v>331</v>
      </c>
      <c r="AR128">
        <v>1</v>
      </c>
      <c r="AS128">
        <v>1</v>
      </c>
      <c r="AT128">
        <v>44</v>
      </c>
      <c r="AU128">
        <v>44</v>
      </c>
      <c r="AV128">
        <v>0</v>
      </c>
      <c r="AW128" t="s">
        <v>194</v>
      </c>
      <c r="AX128">
        <v>44</v>
      </c>
      <c r="AY128">
        <v>0</v>
      </c>
      <c r="BE128" t="s">
        <v>213</v>
      </c>
      <c r="BF128" t="s">
        <v>921</v>
      </c>
      <c r="BG128" t="s">
        <v>197</v>
      </c>
      <c r="BM128">
        <v>60.05</v>
      </c>
      <c r="BN128" s="23">
        <v>107.21</v>
      </c>
      <c r="BQ128" t="s">
        <v>198</v>
      </c>
      <c r="DC128">
        <v>30</v>
      </c>
      <c r="DI128">
        <v>15.01</v>
      </c>
      <c r="DK128">
        <v>2</v>
      </c>
      <c r="GM128">
        <v>0.15</v>
      </c>
    </row>
    <row r="129" spans="2:195" x14ac:dyDescent="0.35">
      <c r="B129" s="23" t="str">
        <f t="shared" si="22"/>
        <v>EXP20260617-2803325</v>
      </c>
      <c r="C129" s="23">
        <f t="shared" si="23"/>
        <v>47.24</v>
      </c>
      <c r="D129" s="23">
        <f t="shared" si="24"/>
        <v>47.24</v>
      </c>
      <c r="E129" s="23" t="str">
        <f t="shared" si="25"/>
        <v/>
      </c>
      <c r="F129" s="23" t="str">
        <f t="shared" si="26"/>
        <v/>
      </c>
      <c r="G129" s="23" t="str">
        <f t="shared" si="27"/>
        <v/>
      </c>
      <c r="H129" s="23" t="str">
        <f t="shared" si="28"/>
        <v/>
      </c>
      <c r="I129" s="23" t="str">
        <f t="shared" si="29"/>
        <v/>
      </c>
      <c r="J129" s="23">
        <f t="shared" si="30"/>
        <v>47.24</v>
      </c>
      <c r="K129" s="23">
        <f t="shared" si="31"/>
        <v>0</v>
      </c>
      <c r="L129" s="23">
        <f t="shared" si="32"/>
        <v>0</v>
      </c>
      <c r="M129" t="s">
        <v>352</v>
      </c>
      <c r="N129" s="7">
        <v>46203</v>
      </c>
      <c r="O129" t="s">
        <v>186</v>
      </c>
      <c r="P129" t="s">
        <v>925</v>
      </c>
      <c r="Q129">
        <v>2026</v>
      </c>
      <c r="R129" s="27" t="s">
        <v>926</v>
      </c>
      <c r="S129" s="27" t="s">
        <v>925</v>
      </c>
      <c r="T129" t="s">
        <v>927</v>
      </c>
      <c r="U129" t="s">
        <v>187</v>
      </c>
      <c r="V129" t="s">
        <v>188</v>
      </c>
      <c r="W129" t="s">
        <v>188</v>
      </c>
      <c r="X129">
        <v>33520</v>
      </c>
      <c r="Y129" t="s">
        <v>189</v>
      </c>
      <c r="Z129" t="s">
        <v>190</v>
      </c>
      <c r="AA129">
        <v>739</v>
      </c>
      <c r="AC129" s="7">
        <v>46191</v>
      </c>
      <c r="AD129">
        <v>21</v>
      </c>
      <c r="AE129" t="s">
        <v>191</v>
      </c>
      <c r="AF129" t="s">
        <v>925</v>
      </c>
      <c r="AG129" t="s">
        <v>192</v>
      </c>
      <c r="AH129">
        <v>21</v>
      </c>
      <c r="AI129" t="s">
        <v>193</v>
      </c>
      <c r="AJ129" s="7">
        <v>46197</v>
      </c>
      <c r="AK129" t="s">
        <v>928</v>
      </c>
      <c r="AL129" t="s">
        <v>925</v>
      </c>
      <c r="AM129" t="s">
        <v>192</v>
      </c>
      <c r="AN129">
        <v>33</v>
      </c>
      <c r="AO129" t="s">
        <v>929</v>
      </c>
      <c r="AR129">
        <v>1</v>
      </c>
      <c r="AS129">
        <v>1</v>
      </c>
      <c r="AT129">
        <v>30</v>
      </c>
      <c r="AU129">
        <v>30</v>
      </c>
      <c r="AV129">
        <v>0</v>
      </c>
      <c r="AW129" t="s">
        <v>194</v>
      </c>
      <c r="AX129">
        <v>30</v>
      </c>
      <c r="AY129">
        <v>0</v>
      </c>
      <c r="BE129" t="s">
        <v>195</v>
      </c>
      <c r="BF129" t="s">
        <v>196</v>
      </c>
      <c r="BG129" t="s">
        <v>197</v>
      </c>
      <c r="BM129">
        <v>36.07</v>
      </c>
      <c r="BN129" s="23">
        <v>47.24</v>
      </c>
      <c r="BQ129" t="s">
        <v>198</v>
      </c>
      <c r="DI129">
        <v>9.02</v>
      </c>
      <c r="DK129">
        <v>2</v>
      </c>
      <c r="GM129">
        <v>0.15</v>
      </c>
    </row>
    <row r="130" spans="2:195" x14ac:dyDescent="0.35">
      <c r="B130" s="23" t="str">
        <f t="shared" si="22"/>
        <v>EXP20260617-2804067</v>
      </c>
      <c r="C130" s="23">
        <f t="shared" si="23"/>
        <v>153.13</v>
      </c>
      <c r="D130" s="23">
        <f t="shared" si="24"/>
        <v>153.13</v>
      </c>
      <c r="E130" s="23" t="str">
        <f t="shared" si="25"/>
        <v/>
      </c>
      <c r="F130" s="23" t="str">
        <f t="shared" si="26"/>
        <v/>
      </c>
      <c r="G130" s="23" t="str">
        <f t="shared" si="27"/>
        <v/>
      </c>
      <c r="H130" s="23" t="str">
        <f t="shared" si="28"/>
        <v/>
      </c>
      <c r="I130" s="23" t="str">
        <f t="shared" si="29"/>
        <v/>
      </c>
      <c r="J130" s="23">
        <f t="shared" si="30"/>
        <v>153.13</v>
      </c>
      <c r="K130" s="23">
        <f t="shared" si="31"/>
        <v>0</v>
      </c>
      <c r="L130" s="23">
        <f t="shared" si="32"/>
        <v>0</v>
      </c>
      <c r="M130" t="s">
        <v>352</v>
      </c>
      <c r="N130" s="7">
        <v>46203</v>
      </c>
      <c r="O130" t="s">
        <v>186</v>
      </c>
      <c r="P130" t="s">
        <v>930</v>
      </c>
      <c r="Q130">
        <v>2026</v>
      </c>
      <c r="R130" s="27" t="s">
        <v>931</v>
      </c>
      <c r="S130" s="27" t="s">
        <v>930</v>
      </c>
      <c r="T130" t="s">
        <v>932</v>
      </c>
      <c r="U130" t="s">
        <v>187</v>
      </c>
      <c r="V130" t="s">
        <v>188</v>
      </c>
      <c r="W130" t="s">
        <v>188</v>
      </c>
      <c r="X130">
        <v>83270</v>
      </c>
      <c r="Y130" t="s">
        <v>189</v>
      </c>
      <c r="Z130" t="s">
        <v>190</v>
      </c>
      <c r="AA130">
        <v>599</v>
      </c>
      <c r="AC130" s="7">
        <v>46191</v>
      </c>
      <c r="AD130">
        <v>21</v>
      </c>
      <c r="AE130" t="s">
        <v>191</v>
      </c>
      <c r="AF130" t="s">
        <v>930</v>
      </c>
      <c r="AG130" t="s">
        <v>192</v>
      </c>
      <c r="AH130">
        <v>21</v>
      </c>
      <c r="AI130" t="s">
        <v>193</v>
      </c>
      <c r="AJ130" s="7">
        <v>46196</v>
      </c>
      <c r="AK130" t="s">
        <v>933</v>
      </c>
      <c r="AL130" t="s">
        <v>930</v>
      </c>
      <c r="AM130" t="s">
        <v>192</v>
      </c>
      <c r="AN130">
        <v>83</v>
      </c>
      <c r="AO130" t="s">
        <v>517</v>
      </c>
      <c r="AR130">
        <v>2</v>
      </c>
      <c r="AS130">
        <v>2</v>
      </c>
      <c r="AT130">
        <v>230</v>
      </c>
      <c r="AU130">
        <v>230</v>
      </c>
      <c r="AV130">
        <v>0</v>
      </c>
      <c r="AW130" t="s">
        <v>201</v>
      </c>
      <c r="AX130">
        <v>2</v>
      </c>
      <c r="AY130">
        <v>0</v>
      </c>
      <c r="BE130" t="s">
        <v>195</v>
      </c>
      <c r="BF130" t="s">
        <v>196</v>
      </c>
      <c r="BG130" t="s">
        <v>197</v>
      </c>
      <c r="BM130">
        <v>120.78</v>
      </c>
      <c r="BN130" s="23">
        <v>153.13</v>
      </c>
      <c r="BQ130" t="s">
        <v>198</v>
      </c>
      <c r="DI130">
        <v>30.2</v>
      </c>
      <c r="DK130">
        <v>2</v>
      </c>
      <c r="GM130">
        <v>0.15</v>
      </c>
    </row>
    <row r="131" spans="2:195" x14ac:dyDescent="0.35">
      <c r="B131" s="23" t="str">
        <f t="shared" si="22"/>
        <v>EXP20260617-2803522</v>
      </c>
      <c r="C131" s="23">
        <f t="shared" si="23"/>
        <v>44.18</v>
      </c>
      <c r="D131" s="23">
        <f t="shared" si="24"/>
        <v>44.18</v>
      </c>
      <c r="E131" s="23" t="str">
        <f t="shared" si="25"/>
        <v/>
      </c>
      <c r="F131" s="23" t="str">
        <f t="shared" si="26"/>
        <v/>
      </c>
      <c r="G131" s="23">
        <f t="shared" si="27"/>
        <v>7</v>
      </c>
      <c r="H131" s="23" t="str">
        <f t="shared" si="28"/>
        <v/>
      </c>
      <c r="I131" s="23" t="str">
        <f t="shared" si="29"/>
        <v/>
      </c>
      <c r="J131" s="23">
        <f t="shared" si="30"/>
        <v>37.18</v>
      </c>
      <c r="K131" s="23">
        <f t="shared" si="31"/>
        <v>0</v>
      </c>
      <c r="L131" s="23">
        <f t="shared" si="32"/>
        <v>0</v>
      </c>
      <c r="M131" t="s">
        <v>352</v>
      </c>
      <c r="N131" s="7">
        <v>46203</v>
      </c>
      <c r="O131" t="s">
        <v>186</v>
      </c>
      <c r="P131" t="s">
        <v>934</v>
      </c>
      <c r="Q131">
        <v>2026</v>
      </c>
      <c r="R131" s="27" t="s">
        <v>935</v>
      </c>
      <c r="S131" s="27" t="s">
        <v>934</v>
      </c>
      <c r="T131" t="s">
        <v>936</v>
      </c>
      <c r="U131" t="s">
        <v>187</v>
      </c>
      <c r="V131" t="s">
        <v>188</v>
      </c>
      <c r="W131" t="s">
        <v>188</v>
      </c>
      <c r="X131">
        <v>69001</v>
      </c>
      <c r="Y131" t="s">
        <v>189</v>
      </c>
      <c r="Z131" t="s">
        <v>190</v>
      </c>
      <c r="AA131">
        <v>237</v>
      </c>
      <c r="AC131" s="7">
        <v>46191</v>
      </c>
      <c r="AD131">
        <v>21</v>
      </c>
      <c r="AE131" t="s">
        <v>191</v>
      </c>
      <c r="AF131" t="s">
        <v>934</v>
      </c>
      <c r="AG131" t="s">
        <v>192</v>
      </c>
      <c r="AH131">
        <v>21</v>
      </c>
      <c r="AI131" t="s">
        <v>193</v>
      </c>
      <c r="AJ131" s="7">
        <v>46195</v>
      </c>
      <c r="AK131" t="s">
        <v>937</v>
      </c>
      <c r="AL131" t="s">
        <v>934</v>
      </c>
      <c r="AM131" t="s">
        <v>192</v>
      </c>
      <c r="AN131">
        <v>69</v>
      </c>
      <c r="AO131" t="s">
        <v>938</v>
      </c>
      <c r="AR131">
        <v>1</v>
      </c>
      <c r="AS131">
        <v>1</v>
      </c>
      <c r="AT131">
        <v>115</v>
      </c>
      <c r="AU131">
        <v>115</v>
      </c>
      <c r="AV131">
        <v>0</v>
      </c>
      <c r="AW131" t="s">
        <v>194</v>
      </c>
      <c r="AX131">
        <v>115</v>
      </c>
      <c r="AY131">
        <v>0</v>
      </c>
      <c r="BE131" t="s">
        <v>195</v>
      </c>
      <c r="BF131" t="s">
        <v>196</v>
      </c>
      <c r="BG131" t="s">
        <v>197</v>
      </c>
      <c r="BM131">
        <v>35.03</v>
      </c>
      <c r="BN131" s="23">
        <v>44.18</v>
      </c>
      <c r="BQ131" t="s">
        <v>198</v>
      </c>
      <c r="DK131">
        <v>2</v>
      </c>
      <c r="DN131">
        <v>7</v>
      </c>
      <c r="GM131">
        <v>0.15</v>
      </c>
    </row>
    <row r="132" spans="2:195" x14ac:dyDescent="0.35">
      <c r="B132" s="23" t="str">
        <f t="shared" si="22"/>
        <v>EXP20260617-2803958</v>
      </c>
      <c r="C132" s="23">
        <f t="shared" si="23"/>
        <v>61.93</v>
      </c>
      <c r="D132" s="23">
        <f t="shared" si="24"/>
        <v>61.93</v>
      </c>
      <c r="E132" s="23" t="str">
        <f t="shared" si="25"/>
        <v/>
      </c>
      <c r="F132" s="23" t="str">
        <f t="shared" si="26"/>
        <v/>
      </c>
      <c r="G132" s="23" t="str">
        <f t="shared" si="27"/>
        <v/>
      </c>
      <c r="H132" s="23" t="str">
        <f t="shared" si="28"/>
        <v/>
      </c>
      <c r="I132" s="23" t="str">
        <f t="shared" si="29"/>
        <v/>
      </c>
      <c r="J132" s="23">
        <f t="shared" si="30"/>
        <v>61.93</v>
      </c>
      <c r="K132" s="23">
        <f t="shared" si="31"/>
        <v>0</v>
      </c>
      <c r="L132" s="23">
        <f t="shared" si="32"/>
        <v>0</v>
      </c>
      <c r="M132" t="s">
        <v>352</v>
      </c>
      <c r="N132" s="7">
        <v>46203</v>
      </c>
      <c r="O132" t="s">
        <v>186</v>
      </c>
      <c r="P132" t="s">
        <v>939</v>
      </c>
      <c r="Q132">
        <v>2026</v>
      </c>
      <c r="R132" s="27" t="s">
        <v>940</v>
      </c>
      <c r="S132" s="27" t="s">
        <v>939</v>
      </c>
      <c r="T132" t="s">
        <v>941</v>
      </c>
      <c r="U132" t="s">
        <v>187</v>
      </c>
      <c r="V132" t="s">
        <v>188</v>
      </c>
      <c r="W132" t="s">
        <v>188</v>
      </c>
      <c r="X132">
        <v>78680</v>
      </c>
      <c r="Y132" t="s">
        <v>189</v>
      </c>
      <c r="Z132" t="s">
        <v>190</v>
      </c>
      <c r="AA132">
        <v>467</v>
      </c>
      <c r="AC132" s="7">
        <v>46191</v>
      </c>
      <c r="AD132">
        <v>21</v>
      </c>
      <c r="AE132" t="s">
        <v>191</v>
      </c>
      <c r="AF132" t="s">
        <v>939</v>
      </c>
      <c r="AG132" t="s">
        <v>192</v>
      </c>
      <c r="AH132">
        <v>21</v>
      </c>
      <c r="AI132" t="s">
        <v>193</v>
      </c>
      <c r="AJ132" s="7">
        <v>46196</v>
      </c>
      <c r="AK132" t="s">
        <v>315</v>
      </c>
      <c r="AL132" t="s">
        <v>939</v>
      </c>
      <c r="AM132" t="s">
        <v>192</v>
      </c>
      <c r="AN132">
        <v>78</v>
      </c>
      <c r="AO132" t="s">
        <v>295</v>
      </c>
      <c r="AP132" t="s">
        <v>316</v>
      </c>
      <c r="AQ132" t="s">
        <v>199</v>
      </c>
      <c r="AR132">
        <v>1</v>
      </c>
      <c r="AS132">
        <v>1</v>
      </c>
      <c r="AT132">
        <v>151</v>
      </c>
      <c r="AU132">
        <v>151</v>
      </c>
      <c r="AV132">
        <v>0</v>
      </c>
      <c r="AW132" t="s">
        <v>201</v>
      </c>
      <c r="AX132">
        <v>1</v>
      </c>
      <c r="AY132">
        <v>0</v>
      </c>
      <c r="BE132" t="s">
        <v>195</v>
      </c>
      <c r="BF132" t="s">
        <v>196</v>
      </c>
      <c r="BG132" t="s">
        <v>197</v>
      </c>
      <c r="BM132">
        <v>59.78</v>
      </c>
      <c r="BN132" s="23">
        <v>61.93</v>
      </c>
      <c r="BQ132" t="s">
        <v>198</v>
      </c>
      <c r="DK132">
        <v>2</v>
      </c>
      <c r="GM132">
        <v>0.15</v>
      </c>
    </row>
    <row r="133" spans="2:195" x14ac:dyDescent="0.35">
      <c r="B133" s="23" t="str">
        <f t="shared" si="22"/>
        <v>EXP20260617-2803648</v>
      </c>
      <c r="C133" s="23">
        <f t="shared" si="23"/>
        <v>51.68</v>
      </c>
      <c r="D133" s="23">
        <f t="shared" si="24"/>
        <v>51.68</v>
      </c>
      <c r="E133" s="23" t="str">
        <f t="shared" si="25"/>
        <v/>
      </c>
      <c r="F133" s="23" t="str">
        <f t="shared" si="26"/>
        <v/>
      </c>
      <c r="G133" s="23" t="str">
        <f t="shared" si="27"/>
        <v/>
      </c>
      <c r="H133" s="23" t="str">
        <f t="shared" si="28"/>
        <v/>
      </c>
      <c r="I133" s="23" t="str">
        <f t="shared" si="29"/>
        <v/>
      </c>
      <c r="J133" s="23">
        <f t="shared" si="30"/>
        <v>51.68</v>
      </c>
      <c r="K133" s="23">
        <f t="shared" si="31"/>
        <v>0</v>
      </c>
      <c r="L133" s="23">
        <f t="shared" si="32"/>
        <v>0</v>
      </c>
      <c r="M133" t="s">
        <v>352</v>
      </c>
      <c r="N133" s="7">
        <v>46203</v>
      </c>
      <c r="O133" t="s">
        <v>186</v>
      </c>
      <c r="P133" t="s">
        <v>942</v>
      </c>
      <c r="Q133">
        <v>2026</v>
      </c>
      <c r="R133" s="27" t="s">
        <v>943</v>
      </c>
      <c r="S133" s="27" t="s">
        <v>942</v>
      </c>
      <c r="T133" t="s">
        <v>944</v>
      </c>
      <c r="U133" t="s">
        <v>187</v>
      </c>
      <c r="V133" t="s">
        <v>188</v>
      </c>
      <c r="W133" t="s">
        <v>188</v>
      </c>
      <c r="X133">
        <v>34000</v>
      </c>
      <c r="Y133" t="s">
        <v>189</v>
      </c>
      <c r="Z133" t="s">
        <v>190</v>
      </c>
      <c r="AA133">
        <v>525</v>
      </c>
      <c r="AC133" s="7">
        <v>46191</v>
      </c>
      <c r="AD133">
        <v>21</v>
      </c>
      <c r="AE133" t="s">
        <v>191</v>
      </c>
      <c r="AF133" t="s">
        <v>942</v>
      </c>
      <c r="AG133" t="s">
        <v>192</v>
      </c>
      <c r="AH133">
        <v>21</v>
      </c>
      <c r="AI133" t="s">
        <v>193</v>
      </c>
      <c r="AJ133" s="7">
        <v>46196</v>
      </c>
      <c r="AK133" t="s">
        <v>945</v>
      </c>
      <c r="AL133" t="s">
        <v>942</v>
      </c>
      <c r="AM133" t="s">
        <v>192</v>
      </c>
      <c r="AN133">
        <v>34</v>
      </c>
      <c r="AO133" t="s">
        <v>946</v>
      </c>
      <c r="AR133">
        <v>1</v>
      </c>
      <c r="AS133">
        <v>1</v>
      </c>
      <c r="AT133">
        <v>72</v>
      </c>
      <c r="AU133">
        <v>72</v>
      </c>
      <c r="AV133">
        <v>0</v>
      </c>
      <c r="AW133" t="s">
        <v>194</v>
      </c>
      <c r="AX133">
        <v>72</v>
      </c>
      <c r="AY133">
        <v>0</v>
      </c>
      <c r="BE133" t="s">
        <v>195</v>
      </c>
      <c r="BF133" t="s">
        <v>196</v>
      </c>
      <c r="BG133" t="s">
        <v>197</v>
      </c>
      <c r="BM133">
        <v>39.619999999999997</v>
      </c>
      <c r="BN133" s="23">
        <v>51.68</v>
      </c>
      <c r="BQ133" t="s">
        <v>198</v>
      </c>
      <c r="DI133">
        <v>9.91</v>
      </c>
      <c r="DK133">
        <v>2</v>
      </c>
      <c r="GM133">
        <v>0.15</v>
      </c>
    </row>
    <row r="134" spans="2:195" x14ac:dyDescent="0.35">
      <c r="B134" s="23" t="str">
        <f t="shared" si="22"/>
        <v>EXP20260618-2805681</v>
      </c>
      <c r="C134" s="23">
        <f t="shared" si="23"/>
        <v>32.729999999999997</v>
      </c>
      <c r="D134" s="23">
        <f t="shared" si="24"/>
        <v>32.729999999999997</v>
      </c>
      <c r="E134" s="23" t="str">
        <f t="shared" si="25"/>
        <v/>
      </c>
      <c r="F134" s="23" t="str">
        <f t="shared" si="26"/>
        <v/>
      </c>
      <c r="G134" s="23" t="str">
        <f t="shared" si="27"/>
        <v/>
      </c>
      <c r="H134" s="23" t="str">
        <f t="shared" si="28"/>
        <v/>
      </c>
      <c r="I134" s="23" t="str">
        <f t="shared" si="29"/>
        <v/>
      </c>
      <c r="J134" s="23">
        <f t="shared" si="30"/>
        <v>32.729999999999997</v>
      </c>
      <c r="K134" s="23">
        <f t="shared" si="31"/>
        <v>0</v>
      </c>
      <c r="L134" s="23">
        <f t="shared" si="32"/>
        <v>0</v>
      </c>
      <c r="M134" t="s">
        <v>352</v>
      </c>
      <c r="N134" s="7">
        <v>46203</v>
      </c>
      <c r="O134" t="s">
        <v>186</v>
      </c>
      <c r="P134" t="s">
        <v>947</v>
      </c>
      <c r="Q134">
        <v>2026</v>
      </c>
      <c r="R134" s="27" t="s">
        <v>948</v>
      </c>
      <c r="S134" s="27" t="s">
        <v>947</v>
      </c>
      <c r="T134" t="s">
        <v>949</v>
      </c>
      <c r="U134" t="s">
        <v>187</v>
      </c>
      <c r="V134" t="s">
        <v>188</v>
      </c>
      <c r="W134" t="s">
        <v>188</v>
      </c>
      <c r="X134">
        <v>42130</v>
      </c>
      <c r="Y134" t="s">
        <v>189</v>
      </c>
      <c r="Z134" t="s">
        <v>190</v>
      </c>
      <c r="AA134">
        <v>337</v>
      </c>
      <c r="AC134" s="7">
        <v>46192</v>
      </c>
      <c r="AD134">
        <v>21</v>
      </c>
      <c r="AE134" t="s">
        <v>191</v>
      </c>
      <c r="AF134" t="s">
        <v>947</v>
      </c>
      <c r="AG134" t="s">
        <v>192</v>
      </c>
      <c r="AH134">
        <v>21</v>
      </c>
      <c r="AI134" t="s">
        <v>193</v>
      </c>
      <c r="AJ134" s="7">
        <v>46196</v>
      </c>
      <c r="AK134" t="s">
        <v>950</v>
      </c>
      <c r="AL134" t="s">
        <v>947</v>
      </c>
      <c r="AM134" t="s">
        <v>192</v>
      </c>
      <c r="AN134">
        <v>42</v>
      </c>
      <c r="AO134" t="s">
        <v>951</v>
      </c>
      <c r="AR134">
        <v>1</v>
      </c>
      <c r="AS134">
        <v>1</v>
      </c>
      <c r="AT134">
        <v>67</v>
      </c>
      <c r="AU134">
        <v>67</v>
      </c>
      <c r="AV134">
        <v>0</v>
      </c>
      <c r="AW134" t="s">
        <v>194</v>
      </c>
      <c r="AX134">
        <v>67</v>
      </c>
      <c r="AY134">
        <v>0</v>
      </c>
      <c r="BE134" t="s">
        <v>195</v>
      </c>
      <c r="BF134" t="s">
        <v>196</v>
      </c>
      <c r="BG134" t="s">
        <v>197</v>
      </c>
      <c r="BM134">
        <v>30.58</v>
      </c>
      <c r="BN134" s="23">
        <v>32.729999999999997</v>
      </c>
      <c r="BQ134" t="s">
        <v>198</v>
      </c>
      <c r="DK134">
        <v>2</v>
      </c>
      <c r="GM134">
        <v>0.15</v>
      </c>
    </row>
    <row r="135" spans="2:195" x14ac:dyDescent="0.35">
      <c r="B135" s="23" t="str">
        <f t="shared" si="22"/>
        <v>EXP20260618-2805554</v>
      </c>
      <c r="C135" s="23">
        <f t="shared" si="23"/>
        <v>56.4</v>
      </c>
      <c r="D135" s="23">
        <f t="shared" si="24"/>
        <v>56.4</v>
      </c>
      <c r="E135" s="23" t="str">
        <f t="shared" si="25"/>
        <v/>
      </c>
      <c r="F135" s="23" t="str">
        <f t="shared" si="26"/>
        <v/>
      </c>
      <c r="G135" s="23" t="str">
        <f t="shared" si="27"/>
        <v/>
      </c>
      <c r="H135" s="23" t="str">
        <f t="shared" si="28"/>
        <v/>
      </c>
      <c r="I135" s="23" t="str">
        <f t="shared" si="29"/>
        <v/>
      </c>
      <c r="J135" s="23">
        <f t="shared" si="30"/>
        <v>56.4</v>
      </c>
      <c r="K135" s="23">
        <f t="shared" si="31"/>
        <v>0</v>
      </c>
      <c r="L135" s="23">
        <f t="shared" si="32"/>
        <v>0</v>
      </c>
      <c r="M135" t="s">
        <v>352</v>
      </c>
      <c r="N135" s="7">
        <v>46203</v>
      </c>
      <c r="O135" t="s">
        <v>186</v>
      </c>
      <c r="P135" t="s">
        <v>952</v>
      </c>
      <c r="Q135">
        <v>2026</v>
      </c>
      <c r="R135" s="27" t="s">
        <v>953</v>
      </c>
      <c r="S135" s="27" t="s">
        <v>952</v>
      </c>
      <c r="T135" t="s">
        <v>954</v>
      </c>
      <c r="U135" t="s">
        <v>187</v>
      </c>
      <c r="V135" t="s">
        <v>188</v>
      </c>
      <c r="W135" t="s">
        <v>188</v>
      </c>
      <c r="X135">
        <v>83470</v>
      </c>
      <c r="Y135" t="s">
        <v>189</v>
      </c>
      <c r="Z135" t="s">
        <v>190</v>
      </c>
      <c r="AA135">
        <v>599</v>
      </c>
      <c r="AC135" s="7">
        <v>46192</v>
      </c>
      <c r="AD135">
        <v>21</v>
      </c>
      <c r="AE135" t="s">
        <v>191</v>
      </c>
      <c r="AF135" t="s">
        <v>952</v>
      </c>
      <c r="AG135" t="s">
        <v>192</v>
      </c>
      <c r="AH135">
        <v>21</v>
      </c>
      <c r="AI135" t="s">
        <v>193</v>
      </c>
      <c r="AJ135" s="7">
        <v>46197</v>
      </c>
      <c r="AK135" t="s">
        <v>955</v>
      </c>
      <c r="AL135" t="s">
        <v>952</v>
      </c>
      <c r="AM135" t="s">
        <v>192</v>
      </c>
      <c r="AN135">
        <v>83</v>
      </c>
      <c r="AO135" t="s">
        <v>956</v>
      </c>
      <c r="AR135">
        <v>1</v>
      </c>
      <c r="AS135">
        <v>1</v>
      </c>
      <c r="AT135">
        <v>87</v>
      </c>
      <c r="AU135">
        <v>87</v>
      </c>
      <c r="AV135">
        <v>0</v>
      </c>
      <c r="AW135" t="s">
        <v>194</v>
      </c>
      <c r="AX135">
        <v>87</v>
      </c>
      <c r="AY135">
        <v>0</v>
      </c>
      <c r="BE135" t="s">
        <v>195</v>
      </c>
      <c r="BF135" t="s">
        <v>196</v>
      </c>
      <c r="BG135" t="s">
        <v>197</v>
      </c>
      <c r="BM135">
        <v>43.4</v>
      </c>
      <c r="BN135" s="23">
        <v>56.4</v>
      </c>
      <c r="BQ135" t="s">
        <v>198</v>
      </c>
      <c r="DI135">
        <v>10.85</v>
      </c>
      <c r="DK135">
        <v>2</v>
      </c>
      <c r="GM135">
        <v>0.15</v>
      </c>
    </row>
    <row r="136" spans="2:195" x14ac:dyDescent="0.35">
      <c r="B136" s="23" t="str">
        <f t="shared" si="22"/>
        <v>EXP20260618-2806068</v>
      </c>
      <c r="C136" s="23">
        <f t="shared" si="23"/>
        <v>52.47</v>
      </c>
      <c r="D136" s="23">
        <f t="shared" si="24"/>
        <v>52.47</v>
      </c>
      <c r="E136" s="23" t="str">
        <f t="shared" si="25"/>
        <v/>
      </c>
      <c r="F136" s="23" t="str">
        <f t="shared" si="26"/>
        <v/>
      </c>
      <c r="G136" s="23" t="str">
        <f t="shared" si="27"/>
        <v/>
      </c>
      <c r="H136" s="23" t="str">
        <f t="shared" si="28"/>
        <v/>
      </c>
      <c r="I136" s="23" t="str">
        <f t="shared" si="29"/>
        <v/>
      </c>
      <c r="J136" s="23">
        <f t="shared" si="30"/>
        <v>52.47</v>
      </c>
      <c r="K136" s="23">
        <f t="shared" si="31"/>
        <v>0</v>
      </c>
      <c r="L136" s="23">
        <f t="shared" si="32"/>
        <v>0</v>
      </c>
      <c r="M136" t="s">
        <v>352</v>
      </c>
      <c r="N136" s="7">
        <v>46203</v>
      </c>
      <c r="O136" t="s">
        <v>186</v>
      </c>
      <c r="P136" t="s">
        <v>957</v>
      </c>
      <c r="Q136">
        <v>2026</v>
      </c>
      <c r="R136" s="27" t="s">
        <v>958</v>
      </c>
      <c r="S136" s="27" t="s">
        <v>957</v>
      </c>
      <c r="T136" t="s">
        <v>959</v>
      </c>
      <c r="U136" t="s">
        <v>187</v>
      </c>
      <c r="V136" t="s">
        <v>188</v>
      </c>
      <c r="W136" t="s">
        <v>188</v>
      </c>
      <c r="X136">
        <v>67520</v>
      </c>
      <c r="Y136" t="s">
        <v>189</v>
      </c>
      <c r="Z136" t="s">
        <v>190</v>
      </c>
      <c r="AA136">
        <v>410</v>
      </c>
      <c r="AC136" s="7">
        <v>46192</v>
      </c>
      <c r="AD136">
        <v>21</v>
      </c>
      <c r="AE136" t="s">
        <v>191</v>
      </c>
      <c r="AF136" t="s">
        <v>957</v>
      </c>
      <c r="AG136" t="s">
        <v>192</v>
      </c>
      <c r="AH136">
        <v>21</v>
      </c>
      <c r="AI136" t="s">
        <v>193</v>
      </c>
      <c r="AJ136" s="7">
        <v>46199</v>
      </c>
      <c r="AK136" t="s">
        <v>960</v>
      </c>
      <c r="AL136" t="s">
        <v>957</v>
      </c>
      <c r="AM136" t="s">
        <v>192</v>
      </c>
      <c r="AN136">
        <v>67</v>
      </c>
      <c r="AO136" t="s">
        <v>961</v>
      </c>
      <c r="AR136">
        <v>1</v>
      </c>
      <c r="AS136">
        <v>1</v>
      </c>
      <c r="AT136">
        <v>132</v>
      </c>
      <c r="AU136">
        <v>132</v>
      </c>
      <c r="AV136">
        <v>0</v>
      </c>
      <c r="AW136" t="s">
        <v>194</v>
      </c>
      <c r="AX136">
        <v>132</v>
      </c>
      <c r="AY136">
        <v>0</v>
      </c>
      <c r="BE136" t="s">
        <v>195</v>
      </c>
      <c r="BF136" t="s">
        <v>196</v>
      </c>
      <c r="BG136" t="s">
        <v>197</v>
      </c>
      <c r="BM136">
        <v>50.32</v>
      </c>
      <c r="BN136" s="23">
        <v>52.47</v>
      </c>
      <c r="BQ136" t="s">
        <v>198</v>
      </c>
      <c r="DK136">
        <v>2</v>
      </c>
      <c r="GM136">
        <v>0.15</v>
      </c>
    </row>
    <row r="137" spans="2:195" x14ac:dyDescent="0.35">
      <c r="B137" s="23" t="str">
        <f t="shared" si="22"/>
        <v>EXP20260617-2803959</v>
      </c>
      <c r="C137" s="23">
        <f t="shared" si="23"/>
        <v>45.67</v>
      </c>
      <c r="D137" s="23">
        <f t="shared" si="24"/>
        <v>45.67</v>
      </c>
      <c r="E137" s="23" t="str">
        <f t="shared" si="25"/>
        <v/>
      </c>
      <c r="F137" s="23" t="str">
        <f t="shared" si="26"/>
        <v/>
      </c>
      <c r="G137" s="23">
        <f t="shared" si="27"/>
        <v>7</v>
      </c>
      <c r="H137" s="23" t="str">
        <f t="shared" si="28"/>
        <v/>
      </c>
      <c r="I137" s="23" t="str">
        <f t="shared" si="29"/>
        <v/>
      </c>
      <c r="J137" s="23">
        <f t="shared" si="30"/>
        <v>38.67</v>
      </c>
      <c r="K137" s="23">
        <f t="shared" si="31"/>
        <v>0</v>
      </c>
      <c r="L137" s="23">
        <f t="shared" si="32"/>
        <v>0</v>
      </c>
      <c r="M137" t="s">
        <v>352</v>
      </c>
      <c r="N137" s="7">
        <v>46203</v>
      </c>
      <c r="O137" t="s">
        <v>186</v>
      </c>
      <c r="P137" t="s">
        <v>962</v>
      </c>
      <c r="Q137">
        <v>2026</v>
      </c>
      <c r="R137" s="27" t="s">
        <v>963</v>
      </c>
      <c r="S137" s="27" t="s">
        <v>962</v>
      </c>
      <c r="T137" t="s">
        <v>964</v>
      </c>
      <c r="U137" t="s">
        <v>187</v>
      </c>
      <c r="V137" t="s">
        <v>188</v>
      </c>
      <c r="W137" t="s">
        <v>188</v>
      </c>
      <c r="X137">
        <v>93200</v>
      </c>
      <c r="Y137" t="s">
        <v>189</v>
      </c>
      <c r="Z137" t="s">
        <v>190</v>
      </c>
      <c r="AA137">
        <v>413</v>
      </c>
      <c r="AC137" s="7">
        <v>46192</v>
      </c>
      <c r="AD137">
        <v>21</v>
      </c>
      <c r="AE137" t="s">
        <v>191</v>
      </c>
      <c r="AF137" t="s">
        <v>962</v>
      </c>
      <c r="AG137" t="s">
        <v>192</v>
      </c>
      <c r="AH137">
        <v>21</v>
      </c>
      <c r="AI137" t="s">
        <v>193</v>
      </c>
      <c r="AJ137" s="7">
        <v>46196</v>
      </c>
      <c r="AK137" t="s">
        <v>965</v>
      </c>
      <c r="AL137" t="s">
        <v>962</v>
      </c>
      <c r="AM137" t="s">
        <v>192</v>
      </c>
      <c r="AN137">
        <v>93</v>
      </c>
      <c r="AO137" t="s">
        <v>386</v>
      </c>
      <c r="AR137">
        <v>1</v>
      </c>
      <c r="AS137">
        <v>1</v>
      </c>
      <c r="AT137">
        <v>56</v>
      </c>
      <c r="AU137">
        <v>56</v>
      </c>
      <c r="AV137">
        <v>0</v>
      </c>
      <c r="AW137" t="s">
        <v>194</v>
      </c>
      <c r="AX137">
        <v>56</v>
      </c>
      <c r="AY137">
        <v>0</v>
      </c>
      <c r="BE137" t="s">
        <v>195</v>
      </c>
      <c r="BF137" t="s">
        <v>196</v>
      </c>
      <c r="BG137" t="s">
        <v>197</v>
      </c>
      <c r="BM137">
        <v>36.520000000000003</v>
      </c>
      <c r="BN137" s="23">
        <v>45.67</v>
      </c>
      <c r="BQ137" t="s">
        <v>198</v>
      </c>
      <c r="DK137">
        <v>2</v>
      </c>
      <c r="DN137">
        <v>7</v>
      </c>
      <c r="GM137">
        <v>0.15</v>
      </c>
    </row>
    <row r="138" spans="2:195" x14ac:dyDescent="0.35">
      <c r="B138" s="23" t="str">
        <f t="shared" si="22"/>
        <v>26A060771898</v>
      </c>
      <c r="C138" s="23">
        <f t="shared" si="23"/>
        <v>300</v>
      </c>
      <c r="D138" s="23">
        <f t="shared" si="24"/>
        <v>300</v>
      </c>
      <c r="E138" s="23" t="str">
        <f t="shared" si="25"/>
        <v/>
      </c>
      <c r="F138" s="23" t="str">
        <f t="shared" si="26"/>
        <v/>
      </c>
      <c r="G138" s="23" t="str">
        <f t="shared" si="27"/>
        <v/>
      </c>
      <c r="H138" s="23" t="str">
        <f t="shared" si="28"/>
        <v/>
      </c>
      <c r="I138" s="23" t="str">
        <f t="shared" si="29"/>
        <v/>
      </c>
      <c r="J138" s="23">
        <f t="shared" si="30"/>
        <v>300</v>
      </c>
      <c r="K138" s="23">
        <f t="shared" si="31"/>
        <v>0</v>
      </c>
      <c r="L138" s="23">
        <f t="shared" si="32"/>
        <v>0</v>
      </c>
      <c r="M138" t="s">
        <v>352</v>
      </c>
      <c r="N138" s="7">
        <v>46203</v>
      </c>
      <c r="O138" t="s">
        <v>186</v>
      </c>
      <c r="Q138">
        <v>2026</v>
      </c>
      <c r="R138" s="27" t="s">
        <v>966</v>
      </c>
      <c r="S138" s="27"/>
      <c r="T138" t="s">
        <v>967</v>
      </c>
      <c r="U138" t="s">
        <v>203</v>
      </c>
      <c r="V138" t="s">
        <v>188</v>
      </c>
      <c r="W138" t="s">
        <v>188</v>
      </c>
      <c r="X138">
        <v>21320</v>
      </c>
      <c r="Y138" t="s">
        <v>204</v>
      </c>
      <c r="AA138">
        <v>60</v>
      </c>
      <c r="AC138" s="7">
        <v>46196</v>
      </c>
      <c r="AD138">
        <v>21</v>
      </c>
      <c r="AE138" t="s">
        <v>205</v>
      </c>
      <c r="AG138" t="s">
        <v>192</v>
      </c>
      <c r="AH138">
        <v>21</v>
      </c>
      <c r="AI138" t="s">
        <v>206</v>
      </c>
      <c r="AJ138" s="7"/>
      <c r="AK138" t="s">
        <v>191</v>
      </c>
      <c r="AM138" t="s">
        <v>192</v>
      </c>
      <c r="AN138">
        <v>21</v>
      </c>
      <c r="AO138" t="s">
        <v>193</v>
      </c>
      <c r="AR138">
        <v>33</v>
      </c>
      <c r="AS138">
        <v>33</v>
      </c>
      <c r="AT138">
        <v>25000</v>
      </c>
      <c r="AU138">
        <v>0</v>
      </c>
      <c r="AV138">
        <v>0</v>
      </c>
      <c r="AW138" t="s">
        <v>201</v>
      </c>
      <c r="AX138">
        <v>33</v>
      </c>
      <c r="AY138">
        <v>13.4</v>
      </c>
      <c r="BE138" t="s">
        <v>207</v>
      </c>
      <c r="BF138" t="s">
        <v>208</v>
      </c>
      <c r="BG138" t="s">
        <v>197</v>
      </c>
      <c r="BM138">
        <v>300</v>
      </c>
      <c r="BN138" s="23">
        <v>300</v>
      </c>
    </row>
    <row r="139" spans="2:195" x14ac:dyDescent="0.35">
      <c r="B139" s="23" t="str">
        <f t="shared" si="22"/>
        <v>EXP20260622-2811458</v>
      </c>
      <c r="C139" s="23">
        <f t="shared" si="23"/>
        <v>48.39</v>
      </c>
      <c r="D139" s="23">
        <f t="shared" si="24"/>
        <v>48.39</v>
      </c>
      <c r="E139" s="23" t="str">
        <f t="shared" si="25"/>
        <v/>
      </c>
      <c r="F139" s="23" t="str">
        <f t="shared" si="26"/>
        <v/>
      </c>
      <c r="G139" s="23" t="str">
        <f t="shared" si="27"/>
        <v/>
      </c>
      <c r="H139" s="23" t="str">
        <f t="shared" si="28"/>
        <v/>
      </c>
      <c r="I139" s="23" t="str">
        <f t="shared" si="29"/>
        <v/>
      </c>
      <c r="J139" s="23">
        <f t="shared" si="30"/>
        <v>48.39</v>
      </c>
      <c r="K139" s="23">
        <f t="shared" si="31"/>
        <v>0</v>
      </c>
      <c r="L139" s="23">
        <f t="shared" si="32"/>
        <v>0</v>
      </c>
      <c r="M139" t="s">
        <v>352</v>
      </c>
      <c r="N139" s="7">
        <v>46203</v>
      </c>
      <c r="O139" t="s">
        <v>186</v>
      </c>
      <c r="P139" t="s">
        <v>968</v>
      </c>
      <c r="Q139">
        <v>2026</v>
      </c>
      <c r="R139" s="27" t="s">
        <v>969</v>
      </c>
      <c r="S139" s="27" t="s">
        <v>968</v>
      </c>
      <c r="T139" t="s">
        <v>970</v>
      </c>
      <c r="U139" t="s">
        <v>187</v>
      </c>
      <c r="V139" t="s">
        <v>188</v>
      </c>
      <c r="W139" t="s">
        <v>188</v>
      </c>
      <c r="X139">
        <v>83570</v>
      </c>
      <c r="Y139" t="s">
        <v>189</v>
      </c>
      <c r="Z139" t="s">
        <v>190</v>
      </c>
      <c r="AA139">
        <v>599</v>
      </c>
      <c r="AC139" s="7">
        <v>46195</v>
      </c>
      <c r="AD139">
        <v>21</v>
      </c>
      <c r="AE139" t="s">
        <v>191</v>
      </c>
      <c r="AF139" t="s">
        <v>968</v>
      </c>
      <c r="AG139" t="s">
        <v>192</v>
      </c>
      <c r="AH139">
        <v>21</v>
      </c>
      <c r="AI139" t="s">
        <v>193</v>
      </c>
      <c r="AJ139" s="7">
        <v>46197</v>
      </c>
      <c r="AK139" t="s">
        <v>971</v>
      </c>
      <c r="AL139" t="s">
        <v>968</v>
      </c>
      <c r="AM139" t="s">
        <v>192</v>
      </c>
      <c r="AN139">
        <v>83</v>
      </c>
      <c r="AO139" t="s">
        <v>972</v>
      </c>
      <c r="AR139">
        <v>1</v>
      </c>
      <c r="AS139">
        <v>1</v>
      </c>
      <c r="AT139">
        <v>58</v>
      </c>
      <c r="AU139">
        <v>58</v>
      </c>
      <c r="AV139">
        <v>0</v>
      </c>
      <c r="AW139" t="s">
        <v>194</v>
      </c>
      <c r="AX139">
        <v>58</v>
      </c>
      <c r="AY139">
        <v>0</v>
      </c>
      <c r="BE139" t="s">
        <v>195</v>
      </c>
      <c r="BF139" t="s">
        <v>196</v>
      </c>
      <c r="BG139" t="s">
        <v>197</v>
      </c>
      <c r="BM139">
        <v>36.99</v>
      </c>
      <c r="BN139" s="23">
        <v>48.39</v>
      </c>
      <c r="BQ139" t="s">
        <v>198</v>
      </c>
      <c r="DI139">
        <v>9.25</v>
      </c>
      <c r="DK139">
        <v>2</v>
      </c>
      <c r="GM139">
        <v>0.15</v>
      </c>
    </row>
    <row r="140" spans="2:195" x14ac:dyDescent="0.35">
      <c r="B140" s="23" t="str">
        <f t="shared" si="22"/>
        <v>EXP20260622-2811853</v>
      </c>
      <c r="C140" s="23">
        <f t="shared" si="23"/>
        <v>43.589999999999996</v>
      </c>
      <c r="D140" s="23">
        <f t="shared" si="24"/>
        <v>43.589999999999996</v>
      </c>
      <c r="E140" s="23" t="str">
        <f t="shared" si="25"/>
        <v/>
      </c>
      <c r="F140" s="23" t="str">
        <f t="shared" si="26"/>
        <v/>
      </c>
      <c r="G140" s="23" t="str">
        <f t="shared" si="27"/>
        <v/>
      </c>
      <c r="H140" s="23" t="str">
        <f t="shared" si="28"/>
        <v/>
      </c>
      <c r="I140" s="23" t="str">
        <f t="shared" si="29"/>
        <v/>
      </c>
      <c r="J140" s="23">
        <f t="shared" si="30"/>
        <v>43.589999999999996</v>
      </c>
      <c r="K140" s="23">
        <f t="shared" si="31"/>
        <v>0</v>
      </c>
      <c r="L140" s="23">
        <f t="shared" si="32"/>
        <v>0</v>
      </c>
      <c r="M140" t="s">
        <v>352</v>
      </c>
      <c r="N140" s="7">
        <v>46203</v>
      </c>
      <c r="O140" t="s">
        <v>186</v>
      </c>
      <c r="P140" t="s">
        <v>973</v>
      </c>
      <c r="Q140">
        <v>2026</v>
      </c>
      <c r="R140" s="27" t="s">
        <v>974</v>
      </c>
      <c r="S140" s="27" t="s">
        <v>973</v>
      </c>
      <c r="T140" t="s">
        <v>975</v>
      </c>
      <c r="U140" t="s">
        <v>187</v>
      </c>
      <c r="V140" t="s">
        <v>188</v>
      </c>
      <c r="W140" t="s">
        <v>188</v>
      </c>
      <c r="X140">
        <v>13790</v>
      </c>
      <c r="Y140" t="s">
        <v>189</v>
      </c>
      <c r="Z140" t="s">
        <v>190</v>
      </c>
      <c r="AA140">
        <v>540</v>
      </c>
      <c r="AC140" s="7">
        <v>46195</v>
      </c>
      <c r="AD140">
        <v>21</v>
      </c>
      <c r="AE140" t="s">
        <v>191</v>
      </c>
      <c r="AF140" t="s">
        <v>973</v>
      </c>
      <c r="AG140" t="s">
        <v>192</v>
      </c>
      <c r="AH140">
        <v>21</v>
      </c>
      <c r="AI140" t="s">
        <v>193</v>
      </c>
      <c r="AJ140" s="7">
        <v>46197</v>
      </c>
      <c r="AK140" t="s">
        <v>976</v>
      </c>
      <c r="AL140" t="s">
        <v>973</v>
      </c>
      <c r="AM140" t="s">
        <v>192</v>
      </c>
      <c r="AN140">
        <v>13</v>
      </c>
      <c r="AO140" t="s">
        <v>977</v>
      </c>
      <c r="AP140" t="s">
        <v>214</v>
      </c>
      <c r="AQ140" t="s">
        <v>199</v>
      </c>
      <c r="AR140">
        <v>1</v>
      </c>
      <c r="AS140">
        <v>1</v>
      </c>
      <c r="AT140">
        <v>44</v>
      </c>
      <c r="AU140">
        <v>44</v>
      </c>
      <c r="AV140">
        <v>0</v>
      </c>
      <c r="AW140" t="s">
        <v>194</v>
      </c>
      <c r="AX140">
        <v>44</v>
      </c>
      <c r="AY140">
        <v>0</v>
      </c>
      <c r="BE140" t="s">
        <v>195</v>
      </c>
      <c r="BF140" t="s">
        <v>196</v>
      </c>
      <c r="BG140" t="s">
        <v>197</v>
      </c>
      <c r="BM140">
        <v>33.15</v>
      </c>
      <c r="BN140" s="23">
        <v>43.59</v>
      </c>
      <c r="BQ140" t="s">
        <v>198</v>
      </c>
      <c r="DI140">
        <v>8.2899999999999991</v>
      </c>
      <c r="DK140">
        <v>2</v>
      </c>
      <c r="GM140">
        <v>0.15</v>
      </c>
    </row>
    <row r="141" spans="2:195" x14ac:dyDescent="0.35">
      <c r="B141" s="23" t="str">
        <f t="shared" si="22"/>
        <v>EXP20260621-2809330</v>
      </c>
      <c r="C141" s="23">
        <f t="shared" si="23"/>
        <v>40.1</v>
      </c>
      <c r="D141" s="23">
        <f t="shared" si="24"/>
        <v>40.1</v>
      </c>
      <c r="E141" s="23" t="str">
        <f t="shared" si="25"/>
        <v/>
      </c>
      <c r="F141" s="23" t="str">
        <f t="shared" si="26"/>
        <v/>
      </c>
      <c r="G141" s="23" t="str">
        <f t="shared" si="27"/>
        <v/>
      </c>
      <c r="H141" s="23" t="str">
        <f t="shared" si="28"/>
        <v/>
      </c>
      <c r="I141" s="23" t="str">
        <f t="shared" si="29"/>
        <v/>
      </c>
      <c r="J141" s="23">
        <f t="shared" si="30"/>
        <v>40.1</v>
      </c>
      <c r="K141" s="23">
        <f t="shared" si="31"/>
        <v>0</v>
      </c>
      <c r="L141" s="23">
        <f t="shared" si="32"/>
        <v>0</v>
      </c>
      <c r="M141" t="s">
        <v>352</v>
      </c>
      <c r="N141" s="7">
        <v>46203</v>
      </c>
      <c r="O141" t="s">
        <v>186</v>
      </c>
      <c r="P141" t="s">
        <v>978</v>
      </c>
      <c r="Q141">
        <v>2026</v>
      </c>
      <c r="R141" s="27" t="s">
        <v>979</v>
      </c>
      <c r="S141" s="27" t="s">
        <v>978</v>
      </c>
      <c r="T141" t="s">
        <v>980</v>
      </c>
      <c r="U141" t="s">
        <v>187</v>
      </c>
      <c r="V141" t="s">
        <v>188</v>
      </c>
      <c r="W141" t="s">
        <v>188</v>
      </c>
      <c r="X141">
        <v>69420</v>
      </c>
      <c r="Y141" t="s">
        <v>189</v>
      </c>
      <c r="Z141" t="s">
        <v>190</v>
      </c>
      <c r="AA141">
        <v>230</v>
      </c>
      <c r="AC141" s="7">
        <v>46195</v>
      </c>
      <c r="AD141">
        <v>21</v>
      </c>
      <c r="AE141" t="s">
        <v>191</v>
      </c>
      <c r="AF141" t="s">
        <v>978</v>
      </c>
      <c r="AG141" t="s">
        <v>192</v>
      </c>
      <c r="AH141">
        <v>21</v>
      </c>
      <c r="AI141" t="s">
        <v>193</v>
      </c>
      <c r="AJ141" s="7">
        <v>46197</v>
      </c>
      <c r="AK141" t="s">
        <v>981</v>
      </c>
      <c r="AL141" t="s">
        <v>978</v>
      </c>
      <c r="AM141" t="s">
        <v>192</v>
      </c>
      <c r="AN141">
        <v>69</v>
      </c>
      <c r="AO141" t="s">
        <v>210</v>
      </c>
      <c r="AR141">
        <v>1</v>
      </c>
      <c r="AS141">
        <v>1</v>
      </c>
      <c r="AT141">
        <v>126</v>
      </c>
      <c r="AU141">
        <v>126</v>
      </c>
      <c r="AV141">
        <v>0</v>
      </c>
      <c r="AW141" t="s">
        <v>194</v>
      </c>
      <c r="AX141">
        <v>126</v>
      </c>
      <c r="AY141">
        <v>0</v>
      </c>
      <c r="BE141" t="s">
        <v>195</v>
      </c>
      <c r="BF141" t="s">
        <v>196</v>
      </c>
      <c r="BG141" t="s">
        <v>197</v>
      </c>
      <c r="BM141">
        <v>37.950000000000003</v>
      </c>
      <c r="BN141" s="23">
        <v>40.1</v>
      </c>
      <c r="BQ141" t="s">
        <v>198</v>
      </c>
      <c r="DK141">
        <v>2</v>
      </c>
      <c r="GM141">
        <v>0.15</v>
      </c>
    </row>
    <row r="142" spans="2:195" x14ac:dyDescent="0.35">
      <c r="B142" s="23" t="str">
        <f t="shared" si="22"/>
        <v>EXP20260619-2807212</v>
      </c>
      <c r="C142" s="23">
        <f t="shared" si="23"/>
        <v>44.96</v>
      </c>
      <c r="D142" s="23">
        <f t="shared" si="24"/>
        <v>44.96</v>
      </c>
      <c r="E142" s="23" t="str">
        <f t="shared" si="25"/>
        <v/>
      </c>
      <c r="F142" s="23" t="str">
        <f t="shared" si="26"/>
        <v/>
      </c>
      <c r="G142" s="23" t="str">
        <f t="shared" si="27"/>
        <v/>
      </c>
      <c r="H142" s="23" t="str">
        <f t="shared" si="28"/>
        <v/>
      </c>
      <c r="I142" s="23" t="str">
        <f t="shared" si="29"/>
        <v/>
      </c>
      <c r="J142" s="23">
        <f t="shared" si="30"/>
        <v>44.96</v>
      </c>
      <c r="K142" s="23">
        <f t="shared" si="31"/>
        <v>0</v>
      </c>
      <c r="L142" s="23">
        <f t="shared" si="32"/>
        <v>0</v>
      </c>
      <c r="M142" t="s">
        <v>352</v>
      </c>
      <c r="N142" s="7">
        <v>46203</v>
      </c>
      <c r="O142" t="s">
        <v>186</v>
      </c>
      <c r="P142" t="s">
        <v>982</v>
      </c>
      <c r="Q142">
        <v>2026</v>
      </c>
      <c r="R142" s="27" t="s">
        <v>983</v>
      </c>
      <c r="S142" s="27" t="s">
        <v>982</v>
      </c>
      <c r="T142" t="s">
        <v>984</v>
      </c>
      <c r="U142" t="s">
        <v>187</v>
      </c>
      <c r="V142" t="s">
        <v>188</v>
      </c>
      <c r="W142" t="s">
        <v>188</v>
      </c>
      <c r="X142">
        <v>83570</v>
      </c>
      <c r="Y142" t="s">
        <v>189</v>
      </c>
      <c r="Z142" t="s">
        <v>190</v>
      </c>
      <c r="AA142">
        <v>599</v>
      </c>
      <c r="AC142" s="7">
        <v>46195</v>
      </c>
      <c r="AD142">
        <v>21</v>
      </c>
      <c r="AE142" t="s">
        <v>191</v>
      </c>
      <c r="AF142" t="s">
        <v>982</v>
      </c>
      <c r="AG142" t="s">
        <v>192</v>
      </c>
      <c r="AH142">
        <v>21</v>
      </c>
      <c r="AI142" t="s">
        <v>193</v>
      </c>
      <c r="AJ142" s="7">
        <v>46197</v>
      </c>
      <c r="AK142" t="s">
        <v>314</v>
      </c>
      <c r="AL142" t="s">
        <v>982</v>
      </c>
      <c r="AM142" t="s">
        <v>192</v>
      </c>
      <c r="AN142">
        <v>83</v>
      </c>
      <c r="AO142" t="s">
        <v>313</v>
      </c>
      <c r="AP142" t="s">
        <v>200</v>
      </c>
      <c r="AR142">
        <v>1</v>
      </c>
      <c r="AS142">
        <v>1</v>
      </c>
      <c r="AT142">
        <v>34</v>
      </c>
      <c r="AU142">
        <v>34</v>
      </c>
      <c r="AV142">
        <v>0</v>
      </c>
      <c r="AW142" t="s">
        <v>194</v>
      </c>
      <c r="AX142">
        <v>34</v>
      </c>
      <c r="AY142">
        <v>0</v>
      </c>
      <c r="BE142" t="s">
        <v>195</v>
      </c>
      <c r="BF142" t="s">
        <v>196</v>
      </c>
      <c r="BG142" t="s">
        <v>197</v>
      </c>
      <c r="BM142">
        <v>34.25</v>
      </c>
      <c r="BN142" s="23">
        <v>44.96</v>
      </c>
      <c r="BQ142" t="s">
        <v>198</v>
      </c>
      <c r="DI142">
        <v>8.56</v>
      </c>
      <c r="DK142">
        <v>2</v>
      </c>
      <c r="GM142">
        <v>0.15</v>
      </c>
    </row>
    <row r="143" spans="2:195" x14ac:dyDescent="0.35">
      <c r="B143" s="23" t="str">
        <f t="shared" si="22"/>
        <v>EXP20260619-2807520</v>
      </c>
      <c r="C143" s="23">
        <f t="shared" si="23"/>
        <v>58.949999999999996</v>
      </c>
      <c r="D143" s="23">
        <f t="shared" si="24"/>
        <v>58.949999999999996</v>
      </c>
      <c r="E143" s="23" t="str">
        <f t="shared" si="25"/>
        <v/>
      </c>
      <c r="F143" s="23" t="str">
        <f t="shared" si="26"/>
        <v/>
      </c>
      <c r="G143" s="23" t="str">
        <f t="shared" si="27"/>
        <v/>
      </c>
      <c r="H143" s="23" t="str">
        <f t="shared" si="28"/>
        <v/>
      </c>
      <c r="I143" s="23" t="str">
        <f t="shared" si="29"/>
        <v/>
      </c>
      <c r="J143" s="23">
        <f t="shared" si="30"/>
        <v>58.949999999999996</v>
      </c>
      <c r="K143" s="23">
        <f t="shared" si="31"/>
        <v>0</v>
      </c>
      <c r="L143" s="23">
        <f t="shared" si="32"/>
        <v>0</v>
      </c>
      <c r="M143" t="s">
        <v>352</v>
      </c>
      <c r="N143" s="7">
        <v>46203</v>
      </c>
      <c r="O143" t="s">
        <v>186</v>
      </c>
      <c r="P143" t="s">
        <v>985</v>
      </c>
      <c r="Q143">
        <v>2026</v>
      </c>
      <c r="R143" s="27" t="s">
        <v>986</v>
      </c>
      <c r="S143" s="27" t="s">
        <v>985</v>
      </c>
      <c r="T143" t="s">
        <v>987</v>
      </c>
      <c r="U143" t="s">
        <v>187</v>
      </c>
      <c r="V143" t="s">
        <v>188</v>
      </c>
      <c r="W143" t="s">
        <v>188</v>
      </c>
      <c r="X143">
        <v>49730</v>
      </c>
      <c r="Y143" t="s">
        <v>189</v>
      </c>
      <c r="Z143" t="s">
        <v>190</v>
      </c>
      <c r="AA143">
        <v>641</v>
      </c>
      <c r="AC143" s="7">
        <v>46195</v>
      </c>
      <c r="AD143">
        <v>21</v>
      </c>
      <c r="AE143" t="s">
        <v>191</v>
      </c>
      <c r="AF143" t="s">
        <v>985</v>
      </c>
      <c r="AG143" t="s">
        <v>192</v>
      </c>
      <c r="AH143">
        <v>21</v>
      </c>
      <c r="AI143" t="s">
        <v>193</v>
      </c>
      <c r="AJ143" s="7">
        <v>46202</v>
      </c>
      <c r="AK143" t="s">
        <v>327</v>
      </c>
      <c r="AL143" t="s">
        <v>985</v>
      </c>
      <c r="AM143" t="s">
        <v>192</v>
      </c>
      <c r="AN143">
        <v>49</v>
      </c>
      <c r="AO143" t="s">
        <v>328</v>
      </c>
      <c r="AR143">
        <v>1</v>
      </c>
      <c r="AS143">
        <v>1</v>
      </c>
      <c r="AT143">
        <v>121</v>
      </c>
      <c r="AU143">
        <v>121</v>
      </c>
      <c r="AV143">
        <v>0</v>
      </c>
      <c r="AW143" t="s">
        <v>194</v>
      </c>
      <c r="AX143">
        <v>121</v>
      </c>
      <c r="AY143">
        <v>0</v>
      </c>
      <c r="BE143" t="s">
        <v>195</v>
      </c>
      <c r="BF143" t="s">
        <v>196</v>
      </c>
      <c r="BG143" t="s">
        <v>197</v>
      </c>
      <c r="BM143">
        <v>56.8</v>
      </c>
      <c r="BN143" s="23">
        <v>58.95</v>
      </c>
      <c r="BQ143" t="s">
        <v>198</v>
      </c>
      <c r="DK143">
        <v>2</v>
      </c>
      <c r="GM143">
        <v>0.15</v>
      </c>
    </row>
    <row r="144" spans="2:195" x14ac:dyDescent="0.35">
      <c r="B144" s="23" t="str">
        <f t="shared" si="22"/>
        <v>EXP20260619-2807740</v>
      </c>
      <c r="C144" s="23">
        <f t="shared" si="23"/>
        <v>30.9</v>
      </c>
      <c r="D144" s="23">
        <f t="shared" si="24"/>
        <v>30.9</v>
      </c>
      <c r="E144" s="23" t="str">
        <f t="shared" si="25"/>
        <v/>
      </c>
      <c r="F144" s="23" t="str">
        <f t="shared" si="26"/>
        <v/>
      </c>
      <c r="G144" s="23" t="str">
        <f t="shared" si="27"/>
        <v/>
      </c>
      <c r="H144" s="23" t="str">
        <f t="shared" si="28"/>
        <v/>
      </c>
      <c r="I144" s="23" t="str">
        <f t="shared" si="29"/>
        <v/>
      </c>
      <c r="J144" s="23">
        <f t="shared" si="30"/>
        <v>30.9</v>
      </c>
      <c r="K144" s="23">
        <f t="shared" si="31"/>
        <v>0</v>
      </c>
      <c r="L144" s="23">
        <f t="shared" si="32"/>
        <v>0</v>
      </c>
      <c r="M144" t="s">
        <v>352</v>
      </c>
      <c r="N144" s="7">
        <v>46203</v>
      </c>
      <c r="O144" t="s">
        <v>186</v>
      </c>
      <c r="P144" t="s">
        <v>988</v>
      </c>
      <c r="Q144">
        <v>2026</v>
      </c>
      <c r="R144" s="27" t="s">
        <v>989</v>
      </c>
      <c r="S144" s="27" t="s">
        <v>988</v>
      </c>
      <c r="T144" t="s">
        <v>990</v>
      </c>
      <c r="U144" t="s">
        <v>187</v>
      </c>
      <c r="V144" t="s">
        <v>188</v>
      </c>
      <c r="W144" t="s">
        <v>188</v>
      </c>
      <c r="X144">
        <v>69220</v>
      </c>
      <c r="Y144" t="s">
        <v>189</v>
      </c>
      <c r="Z144" t="s">
        <v>190</v>
      </c>
      <c r="AA144">
        <v>187</v>
      </c>
      <c r="AC144" s="7">
        <v>46195</v>
      </c>
      <c r="AD144">
        <v>21</v>
      </c>
      <c r="AE144" t="s">
        <v>191</v>
      </c>
      <c r="AF144" t="s">
        <v>988</v>
      </c>
      <c r="AG144" t="s">
        <v>192</v>
      </c>
      <c r="AH144">
        <v>21</v>
      </c>
      <c r="AI144" t="s">
        <v>193</v>
      </c>
      <c r="AJ144" s="7">
        <v>46197</v>
      </c>
      <c r="AK144" t="s">
        <v>991</v>
      </c>
      <c r="AL144" t="s">
        <v>988</v>
      </c>
      <c r="AM144" t="s">
        <v>192</v>
      </c>
      <c r="AN144">
        <v>69</v>
      </c>
      <c r="AO144" t="s">
        <v>992</v>
      </c>
      <c r="AR144">
        <v>1</v>
      </c>
      <c r="AS144">
        <v>1</v>
      </c>
      <c r="AT144">
        <v>72</v>
      </c>
      <c r="AU144">
        <v>72</v>
      </c>
      <c r="AV144">
        <v>0</v>
      </c>
      <c r="AW144" t="s">
        <v>194</v>
      </c>
      <c r="AX144">
        <v>72</v>
      </c>
      <c r="AY144">
        <v>0</v>
      </c>
      <c r="BE144" t="s">
        <v>195</v>
      </c>
      <c r="BF144" t="s">
        <v>196</v>
      </c>
      <c r="BG144" t="s">
        <v>197</v>
      </c>
      <c r="BM144">
        <v>28.75</v>
      </c>
      <c r="BN144" s="23">
        <v>30.9</v>
      </c>
      <c r="BQ144" t="s">
        <v>198</v>
      </c>
      <c r="DK144">
        <v>2</v>
      </c>
      <c r="GM144">
        <v>0.15</v>
      </c>
    </row>
    <row r="145" spans="2:195" x14ac:dyDescent="0.35">
      <c r="B145" s="23" t="str">
        <f t="shared" si="22"/>
        <v>EXP20260622-2811664</v>
      </c>
      <c r="C145" s="23">
        <f t="shared" si="23"/>
        <v>26.599999999999998</v>
      </c>
      <c r="D145" s="23">
        <f t="shared" si="24"/>
        <v>26.599999999999998</v>
      </c>
      <c r="E145" s="23" t="str">
        <f t="shared" si="25"/>
        <v/>
      </c>
      <c r="F145" s="23" t="str">
        <f t="shared" si="26"/>
        <v/>
      </c>
      <c r="G145" s="23" t="str">
        <f t="shared" si="27"/>
        <v/>
      </c>
      <c r="H145" s="23" t="str">
        <f t="shared" si="28"/>
        <v/>
      </c>
      <c r="I145" s="23" t="str">
        <f t="shared" si="29"/>
        <v/>
      </c>
      <c r="J145" s="23">
        <f t="shared" si="30"/>
        <v>26.599999999999998</v>
      </c>
      <c r="K145" s="23">
        <f t="shared" si="31"/>
        <v>0</v>
      </c>
      <c r="L145" s="23">
        <f t="shared" si="32"/>
        <v>0</v>
      </c>
      <c r="M145" t="s">
        <v>352</v>
      </c>
      <c r="N145" s="7">
        <v>46203</v>
      </c>
      <c r="O145" t="s">
        <v>186</v>
      </c>
      <c r="P145" t="s">
        <v>993</v>
      </c>
      <c r="Q145">
        <v>2026</v>
      </c>
      <c r="R145" s="27" t="s">
        <v>994</v>
      </c>
      <c r="S145" s="27" t="s">
        <v>993</v>
      </c>
      <c r="T145" t="s">
        <v>995</v>
      </c>
      <c r="U145" t="s">
        <v>187</v>
      </c>
      <c r="V145" t="s">
        <v>188</v>
      </c>
      <c r="W145" t="s">
        <v>188</v>
      </c>
      <c r="X145">
        <v>26790</v>
      </c>
      <c r="Y145" t="s">
        <v>189</v>
      </c>
      <c r="Z145" t="s">
        <v>190</v>
      </c>
      <c r="AA145">
        <v>507</v>
      </c>
      <c r="AC145" s="7">
        <v>46195</v>
      </c>
      <c r="AD145">
        <v>21</v>
      </c>
      <c r="AE145" t="s">
        <v>191</v>
      </c>
      <c r="AF145" t="s">
        <v>993</v>
      </c>
      <c r="AG145" t="s">
        <v>192</v>
      </c>
      <c r="AH145">
        <v>21</v>
      </c>
      <c r="AI145" t="s">
        <v>193</v>
      </c>
      <c r="AJ145" s="7">
        <v>46197</v>
      </c>
      <c r="AK145" t="s">
        <v>996</v>
      </c>
      <c r="AL145" t="s">
        <v>993</v>
      </c>
      <c r="AM145" t="s">
        <v>192</v>
      </c>
      <c r="AN145">
        <v>26</v>
      </c>
      <c r="AO145" t="s">
        <v>997</v>
      </c>
      <c r="AR145">
        <v>1</v>
      </c>
      <c r="AS145">
        <v>1</v>
      </c>
      <c r="AT145">
        <v>27</v>
      </c>
      <c r="AU145">
        <v>27</v>
      </c>
      <c r="AV145">
        <v>0</v>
      </c>
      <c r="AW145" t="s">
        <v>194</v>
      </c>
      <c r="AX145">
        <v>27</v>
      </c>
      <c r="AY145">
        <v>0</v>
      </c>
      <c r="BE145" t="s">
        <v>195</v>
      </c>
      <c r="BF145" t="s">
        <v>196</v>
      </c>
      <c r="BG145" t="s">
        <v>197</v>
      </c>
      <c r="BM145">
        <v>24.45</v>
      </c>
      <c r="BN145" s="23">
        <v>26.6</v>
      </c>
      <c r="BQ145" t="s">
        <v>198</v>
      </c>
      <c r="DK145">
        <v>2</v>
      </c>
      <c r="GM145">
        <v>0.15</v>
      </c>
    </row>
    <row r="146" spans="2:195" x14ac:dyDescent="0.35">
      <c r="B146" s="23" t="str">
        <f t="shared" si="22"/>
        <v>EXP20260620-2808454</v>
      </c>
      <c r="C146" s="23">
        <f t="shared" si="23"/>
        <v>35.44</v>
      </c>
      <c r="D146" s="23">
        <f t="shared" si="24"/>
        <v>35.44</v>
      </c>
      <c r="E146" s="23" t="str">
        <f t="shared" si="25"/>
        <v/>
      </c>
      <c r="F146" s="23" t="str">
        <f t="shared" si="26"/>
        <v/>
      </c>
      <c r="G146" s="23" t="str">
        <f t="shared" si="27"/>
        <v/>
      </c>
      <c r="H146" s="23" t="str">
        <f t="shared" si="28"/>
        <v/>
      </c>
      <c r="I146" s="23" t="str">
        <f t="shared" si="29"/>
        <v/>
      </c>
      <c r="J146" s="23">
        <f t="shared" si="30"/>
        <v>35.44</v>
      </c>
      <c r="K146" s="23">
        <f t="shared" si="31"/>
        <v>0</v>
      </c>
      <c r="L146" s="23">
        <f t="shared" si="32"/>
        <v>0</v>
      </c>
      <c r="M146" t="s">
        <v>352</v>
      </c>
      <c r="N146" s="7">
        <v>46203</v>
      </c>
      <c r="O146" t="s">
        <v>186</v>
      </c>
      <c r="P146" t="s">
        <v>998</v>
      </c>
      <c r="Q146">
        <v>2026</v>
      </c>
      <c r="R146" s="27" t="s">
        <v>999</v>
      </c>
      <c r="S146" s="27" t="s">
        <v>998</v>
      </c>
      <c r="T146" t="s">
        <v>1000</v>
      </c>
      <c r="U146" t="s">
        <v>187</v>
      </c>
      <c r="V146" t="s">
        <v>188</v>
      </c>
      <c r="W146" t="s">
        <v>188</v>
      </c>
      <c r="X146">
        <v>73170</v>
      </c>
      <c r="Y146" t="s">
        <v>189</v>
      </c>
      <c r="Z146" t="s">
        <v>190</v>
      </c>
      <c r="AA146">
        <v>370</v>
      </c>
      <c r="AC146" s="7">
        <v>46195</v>
      </c>
      <c r="AD146">
        <v>21</v>
      </c>
      <c r="AE146" t="s">
        <v>191</v>
      </c>
      <c r="AF146" t="s">
        <v>998</v>
      </c>
      <c r="AG146" t="s">
        <v>192</v>
      </c>
      <c r="AH146">
        <v>21</v>
      </c>
      <c r="AI146" t="s">
        <v>193</v>
      </c>
      <c r="AJ146" s="7">
        <v>46197</v>
      </c>
      <c r="AK146" t="s">
        <v>1001</v>
      </c>
      <c r="AL146" t="s">
        <v>998</v>
      </c>
      <c r="AM146" t="s">
        <v>192</v>
      </c>
      <c r="AN146">
        <v>73</v>
      </c>
      <c r="AO146" t="s">
        <v>1002</v>
      </c>
      <c r="AR146">
        <v>1</v>
      </c>
      <c r="AS146">
        <v>1</v>
      </c>
      <c r="AT146">
        <v>88</v>
      </c>
      <c r="AU146">
        <v>88</v>
      </c>
      <c r="AV146">
        <v>0</v>
      </c>
      <c r="AW146" t="s">
        <v>194</v>
      </c>
      <c r="AX146">
        <v>88</v>
      </c>
      <c r="AY146">
        <v>0</v>
      </c>
      <c r="BE146" t="s">
        <v>195</v>
      </c>
      <c r="BF146" t="s">
        <v>196</v>
      </c>
      <c r="BG146" t="s">
        <v>197</v>
      </c>
      <c r="BM146">
        <v>33.29</v>
      </c>
      <c r="BN146" s="23">
        <v>35.44</v>
      </c>
      <c r="BQ146" t="s">
        <v>198</v>
      </c>
      <c r="DK146">
        <v>2</v>
      </c>
      <c r="GM146">
        <v>0.15</v>
      </c>
    </row>
    <row r="147" spans="2:195" x14ac:dyDescent="0.35">
      <c r="B147" s="23" t="str">
        <f t="shared" si="22"/>
        <v>EXP20260622-2811738</v>
      </c>
      <c r="C147" s="23">
        <f t="shared" si="23"/>
        <v>153.13</v>
      </c>
      <c r="D147" s="23">
        <f t="shared" si="24"/>
        <v>153.13</v>
      </c>
      <c r="E147" s="23" t="str">
        <f t="shared" si="25"/>
        <v/>
      </c>
      <c r="F147" s="23" t="str">
        <f t="shared" si="26"/>
        <v/>
      </c>
      <c r="G147" s="23" t="str">
        <f t="shared" si="27"/>
        <v/>
      </c>
      <c r="H147" s="23" t="str">
        <f t="shared" si="28"/>
        <v/>
      </c>
      <c r="I147" s="23" t="str">
        <f t="shared" si="29"/>
        <v/>
      </c>
      <c r="J147" s="23">
        <f t="shared" si="30"/>
        <v>153.13</v>
      </c>
      <c r="K147" s="23">
        <f t="shared" si="31"/>
        <v>0</v>
      </c>
      <c r="L147" s="23">
        <f t="shared" si="32"/>
        <v>0</v>
      </c>
      <c r="M147" t="s">
        <v>352</v>
      </c>
      <c r="N147" s="7">
        <v>46203</v>
      </c>
      <c r="O147" t="s">
        <v>186</v>
      </c>
      <c r="P147" t="s">
        <v>1003</v>
      </c>
      <c r="Q147">
        <v>2026</v>
      </c>
      <c r="R147" s="27" t="s">
        <v>1004</v>
      </c>
      <c r="S147" s="27" t="s">
        <v>1003</v>
      </c>
      <c r="T147" t="s">
        <v>1005</v>
      </c>
      <c r="U147" t="s">
        <v>187</v>
      </c>
      <c r="V147" t="s">
        <v>188</v>
      </c>
      <c r="W147" t="s">
        <v>188</v>
      </c>
      <c r="X147">
        <v>83340</v>
      </c>
      <c r="Y147" t="s">
        <v>189</v>
      </c>
      <c r="Z147" t="s">
        <v>190</v>
      </c>
      <c r="AA147">
        <v>599</v>
      </c>
      <c r="AC147" s="7">
        <v>46195</v>
      </c>
      <c r="AD147">
        <v>21</v>
      </c>
      <c r="AE147" t="s">
        <v>191</v>
      </c>
      <c r="AF147" t="s">
        <v>1003</v>
      </c>
      <c r="AG147" t="s">
        <v>192</v>
      </c>
      <c r="AH147">
        <v>21</v>
      </c>
      <c r="AI147" t="s">
        <v>193</v>
      </c>
      <c r="AJ147" s="7">
        <v>46196</v>
      </c>
      <c r="AK147" t="s">
        <v>1006</v>
      </c>
      <c r="AL147" t="s">
        <v>1003</v>
      </c>
      <c r="AM147" t="s">
        <v>192</v>
      </c>
      <c r="AN147">
        <v>83</v>
      </c>
      <c r="AO147" t="s">
        <v>1007</v>
      </c>
      <c r="AR147">
        <v>2</v>
      </c>
      <c r="AS147">
        <v>2</v>
      </c>
      <c r="AT147">
        <v>264</v>
      </c>
      <c r="AU147">
        <v>264</v>
      </c>
      <c r="AV147">
        <v>0</v>
      </c>
      <c r="AW147" t="s">
        <v>201</v>
      </c>
      <c r="AX147">
        <v>2</v>
      </c>
      <c r="AY147">
        <v>0</v>
      </c>
      <c r="BE147" t="s">
        <v>195</v>
      </c>
      <c r="BF147" t="s">
        <v>196</v>
      </c>
      <c r="BG147" t="s">
        <v>197</v>
      </c>
      <c r="BM147">
        <v>120.78</v>
      </c>
      <c r="BN147" s="23">
        <v>153.13</v>
      </c>
      <c r="BQ147" t="s">
        <v>198</v>
      </c>
      <c r="DI147">
        <v>30.2</v>
      </c>
      <c r="DK147">
        <v>2</v>
      </c>
      <c r="GM147">
        <v>0.15</v>
      </c>
    </row>
    <row r="148" spans="2:195" x14ac:dyDescent="0.35">
      <c r="B148" s="23" t="str">
        <f t="shared" si="22"/>
        <v>EXP20260620-2808305</v>
      </c>
      <c r="C148" s="23">
        <f t="shared" si="23"/>
        <v>49.37</v>
      </c>
      <c r="D148" s="23">
        <f t="shared" si="24"/>
        <v>49.37</v>
      </c>
      <c r="E148" s="23" t="str">
        <f t="shared" si="25"/>
        <v/>
      </c>
      <c r="F148" s="23" t="str">
        <f t="shared" si="26"/>
        <v/>
      </c>
      <c r="G148" s="23">
        <f t="shared" si="27"/>
        <v>7</v>
      </c>
      <c r="H148" s="23" t="str">
        <f t="shared" si="28"/>
        <v/>
      </c>
      <c r="I148" s="23" t="str">
        <f t="shared" si="29"/>
        <v/>
      </c>
      <c r="J148" s="23">
        <f t="shared" si="30"/>
        <v>42.37</v>
      </c>
      <c r="K148" s="23">
        <f t="shared" si="31"/>
        <v>0</v>
      </c>
      <c r="L148" s="23">
        <f t="shared" si="32"/>
        <v>0</v>
      </c>
      <c r="M148" t="s">
        <v>352</v>
      </c>
      <c r="N148" s="7">
        <v>46203</v>
      </c>
      <c r="O148" t="s">
        <v>186</v>
      </c>
      <c r="P148" t="s">
        <v>1008</v>
      </c>
      <c r="Q148">
        <v>2026</v>
      </c>
      <c r="R148" s="27" t="s">
        <v>1009</v>
      </c>
      <c r="S148" s="27" t="s">
        <v>1008</v>
      </c>
      <c r="T148" t="s">
        <v>1010</v>
      </c>
      <c r="U148" t="s">
        <v>187</v>
      </c>
      <c r="V148" t="s">
        <v>188</v>
      </c>
      <c r="W148" t="s">
        <v>188</v>
      </c>
      <c r="X148">
        <v>75001</v>
      </c>
      <c r="Y148" t="s">
        <v>189</v>
      </c>
      <c r="Z148" t="s">
        <v>190</v>
      </c>
      <c r="AA148">
        <v>395</v>
      </c>
      <c r="AC148" s="7">
        <v>46195</v>
      </c>
      <c r="AD148">
        <v>21</v>
      </c>
      <c r="AE148" t="s">
        <v>191</v>
      </c>
      <c r="AF148" t="s">
        <v>1008</v>
      </c>
      <c r="AG148" t="s">
        <v>192</v>
      </c>
      <c r="AH148">
        <v>21</v>
      </c>
      <c r="AI148" t="s">
        <v>193</v>
      </c>
      <c r="AJ148" s="7">
        <v>46202</v>
      </c>
      <c r="AK148" t="s">
        <v>1011</v>
      </c>
      <c r="AL148" t="s">
        <v>1008</v>
      </c>
      <c r="AM148" t="s">
        <v>192</v>
      </c>
      <c r="AN148">
        <v>75</v>
      </c>
      <c r="AO148" t="s">
        <v>211</v>
      </c>
      <c r="AR148">
        <v>1</v>
      </c>
      <c r="AS148">
        <v>1</v>
      </c>
      <c r="AT148">
        <v>88</v>
      </c>
      <c r="AU148">
        <v>88</v>
      </c>
      <c r="AV148">
        <v>0</v>
      </c>
      <c r="AW148" t="s">
        <v>194</v>
      </c>
      <c r="AX148">
        <v>88</v>
      </c>
      <c r="AY148">
        <v>0</v>
      </c>
      <c r="BE148" t="s">
        <v>195</v>
      </c>
      <c r="BF148" t="s">
        <v>196</v>
      </c>
      <c r="BG148" t="s">
        <v>197</v>
      </c>
      <c r="BM148">
        <v>40.22</v>
      </c>
      <c r="BN148" s="23">
        <v>49.37</v>
      </c>
      <c r="BQ148" t="s">
        <v>198</v>
      </c>
      <c r="DK148">
        <v>2</v>
      </c>
      <c r="DN148">
        <v>7</v>
      </c>
      <c r="GM148">
        <v>0.15</v>
      </c>
    </row>
    <row r="149" spans="2:195" x14ac:dyDescent="0.35">
      <c r="B149" s="23" t="str">
        <f t="shared" si="22"/>
        <v>EXP20260619-2807521</v>
      </c>
      <c r="C149" s="23">
        <f t="shared" si="23"/>
        <v>37.92</v>
      </c>
      <c r="D149" s="23">
        <f t="shared" si="24"/>
        <v>37.92</v>
      </c>
      <c r="E149" s="23" t="str">
        <f t="shared" si="25"/>
        <v/>
      </c>
      <c r="F149" s="23" t="str">
        <f t="shared" si="26"/>
        <v/>
      </c>
      <c r="G149" s="23">
        <f t="shared" si="27"/>
        <v>7</v>
      </c>
      <c r="H149" s="23" t="str">
        <f t="shared" si="28"/>
        <v/>
      </c>
      <c r="I149" s="23" t="str">
        <f t="shared" si="29"/>
        <v/>
      </c>
      <c r="J149" s="23">
        <f t="shared" si="30"/>
        <v>30.919999999999998</v>
      </c>
      <c r="K149" s="23">
        <f t="shared" si="31"/>
        <v>0</v>
      </c>
      <c r="L149" s="23">
        <f t="shared" si="32"/>
        <v>0</v>
      </c>
      <c r="M149" t="s">
        <v>352</v>
      </c>
      <c r="N149" s="7">
        <v>46203</v>
      </c>
      <c r="O149" t="s">
        <v>186</v>
      </c>
      <c r="P149" t="s">
        <v>1012</v>
      </c>
      <c r="Q149">
        <v>2026</v>
      </c>
      <c r="R149" s="27" t="s">
        <v>1013</v>
      </c>
      <c r="S149" s="27" t="s">
        <v>1012</v>
      </c>
      <c r="T149" t="s">
        <v>1014</v>
      </c>
      <c r="U149" t="s">
        <v>187</v>
      </c>
      <c r="V149" t="s">
        <v>188</v>
      </c>
      <c r="W149" t="s">
        <v>188</v>
      </c>
      <c r="X149">
        <v>75001</v>
      </c>
      <c r="Y149" t="s">
        <v>189</v>
      </c>
      <c r="Z149" t="s">
        <v>190</v>
      </c>
      <c r="AA149">
        <v>395</v>
      </c>
      <c r="AC149" s="7">
        <v>46195</v>
      </c>
      <c r="AD149">
        <v>21</v>
      </c>
      <c r="AE149" t="s">
        <v>191</v>
      </c>
      <c r="AF149" t="s">
        <v>1012</v>
      </c>
      <c r="AG149" t="s">
        <v>192</v>
      </c>
      <c r="AH149">
        <v>21</v>
      </c>
      <c r="AI149" t="s">
        <v>193</v>
      </c>
      <c r="AJ149" s="7"/>
      <c r="AK149" t="s">
        <v>1015</v>
      </c>
      <c r="AL149" t="s">
        <v>1012</v>
      </c>
      <c r="AM149" t="s">
        <v>192</v>
      </c>
      <c r="AN149">
        <v>75</v>
      </c>
      <c r="AO149" t="s">
        <v>211</v>
      </c>
      <c r="AR149">
        <v>1</v>
      </c>
      <c r="AS149">
        <v>1</v>
      </c>
      <c r="AT149">
        <v>28</v>
      </c>
      <c r="AU149">
        <v>28</v>
      </c>
      <c r="AV149">
        <v>0</v>
      </c>
      <c r="AW149" t="s">
        <v>194</v>
      </c>
      <c r="AX149">
        <v>28</v>
      </c>
      <c r="AY149">
        <v>0</v>
      </c>
      <c r="BE149" t="s">
        <v>195</v>
      </c>
      <c r="BF149" t="s">
        <v>196</v>
      </c>
      <c r="BG149" t="s">
        <v>197</v>
      </c>
      <c r="BM149">
        <v>28.77</v>
      </c>
      <c r="BN149" s="23">
        <v>37.92</v>
      </c>
      <c r="BQ149" t="s">
        <v>198</v>
      </c>
      <c r="DK149">
        <v>2</v>
      </c>
      <c r="DN149">
        <v>7</v>
      </c>
      <c r="GM149">
        <v>0.15</v>
      </c>
    </row>
    <row r="150" spans="2:195" x14ac:dyDescent="0.35">
      <c r="B150" s="23" t="str">
        <f t="shared" si="22"/>
        <v>26A060912817</v>
      </c>
      <c r="C150" s="23">
        <f t="shared" si="23"/>
        <v>300</v>
      </c>
      <c r="D150" s="23">
        <f t="shared" si="24"/>
        <v>300</v>
      </c>
      <c r="E150" s="23" t="str">
        <f t="shared" si="25"/>
        <v/>
      </c>
      <c r="F150" s="23" t="str">
        <f t="shared" si="26"/>
        <v/>
      </c>
      <c r="G150" s="23" t="str">
        <f t="shared" si="27"/>
        <v/>
      </c>
      <c r="H150" s="23" t="str">
        <f t="shared" si="28"/>
        <v/>
      </c>
      <c r="I150" s="23" t="str">
        <f t="shared" si="29"/>
        <v/>
      </c>
      <c r="J150" s="23">
        <f t="shared" si="30"/>
        <v>300</v>
      </c>
      <c r="K150" s="23">
        <f t="shared" si="31"/>
        <v>0</v>
      </c>
      <c r="L150" s="23">
        <f t="shared" si="32"/>
        <v>0</v>
      </c>
      <c r="M150" t="s">
        <v>352</v>
      </c>
      <c r="N150" s="7">
        <v>46203</v>
      </c>
      <c r="O150" t="s">
        <v>186</v>
      </c>
      <c r="Q150">
        <v>2026</v>
      </c>
      <c r="R150" s="27" t="s">
        <v>1016</v>
      </c>
      <c r="S150" s="27"/>
      <c r="T150" t="s">
        <v>1017</v>
      </c>
      <c r="U150" t="s">
        <v>203</v>
      </c>
      <c r="V150" t="s">
        <v>188</v>
      </c>
      <c r="W150" t="s">
        <v>188</v>
      </c>
      <c r="X150">
        <v>21320</v>
      </c>
      <c r="Y150" t="s">
        <v>204</v>
      </c>
      <c r="AA150">
        <v>59</v>
      </c>
      <c r="AC150" s="7">
        <v>46198</v>
      </c>
      <c r="AD150">
        <v>21</v>
      </c>
      <c r="AE150" t="s">
        <v>312</v>
      </c>
      <c r="AG150" t="s">
        <v>192</v>
      </c>
      <c r="AH150">
        <v>21</v>
      </c>
      <c r="AI150" t="s">
        <v>206</v>
      </c>
      <c r="AJ150" s="7"/>
      <c r="AK150" t="s">
        <v>191</v>
      </c>
      <c r="AM150" t="s">
        <v>192</v>
      </c>
      <c r="AN150">
        <v>21</v>
      </c>
      <c r="AO150" t="s">
        <v>193</v>
      </c>
      <c r="AR150">
        <v>33</v>
      </c>
      <c r="AS150">
        <v>33</v>
      </c>
      <c r="AT150">
        <v>20000</v>
      </c>
      <c r="AU150">
        <v>0</v>
      </c>
      <c r="AV150">
        <v>0</v>
      </c>
      <c r="AW150" t="s">
        <v>201</v>
      </c>
      <c r="AX150">
        <v>33</v>
      </c>
      <c r="AY150">
        <v>13.4</v>
      </c>
      <c r="BE150" t="s">
        <v>207</v>
      </c>
      <c r="BF150" t="s">
        <v>208</v>
      </c>
      <c r="BG150" t="s">
        <v>197</v>
      </c>
      <c r="BM150">
        <v>300</v>
      </c>
      <c r="BN150" s="23">
        <v>300</v>
      </c>
    </row>
    <row r="151" spans="2:195" x14ac:dyDescent="0.35">
      <c r="B151" s="23" t="str">
        <f t="shared" si="22"/>
        <v>EXP20260623-2813700</v>
      </c>
      <c r="C151" s="23">
        <f t="shared" si="23"/>
        <v>53.61</v>
      </c>
      <c r="D151" s="23">
        <f t="shared" si="24"/>
        <v>53.61</v>
      </c>
      <c r="E151" s="23" t="str">
        <f t="shared" si="25"/>
        <v/>
      </c>
      <c r="F151" s="23" t="str">
        <f t="shared" si="26"/>
        <v/>
      </c>
      <c r="G151" s="23" t="str">
        <f t="shared" si="27"/>
        <v/>
      </c>
      <c r="H151" s="23" t="str">
        <f t="shared" si="28"/>
        <v/>
      </c>
      <c r="I151" s="23" t="str">
        <f t="shared" si="29"/>
        <v/>
      </c>
      <c r="J151" s="23">
        <f t="shared" si="30"/>
        <v>53.61</v>
      </c>
      <c r="K151" s="23">
        <f t="shared" si="31"/>
        <v>0</v>
      </c>
      <c r="L151" s="23">
        <f t="shared" si="32"/>
        <v>0</v>
      </c>
      <c r="M151" t="s">
        <v>352</v>
      </c>
      <c r="N151" s="7">
        <v>46203</v>
      </c>
      <c r="O151" t="s">
        <v>186</v>
      </c>
      <c r="P151" t="s">
        <v>1018</v>
      </c>
      <c r="Q151">
        <v>2026</v>
      </c>
      <c r="R151" s="27" t="s">
        <v>1019</v>
      </c>
      <c r="S151" s="27" t="s">
        <v>1018</v>
      </c>
      <c r="T151" t="s">
        <v>1020</v>
      </c>
      <c r="U151" t="s">
        <v>187</v>
      </c>
      <c r="V151" t="s">
        <v>188</v>
      </c>
      <c r="W151" t="s">
        <v>188</v>
      </c>
      <c r="X151">
        <v>84750</v>
      </c>
      <c r="Y151" t="s">
        <v>189</v>
      </c>
      <c r="Z151" t="s">
        <v>190</v>
      </c>
      <c r="AA151">
        <v>468</v>
      </c>
      <c r="AC151" s="7">
        <v>46198</v>
      </c>
      <c r="AD151">
        <v>21</v>
      </c>
      <c r="AE151" t="s">
        <v>191</v>
      </c>
      <c r="AF151" t="s">
        <v>1018</v>
      </c>
      <c r="AG151" t="s">
        <v>192</v>
      </c>
      <c r="AH151">
        <v>21</v>
      </c>
      <c r="AI151" t="s">
        <v>193</v>
      </c>
      <c r="AJ151" s="7">
        <v>46202</v>
      </c>
      <c r="AK151" t="s">
        <v>1021</v>
      </c>
      <c r="AL151" t="s">
        <v>1018</v>
      </c>
      <c r="AM151" t="s">
        <v>192</v>
      </c>
      <c r="AN151">
        <v>84</v>
      </c>
      <c r="AO151" t="s">
        <v>1022</v>
      </c>
      <c r="AR151">
        <v>1</v>
      </c>
      <c r="AS151">
        <v>1</v>
      </c>
      <c r="AT151">
        <v>109</v>
      </c>
      <c r="AU151">
        <v>109</v>
      </c>
      <c r="AV151">
        <v>0</v>
      </c>
      <c r="AW151" t="s">
        <v>194</v>
      </c>
      <c r="AX151">
        <v>109</v>
      </c>
      <c r="AY151">
        <v>0</v>
      </c>
      <c r="BE151" t="s">
        <v>195</v>
      </c>
      <c r="BF151" t="s">
        <v>196</v>
      </c>
      <c r="BG151" t="s">
        <v>197</v>
      </c>
      <c r="BM151">
        <v>41.17</v>
      </c>
      <c r="BN151" s="23">
        <v>53.61</v>
      </c>
      <c r="BQ151" t="s">
        <v>198</v>
      </c>
      <c r="DI151">
        <v>10.29</v>
      </c>
      <c r="DK151">
        <v>2</v>
      </c>
      <c r="GM151">
        <v>0.15</v>
      </c>
    </row>
    <row r="152" spans="2:195" x14ac:dyDescent="0.35">
      <c r="B152" s="23" t="str">
        <f t="shared" si="22"/>
        <v>EXP20260622-2812727</v>
      </c>
      <c r="C152" s="23">
        <f t="shared" si="23"/>
        <v>44.93</v>
      </c>
      <c r="D152" s="23">
        <f t="shared" si="24"/>
        <v>44.93</v>
      </c>
      <c r="E152" s="23" t="str">
        <f t="shared" si="25"/>
        <v/>
      </c>
      <c r="F152" s="23" t="str">
        <f t="shared" si="26"/>
        <v/>
      </c>
      <c r="G152" s="23" t="str">
        <f t="shared" si="27"/>
        <v/>
      </c>
      <c r="H152" s="23" t="str">
        <f t="shared" si="28"/>
        <v/>
      </c>
      <c r="I152" s="23" t="str">
        <f t="shared" si="29"/>
        <v/>
      </c>
      <c r="J152" s="23">
        <f t="shared" si="30"/>
        <v>44.93</v>
      </c>
      <c r="K152" s="23">
        <f t="shared" si="31"/>
        <v>0</v>
      </c>
      <c r="L152" s="23">
        <f t="shared" si="32"/>
        <v>0</v>
      </c>
      <c r="M152" t="s">
        <v>352</v>
      </c>
      <c r="N152" s="7">
        <v>46203</v>
      </c>
      <c r="O152" t="s">
        <v>186</v>
      </c>
      <c r="P152" t="s">
        <v>1023</v>
      </c>
      <c r="Q152">
        <v>2026</v>
      </c>
      <c r="R152" s="27" t="s">
        <v>1024</v>
      </c>
      <c r="S152" s="27" t="s">
        <v>1023</v>
      </c>
      <c r="T152" t="s">
        <v>1025</v>
      </c>
      <c r="U152" t="s">
        <v>187</v>
      </c>
      <c r="V152" t="s">
        <v>188</v>
      </c>
      <c r="W152" t="s">
        <v>188</v>
      </c>
      <c r="X152">
        <v>1450</v>
      </c>
      <c r="Y152" t="s">
        <v>189</v>
      </c>
      <c r="Z152" t="s">
        <v>190</v>
      </c>
      <c r="AA152">
        <v>243</v>
      </c>
      <c r="AC152" s="7">
        <v>46198</v>
      </c>
      <c r="AD152">
        <v>21</v>
      </c>
      <c r="AE152" t="s">
        <v>191</v>
      </c>
      <c r="AF152" t="s">
        <v>1023</v>
      </c>
      <c r="AG152" t="s">
        <v>192</v>
      </c>
      <c r="AH152">
        <v>21</v>
      </c>
      <c r="AI152" t="s">
        <v>193</v>
      </c>
      <c r="AJ152" s="7">
        <v>46203</v>
      </c>
      <c r="AK152" t="s">
        <v>1026</v>
      </c>
      <c r="AL152" t="s">
        <v>1023</v>
      </c>
      <c r="AM152" t="s">
        <v>192</v>
      </c>
      <c r="AN152">
        <v>1</v>
      </c>
      <c r="AO152" t="s">
        <v>305</v>
      </c>
      <c r="AR152">
        <v>1</v>
      </c>
      <c r="AS152">
        <v>1</v>
      </c>
      <c r="AT152">
        <v>146</v>
      </c>
      <c r="AU152">
        <v>146</v>
      </c>
      <c r="AV152">
        <v>0</v>
      </c>
      <c r="AW152" t="s">
        <v>194</v>
      </c>
      <c r="AX152">
        <v>146</v>
      </c>
      <c r="AY152">
        <v>0</v>
      </c>
      <c r="BE152" t="s">
        <v>195</v>
      </c>
      <c r="BF152" t="s">
        <v>196</v>
      </c>
      <c r="BG152" t="s">
        <v>197</v>
      </c>
      <c r="BM152">
        <v>42.78</v>
      </c>
      <c r="BN152" s="23">
        <v>44.93</v>
      </c>
      <c r="BQ152" t="s">
        <v>198</v>
      </c>
      <c r="DK152">
        <v>2</v>
      </c>
      <c r="GM152">
        <v>0.15</v>
      </c>
    </row>
    <row r="153" spans="2:195" x14ac:dyDescent="0.35">
      <c r="B153" s="23" t="str">
        <f t="shared" si="22"/>
        <v>EXP20260623-2813701</v>
      </c>
      <c r="C153" s="23">
        <f t="shared" si="23"/>
        <v>46.68</v>
      </c>
      <c r="D153" s="23">
        <f t="shared" si="24"/>
        <v>46.68</v>
      </c>
      <c r="E153" s="23" t="str">
        <f t="shared" si="25"/>
        <v/>
      </c>
      <c r="F153" s="23" t="str">
        <f t="shared" si="26"/>
        <v/>
      </c>
      <c r="G153" s="23" t="str">
        <f t="shared" si="27"/>
        <v/>
      </c>
      <c r="H153" s="23" t="str">
        <f t="shared" si="28"/>
        <v/>
      </c>
      <c r="I153" s="23" t="str">
        <f t="shared" si="29"/>
        <v/>
      </c>
      <c r="J153" s="23">
        <f t="shared" si="30"/>
        <v>46.68</v>
      </c>
      <c r="K153" s="23">
        <f t="shared" si="31"/>
        <v>0</v>
      </c>
      <c r="L153" s="23">
        <f t="shared" si="32"/>
        <v>0</v>
      </c>
      <c r="M153" t="s">
        <v>352</v>
      </c>
      <c r="N153" s="7">
        <v>46203</v>
      </c>
      <c r="O153" t="s">
        <v>186</v>
      </c>
      <c r="P153" t="s">
        <v>1027</v>
      </c>
      <c r="Q153">
        <v>2026</v>
      </c>
      <c r="R153" s="27" t="s">
        <v>1028</v>
      </c>
      <c r="S153" s="27" t="s">
        <v>1027</v>
      </c>
      <c r="T153" t="s">
        <v>1029</v>
      </c>
      <c r="U153" t="s">
        <v>187</v>
      </c>
      <c r="V153" t="s">
        <v>188</v>
      </c>
      <c r="W153" t="s">
        <v>188</v>
      </c>
      <c r="X153">
        <v>83690</v>
      </c>
      <c r="Y153" t="s">
        <v>189</v>
      </c>
      <c r="Z153" t="s">
        <v>190</v>
      </c>
      <c r="AA153">
        <v>599</v>
      </c>
      <c r="AC153" s="7">
        <v>46198</v>
      </c>
      <c r="AD153">
        <v>21</v>
      </c>
      <c r="AE153" t="s">
        <v>191</v>
      </c>
      <c r="AF153" t="s">
        <v>1027</v>
      </c>
      <c r="AG153" t="s">
        <v>192</v>
      </c>
      <c r="AH153">
        <v>21</v>
      </c>
      <c r="AI153" t="s">
        <v>193</v>
      </c>
      <c r="AJ153" s="7">
        <v>46203</v>
      </c>
      <c r="AK153" t="s">
        <v>607</v>
      </c>
      <c r="AL153" t="s">
        <v>1027</v>
      </c>
      <c r="AM153" t="s">
        <v>192</v>
      </c>
      <c r="AN153">
        <v>83</v>
      </c>
      <c r="AO153" t="s">
        <v>608</v>
      </c>
      <c r="AR153">
        <v>1</v>
      </c>
      <c r="AS153">
        <v>1</v>
      </c>
      <c r="AT153">
        <v>44</v>
      </c>
      <c r="AU153">
        <v>44</v>
      </c>
      <c r="AV153">
        <v>0</v>
      </c>
      <c r="AW153" t="s">
        <v>194</v>
      </c>
      <c r="AX153">
        <v>44</v>
      </c>
      <c r="AY153">
        <v>0</v>
      </c>
      <c r="BE153" t="s">
        <v>195</v>
      </c>
      <c r="BF153" t="s">
        <v>196</v>
      </c>
      <c r="BG153" t="s">
        <v>197</v>
      </c>
      <c r="BM153">
        <v>35.619999999999997</v>
      </c>
      <c r="BN153" s="23">
        <v>46.68</v>
      </c>
      <c r="BQ153" t="s">
        <v>198</v>
      </c>
      <c r="DI153">
        <v>8.91</v>
      </c>
      <c r="DK153">
        <v>2</v>
      </c>
      <c r="GM153">
        <v>0.15</v>
      </c>
    </row>
    <row r="154" spans="2:195" x14ac:dyDescent="0.35">
      <c r="B154" s="23" t="str">
        <f t="shared" ref="B154:B182" si="33">IF(S154&lt;&gt;"",S154,T154)</f>
        <v>EXP20260623-2813597</v>
      </c>
      <c r="C154" s="23">
        <f t="shared" ref="C154:C182" si="34">SUM(E154:K154)</f>
        <v>53.36</v>
      </c>
      <c r="D154" s="23">
        <f t="shared" ref="D154:D182" si="35">SUM(E154:L154)</f>
        <v>53.36</v>
      </c>
      <c r="E154" s="23" t="str">
        <f t="shared" ref="E154:E182" si="36">IF(BU154+BV154+BW154+CH154+CI154+CJ154+CK154+FO154+FS154+FT154=0,"",BU154+BV154+BW154+CH154+CI154+CJ154+CK154+FO154+FS154+FT154)</f>
        <v/>
      </c>
      <c r="F154" s="23" t="str">
        <f t="shared" ref="F154:F182" si="37">IF(FJ154=0,"",FJ154)</f>
        <v/>
      </c>
      <c r="G154" s="23" t="str">
        <f t="shared" ref="G154:G182" si="38">IF(CP154+DM154+DN154+EE154+EX154+EF154=0,"",CP154+DM154+DN154+EE154+EX154+EF154)</f>
        <v/>
      </c>
      <c r="H154" s="23" t="str">
        <f t="shared" ref="H154:H182" si="39">IF(DW154=0,"",DW154)</f>
        <v/>
      </c>
      <c r="I154" s="23" t="str">
        <f t="shared" ref="I154:I182" si="40">IF(DZ154+EA154+EG154=0,"",DZ154+EA154+EG154)</f>
        <v/>
      </c>
      <c r="J154" s="23">
        <f t="shared" ref="J154:J182" si="41">IF(BM154+BS154+BT154+BY154+BZ154+CA154+CB154+CC154+CD154+CE154+CF154+CG154+CL154+CM154+CN154+CO154+CQ154+CR154+CT154+CU154+CV154+CW154+CX154+CY154+CZ154+DA154+DB154+DC154+DD154+DE154+DF154+DG154+DH154+DI154+DJ154+DK154+DL154+DO154+DP154+DQ154+DR154+DS154+DT154+DY154+EB154+EC154+ED154+EH154+EI154+EJ154+EK154+EL154+EM154+EN154+EO154+EP154+ER154+ES154+ET154+EU154+EV154+EW154+EY154+EZ154+FA154+FB154+FC154+FD154+FE154+FF154+FG154+FH154+FI154+FK154+FL154+FM154+FN154+FP154+FQ154+FR154+FU154+FV154+FW154+FX154+FY154+FZ154+GA154+GB154+GC154+GD154+GE154+GF154+GG154+GH154+GI154+GJ154+GK154+GL154+GM154=0,"",BM154+BS154+BT154+BY154+BZ154+CA154+CB154+CC154+CD154+CE154+CF154+CG154+CL154+CM154+CN154+CO154+CQ154+CR154+CT154+CU154+CV154+CW154+CX154+CY154+CZ154+DA154+DB154+DC154+DD154+DE154+DF154+DG154+DH154+DI154+DJ154+DK154+DL154+DO154+DP154+DQ154+DR154+DS154+DT154+DY154+EB154+EC154+ED154+EH154+EI154+EJ154+EK154+EL154+EM154+EN154+EO154+EP154+ER154+ES154+ET154+EU154+EV154+EW154+EY154+EZ154+FA154+FB154+FC154+FD154+FE154+FF154+FG154+FH154+FI154+FK154+FL154+FM154+FN154+FP154+FQ154+FR154+FU154+FV154+FW154+FX154+FY154+FZ154+GA154+GB154+GC154+GD154+GE154+GF154+GG154+GH154+GI154+GJ154+GK154+GL154+GM154)</f>
        <v>53.36</v>
      </c>
      <c r="K154" s="23">
        <f t="shared" ref="K154:K182" si="42">DX154+CS154</f>
        <v>0</v>
      </c>
      <c r="L154" s="23">
        <f t="shared" ref="L154:L182" si="43">BN154-C154</f>
        <v>0</v>
      </c>
      <c r="M154" t="s">
        <v>352</v>
      </c>
      <c r="N154" s="7">
        <v>46203</v>
      </c>
      <c r="O154" t="s">
        <v>186</v>
      </c>
      <c r="P154" t="s">
        <v>1030</v>
      </c>
      <c r="Q154">
        <v>2026</v>
      </c>
      <c r="R154" s="27" t="s">
        <v>1031</v>
      </c>
      <c r="S154" s="27" t="s">
        <v>1030</v>
      </c>
      <c r="T154" t="s">
        <v>1032</v>
      </c>
      <c r="U154" t="s">
        <v>187</v>
      </c>
      <c r="V154" t="s">
        <v>188</v>
      </c>
      <c r="W154" t="s">
        <v>188</v>
      </c>
      <c r="X154">
        <v>30260</v>
      </c>
      <c r="Y154" t="s">
        <v>189</v>
      </c>
      <c r="Z154" t="s">
        <v>190</v>
      </c>
      <c r="AA154">
        <v>540</v>
      </c>
      <c r="AC154" s="7">
        <v>46198</v>
      </c>
      <c r="AD154">
        <v>21</v>
      </c>
      <c r="AE154" t="s">
        <v>191</v>
      </c>
      <c r="AF154" t="s">
        <v>1030</v>
      </c>
      <c r="AG154" t="s">
        <v>192</v>
      </c>
      <c r="AH154">
        <v>21</v>
      </c>
      <c r="AI154" t="s">
        <v>193</v>
      </c>
      <c r="AJ154" s="7"/>
      <c r="AK154" t="s">
        <v>1033</v>
      </c>
      <c r="AL154" t="s">
        <v>1030</v>
      </c>
      <c r="AM154" t="s">
        <v>192</v>
      </c>
      <c r="AN154">
        <v>30</v>
      </c>
      <c r="AO154" t="s">
        <v>1034</v>
      </c>
      <c r="AR154">
        <v>1</v>
      </c>
      <c r="AS154">
        <v>1</v>
      </c>
      <c r="AT154">
        <v>98</v>
      </c>
      <c r="AU154">
        <v>98</v>
      </c>
      <c r="AV154">
        <v>0</v>
      </c>
      <c r="AW154" t="s">
        <v>194</v>
      </c>
      <c r="AX154">
        <v>98</v>
      </c>
      <c r="AY154">
        <v>0</v>
      </c>
      <c r="BE154" t="s">
        <v>195</v>
      </c>
      <c r="BF154" t="s">
        <v>196</v>
      </c>
      <c r="BG154" t="s">
        <v>197</v>
      </c>
      <c r="BM154">
        <v>40.97</v>
      </c>
      <c r="BN154" s="23">
        <v>53.36</v>
      </c>
      <c r="BQ154" t="s">
        <v>198</v>
      </c>
      <c r="DI154">
        <v>10.24</v>
      </c>
      <c r="DK154">
        <v>2</v>
      </c>
      <c r="GM154">
        <v>0.15</v>
      </c>
    </row>
    <row r="155" spans="2:195" x14ac:dyDescent="0.35">
      <c r="B155" s="23" t="str">
        <f t="shared" si="33"/>
        <v>EXP20260622-2812032</v>
      </c>
      <c r="C155" s="23">
        <f t="shared" si="34"/>
        <v>33.85</v>
      </c>
      <c r="D155" s="23">
        <f t="shared" si="35"/>
        <v>33.85</v>
      </c>
      <c r="E155" s="23" t="str">
        <f t="shared" si="36"/>
        <v/>
      </c>
      <c r="F155" s="23" t="str">
        <f t="shared" si="37"/>
        <v/>
      </c>
      <c r="G155" s="23" t="str">
        <f t="shared" si="38"/>
        <v/>
      </c>
      <c r="H155" s="23" t="str">
        <f t="shared" si="39"/>
        <v/>
      </c>
      <c r="I155" s="23" t="str">
        <f t="shared" si="40"/>
        <v/>
      </c>
      <c r="J155" s="23">
        <f t="shared" si="41"/>
        <v>33.85</v>
      </c>
      <c r="K155" s="23">
        <f t="shared" si="42"/>
        <v>0</v>
      </c>
      <c r="L155" s="23">
        <f t="shared" si="43"/>
        <v>0</v>
      </c>
      <c r="M155" t="s">
        <v>352</v>
      </c>
      <c r="N155" s="7">
        <v>46203</v>
      </c>
      <c r="O155" t="s">
        <v>186</v>
      </c>
      <c r="P155" t="s">
        <v>1035</v>
      </c>
      <c r="Q155">
        <v>2026</v>
      </c>
      <c r="R155" s="27" t="s">
        <v>1036</v>
      </c>
      <c r="S155" s="27" t="s">
        <v>1035</v>
      </c>
      <c r="T155" t="s">
        <v>1037</v>
      </c>
      <c r="U155" t="s">
        <v>187</v>
      </c>
      <c r="V155" t="s">
        <v>188</v>
      </c>
      <c r="W155" t="s">
        <v>188</v>
      </c>
      <c r="X155">
        <v>34400</v>
      </c>
      <c r="Y155" t="s">
        <v>189</v>
      </c>
      <c r="Z155" t="s">
        <v>190</v>
      </c>
      <c r="AA155">
        <v>560</v>
      </c>
      <c r="AC155" s="7">
        <v>46198</v>
      </c>
      <c r="AD155">
        <v>21</v>
      </c>
      <c r="AE155" t="s">
        <v>191</v>
      </c>
      <c r="AF155" t="s">
        <v>1035</v>
      </c>
      <c r="AG155" t="s">
        <v>192</v>
      </c>
      <c r="AH155">
        <v>21</v>
      </c>
      <c r="AI155" t="s">
        <v>193</v>
      </c>
      <c r="AJ155" s="7">
        <v>46202</v>
      </c>
      <c r="AK155" t="s">
        <v>1038</v>
      </c>
      <c r="AL155" t="s">
        <v>1035</v>
      </c>
      <c r="AM155" t="s">
        <v>192</v>
      </c>
      <c r="AN155">
        <v>34</v>
      </c>
      <c r="AO155" t="s">
        <v>1039</v>
      </c>
      <c r="AR155">
        <v>1</v>
      </c>
      <c r="AS155">
        <v>1</v>
      </c>
      <c r="AT155">
        <v>19</v>
      </c>
      <c r="AU155">
        <v>19</v>
      </c>
      <c r="AV155">
        <v>0</v>
      </c>
      <c r="AW155" t="s">
        <v>194</v>
      </c>
      <c r="AX155">
        <v>19</v>
      </c>
      <c r="AY155">
        <v>0</v>
      </c>
      <c r="BE155" t="s">
        <v>195</v>
      </c>
      <c r="BF155" t="s">
        <v>196</v>
      </c>
      <c r="BG155" t="s">
        <v>197</v>
      </c>
      <c r="BM155">
        <v>25.36</v>
      </c>
      <c r="BN155" s="23">
        <v>33.85</v>
      </c>
      <c r="BQ155" t="s">
        <v>198</v>
      </c>
      <c r="DI155">
        <v>6.34</v>
      </c>
      <c r="DK155">
        <v>2</v>
      </c>
      <c r="GM155">
        <v>0.15</v>
      </c>
    </row>
    <row r="156" spans="2:195" x14ac:dyDescent="0.35">
      <c r="B156" s="23" t="str">
        <f t="shared" si="33"/>
        <v>EXP20260623-2813496</v>
      </c>
      <c r="C156" s="23">
        <f t="shared" si="34"/>
        <v>38.1</v>
      </c>
      <c r="D156" s="23">
        <f t="shared" si="35"/>
        <v>38.1</v>
      </c>
      <c r="E156" s="23" t="str">
        <f t="shared" si="36"/>
        <v/>
      </c>
      <c r="F156" s="23" t="str">
        <f t="shared" si="37"/>
        <v/>
      </c>
      <c r="G156" s="23" t="str">
        <f t="shared" si="38"/>
        <v/>
      </c>
      <c r="H156" s="23" t="str">
        <f t="shared" si="39"/>
        <v/>
      </c>
      <c r="I156" s="23" t="str">
        <f t="shared" si="40"/>
        <v/>
      </c>
      <c r="J156" s="23">
        <f t="shared" si="41"/>
        <v>38.1</v>
      </c>
      <c r="K156" s="23">
        <f t="shared" si="42"/>
        <v>0</v>
      </c>
      <c r="L156" s="23">
        <f t="shared" si="43"/>
        <v>0</v>
      </c>
      <c r="M156" t="s">
        <v>352</v>
      </c>
      <c r="N156" s="7">
        <v>46203</v>
      </c>
      <c r="O156" t="s">
        <v>186</v>
      </c>
      <c r="P156" t="s">
        <v>1040</v>
      </c>
      <c r="Q156">
        <v>2026</v>
      </c>
      <c r="R156" s="27" t="s">
        <v>1041</v>
      </c>
      <c r="S156" s="27" t="s">
        <v>1040</v>
      </c>
      <c r="T156" t="s">
        <v>1042</v>
      </c>
      <c r="U156" t="s">
        <v>187</v>
      </c>
      <c r="V156" t="s">
        <v>188</v>
      </c>
      <c r="W156" t="s">
        <v>188</v>
      </c>
      <c r="X156">
        <v>73800</v>
      </c>
      <c r="Y156" t="s">
        <v>189</v>
      </c>
      <c r="Z156" t="s">
        <v>190</v>
      </c>
      <c r="AA156">
        <v>370</v>
      </c>
      <c r="AC156" s="7">
        <v>46198</v>
      </c>
      <c r="AD156">
        <v>21</v>
      </c>
      <c r="AE156" t="s">
        <v>191</v>
      </c>
      <c r="AF156" t="s">
        <v>1040</v>
      </c>
      <c r="AG156" t="s">
        <v>192</v>
      </c>
      <c r="AH156">
        <v>21</v>
      </c>
      <c r="AI156" t="s">
        <v>193</v>
      </c>
      <c r="AJ156" s="7">
        <v>46202</v>
      </c>
      <c r="AK156" t="s">
        <v>1043</v>
      </c>
      <c r="AL156" t="s">
        <v>1040</v>
      </c>
      <c r="AM156" t="s">
        <v>192</v>
      </c>
      <c r="AN156">
        <v>73</v>
      </c>
      <c r="AO156" t="s">
        <v>1044</v>
      </c>
      <c r="AR156">
        <v>1</v>
      </c>
      <c r="AS156">
        <v>1</v>
      </c>
      <c r="AT156">
        <v>102</v>
      </c>
      <c r="AU156">
        <v>102</v>
      </c>
      <c r="AV156">
        <v>0</v>
      </c>
      <c r="AW156" t="s">
        <v>194</v>
      </c>
      <c r="AX156">
        <v>102</v>
      </c>
      <c r="AY156">
        <v>0</v>
      </c>
      <c r="BE156" t="s">
        <v>195</v>
      </c>
      <c r="BF156" t="s">
        <v>196</v>
      </c>
      <c r="BG156" t="s">
        <v>197</v>
      </c>
      <c r="BM156">
        <v>35.950000000000003</v>
      </c>
      <c r="BN156" s="23">
        <v>38.1</v>
      </c>
      <c r="BQ156" t="s">
        <v>198</v>
      </c>
      <c r="DK156">
        <v>2</v>
      </c>
      <c r="GM156">
        <v>0.15</v>
      </c>
    </row>
    <row r="157" spans="2:195" x14ac:dyDescent="0.35">
      <c r="B157" s="23" t="str">
        <f t="shared" si="33"/>
        <v>EXP20260622-2811890</v>
      </c>
      <c r="C157" s="23">
        <f t="shared" si="34"/>
        <v>153.13</v>
      </c>
      <c r="D157" s="23">
        <f t="shared" si="35"/>
        <v>153.13</v>
      </c>
      <c r="E157" s="23" t="str">
        <f t="shared" si="36"/>
        <v/>
      </c>
      <c r="F157" s="23" t="str">
        <f t="shared" si="37"/>
        <v/>
      </c>
      <c r="G157" s="23" t="str">
        <f t="shared" si="38"/>
        <v/>
      </c>
      <c r="H157" s="23" t="str">
        <f t="shared" si="39"/>
        <v/>
      </c>
      <c r="I157" s="23" t="str">
        <f t="shared" si="40"/>
        <v/>
      </c>
      <c r="J157" s="23">
        <f t="shared" si="41"/>
        <v>153.13</v>
      </c>
      <c r="K157" s="23">
        <f t="shared" si="42"/>
        <v>0</v>
      </c>
      <c r="L157" s="23">
        <f t="shared" si="43"/>
        <v>0</v>
      </c>
      <c r="M157" t="s">
        <v>352</v>
      </c>
      <c r="N157" s="7">
        <v>46203</v>
      </c>
      <c r="O157" t="s">
        <v>186</v>
      </c>
      <c r="P157" t="s">
        <v>1045</v>
      </c>
      <c r="Q157">
        <v>2026</v>
      </c>
      <c r="R157" s="27" t="s">
        <v>1046</v>
      </c>
      <c r="S157" s="27" t="s">
        <v>1045</v>
      </c>
      <c r="T157" t="s">
        <v>1047</v>
      </c>
      <c r="U157" t="s">
        <v>187</v>
      </c>
      <c r="V157" t="s">
        <v>188</v>
      </c>
      <c r="W157" t="s">
        <v>188</v>
      </c>
      <c r="X157">
        <v>83580</v>
      </c>
      <c r="Y157" t="s">
        <v>189</v>
      </c>
      <c r="Z157" t="s">
        <v>190</v>
      </c>
      <c r="AA157">
        <v>599</v>
      </c>
      <c r="AC157" s="7">
        <v>46198</v>
      </c>
      <c r="AD157">
        <v>21</v>
      </c>
      <c r="AE157" t="s">
        <v>191</v>
      </c>
      <c r="AF157" t="s">
        <v>1045</v>
      </c>
      <c r="AG157" t="s">
        <v>192</v>
      </c>
      <c r="AH157">
        <v>21</v>
      </c>
      <c r="AI157" t="s">
        <v>193</v>
      </c>
      <c r="AJ157" s="7">
        <v>46202</v>
      </c>
      <c r="AK157" t="s">
        <v>1048</v>
      </c>
      <c r="AL157" t="s">
        <v>1045</v>
      </c>
      <c r="AM157" t="s">
        <v>192</v>
      </c>
      <c r="AN157">
        <v>83</v>
      </c>
      <c r="AO157" t="s">
        <v>1049</v>
      </c>
      <c r="AP157" t="s">
        <v>214</v>
      </c>
      <c r="AR157">
        <v>2</v>
      </c>
      <c r="AS157">
        <v>2</v>
      </c>
      <c r="AT157">
        <v>205</v>
      </c>
      <c r="AU157">
        <v>205</v>
      </c>
      <c r="AV157">
        <v>0</v>
      </c>
      <c r="AW157" t="s">
        <v>201</v>
      </c>
      <c r="AX157">
        <v>2</v>
      </c>
      <c r="AY157">
        <v>0</v>
      </c>
      <c r="BE157" t="s">
        <v>195</v>
      </c>
      <c r="BF157" t="s">
        <v>196</v>
      </c>
      <c r="BG157" t="s">
        <v>197</v>
      </c>
      <c r="BM157">
        <v>120.78</v>
      </c>
      <c r="BN157" s="23">
        <v>153.13</v>
      </c>
      <c r="BQ157" t="s">
        <v>198</v>
      </c>
      <c r="DI157">
        <v>30.2</v>
      </c>
      <c r="DK157">
        <v>2</v>
      </c>
      <c r="GM157">
        <v>0.15</v>
      </c>
    </row>
    <row r="158" spans="2:195" x14ac:dyDescent="0.35">
      <c r="B158" s="23" t="str">
        <f t="shared" si="33"/>
        <v>EXP20260623-2814417</v>
      </c>
      <c r="C158" s="23">
        <f t="shared" si="34"/>
        <v>29.639999999999997</v>
      </c>
      <c r="D158" s="23">
        <f t="shared" si="35"/>
        <v>29.639999999999997</v>
      </c>
      <c r="E158" s="23" t="str">
        <f t="shared" si="36"/>
        <v/>
      </c>
      <c r="F158" s="23" t="str">
        <f t="shared" si="37"/>
        <v/>
      </c>
      <c r="G158" s="23" t="str">
        <f t="shared" si="38"/>
        <v/>
      </c>
      <c r="H158" s="23" t="str">
        <f t="shared" si="39"/>
        <v/>
      </c>
      <c r="I158" s="23" t="str">
        <f t="shared" si="40"/>
        <v/>
      </c>
      <c r="J158" s="23">
        <f t="shared" si="41"/>
        <v>29.639999999999997</v>
      </c>
      <c r="K158" s="23">
        <f t="shared" si="42"/>
        <v>0</v>
      </c>
      <c r="L158" s="23">
        <f t="shared" si="43"/>
        <v>0</v>
      </c>
      <c r="M158" t="s">
        <v>352</v>
      </c>
      <c r="N158" s="7">
        <v>46203</v>
      </c>
      <c r="O158" t="s">
        <v>186</v>
      </c>
      <c r="P158" t="s">
        <v>1050</v>
      </c>
      <c r="Q158">
        <v>2026</v>
      </c>
      <c r="R158" s="27" t="s">
        <v>1051</v>
      </c>
      <c r="S158" s="27" t="s">
        <v>1050</v>
      </c>
      <c r="T158" t="s">
        <v>1052</v>
      </c>
      <c r="U158" t="s">
        <v>187</v>
      </c>
      <c r="V158" t="s">
        <v>188</v>
      </c>
      <c r="W158" t="s">
        <v>188</v>
      </c>
      <c r="X158">
        <v>26110</v>
      </c>
      <c r="Y158" t="s">
        <v>189</v>
      </c>
      <c r="Z158" t="s">
        <v>190</v>
      </c>
      <c r="AA158">
        <v>428</v>
      </c>
      <c r="AC158" s="7">
        <v>46199</v>
      </c>
      <c r="AD158">
        <v>21</v>
      </c>
      <c r="AE158" t="s">
        <v>191</v>
      </c>
      <c r="AF158" t="s">
        <v>1050</v>
      </c>
      <c r="AG158" t="s">
        <v>192</v>
      </c>
      <c r="AH158">
        <v>21</v>
      </c>
      <c r="AI158" t="s">
        <v>193</v>
      </c>
      <c r="AJ158" s="7">
        <v>46203</v>
      </c>
      <c r="AK158" t="s">
        <v>1053</v>
      </c>
      <c r="AL158" t="s">
        <v>1050</v>
      </c>
      <c r="AM158" t="s">
        <v>192</v>
      </c>
      <c r="AN158">
        <v>26</v>
      </c>
      <c r="AO158" t="s">
        <v>1054</v>
      </c>
      <c r="AR158">
        <v>1</v>
      </c>
      <c r="AS158">
        <v>1</v>
      </c>
      <c r="AT158">
        <v>30</v>
      </c>
      <c r="AU158">
        <v>30</v>
      </c>
      <c r="AV158">
        <v>0</v>
      </c>
      <c r="AW158" t="s">
        <v>194</v>
      </c>
      <c r="AX158">
        <v>30</v>
      </c>
      <c r="AY158">
        <v>0</v>
      </c>
      <c r="BE158" t="s">
        <v>195</v>
      </c>
      <c r="BF158" t="s">
        <v>196</v>
      </c>
      <c r="BG158" t="s">
        <v>197</v>
      </c>
      <c r="BM158">
        <v>27.49</v>
      </c>
      <c r="BN158" s="23">
        <v>29.64</v>
      </c>
      <c r="BQ158" t="s">
        <v>198</v>
      </c>
      <c r="DK158">
        <v>2</v>
      </c>
      <c r="GM158">
        <v>0.15</v>
      </c>
    </row>
    <row r="159" spans="2:195" x14ac:dyDescent="0.35">
      <c r="B159" s="23" t="str">
        <f t="shared" si="33"/>
        <v>EXP20260623-2813702</v>
      </c>
      <c r="C159" s="23">
        <f t="shared" si="34"/>
        <v>46.68</v>
      </c>
      <c r="D159" s="23">
        <f t="shared" si="35"/>
        <v>46.68</v>
      </c>
      <c r="E159" s="23" t="str">
        <f t="shared" si="36"/>
        <v/>
      </c>
      <c r="F159" s="23" t="str">
        <f t="shared" si="37"/>
        <v/>
      </c>
      <c r="G159" s="23" t="str">
        <f t="shared" si="38"/>
        <v/>
      </c>
      <c r="H159" s="23" t="str">
        <f t="shared" si="39"/>
        <v/>
      </c>
      <c r="I159" s="23" t="str">
        <f t="shared" si="40"/>
        <v/>
      </c>
      <c r="J159" s="23">
        <f t="shared" si="41"/>
        <v>46.68</v>
      </c>
      <c r="K159" s="23">
        <f t="shared" si="42"/>
        <v>0</v>
      </c>
      <c r="L159" s="23">
        <f t="shared" si="43"/>
        <v>0</v>
      </c>
      <c r="M159" t="s">
        <v>352</v>
      </c>
      <c r="N159" s="7">
        <v>46203</v>
      </c>
      <c r="O159" t="s">
        <v>186</v>
      </c>
      <c r="P159" t="s">
        <v>1055</v>
      </c>
      <c r="Q159">
        <v>2026</v>
      </c>
      <c r="R159" s="27" t="s">
        <v>1056</v>
      </c>
      <c r="S159" s="27" t="s">
        <v>1055</v>
      </c>
      <c r="T159" t="s">
        <v>1057</v>
      </c>
      <c r="U159" t="s">
        <v>187</v>
      </c>
      <c r="V159" t="s">
        <v>188</v>
      </c>
      <c r="W159" t="s">
        <v>188</v>
      </c>
      <c r="X159">
        <v>83570</v>
      </c>
      <c r="Y159" t="s">
        <v>189</v>
      </c>
      <c r="Z159" t="s">
        <v>190</v>
      </c>
      <c r="AA159">
        <v>599</v>
      </c>
      <c r="AC159" s="7">
        <v>46199</v>
      </c>
      <c r="AD159">
        <v>21</v>
      </c>
      <c r="AE159" t="s">
        <v>191</v>
      </c>
      <c r="AF159" t="s">
        <v>1055</v>
      </c>
      <c r="AG159" t="s">
        <v>192</v>
      </c>
      <c r="AH159">
        <v>21</v>
      </c>
      <c r="AI159" t="s">
        <v>193</v>
      </c>
      <c r="AK159" t="s">
        <v>1058</v>
      </c>
      <c r="AL159" t="s">
        <v>1055</v>
      </c>
      <c r="AM159" t="s">
        <v>192</v>
      </c>
      <c r="AN159">
        <v>83</v>
      </c>
      <c r="AO159" t="s">
        <v>1059</v>
      </c>
      <c r="AP159" t="s">
        <v>214</v>
      </c>
      <c r="AR159">
        <v>1</v>
      </c>
      <c r="AS159">
        <v>1</v>
      </c>
      <c r="AT159">
        <v>45</v>
      </c>
      <c r="AU159">
        <v>45</v>
      </c>
      <c r="AV159">
        <v>0</v>
      </c>
      <c r="AW159" t="s">
        <v>194</v>
      </c>
      <c r="AX159">
        <v>45</v>
      </c>
      <c r="AY159">
        <v>0</v>
      </c>
      <c r="BE159" t="s">
        <v>195</v>
      </c>
      <c r="BF159" t="s">
        <v>196</v>
      </c>
      <c r="BG159" t="s">
        <v>197</v>
      </c>
      <c r="BM159">
        <v>35.619999999999997</v>
      </c>
      <c r="BN159" s="23">
        <v>46.68</v>
      </c>
      <c r="BQ159" t="s">
        <v>198</v>
      </c>
      <c r="DI159">
        <v>8.91</v>
      </c>
      <c r="DK159">
        <v>2</v>
      </c>
      <c r="GM159">
        <v>0.15</v>
      </c>
    </row>
    <row r="160" spans="2:195" x14ac:dyDescent="0.35">
      <c r="B160" s="23" t="str">
        <f t="shared" si="33"/>
        <v>EXP20260623-2814542</v>
      </c>
      <c r="C160" s="23">
        <f t="shared" si="34"/>
        <v>48.75</v>
      </c>
      <c r="D160" s="23">
        <f t="shared" si="35"/>
        <v>48.75</v>
      </c>
      <c r="E160" s="23" t="str">
        <f t="shared" si="36"/>
        <v/>
      </c>
      <c r="F160" s="23" t="str">
        <f t="shared" si="37"/>
        <v/>
      </c>
      <c r="G160" s="23" t="str">
        <f t="shared" si="38"/>
        <v/>
      </c>
      <c r="H160" s="23" t="str">
        <f t="shared" si="39"/>
        <v/>
      </c>
      <c r="I160" s="23" t="str">
        <f t="shared" si="40"/>
        <v/>
      </c>
      <c r="J160" s="23">
        <f t="shared" si="41"/>
        <v>48.75</v>
      </c>
      <c r="K160" s="23">
        <f t="shared" si="42"/>
        <v>0</v>
      </c>
      <c r="L160" s="23">
        <f t="shared" si="43"/>
        <v>0</v>
      </c>
      <c r="M160" t="s">
        <v>352</v>
      </c>
      <c r="N160" s="7">
        <v>46203</v>
      </c>
      <c r="O160" t="s">
        <v>186</v>
      </c>
      <c r="P160" t="s">
        <v>1060</v>
      </c>
      <c r="Q160">
        <v>2026</v>
      </c>
      <c r="R160" s="27" t="s">
        <v>1061</v>
      </c>
      <c r="S160" s="27" t="s">
        <v>1060</v>
      </c>
      <c r="T160" t="s">
        <v>1062</v>
      </c>
      <c r="U160" t="s">
        <v>187</v>
      </c>
      <c r="V160" t="s">
        <v>188</v>
      </c>
      <c r="W160" t="s">
        <v>188</v>
      </c>
      <c r="X160">
        <v>66000</v>
      </c>
      <c r="Y160" t="s">
        <v>189</v>
      </c>
      <c r="Z160" t="s">
        <v>190</v>
      </c>
      <c r="AA160">
        <v>685</v>
      </c>
      <c r="AC160" s="7">
        <v>46199</v>
      </c>
      <c r="AD160">
        <v>21</v>
      </c>
      <c r="AE160" t="s">
        <v>191</v>
      </c>
      <c r="AF160" t="s">
        <v>1060</v>
      </c>
      <c r="AG160" t="s">
        <v>192</v>
      </c>
      <c r="AH160">
        <v>21</v>
      </c>
      <c r="AI160" t="s">
        <v>193</v>
      </c>
      <c r="AJ160" s="7">
        <v>46203</v>
      </c>
      <c r="AK160" t="s">
        <v>1063</v>
      </c>
      <c r="AL160" t="s">
        <v>1060</v>
      </c>
      <c r="AM160" t="s">
        <v>192</v>
      </c>
      <c r="AN160">
        <v>66</v>
      </c>
      <c r="AO160" t="s">
        <v>299</v>
      </c>
      <c r="AR160">
        <v>1</v>
      </c>
      <c r="AS160">
        <v>1</v>
      </c>
      <c r="AT160">
        <v>40</v>
      </c>
      <c r="AU160">
        <v>40</v>
      </c>
      <c r="AV160">
        <v>0</v>
      </c>
      <c r="AW160" t="s">
        <v>194</v>
      </c>
      <c r="AX160">
        <v>40</v>
      </c>
      <c r="AY160">
        <v>0</v>
      </c>
      <c r="BE160" t="s">
        <v>195</v>
      </c>
      <c r="BF160" t="s">
        <v>196</v>
      </c>
      <c r="BG160" t="s">
        <v>197</v>
      </c>
      <c r="BM160">
        <v>37.28</v>
      </c>
      <c r="BN160" s="23">
        <v>48.75</v>
      </c>
      <c r="BQ160" t="s">
        <v>198</v>
      </c>
      <c r="DI160">
        <v>9.32</v>
      </c>
      <c r="DK160">
        <v>2</v>
      </c>
      <c r="GM160">
        <v>0.15</v>
      </c>
    </row>
    <row r="161" spans="2:195" x14ac:dyDescent="0.35">
      <c r="B161" s="23" t="str">
        <f t="shared" si="33"/>
        <v>EXP20260623-2814295</v>
      </c>
      <c r="C161" s="23">
        <f t="shared" si="34"/>
        <v>134.85</v>
      </c>
      <c r="D161" s="23">
        <f t="shared" si="35"/>
        <v>134.85</v>
      </c>
      <c r="E161" s="23" t="str">
        <f t="shared" si="36"/>
        <v/>
      </c>
      <c r="F161" s="23" t="str">
        <f t="shared" si="37"/>
        <v/>
      </c>
      <c r="G161" s="23" t="str">
        <f t="shared" si="38"/>
        <v/>
      </c>
      <c r="H161" s="23" t="str">
        <f t="shared" si="39"/>
        <v/>
      </c>
      <c r="I161" s="23" t="str">
        <f t="shared" si="40"/>
        <v/>
      </c>
      <c r="J161" s="23">
        <f t="shared" si="41"/>
        <v>134.85</v>
      </c>
      <c r="K161" s="23">
        <f t="shared" si="42"/>
        <v>0</v>
      </c>
      <c r="L161" s="23">
        <f t="shared" si="43"/>
        <v>0</v>
      </c>
      <c r="M161" t="s">
        <v>352</v>
      </c>
      <c r="N161" s="7">
        <v>46203</v>
      </c>
      <c r="O161" t="s">
        <v>186</v>
      </c>
      <c r="P161" t="s">
        <v>1064</v>
      </c>
      <c r="Q161">
        <v>2026</v>
      </c>
      <c r="R161" s="27" t="s">
        <v>1065</v>
      </c>
      <c r="S161" s="27" t="s">
        <v>1064</v>
      </c>
      <c r="T161" t="s">
        <v>1066</v>
      </c>
      <c r="U161" t="s">
        <v>187</v>
      </c>
      <c r="V161" t="s">
        <v>188</v>
      </c>
      <c r="W161" t="s">
        <v>188</v>
      </c>
      <c r="X161">
        <v>84220</v>
      </c>
      <c r="Y161" t="s">
        <v>189</v>
      </c>
      <c r="Z161" t="s">
        <v>190</v>
      </c>
      <c r="AA161">
        <v>468</v>
      </c>
      <c r="AC161" s="7">
        <v>46199</v>
      </c>
      <c r="AD161">
        <v>21</v>
      </c>
      <c r="AE161" t="s">
        <v>191</v>
      </c>
      <c r="AF161" t="s">
        <v>1064</v>
      </c>
      <c r="AG161" t="s">
        <v>192</v>
      </c>
      <c r="AH161">
        <v>21</v>
      </c>
      <c r="AI161" t="s">
        <v>193</v>
      </c>
      <c r="AJ161" s="7">
        <v>46203</v>
      </c>
      <c r="AK161" t="s">
        <v>332</v>
      </c>
      <c r="AL161" t="s">
        <v>1064</v>
      </c>
      <c r="AM161" t="s">
        <v>192</v>
      </c>
      <c r="AN161">
        <v>84</v>
      </c>
      <c r="AO161" t="s">
        <v>333</v>
      </c>
      <c r="AR161">
        <v>2</v>
      </c>
      <c r="AS161">
        <v>2</v>
      </c>
      <c r="AT161">
        <v>330</v>
      </c>
      <c r="AU161">
        <v>330</v>
      </c>
      <c r="AV161">
        <v>0</v>
      </c>
      <c r="AW161" t="s">
        <v>201</v>
      </c>
      <c r="AX161">
        <v>2</v>
      </c>
      <c r="AY161">
        <v>0</v>
      </c>
      <c r="BE161" t="s">
        <v>195</v>
      </c>
      <c r="BF161" t="s">
        <v>196</v>
      </c>
      <c r="BG161" t="s">
        <v>197</v>
      </c>
      <c r="BM161">
        <v>106.16</v>
      </c>
      <c r="BN161" s="23">
        <v>134.85</v>
      </c>
      <c r="BQ161" t="s">
        <v>198</v>
      </c>
      <c r="DI161">
        <v>26.54</v>
      </c>
      <c r="DK161">
        <v>2</v>
      </c>
      <c r="GM161">
        <v>0.15</v>
      </c>
    </row>
    <row r="162" spans="2:195" x14ac:dyDescent="0.35">
      <c r="B162" s="23" t="str">
        <f t="shared" si="33"/>
        <v>EXP20260623-2814488</v>
      </c>
      <c r="C162" s="23">
        <f t="shared" si="34"/>
        <v>70.300000000000011</v>
      </c>
      <c r="D162" s="23">
        <f t="shared" si="35"/>
        <v>70.300000000000011</v>
      </c>
      <c r="E162" s="23" t="str">
        <f t="shared" si="36"/>
        <v/>
      </c>
      <c r="F162" s="23" t="str">
        <f t="shared" si="37"/>
        <v/>
      </c>
      <c r="G162" s="23" t="str">
        <f t="shared" si="38"/>
        <v/>
      </c>
      <c r="H162" s="23" t="str">
        <f t="shared" si="39"/>
        <v/>
      </c>
      <c r="I162" s="23" t="str">
        <f t="shared" si="40"/>
        <v/>
      </c>
      <c r="J162" s="23">
        <f t="shared" si="41"/>
        <v>70.300000000000011</v>
      </c>
      <c r="K162" s="23">
        <f t="shared" si="42"/>
        <v>0</v>
      </c>
      <c r="L162" s="23">
        <f t="shared" si="43"/>
        <v>0</v>
      </c>
      <c r="M162" t="s">
        <v>352</v>
      </c>
      <c r="N162" s="7">
        <v>46203</v>
      </c>
      <c r="O162" t="s">
        <v>186</v>
      </c>
      <c r="P162" t="s">
        <v>1067</v>
      </c>
      <c r="Q162">
        <v>2026</v>
      </c>
      <c r="R162" s="27" t="s">
        <v>1068</v>
      </c>
      <c r="S162" s="27" t="s">
        <v>1067</v>
      </c>
      <c r="T162" t="s">
        <v>1069</v>
      </c>
      <c r="U162" t="s">
        <v>187</v>
      </c>
      <c r="V162" t="s">
        <v>188</v>
      </c>
      <c r="W162" t="s">
        <v>188</v>
      </c>
      <c r="X162">
        <v>21340</v>
      </c>
      <c r="Y162" t="s">
        <v>189</v>
      </c>
      <c r="Z162" t="s">
        <v>190</v>
      </c>
      <c r="AA162">
        <v>81</v>
      </c>
      <c r="AC162" s="7">
        <v>46199</v>
      </c>
      <c r="AD162">
        <v>21</v>
      </c>
      <c r="AE162" t="s">
        <v>191</v>
      </c>
      <c r="AF162" t="s">
        <v>1067</v>
      </c>
      <c r="AG162" t="s">
        <v>192</v>
      </c>
      <c r="AH162">
        <v>21</v>
      </c>
      <c r="AI162" t="s">
        <v>193</v>
      </c>
      <c r="AJ162" s="7">
        <v>46202</v>
      </c>
      <c r="AK162" t="s">
        <v>1070</v>
      </c>
      <c r="AL162" t="s">
        <v>1067</v>
      </c>
      <c r="AM162" t="s">
        <v>192</v>
      </c>
      <c r="AN162">
        <v>21</v>
      </c>
      <c r="AO162" t="s">
        <v>1071</v>
      </c>
      <c r="AP162" t="s">
        <v>214</v>
      </c>
      <c r="AR162">
        <v>2</v>
      </c>
      <c r="AS162">
        <v>2</v>
      </c>
      <c r="AT162">
        <v>243</v>
      </c>
      <c r="AU162">
        <v>243</v>
      </c>
      <c r="AV162">
        <v>0</v>
      </c>
      <c r="AW162" t="s">
        <v>201</v>
      </c>
      <c r="AX162">
        <v>2</v>
      </c>
      <c r="AY162">
        <v>0</v>
      </c>
      <c r="BE162" t="s">
        <v>195</v>
      </c>
      <c r="BF162" t="s">
        <v>196</v>
      </c>
      <c r="BG162" t="s">
        <v>197</v>
      </c>
      <c r="BM162">
        <v>68.150000000000006</v>
      </c>
      <c r="BN162" s="23">
        <v>70.3</v>
      </c>
      <c r="BQ162" t="s">
        <v>198</v>
      </c>
      <c r="DK162">
        <v>2</v>
      </c>
      <c r="GM162">
        <v>0.15</v>
      </c>
    </row>
    <row r="163" spans="2:195" x14ac:dyDescent="0.35">
      <c r="B163" s="23" t="str">
        <f t="shared" si="33"/>
        <v>EXP20260625-2818342</v>
      </c>
      <c r="C163" s="23">
        <f t="shared" si="34"/>
        <v>61.74</v>
      </c>
      <c r="D163" s="23">
        <f t="shared" si="35"/>
        <v>61.74</v>
      </c>
      <c r="E163" s="23" t="str">
        <f t="shared" si="36"/>
        <v/>
      </c>
      <c r="F163" s="23" t="str">
        <f t="shared" si="37"/>
        <v/>
      </c>
      <c r="G163" s="23" t="str">
        <f t="shared" si="38"/>
        <v/>
      </c>
      <c r="H163" s="23" t="str">
        <f t="shared" si="39"/>
        <v/>
      </c>
      <c r="I163" s="23" t="str">
        <f t="shared" si="40"/>
        <v/>
      </c>
      <c r="J163" s="23">
        <f t="shared" si="41"/>
        <v>61.74</v>
      </c>
      <c r="K163" s="23">
        <f t="shared" si="42"/>
        <v>0</v>
      </c>
      <c r="L163" s="23">
        <f t="shared" si="43"/>
        <v>0</v>
      </c>
      <c r="M163" t="s">
        <v>352</v>
      </c>
      <c r="N163" s="7">
        <v>46203</v>
      </c>
      <c r="O163" t="s">
        <v>186</v>
      </c>
      <c r="P163" t="s">
        <v>1072</v>
      </c>
      <c r="Q163">
        <v>2026</v>
      </c>
      <c r="R163" s="27" t="s">
        <v>1073</v>
      </c>
      <c r="S163" s="27" t="s">
        <v>1072</v>
      </c>
      <c r="T163" t="s">
        <v>1074</v>
      </c>
      <c r="U163" t="s">
        <v>187</v>
      </c>
      <c r="V163" t="s">
        <v>188</v>
      </c>
      <c r="W163" t="s">
        <v>188</v>
      </c>
      <c r="X163">
        <v>95190</v>
      </c>
      <c r="Y163" t="s">
        <v>189</v>
      </c>
      <c r="Z163" t="s">
        <v>190</v>
      </c>
      <c r="AA163">
        <v>408</v>
      </c>
      <c r="AC163" s="7">
        <v>46199</v>
      </c>
      <c r="AD163">
        <v>21</v>
      </c>
      <c r="AE163" t="s">
        <v>191</v>
      </c>
      <c r="AF163" t="s">
        <v>1072</v>
      </c>
      <c r="AG163" t="s">
        <v>192</v>
      </c>
      <c r="AH163">
        <v>21</v>
      </c>
      <c r="AI163" t="s">
        <v>193</v>
      </c>
      <c r="AJ163" s="7"/>
      <c r="AK163" t="s">
        <v>1075</v>
      </c>
      <c r="AL163" t="s">
        <v>1072</v>
      </c>
      <c r="AM163" t="s">
        <v>192</v>
      </c>
      <c r="AN163">
        <v>95</v>
      </c>
      <c r="AO163" t="s">
        <v>1076</v>
      </c>
      <c r="AR163">
        <v>1</v>
      </c>
      <c r="AS163">
        <v>1</v>
      </c>
      <c r="AT163">
        <v>277</v>
      </c>
      <c r="AU163">
        <v>277</v>
      </c>
      <c r="AV163">
        <v>0</v>
      </c>
      <c r="AW163" t="s">
        <v>201</v>
      </c>
      <c r="AX163">
        <v>1</v>
      </c>
      <c r="AY163">
        <v>0</v>
      </c>
      <c r="BE163" t="s">
        <v>195</v>
      </c>
      <c r="BF163" t="s">
        <v>196</v>
      </c>
      <c r="BG163" t="s">
        <v>197</v>
      </c>
      <c r="BM163">
        <v>59.59</v>
      </c>
      <c r="BN163" s="23">
        <v>61.74</v>
      </c>
      <c r="BQ163" t="s">
        <v>198</v>
      </c>
      <c r="DK163">
        <v>2</v>
      </c>
      <c r="GM163">
        <v>0.15</v>
      </c>
    </row>
    <row r="164" spans="2:195" x14ac:dyDescent="0.35">
      <c r="B164" s="23" t="str">
        <f t="shared" si="33"/>
        <v>EXP20260624-2816716</v>
      </c>
      <c r="C164" s="23">
        <f t="shared" si="34"/>
        <v>50.85</v>
      </c>
      <c r="D164" s="23">
        <f t="shared" si="35"/>
        <v>50.85</v>
      </c>
      <c r="E164" s="23" t="str">
        <f t="shared" si="36"/>
        <v/>
      </c>
      <c r="F164" s="23" t="str">
        <f t="shared" si="37"/>
        <v/>
      </c>
      <c r="G164" s="23" t="str">
        <f t="shared" si="38"/>
        <v/>
      </c>
      <c r="H164" s="23" t="str">
        <f t="shared" si="39"/>
        <v/>
      </c>
      <c r="I164" s="23" t="str">
        <f t="shared" si="40"/>
        <v/>
      </c>
      <c r="J164" s="23">
        <f t="shared" si="41"/>
        <v>50.85</v>
      </c>
      <c r="K164" s="23">
        <f t="shared" si="42"/>
        <v>0</v>
      </c>
      <c r="L164" s="23">
        <f t="shared" si="43"/>
        <v>0</v>
      </c>
      <c r="M164" t="s">
        <v>352</v>
      </c>
      <c r="N164" s="7">
        <v>46203</v>
      </c>
      <c r="O164" t="s">
        <v>186</v>
      </c>
      <c r="P164" t="s">
        <v>1077</v>
      </c>
      <c r="Q164">
        <v>2026</v>
      </c>
      <c r="R164" s="27" t="s">
        <v>1078</v>
      </c>
      <c r="S164" s="27" t="s">
        <v>1077</v>
      </c>
      <c r="T164" t="s">
        <v>1079</v>
      </c>
      <c r="U164" t="s">
        <v>187</v>
      </c>
      <c r="V164" t="s">
        <v>188</v>
      </c>
      <c r="W164" t="s">
        <v>188</v>
      </c>
      <c r="X164">
        <v>33720</v>
      </c>
      <c r="Y164" t="s">
        <v>189</v>
      </c>
      <c r="Z164" t="s">
        <v>190</v>
      </c>
      <c r="AA164">
        <v>697</v>
      </c>
      <c r="AC164" s="7">
        <v>46202</v>
      </c>
      <c r="AD164">
        <v>21</v>
      </c>
      <c r="AE164" t="s">
        <v>191</v>
      </c>
      <c r="AF164" t="s">
        <v>1077</v>
      </c>
      <c r="AG164" t="s">
        <v>192</v>
      </c>
      <c r="AH164">
        <v>21</v>
      </c>
      <c r="AI164" t="s">
        <v>193</v>
      </c>
      <c r="AJ164" s="7"/>
      <c r="AK164" t="s">
        <v>1080</v>
      </c>
      <c r="AL164" t="s">
        <v>1077</v>
      </c>
      <c r="AM164" t="s">
        <v>192</v>
      </c>
      <c r="AN164">
        <v>33</v>
      </c>
      <c r="AO164" t="s">
        <v>1081</v>
      </c>
      <c r="AR164">
        <v>1</v>
      </c>
      <c r="AS164">
        <v>1</v>
      </c>
      <c r="AT164">
        <v>56</v>
      </c>
      <c r="AU164">
        <v>56</v>
      </c>
      <c r="AV164">
        <v>0</v>
      </c>
      <c r="AW164" t="s">
        <v>194</v>
      </c>
      <c r="AX164">
        <v>56</v>
      </c>
      <c r="AY164">
        <v>0</v>
      </c>
      <c r="BE164" t="s">
        <v>195</v>
      </c>
      <c r="BF164" t="s">
        <v>196</v>
      </c>
      <c r="BG164" t="s">
        <v>197</v>
      </c>
      <c r="BM164">
        <v>38.96</v>
      </c>
      <c r="BN164" s="23">
        <v>50.85</v>
      </c>
      <c r="BQ164" t="s">
        <v>198</v>
      </c>
      <c r="DI164">
        <v>9.74</v>
      </c>
      <c r="DK164">
        <v>2</v>
      </c>
      <c r="GM164">
        <v>0.15</v>
      </c>
    </row>
    <row r="165" spans="2:195" x14ac:dyDescent="0.35">
      <c r="B165" s="23" t="str">
        <f t="shared" si="33"/>
        <v>EXP20260624-2815452</v>
      </c>
      <c r="C165" s="23">
        <f t="shared" si="34"/>
        <v>35.54</v>
      </c>
      <c r="D165" s="23">
        <f t="shared" si="35"/>
        <v>35.54</v>
      </c>
      <c r="E165" s="23" t="str">
        <f t="shared" si="36"/>
        <v/>
      </c>
      <c r="F165" s="23" t="str">
        <f t="shared" si="37"/>
        <v/>
      </c>
      <c r="G165" s="23" t="str">
        <f t="shared" si="38"/>
        <v/>
      </c>
      <c r="H165" s="23" t="str">
        <f t="shared" si="39"/>
        <v/>
      </c>
      <c r="I165" s="23" t="str">
        <f t="shared" si="40"/>
        <v/>
      </c>
      <c r="J165" s="23">
        <f t="shared" si="41"/>
        <v>35.54</v>
      </c>
      <c r="K165" s="23">
        <f t="shared" si="42"/>
        <v>0</v>
      </c>
      <c r="L165" s="23">
        <f t="shared" si="43"/>
        <v>0</v>
      </c>
      <c r="M165" t="s">
        <v>352</v>
      </c>
      <c r="N165" s="7">
        <v>46203</v>
      </c>
      <c r="O165" t="s">
        <v>186</v>
      </c>
      <c r="P165" t="s">
        <v>1082</v>
      </c>
      <c r="Q165">
        <v>2026</v>
      </c>
      <c r="R165" s="27" t="s">
        <v>1083</v>
      </c>
      <c r="S165" s="27" t="s">
        <v>1082</v>
      </c>
      <c r="T165" t="s">
        <v>1084</v>
      </c>
      <c r="U165" t="s">
        <v>187</v>
      </c>
      <c r="V165" t="s">
        <v>188</v>
      </c>
      <c r="W165" t="s">
        <v>188</v>
      </c>
      <c r="X165">
        <v>83550</v>
      </c>
      <c r="Y165" t="s">
        <v>189</v>
      </c>
      <c r="Z165" t="s">
        <v>190</v>
      </c>
      <c r="AA165">
        <v>599</v>
      </c>
      <c r="AC165" s="7">
        <v>46202</v>
      </c>
      <c r="AD165">
        <v>21</v>
      </c>
      <c r="AE165" t="s">
        <v>191</v>
      </c>
      <c r="AF165" t="s">
        <v>1082</v>
      </c>
      <c r="AG165" t="s">
        <v>192</v>
      </c>
      <c r="AH165">
        <v>21</v>
      </c>
      <c r="AI165" t="s">
        <v>193</v>
      </c>
      <c r="AJ165" s="7"/>
      <c r="AK165" t="s">
        <v>322</v>
      </c>
      <c r="AL165" t="s">
        <v>1082</v>
      </c>
      <c r="AM165" t="s">
        <v>192</v>
      </c>
      <c r="AN165">
        <v>83</v>
      </c>
      <c r="AO165" t="s">
        <v>323</v>
      </c>
      <c r="AR165">
        <v>1</v>
      </c>
      <c r="AS165">
        <v>1</v>
      </c>
      <c r="AT165">
        <v>17</v>
      </c>
      <c r="AU165">
        <v>17</v>
      </c>
      <c r="AV165">
        <v>0</v>
      </c>
      <c r="AW165" t="s">
        <v>194</v>
      </c>
      <c r="AX165">
        <v>17</v>
      </c>
      <c r="AY165">
        <v>0</v>
      </c>
      <c r="BE165" t="s">
        <v>195</v>
      </c>
      <c r="BF165" t="s">
        <v>196</v>
      </c>
      <c r="BG165" t="s">
        <v>197</v>
      </c>
      <c r="BM165">
        <v>26.71</v>
      </c>
      <c r="BN165" s="23">
        <v>35.54</v>
      </c>
      <c r="BQ165" t="s">
        <v>198</v>
      </c>
      <c r="DI165">
        <v>6.68</v>
      </c>
      <c r="DK165">
        <v>2</v>
      </c>
      <c r="GM165">
        <v>0.15</v>
      </c>
    </row>
    <row r="166" spans="2:195" x14ac:dyDescent="0.35">
      <c r="B166" s="23" t="str">
        <f t="shared" si="33"/>
        <v>EXP20260624-2817215</v>
      </c>
      <c r="C166" s="23">
        <f t="shared" si="34"/>
        <v>23.99</v>
      </c>
      <c r="D166" s="23">
        <f t="shared" si="35"/>
        <v>23.99</v>
      </c>
      <c r="E166" s="23" t="str">
        <f t="shared" si="36"/>
        <v/>
      </c>
      <c r="F166" s="23" t="str">
        <f t="shared" si="37"/>
        <v/>
      </c>
      <c r="G166" s="23" t="str">
        <f t="shared" si="38"/>
        <v/>
      </c>
      <c r="H166" s="23" t="str">
        <f t="shared" si="39"/>
        <v/>
      </c>
      <c r="I166" s="23" t="str">
        <f t="shared" si="40"/>
        <v/>
      </c>
      <c r="J166" s="23">
        <f t="shared" si="41"/>
        <v>23.99</v>
      </c>
      <c r="K166" s="23">
        <f t="shared" si="42"/>
        <v>0</v>
      </c>
      <c r="L166" s="23">
        <f t="shared" si="43"/>
        <v>0</v>
      </c>
      <c r="M166" t="s">
        <v>352</v>
      </c>
      <c r="N166" s="7">
        <v>46203</v>
      </c>
      <c r="O166" t="s">
        <v>186</v>
      </c>
      <c r="P166" t="s">
        <v>1085</v>
      </c>
      <c r="Q166">
        <v>2026</v>
      </c>
      <c r="R166" s="27" t="s">
        <v>1086</v>
      </c>
      <c r="S166" s="27" t="s">
        <v>1085</v>
      </c>
      <c r="T166" t="s">
        <v>1087</v>
      </c>
      <c r="U166" t="s">
        <v>187</v>
      </c>
      <c r="V166" t="s">
        <v>188</v>
      </c>
      <c r="W166" t="s">
        <v>188</v>
      </c>
      <c r="X166">
        <v>71260</v>
      </c>
      <c r="Y166" t="s">
        <v>189</v>
      </c>
      <c r="Z166" t="s">
        <v>190</v>
      </c>
      <c r="AA166">
        <v>224</v>
      </c>
      <c r="AC166" s="7">
        <v>46202</v>
      </c>
      <c r="AD166">
        <v>21</v>
      </c>
      <c r="AE166" t="s">
        <v>191</v>
      </c>
      <c r="AF166" t="s">
        <v>1085</v>
      </c>
      <c r="AG166" t="s">
        <v>192</v>
      </c>
      <c r="AH166">
        <v>21</v>
      </c>
      <c r="AI166" t="s">
        <v>193</v>
      </c>
      <c r="AJ166" s="7"/>
      <c r="AK166" t="s">
        <v>1088</v>
      </c>
      <c r="AL166" t="s">
        <v>1085</v>
      </c>
      <c r="AM166" t="s">
        <v>192</v>
      </c>
      <c r="AN166">
        <v>71</v>
      </c>
      <c r="AO166" t="s">
        <v>1089</v>
      </c>
      <c r="AR166">
        <v>1</v>
      </c>
      <c r="AS166">
        <v>1</v>
      </c>
      <c r="AT166">
        <v>34</v>
      </c>
      <c r="AU166">
        <v>34</v>
      </c>
      <c r="AV166">
        <v>0</v>
      </c>
      <c r="AW166" t="s">
        <v>194</v>
      </c>
      <c r="AX166">
        <v>34</v>
      </c>
      <c r="AY166">
        <v>0</v>
      </c>
      <c r="BE166" t="s">
        <v>195</v>
      </c>
      <c r="BF166" t="s">
        <v>196</v>
      </c>
      <c r="BG166" t="s">
        <v>197</v>
      </c>
      <c r="BM166">
        <v>21.84</v>
      </c>
      <c r="BN166" s="23">
        <v>23.99</v>
      </c>
      <c r="BQ166" t="s">
        <v>198</v>
      </c>
      <c r="DK166">
        <v>2</v>
      </c>
      <c r="GM166">
        <v>0.15</v>
      </c>
    </row>
    <row r="167" spans="2:195" x14ac:dyDescent="0.35">
      <c r="B167" s="23" t="str">
        <f t="shared" si="33"/>
        <v>EXP20260623-2814731</v>
      </c>
      <c r="C167" s="23">
        <f t="shared" si="34"/>
        <v>41.11</v>
      </c>
      <c r="D167" s="23">
        <f t="shared" si="35"/>
        <v>41.11</v>
      </c>
      <c r="E167" s="23" t="str">
        <f t="shared" si="36"/>
        <v/>
      </c>
      <c r="F167" s="23" t="str">
        <f t="shared" si="37"/>
        <v/>
      </c>
      <c r="G167" s="23" t="str">
        <f t="shared" si="38"/>
        <v/>
      </c>
      <c r="H167" s="23" t="str">
        <f t="shared" si="39"/>
        <v/>
      </c>
      <c r="I167" s="23" t="str">
        <f t="shared" si="40"/>
        <v/>
      </c>
      <c r="J167" s="23">
        <f t="shared" si="41"/>
        <v>41.11</v>
      </c>
      <c r="K167" s="23">
        <f t="shared" si="42"/>
        <v>0</v>
      </c>
      <c r="L167" s="23">
        <f t="shared" si="43"/>
        <v>0</v>
      </c>
      <c r="M167" t="s">
        <v>352</v>
      </c>
      <c r="N167" s="7">
        <v>46203</v>
      </c>
      <c r="O167" t="s">
        <v>186</v>
      </c>
      <c r="P167" t="s">
        <v>1090</v>
      </c>
      <c r="Q167">
        <v>2026</v>
      </c>
      <c r="R167" s="27" t="s">
        <v>1091</v>
      </c>
      <c r="S167" s="27" t="s">
        <v>1090</v>
      </c>
      <c r="T167" t="s">
        <v>1092</v>
      </c>
      <c r="U167" t="s">
        <v>187</v>
      </c>
      <c r="V167" t="s">
        <v>188</v>
      </c>
      <c r="W167" t="s">
        <v>188</v>
      </c>
      <c r="X167">
        <v>11170</v>
      </c>
      <c r="Y167" t="s">
        <v>189</v>
      </c>
      <c r="Z167" t="s">
        <v>190</v>
      </c>
      <c r="AA167">
        <v>685</v>
      </c>
      <c r="AC167" s="7">
        <v>46202</v>
      </c>
      <c r="AD167">
        <v>21</v>
      </c>
      <c r="AE167" t="s">
        <v>191</v>
      </c>
      <c r="AF167" t="s">
        <v>1090</v>
      </c>
      <c r="AG167" t="s">
        <v>192</v>
      </c>
      <c r="AH167">
        <v>21</v>
      </c>
      <c r="AI167" t="s">
        <v>193</v>
      </c>
      <c r="AJ167" s="7"/>
      <c r="AK167" t="s">
        <v>1093</v>
      </c>
      <c r="AL167" t="s">
        <v>1090</v>
      </c>
      <c r="AM167" t="s">
        <v>192</v>
      </c>
      <c r="AN167">
        <v>11</v>
      </c>
      <c r="AO167" t="s">
        <v>1094</v>
      </c>
      <c r="AR167">
        <v>1</v>
      </c>
      <c r="AS167">
        <v>1</v>
      </c>
      <c r="AT167">
        <v>25</v>
      </c>
      <c r="AU167">
        <v>25</v>
      </c>
      <c r="AV167">
        <v>0</v>
      </c>
      <c r="AW167" t="s">
        <v>194</v>
      </c>
      <c r="AX167">
        <v>25</v>
      </c>
      <c r="AY167">
        <v>0</v>
      </c>
      <c r="BE167" t="s">
        <v>195</v>
      </c>
      <c r="BF167" t="s">
        <v>196</v>
      </c>
      <c r="BG167" t="s">
        <v>197</v>
      </c>
      <c r="BM167">
        <v>31.17</v>
      </c>
      <c r="BN167" s="23">
        <v>41.11</v>
      </c>
      <c r="BQ167" t="s">
        <v>198</v>
      </c>
      <c r="DI167">
        <v>7.79</v>
      </c>
      <c r="DK167">
        <v>2</v>
      </c>
      <c r="GM167">
        <v>0.15</v>
      </c>
    </row>
    <row r="168" spans="2:195" x14ac:dyDescent="0.35">
      <c r="B168" s="23" t="str">
        <f t="shared" si="33"/>
        <v>EXP20260625-2818258</v>
      </c>
      <c r="C168" s="23">
        <f t="shared" si="34"/>
        <v>30.97</v>
      </c>
      <c r="D168" s="23">
        <f t="shared" si="35"/>
        <v>30.97</v>
      </c>
      <c r="E168" s="23" t="str">
        <f t="shared" si="36"/>
        <v/>
      </c>
      <c r="F168" s="23" t="str">
        <f t="shared" si="37"/>
        <v/>
      </c>
      <c r="G168" s="23" t="str">
        <f t="shared" si="38"/>
        <v/>
      </c>
      <c r="H168" s="23" t="str">
        <f t="shared" si="39"/>
        <v/>
      </c>
      <c r="I168" s="23" t="str">
        <f t="shared" si="40"/>
        <v/>
      </c>
      <c r="J168" s="23">
        <f t="shared" si="41"/>
        <v>30.97</v>
      </c>
      <c r="K168" s="23">
        <f t="shared" si="42"/>
        <v>0</v>
      </c>
      <c r="L168" s="23">
        <f t="shared" si="43"/>
        <v>0</v>
      </c>
      <c r="M168" t="s">
        <v>352</v>
      </c>
      <c r="N168" s="7">
        <v>46203</v>
      </c>
      <c r="O168" t="s">
        <v>186</v>
      </c>
      <c r="P168" t="s">
        <v>1095</v>
      </c>
      <c r="Q168">
        <v>2026</v>
      </c>
      <c r="R168" s="27" t="s">
        <v>1096</v>
      </c>
      <c r="S168" s="27" t="s">
        <v>1095</v>
      </c>
      <c r="T168" t="s">
        <v>1097</v>
      </c>
      <c r="U168" t="s">
        <v>187</v>
      </c>
      <c r="V168" t="s">
        <v>188</v>
      </c>
      <c r="W168" t="s">
        <v>188</v>
      </c>
      <c r="X168">
        <v>21210</v>
      </c>
      <c r="Y168" t="s">
        <v>189</v>
      </c>
      <c r="Z168" t="s">
        <v>190</v>
      </c>
      <c r="AA168">
        <v>81</v>
      </c>
      <c r="AC168" s="7">
        <v>46202</v>
      </c>
      <c r="AD168">
        <v>21</v>
      </c>
      <c r="AE168" t="s">
        <v>191</v>
      </c>
      <c r="AF168" t="s">
        <v>1095</v>
      </c>
      <c r="AG168" t="s">
        <v>192</v>
      </c>
      <c r="AH168">
        <v>21</v>
      </c>
      <c r="AI168" t="s">
        <v>193</v>
      </c>
      <c r="AK168" t="s">
        <v>1098</v>
      </c>
      <c r="AL168" t="s">
        <v>1095</v>
      </c>
      <c r="AM168" t="s">
        <v>192</v>
      </c>
      <c r="AN168">
        <v>21</v>
      </c>
      <c r="AO168" t="s">
        <v>1099</v>
      </c>
      <c r="AR168">
        <v>1</v>
      </c>
      <c r="AS168">
        <v>1</v>
      </c>
      <c r="AT168">
        <v>120</v>
      </c>
      <c r="AU168">
        <v>120</v>
      </c>
      <c r="AV168">
        <v>0</v>
      </c>
      <c r="AW168" t="s">
        <v>194</v>
      </c>
      <c r="AX168">
        <v>120</v>
      </c>
      <c r="AY168">
        <v>0</v>
      </c>
      <c r="BE168" t="s">
        <v>195</v>
      </c>
      <c r="BF168" t="s">
        <v>196</v>
      </c>
      <c r="BG168" t="s">
        <v>197</v>
      </c>
      <c r="BM168">
        <v>28.82</v>
      </c>
      <c r="BN168" s="23">
        <v>30.97</v>
      </c>
      <c r="BQ168" t="s">
        <v>198</v>
      </c>
      <c r="DK168">
        <v>2</v>
      </c>
      <c r="GM168">
        <v>0.15</v>
      </c>
    </row>
    <row r="169" spans="2:195" x14ac:dyDescent="0.35">
      <c r="B169" s="23" t="str">
        <f t="shared" si="33"/>
        <v>EXP20260625-2819637</v>
      </c>
      <c r="C169" s="23">
        <f t="shared" si="34"/>
        <v>47.699999999999996</v>
      </c>
      <c r="D169" s="23">
        <f t="shared" si="35"/>
        <v>47.699999999999996</v>
      </c>
      <c r="E169" s="23" t="str">
        <f t="shared" si="36"/>
        <v/>
      </c>
      <c r="F169" s="23" t="str">
        <f t="shared" si="37"/>
        <v/>
      </c>
      <c r="G169" s="23" t="str">
        <f t="shared" si="38"/>
        <v/>
      </c>
      <c r="H169" s="23" t="str">
        <f t="shared" si="39"/>
        <v/>
      </c>
      <c r="I169" s="23" t="str">
        <f t="shared" si="40"/>
        <v/>
      </c>
      <c r="J169" s="23">
        <f t="shared" si="41"/>
        <v>47.699999999999996</v>
      </c>
      <c r="K169" s="23">
        <f t="shared" si="42"/>
        <v>0</v>
      </c>
      <c r="L169" s="23">
        <f t="shared" si="43"/>
        <v>0</v>
      </c>
      <c r="M169" t="s">
        <v>352</v>
      </c>
      <c r="N169" s="7">
        <v>46203</v>
      </c>
      <c r="O169" t="s">
        <v>186</v>
      </c>
      <c r="P169" t="s">
        <v>1100</v>
      </c>
      <c r="Q169">
        <v>2026</v>
      </c>
      <c r="R169" s="27" t="s">
        <v>1101</v>
      </c>
      <c r="S169" s="27" t="s">
        <v>1100</v>
      </c>
      <c r="T169" t="s">
        <v>1102</v>
      </c>
      <c r="U169" t="s">
        <v>187</v>
      </c>
      <c r="V169" t="s">
        <v>188</v>
      </c>
      <c r="W169" t="s">
        <v>188</v>
      </c>
      <c r="X169">
        <v>11200</v>
      </c>
      <c r="Y169" t="s">
        <v>189</v>
      </c>
      <c r="Z169" t="s">
        <v>190</v>
      </c>
      <c r="AA169">
        <v>685</v>
      </c>
      <c r="AC169" s="7">
        <v>46202</v>
      </c>
      <c r="AD169">
        <v>21</v>
      </c>
      <c r="AE169" t="s">
        <v>191</v>
      </c>
      <c r="AF169" t="s">
        <v>1100</v>
      </c>
      <c r="AG169" t="s">
        <v>192</v>
      </c>
      <c r="AH169">
        <v>21</v>
      </c>
      <c r="AI169" t="s">
        <v>193</v>
      </c>
      <c r="AJ169" s="7"/>
      <c r="AK169" t="s">
        <v>1103</v>
      </c>
      <c r="AL169" t="s">
        <v>1100</v>
      </c>
      <c r="AM169" t="s">
        <v>192</v>
      </c>
      <c r="AN169">
        <v>11</v>
      </c>
      <c r="AO169" t="s">
        <v>1104</v>
      </c>
      <c r="AR169">
        <v>1</v>
      </c>
      <c r="AS169">
        <v>1</v>
      </c>
      <c r="AT169">
        <v>44</v>
      </c>
      <c r="AU169">
        <v>44</v>
      </c>
      <c r="AV169">
        <v>0</v>
      </c>
      <c r="AW169" t="s">
        <v>194</v>
      </c>
      <c r="AX169">
        <v>44</v>
      </c>
      <c r="AY169">
        <v>0</v>
      </c>
      <c r="BE169" t="s">
        <v>195</v>
      </c>
      <c r="BF169" t="s">
        <v>196</v>
      </c>
      <c r="BG169" t="s">
        <v>197</v>
      </c>
      <c r="BM169">
        <v>36.44</v>
      </c>
      <c r="BN169" s="23">
        <v>47.7</v>
      </c>
      <c r="BQ169" t="s">
        <v>198</v>
      </c>
      <c r="DI169">
        <v>9.11</v>
      </c>
      <c r="DK169">
        <v>2</v>
      </c>
      <c r="GM169">
        <v>0.15</v>
      </c>
    </row>
    <row r="170" spans="2:195" x14ac:dyDescent="0.35">
      <c r="B170" s="23" t="str">
        <f t="shared" si="33"/>
        <v>EXP20260625-2818688</v>
      </c>
      <c r="C170" s="23">
        <f t="shared" si="34"/>
        <v>41.66</v>
      </c>
      <c r="D170" s="23">
        <f t="shared" si="35"/>
        <v>41.66</v>
      </c>
      <c r="E170" s="23" t="str">
        <f t="shared" si="36"/>
        <v/>
      </c>
      <c r="F170" s="23" t="str">
        <f t="shared" si="37"/>
        <v/>
      </c>
      <c r="G170" s="23" t="str">
        <f t="shared" si="38"/>
        <v/>
      </c>
      <c r="H170" s="23" t="str">
        <f t="shared" si="39"/>
        <v/>
      </c>
      <c r="I170" s="23" t="str">
        <f t="shared" si="40"/>
        <v/>
      </c>
      <c r="J170" s="23">
        <f t="shared" si="41"/>
        <v>41.66</v>
      </c>
      <c r="K170" s="23">
        <f t="shared" si="42"/>
        <v>0</v>
      </c>
      <c r="L170" s="23">
        <f t="shared" si="43"/>
        <v>0</v>
      </c>
      <c r="M170" t="s">
        <v>352</v>
      </c>
      <c r="N170" s="7">
        <v>46203</v>
      </c>
      <c r="O170" t="s">
        <v>186</v>
      </c>
      <c r="P170" t="s">
        <v>1105</v>
      </c>
      <c r="Q170">
        <v>2026</v>
      </c>
      <c r="R170" s="27" t="s">
        <v>1106</v>
      </c>
      <c r="S170" s="27" t="s">
        <v>1105</v>
      </c>
      <c r="T170" t="s">
        <v>1107</v>
      </c>
      <c r="U170" t="s">
        <v>187</v>
      </c>
      <c r="V170" t="s">
        <v>188</v>
      </c>
      <c r="W170" t="s">
        <v>188</v>
      </c>
      <c r="X170">
        <v>84100</v>
      </c>
      <c r="Y170" t="s">
        <v>189</v>
      </c>
      <c r="Z170" t="s">
        <v>190</v>
      </c>
      <c r="AA170">
        <v>468</v>
      </c>
      <c r="AC170" s="7">
        <v>46202</v>
      </c>
      <c r="AD170">
        <v>21</v>
      </c>
      <c r="AE170" t="s">
        <v>191</v>
      </c>
      <c r="AF170" t="s">
        <v>1105</v>
      </c>
      <c r="AG170" t="s">
        <v>192</v>
      </c>
      <c r="AH170">
        <v>21</v>
      </c>
      <c r="AI170" t="s">
        <v>193</v>
      </c>
      <c r="AJ170" s="7"/>
      <c r="AK170" t="s">
        <v>1108</v>
      </c>
      <c r="AL170" t="s">
        <v>1105</v>
      </c>
      <c r="AM170" t="s">
        <v>192</v>
      </c>
      <c r="AN170">
        <v>84</v>
      </c>
      <c r="AO170" t="s">
        <v>1109</v>
      </c>
      <c r="AR170">
        <v>1</v>
      </c>
      <c r="AS170">
        <v>1</v>
      </c>
      <c r="AT170">
        <v>40</v>
      </c>
      <c r="AU170">
        <v>40</v>
      </c>
      <c r="AV170">
        <v>0</v>
      </c>
      <c r="AW170" t="s">
        <v>194</v>
      </c>
      <c r="AX170">
        <v>40</v>
      </c>
      <c r="AY170">
        <v>0</v>
      </c>
      <c r="BE170" t="s">
        <v>195</v>
      </c>
      <c r="BF170" t="s">
        <v>196</v>
      </c>
      <c r="BG170" t="s">
        <v>197</v>
      </c>
      <c r="BM170">
        <v>31.61</v>
      </c>
      <c r="BN170" s="23">
        <v>41.66</v>
      </c>
      <c r="BQ170" t="s">
        <v>198</v>
      </c>
      <c r="DI170">
        <v>7.9</v>
      </c>
      <c r="DK170">
        <v>2</v>
      </c>
      <c r="GM170">
        <v>0.15</v>
      </c>
    </row>
    <row r="171" spans="2:195" x14ac:dyDescent="0.35">
      <c r="B171" s="23" t="str">
        <f t="shared" si="33"/>
        <v>EXP20260623-2814602</v>
      </c>
      <c r="C171" s="23">
        <f t="shared" si="34"/>
        <v>38.33</v>
      </c>
      <c r="D171" s="23">
        <f t="shared" si="35"/>
        <v>38.33</v>
      </c>
      <c r="E171" s="23" t="str">
        <f t="shared" si="36"/>
        <v/>
      </c>
      <c r="F171" s="23" t="str">
        <f t="shared" si="37"/>
        <v/>
      </c>
      <c r="G171" s="23" t="str">
        <f t="shared" si="38"/>
        <v/>
      </c>
      <c r="H171" s="23" t="str">
        <f t="shared" si="39"/>
        <v/>
      </c>
      <c r="I171" s="23" t="str">
        <f t="shared" si="40"/>
        <v/>
      </c>
      <c r="J171" s="23">
        <f t="shared" si="41"/>
        <v>38.33</v>
      </c>
      <c r="K171" s="23">
        <f t="shared" si="42"/>
        <v>0</v>
      </c>
      <c r="L171" s="23">
        <f t="shared" si="43"/>
        <v>0</v>
      </c>
      <c r="M171" t="s">
        <v>352</v>
      </c>
      <c r="N171" s="7">
        <v>46203</v>
      </c>
      <c r="O171" t="s">
        <v>186</v>
      </c>
      <c r="P171" t="s">
        <v>1110</v>
      </c>
      <c r="Q171">
        <v>2026</v>
      </c>
      <c r="R171" s="27" t="s">
        <v>1111</v>
      </c>
      <c r="S171" s="27" t="s">
        <v>1110</v>
      </c>
      <c r="T171" t="s">
        <v>1112</v>
      </c>
      <c r="U171" t="s">
        <v>187</v>
      </c>
      <c r="V171" t="s">
        <v>188</v>
      </c>
      <c r="W171" t="s">
        <v>188</v>
      </c>
      <c r="X171">
        <v>34150</v>
      </c>
      <c r="Y171" t="s">
        <v>189</v>
      </c>
      <c r="Z171" t="s">
        <v>190</v>
      </c>
      <c r="AA171">
        <v>560</v>
      </c>
      <c r="AC171" s="7">
        <v>46202</v>
      </c>
      <c r="AD171">
        <v>21</v>
      </c>
      <c r="AE171" t="s">
        <v>191</v>
      </c>
      <c r="AF171" t="s">
        <v>1110</v>
      </c>
      <c r="AG171" t="s">
        <v>192</v>
      </c>
      <c r="AH171">
        <v>21</v>
      </c>
      <c r="AI171" t="s">
        <v>193</v>
      </c>
      <c r="AJ171" s="7"/>
      <c r="AK171" t="s">
        <v>324</v>
      </c>
      <c r="AL171" t="s">
        <v>1110</v>
      </c>
      <c r="AM171" t="s">
        <v>192</v>
      </c>
      <c r="AN171">
        <v>34</v>
      </c>
      <c r="AO171" t="s">
        <v>759</v>
      </c>
      <c r="AR171">
        <v>1</v>
      </c>
      <c r="AS171">
        <v>1</v>
      </c>
      <c r="AT171">
        <v>27</v>
      </c>
      <c r="AU171">
        <v>27</v>
      </c>
      <c r="AV171">
        <v>0</v>
      </c>
      <c r="AW171" t="s">
        <v>194</v>
      </c>
      <c r="AX171">
        <v>27</v>
      </c>
      <c r="AY171">
        <v>0</v>
      </c>
      <c r="BE171" t="s">
        <v>195</v>
      </c>
      <c r="BF171" t="s">
        <v>196</v>
      </c>
      <c r="BG171" t="s">
        <v>197</v>
      </c>
      <c r="BM171">
        <v>28.94</v>
      </c>
      <c r="BN171" s="23">
        <v>38.33</v>
      </c>
      <c r="BQ171" t="s">
        <v>198</v>
      </c>
      <c r="DI171">
        <v>7.24</v>
      </c>
      <c r="DK171">
        <v>2</v>
      </c>
      <c r="GM171">
        <v>0.15</v>
      </c>
    </row>
    <row r="172" spans="2:195" x14ac:dyDescent="0.35">
      <c r="B172" s="23" t="str">
        <f t="shared" si="33"/>
        <v>EXP20260625-2818842</v>
      </c>
      <c r="C172" s="23">
        <f t="shared" si="34"/>
        <v>49.95</v>
      </c>
      <c r="D172" s="23">
        <f t="shared" si="35"/>
        <v>49.95</v>
      </c>
      <c r="E172" s="23" t="str">
        <f t="shared" si="36"/>
        <v/>
      </c>
      <c r="F172" s="23" t="str">
        <f t="shared" si="37"/>
        <v/>
      </c>
      <c r="G172" s="23" t="str">
        <f t="shared" si="38"/>
        <v/>
      </c>
      <c r="H172" s="23" t="str">
        <f t="shared" si="39"/>
        <v/>
      </c>
      <c r="I172" s="23" t="str">
        <f t="shared" si="40"/>
        <v/>
      </c>
      <c r="J172" s="23">
        <f t="shared" si="41"/>
        <v>49.95</v>
      </c>
      <c r="K172" s="23">
        <f t="shared" si="42"/>
        <v>0</v>
      </c>
      <c r="L172" s="23">
        <f t="shared" si="43"/>
        <v>0</v>
      </c>
      <c r="M172" t="s">
        <v>352</v>
      </c>
      <c r="N172" s="7">
        <v>46203</v>
      </c>
      <c r="O172" t="s">
        <v>186</v>
      </c>
      <c r="P172" t="s">
        <v>1113</v>
      </c>
      <c r="Q172">
        <v>2026</v>
      </c>
      <c r="R172" s="27" t="s">
        <v>1114</v>
      </c>
      <c r="S172" s="27" t="s">
        <v>1113</v>
      </c>
      <c r="T172" t="s">
        <v>1115</v>
      </c>
      <c r="U172" t="s">
        <v>187</v>
      </c>
      <c r="V172" t="s">
        <v>188</v>
      </c>
      <c r="W172" t="s">
        <v>188</v>
      </c>
      <c r="X172">
        <v>34150</v>
      </c>
      <c r="Y172" t="s">
        <v>189</v>
      </c>
      <c r="Z172" t="s">
        <v>190</v>
      </c>
      <c r="AA172">
        <v>560</v>
      </c>
      <c r="AC172" s="7">
        <v>46202</v>
      </c>
      <c r="AD172">
        <v>21</v>
      </c>
      <c r="AE172" t="s">
        <v>191</v>
      </c>
      <c r="AF172" t="s">
        <v>1113</v>
      </c>
      <c r="AG172" t="s">
        <v>192</v>
      </c>
      <c r="AH172">
        <v>21</v>
      </c>
      <c r="AI172" t="s">
        <v>193</v>
      </c>
      <c r="AJ172" s="7"/>
      <c r="AK172" t="s">
        <v>1116</v>
      </c>
      <c r="AL172" t="s">
        <v>1113</v>
      </c>
      <c r="AM172" t="s">
        <v>192</v>
      </c>
      <c r="AN172">
        <v>34</v>
      </c>
      <c r="AO172" t="s">
        <v>302</v>
      </c>
      <c r="AR172">
        <v>1</v>
      </c>
      <c r="AS172">
        <v>1</v>
      </c>
      <c r="AT172">
        <v>60</v>
      </c>
      <c r="AU172">
        <v>60</v>
      </c>
      <c r="AV172">
        <v>0</v>
      </c>
      <c r="AW172" t="s">
        <v>194</v>
      </c>
      <c r="AX172">
        <v>60</v>
      </c>
      <c r="AY172">
        <v>0</v>
      </c>
      <c r="BE172" t="s">
        <v>195</v>
      </c>
      <c r="BF172" t="s">
        <v>196</v>
      </c>
      <c r="BG172" t="s">
        <v>197</v>
      </c>
      <c r="BM172">
        <v>38.24</v>
      </c>
      <c r="BN172" s="23">
        <v>49.95</v>
      </c>
      <c r="BQ172" t="s">
        <v>198</v>
      </c>
      <c r="DI172">
        <v>9.56</v>
      </c>
      <c r="DK172">
        <v>2</v>
      </c>
      <c r="GM172">
        <v>0.15</v>
      </c>
    </row>
    <row r="173" spans="2:195" x14ac:dyDescent="0.35">
      <c r="B173" s="23" t="str">
        <f t="shared" si="33"/>
        <v>EXP20260625-2819680</v>
      </c>
      <c r="C173" s="23">
        <f t="shared" si="34"/>
        <v>44.96</v>
      </c>
      <c r="D173" s="23">
        <f t="shared" si="35"/>
        <v>44.96</v>
      </c>
      <c r="E173" s="23" t="str">
        <f t="shared" si="36"/>
        <v/>
      </c>
      <c r="F173" s="23" t="str">
        <f t="shared" si="37"/>
        <v/>
      </c>
      <c r="G173" s="23" t="str">
        <f t="shared" si="38"/>
        <v/>
      </c>
      <c r="H173" s="23" t="str">
        <f t="shared" si="39"/>
        <v/>
      </c>
      <c r="I173" s="23" t="str">
        <f t="shared" si="40"/>
        <v/>
      </c>
      <c r="J173" s="23">
        <f t="shared" si="41"/>
        <v>44.96</v>
      </c>
      <c r="K173" s="23">
        <f t="shared" si="42"/>
        <v>0</v>
      </c>
      <c r="L173" s="23">
        <f t="shared" si="43"/>
        <v>0</v>
      </c>
      <c r="M173" t="s">
        <v>352</v>
      </c>
      <c r="N173" s="7">
        <v>46203</v>
      </c>
      <c r="O173" t="s">
        <v>186</v>
      </c>
      <c r="P173" t="s">
        <v>1117</v>
      </c>
      <c r="Q173">
        <v>2026</v>
      </c>
      <c r="R173" s="27" t="s">
        <v>1118</v>
      </c>
      <c r="S173" s="27" t="s">
        <v>1117</v>
      </c>
      <c r="T173" t="s">
        <v>1119</v>
      </c>
      <c r="U173" t="s">
        <v>187</v>
      </c>
      <c r="V173" t="s">
        <v>188</v>
      </c>
      <c r="W173" t="s">
        <v>188</v>
      </c>
      <c r="X173">
        <v>83490</v>
      </c>
      <c r="Y173" t="s">
        <v>189</v>
      </c>
      <c r="Z173" t="s">
        <v>190</v>
      </c>
      <c r="AA173">
        <v>599</v>
      </c>
      <c r="AC173" s="7">
        <v>46202</v>
      </c>
      <c r="AD173">
        <v>21</v>
      </c>
      <c r="AE173" t="s">
        <v>191</v>
      </c>
      <c r="AF173" t="s">
        <v>1117</v>
      </c>
      <c r="AG173" t="s">
        <v>192</v>
      </c>
      <c r="AH173">
        <v>21</v>
      </c>
      <c r="AI173" t="s">
        <v>193</v>
      </c>
      <c r="AK173" t="s">
        <v>1120</v>
      </c>
      <c r="AL173" t="s">
        <v>1117</v>
      </c>
      <c r="AM173" t="s">
        <v>192</v>
      </c>
      <c r="AN173">
        <v>83</v>
      </c>
      <c r="AO173" t="s">
        <v>1121</v>
      </c>
      <c r="AR173">
        <v>1</v>
      </c>
      <c r="AS173">
        <v>1</v>
      </c>
      <c r="AT173">
        <v>39</v>
      </c>
      <c r="AU173">
        <v>39</v>
      </c>
      <c r="AV173">
        <v>0</v>
      </c>
      <c r="AW173" t="s">
        <v>194</v>
      </c>
      <c r="AX173">
        <v>39</v>
      </c>
      <c r="AY173">
        <v>0</v>
      </c>
      <c r="BE173" t="s">
        <v>195</v>
      </c>
      <c r="BF173" t="s">
        <v>196</v>
      </c>
      <c r="BG173" t="s">
        <v>197</v>
      </c>
      <c r="BM173">
        <v>34.25</v>
      </c>
      <c r="BN173" s="23">
        <v>44.96</v>
      </c>
      <c r="BQ173" t="s">
        <v>198</v>
      </c>
      <c r="DI173">
        <v>8.56</v>
      </c>
      <c r="DK173">
        <v>2</v>
      </c>
      <c r="GM173">
        <v>0.15</v>
      </c>
    </row>
    <row r="174" spans="2:195" x14ac:dyDescent="0.35">
      <c r="B174" s="23" t="str">
        <f t="shared" si="33"/>
        <v>EXP20260624-2816123</v>
      </c>
      <c r="C174" s="23">
        <f t="shared" si="34"/>
        <v>53.43</v>
      </c>
      <c r="D174" s="23">
        <f t="shared" si="35"/>
        <v>53.43</v>
      </c>
      <c r="E174" s="23" t="str">
        <f t="shared" si="36"/>
        <v/>
      </c>
      <c r="F174" s="23" t="str">
        <f t="shared" si="37"/>
        <v/>
      </c>
      <c r="G174" s="23" t="str">
        <f t="shared" si="38"/>
        <v/>
      </c>
      <c r="H174" s="23" t="str">
        <f t="shared" si="39"/>
        <v/>
      </c>
      <c r="I174" s="23" t="str">
        <f t="shared" si="40"/>
        <v/>
      </c>
      <c r="J174" s="23">
        <f t="shared" si="41"/>
        <v>53.43</v>
      </c>
      <c r="K174" s="23">
        <f t="shared" si="42"/>
        <v>0</v>
      </c>
      <c r="L174" s="23">
        <f t="shared" si="43"/>
        <v>0</v>
      </c>
      <c r="M174" t="s">
        <v>352</v>
      </c>
      <c r="N174" s="7">
        <v>46203</v>
      </c>
      <c r="O174" t="s">
        <v>186</v>
      </c>
      <c r="P174" t="s">
        <v>1122</v>
      </c>
      <c r="Q174">
        <v>2026</v>
      </c>
      <c r="R174" s="27" t="s">
        <v>1123</v>
      </c>
      <c r="S174" s="27" t="s">
        <v>1122</v>
      </c>
      <c r="T174" t="s">
        <v>1124</v>
      </c>
      <c r="U174" t="s">
        <v>187</v>
      </c>
      <c r="V174" t="s">
        <v>188</v>
      </c>
      <c r="W174" t="s">
        <v>188</v>
      </c>
      <c r="X174">
        <v>81140</v>
      </c>
      <c r="Y174" t="s">
        <v>189</v>
      </c>
      <c r="Z174" t="s">
        <v>190</v>
      </c>
      <c r="AA174">
        <v>660</v>
      </c>
      <c r="AC174" s="7">
        <v>46202</v>
      </c>
      <c r="AD174">
        <v>21</v>
      </c>
      <c r="AE174" t="s">
        <v>191</v>
      </c>
      <c r="AF174" t="s">
        <v>1122</v>
      </c>
      <c r="AG174" t="s">
        <v>192</v>
      </c>
      <c r="AH174">
        <v>21</v>
      </c>
      <c r="AI174" t="s">
        <v>193</v>
      </c>
      <c r="AJ174" s="7"/>
      <c r="AK174" t="s">
        <v>1125</v>
      </c>
      <c r="AL174" t="s">
        <v>1122</v>
      </c>
      <c r="AM174" t="s">
        <v>192</v>
      </c>
      <c r="AN174">
        <v>81</v>
      </c>
      <c r="AO174" t="s">
        <v>659</v>
      </c>
      <c r="AR174">
        <v>1</v>
      </c>
      <c r="AS174">
        <v>1</v>
      </c>
      <c r="AT174">
        <v>89</v>
      </c>
      <c r="AU174">
        <v>89</v>
      </c>
      <c r="AV174">
        <v>0</v>
      </c>
      <c r="AW174" t="s">
        <v>194</v>
      </c>
      <c r="AX174">
        <v>89</v>
      </c>
      <c r="AY174">
        <v>0</v>
      </c>
      <c r="BE174" t="s">
        <v>195</v>
      </c>
      <c r="BF174" t="s">
        <v>196</v>
      </c>
      <c r="BG174" t="s">
        <v>197</v>
      </c>
      <c r="BM174">
        <v>51.28</v>
      </c>
      <c r="BN174" s="23">
        <v>53.43</v>
      </c>
      <c r="BQ174" t="s">
        <v>198</v>
      </c>
      <c r="DK174">
        <v>2</v>
      </c>
      <c r="GM174">
        <v>0.15</v>
      </c>
    </row>
    <row r="175" spans="2:195" x14ac:dyDescent="0.35">
      <c r="B175" s="23" t="str">
        <f t="shared" si="33"/>
        <v>EXP20260625-2819375</v>
      </c>
      <c r="C175" s="23">
        <f t="shared" si="34"/>
        <v>33.369999999999997</v>
      </c>
      <c r="D175" s="23">
        <f t="shared" si="35"/>
        <v>33.369999999999997</v>
      </c>
      <c r="E175" s="23" t="str">
        <f t="shared" si="36"/>
        <v/>
      </c>
      <c r="F175" s="23" t="str">
        <f t="shared" si="37"/>
        <v/>
      </c>
      <c r="G175" s="23" t="str">
        <f t="shared" si="38"/>
        <v/>
      </c>
      <c r="H175" s="23" t="str">
        <f t="shared" si="39"/>
        <v/>
      </c>
      <c r="I175" s="23" t="str">
        <f t="shared" si="40"/>
        <v/>
      </c>
      <c r="J175" s="23">
        <f t="shared" si="41"/>
        <v>33.369999999999997</v>
      </c>
      <c r="K175" s="23">
        <f t="shared" si="42"/>
        <v>0</v>
      </c>
      <c r="L175" s="23">
        <f t="shared" si="43"/>
        <v>0</v>
      </c>
      <c r="M175" t="s">
        <v>352</v>
      </c>
      <c r="N175" s="7">
        <v>46203</v>
      </c>
      <c r="O175" t="s">
        <v>186</v>
      </c>
      <c r="P175" t="s">
        <v>1126</v>
      </c>
      <c r="Q175">
        <v>2026</v>
      </c>
      <c r="R175" s="27" t="s">
        <v>1127</v>
      </c>
      <c r="S175" s="27" t="s">
        <v>1126</v>
      </c>
      <c r="T175" t="s">
        <v>1128</v>
      </c>
      <c r="U175" t="s">
        <v>187</v>
      </c>
      <c r="V175" t="s">
        <v>188</v>
      </c>
      <c r="W175" t="s">
        <v>188</v>
      </c>
      <c r="X175">
        <v>49700</v>
      </c>
      <c r="Y175" t="s">
        <v>189</v>
      </c>
      <c r="Z175" t="s">
        <v>190</v>
      </c>
      <c r="AA175">
        <v>641</v>
      </c>
      <c r="AC175" s="7">
        <v>46202</v>
      </c>
      <c r="AD175">
        <v>21</v>
      </c>
      <c r="AE175" t="s">
        <v>191</v>
      </c>
      <c r="AF175" t="s">
        <v>1126</v>
      </c>
      <c r="AG175" t="s">
        <v>192</v>
      </c>
      <c r="AH175">
        <v>21</v>
      </c>
      <c r="AI175" t="s">
        <v>193</v>
      </c>
      <c r="AJ175" s="7"/>
      <c r="AK175" t="s">
        <v>1129</v>
      </c>
      <c r="AL175" t="s">
        <v>1126</v>
      </c>
      <c r="AM175" t="s">
        <v>192</v>
      </c>
      <c r="AN175">
        <v>49</v>
      </c>
      <c r="AO175" t="s">
        <v>1130</v>
      </c>
      <c r="AR175">
        <v>1</v>
      </c>
      <c r="AS175">
        <v>1</v>
      </c>
      <c r="AT175">
        <v>20</v>
      </c>
      <c r="AU175">
        <v>20</v>
      </c>
      <c r="AV175">
        <v>0</v>
      </c>
      <c r="AW175" t="s">
        <v>194</v>
      </c>
      <c r="AX175">
        <v>20</v>
      </c>
      <c r="AY175">
        <v>0</v>
      </c>
      <c r="BE175" t="s">
        <v>195</v>
      </c>
      <c r="BF175" t="s">
        <v>196</v>
      </c>
      <c r="BG175" t="s">
        <v>197</v>
      </c>
      <c r="BM175">
        <v>31.22</v>
      </c>
      <c r="BN175" s="23">
        <v>33.369999999999997</v>
      </c>
      <c r="BQ175" t="s">
        <v>198</v>
      </c>
      <c r="DK175">
        <v>2</v>
      </c>
      <c r="GM175">
        <v>0.15</v>
      </c>
    </row>
    <row r="176" spans="2:195" x14ac:dyDescent="0.35">
      <c r="B176" s="29" t="str">
        <f t="shared" si="33"/>
        <v>EXP20260624-2815862</v>
      </c>
      <c r="C176" s="23">
        <f t="shared" si="34"/>
        <v>83.75</v>
      </c>
      <c r="D176" s="23">
        <f t="shared" si="35"/>
        <v>83.75</v>
      </c>
      <c r="E176" s="23" t="str">
        <f t="shared" si="36"/>
        <v/>
      </c>
      <c r="F176" s="23" t="str">
        <f t="shared" si="37"/>
        <v/>
      </c>
      <c r="G176" s="23">
        <f t="shared" si="38"/>
        <v>7</v>
      </c>
      <c r="H176" s="23" t="str">
        <f t="shared" si="39"/>
        <v/>
      </c>
      <c r="I176" s="23" t="str">
        <f t="shared" si="40"/>
        <v/>
      </c>
      <c r="J176" s="23">
        <f t="shared" si="41"/>
        <v>76.75</v>
      </c>
      <c r="K176" s="23">
        <f t="shared" si="42"/>
        <v>0</v>
      </c>
      <c r="L176" s="23">
        <f t="shared" si="43"/>
        <v>0</v>
      </c>
      <c r="M176" t="s">
        <v>352</v>
      </c>
      <c r="N176" s="7">
        <v>46203</v>
      </c>
      <c r="O176" t="s">
        <v>186</v>
      </c>
      <c r="P176" t="s">
        <v>1131</v>
      </c>
      <c r="Q176">
        <v>2026</v>
      </c>
      <c r="R176" s="27" t="s">
        <v>1132</v>
      </c>
      <c r="S176" s="27" t="s">
        <v>1131</v>
      </c>
      <c r="T176" t="s">
        <v>1133</v>
      </c>
      <c r="U176" t="s">
        <v>187</v>
      </c>
      <c r="V176" t="s">
        <v>319</v>
      </c>
      <c r="W176" t="s">
        <v>320</v>
      </c>
      <c r="X176">
        <v>1050</v>
      </c>
      <c r="Y176" t="s">
        <v>189</v>
      </c>
      <c r="Z176" t="s">
        <v>190</v>
      </c>
      <c r="AA176">
        <v>731</v>
      </c>
      <c r="AC176" s="7">
        <v>46202</v>
      </c>
      <c r="AD176">
        <v>21</v>
      </c>
      <c r="AE176" t="s">
        <v>191</v>
      </c>
      <c r="AF176" t="s">
        <v>1131</v>
      </c>
      <c r="AG176" t="s">
        <v>192</v>
      </c>
      <c r="AH176">
        <v>21</v>
      </c>
      <c r="AI176" t="s">
        <v>193</v>
      </c>
      <c r="AJ176" s="7"/>
      <c r="AK176" t="s">
        <v>1134</v>
      </c>
      <c r="AL176" t="s">
        <v>1131</v>
      </c>
      <c r="AM176" t="s">
        <v>1135</v>
      </c>
      <c r="AN176">
        <v>10</v>
      </c>
      <c r="AO176" t="s">
        <v>1136</v>
      </c>
      <c r="AR176">
        <v>1</v>
      </c>
      <c r="AS176">
        <v>1</v>
      </c>
      <c r="AT176">
        <v>80</v>
      </c>
      <c r="AU176">
        <v>192</v>
      </c>
      <c r="AV176">
        <v>0.77</v>
      </c>
      <c r="AW176" t="s">
        <v>194</v>
      </c>
      <c r="AX176">
        <v>192</v>
      </c>
      <c r="AY176">
        <v>0</v>
      </c>
      <c r="BE176" t="s">
        <v>195</v>
      </c>
      <c r="BF176" t="s">
        <v>196</v>
      </c>
      <c r="BG176" t="s">
        <v>197</v>
      </c>
      <c r="BM176">
        <v>66.599999999999994</v>
      </c>
      <c r="BN176" s="23">
        <v>83.75</v>
      </c>
      <c r="BQ176" t="s">
        <v>321</v>
      </c>
      <c r="DK176">
        <v>2</v>
      </c>
      <c r="DN176">
        <v>7</v>
      </c>
      <c r="FV176">
        <v>8</v>
      </c>
      <c r="GM176">
        <v>0.15</v>
      </c>
    </row>
    <row r="177" spans="2:195" x14ac:dyDescent="0.35">
      <c r="B177" s="23" t="str">
        <f t="shared" si="33"/>
        <v>EXP20260625-2819374</v>
      </c>
      <c r="C177" s="23">
        <f t="shared" si="34"/>
        <v>42.29</v>
      </c>
      <c r="D177" s="23">
        <f t="shared" si="35"/>
        <v>42.29</v>
      </c>
      <c r="E177" s="23" t="str">
        <f t="shared" si="36"/>
        <v/>
      </c>
      <c r="F177" s="23" t="str">
        <f t="shared" si="37"/>
        <v/>
      </c>
      <c r="G177" s="23" t="str">
        <f t="shared" si="38"/>
        <v/>
      </c>
      <c r="H177" s="23" t="str">
        <f t="shared" si="39"/>
        <v/>
      </c>
      <c r="I177" s="23" t="str">
        <f t="shared" si="40"/>
        <v/>
      </c>
      <c r="J177" s="23">
        <f t="shared" si="41"/>
        <v>42.29</v>
      </c>
      <c r="K177" s="23">
        <f t="shared" si="42"/>
        <v>0</v>
      </c>
      <c r="L177" s="23">
        <f t="shared" si="43"/>
        <v>0</v>
      </c>
      <c r="M177" t="s">
        <v>352</v>
      </c>
      <c r="N177" s="7">
        <v>46203</v>
      </c>
      <c r="O177" t="s">
        <v>186</v>
      </c>
      <c r="P177" t="s">
        <v>1137</v>
      </c>
      <c r="Q177">
        <v>2026</v>
      </c>
      <c r="R177" s="27" t="s">
        <v>1138</v>
      </c>
      <c r="S177" s="27" t="s">
        <v>1137</v>
      </c>
      <c r="T177" t="s">
        <v>1139</v>
      </c>
      <c r="U177" t="s">
        <v>187</v>
      </c>
      <c r="V177" t="s">
        <v>188</v>
      </c>
      <c r="W177" t="s">
        <v>188</v>
      </c>
      <c r="X177">
        <v>33350</v>
      </c>
      <c r="Y177" t="s">
        <v>189</v>
      </c>
      <c r="Z177" t="s">
        <v>190</v>
      </c>
      <c r="AA177">
        <v>713</v>
      </c>
      <c r="AC177" s="7">
        <v>46202</v>
      </c>
      <c r="AD177">
        <v>21</v>
      </c>
      <c r="AE177" t="s">
        <v>191</v>
      </c>
      <c r="AF177" t="s">
        <v>1137</v>
      </c>
      <c r="AG177" t="s">
        <v>192</v>
      </c>
      <c r="AH177">
        <v>21</v>
      </c>
      <c r="AI177" t="s">
        <v>193</v>
      </c>
      <c r="AJ177" s="7"/>
      <c r="AK177" t="s">
        <v>1140</v>
      </c>
      <c r="AL177" t="s">
        <v>1137</v>
      </c>
      <c r="AM177" t="s">
        <v>192</v>
      </c>
      <c r="AN177">
        <v>33</v>
      </c>
      <c r="AO177" t="s">
        <v>1141</v>
      </c>
      <c r="AR177">
        <v>1</v>
      </c>
      <c r="AS177">
        <v>1</v>
      </c>
      <c r="AT177">
        <v>26</v>
      </c>
      <c r="AU177">
        <v>26</v>
      </c>
      <c r="AV177">
        <v>0</v>
      </c>
      <c r="AW177" t="s">
        <v>194</v>
      </c>
      <c r="AX177">
        <v>26</v>
      </c>
      <c r="AY177">
        <v>0</v>
      </c>
      <c r="BE177" t="s">
        <v>195</v>
      </c>
      <c r="BF177" t="s">
        <v>196</v>
      </c>
      <c r="BG177" t="s">
        <v>197</v>
      </c>
      <c r="BM177">
        <v>32.11</v>
      </c>
      <c r="BN177" s="23">
        <v>42.29</v>
      </c>
      <c r="BQ177" t="s">
        <v>198</v>
      </c>
      <c r="DI177">
        <v>8.0299999999999994</v>
      </c>
      <c r="DK177">
        <v>2</v>
      </c>
      <c r="GM177">
        <v>0.15</v>
      </c>
    </row>
    <row r="178" spans="2:195" x14ac:dyDescent="0.35">
      <c r="B178" s="23" t="str">
        <f t="shared" si="33"/>
        <v>EXP20260625-2819560</v>
      </c>
      <c r="C178" s="23">
        <f t="shared" si="34"/>
        <v>49.06</v>
      </c>
      <c r="D178" s="23">
        <f t="shared" si="35"/>
        <v>49.06</v>
      </c>
      <c r="E178" s="23" t="str">
        <f t="shared" si="36"/>
        <v/>
      </c>
      <c r="F178" s="23" t="str">
        <f t="shared" si="37"/>
        <v/>
      </c>
      <c r="G178" s="23" t="str">
        <f t="shared" si="38"/>
        <v/>
      </c>
      <c r="H178" s="23" t="str">
        <f t="shared" si="39"/>
        <v/>
      </c>
      <c r="I178" s="23" t="str">
        <f t="shared" si="40"/>
        <v/>
      </c>
      <c r="J178" s="23">
        <f t="shared" si="41"/>
        <v>49.06</v>
      </c>
      <c r="K178" s="23">
        <f t="shared" si="42"/>
        <v>0</v>
      </c>
      <c r="L178" s="23">
        <f t="shared" si="43"/>
        <v>0</v>
      </c>
      <c r="M178" t="s">
        <v>352</v>
      </c>
      <c r="N178" s="7">
        <v>46203</v>
      </c>
      <c r="O178" t="s">
        <v>186</v>
      </c>
      <c r="P178" t="s">
        <v>1142</v>
      </c>
      <c r="Q178">
        <v>2026</v>
      </c>
      <c r="R178" s="27" t="s">
        <v>1143</v>
      </c>
      <c r="S178" s="27" t="s">
        <v>1142</v>
      </c>
      <c r="T178" t="s">
        <v>1144</v>
      </c>
      <c r="U178" t="s">
        <v>187</v>
      </c>
      <c r="V178" t="s">
        <v>188</v>
      </c>
      <c r="W178" t="s">
        <v>188</v>
      </c>
      <c r="X178">
        <v>33570</v>
      </c>
      <c r="Y178" t="s">
        <v>189</v>
      </c>
      <c r="Z178" t="s">
        <v>190</v>
      </c>
      <c r="AA178">
        <v>713</v>
      </c>
      <c r="AC178" s="7">
        <v>46202</v>
      </c>
      <c r="AD178">
        <v>21</v>
      </c>
      <c r="AE178" t="s">
        <v>191</v>
      </c>
      <c r="AF178" t="s">
        <v>1142</v>
      </c>
      <c r="AG178" t="s">
        <v>192</v>
      </c>
      <c r="AH178">
        <v>21</v>
      </c>
      <c r="AI178" t="s">
        <v>193</v>
      </c>
      <c r="AJ178" s="7"/>
      <c r="AK178" t="s">
        <v>1145</v>
      </c>
      <c r="AL178" t="s">
        <v>1142</v>
      </c>
      <c r="AM178" t="s">
        <v>192</v>
      </c>
      <c r="AN178">
        <v>33</v>
      </c>
      <c r="AO178" t="s">
        <v>1146</v>
      </c>
      <c r="AR178">
        <v>1</v>
      </c>
      <c r="AS178">
        <v>1</v>
      </c>
      <c r="AT178">
        <v>44</v>
      </c>
      <c r="AU178">
        <v>44</v>
      </c>
      <c r="AV178">
        <v>0</v>
      </c>
      <c r="AW178" t="s">
        <v>194</v>
      </c>
      <c r="AX178">
        <v>44</v>
      </c>
      <c r="AY178">
        <v>0</v>
      </c>
      <c r="BE178" t="s">
        <v>195</v>
      </c>
      <c r="BF178" t="s">
        <v>196</v>
      </c>
      <c r="BG178" t="s">
        <v>197</v>
      </c>
      <c r="BM178">
        <v>37.53</v>
      </c>
      <c r="BN178" s="23">
        <v>49.06</v>
      </c>
      <c r="BQ178" t="s">
        <v>198</v>
      </c>
      <c r="DI178">
        <v>9.3800000000000008</v>
      </c>
      <c r="DK178">
        <v>2</v>
      </c>
      <c r="GM178">
        <v>0.15</v>
      </c>
    </row>
    <row r="179" spans="2:195" x14ac:dyDescent="0.35">
      <c r="B179" s="23" t="str">
        <f t="shared" si="33"/>
        <v>EXP20260624-2816654</v>
      </c>
      <c r="C179" s="23">
        <f t="shared" si="34"/>
        <v>64.460000000000008</v>
      </c>
      <c r="D179" s="23">
        <f t="shared" si="35"/>
        <v>64.460000000000008</v>
      </c>
      <c r="E179" s="23" t="str">
        <f t="shared" si="36"/>
        <v/>
      </c>
      <c r="F179" s="23" t="str">
        <f t="shared" si="37"/>
        <v/>
      </c>
      <c r="G179" s="23" t="str">
        <f t="shared" si="38"/>
        <v/>
      </c>
      <c r="H179" s="23" t="str">
        <f t="shared" si="39"/>
        <v/>
      </c>
      <c r="I179" s="23" t="str">
        <f t="shared" si="40"/>
        <v/>
      </c>
      <c r="J179" s="23">
        <f t="shared" si="41"/>
        <v>64.460000000000008</v>
      </c>
      <c r="K179" s="23">
        <f t="shared" si="42"/>
        <v>0</v>
      </c>
      <c r="L179" s="23">
        <f t="shared" si="43"/>
        <v>0</v>
      </c>
      <c r="M179" t="s">
        <v>352</v>
      </c>
      <c r="N179" s="7">
        <v>46203</v>
      </c>
      <c r="O179" t="s">
        <v>186</v>
      </c>
      <c r="P179" t="s">
        <v>1147</v>
      </c>
      <c r="Q179">
        <v>2026</v>
      </c>
      <c r="R179" s="27" t="s">
        <v>1148</v>
      </c>
      <c r="S179" s="27" t="s">
        <v>1147</v>
      </c>
      <c r="T179" t="s">
        <v>1149</v>
      </c>
      <c r="U179" t="s">
        <v>187</v>
      </c>
      <c r="V179" t="s">
        <v>188</v>
      </c>
      <c r="W179" t="s">
        <v>188</v>
      </c>
      <c r="X179">
        <v>29340</v>
      </c>
      <c r="Y179" t="s">
        <v>189</v>
      </c>
      <c r="Z179" t="s">
        <v>190</v>
      </c>
      <c r="AA179">
        <v>897</v>
      </c>
      <c r="AC179" s="7">
        <v>46202</v>
      </c>
      <c r="AD179">
        <v>21</v>
      </c>
      <c r="AE179" t="s">
        <v>191</v>
      </c>
      <c r="AF179" t="s">
        <v>1147</v>
      </c>
      <c r="AG179" t="s">
        <v>192</v>
      </c>
      <c r="AH179">
        <v>21</v>
      </c>
      <c r="AI179" t="s">
        <v>193</v>
      </c>
      <c r="AJ179" s="7"/>
      <c r="AK179" t="s">
        <v>1150</v>
      </c>
      <c r="AL179" t="s">
        <v>1147</v>
      </c>
      <c r="AM179" t="s">
        <v>192</v>
      </c>
      <c r="AN179">
        <v>29</v>
      </c>
      <c r="AO179" t="s">
        <v>1151</v>
      </c>
      <c r="AR179">
        <v>1</v>
      </c>
      <c r="AS179">
        <v>1</v>
      </c>
      <c r="AT179">
        <v>60</v>
      </c>
      <c r="AU179">
        <v>60</v>
      </c>
      <c r="AV179">
        <v>0</v>
      </c>
      <c r="AW179" t="s">
        <v>194</v>
      </c>
      <c r="AX179">
        <v>60</v>
      </c>
      <c r="AY179">
        <v>0</v>
      </c>
      <c r="BE179" t="s">
        <v>195</v>
      </c>
      <c r="BF179" t="s">
        <v>196</v>
      </c>
      <c r="BG179" t="s">
        <v>197</v>
      </c>
      <c r="BM179">
        <v>49.85</v>
      </c>
      <c r="BN179" s="23">
        <v>64.459999999999994</v>
      </c>
      <c r="BQ179" t="s">
        <v>198</v>
      </c>
      <c r="DI179">
        <v>12.46</v>
      </c>
      <c r="DK179">
        <v>2</v>
      </c>
      <c r="GM179">
        <v>0.15</v>
      </c>
    </row>
    <row r="180" spans="2:195" x14ac:dyDescent="0.35">
      <c r="B180" s="23">
        <f t="shared" si="33"/>
        <v>0</v>
      </c>
      <c r="C180" s="23">
        <f t="shared" si="34"/>
        <v>0</v>
      </c>
      <c r="D180" s="23">
        <f t="shared" si="35"/>
        <v>1176.27</v>
      </c>
      <c r="E180" s="23" t="str">
        <f t="shared" si="36"/>
        <v/>
      </c>
      <c r="F180" s="23" t="str">
        <f t="shared" si="37"/>
        <v/>
      </c>
      <c r="G180" s="23" t="str">
        <f t="shared" si="38"/>
        <v/>
      </c>
      <c r="H180" s="23" t="str">
        <f t="shared" si="39"/>
        <v/>
      </c>
      <c r="I180" s="23" t="str">
        <f t="shared" si="40"/>
        <v/>
      </c>
      <c r="J180" s="23" t="str">
        <f t="shared" si="41"/>
        <v/>
      </c>
      <c r="K180" s="23">
        <f t="shared" si="42"/>
        <v>0</v>
      </c>
      <c r="L180" s="23">
        <f t="shared" si="43"/>
        <v>1176.27</v>
      </c>
      <c r="M180" t="s">
        <v>352</v>
      </c>
      <c r="N180" s="7"/>
      <c r="R180" s="27"/>
      <c r="S180" s="27"/>
      <c r="AC180" s="7"/>
      <c r="AD180" t="s">
        <v>1152</v>
      </c>
      <c r="AJ180" s="7"/>
      <c r="BG180" t="s">
        <v>197</v>
      </c>
      <c r="BN180" s="23">
        <v>1176.27</v>
      </c>
    </row>
    <row r="181" spans="2:195" x14ac:dyDescent="0.35">
      <c r="B181" s="23">
        <f t="shared" si="33"/>
        <v>0</v>
      </c>
      <c r="C181" s="23">
        <f t="shared" si="34"/>
        <v>0</v>
      </c>
      <c r="D181" s="23">
        <f t="shared" si="35"/>
        <v>249.11</v>
      </c>
      <c r="E181" s="23" t="str">
        <f t="shared" si="36"/>
        <v/>
      </c>
      <c r="F181" s="23" t="str">
        <f t="shared" si="37"/>
        <v/>
      </c>
      <c r="G181" s="23" t="str">
        <f t="shared" si="38"/>
        <v/>
      </c>
      <c r="H181" s="23" t="str">
        <f t="shared" si="39"/>
        <v/>
      </c>
      <c r="I181" s="23" t="str">
        <f t="shared" si="40"/>
        <v/>
      </c>
      <c r="J181" s="23" t="str">
        <f t="shared" si="41"/>
        <v/>
      </c>
      <c r="K181" s="23">
        <f t="shared" si="42"/>
        <v>0</v>
      </c>
      <c r="L181" s="23">
        <f t="shared" si="43"/>
        <v>249.11</v>
      </c>
      <c r="M181" t="s">
        <v>352</v>
      </c>
      <c r="N181" s="7"/>
      <c r="R181" s="27"/>
      <c r="S181" s="27"/>
      <c r="AC181" s="7"/>
      <c r="AD181" t="s">
        <v>1153</v>
      </c>
      <c r="AJ181" s="7"/>
      <c r="BG181" t="s">
        <v>197</v>
      </c>
      <c r="BN181" s="23">
        <v>249.11</v>
      </c>
    </row>
    <row r="182" spans="2:195" x14ac:dyDescent="0.35">
      <c r="B182" s="23">
        <f t="shared" si="33"/>
        <v>0</v>
      </c>
      <c r="C182" s="23">
        <f t="shared" si="34"/>
        <v>0</v>
      </c>
      <c r="D182" s="23">
        <f t="shared" si="35"/>
        <v>0</v>
      </c>
      <c r="E182" s="23" t="str">
        <f t="shared" si="36"/>
        <v/>
      </c>
      <c r="F182" s="23" t="str">
        <f t="shared" si="37"/>
        <v/>
      </c>
      <c r="G182" s="23" t="str">
        <f t="shared" si="38"/>
        <v/>
      </c>
      <c r="H182" s="23" t="str">
        <f t="shared" si="39"/>
        <v/>
      </c>
      <c r="I182" s="23" t="str">
        <f t="shared" si="40"/>
        <v/>
      </c>
      <c r="J182" s="23" t="str">
        <f t="shared" si="41"/>
        <v/>
      </c>
      <c r="K182" s="23">
        <f t="shared" si="42"/>
        <v>0</v>
      </c>
      <c r="L182" s="23">
        <f t="shared" si="43"/>
        <v>0</v>
      </c>
      <c r="M182" t="s">
        <v>352</v>
      </c>
      <c r="N182" s="7"/>
      <c r="R182" s="27"/>
      <c r="S182" s="27"/>
      <c r="AC182" s="7"/>
      <c r="AD182" t="s">
        <v>218</v>
      </c>
      <c r="AJ182" s="7"/>
      <c r="BG182" t="s">
        <v>197</v>
      </c>
      <c r="BN182" s="23">
        <v>0</v>
      </c>
    </row>
    <row r="183" spans="2:195" x14ac:dyDescent="0.35">
      <c r="B183" s="23" t="str">
        <f>IF(S183&lt;&gt;"",S183,T183)</f>
        <v>EXP20260520-2755032</v>
      </c>
      <c r="C183" s="23">
        <f>SUM(E183:K183)</f>
        <v>25.7</v>
      </c>
      <c r="D183" s="23">
        <f>SUM(E183:L183)</f>
        <v>25.7</v>
      </c>
      <c r="E183" s="23" t="str">
        <f>IF(BU183+BV183+BW183+CH183+CI183+CJ183+CK183+FO183+FS183+FT183=0,"",BU183+BV183+BW183+CH183+CI183+CJ183+CK183+FO183+FS183+FT183)</f>
        <v/>
      </c>
      <c r="F183" s="23" t="str">
        <f>IF(FJ183=0,"",FJ183)</f>
        <v/>
      </c>
      <c r="G183" s="23" t="str">
        <f>IF(CP183+DM183+DN183+EE183+EX183+EF183=0,"",CP183+DM183+DN183+EE183+EX183+EF183)</f>
        <v/>
      </c>
      <c r="H183" s="23" t="str">
        <f>IF(DW183=0,"",DW183)</f>
        <v/>
      </c>
      <c r="I183" s="23">
        <f>IF(DZ183+EA183+EG183=0,"",DZ183+EA183+EG183)</f>
        <v>25.7</v>
      </c>
      <c r="J183" s="23" t="str">
        <f>IF(BM183+BS183+BT183+BY183+BZ183+CA183+CB183+CC183+CD183+CE183+CF183+CG183+CL183+CM183+CN183+CO183+CQ183+CR183+CT183+CU183+CV183+CW183+CX183+CY183+CZ183+DA183+DB183+DC183+DD183+DE183+DF183+DG183+DH183+DI183+DJ183+DK183+DL183+DO183+DP183+DQ183+DR183+DS183+DT183+DY183+EB183+EC183+ED183+EH183+EI183+EJ183+EK183+EL183+EM183+EN183+EO183+EP183+ER183+ES183+ET183+EU183+EV183+EW183+EY183+EZ183+FA183+FB183+FC183+FD183+FE183+FF183+FG183+FH183+FI183+FK183+FL183+FM183+FN183+FP183+FQ183+FR183+FU183+FV183+FW183+FX183+FY183+FZ183+GA183+GB183+GC183+GD183+GE183+GF183+GG183+GH183+GI183+GJ183+GK183+GL183+GM183=0,"",BM183+BS183+BT183+BY183+BZ183+CA183+CB183+CC183+CD183+CE183+CF183+CG183+CL183+CM183+CN183+CO183+CQ183+CR183+CT183+CU183+CV183+CW183+CX183+CY183+CZ183+DA183+DB183+DC183+DD183+DE183+DF183+DG183+DH183+DI183+DJ183+DK183+DL183+DO183+DP183+DQ183+DR183+DS183+DT183+DY183+EB183+EC183+ED183+EH183+EI183+EJ183+EK183+EL183+EM183+EN183+EO183+EP183+ER183+ES183+ET183+EU183+EV183+EW183+EY183+EZ183+FA183+FB183+FC183+FD183+FE183+FF183+FG183+FH183+FI183+FK183+FL183+FM183+FN183+FP183+FQ183+FR183+FU183+FV183+FW183+FX183+FY183+FZ183+GA183+GB183+GC183+GD183+GE183+GF183+GG183+GH183+GI183+GJ183+GK183+GL183+GM183)</f>
        <v/>
      </c>
      <c r="K183" s="23">
        <f>DX183+CS183</f>
        <v>0</v>
      </c>
      <c r="L183" s="23">
        <f>BN183-C183</f>
        <v>0</v>
      </c>
      <c r="M183" t="s">
        <v>1154</v>
      </c>
      <c r="N183">
        <v>46203</v>
      </c>
      <c r="O183" t="s">
        <v>186</v>
      </c>
      <c r="P183" t="s">
        <v>337</v>
      </c>
      <c r="Q183">
        <v>2026</v>
      </c>
      <c r="R183" s="4" t="s">
        <v>338</v>
      </c>
      <c r="S183" s="5" t="s">
        <v>337</v>
      </c>
      <c r="T183" t="s">
        <v>339</v>
      </c>
      <c r="U183" t="s">
        <v>187</v>
      </c>
      <c r="V183" t="s">
        <v>188</v>
      </c>
      <c r="W183" t="s">
        <v>188</v>
      </c>
      <c r="X183">
        <v>75001</v>
      </c>
      <c r="Y183" t="s">
        <v>189</v>
      </c>
      <c r="Z183" t="s">
        <v>190</v>
      </c>
      <c r="AA183">
        <v>395</v>
      </c>
      <c r="AC183">
        <v>46163</v>
      </c>
      <c r="AD183">
        <v>21</v>
      </c>
      <c r="AE183" t="s">
        <v>191</v>
      </c>
      <c r="AF183" t="s">
        <v>337</v>
      </c>
      <c r="AG183" t="s">
        <v>192</v>
      </c>
      <c r="AH183">
        <v>21</v>
      </c>
      <c r="AI183" t="s">
        <v>193</v>
      </c>
      <c r="AJ183">
        <v>46177</v>
      </c>
      <c r="AK183" t="s">
        <v>340</v>
      </c>
      <c r="AL183" t="s">
        <v>337</v>
      </c>
      <c r="AM183" t="s">
        <v>192</v>
      </c>
      <c r="AN183">
        <v>75</v>
      </c>
      <c r="AO183" t="s">
        <v>211</v>
      </c>
      <c r="AR183">
        <v>1</v>
      </c>
      <c r="AS183">
        <v>1</v>
      </c>
      <c r="AT183">
        <v>80</v>
      </c>
      <c r="AU183">
        <v>80</v>
      </c>
      <c r="AV183">
        <v>0</v>
      </c>
      <c r="AW183" t="s">
        <v>194</v>
      </c>
      <c r="AX183">
        <v>80</v>
      </c>
      <c r="AY183">
        <v>0</v>
      </c>
      <c r="BE183" t="s">
        <v>195</v>
      </c>
      <c r="BF183" t="s">
        <v>196</v>
      </c>
      <c r="BG183" t="s">
        <v>197</v>
      </c>
      <c r="BM183">
        <v>0</v>
      </c>
      <c r="BN183" s="6">
        <v>25.7</v>
      </c>
      <c r="BQ183" t="s">
        <v>198</v>
      </c>
      <c r="EG183">
        <v>25.7</v>
      </c>
    </row>
    <row r="184" spans="2:195" x14ac:dyDescent="0.35">
      <c r="B184" s="23" t="str">
        <f t="shared" ref="B184:B191" si="44">IF(S184&lt;&gt;"",S184,T184)</f>
        <v>EXP20260523-2759144</v>
      </c>
      <c r="C184" s="23">
        <f t="shared" ref="C184:C191" si="45">SUM(E184:K184)</f>
        <v>139.61000000000001</v>
      </c>
      <c r="D184" s="23">
        <f t="shared" ref="D184:D191" si="46">SUM(E184:L184)</f>
        <v>139.61000000000001</v>
      </c>
      <c r="E184" s="23" t="str">
        <f t="shared" ref="E184:E191" si="47">IF(BU184+BV184+BW184+CH184+CI184+CJ184+CK184+FO184+FS184+FT184=0,"",BU184+BV184+BW184+CH184+CI184+CJ184+CK184+FO184+FS184+FT184)</f>
        <v/>
      </c>
      <c r="F184" s="23" t="str">
        <f t="shared" ref="F184:F191" si="48">IF(FJ184=0,"",FJ184)</f>
        <v/>
      </c>
      <c r="G184" s="23" t="str">
        <f t="shared" ref="G184:G191" si="49">IF(CP184+DM184+DN184+EE184+EX184+EF184=0,"",CP184+DM184+DN184+EE184+EX184+EF184)</f>
        <v/>
      </c>
      <c r="H184" s="23" t="str">
        <f t="shared" ref="H184:H191" si="50">IF(DW184=0,"",DW184)</f>
        <v/>
      </c>
      <c r="I184" s="23" t="str">
        <f t="shared" ref="I184:I191" si="51">IF(DZ184+EA184+EG184=0,"",DZ184+EA184+EG184)</f>
        <v/>
      </c>
      <c r="J184" s="23">
        <f t="shared" ref="J184:J191" si="52">IF(BM184+BS184+BT184+BY184+BZ184+CA184+CB184+CC184+CD184+CE184+CF184+CG184+CL184+CM184+CN184+CO184+CQ184+CR184+CT184+CU184+CV184+CW184+CX184+CY184+CZ184+DA184+DB184+DC184+DD184+DE184+DF184+DG184+DH184+DI184+DJ184+DK184+DL184+DO184+DP184+DQ184+DR184+DS184+DT184+DY184+EB184+EC184+ED184+EH184+EI184+EJ184+EK184+EL184+EM184+EN184+EO184+EP184+ER184+ES184+ET184+EU184+EV184+EW184+EY184+EZ184+FA184+FB184+FC184+FD184+FE184+FF184+FG184+FH184+FI184+FK184+FL184+FM184+FN184+FP184+FQ184+FR184+FU184+FV184+FW184+FX184+FY184+FZ184+GA184+GB184+GC184+GD184+GE184+GF184+GG184+GH184+GI184+GJ184+GK184+GL184+GM184=0,"",BM184+BS184+BT184+BY184+BZ184+CA184+CB184+CC184+CD184+CE184+CF184+CG184+CL184+CM184+CN184+CO184+CQ184+CR184+CT184+CU184+CV184+CW184+CX184+CY184+CZ184+DA184+DB184+DC184+DD184+DE184+DF184+DG184+DH184+DI184+DJ184+DK184+DL184+DO184+DP184+DQ184+DR184+DS184+DT184+DY184+EB184+EC184+ED184+EH184+EI184+EJ184+EK184+EL184+EM184+EN184+EO184+EP184+ER184+ES184+ET184+EU184+EV184+EW184+EY184+EZ184+FA184+FB184+FC184+FD184+FE184+FF184+FG184+FH184+FI184+FK184+FL184+FM184+FN184+FP184+FQ184+FR184+FU184+FV184+FW184+FX184+FY184+FZ184+GA184+GB184+GC184+GD184+GE184+GF184+GG184+GH184+GI184+GJ184+GK184+GL184+GM184)</f>
        <v>139.61000000000001</v>
      </c>
      <c r="K184" s="23">
        <f t="shared" ref="K184:K191" si="53">DX184+CS184</f>
        <v>0</v>
      </c>
      <c r="L184" s="23">
        <f t="shared" ref="L184:L191" si="54">BN184-C184</f>
        <v>0</v>
      </c>
      <c r="M184" t="s">
        <v>1154</v>
      </c>
      <c r="N184">
        <v>46203</v>
      </c>
      <c r="O184" t="s">
        <v>186</v>
      </c>
      <c r="P184" t="s">
        <v>342</v>
      </c>
      <c r="Q184">
        <v>2026</v>
      </c>
      <c r="R184" s="4" t="s">
        <v>343</v>
      </c>
      <c r="S184" s="5" t="s">
        <v>342</v>
      </c>
      <c r="T184" t="s">
        <v>344</v>
      </c>
      <c r="U184" t="s">
        <v>187</v>
      </c>
      <c r="V184" t="s">
        <v>188</v>
      </c>
      <c r="W184" t="s">
        <v>188</v>
      </c>
      <c r="X184">
        <v>64360</v>
      </c>
      <c r="Y184" t="s">
        <v>189</v>
      </c>
      <c r="Z184" t="s">
        <v>190</v>
      </c>
      <c r="AA184">
        <v>963</v>
      </c>
      <c r="AC184">
        <v>46168</v>
      </c>
      <c r="AD184">
        <v>21</v>
      </c>
      <c r="AE184" t="s">
        <v>191</v>
      </c>
      <c r="AF184" t="s">
        <v>342</v>
      </c>
      <c r="AG184" t="s">
        <v>192</v>
      </c>
      <c r="AH184">
        <v>21</v>
      </c>
      <c r="AI184" t="s">
        <v>193</v>
      </c>
      <c r="AJ184">
        <v>46175</v>
      </c>
      <c r="AK184" t="s">
        <v>345</v>
      </c>
      <c r="AL184" t="s">
        <v>342</v>
      </c>
      <c r="AM184" t="s">
        <v>192</v>
      </c>
      <c r="AN184">
        <v>64</v>
      </c>
      <c r="AO184" t="s">
        <v>346</v>
      </c>
      <c r="AP184" t="s">
        <v>214</v>
      </c>
      <c r="AR184">
        <v>2</v>
      </c>
      <c r="AS184">
        <v>2</v>
      </c>
      <c r="AT184">
        <v>258</v>
      </c>
      <c r="AU184">
        <v>258</v>
      </c>
      <c r="AV184">
        <v>0</v>
      </c>
      <c r="AW184" t="s">
        <v>201</v>
      </c>
      <c r="AX184">
        <v>2</v>
      </c>
      <c r="AY184">
        <v>0</v>
      </c>
      <c r="BE184" t="s">
        <v>195</v>
      </c>
      <c r="BF184" t="s">
        <v>196</v>
      </c>
      <c r="BG184" t="s">
        <v>197</v>
      </c>
      <c r="BM184">
        <v>0</v>
      </c>
      <c r="BN184" s="6">
        <v>139.61000000000001</v>
      </c>
      <c r="BQ184" t="s">
        <v>198</v>
      </c>
      <c r="DH184">
        <v>139.61000000000001</v>
      </c>
    </row>
    <row r="185" spans="2:195" x14ac:dyDescent="0.35">
      <c r="B185" s="23" t="str">
        <f t="shared" si="44"/>
        <v>EXP20260601-2772378</v>
      </c>
      <c r="C185" s="23">
        <f t="shared" si="45"/>
        <v>38.56</v>
      </c>
      <c r="D185" s="23">
        <f t="shared" si="46"/>
        <v>38.56</v>
      </c>
      <c r="E185" s="23" t="str">
        <f t="shared" si="47"/>
        <v/>
      </c>
      <c r="F185" s="23" t="str">
        <f t="shared" si="48"/>
        <v/>
      </c>
      <c r="G185" s="23" t="str">
        <f t="shared" si="49"/>
        <v/>
      </c>
      <c r="H185" s="23" t="str">
        <f t="shared" si="50"/>
        <v/>
      </c>
      <c r="I185" s="23" t="str">
        <f t="shared" si="51"/>
        <v/>
      </c>
      <c r="J185" s="23">
        <f t="shared" si="52"/>
        <v>38.56</v>
      </c>
      <c r="K185" s="23">
        <f t="shared" si="53"/>
        <v>0</v>
      </c>
      <c r="L185" s="23">
        <f t="shared" si="54"/>
        <v>0</v>
      </c>
      <c r="M185" t="s">
        <v>1154</v>
      </c>
      <c r="N185">
        <v>46203</v>
      </c>
      <c r="O185" t="s">
        <v>186</v>
      </c>
      <c r="P185" t="s">
        <v>387</v>
      </c>
      <c r="Q185">
        <v>2026</v>
      </c>
      <c r="R185" s="4" t="s">
        <v>388</v>
      </c>
      <c r="S185" s="5" t="s">
        <v>387</v>
      </c>
      <c r="T185" t="s">
        <v>389</v>
      </c>
      <c r="U185" t="s">
        <v>187</v>
      </c>
      <c r="V185" t="s">
        <v>188</v>
      </c>
      <c r="W185" t="s">
        <v>188</v>
      </c>
      <c r="X185">
        <v>34490</v>
      </c>
      <c r="Y185" t="s">
        <v>189</v>
      </c>
      <c r="Z185" t="s">
        <v>190</v>
      </c>
      <c r="AA185">
        <v>695</v>
      </c>
      <c r="AC185">
        <v>46174</v>
      </c>
      <c r="AD185">
        <v>21</v>
      </c>
      <c r="AE185" t="s">
        <v>191</v>
      </c>
      <c r="AF185" t="s">
        <v>387</v>
      </c>
      <c r="AG185" t="s">
        <v>192</v>
      </c>
      <c r="AH185">
        <v>21</v>
      </c>
      <c r="AI185" t="s">
        <v>193</v>
      </c>
      <c r="AJ185">
        <v>46185</v>
      </c>
      <c r="AK185" t="s">
        <v>390</v>
      </c>
      <c r="AL185" t="s">
        <v>387</v>
      </c>
      <c r="AM185" t="s">
        <v>192</v>
      </c>
      <c r="AN185">
        <v>34</v>
      </c>
      <c r="AO185" t="s">
        <v>391</v>
      </c>
      <c r="AR185">
        <v>1</v>
      </c>
      <c r="AS185">
        <v>1</v>
      </c>
      <c r="AT185">
        <v>100</v>
      </c>
      <c r="AU185">
        <v>100</v>
      </c>
      <c r="AV185">
        <v>0</v>
      </c>
      <c r="AW185" t="s">
        <v>194</v>
      </c>
      <c r="AX185">
        <v>100</v>
      </c>
      <c r="AY185">
        <v>0</v>
      </c>
      <c r="BE185" t="s">
        <v>195</v>
      </c>
      <c r="BF185" t="s">
        <v>196</v>
      </c>
      <c r="BG185" t="s">
        <v>197</v>
      </c>
      <c r="BM185">
        <v>0</v>
      </c>
      <c r="BN185" s="6">
        <v>38.56</v>
      </c>
      <c r="BQ185" t="s">
        <v>198</v>
      </c>
      <c r="DH185">
        <v>38.56</v>
      </c>
    </row>
    <row r="186" spans="2:195" x14ac:dyDescent="0.35">
      <c r="B186" s="23" t="str">
        <f t="shared" si="44"/>
        <v>EXP20260603-2777654</v>
      </c>
      <c r="C186" s="23">
        <f t="shared" si="45"/>
        <v>25.7</v>
      </c>
      <c r="D186" s="23">
        <f t="shared" si="46"/>
        <v>25.7</v>
      </c>
      <c r="E186" s="23" t="str">
        <f t="shared" si="47"/>
        <v/>
      </c>
      <c r="F186" s="23" t="str">
        <f t="shared" si="48"/>
        <v/>
      </c>
      <c r="G186" s="23" t="str">
        <f t="shared" si="49"/>
        <v/>
      </c>
      <c r="H186" s="23" t="str">
        <f t="shared" si="50"/>
        <v/>
      </c>
      <c r="I186" s="23">
        <f t="shared" si="51"/>
        <v>25.7</v>
      </c>
      <c r="J186" s="23" t="str">
        <f t="shared" si="52"/>
        <v/>
      </c>
      <c r="K186" s="23">
        <f t="shared" si="53"/>
        <v>0</v>
      </c>
      <c r="L186" s="23">
        <f t="shared" si="54"/>
        <v>0</v>
      </c>
      <c r="M186" t="s">
        <v>1154</v>
      </c>
      <c r="N186">
        <v>46203</v>
      </c>
      <c r="O186" t="s">
        <v>186</v>
      </c>
      <c r="P186" t="s">
        <v>523</v>
      </c>
      <c r="Q186">
        <v>2026</v>
      </c>
      <c r="R186" s="4" t="s">
        <v>524</v>
      </c>
      <c r="S186" s="5" t="s">
        <v>523</v>
      </c>
      <c r="T186" t="s">
        <v>525</v>
      </c>
      <c r="U186" t="s">
        <v>187</v>
      </c>
      <c r="V186" t="s">
        <v>188</v>
      </c>
      <c r="W186" t="s">
        <v>188</v>
      </c>
      <c r="X186">
        <v>95470</v>
      </c>
      <c r="Y186" t="s">
        <v>189</v>
      </c>
      <c r="Z186" t="s">
        <v>190</v>
      </c>
      <c r="AA186">
        <v>505</v>
      </c>
      <c r="AC186">
        <v>46177</v>
      </c>
      <c r="AD186">
        <v>21</v>
      </c>
      <c r="AE186" t="s">
        <v>191</v>
      </c>
      <c r="AF186" t="s">
        <v>523</v>
      </c>
      <c r="AG186" t="s">
        <v>192</v>
      </c>
      <c r="AH186">
        <v>21</v>
      </c>
      <c r="AI186" t="s">
        <v>193</v>
      </c>
      <c r="AK186" t="s">
        <v>526</v>
      </c>
      <c r="AL186" t="s">
        <v>523</v>
      </c>
      <c r="AM186" t="s">
        <v>192</v>
      </c>
      <c r="AN186">
        <v>95</v>
      </c>
      <c r="AO186" t="s">
        <v>527</v>
      </c>
      <c r="AR186">
        <v>1</v>
      </c>
      <c r="AS186">
        <v>1</v>
      </c>
      <c r="AT186">
        <v>354</v>
      </c>
      <c r="AU186">
        <v>354</v>
      </c>
      <c r="AV186">
        <v>0</v>
      </c>
      <c r="AW186" t="s">
        <v>201</v>
      </c>
      <c r="AX186">
        <v>1</v>
      </c>
      <c r="AY186">
        <v>0</v>
      </c>
      <c r="BE186" t="s">
        <v>195</v>
      </c>
      <c r="BF186" t="s">
        <v>196</v>
      </c>
      <c r="BG186" t="s">
        <v>197</v>
      </c>
      <c r="BM186">
        <v>0</v>
      </c>
      <c r="BN186" s="6">
        <v>25.7</v>
      </c>
      <c r="BQ186" t="s">
        <v>198</v>
      </c>
      <c r="EG186">
        <v>25.7</v>
      </c>
    </row>
    <row r="187" spans="2:195" x14ac:dyDescent="0.35">
      <c r="B187" s="23" t="str">
        <f t="shared" si="44"/>
        <v>EXP20260603-2779393</v>
      </c>
      <c r="C187" s="23">
        <f t="shared" si="45"/>
        <v>25.7</v>
      </c>
      <c r="D187" s="23">
        <f t="shared" si="46"/>
        <v>25.7</v>
      </c>
      <c r="E187" s="23" t="str">
        <f t="shared" si="47"/>
        <v/>
      </c>
      <c r="F187" s="23" t="str">
        <f t="shared" si="48"/>
        <v/>
      </c>
      <c r="G187" s="23" t="str">
        <f t="shared" si="49"/>
        <v/>
      </c>
      <c r="H187" s="23" t="str">
        <f t="shared" si="50"/>
        <v/>
      </c>
      <c r="I187" s="23">
        <f t="shared" si="51"/>
        <v>25.7</v>
      </c>
      <c r="J187" s="23" t="str">
        <f t="shared" si="52"/>
        <v/>
      </c>
      <c r="K187" s="23">
        <f t="shared" si="53"/>
        <v>0</v>
      </c>
      <c r="L187" s="23">
        <f t="shared" si="54"/>
        <v>0</v>
      </c>
      <c r="M187" t="s">
        <v>1154</v>
      </c>
      <c r="N187">
        <v>46203</v>
      </c>
      <c r="O187" t="s">
        <v>186</v>
      </c>
      <c r="P187" t="s">
        <v>542</v>
      </c>
      <c r="Q187">
        <v>2026</v>
      </c>
      <c r="R187" s="4" t="s">
        <v>543</v>
      </c>
      <c r="S187" s="5" t="s">
        <v>542</v>
      </c>
      <c r="T187" t="s">
        <v>544</v>
      </c>
      <c r="U187" t="s">
        <v>187</v>
      </c>
      <c r="V187" t="s">
        <v>188</v>
      </c>
      <c r="W187" t="s">
        <v>188</v>
      </c>
      <c r="X187">
        <v>18120</v>
      </c>
      <c r="Y187" t="s">
        <v>189</v>
      </c>
      <c r="Z187" t="s">
        <v>190</v>
      </c>
      <c r="AA187">
        <v>297</v>
      </c>
      <c r="AC187">
        <v>46177</v>
      </c>
      <c r="AD187">
        <v>21</v>
      </c>
      <c r="AE187" t="s">
        <v>191</v>
      </c>
      <c r="AF187" t="s">
        <v>542</v>
      </c>
      <c r="AG187" t="s">
        <v>192</v>
      </c>
      <c r="AH187">
        <v>21</v>
      </c>
      <c r="AI187" t="s">
        <v>193</v>
      </c>
      <c r="AJ187">
        <v>46184</v>
      </c>
      <c r="AK187" t="s">
        <v>545</v>
      </c>
      <c r="AL187" t="s">
        <v>542</v>
      </c>
      <c r="AM187" t="s">
        <v>192</v>
      </c>
      <c r="AN187">
        <v>18</v>
      </c>
      <c r="AO187" t="s">
        <v>546</v>
      </c>
      <c r="AR187">
        <v>1</v>
      </c>
      <c r="AS187">
        <v>1</v>
      </c>
      <c r="AT187">
        <v>34</v>
      </c>
      <c r="AU187">
        <v>34</v>
      </c>
      <c r="AV187">
        <v>0</v>
      </c>
      <c r="AW187" t="s">
        <v>194</v>
      </c>
      <c r="AX187">
        <v>34</v>
      </c>
      <c r="AY187">
        <v>0</v>
      </c>
      <c r="BE187" t="s">
        <v>195</v>
      </c>
      <c r="BF187" t="s">
        <v>196</v>
      </c>
      <c r="BG187" t="s">
        <v>197</v>
      </c>
      <c r="BM187">
        <v>0</v>
      </c>
      <c r="BN187" s="6">
        <v>25.7</v>
      </c>
      <c r="BQ187" t="s">
        <v>198</v>
      </c>
      <c r="EG187">
        <v>25.7</v>
      </c>
    </row>
    <row r="188" spans="2:195" x14ac:dyDescent="0.35">
      <c r="B188" s="23" t="str">
        <f t="shared" si="44"/>
        <v>EXP20260604-2780089</v>
      </c>
      <c r="C188" s="23">
        <f t="shared" si="45"/>
        <v>31</v>
      </c>
      <c r="D188" s="23">
        <f t="shared" si="46"/>
        <v>31</v>
      </c>
      <c r="E188" s="23" t="str">
        <f t="shared" si="47"/>
        <v/>
      </c>
      <c r="F188" s="23" t="str">
        <f t="shared" si="48"/>
        <v/>
      </c>
      <c r="G188" s="23">
        <f t="shared" si="49"/>
        <v>21</v>
      </c>
      <c r="H188" s="23">
        <f t="shared" si="50"/>
        <v>10</v>
      </c>
      <c r="I188" s="23" t="str">
        <f t="shared" si="51"/>
        <v/>
      </c>
      <c r="J188" s="23" t="str">
        <f t="shared" si="52"/>
        <v/>
      </c>
      <c r="K188" s="23">
        <f t="shared" si="53"/>
        <v>0</v>
      </c>
      <c r="L188" s="23">
        <f t="shared" si="54"/>
        <v>0</v>
      </c>
      <c r="M188" t="s">
        <v>1154</v>
      </c>
      <c r="N188">
        <v>46203</v>
      </c>
      <c r="O188" t="s">
        <v>186</v>
      </c>
      <c r="P188" t="s">
        <v>549</v>
      </c>
      <c r="Q188">
        <v>2026</v>
      </c>
      <c r="R188" s="4" t="s">
        <v>550</v>
      </c>
      <c r="S188" s="5" t="s">
        <v>549</v>
      </c>
      <c r="T188" t="s">
        <v>551</v>
      </c>
      <c r="U188" t="s">
        <v>187</v>
      </c>
      <c r="V188" t="s">
        <v>188</v>
      </c>
      <c r="W188" t="s">
        <v>188</v>
      </c>
      <c r="X188">
        <v>76430</v>
      </c>
      <c r="Y188" t="s">
        <v>189</v>
      </c>
      <c r="Z188" t="s">
        <v>190</v>
      </c>
      <c r="AA188">
        <v>533</v>
      </c>
      <c r="AC188">
        <v>46178</v>
      </c>
      <c r="AD188">
        <v>21</v>
      </c>
      <c r="AE188" t="s">
        <v>191</v>
      </c>
      <c r="AF188" t="s">
        <v>549</v>
      </c>
      <c r="AG188" t="s">
        <v>192</v>
      </c>
      <c r="AH188">
        <v>21</v>
      </c>
      <c r="AI188" t="s">
        <v>193</v>
      </c>
      <c r="AJ188">
        <v>46182</v>
      </c>
      <c r="AK188" t="s">
        <v>552</v>
      </c>
      <c r="AL188" t="s">
        <v>549</v>
      </c>
      <c r="AM188" t="s">
        <v>192</v>
      </c>
      <c r="AN188">
        <v>76</v>
      </c>
      <c r="AO188" t="s">
        <v>553</v>
      </c>
      <c r="AP188" t="s">
        <v>554</v>
      </c>
      <c r="AQ188" t="s">
        <v>199</v>
      </c>
      <c r="AR188">
        <v>1</v>
      </c>
      <c r="AS188">
        <v>1</v>
      </c>
      <c r="AT188">
        <v>90</v>
      </c>
      <c r="AU188">
        <v>90</v>
      </c>
      <c r="AV188">
        <v>0</v>
      </c>
      <c r="AW188" t="s">
        <v>194</v>
      </c>
      <c r="AX188">
        <v>90</v>
      </c>
      <c r="AY188">
        <v>0</v>
      </c>
      <c r="BE188" t="s">
        <v>195</v>
      </c>
      <c r="BF188" t="s">
        <v>196</v>
      </c>
      <c r="BG188" t="s">
        <v>197</v>
      </c>
      <c r="BM188">
        <v>0</v>
      </c>
      <c r="BN188" s="6">
        <v>31</v>
      </c>
      <c r="BQ188" t="s">
        <v>198</v>
      </c>
      <c r="DW188">
        <v>10</v>
      </c>
      <c r="EF188">
        <v>21</v>
      </c>
    </row>
    <row r="189" spans="2:195" x14ac:dyDescent="0.35">
      <c r="B189" s="23" t="str">
        <f t="shared" si="44"/>
        <v>26A060354623</v>
      </c>
      <c r="C189" s="23">
        <f t="shared" si="45"/>
        <v>21</v>
      </c>
      <c r="D189" s="23">
        <f t="shared" si="46"/>
        <v>21</v>
      </c>
      <c r="E189" s="23" t="str">
        <f t="shared" si="47"/>
        <v/>
      </c>
      <c r="F189" s="23" t="str">
        <f t="shared" si="48"/>
        <v/>
      </c>
      <c r="G189" s="23">
        <f t="shared" si="49"/>
        <v>21</v>
      </c>
      <c r="H189" s="23" t="str">
        <f t="shared" si="50"/>
        <v/>
      </c>
      <c r="I189" s="23" t="str">
        <f t="shared" si="51"/>
        <v/>
      </c>
      <c r="J189" s="23" t="str">
        <f t="shared" si="52"/>
        <v/>
      </c>
      <c r="K189" s="23">
        <f t="shared" si="53"/>
        <v>0</v>
      </c>
      <c r="L189" s="23">
        <f t="shared" si="54"/>
        <v>0</v>
      </c>
      <c r="M189" t="s">
        <v>1154</v>
      </c>
      <c r="N189">
        <v>46203</v>
      </c>
      <c r="O189" t="s">
        <v>186</v>
      </c>
      <c r="P189" t="s">
        <v>523</v>
      </c>
      <c r="Q189">
        <v>2026</v>
      </c>
      <c r="R189" s="4" t="s">
        <v>618</v>
      </c>
      <c r="T189" t="s">
        <v>619</v>
      </c>
      <c r="U189" t="s">
        <v>187</v>
      </c>
      <c r="V189" t="s">
        <v>188</v>
      </c>
      <c r="W189" t="s">
        <v>188</v>
      </c>
      <c r="X189">
        <v>93290</v>
      </c>
      <c r="Y189" t="s">
        <v>189</v>
      </c>
      <c r="Z189" t="s">
        <v>620</v>
      </c>
      <c r="AA189">
        <v>126</v>
      </c>
      <c r="AC189">
        <v>46183</v>
      </c>
      <c r="AD189">
        <v>60</v>
      </c>
      <c r="AE189" t="s">
        <v>191</v>
      </c>
      <c r="AF189" t="s">
        <v>523</v>
      </c>
      <c r="AG189" t="s">
        <v>192</v>
      </c>
      <c r="AH189">
        <v>21</v>
      </c>
      <c r="AI189" t="s">
        <v>193</v>
      </c>
      <c r="AJ189">
        <v>46184</v>
      </c>
      <c r="AK189" t="s">
        <v>621</v>
      </c>
      <c r="AL189" t="s">
        <v>523</v>
      </c>
      <c r="AM189" t="s">
        <v>192</v>
      </c>
      <c r="AN189">
        <v>93</v>
      </c>
      <c r="AO189" t="s">
        <v>622</v>
      </c>
      <c r="AR189">
        <v>1</v>
      </c>
      <c r="AS189">
        <v>1</v>
      </c>
      <c r="AT189">
        <v>354</v>
      </c>
      <c r="AU189">
        <v>354</v>
      </c>
      <c r="AV189">
        <v>0</v>
      </c>
      <c r="AW189" t="s">
        <v>201</v>
      </c>
      <c r="AX189">
        <v>1</v>
      </c>
      <c r="AY189">
        <v>0</v>
      </c>
      <c r="BE189" t="s">
        <v>213</v>
      </c>
      <c r="BF189" t="s">
        <v>196</v>
      </c>
      <c r="BG189" t="s">
        <v>197</v>
      </c>
      <c r="BM189">
        <v>0</v>
      </c>
      <c r="BN189" s="6">
        <v>21</v>
      </c>
      <c r="BQ189" t="s">
        <v>198</v>
      </c>
      <c r="EE189">
        <v>21</v>
      </c>
    </row>
    <row r="190" spans="2:195" x14ac:dyDescent="0.35">
      <c r="B190" s="23" t="str">
        <f t="shared" si="44"/>
        <v>EXP20260609-2789333</v>
      </c>
      <c r="C190" s="23">
        <f t="shared" si="45"/>
        <v>10</v>
      </c>
      <c r="D190" s="23">
        <f t="shared" si="46"/>
        <v>10</v>
      </c>
      <c r="E190" s="23" t="str">
        <f t="shared" si="47"/>
        <v/>
      </c>
      <c r="F190" s="23" t="str">
        <f t="shared" si="48"/>
        <v/>
      </c>
      <c r="G190" s="23" t="str">
        <f t="shared" si="49"/>
        <v/>
      </c>
      <c r="H190" s="23">
        <f t="shared" si="50"/>
        <v>10</v>
      </c>
      <c r="I190" s="23" t="str">
        <f t="shared" si="51"/>
        <v/>
      </c>
      <c r="J190" s="23" t="str">
        <f t="shared" si="52"/>
        <v/>
      </c>
      <c r="K190" s="23">
        <f t="shared" si="53"/>
        <v>0</v>
      </c>
      <c r="L190" s="23">
        <f t="shared" si="54"/>
        <v>0</v>
      </c>
      <c r="M190" t="s">
        <v>1154</v>
      </c>
      <c r="N190">
        <v>46203</v>
      </c>
      <c r="O190" t="s">
        <v>186</v>
      </c>
      <c r="P190" t="s">
        <v>765</v>
      </c>
      <c r="Q190">
        <v>2026</v>
      </c>
      <c r="R190" s="4" t="s">
        <v>766</v>
      </c>
      <c r="S190" s="5" t="s">
        <v>765</v>
      </c>
      <c r="T190" t="s">
        <v>767</v>
      </c>
      <c r="U190" t="s">
        <v>187</v>
      </c>
      <c r="V190" t="s">
        <v>188</v>
      </c>
      <c r="W190" t="s">
        <v>188</v>
      </c>
      <c r="X190">
        <v>78000</v>
      </c>
      <c r="Y190" t="s">
        <v>189</v>
      </c>
      <c r="Z190" t="s">
        <v>190</v>
      </c>
      <c r="AA190">
        <v>467</v>
      </c>
      <c r="AC190">
        <v>46184</v>
      </c>
      <c r="AD190">
        <v>21</v>
      </c>
      <c r="AE190" t="s">
        <v>191</v>
      </c>
      <c r="AF190" t="s">
        <v>765</v>
      </c>
      <c r="AG190" t="s">
        <v>192</v>
      </c>
      <c r="AH190">
        <v>21</v>
      </c>
      <c r="AI190" t="s">
        <v>193</v>
      </c>
      <c r="AJ190">
        <v>46190</v>
      </c>
      <c r="AK190" t="s">
        <v>768</v>
      </c>
      <c r="AL190" t="s">
        <v>765</v>
      </c>
      <c r="AM190" t="s">
        <v>192</v>
      </c>
      <c r="AN190">
        <v>78</v>
      </c>
      <c r="AO190" t="s">
        <v>769</v>
      </c>
      <c r="AR190">
        <v>1</v>
      </c>
      <c r="AS190">
        <v>1</v>
      </c>
      <c r="AT190">
        <v>152</v>
      </c>
      <c r="AU190">
        <v>152</v>
      </c>
      <c r="AV190">
        <v>0</v>
      </c>
      <c r="AW190" t="s">
        <v>201</v>
      </c>
      <c r="AX190">
        <v>1</v>
      </c>
      <c r="AY190">
        <v>0</v>
      </c>
      <c r="BE190" t="s">
        <v>195</v>
      </c>
      <c r="BF190" t="s">
        <v>196</v>
      </c>
      <c r="BG190" t="s">
        <v>197</v>
      </c>
      <c r="BM190">
        <v>0</v>
      </c>
      <c r="BN190" s="6">
        <v>10</v>
      </c>
      <c r="BQ190" t="s">
        <v>198</v>
      </c>
      <c r="DW190">
        <v>10</v>
      </c>
    </row>
    <row r="191" spans="2:195" x14ac:dyDescent="0.35">
      <c r="B191" s="23" t="str">
        <f t="shared" si="44"/>
        <v>EXP20260619-2807520</v>
      </c>
      <c r="C191" s="23">
        <f t="shared" si="45"/>
        <v>10</v>
      </c>
      <c r="D191" s="23">
        <f t="shared" si="46"/>
        <v>10</v>
      </c>
      <c r="E191" s="23" t="str">
        <f t="shared" si="47"/>
        <v/>
      </c>
      <c r="F191" s="23" t="str">
        <f t="shared" si="48"/>
        <v/>
      </c>
      <c r="G191" s="23" t="str">
        <f t="shared" si="49"/>
        <v/>
      </c>
      <c r="H191" s="23">
        <f t="shared" si="50"/>
        <v>10</v>
      </c>
      <c r="I191" s="23" t="str">
        <f t="shared" si="51"/>
        <v/>
      </c>
      <c r="J191" s="23" t="str">
        <f t="shared" si="52"/>
        <v/>
      </c>
      <c r="K191" s="23">
        <f t="shared" si="53"/>
        <v>0</v>
      </c>
      <c r="L191" s="23">
        <f t="shared" si="54"/>
        <v>0</v>
      </c>
      <c r="M191" t="s">
        <v>1154</v>
      </c>
      <c r="N191">
        <v>46203</v>
      </c>
      <c r="O191" t="s">
        <v>186</v>
      </c>
      <c r="P191" t="s">
        <v>985</v>
      </c>
      <c r="Q191">
        <v>2026</v>
      </c>
      <c r="R191" s="4" t="s">
        <v>986</v>
      </c>
      <c r="S191" s="5" t="s">
        <v>985</v>
      </c>
      <c r="T191" t="s">
        <v>987</v>
      </c>
      <c r="U191" t="s">
        <v>187</v>
      </c>
      <c r="V191" t="s">
        <v>188</v>
      </c>
      <c r="W191" t="s">
        <v>188</v>
      </c>
      <c r="X191">
        <v>49730</v>
      </c>
      <c r="Y191" t="s">
        <v>189</v>
      </c>
      <c r="Z191" t="s">
        <v>190</v>
      </c>
      <c r="AA191">
        <v>641</v>
      </c>
      <c r="AC191">
        <v>46195</v>
      </c>
      <c r="AD191">
        <v>21</v>
      </c>
      <c r="AE191" t="s">
        <v>191</v>
      </c>
      <c r="AF191" t="s">
        <v>985</v>
      </c>
      <c r="AG191" t="s">
        <v>192</v>
      </c>
      <c r="AH191">
        <v>21</v>
      </c>
      <c r="AI191" t="s">
        <v>193</v>
      </c>
      <c r="AJ191">
        <v>46202</v>
      </c>
      <c r="AK191" t="s">
        <v>327</v>
      </c>
      <c r="AL191" t="s">
        <v>985</v>
      </c>
      <c r="AM191" t="s">
        <v>192</v>
      </c>
      <c r="AN191">
        <v>49</v>
      </c>
      <c r="AO191" t="s">
        <v>328</v>
      </c>
      <c r="AR191">
        <v>1</v>
      </c>
      <c r="AS191">
        <v>1</v>
      </c>
      <c r="AT191">
        <v>121</v>
      </c>
      <c r="AU191">
        <v>121</v>
      </c>
      <c r="AV191">
        <v>0</v>
      </c>
      <c r="AW191" t="s">
        <v>194</v>
      </c>
      <c r="AX191">
        <v>121</v>
      </c>
      <c r="AY191">
        <v>0</v>
      </c>
      <c r="BE191" t="s">
        <v>195</v>
      </c>
      <c r="BF191" t="s">
        <v>196</v>
      </c>
      <c r="BG191" t="s">
        <v>197</v>
      </c>
      <c r="BM191">
        <v>0</v>
      </c>
      <c r="BN191" s="6">
        <v>10</v>
      </c>
      <c r="BQ191" t="s">
        <v>198</v>
      </c>
      <c r="DW191">
        <v>10</v>
      </c>
    </row>
  </sheetData>
  <autoFilter ref="A1:GM191" xr:uid="{00000000-0001-0000-0100-000000000000}"/>
  <conditionalFormatting sqref="R2:R182">
    <cfRule type="duplicateValues" dxfId="10" priority="16"/>
    <cfRule type="duplicateValues" dxfId="9" priority="17"/>
  </conditionalFormatting>
  <conditionalFormatting sqref="R183:R1048576 R1">
    <cfRule type="duplicateValues" dxfId="8" priority="5"/>
    <cfRule type="duplicateValues" dxfId="7" priority="6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3E61-5F59-4F64-AEEA-58C2DC49BF18}">
  <dimension ref="A1:AA190"/>
  <sheetViews>
    <sheetView topLeftCell="I1" zoomScale="85" zoomScaleNormal="85" workbookViewId="0">
      <selection activeCell="O8" sqref="O8"/>
    </sheetView>
  </sheetViews>
  <sheetFormatPr baseColWidth="10" defaultRowHeight="14.5" x14ac:dyDescent="0.35"/>
  <cols>
    <col min="2" max="2" width="21" bestFit="1" customWidth="1"/>
    <col min="3" max="3" width="22" bestFit="1" customWidth="1"/>
    <col min="4" max="4" width="20" bestFit="1" customWidth="1"/>
    <col min="5" max="5" width="56.7265625" bestFit="1" customWidth="1"/>
    <col min="6" max="6" width="11.7265625" bestFit="1" customWidth="1"/>
    <col min="7" max="7" width="10.453125" bestFit="1" customWidth="1"/>
    <col min="8" max="8" width="15.81640625" bestFit="1" customWidth="1"/>
    <col min="9" max="9" width="16.81640625" bestFit="1" customWidth="1"/>
    <col min="10" max="10" width="9.453125" bestFit="1" customWidth="1"/>
    <col min="11" max="11" width="7.1796875" bestFit="1" customWidth="1"/>
    <col min="12" max="12" width="14.1796875" bestFit="1" customWidth="1"/>
    <col min="13" max="13" width="8.1796875" bestFit="1" customWidth="1"/>
    <col min="14" max="14" width="14.1796875" bestFit="1" customWidth="1"/>
    <col min="15" max="15" width="20.1796875" style="23" bestFit="1" customWidth="1"/>
    <col min="16" max="16" width="23.1796875" bestFit="1" customWidth="1"/>
    <col min="17" max="17" width="8.7265625" bestFit="1" customWidth="1"/>
    <col min="18" max="18" width="8" bestFit="1" customWidth="1"/>
    <col min="19" max="19" width="9.54296875" customWidth="1"/>
    <col min="20" max="20" width="8.26953125" bestFit="1" customWidth="1"/>
    <col min="21" max="21" width="9.1796875" bestFit="1" customWidth="1"/>
    <col min="22" max="22" width="12" bestFit="1" customWidth="1"/>
    <col min="23" max="23" width="20.1796875" bestFit="1" customWidth="1"/>
    <col min="24" max="24" width="12" bestFit="1" customWidth="1"/>
    <col min="25" max="25" width="23.1796875" bestFit="1" customWidth="1"/>
    <col min="26" max="26" width="12" bestFit="1" customWidth="1"/>
    <col min="27" max="27" width="25" bestFit="1" customWidth="1"/>
    <col min="28" max="28" width="30.54296875" bestFit="1" customWidth="1"/>
    <col min="29" max="29" width="31.54296875" bestFit="1" customWidth="1"/>
    <col min="30" max="30" width="24" bestFit="1" customWidth="1"/>
    <col min="31" max="31" width="19.453125" bestFit="1" customWidth="1"/>
    <col min="32" max="32" width="28.81640625" bestFit="1" customWidth="1"/>
    <col min="33" max="33" width="22.1796875" bestFit="1" customWidth="1"/>
    <col min="34" max="34" width="28.81640625" bestFit="1" customWidth="1"/>
    <col min="35" max="35" width="25.1796875" bestFit="1" customWidth="1"/>
    <col min="36" max="36" width="28.1796875" bestFit="1" customWidth="1"/>
  </cols>
  <sheetData>
    <row r="1" spans="1:27" x14ac:dyDescent="0.35">
      <c r="A1" t="s">
        <v>347</v>
      </c>
      <c r="B1" s="16" t="s">
        <v>268</v>
      </c>
      <c r="C1" s="16" t="s">
        <v>283</v>
      </c>
      <c r="D1" s="16" t="s">
        <v>10</v>
      </c>
      <c r="E1" s="16" t="s">
        <v>27</v>
      </c>
      <c r="F1" s="16" t="s">
        <v>29</v>
      </c>
      <c r="G1" t="s">
        <v>286</v>
      </c>
      <c r="H1" t="s">
        <v>293</v>
      </c>
      <c r="I1" t="s">
        <v>292</v>
      </c>
      <c r="J1" t="s">
        <v>291</v>
      </c>
      <c r="K1" t="s">
        <v>290</v>
      </c>
      <c r="L1" t="s">
        <v>289</v>
      </c>
      <c r="M1" t="s">
        <v>288</v>
      </c>
      <c r="N1" t="s">
        <v>287</v>
      </c>
      <c r="O1" s="23" t="s">
        <v>284</v>
      </c>
      <c r="P1" t="s">
        <v>285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29</v>
      </c>
      <c r="X1" s="24" t="s">
        <v>225</v>
      </c>
      <c r="Y1" s="8" t="s">
        <v>226</v>
      </c>
      <c r="Z1">
        <f>SUM(M:M)</f>
        <v>1425.38</v>
      </c>
    </row>
    <row r="2" spans="1:27" x14ac:dyDescent="0.35">
      <c r="B2" t="s">
        <v>240</v>
      </c>
      <c r="C2" t="s">
        <v>240</v>
      </c>
      <c r="D2" t="s">
        <v>240</v>
      </c>
      <c r="E2" t="s">
        <v>240</v>
      </c>
      <c r="F2" t="s">
        <v>240</v>
      </c>
      <c r="T2">
        <f>_xlfn.XLOOKUP(C2,'Fichier Kuehne'!S:S,'Fichier Kuehne'!AH:AH,0)</f>
        <v>0</v>
      </c>
      <c r="U2">
        <f>_xlfn.XLOOKUP(C2,'Fichier Kuehne'!S:S,'Fichier Kuehne'!AN:AN,0)</f>
        <v>0</v>
      </c>
      <c r="V2" t="str">
        <f>T2&amp;W2&amp;IF(U2&lt;10,"0"&amp;U2,U2)</f>
        <v>0étranger00</v>
      </c>
      <c r="W2" t="str">
        <f>IF(F2="FR","France","étranger")</f>
        <v>étranger</v>
      </c>
      <c r="X2" s="24" t="s">
        <v>227</v>
      </c>
      <c r="Y2" s="8"/>
    </row>
    <row r="3" spans="1:27" x14ac:dyDescent="0.35">
      <c r="B3" t="s">
        <v>352</v>
      </c>
      <c r="C3">
        <v>0</v>
      </c>
      <c r="D3" t="s">
        <v>240</v>
      </c>
      <c r="E3" t="s">
        <v>240</v>
      </c>
      <c r="F3" t="s">
        <v>240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1425.38</v>
      </c>
      <c r="N3">
        <v>0</v>
      </c>
      <c r="O3" s="23">
        <v>1425.38</v>
      </c>
      <c r="P3">
        <v>0</v>
      </c>
      <c r="T3">
        <f>_xlfn.XLOOKUP(C3,'Fichier Kuehne'!S:S,'Fichier Kuehne'!AH:AH,0)</f>
        <v>0</v>
      </c>
      <c r="U3">
        <f>_xlfn.XLOOKUP(C3,'Fichier Kuehne'!S:S,'Fichier Kuehne'!AN:AN,0)</f>
        <v>0</v>
      </c>
      <c r="V3" t="str">
        <f t="shared" ref="V3:V18" si="0">T3&amp;W3&amp;IF(U3&lt;10,"0"&amp;U3,U3)</f>
        <v>0étranger00</v>
      </c>
      <c r="W3" t="str">
        <f t="shared" ref="W3:W18" si="1">IF(F3="FR","France","étranger")</f>
        <v>étranger</v>
      </c>
      <c r="X3" s="24" t="s">
        <v>228</v>
      </c>
      <c r="Y3" s="8" t="s">
        <v>229</v>
      </c>
      <c r="Z3">
        <f>SUM(G:L,N:N)</f>
        <v>13335.879999999997</v>
      </c>
    </row>
    <row r="4" spans="1:27" x14ac:dyDescent="0.35">
      <c r="B4" t="s">
        <v>352</v>
      </c>
      <c r="C4">
        <v>5001333</v>
      </c>
      <c r="D4" t="s">
        <v>358</v>
      </c>
      <c r="E4" t="s">
        <v>359</v>
      </c>
      <c r="F4" t="s">
        <v>192</v>
      </c>
      <c r="G4">
        <v>0</v>
      </c>
      <c r="H4">
        <v>0</v>
      </c>
      <c r="I4">
        <v>0</v>
      </c>
      <c r="J4">
        <v>0</v>
      </c>
      <c r="K4">
        <v>25.139999999999997</v>
      </c>
      <c r="L4">
        <v>0</v>
      </c>
      <c r="M4">
        <v>0</v>
      </c>
      <c r="N4">
        <v>0</v>
      </c>
      <c r="O4" s="23">
        <v>25.139999999999997</v>
      </c>
      <c r="P4">
        <v>25.139999999999997</v>
      </c>
      <c r="Q4">
        <v>1</v>
      </c>
      <c r="R4">
        <v>1</v>
      </c>
      <c r="S4">
        <v>6</v>
      </c>
      <c r="T4">
        <f>_xlfn.XLOOKUP(C4,'Fichier Kuehne'!S:S,'Fichier Kuehne'!AH:AH,0)</f>
        <v>21</v>
      </c>
      <c r="U4">
        <f>_xlfn.XLOOKUP(C4,'Fichier Kuehne'!S:S,'Fichier Kuehne'!AN:AN,0)</f>
        <v>78</v>
      </c>
      <c r="V4" t="str">
        <f t="shared" si="0"/>
        <v>21France78</v>
      </c>
      <c r="W4" t="str">
        <f t="shared" si="1"/>
        <v>France</v>
      </c>
      <c r="Y4" s="12" t="s">
        <v>230</v>
      </c>
      <c r="Z4">
        <f>Z1+Z3</f>
        <v>14761.259999999998</v>
      </c>
    </row>
    <row r="5" spans="1:27" x14ac:dyDescent="0.35">
      <c r="B5" t="s">
        <v>352</v>
      </c>
      <c r="C5">
        <v>5001334</v>
      </c>
      <c r="D5" t="s">
        <v>354</v>
      </c>
      <c r="E5" t="s">
        <v>355</v>
      </c>
      <c r="F5" t="s">
        <v>192</v>
      </c>
      <c r="G5">
        <v>0</v>
      </c>
      <c r="H5">
        <v>0</v>
      </c>
      <c r="I5">
        <v>0</v>
      </c>
      <c r="J5">
        <v>0</v>
      </c>
      <c r="K5">
        <v>29.38</v>
      </c>
      <c r="L5">
        <v>0</v>
      </c>
      <c r="M5">
        <v>0</v>
      </c>
      <c r="N5">
        <v>0</v>
      </c>
      <c r="O5" s="23">
        <v>29.38</v>
      </c>
      <c r="P5">
        <v>29.38</v>
      </c>
      <c r="Q5">
        <v>1</v>
      </c>
      <c r="R5">
        <v>1</v>
      </c>
      <c r="S5">
        <v>1</v>
      </c>
      <c r="T5">
        <f>_xlfn.XLOOKUP(C5,'Fichier Kuehne'!S:S,'Fichier Kuehne'!AH:AH,0)</f>
        <v>21</v>
      </c>
      <c r="U5">
        <f>_xlfn.XLOOKUP(C5,'Fichier Kuehne'!S:S,'Fichier Kuehne'!AN:AN,0)</f>
        <v>34</v>
      </c>
      <c r="V5" t="str">
        <f t="shared" si="0"/>
        <v>21France34</v>
      </c>
      <c r="W5" t="str">
        <f t="shared" si="1"/>
        <v>France</v>
      </c>
      <c r="Y5" s="8"/>
    </row>
    <row r="6" spans="1:27" x14ac:dyDescent="0.35">
      <c r="B6" t="s">
        <v>352</v>
      </c>
      <c r="C6">
        <v>5001336</v>
      </c>
      <c r="D6" t="s">
        <v>364</v>
      </c>
      <c r="E6" t="s">
        <v>365</v>
      </c>
      <c r="F6" t="s">
        <v>192</v>
      </c>
      <c r="G6">
        <v>0</v>
      </c>
      <c r="H6">
        <v>0</v>
      </c>
      <c r="I6">
        <v>0</v>
      </c>
      <c r="J6">
        <v>0</v>
      </c>
      <c r="K6">
        <v>32.9</v>
      </c>
      <c r="L6">
        <v>0</v>
      </c>
      <c r="M6">
        <v>0</v>
      </c>
      <c r="N6">
        <v>0</v>
      </c>
      <c r="O6" s="23">
        <v>32.9</v>
      </c>
      <c r="P6">
        <v>32.9</v>
      </c>
      <c r="Q6">
        <v>1</v>
      </c>
      <c r="R6">
        <v>1</v>
      </c>
      <c r="S6">
        <v>10</v>
      </c>
      <c r="T6">
        <f>_xlfn.XLOOKUP(C6,'Fichier Kuehne'!S:S,'Fichier Kuehne'!AH:AH,0)</f>
        <v>21</v>
      </c>
      <c r="U6">
        <f>_xlfn.XLOOKUP(C6,'Fichier Kuehne'!S:S,'Fichier Kuehne'!AN:AN,0)</f>
        <v>30</v>
      </c>
      <c r="V6" t="str">
        <f t="shared" si="0"/>
        <v>21France30</v>
      </c>
      <c r="W6" t="str">
        <f t="shared" si="1"/>
        <v>France</v>
      </c>
      <c r="Y6" s="8" t="s">
        <v>231</v>
      </c>
      <c r="Z6">
        <f>SUM(G:N)</f>
        <v>14761.259999999998</v>
      </c>
    </row>
    <row r="7" spans="1:27" x14ac:dyDescent="0.35">
      <c r="B7" t="s">
        <v>352</v>
      </c>
      <c r="C7">
        <v>5001337</v>
      </c>
      <c r="D7" t="s">
        <v>624</v>
      </c>
      <c r="E7" t="s">
        <v>625</v>
      </c>
      <c r="F7" t="s">
        <v>192</v>
      </c>
      <c r="G7">
        <v>0</v>
      </c>
      <c r="H7">
        <v>0</v>
      </c>
      <c r="I7">
        <v>0</v>
      </c>
      <c r="J7">
        <v>0</v>
      </c>
      <c r="K7">
        <v>85.700000000000017</v>
      </c>
      <c r="L7">
        <v>0</v>
      </c>
      <c r="M7">
        <v>0</v>
      </c>
      <c r="N7">
        <v>0</v>
      </c>
      <c r="O7" s="23">
        <v>85.700000000000017</v>
      </c>
      <c r="P7">
        <v>85.700000000000017</v>
      </c>
      <c r="Q7">
        <v>1</v>
      </c>
      <c r="R7">
        <v>1</v>
      </c>
      <c r="S7">
        <v>157</v>
      </c>
      <c r="T7">
        <f>_xlfn.XLOOKUP(C7,'Fichier Kuehne'!S:S,'Fichier Kuehne'!AH:AH,0)</f>
        <v>21</v>
      </c>
      <c r="U7">
        <f>_xlfn.XLOOKUP(C7,'Fichier Kuehne'!S:S,'Fichier Kuehne'!AN:AN,0)</f>
        <v>44</v>
      </c>
      <c r="V7" t="str">
        <f t="shared" si="0"/>
        <v>21France44</v>
      </c>
      <c r="W7" t="str">
        <f t="shared" si="1"/>
        <v>France</v>
      </c>
      <c r="Y7" s="8" t="s">
        <v>232</v>
      </c>
      <c r="Z7">
        <f>Z6*1.2</f>
        <v>17713.511999999999</v>
      </c>
    </row>
    <row r="8" spans="1:27" x14ac:dyDescent="0.35">
      <c r="B8" t="s">
        <v>352</v>
      </c>
      <c r="C8">
        <v>5001338</v>
      </c>
      <c r="D8" t="s">
        <v>844</v>
      </c>
      <c r="E8" t="s">
        <v>846</v>
      </c>
      <c r="F8" t="s">
        <v>192</v>
      </c>
      <c r="G8">
        <v>0</v>
      </c>
      <c r="H8">
        <v>0</v>
      </c>
      <c r="I8">
        <v>0</v>
      </c>
      <c r="J8">
        <v>0</v>
      </c>
      <c r="K8">
        <v>52.58</v>
      </c>
      <c r="L8">
        <v>0</v>
      </c>
      <c r="M8">
        <v>0</v>
      </c>
      <c r="N8">
        <v>0</v>
      </c>
      <c r="O8" s="23">
        <v>52.58</v>
      </c>
      <c r="P8">
        <v>52.58</v>
      </c>
      <c r="Q8">
        <v>1</v>
      </c>
      <c r="R8">
        <v>1</v>
      </c>
      <c r="S8">
        <v>400</v>
      </c>
      <c r="T8">
        <f>_xlfn.XLOOKUP(C8,'Fichier Kuehne'!S:S,'Fichier Kuehne'!AH:AH,0)</f>
        <v>21</v>
      </c>
      <c r="U8">
        <f>_xlfn.XLOOKUP(C8,'Fichier Kuehne'!S:S,'Fichier Kuehne'!AN:AN,0)</f>
        <v>28</v>
      </c>
      <c r="V8" t="str">
        <f t="shared" si="0"/>
        <v>21France28</v>
      </c>
      <c r="W8" t="str">
        <f t="shared" si="1"/>
        <v>France</v>
      </c>
      <c r="Y8" s="13" t="s">
        <v>233</v>
      </c>
      <c r="Z8" s="14">
        <v>0.1245</v>
      </c>
    </row>
    <row r="9" spans="1:27" x14ac:dyDescent="0.35">
      <c r="B9" t="s">
        <v>352</v>
      </c>
      <c r="C9" t="s">
        <v>362</v>
      </c>
      <c r="D9" t="s">
        <v>362</v>
      </c>
      <c r="E9" t="s">
        <v>191</v>
      </c>
      <c r="F9" t="s">
        <v>192</v>
      </c>
      <c r="G9">
        <v>0</v>
      </c>
      <c r="H9">
        <v>0</v>
      </c>
      <c r="I9">
        <v>0</v>
      </c>
      <c r="J9">
        <v>0</v>
      </c>
      <c r="K9">
        <v>300</v>
      </c>
      <c r="L9">
        <v>0</v>
      </c>
      <c r="M9">
        <v>0</v>
      </c>
      <c r="N9">
        <v>0</v>
      </c>
      <c r="O9" s="23">
        <v>300</v>
      </c>
      <c r="P9">
        <v>300</v>
      </c>
      <c r="Q9">
        <v>33</v>
      </c>
      <c r="R9">
        <v>33</v>
      </c>
      <c r="S9">
        <v>25000</v>
      </c>
      <c r="T9">
        <f>_xlfn.XLOOKUP(C9,'Fichier Kuehne'!S:S,'Fichier Kuehne'!AH:AH,0)</f>
        <v>0</v>
      </c>
      <c r="U9">
        <f>_xlfn.XLOOKUP(C9,'Fichier Kuehne'!S:S,'Fichier Kuehne'!AN:AN,0)</f>
        <v>0</v>
      </c>
      <c r="V9" t="str">
        <f t="shared" si="0"/>
        <v>0France00</v>
      </c>
      <c r="W9" t="str">
        <f t="shared" si="1"/>
        <v>France</v>
      </c>
      <c r="Y9" s="8"/>
    </row>
    <row r="10" spans="1:27" x14ac:dyDescent="0.35">
      <c r="B10" t="s">
        <v>352</v>
      </c>
      <c r="C10" t="s">
        <v>548</v>
      </c>
      <c r="D10" t="s">
        <v>548</v>
      </c>
      <c r="E10" t="s">
        <v>191</v>
      </c>
      <c r="F10" t="s">
        <v>192</v>
      </c>
      <c r="G10">
        <v>0</v>
      </c>
      <c r="H10">
        <v>0</v>
      </c>
      <c r="I10">
        <v>0</v>
      </c>
      <c r="J10">
        <v>0</v>
      </c>
      <c r="K10">
        <v>300</v>
      </c>
      <c r="L10">
        <v>0</v>
      </c>
      <c r="M10">
        <v>0</v>
      </c>
      <c r="N10">
        <v>0</v>
      </c>
      <c r="O10" s="23">
        <v>300</v>
      </c>
      <c r="P10">
        <v>300</v>
      </c>
      <c r="Q10">
        <v>33</v>
      </c>
      <c r="R10">
        <v>33</v>
      </c>
      <c r="S10">
        <v>25000</v>
      </c>
      <c r="T10">
        <f>_xlfn.XLOOKUP(C10,'Fichier Kuehne'!S:S,'Fichier Kuehne'!AH:AH,0)</f>
        <v>0</v>
      </c>
      <c r="U10">
        <f>_xlfn.XLOOKUP(C10,'Fichier Kuehne'!S:S,'Fichier Kuehne'!AN:AN,0)</f>
        <v>0</v>
      </c>
      <c r="V10" t="str">
        <f t="shared" si="0"/>
        <v>0France00</v>
      </c>
      <c r="W10" t="str">
        <f t="shared" si="1"/>
        <v>France</v>
      </c>
      <c r="Y10" s="8" t="s">
        <v>234</v>
      </c>
      <c r="Z10" s="25">
        <v>14433.99</v>
      </c>
    </row>
    <row r="11" spans="1:27" x14ac:dyDescent="0.35">
      <c r="B11" t="s">
        <v>352</v>
      </c>
      <c r="C11" t="s">
        <v>578</v>
      </c>
      <c r="D11" t="s">
        <v>578</v>
      </c>
      <c r="E11" t="s">
        <v>191</v>
      </c>
      <c r="F11" t="s">
        <v>192</v>
      </c>
      <c r="G11">
        <v>0</v>
      </c>
      <c r="H11">
        <v>0</v>
      </c>
      <c r="I11">
        <v>0</v>
      </c>
      <c r="J11">
        <v>0</v>
      </c>
      <c r="K11">
        <v>300</v>
      </c>
      <c r="L11">
        <v>0</v>
      </c>
      <c r="M11">
        <v>0</v>
      </c>
      <c r="N11">
        <v>0</v>
      </c>
      <c r="O11" s="23">
        <v>300</v>
      </c>
      <c r="P11">
        <v>300</v>
      </c>
      <c r="Q11">
        <v>33</v>
      </c>
      <c r="R11">
        <v>33</v>
      </c>
      <c r="S11">
        <v>25000</v>
      </c>
      <c r="T11">
        <f>_xlfn.XLOOKUP(C11,'Fichier Kuehne'!S:S,'Fichier Kuehne'!AH:AH,0)</f>
        <v>0</v>
      </c>
      <c r="U11">
        <f>_xlfn.XLOOKUP(C11,'Fichier Kuehne'!S:S,'Fichier Kuehne'!AN:AN,0)</f>
        <v>0</v>
      </c>
      <c r="V11" t="str">
        <f t="shared" si="0"/>
        <v>0France00</v>
      </c>
      <c r="W11" t="str">
        <f t="shared" si="1"/>
        <v>France</v>
      </c>
      <c r="Y11" s="8" t="s">
        <v>235</v>
      </c>
      <c r="Z11" s="25">
        <v>327.27</v>
      </c>
    </row>
    <row r="12" spans="1:27" x14ac:dyDescent="0.35">
      <c r="B12" t="s">
        <v>352</v>
      </c>
      <c r="C12" t="s">
        <v>580</v>
      </c>
      <c r="D12" t="s">
        <v>580</v>
      </c>
      <c r="E12" t="s">
        <v>583</v>
      </c>
      <c r="F12" t="s">
        <v>192</v>
      </c>
      <c r="G12">
        <v>0</v>
      </c>
      <c r="H12">
        <v>0</v>
      </c>
      <c r="I12">
        <v>0</v>
      </c>
      <c r="J12">
        <v>0</v>
      </c>
      <c r="K12">
        <v>605</v>
      </c>
      <c r="L12">
        <v>0</v>
      </c>
      <c r="M12">
        <v>0</v>
      </c>
      <c r="N12">
        <v>0</v>
      </c>
      <c r="O12" s="23">
        <v>605</v>
      </c>
      <c r="P12">
        <v>605</v>
      </c>
      <c r="Q12">
        <v>2</v>
      </c>
      <c r="R12">
        <v>2</v>
      </c>
      <c r="S12">
        <v>900</v>
      </c>
      <c r="T12">
        <f>_xlfn.XLOOKUP(C12,'Fichier Kuehne'!S:S,'Fichier Kuehne'!AH:AH,0)</f>
        <v>0</v>
      </c>
      <c r="U12">
        <f>_xlfn.XLOOKUP(C12,'Fichier Kuehne'!S:S,'Fichier Kuehne'!AN:AN,0)</f>
        <v>0</v>
      </c>
      <c r="V12" t="str">
        <f t="shared" si="0"/>
        <v>0France00</v>
      </c>
      <c r="W12" t="str">
        <f t="shared" si="1"/>
        <v>France</v>
      </c>
      <c r="Y12" s="8" t="s">
        <v>236</v>
      </c>
      <c r="Z12" s="25"/>
    </row>
    <row r="13" spans="1:27" x14ac:dyDescent="0.35">
      <c r="B13" t="s">
        <v>352</v>
      </c>
      <c r="C13" t="s">
        <v>619</v>
      </c>
      <c r="D13" t="s">
        <v>619</v>
      </c>
      <c r="E13" t="s">
        <v>621</v>
      </c>
      <c r="F13" t="s">
        <v>192</v>
      </c>
      <c r="G13">
        <v>0</v>
      </c>
      <c r="H13">
        <v>0</v>
      </c>
      <c r="I13">
        <v>0</v>
      </c>
      <c r="J13">
        <v>0</v>
      </c>
      <c r="K13">
        <v>41.71</v>
      </c>
      <c r="L13">
        <v>0</v>
      </c>
      <c r="M13">
        <v>0</v>
      </c>
      <c r="N13">
        <v>0</v>
      </c>
      <c r="O13" s="23">
        <v>41.71</v>
      </c>
      <c r="P13">
        <v>41.71</v>
      </c>
      <c r="Q13">
        <v>1</v>
      </c>
      <c r="R13">
        <v>1</v>
      </c>
      <c r="S13">
        <v>354</v>
      </c>
      <c r="T13">
        <f>_xlfn.XLOOKUP(C13,'Fichier Kuehne'!S:S,'Fichier Kuehne'!AH:AH,0)</f>
        <v>0</v>
      </c>
      <c r="U13">
        <f>_xlfn.XLOOKUP(C13,'Fichier Kuehne'!S:S,'Fichier Kuehne'!AN:AN,0)</f>
        <v>0</v>
      </c>
      <c r="V13" t="str">
        <f t="shared" si="0"/>
        <v>0France00</v>
      </c>
      <c r="W13" t="str">
        <f t="shared" si="1"/>
        <v>France</v>
      </c>
      <c r="Y13" s="8" t="s">
        <v>237</v>
      </c>
      <c r="Z13" s="25"/>
    </row>
    <row r="14" spans="1:27" x14ac:dyDescent="0.35">
      <c r="B14" t="s">
        <v>352</v>
      </c>
      <c r="C14" t="s">
        <v>743</v>
      </c>
      <c r="D14" t="s">
        <v>743</v>
      </c>
      <c r="E14" t="s">
        <v>744</v>
      </c>
      <c r="F14" t="s">
        <v>192</v>
      </c>
      <c r="G14">
        <v>0</v>
      </c>
      <c r="H14">
        <v>0</v>
      </c>
      <c r="I14">
        <v>0</v>
      </c>
      <c r="J14">
        <v>0</v>
      </c>
      <c r="K14">
        <v>250</v>
      </c>
      <c r="L14">
        <v>0</v>
      </c>
      <c r="M14">
        <v>0</v>
      </c>
      <c r="N14">
        <v>0</v>
      </c>
      <c r="O14" s="23">
        <v>250</v>
      </c>
      <c r="P14">
        <v>250</v>
      </c>
      <c r="Q14">
        <v>13</v>
      </c>
      <c r="R14">
        <v>13</v>
      </c>
      <c r="S14">
        <v>10000</v>
      </c>
      <c r="T14">
        <f>_xlfn.XLOOKUP(C14,'Fichier Kuehne'!S:S,'Fichier Kuehne'!AH:AH,0)</f>
        <v>0</v>
      </c>
      <c r="U14">
        <f>_xlfn.XLOOKUP(C14,'Fichier Kuehne'!S:S,'Fichier Kuehne'!AN:AN,0)</f>
        <v>0</v>
      </c>
      <c r="V14" t="str">
        <f t="shared" si="0"/>
        <v>0France00</v>
      </c>
      <c r="W14" t="str">
        <f t="shared" si="1"/>
        <v>France</v>
      </c>
      <c r="Y14" s="9" t="s">
        <v>238</v>
      </c>
      <c r="Z14">
        <f>SUM(Z10:Z13)</f>
        <v>14761.26</v>
      </c>
      <c r="AA14" s="24" t="str">
        <f>IF(Z14=Z6,"Pas d'écart","Ecart")</f>
        <v>Pas d'écart</v>
      </c>
    </row>
    <row r="15" spans="1:27" x14ac:dyDescent="0.35">
      <c r="B15" t="s">
        <v>352</v>
      </c>
      <c r="C15" t="s">
        <v>803</v>
      </c>
      <c r="D15" t="s">
        <v>803</v>
      </c>
      <c r="E15" t="s">
        <v>191</v>
      </c>
      <c r="F15" t="s">
        <v>192</v>
      </c>
      <c r="G15">
        <v>0</v>
      </c>
      <c r="H15">
        <v>0</v>
      </c>
      <c r="I15">
        <v>0</v>
      </c>
      <c r="J15">
        <v>0</v>
      </c>
      <c r="K15">
        <v>300</v>
      </c>
      <c r="L15">
        <v>0</v>
      </c>
      <c r="M15">
        <v>0</v>
      </c>
      <c r="N15">
        <v>0</v>
      </c>
      <c r="O15" s="23">
        <v>300</v>
      </c>
      <c r="P15">
        <v>300</v>
      </c>
      <c r="Q15">
        <v>33</v>
      </c>
      <c r="R15">
        <v>33</v>
      </c>
      <c r="S15">
        <v>25000</v>
      </c>
      <c r="T15">
        <f>_xlfn.XLOOKUP(C15,'Fichier Kuehne'!S:S,'Fichier Kuehne'!AH:AH,0)</f>
        <v>0</v>
      </c>
      <c r="U15">
        <f>_xlfn.XLOOKUP(C15,'Fichier Kuehne'!S:S,'Fichier Kuehne'!AN:AN,0)</f>
        <v>0</v>
      </c>
      <c r="V15" t="str">
        <f t="shared" si="0"/>
        <v>0France00</v>
      </c>
      <c r="W15" t="str">
        <f t="shared" si="1"/>
        <v>France</v>
      </c>
      <c r="Y15" s="9" t="s">
        <v>239</v>
      </c>
    </row>
    <row r="16" spans="1:27" x14ac:dyDescent="0.35">
      <c r="B16" t="s">
        <v>352</v>
      </c>
      <c r="C16" t="s">
        <v>857</v>
      </c>
      <c r="D16" t="s">
        <v>857</v>
      </c>
      <c r="E16" t="s">
        <v>191</v>
      </c>
      <c r="F16" t="s">
        <v>192</v>
      </c>
      <c r="G16">
        <v>0</v>
      </c>
      <c r="H16">
        <v>0</v>
      </c>
      <c r="I16">
        <v>0</v>
      </c>
      <c r="J16">
        <v>0</v>
      </c>
      <c r="K16">
        <v>300</v>
      </c>
      <c r="L16">
        <v>0</v>
      </c>
      <c r="M16">
        <v>0</v>
      </c>
      <c r="N16">
        <v>0</v>
      </c>
      <c r="O16" s="23">
        <v>300</v>
      </c>
      <c r="P16">
        <v>300</v>
      </c>
      <c r="Q16">
        <v>32</v>
      </c>
      <c r="R16">
        <v>32</v>
      </c>
      <c r="S16">
        <v>25000</v>
      </c>
      <c r="T16">
        <f>_xlfn.XLOOKUP(C16,'Fichier Kuehne'!S:S,'Fichier Kuehne'!AH:AH,0)</f>
        <v>0</v>
      </c>
      <c r="U16">
        <f>_xlfn.XLOOKUP(C16,'Fichier Kuehne'!S:S,'Fichier Kuehne'!AN:AN,0)</f>
        <v>0</v>
      </c>
      <c r="V16" t="str">
        <f t="shared" si="0"/>
        <v>0France00</v>
      </c>
      <c r="W16" t="str">
        <f t="shared" si="1"/>
        <v>France</v>
      </c>
    </row>
    <row r="17" spans="2:26" x14ac:dyDescent="0.35">
      <c r="B17" t="s">
        <v>352</v>
      </c>
      <c r="C17" t="s">
        <v>967</v>
      </c>
      <c r="D17" t="s">
        <v>967</v>
      </c>
      <c r="E17" t="s">
        <v>191</v>
      </c>
      <c r="F17" t="s">
        <v>192</v>
      </c>
      <c r="G17">
        <v>0</v>
      </c>
      <c r="H17">
        <v>0</v>
      </c>
      <c r="I17">
        <v>0</v>
      </c>
      <c r="J17">
        <v>0</v>
      </c>
      <c r="K17">
        <v>300</v>
      </c>
      <c r="L17">
        <v>0</v>
      </c>
      <c r="M17">
        <v>0</v>
      </c>
      <c r="N17">
        <v>0</v>
      </c>
      <c r="O17" s="23">
        <v>300</v>
      </c>
      <c r="P17">
        <v>300</v>
      </c>
      <c r="Q17">
        <v>33</v>
      </c>
      <c r="R17">
        <v>33</v>
      </c>
      <c r="S17">
        <v>25000</v>
      </c>
      <c r="T17">
        <f>_xlfn.XLOOKUP(C17,'Fichier Kuehne'!S:S,'Fichier Kuehne'!AH:AH,0)</f>
        <v>0</v>
      </c>
      <c r="U17">
        <f>_xlfn.XLOOKUP(C17,'Fichier Kuehne'!S:S,'Fichier Kuehne'!AN:AN,0)</f>
        <v>0</v>
      </c>
      <c r="V17" t="str">
        <f t="shared" si="0"/>
        <v>0France00</v>
      </c>
      <c r="W17" t="str">
        <f t="shared" si="1"/>
        <v>France</v>
      </c>
    </row>
    <row r="18" spans="2:26" x14ac:dyDescent="0.35">
      <c r="B18" t="s">
        <v>352</v>
      </c>
      <c r="C18" t="s">
        <v>1017</v>
      </c>
      <c r="D18" t="s">
        <v>1017</v>
      </c>
      <c r="E18" t="s">
        <v>191</v>
      </c>
      <c r="F18" t="s">
        <v>192</v>
      </c>
      <c r="G18">
        <v>0</v>
      </c>
      <c r="H18">
        <v>0</v>
      </c>
      <c r="I18">
        <v>0</v>
      </c>
      <c r="J18">
        <v>0</v>
      </c>
      <c r="K18">
        <v>300</v>
      </c>
      <c r="L18">
        <v>0</v>
      </c>
      <c r="M18">
        <v>0</v>
      </c>
      <c r="N18">
        <v>0</v>
      </c>
      <c r="O18" s="23">
        <v>300</v>
      </c>
      <c r="P18">
        <v>300</v>
      </c>
      <c r="Q18">
        <v>33</v>
      </c>
      <c r="R18">
        <v>33</v>
      </c>
      <c r="S18">
        <v>20000</v>
      </c>
      <c r="T18">
        <f>_xlfn.XLOOKUP(C18,'Fichier Kuehne'!S:S,'Fichier Kuehne'!AH:AH,0)</f>
        <v>0</v>
      </c>
      <c r="U18">
        <f>_xlfn.XLOOKUP(C18,'Fichier Kuehne'!S:S,'Fichier Kuehne'!AN:AN,0)</f>
        <v>0</v>
      </c>
      <c r="V18" t="str">
        <f t="shared" si="0"/>
        <v>0France00</v>
      </c>
      <c r="W18" t="str">
        <f t="shared" si="1"/>
        <v>France</v>
      </c>
      <c r="Y18" s="26" t="s">
        <v>294</v>
      </c>
      <c r="Z18" s="24" t="str">
        <f>IF(SUM(Kuehne_Import!O:U)=Z14-Z1,"Import OK","Import en erreur")</f>
        <v>Import OK</v>
      </c>
    </row>
    <row r="19" spans="2:26" x14ac:dyDescent="0.35">
      <c r="B19" t="s">
        <v>352</v>
      </c>
      <c r="C19" t="s">
        <v>918</v>
      </c>
      <c r="D19" t="s">
        <v>918</v>
      </c>
      <c r="E19" t="s">
        <v>460</v>
      </c>
      <c r="F19" t="s">
        <v>192</v>
      </c>
      <c r="G19">
        <v>0</v>
      </c>
      <c r="H19">
        <v>0</v>
      </c>
      <c r="I19">
        <v>0</v>
      </c>
      <c r="J19">
        <v>0</v>
      </c>
      <c r="K19">
        <v>124.23</v>
      </c>
      <c r="L19">
        <v>0</v>
      </c>
      <c r="M19">
        <v>0</v>
      </c>
      <c r="N19">
        <v>0</v>
      </c>
      <c r="O19" s="23">
        <v>124.23</v>
      </c>
      <c r="P19">
        <v>124.23</v>
      </c>
      <c r="Q19">
        <v>1</v>
      </c>
      <c r="R19">
        <v>1</v>
      </c>
      <c r="S19">
        <v>112</v>
      </c>
      <c r="T19">
        <f>_xlfn.XLOOKUP(C19,'Fichier Kuehne'!S:S,'Fichier Kuehne'!AH:AH,0)</f>
        <v>0</v>
      </c>
      <c r="U19">
        <f>_xlfn.XLOOKUP(C19,'Fichier Kuehne'!S:S,'Fichier Kuehne'!AN:AN,0)</f>
        <v>0</v>
      </c>
      <c r="V19" t="str">
        <f t="shared" ref="V19:V82" si="2">T19&amp;W19&amp;IF(U19&lt;10,"0"&amp;U19,U19)</f>
        <v>0France00</v>
      </c>
      <c r="W19" t="str">
        <f t="shared" ref="W19:W82" si="3">IF(F19="FR","France","étranger")</f>
        <v>France</v>
      </c>
    </row>
    <row r="20" spans="2:26" x14ac:dyDescent="0.35">
      <c r="B20" t="s">
        <v>352</v>
      </c>
      <c r="C20" t="s">
        <v>923</v>
      </c>
      <c r="D20" t="s">
        <v>923</v>
      </c>
      <c r="E20" t="s">
        <v>920</v>
      </c>
      <c r="F20" t="s">
        <v>192</v>
      </c>
      <c r="G20">
        <v>0</v>
      </c>
      <c r="H20">
        <v>0</v>
      </c>
      <c r="I20">
        <v>0</v>
      </c>
      <c r="J20">
        <v>0</v>
      </c>
      <c r="K20">
        <v>107.21000000000001</v>
      </c>
      <c r="L20">
        <v>0</v>
      </c>
      <c r="M20">
        <v>0</v>
      </c>
      <c r="N20">
        <v>0</v>
      </c>
      <c r="O20" s="23">
        <v>107.21000000000001</v>
      </c>
      <c r="P20">
        <v>107.21000000000001</v>
      </c>
      <c r="Q20">
        <v>1</v>
      </c>
      <c r="R20">
        <v>1</v>
      </c>
      <c r="S20">
        <v>44</v>
      </c>
      <c r="T20">
        <f>_xlfn.XLOOKUP(C20,'Fichier Kuehne'!S:S,'Fichier Kuehne'!AH:AH,0)</f>
        <v>0</v>
      </c>
      <c r="U20">
        <f>_xlfn.XLOOKUP(C20,'Fichier Kuehne'!S:S,'Fichier Kuehne'!AN:AN,0)</f>
        <v>0</v>
      </c>
      <c r="V20" t="str">
        <f t="shared" si="2"/>
        <v>0France00</v>
      </c>
      <c r="W20" t="str">
        <f t="shared" si="3"/>
        <v>France</v>
      </c>
    </row>
    <row r="21" spans="2:26" x14ac:dyDescent="0.35">
      <c r="B21" t="s">
        <v>352</v>
      </c>
      <c r="C21" t="s">
        <v>570</v>
      </c>
      <c r="D21" t="s">
        <v>572</v>
      </c>
      <c r="E21" t="s">
        <v>573</v>
      </c>
      <c r="F21" t="s">
        <v>192</v>
      </c>
      <c r="G21">
        <v>0</v>
      </c>
      <c r="H21">
        <v>0</v>
      </c>
      <c r="I21">
        <v>0</v>
      </c>
      <c r="J21">
        <v>0</v>
      </c>
      <c r="K21">
        <v>63.44</v>
      </c>
      <c r="L21">
        <v>0</v>
      </c>
      <c r="M21">
        <v>0</v>
      </c>
      <c r="N21">
        <v>0</v>
      </c>
      <c r="O21" s="23">
        <v>63.44</v>
      </c>
      <c r="P21">
        <v>63.44</v>
      </c>
      <c r="Q21">
        <v>1</v>
      </c>
      <c r="R21">
        <v>1</v>
      </c>
      <c r="S21">
        <v>328</v>
      </c>
      <c r="T21">
        <f>_xlfn.XLOOKUP(C21,'Fichier Kuehne'!S:S,'Fichier Kuehne'!AH:AH,0)</f>
        <v>21</v>
      </c>
      <c r="U21">
        <f>_xlfn.XLOOKUP(C21,'Fichier Kuehne'!S:S,'Fichier Kuehne'!AN:AN,0)</f>
        <v>60</v>
      </c>
      <c r="V21" t="str">
        <f t="shared" si="2"/>
        <v>21France60</v>
      </c>
      <c r="W21" t="str">
        <f t="shared" si="3"/>
        <v>France</v>
      </c>
    </row>
    <row r="22" spans="2:26" x14ac:dyDescent="0.35">
      <c r="B22" t="s">
        <v>352</v>
      </c>
      <c r="C22" t="s">
        <v>382</v>
      </c>
      <c r="D22" t="s">
        <v>384</v>
      </c>
      <c r="E22" t="s">
        <v>385</v>
      </c>
      <c r="F22" t="s">
        <v>192</v>
      </c>
      <c r="G22">
        <v>0</v>
      </c>
      <c r="H22">
        <v>7</v>
      </c>
      <c r="I22">
        <v>0</v>
      </c>
      <c r="J22">
        <v>0</v>
      </c>
      <c r="K22">
        <v>35.96</v>
      </c>
      <c r="L22">
        <v>0</v>
      </c>
      <c r="M22">
        <v>0</v>
      </c>
      <c r="N22">
        <v>0</v>
      </c>
      <c r="O22" s="23">
        <v>42.96</v>
      </c>
      <c r="P22">
        <v>42.96</v>
      </c>
      <c r="Q22">
        <v>1</v>
      </c>
      <c r="R22">
        <v>1</v>
      </c>
      <c r="S22">
        <v>38</v>
      </c>
      <c r="T22">
        <f>_xlfn.XLOOKUP(C22,'Fichier Kuehne'!S:S,'Fichier Kuehne'!AH:AH,0)</f>
        <v>21</v>
      </c>
      <c r="U22">
        <f>_xlfn.XLOOKUP(C22,'Fichier Kuehne'!S:S,'Fichier Kuehne'!AN:AN,0)</f>
        <v>93</v>
      </c>
      <c r="V22" t="str">
        <f t="shared" si="2"/>
        <v>21France93</v>
      </c>
      <c r="W22" t="str">
        <f t="shared" si="3"/>
        <v>France</v>
      </c>
    </row>
    <row r="23" spans="2:26" x14ac:dyDescent="0.35">
      <c r="B23" t="s">
        <v>352</v>
      </c>
      <c r="C23" t="s">
        <v>367</v>
      </c>
      <c r="D23" t="s">
        <v>369</v>
      </c>
      <c r="E23" t="s">
        <v>370</v>
      </c>
      <c r="F23" t="s">
        <v>192</v>
      </c>
      <c r="G23">
        <v>0</v>
      </c>
      <c r="H23">
        <v>0</v>
      </c>
      <c r="I23">
        <v>0</v>
      </c>
      <c r="J23">
        <v>0</v>
      </c>
      <c r="K23">
        <v>76.660000000000011</v>
      </c>
      <c r="L23">
        <v>0</v>
      </c>
      <c r="M23">
        <v>0</v>
      </c>
      <c r="N23">
        <v>0</v>
      </c>
      <c r="O23" s="23">
        <v>76.660000000000011</v>
      </c>
      <c r="P23">
        <v>76.660000000000011</v>
      </c>
      <c r="Q23">
        <v>1</v>
      </c>
      <c r="R23">
        <v>1</v>
      </c>
      <c r="S23">
        <v>134</v>
      </c>
      <c r="T23">
        <f>_xlfn.XLOOKUP(C23,'Fichier Kuehne'!S:S,'Fichier Kuehne'!AH:AH,0)</f>
        <v>21</v>
      </c>
      <c r="U23">
        <f>_xlfn.XLOOKUP(C23,'Fichier Kuehne'!S:S,'Fichier Kuehne'!AN:AN,0)</f>
        <v>83</v>
      </c>
      <c r="V23" t="str">
        <f t="shared" si="2"/>
        <v>21France83</v>
      </c>
      <c r="W23" t="str">
        <f t="shared" si="3"/>
        <v>France</v>
      </c>
    </row>
    <row r="24" spans="2:26" x14ac:dyDescent="0.35">
      <c r="B24" t="s">
        <v>352</v>
      </c>
      <c r="C24" t="s">
        <v>387</v>
      </c>
      <c r="D24" t="s">
        <v>389</v>
      </c>
      <c r="E24" t="s">
        <v>390</v>
      </c>
      <c r="F24" t="s">
        <v>192</v>
      </c>
      <c r="G24">
        <v>0</v>
      </c>
      <c r="H24">
        <v>0</v>
      </c>
      <c r="I24">
        <v>0</v>
      </c>
      <c r="J24">
        <v>0</v>
      </c>
      <c r="K24">
        <v>55.089999999999996</v>
      </c>
      <c r="L24">
        <v>0</v>
      </c>
      <c r="M24">
        <v>0</v>
      </c>
      <c r="N24">
        <v>0</v>
      </c>
      <c r="O24" s="23">
        <v>55.089999999999996</v>
      </c>
      <c r="P24">
        <v>55.089999999999996</v>
      </c>
      <c r="Q24">
        <v>1</v>
      </c>
      <c r="R24">
        <v>1</v>
      </c>
      <c r="S24">
        <v>100</v>
      </c>
      <c r="T24">
        <f>_xlfn.XLOOKUP(C24,'Fichier Kuehne'!S:S,'Fichier Kuehne'!AH:AH,0)</f>
        <v>21</v>
      </c>
      <c r="U24">
        <f>_xlfn.XLOOKUP(C24,'Fichier Kuehne'!S:S,'Fichier Kuehne'!AN:AN,0)</f>
        <v>34</v>
      </c>
      <c r="V24" t="str">
        <f t="shared" si="2"/>
        <v>21France34</v>
      </c>
      <c r="W24" t="str">
        <f t="shared" si="3"/>
        <v>France</v>
      </c>
    </row>
    <row r="25" spans="2:26" x14ac:dyDescent="0.35">
      <c r="B25" t="s">
        <v>352</v>
      </c>
      <c r="C25" t="s">
        <v>377</v>
      </c>
      <c r="D25" t="s">
        <v>379</v>
      </c>
      <c r="E25" t="s">
        <v>380</v>
      </c>
      <c r="F25" t="s">
        <v>192</v>
      </c>
      <c r="G25">
        <v>0</v>
      </c>
      <c r="H25">
        <v>0</v>
      </c>
      <c r="I25">
        <v>0</v>
      </c>
      <c r="J25">
        <v>0</v>
      </c>
      <c r="K25">
        <v>55.86</v>
      </c>
      <c r="L25">
        <v>0</v>
      </c>
      <c r="M25">
        <v>0</v>
      </c>
      <c r="N25">
        <v>0</v>
      </c>
      <c r="O25" s="23">
        <v>55.86</v>
      </c>
      <c r="P25">
        <v>55.86</v>
      </c>
      <c r="Q25">
        <v>1</v>
      </c>
      <c r="R25">
        <v>1</v>
      </c>
      <c r="S25">
        <v>72</v>
      </c>
      <c r="T25">
        <f>_xlfn.XLOOKUP(C25,'Fichier Kuehne'!S:S,'Fichier Kuehne'!AH:AH,0)</f>
        <v>21</v>
      </c>
      <c r="U25">
        <f>_xlfn.XLOOKUP(C25,'Fichier Kuehne'!S:S,'Fichier Kuehne'!AN:AN,0)</f>
        <v>11</v>
      </c>
      <c r="V25" t="str">
        <f t="shared" si="2"/>
        <v>21France11</v>
      </c>
      <c r="W25" t="str">
        <f t="shared" si="3"/>
        <v>France</v>
      </c>
    </row>
    <row r="26" spans="2:26" x14ac:dyDescent="0.35">
      <c r="B26" t="s">
        <v>352</v>
      </c>
      <c r="C26" t="s">
        <v>372</v>
      </c>
      <c r="D26" t="s">
        <v>374</v>
      </c>
      <c r="E26" t="s">
        <v>375</v>
      </c>
      <c r="F26" t="s">
        <v>192</v>
      </c>
      <c r="G26">
        <v>0</v>
      </c>
      <c r="H26">
        <v>0</v>
      </c>
      <c r="I26">
        <v>0</v>
      </c>
      <c r="J26">
        <v>0</v>
      </c>
      <c r="K26">
        <v>33.85</v>
      </c>
      <c r="L26">
        <v>0</v>
      </c>
      <c r="M26">
        <v>0</v>
      </c>
      <c r="N26">
        <v>0</v>
      </c>
      <c r="O26" s="23">
        <v>33.85</v>
      </c>
      <c r="P26">
        <v>33.85</v>
      </c>
      <c r="Q26">
        <v>1</v>
      </c>
      <c r="R26">
        <v>1</v>
      </c>
      <c r="S26">
        <v>13</v>
      </c>
      <c r="T26">
        <f>_xlfn.XLOOKUP(C26,'Fichier Kuehne'!S:S,'Fichier Kuehne'!AH:AH,0)</f>
        <v>21</v>
      </c>
      <c r="U26">
        <f>_xlfn.XLOOKUP(C26,'Fichier Kuehne'!S:S,'Fichier Kuehne'!AN:AN,0)</f>
        <v>34</v>
      </c>
      <c r="V26" t="str">
        <f t="shared" si="2"/>
        <v>21France34</v>
      </c>
      <c r="W26" t="str">
        <f t="shared" si="3"/>
        <v>France</v>
      </c>
    </row>
    <row r="27" spans="2:26" x14ac:dyDescent="0.35">
      <c r="B27" t="s">
        <v>352</v>
      </c>
      <c r="C27" t="s">
        <v>401</v>
      </c>
      <c r="D27" t="s">
        <v>403</v>
      </c>
      <c r="E27" t="s">
        <v>404</v>
      </c>
      <c r="F27" t="s">
        <v>192</v>
      </c>
      <c r="G27">
        <v>0</v>
      </c>
      <c r="H27">
        <v>0</v>
      </c>
      <c r="I27">
        <v>0</v>
      </c>
      <c r="J27">
        <v>0</v>
      </c>
      <c r="K27">
        <v>80.78</v>
      </c>
      <c r="L27">
        <v>0</v>
      </c>
      <c r="M27">
        <v>0</v>
      </c>
      <c r="N27">
        <v>0</v>
      </c>
      <c r="O27" s="23">
        <v>80.78</v>
      </c>
      <c r="P27">
        <v>80.78</v>
      </c>
      <c r="Q27">
        <v>1</v>
      </c>
      <c r="R27">
        <v>1</v>
      </c>
      <c r="S27">
        <v>115</v>
      </c>
      <c r="T27">
        <f>_xlfn.XLOOKUP(C27,'Fichier Kuehne'!S:S,'Fichier Kuehne'!AH:AH,0)</f>
        <v>21</v>
      </c>
      <c r="U27">
        <f>_xlfn.XLOOKUP(C27,'Fichier Kuehne'!S:S,'Fichier Kuehne'!AN:AN,0)</f>
        <v>29</v>
      </c>
      <c r="V27" t="str">
        <f t="shared" si="2"/>
        <v>21France29</v>
      </c>
      <c r="W27" t="str">
        <f t="shared" si="3"/>
        <v>France</v>
      </c>
    </row>
    <row r="28" spans="2:26" x14ac:dyDescent="0.35">
      <c r="B28" t="s">
        <v>352</v>
      </c>
      <c r="C28" t="s">
        <v>412</v>
      </c>
      <c r="D28" t="s">
        <v>414</v>
      </c>
      <c r="E28" t="s">
        <v>415</v>
      </c>
      <c r="F28" t="s">
        <v>192</v>
      </c>
      <c r="G28">
        <v>0</v>
      </c>
      <c r="H28">
        <v>0</v>
      </c>
      <c r="I28">
        <v>0</v>
      </c>
      <c r="J28">
        <v>0</v>
      </c>
      <c r="K28">
        <v>48.98</v>
      </c>
      <c r="L28">
        <v>0</v>
      </c>
      <c r="M28">
        <v>0</v>
      </c>
      <c r="N28">
        <v>0</v>
      </c>
      <c r="O28" s="23">
        <v>48.98</v>
      </c>
      <c r="P28">
        <v>48.98</v>
      </c>
      <c r="Q28">
        <v>1</v>
      </c>
      <c r="R28">
        <v>1</v>
      </c>
      <c r="S28">
        <v>68</v>
      </c>
      <c r="T28">
        <f>_xlfn.XLOOKUP(C28,'Fichier Kuehne'!S:S,'Fichier Kuehne'!AH:AH,0)</f>
        <v>21</v>
      </c>
      <c r="U28">
        <f>_xlfn.XLOOKUP(C28,'Fichier Kuehne'!S:S,'Fichier Kuehne'!AN:AN,0)</f>
        <v>13</v>
      </c>
      <c r="V28" t="str">
        <f t="shared" si="2"/>
        <v>21France13</v>
      </c>
      <c r="W28" t="str">
        <f t="shared" si="3"/>
        <v>France</v>
      </c>
    </row>
    <row r="29" spans="2:26" x14ac:dyDescent="0.35">
      <c r="B29" t="s">
        <v>352</v>
      </c>
      <c r="C29" t="s">
        <v>396</v>
      </c>
      <c r="D29" t="s">
        <v>398</v>
      </c>
      <c r="E29" t="s">
        <v>399</v>
      </c>
      <c r="F29" t="s">
        <v>192</v>
      </c>
      <c r="G29">
        <v>0</v>
      </c>
      <c r="H29">
        <v>0</v>
      </c>
      <c r="I29">
        <v>0</v>
      </c>
      <c r="J29">
        <v>0</v>
      </c>
      <c r="K29">
        <v>48.37</v>
      </c>
      <c r="L29">
        <v>0</v>
      </c>
      <c r="M29">
        <v>0</v>
      </c>
      <c r="N29">
        <v>0</v>
      </c>
      <c r="O29" s="23">
        <v>48.37</v>
      </c>
      <c r="P29">
        <v>48.37</v>
      </c>
      <c r="Q29">
        <v>1</v>
      </c>
      <c r="R29">
        <v>1</v>
      </c>
      <c r="S29">
        <v>104</v>
      </c>
      <c r="T29">
        <f>_xlfn.XLOOKUP(C29,'Fichier Kuehne'!S:S,'Fichier Kuehne'!AH:AH,0)</f>
        <v>21</v>
      </c>
      <c r="U29">
        <f>_xlfn.XLOOKUP(C29,'Fichier Kuehne'!S:S,'Fichier Kuehne'!AN:AN,0)</f>
        <v>95</v>
      </c>
      <c r="V29" t="str">
        <f t="shared" si="2"/>
        <v>21France95</v>
      </c>
      <c r="W29" t="str">
        <f t="shared" si="3"/>
        <v>France</v>
      </c>
    </row>
    <row r="30" spans="2:26" x14ac:dyDescent="0.35">
      <c r="B30" t="s">
        <v>352</v>
      </c>
      <c r="C30" t="s">
        <v>409</v>
      </c>
      <c r="D30" t="s">
        <v>411</v>
      </c>
      <c r="E30" t="s">
        <v>310</v>
      </c>
      <c r="F30" t="s">
        <v>192</v>
      </c>
      <c r="G30">
        <v>0</v>
      </c>
      <c r="H30">
        <v>0</v>
      </c>
      <c r="I30">
        <v>0</v>
      </c>
      <c r="J30">
        <v>0</v>
      </c>
      <c r="K30">
        <v>32.309999999999995</v>
      </c>
      <c r="L30">
        <v>0</v>
      </c>
      <c r="M30">
        <v>0</v>
      </c>
      <c r="N30">
        <v>0</v>
      </c>
      <c r="O30" s="23">
        <v>32.309999999999995</v>
      </c>
      <c r="P30">
        <v>32.309999999999995</v>
      </c>
      <c r="Q30">
        <v>1</v>
      </c>
      <c r="R30">
        <v>1</v>
      </c>
      <c r="S30">
        <v>66</v>
      </c>
      <c r="T30">
        <f>_xlfn.XLOOKUP(C30,'Fichier Kuehne'!S:S,'Fichier Kuehne'!AH:AH,0)</f>
        <v>21</v>
      </c>
      <c r="U30">
        <f>_xlfn.XLOOKUP(C30,'Fichier Kuehne'!S:S,'Fichier Kuehne'!AN:AN,0)</f>
        <v>58</v>
      </c>
      <c r="V30" t="str">
        <f t="shared" si="2"/>
        <v>21France58</v>
      </c>
      <c r="W30" t="str">
        <f t="shared" si="3"/>
        <v>France</v>
      </c>
    </row>
    <row r="31" spans="2:26" x14ac:dyDescent="0.35">
      <c r="B31" t="s">
        <v>352</v>
      </c>
      <c r="C31" t="s">
        <v>406</v>
      </c>
      <c r="D31" t="s">
        <v>408</v>
      </c>
      <c r="E31" t="s">
        <v>334</v>
      </c>
      <c r="F31" t="s">
        <v>192</v>
      </c>
      <c r="G31">
        <v>0</v>
      </c>
      <c r="H31">
        <v>0</v>
      </c>
      <c r="I31">
        <v>0</v>
      </c>
      <c r="J31">
        <v>0</v>
      </c>
      <c r="K31">
        <v>37.309999999999995</v>
      </c>
      <c r="L31">
        <v>0</v>
      </c>
      <c r="M31">
        <v>0</v>
      </c>
      <c r="N31">
        <v>0</v>
      </c>
      <c r="O31" s="23">
        <v>37.309999999999995</v>
      </c>
      <c r="P31">
        <v>37.309999999999995</v>
      </c>
      <c r="Q31">
        <v>1</v>
      </c>
      <c r="R31">
        <v>1</v>
      </c>
      <c r="S31">
        <v>10</v>
      </c>
      <c r="T31">
        <f>_xlfn.XLOOKUP(C31,'Fichier Kuehne'!S:S,'Fichier Kuehne'!AH:AH,0)</f>
        <v>21</v>
      </c>
      <c r="U31">
        <f>_xlfn.XLOOKUP(C31,'Fichier Kuehne'!S:S,'Fichier Kuehne'!AN:AN,0)</f>
        <v>33</v>
      </c>
      <c r="V31" t="str">
        <f t="shared" si="2"/>
        <v>21France33</v>
      </c>
      <c r="W31" t="str">
        <f t="shared" si="3"/>
        <v>France</v>
      </c>
    </row>
    <row r="32" spans="2:26" x14ac:dyDescent="0.35">
      <c r="B32" t="s">
        <v>352</v>
      </c>
      <c r="C32" t="s">
        <v>417</v>
      </c>
      <c r="D32" t="s">
        <v>419</v>
      </c>
      <c r="E32" t="s">
        <v>420</v>
      </c>
      <c r="F32" t="s">
        <v>192</v>
      </c>
      <c r="G32">
        <v>0</v>
      </c>
      <c r="H32">
        <v>0</v>
      </c>
      <c r="I32">
        <v>0</v>
      </c>
      <c r="J32">
        <v>0</v>
      </c>
      <c r="K32">
        <v>53.36</v>
      </c>
      <c r="L32">
        <v>0</v>
      </c>
      <c r="M32">
        <v>0</v>
      </c>
      <c r="N32">
        <v>0</v>
      </c>
      <c r="O32" s="23">
        <v>53.36</v>
      </c>
      <c r="P32">
        <v>53.36</v>
      </c>
      <c r="Q32">
        <v>1</v>
      </c>
      <c r="R32">
        <v>1</v>
      </c>
      <c r="S32">
        <v>83</v>
      </c>
      <c r="T32">
        <f>_xlfn.XLOOKUP(C32,'Fichier Kuehne'!S:S,'Fichier Kuehne'!AH:AH,0)</f>
        <v>21</v>
      </c>
      <c r="U32">
        <f>_xlfn.XLOOKUP(C32,'Fichier Kuehne'!S:S,'Fichier Kuehne'!AN:AN,0)</f>
        <v>34</v>
      </c>
      <c r="V32" t="str">
        <f t="shared" si="2"/>
        <v>21France34</v>
      </c>
      <c r="W32" t="str">
        <f t="shared" si="3"/>
        <v>France</v>
      </c>
    </row>
    <row r="33" spans="2:23" x14ac:dyDescent="0.35">
      <c r="B33" t="s">
        <v>352</v>
      </c>
      <c r="C33" t="s">
        <v>528</v>
      </c>
      <c r="D33" t="s">
        <v>530</v>
      </c>
      <c r="E33" t="s">
        <v>531</v>
      </c>
      <c r="F33" t="s">
        <v>192</v>
      </c>
      <c r="G33">
        <v>0</v>
      </c>
      <c r="H33">
        <v>0</v>
      </c>
      <c r="I33">
        <v>0</v>
      </c>
      <c r="J33">
        <v>0</v>
      </c>
      <c r="K33">
        <v>27.79</v>
      </c>
      <c r="L33">
        <v>0</v>
      </c>
      <c r="M33">
        <v>0</v>
      </c>
      <c r="N33">
        <v>0</v>
      </c>
      <c r="O33" s="23">
        <v>27.79</v>
      </c>
      <c r="P33">
        <v>27.79</v>
      </c>
      <c r="Q33">
        <v>1</v>
      </c>
      <c r="R33">
        <v>1</v>
      </c>
      <c r="S33">
        <v>44</v>
      </c>
      <c r="T33">
        <f>_xlfn.XLOOKUP(C33,'Fichier Kuehne'!S:S,'Fichier Kuehne'!AH:AH,0)</f>
        <v>21</v>
      </c>
      <c r="U33">
        <f>_xlfn.XLOOKUP(C33,'Fichier Kuehne'!S:S,'Fichier Kuehne'!AN:AN,0)</f>
        <v>89</v>
      </c>
      <c r="V33" t="str">
        <f t="shared" si="2"/>
        <v>21France89</v>
      </c>
      <c r="W33" t="str">
        <f t="shared" si="3"/>
        <v>France</v>
      </c>
    </row>
    <row r="34" spans="2:23" x14ac:dyDescent="0.35">
      <c r="B34" t="s">
        <v>352</v>
      </c>
      <c r="C34" t="s">
        <v>392</v>
      </c>
      <c r="D34" t="s">
        <v>394</v>
      </c>
      <c r="E34" t="s">
        <v>395</v>
      </c>
      <c r="F34" t="s">
        <v>192</v>
      </c>
      <c r="G34">
        <v>0</v>
      </c>
      <c r="H34">
        <v>0</v>
      </c>
      <c r="I34">
        <v>0</v>
      </c>
      <c r="J34">
        <v>0</v>
      </c>
      <c r="K34">
        <v>43.19</v>
      </c>
      <c r="L34">
        <v>0</v>
      </c>
      <c r="M34">
        <v>0</v>
      </c>
      <c r="N34">
        <v>0</v>
      </c>
      <c r="O34" s="23">
        <v>43.19</v>
      </c>
      <c r="P34">
        <v>43.19</v>
      </c>
      <c r="Q34">
        <v>1</v>
      </c>
      <c r="R34">
        <v>1</v>
      </c>
      <c r="S34">
        <v>59</v>
      </c>
      <c r="T34">
        <f>_xlfn.XLOOKUP(C34,'Fichier Kuehne'!S:S,'Fichier Kuehne'!AH:AH,0)</f>
        <v>21</v>
      </c>
      <c r="U34">
        <f>_xlfn.XLOOKUP(C34,'Fichier Kuehne'!S:S,'Fichier Kuehne'!AN:AN,0)</f>
        <v>84</v>
      </c>
      <c r="V34" t="str">
        <f t="shared" si="2"/>
        <v>21France84</v>
      </c>
      <c r="W34" t="str">
        <f t="shared" si="3"/>
        <v>France</v>
      </c>
    </row>
    <row r="35" spans="2:23" x14ac:dyDescent="0.35">
      <c r="B35" t="s">
        <v>352</v>
      </c>
      <c r="C35" t="s">
        <v>452</v>
      </c>
      <c r="D35" t="s">
        <v>454</v>
      </c>
      <c r="E35" t="s">
        <v>455</v>
      </c>
      <c r="F35" t="s">
        <v>192</v>
      </c>
      <c r="G35">
        <v>0</v>
      </c>
      <c r="H35">
        <v>0</v>
      </c>
      <c r="I35">
        <v>0</v>
      </c>
      <c r="J35">
        <v>0</v>
      </c>
      <c r="K35">
        <v>48.75</v>
      </c>
      <c r="L35">
        <v>0</v>
      </c>
      <c r="M35">
        <v>0</v>
      </c>
      <c r="N35">
        <v>0</v>
      </c>
      <c r="O35" s="23">
        <v>48.75</v>
      </c>
      <c r="P35">
        <v>48.75</v>
      </c>
      <c r="Q35">
        <v>1</v>
      </c>
      <c r="R35">
        <v>1</v>
      </c>
      <c r="S35">
        <v>46</v>
      </c>
      <c r="T35">
        <f>_xlfn.XLOOKUP(C35,'Fichier Kuehne'!S:S,'Fichier Kuehne'!AH:AH,0)</f>
        <v>21</v>
      </c>
      <c r="U35">
        <f>_xlfn.XLOOKUP(C35,'Fichier Kuehne'!S:S,'Fichier Kuehne'!AN:AN,0)</f>
        <v>66</v>
      </c>
      <c r="V35" t="str">
        <f t="shared" si="2"/>
        <v>21France66</v>
      </c>
      <c r="W35" t="str">
        <f t="shared" si="3"/>
        <v>France</v>
      </c>
    </row>
    <row r="36" spans="2:23" x14ac:dyDescent="0.35">
      <c r="B36" t="s">
        <v>352</v>
      </c>
      <c r="C36" t="s">
        <v>490</v>
      </c>
      <c r="D36" t="s">
        <v>492</v>
      </c>
      <c r="E36" t="s">
        <v>493</v>
      </c>
      <c r="F36" t="s">
        <v>192</v>
      </c>
      <c r="G36">
        <v>0</v>
      </c>
      <c r="H36">
        <v>0</v>
      </c>
      <c r="I36">
        <v>0</v>
      </c>
      <c r="J36">
        <v>0</v>
      </c>
      <c r="K36">
        <v>51.4</v>
      </c>
      <c r="L36">
        <v>0</v>
      </c>
      <c r="M36">
        <v>0</v>
      </c>
      <c r="N36">
        <v>0</v>
      </c>
      <c r="O36" s="23">
        <v>51.4</v>
      </c>
      <c r="P36">
        <v>51.4</v>
      </c>
      <c r="Q36">
        <v>1</v>
      </c>
      <c r="R36">
        <v>1</v>
      </c>
      <c r="S36">
        <v>90</v>
      </c>
      <c r="T36">
        <f>_xlfn.XLOOKUP(C36,'Fichier Kuehne'!S:S,'Fichier Kuehne'!AH:AH,0)</f>
        <v>21</v>
      </c>
      <c r="U36">
        <f>_xlfn.XLOOKUP(C36,'Fichier Kuehne'!S:S,'Fichier Kuehne'!AN:AN,0)</f>
        <v>84</v>
      </c>
      <c r="V36" t="str">
        <f t="shared" si="2"/>
        <v>21France84</v>
      </c>
      <c r="W36" t="str">
        <f t="shared" si="3"/>
        <v>France</v>
      </c>
    </row>
    <row r="37" spans="2:23" x14ac:dyDescent="0.35">
      <c r="B37" t="s">
        <v>352</v>
      </c>
      <c r="C37" t="s">
        <v>467</v>
      </c>
      <c r="D37" t="s">
        <v>469</v>
      </c>
      <c r="E37" t="s">
        <v>470</v>
      </c>
      <c r="F37" t="s">
        <v>192</v>
      </c>
      <c r="G37">
        <v>0</v>
      </c>
      <c r="H37">
        <v>0</v>
      </c>
      <c r="I37">
        <v>0</v>
      </c>
      <c r="J37">
        <v>0</v>
      </c>
      <c r="K37">
        <v>22.54</v>
      </c>
      <c r="L37">
        <v>0</v>
      </c>
      <c r="M37">
        <v>0</v>
      </c>
      <c r="N37">
        <v>0</v>
      </c>
      <c r="O37" s="23">
        <v>22.54</v>
      </c>
      <c r="P37">
        <v>22.54</v>
      </c>
      <c r="Q37">
        <v>1</v>
      </c>
      <c r="R37">
        <v>1</v>
      </c>
      <c r="S37">
        <v>30</v>
      </c>
      <c r="T37">
        <f>_xlfn.XLOOKUP(C37,'Fichier Kuehne'!S:S,'Fichier Kuehne'!AH:AH,0)</f>
        <v>21</v>
      </c>
      <c r="U37">
        <f>_xlfn.XLOOKUP(C37,'Fichier Kuehne'!S:S,'Fichier Kuehne'!AN:AN,0)</f>
        <v>21</v>
      </c>
      <c r="V37" t="str">
        <f t="shared" si="2"/>
        <v>21France21</v>
      </c>
      <c r="W37" t="str">
        <f t="shared" si="3"/>
        <v>France</v>
      </c>
    </row>
    <row r="38" spans="2:23" x14ac:dyDescent="0.35">
      <c r="B38" t="s">
        <v>352</v>
      </c>
      <c r="C38" t="s">
        <v>441</v>
      </c>
      <c r="D38" t="s">
        <v>443</v>
      </c>
      <c r="E38" t="s">
        <v>324</v>
      </c>
      <c r="F38" t="s">
        <v>192</v>
      </c>
      <c r="G38">
        <v>0</v>
      </c>
      <c r="H38">
        <v>0</v>
      </c>
      <c r="I38">
        <v>0</v>
      </c>
      <c r="J38">
        <v>0</v>
      </c>
      <c r="K38">
        <v>49.95</v>
      </c>
      <c r="L38">
        <v>0</v>
      </c>
      <c r="M38">
        <v>0</v>
      </c>
      <c r="N38">
        <v>0</v>
      </c>
      <c r="O38" s="23">
        <v>49.95</v>
      </c>
      <c r="P38">
        <v>49.95</v>
      </c>
      <c r="Q38">
        <v>1</v>
      </c>
      <c r="R38">
        <v>1</v>
      </c>
      <c r="S38">
        <v>67</v>
      </c>
      <c r="T38">
        <f>_xlfn.XLOOKUP(C38,'Fichier Kuehne'!S:S,'Fichier Kuehne'!AH:AH,0)</f>
        <v>21</v>
      </c>
      <c r="U38">
        <f>_xlfn.XLOOKUP(C38,'Fichier Kuehne'!S:S,'Fichier Kuehne'!AN:AN,0)</f>
        <v>34</v>
      </c>
      <c r="V38" t="str">
        <f t="shared" si="2"/>
        <v>21France34</v>
      </c>
      <c r="W38" t="str">
        <f t="shared" si="3"/>
        <v>France</v>
      </c>
    </row>
    <row r="39" spans="2:23" x14ac:dyDescent="0.35">
      <c r="B39" t="s">
        <v>352</v>
      </c>
      <c r="C39" t="s">
        <v>475</v>
      </c>
      <c r="D39" t="s">
        <v>477</v>
      </c>
      <c r="E39" t="s">
        <v>478</v>
      </c>
      <c r="F39" t="s">
        <v>192</v>
      </c>
      <c r="G39">
        <v>0</v>
      </c>
      <c r="H39">
        <v>0</v>
      </c>
      <c r="I39">
        <v>0</v>
      </c>
      <c r="J39">
        <v>0</v>
      </c>
      <c r="K39">
        <v>27.729999999999997</v>
      </c>
      <c r="L39">
        <v>0</v>
      </c>
      <c r="M39">
        <v>0</v>
      </c>
      <c r="N39">
        <v>0</v>
      </c>
      <c r="O39" s="23">
        <v>27.729999999999997</v>
      </c>
      <c r="P39">
        <v>27.729999999999997</v>
      </c>
      <c r="Q39">
        <v>1</v>
      </c>
      <c r="R39">
        <v>1</v>
      </c>
      <c r="S39">
        <v>73</v>
      </c>
      <c r="T39">
        <f>_xlfn.XLOOKUP(C39,'Fichier Kuehne'!S:S,'Fichier Kuehne'!AH:AH,0)</f>
        <v>21</v>
      </c>
      <c r="U39">
        <f>_xlfn.XLOOKUP(C39,'Fichier Kuehne'!S:S,'Fichier Kuehne'!AN:AN,0)</f>
        <v>71</v>
      </c>
      <c r="V39" t="str">
        <f t="shared" si="2"/>
        <v>21France71</v>
      </c>
      <c r="W39" t="str">
        <f t="shared" si="3"/>
        <v>France</v>
      </c>
    </row>
    <row r="40" spans="2:23" x14ac:dyDescent="0.35">
      <c r="B40" t="s">
        <v>352</v>
      </c>
      <c r="C40" t="s">
        <v>457</v>
      </c>
      <c r="D40" t="s">
        <v>459</v>
      </c>
      <c r="E40" t="s">
        <v>460</v>
      </c>
      <c r="F40" t="s">
        <v>192</v>
      </c>
      <c r="G40">
        <v>0</v>
      </c>
      <c r="H40">
        <v>0</v>
      </c>
      <c r="I40">
        <v>0</v>
      </c>
      <c r="J40">
        <v>0</v>
      </c>
      <c r="K40">
        <v>62.48</v>
      </c>
      <c r="L40">
        <v>0</v>
      </c>
      <c r="M40">
        <v>0</v>
      </c>
      <c r="N40">
        <v>0</v>
      </c>
      <c r="O40" s="23">
        <v>62.48</v>
      </c>
      <c r="P40">
        <v>62.48</v>
      </c>
      <c r="Q40">
        <v>1</v>
      </c>
      <c r="R40">
        <v>1</v>
      </c>
      <c r="S40">
        <v>112</v>
      </c>
      <c r="T40">
        <f>_xlfn.XLOOKUP(C40,'Fichier Kuehne'!S:S,'Fichier Kuehne'!AH:AH,0)</f>
        <v>21</v>
      </c>
      <c r="U40">
        <f>_xlfn.XLOOKUP(C40,'Fichier Kuehne'!S:S,'Fichier Kuehne'!AN:AN,0)</f>
        <v>34</v>
      </c>
      <c r="V40" t="str">
        <f t="shared" si="2"/>
        <v>21France34</v>
      </c>
      <c r="W40" t="str">
        <f t="shared" si="3"/>
        <v>France</v>
      </c>
    </row>
    <row r="41" spans="2:23" x14ac:dyDescent="0.35">
      <c r="B41" t="s">
        <v>352</v>
      </c>
      <c r="C41" t="s">
        <v>432</v>
      </c>
      <c r="D41" t="s">
        <v>434</v>
      </c>
      <c r="E41" t="s">
        <v>435</v>
      </c>
      <c r="F41" t="s">
        <v>192</v>
      </c>
      <c r="G41">
        <v>0</v>
      </c>
      <c r="H41">
        <v>0</v>
      </c>
      <c r="I41">
        <v>0</v>
      </c>
      <c r="J41">
        <v>0</v>
      </c>
      <c r="K41">
        <v>59.489999999999995</v>
      </c>
      <c r="L41">
        <v>0</v>
      </c>
      <c r="M41">
        <v>0</v>
      </c>
      <c r="N41">
        <v>0</v>
      </c>
      <c r="O41" s="23">
        <v>59.489999999999995</v>
      </c>
      <c r="P41">
        <v>59.489999999999995</v>
      </c>
      <c r="Q41">
        <v>1</v>
      </c>
      <c r="R41">
        <v>1</v>
      </c>
      <c r="S41">
        <v>81</v>
      </c>
      <c r="T41">
        <f>_xlfn.XLOOKUP(C41,'Fichier Kuehne'!S:S,'Fichier Kuehne'!AH:AH,0)</f>
        <v>21</v>
      </c>
      <c r="U41">
        <f>_xlfn.XLOOKUP(C41,'Fichier Kuehne'!S:S,'Fichier Kuehne'!AN:AN,0)</f>
        <v>33</v>
      </c>
      <c r="V41" t="str">
        <f t="shared" si="2"/>
        <v>21France33</v>
      </c>
      <c r="W41" t="str">
        <f t="shared" si="3"/>
        <v>France</v>
      </c>
    </row>
    <row r="42" spans="2:23" x14ac:dyDescent="0.35">
      <c r="B42" t="s">
        <v>352</v>
      </c>
      <c r="C42" t="s">
        <v>448</v>
      </c>
      <c r="D42" t="s">
        <v>450</v>
      </c>
      <c r="E42" t="s">
        <v>451</v>
      </c>
      <c r="F42" t="s">
        <v>192</v>
      </c>
      <c r="G42">
        <v>0</v>
      </c>
      <c r="H42">
        <v>0</v>
      </c>
      <c r="I42">
        <v>0</v>
      </c>
      <c r="J42">
        <v>0</v>
      </c>
      <c r="K42">
        <v>40.14</v>
      </c>
      <c r="L42">
        <v>0</v>
      </c>
      <c r="M42">
        <v>0</v>
      </c>
      <c r="N42">
        <v>0</v>
      </c>
      <c r="O42" s="23">
        <v>40.14</v>
      </c>
      <c r="P42">
        <v>40.14</v>
      </c>
      <c r="Q42">
        <v>1</v>
      </c>
      <c r="R42">
        <v>1</v>
      </c>
      <c r="S42">
        <v>32</v>
      </c>
      <c r="T42">
        <f>_xlfn.XLOOKUP(C42,'Fichier Kuehne'!S:S,'Fichier Kuehne'!AH:AH,0)</f>
        <v>21</v>
      </c>
      <c r="U42">
        <f>_xlfn.XLOOKUP(C42,'Fichier Kuehne'!S:S,'Fichier Kuehne'!AN:AN,0)</f>
        <v>84</v>
      </c>
      <c r="V42" t="str">
        <f t="shared" si="2"/>
        <v>21France84</v>
      </c>
      <c r="W42" t="str">
        <f t="shared" si="3"/>
        <v>France</v>
      </c>
    </row>
    <row r="43" spans="2:23" x14ac:dyDescent="0.35">
      <c r="B43" t="s">
        <v>352</v>
      </c>
      <c r="C43" t="s">
        <v>537</v>
      </c>
      <c r="D43" t="s">
        <v>539</v>
      </c>
      <c r="E43" t="s">
        <v>540</v>
      </c>
      <c r="F43" t="s">
        <v>192</v>
      </c>
      <c r="G43">
        <v>0</v>
      </c>
      <c r="H43">
        <v>0</v>
      </c>
      <c r="I43">
        <v>0</v>
      </c>
      <c r="J43">
        <v>0</v>
      </c>
      <c r="K43">
        <v>29.9</v>
      </c>
      <c r="L43">
        <v>0</v>
      </c>
      <c r="M43">
        <v>0</v>
      </c>
      <c r="N43">
        <v>0</v>
      </c>
      <c r="O43" s="23">
        <v>29.9</v>
      </c>
      <c r="P43">
        <v>29.9</v>
      </c>
      <c r="Q43">
        <v>1</v>
      </c>
      <c r="R43">
        <v>1</v>
      </c>
      <c r="S43">
        <v>67</v>
      </c>
      <c r="T43">
        <f>_xlfn.XLOOKUP(C43,'Fichier Kuehne'!S:S,'Fichier Kuehne'!AH:AH,0)</f>
        <v>21</v>
      </c>
      <c r="U43">
        <f>_xlfn.XLOOKUP(C43,'Fichier Kuehne'!S:S,'Fichier Kuehne'!AN:AN,0)</f>
        <v>69</v>
      </c>
      <c r="V43" t="str">
        <f t="shared" si="2"/>
        <v>21France69</v>
      </c>
      <c r="W43" t="str">
        <f t="shared" si="3"/>
        <v>France</v>
      </c>
    </row>
    <row r="44" spans="2:23" x14ac:dyDescent="0.35">
      <c r="B44" t="s">
        <v>352</v>
      </c>
      <c r="C44" t="s">
        <v>518</v>
      </c>
      <c r="D44" t="s">
        <v>520</v>
      </c>
      <c r="E44" t="s">
        <v>521</v>
      </c>
      <c r="F44" t="s">
        <v>192</v>
      </c>
      <c r="G44">
        <v>0</v>
      </c>
      <c r="H44">
        <v>0</v>
      </c>
      <c r="I44">
        <v>0</v>
      </c>
      <c r="J44">
        <v>0</v>
      </c>
      <c r="K44">
        <v>46.98</v>
      </c>
      <c r="L44">
        <v>0</v>
      </c>
      <c r="M44">
        <v>0</v>
      </c>
      <c r="N44">
        <v>0</v>
      </c>
      <c r="O44" s="23">
        <v>46.98</v>
      </c>
      <c r="P44">
        <v>46.98</v>
      </c>
      <c r="Q44">
        <v>1</v>
      </c>
      <c r="R44">
        <v>1</v>
      </c>
      <c r="S44">
        <v>139</v>
      </c>
      <c r="T44">
        <f>_xlfn.XLOOKUP(C44,'Fichier Kuehne'!S:S,'Fichier Kuehne'!AH:AH,0)</f>
        <v>21</v>
      </c>
      <c r="U44">
        <f>_xlfn.XLOOKUP(C44,'Fichier Kuehne'!S:S,'Fichier Kuehne'!AN:AN,0)</f>
        <v>18</v>
      </c>
      <c r="V44" t="str">
        <f t="shared" si="2"/>
        <v>21France18</v>
      </c>
      <c r="W44" t="str">
        <f t="shared" si="3"/>
        <v>France</v>
      </c>
    </row>
    <row r="45" spans="2:23" x14ac:dyDescent="0.35">
      <c r="B45" t="s">
        <v>352</v>
      </c>
      <c r="C45" t="s">
        <v>462</v>
      </c>
      <c r="D45" t="s">
        <v>464</v>
      </c>
      <c r="E45" t="s">
        <v>465</v>
      </c>
      <c r="F45" t="s">
        <v>192</v>
      </c>
      <c r="G45">
        <v>0</v>
      </c>
      <c r="H45">
        <v>0</v>
      </c>
      <c r="I45">
        <v>0</v>
      </c>
      <c r="J45">
        <v>0</v>
      </c>
      <c r="K45">
        <v>43.15</v>
      </c>
      <c r="L45">
        <v>0</v>
      </c>
      <c r="M45">
        <v>0</v>
      </c>
      <c r="N45">
        <v>0</v>
      </c>
      <c r="O45" s="23">
        <v>43.15</v>
      </c>
      <c r="P45">
        <v>43.15</v>
      </c>
      <c r="Q45">
        <v>1</v>
      </c>
      <c r="R45">
        <v>1</v>
      </c>
      <c r="S45">
        <v>45</v>
      </c>
      <c r="T45">
        <f>_xlfn.XLOOKUP(C45,'Fichier Kuehne'!S:S,'Fichier Kuehne'!AH:AH,0)</f>
        <v>21</v>
      </c>
      <c r="U45">
        <f>_xlfn.XLOOKUP(C45,'Fichier Kuehne'!S:S,'Fichier Kuehne'!AN:AN,0)</f>
        <v>30</v>
      </c>
      <c r="V45" t="str">
        <f t="shared" si="2"/>
        <v>21France30</v>
      </c>
      <c r="W45" t="str">
        <f t="shared" si="3"/>
        <v>France</v>
      </c>
    </row>
    <row r="46" spans="2:23" x14ac:dyDescent="0.35">
      <c r="B46" t="s">
        <v>352</v>
      </c>
      <c r="C46" t="s">
        <v>436</v>
      </c>
      <c r="D46" t="s">
        <v>438</v>
      </c>
      <c r="E46" t="s">
        <v>439</v>
      </c>
      <c r="F46" t="s">
        <v>192</v>
      </c>
      <c r="G46">
        <v>0</v>
      </c>
      <c r="H46">
        <v>0</v>
      </c>
      <c r="I46">
        <v>0</v>
      </c>
      <c r="J46">
        <v>0</v>
      </c>
      <c r="K46">
        <v>32.4</v>
      </c>
      <c r="L46">
        <v>0</v>
      </c>
      <c r="M46">
        <v>0</v>
      </c>
      <c r="N46">
        <v>0</v>
      </c>
      <c r="O46" s="23">
        <v>32.4</v>
      </c>
      <c r="P46">
        <v>32.4</v>
      </c>
      <c r="Q46">
        <v>1</v>
      </c>
      <c r="R46">
        <v>1</v>
      </c>
      <c r="S46">
        <v>25</v>
      </c>
      <c r="T46">
        <f>_xlfn.XLOOKUP(C46,'Fichier Kuehne'!S:S,'Fichier Kuehne'!AH:AH,0)</f>
        <v>21</v>
      </c>
      <c r="U46">
        <f>_xlfn.XLOOKUP(C46,'Fichier Kuehne'!S:S,'Fichier Kuehne'!AN:AN,0)</f>
        <v>79</v>
      </c>
      <c r="V46" t="str">
        <f t="shared" si="2"/>
        <v>21France79</v>
      </c>
      <c r="W46" t="str">
        <f t="shared" si="3"/>
        <v>France</v>
      </c>
    </row>
    <row r="47" spans="2:23" x14ac:dyDescent="0.35">
      <c r="B47" t="s">
        <v>352</v>
      </c>
      <c r="C47" t="s">
        <v>523</v>
      </c>
      <c r="D47" t="s">
        <v>525</v>
      </c>
      <c r="E47" t="s">
        <v>526</v>
      </c>
      <c r="F47" t="s">
        <v>192</v>
      </c>
      <c r="G47">
        <v>0</v>
      </c>
      <c r="H47">
        <v>0</v>
      </c>
      <c r="I47">
        <v>0</v>
      </c>
      <c r="J47">
        <v>0</v>
      </c>
      <c r="K47">
        <v>61.74</v>
      </c>
      <c r="L47">
        <v>0</v>
      </c>
      <c r="M47">
        <v>0</v>
      </c>
      <c r="N47">
        <v>0</v>
      </c>
      <c r="O47" s="23">
        <v>61.74</v>
      </c>
      <c r="P47">
        <v>61.74</v>
      </c>
      <c r="Q47">
        <v>1</v>
      </c>
      <c r="R47">
        <v>1</v>
      </c>
      <c r="S47">
        <v>354</v>
      </c>
      <c r="T47">
        <f>_xlfn.XLOOKUP(C47,'Fichier Kuehne'!S:S,'Fichier Kuehne'!AH:AH,0)</f>
        <v>21</v>
      </c>
      <c r="U47">
        <f>_xlfn.XLOOKUP(C47,'Fichier Kuehne'!S:S,'Fichier Kuehne'!AN:AN,0)</f>
        <v>95</v>
      </c>
      <c r="V47" t="str">
        <f t="shared" si="2"/>
        <v>21France95</v>
      </c>
      <c r="W47" t="str">
        <f t="shared" si="3"/>
        <v>France</v>
      </c>
    </row>
    <row r="48" spans="2:23" x14ac:dyDescent="0.35">
      <c r="B48" t="s">
        <v>352</v>
      </c>
      <c r="C48" t="s">
        <v>500</v>
      </c>
      <c r="D48" t="s">
        <v>502</v>
      </c>
      <c r="E48" t="s">
        <v>503</v>
      </c>
      <c r="F48" t="s">
        <v>192</v>
      </c>
      <c r="G48">
        <v>0</v>
      </c>
      <c r="H48">
        <v>0</v>
      </c>
      <c r="I48">
        <v>0</v>
      </c>
      <c r="J48">
        <v>0</v>
      </c>
      <c r="K48">
        <v>35.54</v>
      </c>
      <c r="L48">
        <v>0</v>
      </c>
      <c r="M48">
        <v>0</v>
      </c>
      <c r="N48">
        <v>0</v>
      </c>
      <c r="O48" s="23">
        <v>35.54</v>
      </c>
      <c r="P48">
        <v>35.54</v>
      </c>
      <c r="Q48">
        <v>1</v>
      </c>
      <c r="R48">
        <v>1</v>
      </c>
      <c r="S48">
        <v>11</v>
      </c>
      <c r="T48">
        <f>_xlfn.XLOOKUP(C48,'Fichier Kuehne'!S:S,'Fichier Kuehne'!AH:AH,0)</f>
        <v>21</v>
      </c>
      <c r="U48">
        <f>_xlfn.XLOOKUP(C48,'Fichier Kuehne'!S:S,'Fichier Kuehne'!AN:AN,0)</f>
        <v>83</v>
      </c>
      <c r="V48" t="str">
        <f t="shared" si="2"/>
        <v>21France83</v>
      </c>
      <c r="W48" t="str">
        <f t="shared" si="3"/>
        <v>France</v>
      </c>
    </row>
    <row r="49" spans="2:23" x14ac:dyDescent="0.35">
      <c r="B49" t="s">
        <v>352</v>
      </c>
      <c r="C49" t="s">
        <v>422</v>
      </c>
      <c r="D49" t="s">
        <v>424</v>
      </c>
      <c r="E49" t="s">
        <v>425</v>
      </c>
      <c r="F49" t="s">
        <v>192</v>
      </c>
      <c r="G49">
        <v>0</v>
      </c>
      <c r="H49">
        <v>0</v>
      </c>
      <c r="I49">
        <v>0</v>
      </c>
      <c r="J49">
        <v>0</v>
      </c>
      <c r="K49">
        <v>27.38</v>
      </c>
      <c r="L49">
        <v>0</v>
      </c>
      <c r="M49">
        <v>0</v>
      </c>
      <c r="N49">
        <v>0</v>
      </c>
      <c r="O49" s="23">
        <v>27.38</v>
      </c>
      <c r="P49">
        <v>27.38</v>
      </c>
      <c r="Q49">
        <v>1</v>
      </c>
      <c r="R49">
        <v>1</v>
      </c>
      <c r="S49">
        <v>45</v>
      </c>
      <c r="T49">
        <f>_xlfn.XLOOKUP(C49,'Fichier Kuehne'!S:S,'Fichier Kuehne'!AH:AH,0)</f>
        <v>21</v>
      </c>
      <c r="U49">
        <f>_xlfn.XLOOKUP(C49,'Fichier Kuehne'!S:S,'Fichier Kuehne'!AN:AN,0)</f>
        <v>69</v>
      </c>
      <c r="V49" t="str">
        <f t="shared" si="2"/>
        <v>21France69</v>
      </c>
      <c r="W49" t="str">
        <f t="shared" si="3"/>
        <v>France</v>
      </c>
    </row>
    <row r="50" spans="2:23" x14ac:dyDescent="0.35">
      <c r="B50" t="s">
        <v>352</v>
      </c>
      <c r="C50" t="s">
        <v>472</v>
      </c>
      <c r="D50" t="s">
        <v>474</v>
      </c>
      <c r="E50" t="s">
        <v>296</v>
      </c>
      <c r="F50" t="s">
        <v>192</v>
      </c>
      <c r="G50">
        <v>0</v>
      </c>
      <c r="H50">
        <v>0</v>
      </c>
      <c r="I50">
        <v>0</v>
      </c>
      <c r="J50">
        <v>0</v>
      </c>
      <c r="K50">
        <v>144.78</v>
      </c>
      <c r="L50">
        <v>0</v>
      </c>
      <c r="M50">
        <v>0</v>
      </c>
      <c r="N50">
        <v>0</v>
      </c>
      <c r="O50" s="23">
        <v>144.78</v>
      </c>
      <c r="P50">
        <v>144.78</v>
      </c>
      <c r="Q50">
        <v>2</v>
      </c>
      <c r="R50">
        <v>2</v>
      </c>
      <c r="S50">
        <v>166</v>
      </c>
      <c r="T50">
        <f>_xlfn.XLOOKUP(C50,'Fichier Kuehne'!S:S,'Fichier Kuehne'!AH:AH,0)</f>
        <v>21</v>
      </c>
      <c r="U50">
        <f>_xlfn.XLOOKUP(C50,'Fichier Kuehne'!S:S,'Fichier Kuehne'!AN:AN,0)</f>
        <v>34</v>
      </c>
      <c r="V50" t="str">
        <f t="shared" si="2"/>
        <v>21France34</v>
      </c>
      <c r="W50" t="str">
        <f t="shared" si="3"/>
        <v>France</v>
      </c>
    </row>
    <row r="51" spans="2:23" x14ac:dyDescent="0.35">
      <c r="B51" t="s">
        <v>352</v>
      </c>
      <c r="C51" t="s">
        <v>480</v>
      </c>
      <c r="D51" t="s">
        <v>482</v>
      </c>
      <c r="E51" t="s">
        <v>483</v>
      </c>
      <c r="F51" t="s">
        <v>192</v>
      </c>
      <c r="G51">
        <v>0</v>
      </c>
      <c r="H51">
        <v>0</v>
      </c>
      <c r="I51">
        <v>0</v>
      </c>
      <c r="J51">
        <v>0</v>
      </c>
      <c r="K51">
        <v>28.33</v>
      </c>
      <c r="L51">
        <v>0</v>
      </c>
      <c r="M51">
        <v>0</v>
      </c>
      <c r="N51">
        <v>0</v>
      </c>
      <c r="O51" s="23">
        <v>28.33</v>
      </c>
      <c r="P51">
        <v>28.33</v>
      </c>
      <c r="Q51">
        <v>1</v>
      </c>
      <c r="R51">
        <v>1</v>
      </c>
      <c r="S51">
        <v>34</v>
      </c>
      <c r="T51">
        <f>_xlfn.XLOOKUP(C51,'Fichier Kuehne'!S:S,'Fichier Kuehne'!AH:AH,0)</f>
        <v>21</v>
      </c>
      <c r="U51">
        <f>_xlfn.XLOOKUP(C51,'Fichier Kuehne'!S:S,'Fichier Kuehne'!AN:AN,0)</f>
        <v>63</v>
      </c>
      <c r="V51" t="str">
        <f t="shared" si="2"/>
        <v>21France63</v>
      </c>
      <c r="W51" t="str">
        <f t="shared" si="3"/>
        <v>France</v>
      </c>
    </row>
    <row r="52" spans="2:23" x14ac:dyDescent="0.35">
      <c r="B52" t="s">
        <v>352</v>
      </c>
      <c r="C52" t="s">
        <v>513</v>
      </c>
      <c r="D52" t="s">
        <v>515</v>
      </c>
      <c r="E52" t="s">
        <v>516</v>
      </c>
      <c r="F52" t="s">
        <v>192</v>
      </c>
      <c r="G52">
        <v>0</v>
      </c>
      <c r="H52">
        <v>0</v>
      </c>
      <c r="I52">
        <v>0</v>
      </c>
      <c r="J52">
        <v>0</v>
      </c>
      <c r="K52">
        <v>44.96</v>
      </c>
      <c r="L52">
        <v>0</v>
      </c>
      <c r="M52">
        <v>0</v>
      </c>
      <c r="N52">
        <v>0</v>
      </c>
      <c r="O52" s="23">
        <v>44.96</v>
      </c>
      <c r="P52">
        <v>44.96</v>
      </c>
      <c r="Q52">
        <v>1</v>
      </c>
      <c r="R52">
        <v>1</v>
      </c>
      <c r="S52">
        <v>34</v>
      </c>
      <c r="T52">
        <f>_xlfn.XLOOKUP(C52,'Fichier Kuehne'!S:S,'Fichier Kuehne'!AH:AH,0)</f>
        <v>21</v>
      </c>
      <c r="U52">
        <f>_xlfn.XLOOKUP(C52,'Fichier Kuehne'!S:S,'Fichier Kuehne'!AN:AN,0)</f>
        <v>83</v>
      </c>
      <c r="V52" t="str">
        <f t="shared" si="2"/>
        <v>21France83</v>
      </c>
      <c r="W52" t="str">
        <f t="shared" si="3"/>
        <v>France</v>
      </c>
    </row>
    <row r="53" spans="2:23" x14ac:dyDescent="0.35">
      <c r="B53" t="s">
        <v>352</v>
      </c>
      <c r="C53" t="s">
        <v>532</v>
      </c>
      <c r="D53" t="s">
        <v>534</v>
      </c>
      <c r="E53" t="s">
        <v>535</v>
      </c>
      <c r="F53" t="s">
        <v>192</v>
      </c>
      <c r="G53">
        <v>0</v>
      </c>
      <c r="H53">
        <v>0</v>
      </c>
      <c r="I53">
        <v>0</v>
      </c>
      <c r="J53">
        <v>0</v>
      </c>
      <c r="K53">
        <v>33.46</v>
      </c>
      <c r="L53">
        <v>0</v>
      </c>
      <c r="M53">
        <v>0</v>
      </c>
      <c r="N53">
        <v>0</v>
      </c>
      <c r="O53" s="23">
        <v>33.46</v>
      </c>
      <c r="P53">
        <v>33.46</v>
      </c>
      <c r="Q53">
        <v>1</v>
      </c>
      <c r="R53">
        <v>1</v>
      </c>
      <c r="S53">
        <v>100</v>
      </c>
      <c r="T53">
        <f>_xlfn.XLOOKUP(C53,'Fichier Kuehne'!S:S,'Fichier Kuehne'!AH:AH,0)</f>
        <v>21</v>
      </c>
      <c r="U53">
        <f>_xlfn.XLOOKUP(C53,'Fichier Kuehne'!S:S,'Fichier Kuehne'!AN:AN,0)</f>
        <v>89</v>
      </c>
      <c r="V53" t="str">
        <f t="shared" si="2"/>
        <v>21France89</v>
      </c>
      <c r="W53" t="str">
        <f t="shared" si="3"/>
        <v>France</v>
      </c>
    </row>
    <row r="54" spans="2:23" x14ac:dyDescent="0.35">
      <c r="B54" t="s">
        <v>352</v>
      </c>
      <c r="C54" t="s">
        <v>495</v>
      </c>
      <c r="D54" t="s">
        <v>497</v>
      </c>
      <c r="E54" t="s">
        <v>498</v>
      </c>
      <c r="F54" t="s">
        <v>192</v>
      </c>
      <c r="G54">
        <v>0</v>
      </c>
      <c r="H54">
        <v>0</v>
      </c>
      <c r="I54">
        <v>0</v>
      </c>
      <c r="J54">
        <v>0</v>
      </c>
      <c r="K54">
        <v>58.300000000000004</v>
      </c>
      <c r="L54">
        <v>0</v>
      </c>
      <c r="M54">
        <v>0</v>
      </c>
      <c r="N54">
        <v>0</v>
      </c>
      <c r="O54" s="23">
        <v>58.300000000000004</v>
      </c>
      <c r="P54">
        <v>58.300000000000004</v>
      </c>
      <c r="Q54">
        <v>1</v>
      </c>
      <c r="R54">
        <v>1</v>
      </c>
      <c r="S54">
        <v>112</v>
      </c>
      <c r="T54">
        <f>_xlfn.XLOOKUP(C54,'Fichier Kuehne'!S:S,'Fichier Kuehne'!AH:AH,0)</f>
        <v>21</v>
      </c>
      <c r="U54">
        <f>_xlfn.XLOOKUP(C54,'Fichier Kuehne'!S:S,'Fichier Kuehne'!AN:AN,0)</f>
        <v>84</v>
      </c>
      <c r="V54" t="str">
        <f t="shared" si="2"/>
        <v>21France84</v>
      </c>
      <c r="W54" t="str">
        <f t="shared" si="3"/>
        <v>France</v>
      </c>
    </row>
    <row r="55" spans="2:23" x14ac:dyDescent="0.35">
      <c r="B55" t="s">
        <v>352</v>
      </c>
      <c r="C55" t="s">
        <v>444</v>
      </c>
      <c r="D55" t="s">
        <v>446</v>
      </c>
      <c r="E55" t="s">
        <v>447</v>
      </c>
      <c r="F55" t="s">
        <v>192</v>
      </c>
      <c r="G55">
        <v>0</v>
      </c>
      <c r="H55">
        <v>0</v>
      </c>
      <c r="I55">
        <v>0</v>
      </c>
      <c r="J55">
        <v>0</v>
      </c>
      <c r="K55">
        <v>140.22999999999999</v>
      </c>
      <c r="L55">
        <v>0</v>
      </c>
      <c r="M55">
        <v>0</v>
      </c>
      <c r="N55">
        <v>0</v>
      </c>
      <c r="O55" s="23">
        <v>140.22999999999999</v>
      </c>
      <c r="P55">
        <v>140.22999999999999</v>
      </c>
      <c r="Q55">
        <v>2</v>
      </c>
      <c r="R55">
        <v>2</v>
      </c>
      <c r="S55">
        <v>207</v>
      </c>
      <c r="T55">
        <f>_xlfn.XLOOKUP(C55,'Fichier Kuehne'!S:S,'Fichier Kuehne'!AH:AH,0)</f>
        <v>21</v>
      </c>
      <c r="U55">
        <f>_xlfn.XLOOKUP(C55,'Fichier Kuehne'!S:S,'Fichier Kuehne'!AN:AN,0)</f>
        <v>30</v>
      </c>
      <c r="V55" t="str">
        <f t="shared" si="2"/>
        <v>21France30</v>
      </c>
      <c r="W55" t="str">
        <f t="shared" si="3"/>
        <v>France</v>
      </c>
    </row>
    <row r="56" spans="2:23" x14ac:dyDescent="0.35">
      <c r="B56" t="s">
        <v>352</v>
      </c>
      <c r="C56" t="s">
        <v>542</v>
      </c>
      <c r="D56" t="s">
        <v>544</v>
      </c>
      <c r="E56" t="s">
        <v>545</v>
      </c>
      <c r="F56" t="s">
        <v>192</v>
      </c>
      <c r="G56">
        <v>0</v>
      </c>
      <c r="H56">
        <v>0</v>
      </c>
      <c r="I56">
        <v>0</v>
      </c>
      <c r="J56">
        <v>0</v>
      </c>
      <c r="K56">
        <v>28.52</v>
      </c>
      <c r="L56">
        <v>0</v>
      </c>
      <c r="M56">
        <v>0</v>
      </c>
      <c r="N56">
        <v>0</v>
      </c>
      <c r="O56" s="23">
        <v>28.52</v>
      </c>
      <c r="P56">
        <v>28.52</v>
      </c>
      <c r="Q56">
        <v>1</v>
      </c>
      <c r="R56">
        <v>1</v>
      </c>
      <c r="S56">
        <v>34</v>
      </c>
      <c r="T56">
        <f>_xlfn.XLOOKUP(C56,'Fichier Kuehne'!S:S,'Fichier Kuehne'!AH:AH,0)</f>
        <v>21</v>
      </c>
      <c r="U56">
        <f>_xlfn.XLOOKUP(C56,'Fichier Kuehne'!S:S,'Fichier Kuehne'!AN:AN,0)</f>
        <v>18</v>
      </c>
      <c r="V56" t="str">
        <f t="shared" si="2"/>
        <v>21France18</v>
      </c>
      <c r="W56" t="str">
        <f t="shared" si="3"/>
        <v>France</v>
      </c>
    </row>
    <row r="57" spans="2:23" x14ac:dyDescent="0.35">
      <c r="B57" t="s">
        <v>352</v>
      </c>
      <c r="C57" t="s">
        <v>485</v>
      </c>
      <c r="D57" t="s">
        <v>487</v>
      </c>
      <c r="E57" t="s">
        <v>488</v>
      </c>
      <c r="F57" t="s">
        <v>192</v>
      </c>
      <c r="G57">
        <v>0</v>
      </c>
      <c r="H57">
        <v>0</v>
      </c>
      <c r="I57">
        <v>0</v>
      </c>
      <c r="J57">
        <v>0</v>
      </c>
      <c r="K57">
        <v>47.36</v>
      </c>
      <c r="L57">
        <v>0</v>
      </c>
      <c r="M57">
        <v>0</v>
      </c>
      <c r="N57">
        <v>0</v>
      </c>
      <c r="O57" s="23">
        <v>47.36</v>
      </c>
      <c r="P57">
        <v>47.36</v>
      </c>
      <c r="Q57">
        <v>1</v>
      </c>
      <c r="R57">
        <v>1</v>
      </c>
      <c r="S57">
        <v>156</v>
      </c>
      <c r="T57">
        <f>_xlfn.XLOOKUP(C57,'Fichier Kuehne'!S:S,'Fichier Kuehne'!AH:AH,0)</f>
        <v>21</v>
      </c>
      <c r="U57">
        <f>_xlfn.XLOOKUP(C57,'Fichier Kuehne'!S:S,'Fichier Kuehne'!AN:AN,0)</f>
        <v>68</v>
      </c>
      <c r="V57" t="str">
        <f t="shared" si="2"/>
        <v>21France68</v>
      </c>
      <c r="W57" t="str">
        <f t="shared" si="3"/>
        <v>France</v>
      </c>
    </row>
    <row r="58" spans="2:23" x14ac:dyDescent="0.35">
      <c r="B58" t="s">
        <v>352</v>
      </c>
      <c r="C58" t="s">
        <v>549</v>
      </c>
      <c r="D58" t="s">
        <v>551</v>
      </c>
      <c r="E58" t="s">
        <v>552</v>
      </c>
      <c r="F58" t="s">
        <v>192</v>
      </c>
      <c r="G58">
        <v>0</v>
      </c>
      <c r="H58">
        <v>0</v>
      </c>
      <c r="I58">
        <v>0</v>
      </c>
      <c r="J58">
        <v>0</v>
      </c>
      <c r="K58">
        <v>44.22</v>
      </c>
      <c r="L58">
        <v>0</v>
      </c>
      <c r="M58">
        <v>0</v>
      </c>
      <c r="N58">
        <v>0</v>
      </c>
      <c r="O58" s="23">
        <v>44.22</v>
      </c>
      <c r="P58">
        <v>44.22</v>
      </c>
      <c r="Q58">
        <v>1</v>
      </c>
      <c r="R58">
        <v>1</v>
      </c>
      <c r="S58">
        <v>90</v>
      </c>
      <c r="T58">
        <f>_xlfn.XLOOKUP(C58,'Fichier Kuehne'!S:S,'Fichier Kuehne'!AH:AH,0)</f>
        <v>21</v>
      </c>
      <c r="U58">
        <f>_xlfn.XLOOKUP(C58,'Fichier Kuehne'!S:S,'Fichier Kuehne'!AN:AN,0)</f>
        <v>76</v>
      </c>
      <c r="V58" t="str">
        <f t="shared" si="2"/>
        <v>21France76</v>
      </c>
      <c r="W58" t="str">
        <f t="shared" si="3"/>
        <v>France</v>
      </c>
    </row>
    <row r="59" spans="2:23" x14ac:dyDescent="0.35">
      <c r="B59" t="s">
        <v>352</v>
      </c>
      <c r="C59" t="s">
        <v>505</v>
      </c>
      <c r="D59" t="s">
        <v>507</v>
      </c>
      <c r="E59" t="s">
        <v>317</v>
      </c>
      <c r="F59" t="s">
        <v>192</v>
      </c>
      <c r="G59">
        <v>0</v>
      </c>
      <c r="H59">
        <v>0</v>
      </c>
      <c r="I59">
        <v>0</v>
      </c>
      <c r="J59">
        <v>0</v>
      </c>
      <c r="K59">
        <v>59.69</v>
      </c>
      <c r="L59">
        <v>0</v>
      </c>
      <c r="M59">
        <v>0</v>
      </c>
      <c r="N59">
        <v>0</v>
      </c>
      <c r="O59" s="23">
        <v>59.69</v>
      </c>
      <c r="P59">
        <v>59.69</v>
      </c>
      <c r="Q59">
        <v>1</v>
      </c>
      <c r="R59">
        <v>1</v>
      </c>
      <c r="S59">
        <v>274</v>
      </c>
      <c r="T59">
        <f>_xlfn.XLOOKUP(C59,'Fichier Kuehne'!S:S,'Fichier Kuehne'!AH:AH,0)</f>
        <v>21</v>
      </c>
      <c r="U59">
        <f>_xlfn.XLOOKUP(C59,'Fichier Kuehne'!S:S,'Fichier Kuehne'!AN:AN,0)</f>
        <v>77</v>
      </c>
      <c r="V59" t="str">
        <f t="shared" si="2"/>
        <v>21France77</v>
      </c>
      <c r="W59" t="str">
        <f t="shared" si="3"/>
        <v>France</v>
      </c>
    </row>
    <row r="60" spans="2:23" x14ac:dyDescent="0.35">
      <c r="B60" t="s">
        <v>352</v>
      </c>
      <c r="C60" t="s">
        <v>508</v>
      </c>
      <c r="D60" t="s">
        <v>510</v>
      </c>
      <c r="E60" t="s">
        <v>511</v>
      </c>
      <c r="F60" t="s">
        <v>192</v>
      </c>
      <c r="G60">
        <v>0</v>
      </c>
      <c r="H60">
        <v>0</v>
      </c>
      <c r="I60">
        <v>0</v>
      </c>
      <c r="J60">
        <v>0</v>
      </c>
      <c r="K60">
        <v>140.22999999999999</v>
      </c>
      <c r="L60">
        <v>0</v>
      </c>
      <c r="M60">
        <v>0</v>
      </c>
      <c r="N60">
        <v>0</v>
      </c>
      <c r="O60" s="23">
        <v>140.22999999999999</v>
      </c>
      <c r="P60">
        <v>140.22999999999999</v>
      </c>
      <c r="Q60">
        <v>2</v>
      </c>
      <c r="R60">
        <v>2</v>
      </c>
      <c r="S60">
        <v>244</v>
      </c>
      <c r="T60">
        <f>_xlfn.XLOOKUP(C60,'Fichier Kuehne'!S:S,'Fichier Kuehne'!AH:AH,0)</f>
        <v>21</v>
      </c>
      <c r="U60">
        <f>_xlfn.XLOOKUP(C60,'Fichier Kuehne'!S:S,'Fichier Kuehne'!AN:AN,0)</f>
        <v>30</v>
      </c>
      <c r="V60" t="str">
        <f t="shared" si="2"/>
        <v>21France30</v>
      </c>
      <c r="W60" t="str">
        <f t="shared" si="3"/>
        <v>France</v>
      </c>
    </row>
    <row r="61" spans="2:23" x14ac:dyDescent="0.35">
      <c r="B61" t="s">
        <v>352</v>
      </c>
      <c r="C61" t="s">
        <v>427</v>
      </c>
      <c r="D61" t="s">
        <v>429</v>
      </c>
      <c r="E61" t="s">
        <v>430</v>
      </c>
      <c r="F61" t="s">
        <v>192</v>
      </c>
      <c r="G61">
        <v>0</v>
      </c>
      <c r="H61">
        <v>0</v>
      </c>
      <c r="I61">
        <v>0</v>
      </c>
      <c r="J61">
        <v>0</v>
      </c>
      <c r="K61">
        <v>81.950000000000017</v>
      </c>
      <c r="L61">
        <v>0</v>
      </c>
      <c r="M61">
        <v>0</v>
      </c>
      <c r="N61">
        <v>0</v>
      </c>
      <c r="O61" s="23">
        <v>81.950000000000017</v>
      </c>
      <c r="P61">
        <v>81.950000000000017</v>
      </c>
      <c r="Q61">
        <v>1</v>
      </c>
      <c r="R61">
        <v>1</v>
      </c>
      <c r="S61">
        <v>153</v>
      </c>
      <c r="T61">
        <f>_xlfn.XLOOKUP(C61,'Fichier Kuehne'!S:S,'Fichier Kuehne'!AH:AH,0)</f>
        <v>21</v>
      </c>
      <c r="U61">
        <f>_xlfn.XLOOKUP(C61,'Fichier Kuehne'!S:S,'Fichier Kuehne'!AN:AN,0)</f>
        <v>33</v>
      </c>
      <c r="V61" t="str">
        <f t="shared" si="2"/>
        <v>21France33</v>
      </c>
      <c r="W61" t="str">
        <f t="shared" si="3"/>
        <v>France</v>
      </c>
    </row>
    <row r="62" spans="2:23" x14ac:dyDescent="0.35">
      <c r="B62" t="s">
        <v>352</v>
      </c>
      <c r="C62" t="s">
        <v>555</v>
      </c>
      <c r="D62" t="s">
        <v>557</v>
      </c>
      <c r="E62" t="s">
        <v>558</v>
      </c>
      <c r="F62" t="s">
        <v>192</v>
      </c>
      <c r="G62">
        <v>0</v>
      </c>
      <c r="H62">
        <v>0</v>
      </c>
      <c r="I62">
        <v>0</v>
      </c>
      <c r="J62">
        <v>0</v>
      </c>
      <c r="K62">
        <v>186.54</v>
      </c>
      <c r="L62">
        <v>0</v>
      </c>
      <c r="M62">
        <v>0</v>
      </c>
      <c r="N62">
        <v>0</v>
      </c>
      <c r="O62" s="23">
        <v>186.54</v>
      </c>
      <c r="P62">
        <v>186.54</v>
      </c>
      <c r="Q62">
        <v>3</v>
      </c>
      <c r="R62">
        <v>3</v>
      </c>
      <c r="S62">
        <v>502</v>
      </c>
      <c r="T62">
        <f>_xlfn.XLOOKUP(C62,'Fichier Kuehne'!S:S,'Fichier Kuehne'!AH:AH,0)</f>
        <v>21</v>
      </c>
      <c r="U62">
        <f>_xlfn.XLOOKUP(C62,'Fichier Kuehne'!S:S,'Fichier Kuehne'!AN:AN,0)</f>
        <v>84</v>
      </c>
      <c r="V62" t="str">
        <f t="shared" si="2"/>
        <v>21France84</v>
      </c>
      <c r="W62" t="str">
        <f t="shared" si="3"/>
        <v>France</v>
      </c>
    </row>
    <row r="63" spans="2:23" x14ac:dyDescent="0.35">
      <c r="B63" t="s">
        <v>352</v>
      </c>
      <c r="C63" t="s">
        <v>560</v>
      </c>
      <c r="D63" t="s">
        <v>562</v>
      </c>
      <c r="E63" t="s">
        <v>563</v>
      </c>
      <c r="F63" t="s">
        <v>192</v>
      </c>
      <c r="G63">
        <v>0</v>
      </c>
      <c r="H63">
        <v>0</v>
      </c>
      <c r="I63">
        <v>0</v>
      </c>
      <c r="J63">
        <v>0</v>
      </c>
      <c r="K63">
        <v>30.9</v>
      </c>
      <c r="L63">
        <v>0</v>
      </c>
      <c r="M63">
        <v>0</v>
      </c>
      <c r="N63">
        <v>0</v>
      </c>
      <c r="O63" s="23">
        <v>30.9</v>
      </c>
      <c r="P63">
        <v>30.9</v>
      </c>
      <c r="Q63">
        <v>1</v>
      </c>
      <c r="R63">
        <v>1</v>
      </c>
      <c r="S63">
        <v>76</v>
      </c>
      <c r="T63">
        <f>_xlfn.XLOOKUP(C63,'Fichier Kuehne'!S:S,'Fichier Kuehne'!AH:AH,0)</f>
        <v>21</v>
      </c>
      <c r="U63">
        <f>_xlfn.XLOOKUP(C63,'Fichier Kuehne'!S:S,'Fichier Kuehne'!AN:AN,0)</f>
        <v>69</v>
      </c>
      <c r="V63" t="str">
        <f t="shared" si="2"/>
        <v>21France69</v>
      </c>
      <c r="W63" t="str">
        <f t="shared" si="3"/>
        <v>France</v>
      </c>
    </row>
    <row r="64" spans="2:23" x14ac:dyDescent="0.35">
      <c r="B64" t="s">
        <v>352</v>
      </c>
      <c r="C64" t="s">
        <v>565</v>
      </c>
      <c r="D64" t="s">
        <v>567</v>
      </c>
      <c r="E64" t="s">
        <v>568</v>
      </c>
      <c r="F64" t="s">
        <v>192</v>
      </c>
      <c r="G64">
        <v>0</v>
      </c>
      <c r="H64">
        <v>0</v>
      </c>
      <c r="I64">
        <v>0</v>
      </c>
      <c r="J64">
        <v>0</v>
      </c>
      <c r="K64">
        <v>49.79</v>
      </c>
      <c r="L64">
        <v>0</v>
      </c>
      <c r="M64">
        <v>0</v>
      </c>
      <c r="N64">
        <v>0</v>
      </c>
      <c r="O64" s="23">
        <v>49.79</v>
      </c>
      <c r="P64">
        <v>49.79</v>
      </c>
      <c r="Q64">
        <v>1</v>
      </c>
      <c r="R64">
        <v>1</v>
      </c>
      <c r="S64">
        <v>85</v>
      </c>
      <c r="T64">
        <f>_xlfn.XLOOKUP(C64,'Fichier Kuehne'!S:S,'Fichier Kuehne'!AH:AH,0)</f>
        <v>21</v>
      </c>
      <c r="U64">
        <f>_xlfn.XLOOKUP(C64,'Fichier Kuehne'!S:S,'Fichier Kuehne'!AN:AN,0)</f>
        <v>84</v>
      </c>
      <c r="V64" t="str">
        <f t="shared" si="2"/>
        <v>21France84</v>
      </c>
      <c r="W64" t="str">
        <f t="shared" si="3"/>
        <v>France</v>
      </c>
    </row>
    <row r="65" spans="2:23" x14ac:dyDescent="0.35">
      <c r="B65" t="s">
        <v>352</v>
      </c>
      <c r="C65" t="s">
        <v>614</v>
      </c>
      <c r="D65" t="s">
        <v>616</v>
      </c>
      <c r="E65" t="s">
        <v>617</v>
      </c>
      <c r="F65" t="s">
        <v>192</v>
      </c>
      <c r="G65">
        <v>0</v>
      </c>
      <c r="H65">
        <v>0</v>
      </c>
      <c r="I65">
        <v>0</v>
      </c>
      <c r="J65">
        <v>0</v>
      </c>
      <c r="K65">
        <v>223.92999999999998</v>
      </c>
      <c r="L65">
        <v>0</v>
      </c>
      <c r="M65">
        <v>0</v>
      </c>
      <c r="N65">
        <v>0</v>
      </c>
      <c r="O65" s="23">
        <v>223.92999999999998</v>
      </c>
      <c r="P65">
        <v>223.92999999999998</v>
      </c>
      <c r="Q65">
        <v>3</v>
      </c>
      <c r="R65">
        <v>3</v>
      </c>
      <c r="S65">
        <v>390</v>
      </c>
      <c r="T65">
        <f>_xlfn.XLOOKUP(C65,'Fichier Kuehne'!S:S,'Fichier Kuehne'!AH:AH,0)</f>
        <v>21</v>
      </c>
      <c r="U65">
        <f>_xlfn.XLOOKUP(C65,'Fichier Kuehne'!S:S,'Fichier Kuehne'!AN:AN,0)</f>
        <v>33</v>
      </c>
      <c r="V65" t="str">
        <f t="shared" si="2"/>
        <v>21France33</v>
      </c>
      <c r="W65" t="str">
        <f t="shared" si="3"/>
        <v>France</v>
      </c>
    </row>
    <row r="66" spans="2:23" x14ac:dyDescent="0.35">
      <c r="B66" t="s">
        <v>352</v>
      </c>
      <c r="C66" t="s">
        <v>604</v>
      </c>
      <c r="D66" t="s">
        <v>606</v>
      </c>
      <c r="E66" t="s">
        <v>607</v>
      </c>
      <c r="F66" t="s">
        <v>192</v>
      </c>
      <c r="G66">
        <v>0</v>
      </c>
      <c r="H66">
        <v>0</v>
      </c>
      <c r="I66">
        <v>0</v>
      </c>
      <c r="J66">
        <v>0</v>
      </c>
      <c r="K66">
        <v>48.39</v>
      </c>
      <c r="L66">
        <v>0</v>
      </c>
      <c r="M66">
        <v>0</v>
      </c>
      <c r="N66">
        <v>0</v>
      </c>
      <c r="O66" s="23">
        <v>48.39</v>
      </c>
      <c r="P66">
        <v>48.39</v>
      </c>
      <c r="Q66">
        <v>1</v>
      </c>
      <c r="R66">
        <v>1</v>
      </c>
      <c r="S66">
        <v>51</v>
      </c>
      <c r="T66">
        <f>_xlfn.XLOOKUP(C66,'Fichier Kuehne'!S:S,'Fichier Kuehne'!AH:AH,0)</f>
        <v>21</v>
      </c>
      <c r="U66">
        <f>_xlfn.XLOOKUP(C66,'Fichier Kuehne'!S:S,'Fichier Kuehne'!AN:AN,0)</f>
        <v>83</v>
      </c>
      <c r="V66" t="str">
        <f t="shared" si="2"/>
        <v>21France83</v>
      </c>
      <c r="W66" t="str">
        <f t="shared" si="3"/>
        <v>France</v>
      </c>
    </row>
    <row r="67" spans="2:23" x14ac:dyDescent="0.35">
      <c r="B67" t="s">
        <v>352</v>
      </c>
      <c r="C67" t="s">
        <v>594</v>
      </c>
      <c r="D67" t="s">
        <v>596</v>
      </c>
      <c r="E67" t="s">
        <v>597</v>
      </c>
      <c r="F67" t="s">
        <v>192</v>
      </c>
      <c r="G67">
        <v>0</v>
      </c>
      <c r="H67">
        <v>0</v>
      </c>
      <c r="I67">
        <v>0</v>
      </c>
      <c r="J67">
        <v>0</v>
      </c>
      <c r="K67">
        <v>60.7</v>
      </c>
      <c r="L67">
        <v>0</v>
      </c>
      <c r="M67">
        <v>0</v>
      </c>
      <c r="N67">
        <v>0</v>
      </c>
      <c r="O67" s="23">
        <v>60.7</v>
      </c>
      <c r="P67">
        <v>60.7</v>
      </c>
      <c r="Q67">
        <v>1</v>
      </c>
      <c r="R67">
        <v>1</v>
      </c>
      <c r="S67">
        <v>109</v>
      </c>
      <c r="T67">
        <f>_xlfn.XLOOKUP(C67,'Fichier Kuehne'!S:S,'Fichier Kuehne'!AH:AH,0)</f>
        <v>21</v>
      </c>
      <c r="U67">
        <f>_xlfn.XLOOKUP(C67,'Fichier Kuehne'!S:S,'Fichier Kuehne'!AN:AN,0)</f>
        <v>83</v>
      </c>
      <c r="V67" t="str">
        <f t="shared" si="2"/>
        <v>21France83</v>
      </c>
      <c r="W67" t="str">
        <f t="shared" si="3"/>
        <v>France</v>
      </c>
    </row>
    <row r="68" spans="2:23" x14ac:dyDescent="0.35">
      <c r="B68" t="s">
        <v>352</v>
      </c>
      <c r="C68" t="s">
        <v>609</v>
      </c>
      <c r="D68" t="s">
        <v>611</v>
      </c>
      <c r="E68" t="s">
        <v>612</v>
      </c>
      <c r="F68" t="s">
        <v>192</v>
      </c>
      <c r="G68">
        <v>0</v>
      </c>
      <c r="H68">
        <v>0</v>
      </c>
      <c r="I68">
        <v>0</v>
      </c>
      <c r="J68">
        <v>0</v>
      </c>
      <c r="K68">
        <v>33.85</v>
      </c>
      <c r="L68">
        <v>0</v>
      </c>
      <c r="M68">
        <v>0</v>
      </c>
      <c r="N68">
        <v>0</v>
      </c>
      <c r="O68" s="23">
        <v>33.85</v>
      </c>
      <c r="P68">
        <v>33.85</v>
      </c>
      <c r="Q68">
        <v>1</v>
      </c>
      <c r="R68">
        <v>1</v>
      </c>
      <c r="S68">
        <v>14</v>
      </c>
      <c r="T68">
        <f>_xlfn.XLOOKUP(C68,'Fichier Kuehne'!S:S,'Fichier Kuehne'!AH:AH,0)</f>
        <v>21</v>
      </c>
      <c r="U68">
        <f>_xlfn.XLOOKUP(C68,'Fichier Kuehne'!S:S,'Fichier Kuehne'!AN:AN,0)</f>
        <v>34</v>
      </c>
      <c r="V68" t="str">
        <f t="shared" si="2"/>
        <v>21France34</v>
      </c>
      <c r="W68" t="str">
        <f t="shared" si="3"/>
        <v>France</v>
      </c>
    </row>
    <row r="69" spans="2:23" x14ac:dyDescent="0.35">
      <c r="B69" t="s">
        <v>352</v>
      </c>
      <c r="C69" t="s">
        <v>585</v>
      </c>
      <c r="D69" t="s">
        <v>587</v>
      </c>
      <c r="E69" t="s">
        <v>588</v>
      </c>
      <c r="F69" t="s">
        <v>192</v>
      </c>
      <c r="G69">
        <v>0</v>
      </c>
      <c r="H69">
        <v>0</v>
      </c>
      <c r="I69">
        <v>0</v>
      </c>
      <c r="J69">
        <v>0</v>
      </c>
      <c r="K69">
        <v>57.19</v>
      </c>
      <c r="L69">
        <v>0</v>
      </c>
      <c r="M69">
        <v>0</v>
      </c>
      <c r="N69">
        <v>0</v>
      </c>
      <c r="O69" s="23">
        <v>57.19</v>
      </c>
      <c r="P69">
        <v>57.19</v>
      </c>
      <c r="Q69">
        <v>1</v>
      </c>
      <c r="R69">
        <v>1</v>
      </c>
      <c r="S69">
        <v>71</v>
      </c>
      <c r="T69">
        <f>_xlfn.XLOOKUP(C69,'Fichier Kuehne'!S:S,'Fichier Kuehne'!AH:AH,0)</f>
        <v>21</v>
      </c>
      <c r="U69">
        <f>_xlfn.XLOOKUP(C69,'Fichier Kuehne'!S:S,'Fichier Kuehne'!AN:AN,0)</f>
        <v>66</v>
      </c>
      <c r="V69" t="str">
        <f t="shared" si="2"/>
        <v>21France66</v>
      </c>
      <c r="W69" t="str">
        <f t="shared" si="3"/>
        <v>France</v>
      </c>
    </row>
    <row r="70" spans="2:23" x14ac:dyDescent="0.35">
      <c r="B70" t="s">
        <v>352</v>
      </c>
      <c r="C70" t="s">
        <v>590</v>
      </c>
      <c r="D70" t="s">
        <v>592</v>
      </c>
      <c r="E70" t="s">
        <v>593</v>
      </c>
      <c r="F70" t="s">
        <v>192</v>
      </c>
      <c r="G70">
        <v>0</v>
      </c>
      <c r="H70">
        <v>7</v>
      </c>
      <c r="I70">
        <v>0</v>
      </c>
      <c r="J70">
        <v>0</v>
      </c>
      <c r="K70">
        <v>43.589999999999996</v>
      </c>
      <c r="L70">
        <v>0</v>
      </c>
      <c r="M70">
        <v>0</v>
      </c>
      <c r="N70">
        <v>0</v>
      </c>
      <c r="O70" s="23">
        <v>50.589999999999996</v>
      </c>
      <c r="P70">
        <v>50.589999999999996</v>
      </c>
      <c r="Q70">
        <v>1</v>
      </c>
      <c r="R70">
        <v>1</v>
      </c>
      <c r="S70">
        <v>45</v>
      </c>
      <c r="T70">
        <f>_xlfn.XLOOKUP(C70,'Fichier Kuehne'!S:S,'Fichier Kuehne'!AH:AH,0)</f>
        <v>21</v>
      </c>
      <c r="U70">
        <f>_xlfn.XLOOKUP(C70,'Fichier Kuehne'!S:S,'Fichier Kuehne'!AN:AN,0)</f>
        <v>13</v>
      </c>
      <c r="V70" t="str">
        <f t="shared" si="2"/>
        <v>21France13</v>
      </c>
      <c r="W70" t="str">
        <f t="shared" si="3"/>
        <v>France</v>
      </c>
    </row>
    <row r="71" spans="2:23" x14ac:dyDescent="0.35">
      <c r="B71" t="s">
        <v>352</v>
      </c>
      <c r="C71" t="s">
        <v>599</v>
      </c>
      <c r="D71" t="s">
        <v>601</v>
      </c>
      <c r="E71" t="s">
        <v>602</v>
      </c>
      <c r="F71" t="s">
        <v>192</v>
      </c>
      <c r="G71">
        <v>0</v>
      </c>
      <c r="H71">
        <v>0</v>
      </c>
      <c r="I71">
        <v>0</v>
      </c>
      <c r="J71">
        <v>0</v>
      </c>
      <c r="K71">
        <v>45.94</v>
      </c>
      <c r="L71">
        <v>0</v>
      </c>
      <c r="M71">
        <v>0</v>
      </c>
      <c r="N71">
        <v>0</v>
      </c>
      <c r="O71" s="23">
        <v>45.94</v>
      </c>
      <c r="P71">
        <v>45.94</v>
      </c>
      <c r="Q71">
        <v>1</v>
      </c>
      <c r="R71">
        <v>1</v>
      </c>
      <c r="S71">
        <v>34</v>
      </c>
      <c r="T71">
        <f>_xlfn.XLOOKUP(C71,'Fichier Kuehne'!S:S,'Fichier Kuehne'!AH:AH,0)</f>
        <v>21</v>
      </c>
      <c r="U71">
        <f>_xlfn.XLOOKUP(C71,'Fichier Kuehne'!S:S,'Fichier Kuehne'!AN:AN,0)</f>
        <v>11</v>
      </c>
      <c r="V71" t="str">
        <f t="shared" si="2"/>
        <v>21France11</v>
      </c>
      <c r="W71" t="str">
        <f t="shared" si="3"/>
        <v>France</v>
      </c>
    </row>
    <row r="72" spans="2:23" x14ac:dyDescent="0.35">
      <c r="B72" t="s">
        <v>352</v>
      </c>
      <c r="C72" t="s">
        <v>641</v>
      </c>
      <c r="D72" t="s">
        <v>643</v>
      </c>
      <c r="E72" t="s">
        <v>644</v>
      </c>
      <c r="F72" t="s">
        <v>192</v>
      </c>
      <c r="G72">
        <v>0</v>
      </c>
      <c r="H72">
        <v>0</v>
      </c>
      <c r="I72">
        <v>0</v>
      </c>
      <c r="J72">
        <v>0</v>
      </c>
      <c r="K72">
        <v>80.900000000000006</v>
      </c>
      <c r="L72">
        <v>0</v>
      </c>
      <c r="M72">
        <v>0</v>
      </c>
      <c r="N72">
        <v>0</v>
      </c>
      <c r="O72" s="23">
        <v>80.900000000000006</v>
      </c>
      <c r="P72">
        <v>80.900000000000006</v>
      </c>
      <c r="Q72">
        <v>1</v>
      </c>
      <c r="R72">
        <v>1</v>
      </c>
      <c r="S72">
        <v>138</v>
      </c>
      <c r="T72">
        <f>_xlfn.XLOOKUP(C72,'Fichier Kuehne'!S:S,'Fichier Kuehne'!AH:AH,0)</f>
        <v>21</v>
      </c>
      <c r="U72">
        <f>_xlfn.XLOOKUP(C72,'Fichier Kuehne'!S:S,'Fichier Kuehne'!AN:AN,0)</f>
        <v>33</v>
      </c>
      <c r="V72" t="str">
        <f t="shared" si="2"/>
        <v>21France33</v>
      </c>
      <c r="W72" t="str">
        <f t="shared" si="3"/>
        <v>France</v>
      </c>
    </row>
    <row r="73" spans="2:23" x14ac:dyDescent="0.35">
      <c r="B73" t="s">
        <v>352</v>
      </c>
      <c r="C73" t="s">
        <v>682</v>
      </c>
      <c r="D73" t="s">
        <v>684</v>
      </c>
      <c r="E73" t="s">
        <v>685</v>
      </c>
      <c r="F73" t="s">
        <v>192</v>
      </c>
      <c r="G73">
        <v>0</v>
      </c>
      <c r="H73">
        <v>0</v>
      </c>
      <c r="I73">
        <v>0</v>
      </c>
      <c r="J73">
        <v>0</v>
      </c>
      <c r="K73">
        <v>30.97</v>
      </c>
      <c r="L73">
        <v>0</v>
      </c>
      <c r="M73">
        <v>0</v>
      </c>
      <c r="N73">
        <v>0</v>
      </c>
      <c r="O73" s="23">
        <v>30.97</v>
      </c>
      <c r="P73">
        <v>30.97</v>
      </c>
      <c r="Q73">
        <v>1</v>
      </c>
      <c r="R73">
        <v>1</v>
      </c>
      <c r="S73">
        <v>114</v>
      </c>
      <c r="T73">
        <f>_xlfn.XLOOKUP(C73,'Fichier Kuehne'!S:S,'Fichier Kuehne'!AH:AH,0)</f>
        <v>21</v>
      </c>
      <c r="U73">
        <f>_xlfn.XLOOKUP(C73,'Fichier Kuehne'!S:S,'Fichier Kuehne'!AN:AN,0)</f>
        <v>21</v>
      </c>
      <c r="V73" t="str">
        <f t="shared" si="2"/>
        <v>21France21</v>
      </c>
      <c r="W73" t="str">
        <f t="shared" si="3"/>
        <v>France</v>
      </c>
    </row>
    <row r="74" spans="2:23" x14ac:dyDescent="0.35">
      <c r="B74" t="s">
        <v>352</v>
      </c>
      <c r="C74" t="s">
        <v>651</v>
      </c>
      <c r="D74" t="s">
        <v>653</v>
      </c>
      <c r="E74" t="s">
        <v>654</v>
      </c>
      <c r="F74" t="s">
        <v>192</v>
      </c>
      <c r="G74">
        <v>0</v>
      </c>
      <c r="H74">
        <v>0</v>
      </c>
      <c r="I74">
        <v>0</v>
      </c>
      <c r="J74">
        <v>0</v>
      </c>
      <c r="K74">
        <v>73.460000000000008</v>
      </c>
      <c r="L74">
        <v>0</v>
      </c>
      <c r="M74">
        <v>0</v>
      </c>
      <c r="N74">
        <v>0</v>
      </c>
      <c r="O74" s="23">
        <v>73.460000000000008</v>
      </c>
      <c r="P74">
        <v>73.460000000000008</v>
      </c>
      <c r="Q74">
        <v>1</v>
      </c>
      <c r="R74">
        <v>1</v>
      </c>
      <c r="S74">
        <v>161</v>
      </c>
      <c r="T74">
        <f>_xlfn.XLOOKUP(C74,'Fichier Kuehne'!S:S,'Fichier Kuehne'!AH:AH,0)</f>
        <v>21</v>
      </c>
      <c r="U74">
        <f>_xlfn.XLOOKUP(C74,'Fichier Kuehne'!S:S,'Fichier Kuehne'!AN:AN,0)</f>
        <v>34</v>
      </c>
      <c r="V74" t="str">
        <f t="shared" si="2"/>
        <v>21France34</v>
      </c>
      <c r="W74" t="str">
        <f t="shared" si="3"/>
        <v>France</v>
      </c>
    </row>
    <row r="75" spans="2:23" x14ac:dyDescent="0.35">
      <c r="B75" t="s">
        <v>352</v>
      </c>
      <c r="C75" t="s">
        <v>734</v>
      </c>
      <c r="D75" t="s">
        <v>736</v>
      </c>
      <c r="E75" t="s">
        <v>737</v>
      </c>
      <c r="F75" t="s">
        <v>192</v>
      </c>
      <c r="G75">
        <v>0</v>
      </c>
      <c r="H75">
        <v>0</v>
      </c>
      <c r="I75">
        <v>0</v>
      </c>
      <c r="J75">
        <v>0</v>
      </c>
      <c r="K75">
        <v>29.9</v>
      </c>
      <c r="L75">
        <v>0</v>
      </c>
      <c r="M75">
        <v>0</v>
      </c>
      <c r="N75">
        <v>0</v>
      </c>
      <c r="O75" s="23">
        <v>29.9</v>
      </c>
      <c r="P75">
        <v>29.9</v>
      </c>
      <c r="Q75">
        <v>1</v>
      </c>
      <c r="R75">
        <v>1</v>
      </c>
      <c r="S75">
        <v>66</v>
      </c>
      <c r="T75">
        <f>_xlfn.XLOOKUP(C75,'Fichier Kuehne'!S:S,'Fichier Kuehne'!AH:AH,0)</f>
        <v>21</v>
      </c>
      <c r="U75">
        <f>_xlfn.XLOOKUP(C75,'Fichier Kuehne'!S:S,'Fichier Kuehne'!AN:AN,0)</f>
        <v>69</v>
      </c>
      <c r="V75" t="str">
        <f t="shared" si="2"/>
        <v>21France69</v>
      </c>
      <c r="W75" t="str">
        <f t="shared" si="3"/>
        <v>France</v>
      </c>
    </row>
    <row r="76" spans="2:23" x14ac:dyDescent="0.35">
      <c r="B76" t="s">
        <v>352</v>
      </c>
      <c r="C76" t="s">
        <v>670</v>
      </c>
      <c r="D76" t="s">
        <v>672</v>
      </c>
      <c r="E76" t="s">
        <v>329</v>
      </c>
      <c r="F76" t="s">
        <v>192</v>
      </c>
      <c r="G76">
        <v>0</v>
      </c>
      <c r="H76">
        <v>0</v>
      </c>
      <c r="I76">
        <v>0</v>
      </c>
      <c r="J76">
        <v>0</v>
      </c>
      <c r="K76">
        <v>85.700000000000017</v>
      </c>
      <c r="L76">
        <v>0</v>
      </c>
      <c r="M76">
        <v>0</v>
      </c>
      <c r="N76">
        <v>0</v>
      </c>
      <c r="O76" s="23">
        <v>85.700000000000017</v>
      </c>
      <c r="P76">
        <v>85.700000000000017</v>
      </c>
      <c r="Q76">
        <v>1</v>
      </c>
      <c r="R76">
        <v>1</v>
      </c>
      <c r="S76">
        <v>231</v>
      </c>
      <c r="T76">
        <f>_xlfn.XLOOKUP(C76,'Fichier Kuehne'!S:S,'Fichier Kuehne'!AH:AH,0)</f>
        <v>21</v>
      </c>
      <c r="U76">
        <f>_xlfn.XLOOKUP(C76,'Fichier Kuehne'!S:S,'Fichier Kuehne'!AN:AN,0)</f>
        <v>44</v>
      </c>
      <c r="V76" t="str">
        <f t="shared" si="2"/>
        <v>21France44</v>
      </c>
      <c r="W76" t="str">
        <f t="shared" si="3"/>
        <v>France</v>
      </c>
    </row>
    <row r="77" spans="2:23" x14ac:dyDescent="0.35">
      <c r="B77" t="s">
        <v>352</v>
      </c>
      <c r="C77" t="s">
        <v>636</v>
      </c>
      <c r="D77" t="s">
        <v>638</v>
      </c>
      <c r="E77" t="s">
        <v>639</v>
      </c>
      <c r="F77" t="s">
        <v>192</v>
      </c>
      <c r="G77">
        <v>0</v>
      </c>
      <c r="H77">
        <v>0</v>
      </c>
      <c r="I77">
        <v>0</v>
      </c>
      <c r="J77">
        <v>0</v>
      </c>
      <c r="K77">
        <v>51.74</v>
      </c>
      <c r="L77">
        <v>0</v>
      </c>
      <c r="M77">
        <v>0</v>
      </c>
      <c r="N77">
        <v>0</v>
      </c>
      <c r="O77" s="23">
        <v>51.74</v>
      </c>
      <c r="P77">
        <v>51.74</v>
      </c>
      <c r="Q77">
        <v>1</v>
      </c>
      <c r="R77">
        <v>1</v>
      </c>
      <c r="S77">
        <v>85</v>
      </c>
      <c r="T77">
        <f>_xlfn.XLOOKUP(C77,'Fichier Kuehne'!S:S,'Fichier Kuehne'!AH:AH,0)</f>
        <v>21</v>
      </c>
      <c r="U77">
        <f>_xlfn.XLOOKUP(C77,'Fichier Kuehne'!S:S,'Fichier Kuehne'!AN:AN,0)</f>
        <v>30</v>
      </c>
      <c r="V77" t="str">
        <f t="shared" si="2"/>
        <v>21France30</v>
      </c>
      <c r="W77" t="str">
        <f t="shared" si="3"/>
        <v>France</v>
      </c>
    </row>
    <row r="78" spans="2:23" x14ac:dyDescent="0.35">
      <c r="B78" t="s">
        <v>352</v>
      </c>
      <c r="C78" t="s">
        <v>646</v>
      </c>
      <c r="D78" t="s">
        <v>648</v>
      </c>
      <c r="E78" t="s">
        <v>649</v>
      </c>
      <c r="F78" t="s">
        <v>192</v>
      </c>
      <c r="G78">
        <v>0</v>
      </c>
      <c r="H78">
        <v>0</v>
      </c>
      <c r="I78">
        <v>0</v>
      </c>
      <c r="J78">
        <v>0</v>
      </c>
      <c r="K78">
        <v>69.650000000000006</v>
      </c>
      <c r="L78">
        <v>0</v>
      </c>
      <c r="M78">
        <v>0</v>
      </c>
      <c r="N78">
        <v>0</v>
      </c>
      <c r="O78" s="23">
        <v>69.650000000000006</v>
      </c>
      <c r="P78">
        <v>69.650000000000006</v>
      </c>
      <c r="Q78">
        <v>1</v>
      </c>
      <c r="R78">
        <v>1</v>
      </c>
      <c r="S78">
        <v>118</v>
      </c>
      <c r="T78">
        <f>_xlfn.XLOOKUP(C78,'Fichier Kuehne'!S:S,'Fichier Kuehne'!AH:AH,0)</f>
        <v>21</v>
      </c>
      <c r="U78">
        <f>_xlfn.XLOOKUP(C78,'Fichier Kuehne'!S:S,'Fichier Kuehne'!AN:AN,0)</f>
        <v>33</v>
      </c>
      <c r="V78" t="str">
        <f t="shared" si="2"/>
        <v>21France33</v>
      </c>
      <c r="W78" t="str">
        <f t="shared" si="3"/>
        <v>France</v>
      </c>
    </row>
    <row r="79" spans="2:23" x14ac:dyDescent="0.35">
      <c r="B79" t="s">
        <v>352</v>
      </c>
      <c r="C79" t="s">
        <v>702</v>
      </c>
      <c r="D79" t="s">
        <v>704</v>
      </c>
      <c r="E79" t="s">
        <v>705</v>
      </c>
      <c r="F79" t="s">
        <v>192</v>
      </c>
      <c r="G79">
        <v>0</v>
      </c>
      <c r="H79">
        <v>0</v>
      </c>
      <c r="I79">
        <v>0</v>
      </c>
      <c r="J79">
        <v>0</v>
      </c>
      <c r="K79">
        <v>161.72999999999999</v>
      </c>
      <c r="L79">
        <v>0</v>
      </c>
      <c r="M79">
        <v>0</v>
      </c>
      <c r="N79">
        <v>0</v>
      </c>
      <c r="O79" s="23">
        <v>161.72999999999999</v>
      </c>
      <c r="P79">
        <v>161.72999999999999</v>
      </c>
      <c r="Q79">
        <v>2</v>
      </c>
      <c r="R79">
        <v>2</v>
      </c>
      <c r="S79">
        <v>193</v>
      </c>
      <c r="T79">
        <f>_xlfn.XLOOKUP(C79,'Fichier Kuehne'!S:S,'Fichier Kuehne'!AH:AH,0)</f>
        <v>21</v>
      </c>
      <c r="U79">
        <f>_xlfn.XLOOKUP(C79,'Fichier Kuehne'!S:S,'Fichier Kuehne'!AN:AN,0)</f>
        <v>33</v>
      </c>
      <c r="V79" t="str">
        <f t="shared" si="2"/>
        <v>21France33</v>
      </c>
      <c r="W79" t="str">
        <f t="shared" si="3"/>
        <v>France</v>
      </c>
    </row>
    <row r="80" spans="2:23" x14ac:dyDescent="0.35">
      <c r="B80" t="s">
        <v>352</v>
      </c>
      <c r="C80" t="s">
        <v>665</v>
      </c>
      <c r="D80" t="s">
        <v>667</v>
      </c>
      <c r="E80" t="s">
        <v>668</v>
      </c>
      <c r="F80" t="s">
        <v>192</v>
      </c>
      <c r="G80">
        <v>0</v>
      </c>
      <c r="H80">
        <v>0</v>
      </c>
      <c r="I80">
        <v>0</v>
      </c>
      <c r="J80">
        <v>0</v>
      </c>
      <c r="K80">
        <v>45.999999999999993</v>
      </c>
      <c r="L80">
        <v>0</v>
      </c>
      <c r="M80">
        <v>0</v>
      </c>
      <c r="N80">
        <v>0</v>
      </c>
      <c r="O80" s="23">
        <v>45.999999999999993</v>
      </c>
      <c r="P80">
        <v>45.999999999999993</v>
      </c>
      <c r="Q80">
        <v>1</v>
      </c>
      <c r="R80">
        <v>1</v>
      </c>
      <c r="S80">
        <v>58</v>
      </c>
      <c r="T80">
        <f>_xlfn.XLOOKUP(C80,'Fichier Kuehne'!S:S,'Fichier Kuehne'!AH:AH,0)</f>
        <v>21</v>
      </c>
      <c r="U80">
        <f>_xlfn.XLOOKUP(C80,'Fichier Kuehne'!S:S,'Fichier Kuehne'!AN:AN,0)</f>
        <v>34</v>
      </c>
      <c r="V80" t="str">
        <f t="shared" si="2"/>
        <v>21France34</v>
      </c>
      <c r="W80" t="str">
        <f t="shared" si="3"/>
        <v>France</v>
      </c>
    </row>
    <row r="81" spans="2:23" x14ac:dyDescent="0.35">
      <c r="B81" t="s">
        <v>352</v>
      </c>
      <c r="C81" t="s">
        <v>739</v>
      </c>
      <c r="D81" t="s">
        <v>741</v>
      </c>
      <c r="E81" t="s">
        <v>306</v>
      </c>
      <c r="F81" t="s">
        <v>192</v>
      </c>
      <c r="G81">
        <v>0</v>
      </c>
      <c r="H81">
        <v>0</v>
      </c>
      <c r="I81">
        <v>0</v>
      </c>
      <c r="J81">
        <v>0</v>
      </c>
      <c r="K81">
        <v>81.950000000000017</v>
      </c>
      <c r="L81">
        <v>0</v>
      </c>
      <c r="M81">
        <v>0</v>
      </c>
      <c r="N81">
        <v>0</v>
      </c>
      <c r="O81" s="23">
        <v>81.950000000000017</v>
      </c>
      <c r="P81">
        <v>81.950000000000017</v>
      </c>
      <c r="Q81">
        <v>1</v>
      </c>
      <c r="R81">
        <v>1</v>
      </c>
      <c r="S81">
        <v>154</v>
      </c>
      <c r="T81">
        <f>_xlfn.XLOOKUP(C81,'Fichier Kuehne'!S:S,'Fichier Kuehne'!AH:AH,0)</f>
        <v>21</v>
      </c>
      <c r="U81">
        <f>_xlfn.XLOOKUP(C81,'Fichier Kuehne'!S:S,'Fichier Kuehne'!AN:AN,0)</f>
        <v>33</v>
      </c>
      <c r="V81" t="str">
        <f t="shared" si="2"/>
        <v>21France33</v>
      </c>
      <c r="W81" t="str">
        <f t="shared" si="3"/>
        <v>France</v>
      </c>
    </row>
    <row r="82" spans="2:23" x14ac:dyDescent="0.35">
      <c r="B82" t="s">
        <v>352</v>
      </c>
      <c r="C82" t="s">
        <v>715</v>
      </c>
      <c r="D82" t="s">
        <v>717</v>
      </c>
      <c r="E82" t="s">
        <v>718</v>
      </c>
      <c r="F82" t="s">
        <v>192</v>
      </c>
      <c r="G82">
        <v>0</v>
      </c>
      <c r="H82">
        <v>0</v>
      </c>
      <c r="I82">
        <v>0</v>
      </c>
      <c r="J82">
        <v>0</v>
      </c>
      <c r="K82">
        <v>36.46</v>
      </c>
      <c r="L82">
        <v>0</v>
      </c>
      <c r="M82">
        <v>0</v>
      </c>
      <c r="N82">
        <v>0</v>
      </c>
      <c r="O82" s="23">
        <v>36.46</v>
      </c>
      <c r="P82">
        <v>36.46</v>
      </c>
      <c r="Q82">
        <v>1</v>
      </c>
      <c r="R82">
        <v>1</v>
      </c>
      <c r="S82">
        <v>33</v>
      </c>
      <c r="T82">
        <f>_xlfn.XLOOKUP(C82,'Fichier Kuehne'!S:S,'Fichier Kuehne'!AH:AH,0)</f>
        <v>21</v>
      </c>
      <c r="U82">
        <f>_xlfn.XLOOKUP(C82,'Fichier Kuehne'!S:S,'Fichier Kuehne'!AN:AN,0)</f>
        <v>78</v>
      </c>
      <c r="V82" t="str">
        <f t="shared" si="2"/>
        <v>21France78</v>
      </c>
      <c r="W82" t="str">
        <f t="shared" si="3"/>
        <v>France</v>
      </c>
    </row>
    <row r="83" spans="2:23" x14ac:dyDescent="0.35">
      <c r="B83" t="s">
        <v>352</v>
      </c>
      <c r="C83" t="s">
        <v>720</v>
      </c>
      <c r="D83" t="s">
        <v>722</v>
      </c>
      <c r="E83" t="s">
        <v>723</v>
      </c>
      <c r="F83" t="s">
        <v>192</v>
      </c>
      <c r="G83">
        <v>0</v>
      </c>
      <c r="H83">
        <v>0</v>
      </c>
      <c r="I83">
        <v>0</v>
      </c>
      <c r="J83">
        <v>0</v>
      </c>
      <c r="K83">
        <v>52.42</v>
      </c>
      <c r="L83">
        <v>0</v>
      </c>
      <c r="M83">
        <v>0</v>
      </c>
      <c r="N83">
        <v>0</v>
      </c>
      <c r="O83" s="23">
        <v>52.42</v>
      </c>
      <c r="P83">
        <v>52.42</v>
      </c>
      <c r="Q83">
        <v>1</v>
      </c>
      <c r="R83">
        <v>1</v>
      </c>
      <c r="S83">
        <v>143</v>
      </c>
      <c r="T83">
        <f>_xlfn.XLOOKUP(C83,'Fichier Kuehne'!S:S,'Fichier Kuehne'!AH:AH,0)</f>
        <v>21</v>
      </c>
      <c r="U83">
        <f>_xlfn.XLOOKUP(C83,'Fichier Kuehne'!S:S,'Fichier Kuehne'!AN:AN,0)</f>
        <v>26</v>
      </c>
      <c r="V83" t="str">
        <f t="shared" ref="V83:V146" si="4">T83&amp;W83&amp;IF(U83&lt;10,"0"&amp;U83,U83)</f>
        <v>21France26</v>
      </c>
      <c r="W83" t="str">
        <f t="shared" ref="W83:W146" si="5">IF(F83="FR","France","étranger")</f>
        <v>France</v>
      </c>
    </row>
    <row r="84" spans="2:23" x14ac:dyDescent="0.35">
      <c r="B84" t="s">
        <v>352</v>
      </c>
      <c r="C84" t="s">
        <v>655</v>
      </c>
      <c r="D84" t="s">
        <v>657</v>
      </c>
      <c r="E84" t="s">
        <v>658</v>
      </c>
      <c r="F84" t="s">
        <v>192</v>
      </c>
      <c r="G84">
        <v>0</v>
      </c>
      <c r="H84">
        <v>0</v>
      </c>
      <c r="I84">
        <v>0</v>
      </c>
      <c r="J84">
        <v>0</v>
      </c>
      <c r="K84">
        <v>72.63000000000001</v>
      </c>
      <c r="L84">
        <v>0</v>
      </c>
      <c r="M84">
        <v>0</v>
      </c>
      <c r="N84">
        <v>0</v>
      </c>
      <c r="O84" s="23">
        <v>72.63000000000001</v>
      </c>
      <c r="P84">
        <v>72.63000000000001</v>
      </c>
      <c r="Q84">
        <v>1</v>
      </c>
      <c r="R84">
        <v>1</v>
      </c>
      <c r="S84">
        <v>132</v>
      </c>
      <c r="T84">
        <f>_xlfn.XLOOKUP(C84,'Fichier Kuehne'!S:S,'Fichier Kuehne'!AH:AH,0)</f>
        <v>21</v>
      </c>
      <c r="U84">
        <f>_xlfn.XLOOKUP(C84,'Fichier Kuehne'!S:S,'Fichier Kuehne'!AN:AN,0)</f>
        <v>81</v>
      </c>
      <c r="V84" t="str">
        <f t="shared" si="4"/>
        <v>21France81</v>
      </c>
      <c r="W84" t="str">
        <f t="shared" si="5"/>
        <v>France</v>
      </c>
    </row>
    <row r="85" spans="2:23" x14ac:dyDescent="0.35">
      <c r="B85" t="s">
        <v>352</v>
      </c>
      <c r="C85" t="s">
        <v>712</v>
      </c>
      <c r="D85" t="s">
        <v>714</v>
      </c>
      <c r="E85" t="s">
        <v>303</v>
      </c>
      <c r="F85" t="s">
        <v>192</v>
      </c>
      <c r="G85">
        <v>0</v>
      </c>
      <c r="H85">
        <v>0</v>
      </c>
      <c r="I85">
        <v>0</v>
      </c>
      <c r="J85">
        <v>0</v>
      </c>
      <c r="K85">
        <v>114.36</v>
      </c>
      <c r="L85">
        <v>0</v>
      </c>
      <c r="M85">
        <v>0</v>
      </c>
      <c r="N85">
        <v>0</v>
      </c>
      <c r="O85" s="23">
        <v>114.36</v>
      </c>
      <c r="P85">
        <v>114.36</v>
      </c>
      <c r="Q85">
        <v>2</v>
      </c>
      <c r="R85">
        <v>2</v>
      </c>
      <c r="S85">
        <v>222</v>
      </c>
      <c r="T85">
        <f>_xlfn.XLOOKUP(C85,'Fichier Kuehne'!S:S,'Fichier Kuehne'!AH:AH,0)</f>
        <v>21</v>
      </c>
      <c r="U85">
        <f>_xlfn.XLOOKUP(C85,'Fichier Kuehne'!S:S,'Fichier Kuehne'!AN:AN,0)</f>
        <v>91</v>
      </c>
      <c r="V85" t="str">
        <f t="shared" si="4"/>
        <v>21France91</v>
      </c>
      <c r="W85" t="str">
        <f t="shared" si="5"/>
        <v>France</v>
      </c>
    </row>
    <row r="86" spans="2:23" x14ac:dyDescent="0.35">
      <c r="B86" t="s">
        <v>352</v>
      </c>
      <c r="C86" t="s">
        <v>687</v>
      </c>
      <c r="D86" t="s">
        <v>689</v>
      </c>
      <c r="E86" t="s">
        <v>690</v>
      </c>
      <c r="F86" t="s">
        <v>192</v>
      </c>
      <c r="G86">
        <v>0</v>
      </c>
      <c r="H86">
        <v>0</v>
      </c>
      <c r="I86">
        <v>0</v>
      </c>
      <c r="J86">
        <v>0</v>
      </c>
      <c r="K86">
        <v>28.779999999999998</v>
      </c>
      <c r="L86">
        <v>0</v>
      </c>
      <c r="M86">
        <v>0</v>
      </c>
      <c r="N86">
        <v>0</v>
      </c>
      <c r="O86" s="23">
        <v>28.779999999999998</v>
      </c>
      <c r="P86">
        <v>28.779999999999998</v>
      </c>
      <c r="Q86">
        <v>1</v>
      </c>
      <c r="R86">
        <v>1</v>
      </c>
      <c r="S86">
        <v>52</v>
      </c>
      <c r="T86">
        <f>_xlfn.XLOOKUP(C86,'Fichier Kuehne'!S:S,'Fichier Kuehne'!AH:AH,0)</f>
        <v>21</v>
      </c>
      <c r="U86">
        <f>_xlfn.XLOOKUP(C86,'Fichier Kuehne'!S:S,'Fichier Kuehne'!AN:AN,0)</f>
        <v>89</v>
      </c>
      <c r="V86" t="str">
        <f t="shared" si="4"/>
        <v>21France89</v>
      </c>
      <c r="W86" t="str">
        <f t="shared" si="5"/>
        <v>France</v>
      </c>
    </row>
    <row r="87" spans="2:23" x14ac:dyDescent="0.35">
      <c r="B87" t="s">
        <v>352</v>
      </c>
      <c r="C87" t="s">
        <v>725</v>
      </c>
      <c r="D87" t="s">
        <v>727</v>
      </c>
      <c r="E87" t="s">
        <v>728</v>
      </c>
      <c r="F87" t="s">
        <v>192</v>
      </c>
      <c r="G87">
        <v>0</v>
      </c>
      <c r="H87">
        <v>0</v>
      </c>
      <c r="I87">
        <v>0</v>
      </c>
      <c r="J87">
        <v>0</v>
      </c>
      <c r="K87">
        <v>134.85</v>
      </c>
      <c r="L87">
        <v>0</v>
      </c>
      <c r="M87">
        <v>0</v>
      </c>
      <c r="N87">
        <v>0</v>
      </c>
      <c r="O87" s="23">
        <v>134.85</v>
      </c>
      <c r="P87">
        <v>134.85</v>
      </c>
      <c r="Q87">
        <v>2</v>
      </c>
      <c r="R87">
        <v>2</v>
      </c>
      <c r="S87">
        <v>316</v>
      </c>
      <c r="T87">
        <f>_xlfn.XLOOKUP(C87,'Fichier Kuehne'!S:S,'Fichier Kuehne'!AH:AH,0)</f>
        <v>21</v>
      </c>
      <c r="U87">
        <f>_xlfn.XLOOKUP(C87,'Fichier Kuehne'!S:S,'Fichier Kuehne'!AN:AN,0)</f>
        <v>84</v>
      </c>
      <c r="V87" t="str">
        <f t="shared" si="4"/>
        <v>21France84</v>
      </c>
      <c r="W87" t="str">
        <f t="shared" si="5"/>
        <v>France</v>
      </c>
    </row>
    <row r="88" spans="2:23" x14ac:dyDescent="0.35">
      <c r="B88" t="s">
        <v>352</v>
      </c>
      <c r="C88" t="s">
        <v>692</v>
      </c>
      <c r="D88" t="s">
        <v>694</v>
      </c>
      <c r="E88" t="s">
        <v>695</v>
      </c>
      <c r="F88" t="s">
        <v>192</v>
      </c>
      <c r="G88">
        <v>0</v>
      </c>
      <c r="H88">
        <v>0</v>
      </c>
      <c r="I88">
        <v>0</v>
      </c>
      <c r="J88">
        <v>0</v>
      </c>
      <c r="K88">
        <v>110.42</v>
      </c>
      <c r="L88">
        <v>0</v>
      </c>
      <c r="M88">
        <v>0</v>
      </c>
      <c r="N88">
        <v>0</v>
      </c>
      <c r="O88" s="23">
        <v>110.42</v>
      </c>
      <c r="P88">
        <v>110.42</v>
      </c>
      <c r="Q88">
        <v>2</v>
      </c>
      <c r="R88">
        <v>2</v>
      </c>
      <c r="S88">
        <v>231</v>
      </c>
      <c r="T88">
        <f>_xlfn.XLOOKUP(C88,'Fichier Kuehne'!S:S,'Fichier Kuehne'!AH:AH,0)</f>
        <v>21</v>
      </c>
      <c r="U88">
        <f>_xlfn.XLOOKUP(C88,'Fichier Kuehne'!S:S,'Fichier Kuehne'!AN:AN,0)</f>
        <v>5</v>
      </c>
      <c r="V88" t="str">
        <f t="shared" si="4"/>
        <v>21France05</v>
      </c>
      <c r="W88" t="str">
        <f t="shared" si="5"/>
        <v>France</v>
      </c>
    </row>
    <row r="89" spans="2:23" x14ac:dyDescent="0.35">
      <c r="B89" t="s">
        <v>352</v>
      </c>
      <c r="C89" t="s">
        <v>678</v>
      </c>
      <c r="D89" t="s">
        <v>680</v>
      </c>
      <c r="E89" t="s">
        <v>681</v>
      </c>
      <c r="F89" t="s">
        <v>192</v>
      </c>
      <c r="G89">
        <v>0</v>
      </c>
      <c r="H89">
        <v>0</v>
      </c>
      <c r="I89">
        <v>0</v>
      </c>
      <c r="J89">
        <v>0</v>
      </c>
      <c r="K89">
        <v>161.72999999999999</v>
      </c>
      <c r="L89">
        <v>0</v>
      </c>
      <c r="M89">
        <v>0</v>
      </c>
      <c r="N89">
        <v>0</v>
      </c>
      <c r="O89" s="23">
        <v>161.72999999999999</v>
      </c>
      <c r="P89">
        <v>161.72999999999999</v>
      </c>
      <c r="Q89">
        <v>2</v>
      </c>
      <c r="R89">
        <v>2</v>
      </c>
      <c r="S89">
        <v>276</v>
      </c>
      <c r="T89">
        <f>_xlfn.XLOOKUP(C89,'Fichier Kuehne'!S:S,'Fichier Kuehne'!AH:AH,0)</f>
        <v>21</v>
      </c>
      <c r="U89">
        <f>_xlfn.XLOOKUP(C89,'Fichier Kuehne'!S:S,'Fichier Kuehne'!AN:AN,0)</f>
        <v>33</v>
      </c>
      <c r="V89" t="str">
        <f t="shared" si="4"/>
        <v>21France33</v>
      </c>
      <c r="W89" t="str">
        <f t="shared" si="5"/>
        <v>France</v>
      </c>
    </row>
    <row r="90" spans="2:23" x14ac:dyDescent="0.35">
      <c r="B90" t="s">
        <v>352</v>
      </c>
      <c r="C90" t="s">
        <v>697</v>
      </c>
      <c r="D90" t="s">
        <v>699</v>
      </c>
      <c r="E90" t="s">
        <v>700</v>
      </c>
      <c r="F90" t="s">
        <v>192</v>
      </c>
      <c r="G90">
        <v>0</v>
      </c>
      <c r="H90">
        <v>0</v>
      </c>
      <c r="I90">
        <v>0</v>
      </c>
      <c r="J90">
        <v>0</v>
      </c>
      <c r="K90">
        <v>29.08</v>
      </c>
      <c r="L90">
        <v>0</v>
      </c>
      <c r="M90">
        <v>0</v>
      </c>
      <c r="N90">
        <v>0</v>
      </c>
      <c r="O90" s="23">
        <v>29.08</v>
      </c>
      <c r="P90">
        <v>29.08</v>
      </c>
      <c r="Q90">
        <v>1</v>
      </c>
      <c r="R90">
        <v>1</v>
      </c>
      <c r="S90">
        <v>13</v>
      </c>
      <c r="T90">
        <f>_xlfn.XLOOKUP(C90,'Fichier Kuehne'!S:S,'Fichier Kuehne'!AH:AH,0)</f>
        <v>21</v>
      </c>
      <c r="U90">
        <f>_xlfn.XLOOKUP(C90,'Fichier Kuehne'!S:S,'Fichier Kuehne'!AN:AN,0)</f>
        <v>14</v>
      </c>
      <c r="V90" t="str">
        <f t="shared" si="4"/>
        <v>21France14</v>
      </c>
      <c r="W90" t="str">
        <f t="shared" si="5"/>
        <v>France</v>
      </c>
    </row>
    <row r="91" spans="2:23" x14ac:dyDescent="0.35">
      <c r="B91" t="s">
        <v>352</v>
      </c>
      <c r="C91" t="s">
        <v>660</v>
      </c>
      <c r="D91" t="s">
        <v>662</v>
      </c>
      <c r="E91" t="s">
        <v>663</v>
      </c>
      <c r="F91" t="s">
        <v>192</v>
      </c>
      <c r="G91">
        <v>0</v>
      </c>
      <c r="H91">
        <v>0</v>
      </c>
      <c r="I91">
        <v>0</v>
      </c>
      <c r="J91">
        <v>0</v>
      </c>
      <c r="K91">
        <v>56.4</v>
      </c>
      <c r="L91">
        <v>0</v>
      </c>
      <c r="M91">
        <v>0</v>
      </c>
      <c r="N91">
        <v>0</v>
      </c>
      <c r="O91" s="23">
        <v>56.4</v>
      </c>
      <c r="P91">
        <v>56.4</v>
      </c>
      <c r="Q91">
        <v>1</v>
      </c>
      <c r="R91">
        <v>1</v>
      </c>
      <c r="S91">
        <v>82</v>
      </c>
      <c r="T91">
        <f>_xlfn.XLOOKUP(C91,'Fichier Kuehne'!S:S,'Fichier Kuehne'!AH:AH,0)</f>
        <v>21</v>
      </c>
      <c r="U91">
        <f>_xlfn.XLOOKUP(C91,'Fichier Kuehne'!S:S,'Fichier Kuehne'!AN:AN,0)</f>
        <v>83</v>
      </c>
      <c r="V91" t="str">
        <f t="shared" si="4"/>
        <v>21France83</v>
      </c>
      <c r="W91" t="str">
        <f t="shared" si="5"/>
        <v>France</v>
      </c>
    </row>
    <row r="92" spans="2:23" x14ac:dyDescent="0.35">
      <c r="B92" t="s">
        <v>352</v>
      </c>
      <c r="C92" t="s">
        <v>765</v>
      </c>
      <c r="D92" t="s">
        <v>767</v>
      </c>
      <c r="E92" t="s">
        <v>768</v>
      </c>
      <c r="F92" t="s">
        <v>192</v>
      </c>
      <c r="G92">
        <v>0</v>
      </c>
      <c r="H92">
        <v>0</v>
      </c>
      <c r="I92">
        <v>0</v>
      </c>
      <c r="J92">
        <v>0</v>
      </c>
      <c r="K92">
        <v>61.93</v>
      </c>
      <c r="L92">
        <v>0</v>
      </c>
      <c r="M92">
        <v>0</v>
      </c>
      <c r="N92">
        <v>0</v>
      </c>
      <c r="O92" s="23">
        <v>61.93</v>
      </c>
      <c r="P92">
        <v>61.93</v>
      </c>
      <c r="Q92">
        <v>1</v>
      </c>
      <c r="R92">
        <v>1</v>
      </c>
      <c r="S92">
        <v>152</v>
      </c>
      <c r="T92">
        <f>_xlfn.XLOOKUP(C92,'Fichier Kuehne'!S:S,'Fichier Kuehne'!AH:AH,0)</f>
        <v>21</v>
      </c>
      <c r="U92">
        <f>_xlfn.XLOOKUP(C92,'Fichier Kuehne'!S:S,'Fichier Kuehne'!AN:AN,0)</f>
        <v>78</v>
      </c>
      <c r="V92" t="str">
        <f t="shared" si="4"/>
        <v>21France78</v>
      </c>
      <c r="W92" t="str">
        <f t="shared" si="5"/>
        <v>France</v>
      </c>
    </row>
    <row r="93" spans="2:23" x14ac:dyDescent="0.35">
      <c r="B93" t="s">
        <v>352</v>
      </c>
      <c r="C93" t="s">
        <v>729</v>
      </c>
      <c r="D93" t="s">
        <v>731</v>
      </c>
      <c r="E93" t="s">
        <v>732</v>
      </c>
      <c r="F93" t="s">
        <v>192</v>
      </c>
      <c r="G93">
        <v>0</v>
      </c>
      <c r="H93">
        <v>0</v>
      </c>
      <c r="I93">
        <v>0</v>
      </c>
      <c r="J93">
        <v>0</v>
      </c>
      <c r="K93">
        <v>43.19</v>
      </c>
      <c r="L93">
        <v>0</v>
      </c>
      <c r="M93">
        <v>0</v>
      </c>
      <c r="N93">
        <v>0</v>
      </c>
      <c r="O93" s="23">
        <v>43.19</v>
      </c>
      <c r="P93">
        <v>43.19</v>
      </c>
      <c r="Q93">
        <v>1</v>
      </c>
      <c r="R93">
        <v>1</v>
      </c>
      <c r="S93">
        <v>58</v>
      </c>
      <c r="T93">
        <f>_xlfn.XLOOKUP(C93,'Fichier Kuehne'!S:S,'Fichier Kuehne'!AH:AH,0)</f>
        <v>21</v>
      </c>
      <c r="U93">
        <f>_xlfn.XLOOKUP(C93,'Fichier Kuehne'!S:S,'Fichier Kuehne'!AN:AN,0)</f>
        <v>84</v>
      </c>
      <c r="V93" t="str">
        <f t="shared" si="4"/>
        <v>21France84</v>
      </c>
      <c r="W93" t="str">
        <f t="shared" si="5"/>
        <v>France</v>
      </c>
    </row>
    <row r="94" spans="2:23" x14ac:dyDescent="0.35">
      <c r="B94" t="s">
        <v>352</v>
      </c>
      <c r="C94" t="s">
        <v>631</v>
      </c>
      <c r="D94" t="s">
        <v>633</v>
      </c>
      <c r="E94" t="s">
        <v>634</v>
      </c>
      <c r="F94" t="s">
        <v>192</v>
      </c>
      <c r="G94">
        <v>0</v>
      </c>
      <c r="H94">
        <v>0</v>
      </c>
      <c r="I94">
        <v>0</v>
      </c>
      <c r="J94">
        <v>0</v>
      </c>
      <c r="K94">
        <v>83.06</v>
      </c>
      <c r="L94">
        <v>0</v>
      </c>
      <c r="M94">
        <v>0</v>
      </c>
      <c r="N94">
        <v>0</v>
      </c>
      <c r="O94" s="23">
        <v>83.06</v>
      </c>
      <c r="P94">
        <v>83.06</v>
      </c>
      <c r="Q94">
        <v>2</v>
      </c>
      <c r="R94">
        <v>2</v>
      </c>
      <c r="S94">
        <v>234</v>
      </c>
      <c r="T94">
        <f>_xlfn.XLOOKUP(C94,'Fichier Kuehne'!S:S,'Fichier Kuehne'!AH:AH,0)</f>
        <v>21</v>
      </c>
      <c r="U94">
        <f>_xlfn.XLOOKUP(C94,'Fichier Kuehne'!S:S,'Fichier Kuehne'!AN:AN,0)</f>
        <v>1</v>
      </c>
      <c r="V94" t="str">
        <f t="shared" si="4"/>
        <v>21France01</v>
      </c>
      <c r="W94" t="str">
        <f t="shared" si="5"/>
        <v>France</v>
      </c>
    </row>
    <row r="95" spans="2:23" x14ac:dyDescent="0.35">
      <c r="B95" t="s">
        <v>352</v>
      </c>
      <c r="C95" t="s">
        <v>626</v>
      </c>
      <c r="D95" t="s">
        <v>628</v>
      </c>
      <c r="E95" t="s">
        <v>629</v>
      </c>
      <c r="F95" t="s">
        <v>192</v>
      </c>
      <c r="G95">
        <v>0</v>
      </c>
      <c r="H95">
        <v>0</v>
      </c>
      <c r="I95">
        <v>0</v>
      </c>
      <c r="J95">
        <v>0</v>
      </c>
      <c r="K95">
        <v>41.98</v>
      </c>
      <c r="L95">
        <v>0</v>
      </c>
      <c r="M95">
        <v>0</v>
      </c>
      <c r="N95">
        <v>0</v>
      </c>
      <c r="O95" s="23">
        <v>41.98</v>
      </c>
      <c r="P95">
        <v>41.98</v>
      </c>
      <c r="Q95">
        <v>1</v>
      </c>
      <c r="R95">
        <v>1</v>
      </c>
      <c r="S95">
        <v>39</v>
      </c>
      <c r="T95">
        <f>_xlfn.XLOOKUP(C95,'Fichier Kuehne'!S:S,'Fichier Kuehne'!AH:AH,0)</f>
        <v>21</v>
      </c>
      <c r="U95">
        <f>_xlfn.XLOOKUP(C95,'Fichier Kuehne'!S:S,'Fichier Kuehne'!AN:AN,0)</f>
        <v>13</v>
      </c>
      <c r="V95" t="str">
        <f t="shared" si="4"/>
        <v>21France13</v>
      </c>
      <c r="W95" t="str">
        <f t="shared" si="5"/>
        <v>France</v>
      </c>
    </row>
    <row r="96" spans="2:23" x14ac:dyDescent="0.35">
      <c r="B96" t="s">
        <v>352</v>
      </c>
      <c r="C96" t="s">
        <v>707</v>
      </c>
      <c r="D96" t="s">
        <v>709</v>
      </c>
      <c r="E96" t="s">
        <v>710</v>
      </c>
      <c r="F96" t="s">
        <v>192</v>
      </c>
      <c r="G96">
        <v>0</v>
      </c>
      <c r="H96">
        <v>0</v>
      </c>
      <c r="I96">
        <v>0</v>
      </c>
      <c r="J96">
        <v>0</v>
      </c>
      <c r="K96">
        <v>24.189999999999998</v>
      </c>
      <c r="L96">
        <v>0</v>
      </c>
      <c r="M96">
        <v>0</v>
      </c>
      <c r="N96">
        <v>0</v>
      </c>
      <c r="O96" s="23">
        <v>24.189999999999998</v>
      </c>
      <c r="P96">
        <v>24.189999999999998</v>
      </c>
      <c r="Q96">
        <v>1</v>
      </c>
      <c r="R96">
        <v>1</v>
      </c>
      <c r="S96">
        <v>55</v>
      </c>
      <c r="T96">
        <f>_xlfn.XLOOKUP(C96,'Fichier Kuehne'!S:S,'Fichier Kuehne'!AH:AH,0)</f>
        <v>21</v>
      </c>
      <c r="U96">
        <f>_xlfn.XLOOKUP(C96,'Fichier Kuehne'!S:S,'Fichier Kuehne'!AN:AN,0)</f>
        <v>21</v>
      </c>
      <c r="V96" t="str">
        <f t="shared" si="4"/>
        <v>21France21</v>
      </c>
      <c r="W96" t="str">
        <f t="shared" si="5"/>
        <v>France</v>
      </c>
    </row>
    <row r="97" spans="2:23" x14ac:dyDescent="0.35">
      <c r="B97" t="s">
        <v>352</v>
      </c>
      <c r="C97" t="s">
        <v>673</v>
      </c>
      <c r="D97" t="s">
        <v>675</v>
      </c>
      <c r="E97" t="s">
        <v>676</v>
      </c>
      <c r="F97" t="s">
        <v>192</v>
      </c>
      <c r="G97">
        <v>0</v>
      </c>
      <c r="H97">
        <v>0</v>
      </c>
      <c r="I97">
        <v>0</v>
      </c>
      <c r="J97">
        <v>0</v>
      </c>
      <c r="K97">
        <v>51.4</v>
      </c>
      <c r="L97">
        <v>0</v>
      </c>
      <c r="M97">
        <v>0</v>
      </c>
      <c r="N97">
        <v>0</v>
      </c>
      <c r="O97" s="23">
        <v>51.4</v>
      </c>
      <c r="P97">
        <v>51.4</v>
      </c>
      <c r="Q97">
        <v>1</v>
      </c>
      <c r="R97">
        <v>1</v>
      </c>
      <c r="S97">
        <v>98</v>
      </c>
      <c r="T97">
        <f>_xlfn.XLOOKUP(C97,'Fichier Kuehne'!S:S,'Fichier Kuehne'!AH:AH,0)</f>
        <v>21</v>
      </c>
      <c r="U97">
        <f>_xlfn.XLOOKUP(C97,'Fichier Kuehne'!S:S,'Fichier Kuehne'!AN:AN,0)</f>
        <v>84</v>
      </c>
      <c r="V97" t="str">
        <f t="shared" si="4"/>
        <v>21France84</v>
      </c>
      <c r="W97" t="str">
        <f t="shared" si="5"/>
        <v>France</v>
      </c>
    </row>
    <row r="98" spans="2:23" x14ac:dyDescent="0.35">
      <c r="B98" t="s">
        <v>352</v>
      </c>
      <c r="C98" t="s">
        <v>745</v>
      </c>
      <c r="D98" t="s">
        <v>747</v>
      </c>
      <c r="E98" t="s">
        <v>748</v>
      </c>
      <c r="F98" t="s">
        <v>192</v>
      </c>
      <c r="G98">
        <v>0</v>
      </c>
      <c r="H98">
        <v>0</v>
      </c>
      <c r="I98">
        <v>0</v>
      </c>
      <c r="J98">
        <v>0</v>
      </c>
      <c r="K98">
        <v>72.540000000000006</v>
      </c>
      <c r="L98">
        <v>0</v>
      </c>
      <c r="M98">
        <v>0</v>
      </c>
      <c r="N98">
        <v>0</v>
      </c>
      <c r="O98" s="23">
        <v>72.540000000000006</v>
      </c>
      <c r="P98">
        <v>72.540000000000006</v>
      </c>
      <c r="Q98">
        <v>1</v>
      </c>
      <c r="R98">
        <v>1</v>
      </c>
      <c r="S98">
        <v>134</v>
      </c>
      <c r="T98">
        <f>_xlfn.XLOOKUP(C98,'Fichier Kuehne'!S:S,'Fichier Kuehne'!AH:AH,0)</f>
        <v>21</v>
      </c>
      <c r="U98">
        <f>_xlfn.XLOOKUP(C98,'Fichier Kuehne'!S:S,'Fichier Kuehne'!AN:AN,0)</f>
        <v>34</v>
      </c>
      <c r="V98" t="str">
        <f t="shared" si="4"/>
        <v>21France34</v>
      </c>
      <c r="W98" t="str">
        <f t="shared" si="5"/>
        <v>France</v>
      </c>
    </row>
    <row r="99" spans="2:23" x14ac:dyDescent="0.35">
      <c r="B99" t="s">
        <v>352</v>
      </c>
      <c r="C99" t="s">
        <v>774</v>
      </c>
      <c r="D99" t="s">
        <v>776</v>
      </c>
      <c r="E99" t="s">
        <v>777</v>
      </c>
      <c r="F99" t="s">
        <v>192</v>
      </c>
      <c r="G99">
        <v>0</v>
      </c>
      <c r="H99">
        <v>0</v>
      </c>
      <c r="I99">
        <v>0</v>
      </c>
      <c r="J99">
        <v>0</v>
      </c>
      <c r="K99">
        <v>43.72</v>
      </c>
      <c r="L99">
        <v>0</v>
      </c>
      <c r="M99">
        <v>0</v>
      </c>
      <c r="N99">
        <v>0</v>
      </c>
      <c r="O99" s="23">
        <v>43.72</v>
      </c>
      <c r="P99">
        <v>43.72</v>
      </c>
      <c r="Q99">
        <v>1</v>
      </c>
      <c r="R99">
        <v>1</v>
      </c>
      <c r="S99">
        <v>51</v>
      </c>
      <c r="T99">
        <f>_xlfn.XLOOKUP(C99,'Fichier Kuehne'!S:S,'Fichier Kuehne'!AH:AH,0)</f>
        <v>21</v>
      </c>
      <c r="U99">
        <f>_xlfn.XLOOKUP(C99,'Fichier Kuehne'!S:S,'Fichier Kuehne'!AN:AN,0)</f>
        <v>46</v>
      </c>
      <c r="V99" t="str">
        <f t="shared" si="4"/>
        <v>21France46</v>
      </c>
      <c r="W99" t="str">
        <f t="shared" si="5"/>
        <v>France</v>
      </c>
    </row>
    <row r="100" spans="2:23" x14ac:dyDescent="0.35">
      <c r="B100" t="s">
        <v>352</v>
      </c>
      <c r="C100" t="s">
        <v>770</v>
      </c>
      <c r="D100" t="s">
        <v>772</v>
      </c>
      <c r="E100" t="s">
        <v>773</v>
      </c>
      <c r="F100" t="s">
        <v>192</v>
      </c>
      <c r="G100">
        <v>0</v>
      </c>
      <c r="H100">
        <v>0</v>
      </c>
      <c r="I100">
        <v>0</v>
      </c>
      <c r="J100">
        <v>0</v>
      </c>
      <c r="K100">
        <v>64.03</v>
      </c>
      <c r="L100">
        <v>0</v>
      </c>
      <c r="M100">
        <v>0</v>
      </c>
      <c r="N100">
        <v>0</v>
      </c>
      <c r="O100" s="23">
        <v>64.03</v>
      </c>
      <c r="P100">
        <v>64.03</v>
      </c>
      <c r="Q100">
        <v>1</v>
      </c>
      <c r="R100">
        <v>1</v>
      </c>
      <c r="S100">
        <v>104</v>
      </c>
      <c r="T100">
        <f>_xlfn.XLOOKUP(C100,'Fichier Kuehne'!S:S,'Fichier Kuehne'!AH:AH,0)</f>
        <v>21</v>
      </c>
      <c r="U100">
        <f>_xlfn.XLOOKUP(C100,'Fichier Kuehne'!S:S,'Fichier Kuehne'!AN:AN,0)</f>
        <v>33</v>
      </c>
      <c r="V100" t="str">
        <f t="shared" si="4"/>
        <v>21France33</v>
      </c>
      <c r="W100" t="str">
        <f t="shared" si="5"/>
        <v>France</v>
      </c>
    </row>
    <row r="101" spans="2:23" x14ac:dyDescent="0.35">
      <c r="B101" t="s">
        <v>352</v>
      </c>
      <c r="C101" t="s">
        <v>760</v>
      </c>
      <c r="D101" t="s">
        <v>762</v>
      </c>
      <c r="E101" t="s">
        <v>763</v>
      </c>
      <c r="F101" t="s">
        <v>192</v>
      </c>
      <c r="G101">
        <v>0</v>
      </c>
      <c r="H101">
        <v>0</v>
      </c>
      <c r="I101">
        <v>0</v>
      </c>
      <c r="J101">
        <v>0</v>
      </c>
      <c r="K101">
        <v>41.98</v>
      </c>
      <c r="L101">
        <v>0</v>
      </c>
      <c r="M101">
        <v>0</v>
      </c>
      <c r="N101">
        <v>0</v>
      </c>
      <c r="O101" s="23">
        <v>41.98</v>
      </c>
      <c r="P101">
        <v>41.98</v>
      </c>
      <c r="Q101">
        <v>1</v>
      </c>
      <c r="R101">
        <v>1</v>
      </c>
      <c r="S101">
        <v>32</v>
      </c>
      <c r="T101">
        <f>_xlfn.XLOOKUP(C101,'Fichier Kuehne'!S:S,'Fichier Kuehne'!AH:AH,0)</f>
        <v>21</v>
      </c>
      <c r="U101">
        <f>_xlfn.XLOOKUP(C101,'Fichier Kuehne'!S:S,'Fichier Kuehne'!AN:AN,0)</f>
        <v>13</v>
      </c>
      <c r="V101" t="str">
        <f t="shared" si="4"/>
        <v>21France13</v>
      </c>
      <c r="W101" t="str">
        <f t="shared" si="5"/>
        <v>France</v>
      </c>
    </row>
    <row r="102" spans="2:23" x14ac:dyDescent="0.35">
      <c r="B102" t="s">
        <v>352</v>
      </c>
      <c r="C102" t="s">
        <v>755</v>
      </c>
      <c r="D102" t="s">
        <v>757</v>
      </c>
      <c r="E102" t="s">
        <v>758</v>
      </c>
      <c r="F102" t="s">
        <v>192</v>
      </c>
      <c r="G102">
        <v>0</v>
      </c>
      <c r="H102">
        <v>0</v>
      </c>
      <c r="I102">
        <v>0</v>
      </c>
      <c r="J102">
        <v>0</v>
      </c>
      <c r="K102">
        <v>144.78</v>
      </c>
      <c r="L102">
        <v>0</v>
      </c>
      <c r="M102">
        <v>0</v>
      </c>
      <c r="N102">
        <v>0</v>
      </c>
      <c r="O102" s="23">
        <v>144.78</v>
      </c>
      <c r="P102">
        <v>144.78</v>
      </c>
      <c r="Q102">
        <v>2</v>
      </c>
      <c r="R102">
        <v>2</v>
      </c>
      <c r="S102">
        <v>204</v>
      </c>
      <c r="T102">
        <f>_xlfn.XLOOKUP(C102,'Fichier Kuehne'!S:S,'Fichier Kuehne'!AH:AH,0)</f>
        <v>21</v>
      </c>
      <c r="U102">
        <f>_xlfn.XLOOKUP(C102,'Fichier Kuehne'!S:S,'Fichier Kuehne'!AN:AN,0)</f>
        <v>34</v>
      </c>
      <c r="V102" t="str">
        <f t="shared" si="4"/>
        <v>21France34</v>
      </c>
      <c r="W102" t="str">
        <f t="shared" si="5"/>
        <v>France</v>
      </c>
    </row>
    <row r="103" spans="2:23" x14ac:dyDescent="0.35">
      <c r="B103" t="s">
        <v>352</v>
      </c>
      <c r="C103" t="s">
        <v>751</v>
      </c>
      <c r="D103" t="s">
        <v>753</v>
      </c>
      <c r="E103" t="s">
        <v>754</v>
      </c>
      <c r="F103" t="s">
        <v>192</v>
      </c>
      <c r="G103">
        <v>0</v>
      </c>
      <c r="H103">
        <v>0</v>
      </c>
      <c r="I103">
        <v>0</v>
      </c>
      <c r="J103">
        <v>0</v>
      </c>
      <c r="K103">
        <v>35.949999999999996</v>
      </c>
      <c r="L103">
        <v>0</v>
      </c>
      <c r="M103">
        <v>0</v>
      </c>
      <c r="N103">
        <v>0</v>
      </c>
      <c r="O103" s="23">
        <v>35.949999999999996</v>
      </c>
      <c r="P103">
        <v>35.949999999999996</v>
      </c>
      <c r="Q103">
        <v>1</v>
      </c>
      <c r="R103">
        <v>1</v>
      </c>
      <c r="S103">
        <v>24</v>
      </c>
      <c r="T103">
        <f>_xlfn.XLOOKUP(C103,'Fichier Kuehne'!S:S,'Fichier Kuehne'!AH:AH,0)</f>
        <v>21</v>
      </c>
      <c r="U103">
        <f>_xlfn.XLOOKUP(C103,'Fichier Kuehne'!S:S,'Fichier Kuehne'!AN:AN,0)</f>
        <v>84</v>
      </c>
      <c r="V103" t="str">
        <f t="shared" si="4"/>
        <v>21France84</v>
      </c>
      <c r="W103" t="str">
        <f t="shared" si="5"/>
        <v>France</v>
      </c>
    </row>
    <row r="104" spans="2:23" x14ac:dyDescent="0.35">
      <c r="B104" t="s">
        <v>352</v>
      </c>
      <c r="C104" t="s">
        <v>838</v>
      </c>
      <c r="D104" t="s">
        <v>840</v>
      </c>
      <c r="E104" t="s">
        <v>841</v>
      </c>
      <c r="F104" t="s">
        <v>192</v>
      </c>
      <c r="G104">
        <v>0</v>
      </c>
      <c r="H104">
        <v>0</v>
      </c>
      <c r="I104">
        <v>0</v>
      </c>
      <c r="J104">
        <v>0</v>
      </c>
      <c r="K104">
        <v>168.5</v>
      </c>
      <c r="L104">
        <v>0</v>
      </c>
      <c r="M104">
        <v>0</v>
      </c>
      <c r="N104">
        <v>0</v>
      </c>
      <c r="O104" s="23">
        <v>168.5</v>
      </c>
      <c r="P104">
        <v>168.5</v>
      </c>
      <c r="Q104">
        <v>3</v>
      </c>
      <c r="R104">
        <v>3</v>
      </c>
      <c r="S104">
        <v>174</v>
      </c>
      <c r="T104">
        <f>_xlfn.XLOOKUP(C104,'Fichier Kuehne'!S:S,'Fichier Kuehne'!AH:AH,0)</f>
        <v>21</v>
      </c>
      <c r="U104">
        <f>_xlfn.XLOOKUP(C104,'Fichier Kuehne'!S:S,'Fichier Kuehne'!AN:AN,0)</f>
        <v>79</v>
      </c>
      <c r="V104" t="str">
        <f t="shared" si="4"/>
        <v>21France79</v>
      </c>
      <c r="W104" t="str">
        <f t="shared" si="5"/>
        <v>France</v>
      </c>
    </row>
    <row r="105" spans="2:23" x14ac:dyDescent="0.35">
      <c r="B105" t="s">
        <v>352</v>
      </c>
      <c r="C105" t="s">
        <v>798</v>
      </c>
      <c r="D105" t="s">
        <v>800</v>
      </c>
      <c r="E105" t="s">
        <v>801</v>
      </c>
      <c r="F105" t="s">
        <v>192</v>
      </c>
      <c r="G105">
        <v>0</v>
      </c>
      <c r="H105">
        <v>0</v>
      </c>
      <c r="I105">
        <v>0</v>
      </c>
      <c r="J105">
        <v>0</v>
      </c>
      <c r="K105">
        <v>57.45</v>
      </c>
      <c r="L105">
        <v>0</v>
      </c>
      <c r="M105">
        <v>0</v>
      </c>
      <c r="N105">
        <v>0</v>
      </c>
      <c r="O105" s="23">
        <v>57.45</v>
      </c>
      <c r="P105">
        <v>57.45</v>
      </c>
      <c r="Q105">
        <v>1</v>
      </c>
      <c r="R105">
        <v>1</v>
      </c>
      <c r="S105">
        <v>110</v>
      </c>
      <c r="T105">
        <f>_xlfn.XLOOKUP(C105,'Fichier Kuehne'!S:S,'Fichier Kuehne'!AH:AH,0)</f>
        <v>21</v>
      </c>
      <c r="U105">
        <f>_xlfn.XLOOKUP(C105,'Fichier Kuehne'!S:S,'Fichier Kuehne'!AN:AN,0)</f>
        <v>34</v>
      </c>
      <c r="V105" t="str">
        <f t="shared" si="4"/>
        <v>21France34</v>
      </c>
      <c r="W105" t="str">
        <f t="shared" si="5"/>
        <v>France</v>
      </c>
    </row>
    <row r="106" spans="2:23" x14ac:dyDescent="0.35">
      <c r="B106" t="s">
        <v>352</v>
      </c>
      <c r="C106" t="s">
        <v>784</v>
      </c>
      <c r="D106" t="s">
        <v>786</v>
      </c>
      <c r="E106" t="s">
        <v>787</v>
      </c>
      <c r="F106" t="s">
        <v>192</v>
      </c>
      <c r="G106">
        <v>0</v>
      </c>
      <c r="H106">
        <v>0</v>
      </c>
      <c r="I106">
        <v>0</v>
      </c>
      <c r="J106">
        <v>0</v>
      </c>
      <c r="K106">
        <v>47.16</v>
      </c>
      <c r="L106">
        <v>0</v>
      </c>
      <c r="M106">
        <v>0</v>
      </c>
      <c r="N106">
        <v>0</v>
      </c>
      <c r="O106" s="23">
        <v>47.16</v>
      </c>
      <c r="P106">
        <v>47.16</v>
      </c>
      <c r="Q106">
        <v>1</v>
      </c>
      <c r="R106">
        <v>1</v>
      </c>
      <c r="S106">
        <v>134</v>
      </c>
      <c r="T106">
        <f>_xlfn.XLOOKUP(C106,'Fichier Kuehne'!S:S,'Fichier Kuehne'!AH:AH,0)</f>
        <v>21</v>
      </c>
      <c r="U106">
        <f>_xlfn.XLOOKUP(C106,'Fichier Kuehne'!S:S,'Fichier Kuehne'!AN:AN,0)</f>
        <v>42</v>
      </c>
      <c r="V106" t="str">
        <f t="shared" si="4"/>
        <v>21France42</v>
      </c>
      <c r="W106" t="str">
        <f t="shared" si="5"/>
        <v>France</v>
      </c>
    </row>
    <row r="107" spans="2:23" x14ac:dyDescent="0.35">
      <c r="B107" t="s">
        <v>352</v>
      </c>
      <c r="C107" t="s">
        <v>779</v>
      </c>
      <c r="D107" t="s">
        <v>781</v>
      </c>
      <c r="E107" t="s">
        <v>782</v>
      </c>
      <c r="F107" t="s">
        <v>192</v>
      </c>
      <c r="G107">
        <v>0</v>
      </c>
      <c r="H107">
        <v>0</v>
      </c>
      <c r="I107">
        <v>0</v>
      </c>
      <c r="J107">
        <v>0</v>
      </c>
      <c r="K107">
        <v>41.11</v>
      </c>
      <c r="L107">
        <v>0</v>
      </c>
      <c r="M107">
        <v>0</v>
      </c>
      <c r="N107">
        <v>0</v>
      </c>
      <c r="O107" s="23">
        <v>41.11</v>
      </c>
      <c r="P107">
        <v>41.11</v>
      </c>
      <c r="Q107">
        <v>1</v>
      </c>
      <c r="R107">
        <v>1</v>
      </c>
      <c r="S107">
        <v>23</v>
      </c>
      <c r="T107">
        <f>_xlfn.XLOOKUP(C107,'Fichier Kuehne'!S:S,'Fichier Kuehne'!AH:AH,0)</f>
        <v>21</v>
      </c>
      <c r="U107">
        <f>_xlfn.XLOOKUP(C107,'Fichier Kuehne'!S:S,'Fichier Kuehne'!AN:AN,0)</f>
        <v>11</v>
      </c>
      <c r="V107" t="str">
        <f t="shared" si="4"/>
        <v>21France11</v>
      </c>
      <c r="W107" t="str">
        <f t="shared" si="5"/>
        <v>France</v>
      </c>
    </row>
    <row r="108" spans="2:23" x14ac:dyDescent="0.35">
      <c r="B108" t="s">
        <v>352</v>
      </c>
      <c r="C108" t="s">
        <v>793</v>
      </c>
      <c r="D108" t="s">
        <v>795</v>
      </c>
      <c r="E108" t="s">
        <v>796</v>
      </c>
      <c r="F108" t="s">
        <v>192</v>
      </c>
      <c r="G108">
        <v>0</v>
      </c>
      <c r="H108">
        <v>0</v>
      </c>
      <c r="I108">
        <v>0</v>
      </c>
      <c r="J108">
        <v>0</v>
      </c>
      <c r="K108">
        <v>61.41</v>
      </c>
      <c r="L108">
        <v>0</v>
      </c>
      <c r="M108">
        <v>0</v>
      </c>
      <c r="N108">
        <v>0</v>
      </c>
      <c r="O108" s="23">
        <v>61.41</v>
      </c>
      <c r="P108">
        <v>61.41</v>
      </c>
      <c r="Q108">
        <v>1</v>
      </c>
      <c r="R108">
        <v>1</v>
      </c>
      <c r="S108">
        <v>100</v>
      </c>
      <c r="T108">
        <f>_xlfn.XLOOKUP(C108,'Fichier Kuehne'!S:S,'Fichier Kuehne'!AH:AH,0)</f>
        <v>21</v>
      </c>
      <c r="U108">
        <f>_xlfn.XLOOKUP(C108,'Fichier Kuehne'!S:S,'Fichier Kuehne'!AN:AN,0)</f>
        <v>33</v>
      </c>
      <c r="V108" t="str">
        <f t="shared" si="4"/>
        <v>21France33</v>
      </c>
      <c r="W108" t="str">
        <f t="shared" si="5"/>
        <v>France</v>
      </c>
    </row>
    <row r="109" spans="2:23" x14ac:dyDescent="0.35">
      <c r="B109" t="s">
        <v>352</v>
      </c>
      <c r="C109" t="s">
        <v>788</v>
      </c>
      <c r="D109" t="s">
        <v>790</v>
      </c>
      <c r="E109" t="s">
        <v>791</v>
      </c>
      <c r="F109" t="s">
        <v>192</v>
      </c>
      <c r="G109">
        <v>0</v>
      </c>
      <c r="H109">
        <v>0</v>
      </c>
      <c r="I109">
        <v>0</v>
      </c>
      <c r="J109">
        <v>0</v>
      </c>
      <c r="K109">
        <v>24.83</v>
      </c>
      <c r="L109">
        <v>0</v>
      </c>
      <c r="M109">
        <v>0</v>
      </c>
      <c r="N109">
        <v>0</v>
      </c>
      <c r="O109" s="23">
        <v>24.83</v>
      </c>
      <c r="P109">
        <v>24.83</v>
      </c>
      <c r="Q109">
        <v>1</v>
      </c>
      <c r="R109">
        <v>1</v>
      </c>
      <c r="S109">
        <v>14</v>
      </c>
      <c r="T109">
        <f>_xlfn.XLOOKUP(C109,'Fichier Kuehne'!S:S,'Fichier Kuehne'!AH:AH,0)</f>
        <v>21</v>
      </c>
      <c r="U109">
        <f>_xlfn.XLOOKUP(C109,'Fichier Kuehne'!S:S,'Fichier Kuehne'!AN:AN,0)</f>
        <v>51</v>
      </c>
      <c r="V109" t="str">
        <f t="shared" si="4"/>
        <v>21France51</v>
      </c>
      <c r="W109" t="str">
        <f t="shared" si="5"/>
        <v>France</v>
      </c>
    </row>
    <row r="110" spans="2:23" x14ac:dyDescent="0.35">
      <c r="B110" t="s">
        <v>352</v>
      </c>
      <c r="C110" t="s">
        <v>816</v>
      </c>
      <c r="D110" t="s">
        <v>818</v>
      </c>
      <c r="E110" t="s">
        <v>819</v>
      </c>
      <c r="F110" t="s">
        <v>192</v>
      </c>
      <c r="G110">
        <v>0</v>
      </c>
      <c r="H110">
        <v>0</v>
      </c>
      <c r="I110">
        <v>0</v>
      </c>
      <c r="J110">
        <v>0</v>
      </c>
      <c r="K110">
        <v>64.03</v>
      </c>
      <c r="L110">
        <v>0</v>
      </c>
      <c r="M110">
        <v>0</v>
      </c>
      <c r="N110">
        <v>0</v>
      </c>
      <c r="O110" s="23">
        <v>64.03</v>
      </c>
      <c r="P110">
        <v>64.03</v>
      </c>
      <c r="Q110">
        <v>1</v>
      </c>
      <c r="R110">
        <v>1</v>
      </c>
      <c r="S110">
        <v>110</v>
      </c>
      <c r="T110">
        <f>_xlfn.XLOOKUP(C110,'Fichier Kuehne'!S:S,'Fichier Kuehne'!AH:AH,0)</f>
        <v>21</v>
      </c>
      <c r="U110">
        <f>_xlfn.XLOOKUP(C110,'Fichier Kuehne'!S:S,'Fichier Kuehne'!AN:AN,0)</f>
        <v>33</v>
      </c>
      <c r="V110" t="str">
        <f t="shared" si="4"/>
        <v>21France33</v>
      </c>
      <c r="W110" t="str">
        <f t="shared" si="5"/>
        <v>France</v>
      </c>
    </row>
    <row r="111" spans="2:23" x14ac:dyDescent="0.35">
      <c r="B111" t="s">
        <v>352</v>
      </c>
      <c r="C111" t="s">
        <v>830</v>
      </c>
      <c r="D111" t="s">
        <v>832</v>
      </c>
      <c r="E111" t="s">
        <v>833</v>
      </c>
      <c r="F111" t="s">
        <v>192</v>
      </c>
      <c r="G111">
        <v>0</v>
      </c>
      <c r="H111">
        <v>0</v>
      </c>
      <c r="I111">
        <v>0</v>
      </c>
      <c r="J111">
        <v>0</v>
      </c>
      <c r="K111">
        <v>38.129999999999995</v>
      </c>
      <c r="L111">
        <v>0</v>
      </c>
      <c r="M111">
        <v>0</v>
      </c>
      <c r="N111">
        <v>0</v>
      </c>
      <c r="O111" s="23">
        <v>38.129999999999995</v>
      </c>
      <c r="P111">
        <v>38.129999999999995</v>
      </c>
      <c r="Q111">
        <v>1</v>
      </c>
      <c r="R111">
        <v>1</v>
      </c>
      <c r="S111">
        <v>24</v>
      </c>
      <c r="T111">
        <f>_xlfn.XLOOKUP(C111,'Fichier Kuehne'!S:S,'Fichier Kuehne'!AH:AH,0)</f>
        <v>21</v>
      </c>
      <c r="U111">
        <f>_xlfn.XLOOKUP(C111,'Fichier Kuehne'!S:S,'Fichier Kuehne'!AN:AN,0)</f>
        <v>81</v>
      </c>
      <c r="V111" t="str">
        <f t="shared" si="4"/>
        <v>21France81</v>
      </c>
      <c r="W111" t="str">
        <f t="shared" si="5"/>
        <v>France</v>
      </c>
    </row>
    <row r="112" spans="2:23" x14ac:dyDescent="0.35">
      <c r="B112" t="s">
        <v>352</v>
      </c>
      <c r="C112" t="s">
        <v>825</v>
      </c>
      <c r="D112" t="s">
        <v>827</v>
      </c>
      <c r="E112" t="s">
        <v>828</v>
      </c>
      <c r="F112" t="s">
        <v>192</v>
      </c>
      <c r="G112">
        <v>0</v>
      </c>
      <c r="H112">
        <v>0</v>
      </c>
      <c r="I112">
        <v>0</v>
      </c>
      <c r="J112">
        <v>0</v>
      </c>
      <c r="K112">
        <v>24.849999999999998</v>
      </c>
      <c r="L112">
        <v>0</v>
      </c>
      <c r="M112">
        <v>0</v>
      </c>
      <c r="N112">
        <v>0</v>
      </c>
      <c r="O112" s="23">
        <v>24.849999999999998</v>
      </c>
      <c r="P112">
        <v>24.849999999999998</v>
      </c>
      <c r="Q112">
        <v>1</v>
      </c>
      <c r="R112">
        <v>1</v>
      </c>
      <c r="S112">
        <v>40</v>
      </c>
      <c r="T112">
        <f>_xlfn.XLOOKUP(C112,'Fichier Kuehne'!S:S,'Fichier Kuehne'!AH:AH,0)</f>
        <v>21</v>
      </c>
      <c r="U112">
        <f>_xlfn.XLOOKUP(C112,'Fichier Kuehne'!S:S,'Fichier Kuehne'!AN:AN,0)</f>
        <v>71</v>
      </c>
      <c r="V112" t="str">
        <f t="shared" si="4"/>
        <v>21France71</v>
      </c>
      <c r="W112" t="str">
        <f t="shared" si="5"/>
        <v>France</v>
      </c>
    </row>
    <row r="113" spans="2:23" x14ac:dyDescent="0.35">
      <c r="B113" t="s">
        <v>352</v>
      </c>
      <c r="C113" t="s">
        <v>808</v>
      </c>
      <c r="D113" t="s">
        <v>810</v>
      </c>
      <c r="E113" t="s">
        <v>811</v>
      </c>
      <c r="F113" t="s">
        <v>192</v>
      </c>
      <c r="G113">
        <v>0</v>
      </c>
      <c r="H113">
        <v>0</v>
      </c>
      <c r="I113">
        <v>0</v>
      </c>
      <c r="J113">
        <v>0</v>
      </c>
      <c r="K113">
        <v>30.7</v>
      </c>
      <c r="L113">
        <v>0</v>
      </c>
      <c r="M113">
        <v>0</v>
      </c>
      <c r="N113">
        <v>0</v>
      </c>
      <c r="O113" s="23">
        <v>30.7</v>
      </c>
      <c r="P113">
        <v>30.7</v>
      </c>
      <c r="Q113">
        <v>1</v>
      </c>
      <c r="R113">
        <v>1</v>
      </c>
      <c r="S113">
        <v>44</v>
      </c>
      <c r="T113">
        <f>_xlfn.XLOOKUP(C113,'Fichier Kuehne'!S:S,'Fichier Kuehne'!AH:AH,0)</f>
        <v>21</v>
      </c>
      <c r="U113">
        <f>_xlfn.XLOOKUP(C113,'Fichier Kuehne'!S:S,'Fichier Kuehne'!AN:AN,0)</f>
        <v>7</v>
      </c>
      <c r="V113" t="str">
        <f t="shared" si="4"/>
        <v>21France07</v>
      </c>
      <c r="W113" t="str">
        <f t="shared" si="5"/>
        <v>France</v>
      </c>
    </row>
    <row r="114" spans="2:23" x14ac:dyDescent="0.35">
      <c r="B114" t="s">
        <v>352</v>
      </c>
      <c r="C114" t="s">
        <v>821</v>
      </c>
      <c r="D114" t="s">
        <v>823</v>
      </c>
      <c r="E114" t="s">
        <v>824</v>
      </c>
      <c r="F114" t="s">
        <v>192</v>
      </c>
      <c r="G114">
        <v>0</v>
      </c>
      <c r="H114">
        <v>0</v>
      </c>
      <c r="I114">
        <v>0</v>
      </c>
      <c r="J114">
        <v>0</v>
      </c>
      <c r="K114">
        <v>45.8</v>
      </c>
      <c r="L114">
        <v>0</v>
      </c>
      <c r="M114">
        <v>0</v>
      </c>
      <c r="N114">
        <v>0</v>
      </c>
      <c r="O114" s="23">
        <v>45.8</v>
      </c>
      <c r="P114">
        <v>45.8</v>
      </c>
      <c r="Q114">
        <v>1</v>
      </c>
      <c r="R114">
        <v>1</v>
      </c>
      <c r="S114">
        <v>56</v>
      </c>
      <c r="T114">
        <f>_xlfn.XLOOKUP(C114,'Fichier Kuehne'!S:S,'Fichier Kuehne'!AH:AH,0)</f>
        <v>21</v>
      </c>
      <c r="U114">
        <f>_xlfn.XLOOKUP(C114,'Fichier Kuehne'!S:S,'Fichier Kuehne'!AN:AN,0)</f>
        <v>81</v>
      </c>
      <c r="V114" t="str">
        <f t="shared" si="4"/>
        <v>21France81</v>
      </c>
      <c r="W114" t="str">
        <f t="shared" si="5"/>
        <v>France</v>
      </c>
    </row>
    <row r="115" spans="2:23" x14ac:dyDescent="0.35">
      <c r="B115" t="s">
        <v>352</v>
      </c>
      <c r="C115" t="s">
        <v>813</v>
      </c>
      <c r="D115" t="s">
        <v>815</v>
      </c>
      <c r="E115" t="s">
        <v>300</v>
      </c>
      <c r="F115" t="s">
        <v>192</v>
      </c>
      <c r="G115">
        <v>0</v>
      </c>
      <c r="H115">
        <v>0</v>
      </c>
      <c r="I115">
        <v>0</v>
      </c>
      <c r="J115">
        <v>0</v>
      </c>
      <c r="K115">
        <v>40.299999999999997</v>
      </c>
      <c r="L115">
        <v>0</v>
      </c>
      <c r="M115">
        <v>0</v>
      </c>
      <c r="N115">
        <v>0</v>
      </c>
      <c r="O115" s="23">
        <v>40.299999999999997</v>
      </c>
      <c r="P115">
        <v>40.299999999999997</v>
      </c>
      <c r="Q115">
        <v>1</v>
      </c>
      <c r="R115">
        <v>1</v>
      </c>
      <c r="S115">
        <v>23</v>
      </c>
      <c r="T115">
        <f>_xlfn.XLOOKUP(C115,'Fichier Kuehne'!S:S,'Fichier Kuehne'!AH:AH,0)</f>
        <v>21</v>
      </c>
      <c r="U115">
        <f>_xlfn.XLOOKUP(C115,'Fichier Kuehne'!S:S,'Fichier Kuehne'!AN:AN,0)</f>
        <v>83</v>
      </c>
      <c r="V115" t="str">
        <f t="shared" si="4"/>
        <v>21France83</v>
      </c>
      <c r="W115" t="str">
        <f t="shared" si="5"/>
        <v>France</v>
      </c>
    </row>
    <row r="116" spans="2:23" x14ac:dyDescent="0.35">
      <c r="B116" t="s">
        <v>352</v>
      </c>
      <c r="C116" t="s">
        <v>804</v>
      </c>
      <c r="D116" t="s">
        <v>806</v>
      </c>
      <c r="E116" t="s">
        <v>807</v>
      </c>
      <c r="F116" t="s">
        <v>192</v>
      </c>
      <c r="G116">
        <v>0</v>
      </c>
      <c r="H116">
        <v>0</v>
      </c>
      <c r="I116">
        <v>0</v>
      </c>
      <c r="J116">
        <v>0</v>
      </c>
      <c r="K116">
        <v>26.63</v>
      </c>
      <c r="L116">
        <v>0</v>
      </c>
      <c r="M116">
        <v>0</v>
      </c>
      <c r="N116">
        <v>0</v>
      </c>
      <c r="O116" s="23">
        <v>26.63</v>
      </c>
      <c r="P116">
        <v>26.63</v>
      </c>
      <c r="Q116">
        <v>1</v>
      </c>
      <c r="R116">
        <v>1</v>
      </c>
      <c r="S116">
        <v>87</v>
      </c>
      <c r="T116">
        <f>_xlfn.XLOOKUP(C116,'Fichier Kuehne'!S:S,'Fichier Kuehne'!AH:AH,0)</f>
        <v>21</v>
      </c>
      <c r="U116">
        <f>_xlfn.XLOOKUP(C116,'Fichier Kuehne'!S:S,'Fichier Kuehne'!AN:AN,0)</f>
        <v>21</v>
      </c>
      <c r="V116" t="str">
        <f t="shared" si="4"/>
        <v>21France21</v>
      </c>
      <c r="W116" t="str">
        <f t="shared" si="5"/>
        <v>France</v>
      </c>
    </row>
    <row r="117" spans="2:23" x14ac:dyDescent="0.35">
      <c r="B117" t="s">
        <v>352</v>
      </c>
      <c r="C117" t="s">
        <v>834</v>
      </c>
      <c r="D117" t="s">
        <v>836</v>
      </c>
      <c r="E117" t="s">
        <v>837</v>
      </c>
      <c r="F117" t="s">
        <v>192</v>
      </c>
      <c r="G117">
        <v>0</v>
      </c>
      <c r="H117">
        <v>0</v>
      </c>
      <c r="I117">
        <v>0</v>
      </c>
      <c r="J117">
        <v>0</v>
      </c>
      <c r="K117">
        <v>93.350000000000009</v>
      </c>
      <c r="L117">
        <v>0</v>
      </c>
      <c r="M117">
        <v>0</v>
      </c>
      <c r="N117">
        <v>0</v>
      </c>
      <c r="O117" s="23">
        <v>93.350000000000009</v>
      </c>
      <c r="P117">
        <v>93.350000000000009</v>
      </c>
      <c r="Q117">
        <v>2</v>
      </c>
      <c r="R117">
        <v>2</v>
      </c>
      <c r="S117">
        <v>222</v>
      </c>
      <c r="T117">
        <f>_xlfn.XLOOKUP(C117,'Fichier Kuehne'!S:S,'Fichier Kuehne'!AH:AH,0)</f>
        <v>21</v>
      </c>
      <c r="U117">
        <f>_xlfn.XLOOKUP(C117,'Fichier Kuehne'!S:S,'Fichier Kuehne'!AN:AN,0)</f>
        <v>42</v>
      </c>
      <c r="V117" t="str">
        <f t="shared" si="4"/>
        <v>21France42</v>
      </c>
      <c r="W117" t="str">
        <f t="shared" si="5"/>
        <v>France</v>
      </c>
    </row>
    <row r="118" spans="2:23" x14ac:dyDescent="0.35">
      <c r="B118" t="s">
        <v>352</v>
      </c>
      <c r="C118" t="s">
        <v>853</v>
      </c>
      <c r="D118" t="s">
        <v>855</v>
      </c>
      <c r="E118" t="s">
        <v>325</v>
      </c>
      <c r="F118" t="s">
        <v>192</v>
      </c>
      <c r="G118">
        <v>0</v>
      </c>
      <c r="H118">
        <v>0</v>
      </c>
      <c r="I118">
        <v>0</v>
      </c>
      <c r="J118">
        <v>0</v>
      </c>
      <c r="K118">
        <v>75.73</v>
      </c>
      <c r="L118">
        <v>0</v>
      </c>
      <c r="M118">
        <v>0</v>
      </c>
      <c r="N118">
        <v>0</v>
      </c>
      <c r="O118" s="23">
        <v>75.73</v>
      </c>
      <c r="P118">
        <v>75.73</v>
      </c>
      <c r="Q118">
        <v>2</v>
      </c>
      <c r="R118">
        <v>2</v>
      </c>
      <c r="S118">
        <v>220</v>
      </c>
      <c r="T118">
        <f>_xlfn.XLOOKUP(C118,'Fichier Kuehne'!S:S,'Fichier Kuehne'!AH:AH,0)</f>
        <v>21</v>
      </c>
      <c r="U118">
        <f>_xlfn.XLOOKUP(C118,'Fichier Kuehne'!S:S,'Fichier Kuehne'!AN:AN,0)</f>
        <v>71</v>
      </c>
      <c r="V118" t="str">
        <f t="shared" si="4"/>
        <v>21France71</v>
      </c>
      <c r="W118" t="str">
        <f t="shared" si="5"/>
        <v>France</v>
      </c>
    </row>
    <row r="119" spans="2:23" x14ac:dyDescent="0.35">
      <c r="B119" t="s">
        <v>352</v>
      </c>
      <c r="C119" t="s">
        <v>848</v>
      </c>
      <c r="D119" t="s">
        <v>850</v>
      </c>
      <c r="E119" t="s">
        <v>851</v>
      </c>
      <c r="F119" t="s">
        <v>192</v>
      </c>
      <c r="G119">
        <v>0</v>
      </c>
      <c r="H119">
        <v>0</v>
      </c>
      <c r="I119">
        <v>0</v>
      </c>
      <c r="J119">
        <v>0</v>
      </c>
      <c r="K119">
        <v>26.83</v>
      </c>
      <c r="L119">
        <v>0</v>
      </c>
      <c r="M119">
        <v>0</v>
      </c>
      <c r="N119">
        <v>0</v>
      </c>
      <c r="O119" s="23">
        <v>26.83</v>
      </c>
      <c r="P119">
        <v>26.83</v>
      </c>
      <c r="Q119">
        <v>1</v>
      </c>
      <c r="R119">
        <v>1</v>
      </c>
      <c r="S119">
        <v>63</v>
      </c>
      <c r="T119">
        <f>_xlfn.XLOOKUP(C119,'Fichier Kuehne'!S:S,'Fichier Kuehne'!AH:AH,0)</f>
        <v>21</v>
      </c>
      <c r="U119">
        <f>_xlfn.XLOOKUP(C119,'Fichier Kuehne'!S:S,'Fichier Kuehne'!AN:AN,0)</f>
        <v>71</v>
      </c>
      <c r="V119" t="str">
        <f t="shared" si="4"/>
        <v>21France71</v>
      </c>
      <c r="W119" t="str">
        <f t="shared" si="5"/>
        <v>France</v>
      </c>
    </row>
    <row r="120" spans="2:23" x14ac:dyDescent="0.35">
      <c r="B120" t="s">
        <v>352</v>
      </c>
      <c r="C120" t="s">
        <v>858</v>
      </c>
      <c r="D120" t="s">
        <v>860</v>
      </c>
      <c r="E120" t="s">
        <v>861</v>
      </c>
      <c r="F120" t="s">
        <v>192</v>
      </c>
      <c r="G120">
        <v>0</v>
      </c>
      <c r="H120">
        <v>0</v>
      </c>
      <c r="I120">
        <v>0</v>
      </c>
      <c r="J120">
        <v>0</v>
      </c>
      <c r="K120">
        <v>126.09</v>
      </c>
      <c r="L120">
        <v>0</v>
      </c>
      <c r="M120">
        <v>0</v>
      </c>
      <c r="N120">
        <v>0</v>
      </c>
      <c r="O120" s="23">
        <v>126.09</v>
      </c>
      <c r="P120">
        <v>126.09</v>
      </c>
      <c r="Q120">
        <v>2</v>
      </c>
      <c r="R120">
        <v>2</v>
      </c>
      <c r="S120">
        <v>314</v>
      </c>
      <c r="T120">
        <f>_xlfn.XLOOKUP(C120,'Fichier Kuehne'!S:S,'Fichier Kuehne'!AH:AH,0)</f>
        <v>21</v>
      </c>
      <c r="U120">
        <f>_xlfn.XLOOKUP(C120,'Fichier Kuehne'!S:S,'Fichier Kuehne'!AN:AN,0)</f>
        <v>49</v>
      </c>
      <c r="V120" t="str">
        <f t="shared" si="4"/>
        <v>21France49</v>
      </c>
      <c r="W120" t="str">
        <f t="shared" si="5"/>
        <v>France</v>
      </c>
    </row>
    <row r="121" spans="2:23" x14ac:dyDescent="0.35">
      <c r="B121" t="s">
        <v>352</v>
      </c>
      <c r="C121" t="s">
        <v>893</v>
      </c>
      <c r="D121" t="s">
        <v>895</v>
      </c>
      <c r="E121" t="s">
        <v>896</v>
      </c>
      <c r="F121" t="s">
        <v>192</v>
      </c>
      <c r="G121">
        <v>0</v>
      </c>
      <c r="H121">
        <v>0</v>
      </c>
      <c r="I121">
        <v>0</v>
      </c>
      <c r="J121">
        <v>0</v>
      </c>
      <c r="K121">
        <v>23.36</v>
      </c>
      <c r="L121">
        <v>0</v>
      </c>
      <c r="M121">
        <v>0</v>
      </c>
      <c r="N121">
        <v>0</v>
      </c>
      <c r="O121" s="23">
        <v>23.36</v>
      </c>
      <c r="P121">
        <v>23.36</v>
      </c>
      <c r="Q121">
        <v>1</v>
      </c>
      <c r="R121">
        <v>1</v>
      </c>
      <c r="S121">
        <v>48</v>
      </c>
      <c r="T121">
        <f>_xlfn.XLOOKUP(C121,'Fichier Kuehne'!S:S,'Fichier Kuehne'!AH:AH,0)</f>
        <v>21</v>
      </c>
      <c r="U121">
        <f>_xlfn.XLOOKUP(C121,'Fichier Kuehne'!S:S,'Fichier Kuehne'!AN:AN,0)</f>
        <v>21</v>
      </c>
      <c r="V121" t="str">
        <f t="shared" si="4"/>
        <v>21France21</v>
      </c>
      <c r="W121" t="str">
        <f t="shared" si="5"/>
        <v>France</v>
      </c>
    </row>
    <row r="122" spans="2:23" x14ac:dyDescent="0.35">
      <c r="B122" t="s">
        <v>352</v>
      </c>
      <c r="C122" t="s">
        <v>888</v>
      </c>
      <c r="D122" t="s">
        <v>890</v>
      </c>
      <c r="E122" t="s">
        <v>891</v>
      </c>
      <c r="F122" t="s">
        <v>192</v>
      </c>
      <c r="G122">
        <v>0</v>
      </c>
      <c r="H122">
        <v>0</v>
      </c>
      <c r="I122">
        <v>0</v>
      </c>
      <c r="J122">
        <v>0</v>
      </c>
      <c r="K122">
        <v>134.22</v>
      </c>
      <c r="L122">
        <v>0</v>
      </c>
      <c r="M122">
        <v>0</v>
      </c>
      <c r="N122">
        <v>0</v>
      </c>
      <c r="O122" s="23">
        <v>134.22</v>
      </c>
      <c r="P122">
        <v>134.22</v>
      </c>
      <c r="Q122">
        <v>3</v>
      </c>
      <c r="R122">
        <v>3</v>
      </c>
      <c r="S122">
        <v>304</v>
      </c>
      <c r="T122">
        <f>_xlfn.XLOOKUP(C122,'Fichier Kuehne'!S:S,'Fichier Kuehne'!AH:AH,0)</f>
        <v>21</v>
      </c>
      <c r="U122">
        <f>_xlfn.XLOOKUP(C122,'Fichier Kuehne'!S:S,'Fichier Kuehne'!AN:AN,0)</f>
        <v>26</v>
      </c>
      <c r="V122" t="str">
        <f t="shared" si="4"/>
        <v>21France26</v>
      </c>
      <c r="W122" t="str">
        <f t="shared" si="5"/>
        <v>France</v>
      </c>
    </row>
    <row r="123" spans="2:23" x14ac:dyDescent="0.35">
      <c r="B123" t="s">
        <v>352</v>
      </c>
      <c r="C123" t="s">
        <v>897</v>
      </c>
      <c r="D123" t="s">
        <v>899</v>
      </c>
      <c r="E123" t="s">
        <v>900</v>
      </c>
      <c r="F123" t="s">
        <v>192</v>
      </c>
      <c r="G123">
        <v>0</v>
      </c>
      <c r="H123">
        <v>0</v>
      </c>
      <c r="I123">
        <v>0</v>
      </c>
      <c r="J123">
        <v>0</v>
      </c>
      <c r="K123">
        <v>73.210000000000008</v>
      </c>
      <c r="L123">
        <v>0</v>
      </c>
      <c r="M123">
        <v>0</v>
      </c>
      <c r="N123">
        <v>0</v>
      </c>
      <c r="O123" s="23">
        <v>73.210000000000008</v>
      </c>
      <c r="P123">
        <v>73.210000000000008</v>
      </c>
      <c r="Q123">
        <v>1</v>
      </c>
      <c r="R123">
        <v>1</v>
      </c>
      <c r="S123">
        <v>124</v>
      </c>
      <c r="T123">
        <f>_xlfn.XLOOKUP(C123,'Fichier Kuehne'!S:S,'Fichier Kuehne'!AH:AH,0)</f>
        <v>21</v>
      </c>
      <c r="U123">
        <f>_xlfn.XLOOKUP(C123,'Fichier Kuehne'!S:S,'Fichier Kuehne'!AN:AN,0)</f>
        <v>17</v>
      </c>
      <c r="V123" t="str">
        <f t="shared" si="4"/>
        <v>21France17</v>
      </c>
      <c r="W123" t="str">
        <f t="shared" si="5"/>
        <v>France</v>
      </c>
    </row>
    <row r="124" spans="2:23" x14ac:dyDescent="0.35">
      <c r="B124" t="s">
        <v>352</v>
      </c>
      <c r="C124" t="s">
        <v>902</v>
      </c>
      <c r="D124" t="s">
        <v>904</v>
      </c>
      <c r="E124" t="s">
        <v>905</v>
      </c>
      <c r="F124" t="s">
        <v>192</v>
      </c>
      <c r="G124">
        <v>0</v>
      </c>
      <c r="H124">
        <v>0</v>
      </c>
      <c r="I124">
        <v>0</v>
      </c>
      <c r="J124">
        <v>0</v>
      </c>
      <c r="K124">
        <v>23.549999999999997</v>
      </c>
      <c r="L124">
        <v>0</v>
      </c>
      <c r="M124">
        <v>0</v>
      </c>
      <c r="N124">
        <v>0</v>
      </c>
      <c r="O124" s="23">
        <v>23.549999999999997</v>
      </c>
      <c r="P124">
        <v>23.549999999999997</v>
      </c>
      <c r="Q124">
        <v>1</v>
      </c>
      <c r="R124">
        <v>1</v>
      </c>
      <c r="S124">
        <v>18</v>
      </c>
      <c r="T124">
        <f>_xlfn.XLOOKUP(C124,'Fichier Kuehne'!S:S,'Fichier Kuehne'!AH:AH,0)</f>
        <v>21</v>
      </c>
      <c r="U124">
        <f>_xlfn.XLOOKUP(C124,'Fichier Kuehne'!S:S,'Fichier Kuehne'!AN:AN,0)</f>
        <v>7</v>
      </c>
      <c r="V124" t="str">
        <f t="shared" si="4"/>
        <v>21France07</v>
      </c>
      <c r="W124" t="str">
        <f t="shared" si="5"/>
        <v>France</v>
      </c>
    </row>
    <row r="125" spans="2:23" x14ac:dyDescent="0.35">
      <c r="B125" t="s">
        <v>352</v>
      </c>
      <c r="C125" t="s">
        <v>879</v>
      </c>
      <c r="D125" t="s">
        <v>881</v>
      </c>
      <c r="E125" t="s">
        <v>882</v>
      </c>
      <c r="F125" t="s">
        <v>192</v>
      </c>
      <c r="G125">
        <v>0</v>
      </c>
      <c r="H125">
        <v>0</v>
      </c>
      <c r="I125">
        <v>0</v>
      </c>
      <c r="J125">
        <v>0</v>
      </c>
      <c r="K125">
        <v>66.19</v>
      </c>
      <c r="L125">
        <v>0</v>
      </c>
      <c r="M125">
        <v>0</v>
      </c>
      <c r="N125">
        <v>0</v>
      </c>
      <c r="O125" s="23">
        <v>66.19</v>
      </c>
      <c r="P125">
        <v>66.19</v>
      </c>
      <c r="Q125">
        <v>1</v>
      </c>
      <c r="R125">
        <v>1</v>
      </c>
      <c r="S125">
        <v>124</v>
      </c>
      <c r="T125">
        <f>_xlfn.XLOOKUP(C125,'Fichier Kuehne'!S:S,'Fichier Kuehne'!AH:AH,0)</f>
        <v>21</v>
      </c>
      <c r="U125">
        <f>_xlfn.XLOOKUP(C125,'Fichier Kuehne'!S:S,'Fichier Kuehne'!AN:AN,0)</f>
        <v>13</v>
      </c>
      <c r="V125" t="str">
        <f t="shared" si="4"/>
        <v>21France13</v>
      </c>
      <c r="W125" t="str">
        <f t="shared" si="5"/>
        <v>France</v>
      </c>
    </row>
    <row r="126" spans="2:23" x14ac:dyDescent="0.35">
      <c r="B126" t="s">
        <v>352</v>
      </c>
      <c r="C126" t="s">
        <v>884</v>
      </c>
      <c r="D126" t="s">
        <v>886</v>
      </c>
      <c r="E126" t="s">
        <v>887</v>
      </c>
      <c r="F126" t="s">
        <v>192</v>
      </c>
      <c r="G126">
        <v>0</v>
      </c>
      <c r="H126">
        <v>0</v>
      </c>
      <c r="I126">
        <v>0</v>
      </c>
      <c r="J126">
        <v>0</v>
      </c>
      <c r="K126">
        <v>28.34</v>
      </c>
      <c r="L126">
        <v>0</v>
      </c>
      <c r="M126">
        <v>0</v>
      </c>
      <c r="N126">
        <v>0</v>
      </c>
      <c r="O126" s="23">
        <v>28.34</v>
      </c>
      <c r="P126">
        <v>28.34</v>
      </c>
      <c r="Q126">
        <v>1</v>
      </c>
      <c r="R126">
        <v>1</v>
      </c>
      <c r="S126">
        <v>55</v>
      </c>
      <c r="T126">
        <f>_xlfn.XLOOKUP(C126,'Fichier Kuehne'!S:S,'Fichier Kuehne'!AH:AH,0)</f>
        <v>21</v>
      </c>
      <c r="U126">
        <f>_xlfn.XLOOKUP(C126,'Fichier Kuehne'!S:S,'Fichier Kuehne'!AN:AN,0)</f>
        <v>69</v>
      </c>
      <c r="V126" t="str">
        <f t="shared" si="4"/>
        <v>21France69</v>
      </c>
      <c r="W126" t="str">
        <f t="shared" si="5"/>
        <v>France</v>
      </c>
    </row>
    <row r="127" spans="2:23" x14ac:dyDescent="0.35">
      <c r="B127" t="s">
        <v>352</v>
      </c>
      <c r="C127" t="s">
        <v>865</v>
      </c>
      <c r="D127" t="s">
        <v>867</v>
      </c>
      <c r="E127" t="s">
        <v>868</v>
      </c>
      <c r="F127" t="s">
        <v>192</v>
      </c>
      <c r="G127">
        <v>0</v>
      </c>
      <c r="H127">
        <v>0</v>
      </c>
      <c r="I127">
        <v>0</v>
      </c>
      <c r="J127">
        <v>0</v>
      </c>
      <c r="K127">
        <v>50.54</v>
      </c>
      <c r="L127">
        <v>0</v>
      </c>
      <c r="M127">
        <v>0</v>
      </c>
      <c r="N127">
        <v>0</v>
      </c>
      <c r="O127" s="23">
        <v>50.54</v>
      </c>
      <c r="P127">
        <v>50.54</v>
      </c>
      <c r="Q127">
        <v>1</v>
      </c>
      <c r="R127">
        <v>1</v>
      </c>
      <c r="S127">
        <v>59</v>
      </c>
      <c r="T127">
        <f>_xlfn.XLOOKUP(C127,'Fichier Kuehne'!S:S,'Fichier Kuehne'!AH:AH,0)</f>
        <v>21</v>
      </c>
      <c r="U127">
        <f>_xlfn.XLOOKUP(C127,'Fichier Kuehne'!S:S,'Fichier Kuehne'!AN:AN,0)</f>
        <v>66</v>
      </c>
      <c r="V127" t="str">
        <f t="shared" si="4"/>
        <v>21France66</v>
      </c>
      <c r="W127" t="str">
        <f t="shared" si="5"/>
        <v>France</v>
      </c>
    </row>
    <row r="128" spans="2:23" x14ac:dyDescent="0.35">
      <c r="B128" t="s">
        <v>352</v>
      </c>
      <c r="C128" t="s">
        <v>907</v>
      </c>
      <c r="D128" t="s">
        <v>909</v>
      </c>
      <c r="E128" t="s">
        <v>910</v>
      </c>
      <c r="F128" t="s">
        <v>192</v>
      </c>
      <c r="G128">
        <v>0</v>
      </c>
      <c r="H128">
        <v>0</v>
      </c>
      <c r="I128">
        <v>0</v>
      </c>
      <c r="J128">
        <v>0</v>
      </c>
      <c r="K128">
        <v>31.139999999999997</v>
      </c>
      <c r="L128">
        <v>0</v>
      </c>
      <c r="M128">
        <v>0</v>
      </c>
      <c r="N128">
        <v>0</v>
      </c>
      <c r="O128" s="23">
        <v>31.139999999999997</v>
      </c>
      <c r="P128">
        <v>31.139999999999997</v>
      </c>
      <c r="Q128">
        <v>1</v>
      </c>
      <c r="R128">
        <v>1</v>
      </c>
      <c r="S128">
        <v>56</v>
      </c>
      <c r="T128">
        <f>_xlfn.XLOOKUP(C128,'Fichier Kuehne'!S:S,'Fichier Kuehne'!AH:AH,0)</f>
        <v>21</v>
      </c>
      <c r="U128">
        <f>_xlfn.XLOOKUP(C128,'Fichier Kuehne'!S:S,'Fichier Kuehne'!AN:AN,0)</f>
        <v>73</v>
      </c>
      <c r="V128" t="str">
        <f t="shared" si="4"/>
        <v>21France73</v>
      </c>
      <c r="W128" t="str">
        <f t="shared" si="5"/>
        <v>France</v>
      </c>
    </row>
    <row r="129" spans="2:23" x14ac:dyDescent="0.35">
      <c r="B129" t="s">
        <v>352</v>
      </c>
      <c r="C129" t="s">
        <v>869</v>
      </c>
      <c r="D129" t="s">
        <v>871</v>
      </c>
      <c r="E129" t="s">
        <v>872</v>
      </c>
      <c r="F129" t="s">
        <v>192</v>
      </c>
      <c r="G129">
        <v>0</v>
      </c>
      <c r="H129">
        <v>0</v>
      </c>
      <c r="I129">
        <v>0</v>
      </c>
      <c r="J129">
        <v>0</v>
      </c>
      <c r="K129">
        <v>42.78</v>
      </c>
      <c r="L129">
        <v>0</v>
      </c>
      <c r="M129">
        <v>0</v>
      </c>
      <c r="N129">
        <v>0</v>
      </c>
      <c r="O129" s="23">
        <v>42.78</v>
      </c>
      <c r="P129">
        <v>42.78</v>
      </c>
      <c r="Q129">
        <v>1</v>
      </c>
      <c r="R129">
        <v>1</v>
      </c>
      <c r="S129">
        <v>34</v>
      </c>
      <c r="T129">
        <f>_xlfn.XLOOKUP(C129,'Fichier Kuehne'!S:S,'Fichier Kuehne'!AH:AH,0)</f>
        <v>21</v>
      </c>
      <c r="U129">
        <f>_xlfn.XLOOKUP(C129,'Fichier Kuehne'!S:S,'Fichier Kuehne'!AN:AN,0)</f>
        <v>34</v>
      </c>
      <c r="V129" t="str">
        <f t="shared" si="4"/>
        <v>21France34</v>
      </c>
      <c r="W129" t="str">
        <f t="shared" si="5"/>
        <v>France</v>
      </c>
    </row>
    <row r="130" spans="2:23" x14ac:dyDescent="0.35">
      <c r="B130" t="s">
        <v>352</v>
      </c>
      <c r="C130" t="s">
        <v>862</v>
      </c>
      <c r="D130" t="s">
        <v>864</v>
      </c>
      <c r="E130" t="s">
        <v>308</v>
      </c>
      <c r="F130" t="s">
        <v>192</v>
      </c>
      <c r="G130">
        <v>0</v>
      </c>
      <c r="H130">
        <v>0</v>
      </c>
      <c r="I130">
        <v>0</v>
      </c>
      <c r="J130">
        <v>0</v>
      </c>
      <c r="K130">
        <v>161.72999999999999</v>
      </c>
      <c r="L130">
        <v>0</v>
      </c>
      <c r="M130">
        <v>0</v>
      </c>
      <c r="N130">
        <v>0</v>
      </c>
      <c r="O130" s="23">
        <v>161.72999999999999</v>
      </c>
      <c r="P130">
        <v>161.72999999999999</v>
      </c>
      <c r="Q130">
        <v>2</v>
      </c>
      <c r="R130">
        <v>2</v>
      </c>
      <c r="S130">
        <v>168</v>
      </c>
      <c r="T130">
        <f>_xlfn.XLOOKUP(C130,'Fichier Kuehne'!S:S,'Fichier Kuehne'!AH:AH,0)</f>
        <v>21</v>
      </c>
      <c r="U130">
        <f>_xlfn.XLOOKUP(C130,'Fichier Kuehne'!S:S,'Fichier Kuehne'!AN:AN,0)</f>
        <v>33</v>
      </c>
      <c r="V130" t="str">
        <f t="shared" si="4"/>
        <v>21France33</v>
      </c>
      <c r="W130" t="str">
        <f t="shared" si="5"/>
        <v>France</v>
      </c>
    </row>
    <row r="131" spans="2:23" x14ac:dyDescent="0.35">
      <c r="B131" t="s">
        <v>352</v>
      </c>
      <c r="C131" t="s">
        <v>874</v>
      </c>
      <c r="D131" t="s">
        <v>876</v>
      </c>
      <c r="E131" t="s">
        <v>877</v>
      </c>
      <c r="F131" t="s">
        <v>192</v>
      </c>
      <c r="G131">
        <v>0</v>
      </c>
      <c r="H131">
        <v>0</v>
      </c>
      <c r="I131">
        <v>0</v>
      </c>
      <c r="J131">
        <v>0</v>
      </c>
      <c r="K131">
        <v>30.18</v>
      </c>
      <c r="L131">
        <v>0</v>
      </c>
      <c r="M131">
        <v>0</v>
      </c>
      <c r="N131">
        <v>0</v>
      </c>
      <c r="O131" s="23">
        <v>30.18</v>
      </c>
      <c r="P131">
        <v>30.18</v>
      </c>
      <c r="Q131">
        <v>1</v>
      </c>
      <c r="R131">
        <v>1</v>
      </c>
      <c r="S131">
        <v>18</v>
      </c>
      <c r="T131">
        <f>_xlfn.XLOOKUP(C131,'Fichier Kuehne'!S:S,'Fichier Kuehne'!AH:AH,0)</f>
        <v>21</v>
      </c>
      <c r="U131">
        <f>_xlfn.XLOOKUP(C131,'Fichier Kuehne'!S:S,'Fichier Kuehne'!AN:AN,0)</f>
        <v>47</v>
      </c>
      <c r="V131" t="str">
        <f t="shared" si="4"/>
        <v>21France47</v>
      </c>
      <c r="W131" t="str">
        <f t="shared" si="5"/>
        <v>France</v>
      </c>
    </row>
    <row r="132" spans="2:23" x14ac:dyDescent="0.35">
      <c r="B132" t="s">
        <v>352</v>
      </c>
      <c r="C132" t="s">
        <v>912</v>
      </c>
      <c r="D132" t="s">
        <v>914</v>
      </c>
      <c r="E132" t="s">
        <v>915</v>
      </c>
      <c r="F132" t="s">
        <v>192</v>
      </c>
      <c r="G132">
        <v>0</v>
      </c>
      <c r="H132">
        <v>0</v>
      </c>
      <c r="I132">
        <v>0</v>
      </c>
      <c r="J132">
        <v>0</v>
      </c>
      <c r="K132">
        <v>37.549999999999997</v>
      </c>
      <c r="L132">
        <v>0</v>
      </c>
      <c r="M132">
        <v>0</v>
      </c>
      <c r="N132">
        <v>0</v>
      </c>
      <c r="O132" s="23">
        <v>37.549999999999997</v>
      </c>
      <c r="P132">
        <v>37.549999999999997</v>
      </c>
      <c r="Q132">
        <v>1</v>
      </c>
      <c r="R132">
        <v>1</v>
      </c>
      <c r="S132">
        <v>56</v>
      </c>
      <c r="T132">
        <f>_xlfn.XLOOKUP(C132,'Fichier Kuehne'!S:S,'Fichier Kuehne'!AH:AH,0)</f>
        <v>21</v>
      </c>
      <c r="U132">
        <f>_xlfn.XLOOKUP(C132,'Fichier Kuehne'!S:S,'Fichier Kuehne'!AN:AN,0)</f>
        <v>24</v>
      </c>
      <c r="V132" t="str">
        <f t="shared" si="4"/>
        <v>21France24</v>
      </c>
      <c r="W132" t="str">
        <f t="shared" si="5"/>
        <v>France</v>
      </c>
    </row>
    <row r="133" spans="2:23" x14ac:dyDescent="0.35">
      <c r="B133" t="s">
        <v>352</v>
      </c>
      <c r="C133" t="s">
        <v>925</v>
      </c>
      <c r="D133" t="s">
        <v>927</v>
      </c>
      <c r="E133" t="s">
        <v>928</v>
      </c>
      <c r="F133" t="s">
        <v>192</v>
      </c>
      <c r="G133">
        <v>0</v>
      </c>
      <c r="H133">
        <v>0</v>
      </c>
      <c r="I133">
        <v>0</v>
      </c>
      <c r="J133">
        <v>0</v>
      </c>
      <c r="K133">
        <v>47.24</v>
      </c>
      <c r="L133">
        <v>0</v>
      </c>
      <c r="M133">
        <v>0</v>
      </c>
      <c r="N133">
        <v>0</v>
      </c>
      <c r="O133" s="23">
        <v>47.24</v>
      </c>
      <c r="P133">
        <v>47.24</v>
      </c>
      <c r="Q133">
        <v>1</v>
      </c>
      <c r="R133">
        <v>1</v>
      </c>
      <c r="S133">
        <v>30</v>
      </c>
      <c r="T133">
        <f>_xlfn.XLOOKUP(C133,'Fichier Kuehne'!S:S,'Fichier Kuehne'!AH:AH,0)</f>
        <v>21</v>
      </c>
      <c r="U133">
        <f>_xlfn.XLOOKUP(C133,'Fichier Kuehne'!S:S,'Fichier Kuehne'!AN:AN,0)</f>
        <v>33</v>
      </c>
      <c r="V133" t="str">
        <f t="shared" si="4"/>
        <v>21France33</v>
      </c>
      <c r="W133" t="str">
        <f t="shared" si="5"/>
        <v>France</v>
      </c>
    </row>
    <row r="134" spans="2:23" x14ac:dyDescent="0.35">
      <c r="B134" t="s">
        <v>352</v>
      </c>
      <c r="C134" t="s">
        <v>934</v>
      </c>
      <c r="D134" t="s">
        <v>936</v>
      </c>
      <c r="E134" t="s">
        <v>937</v>
      </c>
      <c r="F134" t="s">
        <v>192</v>
      </c>
      <c r="G134">
        <v>0</v>
      </c>
      <c r="H134">
        <v>7</v>
      </c>
      <c r="I134">
        <v>0</v>
      </c>
      <c r="J134">
        <v>0</v>
      </c>
      <c r="K134">
        <v>37.18</v>
      </c>
      <c r="L134">
        <v>0</v>
      </c>
      <c r="M134">
        <v>0</v>
      </c>
      <c r="N134">
        <v>0</v>
      </c>
      <c r="O134" s="23">
        <v>44.18</v>
      </c>
      <c r="P134">
        <v>44.18</v>
      </c>
      <c r="Q134">
        <v>1</v>
      </c>
      <c r="R134">
        <v>1</v>
      </c>
      <c r="S134">
        <v>115</v>
      </c>
      <c r="T134">
        <f>_xlfn.XLOOKUP(C134,'Fichier Kuehne'!S:S,'Fichier Kuehne'!AH:AH,0)</f>
        <v>21</v>
      </c>
      <c r="U134">
        <f>_xlfn.XLOOKUP(C134,'Fichier Kuehne'!S:S,'Fichier Kuehne'!AN:AN,0)</f>
        <v>69</v>
      </c>
      <c r="V134" t="str">
        <f t="shared" si="4"/>
        <v>21France69</v>
      </c>
      <c r="W134" t="str">
        <f t="shared" si="5"/>
        <v>France</v>
      </c>
    </row>
    <row r="135" spans="2:23" x14ac:dyDescent="0.35">
      <c r="B135" t="s">
        <v>352</v>
      </c>
      <c r="C135" t="s">
        <v>942</v>
      </c>
      <c r="D135" t="s">
        <v>944</v>
      </c>
      <c r="E135" t="s">
        <v>945</v>
      </c>
      <c r="F135" t="s">
        <v>192</v>
      </c>
      <c r="G135">
        <v>0</v>
      </c>
      <c r="H135">
        <v>0</v>
      </c>
      <c r="I135">
        <v>0</v>
      </c>
      <c r="J135">
        <v>0</v>
      </c>
      <c r="K135">
        <v>51.68</v>
      </c>
      <c r="L135">
        <v>0</v>
      </c>
      <c r="M135">
        <v>0</v>
      </c>
      <c r="N135">
        <v>0</v>
      </c>
      <c r="O135" s="23">
        <v>51.68</v>
      </c>
      <c r="P135">
        <v>51.68</v>
      </c>
      <c r="Q135">
        <v>1</v>
      </c>
      <c r="R135">
        <v>1</v>
      </c>
      <c r="S135">
        <v>72</v>
      </c>
      <c r="T135">
        <f>_xlfn.XLOOKUP(C135,'Fichier Kuehne'!S:S,'Fichier Kuehne'!AH:AH,0)</f>
        <v>21</v>
      </c>
      <c r="U135">
        <f>_xlfn.XLOOKUP(C135,'Fichier Kuehne'!S:S,'Fichier Kuehne'!AN:AN,0)</f>
        <v>34</v>
      </c>
      <c r="V135" t="str">
        <f t="shared" si="4"/>
        <v>21France34</v>
      </c>
      <c r="W135" t="str">
        <f t="shared" si="5"/>
        <v>France</v>
      </c>
    </row>
    <row r="136" spans="2:23" x14ac:dyDescent="0.35">
      <c r="B136" t="s">
        <v>352</v>
      </c>
      <c r="C136" t="s">
        <v>939</v>
      </c>
      <c r="D136" t="s">
        <v>941</v>
      </c>
      <c r="E136" t="s">
        <v>315</v>
      </c>
      <c r="F136" t="s">
        <v>192</v>
      </c>
      <c r="G136">
        <v>0</v>
      </c>
      <c r="H136">
        <v>0</v>
      </c>
      <c r="I136">
        <v>0</v>
      </c>
      <c r="J136">
        <v>0</v>
      </c>
      <c r="K136">
        <v>61.93</v>
      </c>
      <c r="L136">
        <v>0</v>
      </c>
      <c r="M136">
        <v>0</v>
      </c>
      <c r="N136">
        <v>0</v>
      </c>
      <c r="O136" s="23">
        <v>61.93</v>
      </c>
      <c r="P136">
        <v>61.93</v>
      </c>
      <c r="Q136">
        <v>1</v>
      </c>
      <c r="R136">
        <v>1</v>
      </c>
      <c r="S136">
        <v>151</v>
      </c>
      <c r="T136">
        <f>_xlfn.XLOOKUP(C136,'Fichier Kuehne'!S:S,'Fichier Kuehne'!AH:AH,0)</f>
        <v>21</v>
      </c>
      <c r="U136">
        <f>_xlfn.XLOOKUP(C136,'Fichier Kuehne'!S:S,'Fichier Kuehne'!AN:AN,0)</f>
        <v>78</v>
      </c>
      <c r="V136" t="str">
        <f t="shared" si="4"/>
        <v>21France78</v>
      </c>
      <c r="W136" t="str">
        <f t="shared" si="5"/>
        <v>France</v>
      </c>
    </row>
    <row r="137" spans="2:23" x14ac:dyDescent="0.35">
      <c r="B137" t="s">
        <v>352</v>
      </c>
      <c r="C137" t="s">
        <v>962</v>
      </c>
      <c r="D137" t="s">
        <v>964</v>
      </c>
      <c r="E137" t="s">
        <v>965</v>
      </c>
      <c r="F137" t="s">
        <v>192</v>
      </c>
      <c r="G137">
        <v>0</v>
      </c>
      <c r="H137">
        <v>7</v>
      </c>
      <c r="I137">
        <v>0</v>
      </c>
      <c r="J137">
        <v>0</v>
      </c>
      <c r="K137">
        <v>38.67</v>
      </c>
      <c r="L137">
        <v>0</v>
      </c>
      <c r="M137">
        <v>0</v>
      </c>
      <c r="N137">
        <v>0</v>
      </c>
      <c r="O137" s="23">
        <v>45.67</v>
      </c>
      <c r="P137">
        <v>45.67</v>
      </c>
      <c r="Q137">
        <v>1</v>
      </c>
      <c r="R137">
        <v>1</v>
      </c>
      <c r="S137">
        <v>56</v>
      </c>
      <c r="T137">
        <f>_xlfn.XLOOKUP(C137,'Fichier Kuehne'!S:S,'Fichier Kuehne'!AH:AH,0)</f>
        <v>21</v>
      </c>
      <c r="U137">
        <f>_xlfn.XLOOKUP(C137,'Fichier Kuehne'!S:S,'Fichier Kuehne'!AN:AN,0)</f>
        <v>93</v>
      </c>
      <c r="V137" t="str">
        <f t="shared" si="4"/>
        <v>21France93</v>
      </c>
      <c r="W137" t="str">
        <f t="shared" si="5"/>
        <v>France</v>
      </c>
    </row>
    <row r="138" spans="2:23" x14ac:dyDescent="0.35">
      <c r="B138" t="s">
        <v>352</v>
      </c>
      <c r="C138" t="s">
        <v>930</v>
      </c>
      <c r="D138" t="s">
        <v>932</v>
      </c>
      <c r="E138" t="s">
        <v>933</v>
      </c>
      <c r="F138" t="s">
        <v>192</v>
      </c>
      <c r="G138">
        <v>0</v>
      </c>
      <c r="H138">
        <v>0</v>
      </c>
      <c r="I138">
        <v>0</v>
      </c>
      <c r="J138">
        <v>0</v>
      </c>
      <c r="K138">
        <v>153.13</v>
      </c>
      <c r="L138">
        <v>0</v>
      </c>
      <c r="M138">
        <v>0</v>
      </c>
      <c r="N138">
        <v>0</v>
      </c>
      <c r="O138" s="23">
        <v>153.13</v>
      </c>
      <c r="P138">
        <v>153.13</v>
      </c>
      <c r="Q138">
        <v>2</v>
      </c>
      <c r="R138">
        <v>2</v>
      </c>
      <c r="S138">
        <v>230</v>
      </c>
      <c r="T138">
        <f>_xlfn.XLOOKUP(C138,'Fichier Kuehne'!S:S,'Fichier Kuehne'!AH:AH,0)</f>
        <v>21</v>
      </c>
      <c r="U138">
        <f>_xlfn.XLOOKUP(C138,'Fichier Kuehne'!S:S,'Fichier Kuehne'!AN:AN,0)</f>
        <v>83</v>
      </c>
      <c r="V138" t="str">
        <f t="shared" si="4"/>
        <v>21France83</v>
      </c>
      <c r="W138" t="str">
        <f t="shared" si="5"/>
        <v>France</v>
      </c>
    </row>
    <row r="139" spans="2:23" x14ac:dyDescent="0.35">
      <c r="B139" t="s">
        <v>352</v>
      </c>
      <c r="C139" t="s">
        <v>952</v>
      </c>
      <c r="D139" t="s">
        <v>954</v>
      </c>
      <c r="E139" t="s">
        <v>955</v>
      </c>
      <c r="F139" t="s">
        <v>192</v>
      </c>
      <c r="G139">
        <v>0</v>
      </c>
      <c r="H139">
        <v>0</v>
      </c>
      <c r="I139">
        <v>0</v>
      </c>
      <c r="J139">
        <v>0</v>
      </c>
      <c r="K139">
        <v>56.4</v>
      </c>
      <c r="L139">
        <v>0</v>
      </c>
      <c r="M139">
        <v>0</v>
      </c>
      <c r="N139">
        <v>0</v>
      </c>
      <c r="O139" s="23">
        <v>56.4</v>
      </c>
      <c r="P139">
        <v>56.4</v>
      </c>
      <c r="Q139">
        <v>1</v>
      </c>
      <c r="R139">
        <v>1</v>
      </c>
      <c r="S139">
        <v>87</v>
      </c>
      <c r="T139">
        <f>_xlfn.XLOOKUP(C139,'Fichier Kuehne'!S:S,'Fichier Kuehne'!AH:AH,0)</f>
        <v>21</v>
      </c>
      <c r="U139">
        <f>_xlfn.XLOOKUP(C139,'Fichier Kuehne'!S:S,'Fichier Kuehne'!AN:AN,0)</f>
        <v>83</v>
      </c>
      <c r="V139" t="str">
        <f t="shared" si="4"/>
        <v>21France83</v>
      </c>
      <c r="W139" t="str">
        <f t="shared" si="5"/>
        <v>France</v>
      </c>
    </row>
    <row r="140" spans="2:23" x14ac:dyDescent="0.35">
      <c r="B140" t="s">
        <v>352</v>
      </c>
      <c r="C140" t="s">
        <v>947</v>
      </c>
      <c r="D140" t="s">
        <v>949</v>
      </c>
      <c r="E140" t="s">
        <v>950</v>
      </c>
      <c r="F140" t="s">
        <v>192</v>
      </c>
      <c r="G140">
        <v>0</v>
      </c>
      <c r="H140">
        <v>0</v>
      </c>
      <c r="I140">
        <v>0</v>
      </c>
      <c r="J140">
        <v>0</v>
      </c>
      <c r="K140">
        <v>32.729999999999997</v>
      </c>
      <c r="L140">
        <v>0</v>
      </c>
      <c r="M140">
        <v>0</v>
      </c>
      <c r="N140">
        <v>0</v>
      </c>
      <c r="O140" s="23">
        <v>32.729999999999997</v>
      </c>
      <c r="P140">
        <v>32.729999999999997</v>
      </c>
      <c r="Q140">
        <v>1</v>
      </c>
      <c r="R140">
        <v>1</v>
      </c>
      <c r="S140">
        <v>67</v>
      </c>
      <c r="T140">
        <f>_xlfn.XLOOKUP(C140,'Fichier Kuehne'!S:S,'Fichier Kuehne'!AH:AH,0)</f>
        <v>21</v>
      </c>
      <c r="U140">
        <f>_xlfn.XLOOKUP(C140,'Fichier Kuehne'!S:S,'Fichier Kuehne'!AN:AN,0)</f>
        <v>42</v>
      </c>
      <c r="V140" t="str">
        <f t="shared" si="4"/>
        <v>21France42</v>
      </c>
      <c r="W140" t="str">
        <f t="shared" si="5"/>
        <v>France</v>
      </c>
    </row>
    <row r="141" spans="2:23" x14ac:dyDescent="0.35">
      <c r="B141" t="s">
        <v>352</v>
      </c>
      <c r="C141" t="s">
        <v>957</v>
      </c>
      <c r="D141" t="s">
        <v>959</v>
      </c>
      <c r="E141" t="s">
        <v>960</v>
      </c>
      <c r="F141" t="s">
        <v>192</v>
      </c>
      <c r="G141">
        <v>0</v>
      </c>
      <c r="H141">
        <v>0</v>
      </c>
      <c r="I141">
        <v>0</v>
      </c>
      <c r="J141">
        <v>0</v>
      </c>
      <c r="K141">
        <v>52.47</v>
      </c>
      <c r="L141">
        <v>0</v>
      </c>
      <c r="M141">
        <v>0</v>
      </c>
      <c r="N141">
        <v>0</v>
      </c>
      <c r="O141" s="23">
        <v>52.47</v>
      </c>
      <c r="P141">
        <v>52.47</v>
      </c>
      <c r="Q141">
        <v>1</v>
      </c>
      <c r="R141">
        <v>1</v>
      </c>
      <c r="S141">
        <v>132</v>
      </c>
      <c r="T141">
        <f>_xlfn.XLOOKUP(C141,'Fichier Kuehne'!S:S,'Fichier Kuehne'!AH:AH,0)</f>
        <v>21</v>
      </c>
      <c r="U141">
        <f>_xlfn.XLOOKUP(C141,'Fichier Kuehne'!S:S,'Fichier Kuehne'!AN:AN,0)</f>
        <v>67</v>
      </c>
      <c r="V141" t="str">
        <f t="shared" si="4"/>
        <v>21France67</v>
      </c>
      <c r="W141" t="str">
        <f t="shared" si="5"/>
        <v>France</v>
      </c>
    </row>
    <row r="142" spans="2:23" x14ac:dyDescent="0.35">
      <c r="B142" t="s">
        <v>352</v>
      </c>
      <c r="C142" t="s">
        <v>982</v>
      </c>
      <c r="D142" t="s">
        <v>984</v>
      </c>
      <c r="E142" t="s">
        <v>314</v>
      </c>
      <c r="F142" t="s">
        <v>192</v>
      </c>
      <c r="G142">
        <v>0</v>
      </c>
      <c r="H142">
        <v>0</v>
      </c>
      <c r="I142">
        <v>0</v>
      </c>
      <c r="J142">
        <v>0</v>
      </c>
      <c r="K142">
        <v>44.96</v>
      </c>
      <c r="L142">
        <v>0</v>
      </c>
      <c r="M142">
        <v>0</v>
      </c>
      <c r="N142">
        <v>0</v>
      </c>
      <c r="O142" s="23">
        <v>44.96</v>
      </c>
      <c r="P142">
        <v>44.96</v>
      </c>
      <c r="Q142">
        <v>1</v>
      </c>
      <c r="R142">
        <v>1</v>
      </c>
      <c r="S142">
        <v>34</v>
      </c>
      <c r="T142">
        <f>_xlfn.XLOOKUP(C142,'Fichier Kuehne'!S:S,'Fichier Kuehne'!AH:AH,0)</f>
        <v>21</v>
      </c>
      <c r="U142">
        <f>_xlfn.XLOOKUP(C142,'Fichier Kuehne'!S:S,'Fichier Kuehne'!AN:AN,0)</f>
        <v>83</v>
      </c>
      <c r="V142" t="str">
        <f t="shared" si="4"/>
        <v>21France83</v>
      </c>
      <c r="W142" t="str">
        <f t="shared" si="5"/>
        <v>France</v>
      </c>
    </row>
    <row r="143" spans="2:23" x14ac:dyDescent="0.35">
      <c r="B143" t="s">
        <v>352</v>
      </c>
      <c r="C143" t="s">
        <v>985</v>
      </c>
      <c r="D143" t="s">
        <v>987</v>
      </c>
      <c r="E143" t="s">
        <v>327</v>
      </c>
      <c r="F143" t="s">
        <v>192</v>
      </c>
      <c r="G143">
        <v>0</v>
      </c>
      <c r="H143">
        <v>0</v>
      </c>
      <c r="I143">
        <v>0</v>
      </c>
      <c r="J143">
        <v>0</v>
      </c>
      <c r="K143">
        <v>58.949999999999996</v>
      </c>
      <c r="L143">
        <v>0</v>
      </c>
      <c r="M143">
        <v>0</v>
      </c>
      <c r="N143">
        <v>0</v>
      </c>
      <c r="O143" s="23">
        <v>58.949999999999996</v>
      </c>
      <c r="P143">
        <v>58.949999999999996</v>
      </c>
      <c r="Q143">
        <v>1</v>
      </c>
      <c r="R143">
        <v>1</v>
      </c>
      <c r="S143">
        <v>121</v>
      </c>
      <c r="T143">
        <f>_xlfn.XLOOKUP(C143,'Fichier Kuehne'!S:S,'Fichier Kuehne'!AH:AH,0)</f>
        <v>21</v>
      </c>
      <c r="U143">
        <f>_xlfn.XLOOKUP(C143,'Fichier Kuehne'!S:S,'Fichier Kuehne'!AN:AN,0)</f>
        <v>49</v>
      </c>
      <c r="V143" t="str">
        <f t="shared" si="4"/>
        <v>21France49</v>
      </c>
      <c r="W143" t="str">
        <f t="shared" si="5"/>
        <v>France</v>
      </c>
    </row>
    <row r="144" spans="2:23" x14ac:dyDescent="0.35">
      <c r="B144" t="s">
        <v>352</v>
      </c>
      <c r="C144" t="s">
        <v>1012</v>
      </c>
      <c r="D144" t="s">
        <v>1014</v>
      </c>
      <c r="E144" t="s">
        <v>1015</v>
      </c>
      <c r="F144" t="s">
        <v>192</v>
      </c>
      <c r="G144">
        <v>0</v>
      </c>
      <c r="H144">
        <v>7</v>
      </c>
      <c r="I144">
        <v>0</v>
      </c>
      <c r="J144">
        <v>0</v>
      </c>
      <c r="K144">
        <v>30.919999999999998</v>
      </c>
      <c r="L144">
        <v>0</v>
      </c>
      <c r="M144">
        <v>0</v>
      </c>
      <c r="N144">
        <v>0</v>
      </c>
      <c r="O144" s="23">
        <v>37.92</v>
      </c>
      <c r="P144">
        <v>37.92</v>
      </c>
      <c r="Q144">
        <v>1</v>
      </c>
      <c r="R144">
        <v>1</v>
      </c>
      <c r="S144">
        <v>28</v>
      </c>
      <c r="T144">
        <f>_xlfn.XLOOKUP(C144,'Fichier Kuehne'!S:S,'Fichier Kuehne'!AH:AH,0)</f>
        <v>21</v>
      </c>
      <c r="U144">
        <f>_xlfn.XLOOKUP(C144,'Fichier Kuehne'!S:S,'Fichier Kuehne'!AN:AN,0)</f>
        <v>75</v>
      </c>
      <c r="V144" t="str">
        <f t="shared" si="4"/>
        <v>21France75</v>
      </c>
      <c r="W144" t="str">
        <f t="shared" si="5"/>
        <v>France</v>
      </c>
    </row>
    <row r="145" spans="2:23" x14ac:dyDescent="0.35">
      <c r="B145" t="s">
        <v>352</v>
      </c>
      <c r="C145" t="s">
        <v>988</v>
      </c>
      <c r="D145" t="s">
        <v>990</v>
      </c>
      <c r="E145" t="s">
        <v>991</v>
      </c>
      <c r="F145" t="s">
        <v>192</v>
      </c>
      <c r="G145">
        <v>0</v>
      </c>
      <c r="H145">
        <v>0</v>
      </c>
      <c r="I145">
        <v>0</v>
      </c>
      <c r="J145">
        <v>0</v>
      </c>
      <c r="K145">
        <v>30.9</v>
      </c>
      <c r="L145">
        <v>0</v>
      </c>
      <c r="M145">
        <v>0</v>
      </c>
      <c r="N145">
        <v>0</v>
      </c>
      <c r="O145" s="23">
        <v>30.9</v>
      </c>
      <c r="P145">
        <v>30.9</v>
      </c>
      <c r="Q145">
        <v>1</v>
      </c>
      <c r="R145">
        <v>1</v>
      </c>
      <c r="S145">
        <v>72</v>
      </c>
      <c r="T145">
        <f>_xlfn.XLOOKUP(C145,'Fichier Kuehne'!S:S,'Fichier Kuehne'!AH:AH,0)</f>
        <v>21</v>
      </c>
      <c r="U145">
        <f>_xlfn.XLOOKUP(C145,'Fichier Kuehne'!S:S,'Fichier Kuehne'!AN:AN,0)</f>
        <v>69</v>
      </c>
      <c r="V145" t="str">
        <f t="shared" si="4"/>
        <v>21France69</v>
      </c>
      <c r="W145" t="str">
        <f t="shared" si="5"/>
        <v>France</v>
      </c>
    </row>
    <row r="146" spans="2:23" x14ac:dyDescent="0.35">
      <c r="B146" t="s">
        <v>352</v>
      </c>
      <c r="C146" t="s">
        <v>1008</v>
      </c>
      <c r="D146" t="s">
        <v>1010</v>
      </c>
      <c r="E146" t="s">
        <v>1011</v>
      </c>
      <c r="F146" t="s">
        <v>192</v>
      </c>
      <c r="G146">
        <v>0</v>
      </c>
      <c r="H146">
        <v>7</v>
      </c>
      <c r="I146">
        <v>0</v>
      </c>
      <c r="J146">
        <v>0</v>
      </c>
      <c r="K146">
        <v>42.37</v>
      </c>
      <c r="L146">
        <v>0</v>
      </c>
      <c r="M146">
        <v>0</v>
      </c>
      <c r="N146">
        <v>0</v>
      </c>
      <c r="O146" s="23">
        <v>49.37</v>
      </c>
      <c r="P146">
        <v>49.37</v>
      </c>
      <c r="Q146">
        <v>1</v>
      </c>
      <c r="R146">
        <v>1</v>
      </c>
      <c r="S146">
        <v>88</v>
      </c>
      <c r="T146">
        <f>_xlfn.XLOOKUP(C146,'Fichier Kuehne'!S:S,'Fichier Kuehne'!AH:AH,0)</f>
        <v>21</v>
      </c>
      <c r="U146">
        <f>_xlfn.XLOOKUP(C146,'Fichier Kuehne'!S:S,'Fichier Kuehne'!AN:AN,0)</f>
        <v>75</v>
      </c>
      <c r="V146" t="str">
        <f t="shared" si="4"/>
        <v>21France75</v>
      </c>
      <c r="W146" t="str">
        <f t="shared" si="5"/>
        <v>France</v>
      </c>
    </row>
    <row r="147" spans="2:23" x14ac:dyDescent="0.35">
      <c r="B147" t="s">
        <v>352</v>
      </c>
      <c r="C147" t="s">
        <v>998</v>
      </c>
      <c r="D147" t="s">
        <v>1000</v>
      </c>
      <c r="E147" t="s">
        <v>1001</v>
      </c>
      <c r="F147" t="s">
        <v>192</v>
      </c>
      <c r="G147">
        <v>0</v>
      </c>
      <c r="H147">
        <v>0</v>
      </c>
      <c r="I147">
        <v>0</v>
      </c>
      <c r="J147">
        <v>0</v>
      </c>
      <c r="K147">
        <v>35.44</v>
      </c>
      <c r="L147">
        <v>0</v>
      </c>
      <c r="M147">
        <v>0</v>
      </c>
      <c r="N147">
        <v>0</v>
      </c>
      <c r="O147" s="23">
        <v>35.44</v>
      </c>
      <c r="P147">
        <v>35.44</v>
      </c>
      <c r="Q147">
        <v>1</v>
      </c>
      <c r="R147">
        <v>1</v>
      </c>
      <c r="S147">
        <v>88</v>
      </c>
      <c r="T147">
        <f>_xlfn.XLOOKUP(C147,'Fichier Kuehne'!S:S,'Fichier Kuehne'!AH:AH,0)</f>
        <v>21</v>
      </c>
      <c r="U147">
        <f>_xlfn.XLOOKUP(C147,'Fichier Kuehne'!S:S,'Fichier Kuehne'!AN:AN,0)</f>
        <v>73</v>
      </c>
      <c r="V147" t="str">
        <f t="shared" ref="V147:V186" si="6">T147&amp;W147&amp;IF(U147&lt;10,"0"&amp;U147,U147)</f>
        <v>21France73</v>
      </c>
      <c r="W147" t="str">
        <f t="shared" ref="W147:W186" si="7">IF(F147="FR","France","étranger")</f>
        <v>France</v>
      </c>
    </row>
    <row r="148" spans="2:23" x14ac:dyDescent="0.35">
      <c r="B148" t="s">
        <v>352</v>
      </c>
      <c r="C148" t="s">
        <v>978</v>
      </c>
      <c r="D148" t="s">
        <v>980</v>
      </c>
      <c r="E148" t="s">
        <v>981</v>
      </c>
      <c r="F148" t="s">
        <v>192</v>
      </c>
      <c r="G148">
        <v>0</v>
      </c>
      <c r="H148">
        <v>0</v>
      </c>
      <c r="I148">
        <v>0</v>
      </c>
      <c r="J148">
        <v>0</v>
      </c>
      <c r="K148">
        <v>40.1</v>
      </c>
      <c r="L148">
        <v>0</v>
      </c>
      <c r="M148">
        <v>0</v>
      </c>
      <c r="N148">
        <v>0</v>
      </c>
      <c r="O148" s="23">
        <v>40.1</v>
      </c>
      <c r="P148">
        <v>40.1</v>
      </c>
      <c r="Q148">
        <v>1</v>
      </c>
      <c r="R148">
        <v>1</v>
      </c>
      <c r="S148">
        <v>126</v>
      </c>
      <c r="T148">
        <f>_xlfn.XLOOKUP(C148,'Fichier Kuehne'!S:S,'Fichier Kuehne'!AH:AH,0)</f>
        <v>21</v>
      </c>
      <c r="U148">
        <f>_xlfn.XLOOKUP(C148,'Fichier Kuehne'!S:S,'Fichier Kuehne'!AN:AN,0)</f>
        <v>69</v>
      </c>
      <c r="V148" t="str">
        <f t="shared" si="6"/>
        <v>21France69</v>
      </c>
      <c r="W148" t="str">
        <f t="shared" si="7"/>
        <v>France</v>
      </c>
    </row>
    <row r="149" spans="2:23" x14ac:dyDescent="0.35">
      <c r="B149" t="s">
        <v>352</v>
      </c>
      <c r="C149" t="s">
        <v>968</v>
      </c>
      <c r="D149" t="s">
        <v>970</v>
      </c>
      <c r="E149" t="s">
        <v>971</v>
      </c>
      <c r="F149" t="s">
        <v>192</v>
      </c>
      <c r="G149">
        <v>0</v>
      </c>
      <c r="H149">
        <v>0</v>
      </c>
      <c r="I149">
        <v>0</v>
      </c>
      <c r="J149">
        <v>0</v>
      </c>
      <c r="K149">
        <v>48.39</v>
      </c>
      <c r="L149">
        <v>0</v>
      </c>
      <c r="M149">
        <v>0</v>
      </c>
      <c r="N149">
        <v>0</v>
      </c>
      <c r="O149" s="23">
        <v>48.39</v>
      </c>
      <c r="P149">
        <v>48.39</v>
      </c>
      <c r="Q149">
        <v>1</v>
      </c>
      <c r="R149">
        <v>1</v>
      </c>
      <c r="S149">
        <v>58</v>
      </c>
      <c r="T149">
        <f>_xlfn.XLOOKUP(C149,'Fichier Kuehne'!S:S,'Fichier Kuehne'!AH:AH,0)</f>
        <v>21</v>
      </c>
      <c r="U149">
        <f>_xlfn.XLOOKUP(C149,'Fichier Kuehne'!S:S,'Fichier Kuehne'!AN:AN,0)</f>
        <v>83</v>
      </c>
      <c r="V149" t="str">
        <f t="shared" si="6"/>
        <v>21France83</v>
      </c>
      <c r="W149" t="str">
        <f t="shared" si="7"/>
        <v>France</v>
      </c>
    </row>
    <row r="150" spans="2:23" x14ac:dyDescent="0.35">
      <c r="B150" t="s">
        <v>352</v>
      </c>
      <c r="C150" t="s">
        <v>993</v>
      </c>
      <c r="D150" t="s">
        <v>995</v>
      </c>
      <c r="E150" t="s">
        <v>996</v>
      </c>
      <c r="F150" t="s">
        <v>192</v>
      </c>
      <c r="G150">
        <v>0</v>
      </c>
      <c r="H150">
        <v>0</v>
      </c>
      <c r="I150">
        <v>0</v>
      </c>
      <c r="J150">
        <v>0</v>
      </c>
      <c r="K150">
        <v>26.599999999999998</v>
      </c>
      <c r="L150">
        <v>0</v>
      </c>
      <c r="M150">
        <v>0</v>
      </c>
      <c r="N150">
        <v>0</v>
      </c>
      <c r="O150" s="23">
        <v>26.599999999999998</v>
      </c>
      <c r="P150">
        <v>26.599999999999998</v>
      </c>
      <c r="Q150">
        <v>1</v>
      </c>
      <c r="R150">
        <v>1</v>
      </c>
      <c r="S150">
        <v>27</v>
      </c>
      <c r="T150">
        <f>_xlfn.XLOOKUP(C150,'Fichier Kuehne'!S:S,'Fichier Kuehne'!AH:AH,0)</f>
        <v>21</v>
      </c>
      <c r="U150">
        <f>_xlfn.XLOOKUP(C150,'Fichier Kuehne'!S:S,'Fichier Kuehne'!AN:AN,0)</f>
        <v>26</v>
      </c>
      <c r="V150" t="str">
        <f t="shared" si="6"/>
        <v>21France26</v>
      </c>
      <c r="W150" t="str">
        <f t="shared" si="7"/>
        <v>France</v>
      </c>
    </row>
    <row r="151" spans="2:23" x14ac:dyDescent="0.35">
      <c r="B151" t="s">
        <v>352</v>
      </c>
      <c r="C151" t="s">
        <v>1003</v>
      </c>
      <c r="D151" t="s">
        <v>1005</v>
      </c>
      <c r="E151" t="s">
        <v>1006</v>
      </c>
      <c r="F151" t="s">
        <v>192</v>
      </c>
      <c r="G151">
        <v>0</v>
      </c>
      <c r="H151">
        <v>0</v>
      </c>
      <c r="I151">
        <v>0</v>
      </c>
      <c r="J151">
        <v>0</v>
      </c>
      <c r="K151">
        <v>153.13</v>
      </c>
      <c r="L151">
        <v>0</v>
      </c>
      <c r="M151">
        <v>0</v>
      </c>
      <c r="N151">
        <v>0</v>
      </c>
      <c r="O151" s="23">
        <v>153.13</v>
      </c>
      <c r="P151">
        <v>153.13</v>
      </c>
      <c r="Q151">
        <v>2</v>
      </c>
      <c r="R151">
        <v>2</v>
      </c>
      <c r="S151">
        <v>264</v>
      </c>
      <c r="T151">
        <f>_xlfn.XLOOKUP(C151,'Fichier Kuehne'!S:S,'Fichier Kuehne'!AH:AH,0)</f>
        <v>21</v>
      </c>
      <c r="U151">
        <f>_xlfn.XLOOKUP(C151,'Fichier Kuehne'!S:S,'Fichier Kuehne'!AN:AN,0)</f>
        <v>83</v>
      </c>
      <c r="V151" t="str">
        <f t="shared" si="6"/>
        <v>21France83</v>
      </c>
      <c r="W151" t="str">
        <f t="shared" si="7"/>
        <v>France</v>
      </c>
    </row>
    <row r="152" spans="2:23" x14ac:dyDescent="0.35">
      <c r="B152" t="s">
        <v>352</v>
      </c>
      <c r="C152" t="s">
        <v>973</v>
      </c>
      <c r="D152" t="s">
        <v>975</v>
      </c>
      <c r="E152" t="s">
        <v>976</v>
      </c>
      <c r="F152" t="s">
        <v>192</v>
      </c>
      <c r="G152">
        <v>0</v>
      </c>
      <c r="H152">
        <v>0</v>
      </c>
      <c r="I152">
        <v>0</v>
      </c>
      <c r="J152">
        <v>0</v>
      </c>
      <c r="K152">
        <v>43.589999999999996</v>
      </c>
      <c r="L152">
        <v>0</v>
      </c>
      <c r="M152">
        <v>0</v>
      </c>
      <c r="N152">
        <v>0</v>
      </c>
      <c r="O152" s="23">
        <v>43.589999999999996</v>
      </c>
      <c r="P152">
        <v>43.589999999999996</v>
      </c>
      <c r="Q152">
        <v>1</v>
      </c>
      <c r="R152">
        <v>1</v>
      </c>
      <c r="S152">
        <v>44</v>
      </c>
      <c r="T152">
        <f>_xlfn.XLOOKUP(C152,'Fichier Kuehne'!S:S,'Fichier Kuehne'!AH:AH,0)</f>
        <v>21</v>
      </c>
      <c r="U152">
        <f>_xlfn.XLOOKUP(C152,'Fichier Kuehne'!S:S,'Fichier Kuehne'!AN:AN,0)</f>
        <v>13</v>
      </c>
      <c r="V152" t="str">
        <f t="shared" si="6"/>
        <v>21France13</v>
      </c>
      <c r="W152" t="str">
        <f t="shared" si="7"/>
        <v>France</v>
      </c>
    </row>
    <row r="153" spans="2:23" x14ac:dyDescent="0.35">
      <c r="B153" t="s">
        <v>352</v>
      </c>
      <c r="C153" t="s">
        <v>1045</v>
      </c>
      <c r="D153" t="s">
        <v>1047</v>
      </c>
      <c r="E153" t="s">
        <v>1048</v>
      </c>
      <c r="F153" t="s">
        <v>192</v>
      </c>
      <c r="G153">
        <v>0</v>
      </c>
      <c r="H153">
        <v>0</v>
      </c>
      <c r="I153">
        <v>0</v>
      </c>
      <c r="J153">
        <v>0</v>
      </c>
      <c r="K153">
        <v>153.13</v>
      </c>
      <c r="L153">
        <v>0</v>
      </c>
      <c r="M153">
        <v>0</v>
      </c>
      <c r="N153">
        <v>0</v>
      </c>
      <c r="O153" s="23">
        <v>153.13</v>
      </c>
      <c r="P153">
        <v>153.13</v>
      </c>
      <c r="Q153">
        <v>2</v>
      </c>
      <c r="R153">
        <v>2</v>
      </c>
      <c r="S153">
        <v>205</v>
      </c>
      <c r="T153">
        <f>_xlfn.XLOOKUP(C153,'Fichier Kuehne'!S:S,'Fichier Kuehne'!AH:AH,0)</f>
        <v>21</v>
      </c>
      <c r="U153">
        <f>_xlfn.XLOOKUP(C153,'Fichier Kuehne'!S:S,'Fichier Kuehne'!AN:AN,0)</f>
        <v>83</v>
      </c>
      <c r="V153" t="str">
        <f t="shared" si="6"/>
        <v>21France83</v>
      </c>
      <c r="W153" t="str">
        <f t="shared" si="7"/>
        <v>France</v>
      </c>
    </row>
    <row r="154" spans="2:23" x14ac:dyDescent="0.35">
      <c r="B154" t="s">
        <v>352</v>
      </c>
      <c r="C154" t="s">
        <v>1035</v>
      </c>
      <c r="D154" t="s">
        <v>1037</v>
      </c>
      <c r="E154" t="s">
        <v>1038</v>
      </c>
      <c r="F154" t="s">
        <v>192</v>
      </c>
      <c r="G154">
        <v>0</v>
      </c>
      <c r="H154">
        <v>0</v>
      </c>
      <c r="I154">
        <v>0</v>
      </c>
      <c r="J154">
        <v>0</v>
      </c>
      <c r="K154">
        <v>33.85</v>
      </c>
      <c r="L154">
        <v>0</v>
      </c>
      <c r="M154">
        <v>0</v>
      </c>
      <c r="N154">
        <v>0</v>
      </c>
      <c r="O154" s="23">
        <v>33.85</v>
      </c>
      <c r="P154">
        <v>33.85</v>
      </c>
      <c r="Q154">
        <v>1</v>
      </c>
      <c r="R154">
        <v>1</v>
      </c>
      <c r="S154">
        <v>19</v>
      </c>
      <c r="T154">
        <f>_xlfn.XLOOKUP(C154,'Fichier Kuehne'!S:S,'Fichier Kuehne'!AH:AH,0)</f>
        <v>21</v>
      </c>
      <c r="U154">
        <f>_xlfn.XLOOKUP(C154,'Fichier Kuehne'!S:S,'Fichier Kuehne'!AN:AN,0)</f>
        <v>34</v>
      </c>
      <c r="V154" t="str">
        <f t="shared" si="6"/>
        <v>21France34</v>
      </c>
      <c r="W154" t="str">
        <f t="shared" si="7"/>
        <v>France</v>
      </c>
    </row>
    <row r="155" spans="2:23" x14ac:dyDescent="0.35">
      <c r="B155" t="s">
        <v>352</v>
      </c>
      <c r="C155" t="s">
        <v>1023</v>
      </c>
      <c r="D155" t="s">
        <v>1025</v>
      </c>
      <c r="E155" t="s">
        <v>1026</v>
      </c>
      <c r="F155" t="s">
        <v>192</v>
      </c>
      <c r="G155">
        <v>0</v>
      </c>
      <c r="H155">
        <v>0</v>
      </c>
      <c r="I155">
        <v>0</v>
      </c>
      <c r="J155">
        <v>0</v>
      </c>
      <c r="K155">
        <v>44.93</v>
      </c>
      <c r="L155">
        <v>0</v>
      </c>
      <c r="M155">
        <v>0</v>
      </c>
      <c r="N155">
        <v>0</v>
      </c>
      <c r="O155" s="23">
        <v>44.93</v>
      </c>
      <c r="P155">
        <v>44.93</v>
      </c>
      <c r="Q155">
        <v>1</v>
      </c>
      <c r="R155">
        <v>1</v>
      </c>
      <c r="S155">
        <v>146</v>
      </c>
      <c r="T155">
        <f>_xlfn.XLOOKUP(C155,'Fichier Kuehne'!S:S,'Fichier Kuehne'!AH:AH,0)</f>
        <v>21</v>
      </c>
      <c r="U155">
        <f>_xlfn.XLOOKUP(C155,'Fichier Kuehne'!S:S,'Fichier Kuehne'!AN:AN,0)</f>
        <v>1</v>
      </c>
      <c r="V155" t="str">
        <f t="shared" si="6"/>
        <v>21France01</v>
      </c>
      <c r="W155" t="str">
        <f t="shared" si="7"/>
        <v>France</v>
      </c>
    </row>
    <row r="156" spans="2:23" x14ac:dyDescent="0.35">
      <c r="B156" t="s">
        <v>352</v>
      </c>
      <c r="C156" t="s">
        <v>1040</v>
      </c>
      <c r="D156" t="s">
        <v>1042</v>
      </c>
      <c r="E156" t="s">
        <v>1043</v>
      </c>
      <c r="F156" t="s">
        <v>192</v>
      </c>
      <c r="G156">
        <v>0</v>
      </c>
      <c r="H156">
        <v>0</v>
      </c>
      <c r="I156">
        <v>0</v>
      </c>
      <c r="J156">
        <v>0</v>
      </c>
      <c r="K156">
        <v>38.1</v>
      </c>
      <c r="L156">
        <v>0</v>
      </c>
      <c r="M156">
        <v>0</v>
      </c>
      <c r="N156">
        <v>0</v>
      </c>
      <c r="O156" s="23">
        <v>38.1</v>
      </c>
      <c r="P156">
        <v>38.1</v>
      </c>
      <c r="Q156">
        <v>1</v>
      </c>
      <c r="R156">
        <v>1</v>
      </c>
      <c r="S156">
        <v>102</v>
      </c>
      <c r="T156">
        <f>_xlfn.XLOOKUP(C156,'Fichier Kuehne'!S:S,'Fichier Kuehne'!AH:AH,0)</f>
        <v>21</v>
      </c>
      <c r="U156">
        <f>_xlfn.XLOOKUP(C156,'Fichier Kuehne'!S:S,'Fichier Kuehne'!AN:AN,0)</f>
        <v>73</v>
      </c>
      <c r="V156" t="str">
        <f t="shared" si="6"/>
        <v>21France73</v>
      </c>
      <c r="W156" t="str">
        <f t="shared" si="7"/>
        <v>France</v>
      </c>
    </row>
    <row r="157" spans="2:23" x14ac:dyDescent="0.35">
      <c r="B157" t="s">
        <v>352</v>
      </c>
      <c r="C157" t="s">
        <v>1030</v>
      </c>
      <c r="D157" t="s">
        <v>1032</v>
      </c>
      <c r="E157" t="s">
        <v>1033</v>
      </c>
      <c r="F157" t="s">
        <v>192</v>
      </c>
      <c r="G157">
        <v>0</v>
      </c>
      <c r="H157">
        <v>0</v>
      </c>
      <c r="I157">
        <v>0</v>
      </c>
      <c r="J157">
        <v>0</v>
      </c>
      <c r="K157">
        <v>53.36</v>
      </c>
      <c r="L157">
        <v>0</v>
      </c>
      <c r="M157">
        <v>0</v>
      </c>
      <c r="N157">
        <v>0</v>
      </c>
      <c r="O157" s="23">
        <v>53.36</v>
      </c>
      <c r="P157">
        <v>53.36</v>
      </c>
      <c r="Q157">
        <v>1</v>
      </c>
      <c r="R157">
        <v>1</v>
      </c>
      <c r="S157">
        <v>98</v>
      </c>
      <c r="T157">
        <f>_xlfn.XLOOKUP(C157,'Fichier Kuehne'!S:S,'Fichier Kuehne'!AH:AH,0)</f>
        <v>21</v>
      </c>
      <c r="U157">
        <f>_xlfn.XLOOKUP(C157,'Fichier Kuehne'!S:S,'Fichier Kuehne'!AN:AN,0)</f>
        <v>30</v>
      </c>
      <c r="V157" t="str">
        <f t="shared" si="6"/>
        <v>21France30</v>
      </c>
      <c r="W157" t="str">
        <f t="shared" si="7"/>
        <v>France</v>
      </c>
    </row>
    <row r="158" spans="2:23" x14ac:dyDescent="0.35">
      <c r="B158" t="s">
        <v>352</v>
      </c>
      <c r="C158" t="s">
        <v>1018</v>
      </c>
      <c r="D158" t="s">
        <v>1020</v>
      </c>
      <c r="E158" t="s">
        <v>1021</v>
      </c>
      <c r="F158" t="s">
        <v>192</v>
      </c>
      <c r="G158">
        <v>0</v>
      </c>
      <c r="H158">
        <v>0</v>
      </c>
      <c r="I158">
        <v>0</v>
      </c>
      <c r="J158">
        <v>0</v>
      </c>
      <c r="K158">
        <v>53.61</v>
      </c>
      <c r="L158">
        <v>0</v>
      </c>
      <c r="M158">
        <v>0</v>
      </c>
      <c r="N158">
        <v>0</v>
      </c>
      <c r="O158" s="23">
        <v>53.61</v>
      </c>
      <c r="P158">
        <v>53.61</v>
      </c>
      <c r="Q158">
        <v>1</v>
      </c>
      <c r="R158">
        <v>1</v>
      </c>
      <c r="S158">
        <v>109</v>
      </c>
      <c r="T158">
        <f>_xlfn.XLOOKUP(C158,'Fichier Kuehne'!S:S,'Fichier Kuehne'!AH:AH,0)</f>
        <v>21</v>
      </c>
      <c r="U158">
        <f>_xlfn.XLOOKUP(C158,'Fichier Kuehne'!S:S,'Fichier Kuehne'!AN:AN,0)</f>
        <v>84</v>
      </c>
      <c r="V158" t="str">
        <f t="shared" si="6"/>
        <v>21France84</v>
      </c>
      <c r="W158" t="str">
        <f t="shared" si="7"/>
        <v>France</v>
      </c>
    </row>
    <row r="159" spans="2:23" x14ac:dyDescent="0.35">
      <c r="B159" t="s">
        <v>352</v>
      </c>
      <c r="C159" t="s">
        <v>1027</v>
      </c>
      <c r="D159" t="s">
        <v>1029</v>
      </c>
      <c r="E159" t="s">
        <v>607</v>
      </c>
      <c r="F159" t="s">
        <v>192</v>
      </c>
      <c r="G159">
        <v>0</v>
      </c>
      <c r="H159">
        <v>0</v>
      </c>
      <c r="I159">
        <v>0</v>
      </c>
      <c r="J159">
        <v>0</v>
      </c>
      <c r="K159">
        <v>46.68</v>
      </c>
      <c r="L159">
        <v>0</v>
      </c>
      <c r="M159">
        <v>0</v>
      </c>
      <c r="N159">
        <v>0</v>
      </c>
      <c r="O159" s="23">
        <v>46.68</v>
      </c>
      <c r="P159">
        <v>46.68</v>
      </c>
      <c r="Q159">
        <v>1</v>
      </c>
      <c r="R159">
        <v>1</v>
      </c>
      <c r="S159">
        <v>44</v>
      </c>
      <c r="T159">
        <f>_xlfn.XLOOKUP(C159,'Fichier Kuehne'!S:S,'Fichier Kuehne'!AH:AH,0)</f>
        <v>21</v>
      </c>
      <c r="U159">
        <f>_xlfn.XLOOKUP(C159,'Fichier Kuehne'!S:S,'Fichier Kuehne'!AN:AN,0)</f>
        <v>83</v>
      </c>
      <c r="V159" t="str">
        <f t="shared" si="6"/>
        <v>21France83</v>
      </c>
      <c r="W159" t="str">
        <f t="shared" si="7"/>
        <v>France</v>
      </c>
    </row>
    <row r="160" spans="2:23" x14ac:dyDescent="0.35">
      <c r="B160" t="s">
        <v>352</v>
      </c>
      <c r="C160" t="s">
        <v>1055</v>
      </c>
      <c r="D160" t="s">
        <v>1057</v>
      </c>
      <c r="E160" t="s">
        <v>1058</v>
      </c>
      <c r="F160" t="s">
        <v>192</v>
      </c>
      <c r="G160">
        <v>0</v>
      </c>
      <c r="H160">
        <v>0</v>
      </c>
      <c r="I160">
        <v>0</v>
      </c>
      <c r="J160">
        <v>0</v>
      </c>
      <c r="K160">
        <v>46.68</v>
      </c>
      <c r="L160">
        <v>0</v>
      </c>
      <c r="M160">
        <v>0</v>
      </c>
      <c r="N160">
        <v>0</v>
      </c>
      <c r="O160" s="23">
        <v>46.68</v>
      </c>
      <c r="P160">
        <v>46.68</v>
      </c>
      <c r="Q160">
        <v>1</v>
      </c>
      <c r="R160">
        <v>1</v>
      </c>
      <c r="S160">
        <v>45</v>
      </c>
      <c r="T160">
        <f>_xlfn.XLOOKUP(C160,'Fichier Kuehne'!S:S,'Fichier Kuehne'!AH:AH,0)</f>
        <v>21</v>
      </c>
      <c r="U160">
        <f>_xlfn.XLOOKUP(C160,'Fichier Kuehne'!S:S,'Fichier Kuehne'!AN:AN,0)</f>
        <v>83</v>
      </c>
      <c r="V160" t="str">
        <f t="shared" si="6"/>
        <v>21France83</v>
      </c>
      <c r="W160" t="str">
        <f t="shared" si="7"/>
        <v>France</v>
      </c>
    </row>
    <row r="161" spans="2:23" x14ac:dyDescent="0.35">
      <c r="B161" t="s">
        <v>352</v>
      </c>
      <c r="C161" t="s">
        <v>1064</v>
      </c>
      <c r="D161" t="s">
        <v>1066</v>
      </c>
      <c r="E161" t="s">
        <v>332</v>
      </c>
      <c r="F161" t="s">
        <v>192</v>
      </c>
      <c r="G161">
        <v>0</v>
      </c>
      <c r="H161">
        <v>0</v>
      </c>
      <c r="I161">
        <v>0</v>
      </c>
      <c r="J161">
        <v>0</v>
      </c>
      <c r="K161">
        <v>134.85</v>
      </c>
      <c r="L161">
        <v>0</v>
      </c>
      <c r="M161">
        <v>0</v>
      </c>
      <c r="N161">
        <v>0</v>
      </c>
      <c r="O161" s="23">
        <v>134.85</v>
      </c>
      <c r="P161">
        <v>134.85</v>
      </c>
      <c r="Q161">
        <v>2</v>
      </c>
      <c r="R161">
        <v>2</v>
      </c>
      <c r="S161">
        <v>330</v>
      </c>
      <c r="T161">
        <f>_xlfn.XLOOKUP(C161,'Fichier Kuehne'!S:S,'Fichier Kuehne'!AH:AH,0)</f>
        <v>21</v>
      </c>
      <c r="U161">
        <f>_xlfn.XLOOKUP(C161,'Fichier Kuehne'!S:S,'Fichier Kuehne'!AN:AN,0)</f>
        <v>84</v>
      </c>
      <c r="V161" t="str">
        <f t="shared" si="6"/>
        <v>21France84</v>
      </c>
      <c r="W161" t="str">
        <f t="shared" si="7"/>
        <v>France</v>
      </c>
    </row>
    <row r="162" spans="2:23" x14ac:dyDescent="0.35">
      <c r="B162" t="s">
        <v>352</v>
      </c>
      <c r="C162" t="s">
        <v>1050</v>
      </c>
      <c r="D162" t="s">
        <v>1052</v>
      </c>
      <c r="E162" t="s">
        <v>1053</v>
      </c>
      <c r="F162" t="s">
        <v>192</v>
      </c>
      <c r="G162">
        <v>0</v>
      </c>
      <c r="H162">
        <v>0</v>
      </c>
      <c r="I162">
        <v>0</v>
      </c>
      <c r="J162">
        <v>0</v>
      </c>
      <c r="K162">
        <v>29.639999999999997</v>
      </c>
      <c r="L162">
        <v>0</v>
      </c>
      <c r="M162">
        <v>0</v>
      </c>
      <c r="N162">
        <v>0</v>
      </c>
      <c r="O162" s="23">
        <v>29.639999999999997</v>
      </c>
      <c r="P162">
        <v>29.639999999999997</v>
      </c>
      <c r="Q162">
        <v>1</v>
      </c>
      <c r="R162">
        <v>1</v>
      </c>
      <c r="S162">
        <v>30</v>
      </c>
      <c r="T162">
        <f>_xlfn.XLOOKUP(C162,'Fichier Kuehne'!S:S,'Fichier Kuehne'!AH:AH,0)</f>
        <v>21</v>
      </c>
      <c r="U162">
        <f>_xlfn.XLOOKUP(C162,'Fichier Kuehne'!S:S,'Fichier Kuehne'!AN:AN,0)</f>
        <v>26</v>
      </c>
      <c r="V162" t="str">
        <f t="shared" si="6"/>
        <v>21France26</v>
      </c>
      <c r="W162" t="str">
        <f t="shared" si="7"/>
        <v>France</v>
      </c>
    </row>
    <row r="163" spans="2:23" x14ac:dyDescent="0.35">
      <c r="B163" t="s">
        <v>352</v>
      </c>
      <c r="C163" t="s">
        <v>1067</v>
      </c>
      <c r="D163" t="s">
        <v>1069</v>
      </c>
      <c r="E163" t="s">
        <v>1070</v>
      </c>
      <c r="F163" t="s">
        <v>192</v>
      </c>
      <c r="G163">
        <v>0</v>
      </c>
      <c r="H163">
        <v>0</v>
      </c>
      <c r="I163">
        <v>0</v>
      </c>
      <c r="J163">
        <v>0</v>
      </c>
      <c r="K163">
        <v>70.300000000000011</v>
      </c>
      <c r="L163">
        <v>0</v>
      </c>
      <c r="M163">
        <v>0</v>
      </c>
      <c r="N163">
        <v>0</v>
      </c>
      <c r="O163" s="23">
        <v>70.300000000000011</v>
      </c>
      <c r="P163">
        <v>70.300000000000011</v>
      </c>
      <c r="Q163">
        <v>2</v>
      </c>
      <c r="R163">
        <v>2</v>
      </c>
      <c r="S163">
        <v>243</v>
      </c>
      <c r="T163">
        <f>_xlfn.XLOOKUP(C163,'Fichier Kuehne'!S:S,'Fichier Kuehne'!AH:AH,0)</f>
        <v>21</v>
      </c>
      <c r="U163">
        <f>_xlfn.XLOOKUP(C163,'Fichier Kuehne'!S:S,'Fichier Kuehne'!AN:AN,0)</f>
        <v>21</v>
      </c>
      <c r="V163" t="str">
        <f t="shared" si="6"/>
        <v>21France21</v>
      </c>
      <c r="W163" t="str">
        <f t="shared" si="7"/>
        <v>France</v>
      </c>
    </row>
    <row r="164" spans="2:23" x14ac:dyDescent="0.35">
      <c r="B164" t="s">
        <v>352</v>
      </c>
      <c r="C164" t="s">
        <v>1060</v>
      </c>
      <c r="D164" t="s">
        <v>1062</v>
      </c>
      <c r="E164" t="s">
        <v>1063</v>
      </c>
      <c r="F164" t="s">
        <v>192</v>
      </c>
      <c r="G164">
        <v>0</v>
      </c>
      <c r="H164">
        <v>0</v>
      </c>
      <c r="I164">
        <v>0</v>
      </c>
      <c r="J164">
        <v>0</v>
      </c>
      <c r="K164">
        <v>48.75</v>
      </c>
      <c r="L164">
        <v>0</v>
      </c>
      <c r="M164">
        <v>0</v>
      </c>
      <c r="N164">
        <v>0</v>
      </c>
      <c r="O164" s="23">
        <v>48.75</v>
      </c>
      <c r="P164">
        <v>48.75</v>
      </c>
      <c r="Q164">
        <v>1</v>
      </c>
      <c r="R164">
        <v>1</v>
      </c>
      <c r="S164">
        <v>40</v>
      </c>
      <c r="T164">
        <f>_xlfn.XLOOKUP(C164,'Fichier Kuehne'!S:S,'Fichier Kuehne'!AH:AH,0)</f>
        <v>21</v>
      </c>
      <c r="U164">
        <f>_xlfn.XLOOKUP(C164,'Fichier Kuehne'!S:S,'Fichier Kuehne'!AN:AN,0)</f>
        <v>66</v>
      </c>
      <c r="V164" t="str">
        <f t="shared" si="6"/>
        <v>21France66</v>
      </c>
      <c r="W164" t="str">
        <f t="shared" si="7"/>
        <v>France</v>
      </c>
    </row>
    <row r="165" spans="2:23" x14ac:dyDescent="0.35">
      <c r="B165" t="s">
        <v>352</v>
      </c>
      <c r="C165" t="s">
        <v>1110</v>
      </c>
      <c r="D165" t="s">
        <v>1112</v>
      </c>
      <c r="E165" t="s">
        <v>324</v>
      </c>
      <c r="F165" t="s">
        <v>192</v>
      </c>
      <c r="G165">
        <v>0</v>
      </c>
      <c r="H165">
        <v>0</v>
      </c>
      <c r="I165">
        <v>0</v>
      </c>
      <c r="J165">
        <v>0</v>
      </c>
      <c r="K165">
        <v>38.33</v>
      </c>
      <c r="L165">
        <v>0</v>
      </c>
      <c r="M165">
        <v>0</v>
      </c>
      <c r="N165">
        <v>0</v>
      </c>
      <c r="O165" s="23">
        <v>38.33</v>
      </c>
      <c r="P165">
        <v>38.33</v>
      </c>
      <c r="Q165">
        <v>1</v>
      </c>
      <c r="R165">
        <v>1</v>
      </c>
      <c r="S165">
        <v>27</v>
      </c>
      <c r="T165">
        <f>_xlfn.XLOOKUP(C165,'Fichier Kuehne'!S:S,'Fichier Kuehne'!AH:AH,0)</f>
        <v>21</v>
      </c>
      <c r="U165">
        <f>_xlfn.XLOOKUP(C165,'Fichier Kuehne'!S:S,'Fichier Kuehne'!AN:AN,0)</f>
        <v>34</v>
      </c>
      <c r="V165" t="str">
        <f t="shared" si="6"/>
        <v>21France34</v>
      </c>
      <c r="W165" t="str">
        <f t="shared" si="7"/>
        <v>France</v>
      </c>
    </row>
    <row r="166" spans="2:23" x14ac:dyDescent="0.35">
      <c r="B166" t="s">
        <v>352</v>
      </c>
      <c r="C166" t="s">
        <v>1090</v>
      </c>
      <c r="D166" t="s">
        <v>1092</v>
      </c>
      <c r="E166" t="s">
        <v>1093</v>
      </c>
      <c r="F166" t="s">
        <v>192</v>
      </c>
      <c r="G166">
        <v>0</v>
      </c>
      <c r="H166">
        <v>0</v>
      </c>
      <c r="I166">
        <v>0</v>
      </c>
      <c r="J166">
        <v>0</v>
      </c>
      <c r="K166">
        <v>41.11</v>
      </c>
      <c r="L166">
        <v>0</v>
      </c>
      <c r="M166">
        <v>0</v>
      </c>
      <c r="N166">
        <v>0</v>
      </c>
      <c r="O166" s="23">
        <v>41.11</v>
      </c>
      <c r="P166">
        <v>41.11</v>
      </c>
      <c r="Q166">
        <v>1</v>
      </c>
      <c r="R166">
        <v>1</v>
      </c>
      <c r="S166">
        <v>25</v>
      </c>
      <c r="T166">
        <f>_xlfn.XLOOKUP(C166,'Fichier Kuehne'!S:S,'Fichier Kuehne'!AH:AH,0)</f>
        <v>21</v>
      </c>
      <c r="U166">
        <f>_xlfn.XLOOKUP(C166,'Fichier Kuehne'!S:S,'Fichier Kuehne'!AN:AN,0)</f>
        <v>11</v>
      </c>
      <c r="V166" t="str">
        <f t="shared" si="6"/>
        <v>21France11</v>
      </c>
      <c r="W166" t="str">
        <f t="shared" si="7"/>
        <v>France</v>
      </c>
    </row>
    <row r="167" spans="2:23" x14ac:dyDescent="0.35">
      <c r="B167" t="s">
        <v>352</v>
      </c>
      <c r="C167" t="s">
        <v>1082</v>
      </c>
      <c r="D167" t="s">
        <v>1084</v>
      </c>
      <c r="E167" t="s">
        <v>322</v>
      </c>
      <c r="F167" t="s">
        <v>192</v>
      </c>
      <c r="G167">
        <v>0</v>
      </c>
      <c r="H167">
        <v>0</v>
      </c>
      <c r="I167">
        <v>0</v>
      </c>
      <c r="J167">
        <v>0</v>
      </c>
      <c r="K167">
        <v>35.54</v>
      </c>
      <c r="L167">
        <v>0</v>
      </c>
      <c r="M167">
        <v>0</v>
      </c>
      <c r="N167">
        <v>0</v>
      </c>
      <c r="O167" s="23">
        <v>35.54</v>
      </c>
      <c r="P167">
        <v>35.54</v>
      </c>
      <c r="Q167">
        <v>1</v>
      </c>
      <c r="R167">
        <v>1</v>
      </c>
      <c r="S167">
        <v>17</v>
      </c>
      <c r="T167">
        <f>_xlfn.XLOOKUP(C167,'Fichier Kuehne'!S:S,'Fichier Kuehne'!AH:AH,0)</f>
        <v>21</v>
      </c>
      <c r="U167">
        <f>_xlfn.XLOOKUP(C167,'Fichier Kuehne'!S:S,'Fichier Kuehne'!AN:AN,0)</f>
        <v>83</v>
      </c>
      <c r="V167" t="str">
        <f t="shared" si="6"/>
        <v>21France83</v>
      </c>
      <c r="W167" t="str">
        <f t="shared" si="7"/>
        <v>France</v>
      </c>
    </row>
    <row r="168" spans="2:23" x14ac:dyDescent="0.35">
      <c r="B168" t="s">
        <v>352</v>
      </c>
      <c r="C168" t="s">
        <v>1131</v>
      </c>
      <c r="D168" t="s">
        <v>1133</v>
      </c>
      <c r="E168" t="s">
        <v>1134</v>
      </c>
      <c r="F168" t="s">
        <v>1135</v>
      </c>
      <c r="G168">
        <v>0</v>
      </c>
      <c r="H168">
        <v>7</v>
      </c>
      <c r="I168">
        <v>0</v>
      </c>
      <c r="J168">
        <v>0</v>
      </c>
      <c r="K168">
        <v>76.75</v>
      </c>
      <c r="L168">
        <v>0</v>
      </c>
      <c r="M168">
        <v>0</v>
      </c>
      <c r="N168">
        <v>0</v>
      </c>
      <c r="O168" s="23">
        <v>83.75</v>
      </c>
      <c r="P168">
        <v>83.75</v>
      </c>
      <c r="Q168">
        <v>1</v>
      </c>
      <c r="R168">
        <v>1</v>
      </c>
      <c r="S168">
        <v>80</v>
      </c>
      <c r="T168">
        <f>_xlfn.XLOOKUP(C168,'Fichier Kuehne'!S:S,'Fichier Kuehne'!AH:AH,0)</f>
        <v>21</v>
      </c>
      <c r="U168">
        <f>_xlfn.XLOOKUP(C168,'Fichier Kuehne'!S:S,'Fichier Kuehne'!AN:AN,0)</f>
        <v>10</v>
      </c>
      <c r="V168" t="str">
        <f t="shared" si="6"/>
        <v>21étranger10</v>
      </c>
      <c r="W168" t="str">
        <f t="shared" si="7"/>
        <v>étranger</v>
      </c>
    </row>
    <row r="169" spans="2:23" x14ac:dyDescent="0.35">
      <c r="B169" t="s">
        <v>352</v>
      </c>
      <c r="C169" t="s">
        <v>1122</v>
      </c>
      <c r="D169" t="s">
        <v>1124</v>
      </c>
      <c r="E169" t="s">
        <v>1125</v>
      </c>
      <c r="F169" t="s">
        <v>192</v>
      </c>
      <c r="G169">
        <v>0</v>
      </c>
      <c r="H169">
        <v>0</v>
      </c>
      <c r="I169">
        <v>0</v>
      </c>
      <c r="J169">
        <v>0</v>
      </c>
      <c r="K169">
        <v>53.43</v>
      </c>
      <c r="L169">
        <v>0</v>
      </c>
      <c r="M169">
        <v>0</v>
      </c>
      <c r="N169">
        <v>0</v>
      </c>
      <c r="O169" s="23">
        <v>53.43</v>
      </c>
      <c r="P169">
        <v>53.43</v>
      </c>
      <c r="Q169">
        <v>1</v>
      </c>
      <c r="R169">
        <v>1</v>
      </c>
      <c r="S169">
        <v>89</v>
      </c>
      <c r="T169">
        <f>_xlfn.XLOOKUP(C169,'Fichier Kuehne'!S:S,'Fichier Kuehne'!AH:AH,0)</f>
        <v>21</v>
      </c>
      <c r="U169">
        <f>_xlfn.XLOOKUP(C169,'Fichier Kuehne'!S:S,'Fichier Kuehne'!AN:AN,0)</f>
        <v>81</v>
      </c>
      <c r="V169" t="str">
        <f t="shared" si="6"/>
        <v>21France81</v>
      </c>
      <c r="W169" t="str">
        <f t="shared" si="7"/>
        <v>France</v>
      </c>
    </row>
    <row r="170" spans="2:23" x14ac:dyDescent="0.35">
      <c r="B170" t="s">
        <v>352</v>
      </c>
      <c r="C170" t="s">
        <v>1147</v>
      </c>
      <c r="D170" t="s">
        <v>1149</v>
      </c>
      <c r="E170" t="s">
        <v>1150</v>
      </c>
      <c r="F170" t="s">
        <v>192</v>
      </c>
      <c r="G170">
        <v>0</v>
      </c>
      <c r="H170">
        <v>0</v>
      </c>
      <c r="I170">
        <v>0</v>
      </c>
      <c r="J170">
        <v>0</v>
      </c>
      <c r="K170">
        <v>64.460000000000008</v>
      </c>
      <c r="L170">
        <v>0</v>
      </c>
      <c r="M170">
        <v>0</v>
      </c>
      <c r="N170">
        <v>0</v>
      </c>
      <c r="O170" s="23">
        <v>64.460000000000008</v>
      </c>
      <c r="P170">
        <v>64.460000000000008</v>
      </c>
      <c r="Q170">
        <v>1</v>
      </c>
      <c r="R170">
        <v>1</v>
      </c>
      <c r="S170">
        <v>60</v>
      </c>
      <c r="T170">
        <f>_xlfn.XLOOKUP(C170,'Fichier Kuehne'!S:S,'Fichier Kuehne'!AH:AH,0)</f>
        <v>21</v>
      </c>
      <c r="U170">
        <f>_xlfn.XLOOKUP(C170,'Fichier Kuehne'!S:S,'Fichier Kuehne'!AN:AN,0)</f>
        <v>29</v>
      </c>
      <c r="V170" t="str">
        <f t="shared" si="6"/>
        <v>21France29</v>
      </c>
      <c r="W170" t="str">
        <f t="shared" si="7"/>
        <v>France</v>
      </c>
    </row>
    <row r="171" spans="2:23" x14ac:dyDescent="0.35">
      <c r="B171" t="s">
        <v>352</v>
      </c>
      <c r="C171" t="s">
        <v>1077</v>
      </c>
      <c r="D171" t="s">
        <v>1079</v>
      </c>
      <c r="E171" t="s">
        <v>1080</v>
      </c>
      <c r="F171" t="s">
        <v>192</v>
      </c>
      <c r="G171">
        <v>0</v>
      </c>
      <c r="H171">
        <v>0</v>
      </c>
      <c r="I171">
        <v>0</v>
      </c>
      <c r="J171">
        <v>0</v>
      </c>
      <c r="K171">
        <v>50.85</v>
      </c>
      <c r="L171">
        <v>0</v>
      </c>
      <c r="M171">
        <v>0</v>
      </c>
      <c r="N171">
        <v>0</v>
      </c>
      <c r="O171" s="23">
        <v>50.85</v>
      </c>
      <c r="P171">
        <v>50.85</v>
      </c>
      <c r="Q171">
        <v>1</v>
      </c>
      <c r="R171">
        <v>1</v>
      </c>
      <c r="S171">
        <v>56</v>
      </c>
      <c r="T171">
        <f>_xlfn.XLOOKUP(C171,'Fichier Kuehne'!S:S,'Fichier Kuehne'!AH:AH,0)</f>
        <v>21</v>
      </c>
      <c r="U171">
        <f>_xlfn.XLOOKUP(C171,'Fichier Kuehne'!S:S,'Fichier Kuehne'!AN:AN,0)</f>
        <v>33</v>
      </c>
      <c r="V171" t="str">
        <f t="shared" si="6"/>
        <v>21France33</v>
      </c>
      <c r="W171" t="str">
        <f t="shared" si="7"/>
        <v>France</v>
      </c>
    </row>
    <row r="172" spans="2:23" x14ac:dyDescent="0.35">
      <c r="B172" t="s">
        <v>352</v>
      </c>
      <c r="C172" t="s">
        <v>1085</v>
      </c>
      <c r="D172" t="s">
        <v>1087</v>
      </c>
      <c r="E172" t="s">
        <v>1088</v>
      </c>
      <c r="F172" t="s">
        <v>192</v>
      </c>
      <c r="G172">
        <v>0</v>
      </c>
      <c r="H172">
        <v>0</v>
      </c>
      <c r="I172">
        <v>0</v>
      </c>
      <c r="J172">
        <v>0</v>
      </c>
      <c r="K172">
        <v>23.99</v>
      </c>
      <c r="L172">
        <v>0</v>
      </c>
      <c r="M172">
        <v>0</v>
      </c>
      <c r="N172">
        <v>0</v>
      </c>
      <c r="O172" s="23">
        <v>23.99</v>
      </c>
      <c r="P172">
        <v>23.99</v>
      </c>
      <c r="Q172">
        <v>1</v>
      </c>
      <c r="R172">
        <v>1</v>
      </c>
      <c r="S172">
        <v>34</v>
      </c>
      <c r="T172">
        <f>_xlfn.XLOOKUP(C172,'Fichier Kuehne'!S:S,'Fichier Kuehne'!AH:AH,0)</f>
        <v>21</v>
      </c>
      <c r="U172">
        <f>_xlfn.XLOOKUP(C172,'Fichier Kuehne'!S:S,'Fichier Kuehne'!AN:AN,0)</f>
        <v>71</v>
      </c>
      <c r="V172" t="str">
        <f t="shared" si="6"/>
        <v>21France71</v>
      </c>
      <c r="W172" t="str">
        <f t="shared" si="7"/>
        <v>France</v>
      </c>
    </row>
    <row r="173" spans="2:23" x14ac:dyDescent="0.35">
      <c r="B173" t="s">
        <v>352</v>
      </c>
      <c r="C173" t="s">
        <v>1095</v>
      </c>
      <c r="D173" t="s">
        <v>1097</v>
      </c>
      <c r="E173" t="s">
        <v>1098</v>
      </c>
      <c r="F173" t="s">
        <v>192</v>
      </c>
      <c r="G173">
        <v>0</v>
      </c>
      <c r="H173">
        <v>0</v>
      </c>
      <c r="I173">
        <v>0</v>
      </c>
      <c r="J173">
        <v>0</v>
      </c>
      <c r="K173">
        <v>30.97</v>
      </c>
      <c r="L173">
        <v>0</v>
      </c>
      <c r="M173">
        <v>0</v>
      </c>
      <c r="N173">
        <v>0</v>
      </c>
      <c r="O173" s="23">
        <v>30.97</v>
      </c>
      <c r="P173">
        <v>30.97</v>
      </c>
      <c r="Q173">
        <v>1</v>
      </c>
      <c r="R173">
        <v>1</v>
      </c>
      <c r="S173">
        <v>120</v>
      </c>
      <c r="T173">
        <f>_xlfn.XLOOKUP(C173,'Fichier Kuehne'!S:S,'Fichier Kuehne'!AH:AH,0)</f>
        <v>21</v>
      </c>
      <c r="U173">
        <f>_xlfn.XLOOKUP(C173,'Fichier Kuehne'!S:S,'Fichier Kuehne'!AN:AN,0)</f>
        <v>21</v>
      </c>
      <c r="V173" t="str">
        <f t="shared" si="6"/>
        <v>21France21</v>
      </c>
      <c r="W173" t="str">
        <f t="shared" si="7"/>
        <v>France</v>
      </c>
    </row>
    <row r="174" spans="2:23" x14ac:dyDescent="0.35">
      <c r="B174" t="s">
        <v>352</v>
      </c>
      <c r="C174" t="s">
        <v>1072</v>
      </c>
      <c r="D174" t="s">
        <v>1074</v>
      </c>
      <c r="E174" t="s">
        <v>1075</v>
      </c>
      <c r="F174" t="s">
        <v>192</v>
      </c>
      <c r="G174">
        <v>0</v>
      </c>
      <c r="H174">
        <v>0</v>
      </c>
      <c r="I174">
        <v>0</v>
      </c>
      <c r="J174">
        <v>0</v>
      </c>
      <c r="K174">
        <v>61.74</v>
      </c>
      <c r="L174">
        <v>0</v>
      </c>
      <c r="M174">
        <v>0</v>
      </c>
      <c r="N174">
        <v>0</v>
      </c>
      <c r="O174" s="23">
        <v>61.74</v>
      </c>
      <c r="P174">
        <v>61.74</v>
      </c>
      <c r="Q174">
        <v>1</v>
      </c>
      <c r="R174">
        <v>1</v>
      </c>
      <c r="S174">
        <v>277</v>
      </c>
      <c r="T174">
        <f>_xlfn.XLOOKUP(C174,'Fichier Kuehne'!S:S,'Fichier Kuehne'!AH:AH,0)</f>
        <v>21</v>
      </c>
      <c r="U174">
        <f>_xlfn.XLOOKUP(C174,'Fichier Kuehne'!S:S,'Fichier Kuehne'!AN:AN,0)</f>
        <v>95</v>
      </c>
      <c r="V174" t="str">
        <f t="shared" si="6"/>
        <v>21France95</v>
      </c>
      <c r="W174" t="str">
        <f t="shared" si="7"/>
        <v>France</v>
      </c>
    </row>
    <row r="175" spans="2:23" x14ac:dyDescent="0.35">
      <c r="B175" t="s">
        <v>352</v>
      </c>
      <c r="C175" t="s">
        <v>1105</v>
      </c>
      <c r="D175" t="s">
        <v>1107</v>
      </c>
      <c r="E175" t="s">
        <v>1108</v>
      </c>
      <c r="F175" t="s">
        <v>192</v>
      </c>
      <c r="G175">
        <v>0</v>
      </c>
      <c r="H175">
        <v>0</v>
      </c>
      <c r="I175">
        <v>0</v>
      </c>
      <c r="J175">
        <v>0</v>
      </c>
      <c r="K175">
        <v>41.66</v>
      </c>
      <c r="L175">
        <v>0</v>
      </c>
      <c r="M175">
        <v>0</v>
      </c>
      <c r="N175">
        <v>0</v>
      </c>
      <c r="O175" s="23">
        <v>41.66</v>
      </c>
      <c r="P175">
        <v>41.66</v>
      </c>
      <c r="Q175">
        <v>1</v>
      </c>
      <c r="R175">
        <v>1</v>
      </c>
      <c r="S175">
        <v>40</v>
      </c>
      <c r="T175">
        <f>_xlfn.XLOOKUP(C175,'Fichier Kuehne'!S:S,'Fichier Kuehne'!AH:AH,0)</f>
        <v>21</v>
      </c>
      <c r="U175">
        <f>_xlfn.XLOOKUP(C175,'Fichier Kuehne'!S:S,'Fichier Kuehne'!AN:AN,0)</f>
        <v>84</v>
      </c>
      <c r="V175" t="str">
        <f t="shared" si="6"/>
        <v>21France84</v>
      </c>
      <c r="W175" t="str">
        <f t="shared" si="7"/>
        <v>France</v>
      </c>
    </row>
    <row r="176" spans="2:23" x14ac:dyDescent="0.35">
      <c r="B176" t="s">
        <v>352</v>
      </c>
      <c r="C176" t="s">
        <v>1113</v>
      </c>
      <c r="D176" t="s">
        <v>1115</v>
      </c>
      <c r="E176" t="s">
        <v>1116</v>
      </c>
      <c r="F176" t="s">
        <v>192</v>
      </c>
      <c r="G176">
        <v>0</v>
      </c>
      <c r="H176">
        <v>0</v>
      </c>
      <c r="I176">
        <v>0</v>
      </c>
      <c r="J176">
        <v>0</v>
      </c>
      <c r="K176">
        <v>49.95</v>
      </c>
      <c r="L176">
        <v>0</v>
      </c>
      <c r="M176">
        <v>0</v>
      </c>
      <c r="N176">
        <v>0</v>
      </c>
      <c r="O176" s="23">
        <v>49.95</v>
      </c>
      <c r="P176">
        <v>49.95</v>
      </c>
      <c r="Q176">
        <v>1</v>
      </c>
      <c r="R176">
        <v>1</v>
      </c>
      <c r="S176">
        <v>60</v>
      </c>
      <c r="T176">
        <f>_xlfn.XLOOKUP(C176,'Fichier Kuehne'!S:S,'Fichier Kuehne'!AH:AH,0)</f>
        <v>21</v>
      </c>
      <c r="U176">
        <f>_xlfn.XLOOKUP(C176,'Fichier Kuehne'!S:S,'Fichier Kuehne'!AN:AN,0)</f>
        <v>34</v>
      </c>
      <c r="V176" t="str">
        <f t="shared" si="6"/>
        <v>21France34</v>
      </c>
      <c r="W176" t="str">
        <f t="shared" si="7"/>
        <v>France</v>
      </c>
    </row>
    <row r="177" spans="2:23" x14ac:dyDescent="0.35">
      <c r="B177" t="s">
        <v>352</v>
      </c>
      <c r="C177" t="s">
        <v>1137</v>
      </c>
      <c r="D177" t="s">
        <v>1139</v>
      </c>
      <c r="E177" t="s">
        <v>1140</v>
      </c>
      <c r="F177" t="s">
        <v>192</v>
      </c>
      <c r="G177">
        <v>0</v>
      </c>
      <c r="H177">
        <v>0</v>
      </c>
      <c r="I177">
        <v>0</v>
      </c>
      <c r="J177">
        <v>0</v>
      </c>
      <c r="K177">
        <v>42.29</v>
      </c>
      <c r="L177">
        <v>0</v>
      </c>
      <c r="M177">
        <v>0</v>
      </c>
      <c r="N177">
        <v>0</v>
      </c>
      <c r="O177" s="23">
        <v>42.29</v>
      </c>
      <c r="P177">
        <v>42.29</v>
      </c>
      <c r="Q177">
        <v>1</v>
      </c>
      <c r="R177">
        <v>1</v>
      </c>
      <c r="S177">
        <v>26</v>
      </c>
      <c r="T177">
        <f>_xlfn.XLOOKUP(C177,'Fichier Kuehne'!S:S,'Fichier Kuehne'!AH:AH,0)</f>
        <v>21</v>
      </c>
      <c r="U177">
        <f>_xlfn.XLOOKUP(C177,'Fichier Kuehne'!S:S,'Fichier Kuehne'!AN:AN,0)</f>
        <v>33</v>
      </c>
      <c r="V177" t="str">
        <f t="shared" si="6"/>
        <v>21France33</v>
      </c>
      <c r="W177" t="str">
        <f t="shared" si="7"/>
        <v>France</v>
      </c>
    </row>
    <row r="178" spans="2:23" x14ac:dyDescent="0.35">
      <c r="B178" t="s">
        <v>352</v>
      </c>
      <c r="C178" t="s">
        <v>1126</v>
      </c>
      <c r="D178" t="s">
        <v>1128</v>
      </c>
      <c r="E178" t="s">
        <v>1129</v>
      </c>
      <c r="F178" t="s">
        <v>192</v>
      </c>
      <c r="G178">
        <v>0</v>
      </c>
      <c r="H178">
        <v>0</v>
      </c>
      <c r="I178">
        <v>0</v>
      </c>
      <c r="J178">
        <v>0</v>
      </c>
      <c r="K178">
        <v>33.369999999999997</v>
      </c>
      <c r="L178">
        <v>0</v>
      </c>
      <c r="M178">
        <v>0</v>
      </c>
      <c r="N178">
        <v>0</v>
      </c>
      <c r="O178" s="23">
        <v>33.369999999999997</v>
      </c>
      <c r="P178">
        <v>33.369999999999997</v>
      </c>
      <c r="Q178">
        <v>1</v>
      </c>
      <c r="R178">
        <v>1</v>
      </c>
      <c r="S178">
        <v>20</v>
      </c>
      <c r="T178">
        <f>_xlfn.XLOOKUP(C178,'Fichier Kuehne'!S:S,'Fichier Kuehne'!AH:AH,0)</f>
        <v>21</v>
      </c>
      <c r="U178">
        <f>_xlfn.XLOOKUP(C178,'Fichier Kuehne'!S:S,'Fichier Kuehne'!AN:AN,0)</f>
        <v>49</v>
      </c>
      <c r="V178" t="str">
        <f t="shared" si="6"/>
        <v>21France49</v>
      </c>
      <c r="W178" t="str">
        <f t="shared" si="7"/>
        <v>France</v>
      </c>
    </row>
    <row r="179" spans="2:23" x14ac:dyDescent="0.35">
      <c r="B179" t="s">
        <v>352</v>
      </c>
      <c r="C179" t="s">
        <v>1142</v>
      </c>
      <c r="D179" t="s">
        <v>1144</v>
      </c>
      <c r="E179" t="s">
        <v>1145</v>
      </c>
      <c r="F179" t="s">
        <v>192</v>
      </c>
      <c r="G179">
        <v>0</v>
      </c>
      <c r="H179">
        <v>0</v>
      </c>
      <c r="I179">
        <v>0</v>
      </c>
      <c r="J179">
        <v>0</v>
      </c>
      <c r="K179">
        <v>49.06</v>
      </c>
      <c r="L179">
        <v>0</v>
      </c>
      <c r="M179">
        <v>0</v>
      </c>
      <c r="N179">
        <v>0</v>
      </c>
      <c r="O179" s="23">
        <v>49.06</v>
      </c>
      <c r="P179">
        <v>49.06</v>
      </c>
      <c r="Q179">
        <v>1</v>
      </c>
      <c r="R179">
        <v>1</v>
      </c>
      <c r="S179">
        <v>44</v>
      </c>
      <c r="T179">
        <f>_xlfn.XLOOKUP(C179,'Fichier Kuehne'!S:S,'Fichier Kuehne'!AH:AH,0)</f>
        <v>21</v>
      </c>
      <c r="U179">
        <f>_xlfn.XLOOKUP(C179,'Fichier Kuehne'!S:S,'Fichier Kuehne'!AN:AN,0)</f>
        <v>33</v>
      </c>
      <c r="V179" t="str">
        <f t="shared" si="6"/>
        <v>21France33</v>
      </c>
      <c r="W179" t="str">
        <f t="shared" si="7"/>
        <v>France</v>
      </c>
    </row>
    <row r="180" spans="2:23" x14ac:dyDescent="0.35">
      <c r="B180" t="s">
        <v>352</v>
      </c>
      <c r="C180" t="s">
        <v>1100</v>
      </c>
      <c r="D180" t="s">
        <v>1102</v>
      </c>
      <c r="E180" t="s">
        <v>1103</v>
      </c>
      <c r="F180" t="s">
        <v>192</v>
      </c>
      <c r="G180">
        <v>0</v>
      </c>
      <c r="H180">
        <v>0</v>
      </c>
      <c r="I180">
        <v>0</v>
      </c>
      <c r="J180">
        <v>0</v>
      </c>
      <c r="K180">
        <v>47.699999999999996</v>
      </c>
      <c r="L180">
        <v>0</v>
      </c>
      <c r="M180">
        <v>0</v>
      </c>
      <c r="N180">
        <v>0</v>
      </c>
      <c r="O180" s="23">
        <v>47.699999999999996</v>
      </c>
      <c r="P180">
        <v>47.699999999999996</v>
      </c>
      <c r="Q180">
        <v>1</v>
      </c>
      <c r="R180">
        <v>1</v>
      </c>
      <c r="S180">
        <v>44</v>
      </c>
      <c r="T180">
        <f>_xlfn.XLOOKUP(C180,'Fichier Kuehne'!S:S,'Fichier Kuehne'!AH:AH,0)</f>
        <v>21</v>
      </c>
      <c r="U180">
        <f>_xlfn.XLOOKUP(C180,'Fichier Kuehne'!S:S,'Fichier Kuehne'!AN:AN,0)</f>
        <v>11</v>
      </c>
      <c r="V180" t="str">
        <f t="shared" si="6"/>
        <v>21France11</v>
      </c>
      <c r="W180" t="str">
        <f t="shared" si="7"/>
        <v>France</v>
      </c>
    </row>
    <row r="181" spans="2:23" x14ac:dyDescent="0.35">
      <c r="B181" t="s">
        <v>352</v>
      </c>
      <c r="C181" t="s">
        <v>1117</v>
      </c>
      <c r="D181" t="s">
        <v>1119</v>
      </c>
      <c r="E181" t="s">
        <v>1120</v>
      </c>
      <c r="F181" t="s">
        <v>192</v>
      </c>
      <c r="G181">
        <v>0</v>
      </c>
      <c r="H181">
        <v>0</v>
      </c>
      <c r="I181">
        <v>0</v>
      </c>
      <c r="J181">
        <v>0</v>
      </c>
      <c r="K181">
        <v>44.96</v>
      </c>
      <c r="L181">
        <v>0</v>
      </c>
      <c r="M181">
        <v>0</v>
      </c>
      <c r="N181">
        <v>0</v>
      </c>
      <c r="O181" s="23">
        <v>44.96</v>
      </c>
      <c r="P181">
        <v>44.96</v>
      </c>
      <c r="Q181">
        <v>1</v>
      </c>
      <c r="R181">
        <v>1</v>
      </c>
      <c r="S181">
        <v>39</v>
      </c>
      <c r="T181">
        <f>_xlfn.XLOOKUP(C181,'Fichier Kuehne'!S:S,'Fichier Kuehne'!AH:AH,0)</f>
        <v>21</v>
      </c>
      <c r="U181">
        <f>_xlfn.XLOOKUP(C181,'Fichier Kuehne'!S:S,'Fichier Kuehne'!AN:AN,0)</f>
        <v>83</v>
      </c>
      <c r="V181" t="str">
        <f t="shared" si="6"/>
        <v>21France83</v>
      </c>
      <c r="W181" t="str">
        <f t="shared" si="7"/>
        <v>France</v>
      </c>
    </row>
    <row r="182" spans="2:23" x14ac:dyDescent="0.35">
      <c r="B182" t="s">
        <v>1154</v>
      </c>
      <c r="C182" t="s">
        <v>619</v>
      </c>
      <c r="D182" t="s">
        <v>619</v>
      </c>
      <c r="E182" t="s">
        <v>621</v>
      </c>
      <c r="F182" t="s">
        <v>192</v>
      </c>
      <c r="G182">
        <v>0</v>
      </c>
      <c r="H182">
        <v>21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23">
        <v>21</v>
      </c>
      <c r="P182">
        <v>21</v>
      </c>
      <c r="Q182">
        <v>1</v>
      </c>
      <c r="R182">
        <v>1</v>
      </c>
      <c r="S182">
        <v>354</v>
      </c>
      <c r="T182">
        <f>_xlfn.XLOOKUP(C182,'Fichier Kuehne'!S:S,'Fichier Kuehne'!AH:AH,0)</f>
        <v>0</v>
      </c>
      <c r="U182">
        <f>_xlfn.XLOOKUP(C182,'Fichier Kuehne'!S:S,'Fichier Kuehne'!AN:AN,0)</f>
        <v>0</v>
      </c>
      <c r="V182" t="str">
        <f t="shared" si="6"/>
        <v>0France00</v>
      </c>
      <c r="W182" t="str">
        <f t="shared" si="7"/>
        <v>France</v>
      </c>
    </row>
    <row r="183" spans="2:23" x14ac:dyDescent="0.35">
      <c r="B183" t="s">
        <v>1154</v>
      </c>
      <c r="C183" t="s">
        <v>337</v>
      </c>
      <c r="D183" t="s">
        <v>339</v>
      </c>
      <c r="E183" t="s">
        <v>340</v>
      </c>
      <c r="F183" t="s">
        <v>192</v>
      </c>
      <c r="G183">
        <v>0</v>
      </c>
      <c r="H183">
        <v>0</v>
      </c>
      <c r="I183">
        <v>0</v>
      </c>
      <c r="J183">
        <v>25.7</v>
      </c>
      <c r="K183">
        <v>0</v>
      </c>
      <c r="L183">
        <v>0</v>
      </c>
      <c r="M183">
        <v>0</v>
      </c>
      <c r="N183">
        <v>0</v>
      </c>
      <c r="O183" s="23">
        <v>25.7</v>
      </c>
      <c r="P183">
        <v>25.7</v>
      </c>
      <c r="Q183">
        <v>1</v>
      </c>
      <c r="R183">
        <v>1</v>
      </c>
      <c r="S183">
        <v>80</v>
      </c>
      <c r="T183">
        <f>_xlfn.XLOOKUP(C183,'Fichier Kuehne'!S:S,'Fichier Kuehne'!AH:AH,0)</f>
        <v>21</v>
      </c>
      <c r="U183">
        <f>_xlfn.XLOOKUP(C183,'Fichier Kuehne'!S:S,'Fichier Kuehne'!AN:AN,0)</f>
        <v>75</v>
      </c>
      <c r="V183" t="str">
        <f t="shared" si="6"/>
        <v>21France75</v>
      </c>
      <c r="W183" t="str">
        <f t="shared" si="7"/>
        <v>France</v>
      </c>
    </row>
    <row r="184" spans="2:23" x14ac:dyDescent="0.35">
      <c r="B184" t="s">
        <v>1154</v>
      </c>
      <c r="C184" t="s">
        <v>342</v>
      </c>
      <c r="D184" t="s">
        <v>344</v>
      </c>
      <c r="E184" t="s">
        <v>345</v>
      </c>
      <c r="F184" t="s">
        <v>192</v>
      </c>
      <c r="G184">
        <v>0</v>
      </c>
      <c r="H184">
        <v>0</v>
      </c>
      <c r="I184">
        <v>0</v>
      </c>
      <c r="J184">
        <v>0</v>
      </c>
      <c r="K184">
        <v>139.61000000000001</v>
      </c>
      <c r="L184">
        <v>0</v>
      </c>
      <c r="M184">
        <v>0</v>
      </c>
      <c r="N184">
        <v>0</v>
      </c>
      <c r="O184" s="23">
        <v>139.61000000000001</v>
      </c>
      <c r="P184">
        <v>139.61000000000001</v>
      </c>
      <c r="Q184">
        <v>2</v>
      </c>
      <c r="R184">
        <v>2</v>
      </c>
      <c r="S184">
        <v>258</v>
      </c>
      <c r="T184">
        <f>_xlfn.XLOOKUP(C184,'Fichier Kuehne'!S:S,'Fichier Kuehne'!AH:AH,0)</f>
        <v>21</v>
      </c>
      <c r="U184">
        <f>_xlfn.XLOOKUP(C184,'Fichier Kuehne'!S:S,'Fichier Kuehne'!AN:AN,0)</f>
        <v>64</v>
      </c>
      <c r="V184" t="str">
        <f t="shared" si="6"/>
        <v>21France64</v>
      </c>
      <c r="W184" t="str">
        <f t="shared" si="7"/>
        <v>France</v>
      </c>
    </row>
    <row r="185" spans="2:23" x14ac:dyDescent="0.35">
      <c r="B185" t="s">
        <v>1154</v>
      </c>
      <c r="C185" t="s">
        <v>387</v>
      </c>
      <c r="D185" t="s">
        <v>389</v>
      </c>
      <c r="E185" t="s">
        <v>390</v>
      </c>
      <c r="F185" t="s">
        <v>192</v>
      </c>
      <c r="G185">
        <v>0</v>
      </c>
      <c r="H185">
        <v>0</v>
      </c>
      <c r="I185">
        <v>0</v>
      </c>
      <c r="J185">
        <v>0</v>
      </c>
      <c r="K185">
        <v>38.56</v>
      </c>
      <c r="L185">
        <v>0</v>
      </c>
      <c r="M185">
        <v>0</v>
      </c>
      <c r="N185">
        <v>0</v>
      </c>
      <c r="O185" s="23">
        <v>38.56</v>
      </c>
      <c r="P185">
        <v>38.56</v>
      </c>
      <c r="Q185">
        <v>1</v>
      </c>
      <c r="R185">
        <v>1</v>
      </c>
      <c r="S185">
        <v>100</v>
      </c>
      <c r="T185">
        <f>_xlfn.XLOOKUP(C185,'Fichier Kuehne'!S:S,'Fichier Kuehne'!AH:AH,0)</f>
        <v>21</v>
      </c>
      <c r="U185">
        <f>_xlfn.XLOOKUP(C185,'Fichier Kuehne'!S:S,'Fichier Kuehne'!AN:AN,0)</f>
        <v>34</v>
      </c>
      <c r="V185" t="str">
        <f t="shared" si="6"/>
        <v>21France34</v>
      </c>
      <c r="W185" t="str">
        <f t="shared" si="7"/>
        <v>France</v>
      </c>
    </row>
    <row r="186" spans="2:23" x14ac:dyDescent="0.35">
      <c r="B186" t="s">
        <v>1154</v>
      </c>
      <c r="C186" t="s">
        <v>523</v>
      </c>
      <c r="D186" t="s">
        <v>525</v>
      </c>
      <c r="E186" t="s">
        <v>526</v>
      </c>
      <c r="F186" t="s">
        <v>192</v>
      </c>
      <c r="G186">
        <v>0</v>
      </c>
      <c r="H186">
        <v>0</v>
      </c>
      <c r="I186">
        <v>0</v>
      </c>
      <c r="J186">
        <v>25.7</v>
      </c>
      <c r="K186">
        <v>0</v>
      </c>
      <c r="L186">
        <v>0</v>
      </c>
      <c r="M186">
        <v>0</v>
      </c>
      <c r="N186">
        <v>0</v>
      </c>
      <c r="O186" s="23">
        <v>25.7</v>
      </c>
      <c r="P186">
        <v>25.7</v>
      </c>
      <c r="Q186">
        <v>1</v>
      </c>
      <c r="R186">
        <v>1</v>
      </c>
      <c r="S186">
        <v>354</v>
      </c>
      <c r="T186">
        <f>_xlfn.XLOOKUP(C186,'Fichier Kuehne'!S:S,'Fichier Kuehne'!AH:AH,0)</f>
        <v>21</v>
      </c>
      <c r="U186">
        <f>_xlfn.XLOOKUP(C186,'Fichier Kuehne'!S:S,'Fichier Kuehne'!AN:AN,0)</f>
        <v>95</v>
      </c>
      <c r="V186" t="str">
        <f t="shared" si="6"/>
        <v>21France95</v>
      </c>
      <c r="W186" t="str">
        <f t="shared" si="7"/>
        <v>France</v>
      </c>
    </row>
    <row r="187" spans="2:23" x14ac:dyDescent="0.35">
      <c r="B187" t="s">
        <v>1154</v>
      </c>
      <c r="C187" t="s">
        <v>542</v>
      </c>
      <c r="D187" t="s">
        <v>544</v>
      </c>
      <c r="E187" t="s">
        <v>545</v>
      </c>
      <c r="F187" t="s">
        <v>192</v>
      </c>
      <c r="G187">
        <v>0</v>
      </c>
      <c r="H187">
        <v>0</v>
      </c>
      <c r="I187">
        <v>0</v>
      </c>
      <c r="J187">
        <v>25.7</v>
      </c>
      <c r="K187">
        <v>0</v>
      </c>
      <c r="L187">
        <v>0</v>
      </c>
      <c r="M187">
        <v>0</v>
      </c>
      <c r="N187">
        <v>0</v>
      </c>
      <c r="O187" s="23">
        <v>25.7</v>
      </c>
      <c r="P187">
        <v>25.7</v>
      </c>
      <c r="Q187">
        <v>1</v>
      </c>
      <c r="R187">
        <v>1</v>
      </c>
      <c r="S187">
        <v>34</v>
      </c>
      <c r="T187">
        <f>_xlfn.XLOOKUP(C187,'Fichier Kuehne'!S:S,'Fichier Kuehne'!AH:AH,0)</f>
        <v>21</v>
      </c>
      <c r="U187">
        <f>_xlfn.XLOOKUP(C187,'Fichier Kuehne'!S:S,'Fichier Kuehne'!AN:AN,0)</f>
        <v>18</v>
      </c>
      <c r="V187" t="str">
        <f>T187&amp;W187&amp;IF(U187&lt;10,"0"&amp;U187,U187)</f>
        <v>21France18</v>
      </c>
      <c r="W187" t="str">
        <f>IF(F187="FR","France","étranger")</f>
        <v>France</v>
      </c>
    </row>
    <row r="188" spans="2:23" x14ac:dyDescent="0.35">
      <c r="B188" t="s">
        <v>1154</v>
      </c>
      <c r="C188" t="s">
        <v>549</v>
      </c>
      <c r="D188" t="s">
        <v>551</v>
      </c>
      <c r="E188" t="s">
        <v>552</v>
      </c>
      <c r="F188" t="s">
        <v>192</v>
      </c>
      <c r="G188">
        <v>0</v>
      </c>
      <c r="H188">
        <v>21</v>
      </c>
      <c r="I188">
        <v>10</v>
      </c>
      <c r="J188">
        <v>0</v>
      </c>
      <c r="K188">
        <v>0</v>
      </c>
      <c r="L188">
        <v>0</v>
      </c>
      <c r="M188">
        <v>0</v>
      </c>
      <c r="N188">
        <v>0</v>
      </c>
      <c r="O188" s="23">
        <v>31</v>
      </c>
      <c r="P188">
        <v>31</v>
      </c>
      <c r="Q188">
        <v>1</v>
      </c>
      <c r="R188">
        <v>1</v>
      </c>
      <c r="S188">
        <v>90</v>
      </c>
      <c r="T188">
        <f>_xlfn.XLOOKUP(C188,'Fichier Kuehne'!S:S,'Fichier Kuehne'!AH:AH,0)</f>
        <v>21</v>
      </c>
      <c r="U188">
        <f>_xlfn.XLOOKUP(C188,'Fichier Kuehne'!S:S,'Fichier Kuehne'!AN:AN,0)</f>
        <v>76</v>
      </c>
      <c r="V188" t="str">
        <f t="shared" ref="V188:V190" si="8">T188&amp;W188&amp;IF(U188&lt;10,"0"&amp;U188,U188)</f>
        <v>21France76</v>
      </c>
      <c r="W188" t="str">
        <f t="shared" ref="W188:W190" si="9">IF(F188="FR","France","étranger")</f>
        <v>France</v>
      </c>
    </row>
    <row r="189" spans="2:23" x14ac:dyDescent="0.35">
      <c r="B189" t="s">
        <v>1154</v>
      </c>
      <c r="C189" t="s">
        <v>765</v>
      </c>
      <c r="D189" t="s">
        <v>767</v>
      </c>
      <c r="E189" t="s">
        <v>768</v>
      </c>
      <c r="F189" t="s">
        <v>192</v>
      </c>
      <c r="G189">
        <v>0</v>
      </c>
      <c r="H189">
        <v>0</v>
      </c>
      <c r="I189">
        <v>10</v>
      </c>
      <c r="J189">
        <v>0</v>
      </c>
      <c r="K189">
        <v>0</v>
      </c>
      <c r="L189">
        <v>0</v>
      </c>
      <c r="M189">
        <v>0</v>
      </c>
      <c r="N189">
        <v>0</v>
      </c>
      <c r="O189" s="23">
        <v>10</v>
      </c>
      <c r="P189">
        <v>10</v>
      </c>
      <c r="Q189">
        <v>1</v>
      </c>
      <c r="R189">
        <v>1</v>
      </c>
      <c r="S189">
        <v>152</v>
      </c>
      <c r="T189">
        <f>_xlfn.XLOOKUP(C189,'Fichier Kuehne'!S:S,'Fichier Kuehne'!AH:AH,0)</f>
        <v>21</v>
      </c>
      <c r="U189">
        <f>_xlfn.XLOOKUP(C189,'Fichier Kuehne'!S:S,'Fichier Kuehne'!AN:AN,0)</f>
        <v>78</v>
      </c>
      <c r="V189" t="str">
        <f t="shared" si="8"/>
        <v>21France78</v>
      </c>
      <c r="W189" t="str">
        <f t="shared" si="9"/>
        <v>France</v>
      </c>
    </row>
    <row r="190" spans="2:23" x14ac:dyDescent="0.35">
      <c r="B190" t="s">
        <v>1154</v>
      </c>
      <c r="C190" t="s">
        <v>985</v>
      </c>
      <c r="D190" t="s">
        <v>987</v>
      </c>
      <c r="E190" t="s">
        <v>327</v>
      </c>
      <c r="F190" t="s">
        <v>192</v>
      </c>
      <c r="G190">
        <v>0</v>
      </c>
      <c r="H190">
        <v>0</v>
      </c>
      <c r="I190">
        <v>10</v>
      </c>
      <c r="J190">
        <v>0</v>
      </c>
      <c r="K190">
        <v>0</v>
      </c>
      <c r="L190">
        <v>0</v>
      </c>
      <c r="M190">
        <v>0</v>
      </c>
      <c r="N190">
        <v>0</v>
      </c>
      <c r="O190" s="23">
        <v>10</v>
      </c>
      <c r="P190">
        <v>10</v>
      </c>
      <c r="Q190">
        <v>1</v>
      </c>
      <c r="R190">
        <v>1</v>
      </c>
      <c r="S190">
        <v>121</v>
      </c>
      <c r="T190">
        <f>_xlfn.XLOOKUP(C190,'Fichier Kuehne'!S:S,'Fichier Kuehne'!AH:AH,0)</f>
        <v>21</v>
      </c>
      <c r="U190">
        <f>_xlfn.XLOOKUP(C190,'Fichier Kuehne'!S:S,'Fichier Kuehne'!AN:AN,0)</f>
        <v>49</v>
      </c>
      <c r="V190" t="str">
        <f t="shared" si="8"/>
        <v>21France49</v>
      </c>
      <c r="W190" t="str">
        <f t="shared" si="9"/>
        <v>France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0"/>
  <sheetViews>
    <sheetView zoomScale="85" workbookViewId="0">
      <pane ySplit="1" topLeftCell="A156" activePane="bottomLeft" state="frozen"/>
      <selection activeCell="F109" sqref="F109"/>
      <selection pane="bottomLeft" activeCell="A2" sqref="A2:U190"/>
    </sheetView>
  </sheetViews>
  <sheetFormatPr baseColWidth="10" defaultRowHeight="14.5" x14ac:dyDescent="0.35"/>
  <cols>
    <col min="1" max="1" width="16" bestFit="1" customWidth="1"/>
    <col min="2" max="2" width="19" bestFit="1" customWidth="1"/>
    <col min="3" max="3" width="20.54296875" bestFit="1" customWidth="1"/>
    <col min="4" max="4" width="8.453125" bestFit="1" customWidth="1"/>
    <col min="5" max="5" width="10.7265625" bestFit="1" customWidth="1"/>
    <col min="6" max="6" width="21.7265625" bestFit="1" customWidth="1"/>
    <col min="7" max="7" width="7.54296875" bestFit="1" customWidth="1"/>
    <col min="8" max="8" width="7.453125" bestFit="1" customWidth="1"/>
    <col min="9" max="9" width="12.81640625" customWidth="1"/>
    <col min="10" max="10" width="13.1796875" bestFit="1" customWidth="1"/>
    <col min="11" max="11" width="12.7265625" bestFit="1" customWidth="1"/>
    <col min="12" max="12" width="9.54296875" bestFit="1" customWidth="1"/>
    <col min="13" max="13" width="13.81640625" bestFit="1" customWidth="1"/>
    <col min="14" max="14" width="7.7265625" bestFit="1" customWidth="1"/>
    <col min="15" max="15" width="17.1796875" style="15" bestFit="1" customWidth="1"/>
    <col min="16" max="16" width="13.54296875" style="15" bestFit="1" customWidth="1"/>
    <col min="17" max="17" width="18.7265625" style="15" bestFit="1" customWidth="1"/>
    <col min="18" max="18" width="19.7265625" style="15" bestFit="1" customWidth="1"/>
    <col min="19" max="19" width="12.453125" style="15" bestFit="1" customWidth="1"/>
    <col min="20" max="20" width="12" style="15" bestFit="1" customWidth="1"/>
    <col min="21" max="21" width="18.26953125" style="15" bestFit="1" customWidth="1"/>
    <col min="22" max="22" width="23" bestFit="1" customWidth="1"/>
  </cols>
  <sheetData>
    <row r="1" spans="1:23" x14ac:dyDescent="0.3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s="15" t="s">
        <v>255</v>
      </c>
      <c r="P1" s="15" t="s">
        <v>256</v>
      </c>
      <c r="Q1" s="15" t="s">
        <v>257</v>
      </c>
      <c r="R1" s="15" t="s">
        <v>258</v>
      </c>
      <c r="S1" s="15" t="s">
        <v>259</v>
      </c>
      <c r="T1" s="15" t="s">
        <v>260</v>
      </c>
      <c r="U1" s="15" t="s">
        <v>261</v>
      </c>
      <c r="V1" t="s">
        <v>262</v>
      </c>
      <c r="W1" t="s">
        <v>263</v>
      </c>
    </row>
    <row r="2" spans="1:23" x14ac:dyDescent="0.35">
      <c r="A2" t="s">
        <v>264</v>
      </c>
      <c r="B2" s="28">
        <v>46174</v>
      </c>
      <c r="C2" t="str">
        <f>TCD!D2</f>
        <v>(vide)</v>
      </c>
      <c r="F2" t="str">
        <f>TCD!C2</f>
        <v>(vide)</v>
      </c>
      <c r="G2" t="str">
        <f>TCD!E2</f>
        <v>(vide)</v>
      </c>
      <c r="H2" t="s">
        <v>265</v>
      </c>
      <c r="I2" t="str">
        <f>TCD!F2</f>
        <v>(vide)</v>
      </c>
      <c r="J2" t="str">
        <f>TCD!V2</f>
        <v>0étranger00</v>
      </c>
      <c r="K2">
        <f>TCD!Q2</f>
        <v>0</v>
      </c>
      <c r="L2">
        <f>TCD!S2</f>
        <v>0</v>
      </c>
      <c r="M2" t="s">
        <v>266</v>
      </c>
      <c r="N2">
        <v>0.2</v>
      </c>
      <c r="O2" s="15" t="str">
        <f>IF(TCD!N2=0,"",TCD!N2)</f>
        <v/>
      </c>
      <c r="P2" s="15" t="str">
        <f>IF(TCD!G2=0,"",TCD!G2)</f>
        <v/>
      </c>
      <c r="Q2" s="15" t="str">
        <f>IF(TCD!H2=0,"",TCD!H2)</f>
        <v/>
      </c>
      <c r="R2" s="15" t="str">
        <f>IF(TCD!I2=0,"",TCD!I2)</f>
        <v/>
      </c>
      <c r="S2" s="15" t="str">
        <f>IF(TCD!J2=0,"",TCD!J2)</f>
        <v/>
      </c>
      <c r="T2" s="15" t="str">
        <f>IF(TCD!K2=0,"",TCD!K2)</f>
        <v/>
      </c>
      <c r="U2" s="15" t="str">
        <f>IF(TCD!L2=0,"",TCD!L2)</f>
        <v/>
      </c>
      <c r="V2" s="11"/>
    </row>
    <row r="3" spans="1:23" x14ac:dyDescent="0.35">
      <c r="A3" t="s">
        <v>264</v>
      </c>
      <c r="B3" s="7">
        <f>B2</f>
        <v>46174</v>
      </c>
      <c r="C3" t="str">
        <f>TCD!D3</f>
        <v>(vide)</v>
      </c>
      <c r="F3">
        <f>TCD!C3</f>
        <v>0</v>
      </c>
      <c r="G3" t="str">
        <f>TCD!E3</f>
        <v>(vide)</v>
      </c>
      <c r="H3" t="s">
        <v>265</v>
      </c>
      <c r="I3" t="str">
        <f>TCD!F3</f>
        <v>(vide)</v>
      </c>
      <c r="J3" t="str">
        <f>TCD!V3</f>
        <v>0étranger00</v>
      </c>
      <c r="K3">
        <f>TCD!Q3</f>
        <v>0</v>
      </c>
      <c r="L3">
        <f>TCD!S3</f>
        <v>0</v>
      </c>
      <c r="M3" t="s">
        <v>266</v>
      </c>
      <c r="N3">
        <f>N2</f>
        <v>0.2</v>
      </c>
      <c r="O3" s="15" t="str">
        <f>IF(TCD!N3=0,"",TCD!N3)</f>
        <v/>
      </c>
      <c r="P3" s="15" t="str">
        <f>IF(TCD!G3=0,"",TCD!G3)</f>
        <v/>
      </c>
      <c r="Q3" s="15" t="str">
        <f>IF(TCD!H3=0,"",TCD!H3)</f>
        <v/>
      </c>
      <c r="R3" s="15" t="str">
        <f>IF(TCD!I3=0,"",TCD!I3)</f>
        <v/>
      </c>
      <c r="S3" s="15" t="str">
        <f>IF(TCD!J3=0,"",TCD!J3)</f>
        <v/>
      </c>
      <c r="T3" s="15" t="str">
        <f>IF(TCD!K3=0,"",TCD!K3)</f>
        <v/>
      </c>
      <c r="U3" s="15" t="str">
        <f>IF(TCD!L3=0,"",TCD!L3)</f>
        <v/>
      </c>
    </row>
    <row r="4" spans="1:23" x14ac:dyDescent="0.35">
      <c r="A4" t="s">
        <v>264</v>
      </c>
      <c r="B4" s="7">
        <f t="shared" ref="B4:B67" si="0">B3</f>
        <v>46174</v>
      </c>
      <c r="C4" t="str">
        <f>TCD!D4</f>
        <v>26A050838106</v>
      </c>
      <c r="F4">
        <f>TCD!C4</f>
        <v>5001333</v>
      </c>
      <c r="G4" t="str">
        <f>TCD!E4</f>
        <v>LACHAUX Guillaume (ENTREPRISE)</v>
      </c>
      <c r="H4" t="s">
        <v>265</v>
      </c>
      <c r="I4" t="str">
        <f>TCD!F4</f>
        <v>FR</v>
      </c>
      <c r="J4" t="str">
        <f>TCD!V4</f>
        <v>21France78</v>
      </c>
      <c r="K4">
        <f>TCD!Q4</f>
        <v>1</v>
      </c>
      <c r="L4">
        <f>TCD!S4</f>
        <v>6</v>
      </c>
      <c r="M4" t="s">
        <v>266</v>
      </c>
      <c r="N4">
        <f t="shared" ref="N4:N67" si="1">N3</f>
        <v>0.2</v>
      </c>
      <c r="O4" s="15" t="str">
        <f>IF(TCD!N4=0,"",TCD!N4)</f>
        <v/>
      </c>
      <c r="P4" s="15" t="str">
        <f>IF(TCD!G4=0,"",TCD!G4)</f>
        <v/>
      </c>
      <c r="Q4" s="15" t="str">
        <f>IF(TCD!H4=0,"",TCD!H4)</f>
        <v/>
      </c>
      <c r="R4" s="15" t="str">
        <f>IF(TCD!I4=0,"",TCD!I4)</f>
        <v/>
      </c>
      <c r="S4" s="15" t="str">
        <f>IF(TCD!J4=0,"",TCD!J4)</f>
        <v/>
      </c>
      <c r="T4" s="15">
        <f>IF(TCD!K4=0,"",TCD!K4)</f>
        <v>25.139999999999997</v>
      </c>
      <c r="U4" s="15" t="str">
        <f>IF(TCD!L4=0,"",TCD!L4)</f>
        <v/>
      </c>
    </row>
    <row r="5" spans="1:23" x14ac:dyDescent="0.35">
      <c r="A5" t="s">
        <v>264</v>
      </c>
      <c r="B5" s="7">
        <f t="shared" si="0"/>
        <v>46174</v>
      </c>
      <c r="C5" t="str">
        <f>TCD!D5</f>
        <v>26A050838077</v>
      </c>
      <c r="F5">
        <f>TCD!C5</f>
        <v>5001334</v>
      </c>
      <c r="G5" t="str">
        <f>TCD!E5</f>
        <v>HASARD Françoise (ENTREPRISE)</v>
      </c>
      <c r="H5" t="s">
        <v>265</v>
      </c>
      <c r="I5" t="str">
        <f>TCD!F5</f>
        <v>FR</v>
      </c>
      <c r="J5" t="str">
        <f>TCD!V5</f>
        <v>21France34</v>
      </c>
      <c r="K5">
        <f>TCD!Q5</f>
        <v>1</v>
      </c>
      <c r="L5">
        <f>TCD!S5</f>
        <v>1</v>
      </c>
      <c r="M5" t="s">
        <v>266</v>
      </c>
      <c r="N5">
        <f t="shared" si="1"/>
        <v>0.2</v>
      </c>
      <c r="O5" s="15" t="str">
        <f>IF(TCD!N5=0,"",TCD!N5)</f>
        <v/>
      </c>
      <c r="P5" s="15" t="str">
        <f>IF(TCD!G5=0,"",TCD!G5)</f>
        <v/>
      </c>
      <c r="Q5" s="15" t="str">
        <f>IF(TCD!H5=0,"",TCD!H5)</f>
        <v/>
      </c>
      <c r="R5" s="15" t="str">
        <f>IF(TCD!I5=0,"",TCD!I5)</f>
        <v/>
      </c>
      <c r="S5" s="15" t="str">
        <f>IF(TCD!J5=0,"",TCD!J5)</f>
        <v/>
      </c>
      <c r="T5" s="15">
        <f>IF(TCD!K5=0,"",TCD!K5)</f>
        <v>29.38</v>
      </c>
      <c r="U5" s="15" t="str">
        <f>IF(TCD!L5=0,"",TCD!L5)</f>
        <v/>
      </c>
    </row>
    <row r="6" spans="1:23" x14ac:dyDescent="0.35">
      <c r="A6" t="s">
        <v>264</v>
      </c>
      <c r="B6" s="7">
        <f t="shared" si="0"/>
        <v>46174</v>
      </c>
      <c r="C6" t="str">
        <f>TCD!D6</f>
        <v>26A060049541</v>
      </c>
      <c r="F6">
        <f>TCD!C6</f>
        <v>5001336</v>
      </c>
      <c r="G6" t="str">
        <f>TCD!E6</f>
        <v>Gregory TUDELA (ENTREPRISE)</v>
      </c>
      <c r="H6" t="s">
        <v>265</v>
      </c>
      <c r="I6" t="str">
        <f>TCD!F6</f>
        <v>FR</v>
      </c>
      <c r="J6" t="str">
        <f>TCD!V6</f>
        <v>21France30</v>
      </c>
      <c r="K6">
        <f>TCD!Q6</f>
        <v>1</v>
      </c>
      <c r="L6">
        <f>TCD!S6</f>
        <v>10</v>
      </c>
      <c r="M6" t="s">
        <v>266</v>
      </c>
      <c r="N6">
        <f t="shared" si="1"/>
        <v>0.2</v>
      </c>
      <c r="O6" s="15" t="str">
        <f>IF(TCD!N6=0,"",TCD!N6)</f>
        <v/>
      </c>
      <c r="P6" s="15" t="str">
        <f>IF(TCD!G6=0,"",TCD!G6)</f>
        <v/>
      </c>
      <c r="Q6" s="15" t="str">
        <f>IF(TCD!H6=0,"",TCD!H6)</f>
        <v/>
      </c>
      <c r="R6" s="15" t="str">
        <f>IF(TCD!I6=0,"",TCD!I6)</f>
        <v/>
      </c>
      <c r="S6" s="15" t="str">
        <f>IF(TCD!J6=0,"",TCD!J6)</f>
        <v/>
      </c>
      <c r="T6" s="15">
        <f>IF(TCD!K6=0,"",TCD!K6)</f>
        <v>32.9</v>
      </c>
      <c r="U6" s="15" t="str">
        <f>IF(TCD!L6=0,"",TCD!L6)</f>
        <v/>
      </c>
    </row>
    <row r="7" spans="1:23" x14ac:dyDescent="0.35">
      <c r="A7" t="s">
        <v>264</v>
      </c>
      <c r="B7" s="7">
        <f t="shared" si="0"/>
        <v>46174</v>
      </c>
      <c r="C7" t="str">
        <f>TCD!D7</f>
        <v>26A060390328</v>
      </c>
      <c r="F7">
        <f>TCD!C7</f>
        <v>5001337</v>
      </c>
      <c r="G7" t="str">
        <f>TCD!E7</f>
        <v>Jérôme BRETAUDEAU (ENTREPRISE)</v>
      </c>
      <c r="H7" t="s">
        <v>265</v>
      </c>
      <c r="I7" t="str">
        <f>TCD!F7</f>
        <v>FR</v>
      </c>
      <c r="J7" t="str">
        <f>TCD!V7</f>
        <v>21France44</v>
      </c>
      <c r="K7">
        <f>TCD!Q7</f>
        <v>1</v>
      </c>
      <c r="L7">
        <f>TCD!S7</f>
        <v>157</v>
      </c>
      <c r="M7" t="s">
        <v>266</v>
      </c>
      <c r="N7">
        <f t="shared" si="1"/>
        <v>0.2</v>
      </c>
      <c r="O7" s="15" t="str">
        <f>IF(TCD!N7=0,"",TCD!N7)</f>
        <v/>
      </c>
      <c r="P7" s="15" t="str">
        <f>IF(TCD!G7=0,"",TCD!G7)</f>
        <v/>
      </c>
      <c r="Q7" s="15" t="str">
        <f>IF(TCD!H7=0,"",TCD!H7)</f>
        <v/>
      </c>
      <c r="R7" s="15" t="str">
        <f>IF(TCD!I7=0,"",TCD!I7)</f>
        <v/>
      </c>
      <c r="S7" s="15" t="str">
        <f>IF(TCD!J7=0,"",TCD!J7)</f>
        <v/>
      </c>
      <c r="T7" s="15">
        <f>IF(TCD!K7=0,"",TCD!K7)</f>
        <v>85.700000000000017</v>
      </c>
      <c r="U7" s="15" t="str">
        <f>IF(TCD!L7=0,"",TCD!L7)</f>
        <v/>
      </c>
    </row>
    <row r="8" spans="1:23" x14ac:dyDescent="0.35">
      <c r="A8" t="s">
        <v>264</v>
      </c>
      <c r="B8" s="7">
        <f t="shared" si="0"/>
        <v>46174</v>
      </c>
      <c r="C8" t="str">
        <f>TCD!D8</f>
        <v>26A060588666</v>
      </c>
      <c r="F8">
        <f>TCD!C8</f>
        <v>5001338</v>
      </c>
      <c r="G8" t="str">
        <f>TCD!E8</f>
        <v>VPMI VANDROMME PROMOTION MEDICAL (ENTREPRISE)</v>
      </c>
      <c r="H8" t="s">
        <v>265</v>
      </c>
      <c r="I8" t="str">
        <f>TCD!F8</f>
        <v>FR</v>
      </c>
      <c r="J8" t="str">
        <f>TCD!V8</f>
        <v>21France28</v>
      </c>
      <c r="K8">
        <f>TCD!Q8</f>
        <v>1</v>
      </c>
      <c r="L8">
        <f>TCD!S8</f>
        <v>400</v>
      </c>
      <c r="M8" t="s">
        <v>266</v>
      </c>
      <c r="N8">
        <f t="shared" si="1"/>
        <v>0.2</v>
      </c>
      <c r="O8" s="15" t="str">
        <f>IF(TCD!N8=0,"",TCD!N8)</f>
        <v/>
      </c>
      <c r="P8" s="15" t="str">
        <f>IF(TCD!G8=0,"",TCD!G8)</f>
        <v/>
      </c>
      <c r="Q8" s="15" t="str">
        <f>IF(TCD!H8=0,"",TCD!H8)</f>
        <v/>
      </c>
      <c r="R8" s="15" t="str">
        <f>IF(TCD!I8=0,"",TCD!I8)</f>
        <v/>
      </c>
      <c r="S8" s="15" t="str">
        <f>IF(TCD!J8=0,"",TCD!J8)</f>
        <v/>
      </c>
      <c r="T8" s="15">
        <f>IF(TCD!K8=0,"",TCD!K8)</f>
        <v>52.58</v>
      </c>
      <c r="U8" s="15" t="str">
        <f>IF(TCD!L8=0,"",TCD!L8)</f>
        <v/>
      </c>
    </row>
    <row r="9" spans="1:23" x14ac:dyDescent="0.35">
      <c r="A9" t="s">
        <v>264</v>
      </c>
      <c r="B9" s="7">
        <f t="shared" si="0"/>
        <v>46174</v>
      </c>
      <c r="C9" t="str">
        <f>TCD!D9</f>
        <v>26A060014947</v>
      </c>
      <c r="F9" t="str">
        <f>TCD!C9</f>
        <v>26A060014947</v>
      </c>
      <c r="G9" t="str">
        <f>TCD!E9</f>
        <v>LA RUCHE LOGISTIQUE</v>
      </c>
      <c r="H9" t="s">
        <v>265</v>
      </c>
      <c r="I9" t="str">
        <f>TCD!F9</f>
        <v>FR</v>
      </c>
      <c r="J9" t="str">
        <f>TCD!V9</f>
        <v>0France00</v>
      </c>
      <c r="K9">
        <f>TCD!Q9</f>
        <v>33</v>
      </c>
      <c r="L9">
        <f>TCD!S9</f>
        <v>25000</v>
      </c>
      <c r="M9" t="s">
        <v>266</v>
      </c>
      <c r="N9">
        <f t="shared" si="1"/>
        <v>0.2</v>
      </c>
      <c r="O9" s="15" t="str">
        <f>IF(TCD!N9=0,"",TCD!N9)</f>
        <v/>
      </c>
      <c r="P9" s="15" t="str">
        <f>IF(TCD!G9=0,"",TCD!G9)</f>
        <v/>
      </c>
      <c r="Q9" s="15" t="str">
        <f>IF(TCD!H9=0,"",TCD!H9)</f>
        <v/>
      </c>
      <c r="R9" s="15" t="str">
        <f>IF(TCD!I9=0,"",TCD!I9)</f>
        <v/>
      </c>
      <c r="S9" s="15" t="str">
        <f>IF(TCD!J9=0,"",TCD!J9)</f>
        <v/>
      </c>
      <c r="T9" s="15">
        <f>IF(TCD!K9=0,"",TCD!K9)</f>
        <v>300</v>
      </c>
      <c r="U9" s="15" t="str">
        <f>IF(TCD!L9=0,"",TCD!L9)</f>
        <v/>
      </c>
    </row>
    <row r="10" spans="1:23" x14ac:dyDescent="0.35">
      <c r="A10" t="s">
        <v>264</v>
      </c>
      <c r="B10" s="7">
        <f t="shared" si="0"/>
        <v>46174</v>
      </c>
      <c r="C10" t="str">
        <f>TCD!D10</f>
        <v>26A060217880</v>
      </c>
      <c r="F10" t="str">
        <f>TCD!C10</f>
        <v>26A060217880</v>
      </c>
      <c r="G10" t="str">
        <f>TCD!E10</f>
        <v>LA RUCHE LOGISTIQUE</v>
      </c>
      <c r="H10" t="s">
        <v>265</v>
      </c>
      <c r="I10" t="str">
        <f>TCD!F10</f>
        <v>FR</v>
      </c>
      <c r="J10" t="str">
        <f>TCD!V10</f>
        <v>0France00</v>
      </c>
      <c r="K10">
        <f>TCD!Q10</f>
        <v>33</v>
      </c>
      <c r="L10">
        <f>TCD!S10</f>
        <v>25000</v>
      </c>
      <c r="M10" t="s">
        <v>266</v>
      </c>
      <c r="N10">
        <f t="shared" si="1"/>
        <v>0.2</v>
      </c>
      <c r="O10" s="15" t="str">
        <f>IF(TCD!N10=0,"",TCD!N10)</f>
        <v/>
      </c>
      <c r="P10" s="15" t="str">
        <f>IF(TCD!G10=0,"",TCD!G10)</f>
        <v/>
      </c>
      <c r="Q10" s="15" t="str">
        <f>IF(TCD!H10=0,"",TCD!H10)</f>
        <v/>
      </c>
      <c r="R10" s="15" t="str">
        <f>IF(TCD!I10=0,"",TCD!I10)</f>
        <v/>
      </c>
      <c r="S10" s="15" t="str">
        <f>IF(TCD!J10=0,"",TCD!J10)</f>
        <v/>
      </c>
      <c r="T10" s="15">
        <f>IF(TCD!K10=0,"",TCD!K10)</f>
        <v>300</v>
      </c>
      <c r="U10" s="15" t="str">
        <f>IF(TCD!L10=0,"",TCD!L10)</f>
        <v/>
      </c>
    </row>
    <row r="11" spans="1:23" x14ac:dyDescent="0.35">
      <c r="A11" t="s">
        <v>264</v>
      </c>
      <c r="B11" s="7">
        <f t="shared" si="0"/>
        <v>46174</v>
      </c>
      <c r="C11" t="str">
        <f>TCD!D11</f>
        <v>26A060261866</v>
      </c>
      <c r="F11" t="str">
        <f>TCD!C11</f>
        <v>26A060261866</v>
      </c>
      <c r="G11" t="str">
        <f>TCD!E11</f>
        <v>LA RUCHE LOGISTIQUE</v>
      </c>
      <c r="H11" t="s">
        <v>265</v>
      </c>
      <c r="I11" t="str">
        <f>TCD!F11</f>
        <v>FR</v>
      </c>
      <c r="J11" t="str">
        <f>TCD!V11</f>
        <v>0France00</v>
      </c>
      <c r="K11">
        <f>TCD!Q11</f>
        <v>33</v>
      </c>
      <c r="L11">
        <f>TCD!S11</f>
        <v>25000</v>
      </c>
      <c r="M11" t="s">
        <v>266</v>
      </c>
      <c r="N11">
        <f t="shared" si="1"/>
        <v>0.2</v>
      </c>
      <c r="O11" s="15" t="str">
        <f>IF(TCD!N11=0,"",TCD!N11)</f>
        <v/>
      </c>
      <c r="P11" s="15" t="str">
        <f>IF(TCD!G11=0,"",TCD!G11)</f>
        <v/>
      </c>
      <c r="Q11" s="15" t="str">
        <f>IF(TCD!H11=0,"",TCD!H11)</f>
        <v/>
      </c>
      <c r="R11" s="15" t="str">
        <f>IF(TCD!I11=0,"",TCD!I11)</f>
        <v/>
      </c>
      <c r="S11" s="15" t="str">
        <f>IF(TCD!J11=0,"",TCD!J11)</f>
        <v/>
      </c>
      <c r="T11" s="15">
        <f>IF(TCD!K11=0,"",TCD!K11)</f>
        <v>300</v>
      </c>
      <c r="U11" s="15" t="str">
        <f>IF(TCD!L11=0,"",TCD!L11)</f>
        <v/>
      </c>
    </row>
    <row r="12" spans="1:23" x14ac:dyDescent="0.35">
      <c r="A12" t="s">
        <v>264</v>
      </c>
      <c r="B12" s="7">
        <f t="shared" si="0"/>
        <v>46174</v>
      </c>
      <c r="C12" t="str">
        <f>TCD!D12</f>
        <v>26A060316606</v>
      </c>
      <c r="F12" t="str">
        <f>TCD!C12</f>
        <v>26A060316606</v>
      </c>
      <c r="G12" t="str">
        <f>TCD!E12</f>
        <v xml:space="preserve">LES PLAINES DE CLARY </v>
      </c>
      <c r="H12" t="s">
        <v>265</v>
      </c>
      <c r="I12" t="str">
        <f>TCD!F12</f>
        <v>FR</v>
      </c>
      <c r="J12" t="str">
        <f>TCD!V12</f>
        <v>0France00</v>
      </c>
      <c r="K12">
        <f>TCD!Q12</f>
        <v>2</v>
      </c>
      <c r="L12">
        <f>TCD!S12</f>
        <v>900</v>
      </c>
      <c r="M12" t="s">
        <v>266</v>
      </c>
      <c r="N12">
        <f t="shared" si="1"/>
        <v>0.2</v>
      </c>
      <c r="O12" s="15" t="str">
        <f>IF(TCD!N12=0,"",TCD!N12)</f>
        <v/>
      </c>
      <c r="P12" s="15" t="str">
        <f>IF(TCD!G12=0,"",TCD!G12)</f>
        <v/>
      </c>
      <c r="Q12" s="15" t="str">
        <f>IF(TCD!H12=0,"",TCD!H12)</f>
        <v/>
      </c>
      <c r="R12" s="15" t="str">
        <f>IF(TCD!I12=0,"",TCD!I12)</f>
        <v/>
      </c>
      <c r="S12" s="15" t="str">
        <f>IF(TCD!J12=0,"",TCD!J12)</f>
        <v/>
      </c>
      <c r="T12" s="15">
        <f>IF(TCD!K12=0,"",TCD!K12)</f>
        <v>605</v>
      </c>
      <c r="U12" s="15" t="str">
        <f>IF(TCD!L12=0,"",TCD!L12)</f>
        <v/>
      </c>
    </row>
    <row r="13" spans="1:23" x14ac:dyDescent="0.35">
      <c r="A13" t="s">
        <v>264</v>
      </c>
      <c r="B13" s="7">
        <f t="shared" si="0"/>
        <v>46174</v>
      </c>
      <c r="C13" t="str">
        <f>TCD!D13</f>
        <v>26A060354623</v>
      </c>
      <c r="F13" t="str">
        <f>TCD!C13</f>
        <v>26A060354623</v>
      </c>
      <c r="G13" t="str">
        <f>TCD!E13</f>
        <v>AIR TERMINAL HANDLING S.A (ATH) P/C DACHSER</v>
      </c>
      <c r="H13" t="s">
        <v>265</v>
      </c>
      <c r="I13" t="str">
        <f>TCD!F13</f>
        <v>FR</v>
      </c>
      <c r="J13" t="str">
        <f>TCD!V13</f>
        <v>0France00</v>
      </c>
      <c r="K13">
        <f>TCD!Q13</f>
        <v>1</v>
      </c>
      <c r="L13">
        <f>TCD!S13</f>
        <v>354</v>
      </c>
      <c r="M13" t="s">
        <v>266</v>
      </c>
      <c r="N13">
        <f t="shared" si="1"/>
        <v>0.2</v>
      </c>
      <c r="O13" s="15" t="str">
        <f>IF(TCD!N13=0,"",TCD!N13)</f>
        <v/>
      </c>
      <c r="P13" s="15" t="str">
        <f>IF(TCD!G13=0,"",TCD!G13)</f>
        <v/>
      </c>
      <c r="Q13" s="15" t="str">
        <f>IF(TCD!H13=0,"",TCD!H13)</f>
        <v/>
      </c>
      <c r="R13" s="15" t="str">
        <f>IF(TCD!I13=0,"",TCD!I13)</f>
        <v/>
      </c>
      <c r="S13" s="15" t="str">
        <f>IF(TCD!J13=0,"",TCD!J13)</f>
        <v/>
      </c>
      <c r="T13" s="15">
        <f>IF(TCD!K13=0,"",TCD!K13)</f>
        <v>41.71</v>
      </c>
      <c r="U13" s="15" t="str">
        <f>IF(TCD!L13=0,"",TCD!L13)</f>
        <v/>
      </c>
    </row>
    <row r="14" spans="1:23" x14ac:dyDescent="0.35">
      <c r="A14" t="s">
        <v>264</v>
      </c>
      <c r="B14" s="7">
        <f t="shared" si="0"/>
        <v>46174</v>
      </c>
      <c r="C14" t="str">
        <f>TCD!D14</f>
        <v>26A060428796</v>
      </c>
      <c r="F14" t="str">
        <f>TCD!C14</f>
        <v>26A060428796</v>
      </c>
      <c r="G14" t="str">
        <f>TCD!E14</f>
        <v xml:space="preserve">LA RUCHE LOGISTIQUE </v>
      </c>
      <c r="H14" t="s">
        <v>265</v>
      </c>
      <c r="I14" t="str">
        <f>TCD!F14</f>
        <v>FR</v>
      </c>
      <c r="J14" t="str">
        <f>TCD!V14</f>
        <v>0France00</v>
      </c>
      <c r="K14">
        <f>TCD!Q14</f>
        <v>13</v>
      </c>
      <c r="L14">
        <f>TCD!S14</f>
        <v>10000</v>
      </c>
      <c r="M14" t="s">
        <v>266</v>
      </c>
      <c r="N14">
        <f t="shared" si="1"/>
        <v>0.2</v>
      </c>
      <c r="O14" s="15" t="str">
        <f>IF(TCD!N14=0,"",TCD!N14)</f>
        <v/>
      </c>
      <c r="P14" s="15" t="str">
        <f>IF(TCD!G14=0,"",TCD!G14)</f>
        <v/>
      </c>
      <c r="Q14" s="15" t="str">
        <f>IF(TCD!H14=0,"",TCD!H14)</f>
        <v/>
      </c>
      <c r="R14" s="15" t="str">
        <f>IF(TCD!I14=0,"",TCD!I14)</f>
        <v/>
      </c>
      <c r="S14" s="15" t="str">
        <f>IF(TCD!J14=0,"",TCD!J14)</f>
        <v/>
      </c>
      <c r="T14" s="15">
        <f>IF(TCD!K14=0,"",TCD!K14)</f>
        <v>250</v>
      </c>
      <c r="U14" s="15" t="str">
        <f>IF(TCD!L14=0,"",TCD!L14)</f>
        <v/>
      </c>
    </row>
    <row r="15" spans="1:23" x14ac:dyDescent="0.35">
      <c r="A15" t="s">
        <v>264</v>
      </c>
      <c r="B15" s="7">
        <f t="shared" si="0"/>
        <v>46174</v>
      </c>
      <c r="C15" t="str">
        <f>TCD!D15</f>
        <v>26A060503097</v>
      </c>
      <c r="F15" t="str">
        <f>TCD!C15</f>
        <v>26A060503097</v>
      </c>
      <c r="G15" t="str">
        <f>TCD!E15</f>
        <v>LA RUCHE LOGISTIQUE</v>
      </c>
      <c r="H15" t="s">
        <v>265</v>
      </c>
      <c r="I15" t="str">
        <f>TCD!F15</f>
        <v>FR</v>
      </c>
      <c r="J15" t="str">
        <f>TCD!V15</f>
        <v>0France00</v>
      </c>
      <c r="K15">
        <f>TCD!Q15</f>
        <v>33</v>
      </c>
      <c r="L15">
        <f>TCD!S15</f>
        <v>25000</v>
      </c>
      <c r="M15" t="s">
        <v>266</v>
      </c>
      <c r="N15">
        <f t="shared" si="1"/>
        <v>0.2</v>
      </c>
      <c r="O15" s="15" t="str">
        <f>IF(TCD!N15=0,"",TCD!N15)</f>
        <v/>
      </c>
      <c r="P15" s="15" t="str">
        <f>IF(TCD!G15=0,"",TCD!G15)</f>
        <v/>
      </c>
      <c r="Q15" s="15" t="str">
        <f>IF(TCD!H15=0,"",TCD!H15)</f>
        <v/>
      </c>
      <c r="R15" s="15" t="str">
        <f>IF(TCD!I15=0,"",TCD!I15)</f>
        <v/>
      </c>
      <c r="S15" s="15" t="str">
        <f>IF(TCD!J15=0,"",TCD!J15)</f>
        <v/>
      </c>
      <c r="T15" s="15">
        <f>IF(TCD!K15=0,"",TCD!K15)</f>
        <v>300</v>
      </c>
      <c r="U15" s="15" t="str">
        <f>IF(TCD!L15=0,"",TCD!L15)</f>
        <v/>
      </c>
    </row>
    <row r="16" spans="1:23" x14ac:dyDescent="0.35">
      <c r="A16" t="s">
        <v>264</v>
      </c>
      <c r="B16" s="7">
        <f t="shared" si="0"/>
        <v>46174</v>
      </c>
      <c r="C16" t="str">
        <f>TCD!D16</f>
        <v>26A060616559</v>
      </c>
      <c r="F16" t="str">
        <f>TCD!C16</f>
        <v>26A060616559</v>
      </c>
      <c r="G16" t="str">
        <f>TCD!E16</f>
        <v>LA RUCHE LOGISTIQUE</v>
      </c>
      <c r="H16" t="s">
        <v>265</v>
      </c>
      <c r="I16" t="str">
        <f>TCD!F16</f>
        <v>FR</v>
      </c>
      <c r="J16" t="str">
        <f>TCD!V16</f>
        <v>0France00</v>
      </c>
      <c r="K16">
        <f>TCD!Q16</f>
        <v>32</v>
      </c>
      <c r="L16">
        <f>TCD!S16</f>
        <v>25000</v>
      </c>
      <c r="M16" t="s">
        <v>266</v>
      </c>
      <c r="N16">
        <f t="shared" si="1"/>
        <v>0.2</v>
      </c>
      <c r="O16" s="15" t="str">
        <f>IF(TCD!N16=0,"",TCD!N16)</f>
        <v/>
      </c>
      <c r="P16" s="15" t="str">
        <f>IF(TCD!G16=0,"",TCD!G16)</f>
        <v/>
      </c>
      <c r="Q16" s="15" t="str">
        <f>IF(TCD!H16=0,"",TCD!H16)</f>
        <v/>
      </c>
      <c r="R16" s="15" t="str">
        <f>IF(TCD!I16=0,"",TCD!I16)</f>
        <v/>
      </c>
      <c r="S16" s="15" t="str">
        <f>IF(TCD!J16=0,"",TCD!J16)</f>
        <v/>
      </c>
      <c r="T16" s="15">
        <f>IF(TCD!K16=0,"",TCD!K16)</f>
        <v>300</v>
      </c>
      <c r="U16" s="15" t="str">
        <f>IF(TCD!L16=0,"",TCD!L16)</f>
        <v/>
      </c>
    </row>
    <row r="17" spans="1:21" x14ac:dyDescent="0.35">
      <c r="A17" t="s">
        <v>264</v>
      </c>
      <c r="B17" s="7">
        <f t="shared" si="0"/>
        <v>46174</v>
      </c>
      <c r="C17" t="str">
        <f>TCD!D17</f>
        <v>26A060771898</v>
      </c>
      <c r="F17" t="str">
        <f>TCD!C17</f>
        <v>26A060771898</v>
      </c>
      <c r="G17" t="str">
        <f>TCD!E17</f>
        <v>LA RUCHE LOGISTIQUE</v>
      </c>
      <c r="H17" t="s">
        <v>265</v>
      </c>
      <c r="I17" t="str">
        <f>TCD!F17</f>
        <v>FR</v>
      </c>
      <c r="J17" t="str">
        <f>TCD!V17</f>
        <v>0France00</v>
      </c>
      <c r="K17">
        <f>TCD!Q17</f>
        <v>33</v>
      </c>
      <c r="L17">
        <f>TCD!S17</f>
        <v>25000</v>
      </c>
      <c r="M17" t="s">
        <v>266</v>
      </c>
      <c r="N17">
        <f t="shared" si="1"/>
        <v>0.2</v>
      </c>
      <c r="O17" s="15" t="str">
        <f>IF(TCD!N17=0,"",TCD!N17)</f>
        <v/>
      </c>
      <c r="P17" s="15" t="str">
        <f>IF(TCD!G17=0,"",TCD!G17)</f>
        <v/>
      </c>
      <c r="Q17" s="15" t="str">
        <f>IF(TCD!H17=0,"",TCD!H17)</f>
        <v/>
      </c>
      <c r="R17" s="15" t="str">
        <f>IF(TCD!I17=0,"",TCD!I17)</f>
        <v/>
      </c>
      <c r="S17" s="15" t="str">
        <f>IF(TCD!J17=0,"",TCD!J17)</f>
        <v/>
      </c>
      <c r="T17" s="15">
        <f>IF(TCD!K17=0,"",TCD!K17)</f>
        <v>300</v>
      </c>
      <c r="U17" s="15" t="str">
        <f>IF(TCD!L17=0,"",TCD!L17)</f>
        <v/>
      </c>
    </row>
    <row r="18" spans="1:21" x14ac:dyDescent="0.35">
      <c r="A18" t="s">
        <v>264</v>
      </c>
      <c r="B18" s="7">
        <f t="shared" si="0"/>
        <v>46174</v>
      </c>
      <c r="C18" t="str">
        <f>TCD!D18</f>
        <v>26A060912817</v>
      </c>
      <c r="F18" t="str">
        <f>TCD!C18</f>
        <v>26A060912817</v>
      </c>
      <c r="G18" t="str">
        <f>TCD!E18</f>
        <v>LA RUCHE LOGISTIQUE</v>
      </c>
      <c r="H18" t="s">
        <v>265</v>
      </c>
      <c r="I18" t="str">
        <f>TCD!F18</f>
        <v>FR</v>
      </c>
      <c r="J18" t="str">
        <f>TCD!V18</f>
        <v>0France00</v>
      </c>
      <c r="K18">
        <f>TCD!Q18</f>
        <v>33</v>
      </c>
      <c r="L18">
        <f>TCD!S18</f>
        <v>20000</v>
      </c>
      <c r="M18" t="s">
        <v>266</v>
      </c>
      <c r="N18">
        <f t="shared" si="1"/>
        <v>0.2</v>
      </c>
      <c r="O18" s="15" t="str">
        <f>IF(TCD!N18=0,"",TCD!N18)</f>
        <v/>
      </c>
      <c r="P18" s="15" t="str">
        <f>IF(TCD!G18=0,"",TCD!G18)</f>
        <v/>
      </c>
      <c r="Q18" s="15" t="str">
        <f>IF(TCD!H18=0,"",TCD!H18)</f>
        <v/>
      </c>
      <c r="R18" s="15" t="str">
        <f>IF(TCD!I18=0,"",TCD!I18)</f>
        <v/>
      </c>
      <c r="S18" s="15" t="str">
        <f>IF(TCD!J18=0,"",TCD!J18)</f>
        <v/>
      </c>
      <c r="T18" s="15">
        <f>IF(TCD!K18=0,"",TCD!K18)</f>
        <v>300</v>
      </c>
      <c r="U18" s="15" t="str">
        <f>IF(TCD!L18=0,"",TCD!L18)</f>
        <v/>
      </c>
    </row>
    <row r="19" spans="1:21" x14ac:dyDescent="0.35">
      <c r="A19" t="s">
        <v>264</v>
      </c>
      <c r="B19" s="7">
        <f t="shared" si="0"/>
        <v>46174</v>
      </c>
      <c r="C19" t="str">
        <f>TCD!D19</f>
        <v>26E005237558</v>
      </c>
      <c r="F19" t="str">
        <f>TCD!C19</f>
        <v>26E005237558</v>
      </c>
      <c r="G19" t="str">
        <f>TCD!E19</f>
        <v>BRUNO ANDREU</v>
      </c>
      <c r="H19" t="s">
        <v>265</v>
      </c>
      <c r="I19" t="str">
        <f>TCD!F19</f>
        <v>FR</v>
      </c>
      <c r="J19" t="str">
        <f>TCD!V19</f>
        <v>0France00</v>
      </c>
      <c r="K19">
        <f>TCD!Q19</f>
        <v>1</v>
      </c>
      <c r="L19">
        <f>TCD!S19</f>
        <v>112</v>
      </c>
      <c r="M19" t="s">
        <v>266</v>
      </c>
      <c r="N19">
        <f t="shared" si="1"/>
        <v>0.2</v>
      </c>
      <c r="O19" s="15" t="str">
        <f>IF(TCD!N19=0,"",TCD!N19)</f>
        <v/>
      </c>
      <c r="P19" s="15" t="str">
        <f>IF(TCD!G19=0,"",TCD!G19)</f>
        <v/>
      </c>
      <c r="Q19" s="15" t="str">
        <f>IF(TCD!H19=0,"",TCD!H19)</f>
        <v/>
      </c>
      <c r="R19" s="15" t="str">
        <f>IF(TCD!I19=0,"",TCD!I19)</f>
        <v/>
      </c>
      <c r="S19" s="15" t="str">
        <f>IF(TCD!J19=0,"",TCD!J19)</f>
        <v/>
      </c>
      <c r="T19" s="15">
        <f>IF(TCD!K19=0,"",TCD!K19)</f>
        <v>124.23</v>
      </c>
      <c r="U19" s="15" t="str">
        <f>IF(TCD!L19=0,"",TCD!L19)</f>
        <v/>
      </c>
    </row>
    <row r="20" spans="1:21" x14ac:dyDescent="0.35">
      <c r="A20" t="s">
        <v>264</v>
      </c>
      <c r="B20" s="7">
        <f t="shared" si="0"/>
        <v>46174</v>
      </c>
      <c r="C20" t="str">
        <f>TCD!D20</f>
        <v>26E005237564</v>
      </c>
      <c r="F20" t="str">
        <f>TCD!C20</f>
        <v>26E005237564</v>
      </c>
      <c r="G20" t="str">
        <f>TCD!E20</f>
        <v>EARL LE CLOS BOIVIN</v>
      </c>
      <c r="H20" t="s">
        <v>265</v>
      </c>
      <c r="I20" t="str">
        <f>TCD!F20</f>
        <v>FR</v>
      </c>
      <c r="J20" t="str">
        <f>TCD!V20</f>
        <v>0France00</v>
      </c>
      <c r="K20">
        <f>TCD!Q20</f>
        <v>1</v>
      </c>
      <c r="L20">
        <f>TCD!S20</f>
        <v>44</v>
      </c>
      <c r="M20" t="s">
        <v>266</v>
      </c>
      <c r="N20">
        <f t="shared" si="1"/>
        <v>0.2</v>
      </c>
      <c r="O20" s="15" t="str">
        <f>IF(TCD!N20=0,"",TCD!N20)</f>
        <v/>
      </c>
      <c r="P20" s="15" t="str">
        <f>IF(TCD!G20=0,"",TCD!G20)</f>
        <v/>
      </c>
      <c r="Q20" s="15" t="str">
        <f>IF(TCD!H20=0,"",TCD!H20)</f>
        <v/>
      </c>
      <c r="R20" s="15" t="str">
        <f>IF(TCD!I20=0,"",TCD!I20)</f>
        <v/>
      </c>
      <c r="S20" s="15" t="str">
        <f>IF(TCD!J20=0,"",TCD!J20)</f>
        <v/>
      </c>
      <c r="T20" s="15">
        <f>IF(TCD!K20=0,"",TCD!K20)</f>
        <v>107.21000000000001</v>
      </c>
      <c r="U20" s="15" t="str">
        <f>IF(TCD!L20=0,"",TCD!L20)</f>
        <v/>
      </c>
    </row>
    <row r="21" spans="1:21" x14ac:dyDescent="0.35">
      <c r="A21" t="s">
        <v>264</v>
      </c>
      <c r="B21" s="7">
        <f t="shared" si="0"/>
        <v>46174</v>
      </c>
      <c r="C21" t="str">
        <f>TCD!D21</f>
        <v>26A060238231</v>
      </c>
      <c r="F21" t="str">
        <f>TCD!C21</f>
        <v>EXP20260528-2767800</v>
      </c>
      <c r="G21" t="str">
        <f>TCD!E21</f>
        <v>AMAZON CDG7</v>
      </c>
      <c r="H21" t="s">
        <v>265</v>
      </c>
      <c r="I21" t="str">
        <f>TCD!F21</f>
        <v>FR</v>
      </c>
      <c r="J21" t="str">
        <f>TCD!V21</f>
        <v>21France60</v>
      </c>
      <c r="K21">
        <f>TCD!Q21</f>
        <v>1</v>
      </c>
      <c r="L21">
        <f>TCD!S21</f>
        <v>328</v>
      </c>
      <c r="M21" t="s">
        <v>266</v>
      </c>
      <c r="N21">
        <f t="shared" si="1"/>
        <v>0.2</v>
      </c>
      <c r="O21" s="15" t="str">
        <f>IF(TCD!N21=0,"",TCD!N21)</f>
        <v/>
      </c>
      <c r="P21" s="15" t="str">
        <f>IF(TCD!G21=0,"",TCD!G21)</f>
        <v/>
      </c>
      <c r="Q21" s="15" t="str">
        <f>IF(TCD!H21=0,"",TCD!H21)</f>
        <v/>
      </c>
      <c r="R21" s="15" t="str">
        <f>IF(TCD!I21=0,"",TCD!I21)</f>
        <v/>
      </c>
      <c r="S21" s="15" t="str">
        <f>IF(TCD!J21=0,"",TCD!J21)</f>
        <v/>
      </c>
      <c r="T21" s="15">
        <f>IF(TCD!K21=0,"",TCD!K21)</f>
        <v>63.44</v>
      </c>
      <c r="U21" s="15" t="str">
        <f>IF(TCD!L21=0,"",TCD!L21)</f>
        <v/>
      </c>
    </row>
    <row r="22" spans="1:21" x14ac:dyDescent="0.35">
      <c r="A22" t="s">
        <v>264</v>
      </c>
      <c r="B22" s="7">
        <f t="shared" si="0"/>
        <v>46174</v>
      </c>
      <c r="C22" t="str">
        <f>TCD!D22</f>
        <v>26A060049556</v>
      </c>
      <c r="F22" t="str">
        <f>TCD!C22</f>
        <v>EXP20260528-2768110</v>
      </c>
      <c r="G22" t="str">
        <f>TCD!E22</f>
        <v>LA GRANDE PHARMACIE DE ST DENIS Sab (ENTREPRISE)</v>
      </c>
      <c r="H22" t="s">
        <v>265</v>
      </c>
      <c r="I22" t="str">
        <f>TCD!F22</f>
        <v>FR</v>
      </c>
      <c r="J22" t="str">
        <f>TCD!V22</f>
        <v>21France93</v>
      </c>
      <c r="K22">
        <f>TCD!Q22</f>
        <v>1</v>
      </c>
      <c r="L22">
        <f>TCD!S22</f>
        <v>38</v>
      </c>
      <c r="M22" t="s">
        <v>266</v>
      </c>
      <c r="N22">
        <f t="shared" si="1"/>
        <v>0.2</v>
      </c>
      <c r="O22" s="15" t="str">
        <f>IF(TCD!N22=0,"",TCD!N22)</f>
        <v/>
      </c>
      <c r="P22" s="15" t="str">
        <f>IF(TCD!G22=0,"",TCD!G22)</f>
        <v/>
      </c>
      <c r="Q22" s="15">
        <f>IF(TCD!H22=0,"",TCD!H22)</f>
        <v>7</v>
      </c>
      <c r="R22" s="15" t="str">
        <f>IF(TCD!I22=0,"",TCD!I22)</f>
        <v/>
      </c>
      <c r="S22" s="15" t="str">
        <f>IF(TCD!J22=0,"",TCD!J22)</f>
        <v/>
      </c>
      <c r="T22" s="15">
        <f>IF(TCD!K22=0,"",TCD!K22)</f>
        <v>35.96</v>
      </c>
      <c r="U22" s="15" t="str">
        <f>IF(TCD!L22=0,"",TCD!L22)</f>
        <v/>
      </c>
    </row>
    <row r="23" spans="1:21" x14ac:dyDescent="0.35">
      <c r="A23" t="s">
        <v>264</v>
      </c>
      <c r="B23" s="7">
        <f t="shared" si="0"/>
        <v>46174</v>
      </c>
      <c r="C23" t="str">
        <f>TCD!D23</f>
        <v>26A060049547</v>
      </c>
      <c r="F23" t="str">
        <f>TCD!C23</f>
        <v>EXP20260529-2770114</v>
      </c>
      <c r="G23" t="str">
        <f>TCD!E23</f>
        <v>GAEC Terres d'Esclans RAYMOND Fabri (ENTREPRISE)</v>
      </c>
      <c r="H23" t="s">
        <v>265</v>
      </c>
      <c r="I23" t="str">
        <f>TCD!F23</f>
        <v>FR</v>
      </c>
      <c r="J23" t="str">
        <f>TCD!V23</f>
        <v>21France83</v>
      </c>
      <c r="K23">
        <f>TCD!Q23</f>
        <v>1</v>
      </c>
      <c r="L23">
        <f>TCD!S23</f>
        <v>134</v>
      </c>
      <c r="M23" t="s">
        <v>266</v>
      </c>
      <c r="N23">
        <f t="shared" si="1"/>
        <v>0.2</v>
      </c>
      <c r="O23" s="15" t="str">
        <f>IF(TCD!N23=0,"",TCD!N23)</f>
        <v/>
      </c>
      <c r="P23" s="15" t="str">
        <f>IF(TCD!G23=0,"",TCD!G23)</f>
        <v/>
      </c>
      <c r="Q23" s="15" t="str">
        <f>IF(TCD!H23=0,"",TCD!H23)</f>
        <v/>
      </c>
      <c r="R23" s="15" t="str">
        <f>IF(TCD!I23=0,"",TCD!I23)</f>
        <v/>
      </c>
      <c r="S23" s="15" t="str">
        <f>IF(TCD!J23=0,"",TCD!J23)</f>
        <v/>
      </c>
      <c r="T23" s="15">
        <f>IF(TCD!K23=0,"",TCD!K23)</f>
        <v>76.660000000000011</v>
      </c>
      <c r="U23" s="15" t="str">
        <f>IF(TCD!L23=0,"",TCD!L23)</f>
        <v/>
      </c>
    </row>
    <row r="24" spans="1:21" x14ac:dyDescent="0.35">
      <c r="A24" t="s">
        <v>264</v>
      </c>
      <c r="B24" s="7">
        <f t="shared" si="0"/>
        <v>46174</v>
      </c>
      <c r="C24" t="str">
        <f>TCD!D24</f>
        <v>26A060049560</v>
      </c>
      <c r="F24" t="str">
        <f>TCD!C24</f>
        <v>EXP20260601-2772378</v>
      </c>
      <c r="G24" t="str">
        <f>TCD!E24</f>
        <v>GAEC LANYE BARRAC - 2 Bernhard BACK (ENTREPRISE)</v>
      </c>
      <c r="H24" t="s">
        <v>265</v>
      </c>
      <c r="I24" t="str">
        <f>TCD!F24</f>
        <v>FR</v>
      </c>
      <c r="J24" t="str">
        <f>TCD!V24</f>
        <v>21France34</v>
      </c>
      <c r="K24">
        <f>TCD!Q24</f>
        <v>1</v>
      </c>
      <c r="L24">
        <f>TCD!S24</f>
        <v>100</v>
      </c>
      <c r="M24" t="s">
        <v>266</v>
      </c>
      <c r="N24">
        <f t="shared" si="1"/>
        <v>0.2</v>
      </c>
      <c r="O24" s="15" t="str">
        <f>IF(TCD!N24=0,"",TCD!N24)</f>
        <v/>
      </c>
      <c r="P24" s="15" t="str">
        <f>IF(TCD!G24=0,"",TCD!G24)</f>
        <v/>
      </c>
      <c r="Q24" s="15" t="str">
        <f>IF(TCD!H24=0,"",TCD!H24)</f>
        <v/>
      </c>
      <c r="R24" s="15" t="str">
        <f>IF(TCD!I24=0,"",TCD!I24)</f>
        <v/>
      </c>
      <c r="S24" s="15" t="str">
        <f>IF(TCD!J24=0,"",TCD!J24)</f>
        <v/>
      </c>
      <c r="T24" s="15">
        <f>IF(TCD!K24=0,"",TCD!K24)</f>
        <v>55.089999999999996</v>
      </c>
      <c r="U24" s="15" t="str">
        <f>IF(TCD!L24=0,"",TCD!L24)</f>
        <v/>
      </c>
    </row>
    <row r="25" spans="1:21" x14ac:dyDescent="0.35">
      <c r="A25" t="s">
        <v>264</v>
      </c>
      <c r="B25" s="7">
        <f t="shared" si="0"/>
        <v>46174</v>
      </c>
      <c r="C25" t="str">
        <f>TCD!D25</f>
        <v>26A060049553</v>
      </c>
      <c r="F25" t="str">
        <f>TCD!C25</f>
        <v>EXP20260601-2772379</v>
      </c>
      <c r="G25" t="str">
        <f>TCD!E25</f>
        <v>SAS La Martine Brune CLAEYS (ENTREPRISE)</v>
      </c>
      <c r="H25" t="s">
        <v>265</v>
      </c>
      <c r="I25" t="str">
        <f>TCD!F25</f>
        <v>FR</v>
      </c>
      <c r="J25" t="str">
        <f>TCD!V25</f>
        <v>21France11</v>
      </c>
      <c r="K25">
        <f>TCD!Q25</f>
        <v>1</v>
      </c>
      <c r="L25">
        <f>TCD!S25</f>
        <v>72</v>
      </c>
      <c r="M25" t="s">
        <v>266</v>
      </c>
      <c r="N25">
        <f t="shared" si="1"/>
        <v>0.2</v>
      </c>
      <c r="O25" s="15" t="str">
        <f>IF(TCD!N25=0,"",TCD!N25)</f>
        <v/>
      </c>
      <c r="P25" s="15" t="str">
        <f>IF(TCD!G25=0,"",TCD!G25)</f>
        <v/>
      </c>
      <c r="Q25" s="15" t="str">
        <f>IF(TCD!H25=0,"",TCD!H25)</f>
        <v/>
      </c>
      <c r="R25" s="15" t="str">
        <f>IF(TCD!I25=0,"",TCD!I25)</f>
        <v/>
      </c>
      <c r="S25" s="15" t="str">
        <f>IF(TCD!J25=0,"",TCD!J25)</f>
        <v/>
      </c>
      <c r="T25" s="15">
        <f>IF(TCD!K25=0,"",TCD!K25)</f>
        <v>55.86</v>
      </c>
      <c r="U25" s="15" t="str">
        <f>IF(TCD!L25=0,"",TCD!L25)</f>
        <v/>
      </c>
    </row>
    <row r="26" spans="1:21" x14ac:dyDescent="0.35">
      <c r="A26" t="s">
        <v>264</v>
      </c>
      <c r="B26" s="7">
        <f t="shared" si="0"/>
        <v>46174</v>
      </c>
      <c r="C26" t="str">
        <f>TCD!D26</f>
        <v>26A060049550</v>
      </c>
      <c r="F26" t="str">
        <f>TCD!C26</f>
        <v>EXP20260601-2772380</v>
      </c>
      <c r="G26" t="str">
        <f>TCD!E26</f>
        <v>GAEC LAROSE LAROSE JOEL (ENTREPRISE)</v>
      </c>
      <c r="H26" t="s">
        <v>265</v>
      </c>
      <c r="I26" t="str">
        <f>TCD!F26</f>
        <v>FR</v>
      </c>
      <c r="J26" t="str">
        <f>TCD!V26</f>
        <v>21France34</v>
      </c>
      <c r="K26">
        <f>TCD!Q26</f>
        <v>1</v>
      </c>
      <c r="L26">
        <f>TCD!S26</f>
        <v>13</v>
      </c>
      <c r="M26" t="s">
        <v>266</v>
      </c>
      <c r="N26">
        <f t="shared" si="1"/>
        <v>0.2</v>
      </c>
      <c r="O26" s="15" t="str">
        <f>IF(TCD!N26=0,"",TCD!N26)</f>
        <v/>
      </c>
      <c r="P26" s="15" t="str">
        <f>IF(TCD!G26=0,"",TCD!G26)</f>
        <v/>
      </c>
      <c r="Q26" s="15" t="str">
        <f>IF(TCD!H26=0,"",TCD!H26)</f>
        <v/>
      </c>
      <c r="R26" s="15" t="str">
        <f>IF(TCD!I26=0,"",TCD!I26)</f>
        <v/>
      </c>
      <c r="S26" s="15" t="str">
        <f>IF(TCD!J26=0,"",TCD!J26)</f>
        <v/>
      </c>
      <c r="T26" s="15">
        <f>IF(TCD!K26=0,"",TCD!K26)</f>
        <v>33.85</v>
      </c>
      <c r="U26" s="15" t="str">
        <f>IF(TCD!L26=0,"",TCD!L26)</f>
        <v/>
      </c>
    </row>
    <row r="27" spans="1:21" x14ac:dyDescent="0.35">
      <c r="A27" t="s">
        <v>264</v>
      </c>
      <c r="B27" s="7">
        <f t="shared" si="0"/>
        <v>46174</v>
      </c>
      <c r="C27" t="str">
        <f>TCD!D27</f>
        <v>26A060092706</v>
      </c>
      <c r="F27" t="str">
        <f>TCD!C27</f>
        <v>EXP20260601-2774095</v>
      </c>
      <c r="G27" t="str">
        <f>TCD!E27</f>
        <v>Kerveguen Baron Eric (ENTREPRISE)</v>
      </c>
      <c r="H27" t="s">
        <v>265</v>
      </c>
      <c r="I27" t="str">
        <f>TCD!F27</f>
        <v>FR</v>
      </c>
      <c r="J27" t="str">
        <f>TCD!V27</f>
        <v>21France29</v>
      </c>
      <c r="K27">
        <f>TCD!Q27</f>
        <v>1</v>
      </c>
      <c r="L27">
        <f>TCD!S27</f>
        <v>115</v>
      </c>
      <c r="M27" t="s">
        <v>266</v>
      </c>
      <c r="N27">
        <f t="shared" si="1"/>
        <v>0.2</v>
      </c>
      <c r="O27" s="15" t="str">
        <f>IF(TCD!N27=0,"",TCD!N27)</f>
        <v/>
      </c>
      <c r="P27" s="15" t="str">
        <f>IF(TCD!G27=0,"",TCD!G27)</f>
        <v/>
      </c>
      <c r="Q27" s="15" t="str">
        <f>IF(TCD!H27=0,"",TCD!H27)</f>
        <v/>
      </c>
      <c r="R27" s="15" t="str">
        <f>IF(TCD!I27=0,"",TCD!I27)</f>
        <v/>
      </c>
      <c r="S27" s="15" t="str">
        <f>IF(TCD!J27=0,"",TCD!J27)</f>
        <v/>
      </c>
      <c r="T27" s="15">
        <f>IF(TCD!K27=0,"",TCD!K27)</f>
        <v>80.78</v>
      </c>
      <c r="U27" s="15" t="str">
        <f>IF(TCD!L27=0,"",TCD!L27)</f>
        <v/>
      </c>
    </row>
    <row r="28" spans="1:21" x14ac:dyDescent="0.35">
      <c r="A28" t="s">
        <v>264</v>
      </c>
      <c r="B28" s="7">
        <f t="shared" si="0"/>
        <v>46174</v>
      </c>
      <c r="C28" t="str">
        <f>TCD!D28</f>
        <v>26A060147570</v>
      </c>
      <c r="F28" t="str">
        <f>TCD!C28</f>
        <v>EXP20260601-2774279</v>
      </c>
      <c r="G28" t="str">
        <f>TCD!E28</f>
        <v>CHATEAU ROMANIN</v>
      </c>
      <c r="H28" t="s">
        <v>265</v>
      </c>
      <c r="I28" t="str">
        <f>TCD!F28</f>
        <v>FR</v>
      </c>
      <c r="J28" t="str">
        <f>TCD!V28</f>
        <v>21France13</v>
      </c>
      <c r="K28">
        <f>TCD!Q28</f>
        <v>1</v>
      </c>
      <c r="L28">
        <f>TCD!S28</f>
        <v>68</v>
      </c>
      <c r="M28" t="s">
        <v>266</v>
      </c>
      <c r="N28">
        <f t="shared" si="1"/>
        <v>0.2</v>
      </c>
      <c r="O28" s="15" t="str">
        <f>IF(TCD!N28=0,"",TCD!N28)</f>
        <v/>
      </c>
      <c r="P28" s="15" t="str">
        <f>IF(TCD!G28=0,"",TCD!G28)</f>
        <v/>
      </c>
      <c r="Q28" s="15" t="str">
        <f>IF(TCD!H28=0,"",TCD!H28)</f>
        <v/>
      </c>
      <c r="R28" s="15" t="str">
        <f>IF(TCD!I28=0,"",TCD!I28)</f>
        <v/>
      </c>
      <c r="S28" s="15" t="str">
        <f>IF(TCD!J28=0,"",TCD!J28)</f>
        <v/>
      </c>
      <c r="T28" s="15">
        <f>IF(TCD!K28=0,"",TCD!K28)</f>
        <v>48.98</v>
      </c>
      <c r="U28" s="15" t="str">
        <f>IF(TCD!L28=0,"",TCD!L28)</f>
        <v/>
      </c>
    </row>
    <row r="29" spans="1:21" x14ac:dyDescent="0.35">
      <c r="A29" t="s">
        <v>264</v>
      </c>
      <c r="B29" s="7">
        <f t="shared" si="0"/>
        <v>46174</v>
      </c>
      <c r="C29" t="str">
        <f>TCD!D29</f>
        <v>26A060092703</v>
      </c>
      <c r="F29" t="str">
        <f>TCD!C29</f>
        <v>EXP20260601-2774442</v>
      </c>
      <c r="G29" t="str">
        <f>TCD!E29</f>
        <v>PHARMACIE DU FOUR-BONAPARTE PHARMAC (ENTREPRISE)</v>
      </c>
      <c r="H29" t="s">
        <v>265</v>
      </c>
      <c r="I29" t="str">
        <f>TCD!F29</f>
        <v>FR</v>
      </c>
      <c r="J29" t="str">
        <f>TCD!V29</f>
        <v>21France95</v>
      </c>
      <c r="K29">
        <f>TCD!Q29</f>
        <v>1</v>
      </c>
      <c r="L29">
        <f>TCD!S29</f>
        <v>104</v>
      </c>
      <c r="M29" t="s">
        <v>266</v>
      </c>
      <c r="N29">
        <f t="shared" si="1"/>
        <v>0.2</v>
      </c>
      <c r="O29" s="15" t="str">
        <f>IF(TCD!N29=0,"",TCD!N29)</f>
        <v/>
      </c>
      <c r="P29" s="15" t="str">
        <f>IF(TCD!G29=0,"",TCD!G29)</f>
        <v/>
      </c>
      <c r="Q29" s="15" t="str">
        <f>IF(TCD!H29=0,"",TCD!H29)</f>
        <v/>
      </c>
      <c r="R29" s="15" t="str">
        <f>IF(TCD!I29=0,"",TCD!I29)</f>
        <v/>
      </c>
      <c r="S29" s="15" t="str">
        <f>IF(TCD!J29=0,"",TCD!J29)</f>
        <v/>
      </c>
      <c r="T29" s="15">
        <f>IF(TCD!K29=0,"",TCD!K29)</f>
        <v>48.37</v>
      </c>
      <c r="U29" s="15" t="str">
        <f>IF(TCD!L29=0,"",TCD!L29)</f>
        <v/>
      </c>
    </row>
    <row r="30" spans="1:21" x14ac:dyDescent="0.35">
      <c r="A30" t="s">
        <v>264</v>
      </c>
      <c r="B30" s="7">
        <f t="shared" si="0"/>
        <v>46174</v>
      </c>
      <c r="C30" t="str">
        <f>TCD!D30</f>
        <v>26A060147565</v>
      </c>
      <c r="F30" t="str">
        <f>TCD!C30</f>
        <v>EXP20260601-2774625</v>
      </c>
      <c r="G30" t="str">
        <f>TCD!E30</f>
        <v xml:space="preserve">SAGET </v>
      </c>
      <c r="H30" t="s">
        <v>265</v>
      </c>
      <c r="I30" t="str">
        <f>TCD!F30</f>
        <v>FR</v>
      </c>
      <c r="J30" t="str">
        <f>TCD!V30</f>
        <v>21France58</v>
      </c>
      <c r="K30">
        <f>TCD!Q30</f>
        <v>1</v>
      </c>
      <c r="L30">
        <f>TCD!S30</f>
        <v>66</v>
      </c>
      <c r="M30" t="s">
        <v>266</v>
      </c>
      <c r="N30">
        <f t="shared" si="1"/>
        <v>0.2</v>
      </c>
      <c r="O30" s="15" t="str">
        <f>IF(TCD!N30=0,"",TCD!N30)</f>
        <v/>
      </c>
      <c r="P30" s="15" t="str">
        <f>IF(TCD!G30=0,"",TCD!G30)</f>
        <v/>
      </c>
      <c r="Q30" s="15" t="str">
        <f>IF(TCD!H30=0,"",TCD!H30)</f>
        <v/>
      </c>
      <c r="R30" s="15" t="str">
        <f>IF(TCD!I30=0,"",TCD!I30)</f>
        <v/>
      </c>
      <c r="S30" s="15" t="str">
        <f>IF(TCD!J30=0,"",TCD!J30)</f>
        <v/>
      </c>
      <c r="T30" s="15">
        <f>IF(TCD!K30=0,"",TCD!K30)</f>
        <v>32.309999999999995</v>
      </c>
      <c r="U30" s="15" t="str">
        <f>IF(TCD!L30=0,"",TCD!L30)</f>
        <v/>
      </c>
    </row>
    <row r="31" spans="1:21" x14ac:dyDescent="0.35">
      <c r="A31" t="s">
        <v>264</v>
      </c>
      <c r="B31" s="7">
        <f t="shared" si="0"/>
        <v>46174</v>
      </c>
      <c r="C31" t="str">
        <f>TCD!D31</f>
        <v>26A060092708</v>
      </c>
      <c r="F31" t="str">
        <f>TCD!C31</f>
        <v>EXP20260601-2774686</v>
      </c>
      <c r="G31" t="str">
        <f>TCD!E31</f>
        <v>CHATEAU LA SABLIERE AVEZOU SYLVIE (ENTREPRISE)</v>
      </c>
      <c r="H31" t="s">
        <v>265</v>
      </c>
      <c r="I31" t="str">
        <f>TCD!F31</f>
        <v>FR</v>
      </c>
      <c r="J31" t="str">
        <f>TCD!V31</f>
        <v>21France33</v>
      </c>
      <c r="K31">
        <f>TCD!Q31</f>
        <v>1</v>
      </c>
      <c r="L31">
        <f>TCD!S31</f>
        <v>10</v>
      </c>
      <c r="M31" t="s">
        <v>266</v>
      </c>
      <c r="N31">
        <f t="shared" si="1"/>
        <v>0.2</v>
      </c>
      <c r="O31" s="15" t="str">
        <f>IF(TCD!N31=0,"",TCD!N31)</f>
        <v/>
      </c>
      <c r="P31" s="15" t="str">
        <f>IF(TCD!G31=0,"",TCD!G31)</f>
        <v/>
      </c>
      <c r="Q31" s="15" t="str">
        <f>IF(TCD!H31=0,"",TCD!H31)</f>
        <v/>
      </c>
      <c r="R31" s="15" t="str">
        <f>IF(TCD!I31=0,"",TCD!I31)</f>
        <v/>
      </c>
      <c r="S31" s="15" t="str">
        <f>IF(TCD!J31=0,"",TCD!J31)</f>
        <v/>
      </c>
      <c r="T31" s="15">
        <f>IF(TCD!K31=0,"",TCD!K31)</f>
        <v>37.309999999999995</v>
      </c>
      <c r="U31" s="15" t="str">
        <f>IF(TCD!L31=0,"",TCD!L31)</f>
        <v/>
      </c>
    </row>
    <row r="32" spans="1:21" x14ac:dyDescent="0.35">
      <c r="A32" t="s">
        <v>264</v>
      </c>
      <c r="B32" s="7">
        <f t="shared" si="0"/>
        <v>46174</v>
      </c>
      <c r="C32" t="str">
        <f>TCD!D32</f>
        <v>26A060147574</v>
      </c>
      <c r="F32" t="str">
        <f>TCD!C32</f>
        <v>EXP20260601-2774815</v>
      </c>
      <c r="G32" t="str">
        <f>TCD!E32</f>
        <v>Grands Vignobles en Mediterranee Ch (ENTREPRISE)</v>
      </c>
      <c r="H32" t="s">
        <v>265</v>
      </c>
      <c r="I32" t="str">
        <f>TCD!F32</f>
        <v>FR</v>
      </c>
      <c r="J32" t="str">
        <f>TCD!V32</f>
        <v>21France34</v>
      </c>
      <c r="K32">
        <f>TCD!Q32</f>
        <v>1</v>
      </c>
      <c r="L32">
        <f>TCD!S32</f>
        <v>83</v>
      </c>
      <c r="M32" t="s">
        <v>266</v>
      </c>
      <c r="N32">
        <f t="shared" si="1"/>
        <v>0.2</v>
      </c>
      <c r="O32" s="15" t="str">
        <f>IF(TCD!N32=0,"",TCD!N32)</f>
        <v/>
      </c>
      <c r="P32" s="15" t="str">
        <f>IF(TCD!G32=0,"",TCD!G32)</f>
        <v/>
      </c>
      <c r="Q32" s="15" t="str">
        <f>IF(TCD!H32=0,"",TCD!H32)</f>
        <v/>
      </c>
      <c r="R32" s="15" t="str">
        <f>IF(TCD!I32=0,"",TCD!I32)</f>
        <v/>
      </c>
      <c r="S32" s="15" t="str">
        <f>IF(TCD!J32=0,"",TCD!J32)</f>
        <v/>
      </c>
      <c r="T32" s="15">
        <f>IF(TCD!K32=0,"",TCD!K32)</f>
        <v>53.36</v>
      </c>
      <c r="U32" s="15" t="str">
        <f>IF(TCD!L32=0,"",TCD!L32)</f>
        <v/>
      </c>
    </row>
    <row r="33" spans="1:21" x14ac:dyDescent="0.35">
      <c r="A33" t="s">
        <v>264</v>
      </c>
      <c r="B33" s="7">
        <f t="shared" si="0"/>
        <v>46174</v>
      </c>
      <c r="C33" t="str">
        <f>TCD!D33</f>
        <v>26A060188657</v>
      </c>
      <c r="F33" t="str">
        <f>TCD!C33</f>
        <v>EXP20260601-2774872</v>
      </c>
      <c r="G33" t="str">
        <f>TCD!E33</f>
        <v>LE DOMAINE D'HENRI MARGAUX LAROCHE (ENTREPRISE)</v>
      </c>
      <c r="H33" t="s">
        <v>265</v>
      </c>
      <c r="I33" t="str">
        <f>TCD!F33</f>
        <v>FR</v>
      </c>
      <c r="J33" t="str">
        <f>TCD!V33</f>
        <v>21France89</v>
      </c>
      <c r="K33">
        <f>TCD!Q33</f>
        <v>1</v>
      </c>
      <c r="L33">
        <f>TCD!S33</f>
        <v>44</v>
      </c>
      <c r="M33" t="s">
        <v>266</v>
      </c>
      <c r="N33">
        <f t="shared" si="1"/>
        <v>0.2</v>
      </c>
      <c r="O33" s="15" t="str">
        <f>IF(TCD!N33=0,"",TCD!N33)</f>
        <v/>
      </c>
      <c r="P33" s="15" t="str">
        <f>IF(TCD!G33=0,"",TCD!G33)</f>
        <v/>
      </c>
      <c r="Q33" s="15" t="str">
        <f>IF(TCD!H33=0,"",TCD!H33)</f>
        <v/>
      </c>
      <c r="R33" s="15" t="str">
        <f>IF(TCD!I33=0,"",TCD!I33)</f>
        <v/>
      </c>
      <c r="S33" s="15" t="str">
        <f>IF(TCD!J33=0,"",TCD!J33)</f>
        <v/>
      </c>
      <c r="T33" s="15">
        <f>IF(TCD!K33=0,"",TCD!K33)</f>
        <v>27.79</v>
      </c>
      <c r="U33" s="15" t="str">
        <f>IF(TCD!L33=0,"",TCD!L33)</f>
        <v/>
      </c>
    </row>
    <row r="34" spans="1:21" x14ac:dyDescent="0.35">
      <c r="A34" t="s">
        <v>264</v>
      </c>
      <c r="B34" s="7">
        <f t="shared" si="0"/>
        <v>46174</v>
      </c>
      <c r="C34" t="str">
        <f>TCD!D34</f>
        <v>26A060092699</v>
      </c>
      <c r="F34" t="str">
        <f>TCD!C34</f>
        <v>EXP20260601-2774918</v>
      </c>
      <c r="G34" t="str">
        <f>TCD!E34</f>
        <v>DOMAINE DE LA TETE NOIRE DE MARIA W (ENTREPRISE)</v>
      </c>
      <c r="H34" t="s">
        <v>265</v>
      </c>
      <c r="I34" t="str">
        <f>TCD!F34</f>
        <v>FR</v>
      </c>
      <c r="J34" t="str">
        <f>TCD!V34</f>
        <v>21France84</v>
      </c>
      <c r="K34">
        <f>TCD!Q34</f>
        <v>1</v>
      </c>
      <c r="L34">
        <f>TCD!S34</f>
        <v>59</v>
      </c>
      <c r="M34" t="s">
        <v>266</v>
      </c>
      <c r="N34">
        <f t="shared" si="1"/>
        <v>0.2</v>
      </c>
      <c r="O34" s="15" t="str">
        <f>IF(TCD!N34=0,"",TCD!N34)</f>
        <v/>
      </c>
      <c r="P34" s="15" t="str">
        <f>IF(TCD!G34=0,"",TCD!G34)</f>
        <v/>
      </c>
      <c r="Q34" s="15" t="str">
        <f>IF(TCD!H34=0,"",TCD!H34)</f>
        <v/>
      </c>
      <c r="R34" s="15" t="str">
        <f>IF(TCD!I34=0,"",TCD!I34)</f>
        <v/>
      </c>
      <c r="S34" s="15" t="str">
        <f>IF(TCD!J34=0,"",TCD!J34)</f>
        <v/>
      </c>
      <c r="T34" s="15">
        <f>IF(TCD!K34=0,"",TCD!K34)</f>
        <v>43.19</v>
      </c>
      <c r="U34" s="15" t="str">
        <f>IF(TCD!L34=0,"",TCD!L34)</f>
        <v/>
      </c>
    </row>
    <row r="35" spans="1:21" x14ac:dyDescent="0.35">
      <c r="A35" t="s">
        <v>264</v>
      </c>
      <c r="B35" s="7">
        <f t="shared" si="0"/>
        <v>46174</v>
      </c>
      <c r="C35" t="str">
        <f>TCD!D35</f>
        <v>26A060188583</v>
      </c>
      <c r="F35" t="str">
        <f>TCD!C35</f>
        <v>EXP20260602-2775732</v>
      </c>
      <c r="G35" t="str">
        <f>TCD!E35</f>
        <v>GAEC DOMAINE DEVEZA JORDAN DEVEZA (ENTREPRISE)</v>
      </c>
      <c r="H35" t="s">
        <v>265</v>
      </c>
      <c r="I35" t="str">
        <f>TCD!F35</f>
        <v>FR</v>
      </c>
      <c r="J35" t="str">
        <f>TCD!V35</f>
        <v>21France66</v>
      </c>
      <c r="K35">
        <f>TCD!Q35</f>
        <v>1</v>
      </c>
      <c r="L35">
        <f>TCD!S35</f>
        <v>46</v>
      </c>
      <c r="M35" t="s">
        <v>266</v>
      </c>
      <c r="N35">
        <f t="shared" si="1"/>
        <v>0.2</v>
      </c>
      <c r="O35" s="15" t="str">
        <f>IF(TCD!N35=0,"",TCD!N35)</f>
        <v/>
      </c>
      <c r="P35" s="15" t="str">
        <f>IF(TCD!G35=0,"",TCD!G35)</f>
        <v/>
      </c>
      <c r="Q35" s="15" t="str">
        <f>IF(TCD!H35=0,"",TCD!H35)</f>
        <v/>
      </c>
      <c r="R35" s="15" t="str">
        <f>IF(TCD!I35=0,"",TCD!I35)</f>
        <v/>
      </c>
      <c r="S35" s="15" t="str">
        <f>IF(TCD!J35=0,"",TCD!J35)</f>
        <v/>
      </c>
      <c r="T35" s="15">
        <f>IF(TCD!K35=0,"",TCD!K35)</f>
        <v>48.75</v>
      </c>
      <c r="U35" s="15" t="str">
        <f>IF(TCD!L35=0,"",TCD!L35)</f>
        <v/>
      </c>
    </row>
    <row r="36" spans="1:21" x14ac:dyDescent="0.35">
      <c r="A36" t="s">
        <v>264</v>
      </c>
      <c r="B36" s="7">
        <f t="shared" si="0"/>
        <v>46174</v>
      </c>
      <c r="C36" t="str">
        <f>TCD!D36</f>
        <v>26A060188614</v>
      </c>
      <c r="F36" t="str">
        <f>TCD!C36</f>
        <v>EXP20260602-2775846</v>
      </c>
      <c r="G36" t="str">
        <f>TCD!E36</f>
        <v>Domaine Le Pere Brun Brun Nicolas (ENTREPRISE)</v>
      </c>
      <c r="H36" t="s">
        <v>265</v>
      </c>
      <c r="I36" t="str">
        <f>TCD!F36</f>
        <v>FR</v>
      </c>
      <c r="J36" t="str">
        <f>TCD!V36</f>
        <v>21France84</v>
      </c>
      <c r="K36">
        <f>TCD!Q36</f>
        <v>1</v>
      </c>
      <c r="L36">
        <f>TCD!S36</f>
        <v>90</v>
      </c>
      <c r="M36" t="s">
        <v>266</v>
      </c>
      <c r="N36">
        <f t="shared" si="1"/>
        <v>0.2</v>
      </c>
      <c r="O36" s="15" t="str">
        <f>IF(TCD!N36=0,"",TCD!N36)</f>
        <v/>
      </c>
      <c r="P36" s="15" t="str">
        <f>IF(TCD!G36=0,"",TCD!G36)</f>
        <v/>
      </c>
      <c r="Q36" s="15" t="str">
        <f>IF(TCD!H36=0,"",TCD!H36)</f>
        <v/>
      </c>
      <c r="R36" s="15" t="str">
        <f>IF(TCD!I36=0,"",TCD!I36)</f>
        <v/>
      </c>
      <c r="S36" s="15" t="str">
        <f>IF(TCD!J36=0,"",TCD!J36)</f>
        <v/>
      </c>
      <c r="T36" s="15">
        <f>IF(TCD!K36=0,"",TCD!K36)</f>
        <v>51.4</v>
      </c>
      <c r="U36" s="15" t="str">
        <f>IF(TCD!L36=0,"",TCD!L36)</f>
        <v/>
      </c>
    </row>
    <row r="37" spans="1:21" x14ac:dyDescent="0.35">
      <c r="A37" t="s">
        <v>264</v>
      </c>
      <c r="B37" s="7">
        <f t="shared" si="0"/>
        <v>46174</v>
      </c>
      <c r="C37" t="str">
        <f>TCD!D37</f>
        <v>26A060188594</v>
      </c>
      <c r="F37" t="str">
        <f>TCD!C37</f>
        <v>EXP20260602-2775888</v>
      </c>
      <c r="G37" t="str">
        <f>TCD!E37</f>
        <v>SARL Antoine Olivier - Cuverie Laur (ENTREPRISE)</v>
      </c>
      <c r="H37" t="s">
        <v>265</v>
      </c>
      <c r="I37" t="str">
        <f>TCD!F37</f>
        <v>FR</v>
      </c>
      <c r="J37" t="str">
        <f>TCD!V37</f>
        <v>21France21</v>
      </c>
      <c r="K37">
        <f>TCD!Q37</f>
        <v>1</v>
      </c>
      <c r="L37">
        <f>TCD!S37</f>
        <v>30</v>
      </c>
      <c r="M37" t="s">
        <v>266</v>
      </c>
      <c r="N37">
        <f t="shared" si="1"/>
        <v>0.2</v>
      </c>
      <c r="O37" s="15" t="str">
        <f>IF(TCD!N37=0,"",TCD!N37)</f>
        <v/>
      </c>
      <c r="P37" s="15" t="str">
        <f>IF(TCD!G37=0,"",TCD!G37)</f>
        <v/>
      </c>
      <c r="Q37" s="15" t="str">
        <f>IF(TCD!H37=0,"",TCD!H37)</f>
        <v/>
      </c>
      <c r="R37" s="15" t="str">
        <f>IF(TCD!I37=0,"",TCD!I37)</f>
        <v/>
      </c>
      <c r="S37" s="15" t="str">
        <f>IF(TCD!J37=0,"",TCD!J37)</f>
        <v/>
      </c>
      <c r="T37" s="15">
        <f>IF(TCD!K37=0,"",TCD!K37)</f>
        <v>22.54</v>
      </c>
      <c r="U37" s="15" t="str">
        <f>IF(TCD!L37=0,"",TCD!L37)</f>
        <v/>
      </c>
    </row>
    <row r="38" spans="1:21" x14ac:dyDescent="0.35">
      <c r="A38" t="s">
        <v>264</v>
      </c>
      <c r="B38" s="7">
        <f t="shared" si="0"/>
        <v>46174</v>
      </c>
      <c r="C38" t="str">
        <f>TCD!D38</f>
        <v>26A060188575</v>
      </c>
      <c r="F38" t="str">
        <f>TCD!C38</f>
        <v>EXP20260602-2776061</v>
      </c>
      <c r="G38" t="str">
        <f>TCD!E38</f>
        <v>Domaine de la grande sieste Leticia (ENTREPRISE)</v>
      </c>
      <c r="H38" t="s">
        <v>265</v>
      </c>
      <c r="I38" t="str">
        <f>TCD!F38</f>
        <v>FR</v>
      </c>
      <c r="J38" t="str">
        <f>TCD!V38</f>
        <v>21France34</v>
      </c>
      <c r="K38">
        <f>TCD!Q38</f>
        <v>1</v>
      </c>
      <c r="L38">
        <f>TCD!S38</f>
        <v>67</v>
      </c>
      <c r="M38" t="s">
        <v>266</v>
      </c>
      <c r="N38">
        <f t="shared" si="1"/>
        <v>0.2</v>
      </c>
      <c r="O38" s="15" t="str">
        <f>IF(TCD!N38=0,"",TCD!N38)</f>
        <v/>
      </c>
      <c r="P38" s="15" t="str">
        <f>IF(TCD!G38=0,"",TCD!G38)</f>
        <v/>
      </c>
      <c r="Q38" s="15" t="str">
        <f>IF(TCD!H38=0,"",TCD!H38)</f>
        <v/>
      </c>
      <c r="R38" s="15" t="str">
        <f>IF(TCD!I38=0,"",TCD!I38)</f>
        <v/>
      </c>
      <c r="S38" s="15" t="str">
        <f>IF(TCD!J38=0,"",TCD!J38)</f>
        <v/>
      </c>
      <c r="T38" s="15">
        <f>IF(TCD!K38=0,"",TCD!K38)</f>
        <v>49.95</v>
      </c>
      <c r="U38" s="15" t="str">
        <f>IF(TCD!L38=0,"",TCD!L38)</f>
        <v/>
      </c>
    </row>
    <row r="39" spans="1:21" x14ac:dyDescent="0.35">
      <c r="A39" t="s">
        <v>264</v>
      </c>
      <c r="B39" s="7">
        <f t="shared" si="0"/>
        <v>46174</v>
      </c>
      <c r="C39" t="str">
        <f>TCD!D39</f>
        <v>26A060188602</v>
      </c>
      <c r="F39" t="str">
        <f>TCD!C39</f>
        <v>EXP20260602-2776125</v>
      </c>
      <c r="G39" t="str">
        <f>TCD!E39</f>
        <v>Domaine Michaud Michaud Ophelie (ENTREPRISE)</v>
      </c>
      <c r="H39" t="s">
        <v>265</v>
      </c>
      <c r="I39" t="str">
        <f>TCD!F39</f>
        <v>FR</v>
      </c>
      <c r="J39" t="str">
        <f>TCD!V39</f>
        <v>21France71</v>
      </c>
      <c r="K39">
        <f>TCD!Q39</f>
        <v>1</v>
      </c>
      <c r="L39">
        <f>TCD!S39</f>
        <v>73</v>
      </c>
      <c r="M39" t="s">
        <v>266</v>
      </c>
      <c r="N39">
        <f t="shared" si="1"/>
        <v>0.2</v>
      </c>
      <c r="O39" s="15" t="str">
        <f>IF(TCD!N39=0,"",TCD!N39)</f>
        <v/>
      </c>
      <c r="P39" s="15" t="str">
        <f>IF(TCD!G39=0,"",TCD!G39)</f>
        <v/>
      </c>
      <c r="Q39" s="15" t="str">
        <f>IF(TCD!H39=0,"",TCD!H39)</f>
        <v/>
      </c>
      <c r="R39" s="15" t="str">
        <f>IF(TCD!I39=0,"",TCD!I39)</f>
        <v/>
      </c>
      <c r="S39" s="15" t="str">
        <f>IF(TCD!J39=0,"",TCD!J39)</f>
        <v/>
      </c>
      <c r="T39" s="15">
        <f>IF(TCD!K39=0,"",TCD!K39)</f>
        <v>27.729999999999997</v>
      </c>
      <c r="U39" s="15" t="str">
        <f>IF(TCD!L39=0,"",TCD!L39)</f>
        <v/>
      </c>
    </row>
    <row r="40" spans="1:21" x14ac:dyDescent="0.35">
      <c r="A40" t="s">
        <v>264</v>
      </c>
      <c r="B40" s="7">
        <f t="shared" si="0"/>
        <v>46174</v>
      </c>
      <c r="C40" t="str">
        <f>TCD!D40</f>
        <v>26A060188587</v>
      </c>
      <c r="F40" t="str">
        <f>TCD!C40</f>
        <v>EXP20260602-2776126</v>
      </c>
      <c r="G40" t="str">
        <f>TCD!E40</f>
        <v>BRUNO ANDREU</v>
      </c>
      <c r="H40" t="s">
        <v>265</v>
      </c>
      <c r="I40" t="str">
        <f>TCD!F40</f>
        <v>FR</v>
      </c>
      <c r="J40" t="str">
        <f>TCD!V40</f>
        <v>21France34</v>
      </c>
      <c r="K40">
        <f>TCD!Q40</f>
        <v>1</v>
      </c>
      <c r="L40">
        <f>TCD!S40</f>
        <v>112</v>
      </c>
      <c r="M40" t="s">
        <v>266</v>
      </c>
      <c r="N40">
        <f t="shared" si="1"/>
        <v>0.2</v>
      </c>
      <c r="O40" s="15" t="str">
        <f>IF(TCD!N40=0,"",TCD!N40)</f>
        <v/>
      </c>
      <c r="P40" s="15" t="str">
        <f>IF(TCD!G40=0,"",TCD!G40)</f>
        <v/>
      </c>
      <c r="Q40" s="15" t="str">
        <f>IF(TCD!H40=0,"",TCD!H40)</f>
        <v/>
      </c>
      <c r="R40" s="15" t="str">
        <f>IF(TCD!I40=0,"",TCD!I40)</f>
        <v/>
      </c>
      <c r="S40" s="15" t="str">
        <f>IF(TCD!J40=0,"",TCD!J40)</f>
        <v/>
      </c>
      <c r="T40" s="15">
        <f>IF(TCD!K40=0,"",TCD!K40)</f>
        <v>62.48</v>
      </c>
      <c r="U40" s="15" t="str">
        <f>IF(TCD!L40=0,"",TCD!L40)</f>
        <v/>
      </c>
    </row>
    <row r="41" spans="1:21" x14ac:dyDescent="0.35">
      <c r="A41" t="s">
        <v>264</v>
      </c>
      <c r="B41" s="7">
        <f t="shared" si="0"/>
        <v>46174</v>
      </c>
      <c r="C41" t="str">
        <f>TCD!D41</f>
        <v>26A060188571</v>
      </c>
      <c r="F41" t="str">
        <f>TCD!C41</f>
        <v>EXP20260602-2776631</v>
      </c>
      <c r="G41" t="str">
        <f>TCD!E41</f>
        <v>CHATEAU GESSAN GONZALES PATRICK (ENTREPRISE)</v>
      </c>
      <c r="H41" t="s">
        <v>265</v>
      </c>
      <c r="I41" t="str">
        <f>TCD!F41</f>
        <v>FR</v>
      </c>
      <c r="J41" t="str">
        <f>TCD!V41</f>
        <v>21France33</v>
      </c>
      <c r="K41">
        <f>TCD!Q41</f>
        <v>1</v>
      </c>
      <c r="L41">
        <f>TCD!S41</f>
        <v>81</v>
      </c>
      <c r="M41" t="s">
        <v>266</v>
      </c>
      <c r="N41">
        <f t="shared" si="1"/>
        <v>0.2</v>
      </c>
      <c r="O41" s="15" t="str">
        <f>IF(TCD!N41=0,"",TCD!N41)</f>
        <v/>
      </c>
      <c r="P41" s="15" t="str">
        <f>IF(TCD!G41=0,"",TCD!G41)</f>
        <v/>
      </c>
      <c r="Q41" s="15" t="str">
        <f>IF(TCD!H41=0,"",TCD!H41)</f>
        <v/>
      </c>
      <c r="R41" s="15" t="str">
        <f>IF(TCD!I41=0,"",TCD!I41)</f>
        <v/>
      </c>
      <c r="S41" s="15" t="str">
        <f>IF(TCD!J41=0,"",TCD!J41)</f>
        <v/>
      </c>
      <c r="T41" s="15">
        <f>IF(TCD!K41=0,"",TCD!K41)</f>
        <v>59.489999999999995</v>
      </c>
      <c r="U41" s="15" t="str">
        <f>IF(TCD!L41=0,"",TCD!L41)</f>
        <v/>
      </c>
    </row>
    <row r="42" spans="1:21" x14ac:dyDescent="0.35">
      <c r="A42" t="s">
        <v>264</v>
      </c>
      <c r="B42" s="7">
        <f t="shared" si="0"/>
        <v>46174</v>
      </c>
      <c r="C42" t="str">
        <f>TCD!D42</f>
        <v>26A060188581</v>
      </c>
      <c r="F42" t="str">
        <f>TCD!C42</f>
        <v>EXP20260602-2776687</v>
      </c>
      <c r="G42" t="str">
        <f>TCD!E42</f>
        <v>EARL LE CLOS BONVIN JEAN CLAUDE (ENTREPRISE)</v>
      </c>
      <c r="H42" t="s">
        <v>265</v>
      </c>
      <c r="I42" t="str">
        <f>TCD!F42</f>
        <v>FR</v>
      </c>
      <c r="J42" t="str">
        <f>TCD!V42</f>
        <v>21France84</v>
      </c>
      <c r="K42">
        <f>TCD!Q42</f>
        <v>1</v>
      </c>
      <c r="L42">
        <f>TCD!S42</f>
        <v>32</v>
      </c>
      <c r="M42" t="s">
        <v>266</v>
      </c>
      <c r="N42">
        <f t="shared" si="1"/>
        <v>0.2</v>
      </c>
      <c r="O42" s="15" t="str">
        <f>IF(TCD!N42=0,"",TCD!N42)</f>
        <v/>
      </c>
      <c r="P42" s="15" t="str">
        <f>IF(TCD!G42=0,"",TCD!G42)</f>
        <v/>
      </c>
      <c r="Q42" s="15" t="str">
        <f>IF(TCD!H42=0,"",TCD!H42)</f>
        <v/>
      </c>
      <c r="R42" s="15" t="str">
        <f>IF(TCD!I42=0,"",TCD!I42)</f>
        <v/>
      </c>
      <c r="S42" s="15" t="str">
        <f>IF(TCD!J42=0,"",TCD!J42)</f>
        <v/>
      </c>
      <c r="T42" s="15">
        <f>IF(TCD!K42=0,"",TCD!K42)</f>
        <v>40.14</v>
      </c>
      <c r="U42" s="15" t="str">
        <f>IF(TCD!L42=0,"",TCD!L42)</f>
        <v/>
      </c>
    </row>
    <row r="43" spans="1:21" x14ac:dyDescent="0.35">
      <c r="A43" t="s">
        <v>264</v>
      </c>
      <c r="B43" s="7">
        <f t="shared" si="0"/>
        <v>46174</v>
      </c>
      <c r="C43" t="str">
        <f>TCD!D43</f>
        <v>26A060188666</v>
      </c>
      <c r="F43" t="str">
        <f>TCD!C43</f>
        <v>EXP20260602-2776824</v>
      </c>
      <c r="G43" t="str">
        <f>TCD!E43</f>
        <v>Franck LARGE Franck LARGE (ENTREPRISE)</v>
      </c>
      <c r="H43" t="s">
        <v>265</v>
      </c>
      <c r="I43" t="str">
        <f>TCD!F43</f>
        <v>FR</v>
      </c>
      <c r="J43" t="str">
        <f>TCD!V43</f>
        <v>21France69</v>
      </c>
      <c r="K43">
        <f>TCD!Q43</f>
        <v>1</v>
      </c>
      <c r="L43">
        <f>TCD!S43</f>
        <v>67</v>
      </c>
      <c r="M43" t="s">
        <v>266</v>
      </c>
      <c r="N43">
        <f t="shared" si="1"/>
        <v>0.2</v>
      </c>
      <c r="O43" s="15" t="str">
        <f>IF(TCD!N43=0,"",TCD!N43)</f>
        <v/>
      </c>
      <c r="P43" s="15" t="str">
        <f>IF(TCD!G43=0,"",TCD!G43)</f>
        <v/>
      </c>
      <c r="Q43" s="15" t="str">
        <f>IF(TCD!H43=0,"",TCD!H43)</f>
        <v/>
      </c>
      <c r="R43" s="15" t="str">
        <f>IF(TCD!I43=0,"",TCD!I43)</f>
        <v/>
      </c>
      <c r="S43" s="15" t="str">
        <f>IF(TCD!J43=0,"",TCD!J43)</f>
        <v/>
      </c>
      <c r="T43" s="15">
        <f>IF(TCD!K43=0,"",TCD!K43)</f>
        <v>29.9</v>
      </c>
      <c r="U43" s="15" t="str">
        <f>IF(TCD!L43=0,"",TCD!L43)</f>
        <v/>
      </c>
    </row>
    <row r="44" spans="1:21" x14ac:dyDescent="0.35">
      <c r="A44" t="s">
        <v>264</v>
      </c>
      <c r="B44" s="7">
        <f t="shared" si="0"/>
        <v>46174</v>
      </c>
      <c r="C44" t="str">
        <f>TCD!D44</f>
        <v>26A060188646</v>
      </c>
      <c r="F44" t="str">
        <f>TCD!C44</f>
        <v>EXP20260602-2777045</v>
      </c>
      <c r="G44" t="str">
        <f>TCD!E44</f>
        <v>Domaine LEMAIN-POUILLOT - SDS LEMAI (ENTREPRISE)</v>
      </c>
      <c r="H44" t="s">
        <v>265</v>
      </c>
      <c r="I44" t="str">
        <f>TCD!F44</f>
        <v>FR</v>
      </c>
      <c r="J44" t="str">
        <f>TCD!V44</f>
        <v>21France18</v>
      </c>
      <c r="K44">
        <f>TCD!Q44</f>
        <v>1</v>
      </c>
      <c r="L44">
        <f>TCD!S44</f>
        <v>139</v>
      </c>
      <c r="M44" t="s">
        <v>266</v>
      </c>
      <c r="N44">
        <f t="shared" si="1"/>
        <v>0.2</v>
      </c>
      <c r="O44" s="15" t="str">
        <f>IF(TCD!N44=0,"",TCD!N44)</f>
        <v/>
      </c>
      <c r="P44" s="15" t="str">
        <f>IF(TCD!G44=0,"",TCD!G44)</f>
        <v/>
      </c>
      <c r="Q44" s="15" t="str">
        <f>IF(TCD!H44=0,"",TCD!H44)</f>
        <v/>
      </c>
      <c r="R44" s="15" t="str">
        <f>IF(TCD!I44=0,"",TCD!I44)</f>
        <v/>
      </c>
      <c r="S44" s="15" t="str">
        <f>IF(TCD!J44=0,"",TCD!J44)</f>
        <v/>
      </c>
      <c r="T44" s="15">
        <f>IF(TCD!K44=0,"",TCD!K44)</f>
        <v>46.98</v>
      </c>
      <c r="U44" s="15" t="str">
        <f>IF(TCD!L44=0,"",TCD!L44)</f>
        <v/>
      </c>
    </row>
    <row r="45" spans="1:21" x14ac:dyDescent="0.35">
      <c r="A45" t="s">
        <v>264</v>
      </c>
      <c r="B45" s="7">
        <f t="shared" si="0"/>
        <v>46174</v>
      </c>
      <c r="C45" t="str">
        <f>TCD!D45</f>
        <v>26A060188590</v>
      </c>
      <c r="F45" t="str">
        <f>TCD!C45</f>
        <v>EXP20260602-2777127</v>
      </c>
      <c r="G45" t="str">
        <f>TCD!E45</f>
        <v>SAS CHATEAU PUECH LONG FRIZON Lione (ENTREPRISE)</v>
      </c>
      <c r="H45" t="s">
        <v>265</v>
      </c>
      <c r="I45" t="str">
        <f>TCD!F45</f>
        <v>FR</v>
      </c>
      <c r="J45" t="str">
        <f>TCD!V45</f>
        <v>21France30</v>
      </c>
      <c r="K45">
        <f>TCD!Q45</f>
        <v>1</v>
      </c>
      <c r="L45">
        <f>TCD!S45</f>
        <v>45</v>
      </c>
      <c r="M45" t="s">
        <v>266</v>
      </c>
      <c r="N45">
        <f t="shared" si="1"/>
        <v>0.2</v>
      </c>
      <c r="O45" s="15" t="str">
        <f>IF(TCD!N45=0,"",TCD!N45)</f>
        <v/>
      </c>
      <c r="P45" s="15" t="str">
        <f>IF(TCD!G45=0,"",TCD!G45)</f>
        <v/>
      </c>
      <c r="Q45" s="15" t="str">
        <f>IF(TCD!H45=0,"",TCD!H45)</f>
        <v/>
      </c>
      <c r="R45" s="15" t="str">
        <f>IF(TCD!I45=0,"",TCD!I45)</f>
        <v/>
      </c>
      <c r="S45" s="15" t="str">
        <f>IF(TCD!J45=0,"",TCD!J45)</f>
        <v/>
      </c>
      <c r="T45" s="15">
        <f>IF(TCD!K45=0,"",TCD!K45)</f>
        <v>43.15</v>
      </c>
      <c r="U45" s="15" t="str">
        <f>IF(TCD!L45=0,"",TCD!L45)</f>
        <v/>
      </c>
    </row>
    <row r="46" spans="1:21" x14ac:dyDescent="0.35">
      <c r="A46" t="s">
        <v>264</v>
      </c>
      <c r="B46" s="7">
        <f t="shared" si="0"/>
        <v>46174</v>
      </c>
      <c r="C46" t="str">
        <f>TCD!D46</f>
        <v>26A060188573</v>
      </c>
      <c r="F46" t="str">
        <f>TCD!C46</f>
        <v>EXP20260602-2777383</v>
      </c>
      <c r="G46" t="str">
        <f>TCD!E46</f>
        <v>Jardins de Fleury Kohler Carole (ENTREPRISE)</v>
      </c>
      <c r="H46" t="s">
        <v>265</v>
      </c>
      <c r="I46" t="str">
        <f>TCD!F46</f>
        <v>FR</v>
      </c>
      <c r="J46" t="str">
        <f>TCD!V46</f>
        <v>21France79</v>
      </c>
      <c r="K46">
        <f>TCD!Q46</f>
        <v>1</v>
      </c>
      <c r="L46">
        <f>TCD!S46</f>
        <v>25</v>
      </c>
      <c r="M46" t="s">
        <v>266</v>
      </c>
      <c r="N46">
        <f t="shared" si="1"/>
        <v>0.2</v>
      </c>
      <c r="O46" s="15" t="str">
        <f>IF(TCD!N46=0,"",TCD!N46)</f>
        <v/>
      </c>
      <c r="P46" s="15" t="str">
        <f>IF(TCD!G46=0,"",TCD!G46)</f>
        <v/>
      </c>
      <c r="Q46" s="15" t="str">
        <f>IF(TCD!H46=0,"",TCD!H46)</f>
        <v/>
      </c>
      <c r="R46" s="15" t="str">
        <f>IF(TCD!I46=0,"",TCD!I46)</f>
        <v/>
      </c>
      <c r="S46" s="15" t="str">
        <f>IF(TCD!J46=0,"",TCD!J46)</f>
        <v/>
      </c>
      <c r="T46" s="15">
        <f>IF(TCD!K46=0,"",TCD!K46)</f>
        <v>32.4</v>
      </c>
      <c r="U46" s="15" t="str">
        <f>IF(TCD!L46=0,"",TCD!L46)</f>
        <v/>
      </c>
    </row>
    <row r="47" spans="1:21" x14ac:dyDescent="0.35">
      <c r="A47" t="s">
        <v>264</v>
      </c>
      <c r="B47" s="7">
        <f t="shared" si="0"/>
        <v>46174</v>
      </c>
      <c r="C47" t="str">
        <f>TCD!D47</f>
        <v>26A060188652</v>
      </c>
      <c r="F47" t="str">
        <f>TCD!C47</f>
        <v>EXP20260603-2777654</v>
      </c>
      <c r="G47" t="str">
        <f>TCD!E47</f>
        <v>DACHSER France Agence de Roiss The (ENTREPRISE)</v>
      </c>
      <c r="H47" t="s">
        <v>265</v>
      </c>
      <c r="I47" t="str">
        <f>TCD!F47</f>
        <v>FR</v>
      </c>
      <c r="J47" t="str">
        <f>TCD!V47</f>
        <v>21France95</v>
      </c>
      <c r="K47">
        <f>TCD!Q47</f>
        <v>1</v>
      </c>
      <c r="L47">
        <f>TCD!S47</f>
        <v>354</v>
      </c>
      <c r="M47" t="s">
        <v>266</v>
      </c>
      <c r="N47">
        <f t="shared" si="1"/>
        <v>0.2</v>
      </c>
      <c r="O47" s="15" t="str">
        <f>IF(TCD!N47=0,"",TCD!N47)</f>
        <v/>
      </c>
      <c r="P47" s="15" t="str">
        <f>IF(TCD!G47=0,"",TCD!G47)</f>
        <v/>
      </c>
      <c r="Q47" s="15" t="str">
        <f>IF(TCD!H47=0,"",TCD!H47)</f>
        <v/>
      </c>
      <c r="R47" s="15" t="str">
        <f>IF(TCD!I47=0,"",TCD!I47)</f>
        <v/>
      </c>
      <c r="S47" s="15" t="str">
        <f>IF(TCD!J47=0,"",TCD!J47)</f>
        <v/>
      </c>
      <c r="T47" s="15">
        <f>IF(TCD!K47=0,"",TCD!K47)</f>
        <v>61.74</v>
      </c>
      <c r="U47" s="15" t="str">
        <f>IF(TCD!L47=0,"",TCD!L47)</f>
        <v/>
      </c>
    </row>
    <row r="48" spans="1:21" x14ac:dyDescent="0.35">
      <c r="A48" t="s">
        <v>264</v>
      </c>
      <c r="B48" s="7">
        <f t="shared" si="0"/>
        <v>46174</v>
      </c>
      <c r="C48" t="str">
        <f>TCD!D48</f>
        <v>26A060188623</v>
      </c>
      <c r="F48" t="str">
        <f>TCD!C48</f>
        <v>EXP20260603-2778099</v>
      </c>
      <c r="G48" t="str">
        <f>TCD!E48</f>
        <v>SCEA VICAM Jean-Luc HUSSON (ENTREPRISE)</v>
      </c>
      <c r="H48" t="s">
        <v>265</v>
      </c>
      <c r="I48" t="str">
        <f>TCD!F48</f>
        <v>FR</v>
      </c>
      <c r="J48" t="str">
        <f>TCD!V48</f>
        <v>21France83</v>
      </c>
      <c r="K48">
        <f>TCD!Q48</f>
        <v>1</v>
      </c>
      <c r="L48">
        <f>TCD!S48</f>
        <v>11</v>
      </c>
      <c r="M48" t="s">
        <v>266</v>
      </c>
      <c r="N48">
        <f t="shared" si="1"/>
        <v>0.2</v>
      </c>
      <c r="O48" s="15" t="str">
        <f>IF(TCD!N48=0,"",TCD!N48)</f>
        <v/>
      </c>
      <c r="P48" s="15" t="str">
        <f>IF(TCD!G48=0,"",TCD!G48)</f>
        <v/>
      </c>
      <c r="Q48" s="15" t="str">
        <f>IF(TCD!H48=0,"",TCD!H48)</f>
        <v/>
      </c>
      <c r="R48" s="15" t="str">
        <f>IF(TCD!I48=0,"",TCD!I48)</f>
        <v/>
      </c>
      <c r="S48" s="15" t="str">
        <f>IF(TCD!J48=0,"",TCD!J48)</f>
        <v/>
      </c>
      <c r="T48" s="15">
        <f>IF(TCD!K48=0,"",TCD!K48)</f>
        <v>35.54</v>
      </c>
      <c r="U48" s="15" t="str">
        <f>IF(TCD!L48=0,"",TCD!L48)</f>
        <v/>
      </c>
    </row>
    <row r="49" spans="1:21" x14ac:dyDescent="0.35">
      <c r="A49" t="s">
        <v>264</v>
      </c>
      <c r="B49" s="7">
        <f t="shared" si="0"/>
        <v>46174</v>
      </c>
      <c r="C49" t="str">
        <f>TCD!D49</f>
        <v>26A060188565</v>
      </c>
      <c r="F49" t="str">
        <f>TCD!C49</f>
        <v>EXP20260603-2778100</v>
      </c>
      <c r="G49" t="str">
        <f>TCD!E49</f>
        <v>DOMAINE FOND MOIROUX</v>
      </c>
      <c r="H49" t="s">
        <v>265</v>
      </c>
      <c r="I49" t="str">
        <f>TCD!F49</f>
        <v>FR</v>
      </c>
      <c r="J49" t="str">
        <f>TCD!V49</f>
        <v>21France69</v>
      </c>
      <c r="K49">
        <f>TCD!Q49</f>
        <v>1</v>
      </c>
      <c r="L49">
        <f>TCD!S49</f>
        <v>45</v>
      </c>
      <c r="M49" t="s">
        <v>266</v>
      </c>
      <c r="N49">
        <f t="shared" si="1"/>
        <v>0.2</v>
      </c>
      <c r="O49" s="15" t="str">
        <f>IF(TCD!N49=0,"",TCD!N49)</f>
        <v/>
      </c>
      <c r="P49" s="15" t="str">
        <f>IF(TCD!G49=0,"",TCD!G49)</f>
        <v/>
      </c>
      <c r="Q49" s="15" t="str">
        <f>IF(TCD!H49=0,"",TCD!H49)</f>
        <v/>
      </c>
      <c r="R49" s="15" t="str">
        <f>IF(TCD!I49=0,"",TCD!I49)</f>
        <v/>
      </c>
      <c r="S49" s="15" t="str">
        <f>IF(TCD!J49=0,"",TCD!J49)</f>
        <v/>
      </c>
      <c r="T49" s="15">
        <f>IF(TCD!K49=0,"",TCD!K49)</f>
        <v>27.38</v>
      </c>
      <c r="U49" s="15" t="str">
        <f>IF(TCD!L49=0,"",TCD!L49)</f>
        <v/>
      </c>
    </row>
    <row r="50" spans="1:21" x14ac:dyDescent="0.35">
      <c r="A50" t="s">
        <v>264</v>
      </c>
      <c r="B50" s="7">
        <f t="shared" si="0"/>
        <v>46174</v>
      </c>
      <c r="C50" t="str">
        <f>TCD!D50</f>
        <v>26A060188599</v>
      </c>
      <c r="F50" t="str">
        <f>TCD!C50</f>
        <v>EXP20260603-2778257</v>
      </c>
      <c r="G50" t="str">
        <f>TCD!E50</f>
        <v>SARL MAS JULLIEN Olivier JULLIEN (ENTREPRISE)</v>
      </c>
      <c r="H50" t="s">
        <v>265</v>
      </c>
      <c r="I50" t="str">
        <f>TCD!F50</f>
        <v>FR</v>
      </c>
      <c r="J50" t="str">
        <f>TCD!V50</f>
        <v>21France34</v>
      </c>
      <c r="K50">
        <f>TCD!Q50</f>
        <v>2</v>
      </c>
      <c r="L50">
        <f>TCD!S50</f>
        <v>166</v>
      </c>
      <c r="M50" t="s">
        <v>266</v>
      </c>
      <c r="N50">
        <f t="shared" si="1"/>
        <v>0.2</v>
      </c>
      <c r="O50" s="15" t="str">
        <f>IF(TCD!N50=0,"",TCD!N50)</f>
        <v/>
      </c>
      <c r="P50" s="15" t="str">
        <f>IF(TCD!G50=0,"",TCD!G50)</f>
        <v/>
      </c>
      <c r="Q50" s="15" t="str">
        <f>IF(TCD!H50=0,"",TCD!H50)</f>
        <v/>
      </c>
      <c r="R50" s="15" t="str">
        <f>IF(TCD!I50=0,"",TCD!I50)</f>
        <v/>
      </c>
      <c r="S50" s="15" t="str">
        <f>IF(TCD!J50=0,"",TCD!J50)</f>
        <v/>
      </c>
      <c r="T50" s="15">
        <f>IF(TCD!K50=0,"",TCD!K50)</f>
        <v>144.78</v>
      </c>
      <c r="U50" s="15" t="str">
        <f>IF(TCD!L50=0,"",TCD!L50)</f>
        <v/>
      </c>
    </row>
    <row r="51" spans="1:21" x14ac:dyDescent="0.35">
      <c r="A51" t="s">
        <v>264</v>
      </c>
      <c r="B51" s="7">
        <f t="shared" si="0"/>
        <v>46174</v>
      </c>
      <c r="C51" t="str">
        <f>TCD!D51</f>
        <v>26A060188607</v>
      </c>
      <c r="F51" t="str">
        <f>TCD!C51</f>
        <v>EXP20260603-2778709</v>
      </c>
      <c r="G51" t="str">
        <f>TCD!E51</f>
        <v>SCEA Domaine DEAT Julien DEAT (ENTREPRISE)</v>
      </c>
      <c r="H51" t="s">
        <v>265</v>
      </c>
      <c r="I51" t="str">
        <f>TCD!F51</f>
        <v>FR</v>
      </c>
      <c r="J51" t="str">
        <f>TCD!V51</f>
        <v>21France63</v>
      </c>
      <c r="K51">
        <f>TCD!Q51</f>
        <v>1</v>
      </c>
      <c r="L51">
        <f>TCD!S51</f>
        <v>34</v>
      </c>
      <c r="M51" t="s">
        <v>266</v>
      </c>
      <c r="N51">
        <f t="shared" si="1"/>
        <v>0.2</v>
      </c>
      <c r="O51" s="15" t="str">
        <f>IF(TCD!N51=0,"",TCD!N51)</f>
        <v/>
      </c>
      <c r="P51" s="15" t="str">
        <f>IF(TCD!G51=0,"",TCD!G51)</f>
        <v/>
      </c>
      <c r="Q51" s="15" t="str">
        <f>IF(TCD!H51=0,"",TCD!H51)</f>
        <v/>
      </c>
      <c r="R51" s="15" t="str">
        <f>IF(TCD!I51=0,"",TCD!I51)</f>
        <v/>
      </c>
      <c r="S51" s="15" t="str">
        <f>IF(TCD!J51=0,"",TCD!J51)</f>
        <v/>
      </c>
      <c r="T51" s="15">
        <f>IF(TCD!K51=0,"",TCD!K51)</f>
        <v>28.33</v>
      </c>
      <c r="U51" s="15" t="str">
        <f>IF(TCD!L51=0,"",TCD!L51)</f>
        <v/>
      </c>
    </row>
    <row r="52" spans="1:21" x14ac:dyDescent="0.35">
      <c r="A52" t="s">
        <v>264</v>
      </c>
      <c r="B52" s="7">
        <f t="shared" si="0"/>
        <v>46174</v>
      </c>
      <c r="C52" t="str">
        <f>TCD!D52</f>
        <v>26A060188640</v>
      </c>
      <c r="F52" t="str">
        <f>TCD!C52</f>
        <v>EXP20260603-2779154</v>
      </c>
      <c r="G52" t="str">
        <f>TCD!E52</f>
        <v>EARL CHATEAU PRADEAUX Etienne PORTA (ENTREPRISE)</v>
      </c>
      <c r="H52" t="s">
        <v>265</v>
      </c>
      <c r="I52" t="str">
        <f>TCD!F52</f>
        <v>FR</v>
      </c>
      <c r="J52" t="str">
        <f>TCD!V52</f>
        <v>21France83</v>
      </c>
      <c r="K52">
        <f>TCD!Q52</f>
        <v>1</v>
      </c>
      <c r="L52">
        <f>TCD!S52</f>
        <v>34</v>
      </c>
      <c r="M52" t="s">
        <v>266</v>
      </c>
      <c r="N52">
        <f t="shared" si="1"/>
        <v>0.2</v>
      </c>
      <c r="O52" s="15" t="str">
        <f>IF(TCD!N52=0,"",TCD!N52)</f>
        <v/>
      </c>
      <c r="P52" s="15" t="str">
        <f>IF(TCD!G52=0,"",TCD!G52)</f>
        <v/>
      </c>
      <c r="Q52" s="15" t="str">
        <f>IF(TCD!H52=0,"",TCD!H52)</f>
        <v/>
      </c>
      <c r="R52" s="15" t="str">
        <f>IF(TCD!I52=0,"",TCD!I52)</f>
        <v/>
      </c>
      <c r="S52" s="15" t="str">
        <f>IF(TCD!J52=0,"",TCD!J52)</f>
        <v/>
      </c>
      <c r="T52" s="15">
        <f>IF(TCD!K52=0,"",TCD!K52)</f>
        <v>44.96</v>
      </c>
      <c r="U52" s="15" t="str">
        <f>IF(TCD!L52=0,"",TCD!L52)</f>
        <v/>
      </c>
    </row>
    <row r="53" spans="1:21" x14ac:dyDescent="0.35">
      <c r="A53" t="s">
        <v>264</v>
      </c>
      <c r="B53" s="7">
        <f t="shared" si="0"/>
        <v>46174</v>
      </c>
      <c r="C53" t="str">
        <f>TCD!D53</f>
        <v>26A060188662</v>
      </c>
      <c r="F53" t="str">
        <f>TCD!C53</f>
        <v>EXP20260603-2779194</v>
      </c>
      <c r="G53" t="str">
        <f>TCD!E53</f>
        <v>SARL Francine et Olivier Savary SAV (ENTREPRISE)</v>
      </c>
      <c r="H53" t="s">
        <v>265</v>
      </c>
      <c r="I53" t="str">
        <f>TCD!F53</f>
        <v>FR</v>
      </c>
      <c r="J53" t="str">
        <f>TCD!V53</f>
        <v>21France89</v>
      </c>
      <c r="K53">
        <f>TCD!Q53</f>
        <v>1</v>
      </c>
      <c r="L53">
        <f>TCD!S53</f>
        <v>100</v>
      </c>
      <c r="M53" t="s">
        <v>266</v>
      </c>
      <c r="N53">
        <f t="shared" si="1"/>
        <v>0.2</v>
      </c>
      <c r="O53" s="15" t="str">
        <f>IF(TCD!N53=0,"",TCD!N53)</f>
        <v/>
      </c>
      <c r="P53" s="15" t="str">
        <f>IF(TCD!G53=0,"",TCD!G53)</f>
        <v/>
      </c>
      <c r="Q53" s="15" t="str">
        <f>IF(TCD!H53=0,"",TCD!H53)</f>
        <v/>
      </c>
      <c r="R53" s="15" t="str">
        <f>IF(TCD!I53=0,"",TCD!I53)</f>
        <v/>
      </c>
      <c r="S53" s="15" t="str">
        <f>IF(TCD!J53=0,"",TCD!J53)</f>
        <v/>
      </c>
      <c r="T53" s="15">
        <f>IF(TCD!K53=0,"",TCD!K53)</f>
        <v>33.46</v>
      </c>
      <c r="U53" s="15" t="str">
        <f>IF(TCD!L53=0,"",TCD!L53)</f>
        <v/>
      </c>
    </row>
    <row r="54" spans="1:21" x14ac:dyDescent="0.35">
      <c r="A54" t="s">
        <v>264</v>
      </c>
      <c r="B54" s="7">
        <f t="shared" si="0"/>
        <v>46174</v>
      </c>
      <c r="C54" t="str">
        <f>TCD!D54</f>
        <v>26A060188618</v>
      </c>
      <c r="F54" t="str">
        <f>TCD!C54</f>
        <v>EXP20260603-2779250</v>
      </c>
      <c r="G54" t="str">
        <f>TCD!E54</f>
        <v>SCEA LEYDIER &amp; Fils Henri LEYDIER (ENTREPRISE)</v>
      </c>
      <c r="H54" t="s">
        <v>265</v>
      </c>
      <c r="I54" t="str">
        <f>TCD!F54</f>
        <v>FR</v>
      </c>
      <c r="J54" t="str">
        <f>TCD!V54</f>
        <v>21France84</v>
      </c>
      <c r="K54">
        <f>TCD!Q54</f>
        <v>1</v>
      </c>
      <c r="L54">
        <f>TCD!S54</f>
        <v>112</v>
      </c>
      <c r="M54" t="s">
        <v>266</v>
      </c>
      <c r="N54">
        <f t="shared" si="1"/>
        <v>0.2</v>
      </c>
      <c r="O54" s="15" t="str">
        <f>IF(TCD!N54=0,"",TCD!N54)</f>
        <v/>
      </c>
      <c r="P54" s="15" t="str">
        <f>IF(TCD!G54=0,"",TCD!G54)</f>
        <v/>
      </c>
      <c r="Q54" s="15" t="str">
        <f>IF(TCD!H54=0,"",TCD!H54)</f>
        <v/>
      </c>
      <c r="R54" s="15" t="str">
        <f>IF(TCD!I54=0,"",TCD!I54)</f>
        <v/>
      </c>
      <c r="S54" s="15" t="str">
        <f>IF(TCD!J54=0,"",TCD!J54)</f>
        <v/>
      </c>
      <c r="T54" s="15">
        <f>IF(TCD!K54=0,"",TCD!K54)</f>
        <v>58.300000000000004</v>
      </c>
      <c r="U54" s="15" t="str">
        <f>IF(TCD!L54=0,"",TCD!L54)</f>
        <v/>
      </c>
    </row>
    <row r="55" spans="1:21" x14ac:dyDescent="0.35">
      <c r="A55" t="s">
        <v>264</v>
      </c>
      <c r="B55" s="7">
        <f t="shared" si="0"/>
        <v>46174</v>
      </c>
      <c r="C55" t="str">
        <f>TCD!D55</f>
        <v>26A060188578</v>
      </c>
      <c r="F55" t="str">
        <f>TCD!C55</f>
        <v>EXP20260603-2779296</v>
      </c>
      <c r="G55" t="str">
        <f>TCD!E55</f>
        <v>CHATEAU ST LOUIS LA PERDRIX CASTAN (ENTREPRISE)</v>
      </c>
      <c r="H55" t="s">
        <v>265</v>
      </c>
      <c r="I55" t="str">
        <f>TCD!F55</f>
        <v>FR</v>
      </c>
      <c r="J55" t="str">
        <f>TCD!V55</f>
        <v>21France30</v>
      </c>
      <c r="K55">
        <f>TCD!Q55</f>
        <v>2</v>
      </c>
      <c r="L55">
        <f>TCD!S55</f>
        <v>207</v>
      </c>
      <c r="M55" t="s">
        <v>266</v>
      </c>
      <c r="N55">
        <f t="shared" si="1"/>
        <v>0.2</v>
      </c>
      <c r="O55" s="15" t="str">
        <f>IF(TCD!N55=0,"",TCD!N55)</f>
        <v/>
      </c>
      <c r="P55" s="15" t="str">
        <f>IF(TCD!G55=0,"",TCD!G55)</f>
        <v/>
      </c>
      <c r="Q55" s="15" t="str">
        <f>IF(TCD!H55=0,"",TCD!H55)</f>
        <v/>
      </c>
      <c r="R55" s="15" t="str">
        <f>IF(TCD!I55=0,"",TCD!I55)</f>
        <v/>
      </c>
      <c r="S55" s="15" t="str">
        <f>IF(TCD!J55=0,"",TCD!J55)</f>
        <v/>
      </c>
      <c r="T55" s="15">
        <f>IF(TCD!K55=0,"",TCD!K55)</f>
        <v>140.22999999999999</v>
      </c>
      <c r="U55" s="15" t="str">
        <f>IF(TCD!L55=0,"",TCD!L55)</f>
        <v/>
      </c>
    </row>
    <row r="56" spans="1:21" x14ac:dyDescent="0.35">
      <c r="A56" t="s">
        <v>264</v>
      </c>
      <c r="B56" s="7">
        <f t="shared" si="0"/>
        <v>46174</v>
      </c>
      <c r="C56" t="str">
        <f>TCD!D56</f>
        <v>26A060188670</v>
      </c>
      <c r="F56" t="str">
        <f>TCD!C56</f>
        <v>EXP20260603-2779393</v>
      </c>
      <c r="G56" t="str">
        <f>TCD!E56</f>
        <v>SARL DOMAINE LES POETE Sorbe Guilla (ENTREPRISE)</v>
      </c>
      <c r="H56" t="s">
        <v>265</v>
      </c>
      <c r="I56" t="str">
        <f>TCD!F56</f>
        <v>FR</v>
      </c>
      <c r="J56" t="str">
        <f>TCD!V56</f>
        <v>21France18</v>
      </c>
      <c r="K56">
        <f>TCD!Q56</f>
        <v>1</v>
      </c>
      <c r="L56">
        <f>TCD!S56</f>
        <v>34</v>
      </c>
      <c r="M56" t="s">
        <v>266</v>
      </c>
      <c r="N56">
        <f t="shared" si="1"/>
        <v>0.2</v>
      </c>
      <c r="O56" s="15" t="str">
        <f>IF(TCD!N56=0,"",TCD!N56)</f>
        <v/>
      </c>
      <c r="P56" s="15" t="str">
        <f>IF(TCD!G56=0,"",TCD!G56)</f>
        <v/>
      </c>
      <c r="Q56" s="15" t="str">
        <f>IF(TCD!H56=0,"",TCD!H56)</f>
        <v/>
      </c>
      <c r="R56" s="15" t="str">
        <f>IF(TCD!I56=0,"",TCD!I56)</f>
        <v/>
      </c>
      <c r="S56" s="15" t="str">
        <f>IF(TCD!J56=0,"",TCD!J56)</f>
        <v/>
      </c>
      <c r="T56" s="15">
        <f>IF(TCD!K56=0,"",TCD!K56)</f>
        <v>28.52</v>
      </c>
      <c r="U56" s="15" t="str">
        <f>IF(TCD!L56=0,"",TCD!L56)</f>
        <v/>
      </c>
    </row>
    <row r="57" spans="1:21" x14ac:dyDescent="0.35">
      <c r="A57" t="s">
        <v>264</v>
      </c>
      <c r="B57" s="7">
        <f t="shared" si="0"/>
        <v>46174</v>
      </c>
      <c r="C57" t="str">
        <f>TCD!D57</f>
        <v>26A060188611</v>
      </c>
      <c r="F57" t="str">
        <f>TCD!C57</f>
        <v>EXP20260604-2780015</v>
      </c>
      <c r="G57" t="str">
        <f>TCD!E57</f>
        <v>EARL Jean-Claude BUECHER et Fils Fr (ENTREPRISE)</v>
      </c>
      <c r="H57" t="s">
        <v>265</v>
      </c>
      <c r="I57" t="str">
        <f>TCD!F57</f>
        <v>FR</v>
      </c>
      <c r="J57" t="str">
        <f>TCD!V57</f>
        <v>21France68</v>
      </c>
      <c r="K57">
        <f>TCD!Q57</f>
        <v>1</v>
      </c>
      <c r="L57">
        <f>TCD!S57</f>
        <v>156</v>
      </c>
      <c r="M57" t="s">
        <v>266</v>
      </c>
      <c r="N57">
        <f t="shared" si="1"/>
        <v>0.2</v>
      </c>
      <c r="O57" s="15" t="str">
        <f>IF(TCD!N57=0,"",TCD!N57)</f>
        <v/>
      </c>
      <c r="P57" s="15" t="str">
        <f>IF(TCD!G57=0,"",TCD!G57)</f>
        <v/>
      </c>
      <c r="Q57" s="15" t="str">
        <f>IF(TCD!H57=0,"",TCD!H57)</f>
        <v/>
      </c>
      <c r="R57" s="15" t="str">
        <f>IF(TCD!I57=0,"",TCD!I57)</f>
        <v/>
      </c>
      <c r="S57" s="15" t="str">
        <f>IF(TCD!J57=0,"",TCD!J57)</f>
        <v/>
      </c>
      <c r="T57" s="15">
        <f>IF(TCD!K57=0,"",TCD!K57)</f>
        <v>47.36</v>
      </c>
      <c r="U57" s="15" t="str">
        <f>IF(TCD!L57=0,"",TCD!L57)</f>
        <v/>
      </c>
    </row>
    <row r="58" spans="1:21" x14ac:dyDescent="0.35">
      <c r="A58" t="s">
        <v>264</v>
      </c>
      <c r="B58" s="7">
        <f t="shared" si="0"/>
        <v>46174</v>
      </c>
      <c r="C58" t="str">
        <f>TCD!D58</f>
        <v>26A060238218</v>
      </c>
      <c r="F58" t="str">
        <f>TCD!C58</f>
        <v>EXP20260604-2780089</v>
      </c>
      <c r="G58" t="str">
        <f>TCD!E58</f>
        <v xml:space="preserve">SIFA TRANSIT </v>
      </c>
      <c r="H58" t="s">
        <v>265</v>
      </c>
      <c r="I58" t="str">
        <f>TCD!F58</f>
        <v>FR</v>
      </c>
      <c r="J58" t="str">
        <f>TCD!V58</f>
        <v>21France76</v>
      </c>
      <c r="K58">
        <f>TCD!Q58</f>
        <v>1</v>
      </c>
      <c r="L58">
        <f>TCD!S58</f>
        <v>90</v>
      </c>
      <c r="M58" t="s">
        <v>266</v>
      </c>
      <c r="N58">
        <f t="shared" si="1"/>
        <v>0.2</v>
      </c>
      <c r="O58" s="15" t="str">
        <f>IF(TCD!N58=0,"",TCD!N58)</f>
        <v/>
      </c>
      <c r="P58" s="15" t="str">
        <f>IF(TCD!G58=0,"",TCD!G58)</f>
        <v/>
      </c>
      <c r="Q58" s="15" t="str">
        <f>IF(TCD!H58=0,"",TCD!H58)</f>
        <v/>
      </c>
      <c r="R58" s="15" t="str">
        <f>IF(TCD!I58=0,"",TCD!I58)</f>
        <v/>
      </c>
      <c r="S58" s="15" t="str">
        <f>IF(TCD!J58=0,"",TCD!J58)</f>
        <v/>
      </c>
      <c r="T58" s="15">
        <f>IF(TCD!K58=0,"",TCD!K58)</f>
        <v>44.22</v>
      </c>
      <c r="U58" s="15" t="str">
        <f>IF(TCD!L58=0,"",TCD!L58)</f>
        <v/>
      </c>
    </row>
    <row r="59" spans="1:21" x14ac:dyDescent="0.35">
      <c r="A59" t="s">
        <v>264</v>
      </c>
      <c r="B59" s="7">
        <f t="shared" si="0"/>
        <v>46174</v>
      </c>
      <c r="C59" t="str">
        <f>TCD!D59</f>
        <v>26A060188628</v>
      </c>
      <c r="F59" t="str">
        <f>TCD!C59</f>
        <v>EXP20260604-2780091</v>
      </c>
      <c r="G59" t="str">
        <f>TCD!E59</f>
        <v>Pharmavance Groupement Pharmavance (ENTREPRISE)</v>
      </c>
      <c r="H59" t="s">
        <v>265</v>
      </c>
      <c r="I59" t="str">
        <f>TCD!F59</f>
        <v>FR</v>
      </c>
      <c r="J59" t="str">
        <f>TCD!V59</f>
        <v>21France77</v>
      </c>
      <c r="K59">
        <f>TCD!Q59</f>
        <v>1</v>
      </c>
      <c r="L59">
        <f>TCD!S59</f>
        <v>274</v>
      </c>
      <c r="M59" t="s">
        <v>266</v>
      </c>
      <c r="N59">
        <f t="shared" si="1"/>
        <v>0.2</v>
      </c>
      <c r="O59" s="15" t="str">
        <f>IF(TCD!N59=0,"",TCD!N59)</f>
        <v/>
      </c>
      <c r="P59" s="15" t="str">
        <f>IF(TCD!G59=0,"",TCD!G59)</f>
        <v/>
      </c>
      <c r="Q59" s="15" t="str">
        <f>IF(TCD!H59=0,"",TCD!H59)</f>
        <v/>
      </c>
      <c r="R59" s="15" t="str">
        <f>IF(TCD!I59=0,"",TCD!I59)</f>
        <v/>
      </c>
      <c r="S59" s="15" t="str">
        <f>IF(TCD!J59=0,"",TCD!J59)</f>
        <v/>
      </c>
      <c r="T59" s="15">
        <f>IF(TCD!K59=0,"",TCD!K59)</f>
        <v>59.69</v>
      </c>
      <c r="U59" s="15" t="str">
        <f>IF(TCD!L59=0,"",TCD!L59)</f>
        <v/>
      </c>
    </row>
    <row r="60" spans="1:21" x14ac:dyDescent="0.35">
      <c r="A60" t="s">
        <v>264</v>
      </c>
      <c r="B60" s="7">
        <f t="shared" si="0"/>
        <v>46174</v>
      </c>
      <c r="C60" t="str">
        <f>TCD!D60</f>
        <v>26A060188634</v>
      </c>
      <c r="F60" t="str">
        <f>TCD!C60</f>
        <v>EXP20260604-2780547</v>
      </c>
      <c r="G60" t="str">
        <f>TCD!E60</f>
        <v>EARL DOMAINE SAINT FIRMIN DOMAINE S (ENTREPRISE)</v>
      </c>
      <c r="H60" t="s">
        <v>265</v>
      </c>
      <c r="I60" t="str">
        <f>TCD!F60</f>
        <v>FR</v>
      </c>
      <c r="J60" t="str">
        <f>TCD!V60</f>
        <v>21France30</v>
      </c>
      <c r="K60">
        <f>TCD!Q60</f>
        <v>2</v>
      </c>
      <c r="L60">
        <f>TCD!S60</f>
        <v>244</v>
      </c>
      <c r="M60" t="s">
        <v>266</v>
      </c>
      <c r="N60">
        <f t="shared" si="1"/>
        <v>0.2</v>
      </c>
      <c r="O60" s="15" t="str">
        <f>IF(TCD!N60=0,"",TCD!N60)</f>
        <v/>
      </c>
      <c r="P60" s="15" t="str">
        <f>IF(TCD!G60=0,"",TCD!G60)</f>
        <v/>
      </c>
      <c r="Q60" s="15" t="str">
        <f>IF(TCD!H60=0,"",TCD!H60)</f>
        <v/>
      </c>
      <c r="R60" s="15" t="str">
        <f>IF(TCD!I60=0,"",TCD!I60)</f>
        <v/>
      </c>
      <c r="S60" s="15" t="str">
        <f>IF(TCD!J60=0,"",TCD!J60)</f>
        <v/>
      </c>
      <c r="T60" s="15">
        <f>IF(TCD!K60=0,"",TCD!K60)</f>
        <v>140.22999999999999</v>
      </c>
      <c r="U60" s="15" t="str">
        <f>IF(TCD!L60=0,"",TCD!L60)</f>
        <v/>
      </c>
    </row>
    <row r="61" spans="1:21" x14ac:dyDescent="0.35">
      <c r="A61" t="s">
        <v>264</v>
      </c>
      <c r="B61" s="7">
        <f t="shared" si="0"/>
        <v>46174</v>
      </c>
      <c r="C61" t="str">
        <f>TCD!D61</f>
        <v>26A060188569</v>
      </c>
      <c r="F61" t="str">
        <f>TCD!C61</f>
        <v>EXP20260604-2780722</v>
      </c>
      <c r="G61" t="str">
        <f>TCD!E61</f>
        <v>CHATEAUX ET VINS DE BORDEAUX BALLAN (ENTREPRISE)</v>
      </c>
      <c r="H61" t="s">
        <v>265</v>
      </c>
      <c r="I61" t="str">
        <f>TCD!F61</f>
        <v>FR</v>
      </c>
      <c r="J61" t="str">
        <f>TCD!V61</f>
        <v>21France33</v>
      </c>
      <c r="K61">
        <f>TCD!Q61</f>
        <v>1</v>
      </c>
      <c r="L61">
        <f>TCD!S61</f>
        <v>153</v>
      </c>
      <c r="M61" t="s">
        <v>266</v>
      </c>
      <c r="N61">
        <f t="shared" si="1"/>
        <v>0.2</v>
      </c>
      <c r="O61" s="15" t="str">
        <f>IF(TCD!N61=0,"",TCD!N61)</f>
        <v/>
      </c>
      <c r="P61" s="15" t="str">
        <f>IF(TCD!G61=0,"",TCD!G61)</f>
        <v/>
      </c>
      <c r="Q61" s="15" t="str">
        <f>IF(TCD!H61=0,"",TCD!H61)</f>
        <v/>
      </c>
      <c r="R61" s="15" t="str">
        <f>IF(TCD!I61=0,"",TCD!I61)</f>
        <v/>
      </c>
      <c r="S61" s="15" t="str">
        <f>IF(TCD!J61=0,"",TCD!J61)</f>
        <v/>
      </c>
      <c r="T61" s="15">
        <f>IF(TCD!K61=0,"",TCD!K61)</f>
        <v>81.950000000000017</v>
      </c>
      <c r="U61" s="15" t="str">
        <f>IF(TCD!L61=0,"",TCD!L61)</f>
        <v/>
      </c>
    </row>
    <row r="62" spans="1:21" x14ac:dyDescent="0.35">
      <c r="A62" t="s">
        <v>264</v>
      </c>
      <c r="B62" s="7">
        <f t="shared" si="0"/>
        <v>46174</v>
      </c>
      <c r="C62" t="str">
        <f>TCD!D62</f>
        <v>26A060238223</v>
      </c>
      <c r="F62" t="str">
        <f>TCD!C62</f>
        <v>EXP20260604-2780723</v>
      </c>
      <c r="G62" t="str">
        <f>TCD!E62</f>
        <v>LAUVIGE ENTREPOSAGE TRAVAILLAN MOND (ENTREPRISE)</v>
      </c>
      <c r="H62" t="s">
        <v>265</v>
      </c>
      <c r="I62" t="str">
        <f>TCD!F62</f>
        <v>FR</v>
      </c>
      <c r="J62" t="str">
        <f>TCD!V62</f>
        <v>21France84</v>
      </c>
      <c r="K62">
        <f>TCD!Q62</f>
        <v>3</v>
      </c>
      <c r="L62">
        <f>TCD!S62</f>
        <v>502</v>
      </c>
      <c r="M62" t="s">
        <v>266</v>
      </c>
      <c r="N62">
        <f t="shared" si="1"/>
        <v>0.2</v>
      </c>
      <c r="O62" s="15" t="str">
        <f>IF(TCD!N62=0,"",TCD!N62)</f>
        <v/>
      </c>
      <c r="P62" s="15" t="str">
        <f>IF(TCD!G62=0,"",TCD!G62)</f>
        <v/>
      </c>
      <c r="Q62" s="15" t="str">
        <f>IF(TCD!H62=0,"",TCD!H62)</f>
        <v/>
      </c>
      <c r="R62" s="15" t="str">
        <f>IF(TCD!I62=0,"",TCD!I62)</f>
        <v/>
      </c>
      <c r="S62" s="15" t="str">
        <f>IF(TCD!J62=0,"",TCD!J62)</f>
        <v/>
      </c>
      <c r="T62" s="15">
        <f>IF(TCD!K62=0,"",TCD!K62)</f>
        <v>186.54</v>
      </c>
      <c r="U62" s="15" t="str">
        <f>IF(TCD!L62=0,"",TCD!L62)</f>
        <v/>
      </c>
    </row>
    <row r="63" spans="1:21" x14ac:dyDescent="0.35">
      <c r="A63" t="s">
        <v>264</v>
      </c>
      <c r="B63" s="7">
        <f t="shared" si="0"/>
        <v>46174</v>
      </c>
      <c r="C63" t="str">
        <f>TCD!D63</f>
        <v>26A060238225</v>
      </c>
      <c r="F63" t="str">
        <f>TCD!C63</f>
        <v>EXP20260604-2780912</v>
      </c>
      <c r="G63" t="str">
        <f>TCD!E63</f>
        <v>SAS DOMAINE DES JEUNES POUSSES Nais (ENTREPRISE)</v>
      </c>
      <c r="H63" t="s">
        <v>265</v>
      </c>
      <c r="I63" t="str">
        <f>TCD!F63</f>
        <v>FR</v>
      </c>
      <c r="J63" t="str">
        <f>TCD!V63</f>
        <v>21France69</v>
      </c>
      <c r="K63">
        <f>TCD!Q63</f>
        <v>1</v>
      </c>
      <c r="L63">
        <f>TCD!S63</f>
        <v>76</v>
      </c>
      <c r="M63" t="s">
        <v>266</v>
      </c>
      <c r="N63">
        <f t="shared" si="1"/>
        <v>0.2</v>
      </c>
      <c r="O63" s="15" t="str">
        <f>IF(TCD!N63=0,"",TCD!N63)</f>
        <v/>
      </c>
      <c r="P63" s="15" t="str">
        <f>IF(TCD!G63=0,"",TCD!G63)</f>
        <v/>
      </c>
      <c r="Q63" s="15" t="str">
        <f>IF(TCD!H63=0,"",TCD!H63)</f>
        <v/>
      </c>
      <c r="R63" s="15" t="str">
        <f>IF(TCD!I63=0,"",TCD!I63)</f>
        <v/>
      </c>
      <c r="S63" s="15" t="str">
        <f>IF(TCD!J63=0,"",TCD!J63)</f>
        <v/>
      </c>
      <c r="T63" s="15">
        <f>IF(TCD!K63=0,"",TCD!K63)</f>
        <v>30.9</v>
      </c>
      <c r="U63" s="15" t="str">
        <f>IF(TCD!L63=0,"",TCD!L63)</f>
        <v/>
      </c>
    </row>
    <row r="64" spans="1:21" x14ac:dyDescent="0.35">
      <c r="A64" t="s">
        <v>264</v>
      </c>
      <c r="B64" s="7">
        <f t="shared" si="0"/>
        <v>46174</v>
      </c>
      <c r="C64" t="str">
        <f>TCD!D64</f>
        <v>26A060238228</v>
      </c>
      <c r="F64" t="str">
        <f>TCD!C64</f>
        <v>EXP20260604-2781256</v>
      </c>
      <c r="G64" t="str">
        <f>TCD!E64</f>
        <v>Maison Phetisson Bonnefoy BONNEFOY (ENTREPRISE)</v>
      </c>
      <c r="H64" t="s">
        <v>265</v>
      </c>
      <c r="I64" t="str">
        <f>TCD!F64</f>
        <v>FR</v>
      </c>
      <c r="J64" t="str">
        <f>TCD!V64</f>
        <v>21France84</v>
      </c>
      <c r="K64">
        <f>TCD!Q64</f>
        <v>1</v>
      </c>
      <c r="L64">
        <f>TCD!S64</f>
        <v>85</v>
      </c>
      <c r="M64" t="s">
        <v>266</v>
      </c>
      <c r="N64">
        <f t="shared" si="1"/>
        <v>0.2</v>
      </c>
      <c r="O64" s="15" t="str">
        <f>IF(TCD!N64=0,"",TCD!N64)</f>
        <v/>
      </c>
      <c r="P64" s="15" t="str">
        <f>IF(TCD!G64=0,"",TCD!G64)</f>
        <v/>
      </c>
      <c r="Q64" s="15" t="str">
        <f>IF(TCD!H64=0,"",TCD!H64)</f>
        <v/>
      </c>
      <c r="R64" s="15" t="str">
        <f>IF(TCD!I64=0,"",TCD!I64)</f>
        <v/>
      </c>
      <c r="S64" s="15" t="str">
        <f>IF(TCD!J64=0,"",TCD!J64)</f>
        <v/>
      </c>
      <c r="T64" s="15">
        <f>IF(TCD!K64=0,"",TCD!K64)</f>
        <v>49.79</v>
      </c>
      <c r="U64" s="15" t="str">
        <f>IF(TCD!L64=0,"",TCD!L64)</f>
        <v/>
      </c>
    </row>
    <row r="65" spans="1:21" x14ac:dyDescent="0.35">
      <c r="A65" t="s">
        <v>264</v>
      </c>
      <c r="B65" s="7">
        <f t="shared" si="0"/>
        <v>46174</v>
      </c>
      <c r="C65" t="str">
        <f>TCD!D65</f>
        <v>26A060332186</v>
      </c>
      <c r="F65" t="str">
        <f>TCD!C65</f>
        <v>EXP20260604-2781391</v>
      </c>
      <c r="G65" t="str">
        <f>TCD!E65</f>
        <v>A VOS BULLES SERVICE EXPEDITION (ENTREPRISE)</v>
      </c>
      <c r="H65" t="s">
        <v>265</v>
      </c>
      <c r="I65" t="str">
        <f>TCD!F65</f>
        <v>FR</v>
      </c>
      <c r="J65" t="str">
        <f>TCD!V65</f>
        <v>21France33</v>
      </c>
      <c r="K65">
        <f>TCD!Q65</f>
        <v>3</v>
      </c>
      <c r="L65">
        <f>TCD!S65</f>
        <v>390</v>
      </c>
      <c r="M65" t="s">
        <v>266</v>
      </c>
      <c r="N65">
        <f t="shared" si="1"/>
        <v>0.2</v>
      </c>
      <c r="O65" s="15" t="str">
        <f>IF(TCD!N65=0,"",TCD!N65)</f>
        <v/>
      </c>
      <c r="P65" s="15" t="str">
        <f>IF(TCD!G65=0,"",TCD!G65)</f>
        <v/>
      </c>
      <c r="Q65" s="15" t="str">
        <f>IF(TCD!H65=0,"",TCD!H65)</f>
        <v/>
      </c>
      <c r="R65" s="15" t="str">
        <f>IF(TCD!I65=0,"",TCD!I65)</f>
        <v/>
      </c>
      <c r="S65" s="15" t="str">
        <f>IF(TCD!J65=0,"",TCD!J65)</f>
        <v/>
      </c>
      <c r="T65" s="15">
        <f>IF(TCD!K65=0,"",TCD!K65)</f>
        <v>223.92999999999998</v>
      </c>
      <c r="U65" s="15" t="str">
        <f>IF(TCD!L65=0,"",TCD!L65)</f>
        <v/>
      </c>
    </row>
    <row r="66" spans="1:21" x14ac:dyDescent="0.35">
      <c r="A66" t="s">
        <v>264</v>
      </c>
      <c r="B66" s="7">
        <f t="shared" si="0"/>
        <v>46174</v>
      </c>
      <c r="C66" t="str">
        <f>TCD!D66</f>
        <v>26A060332180</v>
      </c>
      <c r="F66" t="str">
        <f>TCD!C66</f>
        <v>EXP20260605-2782634</v>
      </c>
      <c r="G66" t="str">
        <f>TCD!E66</f>
        <v>SARL MARCHAND DE DOUCEURS Franck VA (ENTREPRISE)</v>
      </c>
      <c r="H66" t="s">
        <v>265</v>
      </c>
      <c r="I66" t="str">
        <f>TCD!F66</f>
        <v>FR</v>
      </c>
      <c r="J66" t="str">
        <f>TCD!V66</f>
        <v>21France83</v>
      </c>
      <c r="K66">
        <f>TCD!Q66</f>
        <v>1</v>
      </c>
      <c r="L66">
        <f>TCD!S66</f>
        <v>51</v>
      </c>
      <c r="M66" t="s">
        <v>266</v>
      </c>
      <c r="N66">
        <f t="shared" si="1"/>
        <v>0.2</v>
      </c>
      <c r="O66" s="15" t="str">
        <f>IF(TCD!N66=0,"",TCD!N66)</f>
        <v/>
      </c>
      <c r="P66" s="15" t="str">
        <f>IF(TCD!G66=0,"",TCD!G66)</f>
        <v/>
      </c>
      <c r="Q66" s="15" t="str">
        <f>IF(TCD!H66=0,"",TCD!H66)</f>
        <v/>
      </c>
      <c r="R66" s="15" t="str">
        <f>IF(TCD!I66=0,"",TCD!I66)</f>
        <v/>
      </c>
      <c r="S66" s="15" t="str">
        <f>IF(TCD!J66=0,"",TCD!J66)</f>
        <v/>
      </c>
      <c r="T66" s="15">
        <f>IF(TCD!K66=0,"",TCD!K66)</f>
        <v>48.39</v>
      </c>
      <c r="U66" s="15" t="str">
        <f>IF(TCD!L66=0,"",TCD!L66)</f>
        <v/>
      </c>
    </row>
    <row r="67" spans="1:21" x14ac:dyDescent="0.35">
      <c r="A67" t="s">
        <v>264</v>
      </c>
      <c r="B67" s="7">
        <f t="shared" si="0"/>
        <v>46174</v>
      </c>
      <c r="C67" t="str">
        <f>TCD!D67</f>
        <v>26A060332175</v>
      </c>
      <c r="F67" t="str">
        <f>TCD!C67</f>
        <v>EXP20260605-2782826</v>
      </c>
      <c r="G67" t="str">
        <f>TCD!E67</f>
        <v>EURL DE SIGALOUS AXELLE MOUTTE (ENTREPRISE)</v>
      </c>
      <c r="H67" t="s">
        <v>265</v>
      </c>
      <c r="I67" t="str">
        <f>TCD!F67</f>
        <v>FR</v>
      </c>
      <c r="J67" t="str">
        <f>TCD!V67</f>
        <v>21France83</v>
      </c>
      <c r="K67">
        <f>TCD!Q67</f>
        <v>1</v>
      </c>
      <c r="L67">
        <f>TCD!S67</f>
        <v>109</v>
      </c>
      <c r="M67" t="s">
        <v>266</v>
      </c>
      <c r="N67">
        <f t="shared" si="1"/>
        <v>0.2</v>
      </c>
      <c r="O67" s="15" t="str">
        <f>IF(TCD!N67=0,"",TCD!N67)</f>
        <v/>
      </c>
      <c r="P67" s="15" t="str">
        <f>IF(TCD!G67=0,"",TCD!G67)</f>
        <v/>
      </c>
      <c r="Q67" s="15" t="str">
        <f>IF(TCD!H67=0,"",TCD!H67)</f>
        <v/>
      </c>
      <c r="R67" s="15" t="str">
        <f>IF(TCD!I67=0,"",TCD!I67)</f>
        <v/>
      </c>
      <c r="S67" s="15" t="str">
        <f>IF(TCD!J67=0,"",TCD!J67)</f>
        <v/>
      </c>
      <c r="T67" s="15">
        <f>IF(TCD!K67=0,"",TCD!K67)</f>
        <v>60.7</v>
      </c>
      <c r="U67" s="15" t="str">
        <f>IF(TCD!L67=0,"",TCD!L67)</f>
        <v/>
      </c>
    </row>
    <row r="68" spans="1:21" x14ac:dyDescent="0.35">
      <c r="A68" t="s">
        <v>264</v>
      </c>
      <c r="B68" s="7">
        <f t="shared" ref="B68:B131" si="2">B67</f>
        <v>46174</v>
      </c>
      <c r="C68" t="str">
        <f>TCD!D68</f>
        <v>26A060332183</v>
      </c>
      <c r="F68" t="str">
        <f>TCD!C68</f>
        <v>EXP20260605-2783082</v>
      </c>
      <c r="G68" t="str">
        <f>TCD!E68</f>
        <v>CLOS LALFERT Baptiste LALFERT (ENTREPRISE)</v>
      </c>
      <c r="H68" t="s">
        <v>265</v>
      </c>
      <c r="I68" t="str">
        <f>TCD!F68</f>
        <v>FR</v>
      </c>
      <c r="J68" t="str">
        <f>TCD!V68</f>
        <v>21France34</v>
      </c>
      <c r="K68">
        <f>TCD!Q68</f>
        <v>1</v>
      </c>
      <c r="L68">
        <f>TCD!S68</f>
        <v>14</v>
      </c>
      <c r="M68" t="s">
        <v>266</v>
      </c>
      <c r="N68">
        <f t="shared" ref="N68:N131" si="3">N67</f>
        <v>0.2</v>
      </c>
      <c r="O68" s="15" t="str">
        <f>IF(TCD!N68=0,"",TCD!N68)</f>
        <v/>
      </c>
      <c r="P68" s="15" t="str">
        <f>IF(TCD!G68=0,"",TCD!G68)</f>
        <v/>
      </c>
      <c r="Q68" s="15" t="str">
        <f>IF(TCD!H68=0,"",TCD!H68)</f>
        <v/>
      </c>
      <c r="R68" s="15" t="str">
        <f>IF(TCD!I68=0,"",TCD!I68)</f>
        <v/>
      </c>
      <c r="S68" s="15" t="str">
        <f>IF(TCD!J68=0,"",TCD!J68)</f>
        <v/>
      </c>
      <c r="T68" s="15">
        <f>IF(TCD!K68=0,"",TCD!K68)</f>
        <v>33.85</v>
      </c>
      <c r="U68" s="15" t="str">
        <f>IF(TCD!L68=0,"",TCD!L68)</f>
        <v/>
      </c>
    </row>
    <row r="69" spans="1:21" x14ac:dyDescent="0.35">
      <c r="A69" t="s">
        <v>264</v>
      </c>
      <c r="B69" s="7">
        <f t="shared" si="2"/>
        <v>46174</v>
      </c>
      <c r="C69" t="str">
        <f>TCD!D69</f>
        <v>26A060332171</v>
      </c>
      <c r="F69" t="str">
        <f>TCD!C69</f>
        <v>EXP20260605-2783336</v>
      </c>
      <c r="G69" t="str">
        <f>TCD!E69</f>
        <v>DOMAINE PIETRI GERAUD SARL</v>
      </c>
      <c r="H69" t="s">
        <v>265</v>
      </c>
      <c r="I69" t="str">
        <f>TCD!F69</f>
        <v>FR</v>
      </c>
      <c r="J69" t="str">
        <f>TCD!V69</f>
        <v>21France66</v>
      </c>
      <c r="K69">
        <f>TCD!Q69</f>
        <v>1</v>
      </c>
      <c r="L69">
        <f>TCD!S69</f>
        <v>71</v>
      </c>
      <c r="M69" t="s">
        <v>266</v>
      </c>
      <c r="N69">
        <f t="shared" si="3"/>
        <v>0.2</v>
      </c>
      <c r="O69" s="15" t="str">
        <f>IF(TCD!N69=0,"",TCD!N69)</f>
        <v/>
      </c>
      <c r="P69" s="15" t="str">
        <f>IF(TCD!G69=0,"",TCD!G69)</f>
        <v/>
      </c>
      <c r="Q69" s="15" t="str">
        <f>IF(TCD!H69=0,"",TCD!H69)</f>
        <v/>
      </c>
      <c r="R69" s="15" t="str">
        <f>IF(TCD!I69=0,"",TCD!I69)</f>
        <v/>
      </c>
      <c r="S69" s="15" t="str">
        <f>IF(TCD!J69=0,"",TCD!J69)</f>
        <v/>
      </c>
      <c r="T69" s="15">
        <f>IF(TCD!K69=0,"",TCD!K69)</f>
        <v>57.19</v>
      </c>
      <c r="U69" s="15" t="str">
        <f>IF(TCD!L69=0,"",TCD!L69)</f>
        <v/>
      </c>
    </row>
    <row r="70" spans="1:21" x14ac:dyDescent="0.35">
      <c r="A70" t="s">
        <v>264</v>
      </c>
      <c r="B70" s="7">
        <f t="shared" si="2"/>
        <v>46174</v>
      </c>
      <c r="C70" t="str">
        <f>TCD!D70</f>
        <v>26A060332173</v>
      </c>
      <c r="F70" t="str">
        <f>TCD!C70</f>
        <v>EXP20260608-2785953</v>
      </c>
      <c r="G70" t="str">
        <f>TCD!E70</f>
        <v>EARL MONDOLONI Mondoloni Paul Antoi (ENTREPRISE)</v>
      </c>
      <c r="H70" t="s">
        <v>265</v>
      </c>
      <c r="I70" t="str">
        <f>TCD!F70</f>
        <v>FR</v>
      </c>
      <c r="J70" t="str">
        <f>TCD!V70</f>
        <v>21France13</v>
      </c>
      <c r="K70">
        <f>TCD!Q70</f>
        <v>1</v>
      </c>
      <c r="L70">
        <f>TCD!S70</f>
        <v>45</v>
      </c>
      <c r="M70" t="s">
        <v>266</v>
      </c>
      <c r="N70">
        <f t="shared" si="3"/>
        <v>0.2</v>
      </c>
      <c r="O70" s="15" t="str">
        <f>IF(TCD!N70=0,"",TCD!N70)</f>
        <v/>
      </c>
      <c r="P70" s="15" t="str">
        <f>IF(TCD!G70=0,"",TCD!G70)</f>
        <v/>
      </c>
      <c r="Q70" s="15">
        <f>IF(TCD!H70=0,"",TCD!H70)</f>
        <v>7</v>
      </c>
      <c r="R70" s="15" t="str">
        <f>IF(TCD!I70=0,"",TCD!I70)</f>
        <v/>
      </c>
      <c r="S70" s="15" t="str">
        <f>IF(TCD!J70=0,"",TCD!J70)</f>
        <v/>
      </c>
      <c r="T70" s="15">
        <f>IF(TCD!K70=0,"",TCD!K70)</f>
        <v>43.589999999999996</v>
      </c>
      <c r="U70" s="15" t="str">
        <f>IF(TCD!L70=0,"",TCD!L70)</f>
        <v/>
      </c>
    </row>
    <row r="71" spans="1:21" x14ac:dyDescent="0.35">
      <c r="A71" t="s">
        <v>264</v>
      </c>
      <c r="B71" s="7">
        <f t="shared" si="2"/>
        <v>46174</v>
      </c>
      <c r="C71" t="str">
        <f>TCD!D71</f>
        <v>26A060332178</v>
      </c>
      <c r="F71" t="str">
        <f>TCD!C71</f>
        <v>EXP20260608-2786159</v>
      </c>
      <c r="G71" t="str">
        <f>TCD!E71</f>
        <v>SCEA Chateau Beauregard Mirouze Nic (ENTREPRISE)</v>
      </c>
      <c r="H71" t="s">
        <v>265</v>
      </c>
      <c r="I71" t="str">
        <f>TCD!F71</f>
        <v>FR</v>
      </c>
      <c r="J71" t="str">
        <f>TCD!V71</f>
        <v>21France11</v>
      </c>
      <c r="K71">
        <f>TCD!Q71</f>
        <v>1</v>
      </c>
      <c r="L71">
        <f>TCD!S71</f>
        <v>34</v>
      </c>
      <c r="M71" t="s">
        <v>266</v>
      </c>
      <c r="N71">
        <f t="shared" si="3"/>
        <v>0.2</v>
      </c>
      <c r="O71" s="15" t="str">
        <f>IF(TCD!N71=0,"",TCD!N71)</f>
        <v/>
      </c>
      <c r="P71" s="15" t="str">
        <f>IF(TCD!G71=0,"",TCD!G71)</f>
        <v/>
      </c>
      <c r="Q71" s="15" t="str">
        <f>IF(TCD!H71=0,"",TCD!H71)</f>
        <v/>
      </c>
      <c r="R71" s="15" t="str">
        <f>IF(TCD!I71=0,"",TCD!I71)</f>
        <v/>
      </c>
      <c r="S71" s="15" t="str">
        <f>IF(TCD!J71=0,"",TCD!J71)</f>
        <v/>
      </c>
      <c r="T71" s="15">
        <f>IF(TCD!K71=0,"",TCD!K71)</f>
        <v>45.94</v>
      </c>
      <c r="U71" s="15" t="str">
        <f>IF(TCD!L71=0,"",TCD!L71)</f>
        <v/>
      </c>
    </row>
    <row r="72" spans="1:21" x14ac:dyDescent="0.35">
      <c r="A72" t="s">
        <v>264</v>
      </c>
      <c r="B72" s="7">
        <f t="shared" si="2"/>
        <v>46174</v>
      </c>
      <c r="C72" t="str">
        <f>TCD!D72</f>
        <v>26A060390332</v>
      </c>
      <c r="F72" t="str">
        <f>TCD!C72</f>
        <v>EXP20260608-2786160</v>
      </c>
      <c r="G72" t="str">
        <f>TCD!E72</f>
        <v>CASTEL FRERES BUDIN EMMANUEL (ENTREPRISE)</v>
      </c>
      <c r="H72" t="s">
        <v>265</v>
      </c>
      <c r="I72" t="str">
        <f>TCD!F72</f>
        <v>FR</v>
      </c>
      <c r="J72" t="str">
        <f>TCD!V72</f>
        <v>21France33</v>
      </c>
      <c r="K72">
        <f>TCD!Q72</f>
        <v>1</v>
      </c>
      <c r="L72">
        <f>TCD!S72</f>
        <v>138</v>
      </c>
      <c r="M72" t="s">
        <v>266</v>
      </c>
      <c r="N72">
        <f t="shared" si="3"/>
        <v>0.2</v>
      </c>
      <c r="O72" s="15" t="str">
        <f>IF(TCD!N72=0,"",TCD!N72)</f>
        <v/>
      </c>
      <c r="P72" s="15" t="str">
        <f>IF(TCD!G72=0,"",TCD!G72)</f>
        <v/>
      </c>
      <c r="Q72" s="15" t="str">
        <f>IF(TCD!H72=0,"",TCD!H72)</f>
        <v/>
      </c>
      <c r="R72" s="15" t="str">
        <f>IF(TCD!I72=0,"",TCD!I72)</f>
        <v/>
      </c>
      <c r="S72" s="15" t="str">
        <f>IF(TCD!J72=0,"",TCD!J72)</f>
        <v/>
      </c>
      <c r="T72" s="15">
        <f>IF(TCD!K72=0,"",TCD!K72)</f>
        <v>80.900000000000006</v>
      </c>
      <c r="U72" s="15" t="str">
        <f>IF(TCD!L72=0,"",TCD!L72)</f>
        <v/>
      </c>
    </row>
    <row r="73" spans="1:21" x14ac:dyDescent="0.35">
      <c r="A73" t="s">
        <v>264</v>
      </c>
      <c r="B73" s="7">
        <f t="shared" si="2"/>
        <v>46174</v>
      </c>
      <c r="C73" t="str">
        <f>TCD!D73</f>
        <v>26A060390346</v>
      </c>
      <c r="F73" t="str">
        <f>TCD!C73</f>
        <v>EXP20260608-2786161</v>
      </c>
      <c r="G73" t="str">
        <f>TCD!E73</f>
        <v>Logistique Albert Bichot KRONE Typh (ENTREPRISE)</v>
      </c>
      <c r="H73" t="s">
        <v>265</v>
      </c>
      <c r="I73" t="str">
        <f>TCD!F73</f>
        <v>FR</v>
      </c>
      <c r="J73" t="str">
        <f>TCD!V73</f>
        <v>21France21</v>
      </c>
      <c r="K73">
        <f>TCD!Q73</f>
        <v>1</v>
      </c>
      <c r="L73">
        <f>TCD!S73</f>
        <v>114</v>
      </c>
      <c r="M73" t="s">
        <v>266</v>
      </c>
      <c r="N73">
        <f t="shared" si="3"/>
        <v>0.2</v>
      </c>
      <c r="O73" s="15" t="str">
        <f>IF(TCD!N73=0,"",TCD!N73)</f>
        <v/>
      </c>
      <c r="P73" s="15" t="str">
        <f>IF(TCD!G73=0,"",TCD!G73)</f>
        <v/>
      </c>
      <c r="Q73" s="15" t="str">
        <f>IF(TCD!H73=0,"",TCD!H73)</f>
        <v/>
      </c>
      <c r="R73" s="15" t="str">
        <f>IF(TCD!I73=0,"",TCD!I73)</f>
        <v/>
      </c>
      <c r="S73" s="15" t="str">
        <f>IF(TCD!J73=0,"",TCD!J73)</f>
        <v/>
      </c>
      <c r="T73" s="15">
        <f>IF(TCD!K73=0,"",TCD!K73)</f>
        <v>30.97</v>
      </c>
      <c r="U73" s="15" t="str">
        <f>IF(TCD!L73=0,"",TCD!L73)</f>
        <v/>
      </c>
    </row>
    <row r="74" spans="1:21" x14ac:dyDescent="0.35">
      <c r="A74" t="s">
        <v>264</v>
      </c>
      <c r="B74" s="7">
        <f t="shared" si="2"/>
        <v>46174</v>
      </c>
      <c r="C74" t="str">
        <f>TCD!D74</f>
        <v>26A060390334</v>
      </c>
      <c r="F74" t="str">
        <f>TCD!C74</f>
        <v>EXP20260608-2787012</v>
      </c>
      <c r="G74" t="str">
        <f>TCD!E74</f>
        <v>SCEA CHATEAU DE L'ENGARRAN Diane LO (ENTREPRISE)</v>
      </c>
      <c r="H74" t="s">
        <v>265</v>
      </c>
      <c r="I74" t="str">
        <f>TCD!F74</f>
        <v>FR</v>
      </c>
      <c r="J74" t="str">
        <f>TCD!V74</f>
        <v>21France34</v>
      </c>
      <c r="K74">
        <f>TCD!Q74</f>
        <v>1</v>
      </c>
      <c r="L74">
        <f>TCD!S74</f>
        <v>161</v>
      </c>
      <c r="M74" t="s">
        <v>266</v>
      </c>
      <c r="N74">
        <f t="shared" si="3"/>
        <v>0.2</v>
      </c>
      <c r="O74" s="15" t="str">
        <f>IF(TCD!N74=0,"",TCD!N74)</f>
        <v/>
      </c>
      <c r="P74" s="15" t="str">
        <f>IF(TCD!G74=0,"",TCD!G74)</f>
        <v/>
      </c>
      <c r="Q74" s="15" t="str">
        <f>IF(TCD!H74=0,"",TCD!H74)</f>
        <v/>
      </c>
      <c r="R74" s="15" t="str">
        <f>IF(TCD!I74=0,"",TCD!I74)</f>
        <v/>
      </c>
      <c r="S74" s="15" t="str">
        <f>IF(TCD!J74=0,"",TCD!J74)</f>
        <v/>
      </c>
      <c r="T74" s="15">
        <f>IF(TCD!K74=0,"",TCD!K74)</f>
        <v>73.460000000000008</v>
      </c>
      <c r="U74" s="15" t="str">
        <f>IF(TCD!L74=0,"",TCD!L74)</f>
        <v/>
      </c>
    </row>
    <row r="75" spans="1:21" x14ac:dyDescent="0.35">
      <c r="A75" t="s">
        <v>264</v>
      </c>
      <c r="B75" s="7">
        <f t="shared" si="2"/>
        <v>46174</v>
      </c>
      <c r="C75" t="str">
        <f>TCD!D75</f>
        <v>26A060390364</v>
      </c>
      <c r="F75" t="str">
        <f>TCD!C75</f>
        <v>EXP20260608-2787173</v>
      </c>
      <c r="G75" t="str">
        <f>TCD!E75</f>
        <v>SARL GUILLER MONTABONNET GUILLER IS (ENTREPRISE)</v>
      </c>
      <c r="H75" t="s">
        <v>265</v>
      </c>
      <c r="I75" t="str">
        <f>TCD!F75</f>
        <v>FR</v>
      </c>
      <c r="J75" t="str">
        <f>TCD!V75</f>
        <v>21France69</v>
      </c>
      <c r="K75">
        <f>TCD!Q75</f>
        <v>1</v>
      </c>
      <c r="L75">
        <f>TCD!S75</f>
        <v>66</v>
      </c>
      <c r="M75" t="s">
        <v>266</v>
      </c>
      <c r="N75">
        <f t="shared" si="3"/>
        <v>0.2</v>
      </c>
      <c r="O75" s="15" t="str">
        <f>IF(TCD!N75=0,"",TCD!N75)</f>
        <v/>
      </c>
      <c r="P75" s="15" t="str">
        <f>IF(TCD!G75=0,"",TCD!G75)</f>
        <v/>
      </c>
      <c r="Q75" s="15" t="str">
        <f>IF(TCD!H75=0,"",TCD!H75)</f>
        <v/>
      </c>
      <c r="R75" s="15" t="str">
        <f>IF(TCD!I75=0,"",TCD!I75)</f>
        <v/>
      </c>
      <c r="S75" s="15" t="str">
        <f>IF(TCD!J75=0,"",TCD!J75)</f>
        <v/>
      </c>
      <c r="T75" s="15">
        <f>IF(TCD!K75=0,"",TCD!K75)</f>
        <v>29.9</v>
      </c>
      <c r="U75" s="15" t="str">
        <f>IF(TCD!L75=0,"",TCD!L75)</f>
        <v/>
      </c>
    </row>
    <row r="76" spans="1:21" x14ac:dyDescent="0.35">
      <c r="A76" t="s">
        <v>264</v>
      </c>
      <c r="B76" s="7">
        <f t="shared" si="2"/>
        <v>46174</v>
      </c>
      <c r="C76" t="str">
        <f>TCD!D76</f>
        <v>26A060390340</v>
      </c>
      <c r="F76" t="str">
        <f>TCD!C76</f>
        <v>EXP20260608-2787224</v>
      </c>
      <c r="G76" t="str">
        <f>TCD!E76</f>
        <v>SCEA JEROME BRETAUDEAU Jerome BRETA (ENTREPRISE)</v>
      </c>
      <c r="H76" t="s">
        <v>265</v>
      </c>
      <c r="I76" t="str">
        <f>TCD!F76</f>
        <v>FR</v>
      </c>
      <c r="J76" t="str">
        <f>TCD!V76</f>
        <v>21France44</v>
      </c>
      <c r="K76">
        <f>TCD!Q76</f>
        <v>1</v>
      </c>
      <c r="L76">
        <f>TCD!S76</f>
        <v>231</v>
      </c>
      <c r="M76" t="s">
        <v>266</v>
      </c>
      <c r="N76">
        <f t="shared" si="3"/>
        <v>0.2</v>
      </c>
      <c r="O76" s="15" t="str">
        <f>IF(TCD!N76=0,"",TCD!N76)</f>
        <v/>
      </c>
      <c r="P76" s="15" t="str">
        <f>IF(TCD!G76=0,"",TCD!G76)</f>
        <v/>
      </c>
      <c r="Q76" s="15" t="str">
        <f>IF(TCD!H76=0,"",TCD!H76)</f>
        <v/>
      </c>
      <c r="R76" s="15" t="str">
        <f>IF(TCD!I76=0,"",TCD!I76)</f>
        <v/>
      </c>
      <c r="S76" s="15" t="str">
        <f>IF(TCD!J76=0,"",TCD!J76)</f>
        <v/>
      </c>
      <c r="T76" s="15">
        <f>IF(TCD!K76=0,"",TCD!K76)</f>
        <v>85.700000000000017</v>
      </c>
      <c r="U76" s="15" t="str">
        <f>IF(TCD!L76=0,"",TCD!L76)</f>
        <v/>
      </c>
    </row>
    <row r="77" spans="1:21" x14ac:dyDescent="0.35">
      <c r="A77" t="s">
        <v>264</v>
      </c>
      <c r="B77" s="7">
        <f t="shared" si="2"/>
        <v>46174</v>
      </c>
      <c r="C77" t="str">
        <f>TCD!D77</f>
        <v>26A060390331</v>
      </c>
      <c r="F77" t="str">
        <f>TCD!C77</f>
        <v>EXP20260609-2788027</v>
      </c>
      <c r="G77" t="str">
        <f>TCD!E77</f>
        <v>MAS LAU BAGNOL Laurent (ENTREPRISE)</v>
      </c>
      <c r="H77" t="s">
        <v>265</v>
      </c>
      <c r="I77" t="str">
        <f>TCD!F77</f>
        <v>FR</v>
      </c>
      <c r="J77" t="str">
        <f>TCD!V77</f>
        <v>21France30</v>
      </c>
      <c r="K77">
        <f>TCD!Q77</f>
        <v>1</v>
      </c>
      <c r="L77">
        <f>TCD!S77</f>
        <v>85</v>
      </c>
      <c r="M77" t="s">
        <v>266</v>
      </c>
      <c r="N77">
        <f t="shared" si="3"/>
        <v>0.2</v>
      </c>
      <c r="O77" s="15" t="str">
        <f>IF(TCD!N77=0,"",TCD!N77)</f>
        <v/>
      </c>
      <c r="P77" s="15" t="str">
        <f>IF(TCD!G77=0,"",TCD!G77)</f>
        <v/>
      </c>
      <c r="Q77" s="15" t="str">
        <f>IF(TCD!H77=0,"",TCD!H77)</f>
        <v/>
      </c>
      <c r="R77" s="15" t="str">
        <f>IF(TCD!I77=0,"",TCD!I77)</f>
        <v/>
      </c>
      <c r="S77" s="15" t="str">
        <f>IF(TCD!J77=0,"",TCD!J77)</f>
        <v/>
      </c>
      <c r="T77" s="15">
        <f>IF(TCD!K77=0,"",TCD!K77)</f>
        <v>51.74</v>
      </c>
      <c r="U77" s="15" t="str">
        <f>IF(TCD!L77=0,"",TCD!L77)</f>
        <v/>
      </c>
    </row>
    <row r="78" spans="1:21" x14ac:dyDescent="0.35">
      <c r="A78" t="s">
        <v>264</v>
      </c>
      <c r="B78" s="7">
        <f t="shared" si="2"/>
        <v>46174</v>
      </c>
      <c r="C78" t="str">
        <f>TCD!D78</f>
        <v>26A060390333</v>
      </c>
      <c r="F78" t="str">
        <f>TCD!C78</f>
        <v>EXP20260609-2788058</v>
      </c>
      <c r="G78" t="str">
        <f>TCD!E78</f>
        <v>Les Vignobles Chatenet-Goujon CHATE (ENTREPRISE)</v>
      </c>
      <c r="H78" t="s">
        <v>265</v>
      </c>
      <c r="I78" t="str">
        <f>TCD!F78</f>
        <v>FR</v>
      </c>
      <c r="J78" t="str">
        <f>TCD!V78</f>
        <v>21France33</v>
      </c>
      <c r="K78">
        <f>TCD!Q78</f>
        <v>1</v>
      </c>
      <c r="L78">
        <f>TCD!S78</f>
        <v>118</v>
      </c>
      <c r="M78" t="s">
        <v>266</v>
      </c>
      <c r="N78">
        <f t="shared" si="3"/>
        <v>0.2</v>
      </c>
      <c r="O78" s="15" t="str">
        <f>IF(TCD!N78=0,"",TCD!N78)</f>
        <v/>
      </c>
      <c r="P78" s="15" t="str">
        <f>IF(TCD!G78=0,"",TCD!G78)</f>
        <v/>
      </c>
      <c r="Q78" s="15" t="str">
        <f>IF(TCD!H78=0,"",TCD!H78)</f>
        <v/>
      </c>
      <c r="R78" s="15" t="str">
        <f>IF(TCD!I78=0,"",TCD!I78)</f>
        <v/>
      </c>
      <c r="S78" s="15" t="str">
        <f>IF(TCD!J78=0,"",TCD!J78)</f>
        <v/>
      </c>
      <c r="T78" s="15">
        <f>IF(TCD!K78=0,"",TCD!K78)</f>
        <v>69.650000000000006</v>
      </c>
      <c r="U78" s="15" t="str">
        <f>IF(TCD!L78=0,"",TCD!L78)</f>
        <v/>
      </c>
    </row>
    <row r="79" spans="1:21" x14ac:dyDescent="0.35">
      <c r="A79" t="s">
        <v>264</v>
      </c>
      <c r="B79" s="7">
        <f t="shared" si="2"/>
        <v>46174</v>
      </c>
      <c r="C79" t="str">
        <f>TCD!D79</f>
        <v>26A060390353</v>
      </c>
      <c r="F79" t="str">
        <f>TCD!C79</f>
        <v>EXP20260609-2788554</v>
      </c>
      <c r="G79" t="str">
        <f>TCD!E79</f>
        <v>LA PALETTE MASSIE WILLIAM (ENTREPRISE)</v>
      </c>
      <c r="H79" t="s">
        <v>265</v>
      </c>
      <c r="I79" t="str">
        <f>TCD!F79</f>
        <v>FR</v>
      </c>
      <c r="J79" t="str">
        <f>TCD!V79</f>
        <v>21France33</v>
      </c>
      <c r="K79">
        <f>TCD!Q79</f>
        <v>2</v>
      </c>
      <c r="L79">
        <f>TCD!S79</f>
        <v>193</v>
      </c>
      <c r="M79" t="s">
        <v>266</v>
      </c>
      <c r="N79">
        <f t="shared" si="3"/>
        <v>0.2</v>
      </c>
      <c r="O79" s="15" t="str">
        <f>IF(TCD!N79=0,"",TCD!N79)</f>
        <v/>
      </c>
      <c r="P79" s="15" t="str">
        <f>IF(TCD!G79=0,"",TCD!G79)</f>
        <v/>
      </c>
      <c r="Q79" s="15" t="str">
        <f>IF(TCD!H79=0,"",TCD!H79)</f>
        <v/>
      </c>
      <c r="R79" s="15" t="str">
        <f>IF(TCD!I79=0,"",TCD!I79)</f>
        <v/>
      </c>
      <c r="S79" s="15" t="str">
        <f>IF(TCD!J79=0,"",TCD!J79)</f>
        <v/>
      </c>
      <c r="T79" s="15">
        <f>IF(TCD!K79=0,"",TCD!K79)</f>
        <v>161.72999999999999</v>
      </c>
      <c r="U79" s="15" t="str">
        <f>IF(TCD!L79=0,"",TCD!L79)</f>
        <v/>
      </c>
    </row>
    <row r="80" spans="1:21" x14ac:dyDescent="0.35">
      <c r="A80" t="s">
        <v>264</v>
      </c>
      <c r="B80" s="7">
        <f t="shared" si="2"/>
        <v>46174</v>
      </c>
      <c r="C80" t="str">
        <f>TCD!D80</f>
        <v>26A060390338</v>
      </c>
      <c r="F80" t="str">
        <f>TCD!C80</f>
        <v>EXP20260609-2788555</v>
      </c>
      <c r="G80" t="str">
        <f>TCD!E80</f>
        <v>Vignobles Vins de Blanville Robert (ENTREPRISE)</v>
      </c>
      <c r="H80" t="s">
        <v>265</v>
      </c>
      <c r="I80" t="str">
        <f>TCD!F80</f>
        <v>FR</v>
      </c>
      <c r="J80" t="str">
        <f>TCD!V80</f>
        <v>21France34</v>
      </c>
      <c r="K80">
        <f>TCD!Q80</f>
        <v>1</v>
      </c>
      <c r="L80">
        <f>TCD!S80</f>
        <v>58</v>
      </c>
      <c r="M80" t="s">
        <v>266</v>
      </c>
      <c r="N80">
        <f t="shared" si="3"/>
        <v>0.2</v>
      </c>
      <c r="O80" s="15" t="str">
        <f>IF(TCD!N80=0,"",TCD!N80)</f>
        <v/>
      </c>
      <c r="P80" s="15" t="str">
        <f>IF(TCD!G80=0,"",TCD!G80)</f>
        <v/>
      </c>
      <c r="Q80" s="15" t="str">
        <f>IF(TCD!H80=0,"",TCD!H80)</f>
        <v/>
      </c>
      <c r="R80" s="15" t="str">
        <f>IF(TCD!I80=0,"",TCD!I80)</f>
        <v/>
      </c>
      <c r="S80" s="15" t="str">
        <f>IF(TCD!J80=0,"",TCD!J80)</f>
        <v/>
      </c>
      <c r="T80" s="15">
        <f>IF(TCD!K80=0,"",TCD!K80)</f>
        <v>45.999999999999993</v>
      </c>
      <c r="U80" s="15" t="str">
        <f>IF(TCD!L80=0,"",TCD!L80)</f>
        <v/>
      </c>
    </row>
    <row r="81" spans="1:21" x14ac:dyDescent="0.35">
      <c r="A81" t="s">
        <v>264</v>
      </c>
      <c r="B81" s="7">
        <f t="shared" si="2"/>
        <v>46174</v>
      </c>
      <c r="C81" t="str">
        <f>TCD!D81</f>
        <v>26A060390366</v>
      </c>
      <c r="F81" t="str">
        <f>TCD!C81</f>
        <v>EXP20260609-2788711</v>
      </c>
      <c r="G81" t="str">
        <f>TCD!E81</f>
        <v>CHATEAU INTERNET Guillaume DU FOUSS (ENTREPRISE)</v>
      </c>
      <c r="H81" t="s">
        <v>265</v>
      </c>
      <c r="I81" t="str">
        <f>TCD!F81</f>
        <v>FR</v>
      </c>
      <c r="J81" t="str">
        <f>TCD!V81</f>
        <v>21France33</v>
      </c>
      <c r="K81">
        <f>TCD!Q81</f>
        <v>1</v>
      </c>
      <c r="L81">
        <f>TCD!S81</f>
        <v>154</v>
      </c>
      <c r="M81" t="s">
        <v>266</v>
      </c>
      <c r="N81">
        <f t="shared" si="3"/>
        <v>0.2</v>
      </c>
      <c r="O81" s="15" t="str">
        <f>IF(TCD!N81=0,"",TCD!N81)</f>
        <v/>
      </c>
      <c r="P81" s="15" t="str">
        <f>IF(TCD!G81=0,"",TCD!G81)</f>
        <v/>
      </c>
      <c r="Q81" s="15" t="str">
        <f>IF(TCD!H81=0,"",TCD!H81)</f>
        <v/>
      </c>
      <c r="R81" s="15" t="str">
        <f>IF(TCD!I81=0,"",TCD!I81)</f>
        <v/>
      </c>
      <c r="S81" s="15" t="str">
        <f>IF(TCD!J81=0,"",TCD!J81)</f>
        <v/>
      </c>
      <c r="T81" s="15">
        <f>IF(TCD!K81=0,"",TCD!K81)</f>
        <v>81.950000000000017</v>
      </c>
      <c r="U81" s="15" t="str">
        <f>IF(TCD!L81=0,"",TCD!L81)</f>
        <v/>
      </c>
    </row>
    <row r="82" spans="1:21" x14ac:dyDescent="0.35">
      <c r="A82" t="s">
        <v>264</v>
      </c>
      <c r="B82" s="7">
        <f t="shared" si="2"/>
        <v>46174</v>
      </c>
      <c r="C82" t="str">
        <f>TCD!D82</f>
        <v>26A060390357</v>
      </c>
      <c r="F82" t="str">
        <f>TCD!C82</f>
        <v>EXP20260609-2788712</v>
      </c>
      <c r="G82" t="str">
        <f>TCD!E82</f>
        <v>EI CHOTARD SEBASTIEN CHOTARD Sebast (ENTREPRISE)</v>
      </c>
      <c r="H82" t="s">
        <v>265</v>
      </c>
      <c r="I82" t="str">
        <f>TCD!F82</f>
        <v>FR</v>
      </c>
      <c r="J82" t="str">
        <f>TCD!V82</f>
        <v>21France78</v>
      </c>
      <c r="K82">
        <f>TCD!Q82</f>
        <v>1</v>
      </c>
      <c r="L82">
        <f>TCD!S82</f>
        <v>33</v>
      </c>
      <c r="M82" t="s">
        <v>266</v>
      </c>
      <c r="N82">
        <f t="shared" si="3"/>
        <v>0.2</v>
      </c>
      <c r="O82" s="15" t="str">
        <f>IF(TCD!N82=0,"",TCD!N82)</f>
        <v/>
      </c>
      <c r="P82" s="15" t="str">
        <f>IF(TCD!G82=0,"",TCD!G82)</f>
        <v/>
      </c>
      <c r="Q82" s="15" t="str">
        <f>IF(TCD!H82=0,"",TCD!H82)</f>
        <v/>
      </c>
      <c r="R82" s="15" t="str">
        <f>IF(TCD!I82=0,"",TCD!I82)</f>
        <v/>
      </c>
      <c r="S82" s="15" t="str">
        <f>IF(TCD!J82=0,"",TCD!J82)</f>
        <v/>
      </c>
      <c r="T82" s="15">
        <f>IF(TCD!K82=0,"",TCD!K82)</f>
        <v>36.46</v>
      </c>
      <c r="U82" s="15" t="str">
        <f>IF(TCD!L82=0,"",TCD!L82)</f>
        <v/>
      </c>
    </row>
    <row r="83" spans="1:21" x14ac:dyDescent="0.35">
      <c r="A83" t="s">
        <v>264</v>
      </c>
      <c r="B83" s="7">
        <f t="shared" si="2"/>
        <v>46174</v>
      </c>
      <c r="C83" t="str">
        <f>TCD!D83</f>
        <v>26A060390358</v>
      </c>
      <c r="F83" t="str">
        <f>TCD!C83</f>
        <v>EXP20260609-2788763</v>
      </c>
      <c r="G83" t="str">
        <f>TCD!E83</f>
        <v>Domaine Les Genets Marcel Thierry (ENTREPRISE)</v>
      </c>
      <c r="H83" t="s">
        <v>265</v>
      </c>
      <c r="I83" t="str">
        <f>TCD!F83</f>
        <v>FR</v>
      </c>
      <c r="J83" t="str">
        <f>TCD!V83</f>
        <v>21France26</v>
      </c>
      <c r="K83">
        <f>TCD!Q83</f>
        <v>1</v>
      </c>
      <c r="L83">
        <f>TCD!S83</f>
        <v>143</v>
      </c>
      <c r="M83" t="s">
        <v>266</v>
      </c>
      <c r="N83">
        <f t="shared" si="3"/>
        <v>0.2</v>
      </c>
      <c r="O83" s="15" t="str">
        <f>IF(TCD!N83=0,"",TCD!N83)</f>
        <v/>
      </c>
      <c r="P83" s="15" t="str">
        <f>IF(TCD!G83=0,"",TCD!G83)</f>
        <v/>
      </c>
      <c r="Q83" s="15" t="str">
        <f>IF(TCD!H83=0,"",TCD!H83)</f>
        <v/>
      </c>
      <c r="R83" s="15" t="str">
        <f>IF(TCD!I83=0,"",TCD!I83)</f>
        <v/>
      </c>
      <c r="S83" s="15" t="str">
        <f>IF(TCD!J83=0,"",TCD!J83)</f>
        <v/>
      </c>
      <c r="T83" s="15">
        <f>IF(TCD!K83=0,"",TCD!K83)</f>
        <v>52.42</v>
      </c>
      <c r="U83" s="15" t="str">
        <f>IF(TCD!L83=0,"",TCD!L83)</f>
        <v/>
      </c>
    </row>
    <row r="84" spans="1:21" x14ac:dyDescent="0.35">
      <c r="A84" t="s">
        <v>264</v>
      </c>
      <c r="B84" s="7">
        <f t="shared" si="2"/>
        <v>46174</v>
      </c>
      <c r="C84" t="str">
        <f>TCD!D84</f>
        <v>26A060390335</v>
      </c>
      <c r="F84" t="str">
        <f>TCD!C84</f>
        <v>EXP20260609-2788973</v>
      </c>
      <c r="G84" t="str">
        <f>TCD!E84</f>
        <v>EARL DOMAINE DE BROUSSE BOISSEL AMA (ENTREPRISE)</v>
      </c>
      <c r="H84" t="s">
        <v>265</v>
      </c>
      <c r="I84" t="str">
        <f>TCD!F84</f>
        <v>FR</v>
      </c>
      <c r="J84" t="str">
        <f>TCD!V84</f>
        <v>21France81</v>
      </c>
      <c r="K84">
        <f>TCD!Q84</f>
        <v>1</v>
      </c>
      <c r="L84">
        <f>TCD!S84</f>
        <v>132</v>
      </c>
      <c r="M84" t="s">
        <v>266</v>
      </c>
      <c r="N84">
        <f t="shared" si="3"/>
        <v>0.2</v>
      </c>
      <c r="O84" s="15" t="str">
        <f>IF(TCD!N84=0,"",TCD!N84)</f>
        <v/>
      </c>
      <c r="P84" s="15" t="str">
        <f>IF(TCD!G84=0,"",TCD!G84)</f>
        <v/>
      </c>
      <c r="Q84" s="15" t="str">
        <f>IF(TCD!H84=0,"",TCD!H84)</f>
        <v/>
      </c>
      <c r="R84" s="15" t="str">
        <f>IF(TCD!I84=0,"",TCD!I84)</f>
        <v/>
      </c>
      <c r="S84" s="15" t="str">
        <f>IF(TCD!J84=0,"",TCD!J84)</f>
        <v/>
      </c>
      <c r="T84" s="15">
        <f>IF(TCD!K84=0,"",TCD!K84)</f>
        <v>72.63000000000001</v>
      </c>
      <c r="U84" s="15" t="str">
        <f>IF(TCD!L84=0,"",TCD!L84)</f>
        <v/>
      </c>
    </row>
    <row r="85" spans="1:21" x14ac:dyDescent="0.35">
      <c r="A85" t="s">
        <v>264</v>
      </c>
      <c r="B85" s="7">
        <f t="shared" si="2"/>
        <v>46174</v>
      </c>
      <c r="C85" t="str">
        <f>TCD!D85</f>
        <v>26A060390355</v>
      </c>
      <c r="F85" t="str">
        <f>TCD!C85</f>
        <v>EXP20260609-2788974</v>
      </c>
      <c r="G85" t="str">
        <f>TCD!E85</f>
        <v>Mon Caviste Logistique Alain BARDET (ENTREPRISE)</v>
      </c>
      <c r="H85" t="s">
        <v>265</v>
      </c>
      <c r="I85" t="str">
        <f>TCD!F85</f>
        <v>FR</v>
      </c>
      <c r="J85" t="str">
        <f>TCD!V85</f>
        <v>21France91</v>
      </c>
      <c r="K85">
        <f>TCD!Q85</f>
        <v>2</v>
      </c>
      <c r="L85">
        <f>TCD!S85</f>
        <v>222</v>
      </c>
      <c r="M85" t="s">
        <v>266</v>
      </c>
      <c r="N85">
        <f t="shared" si="3"/>
        <v>0.2</v>
      </c>
      <c r="O85" s="15" t="str">
        <f>IF(TCD!N85=0,"",TCD!N85)</f>
        <v/>
      </c>
      <c r="P85" s="15" t="str">
        <f>IF(TCD!G85=0,"",TCD!G85)</f>
        <v/>
      </c>
      <c r="Q85" s="15" t="str">
        <f>IF(TCD!H85=0,"",TCD!H85)</f>
        <v/>
      </c>
      <c r="R85" s="15" t="str">
        <f>IF(TCD!I85=0,"",TCD!I85)</f>
        <v/>
      </c>
      <c r="S85" s="15" t="str">
        <f>IF(TCD!J85=0,"",TCD!J85)</f>
        <v/>
      </c>
      <c r="T85" s="15">
        <f>IF(TCD!K85=0,"",TCD!K85)</f>
        <v>114.36</v>
      </c>
      <c r="U85" s="15" t="str">
        <f>IF(TCD!L85=0,"",TCD!L85)</f>
        <v/>
      </c>
    </row>
    <row r="86" spans="1:21" x14ac:dyDescent="0.35">
      <c r="A86" t="s">
        <v>264</v>
      </c>
      <c r="B86" s="7">
        <f t="shared" si="2"/>
        <v>46174</v>
      </c>
      <c r="C86" t="str">
        <f>TCD!D86</f>
        <v>26A060390349</v>
      </c>
      <c r="F86" t="str">
        <f>TCD!C86</f>
        <v>EXP20260609-2789032</v>
      </c>
      <c r="G86" t="str">
        <f>TCD!E86</f>
        <v>Maison de la Chapelle VIENNOIS Delp (ENTREPRISE)</v>
      </c>
      <c r="H86" t="s">
        <v>265</v>
      </c>
      <c r="I86" t="str">
        <f>TCD!F86</f>
        <v>FR</v>
      </c>
      <c r="J86" t="str">
        <f>TCD!V86</f>
        <v>21France89</v>
      </c>
      <c r="K86">
        <f>TCD!Q86</f>
        <v>1</v>
      </c>
      <c r="L86">
        <f>TCD!S86</f>
        <v>52</v>
      </c>
      <c r="M86" t="s">
        <v>266</v>
      </c>
      <c r="N86">
        <f t="shared" si="3"/>
        <v>0.2</v>
      </c>
      <c r="O86" s="15" t="str">
        <f>IF(TCD!N86=0,"",TCD!N86)</f>
        <v/>
      </c>
      <c r="P86" s="15" t="str">
        <f>IF(TCD!G86=0,"",TCD!G86)</f>
        <v/>
      </c>
      <c r="Q86" s="15" t="str">
        <f>IF(TCD!H86=0,"",TCD!H86)</f>
        <v/>
      </c>
      <c r="R86" s="15" t="str">
        <f>IF(TCD!I86=0,"",TCD!I86)</f>
        <v/>
      </c>
      <c r="S86" s="15" t="str">
        <f>IF(TCD!J86=0,"",TCD!J86)</f>
        <v/>
      </c>
      <c r="T86" s="15">
        <f>IF(TCD!K86=0,"",TCD!K86)</f>
        <v>28.779999999999998</v>
      </c>
      <c r="U86" s="15" t="str">
        <f>IF(TCD!L86=0,"",TCD!L86)</f>
        <v/>
      </c>
    </row>
    <row r="87" spans="1:21" x14ac:dyDescent="0.35">
      <c r="A87" t="s">
        <v>264</v>
      </c>
      <c r="B87" s="7">
        <f t="shared" si="2"/>
        <v>46174</v>
      </c>
      <c r="C87" t="str">
        <f>TCD!D87</f>
        <v>26A060390360</v>
      </c>
      <c r="F87" t="str">
        <f>TCD!C87</f>
        <v>EXP20260609-2789083</v>
      </c>
      <c r="G87" t="str">
        <f>TCD!E87</f>
        <v>S.C.A.S Maison des Vignerons BOUTIN (ENTREPRISE)</v>
      </c>
      <c r="H87" t="s">
        <v>265</v>
      </c>
      <c r="I87" t="str">
        <f>TCD!F87</f>
        <v>FR</v>
      </c>
      <c r="J87" t="str">
        <f>TCD!V87</f>
        <v>21France84</v>
      </c>
      <c r="K87">
        <f>TCD!Q87</f>
        <v>2</v>
      </c>
      <c r="L87">
        <f>TCD!S87</f>
        <v>316</v>
      </c>
      <c r="M87" t="s">
        <v>266</v>
      </c>
      <c r="N87">
        <f t="shared" si="3"/>
        <v>0.2</v>
      </c>
      <c r="O87" s="15" t="str">
        <f>IF(TCD!N87=0,"",TCD!N87)</f>
        <v/>
      </c>
      <c r="P87" s="15" t="str">
        <f>IF(TCD!G87=0,"",TCD!G87)</f>
        <v/>
      </c>
      <c r="Q87" s="15" t="str">
        <f>IF(TCD!H87=0,"",TCD!H87)</f>
        <v/>
      </c>
      <c r="R87" s="15" t="str">
        <f>IF(TCD!I87=0,"",TCD!I87)</f>
        <v/>
      </c>
      <c r="S87" s="15" t="str">
        <f>IF(TCD!J87=0,"",TCD!J87)</f>
        <v/>
      </c>
      <c r="T87" s="15">
        <f>IF(TCD!K87=0,"",TCD!K87)</f>
        <v>134.85</v>
      </c>
      <c r="U87" s="15" t="str">
        <f>IF(TCD!L87=0,"",TCD!L87)</f>
        <v/>
      </c>
    </row>
    <row r="88" spans="1:21" x14ac:dyDescent="0.35">
      <c r="A88" t="s">
        <v>264</v>
      </c>
      <c r="B88" s="7">
        <f t="shared" si="2"/>
        <v>46174</v>
      </c>
      <c r="C88" t="str">
        <f>TCD!D88</f>
        <v>26A060390351</v>
      </c>
      <c r="F88" t="str">
        <f>TCD!C88</f>
        <v>EXP20260609-2789150</v>
      </c>
      <c r="G88" t="str">
        <f>TCD!E88</f>
        <v>SARL TRESBAUDON Olivier Ricard (ENTREPRISE)</v>
      </c>
      <c r="H88" t="s">
        <v>265</v>
      </c>
      <c r="I88" t="str">
        <f>TCD!F88</f>
        <v>FR</v>
      </c>
      <c r="J88" t="str">
        <f>TCD!V88</f>
        <v>21France05</v>
      </c>
      <c r="K88">
        <f>TCD!Q88</f>
        <v>2</v>
      </c>
      <c r="L88">
        <f>TCD!S88</f>
        <v>231</v>
      </c>
      <c r="M88" t="s">
        <v>266</v>
      </c>
      <c r="N88">
        <f t="shared" si="3"/>
        <v>0.2</v>
      </c>
      <c r="O88" s="15" t="str">
        <f>IF(TCD!N88=0,"",TCD!N88)</f>
        <v/>
      </c>
      <c r="P88" s="15" t="str">
        <f>IF(TCD!G88=0,"",TCD!G88)</f>
        <v/>
      </c>
      <c r="Q88" s="15" t="str">
        <f>IF(TCD!H88=0,"",TCD!H88)</f>
        <v/>
      </c>
      <c r="R88" s="15" t="str">
        <f>IF(TCD!I88=0,"",TCD!I88)</f>
        <v/>
      </c>
      <c r="S88" s="15" t="str">
        <f>IF(TCD!J88=0,"",TCD!J88)</f>
        <v/>
      </c>
      <c r="T88" s="15">
        <f>IF(TCD!K88=0,"",TCD!K88)</f>
        <v>110.42</v>
      </c>
      <c r="U88" s="15" t="str">
        <f>IF(TCD!L88=0,"",TCD!L88)</f>
        <v/>
      </c>
    </row>
    <row r="89" spans="1:21" x14ac:dyDescent="0.35">
      <c r="A89" t="s">
        <v>264</v>
      </c>
      <c r="B89" s="7">
        <f t="shared" si="2"/>
        <v>46174</v>
      </c>
      <c r="C89" t="str">
        <f>TCD!D89</f>
        <v>26A060390344</v>
      </c>
      <c r="F89" t="str">
        <f>TCD!C89</f>
        <v>EXP20260609-2789151</v>
      </c>
      <c r="G89" t="str">
        <f>TCD!E89</f>
        <v>La Mondiale Grands Crus Bertrand DE (ENTREPRISE)</v>
      </c>
      <c r="H89" t="s">
        <v>265</v>
      </c>
      <c r="I89" t="str">
        <f>TCD!F89</f>
        <v>FR</v>
      </c>
      <c r="J89" t="str">
        <f>TCD!V89</f>
        <v>21France33</v>
      </c>
      <c r="K89">
        <f>TCD!Q89</f>
        <v>2</v>
      </c>
      <c r="L89">
        <f>TCD!S89</f>
        <v>276</v>
      </c>
      <c r="M89" t="s">
        <v>266</v>
      </c>
      <c r="N89">
        <f t="shared" si="3"/>
        <v>0.2</v>
      </c>
      <c r="O89" s="15" t="str">
        <f>IF(TCD!N89=0,"",TCD!N89)</f>
        <v/>
      </c>
      <c r="P89" s="15" t="str">
        <f>IF(TCD!G89=0,"",TCD!G89)</f>
        <v/>
      </c>
      <c r="Q89" s="15" t="str">
        <f>IF(TCD!H89=0,"",TCD!H89)</f>
        <v/>
      </c>
      <c r="R89" s="15" t="str">
        <f>IF(TCD!I89=0,"",TCD!I89)</f>
        <v/>
      </c>
      <c r="S89" s="15" t="str">
        <f>IF(TCD!J89=0,"",TCD!J89)</f>
        <v/>
      </c>
      <c r="T89" s="15">
        <f>IF(TCD!K89=0,"",TCD!K89)</f>
        <v>161.72999999999999</v>
      </c>
      <c r="U89" s="15" t="str">
        <f>IF(TCD!L89=0,"",TCD!L89)</f>
        <v/>
      </c>
    </row>
    <row r="90" spans="1:21" x14ac:dyDescent="0.35">
      <c r="A90" t="s">
        <v>264</v>
      </c>
      <c r="B90" s="7">
        <f t="shared" si="2"/>
        <v>46174</v>
      </c>
      <c r="C90" t="str">
        <f>TCD!D90</f>
        <v>26A060390352</v>
      </c>
      <c r="F90" t="str">
        <f>TCD!C90</f>
        <v>EXP20260609-2789152</v>
      </c>
      <c r="G90" t="str">
        <f>TCD!E90</f>
        <v>LPL WINE LEBLOND Leo-Paul (ENTREPRISE)</v>
      </c>
      <c r="H90" t="s">
        <v>265</v>
      </c>
      <c r="I90" t="str">
        <f>TCD!F90</f>
        <v>FR</v>
      </c>
      <c r="J90" t="str">
        <f>TCD!V90</f>
        <v>21France14</v>
      </c>
      <c r="K90">
        <f>TCD!Q90</f>
        <v>1</v>
      </c>
      <c r="L90">
        <f>TCD!S90</f>
        <v>13</v>
      </c>
      <c r="M90" t="s">
        <v>266</v>
      </c>
      <c r="N90">
        <f t="shared" si="3"/>
        <v>0.2</v>
      </c>
      <c r="O90" s="15" t="str">
        <f>IF(TCD!N90=0,"",TCD!N90)</f>
        <v/>
      </c>
      <c r="P90" s="15" t="str">
        <f>IF(TCD!G90=0,"",TCD!G90)</f>
        <v/>
      </c>
      <c r="Q90" s="15" t="str">
        <f>IF(TCD!H90=0,"",TCD!H90)</f>
        <v/>
      </c>
      <c r="R90" s="15" t="str">
        <f>IF(TCD!I90=0,"",TCD!I90)</f>
        <v/>
      </c>
      <c r="S90" s="15" t="str">
        <f>IF(TCD!J90=0,"",TCD!J90)</f>
        <v/>
      </c>
      <c r="T90" s="15">
        <f>IF(TCD!K90=0,"",TCD!K90)</f>
        <v>29.08</v>
      </c>
      <c r="U90" s="15" t="str">
        <f>IF(TCD!L90=0,"",TCD!L90)</f>
        <v/>
      </c>
    </row>
    <row r="91" spans="1:21" x14ac:dyDescent="0.35">
      <c r="A91" t="s">
        <v>264</v>
      </c>
      <c r="B91" s="7">
        <f t="shared" si="2"/>
        <v>46174</v>
      </c>
      <c r="C91" t="str">
        <f>TCD!D91</f>
        <v>26A060390336</v>
      </c>
      <c r="F91" t="str">
        <f>TCD!C91</f>
        <v>EXP20260609-2789330</v>
      </c>
      <c r="G91" t="str">
        <f>TCD!E91</f>
        <v>SCEA DOMAINE LES FOUQUES CHRISTELLE (ENTREPRISE)</v>
      </c>
      <c r="H91" t="s">
        <v>265</v>
      </c>
      <c r="I91" t="str">
        <f>TCD!F91</f>
        <v>FR</v>
      </c>
      <c r="J91" t="str">
        <f>TCD!V91</f>
        <v>21France83</v>
      </c>
      <c r="K91">
        <f>TCD!Q91</f>
        <v>1</v>
      </c>
      <c r="L91">
        <f>TCD!S91</f>
        <v>82</v>
      </c>
      <c r="M91" t="s">
        <v>266</v>
      </c>
      <c r="N91">
        <f t="shared" si="3"/>
        <v>0.2</v>
      </c>
      <c r="O91" s="15" t="str">
        <f>IF(TCD!N91=0,"",TCD!N91)</f>
        <v/>
      </c>
      <c r="P91" s="15" t="str">
        <f>IF(TCD!G91=0,"",TCD!G91)</f>
        <v/>
      </c>
      <c r="Q91" s="15" t="str">
        <f>IF(TCD!H91=0,"",TCD!H91)</f>
        <v/>
      </c>
      <c r="R91" s="15" t="str">
        <f>IF(TCD!I91=0,"",TCD!I91)</f>
        <v/>
      </c>
      <c r="S91" s="15" t="str">
        <f>IF(TCD!J91=0,"",TCD!J91)</f>
        <v/>
      </c>
      <c r="T91" s="15">
        <f>IF(TCD!K91=0,"",TCD!K91)</f>
        <v>56.4</v>
      </c>
      <c r="U91" s="15" t="str">
        <f>IF(TCD!L91=0,"",TCD!L91)</f>
        <v/>
      </c>
    </row>
    <row r="92" spans="1:21" x14ac:dyDescent="0.35">
      <c r="A92" t="s">
        <v>264</v>
      </c>
      <c r="B92" s="7">
        <f t="shared" si="2"/>
        <v>46174</v>
      </c>
      <c r="C92" t="str">
        <f>TCD!D92</f>
        <v>26A060429861</v>
      </c>
      <c r="F92" t="str">
        <f>TCD!C92</f>
        <v>EXP20260609-2789333</v>
      </c>
      <c r="G92" t="str">
        <f>TCD!E92</f>
        <v>ISIPCA Zerbib Alain (ENTREPRISE)</v>
      </c>
      <c r="H92" t="s">
        <v>265</v>
      </c>
      <c r="I92" t="str">
        <f>TCD!F92</f>
        <v>FR</v>
      </c>
      <c r="J92" t="str">
        <f>TCD!V92</f>
        <v>21France78</v>
      </c>
      <c r="K92">
        <f>TCD!Q92</f>
        <v>1</v>
      </c>
      <c r="L92">
        <f>TCD!S92</f>
        <v>152</v>
      </c>
      <c r="M92" t="s">
        <v>266</v>
      </c>
      <c r="N92">
        <f t="shared" si="3"/>
        <v>0.2</v>
      </c>
      <c r="O92" s="15" t="str">
        <f>IF(TCD!N92=0,"",TCD!N92)</f>
        <v/>
      </c>
      <c r="P92" s="15" t="str">
        <f>IF(TCD!G92=0,"",TCD!G92)</f>
        <v/>
      </c>
      <c r="Q92" s="15" t="str">
        <f>IF(TCD!H92=0,"",TCD!H92)</f>
        <v/>
      </c>
      <c r="R92" s="15" t="str">
        <f>IF(TCD!I92=0,"",TCD!I92)</f>
        <v/>
      </c>
      <c r="S92" s="15" t="str">
        <f>IF(TCD!J92=0,"",TCD!J92)</f>
        <v/>
      </c>
      <c r="T92" s="15">
        <f>IF(TCD!K92=0,"",TCD!K92)</f>
        <v>61.93</v>
      </c>
      <c r="U92" s="15" t="str">
        <f>IF(TCD!L92=0,"",TCD!L92)</f>
        <v/>
      </c>
    </row>
    <row r="93" spans="1:21" x14ac:dyDescent="0.35">
      <c r="A93" t="s">
        <v>264</v>
      </c>
      <c r="B93" s="7">
        <f t="shared" si="2"/>
        <v>46174</v>
      </c>
      <c r="C93" t="str">
        <f>TCD!D93</f>
        <v>26A060390362</v>
      </c>
      <c r="F93" t="str">
        <f>TCD!C93</f>
        <v>EXP20260609-2789365</v>
      </c>
      <c r="G93" t="str">
        <f>TCD!E93</f>
        <v>CAVE LA PETITE REINE Pierre BOUCHE (ENTREPRISE)</v>
      </c>
      <c r="H93" t="s">
        <v>265</v>
      </c>
      <c r="I93" t="str">
        <f>TCD!F93</f>
        <v>FR</v>
      </c>
      <c r="J93" t="str">
        <f>TCD!V93</f>
        <v>21France84</v>
      </c>
      <c r="K93">
        <f>TCD!Q93</f>
        <v>1</v>
      </c>
      <c r="L93">
        <f>TCD!S93</f>
        <v>58</v>
      </c>
      <c r="M93" t="s">
        <v>266</v>
      </c>
      <c r="N93">
        <f t="shared" si="3"/>
        <v>0.2</v>
      </c>
      <c r="O93" s="15" t="str">
        <f>IF(TCD!N93=0,"",TCD!N93)</f>
        <v/>
      </c>
      <c r="P93" s="15" t="str">
        <f>IF(TCD!G93=0,"",TCD!G93)</f>
        <v/>
      </c>
      <c r="Q93" s="15" t="str">
        <f>IF(TCD!H93=0,"",TCD!H93)</f>
        <v/>
      </c>
      <c r="R93" s="15" t="str">
        <f>IF(TCD!I93=0,"",TCD!I93)</f>
        <v/>
      </c>
      <c r="S93" s="15" t="str">
        <f>IF(TCD!J93=0,"",TCD!J93)</f>
        <v/>
      </c>
      <c r="T93" s="15">
        <f>IF(TCD!K93=0,"",TCD!K93)</f>
        <v>43.19</v>
      </c>
      <c r="U93" s="15" t="str">
        <f>IF(TCD!L93=0,"",TCD!L93)</f>
        <v/>
      </c>
    </row>
    <row r="94" spans="1:21" x14ac:dyDescent="0.35">
      <c r="A94" t="s">
        <v>264</v>
      </c>
      <c r="B94" s="7">
        <f t="shared" si="2"/>
        <v>46174</v>
      </c>
      <c r="C94" t="str">
        <f>TCD!D94</f>
        <v>26A060390330</v>
      </c>
      <c r="F94" t="str">
        <f>TCD!C94</f>
        <v>EXP20260610-2789905</v>
      </c>
      <c r="G94" t="str">
        <f>TCD!E94</f>
        <v>DUBREUIL et FILS Pierre DUBREUIL (ENTREPRISE)</v>
      </c>
      <c r="H94" t="s">
        <v>265</v>
      </c>
      <c r="I94" t="str">
        <f>TCD!F94</f>
        <v>FR</v>
      </c>
      <c r="J94" t="str">
        <f>TCD!V94</f>
        <v>21France01</v>
      </c>
      <c r="K94">
        <f>TCD!Q94</f>
        <v>2</v>
      </c>
      <c r="L94">
        <f>TCD!S94</f>
        <v>234</v>
      </c>
      <c r="M94" t="s">
        <v>266</v>
      </c>
      <c r="N94">
        <f t="shared" si="3"/>
        <v>0.2</v>
      </c>
      <c r="O94" s="15" t="str">
        <f>IF(TCD!N94=0,"",TCD!N94)</f>
        <v/>
      </c>
      <c r="P94" s="15" t="str">
        <f>IF(TCD!G94=0,"",TCD!G94)</f>
        <v/>
      </c>
      <c r="Q94" s="15" t="str">
        <f>IF(TCD!H94=0,"",TCD!H94)</f>
        <v/>
      </c>
      <c r="R94" s="15" t="str">
        <f>IF(TCD!I94=0,"",TCD!I94)</f>
        <v/>
      </c>
      <c r="S94" s="15" t="str">
        <f>IF(TCD!J94=0,"",TCD!J94)</f>
        <v/>
      </c>
      <c r="T94" s="15">
        <f>IF(TCD!K94=0,"",TCD!K94)</f>
        <v>83.06</v>
      </c>
      <c r="U94" s="15" t="str">
        <f>IF(TCD!L94=0,"",TCD!L94)</f>
        <v/>
      </c>
    </row>
    <row r="95" spans="1:21" x14ac:dyDescent="0.35">
      <c r="A95" t="s">
        <v>264</v>
      </c>
      <c r="B95" s="7">
        <f t="shared" si="2"/>
        <v>46174</v>
      </c>
      <c r="C95" t="str">
        <f>TCD!D95</f>
        <v>26A060390329</v>
      </c>
      <c r="F95" t="str">
        <f>TCD!C95</f>
        <v>EXP20260610-2790057</v>
      </c>
      <c r="G95" t="str">
        <f>TCD!E95</f>
        <v>Les Vignerons de Mistral Sandrine V (ENTREPRISE)</v>
      </c>
      <c r="H95" t="s">
        <v>265</v>
      </c>
      <c r="I95" t="str">
        <f>TCD!F95</f>
        <v>FR</v>
      </c>
      <c r="J95" t="str">
        <f>TCD!V95</f>
        <v>21France13</v>
      </c>
      <c r="K95">
        <f>TCD!Q95</f>
        <v>1</v>
      </c>
      <c r="L95">
        <f>TCD!S95</f>
        <v>39</v>
      </c>
      <c r="M95" t="s">
        <v>266</v>
      </c>
      <c r="N95">
        <f t="shared" si="3"/>
        <v>0.2</v>
      </c>
      <c r="O95" s="15" t="str">
        <f>IF(TCD!N95=0,"",TCD!N95)</f>
        <v/>
      </c>
      <c r="P95" s="15" t="str">
        <f>IF(TCD!G95=0,"",TCD!G95)</f>
        <v/>
      </c>
      <c r="Q95" s="15" t="str">
        <f>IF(TCD!H95=0,"",TCD!H95)</f>
        <v/>
      </c>
      <c r="R95" s="15" t="str">
        <f>IF(TCD!I95=0,"",TCD!I95)</f>
        <v/>
      </c>
      <c r="S95" s="15" t="str">
        <f>IF(TCD!J95=0,"",TCD!J95)</f>
        <v/>
      </c>
      <c r="T95" s="15">
        <f>IF(TCD!K95=0,"",TCD!K95)</f>
        <v>41.98</v>
      </c>
      <c r="U95" s="15" t="str">
        <f>IF(TCD!L95=0,"",TCD!L95)</f>
        <v/>
      </c>
    </row>
    <row r="96" spans="1:21" x14ac:dyDescent="0.35">
      <c r="A96" t="s">
        <v>264</v>
      </c>
      <c r="B96" s="7">
        <f t="shared" si="2"/>
        <v>46174</v>
      </c>
      <c r="C96" t="str">
        <f>TCD!D96</f>
        <v>26A060390354</v>
      </c>
      <c r="F96" t="str">
        <f>TCD!C96</f>
        <v>EXP20260610-2790302</v>
      </c>
      <c r="G96" t="str">
        <f>TCD!E96</f>
        <v>DOMAINE GENOT-BOULANGER VIRGINIE DI (ENTREPRISE)</v>
      </c>
      <c r="H96" t="s">
        <v>265</v>
      </c>
      <c r="I96" t="str">
        <f>TCD!F96</f>
        <v>FR</v>
      </c>
      <c r="J96" t="str">
        <f>TCD!V96</f>
        <v>21France21</v>
      </c>
      <c r="K96">
        <f>TCD!Q96</f>
        <v>1</v>
      </c>
      <c r="L96">
        <f>TCD!S96</f>
        <v>55</v>
      </c>
      <c r="M96" t="s">
        <v>266</v>
      </c>
      <c r="N96">
        <f t="shared" si="3"/>
        <v>0.2</v>
      </c>
      <c r="O96" s="15" t="str">
        <f>IF(TCD!N96=0,"",TCD!N96)</f>
        <v/>
      </c>
      <c r="P96" s="15" t="str">
        <f>IF(TCD!G96=0,"",TCD!G96)</f>
        <v/>
      </c>
      <c r="Q96" s="15" t="str">
        <f>IF(TCD!H96=0,"",TCD!H96)</f>
        <v/>
      </c>
      <c r="R96" s="15" t="str">
        <f>IF(TCD!I96=0,"",TCD!I96)</f>
        <v/>
      </c>
      <c r="S96" s="15" t="str">
        <f>IF(TCD!J96=0,"",TCD!J96)</f>
        <v/>
      </c>
      <c r="T96" s="15">
        <f>IF(TCD!K96=0,"",TCD!K96)</f>
        <v>24.189999999999998</v>
      </c>
      <c r="U96" s="15" t="str">
        <f>IF(TCD!L96=0,"",TCD!L96)</f>
        <v/>
      </c>
    </row>
    <row r="97" spans="1:21" x14ac:dyDescent="0.35">
      <c r="A97" t="s">
        <v>264</v>
      </c>
      <c r="B97" s="7">
        <f t="shared" si="2"/>
        <v>46174</v>
      </c>
      <c r="C97" t="str">
        <f>TCD!D97</f>
        <v>26A060390342</v>
      </c>
      <c r="F97" t="str">
        <f>TCD!C97</f>
        <v>EXP20260610-2790604</v>
      </c>
      <c r="G97" t="str">
        <f>TCD!E97</f>
        <v>SAS TERRANEA Serge COSIALLS (ENTREPRISE)</v>
      </c>
      <c r="H97" t="s">
        <v>265</v>
      </c>
      <c r="I97" t="str">
        <f>TCD!F97</f>
        <v>FR</v>
      </c>
      <c r="J97" t="str">
        <f>TCD!V97</f>
        <v>21France84</v>
      </c>
      <c r="K97">
        <f>TCD!Q97</f>
        <v>1</v>
      </c>
      <c r="L97">
        <f>TCD!S97</f>
        <v>98</v>
      </c>
      <c r="M97" t="s">
        <v>266</v>
      </c>
      <c r="N97">
        <f t="shared" si="3"/>
        <v>0.2</v>
      </c>
      <c r="O97" s="15" t="str">
        <f>IF(TCD!N97=0,"",TCD!N97)</f>
        <v/>
      </c>
      <c r="P97" s="15" t="str">
        <f>IF(TCD!G97=0,"",TCD!G97)</f>
        <v/>
      </c>
      <c r="Q97" s="15" t="str">
        <f>IF(TCD!H97=0,"",TCD!H97)</f>
        <v/>
      </c>
      <c r="R97" s="15" t="str">
        <f>IF(TCD!I97=0,"",TCD!I97)</f>
        <v/>
      </c>
      <c r="S97" s="15" t="str">
        <f>IF(TCD!J97=0,"",TCD!J97)</f>
        <v/>
      </c>
      <c r="T97" s="15">
        <f>IF(TCD!K97=0,"",TCD!K97)</f>
        <v>51.4</v>
      </c>
      <c r="U97" s="15" t="str">
        <f>IF(TCD!L97=0,"",TCD!L97)</f>
        <v/>
      </c>
    </row>
    <row r="98" spans="1:21" x14ac:dyDescent="0.35">
      <c r="A98" t="s">
        <v>264</v>
      </c>
      <c r="B98" s="7">
        <f t="shared" si="2"/>
        <v>46174</v>
      </c>
      <c r="C98" t="str">
        <f>TCD!D98</f>
        <v>26A060429852</v>
      </c>
      <c r="F98" t="str">
        <f>TCD!C98</f>
        <v>EXP20260610-2790712</v>
      </c>
      <c r="G98" t="str">
        <f>TCD!E98</f>
        <v>DOMAINE DE LA PROVENQUIERE</v>
      </c>
      <c r="H98" t="s">
        <v>265</v>
      </c>
      <c r="I98" t="str">
        <f>TCD!F98</f>
        <v>FR</v>
      </c>
      <c r="J98" t="str">
        <f>TCD!V98</f>
        <v>21France34</v>
      </c>
      <c r="K98">
        <f>TCD!Q98</f>
        <v>1</v>
      </c>
      <c r="L98">
        <f>TCD!S98</f>
        <v>134</v>
      </c>
      <c r="M98" t="s">
        <v>266</v>
      </c>
      <c r="N98">
        <f t="shared" si="3"/>
        <v>0.2</v>
      </c>
      <c r="O98" s="15" t="str">
        <f>IF(TCD!N98=0,"",TCD!N98)</f>
        <v/>
      </c>
      <c r="P98" s="15" t="str">
        <f>IF(TCD!G98=0,"",TCD!G98)</f>
        <v/>
      </c>
      <c r="Q98" s="15" t="str">
        <f>IF(TCD!H98=0,"",TCD!H98)</f>
        <v/>
      </c>
      <c r="R98" s="15" t="str">
        <f>IF(TCD!I98=0,"",TCD!I98)</f>
        <v/>
      </c>
      <c r="S98" s="15" t="str">
        <f>IF(TCD!J98=0,"",TCD!J98)</f>
        <v/>
      </c>
      <c r="T98" s="15">
        <f>IF(TCD!K98=0,"",TCD!K98)</f>
        <v>72.540000000000006</v>
      </c>
      <c r="U98" s="15" t="str">
        <f>IF(TCD!L98=0,"",TCD!L98)</f>
        <v/>
      </c>
    </row>
    <row r="99" spans="1:21" x14ac:dyDescent="0.35">
      <c r="A99" t="s">
        <v>264</v>
      </c>
      <c r="B99" s="7">
        <f t="shared" si="2"/>
        <v>46174</v>
      </c>
      <c r="C99" t="str">
        <f>TCD!D99</f>
        <v>26A060429865</v>
      </c>
      <c r="F99" t="str">
        <f>TCD!C99</f>
        <v>EXP20260610-2790760</v>
      </c>
      <c r="G99" t="str">
        <f>TCD!E99</f>
        <v>EURL CENT-NEUF Julien ALBAREL (ENTREPRISE)</v>
      </c>
      <c r="H99" t="s">
        <v>265</v>
      </c>
      <c r="I99" t="str">
        <f>TCD!F99</f>
        <v>FR</v>
      </c>
      <c r="J99" t="str">
        <f>TCD!V99</f>
        <v>21France46</v>
      </c>
      <c r="K99">
        <f>TCD!Q99</f>
        <v>1</v>
      </c>
      <c r="L99">
        <f>TCD!S99</f>
        <v>51</v>
      </c>
      <c r="M99" t="s">
        <v>266</v>
      </c>
      <c r="N99">
        <f t="shared" si="3"/>
        <v>0.2</v>
      </c>
      <c r="O99" s="15" t="str">
        <f>IF(TCD!N99=0,"",TCD!N99)</f>
        <v/>
      </c>
      <c r="P99" s="15" t="str">
        <f>IF(TCD!G99=0,"",TCD!G99)</f>
        <v/>
      </c>
      <c r="Q99" s="15" t="str">
        <f>IF(TCD!H99=0,"",TCD!H99)</f>
        <v/>
      </c>
      <c r="R99" s="15" t="str">
        <f>IF(TCD!I99=0,"",TCD!I99)</f>
        <v/>
      </c>
      <c r="S99" s="15" t="str">
        <f>IF(TCD!J99=0,"",TCD!J99)</f>
        <v/>
      </c>
      <c r="T99" s="15">
        <f>IF(TCD!K99=0,"",TCD!K99)</f>
        <v>43.72</v>
      </c>
      <c r="U99" s="15" t="str">
        <f>IF(TCD!L99=0,"",TCD!L99)</f>
        <v/>
      </c>
    </row>
    <row r="100" spans="1:21" x14ac:dyDescent="0.35">
      <c r="A100" t="s">
        <v>264</v>
      </c>
      <c r="B100" s="7">
        <f t="shared" si="2"/>
        <v>46174</v>
      </c>
      <c r="C100" t="str">
        <f>TCD!D100</f>
        <v>26A060429863</v>
      </c>
      <c r="F100" t="str">
        <f>TCD!C100</f>
        <v>EXP20260610-2790863</v>
      </c>
      <c r="G100" t="str">
        <f>TCD!E100</f>
        <v>SCEA CHATEAU MAUVINON BRIGITTE TRIB (ENTREPRISE)</v>
      </c>
      <c r="H100" t="s">
        <v>265</v>
      </c>
      <c r="I100" t="str">
        <f>TCD!F100</f>
        <v>FR</v>
      </c>
      <c r="J100" t="str">
        <f>TCD!V100</f>
        <v>21France33</v>
      </c>
      <c r="K100">
        <f>TCD!Q100</f>
        <v>1</v>
      </c>
      <c r="L100">
        <f>TCD!S100</f>
        <v>104</v>
      </c>
      <c r="M100" t="s">
        <v>266</v>
      </c>
      <c r="N100">
        <f t="shared" si="3"/>
        <v>0.2</v>
      </c>
      <c r="O100" s="15" t="str">
        <f>IF(TCD!N100=0,"",TCD!N100)</f>
        <v/>
      </c>
      <c r="P100" s="15" t="str">
        <f>IF(TCD!G100=0,"",TCD!G100)</f>
        <v/>
      </c>
      <c r="Q100" s="15" t="str">
        <f>IF(TCD!H100=0,"",TCD!H100)</f>
        <v/>
      </c>
      <c r="R100" s="15" t="str">
        <f>IF(TCD!I100=0,"",TCD!I100)</f>
        <v/>
      </c>
      <c r="S100" s="15" t="str">
        <f>IF(TCD!J100=0,"",TCD!J100)</f>
        <v/>
      </c>
      <c r="T100" s="15">
        <f>IF(TCD!K100=0,"",TCD!K100)</f>
        <v>64.03</v>
      </c>
      <c r="U100" s="15" t="str">
        <f>IF(TCD!L100=0,"",TCD!L100)</f>
        <v/>
      </c>
    </row>
    <row r="101" spans="1:21" x14ac:dyDescent="0.35">
      <c r="A101" t="s">
        <v>264</v>
      </c>
      <c r="B101" s="7">
        <f t="shared" si="2"/>
        <v>46174</v>
      </c>
      <c r="C101" t="str">
        <f>TCD!D101</f>
        <v>26A060429859</v>
      </c>
      <c r="F101" t="str">
        <f>TCD!C101</f>
        <v>EXP20260610-2790864</v>
      </c>
      <c r="G101" t="str">
        <f>TCD!E101</f>
        <v>EARL Biobonum Stephan BUFFILLE (ENTREPRISE)</v>
      </c>
      <c r="H101" t="s">
        <v>265</v>
      </c>
      <c r="I101" t="str">
        <f>TCD!F101</f>
        <v>FR</v>
      </c>
      <c r="J101" t="str">
        <f>TCD!V101</f>
        <v>21France13</v>
      </c>
      <c r="K101">
        <f>TCD!Q101</f>
        <v>1</v>
      </c>
      <c r="L101">
        <f>TCD!S101</f>
        <v>32</v>
      </c>
      <c r="M101" t="s">
        <v>266</v>
      </c>
      <c r="N101">
        <f t="shared" si="3"/>
        <v>0.2</v>
      </c>
      <c r="O101" s="15" t="str">
        <f>IF(TCD!N101=0,"",TCD!N101)</f>
        <v/>
      </c>
      <c r="P101" s="15" t="str">
        <f>IF(TCD!G101=0,"",TCD!G101)</f>
        <v/>
      </c>
      <c r="Q101" s="15" t="str">
        <f>IF(TCD!H101=0,"",TCD!H101)</f>
        <v/>
      </c>
      <c r="R101" s="15" t="str">
        <f>IF(TCD!I101=0,"",TCD!I101)</f>
        <v/>
      </c>
      <c r="S101" s="15" t="str">
        <f>IF(TCD!J101=0,"",TCD!J101)</f>
        <v/>
      </c>
      <c r="T101" s="15">
        <f>IF(TCD!K101=0,"",TCD!K101)</f>
        <v>41.98</v>
      </c>
      <c r="U101" s="15" t="str">
        <f>IF(TCD!L101=0,"",TCD!L101)</f>
        <v/>
      </c>
    </row>
    <row r="102" spans="1:21" x14ac:dyDescent="0.35">
      <c r="A102" t="s">
        <v>264</v>
      </c>
      <c r="B102" s="7">
        <f t="shared" si="2"/>
        <v>46174</v>
      </c>
      <c r="C102" t="str">
        <f>TCD!D102</f>
        <v>26A060429857</v>
      </c>
      <c r="F102" t="str">
        <f>TCD!C102</f>
        <v>EXP20260610-2790865</v>
      </c>
      <c r="G102" t="str">
        <f>TCD!E102</f>
        <v>SARL SALENTE DUSSURGET France-Laure (ENTREPRISE)</v>
      </c>
      <c r="H102" t="s">
        <v>265</v>
      </c>
      <c r="I102" t="str">
        <f>TCD!F102</f>
        <v>FR</v>
      </c>
      <c r="J102" t="str">
        <f>TCD!V102</f>
        <v>21France34</v>
      </c>
      <c r="K102">
        <f>TCD!Q102</f>
        <v>2</v>
      </c>
      <c r="L102">
        <f>TCD!S102</f>
        <v>204</v>
      </c>
      <c r="M102" t="s">
        <v>266</v>
      </c>
      <c r="N102">
        <f t="shared" si="3"/>
        <v>0.2</v>
      </c>
      <c r="O102" s="15" t="str">
        <f>IF(TCD!N102=0,"",TCD!N102)</f>
        <v/>
      </c>
      <c r="P102" s="15" t="str">
        <f>IF(TCD!G102=0,"",TCD!G102)</f>
        <v/>
      </c>
      <c r="Q102" s="15" t="str">
        <f>IF(TCD!H102=0,"",TCD!H102)</f>
        <v/>
      </c>
      <c r="R102" s="15" t="str">
        <f>IF(TCD!I102=0,"",TCD!I102)</f>
        <v/>
      </c>
      <c r="S102" s="15" t="str">
        <f>IF(TCD!J102=0,"",TCD!J102)</f>
        <v/>
      </c>
      <c r="T102" s="15">
        <f>IF(TCD!K102=0,"",TCD!K102)</f>
        <v>144.78</v>
      </c>
      <c r="U102" s="15" t="str">
        <f>IF(TCD!L102=0,"",TCD!L102)</f>
        <v/>
      </c>
    </row>
    <row r="103" spans="1:21" x14ac:dyDescent="0.35">
      <c r="A103" t="s">
        <v>264</v>
      </c>
      <c r="B103" s="7">
        <f t="shared" si="2"/>
        <v>46174</v>
      </c>
      <c r="C103" t="str">
        <f>TCD!D103</f>
        <v>26A060429854</v>
      </c>
      <c r="F103" t="str">
        <f>TCD!C103</f>
        <v>EXP20260610-2790967</v>
      </c>
      <c r="G103" t="str">
        <f>TCD!E103</f>
        <v>SAS LE VIEUX DONJON Claire FABRE (ENTREPRISE)</v>
      </c>
      <c r="H103" t="s">
        <v>265</v>
      </c>
      <c r="I103" t="str">
        <f>TCD!F103</f>
        <v>FR</v>
      </c>
      <c r="J103" t="str">
        <f>TCD!V103</f>
        <v>21France84</v>
      </c>
      <c r="K103">
        <f>TCD!Q103</f>
        <v>1</v>
      </c>
      <c r="L103">
        <f>TCD!S103</f>
        <v>24</v>
      </c>
      <c r="M103" t="s">
        <v>266</v>
      </c>
      <c r="N103">
        <f t="shared" si="3"/>
        <v>0.2</v>
      </c>
      <c r="O103" s="15" t="str">
        <f>IF(TCD!N103=0,"",TCD!N103)</f>
        <v/>
      </c>
      <c r="P103" s="15" t="str">
        <f>IF(TCD!G103=0,"",TCD!G103)</f>
        <v/>
      </c>
      <c r="Q103" s="15" t="str">
        <f>IF(TCD!H103=0,"",TCD!H103)</f>
        <v/>
      </c>
      <c r="R103" s="15" t="str">
        <f>IF(TCD!I103=0,"",TCD!I103)</f>
        <v/>
      </c>
      <c r="S103" s="15" t="str">
        <f>IF(TCD!J103=0,"",TCD!J103)</f>
        <v/>
      </c>
      <c r="T103" s="15">
        <f>IF(TCD!K103=0,"",TCD!K103)</f>
        <v>35.949999999999996</v>
      </c>
      <c r="U103" s="15" t="str">
        <f>IF(TCD!L103=0,"",TCD!L103)</f>
        <v/>
      </c>
    </row>
    <row r="104" spans="1:21" x14ac:dyDescent="0.35">
      <c r="A104" t="s">
        <v>264</v>
      </c>
      <c r="B104" s="7">
        <f t="shared" si="2"/>
        <v>46174</v>
      </c>
      <c r="C104" t="str">
        <f>TCD!D104</f>
        <v>26A060588664</v>
      </c>
      <c r="F104" t="str">
        <f>TCD!C104</f>
        <v>EXP20260611-2792540</v>
      </c>
      <c r="G104" t="str">
        <f>TCD!E104</f>
        <v>STOCK AZ</v>
      </c>
      <c r="H104" t="s">
        <v>265</v>
      </c>
      <c r="I104" t="str">
        <f>TCD!F104</f>
        <v>FR</v>
      </c>
      <c r="J104" t="str">
        <f>TCD!V104</f>
        <v>21France79</v>
      </c>
      <c r="K104">
        <f>TCD!Q104</f>
        <v>3</v>
      </c>
      <c r="L104">
        <f>TCD!S104</f>
        <v>174</v>
      </c>
      <c r="M104" t="s">
        <v>266</v>
      </c>
      <c r="N104">
        <f t="shared" si="3"/>
        <v>0.2</v>
      </c>
      <c r="O104" s="15" t="str">
        <f>IF(TCD!N104=0,"",TCD!N104)</f>
        <v/>
      </c>
      <c r="P104" s="15" t="str">
        <f>IF(TCD!G104=0,"",TCD!G104)</f>
        <v/>
      </c>
      <c r="Q104" s="15" t="str">
        <f>IF(TCD!H104=0,"",TCD!H104)</f>
        <v/>
      </c>
      <c r="R104" s="15" t="str">
        <f>IF(TCD!I104=0,"",TCD!I104)</f>
        <v/>
      </c>
      <c r="S104" s="15" t="str">
        <f>IF(TCD!J104=0,"",TCD!J104)</f>
        <v/>
      </c>
      <c r="T104" s="15">
        <f>IF(TCD!K104=0,"",TCD!K104)</f>
        <v>168.5</v>
      </c>
      <c r="U104" s="15" t="str">
        <f>IF(TCD!L104=0,"",TCD!L104)</f>
        <v/>
      </c>
    </row>
    <row r="105" spans="1:21" x14ac:dyDescent="0.35">
      <c r="A105" t="s">
        <v>264</v>
      </c>
      <c r="B105" s="7">
        <f t="shared" si="2"/>
        <v>46174</v>
      </c>
      <c r="C105" t="str">
        <f>TCD!D105</f>
        <v>26A060483803</v>
      </c>
      <c r="F105" t="str">
        <f>TCD!C105</f>
        <v>EXP20260611-2792558</v>
      </c>
      <c r="G105" t="str">
        <f>TCD!E105</f>
        <v>Sas Mylene Bru Mylene BRU (ENTREPRISE)</v>
      </c>
      <c r="H105" t="s">
        <v>265</v>
      </c>
      <c r="I105" t="str">
        <f>TCD!F105</f>
        <v>FR</v>
      </c>
      <c r="J105" t="str">
        <f>TCD!V105</f>
        <v>21France34</v>
      </c>
      <c r="K105">
        <f>TCD!Q105</f>
        <v>1</v>
      </c>
      <c r="L105">
        <f>TCD!S105</f>
        <v>110</v>
      </c>
      <c r="M105" t="s">
        <v>266</v>
      </c>
      <c r="N105">
        <f t="shared" si="3"/>
        <v>0.2</v>
      </c>
      <c r="O105" s="15" t="str">
        <f>IF(TCD!N105=0,"",TCD!N105)</f>
        <v/>
      </c>
      <c r="P105" s="15" t="str">
        <f>IF(TCD!G105=0,"",TCD!G105)</f>
        <v/>
      </c>
      <c r="Q105" s="15" t="str">
        <f>IF(TCD!H105=0,"",TCD!H105)</f>
        <v/>
      </c>
      <c r="R105" s="15" t="str">
        <f>IF(TCD!I105=0,"",TCD!I105)</f>
        <v/>
      </c>
      <c r="S105" s="15" t="str">
        <f>IF(TCD!J105=0,"",TCD!J105)</f>
        <v/>
      </c>
      <c r="T105" s="15">
        <f>IF(TCD!K105=0,"",TCD!K105)</f>
        <v>57.45</v>
      </c>
      <c r="U105" s="15" t="str">
        <f>IF(TCD!L105=0,"",TCD!L105)</f>
        <v/>
      </c>
    </row>
    <row r="106" spans="1:21" x14ac:dyDescent="0.35">
      <c r="A106" t="s">
        <v>264</v>
      </c>
      <c r="B106" s="7">
        <f t="shared" si="2"/>
        <v>46174</v>
      </c>
      <c r="C106" t="str">
        <f>TCD!D106</f>
        <v>26A060483798</v>
      </c>
      <c r="F106" t="str">
        <f>TCD!C106</f>
        <v>EXP20260611-2792599</v>
      </c>
      <c r="G106" t="str">
        <f>TCD!E106</f>
        <v>EARL CAVE RICHARD Marie-therese RIC (ENTREPRISE)</v>
      </c>
      <c r="H106" t="s">
        <v>265</v>
      </c>
      <c r="I106" t="str">
        <f>TCD!F106</f>
        <v>FR</v>
      </c>
      <c r="J106" t="str">
        <f>TCD!V106</f>
        <v>21France42</v>
      </c>
      <c r="K106">
        <f>TCD!Q106</f>
        <v>1</v>
      </c>
      <c r="L106">
        <f>TCD!S106</f>
        <v>134</v>
      </c>
      <c r="M106" t="s">
        <v>266</v>
      </c>
      <c r="N106">
        <f t="shared" si="3"/>
        <v>0.2</v>
      </c>
      <c r="O106" s="15" t="str">
        <f>IF(TCD!N106=0,"",TCD!N106)</f>
        <v/>
      </c>
      <c r="P106" s="15" t="str">
        <f>IF(TCD!G106=0,"",TCD!G106)</f>
        <v/>
      </c>
      <c r="Q106" s="15" t="str">
        <f>IF(TCD!H106=0,"",TCD!H106)</f>
        <v/>
      </c>
      <c r="R106" s="15" t="str">
        <f>IF(TCD!I106=0,"",TCD!I106)</f>
        <v/>
      </c>
      <c r="S106" s="15" t="str">
        <f>IF(TCD!J106=0,"",TCD!J106)</f>
        <v/>
      </c>
      <c r="T106" s="15">
        <f>IF(TCD!K106=0,"",TCD!K106)</f>
        <v>47.16</v>
      </c>
      <c r="U106" s="15" t="str">
        <f>IF(TCD!L106=0,"",TCD!L106)</f>
        <v/>
      </c>
    </row>
    <row r="107" spans="1:21" x14ac:dyDescent="0.35">
      <c r="A107" t="s">
        <v>264</v>
      </c>
      <c r="B107" s="7">
        <f t="shared" si="2"/>
        <v>46174</v>
      </c>
      <c r="C107" t="str">
        <f>TCD!D107</f>
        <v>26A060483796</v>
      </c>
      <c r="F107" t="str">
        <f>TCD!C107</f>
        <v>EXP20260611-2792844</v>
      </c>
      <c r="G107" t="str">
        <f>TCD!E107</f>
        <v>Domaine de la Jument Rousse PUECH S (ENTREPRISE)</v>
      </c>
      <c r="H107" t="s">
        <v>265</v>
      </c>
      <c r="I107" t="str">
        <f>TCD!F107</f>
        <v>FR</v>
      </c>
      <c r="J107" t="str">
        <f>TCD!V107</f>
        <v>21France11</v>
      </c>
      <c r="K107">
        <f>TCD!Q107</f>
        <v>1</v>
      </c>
      <c r="L107">
        <f>TCD!S107</f>
        <v>23</v>
      </c>
      <c r="M107" t="s">
        <v>266</v>
      </c>
      <c r="N107">
        <f t="shared" si="3"/>
        <v>0.2</v>
      </c>
      <c r="O107" s="15" t="str">
        <f>IF(TCD!N107=0,"",TCD!N107)</f>
        <v/>
      </c>
      <c r="P107" s="15" t="str">
        <f>IF(TCD!G107=0,"",TCD!G107)</f>
        <v/>
      </c>
      <c r="Q107" s="15" t="str">
        <f>IF(TCD!H107=0,"",TCD!H107)</f>
        <v/>
      </c>
      <c r="R107" s="15" t="str">
        <f>IF(TCD!I107=0,"",TCD!I107)</f>
        <v/>
      </c>
      <c r="S107" s="15" t="str">
        <f>IF(TCD!J107=0,"",TCD!J107)</f>
        <v/>
      </c>
      <c r="T107" s="15">
        <f>IF(TCD!K107=0,"",TCD!K107)</f>
        <v>41.11</v>
      </c>
      <c r="U107" s="15" t="str">
        <f>IF(TCD!L107=0,"",TCD!L107)</f>
        <v/>
      </c>
    </row>
    <row r="108" spans="1:21" x14ac:dyDescent="0.35">
      <c r="A108" t="s">
        <v>264</v>
      </c>
      <c r="B108" s="7">
        <f t="shared" si="2"/>
        <v>46174</v>
      </c>
      <c r="C108" t="str">
        <f>TCD!D108</f>
        <v>26A060483800</v>
      </c>
      <c r="F108" t="str">
        <f>TCD!C108</f>
        <v>EXP20260612-2793349</v>
      </c>
      <c r="G108" t="str">
        <f>TCD!E108</f>
        <v>CHATEAU JARON PHILIPPE LIBERATORE (ENTREPRISE)</v>
      </c>
      <c r="H108" t="s">
        <v>265</v>
      </c>
      <c r="I108" t="str">
        <f>TCD!F108</f>
        <v>FR</v>
      </c>
      <c r="J108" t="str">
        <f>TCD!V108</f>
        <v>21France33</v>
      </c>
      <c r="K108">
        <f>TCD!Q108</f>
        <v>1</v>
      </c>
      <c r="L108">
        <f>TCD!S108</f>
        <v>100</v>
      </c>
      <c r="M108" t="s">
        <v>266</v>
      </c>
      <c r="N108">
        <f t="shared" si="3"/>
        <v>0.2</v>
      </c>
      <c r="O108" s="15" t="str">
        <f>IF(TCD!N108=0,"",TCD!N108)</f>
        <v/>
      </c>
      <c r="P108" s="15" t="str">
        <f>IF(TCD!G108=0,"",TCD!G108)</f>
        <v/>
      </c>
      <c r="Q108" s="15" t="str">
        <f>IF(TCD!H108=0,"",TCD!H108)</f>
        <v/>
      </c>
      <c r="R108" s="15" t="str">
        <f>IF(TCD!I108=0,"",TCD!I108)</f>
        <v/>
      </c>
      <c r="S108" s="15" t="str">
        <f>IF(TCD!J108=0,"",TCD!J108)</f>
        <v/>
      </c>
      <c r="T108" s="15">
        <f>IF(TCD!K108=0,"",TCD!K108)</f>
        <v>61.41</v>
      </c>
      <c r="U108" s="15" t="str">
        <f>IF(TCD!L108=0,"",TCD!L108)</f>
        <v/>
      </c>
    </row>
    <row r="109" spans="1:21" x14ac:dyDescent="0.35">
      <c r="A109" t="s">
        <v>264</v>
      </c>
      <c r="B109" s="7">
        <f t="shared" si="2"/>
        <v>46174</v>
      </c>
      <c r="C109" t="str">
        <f>TCD!D109</f>
        <v>26A060483799</v>
      </c>
      <c r="F109" t="str">
        <f>TCD!C109</f>
        <v>EXP20260612-2793442</v>
      </c>
      <c r="G109" t="str">
        <f>TCD!E109</f>
        <v>G. Richomme Collet Florence (ENTREPRISE)</v>
      </c>
      <c r="H109" t="s">
        <v>265</v>
      </c>
      <c r="I109" t="str">
        <f>TCD!F109</f>
        <v>FR</v>
      </c>
      <c r="J109" t="str">
        <f>TCD!V109</f>
        <v>21France51</v>
      </c>
      <c r="K109">
        <f>TCD!Q109</f>
        <v>1</v>
      </c>
      <c r="L109">
        <f>TCD!S109</f>
        <v>14</v>
      </c>
      <c r="M109" t="s">
        <v>266</v>
      </c>
      <c r="N109">
        <f t="shared" si="3"/>
        <v>0.2</v>
      </c>
      <c r="O109" s="15" t="str">
        <f>IF(TCD!N109=0,"",TCD!N109)</f>
        <v/>
      </c>
      <c r="P109" s="15" t="str">
        <f>IF(TCD!G109=0,"",TCD!G109)</f>
        <v/>
      </c>
      <c r="Q109" s="15" t="str">
        <f>IF(TCD!H109=0,"",TCD!H109)</f>
        <v/>
      </c>
      <c r="R109" s="15" t="str">
        <f>IF(TCD!I109=0,"",TCD!I109)</f>
        <v/>
      </c>
      <c r="S109" s="15" t="str">
        <f>IF(TCD!J109=0,"",TCD!J109)</f>
        <v/>
      </c>
      <c r="T109" s="15">
        <f>IF(TCD!K109=0,"",TCD!K109)</f>
        <v>24.83</v>
      </c>
      <c r="U109" s="15" t="str">
        <f>IF(TCD!L109=0,"",TCD!L109)</f>
        <v/>
      </c>
    </row>
    <row r="110" spans="1:21" x14ac:dyDescent="0.35">
      <c r="A110" t="s">
        <v>264</v>
      </c>
      <c r="B110" s="7">
        <f t="shared" si="2"/>
        <v>46174</v>
      </c>
      <c r="C110" t="str">
        <f>TCD!D110</f>
        <v>26A060536421</v>
      </c>
      <c r="F110" t="str">
        <f>TCD!C110</f>
        <v>EXP20260612-2793899</v>
      </c>
      <c r="G110" t="str">
        <f>TCD!E110</f>
        <v>CELLIER DES CHARMETTES 9101059</v>
      </c>
      <c r="H110" t="s">
        <v>265</v>
      </c>
      <c r="I110" t="str">
        <f>TCD!F110</f>
        <v>FR</v>
      </c>
      <c r="J110" t="str">
        <f>TCD!V110</f>
        <v>21France33</v>
      </c>
      <c r="K110">
        <f>TCD!Q110</f>
        <v>1</v>
      </c>
      <c r="L110">
        <f>TCD!S110</f>
        <v>110</v>
      </c>
      <c r="M110" t="s">
        <v>266</v>
      </c>
      <c r="N110">
        <f t="shared" si="3"/>
        <v>0.2</v>
      </c>
      <c r="O110" s="15" t="str">
        <f>IF(TCD!N110=0,"",TCD!N110)</f>
        <v/>
      </c>
      <c r="P110" s="15" t="str">
        <f>IF(TCD!G110=0,"",TCD!G110)</f>
        <v/>
      </c>
      <c r="Q110" s="15" t="str">
        <f>IF(TCD!H110=0,"",TCD!H110)</f>
        <v/>
      </c>
      <c r="R110" s="15" t="str">
        <f>IF(TCD!I110=0,"",TCD!I110)</f>
        <v/>
      </c>
      <c r="S110" s="15" t="str">
        <f>IF(TCD!J110=0,"",TCD!J110)</f>
        <v/>
      </c>
      <c r="T110" s="15">
        <f>IF(TCD!K110=0,"",TCD!K110)</f>
        <v>64.03</v>
      </c>
      <c r="U110" s="15" t="str">
        <f>IF(TCD!L110=0,"",TCD!L110)</f>
        <v/>
      </c>
    </row>
    <row r="111" spans="1:21" x14ac:dyDescent="0.35">
      <c r="A111" t="s">
        <v>264</v>
      </c>
      <c r="B111" s="7">
        <f t="shared" si="2"/>
        <v>46174</v>
      </c>
      <c r="C111" t="str">
        <f>TCD!D111</f>
        <v>26A060536426</v>
      </c>
      <c r="F111" t="str">
        <f>TCD!C111</f>
        <v>EXP20260612-2796040</v>
      </c>
      <c r="G111" t="str">
        <f>TCD!E111</f>
        <v>AUREL GREGORY Gregory AUREL (ENTREPRISE)</v>
      </c>
      <c r="H111" t="s">
        <v>265</v>
      </c>
      <c r="I111" t="str">
        <f>TCD!F111</f>
        <v>FR</v>
      </c>
      <c r="J111" t="str">
        <f>TCD!V111</f>
        <v>21France81</v>
      </c>
      <c r="K111">
        <f>TCD!Q111</f>
        <v>1</v>
      </c>
      <c r="L111">
        <f>TCD!S111</f>
        <v>24</v>
      </c>
      <c r="M111" t="s">
        <v>266</v>
      </c>
      <c r="N111">
        <f t="shared" si="3"/>
        <v>0.2</v>
      </c>
      <c r="O111" s="15" t="str">
        <f>IF(TCD!N111=0,"",TCD!N111)</f>
        <v/>
      </c>
      <c r="P111" s="15" t="str">
        <f>IF(TCD!G111=0,"",TCD!G111)</f>
        <v/>
      </c>
      <c r="Q111" s="15" t="str">
        <f>IF(TCD!H111=0,"",TCD!H111)</f>
        <v/>
      </c>
      <c r="R111" s="15" t="str">
        <f>IF(TCD!I111=0,"",TCD!I111)</f>
        <v/>
      </c>
      <c r="S111" s="15" t="str">
        <f>IF(TCD!J111=0,"",TCD!J111)</f>
        <v/>
      </c>
      <c r="T111" s="15">
        <f>IF(TCD!K111=0,"",TCD!K111)</f>
        <v>38.129999999999995</v>
      </c>
      <c r="U111" s="15" t="str">
        <f>IF(TCD!L111=0,"",TCD!L111)</f>
        <v/>
      </c>
    </row>
    <row r="112" spans="1:21" x14ac:dyDescent="0.35">
      <c r="A112" t="s">
        <v>264</v>
      </c>
      <c r="B112" s="7">
        <f t="shared" si="2"/>
        <v>46174</v>
      </c>
      <c r="C112" t="str">
        <f>TCD!D112</f>
        <v>26A060536425</v>
      </c>
      <c r="F112" t="str">
        <f>TCD!C112</f>
        <v>EXP20260612-2796088</v>
      </c>
      <c r="G112" t="str">
        <f>TCD!E112</f>
        <v>ANTOINE RENIAUME Antoine RENIAUME (ENTREPRISE)</v>
      </c>
      <c r="H112" t="s">
        <v>265</v>
      </c>
      <c r="I112" t="str">
        <f>TCD!F112</f>
        <v>FR</v>
      </c>
      <c r="J112" t="str">
        <f>TCD!V112</f>
        <v>21France71</v>
      </c>
      <c r="K112">
        <f>TCD!Q112</f>
        <v>1</v>
      </c>
      <c r="L112">
        <f>TCD!S112</f>
        <v>40</v>
      </c>
      <c r="M112" t="s">
        <v>266</v>
      </c>
      <c r="N112">
        <f t="shared" si="3"/>
        <v>0.2</v>
      </c>
      <c r="O112" s="15" t="str">
        <f>IF(TCD!N112=0,"",TCD!N112)</f>
        <v/>
      </c>
      <c r="P112" s="15" t="str">
        <f>IF(TCD!G112=0,"",TCD!G112)</f>
        <v/>
      </c>
      <c r="Q112" s="15" t="str">
        <f>IF(TCD!H112=0,"",TCD!H112)</f>
        <v/>
      </c>
      <c r="R112" s="15" t="str">
        <f>IF(TCD!I112=0,"",TCD!I112)</f>
        <v/>
      </c>
      <c r="S112" s="15" t="str">
        <f>IF(TCD!J112=0,"",TCD!J112)</f>
        <v/>
      </c>
      <c r="T112" s="15">
        <f>IF(TCD!K112=0,"",TCD!K112)</f>
        <v>24.849999999999998</v>
      </c>
      <c r="U112" s="15" t="str">
        <f>IF(TCD!L112=0,"",TCD!L112)</f>
        <v/>
      </c>
    </row>
    <row r="113" spans="1:21" x14ac:dyDescent="0.35">
      <c r="A113" t="s">
        <v>264</v>
      </c>
      <c r="B113" s="7">
        <f t="shared" si="2"/>
        <v>46174</v>
      </c>
      <c r="C113" t="str">
        <f>TCD!D113</f>
        <v>26A060536419</v>
      </c>
      <c r="F113" t="str">
        <f>TCD!C113</f>
        <v>EXP20260614-2797923</v>
      </c>
      <c r="G113" t="str">
        <f>TCD!E113</f>
        <v>SCEA DOMAINE DU CHAPITRE DORTHE FRE (ENTREPRISE)</v>
      </c>
      <c r="H113" t="s">
        <v>265</v>
      </c>
      <c r="I113" t="str">
        <f>TCD!F113</f>
        <v>FR</v>
      </c>
      <c r="J113" t="str">
        <f>TCD!V113</f>
        <v>21France07</v>
      </c>
      <c r="K113">
        <f>TCD!Q113</f>
        <v>1</v>
      </c>
      <c r="L113">
        <f>TCD!S113</f>
        <v>44</v>
      </c>
      <c r="M113" t="s">
        <v>266</v>
      </c>
      <c r="N113">
        <f t="shared" si="3"/>
        <v>0.2</v>
      </c>
      <c r="O113" s="15" t="str">
        <f>IF(TCD!N113=0,"",TCD!N113)</f>
        <v/>
      </c>
      <c r="P113" s="15" t="str">
        <f>IF(TCD!G113=0,"",TCD!G113)</f>
        <v/>
      </c>
      <c r="Q113" s="15" t="str">
        <f>IF(TCD!H113=0,"",TCD!H113)</f>
        <v/>
      </c>
      <c r="R113" s="15" t="str">
        <f>IF(TCD!I113=0,"",TCD!I113)</f>
        <v/>
      </c>
      <c r="S113" s="15" t="str">
        <f>IF(TCD!J113=0,"",TCD!J113)</f>
        <v/>
      </c>
      <c r="T113" s="15">
        <f>IF(TCD!K113=0,"",TCD!K113)</f>
        <v>30.7</v>
      </c>
      <c r="U113" s="15" t="str">
        <f>IF(TCD!L113=0,"",TCD!L113)</f>
        <v/>
      </c>
    </row>
    <row r="114" spans="1:21" x14ac:dyDescent="0.35">
      <c r="A114" t="s">
        <v>264</v>
      </c>
      <c r="B114" s="7">
        <f t="shared" si="2"/>
        <v>46174</v>
      </c>
      <c r="C114" t="str">
        <f>TCD!D114</f>
        <v>26A060536422</v>
      </c>
      <c r="F114" t="str">
        <f>TCD!C114</f>
        <v>EXP20260615-2798647</v>
      </c>
      <c r="G114" t="str">
        <f>TCD!E114</f>
        <v>DOMAINE DE CANTALAUZE PIERRE-OLIVIE (ENTREPRISE)</v>
      </c>
      <c r="H114" t="s">
        <v>265</v>
      </c>
      <c r="I114" t="str">
        <f>TCD!F114</f>
        <v>FR</v>
      </c>
      <c r="J114" t="str">
        <f>TCD!V114</f>
        <v>21France81</v>
      </c>
      <c r="K114">
        <f>TCD!Q114</f>
        <v>1</v>
      </c>
      <c r="L114">
        <f>TCD!S114</f>
        <v>56</v>
      </c>
      <c r="M114" t="s">
        <v>266</v>
      </c>
      <c r="N114">
        <f t="shared" si="3"/>
        <v>0.2</v>
      </c>
      <c r="O114" s="15" t="str">
        <f>IF(TCD!N114=0,"",TCD!N114)</f>
        <v/>
      </c>
      <c r="P114" s="15" t="str">
        <f>IF(TCD!G114=0,"",TCD!G114)</f>
        <v/>
      </c>
      <c r="Q114" s="15" t="str">
        <f>IF(TCD!H114=0,"",TCD!H114)</f>
        <v/>
      </c>
      <c r="R114" s="15" t="str">
        <f>IF(TCD!I114=0,"",TCD!I114)</f>
        <v/>
      </c>
      <c r="S114" s="15" t="str">
        <f>IF(TCD!J114=0,"",TCD!J114)</f>
        <v/>
      </c>
      <c r="T114" s="15">
        <f>IF(TCD!K114=0,"",TCD!K114)</f>
        <v>45.8</v>
      </c>
      <c r="U114" s="15" t="str">
        <f>IF(TCD!L114=0,"",TCD!L114)</f>
        <v/>
      </c>
    </row>
    <row r="115" spans="1:21" x14ac:dyDescent="0.35">
      <c r="A115" t="s">
        <v>264</v>
      </c>
      <c r="B115" s="7">
        <f t="shared" si="2"/>
        <v>46174</v>
      </c>
      <c r="C115" t="str">
        <f>TCD!D115</f>
        <v>26A060536420</v>
      </c>
      <c r="F115" t="str">
        <f>TCD!C115</f>
        <v>EXP20260615-2798782</v>
      </c>
      <c r="G115" t="str">
        <f>TCD!E115</f>
        <v>MARAVENNE SELECTION BERNARD LURQUIN (ENTREPRISE)</v>
      </c>
      <c r="H115" t="s">
        <v>265</v>
      </c>
      <c r="I115" t="str">
        <f>TCD!F115</f>
        <v>FR</v>
      </c>
      <c r="J115" t="str">
        <f>TCD!V115</f>
        <v>21France83</v>
      </c>
      <c r="K115">
        <f>TCD!Q115</f>
        <v>1</v>
      </c>
      <c r="L115">
        <f>TCD!S115</f>
        <v>23</v>
      </c>
      <c r="M115" t="s">
        <v>266</v>
      </c>
      <c r="N115">
        <f t="shared" si="3"/>
        <v>0.2</v>
      </c>
      <c r="O115" s="15" t="str">
        <f>IF(TCD!N115=0,"",TCD!N115)</f>
        <v/>
      </c>
      <c r="P115" s="15" t="str">
        <f>IF(TCD!G115=0,"",TCD!G115)</f>
        <v/>
      </c>
      <c r="Q115" s="15" t="str">
        <f>IF(TCD!H115=0,"",TCD!H115)</f>
        <v/>
      </c>
      <c r="R115" s="15" t="str">
        <f>IF(TCD!I115=0,"",TCD!I115)</f>
        <v/>
      </c>
      <c r="S115" s="15" t="str">
        <f>IF(TCD!J115=0,"",TCD!J115)</f>
        <v/>
      </c>
      <c r="T115" s="15">
        <f>IF(TCD!K115=0,"",TCD!K115)</f>
        <v>40.299999999999997</v>
      </c>
      <c r="U115" s="15" t="str">
        <f>IF(TCD!L115=0,"",TCD!L115)</f>
        <v/>
      </c>
    </row>
    <row r="116" spans="1:21" x14ac:dyDescent="0.35">
      <c r="A116" t="s">
        <v>264</v>
      </c>
      <c r="B116" s="7">
        <f t="shared" si="2"/>
        <v>46174</v>
      </c>
      <c r="C116" t="str">
        <f>TCD!D116</f>
        <v>26A060536417</v>
      </c>
      <c r="F116" t="str">
        <f>TCD!C116</f>
        <v>EXP20260615-2798783</v>
      </c>
      <c r="G116" t="str">
        <f>TCD!E116</f>
        <v>SARL DOMAINE MARC ROUGEOT MARC ROUG (ENTREPRISE)</v>
      </c>
      <c r="H116" t="s">
        <v>265</v>
      </c>
      <c r="I116" t="str">
        <f>TCD!F116</f>
        <v>FR</v>
      </c>
      <c r="J116" t="str">
        <f>TCD!V116</f>
        <v>21France21</v>
      </c>
      <c r="K116">
        <f>TCD!Q116</f>
        <v>1</v>
      </c>
      <c r="L116">
        <f>TCD!S116</f>
        <v>87</v>
      </c>
      <c r="M116" t="s">
        <v>266</v>
      </c>
      <c r="N116">
        <f t="shared" si="3"/>
        <v>0.2</v>
      </c>
      <c r="O116" s="15" t="str">
        <f>IF(TCD!N116=0,"",TCD!N116)</f>
        <v/>
      </c>
      <c r="P116" s="15" t="str">
        <f>IF(TCD!G116=0,"",TCD!G116)</f>
        <v/>
      </c>
      <c r="Q116" s="15" t="str">
        <f>IF(TCD!H116=0,"",TCD!H116)</f>
        <v/>
      </c>
      <c r="R116" s="15" t="str">
        <f>IF(TCD!I116=0,"",TCD!I116)</f>
        <v/>
      </c>
      <c r="S116" s="15" t="str">
        <f>IF(TCD!J116=0,"",TCD!J116)</f>
        <v/>
      </c>
      <c r="T116" s="15">
        <f>IF(TCD!K116=0,"",TCD!K116)</f>
        <v>26.63</v>
      </c>
      <c r="U116" s="15" t="str">
        <f>IF(TCD!L116=0,"",TCD!L116)</f>
        <v/>
      </c>
    </row>
    <row r="117" spans="1:21" x14ac:dyDescent="0.35">
      <c r="A117" t="s">
        <v>264</v>
      </c>
      <c r="B117" s="7">
        <f t="shared" si="2"/>
        <v>46174</v>
      </c>
      <c r="C117" t="str">
        <f>TCD!D117</f>
        <v>26A060536427</v>
      </c>
      <c r="F117" t="str">
        <f>TCD!C117</f>
        <v>EXP20260615-2799004</v>
      </c>
      <c r="G117" t="str">
        <f>TCD!E117</f>
        <v>DOMAINE ROLAND GRANGIER CELINE GRAN (ENTREPRISE)</v>
      </c>
      <c r="H117" t="s">
        <v>265</v>
      </c>
      <c r="I117" t="str">
        <f>TCD!F117</f>
        <v>FR</v>
      </c>
      <c r="J117" t="str">
        <f>TCD!V117</f>
        <v>21France42</v>
      </c>
      <c r="K117">
        <f>TCD!Q117</f>
        <v>2</v>
      </c>
      <c r="L117">
        <f>TCD!S117</f>
        <v>222</v>
      </c>
      <c r="M117" t="s">
        <v>266</v>
      </c>
      <c r="N117">
        <f t="shared" si="3"/>
        <v>0.2</v>
      </c>
      <c r="O117" s="15" t="str">
        <f>IF(TCD!N117=0,"",TCD!N117)</f>
        <v/>
      </c>
      <c r="P117" s="15" t="str">
        <f>IF(TCD!G117=0,"",TCD!G117)</f>
        <v/>
      </c>
      <c r="Q117" s="15" t="str">
        <f>IF(TCD!H117=0,"",TCD!H117)</f>
        <v/>
      </c>
      <c r="R117" s="15" t="str">
        <f>IF(TCD!I117=0,"",TCD!I117)</f>
        <v/>
      </c>
      <c r="S117" s="15" t="str">
        <f>IF(TCD!J117=0,"",TCD!J117)</f>
        <v/>
      </c>
      <c r="T117" s="15">
        <f>IF(TCD!K117=0,"",TCD!K117)</f>
        <v>93.350000000000009</v>
      </c>
      <c r="U117" s="15" t="str">
        <f>IF(TCD!L117=0,"",TCD!L117)</f>
        <v/>
      </c>
    </row>
    <row r="118" spans="1:21" x14ac:dyDescent="0.35">
      <c r="A118" t="s">
        <v>264</v>
      </c>
      <c r="B118" s="7">
        <f t="shared" si="2"/>
        <v>46174</v>
      </c>
      <c r="C118" t="str">
        <f>TCD!D118</f>
        <v>26A060588670</v>
      </c>
      <c r="F118" t="str">
        <f>TCD!C118</f>
        <v>EXP20260615-2799188</v>
      </c>
      <c r="G118" t="str">
        <f>TCD!E118</f>
        <v>VERAISON Clement DEVEVEY (ENTREPRISE)</v>
      </c>
      <c r="H118" t="s">
        <v>265</v>
      </c>
      <c r="I118" t="str">
        <f>TCD!F118</f>
        <v>FR</v>
      </c>
      <c r="J118" t="str">
        <f>TCD!V118</f>
        <v>21France71</v>
      </c>
      <c r="K118">
        <f>TCD!Q118</f>
        <v>2</v>
      </c>
      <c r="L118">
        <f>TCD!S118</f>
        <v>220</v>
      </c>
      <c r="M118" t="s">
        <v>266</v>
      </c>
      <c r="N118">
        <f t="shared" si="3"/>
        <v>0.2</v>
      </c>
      <c r="O118" s="15" t="str">
        <f>IF(TCD!N118=0,"",TCD!N118)</f>
        <v/>
      </c>
      <c r="P118" s="15" t="str">
        <f>IF(TCD!G118=0,"",TCD!G118)</f>
        <v/>
      </c>
      <c r="Q118" s="15" t="str">
        <f>IF(TCD!H118=0,"",TCD!H118)</f>
        <v/>
      </c>
      <c r="R118" s="15" t="str">
        <f>IF(TCD!I118=0,"",TCD!I118)</f>
        <v/>
      </c>
      <c r="S118" s="15" t="str">
        <f>IF(TCD!J118=0,"",TCD!J118)</f>
        <v/>
      </c>
      <c r="T118" s="15">
        <f>IF(TCD!K118=0,"",TCD!K118)</f>
        <v>75.73</v>
      </c>
      <c r="U118" s="15" t="str">
        <f>IF(TCD!L118=0,"",TCD!L118)</f>
        <v/>
      </c>
    </row>
    <row r="119" spans="1:21" x14ac:dyDescent="0.35">
      <c r="A119" t="s">
        <v>264</v>
      </c>
      <c r="B119" s="7">
        <f t="shared" si="2"/>
        <v>46174</v>
      </c>
      <c r="C119" t="str">
        <f>TCD!D119</f>
        <v>26A060588668</v>
      </c>
      <c r="F119" t="str">
        <f>TCD!C119</f>
        <v>EXP20260615-2799257</v>
      </c>
      <c r="G119" t="str">
        <f>TCD!E119</f>
        <v>SAUMAIZE MICHELIN Lisa SAUMAIZE (ENTREPRISE)</v>
      </c>
      <c r="H119" t="s">
        <v>265</v>
      </c>
      <c r="I119" t="str">
        <f>TCD!F119</f>
        <v>FR</v>
      </c>
      <c r="J119" t="str">
        <f>TCD!V119</f>
        <v>21France71</v>
      </c>
      <c r="K119">
        <f>TCD!Q119</f>
        <v>1</v>
      </c>
      <c r="L119">
        <f>TCD!S119</f>
        <v>63</v>
      </c>
      <c r="M119" t="s">
        <v>266</v>
      </c>
      <c r="N119">
        <f t="shared" si="3"/>
        <v>0.2</v>
      </c>
      <c r="O119" s="15" t="str">
        <f>IF(TCD!N119=0,"",TCD!N119)</f>
        <v/>
      </c>
      <c r="P119" s="15" t="str">
        <f>IF(TCD!G119=0,"",TCD!G119)</f>
        <v/>
      </c>
      <c r="Q119" s="15" t="str">
        <f>IF(TCD!H119=0,"",TCD!H119)</f>
        <v/>
      </c>
      <c r="R119" s="15" t="str">
        <f>IF(TCD!I119=0,"",TCD!I119)</f>
        <v/>
      </c>
      <c r="S119" s="15" t="str">
        <f>IF(TCD!J119=0,"",TCD!J119)</f>
        <v/>
      </c>
      <c r="T119" s="15">
        <f>IF(TCD!K119=0,"",TCD!K119)</f>
        <v>26.83</v>
      </c>
      <c r="U119" s="15" t="str">
        <f>IF(TCD!L119=0,"",TCD!L119)</f>
        <v/>
      </c>
    </row>
    <row r="120" spans="1:21" x14ac:dyDescent="0.35">
      <c r="A120" t="s">
        <v>264</v>
      </c>
      <c r="B120" s="7">
        <f t="shared" si="2"/>
        <v>46174</v>
      </c>
      <c r="C120" t="str">
        <f>TCD!D120</f>
        <v>26A060641579</v>
      </c>
      <c r="F120" t="str">
        <f>TCD!C120</f>
        <v>EXP20260615-2799645</v>
      </c>
      <c r="G120" t="str">
        <f>TCD!E120</f>
        <v>SCEA DES GALLOIRES</v>
      </c>
      <c r="H120" t="s">
        <v>265</v>
      </c>
      <c r="I120" t="str">
        <f>TCD!F120</f>
        <v>FR</v>
      </c>
      <c r="J120" t="str">
        <f>TCD!V120</f>
        <v>21France49</v>
      </c>
      <c r="K120">
        <f>TCD!Q120</f>
        <v>2</v>
      </c>
      <c r="L120">
        <f>TCD!S120</f>
        <v>314</v>
      </c>
      <c r="M120" t="s">
        <v>266</v>
      </c>
      <c r="N120">
        <f t="shared" si="3"/>
        <v>0.2</v>
      </c>
      <c r="O120" s="15" t="str">
        <f>IF(TCD!N120=0,"",TCD!N120)</f>
        <v/>
      </c>
      <c r="P120" s="15" t="str">
        <f>IF(TCD!G120=0,"",TCD!G120)</f>
        <v/>
      </c>
      <c r="Q120" s="15" t="str">
        <f>IF(TCD!H120=0,"",TCD!H120)</f>
        <v/>
      </c>
      <c r="R120" s="15" t="str">
        <f>IF(TCD!I120=0,"",TCD!I120)</f>
        <v/>
      </c>
      <c r="S120" s="15" t="str">
        <f>IF(TCD!J120=0,"",TCD!J120)</f>
        <v/>
      </c>
      <c r="T120" s="15">
        <f>IF(TCD!K120=0,"",TCD!K120)</f>
        <v>126.09</v>
      </c>
      <c r="U120" s="15" t="str">
        <f>IF(TCD!L120=0,"",TCD!L120)</f>
        <v/>
      </c>
    </row>
    <row r="121" spans="1:21" x14ac:dyDescent="0.35">
      <c r="A121" t="s">
        <v>264</v>
      </c>
      <c r="B121" s="7">
        <f t="shared" si="2"/>
        <v>46174</v>
      </c>
      <c r="C121" t="str">
        <f>TCD!D121</f>
        <v>26A060641608</v>
      </c>
      <c r="F121" t="str">
        <f>TCD!C121</f>
        <v>EXP20260615-2799936</v>
      </c>
      <c r="G121" t="str">
        <f>TCD!E121</f>
        <v>Magnum Pierre Fiona (ENTREPRISE)</v>
      </c>
      <c r="H121" t="s">
        <v>265</v>
      </c>
      <c r="I121" t="str">
        <f>TCD!F121</f>
        <v>FR</v>
      </c>
      <c r="J121" t="str">
        <f>TCD!V121</f>
        <v>21France21</v>
      </c>
      <c r="K121">
        <f>TCD!Q121</f>
        <v>1</v>
      </c>
      <c r="L121">
        <f>TCD!S121</f>
        <v>48</v>
      </c>
      <c r="M121" t="s">
        <v>266</v>
      </c>
      <c r="N121">
        <f t="shared" si="3"/>
        <v>0.2</v>
      </c>
      <c r="O121" s="15" t="str">
        <f>IF(TCD!N121=0,"",TCD!N121)</f>
        <v/>
      </c>
      <c r="P121" s="15" t="str">
        <f>IF(TCD!G121=0,"",TCD!G121)</f>
        <v/>
      </c>
      <c r="Q121" s="15" t="str">
        <f>IF(TCD!H121=0,"",TCD!H121)</f>
        <v/>
      </c>
      <c r="R121" s="15" t="str">
        <f>IF(TCD!I121=0,"",TCD!I121)</f>
        <v/>
      </c>
      <c r="S121" s="15" t="str">
        <f>IF(TCD!J121=0,"",TCD!J121)</f>
        <v/>
      </c>
      <c r="T121" s="15">
        <f>IF(TCD!K121=0,"",TCD!K121)</f>
        <v>23.36</v>
      </c>
      <c r="U121" s="15" t="str">
        <f>IF(TCD!L121=0,"",TCD!L121)</f>
        <v/>
      </c>
    </row>
    <row r="122" spans="1:21" x14ac:dyDescent="0.35">
      <c r="A122" t="s">
        <v>264</v>
      </c>
      <c r="B122" s="7">
        <f t="shared" si="2"/>
        <v>46174</v>
      </c>
      <c r="C122" t="str">
        <f>TCD!D122</f>
        <v>26A060641603</v>
      </c>
      <c r="F122" t="str">
        <f>TCD!C122</f>
        <v>EXP20260616-2800852</v>
      </c>
      <c r="G122" t="str">
        <f>TCD!E122</f>
        <v>JABOULET</v>
      </c>
      <c r="H122" t="s">
        <v>265</v>
      </c>
      <c r="I122" t="str">
        <f>TCD!F122</f>
        <v>FR</v>
      </c>
      <c r="J122" t="str">
        <f>TCD!V122</f>
        <v>21France26</v>
      </c>
      <c r="K122">
        <f>TCD!Q122</f>
        <v>3</v>
      </c>
      <c r="L122">
        <f>TCD!S122</f>
        <v>304</v>
      </c>
      <c r="M122" t="s">
        <v>266</v>
      </c>
      <c r="N122">
        <f t="shared" si="3"/>
        <v>0.2</v>
      </c>
      <c r="O122" s="15" t="str">
        <f>IF(TCD!N122=0,"",TCD!N122)</f>
        <v/>
      </c>
      <c r="P122" s="15" t="str">
        <f>IF(TCD!G122=0,"",TCD!G122)</f>
        <v/>
      </c>
      <c r="Q122" s="15" t="str">
        <f>IF(TCD!H122=0,"",TCD!H122)</f>
        <v/>
      </c>
      <c r="R122" s="15" t="str">
        <f>IF(TCD!I122=0,"",TCD!I122)</f>
        <v/>
      </c>
      <c r="S122" s="15" t="str">
        <f>IF(TCD!J122=0,"",TCD!J122)</f>
        <v/>
      </c>
      <c r="T122" s="15">
        <f>IF(TCD!K122=0,"",TCD!K122)</f>
        <v>134.22</v>
      </c>
      <c r="U122" s="15" t="str">
        <f>IF(TCD!L122=0,"",TCD!L122)</f>
        <v/>
      </c>
    </row>
    <row r="123" spans="1:21" x14ac:dyDescent="0.35">
      <c r="A123" t="s">
        <v>264</v>
      </c>
      <c r="B123" s="7">
        <f t="shared" si="2"/>
        <v>46174</v>
      </c>
      <c r="C123" t="str">
        <f>TCD!D123</f>
        <v>26A060641612</v>
      </c>
      <c r="F123" t="str">
        <f>TCD!C123</f>
        <v>EXP20260616-2801321</v>
      </c>
      <c r="G123" t="str">
        <f>TCD!E123</f>
        <v>SOCIETE PUY GAUDIN Aurelie PREVAUD (ENTREPRISE)</v>
      </c>
      <c r="H123" t="s">
        <v>265</v>
      </c>
      <c r="I123" t="str">
        <f>TCD!F123</f>
        <v>FR</v>
      </c>
      <c r="J123" t="str">
        <f>TCD!V123</f>
        <v>21France17</v>
      </c>
      <c r="K123">
        <f>TCD!Q123</f>
        <v>1</v>
      </c>
      <c r="L123">
        <f>TCD!S123</f>
        <v>124</v>
      </c>
      <c r="M123" t="s">
        <v>266</v>
      </c>
      <c r="N123">
        <f t="shared" si="3"/>
        <v>0.2</v>
      </c>
      <c r="O123" s="15" t="str">
        <f>IF(TCD!N123=0,"",TCD!N123)</f>
        <v/>
      </c>
      <c r="P123" s="15" t="str">
        <f>IF(TCD!G123=0,"",TCD!G123)</f>
        <v/>
      </c>
      <c r="Q123" s="15" t="str">
        <f>IF(TCD!H123=0,"",TCD!H123)</f>
        <v/>
      </c>
      <c r="R123" s="15" t="str">
        <f>IF(TCD!I123=0,"",TCD!I123)</f>
        <v/>
      </c>
      <c r="S123" s="15" t="str">
        <f>IF(TCD!J123=0,"",TCD!J123)</f>
        <v/>
      </c>
      <c r="T123" s="15">
        <f>IF(TCD!K123=0,"",TCD!K123)</f>
        <v>73.210000000000008</v>
      </c>
      <c r="U123" s="15" t="str">
        <f>IF(TCD!L123=0,"",TCD!L123)</f>
        <v/>
      </c>
    </row>
    <row r="124" spans="1:21" x14ac:dyDescent="0.35">
      <c r="A124" t="s">
        <v>264</v>
      </c>
      <c r="B124" s="7">
        <f t="shared" si="2"/>
        <v>46174</v>
      </c>
      <c r="C124" t="str">
        <f>TCD!D124</f>
        <v>26A060641615</v>
      </c>
      <c r="F124" t="str">
        <f>TCD!C124</f>
        <v>EXP20260616-2801839</v>
      </c>
      <c r="G124" t="str">
        <f>TCD!E124</f>
        <v>SAS TRESLUS Sophie ROUMANET (ENTREPRISE)</v>
      </c>
      <c r="H124" t="s">
        <v>265</v>
      </c>
      <c r="I124" t="str">
        <f>TCD!F124</f>
        <v>FR</v>
      </c>
      <c r="J124" t="str">
        <f>TCD!V124</f>
        <v>21France07</v>
      </c>
      <c r="K124">
        <f>TCD!Q124</f>
        <v>1</v>
      </c>
      <c r="L124">
        <f>TCD!S124</f>
        <v>18</v>
      </c>
      <c r="M124" t="s">
        <v>266</v>
      </c>
      <c r="N124">
        <f t="shared" si="3"/>
        <v>0.2</v>
      </c>
      <c r="O124" s="15" t="str">
        <f>IF(TCD!N124=0,"",TCD!N124)</f>
        <v/>
      </c>
      <c r="P124" s="15" t="str">
        <f>IF(TCD!G124=0,"",TCD!G124)</f>
        <v/>
      </c>
      <c r="Q124" s="15" t="str">
        <f>IF(TCD!H124=0,"",TCD!H124)</f>
        <v/>
      </c>
      <c r="R124" s="15" t="str">
        <f>IF(TCD!I124=0,"",TCD!I124)</f>
        <v/>
      </c>
      <c r="S124" s="15" t="str">
        <f>IF(TCD!J124=0,"",TCD!J124)</f>
        <v/>
      </c>
      <c r="T124" s="15">
        <f>IF(TCD!K124=0,"",TCD!K124)</f>
        <v>23.549999999999997</v>
      </c>
      <c r="U124" s="15" t="str">
        <f>IF(TCD!L124=0,"",TCD!L124)</f>
        <v/>
      </c>
    </row>
    <row r="125" spans="1:21" x14ac:dyDescent="0.35">
      <c r="A125" t="s">
        <v>264</v>
      </c>
      <c r="B125" s="7">
        <f t="shared" si="2"/>
        <v>46174</v>
      </c>
      <c r="C125" t="str">
        <f>TCD!D125</f>
        <v>26A060641595</v>
      </c>
      <c r="F125" t="str">
        <f>TCD!C125</f>
        <v>EXP20260616-2801910</v>
      </c>
      <c r="G125" t="str">
        <f>TCD!E125</f>
        <v>CHATEAU FERRY LACOMBE</v>
      </c>
      <c r="H125" t="s">
        <v>265</v>
      </c>
      <c r="I125" t="str">
        <f>TCD!F125</f>
        <v>FR</v>
      </c>
      <c r="J125" t="str">
        <f>TCD!V125</f>
        <v>21France13</v>
      </c>
      <c r="K125">
        <f>TCD!Q125</f>
        <v>1</v>
      </c>
      <c r="L125">
        <f>TCD!S125</f>
        <v>124</v>
      </c>
      <c r="M125" t="s">
        <v>266</v>
      </c>
      <c r="N125">
        <f t="shared" si="3"/>
        <v>0.2</v>
      </c>
      <c r="O125" s="15" t="str">
        <f>IF(TCD!N125=0,"",TCD!N125)</f>
        <v/>
      </c>
      <c r="P125" s="15" t="str">
        <f>IF(TCD!G125=0,"",TCD!G125)</f>
        <v/>
      </c>
      <c r="Q125" s="15" t="str">
        <f>IF(TCD!H125=0,"",TCD!H125)</f>
        <v/>
      </c>
      <c r="R125" s="15" t="str">
        <f>IF(TCD!I125=0,"",TCD!I125)</f>
        <v/>
      </c>
      <c r="S125" s="15" t="str">
        <f>IF(TCD!J125=0,"",TCD!J125)</f>
        <v/>
      </c>
      <c r="T125" s="15">
        <f>IF(TCD!K125=0,"",TCD!K125)</f>
        <v>66.19</v>
      </c>
      <c r="U125" s="15" t="str">
        <f>IF(TCD!L125=0,"",TCD!L125)</f>
        <v/>
      </c>
    </row>
    <row r="126" spans="1:21" x14ac:dyDescent="0.35">
      <c r="A126" t="s">
        <v>264</v>
      </c>
      <c r="B126" s="7">
        <f t="shared" si="2"/>
        <v>46174</v>
      </c>
      <c r="C126" t="str">
        <f>TCD!D126</f>
        <v>26A060641599</v>
      </c>
      <c r="F126" t="str">
        <f>TCD!C126</f>
        <v>EXP20260616-2801911</v>
      </c>
      <c r="G126" t="str">
        <f>TCD!E126</f>
        <v>Earl Remi &amp; Robert NIERO Remi NIERO (ENTREPRISE)</v>
      </c>
      <c r="H126" t="s">
        <v>265</v>
      </c>
      <c r="I126" t="str">
        <f>TCD!F126</f>
        <v>FR</v>
      </c>
      <c r="J126" t="str">
        <f>TCD!V126</f>
        <v>21France69</v>
      </c>
      <c r="K126">
        <f>TCD!Q126</f>
        <v>1</v>
      </c>
      <c r="L126">
        <f>TCD!S126</f>
        <v>55</v>
      </c>
      <c r="M126" t="s">
        <v>266</v>
      </c>
      <c r="N126">
        <f t="shared" si="3"/>
        <v>0.2</v>
      </c>
      <c r="O126" s="15" t="str">
        <f>IF(TCD!N126=0,"",TCD!N126)</f>
        <v/>
      </c>
      <c r="P126" s="15" t="str">
        <f>IF(TCD!G126=0,"",TCD!G126)</f>
        <v/>
      </c>
      <c r="Q126" s="15" t="str">
        <f>IF(TCD!H126=0,"",TCD!H126)</f>
        <v/>
      </c>
      <c r="R126" s="15" t="str">
        <f>IF(TCD!I126=0,"",TCD!I126)</f>
        <v/>
      </c>
      <c r="S126" s="15" t="str">
        <f>IF(TCD!J126=0,"",TCD!J126)</f>
        <v/>
      </c>
      <c r="T126" s="15">
        <f>IF(TCD!K126=0,"",TCD!K126)</f>
        <v>28.34</v>
      </c>
      <c r="U126" s="15" t="str">
        <f>IF(TCD!L126=0,"",TCD!L126)</f>
        <v/>
      </c>
    </row>
    <row r="127" spans="1:21" x14ac:dyDescent="0.35">
      <c r="A127" t="s">
        <v>264</v>
      </c>
      <c r="B127" s="7">
        <f t="shared" si="2"/>
        <v>46174</v>
      </c>
      <c r="C127" t="str">
        <f>TCD!D127</f>
        <v>26A060641586</v>
      </c>
      <c r="F127" t="str">
        <f>TCD!C127</f>
        <v>EXP20260616-2801965</v>
      </c>
      <c r="G127" t="str">
        <f>TCD!E127</f>
        <v>DOMAINE LAFAGE</v>
      </c>
      <c r="H127" t="s">
        <v>265</v>
      </c>
      <c r="I127" t="str">
        <f>TCD!F127</f>
        <v>FR</v>
      </c>
      <c r="J127" t="str">
        <f>TCD!V127</f>
        <v>21France66</v>
      </c>
      <c r="K127">
        <f>TCD!Q127</f>
        <v>1</v>
      </c>
      <c r="L127">
        <f>TCD!S127</f>
        <v>59</v>
      </c>
      <c r="M127" t="s">
        <v>266</v>
      </c>
      <c r="N127">
        <f t="shared" si="3"/>
        <v>0.2</v>
      </c>
      <c r="O127" s="15" t="str">
        <f>IF(TCD!N127=0,"",TCD!N127)</f>
        <v/>
      </c>
      <c r="P127" s="15" t="str">
        <f>IF(TCD!G127=0,"",TCD!G127)</f>
        <v/>
      </c>
      <c r="Q127" s="15" t="str">
        <f>IF(TCD!H127=0,"",TCD!H127)</f>
        <v/>
      </c>
      <c r="R127" s="15" t="str">
        <f>IF(TCD!I127=0,"",TCD!I127)</f>
        <v/>
      </c>
      <c r="S127" s="15" t="str">
        <f>IF(TCD!J127=0,"",TCD!J127)</f>
        <v/>
      </c>
      <c r="T127" s="15">
        <f>IF(TCD!K127=0,"",TCD!K127)</f>
        <v>50.54</v>
      </c>
      <c r="U127" s="15" t="str">
        <f>IF(TCD!L127=0,"",TCD!L127)</f>
        <v/>
      </c>
    </row>
    <row r="128" spans="1:21" x14ac:dyDescent="0.35">
      <c r="A128" t="s">
        <v>264</v>
      </c>
      <c r="B128" s="7">
        <f t="shared" si="2"/>
        <v>46174</v>
      </c>
      <c r="C128" t="str">
        <f>TCD!D128</f>
        <v>26A060641619</v>
      </c>
      <c r="F128" t="str">
        <f>TCD!C128</f>
        <v>EXP20260616-2802024</v>
      </c>
      <c r="G128" t="str">
        <f>TCD!E128</f>
        <v>Domaine Genoux Daniel GENOUX (ENTREPRISE)</v>
      </c>
      <c r="H128" t="s">
        <v>265</v>
      </c>
      <c r="I128" t="str">
        <f>TCD!F128</f>
        <v>FR</v>
      </c>
      <c r="J128" t="str">
        <f>TCD!V128</f>
        <v>21France73</v>
      </c>
      <c r="K128">
        <f>TCD!Q128</f>
        <v>1</v>
      </c>
      <c r="L128">
        <f>TCD!S128</f>
        <v>56</v>
      </c>
      <c r="M128" t="s">
        <v>266</v>
      </c>
      <c r="N128">
        <f t="shared" si="3"/>
        <v>0.2</v>
      </c>
      <c r="O128" s="15" t="str">
        <f>IF(TCD!N128=0,"",TCD!N128)</f>
        <v/>
      </c>
      <c r="P128" s="15" t="str">
        <f>IF(TCD!G128=0,"",TCD!G128)</f>
        <v/>
      </c>
      <c r="Q128" s="15" t="str">
        <f>IF(TCD!H128=0,"",TCD!H128)</f>
        <v/>
      </c>
      <c r="R128" s="15" t="str">
        <f>IF(TCD!I128=0,"",TCD!I128)</f>
        <v/>
      </c>
      <c r="S128" s="15" t="str">
        <f>IF(TCD!J128=0,"",TCD!J128)</f>
        <v/>
      </c>
      <c r="T128" s="15">
        <f>IF(TCD!K128=0,"",TCD!K128)</f>
        <v>31.139999999999997</v>
      </c>
      <c r="U128" s="15" t="str">
        <f>IF(TCD!L128=0,"",TCD!L128)</f>
        <v/>
      </c>
    </row>
    <row r="129" spans="1:21" x14ac:dyDescent="0.35">
      <c r="A129" t="s">
        <v>264</v>
      </c>
      <c r="B129" s="7">
        <f t="shared" si="2"/>
        <v>46174</v>
      </c>
      <c r="C129" t="str">
        <f>TCD!D129</f>
        <v>26A060641589</v>
      </c>
      <c r="F129" t="str">
        <f>TCD!C129</f>
        <v>EXP20260616-2802411</v>
      </c>
      <c r="G129" t="str">
        <f>TCD!E129</f>
        <v>DOMAINE OBRIERE MACKAY CHARLES - GA (ENTREPRISE)</v>
      </c>
      <c r="H129" t="s">
        <v>265</v>
      </c>
      <c r="I129" t="str">
        <f>TCD!F129</f>
        <v>FR</v>
      </c>
      <c r="J129" t="str">
        <f>TCD!V129</f>
        <v>21France34</v>
      </c>
      <c r="K129">
        <f>TCD!Q129</f>
        <v>1</v>
      </c>
      <c r="L129">
        <f>TCD!S129</f>
        <v>34</v>
      </c>
      <c r="M129" t="s">
        <v>266</v>
      </c>
      <c r="N129">
        <f t="shared" si="3"/>
        <v>0.2</v>
      </c>
      <c r="O129" s="15" t="str">
        <f>IF(TCD!N129=0,"",TCD!N129)</f>
        <v/>
      </c>
      <c r="P129" s="15" t="str">
        <f>IF(TCD!G129=0,"",TCD!G129)</f>
        <v/>
      </c>
      <c r="Q129" s="15" t="str">
        <f>IF(TCD!H129=0,"",TCD!H129)</f>
        <v/>
      </c>
      <c r="R129" s="15" t="str">
        <f>IF(TCD!I129=0,"",TCD!I129)</f>
        <v/>
      </c>
      <c r="S129" s="15" t="str">
        <f>IF(TCD!J129=0,"",TCD!J129)</f>
        <v/>
      </c>
      <c r="T129" s="15">
        <f>IF(TCD!K129=0,"",TCD!K129)</f>
        <v>42.78</v>
      </c>
      <c r="U129" s="15" t="str">
        <f>IF(TCD!L129=0,"",TCD!L129)</f>
        <v/>
      </c>
    </row>
    <row r="130" spans="1:21" x14ac:dyDescent="0.35">
      <c r="A130" t="s">
        <v>264</v>
      </c>
      <c r="B130" s="7">
        <f t="shared" si="2"/>
        <v>46174</v>
      </c>
      <c r="C130" t="str">
        <f>TCD!D130</f>
        <v>26A060641582</v>
      </c>
      <c r="F130" t="str">
        <f>TCD!C130</f>
        <v>EXP20260617-2803080</v>
      </c>
      <c r="G130" t="str">
        <f>TCD!E130</f>
        <v>SCEA Vignobles MOUTY Sabine MOUTY (ENTREPRISE)</v>
      </c>
      <c r="H130" t="s">
        <v>265</v>
      </c>
      <c r="I130" t="str">
        <f>TCD!F130</f>
        <v>FR</v>
      </c>
      <c r="J130" t="str">
        <f>TCD!V130</f>
        <v>21France33</v>
      </c>
      <c r="K130">
        <f>TCD!Q130</f>
        <v>2</v>
      </c>
      <c r="L130">
        <f>TCD!S130</f>
        <v>168</v>
      </c>
      <c r="M130" t="s">
        <v>266</v>
      </c>
      <c r="N130">
        <f t="shared" si="3"/>
        <v>0.2</v>
      </c>
      <c r="O130" s="15" t="str">
        <f>IF(TCD!N130=0,"",TCD!N130)</f>
        <v/>
      </c>
      <c r="P130" s="15" t="str">
        <f>IF(TCD!G130=0,"",TCD!G130)</f>
        <v/>
      </c>
      <c r="Q130" s="15" t="str">
        <f>IF(TCD!H130=0,"",TCD!H130)</f>
        <v/>
      </c>
      <c r="R130" s="15" t="str">
        <f>IF(TCD!I130=0,"",TCD!I130)</f>
        <v/>
      </c>
      <c r="S130" s="15" t="str">
        <f>IF(TCD!J130=0,"",TCD!J130)</f>
        <v/>
      </c>
      <c r="T130" s="15">
        <f>IF(TCD!K130=0,"",TCD!K130)</f>
        <v>161.72999999999999</v>
      </c>
      <c r="U130" s="15" t="str">
        <f>IF(TCD!L130=0,"",TCD!L130)</f>
        <v/>
      </c>
    </row>
    <row r="131" spans="1:21" x14ac:dyDescent="0.35">
      <c r="A131" t="s">
        <v>264</v>
      </c>
      <c r="B131" s="7">
        <f t="shared" si="2"/>
        <v>46174</v>
      </c>
      <c r="C131" t="str">
        <f>TCD!D131</f>
        <v>26A060641592</v>
      </c>
      <c r="F131" t="str">
        <f>TCD!C131</f>
        <v>EXP20260617-2803169</v>
      </c>
      <c r="G131" t="str">
        <f>TCD!E131</f>
        <v>SARL SAVEUR DES VINS WILLIAM PERLET (ENTREPRISE)</v>
      </c>
      <c r="H131" t="s">
        <v>265</v>
      </c>
      <c r="I131" t="str">
        <f>TCD!F131</f>
        <v>FR</v>
      </c>
      <c r="J131" t="str">
        <f>TCD!V131</f>
        <v>21France47</v>
      </c>
      <c r="K131">
        <f>TCD!Q131</f>
        <v>1</v>
      </c>
      <c r="L131">
        <f>TCD!S131</f>
        <v>18</v>
      </c>
      <c r="M131" t="s">
        <v>266</v>
      </c>
      <c r="N131">
        <f t="shared" si="3"/>
        <v>0.2</v>
      </c>
      <c r="O131" s="15" t="str">
        <f>IF(TCD!N131=0,"",TCD!N131)</f>
        <v/>
      </c>
      <c r="P131" s="15" t="str">
        <f>IF(TCD!G131=0,"",TCD!G131)</f>
        <v/>
      </c>
      <c r="Q131" s="15" t="str">
        <f>IF(TCD!H131=0,"",TCD!H131)</f>
        <v/>
      </c>
      <c r="R131" s="15" t="str">
        <f>IF(TCD!I131=0,"",TCD!I131)</f>
        <v/>
      </c>
      <c r="S131" s="15" t="str">
        <f>IF(TCD!J131=0,"",TCD!J131)</f>
        <v/>
      </c>
      <c r="T131" s="15">
        <f>IF(TCD!K131=0,"",TCD!K131)</f>
        <v>30.18</v>
      </c>
      <c r="U131" s="15" t="str">
        <f>IF(TCD!L131=0,"",TCD!L131)</f>
        <v/>
      </c>
    </row>
    <row r="132" spans="1:21" x14ac:dyDescent="0.35">
      <c r="A132" t="s">
        <v>264</v>
      </c>
      <c r="B132" s="7">
        <f t="shared" ref="B132:B190" si="4">B131</f>
        <v>46174</v>
      </c>
      <c r="C132" t="str">
        <f>TCD!D132</f>
        <v>26A060641622</v>
      </c>
      <c r="F132" t="str">
        <f>TCD!C132</f>
        <v>EXP20260617-2803213</v>
      </c>
      <c r="G132" t="str">
        <f>TCD!E132</f>
        <v>JOIE DE VIGNE Olivier GAGNARD (ENTREPRISE)</v>
      </c>
      <c r="H132" t="s">
        <v>265</v>
      </c>
      <c r="I132" t="str">
        <f>TCD!F132</f>
        <v>FR</v>
      </c>
      <c r="J132" t="str">
        <f>TCD!V132</f>
        <v>21France24</v>
      </c>
      <c r="K132">
        <f>TCD!Q132</f>
        <v>1</v>
      </c>
      <c r="L132">
        <f>TCD!S132</f>
        <v>56</v>
      </c>
      <c r="M132" t="s">
        <v>266</v>
      </c>
      <c r="N132">
        <f t="shared" ref="N132:N190" si="5">N131</f>
        <v>0.2</v>
      </c>
      <c r="O132" s="15" t="str">
        <f>IF(TCD!N132=0,"",TCD!N132)</f>
        <v/>
      </c>
      <c r="P132" s="15" t="str">
        <f>IF(TCD!G132=0,"",TCD!G132)</f>
        <v/>
      </c>
      <c r="Q132" s="15" t="str">
        <f>IF(TCD!H132=0,"",TCD!H132)</f>
        <v/>
      </c>
      <c r="R132" s="15" t="str">
        <f>IF(TCD!I132=0,"",TCD!I132)</f>
        <v/>
      </c>
      <c r="S132" s="15" t="str">
        <f>IF(TCD!J132=0,"",TCD!J132)</f>
        <v/>
      </c>
      <c r="T132" s="15">
        <f>IF(TCD!K132=0,"",TCD!K132)</f>
        <v>37.549999999999997</v>
      </c>
      <c r="U132" s="15" t="str">
        <f>IF(TCD!L132=0,"",TCD!L132)</f>
        <v/>
      </c>
    </row>
    <row r="133" spans="1:21" x14ac:dyDescent="0.35">
      <c r="A133" t="s">
        <v>264</v>
      </c>
      <c r="B133" s="7">
        <f t="shared" si="4"/>
        <v>46174</v>
      </c>
      <c r="C133" t="str">
        <f>TCD!D133</f>
        <v>26A060691072</v>
      </c>
      <c r="F133" t="str">
        <f>TCD!C133</f>
        <v>EXP20260617-2803325</v>
      </c>
      <c r="G133" t="str">
        <f>TCD!E133</f>
        <v>BUREAU FRANCOIS LILLET Francois LIL (ENTREPRISE)</v>
      </c>
      <c r="H133" t="s">
        <v>265</v>
      </c>
      <c r="I133" t="str">
        <f>TCD!F133</f>
        <v>FR</v>
      </c>
      <c r="J133" t="str">
        <f>TCD!V133</f>
        <v>21France33</v>
      </c>
      <c r="K133">
        <f>TCD!Q133</f>
        <v>1</v>
      </c>
      <c r="L133">
        <f>TCD!S133</f>
        <v>30</v>
      </c>
      <c r="M133" t="s">
        <v>266</v>
      </c>
      <c r="N133">
        <f t="shared" si="5"/>
        <v>0.2</v>
      </c>
      <c r="O133" s="15" t="str">
        <f>IF(TCD!N133=0,"",TCD!N133)</f>
        <v/>
      </c>
      <c r="P133" s="15" t="str">
        <f>IF(TCD!G133=0,"",TCD!G133)</f>
        <v/>
      </c>
      <c r="Q133" s="15" t="str">
        <f>IF(TCD!H133=0,"",TCD!H133)</f>
        <v/>
      </c>
      <c r="R133" s="15" t="str">
        <f>IF(TCD!I133=0,"",TCD!I133)</f>
        <v/>
      </c>
      <c r="S133" s="15" t="str">
        <f>IF(TCD!J133=0,"",TCD!J133)</f>
        <v/>
      </c>
      <c r="T133" s="15">
        <f>IF(TCD!K133=0,"",TCD!K133)</f>
        <v>47.24</v>
      </c>
      <c r="U133" s="15" t="str">
        <f>IF(TCD!L133=0,"",TCD!L133)</f>
        <v/>
      </c>
    </row>
    <row r="134" spans="1:21" x14ac:dyDescent="0.35">
      <c r="A134" t="s">
        <v>264</v>
      </c>
      <c r="B134" s="7">
        <f t="shared" si="4"/>
        <v>46174</v>
      </c>
      <c r="C134" t="str">
        <f>TCD!D134</f>
        <v>26A060691074</v>
      </c>
      <c r="F134" t="str">
        <f>TCD!C134</f>
        <v>EXP20260617-2803522</v>
      </c>
      <c r="G134" t="str">
        <f>TCD!E134</f>
        <v>VIGNES ET VINS PAUL FAZELI (ENTREPRISE)</v>
      </c>
      <c r="H134" t="s">
        <v>265</v>
      </c>
      <c r="I134" t="str">
        <f>TCD!F134</f>
        <v>FR</v>
      </c>
      <c r="J134" t="str">
        <f>TCD!V134</f>
        <v>21France69</v>
      </c>
      <c r="K134">
        <f>TCD!Q134</f>
        <v>1</v>
      </c>
      <c r="L134">
        <f>TCD!S134</f>
        <v>115</v>
      </c>
      <c r="M134" t="s">
        <v>266</v>
      </c>
      <c r="N134">
        <f t="shared" si="5"/>
        <v>0.2</v>
      </c>
      <c r="O134" s="15" t="str">
        <f>IF(TCD!N134=0,"",TCD!N134)</f>
        <v/>
      </c>
      <c r="P134" s="15" t="str">
        <f>IF(TCD!G134=0,"",TCD!G134)</f>
        <v/>
      </c>
      <c r="Q134" s="15">
        <f>IF(TCD!H134=0,"",TCD!H134)</f>
        <v>7</v>
      </c>
      <c r="R134" s="15" t="str">
        <f>IF(TCD!I134=0,"",TCD!I134)</f>
        <v/>
      </c>
      <c r="S134" s="15" t="str">
        <f>IF(TCD!J134=0,"",TCD!J134)</f>
        <v/>
      </c>
      <c r="T134" s="15">
        <f>IF(TCD!K134=0,"",TCD!K134)</f>
        <v>37.18</v>
      </c>
      <c r="U134" s="15" t="str">
        <f>IF(TCD!L134=0,"",TCD!L134)</f>
        <v/>
      </c>
    </row>
    <row r="135" spans="1:21" x14ac:dyDescent="0.35">
      <c r="A135" t="s">
        <v>264</v>
      </c>
      <c r="B135" s="7">
        <f t="shared" si="4"/>
        <v>46174</v>
      </c>
      <c r="C135" t="str">
        <f>TCD!D135</f>
        <v>26A060691076</v>
      </c>
      <c r="F135" t="str">
        <f>TCD!C135</f>
        <v>EXP20260617-2803648</v>
      </c>
      <c r="G135" t="str">
        <f>TCD!E135</f>
        <v>CHATEAU DE FLAUGERGUES Pierre DE CO (ENTREPRISE)</v>
      </c>
      <c r="H135" t="s">
        <v>265</v>
      </c>
      <c r="I135" t="str">
        <f>TCD!F135</f>
        <v>FR</v>
      </c>
      <c r="J135" t="str">
        <f>TCD!V135</f>
        <v>21France34</v>
      </c>
      <c r="K135">
        <f>TCD!Q135</f>
        <v>1</v>
      </c>
      <c r="L135">
        <f>TCD!S135</f>
        <v>72</v>
      </c>
      <c r="M135" t="s">
        <v>266</v>
      </c>
      <c r="N135">
        <f t="shared" si="5"/>
        <v>0.2</v>
      </c>
      <c r="O135" s="15" t="str">
        <f>IF(TCD!N135=0,"",TCD!N135)</f>
        <v/>
      </c>
      <c r="P135" s="15" t="str">
        <f>IF(TCD!G135=0,"",TCD!G135)</f>
        <v/>
      </c>
      <c r="Q135" s="15" t="str">
        <f>IF(TCD!H135=0,"",TCD!H135)</f>
        <v/>
      </c>
      <c r="R135" s="15" t="str">
        <f>IF(TCD!I135=0,"",TCD!I135)</f>
        <v/>
      </c>
      <c r="S135" s="15" t="str">
        <f>IF(TCD!J135=0,"",TCD!J135)</f>
        <v/>
      </c>
      <c r="T135" s="15">
        <f>IF(TCD!K135=0,"",TCD!K135)</f>
        <v>51.68</v>
      </c>
      <c r="U135" s="15" t="str">
        <f>IF(TCD!L135=0,"",TCD!L135)</f>
        <v/>
      </c>
    </row>
    <row r="136" spans="1:21" x14ac:dyDescent="0.35">
      <c r="A136" t="s">
        <v>264</v>
      </c>
      <c r="B136" s="7">
        <f t="shared" si="4"/>
        <v>46174</v>
      </c>
      <c r="C136" t="str">
        <f>TCD!D136</f>
        <v>26A060691075</v>
      </c>
      <c r="F136" t="str">
        <f>TCD!C136</f>
        <v>EXP20260617-2803958</v>
      </c>
      <c r="G136" t="str">
        <f>TCD!E136</f>
        <v>DEPOT PHARMA</v>
      </c>
      <c r="H136" t="s">
        <v>265</v>
      </c>
      <c r="I136" t="str">
        <f>TCD!F136</f>
        <v>FR</v>
      </c>
      <c r="J136" t="str">
        <f>TCD!V136</f>
        <v>21France78</v>
      </c>
      <c r="K136">
        <f>TCD!Q136</f>
        <v>1</v>
      </c>
      <c r="L136">
        <f>TCD!S136</f>
        <v>151</v>
      </c>
      <c r="M136" t="s">
        <v>266</v>
      </c>
      <c r="N136">
        <f t="shared" si="5"/>
        <v>0.2</v>
      </c>
      <c r="O136" s="15" t="str">
        <f>IF(TCD!N136=0,"",TCD!N136)</f>
        <v/>
      </c>
      <c r="P136" s="15" t="str">
        <f>IF(TCD!G136=0,"",TCD!G136)</f>
        <v/>
      </c>
      <c r="Q136" s="15" t="str">
        <f>IF(TCD!H136=0,"",TCD!H136)</f>
        <v/>
      </c>
      <c r="R136" s="15" t="str">
        <f>IF(TCD!I136=0,"",TCD!I136)</f>
        <v/>
      </c>
      <c r="S136" s="15" t="str">
        <f>IF(TCD!J136=0,"",TCD!J136)</f>
        <v/>
      </c>
      <c r="T136" s="15">
        <f>IF(TCD!K136=0,"",TCD!K136)</f>
        <v>61.93</v>
      </c>
      <c r="U136" s="15" t="str">
        <f>IF(TCD!L136=0,"",TCD!L136)</f>
        <v/>
      </c>
    </row>
    <row r="137" spans="1:21" x14ac:dyDescent="0.35">
      <c r="A137" t="s">
        <v>264</v>
      </c>
      <c r="B137" s="7">
        <f t="shared" si="4"/>
        <v>46174</v>
      </c>
      <c r="C137" t="str">
        <f>TCD!D137</f>
        <v>26A060740202</v>
      </c>
      <c r="F137" t="str">
        <f>TCD!C137</f>
        <v>EXP20260617-2803959</v>
      </c>
      <c r="G137" t="str">
        <f>TCD!E137</f>
        <v>Pharmacie Centrale Saint-Denis Phar (ENTREPRISE)</v>
      </c>
      <c r="H137" t="s">
        <v>265</v>
      </c>
      <c r="I137" t="str">
        <f>TCD!F137</f>
        <v>FR</v>
      </c>
      <c r="J137" t="str">
        <f>TCD!V137</f>
        <v>21France93</v>
      </c>
      <c r="K137">
        <f>TCD!Q137</f>
        <v>1</v>
      </c>
      <c r="L137">
        <f>TCD!S137</f>
        <v>56</v>
      </c>
      <c r="M137" t="s">
        <v>266</v>
      </c>
      <c r="N137">
        <f t="shared" si="5"/>
        <v>0.2</v>
      </c>
      <c r="O137" s="15" t="str">
        <f>IF(TCD!N137=0,"",TCD!N137)</f>
        <v/>
      </c>
      <c r="P137" s="15" t="str">
        <f>IF(TCD!G137=0,"",TCD!G137)</f>
        <v/>
      </c>
      <c r="Q137" s="15">
        <f>IF(TCD!H137=0,"",TCD!H137)</f>
        <v>7</v>
      </c>
      <c r="R137" s="15" t="str">
        <f>IF(TCD!I137=0,"",TCD!I137)</f>
        <v/>
      </c>
      <c r="S137" s="15" t="str">
        <f>IF(TCD!J137=0,"",TCD!J137)</f>
        <v/>
      </c>
      <c r="T137" s="15">
        <f>IF(TCD!K137=0,"",TCD!K137)</f>
        <v>38.67</v>
      </c>
      <c r="U137" s="15" t="str">
        <f>IF(TCD!L137=0,"",TCD!L137)</f>
        <v/>
      </c>
    </row>
    <row r="138" spans="1:21" x14ac:dyDescent="0.35">
      <c r="A138" t="s">
        <v>264</v>
      </c>
      <c r="B138" s="7">
        <f t="shared" si="4"/>
        <v>46174</v>
      </c>
      <c r="C138" t="str">
        <f>TCD!D138</f>
        <v>26A060691073</v>
      </c>
      <c r="F138" t="str">
        <f>TCD!C138</f>
        <v>EXP20260617-2804067</v>
      </c>
      <c r="G138" t="str">
        <f>TCD!E138</f>
        <v>DOMAINE LA CHRETIENNE THIERRY SIMON (ENTREPRISE)</v>
      </c>
      <c r="H138" t="s">
        <v>265</v>
      </c>
      <c r="I138" t="str">
        <f>TCD!F138</f>
        <v>FR</v>
      </c>
      <c r="J138" t="str">
        <f>TCD!V138</f>
        <v>21France83</v>
      </c>
      <c r="K138">
        <f>TCD!Q138</f>
        <v>2</v>
      </c>
      <c r="L138">
        <f>TCD!S138</f>
        <v>230</v>
      </c>
      <c r="M138" t="s">
        <v>266</v>
      </c>
      <c r="N138">
        <f t="shared" si="5"/>
        <v>0.2</v>
      </c>
      <c r="O138" s="15" t="str">
        <f>IF(TCD!N138=0,"",TCD!N138)</f>
        <v/>
      </c>
      <c r="P138" s="15" t="str">
        <f>IF(TCD!G138=0,"",TCD!G138)</f>
        <v/>
      </c>
      <c r="Q138" s="15" t="str">
        <f>IF(TCD!H138=0,"",TCD!H138)</f>
        <v/>
      </c>
      <c r="R138" s="15" t="str">
        <f>IF(TCD!I138=0,"",TCD!I138)</f>
        <v/>
      </c>
      <c r="S138" s="15" t="str">
        <f>IF(TCD!J138=0,"",TCD!J138)</f>
        <v/>
      </c>
      <c r="T138" s="15">
        <f>IF(TCD!K138=0,"",TCD!K138)</f>
        <v>153.13</v>
      </c>
      <c r="U138" s="15" t="str">
        <f>IF(TCD!L138=0,"",TCD!L138)</f>
        <v/>
      </c>
    </row>
    <row r="139" spans="1:21" x14ac:dyDescent="0.35">
      <c r="A139" t="s">
        <v>264</v>
      </c>
      <c r="B139" s="7">
        <f t="shared" si="4"/>
        <v>46174</v>
      </c>
      <c r="C139" t="str">
        <f>TCD!D139</f>
        <v>26A060740200</v>
      </c>
      <c r="F139" t="str">
        <f>TCD!C139</f>
        <v>EXP20260618-2805554</v>
      </c>
      <c r="G139" t="str">
        <f>TCD!E139</f>
        <v>LES TERRES DE ST HILAIRE DE VISA El (ENTREPRISE)</v>
      </c>
      <c r="H139" t="s">
        <v>265</v>
      </c>
      <c r="I139" t="str">
        <f>TCD!F139</f>
        <v>FR</v>
      </c>
      <c r="J139" t="str">
        <f>TCD!V139</f>
        <v>21France83</v>
      </c>
      <c r="K139">
        <f>TCD!Q139</f>
        <v>1</v>
      </c>
      <c r="L139">
        <f>TCD!S139</f>
        <v>87</v>
      </c>
      <c r="M139" t="s">
        <v>266</v>
      </c>
      <c r="N139">
        <f t="shared" si="5"/>
        <v>0.2</v>
      </c>
      <c r="O139" s="15" t="str">
        <f>IF(TCD!N139=0,"",TCD!N139)</f>
        <v/>
      </c>
      <c r="P139" s="15" t="str">
        <f>IF(TCD!G139=0,"",TCD!G139)</f>
        <v/>
      </c>
      <c r="Q139" s="15" t="str">
        <f>IF(TCD!H139=0,"",TCD!H139)</f>
        <v/>
      </c>
      <c r="R139" s="15" t="str">
        <f>IF(TCD!I139=0,"",TCD!I139)</f>
        <v/>
      </c>
      <c r="S139" s="15" t="str">
        <f>IF(TCD!J139=0,"",TCD!J139)</f>
        <v/>
      </c>
      <c r="T139" s="15">
        <f>IF(TCD!K139=0,"",TCD!K139)</f>
        <v>56.4</v>
      </c>
      <c r="U139" s="15" t="str">
        <f>IF(TCD!L139=0,"",TCD!L139)</f>
        <v/>
      </c>
    </row>
    <row r="140" spans="1:21" x14ac:dyDescent="0.35">
      <c r="A140" t="s">
        <v>264</v>
      </c>
      <c r="B140" s="7">
        <f t="shared" si="4"/>
        <v>46174</v>
      </c>
      <c r="C140" t="str">
        <f>TCD!D140</f>
        <v>26A060740199</v>
      </c>
      <c r="F140" t="str">
        <f>TCD!C140</f>
        <v>EXP20260618-2805681</v>
      </c>
      <c r="G140" t="str">
        <f>TCD!E140</f>
        <v>Le Clos de Chozieux Jean Luc Gaumon (ENTREPRISE)</v>
      </c>
      <c r="H140" t="s">
        <v>265</v>
      </c>
      <c r="I140" t="str">
        <f>TCD!F140</f>
        <v>FR</v>
      </c>
      <c r="J140" t="str">
        <f>TCD!V140</f>
        <v>21France42</v>
      </c>
      <c r="K140">
        <f>TCD!Q140</f>
        <v>1</v>
      </c>
      <c r="L140">
        <f>TCD!S140</f>
        <v>67</v>
      </c>
      <c r="M140" t="s">
        <v>266</v>
      </c>
      <c r="N140">
        <f t="shared" si="5"/>
        <v>0.2</v>
      </c>
      <c r="O140" s="15" t="str">
        <f>IF(TCD!N140=0,"",TCD!N140)</f>
        <v/>
      </c>
      <c r="P140" s="15" t="str">
        <f>IF(TCD!G140=0,"",TCD!G140)</f>
        <v/>
      </c>
      <c r="Q140" s="15" t="str">
        <f>IF(TCD!H140=0,"",TCD!H140)</f>
        <v/>
      </c>
      <c r="R140" s="15" t="str">
        <f>IF(TCD!I140=0,"",TCD!I140)</f>
        <v/>
      </c>
      <c r="S140" s="15" t="str">
        <f>IF(TCD!J140=0,"",TCD!J140)</f>
        <v/>
      </c>
      <c r="T140" s="15">
        <f>IF(TCD!K140=0,"",TCD!K140)</f>
        <v>32.729999999999997</v>
      </c>
      <c r="U140" s="15" t="str">
        <f>IF(TCD!L140=0,"",TCD!L140)</f>
        <v/>
      </c>
    </row>
    <row r="141" spans="1:21" x14ac:dyDescent="0.35">
      <c r="A141" t="s">
        <v>264</v>
      </c>
      <c r="B141" s="7">
        <f t="shared" si="4"/>
        <v>46174</v>
      </c>
      <c r="C141" t="str">
        <f>TCD!D141</f>
        <v>26A060740201</v>
      </c>
      <c r="F141" t="str">
        <f>TCD!C141</f>
        <v>EXP20260618-2806068</v>
      </c>
      <c r="G141" t="str">
        <f>TCD!E141</f>
        <v>Domaine Xavier Muller Xavier MULLER (ENTREPRISE)</v>
      </c>
      <c r="H141" t="s">
        <v>265</v>
      </c>
      <c r="I141" t="str">
        <f>TCD!F141</f>
        <v>FR</v>
      </c>
      <c r="J141" t="str">
        <f>TCD!V141</f>
        <v>21France67</v>
      </c>
      <c r="K141">
        <f>TCD!Q141</f>
        <v>1</v>
      </c>
      <c r="L141">
        <f>TCD!S141</f>
        <v>132</v>
      </c>
      <c r="M141" t="s">
        <v>266</v>
      </c>
      <c r="N141">
        <f t="shared" si="5"/>
        <v>0.2</v>
      </c>
      <c r="O141" s="15" t="str">
        <f>IF(TCD!N141=0,"",TCD!N141)</f>
        <v/>
      </c>
      <c r="P141" s="15" t="str">
        <f>IF(TCD!G141=0,"",TCD!G141)</f>
        <v/>
      </c>
      <c r="Q141" s="15" t="str">
        <f>IF(TCD!H141=0,"",TCD!H141)</f>
        <v/>
      </c>
      <c r="R141" s="15" t="str">
        <f>IF(TCD!I141=0,"",TCD!I141)</f>
        <v/>
      </c>
      <c r="S141" s="15" t="str">
        <f>IF(TCD!J141=0,"",TCD!J141)</f>
        <v/>
      </c>
      <c r="T141" s="15">
        <f>IF(TCD!K141=0,"",TCD!K141)</f>
        <v>52.47</v>
      </c>
      <c r="U141" s="15" t="str">
        <f>IF(TCD!L141=0,"",TCD!L141)</f>
        <v/>
      </c>
    </row>
    <row r="142" spans="1:21" x14ac:dyDescent="0.35">
      <c r="A142" t="s">
        <v>264</v>
      </c>
      <c r="B142" s="7">
        <f t="shared" si="4"/>
        <v>46174</v>
      </c>
      <c r="C142" t="str">
        <f>TCD!D142</f>
        <v>26A060791236</v>
      </c>
      <c r="F142" t="str">
        <f>TCD!C142</f>
        <v>EXP20260619-2807212</v>
      </c>
      <c r="G142" t="str">
        <f>TCD!E142</f>
        <v>CHATEAU STE CROIX</v>
      </c>
      <c r="H142" t="s">
        <v>265</v>
      </c>
      <c r="I142" t="str">
        <f>TCD!F142</f>
        <v>FR</v>
      </c>
      <c r="J142" t="str">
        <f>TCD!V142</f>
        <v>21France83</v>
      </c>
      <c r="K142">
        <f>TCD!Q142</f>
        <v>1</v>
      </c>
      <c r="L142">
        <f>TCD!S142</f>
        <v>34</v>
      </c>
      <c r="M142" t="s">
        <v>266</v>
      </c>
      <c r="N142">
        <f t="shared" si="5"/>
        <v>0.2</v>
      </c>
      <c r="O142" s="15" t="str">
        <f>IF(TCD!N142=0,"",TCD!N142)</f>
        <v/>
      </c>
      <c r="P142" s="15" t="str">
        <f>IF(TCD!G142=0,"",TCD!G142)</f>
        <v/>
      </c>
      <c r="Q142" s="15" t="str">
        <f>IF(TCD!H142=0,"",TCD!H142)</f>
        <v/>
      </c>
      <c r="R142" s="15" t="str">
        <f>IF(TCD!I142=0,"",TCD!I142)</f>
        <v/>
      </c>
      <c r="S142" s="15" t="str">
        <f>IF(TCD!J142=0,"",TCD!J142)</f>
        <v/>
      </c>
      <c r="T142" s="15">
        <f>IF(TCD!K142=0,"",TCD!K142)</f>
        <v>44.96</v>
      </c>
      <c r="U142" s="15" t="str">
        <f>IF(TCD!L142=0,"",TCD!L142)</f>
        <v/>
      </c>
    </row>
    <row r="143" spans="1:21" x14ac:dyDescent="0.35">
      <c r="A143" t="s">
        <v>264</v>
      </c>
      <c r="B143" s="7">
        <f t="shared" si="4"/>
        <v>46174</v>
      </c>
      <c r="C143" t="str">
        <f>TCD!D143</f>
        <v>26A060791237</v>
      </c>
      <c r="F143" t="str">
        <f>TCD!C143</f>
        <v>EXP20260619-2807520</v>
      </c>
      <c r="G143" t="str">
        <f>TCD!E143</f>
        <v>SARL LES HAUTS DE ROCHEVILLE Philip (ENTREPRISE)</v>
      </c>
      <c r="H143" t="s">
        <v>265</v>
      </c>
      <c r="I143" t="str">
        <f>TCD!F143</f>
        <v>FR</v>
      </c>
      <c r="J143" t="str">
        <f>TCD!V143</f>
        <v>21France49</v>
      </c>
      <c r="K143">
        <f>TCD!Q143</f>
        <v>1</v>
      </c>
      <c r="L143">
        <f>TCD!S143</f>
        <v>121</v>
      </c>
      <c r="M143" t="s">
        <v>266</v>
      </c>
      <c r="N143">
        <f t="shared" si="5"/>
        <v>0.2</v>
      </c>
      <c r="O143" s="15" t="str">
        <f>IF(TCD!N143=0,"",TCD!N143)</f>
        <v/>
      </c>
      <c r="P143" s="15" t="str">
        <f>IF(TCD!G143=0,"",TCD!G143)</f>
        <v/>
      </c>
      <c r="Q143" s="15" t="str">
        <f>IF(TCD!H143=0,"",TCD!H143)</f>
        <v/>
      </c>
      <c r="R143" s="15" t="str">
        <f>IF(TCD!I143=0,"",TCD!I143)</f>
        <v/>
      </c>
      <c r="S143" s="15" t="str">
        <f>IF(TCD!J143=0,"",TCD!J143)</f>
        <v/>
      </c>
      <c r="T143" s="15">
        <f>IF(TCD!K143=0,"",TCD!K143)</f>
        <v>58.949999999999996</v>
      </c>
      <c r="U143" s="15" t="str">
        <f>IF(TCD!L143=0,"",TCD!L143)</f>
        <v/>
      </c>
    </row>
    <row r="144" spans="1:21" x14ac:dyDescent="0.35">
      <c r="A144" t="s">
        <v>264</v>
      </c>
      <c r="B144" s="7">
        <f t="shared" si="4"/>
        <v>46174</v>
      </c>
      <c r="C144" t="str">
        <f>TCD!D144</f>
        <v>26A060791244</v>
      </c>
      <c r="F144" t="str">
        <f>TCD!C144</f>
        <v>EXP20260619-2807521</v>
      </c>
      <c r="G144" t="str">
        <f>TCD!E144</f>
        <v>LES CAVES DE REUILLY JULIEN PECHINE (ENTREPRISE)</v>
      </c>
      <c r="H144" t="s">
        <v>265</v>
      </c>
      <c r="I144" t="str">
        <f>TCD!F144</f>
        <v>FR</v>
      </c>
      <c r="J144" t="str">
        <f>TCD!V144</f>
        <v>21France75</v>
      </c>
      <c r="K144">
        <f>TCD!Q144</f>
        <v>1</v>
      </c>
      <c r="L144">
        <f>TCD!S144</f>
        <v>28</v>
      </c>
      <c r="M144" t="s">
        <v>266</v>
      </c>
      <c r="N144">
        <f t="shared" si="5"/>
        <v>0.2</v>
      </c>
      <c r="O144" s="15" t="str">
        <f>IF(TCD!N144=0,"",TCD!N144)</f>
        <v/>
      </c>
      <c r="P144" s="15" t="str">
        <f>IF(TCD!G144=0,"",TCD!G144)</f>
        <v/>
      </c>
      <c r="Q144" s="15">
        <f>IF(TCD!H144=0,"",TCD!H144)</f>
        <v>7</v>
      </c>
      <c r="R144" s="15" t="str">
        <f>IF(TCD!I144=0,"",TCD!I144)</f>
        <v/>
      </c>
      <c r="S144" s="15" t="str">
        <f>IF(TCD!J144=0,"",TCD!J144)</f>
        <v/>
      </c>
      <c r="T144" s="15">
        <f>IF(TCD!K144=0,"",TCD!K144)</f>
        <v>30.919999999999998</v>
      </c>
      <c r="U144" s="15" t="str">
        <f>IF(TCD!L144=0,"",TCD!L144)</f>
        <v/>
      </c>
    </row>
    <row r="145" spans="1:21" x14ac:dyDescent="0.35">
      <c r="A145" t="s">
        <v>264</v>
      </c>
      <c r="B145" s="7">
        <f t="shared" si="4"/>
        <v>46174</v>
      </c>
      <c r="C145" t="str">
        <f>TCD!D145</f>
        <v>26A060791238</v>
      </c>
      <c r="F145" t="str">
        <f>TCD!C145</f>
        <v>EXP20260619-2807740</v>
      </c>
      <c r="G145" t="str">
        <f>TCD!E145</f>
        <v>SOCIETE DES VINS DE PIZAY Schneider (ENTREPRISE)</v>
      </c>
      <c r="H145" t="s">
        <v>265</v>
      </c>
      <c r="I145" t="str">
        <f>TCD!F145</f>
        <v>FR</v>
      </c>
      <c r="J145" t="str">
        <f>TCD!V145</f>
        <v>21France69</v>
      </c>
      <c r="K145">
        <f>TCD!Q145</f>
        <v>1</v>
      </c>
      <c r="L145">
        <f>TCD!S145</f>
        <v>72</v>
      </c>
      <c r="M145" t="s">
        <v>266</v>
      </c>
      <c r="N145">
        <f t="shared" si="5"/>
        <v>0.2</v>
      </c>
      <c r="O145" s="15" t="str">
        <f>IF(TCD!N145=0,"",TCD!N145)</f>
        <v/>
      </c>
      <c r="P145" s="15" t="str">
        <f>IF(TCD!G145=0,"",TCD!G145)</f>
        <v/>
      </c>
      <c r="Q145" s="15" t="str">
        <f>IF(TCD!H145=0,"",TCD!H145)</f>
        <v/>
      </c>
      <c r="R145" s="15" t="str">
        <f>IF(TCD!I145=0,"",TCD!I145)</f>
        <v/>
      </c>
      <c r="S145" s="15" t="str">
        <f>IF(TCD!J145=0,"",TCD!J145)</f>
        <v/>
      </c>
      <c r="T145" s="15">
        <f>IF(TCD!K145=0,"",TCD!K145)</f>
        <v>30.9</v>
      </c>
      <c r="U145" s="15" t="str">
        <f>IF(TCD!L145=0,"",TCD!L145)</f>
        <v/>
      </c>
    </row>
    <row r="146" spans="1:21" x14ac:dyDescent="0.35">
      <c r="A146" t="s">
        <v>264</v>
      </c>
      <c r="B146" s="7">
        <f t="shared" si="4"/>
        <v>46174</v>
      </c>
      <c r="C146" t="str">
        <f>TCD!D146</f>
        <v>26A060791243</v>
      </c>
      <c r="F146" t="str">
        <f>TCD!C146</f>
        <v>EXP20260620-2808305</v>
      </c>
      <c r="G146" t="str">
        <f>TCD!E146</f>
        <v>CAMPANEUS ALEXIS RIVET DE SABATIER (ENTREPRISE)</v>
      </c>
      <c r="H146" t="s">
        <v>265</v>
      </c>
      <c r="I146" t="str">
        <f>TCD!F146</f>
        <v>FR</v>
      </c>
      <c r="J146" t="str">
        <f>TCD!V146</f>
        <v>21France75</v>
      </c>
      <c r="K146">
        <f>TCD!Q146</f>
        <v>1</v>
      </c>
      <c r="L146">
        <f>TCD!S146</f>
        <v>88</v>
      </c>
      <c r="M146" t="s">
        <v>266</v>
      </c>
      <c r="N146">
        <f t="shared" si="5"/>
        <v>0.2</v>
      </c>
      <c r="O146" s="15" t="str">
        <f>IF(TCD!N146=0,"",TCD!N146)</f>
        <v/>
      </c>
      <c r="P146" s="15" t="str">
        <f>IF(TCD!G146=0,"",TCD!G146)</f>
        <v/>
      </c>
      <c r="Q146" s="15">
        <f>IF(TCD!H146=0,"",TCD!H146)</f>
        <v>7</v>
      </c>
      <c r="R146" s="15" t="str">
        <f>IF(TCD!I146=0,"",TCD!I146)</f>
        <v/>
      </c>
      <c r="S146" s="15" t="str">
        <f>IF(TCD!J146=0,"",TCD!J146)</f>
        <v/>
      </c>
      <c r="T146" s="15">
        <f>IF(TCD!K146=0,"",TCD!K146)</f>
        <v>42.37</v>
      </c>
      <c r="U146" s="15" t="str">
        <f>IF(TCD!L146=0,"",TCD!L146)</f>
        <v/>
      </c>
    </row>
    <row r="147" spans="1:21" x14ac:dyDescent="0.35">
      <c r="A147" t="s">
        <v>264</v>
      </c>
      <c r="B147" s="7">
        <f t="shared" si="4"/>
        <v>46174</v>
      </c>
      <c r="C147" t="str">
        <f>TCD!D147</f>
        <v>26A060791240</v>
      </c>
      <c r="F147" t="str">
        <f>TCD!C147</f>
        <v>EXP20260620-2808454</v>
      </c>
      <c r="G147" t="str">
        <f>TCD!E147</f>
        <v>Domaine Dupasquier Veronique DUPASQ (ENTREPRISE)</v>
      </c>
      <c r="H147" t="s">
        <v>265</v>
      </c>
      <c r="I147" t="str">
        <f>TCD!F147</f>
        <v>FR</v>
      </c>
      <c r="J147" t="str">
        <f>TCD!V147</f>
        <v>21France73</v>
      </c>
      <c r="K147">
        <f>TCD!Q147</f>
        <v>1</v>
      </c>
      <c r="L147">
        <f>TCD!S147</f>
        <v>88</v>
      </c>
      <c r="M147" t="s">
        <v>266</v>
      </c>
      <c r="N147">
        <f t="shared" si="5"/>
        <v>0.2</v>
      </c>
      <c r="O147" s="15" t="str">
        <f>IF(TCD!N147=0,"",TCD!N147)</f>
        <v/>
      </c>
      <c r="P147" s="15" t="str">
        <f>IF(TCD!G147=0,"",TCD!G147)</f>
        <v/>
      </c>
      <c r="Q147" s="15" t="str">
        <f>IF(TCD!H147=0,"",TCD!H147)</f>
        <v/>
      </c>
      <c r="R147" s="15" t="str">
        <f>IF(TCD!I147=0,"",TCD!I147)</f>
        <v/>
      </c>
      <c r="S147" s="15" t="str">
        <f>IF(TCD!J147=0,"",TCD!J147)</f>
        <v/>
      </c>
      <c r="T147" s="15">
        <f>IF(TCD!K147=0,"",TCD!K147)</f>
        <v>35.44</v>
      </c>
      <c r="U147" s="15" t="str">
        <f>IF(TCD!L147=0,"",TCD!L147)</f>
        <v/>
      </c>
    </row>
    <row r="148" spans="1:21" x14ac:dyDescent="0.35">
      <c r="A148" t="s">
        <v>264</v>
      </c>
      <c r="B148" s="7">
        <f t="shared" si="4"/>
        <v>46174</v>
      </c>
      <c r="C148" t="str">
        <f>TCD!D148</f>
        <v>26A060791235</v>
      </c>
      <c r="F148" t="str">
        <f>TCD!C148</f>
        <v>EXP20260621-2809330</v>
      </c>
      <c r="G148" t="str">
        <f>TCD!E148</f>
        <v>SAS PICHAT DIFFUSION PICHAT Stephan (ENTREPRISE)</v>
      </c>
      <c r="H148" t="s">
        <v>265</v>
      </c>
      <c r="I148" t="str">
        <f>TCD!F148</f>
        <v>FR</v>
      </c>
      <c r="J148" t="str">
        <f>TCD!V148</f>
        <v>21France69</v>
      </c>
      <c r="K148">
        <f>TCD!Q148</f>
        <v>1</v>
      </c>
      <c r="L148">
        <f>TCD!S148</f>
        <v>126</v>
      </c>
      <c r="M148" t="s">
        <v>266</v>
      </c>
      <c r="N148">
        <f t="shared" si="5"/>
        <v>0.2</v>
      </c>
      <c r="O148" s="15" t="str">
        <f>IF(TCD!N148=0,"",TCD!N148)</f>
        <v/>
      </c>
      <c r="P148" s="15" t="str">
        <f>IF(TCD!G148=0,"",TCD!G148)</f>
        <v/>
      </c>
      <c r="Q148" s="15" t="str">
        <f>IF(TCD!H148=0,"",TCD!H148)</f>
        <v/>
      </c>
      <c r="R148" s="15" t="str">
        <f>IF(TCD!I148=0,"",TCD!I148)</f>
        <v/>
      </c>
      <c r="S148" s="15" t="str">
        <f>IF(TCD!J148=0,"",TCD!J148)</f>
        <v/>
      </c>
      <c r="T148" s="15">
        <f>IF(TCD!K148=0,"",TCD!K148)</f>
        <v>40.1</v>
      </c>
      <c r="U148" s="15" t="str">
        <f>IF(TCD!L148=0,"",TCD!L148)</f>
        <v/>
      </c>
    </row>
    <row r="149" spans="1:21" x14ac:dyDescent="0.35">
      <c r="A149" t="s">
        <v>264</v>
      </c>
      <c r="B149" s="7">
        <f t="shared" si="4"/>
        <v>46174</v>
      </c>
      <c r="C149" t="str">
        <f>TCD!D149</f>
        <v>26A060791233</v>
      </c>
      <c r="F149" t="str">
        <f>TCD!C149</f>
        <v>EXP20260622-2811458</v>
      </c>
      <c r="G149" t="str">
        <f>TCD!E149</f>
        <v>SCEA LES OURSONS Fabien BROTONS (ENTREPRISE)</v>
      </c>
      <c r="H149" t="s">
        <v>265</v>
      </c>
      <c r="I149" t="str">
        <f>TCD!F149</f>
        <v>FR</v>
      </c>
      <c r="J149" t="str">
        <f>TCD!V149</f>
        <v>21France83</v>
      </c>
      <c r="K149">
        <f>TCD!Q149</f>
        <v>1</v>
      </c>
      <c r="L149">
        <f>TCD!S149</f>
        <v>58</v>
      </c>
      <c r="M149" t="s">
        <v>266</v>
      </c>
      <c r="N149">
        <f t="shared" si="5"/>
        <v>0.2</v>
      </c>
      <c r="O149" s="15" t="str">
        <f>IF(TCD!N149=0,"",TCD!N149)</f>
        <v/>
      </c>
      <c r="P149" s="15" t="str">
        <f>IF(TCD!G149=0,"",TCD!G149)</f>
        <v/>
      </c>
      <c r="Q149" s="15" t="str">
        <f>IF(TCD!H149=0,"",TCD!H149)</f>
        <v/>
      </c>
      <c r="R149" s="15" t="str">
        <f>IF(TCD!I149=0,"",TCD!I149)</f>
        <v/>
      </c>
      <c r="S149" s="15" t="str">
        <f>IF(TCD!J149=0,"",TCD!J149)</f>
        <v/>
      </c>
      <c r="T149" s="15">
        <f>IF(TCD!K149=0,"",TCD!K149)</f>
        <v>48.39</v>
      </c>
      <c r="U149" s="15" t="str">
        <f>IF(TCD!L149=0,"",TCD!L149)</f>
        <v/>
      </c>
    </row>
    <row r="150" spans="1:21" x14ac:dyDescent="0.35">
      <c r="A150" t="s">
        <v>264</v>
      </c>
      <c r="B150" s="7">
        <f t="shared" si="4"/>
        <v>46174</v>
      </c>
      <c r="C150" t="str">
        <f>TCD!D150</f>
        <v>26A060791239</v>
      </c>
      <c r="F150" t="str">
        <f>TCD!C150</f>
        <v>EXP20260622-2811664</v>
      </c>
      <c r="G150" t="str">
        <f>TCD!E150</f>
        <v>SCA DU CHATEAU LA BORIE RAPHAEL KNA (ENTREPRISE)</v>
      </c>
      <c r="H150" t="s">
        <v>265</v>
      </c>
      <c r="I150" t="str">
        <f>TCD!F150</f>
        <v>FR</v>
      </c>
      <c r="J150" t="str">
        <f>TCD!V150</f>
        <v>21France26</v>
      </c>
      <c r="K150">
        <f>TCD!Q150</f>
        <v>1</v>
      </c>
      <c r="L150">
        <f>TCD!S150</f>
        <v>27</v>
      </c>
      <c r="M150" t="s">
        <v>266</v>
      </c>
      <c r="N150">
        <f t="shared" si="5"/>
        <v>0.2</v>
      </c>
      <c r="O150" s="15" t="str">
        <f>IF(TCD!N150=0,"",TCD!N150)</f>
        <v/>
      </c>
      <c r="P150" s="15" t="str">
        <f>IF(TCD!G150=0,"",TCD!G150)</f>
        <v/>
      </c>
      <c r="Q150" s="15" t="str">
        <f>IF(TCD!H150=0,"",TCD!H150)</f>
        <v/>
      </c>
      <c r="R150" s="15" t="str">
        <f>IF(TCD!I150=0,"",TCD!I150)</f>
        <v/>
      </c>
      <c r="S150" s="15" t="str">
        <f>IF(TCD!J150=0,"",TCD!J150)</f>
        <v/>
      </c>
      <c r="T150" s="15">
        <f>IF(TCD!K150=0,"",TCD!K150)</f>
        <v>26.599999999999998</v>
      </c>
      <c r="U150" s="15" t="str">
        <f>IF(TCD!L150=0,"",TCD!L150)</f>
        <v/>
      </c>
    </row>
    <row r="151" spans="1:21" x14ac:dyDescent="0.35">
      <c r="A151" t="s">
        <v>264</v>
      </c>
      <c r="B151" s="7">
        <f t="shared" si="4"/>
        <v>46174</v>
      </c>
      <c r="C151" t="str">
        <f>TCD!D151</f>
        <v>26A060791242</v>
      </c>
      <c r="F151" t="str">
        <f>TCD!C151</f>
        <v>EXP20260622-2811738</v>
      </c>
      <c r="G151" t="str">
        <f>TCD!E151</f>
        <v>Cave les Vignerons du Luc Vignerons (ENTREPRISE)</v>
      </c>
      <c r="H151" t="s">
        <v>265</v>
      </c>
      <c r="I151" t="str">
        <f>TCD!F151</f>
        <v>FR</v>
      </c>
      <c r="J151" t="str">
        <f>TCD!V151</f>
        <v>21France83</v>
      </c>
      <c r="K151">
        <f>TCD!Q151</f>
        <v>2</v>
      </c>
      <c r="L151">
        <f>TCD!S151</f>
        <v>264</v>
      </c>
      <c r="M151" t="s">
        <v>266</v>
      </c>
      <c r="N151">
        <f t="shared" si="5"/>
        <v>0.2</v>
      </c>
      <c r="O151" s="15" t="str">
        <f>IF(TCD!N151=0,"",TCD!N151)</f>
        <v/>
      </c>
      <c r="P151" s="15" t="str">
        <f>IF(TCD!G151=0,"",TCD!G151)</f>
        <v/>
      </c>
      <c r="Q151" s="15" t="str">
        <f>IF(TCD!H151=0,"",TCD!H151)</f>
        <v/>
      </c>
      <c r="R151" s="15" t="str">
        <f>IF(TCD!I151=0,"",TCD!I151)</f>
        <v/>
      </c>
      <c r="S151" s="15" t="str">
        <f>IF(TCD!J151=0,"",TCD!J151)</f>
        <v/>
      </c>
      <c r="T151" s="15">
        <f>IF(TCD!K151=0,"",TCD!K151)</f>
        <v>153.13</v>
      </c>
      <c r="U151" s="15" t="str">
        <f>IF(TCD!L151=0,"",TCD!L151)</f>
        <v/>
      </c>
    </row>
    <row r="152" spans="1:21" x14ac:dyDescent="0.35">
      <c r="A152" t="s">
        <v>264</v>
      </c>
      <c r="B152" s="7">
        <f t="shared" si="4"/>
        <v>46174</v>
      </c>
      <c r="C152" t="str">
        <f>TCD!D152</f>
        <v>26A060791234</v>
      </c>
      <c r="F152" t="str">
        <f>TCD!C152</f>
        <v>EXP20260622-2811853</v>
      </c>
      <c r="G152" t="str">
        <f>TCD!E152</f>
        <v>CAVE DE ROUSSET</v>
      </c>
      <c r="H152" t="s">
        <v>265</v>
      </c>
      <c r="I152" t="str">
        <f>TCD!F152</f>
        <v>FR</v>
      </c>
      <c r="J152" t="str">
        <f>TCD!V152</f>
        <v>21France13</v>
      </c>
      <c r="K152">
        <f>TCD!Q152</f>
        <v>1</v>
      </c>
      <c r="L152">
        <f>TCD!S152</f>
        <v>44</v>
      </c>
      <c r="M152" t="s">
        <v>266</v>
      </c>
      <c r="N152">
        <f t="shared" si="5"/>
        <v>0.2</v>
      </c>
      <c r="O152" s="15" t="str">
        <f>IF(TCD!N152=0,"",TCD!N152)</f>
        <v/>
      </c>
      <c r="P152" s="15" t="str">
        <f>IF(TCD!G152=0,"",TCD!G152)</f>
        <v/>
      </c>
      <c r="Q152" s="15" t="str">
        <f>IF(TCD!H152=0,"",TCD!H152)</f>
        <v/>
      </c>
      <c r="R152" s="15" t="str">
        <f>IF(TCD!I152=0,"",TCD!I152)</f>
        <v/>
      </c>
      <c r="S152" s="15" t="str">
        <f>IF(TCD!J152=0,"",TCD!J152)</f>
        <v/>
      </c>
      <c r="T152" s="15">
        <f>IF(TCD!K152=0,"",TCD!K152)</f>
        <v>43.589999999999996</v>
      </c>
      <c r="U152" s="15" t="str">
        <f>IF(TCD!L152=0,"",TCD!L152)</f>
        <v/>
      </c>
    </row>
    <row r="153" spans="1:21" x14ac:dyDescent="0.35">
      <c r="A153" t="s">
        <v>264</v>
      </c>
      <c r="B153" s="7">
        <f t="shared" si="4"/>
        <v>46174</v>
      </c>
      <c r="C153" t="str">
        <f>TCD!D153</f>
        <v>26A060946600</v>
      </c>
      <c r="F153" t="str">
        <f>TCD!C153</f>
        <v>EXP20260622-2811890</v>
      </c>
      <c r="G153" t="str">
        <f>TCD!E153</f>
        <v>SARL TROPEZ</v>
      </c>
      <c r="H153" t="s">
        <v>265</v>
      </c>
      <c r="I153" t="str">
        <f>TCD!F153</f>
        <v>FR</v>
      </c>
      <c r="J153" t="str">
        <f>TCD!V153</f>
        <v>21France83</v>
      </c>
      <c r="K153">
        <f>TCD!Q153</f>
        <v>2</v>
      </c>
      <c r="L153">
        <f>TCD!S153</f>
        <v>205</v>
      </c>
      <c r="M153" t="s">
        <v>266</v>
      </c>
      <c r="N153">
        <f t="shared" si="5"/>
        <v>0.2</v>
      </c>
      <c r="O153" s="15" t="str">
        <f>IF(TCD!N153=0,"",TCD!N153)</f>
        <v/>
      </c>
      <c r="P153" s="15" t="str">
        <f>IF(TCD!G153=0,"",TCD!G153)</f>
        <v/>
      </c>
      <c r="Q153" s="15" t="str">
        <f>IF(TCD!H153=0,"",TCD!H153)</f>
        <v/>
      </c>
      <c r="R153" s="15" t="str">
        <f>IF(TCD!I153=0,"",TCD!I153)</f>
        <v/>
      </c>
      <c r="S153" s="15" t="str">
        <f>IF(TCD!J153=0,"",TCD!J153)</f>
        <v/>
      </c>
      <c r="T153" s="15">
        <f>IF(TCD!K153=0,"",TCD!K153)</f>
        <v>153.13</v>
      </c>
      <c r="U153" s="15" t="str">
        <f>IF(TCD!L153=0,"",TCD!L153)</f>
        <v/>
      </c>
    </row>
    <row r="154" spans="1:21" x14ac:dyDescent="0.35">
      <c r="A154" t="s">
        <v>264</v>
      </c>
      <c r="B154" s="7">
        <f t="shared" si="4"/>
        <v>46174</v>
      </c>
      <c r="C154" t="str">
        <f>TCD!D154</f>
        <v>26A060946597</v>
      </c>
      <c r="F154" t="str">
        <f>TCD!C154</f>
        <v>EXP20260622-2812032</v>
      </c>
      <c r="G154" t="str">
        <f>TCD!E154</f>
        <v>SAS VIGNOBLES FRAYSSE FRAYSSE Guilh (ENTREPRISE)</v>
      </c>
      <c r="H154" t="s">
        <v>265</v>
      </c>
      <c r="I154" t="str">
        <f>TCD!F154</f>
        <v>FR</v>
      </c>
      <c r="J154" t="str">
        <f>TCD!V154</f>
        <v>21France34</v>
      </c>
      <c r="K154">
        <f>TCD!Q154</f>
        <v>1</v>
      </c>
      <c r="L154">
        <f>TCD!S154</f>
        <v>19</v>
      </c>
      <c r="M154" t="s">
        <v>266</v>
      </c>
      <c r="N154">
        <f t="shared" si="5"/>
        <v>0.2</v>
      </c>
      <c r="O154" s="15" t="str">
        <f>IF(TCD!N154=0,"",TCD!N154)</f>
        <v/>
      </c>
      <c r="P154" s="15" t="str">
        <f>IF(TCD!G154=0,"",TCD!G154)</f>
        <v/>
      </c>
      <c r="Q154" s="15" t="str">
        <f>IF(TCD!H154=0,"",TCD!H154)</f>
        <v/>
      </c>
      <c r="R154" s="15" t="str">
        <f>IF(TCD!I154=0,"",TCD!I154)</f>
        <v/>
      </c>
      <c r="S154" s="15" t="str">
        <f>IF(TCD!J154=0,"",TCD!J154)</f>
        <v/>
      </c>
      <c r="T154" s="15">
        <f>IF(TCD!K154=0,"",TCD!K154)</f>
        <v>33.85</v>
      </c>
      <c r="U154" s="15" t="str">
        <f>IF(TCD!L154=0,"",TCD!L154)</f>
        <v/>
      </c>
    </row>
    <row r="155" spans="1:21" x14ac:dyDescent="0.35">
      <c r="A155" t="s">
        <v>264</v>
      </c>
      <c r="B155" s="7">
        <f t="shared" si="4"/>
        <v>46174</v>
      </c>
      <c r="C155" t="str">
        <f>TCD!D155</f>
        <v>26A060946594</v>
      </c>
      <c r="F155" t="str">
        <f>TCD!C155</f>
        <v>EXP20260622-2812727</v>
      </c>
      <c r="G155" t="str">
        <f>TCD!E155</f>
        <v>BOTTEX Patrick BOTTEX (ENTREPRISE)</v>
      </c>
      <c r="H155" t="s">
        <v>265</v>
      </c>
      <c r="I155" t="str">
        <f>TCD!F155</f>
        <v>FR</v>
      </c>
      <c r="J155" t="str">
        <f>TCD!V155</f>
        <v>21France01</v>
      </c>
      <c r="K155">
        <f>TCD!Q155</f>
        <v>1</v>
      </c>
      <c r="L155">
        <f>TCD!S155</f>
        <v>146</v>
      </c>
      <c r="M155" t="s">
        <v>266</v>
      </c>
      <c r="N155">
        <f t="shared" si="5"/>
        <v>0.2</v>
      </c>
      <c r="O155" s="15" t="str">
        <f>IF(TCD!N155=0,"",TCD!N155)</f>
        <v/>
      </c>
      <c r="P155" s="15" t="str">
        <f>IF(TCD!G155=0,"",TCD!G155)</f>
        <v/>
      </c>
      <c r="Q155" s="15" t="str">
        <f>IF(TCD!H155=0,"",TCD!H155)</f>
        <v/>
      </c>
      <c r="R155" s="15" t="str">
        <f>IF(TCD!I155=0,"",TCD!I155)</f>
        <v/>
      </c>
      <c r="S155" s="15" t="str">
        <f>IF(TCD!J155=0,"",TCD!J155)</f>
        <v/>
      </c>
      <c r="T155" s="15">
        <f>IF(TCD!K155=0,"",TCD!K155)</f>
        <v>44.93</v>
      </c>
      <c r="U155" s="15" t="str">
        <f>IF(TCD!L155=0,"",TCD!L155)</f>
        <v/>
      </c>
    </row>
    <row r="156" spans="1:21" x14ac:dyDescent="0.35">
      <c r="A156" t="s">
        <v>264</v>
      </c>
      <c r="B156" s="7">
        <f t="shared" si="4"/>
        <v>46174</v>
      </c>
      <c r="C156" t="str">
        <f>TCD!D156</f>
        <v>26A060946599</v>
      </c>
      <c r="F156" t="str">
        <f>TCD!C156</f>
        <v>EXP20260623-2813496</v>
      </c>
      <c r="G156" t="str">
        <f>TCD!E156</f>
        <v>Maison Philippe GRISARD Philippe GR (ENTREPRISE)</v>
      </c>
      <c r="H156" t="s">
        <v>265</v>
      </c>
      <c r="I156" t="str">
        <f>TCD!F156</f>
        <v>FR</v>
      </c>
      <c r="J156" t="str">
        <f>TCD!V156</f>
        <v>21France73</v>
      </c>
      <c r="K156">
        <f>TCD!Q156</f>
        <v>1</v>
      </c>
      <c r="L156">
        <f>TCD!S156</f>
        <v>102</v>
      </c>
      <c r="M156" t="s">
        <v>266</v>
      </c>
      <c r="N156">
        <f t="shared" si="5"/>
        <v>0.2</v>
      </c>
      <c r="O156" s="15" t="str">
        <f>IF(TCD!N156=0,"",TCD!N156)</f>
        <v/>
      </c>
      <c r="P156" s="15" t="str">
        <f>IF(TCD!G156=0,"",TCD!G156)</f>
        <v/>
      </c>
      <c r="Q156" s="15" t="str">
        <f>IF(TCD!H156=0,"",TCD!H156)</f>
        <v/>
      </c>
      <c r="R156" s="15" t="str">
        <f>IF(TCD!I156=0,"",TCD!I156)</f>
        <v/>
      </c>
      <c r="S156" s="15" t="str">
        <f>IF(TCD!J156=0,"",TCD!J156)</f>
        <v/>
      </c>
      <c r="T156" s="15">
        <f>IF(TCD!K156=0,"",TCD!K156)</f>
        <v>38.1</v>
      </c>
      <c r="U156" s="15" t="str">
        <f>IF(TCD!L156=0,"",TCD!L156)</f>
        <v/>
      </c>
    </row>
    <row r="157" spans="1:21" x14ac:dyDescent="0.35">
      <c r="A157" t="s">
        <v>264</v>
      </c>
      <c r="B157" s="7">
        <f t="shared" si="4"/>
        <v>46174</v>
      </c>
      <c r="C157" t="str">
        <f>TCD!D157</f>
        <v>26A060946596</v>
      </c>
      <c r="F157" t="str">
        <f>TCD!C157</f>
        <v>EXP20260623-2813597</v>
      </c>
      <c r="G157" t="str">
        <f>TCD!E157</f>
        <v>GHAEM-THOUROUDE Alexandre THOUROUDE (ENTREPRISE)</v>
      </c>
      <c r="H157" t="s">
        <v>265</v>
      </c>
      <c r="I157" t="str">
        <f>TCD!F157</f>
        <v>FR</v>
      </c>
      <c r="J157" t="str">
        <f>TCD!V157</f>
        <v>21France30</v>
      </c>
      <c r="K157">
        <f>TCD!Q157</f>
        <v>1</v>
      </c>
      <c r="L157">
        <f>TCD!S157</f>
        <v>98</v>
      </c>
      <c r="M157" t="s">
        <v>266</v>
      </c>
      <c r="N157">
        <f t="shared" si="5"/>
        <v>0.2</v>
      </c>
      <c r="O157" s="15" t="str">
        <f>IF(TCD!N157=0,"",TCD!N157)</f>
        <v/>
      </c>
      <c r="P157" s="15" t="str">
        <f>IF(TCD!G157=0,"",TCD!G157)</f>
        <v/>
      </c>
      <c r="Q157" s="15" t="str">
        <f>IF(TCD!H157=0,"",TCD!H157)</f>
        <v/>
      </c>
      <c r="R157" s="15" t="str">
        <f>IF(TCD!I157=0,"",TCD!I157)</f>
        <v/>
      </c>
      <c r="S157" s="15" t="str">
        <f>IF(TCD!J157=0,"",TCD!J157)</f>
        <v/>
      </c>
      <c r="T157" s="15">
        <f>IF(TCD!K157=0,"",TCD!K157)</f>
        <v>53.36</v>
      </c>
      <c r="U157" s="15" t="str">
        <f>IF(TCD!L157=0,"",TCD!L157)</f>
        <v/>
      </c>
    </row>
    <row r="158" spans="1:21" x14ac:dyDescent="0.35">
      <c r="A158" t="s">
        <v>264</v>
      </c>
      <c r="B158" s="7">
        <f t="shared" si="4"/>
        <v>46174</v>
      </c>
      <c r="C158" t="str">
        <f>TCD!D158</f>
        <v>26A060946593</v>
      </c>
      <c r="F158" t="str">
        <f>TCD!C158</f>
        <v>EXP20260623-2813700</v>
      </c>
      <c r="G158" t="str">
        <f>TCD!E158</f>
        <v>SAS ALLOIS</v>
      </c>
      <c r="H158" t="s">
        <v>265</v>
      </c>
      <c r="I158" t="str">
        <f>TCD!F158</f>
        <v>FR</v>
      </c>
      <c r="J158" t="str">
        <f>TCD!V158</f>
        <v>21France84</v>
      </c>
      <c r="K158">
        <f>TCD!Q158</f>
        <v>1</v>
      </c>
      <c r="L158">
        <f>TCD!S158</f>
        <v>109</v>
      </c>
      <c r="M158" t="s">
        <v>266</v>
      </c>
      <c r="N158">
        <f t="shared" si="5"/>
        <v>0.2</v>
      </c>
      <c r="O158" s="15" t="str">
        <f>IF(TCD!N158=0,"",TCD!N158)</f>
        <v/>
      </c>
      <c r="P158" s="15" t="str">
        <f>IF(TCD!G158=0,"",TCD!G158)</f>
        <v/>
      </c>
      <c r="Q158" s="15" t="str">
        <f>IF(TCD!H158=0,"",TCD!H158)</f>
        <v/>
      </c>
      <c r="R158" s="15" t="str">
        <f>IF(TCD!I158=0,"",TCD!I158)</f>
        <v/>
      </c>
      <c r="S158" s="15" t="str">
        <f>IF(TCD!J158=0,"",TCD!J158)</f>
        <v/>
      </c>
      <c r="T158" s="15">
        <f>IF(TCD!K158=0,"",TCD!K158)</f>
        <v>53.61</v>
      </c>
      <c r="U158" s="15" t="str">
        <f>IF(TCD!L158=0,"",TCD!L158)</f>
        <v/>
      </c>
    </row>
    <row r="159" spans="1:21" x14ac:dyDescent="0.35">
      <c r="A159" t="s">
        <v>264</v>
      </c>
      <c r="B159" s="7">
        <f t="shared" si="4"/>
        <v>46174</v>
      </c>
      <c r="C159" t="str">
        <f>TCD!D159</f>
        <v>26A060946595</v>
      </c>
      <c r="F159" t="str">
        <f>TCD!C159</f>
        <v>EXP20260623-2813701</v>
      </c>
      <c r="G159" t="str">
        <f>TCD!E159</f>
        <v>SARL MARCHAND DE DOUCEURS Franck VA (ENTREPRISE)</v>
      </c>
      <c r="H159" t="s">
        <v>265</v>
      </c>
      <c r="I159" t="str">
        <f>TCD!F159</f>
        <v>FR</v>
      </c>
      <c r="J159" t="str">
        <f>TCD!V159</f>
        <v>21France83</v>
      </c>
      <c r="K159">
        <f>TCD!Q159</f>
        <v>1</v>
      </c>
      <c r="L159">
        <f>TCD!S159</f>
        <v>44</v>
      </c>
      <c r="M159" t="s">
        <v>266</v>
      </c>
      <c r="N159">
        <f t="shared" si="5"/>
        <v>0.2</v>
      </c>
      <c r="O159" s="15" t="str">
        <f>IF(TCD!N159=0,"",TCD!N159)</f>
        <v/>
      </c>
      <c r="P159" s="15" t="str">
        <f>IF(TCD!G159=0,"",TCD!G159)</f>
        <v/>
      </c>
      <c r="Q159" s="15" t="str">
        <f>IF(TCD!H159=0,"",TCD!H159)</f>
        <v/>
      </c>
      <c r="R159" s="15" t="str">
        <f>IF(TCD!I159=0,"",TCD!I159)</f>
        <v/>
      </c>
      <c r="S159" s="15" t="str">
        <f>IF(TCD!J159=0,"",TCD!J159)</f>
        <v/>
      </c>
      <c r="T159" s="15">
        <f>IF(TCD!K159=0,"",TCD!K159)</f>
        <v>46.68</v>
      </c>
      <c r="U159" s="15" t="str">
        <f>IF(TCD!L159=0,"",TCD!L159)</f>
        <v/>
      </c>
    </row>
    <row r="160" spans="1:21" x14ac:dyDescent="0.35">
      <c r="A160" t="s">
        <v>264</v>
      </c>
      <c r="B160" s="7">
        <f t="shared" si="4"/>
        <v>46174</v>
      </c>
      <c r="C160" t="str">
        <f>TCD!D160</f>
        <v>26A060991481</v>
      </c>
      <c r="F160" t="str">
        <f>TCD!C160</f>
        <v>EXP20260623-2813702</v>
      </c>
      <c r="G160" t="str">
        <f>TCD!E160</f>
        <v>CLOS DE CAILLE</v>
      </c>
      <c r="H160" t="s">
        <v>265</v>
      </c>
      <c r="I160" t="str">
        <f>TCD!F160</f>
        <v>FR</v>
      </c>
      <c r="J160" t="str">
        <f>TCD!V160</f>
        <v>21France83</v>
      </c>
      <c r="K160">
        <f>TCD!Q160</f>
        <v>1</v>
      </c>
      <c r="L160">
        <f>TCD!S160</f>
        <v>45</v>
      </c>
      <c r="M160" t="s">
        <v>266</v>
      </c>
      <c r="N160">
        <f t="shared" si="5"/>
        <v>0.2</v>
      </c>
      <c r="O160" s="15" t="str">
        <f>IF(TCD!N160=0,"",TCD!N160)</f>
        <v/>
      </c>
      <c r="P160" s="15" t="str">
        <f>IF(TCD!G160=0,"",TCD!G160)</f>
        <v/>
      </c>
      <c r="Q160" s="15" t="str">
        <f>IF(TCD!H160=0,"",TCD!H160)</f>
        <v/>
      </c>
      <c r="R160" s="15" t="str">
        <f>IF(TCD!I160=0,"",TCD!I160)</f>
        <v/>
      </c>
      <c r="S160" s="15" t="str">
        <f>IF(TCD!J160=0,"",TCD!J160)</f>
        <v/>
      </c>
      <c r="T160" s="15">
        <f>IF(TCD!K160=0,"",TCD!K160)</f>
        <v>46.68</v>
      </c>
      <c r="U160" s="15" t="str">
        <f>IF(TCD!L160=0,"",TCD!L160)</f>
        <v/>
      </c>
    </row>
    <row r="161" spans="1:21" x14ac:dyDescent="0.35">
      <c r="A161" t="s">
        <v>264</v>
      </c>
      <c r="B161" s="7">
        <f t="shared" si="4"/>
        <v>46174</v>
      </c>
      <c r="C161" t="str">
        <f>TCD!D161</f>
        <v>26A060991484</v>
      </c>
      <c r="F161" t="str">
        <f>TCD!C161</f>
        <v>EXP20260623-2814295</v>
      </c>
      <c r="G161" t="str">
        <f>TCD!E161</f>
        <v>VIGNOBLES CHASSON Jeremie DEPIERRE (ENTREPRISE)</v>
      </c>
      <c r="H161" t="s">
        <v>265</v>
      </c>
      <c r="I161" t="str">
        <f>TCD!F161</f>
        <v>FR</v>
      </c>
      <c r="J161" t="str">
        <f>TCD!V161</f>
        <v>21France84</v>
      </c>
      <c r="K161">
        <f>TCD!Q161</f>
        <v>2</v>
      </c>
      <c r="L161">
        <f>TCD!S161</f>
        <v>330</v>
      </c>
      <c r="M161" t="s">
        <v>266</v>
      </c>
      <c r="N161">
        <f t="shared" si="5"/>
        <v>0.2</v>
      </c>
      <c r="O161" s="15" t="str">
        <f>IF(TCD!N161=0,"",TCD!N161)</f>
        <v/>
      </c>
      <c r="P161" s="15" t="str">
        <f>IF(TCD!G161=0,"",TCD!G161)</f>
        <v/>
      </c>
      <c r="Q161" s="15" t="str">
        <f>IF(TCD!H161=0,"",TCD!H161)</f>
        <v/>
      </c>
      <c r="R161" s="15" t="str">
        <f>IF(TCD!I161=0,"",TCD!I161)</f>
        <v/>
      </c>
      <c r="S161" s="15" t="str">
        <f>IF(TCD!J161=0,"",TCD!J161)</f>
        <v/>
      </c>
      <c r="T161" s="15">
        <f>IF(TCD!K161=0,"",TCD!K161)</f>
        <v>134.85</v>
      </c>
      <c r="U161" s="15" t="str">
        <f>IF(TCD!L161=0,"",TCD!L161)</f>
        <v/>
      </c>
    </row>
    <row r="162" spans="1:21" x14ac:dyDescent="0.35">
      <c r="A162" t="s">
        <v>264</v>
      </c>
      <c r="B162" s="7">
        <f t="shared" si="4"/>
        <v>46174</v>
      </c>
      <c r="C162" t="str">
        <f>TCD!D162</f>
        <v>26A060991480</v>
      </c>
      <c r="F162" t="str">
        <f>TCD!C162</f>
        <v>EXP20260623-2814417</v>
      </c>
      <c r="G162" t="str">
        <f>TCD!E162</f>
        <v>Aurelio Wine Co PETIT AURELIEN (ENTREPRISE)</v>
      </c>
      <c r="H162" t="s">
        <v>265</v>
      </c>
      <c r="I162" t="str">
        <f>TCD!F162</f>
        <v>FR</v>
      </c>
      <c r="J162" t="str">
        <f>TCD!V162</f>
        <v>21France26</v>
      </c>
      <c r="K162">
        <f>TCD!Q162</f>
        <v>1</v>
      </c>
      <c r="L162">
        <f>TCD!S162</f>
        <v>30</v>
      </c>
      <c r="M162" t="s">
        <v>266</v>
      </c>
      <c r="N162">
        <f t="shared" si="5"/>
        <v>0.2</v>
      </c>
      <c r="O162" s="15" t="str">
        <f>IF(TCD!N162=0,"",TCD!N162)</f>
        <v/>
      </c>
      <c r="P162" s="15" t="str">
        <f>IF(TCD!G162=0,"",TCD!G162)</f>
        <v/>
      </c>
      <c r="Q162" s="15" t="str">
        <f>IF(TCD!H162=0,"",TCD!H162)</f>
        <v/>
      </c>
      <c r="R162" s="15" t="str">
        <f>IF(TCD!I162=0,"",TCD!I162)</f>
        <v/>
      </c>
      <c r="S162" s="15" t="str">
        <f>IF(TCD!J162=0,"",TCD!J162)</f>
        <v/>
      </c>
      <c r="T162" s="15">
        <f>IF(TCD!K162=0,"",TCD!K162)</f>
        <v>29.639999999999997</v>
      </c>
      <c r="U162" s="15" t="str">
        <f>IF(TCD!L162=0,"",TCD!L162)</f>
        <v/>
      </c>
    </row>
    <row r="163" spans="1:21" x14ac:dyDescent="0.35">
      <c r="A163" t="s">
        <v>264</v>
      </c>
      <c r="B163" s="7">
        <f t="shared" si="4"/>
        <v>46174</v>
      </c>
      <c r="C163" t="str">
        <f>TCD!D163</f>
        <v>26A060991485</v>
      </c>
      <c r="F163" t="str">
        <f>TCD!C163</f>
        <v>EXP20260623-2814488</v>
      </c>
      <c r="G163" t="str">
        <f>TCD!E163</f>
        <v>CAVE DE NOLAY</v>
      </c>
      <c r="H163" t="s">
        <v>265</v>
      </c>
      <c r="I163" t="str">
        <f>TCD!F163</f>
        <v>FR</v>
      </c>
      <c r="J163" t="str">
        <f>TCD!V163</f>
        <v>21France21</v>
      </c>
      <c r="K163">
        <f>TCD!Q163</f>
        <v>2</v>
      </c>
      <c r="L163">
        <f>TCD!S163</f>
        <v>243</v>
      </c>
      <c r="M163" t="s">
        <v>266</v>
      </c>
      <c r="N163">
        <f t="shared" si="5"/>
        <v>0.2</v>
      </c>
      <c r="O163" s="15" t="str">
        <f>IF(TCD!N163=0,"",TCD!N163)</f>
        <v/>
      </c>
      <c r="P163" s="15" t="str">
        <f>IF(TCD!G163=0,"",TCD!G163)</f>
        <v/>
      </c>
      <c r="Q163" s="15" t="str">
        <f>IF(TCD!H163=0,"",TCD!H163)</f>
        <v/>
      </c>
      <c r="R163" s="15" t="str">
        <f>IF(TCD!I163=0,"",TCD!I163)</f>
        <v/>
      </c>
      <c r="S163" s="15" t="str">
        <f>IF(TCD!J163=0,"",TCD!J163)</f>
        <v/>
      </c>
      <c r="T163" s="15">
        <f>IF(TCD!K163=0,"",TCD!K163)</f>
        <v>70.300000000000011</v>
      </c>
      <c r="U163" s="15" t="str">
        <f>IF(TCD!L163=0,"",TCD!L163)</f>
        <v/>
      </c>
    </row>
    <row r="164" spans="1:21" x14ac:dyDescent="0.35">
      <c r="A164" t="s">
        <v>264</v>
      </c>
      <c r="B164" s="7">
        <f t="shared" si="4"/>
        <v>46174</v>
      </c>
      <c r="C164" t="str">
        <f>TCD!D164</f>
        <v>26A060991482</v>
      </c>
      <c r="F164" t="str">
        <f>TCD!C164</f>
        <v>EXP20260623-2814542</v>
      </c>
      <c r="G164" t="str">
        <f>TCD!E164</f>
        <v>LES CAVES DU ROUSSILLO REYNAL SARAH (ENTREPRISE)</v>
      </c>
      <c r="H164" t="s">
        <v>265</v>
      </c>
      <c r="I164" t="str">
        <f>TCD!F164</f>
        <v>FR</v>
      </c>
      <c r="J164" t="str">
        <f>TCD!V164</f>
        <v>21France66</v>
      </c>
      <c r="K164">
        <f>TCD!Q164</f>
        <v>1</v>
      </c>
      <c r="L164">
        <f>TCD!S164</f>
        <v>40</v>
      </c>
      <c r="M164" t="s">
        <v>266</v>
      </c>
      <c r="N164">
        <f t="shared" si="5"/>
        <v>0.2</v>
      </c>
      <c r="O164" s="15" t="str">
        <f>IF(TCD!N164=0,"",TCD!N164)</f>
        <v/>
      </c>
      <c r="P164" s="15" t="str">
        <f>IF(TCD!G164=0,"",TCD!G164)</f>
        <v/>
      </c>
      <c r="Q164" s="15" t="str">
        <f>IF(TCD!H164=0,"",TCD!H164)</f>
        <v/>
      </c>
      <c r="R164" s="15" t="str">
        <f>IF(TCD!I164=0,"",TCD!I164)</f>
        <v/>
      </c>
      <c r="S164" s="15" t="str">
        <f>IF(TCD!J164=0,"",TCD!J164)</f>
        <v/>
      </c>
      <c r="T164" s="15">
        <f>IF(TCD!K164=0,"",TCD!K164)</f>
        <v>48.75</v>
      </c>
      <c r="U164" s="15" t="str">
        <f>IF(TCD!L164=0,"",TCD!L164)</f>
        <v/>
      </c>
    </row>
    <row r="165" spans="1:21" x14ac:dyDescent="0.35">
      <c r="A165" t="s">
        <v>264</v>
      </c>
      <c r="B165" s="7">
        <f t="shared" si="4"/>
        <v>46174</v>
      </c>
      <c r="C165" t="str">
        <f>TCD!D165</f>
        <v>26A061045648</v>
      </c>
      <c r="F165" t="str">
        <f>TCD!C165</f>
        <v>EXP20260623-2814602</v>
      </c>
      <c r="G165" t="str">
        <f>TCD!E165</f>
        <v>Domaine de la grande sieste Leticia (ENTREPRISE)</v>
      </c>
      <c r="H165" t="s">
        <v>265</v>
      </c>
      <c r="I165" t="str">
        <f>TCD!F165</f>
        <v>FR</v>
      </c>
      <c r="J165" t="str">
        <f>TCD!V165</f>
        <v>21France34</v>
      </c>
      <c r="K165">
        <f>TCD!Q165</f>
        <v>1</v>
      </c>
      <c r="L165">
        <f>TCD!S165</f>
        <v>27</v>
      </c>
      <c r="M165" t="s">
        <v>266</v>
      </c>
      <c r="N165">
        <f t="shared" si="5"/>
        <v>0.2</v>
      </c>
      <c r="O165" s="15" t="str">
        <f>IF(TCD!N165=0,"",TCD!N165)</f>
        <v/>
      </c>
      <c r="P165" s="15" t="str">
        <f>IF(TCD!G165=0,"",TCD!G165)</f>
        <v/>
      </c>
      <c r="Q165" s="15" t="str">
        <f>IF(TCD!H165=0,"",TCD!H165)</f>
        <v/>
      </c>
      <c r="R165" s="15" t="str">
        <f>IF(TCD!I165=0,"",TCD!I165)</f>
        <v/>
      </c>
      <c r="S165" s="15" t="str">
        <f>IF(TCD!J165=0,"",TCD!J165)</f>
        <v/>
      </c>
      <c r="T165" s="15">
        <f>IF(TCD!K165=0,"",TCD!K165)</f>
        <v>38.33</v>
      </c>
      <c r="U165" s="15" t="str">
        <f>IF(TCD!L165=0,"",TCD!L165)</f>
        <v/>
      </c>
    </row>
    <row r="166" spans="1:21" x14ac:dyDescent="0.35">
      <c r="A166" t="s">
        <v>264</v>
      </c>
      <c r="B166" s="7">
        <f t="shared" si="4"/>
        <v>46174</v>
      </c>
      <c r="C166" t="str">
        <f>TCD!D166</f>
        <v>26A061045642</v>
      </c>
      <c r="F166" t="str">
        <f>TCD!C166</f>
        <v>EXP20260623-2814731</v>
      </c>
      <c r="G166" t="str">
        <f>TCD!E166</f>
        <v>EARL Sesquieres Jean-Francois Lagou (ENTREPRISE)</v>
      </c>
      <c r="H166" t="s">
        <v>265</v>
      </c>
      <c r="I166" t="str">
        <f>TCD!F166</f>
        <v>FR</v>
      </c>
      <c r="J166" t="str">
        <f>TCD!V166</f>
        <v>21France11</v>
      </c>
      <c r="K166">
        <f>TCD!Q166</f>
        <v>1</v>
      </c>
      <c r="L166">
        <f>TCD!S166</f>
        <v>25</v>
      </c>
      <c r="M166" t="s">
        <v>266</v>
      </c>
      <c r="N166">
        <f t="shared" si="5"/>
        <v>0.2</v>
      </c>
      <c r="O166" s="15" t="str">
        <f>IF(TCD!N166=0,"",TCD!N166)</f>
        <v/>
      </c>
      <c r="P166" s="15" t="str">
        <f>IF(TCD!G166=0,"",TCD!G166)</f>
        <v/>
      </c>
      <c r="Q166" s="15" t="str">
        <f>IF(TCD!H166=0,"",TCD!H166)</f>
        <v/>
      </c>
      <c r="R166" s="15" t="str">
        <f>IF(TCD!I166=0,"",TCD!I166)</f>
        <v/>
      </c>
      <c r="S166" s="15" t="str">
        <f>IF(TCD!J166=0,"",TCD!J166)</f>
        <v/>
      </c>
      <c r="T166" s="15">
        <f>IF(TCD!K166=0,"",TCD!K166)</f>
        <v>41.11</v>
      </c>
      <c r="U166" s="15" t="str">
        <f>IF(TCD!L166=0,"",TCD!L166)</f>
        <v/>
      </c>
    </row>
    <row r="167" spans="1:21" x14ac:dyDescent="0.35">
      <c r="A167" t="s">
        <v>264</v>
      </c>
      <c r="B167" s="7">
        <f t="shared" si="4"/>
        <v>46174</v>
      </c>
      <c r="C167" t="str">
        <f>TCD!D167</f>
        <v>26A061045640</v>
      </c>
      <c r="F167" t="str">
        <f>TCD!C167</f>
        <v>EXP20260624-2815452</v>
      </c>
      <c r="G167" t="str">
        <f>TCD!E167</f>
        <v>CHATEAU MOURESSE BOUVET EMMA (ENTREPRISE)</v>
      </c>
      <c r="H167" t="s">
        <v>265</v>
      </c>
      <c r="I167" t="str">
        <f>TCD!F167</f>
        <v>FR</v>
      </c>
      <c r="J167" t="str">
        <f>TCD!V167</f>
        <v>21France83</v>
      </c>
      <c r="K167">
        <f>TCD!Q167</f>
        <v>1</v>
      </c>
      <c r="L167">
        <f>TCD!S167</f>
        <v>17</v>
      </c>
      <c r="M167" t="s">
        <v>266</v>
      </c>
      <c r="N167">
        <f t="shared" si="5"/>
        <v>0.2</v>
      </c>
      <c r="O167" s="15" t="str">
        <f>IF(TCD!N167=0,"",TCD!N167)</f>
        <v/>
      </c>
      <c r="P167" s="15" t="str">
        <f>IF(TCD!G167=0,"",TCD!G167)</f>
        <v/>
      </c>
      <c r="Q167" s="15" t="str">
        <f>IF(TCD!H167=0,"",TCD!H167)</f>
        <v/>
      </c>
      <c r="R167" s="15" t="str">
        <f>IF(TCD!I167=0,"",TCD!I167)</f>
        <v/>
      </c>
      <c r="S167" s="15" t="str">
        <f>IF(TCD!J167=0,"",TCD!J167)</f>
        <v/>
      </c>
      <c r="T167" s="15">
        <f>IF(TCD!K167=0,"",TCD!K167)</f>
        <v>35.54</v>
      </c>
      <c r="U167" s="15" t="str">
        <f>IF(TCD!L167=0,"",TCD!L167)</f>
        <v/>
      </c>
    </row>
    <row r="168" spans="1:21" x14ac:dyDescent="0.35">
      <c r="A168" t="s">
        <v>264</v>
      </c>
      <c r="B168" s="7">
        <f t="shared" si="4"/>
        <v>46174</v>
      </c>
      <c r="C168" t="str">
        <f>TCD!D168</f>
        <v>26A061045659</v>
      </c>
      <c r="F168" t="str">
        <f>TCD!C168</f>
        <v>EXP20260624-2815862</v>
      </c>
      <c r="G168" t="str">
        <f>TCD!E168</f>
        <v>NOURDIN LMAKNAFI Nourdin Lmaknafi - (ENTREPRISE)</v>
      </c>
      <c r="H168" t="s">
        <v>265</v>
      </c>
      <c r="I168" t="str">
        <f>TCD!F168</f>
        <v>BE</v>
      </c>
      <c r="J168" t="str">
        <f>TCD!V168</f>
        <v>21étranger10</v>
      </c>
      <c r="K168">
        <f>TCD!Q168</f>
        <v>1</v>
      </c>
      <c r="L168">
        <f>TCD!S168</f>
        <v>80</v>
      </c>
      <c r="M168" t="s">
        <v>266</v>
      </c>
      <c r="N168">
        <f t="shared" si="5"/>
        <v>0.2</v>
      </c>
      <c r="O168" s="15" t="str">
        <f>IF(TCD!N168=0,"",TCD!N168)</f>
        <v/>
      </c>
      <c r="P168" s="15" t="str">
        <f>IF(TCD!G168=0,"",TCD!G168)</f>
        <v/>
      </c>
      <c r="Q168" s="15">
        <f>IF(TCD!H168=0,"",TCD!H168)</f>
        <v>7</v>
      </c>
      <c r="R168" s="15" t="str">
        <f>IF(TCD!I168=0,"",TCD!I168)</f>
        <v/>
      </c>
      <c r="S168" s="15" t="str">
        <f>IF(TCD!J168=0,"",TCD!J168)</f>
        <v/>
      </c>
      <c r="T168" s="15">
        <f>IF(TCD!K168=0,"",TCD!K168)</f>
        <v>76.75</v>
      </c>
      <c r="U168" s="15" t="str">
        <f>IF(TCD!L168=0,"",TCD!L168)</f>
        <v/>
      </c>
    </row>
    <row r="169" spans="1:21" x14ac:dyDescent="0.35">
      <c r="A169" t="s">
        <v>264</v>
      </c>
      <c r="B169" s="7">
        <f t="shared" si="4"/>
        <v>46174</v>
      </c>
      <c r="C169" t="str">
        <f>TCD!D169</f>
        <v>26A061045655</v>
      </c>
      <c r="F169" t="str">
        <f>TCD!C169</f>
        <v>EXP20260624-2816123</v>
      </c>
      <c r="G169" t="str">
        <f>TCD!E169</f>
        <v>SAS PLAGEOLLES Florent PAGEOLLES (ENTREPRISE)</v>
      </c>
      <c r="H169" t="s">
        <v>265</v>
      </c>
      <c r="I169" t="str">
        <f>TCD!F169</f>
        <v>FR</v>
      </c>
      <c r="J169" t="str">
        <f>TCD!V169</f>
        <v>21France81</v>
      </c>
      <c r="K169">
        <f>TCD!Q169</f>
        <v>1</v>
      </c>
      <c r="L169">
        <f>TCD!S169</f>
        <v>89</v>
      </c>
      <c r="M169" t="s">
        <v>266</v>
      </c>
      <c r="N169">
        <f t="shared" si="5"/>
        <v>0.2</v>
      </c>
      <c r="O169" s="15" t="str">
        <f>IF(TCD!N169=0,"",TCD!N169)</f>
        <v/>
      </c>
      <c r="P169" s="15" t="str">
        <f>IF(TCD!G169=0,"",TCD!G169)</f>
        <v/>
      </c>
      <c r="Q169" s="15" t="str">
        <f>IF(TCD!H169=0,"",TCD!H169)</f>
        <v/>
      </c>
      <c r="R169" s="15" t="str">
        <f>IF(TCD!I169=0,"",TCD!I169)</f>
        <v/>
      </c>
      <c r="S169" s="15" t="str">
        <f>IF(TCD!J169=0,"",TCD!J169)</f>
        <v/>
      </c>
      <c r="T169" s="15">
        <f>IF(TCD!K169=0,"",TCD!K169)</f>
        <v>53.43</v>
      </c>
      <c r="U169" s="15" t="str">
        <f>IF(TCD!L169=0,"",TCD!L169)</f>
        <v/>
      </c>
    </row>
    <row r="170" spans="1:21" x14ac:dyDescent="0.35">
      <c r="A170" t="s">
        <v>264</v>
      </c>
      <c r="B170" s="7">
        <f t="shared" si="4"/>
        <v>46174</v>
      </c>
      <c r="C170" t="str">
        <f>TCD!D170</f>
        <v>26A061045667</v>
      </c>
      <c r="F170" t="str">
        <f>TCD!C170</f>
        <v>EXP20260624-2816654</v>
      </c>
      <c r="G170" t="str">
        <f>TCD!E170</f>
        <v>EARL AU PRESSOIR DU BELON</v>
      </c>
      <c r="H170" t="s">
        <v>265</v>
      </c>
      <c r="I170" t="str">
        <f>TCD!F170</f>
        <v>FR</v>
      </c>
      <c r="J170" t="str">
        <f>TCD!V170</f>
        <v>21France29</v>
      </c>
      <c r="K170">
        <f>TCD!Q170</f>
        <v>1</v>
      </c>
      <c r="L170">
        <f>TCD!S170</f>
        <v>60</v>
      </c>
      <c r="M170" t="s">
        <v>266</v>
      </c>
      <c r="N170">
        <f t="shared" si="5"/>
        <v>0.2</v>
      </c>
      <c r="O170" s="15" t="str">
        <f>IF(TCD!N170=0,"",TCD!N170)</f>
        <v/>
      </c>
      <c r="P170" s="15" t="str">
        <f>IF(TCD!G170=0,"",TCD!G170)</f>
        <v/>
      </c>
      <c r="Q170" s="15" t="str">
        <f>IF(TCD!H170=0,"",TCD!H170)</f>
        <v/>
      </c>
      <c r="R170" s="15" t="str">
        <f>IF(TCD!I170=0,"",TCD!I170)</f>
        <v/>
      </c>
      <c r="S170" s="15" t="str">
        <f>IF(TCD!J170=0,"",TCD!J170)</f>
        <v/>
      </c>
      <c r="T170" s="15">
        <f>IF(TCD!K170=0,"",TCD!K170)</f>
        <v>64.460000000000008</v>
      </c>
      <c r="U170" s="15" t="str">
        <f>IF(TCD!L170=0,"",TCD!L170)</f>
        <v/>
      </c>
    </row>
    <row r="171" spans="1:21" x14ac:dyDescent="0.35">
      <c r="A171" t="s">
        <v>264</v>
      </c>
      <c r="B171" s="7">
        <f t="shared" si="4"/>
        <v>46174</v>
      </c>
      <c r="C171" t="str">
        <f>TCD!D171</f>
        <v>26A061045638</v>
      </c>
      <c r="F171" t="str">
        <f>TCD!C171</f>
        <v>EXP20260624-2816716</v>
      </c>
      <c r="G171" t="str">
        <f>TCD!E171</f>
        <v>SCEA Chateau Jouvente Benjamin GUTM (ENTREPRISE)</v>
      </c>
      <c r="H171" t="s">
        <v>265</v>
      </c>
      <c r="I171" t="str">
        <f>TCD!F171</f>
        <v>FR</v>
      </c>
      <c r="J171" t="str">
        <f>TCD!V171</f>
        <v>21France33</v>
      </c>
      <c r="K171">
        <f>TCD!Q171</f>
        <v>1</v>
      </c>
      <c r="L171">
        <f>TCD!S171</f>
        <v>56</v>
      </c>
      <c r="M171" t="s">
        <v>266</v>
      </c>
      <c r="N171">
        <f t="shared" si="5"/>
        <v>0.2</v>
      </c>
      <c r="O171" s="15" t="str">
        <f>IF(TCD!N171=0,"",TCD!N171)</f>
        <v/>
      </c>
      <c r="P171" s="15" t="str">
        <f>IF(TCD!G171=0,"",TCD!G171)</f>
        <v/>
      </c>
      <c r="Q171" s="15" t="str">
        <f>IF(TCD!H171=0,"",TCD!H171)</f>
        <v/>
      </c>
      <c r="R171" s="15" t="str">
        <f>IF(TCD!I171=0,"",TCD!I171)</f>
        <v/>
      </c>
      <c r="S171" s="15" t="str">
        <f>IF(TCD!J171=0,"",TCD!J171)</f>
        <v/>
      </c>
      <c r="T171" s="15">
        <f>IF(TCD!K171=0,"",TCD!K171)</f>
        <v>50.85</v>
      </c>
      <c r="U171" s="15" t="str">
        <f>IF(TCD!L171=0,"",TCD!L171)</f>
        <v/>
      </c>
    </row>
    <row r="172" spans="1:21" x14ac:dyDescent="0.35">
      <c r="A172" t="s">
        <v>264</v>
      </c>
      <c r="B172" s="7">
        <f t="shared" si="4"/>
        <v>46174</v>
      </c>
      <c r="C172" t="str">
        <f>TCD!D172</f>
        <v>26A061045641</v>
      </c>
      <c r="F172" t="str">
        <f>TCD!C172</f>
        <v>EXP20260624-2817215</v>
      </c>
      <c r="G172" t="str">
        <f>TCD!E172</f>
        <v>Domaine Clo Point Patrick POINT (ENTREPRISE)</v>
      </c>
      <c r="H172" t="s">
        <v>265</v>
      </c>
      <c r="I172" t="str">
        <f>TCD!F172</f>
        <v>FR</v>
      </c>
      <c r="J172" t="str">
        <f>TCD!V172</f>
        <v>21France71</v>
      </c>
      <c r="K172">
        <f>TCD!Q172</f>
        <v>1</v>
      </c>
      <c r="L172">
        <f>TCD!S172</f>
        <v>34</v>
      </c>
      <c r="M172" t="s">
        <v>266</v>
      </c>
      <c r="N172">
        <f t="shared" si="5"/>
        <v>0.2</v>
      </c>
      <c r="O172" s="15" t="str">
        <f>IF(TCD!N172=0,"",TCD!N172)</f>
        <v/>
      </c>
      <c r="P172" s="15" t="str">
        <f>IF(TCD!G172=0,"",TCD!G172)</f>
        <v/>
      </c>
      <c r="Q172" s="15" t="str">
        <f>IF(TCD!H172=0,"",TCD!H172)</f>
        <v/>
      </c>
      <c r="R172" s="15" t="str">
        <f>IF(TCD!I172=0,"",TCD!I172)</f>
        <v/>
      </c>
      <c r="S172" s="15" t="str">
        <f>IF(TCD!J172=0,"",TCD!J172)</f>
        <v/>
      </c>
      <c r="T172" s="15">
        <f>IF(TCD!K172=0,"",TCD!K172)</f>
        <v>23.99</v>
      </c>
      <c r="U172" s="15" t="str">
        <f>IF(TCD!L172=0,"",TCD!L172)</f>
        <v/>
      </c>
    </row>
    <row r="173" spans="1:21" x14ac:dyDescent="0.35">
      <c r="A173" t="s">
        <v>264</v>
      </c>
      <c r="B173" s="7">
        <f t="shared" si="4"/>
        <v>46174</v>
      </c>
      <c r="C173" t="str">
        <f>TCD!D173</f>
        <v>26A061045643</v>
      </c>
      <c r="F173" t="str">
        <f>TCD!C173</f>
        <v>EXP20260625-2818258</v>
      </c>
      <c r="G173" t="str">
        <f>TCD!E173</f>
        <v>Le Cellier Morvandiau JOLY Romain (ENTREPRISE)</v>
      </c>
      <c r="H173" t="s">
        <v>265</v>
      </c>
      <c r="I173" t="str">
        <f>TCD!F173</f>
        <v>FR</v>
      </c>
      <c r="J173" t="str">
        <f>TCD!V173</f>
        <v>21France21</v>
      </c>
      <c r="K173">
        <f>TCD!Q173</f>
        <v>1</v>
      </c>
      <c r="L173">
        <f>TCD!S173</f>
        <v>120</v>
      </c>
      <c r="M173" t="s">
        <v>266</v>
      </c>
      <c r="N173">
        <f t="shared" si="5"/>
        <v>0.2</v>
      </c>
      <c r="O173" s="15" t="str">
        <f>IF(TCD!N173=0,"",TCD!N173)</f>
        <v/>
      </c>
      <c r="P173" s="15" t="str">
        <f>IF(TCD!G173=0,"",TCD!G173)</f>
        <v/>
      </c>
      <c r="Q173" s="15" t="str">
        <f>IF(TCD!H173=0,"",TCD!H173)</f>
        <v/>
      </c>
      <c r="R173" s="15" t="str">
        <f>IF(TCD!I173=0,"",TCD!I173)</f>
        <v/>
      </c>
      <c r="S173" s="15" t="str">
        <f>IF(TCD!J173=0,"",TCD!J173)</f>
        <v/>
      </c>
      <c r="T173" s="15">
        <f>IF(TCD!K173=0,"",TCD!K173)</f>
        <v>30.97</v>
      </c>
      <c r="U173" s="15" t="str">
        <f>IF(TCD!L173=0,"",TCD!L173)</f>
        <v/>
      </c>
    </row>
    <row r="174" spans="1:21" x14ac:dyDescent="0.35">
      <c r="A174" t="s">
        <v>264</v>
      </c>
      <c r="B174" s="7">
        <f t="shared" si="4"/>
        <v>46174</v>
      </c>
      <c r="C174" t="str">
        <f>TCD!D174</f>
        <v>26A060991486</v>
      </c>
      <c r="F174" t="str">
        <f>TCD!C174</f>
        <v>EXP20260625-2818342</v>
      </c>
      <c r="G174" t="str">
        <f>TCD!E174</f>
        <v>Abdul Aziz Faso Fret - Kouloub Phar (ENTREPRISE)</v>
      </c>
      <c r="H174" t="s">
        <v>265</v>
      </c>
      <c r="I174" t="str">
        <f>TCD!F174</f>
        <v>FR</v>
      </c>
      <c r="J174" t="str">
        <f>TCD!V174</f>
        <v>21France95</v>
      </c>
      <c r="K174">
        <f>TCD!Q174</f>
        <v>1</v>
      </c>
      <c r="L174">
        <f>TCD!S174</f>
        <v>277</v>
      </c>
      <c r="M174" t="s">
        <v>266</v>
      </c>
      <c r="N174">
        <f t="shared" si="5"/>
        <v>0.2</v>
      </c>
      <c r="O174" s="15" t="str">
        <f>IF(TCD!N174=0,"",TCD!N174)</f>
        <v/>
      </c>
      <c r="P174" s="15" t="str">
        <f>IF(TCD!G174=0,"",TCD!G174)</f>
        <v/>
      </c>
      <c r="Q174" s="15" t="str">
        <f>IF(TCD!H174=0,"",TCD!H174)</f>
        <v/>
      </c>
      <c r="R174" s="15" t="str">
        <f>IF(TCD!I174=0,"",TCD!I174)</f>
        <v/>
      </c>
      <c r="S174" s="15" t="str">
        <f>IF(TCD!J174=0,"",TCD!J174)</f>
        <v/>
      </c>
      <c r="T174" s="15">
        <f>IF(TCD!K174=0,"",TCD!K174)</f>
        <v>61.74</v>
      </c>
      <c r="U174" s="15" t="str">
        <f>IF(TCD!L174=0,"",TCD!L174)</f>
        <v/>
      </c>
    </row>
    <row r="175" spans="1:21" x14ac:dyDescent="0.35">
      <c r="A175" t="s">
        <v>264</v>
      </c>
      <c r="B175" s="7">
        <f t="shared" si="4"/>
        <v>46174</v>
      </c>
      <c r="C175" t="str">
        <f>TCD!D175</f>
        <v>26A061045646</v>
      </c>
      <c r="F175" t="str">
        <f>TCD!C175</f>
        <v>EXP20260625-2818688</v>
      </c>
      <c r="G175" t="str">
        <f>TCD!E175</f>
        <v>EURL MCPVR Aurelie VERGNAUD (ENTREPRISE)</v>
      </c>
      <c r="H175" t="s">
        <v>265</v>
      </c>
      <c r="I175" t="str">
        <f>TCD!F175</f>
        <v>FR</v>
      </c>
      <c r="J175" t="str">
        <f>TCD!V175</f>
        <v>21France84</v>
      </c>
      <c r="K175">
        <f>TCD!Q175</f>
        <v>1</v>
      </c>
      <c r="L175">
        <f>TCD!S175</f>
        <v>40</v>
      </c>
      <c r="M175" t="s">
        <v>266</v>
      </c>
      <c r="N175">
        <f t="shared" si="5"/>
        <v>0.2</v>
      </c>
      <c r="O175" s="15" t="str">
        <f>IF(TCD!N175=0,"",TCD!N175)</f>
        <v/>
      </c>
      <c r="P175" s="15" t="str">
        <f>IF(TCD!G175=0,"",TCD!G175)</f>
        <v/>
      </c>
      <c r="Q175" s="15" t="str">
        <f>IF(TCD!H175=0,"",TCD!H175)</f>
        <v/>
      </c>
      <c r="R175" s="15" t="str">
        <f>IF(TCD!I175=0,"",TCD!I175)</f>
        <v/>
      </c>
      <c r="S175" s="15" t="str">
        <f>IF(TCD!J175=0,"",TCD!J175)</f>
        <v/>
      </c>
      <c r="T175" s="15">
        <f>IF(TCD!K175=0,"",TCD!K175)</f>
        <v>41.66</v>
      </c>
      <c r="U175" s="15" t="str">
        <f>IF(TCD!L175=0,"",TCD!L175)</f>
        <v/>
      </c>
    </row>
    <row r="176" spans="1:21" x14ac:dyDescent="0.35">
      <c r="A176" t="s">
        <v>264</v>
      </c>
      <c r="B176" s="7">
        <f t="shared" si="4"/>
        <v>46174</v>
      </c>
      <c r="C176" t="str">
        <f>TCD!D176</f>
        <v>26A061045650</v>
      </c>
      <c r="F176" t="str">
        <f>TCD!C176</f>
        <v>EXP20260625-2818842</v>
      </c>
      <c r="G176" t="str">
        <f>TCD!E176</f>
        <v>SARL LA TERRASSE D'ELISE Xavier BRA (ENTREPRISE)</v>
      </c>
      <c r="H176" t="s">
        <v>265</v>
      </c>
      <c r="I176" t="str">
        <f>TCD!F176</f>
        <v>FR</v>
      </c>
      <c r="J176" t="str">
        <f>TCD!V176</f>
        <v>21France34</v>
      </c>
      <c r="K176">
        <f>TCD!Q176</f>
        <v>1</v>
      </c>
      <c r="L176">
        <f>TCD!S176</f>
        <v>60</v>
      </c>
      <c r="M176" t="s">
        <v>266</v>
      </c>
      <c r="N176">
        <f t="shared" si="5"/>
        <v>0.2</v>
      </c>
      <c r="O176" s="15" t="str">
        <f>IF(TCD!N176=0,"",TCD!N176)</f>
        <v/>
      </c>
      <c r="P176" s="15" t="str">
        <f>IF(TCD!G176=0,"",TCD!G176)</f>
        <v/>
      </c>
      <c r="Q176" s="15" t="str">
        <f>IF(TCD!H176=0,"",TCD!H176)</f>
        <v/>
      </c>
      <c r="R176" s="15" t="str">
        <f>IF(TCD!I176=0,"",TCD!I176)</f>
        <v/>
      </c>
      <c r="S176" s="15" t="str">
        <f>IF(TCD!J176=0,"",TCD!J176)</f>
        <v/>
      </c>
      <c r="T176" s="15">
        <f>IF(TCD!K176=0,"",TCD!K176)</f>
        <v>49.95</v>
      </c>
      <c r="U176" s="15" t="str">
        <f>IF(TCD!L176=0,"",TCD!L176)</f>
        <v/>
      </c>
    </row>
    <row r="177" spans="1:21" x14ac:dyDescent="0.35">
      <c r="A177" t="s">
        <v>264</v>
      </c>
      <c r="B177" s="7">
        <f t="shared" si="4"/>
        <v>46174</v>
      </c>
      <c r="C177" t="str">
        <f>TCD!D177</f>
        <v>26A061045664</v>
      </c>
      <c r="F177" t="str">
        <f>TCD!C177</f>
        <v>EXP20260625-2819374</v>
      </c>
      <c r="G177" t="str">
        <f>TCD!E177</f>
        <v>SAS MAISON CLARET LEGAULT Sean (ENTREPRISE)</v>
      </c>
      <c r="H177" t="s">
        <v>265</v>
      </c>
      <c r="I177" t="str">
        <f>TCD!F177</f>
        <v>FR</v>
      </c>
      <c r="J177" t="str">
        <f>TCD!V177</f>
        <v>21France33</v>
      </c>
      <c r="K177">
        <f>TCD!Q177</f>
        <v>1</v>
      </c>
      <c r="L177">
        <f>TCD!S177</f>
        <v>26</v>
      </c>
      <c r="M177" t="s">
        <v>266</v>
      </c>
      <c r="N177">
        <f t="shared" si="5"/>
        <v>0.2</v>
      </c>
      <c r="O177" s="15" t="str">
        <f>IF(TCD!N177=0,"",TCD!N177)</f>
        <v/>
      </c>
      <c r="P177" s="15" t="str">
        <f>IF(TCD!G177=0,"",TCD!G177)</f>
        <v/>
      </c>
      <c r="Q177" s="15" t="str">
        <f>IF(TCD!H177=0,"",TCD!H177)</f>
        <v/>
      </c>
      <c r="R177" s="15" t="str">
        <f>IF(TCD!I177=0,"",TCD!I177)</f>
        <v/>
      </c>
      <c r="S177" s="15" t="str">
        <f>IF(TCD!J177=0,"",TCD!J177)</f>
        <v/>
      </c>
      <c r="T177" s="15">
        <f>IF(TCD!K177=0,"",TCD!K177)</f>
        <v>42.29</v>
      </c>
      <c r="U177" s="15" t="str">
        <f>IF(TCD!L177=0,"",TCD!L177)</f>
        <v/>
      </c>
    </row>
    <row r="178" spans="1:21" x14ac:dyDescent="0.35">
      <c r="A178" t="s">
        <v>264</v>
      </c>
      <c r="B178" s="7">
        <f t="shared" si="4"/>
        <v>46174</v>
      </c>
      <c r="C178" t="str">
        <f>TCD!D178</f>
        <v>26A061045657</v>
      </c>
      <c r="F178" t="str">
        <f>TCD!C178</f>
        <v>EXP20260625-2819375</v>
      </c>
      <c r="G178" t="str">
        <f>TCD!E178</f>
        <v>LES INFILTRES Frederic HAUSS (ENTREPRISE)</v>
      </c>
      <c r="H178" t="s">
        <v>265</v>
      </c>
      <c r="I178" t="str">
        <f>TCD!F178</f>
        <v>FR</v>
      </c>
      <c r="J178" t="str">
        <f>TCD!V178</f>
        <v>21France49</v>
      </c>
      <c r="K178">
        <f>TCD!Q178</f>
        <v>1</v>
      </c>
      <c r="L178">
        <f>TCD!S178</f>
        <v>20</v>
      </c>
      <c r="M178" t="s">
        <v>266</v>
      </c>
      <c r="N178">
        <f t="shared" si="5"/>
        <v>0.2</v>
      </c>
      <c r="O178" s="15" t="str">
        <f>IF(TCD!N178=0,"",TCD!N178)</f>
        <v/>
      </c>
      <c r="P178" s="15" t="str">
        <f>IF(TCD!G178=0,"",TCD!G178)</f>
        <v/>
      </c>
      <c r="Q178" s="15" t="str">
        <f>IF(TCD!H178=0,"",TCD!H178)</f>
        <v/>
      </c>
      <c r="R178" s="15" t="str">
        <f>IF(TCD!I178=0,"",TCD!I178)</f>
        <v/>
      </c>
      <c r="S178" s="15" t="str">
        <f>IF(TCD!J178=0,"",TCD!J178)</f>
        <v/>
      </c>
      <c r="T178" s="15">
        <f>IF(TCD!K178=0,"",TCD!K178)</f>
        <v>33.369999999999997</v>
      </c>
      <c r="U178" s="15" t="str">
        <f>IF(TCD!L178=0,"",TCD!L178)</f>
        <v/>
      </c>
    </row>
    <row r="179" spans="1:21" x14ac:dyDescent="0.35">
      <c r="A179" t="s">
        <v>264</v>
      </c>
      <c r="B179" s="7">
        <f t="shared" si="4"/>
        <v>46174</v>
      </c>
      <c r="C179" t="str">
        <f>TCD!D179</f>
        <v>26A061045665</v>
      </c>
      <c r="F179" t="str">
        <f>TCD!C179</f>
        <v>EXP20260625-2819560</v>
      </c>
      <c r="G179" t="str">
        <f>TCD!E179</f>
        <v>THIOU THOMAS EARL Thomas THIOU (ENTREPRISE)</v>
      </c>
      <c r="H179" t="s">
        <v>265</v>
      </c>
      <c r="I179" t="str">
        <f>TCD!F179</f>
        <v>FR</v>
      </c>
      <c r="J179" t="str">
        <f>TCD!V179</f>
        <v>21France33</v>
      </c>
      <c r="K179">
        <f>TCD!Q179</f>
        <v>1</v>
      </c>
      <c r="L179">
        <f>TCD!S179</f>
        <v>44</v>
      </c>
      <c r="M179" t="s">
        <v>266</v>
      </c>
      <c r="N179">
        <f t="shared" si="5"/>
        <v>0.2</v>
      </c>
      <c r="O179" s="15" t="str">
        <f>IF(TCD!N179=0,"",TCD!N179)</f>
        <v/>
      </c>
      <c r="P179" s="15" t="str">
        <f>IF(TCD!G179=0,"",TCD!G179)</f>
        <v/>
      </c>
      <c r="Q179" s="15" t="str">
        <f>IF(TCD!H179=0,"",TCD!H179)</f>
        <v/>
      </c>
      <c r="R179" s="15" t="str">
        <f>IF(TCD!I179=0,"",TCD!I179)</f>
        <v/>
      </c>
      <c r="S179" s="15" t="str">
        <f>IF(TCD!J179=0,"",TCD!J179)</f>
        <v/>
      </c>
      <c r="T179" s="15">
        <f>IF(TCD!K179=0,"",TCD!K179)</f>
        <v>49.06</v>
      </c>
      <c r="U179" s="15" t="str">
        <f>IF(TCD!L179=0,"",TCD!L179)</f>
        <v/>
      </c>
    </row>
    <row r="180" spans="1:21" x14ac:dyDescent="0.35">
      <c r="A180" t="s">
        <v>264</v>
      </c>
      <c r="B180" s="7">
        <f t="shared" si="4"/>
        <v>46174</v>
      </c>
      <c r="C180" t="str">
        <f>TCD!D180</f>
        <v>26A061045644</v>
      </c>
      <c r="F180" t="str">
        <f>TCD!C180</f>
        <v>EXP20260625-2819637</v>
      </c>
      <c r="G180" t="str">
        <f>TCD!E180</f>
        <v>Le Domaine du Cers William OSSENT (ENTREPRISE)</v>
      </c>
      <c r="H180" t="s">
        <v>265</v>
      </c>
      <c r="I180" t="str">
        <f>TCD!F180</f>
        <v>FR</v>
      </c>
      <c r="J180" t="str">
        <f>TCD!V180</f>
        <v>21France11</v>
      </c>
      <c r="K180">
        <f>TCD!Q180</f>
        <v>1</v>
      </c>
      <c r="L180">
        <f>TCD!S180</f>
        <v>44</v>
      </c>
      <c r="M180" t="s">
        <v>266</v>
      </c>
      <c r="N180">
        <f t="shared" si="5"/>
        <v>0.2</v>
      </c>
      <c r="O180" s="15" t="str">
        <f>IF(TCD!N180=0,"",TCD!N180)</f>
        <v/>
      </c>
      <c r="P180" s="15" t="str">
        <f>IF(TCD!G180=0,"",TCD!G180)</f>
        <v/>
      </c>
      <c r="Q180" s="15" t="str">
        <f>IF(TCD!H180=0,"",TCD!H180)</f>
        <v/>
      </c>
      <c r="R180" s="15" t="str">
        <f>IF(TCD!I180=0,"",TCD!I180)</f>
        <v/>
      </c>
      <c r="S180" s="15" t="str">
        <f>IF(TCD!J180=0,"",TCD!J180)</f>
        <v/>
      </c>
      <c r="T180" s="15">
        <f>IF(TCD!K180=0,"",TCD!K180)</f>
        <v>47.699999999999996</v>
      </c>
      <c r="U180" s="15" t="str">
        <f>IF(TCD!L180=0,"",TCD!L180)</f>
        <v/>
      </c>
    </row>
    <row r="181" spans="1:21" x14ac:dyDescent="0.35">
      <c r="A181" t="s">
        <v>264</v>
      </c>
      <c r="B181" s="7">
        <f t="shared" si="4"/>
        <v>46174</v>
      </c>
      <c r="C181" t="str">
        <f>TCD!D181</f>
        <v>26A061045652</v>
      </c>
      <c r="F181" t="str">
        <f>TCD!C181</f>
        <v>EXP20260625-2819680</v>
      </c>
      <c r="G181" t="str">
        <f>TCD!E181</f>
        <v>SYLVIE ET FILS SYLVIE LE NEZET (ENTREPRISE)</v>
      </c>
      <c r="H181" t="s">
        <v>265</v>
      </c>
      <c r="I181" t="str">
        <f>TCD!F181</f>
        <v>FR</v>
      </c>
      <c r="J181" t="str">
        <f>TCD!V181</f>
        <v>21France83</v>
      </c>
      <c r="K181">
        <f>TCD!Q181</f>
        <v>1</v>
      </c>
      <c r="L181">
        <f>TCD!S181</f>
        <v>39</v>
      </c>
      <c r="M181" t="s">
        <v>266</v>
      </c>
      <c r="N181">
        <f t="shared" si="5"/>
        <v>0.2</v>
      </c>
      <c r="O181" s="15" t="str">
        <f>IF(TCD!N181=0,"",TCD!N181)</f>
        <v/>
      </c>
      <c r="P181" s="15" t="str">
        <f>IF(TCD!G181=0,"",TCD!G181)</f>
        <v/>
      </c>
      <c r="Q181" s="15" t="str">
        <f>IF(TCD!H181=0,"",TCD!H181)</f>
        <v/>
      </c>
      <c r="R181" s="15" t="str">
        <f>IF(TCD!I181=0,"",TCD!I181)</f>
        <v/>
      </c>
      <c r="S181" s="15" t="str">
        <f>IF(TCD!J181=0,"",TCD!J181)</f>
        <v/>
      </c>
      <c r="T181" s="15">
        <f>IF(TCD!K181=0,"",TCD!K181)</f>
        <v>44.96</v>
      </c>
      <c r="U181" s="15" t="str">
        <f>IF(TCD!L181=0,"",TCD!L181)</f>
        <v/>
      </c>
    </row>
    <row r="182" spans="1:21" x14ac:dyDescent="0.35">
      <c r="A182" t="s">
        <v>264</v>
      </c>
      <c r="B182" s="7">
        <f t="shared" si="4"/>
        <v>46174</v>
      </c>
      <c r="C182" t="str">
        <f>TCD!D182</f>
        <v>26A060354623</v>
      </c>
      <c r="F182" t="str">
        <f>TCD!C182</f>
        <v>26A060354623</v>
      </c>
      <c r="G182" t="str">
        <f>TCD!E182</f>
        <v>AIR TERMINAL HANDLING S.A (ATH) P/C DACHSER</v>
      </c>
      <c r="H182" t="s">
        <v>265</v>
      </c>
      <c r="I182" t="str">
        <f>TCD!F182</f>
        <v>FR</v>
      </c>
      <c r="J182" t="str">
        <f>TCD!V182</f>
        <v>0France00</v>
      </c>
      <c r="K182">
        <f>TCD!Q182</f>
        <v>1</v>
      </c>
      <c r="L182">
        <f>TCD!S182</f>
        <v>354</v>
      </c>
      <c r="M182" t="s">
        <v>266</v>
      </c>
      <c r="N182">
        <f t="shared" si="5"/>
        <v>0.2</v>
      </c>
      <c r="O182" s="15" t="str">
        <f>IF(TCD!N182=0,"",TCD!N182)</f>
        <v/>
      </c>
      <c r="P182" s="15" t="str">
        <f>IF(TCD!G182=0,"",TCD!G182)</f>
        <v/>
      </c>
      <c r="Q182" s="15">
        <f>IF(TCD!H182=0,"",TCD!H182)</f>
        <v>21</v>
      </c>
      <c r="R182" s="15" t="str">
        <f>IF(TCD!I182=0,"",TCD!I182)</f>
        <v/>
      </c>
      <c r="S182" s="15" t="str">
        <f>IF(TCD!J182=0,"",TCD!J182)</f>
        <v/>
      </c>
      <c r="T182" s="15" t="str">
        <f>IF(TCD!K182=0,"",TCD!K182)</f>
        <v/>
      </c>
      <c r="U182" s="15" t="str">
        <f>IF(TCD!L182=0,"",TCD!L182)</f>
        <v/>
      </c>
    </row>
    <row r="183" spans="1:21" x14ac:dyDescent="0.35">
      <c r="A183" t="s">
        <v>264</v>
      </c>
      <c r="B183" s="7">
        <f t="shared" si="4"/>
        <v>46174</v>
      </c>
      <c r="C183" t="str">
        <f>TCD!D183</f>
        <v>26A050571779</v>
      </c>
      <c r="F183" t="str">
        <f>TCD!C183</f>
        <v>EXP20260520-2755032</v>
      </c>
      <c r="G183" t="str">
        <f>TCD!E183</f>
        <v>MAKARI DE SUISSE DERMOROYALCLAIR (ENTREPRISE)</v>
      </c>
      <c r="H183" t="s">
        <v>265</v>
      </c>
      <c r="I183" t="str">
        <f>TCD!F183</f>
        <v>FR</v>
      </c>
      <c r="J183" t="str">
        <f>TCD!V183</f>
        <v>21France75</v>
      </c>
      <c r="K183">
        <f>TCD!Q183</f>
        <v>1</v>
      </c>
      <c r="L183">
        <f>TCD!S183</f>
        <v>80</v>
      </c>
      <c r="M183" t="s">
        <v>266</v>
      </c>
      <c r="N183">
        <f t="shared" si="5"/>
        <v>0.2</v>
      </c>
      <c r="O183" s="15" t="str">
        <f>IF(TCD!N183=0,"",TCD!N183)</f>
        <v/>
      </c>
      <c r="P183" s="15" t="str">
        <f>IF(TCD!G183=0,"",TCD!G183)</f>
        <v/>
      </c>
      <c r="Q183" s="15" t="str">
        <f>IF(TCD!H183=0,"",TCD!H183)</f>
        <v/>
      </c>
      <c r="R183" s="15" t="str">
        <f>IF(TCD!I183=0,"",TCD!I183)</f>
        <v/>
      </c>
      <c r="S183" s="15">
        <f>IF(TCD!J183=0,"",TCD!J183)</f>
        <v>25.7</v>
      </c>
      <c r="T183" s="15" t="str">
        <f>IF(TCD!K183=0,"",TCD!K183)</f>
        <v/>
      </c>
      <c r="U183" s="15" t="str">
        <f>IF(TCD!L183=0,"",TCD!L183)</f>
        <v/>
      </c>
    </row>
    <row r="184" spans="1:21" x14ac:dyDescent="0.35">
      <c r="A184" t="s">
        <v>264</v>
      </c>
      <c r="B184" s="7">
        <f t="shared" si="4"/>
        <v>46174</v>
      </c>
      <c r="C184" t="str">
        <f>TCD!D184</f>
        <v>26A050674504</v>
      </c>
      <c r="F184" t="str">
        <f>TCD!C184</f>
        <v>EXP20260523-2759144</v>
      </c>
      <c r="G184" t="str">
        <f>TCD!E184</f>
        <v>SARL LA COMMANDERIE DU JURANCON JEA (ENTREPRISE)</v>
      </c>
      <c r="H184" t="s">
        <v>265</v>
      </c>
      <c r="I184" t="str">
        <f>TCD!F184</f>
        <v>FR</v>
      </c>
      <c r="J184" t="str">
        <f>TCD!V184</f>
        <v>21France64</v>
      </c>
      <c r="K184">
        <f>TCD!Q184</f>
        <v>2</v>
      </c>
      <c r="L184">
        <f>TCD!S184</f>
        <v>258</v>
      </c>
      <c r="M184" t="s">
        <v>266</v>
      </c>
      <c r="N184">
        <f t="shared" si="5"/>
        <v>0.2</v>
      </c>
      <c r="O184" s="15" t="str">
        <f>IF(TCD!N184=0,"",TCD!N184)</f>
        <v/>
      </c>
      <c r="P184" s="15" t="str">
        <f>IF(TCD!G184=0,"",TCD!G184)</f>
        <v/>
      </c>
      <c r="Q184" s="15" t="str">
        <f>IF(TCD!H184=0,"",TCD!H184)</f>
        <v/>
      </c>
      <c r="R184" s="15" t="str">
        <f>IF(TCD!I184=0,"",TCD!I184)</f>
        <v/>
      </c>
      <c r="S184" s="15" t="str">
        <f>IF(TCD!J184=0,"",TCD!J184)</f>
        <v/>
      </c>
      <c r="T184" s="15">
        <f>IF(TCD!K184=0,"",TCD!K184)</f>
        <v>139.61000000000001</v>
      </c>
      <c r="U184" s="15" t="str">
        <f>IF(TCD!L184=0,"",TCD!L184)</f>
        <v/>
      </c>
    </row>
    <row r="185" spans="1:21" x14ac:dyDescent="0.35">
      <c r="A185" t="s">
        <v>264</v>
      </c>
      <c r="B185" s="7">
        <f t="shared" si="4"/>
        <v>46174</v>
      </c>
      <c r="C185" t="str">
        <f>TCD!D185</f>
        <v>26A060049560</v>
      </c>
      <c r="F185" t="str">
        <f>TCD!C185</f>
        <v>EXP20260601-2772378</v>
      </c>
      <c r="G185" t="str">
        <f>TCD!E185</f>
        <v>GAEC LANYE BARRAC - 2 Bernhard BACK (ENTREPRISE)</v>
      </c>
      <c r="H185" t="s">
        <v>265</v>
      </c>
      <c r="I185" t="str">
        <f>TCD!F185</f>
        <v>FR</v>
      </c>
      <c r="J185" t="str">
        <f>TCD!V185</f>
        <v>21France34</v>
      </c>
      <c r="K185">
        <f>TCD!Q185</f>
        <v>1</v>
      </c>
      <c r="L185">
        <f>TCD!S185</f>
        <v>100</v>
      </c>
      <c r="M185" t="s">
        <v>266</v>
      </c>
      <c r="N185">
        <f t="shared" si="5"/>
        <v>0.2</v>
      </c>
      <c r="O185" s="15" t="str">
        <f>IF(TCD!N185=0,"",TCD!N185)</f>
        <v/>
      </c>
      <c r="P185" s="15" t="str">
        <f>IF(TCD!G185=0,"",TCD!G185)</f>
        <v/>
      </c>
      <c r="Q185" s="15" t="str">
        <f>IF(TCD!H185=0,"",TCD!H185)</f>
        <v/>
      </c>
      <c r="R185" s="15" t="str">
        <f>IF(TCD!I185=0,"",TCD!I185)</f>
        <v/>
      </c>
      <c r="S185" s="15" t="str">
        <f>IF(TCD!J185=0,"",TCD!J185)</f>
        <v/>
      </c>
      <c r="T185" s="15">
        <f>IF(TCD!K185=0,"",TCD!K185)</f>
        <v>38.56</v>
      </c>
      <c r="U185" s="15" t="str">
        <f>IF(TCD!L185=0,"",TCD!L185)</f>
        <v/>
      </c>
    </row>
    <row r="186" spans="1:21" x14ac:dyDescent="0.35">
      <c r="A186" t="s">
        <v>264</v>
      </c>
      <c r="B186" s="7">
        <f t="shared" si="4"/>
        <v>46174</v>
      </c>
      <c r="C186" t="str">
        <f>TCD!D186</f>
        <v>26A060188652</v>
      </c>
      <c r="F186" t="str">
        <f>TCD!C186</f>
        <v>EXP20260603-2777654</v>
      </c>
      <c r="G186" t="str">
        <f>TCD!E186</f>
        <v>DACHSER France Agence de Roiss The (ENTREPRISE)</v>
      </c>
      <c r="H186" t="s">
        <v>265</v>
      </c>
      <c r="I186" t="str">
        <f>TCD!F186</f>
        <v>FR</v>
      </c>
      <c r="J186" t="str">
        <f>TCD!V186</f>
        <v>21France95</v>
      </c>
      <c r="K186">
        <f>TCD!Q186</f>
        <v>1</v>
      </c>
      <c r="L186">
        <f>TCD!S186</f>
        <v>354</v>
      </c>
      <c r="M186" t="s">
        <v>266</v>
      </c>
      <c r="N186">
        <f t="shared" si="5"/>
        <v>0.2</v>
      </c>
      <c r="O186" s="15" t="str">
        <f>IF(TCD!N186=0,"",TCD!N186)</f>
        <v/>
      </c>
      <c r="P186" s="15" t="str">
        <f>IF(TCD!G186=0,"",TCD!G186)</f>
        <v/>
      </c>
      <c r="Q186" s="15" t="str">
        <f>IF(TCD!H186=0,"",TCD!H186)</f>
        <v/>
      </c>
      <c r="R186" s="15" t="str">
        <f>IF(TCD!I186=0,"",TCD!I186)</f>
        <v/>
      </c>
      <c r="S186" s="15">
        <f>IF(TCD!J186=0,"",TCD!J186)</f>
        <v>25.7</v>
      </c>
      <c r="T186" s="15" t="str">
        <f>IF(TCD!K186=0,"",TCD!K186)</f>
        <v/>
      </c>
      <c r="U186" s="15" t="str">
        <f>IF(TCD!L186=0,"",TCD!L186)</f>
        <v/>
      </c>
    </row>
    <row r="187" spans="1:21" x14ac:dyDescent="0.35">
      <c r="A187" t="s">
        <v>264</v>
      </c>
      <c r="B187" s="7">
        <f t="shared" si="4"/>
        <v>46174</v>
      </c>
      <c r="C187" t="str">
        <f>TCD!D187</f>
        <v>26A060188670</v>
      </c>
      <c r="F187" t="str">
        <f>TCD!C187</f>
        <v>EXP20260603-2779393</v>
      </c>
      <c r="G187" t="str">
        <f>TCD!E187</f>
        <v>SARL DOMAINE LES POETE Sorbe Guilla (ENTREPRISE)</v>
      </c>
      <c r="H187" t="s">
        <v>265</v>
      </c>
      <c r="I187" t="str">
        <f>TCD!F187</f>
        <v>FR</v>
      </c>
      <c r="J187" t="str">
        <f>TCD!V187</f>
        <v>21France18</v>
      </c>
      <c r="K187">
        <f>TCD!Q187</f>
        <v>1</v>
      </c>
      <c r="L187">
        <f>TCD!S187</f>
        <v>34</v>
      </c>
      <c r="M187" t="s">
        <v>266</v>
      </c>
      <c r="N187">
        <f t="shared" si="5"/>
        <v>0.2</v>
      </c>
      <c r="O187" s="15" t="str">
        <f>IF(TCD!N187=0,"",TCD!N187)</f>
        <v/>
      </c>
      <c r="P187" s="15" t="str">
        <f>IF(TCD!G187=0,"",TCD!G187)</f>
        <v/>
      </c>
      <c r="Q187" s="15" t="str">
        <f>IF(TCD!H187=0,"",TCD!H187)</f>
        <v/>
      </c>
      <c r="R187" s="15" t="str">
        <f>IF(TCD!I187=0,"",TCD!I187)</f>
        <v/>
      </c>
      <c r="S187" s="15">
        <f>IF(TCD!J187=0,"",TCD!J187)</f>
        <v>25.7</v>
      </c>
      <c r="T187" s="15" t="str">
        <f>IF(TCD!K187=0,"",TCD!K187)</f>
        <v/>
      </c>
      <c r="U187" s="15" t="str">
        <f>IF(TCD!L187=0,"",TCD!L187)</f>
        <v/>
      </c>
    </row>
    <row r="188" spans="1:21" x14ac:dyDescent="0.35">
      <c r="A188" t="s">
        <v>264</v>
      </c>
      <c r="B188" s="7">
        <f t="shared" si="4"/>
        <v>46174</v>
      </c>
      <c r="C188" t="str">
        <f>TCD!D188</f>
        <v>26A060238218</v>
      </c>
      <c r="F188" t="str">
        <f>TCD!C188</f>
        <v>EXP20260604-2780089</v>
      </c>
      <c r="G188" t="str">
        <f>TCD!E188</f>
        <v xml:space="preserve">SIFA TRANSIT </v>
      </c>
      <c r="H188" t="s">
        <v>265</v>
      </c>
      <c r="I188" t="str">
        <f>TCD!F188</f>
        <v>FR</v>
      </c>
      <c r="J188" t="str">
        <f>TCD!V188</f>
        <v>21France76</v>
      </c>
      <c r="K188">
        <f>TCD!Q188</f>
        <v>1</v>
      </c>
      <c r="L188">
        <f>TCD!S188</f>
        <v>90</v>
      </c>
      <c r="M188" t="s">
        <v>266</v>
      </c>
      <c r="N188">
        <f t="shared" si="5"/>
        <v>0.2</v>
      </c>
      <c r="O188" s="15" t="str">
        <f>IF(TCD!N188=0,"",TCD!N188)</f>
        <v/>
      </c>
      <c r="P188" s="15" t="str">
        <f>IF(TCD!G188=0,"",TCD!G188)</f>
        <v/>
      </c>
      <c r="Q188" s="15">
        <f>IF(TCD!H188=0,"",TCD!H188)</f>
        <v>21</v>
      </c>
      <c r="R188" s="15">
        <f>IF(TCD!I188=0,"",TCD!I188)</f>
        <v>10</v>
      </c>
      <c r="S188" s="15" t="str">
        <f>IF(TCD!J188=0,"",TCD!J188)</f>
        <v/>
      </c>
      <c r="T188" s="15" t="str">
        <f>IF(TCD!K188=0,"",TCD!K188)</f>
        <v/>
      </c>
      <c r="U188" s="15" t="str">
        <f>IF(TCD!L188=0,"",TCD!L188)</f>
        <v/>
      </c>
    </row>
    <row r="189" spans="1:21" x14ac:dyDescent="0.35">
      <c r="A189" t="s">
        <v>264</v>
      </c>
      <c r="B189" s="7">
        <f t="shared" si="4"/>
        <v>46174</v>
      </c>
      <c r="C189" t="str">
        <f>TCD!D189</f>
        <v>26A060429861</v>
      </c>
      <c r="F189" t="str">
        <f>TCD!C189</f>
        <v>EXP20260609-2789333</v>
      </c>
      <c r="G189" t="str">
        <f>TCD!E189</f>
        <v>ISIPCA Zerbib Alain (ENTREPRISE)</v>
      </c>
      <c r="H189" t="s">
        <v>265</v>
      </c>
      <c r="I189" t="str">
        <f>TCD!F189</f>
        <v>FR</v>
      </c>
      <c r="J189" t="str">
        <f>TCD!V189</f>
        <v>21France78</v>
      </c>
      <c r="K189">
        <f>TCD!Q189</f>
        <v>1</v>
      </c>
      <c r="L189">
        <f>TCD!S189</f>
        <v>152</v>
      </c>
      <c r="M189" t="s">
        <v>266</v>
      </c>
      <c r="N189">
        <f t="shared" si="5"/>
        <v>0.2</v>
      </c>
      <c r="O189" s="15" t="str">
        <f>IF(TCD!N189=0,"",TCD!N189)</f>
        <v/>
      </c>
      <c r="P189" s="15" t="str">
        <f>IF(TCD!G189=0,"",TCD!G189)</f>
        <v/>
      </c>
      <c r="Q189" s="15" t="str">
        <f>IF(TCD!H189=0,"",TCD!H189)</f>
        <v/>
      </c>
      <c r="R189" s="15">
        <f>IF(TCD!I189=0,"",TCD!I189)</f>
        <v>10</v>
      </c>
      <c r="S189" s="15" t="str">
        <f>IF(TCD!J189=0,"",TCD!J189)</f>
        <v/>
      </c>
      <c r="T189" s="15" t="str">
        <f>IF(TCD!K189=0,"",TCD!K189)</f>
        <v/>
      </c>
      <c r="U189" s="15" t="str">
        <f>IF(TCD!L189=0,"",TCD!L189)</f>
        <v/>
      </c>
    </row>
    <row r="190" spans="1:21" x14ac:dyDescent="0.35">
      <c r="A190" t="s">
        <v>264</v>
      </c>
      <c r="B190" s="7">
        <f t="shared" si="4"/>
        <v>46174</v>
      </c>
      <c r="C190" t="str">
        <f>TCD!D190</f>
        <v>26A060791237</v>
      </c>
      <c r="F190" t="str">
        <f>TCD!C190</f>
        <v>EXP20260619-2807520</v>
      </c>
      <c r="G190" t="str">
        <f>TCD!E190</f>
        <v>SARL LES HAUTS DE ROCHEVILLE Philip (ENTREPRISE)</v>
      </c>
      <c r="H190" t="s">
        <v>265</v>
      </c>
      <c r="I190" t="str">
        <f>TCD!F190</f>
        <v>FR</v>
      </c>
      <c r="J190" t="str">
        <f>TCD!V190</f>
        <v>21France49</v>
      </c>
      <c r="K190">
        <f>TCD!Q190</f>
        <v>1</v>
      </c>
      <c r="L190">
        <f>TCD!S190</f>
        <v>121</v>
      </c>
      <c r="M190" t="s">
        <v>266</v>
      </c>
      <c r="N190">
        <f t="shared" si="5"/>
        <v>0.2</v>
      </c>
      <c r="O190" s="15" t="str">
        <f>IF(TCD!N190=0,"",TCD!N190)</f>
        <v/>
      </c>
      <c r="P190" s="15" t="str">
        <f>IF(TCD!G190=0,"",TCD!G190)</f>
        <v/>
      </c>
      <c r="Q190" s="15" t="str">
        <f>IF(TCD!H190=0,"",TCD!H190)</f>
        <v/>
      </c>
      <c r="R190" s="15">
        <f>IF(TCD!I190=0,"",TCD!I190)</f>
        <v>10</v>
      </c>
      <c r="S190" s="15" t="str">
        <f>IF(TCD!J190=0,"",TCD!J190)</f>
        <v/>
      </c>
      <c r="T190" s="15" t="str">
        <f>IF(TCD!K190=0,"",TCD!K190)</f>
        <v/>
      </c>
      <c r="U190" s="15" t="str">
        <f>IF(TCD!L190=0,"",TCD!L190)</f>
        <v/>
      </c>
    </row>
  </sheetData>
  <autoFilter ref="A1:U186" xr:uid="{00000000-0009-0000-0000-000003000000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topLeftCell="A4" zoomScale="80" workbookViewId="0">
      <selection activeCell="C2" sqref="C2"/>
    </sheetView>
  </sheetViews>
  <sheetFormatPr baseColWidth="10" defaultRowHeight="14.5" x14ac:dyDescent="0.35"/>
  <cols>
    <col min="2" max="2" width="21.54296875" bestFit="1" customWidth="1"/>
    <col min="3" max="3" width="34.1796875" bestFit="1" customWidth="1"/>
    <col min="5" max="6" width="18.7265625" customWidth="1"/>
    <col min="7" max="7" width="12.81640625" bestFit="1" customWidth="1"/>
    <col min="9" max="9" width="11.81640625" style="15" bestFit="1" customWidth="1"/>
  </cols>
  <sheetData>
    <row r="1" spans="1:8" x14ac:dyDescent="0.35">
      <c r="A1" t="s">
        <v>267</v>
      </c>
      <c r="B1" s="16" t="s">
        <v>268</v>
      </c>
      <c r="C1" t="s">
        <v>351</v>
      </c>
      <c r="D1" t="s">
        <v>350</v>
      </c>
      <c r="E1" t="s">
        <v>269</v>
      </c>
      <c r="F1" t="s">
        <v>270</v>
      </c>
    </row>
    <row r="2" spans="1:8" x14ac:dyDescent="0.35">
      <c r="A2">
        <v>1</v>
      </c>
      <c r="B2" s="17">
        <v>596</v>
      </c>
      <c r="C2">
        <v>2100</v>
      </c>
      <c r="D2">
        <v>2100</v>
      </c>
      <c r="E2" s="11">
        <f t="shared" ref="E2:E10" si="0">C2</f>
        <v>2100</v>
      </c>
      <c r="F2" s="11">
        <f t="shared" ref="F2:F10" si="1">E2/SUM($E$2:$E$14)*SUM($E$2:$E$15)</f>
        <v>2100</v>
      </c>
      <c r="G2" t="s">
        <v>271</v>
      </c>
      <c r="H2" s="15"/>
    </row>
    <row r="3" spans="1:8" x14ac:dyDescent="0.35">
      <c r="A3">
        <v>1</v>
      </c>
      <c r="B3" s="17">
        <v>3769</v>
      </c>
      <c r="C3">
        <v>85.88000000000001</v>
      </c>
      <c r="D3">
        <v>85.88000000000001</v>
      </c>
      <c r="E3" s="11">
        <f t="shared" si="0"/>
        <v>85.88000000000001</v>
      </c>
      <c r="F3" s="11">
        <f t="shared" si="1"/>
        <v>85.88000000000001</v>
      </c>
    </row>
    <row r="4" spans="1:8" x14ac:dyDescent="0.35">
      <c r="A4">
        <v>1</v>
      </c>
      <c r="B4" s="17">
        <v>6071</v>
      </c>
      <c r="C4">
        <v>10120.459999999999</v>
      </c>
      <c r="D4">
        <v>10139.23</v>
      </c>
      <c r="E4" s="11">
        <f t="shared" si="0"/>
        <v>10120.459999999999</v>
      </c>
      <c r="F4" s="11">
        <f t="shared" si="1"/>
        <v>10120.459999999999</v>
      </c>
      <c r="G4" t="s">
        <v>272</v>
      </c>
      <c r="H4" s="18">
        <f>TCD!Z1</f>
        <v>1425.38</v>
      </c>
    </row>
    <row r="5" spans="1:8" x14ac:dyDescent="0.35">
      <c r="A5">
        <v>1</v>
      </c>
      <c r="B5" s="17">
        <v>6930</v>
      </c>
      <c r="C5">
        <v>121.7</v>
      </c>
      <c r="D5">
        <v>121.7</v>
      </c>
      <c r="E5" s="11">
        <f t="shared" si="0"/>
        <v>121.7</v>
      </c>
      <c r="F5" s="11">
        <f t="shared" si="1"/>
        <v>121.7</v>
      </c>
    </row>
    <row r="6" spans="1:8" x14ac:dyDescent="0.35">
      <c r="A6">
        <v>1</v>
      </c>
      <c r="B6" s="17">
        <v>8640</v>
      </c>
      <c r="C6">
        <v>518.54999999999995</v>
      </c>
      <c r="D6">
        <v>518.54999999999995</v>
      </c>
      <c r="E6" s="11">
        <f t="shared" si="0"/>
        <v>518.54999999999995</v>
      </c>
      <c r="F6" s="11">
        <f t="shared" si="1"/>
        <v>518.54999999999995</v>
      </c>
    </row>
    <row r="7" spans="1:8" x14ac:dyDescent="0.35">
      <c r="A7">
        <v>1</v>
      </c>
      <c r="B7" s="17">
        <v>8735</v>
      </c>
      <c r="C7">
        <v>81.95</v>
      </c>
      <c r="D7">
        <v>81.95</v>
      </c>
      <c r="E7" s="11">
        <f t="shared" si="0"/>
        <v>81.95</v>
      </c>
      <c r="F7" s="11">
        <f t="shared" si="1"/>
        <v>81.95</v>
      </c>
    </row>
    <row r="8" spans="1:8" x14ac:dyDescent="0.35">
      <c r="A8">
        <v>1</v>
      </c>
      <c r="B8" s="17" t="s">
        <v>348</v>
      </c>
      <c r="C8">
        <v>0</v>
      </c>
      <c r="D8">
        <v>1532.05</v>
      </c>
      <c r="E8" s="11">
        <f t="shared" si="0"/>
        <v>0</v>
      </c>
      <c r="F8" s="11">
        <f t="shared" si="1"/>
        <v>0</v>
      </c>
    </row>
    <row r="9" spans="1:8" x14ac:dyDescent="0.35">
      <c r="A9">
        <v>1</v>
      </c>
      <c r="B9" s="17" t="s">
        <v>240</v>
      </c>
      <c r="E9" s="11">
        <f t="shared" si="0"/>
        <v>0</v>
      </c>
      <c r="F9" s="11">
        <f t="shared" si="1"/>
        <v>0</v>
      </c>
    </row>
    <row r="10" spans="1:8" x14ac:dyDescent="0.35">
      <c r="A10">
        <v>1</v>
      </c>
      <c r="B10" s="17" t="s">
        <v>349</v>
      </c>
      <c r="C10">
        <v>13028.54</v>
      </c>
      <c r="D10">
        <v>14579.36</v>
      </c>
      <c r="E10" s="11">
        <f t="shared" si="0"/>
        <v>13028.54</v>
      </c>
      <c r="F10" s="11">
        <f t="shared" si="1"/>
        <v>13028.54</v>
      </c>
    </row>
    <row r="11" spans="1:8" x14ac:dyDescent="0.35">
      <c r="A11">
        <v>0</v>
      </c>
      <c r="E11" s="11"/>
      <c r="F11" s="11"/>
    </row>
    <row r="12" spans="1:8" x14ac:dyDescent="0.35">
      <c r="E12" s="11"/>
      <c r="F12" s="11"/>
    </row>
    <row r="13" spans="1:8" x14ac:dyDescent="0.35">
      <c r="E13" s="11"/>
      <c r="F13" s="11"/>
    </row>
    <row r="14" spans="1:8" x14ac:dyDescent="0.35">
      <c r="E14" s="11"/>
      <c r="F14" s="11"/>
    </row>
    <row r="15" spans="1:8" x14ac:dyDescent="0.35">
      <c r="E15" s="11"/>
      <c r="F15" s="11"/>
    </row>
    <row r="16" spans="1:8" x14ac:dyDescent="0.35">
      <c r="E16" s="11"/>
      <c r="F16" s="11"/>
      <c r="G16" s="11"/>
    </row>
    <row r="17" spans="5:6" x14ac:dyDescent="0.35">
      <c r="E17" s="11"/>
      <c r="F17" s="11"/>
    </row>
    <row r="18" spans="5:6" x14ac:dyDescent="0.35">
      <c r="E18" s="11"/>
      <c r="F18" s="11"/>
    </row>
    <row r="19" spans="5:6" x14ac:dyDescent="0.35">
      <c r="E19" s="11"/>
      <c r="F19" s="11"/>
    </row>
    <row r="20" spans="5:6" x14ac:dyDescent="0.35">
      <c r="E20" s="11"/>
      <c r="F20" s="11"/>
    </row>
    <row r="21" spans="5:6" x14ac:dyDescent="0.35">
      <c r="E21" s="11"/>
      <c r="F21" s="11"/>
    </row>
    <row r="22" spans="5:6" x14ac:dyDescent="0.35">
      <c r="F22" s="11"/>
    </row>
  </sheetData>
  <conditionalFormatting sqref="A1:A1048576">
    <cfRule type="cellIs" dxfId="6" priority="1" operator="equal">
      <formula>""</formula>
    </cfRule>
    <cfRule type="cellIs" dxfId="5" priority="2" operator="equal">
      <formula>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orkbookViewId="0">
      <selection activeCell="C3" sqref="C3"/>
    </sheetView>
  </sheetViews>
  <sheetFormatPr baseColWidth="10" defaultRowHeight="14.5" x14ac:dyDescent="0.35"/>
  <cols>
    <col min="1" max="1" width="74" style="19" bestFit="1" customWidth="1"/>
    <col min="2" max="2" width="20.1796875" bestFit="1" customWidth="1"/>
    <col min="3" max="3" width="97.81640625" style="7" bestFit="1" customWidth="1"/>
    <col min="6" max="6" width="13.453125" bestFit="1" customWidth="1"/>
    <col min="9" max="9" width="20" bestFit="1" customWidth="1"/>
    <col min="18" max="18" width="11.453125" style="7"/>
  </cols>
  <sheetData>
    <row r="1" spans="1:55" x14ac:dyDescent="0.35">
      <c r="A1" s="19" t="s">
        <v>1155</v>
      </c>
      <c r="B1" t="s">
        <v>1156</v>
      </c>
      <c r="C1" s="7" t="s">
        <v>1157</v>
      </c>
      <c r="H1" s="4"/>
      <c r="BC1" s="3"/>
    </row>
    <row r="2" spans="1:55" x14ac:dyDescent="0.35">
      <c r="A2" s="30" t="s">
        <v>918</v>
      </c>
      <c r="B2" s="31">
        <v>40.14</v>
      </c>
      <c r="C2" s="7" t="s">
        <v>1158</v>
      </c>
      <c r="H2" s="5"/>
      <c r="Y2" s="7"/>
      <c r="BC2" s="6"/>
    </row>
    <row r="3" spans="1:55" x14ac:dyDescent="0.35">
      <c r="A3" s="32" t="s">
        <v>923</v>
      </c>
      <c r="B3" s="33">
        <v>107.21</v>
      </c>
      <c r="C3" s="7" t="s">
        <v>1158</v>
      </c>
      <c r="D3" s="8"/>
      <c r="E3" s="8"/>
      <c r="F3" s="8"/>
      <c r="G3" s="10"/>
      <c r="H3" s="10"/>
      <c r="I3" s="10"/>
      <c r="J3" s="8"/>
      <c r="K3" s="10"/>
      <c r="L3" s="8"/>
      <c r="M3" s="8"/>
      <c r="N3" s="8"/>
      <c r="O3" s="8"/>
      <c r="P3" s="10"/>
      <c r="Q3" s="10"/>
      <c r="R3" s="21"/>
      <c r="S3" s="8"/>
      <c r="T3" s="8"/>
      <c r="U3" s="10"/>
    </row>
    <row r="4" spans="1:55" x14ac:dyDescent="0.35">
      <c r="A4" s="20"/>
      <c r="B4" s="8"/>
      <c r="C4" s="21"/>
      <c r="D4" s="8"/>
      <c r="E4" s="8"/>
      <c r="F4" s="8"/>
      <c r="G4" s="10"/>
      <c r="H4" s="10"/>
      <c r="I4" s="10"/>
      <c r="J4" s="8"/>
      <c r="K4" s="10"/>
      <c r="L4" s="8"/>
      <c r="M4" s="8"/>
      <c r="N4" s="8"/>
      <c r="O4" s="8"/>
      <c r="P4" s="10"/>
      <c r="Q4" s="10"/>
      <c r="R4" s="21"/>
      <c r="S4" s="8"/>
      <c r="T4" s="8"/>
      <c r="U4" s="10"/>
    </row>
  </sheetData>
  <conditionalFormatting sqref="G1">
    <cfRule type="duplicateValues" dxfId="4" priority="11"/>
    <cfRule type="duplicateValues" dxfId="3" priority="12"/>
  </conditionalFormatting>
  <conditionalFormatting sqref="G2">
    <cfRule type="duplicateValues" dxfId="2" priority="1"/>
    <cfRule type="duplicateValues" dxfId="1" priority="2"/>
  </conditionalFormatting>
  <conditionalFormatting sqref="U3:U4">
    <cfRule type="cellIs" dxfId="0" priority="13" operator="not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Bareme gazole</vt:lpstr>
      <vt:lpstr>Fichier Kuehne</vt:lpstr>
      <vt:lpstr>TCD</vt:lpstr>
      <vt:lpstr>Kuehne_Import</vt:lpstr>
      <vt:lpstr>Bilan clients</vt:lpstr>
      <vt:lpstr>Demande avoir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Laruche 2</dc:creator>
  <cp:lastModifiedBy>Malak Oujdid</cp:lastModifiedBy>
  <cp:revision>1</cp:revision>
  <dcterms:created xsi:type="dcterms:W3CDTF">2020-12-03T13:35:37Z</dcterms:created>
  <dcterms:modified xsi:type="dcterms:W3CDTF">2026-07-02T13:28:40Z</dcterms:modified>
</cp:coreProperties>
</file>