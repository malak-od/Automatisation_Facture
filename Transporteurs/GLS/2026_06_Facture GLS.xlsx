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5.3\Comptabilité La Ruche\$Facturation automatique\1 - Factures transporteurs + calculs\2026\2026 06\"/>
    </mc:Choice>
  </mc:AlternateContent>
  <xr:revisionPtr revIDLastSave="0" documentId="13_ncr:1_{7BC18EA4-0C9B-484B-B59B-DC09A8161BFB}" xr6:coauthVersionLast="47" xr6:coauthVersionMax="47" xr10:uidLastSave="{00000000-0000-0000-0000-000000000000}"/>
  <bookViews>
    <workbookView xWindow="28680" yWindow="-120" windowWidth="29040" windowHeight="15720" tabRatio="860" firstSheet="3" activeTab="5" xr2:uid="{00000000-000D-0000-FFFF-FFFF00000000}"/>
  </bookViews>
  <sheets>
    <sheet name="PA GLS" sheetId="8" r:id="rId1"/>
    <sheet name="Zoning" sheetId="7" r:id="rId2"/>
    <sheet name="Poids" sheetId="5" r:id="rId3"/>
    <sheet name="Comptes GLS" sheetId="10" r:id="rId4"/>
    <sheet name="Catégories" sheetId="3" r:id="rId5"/>
    <sheet name="Facture GLS" sheetId="1" r:id="rId6"/>
    <sheet name="TCD" sheetId="4" r:id="rId7"/>
    <sheet name="Import csv" sheetId="2" r:id="rId8"/>
    <sheet name="Bilan factures" sheetId="11" r:id="rId9"/>
    <sheet name="Bilan clients" sheetId="6" r:id="rId10"/>
    <sheet name="Avoir" sheetId="12" r:id="rId11"/>
  </sheets>
  <definedNames>
    <definedName name="_xlnm._FilterDatabase" localSheetId="4" hidden="1">Catégories!$A$1:$B$6</definedName>
    <definedName name="_xlnm._FilterDatabase" localSheetId="5" hidden="1">'Facture GLS'!$A$1:$BD$905</definedName>
    <definedName name="_xlnm._FilterDatabase" localSheetId="7" hidden="1">'Import csv'!$A$1:$W$382</definedName>
    <definedName name="_xlnm._FilterDatabase" localSheetId="6" hidden="1">TCD!$B$2:$J$382</definedName>
  </definedNames>
  <calcPr calcId="191029"/>
  <pivotCaches>
    <pivotCache cacheId="0" r:id="rId12"/>
    <pivotCache cacheId="1" r:id="rId13"/>
    <pivotCache cacheId="2" r:id="rId14"/>
    <pivotCache cacheId="3" r:id="rId15"/>
    <pivotCache cacheId="4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" l="1"/>
  <c r="J4" i="2"/>
  <c r="M4" i="2"/>
  <c r="R4" i="2"/>
  <c r="S4" i="2"/>
  <c r="T4" i="2"/>
  <c r="U4" i="2"/>
  <c r="G5" i="2"/>
  <c r="R5" i="2"/>
  <c r="S5" i="2"/>
  <c r="T5" i="2"/>
  <c r="U5" i="2"/>
  <c r="G6" i="2"/>
  <c r="J6" i="2" s="1"/>
  <c r="M6" i="2"/>
  <c r="R6" i="2"/>
  <c r="S6" i="2"/>
  <c r="T6" i="2"/>
  <c r="U6" i="2"/>
  <c r="G7" i="2"/>
  <c r="R7" i="2"/>
  <c r="S7" i="2"/>
  <c r="T7" i="2"/>
  <c r="U7" i="2"/>
  <c r="G8" i="2"/>
  <c r="R8" i="2"/>
  <c r="S8" i="2"/>
  <c r="T8" i="2"/>
  <c r="U8" i="2"/>
  <c r="G9" i="2"/>
  <c r="R9" i="2"/>
  <c r="S9" i="2"/>
  <c r="T9" i="2"/>
  <c r="U9" i="2"/>
  <c r="G10" i="2"/>
  <c r="J10" i="2" s="1"/>
  <c r="M10" i="2"/>
  <c r="R10" i="2"/>
  <c r="S10" i="2"/>
  <c r="T10" i="2"/>
  <c r="U10" i="2"/>
  <c r="G11" i="2"/>
  <c r="J11" i="2" s="1"/>
  <c r="M11" i="2"/>
  <c r="R11" i="2"/>
  <c r="S11" i="2"/>
  <c r="T11" i="2"/>
  <c r="U11" i="2"/>
  <c r="G12" i="2"/>
  <c r="J12" i="2" s="1"/>
  <c r="M12" i="2"/>
  <c r="R12" i="2"/>
  <c r="S12" i="2"/>
  <c r="T12" i="2"/>
  <c r="U12" i="2"/>
  <c r="G13" i="2"/>
  <c r="J13" i="2" s="1"/>
  <c r="M13" i="2"/>
  <c r="R13" i="2"/>
  <c r="S13" i="2"/>
  <c r="T13" i="2"/>
  <c r="U13" i="2"/>
  <c r="G14" i="2"/>
  <c r="J14" i="2" s="1"/>
  <c r="M14" i="2"/>
  <c r="R14" i="2"/>
  <c r="S14" i="2"/>
  <c r="T14" i="2"/>
  <c r="U14" i="2"/>
  <c r="G15" i="2"/>
  <c r="J15" i="2" s="1"/>
  <c r="M15" i="2"/>
  <c r="R15" i="2"/>
  <c r="S15" i="2"/>
  <c r="T15" i="2"/>
  <c r="U15" i="2"/>
  <c r="G16" i="2"/>
  <c r="J16" i="2" s="1"/>
  <c r="M16" i="2"/>
  <c r="R16" i="2"/>
  <c r="S16" i="2"/>
  <c r="T16" i="2"/>
  <c r="U16" i="2"/>
  <c r="G17" i="2"/>
  <c r="J17" i="2"/>
  <c r="M17" i="2"/>
  <c r="R17" i="2"/>
  <c r="S17" i="2"/>
  <c r="T17" i="2"/>
  <c r="U17" i="2"/>
  <c r="G18" i="2"/>
  <c r="J18" i="2"/>
  <c r="M18" i="2"/>
  <c r="R18" i="2"/>
  <c r="S18" i="2"/>
  <c r="T18" i="2"/>
  <c r="U18" i="2"/>
  <c r="G19" i="2"/>
  <c r="J19" i="2" s="1"/>
  <c r="M19" i="2"/>
  <c r="R19" i="2"/>
  <c r="S19" i="2"/>
  <c r="T19" i="2"/>
  <c r="U19" i="2"/>
  <c r="G20" i="2"/>
  <c r="J20" i="2" s="1"/>
  <c r="M20" i="2"/>
  <c r="R20" i="2"/>
  <c r="S20" i="2"/>
  <c r="T20" i="2"/>
  <c r="U20" i="2"/>
  <c r="G21" i="2"/>
  <c r="J21" i="2"/>
  <c r="M21" i="2"/>
  <c r="R21" i="2"/>
  <c r="S21" i="2"/>
  <c r="T21" i="2"/>
  <c r="U21" i="2"/>
  <c r="G22" i="2"/>
  <c r="J22" i="2" s="1"/>
  <c r="M22" i="2"/>
  <c r="R22" i="2"/>
  <c r="S22" i="2"/>
  <c r="T22" i="2"/>
  <c r="U22" i="2"/>
  <c r="G23" i="2"/>
  <c r="R23" i="2"/>
  <c r="S23" i="2"/>
  <c r="T23" i="2"/>
  <c r="U23" i="2"/>
  <c r="G24" i="2"/>
  <c r="J24" i="2" s="1"/>
  <c r="M24" i="2"/>
  <c r="R24" i="2"/>
  <c r="S24" i="2"/>
  <c r="T24" i="2"/>
  <c r="U24" i="2"/>
  <c r="G25" i="2"/>
  <c r="J25" i="2" s="1"/>
  <c r="M25" i="2"/>
  <c r="R25" i="2"/>
  <c r="S25" i="2"/>
  <c r="T25" i="2"/>
  <c r="U25" i="2"/>
  <c r="G26" i="2"/>
  <c r="J26" i="2"/>
  <c r="M26" i="2"/>
  <c r="R26" i="2"/>
  <c r="S26" i="2"/>
  <c r="T26" i="2"/>
  <c r="U26" i="2"/>
  <c r="G27" i="2"/>
  <c r="J27" i="2" s="1"/>
  <c r="M27" i="2"/>
  <c r="R27" i="2"/>
  <c r="S27" i="2"/>
  <c r="T27" i="2"/>
  <c r="U27" i="2"/>
  <c r="G28" i="2"/>
  <c r="J28" i="2"/>
  <c r="M28" i="2"/>
  <c r="R28" i="2"/>
  <c r="S28" i="2"/>
  <c r="T28" i="2"/>
  <c r="U28" i="2"/>
  <c r="G29" i="2"/>
  <c r="J29" i="2" s="1"/>
  <c r="M29" i="2"/>
  <c r="R29" i="2"/>
  <c r="S29" i="2"/>
  <c r="T29" i="2"/>
  <c r="U29" i="2"/>
  <c r="G30" i="2"/>
  <c r="J30" i="2" s="1"/>
  <c r="M30" i="2"/>
  <c r="R30" i="2"/>
  <c r="S30" i="2"/>
  <c r="T30" i="2"/>
  <c r="U30" i="2"/>
  <c r="G31" i="2"/>
  <c r="J31" i="2" s="1"/>
  <c r="M31" i="2"/>
  <c r="R31" i="2"/>
  <c r="S31" i="2"/>
  <c r="T31" i="2"/>
  <c r="U31" i="2"/>
  <c r="G32" i="2"/>
  <c r="J32" i="2" s="1"/>
  <c r="M32" i="2"/>
  <c r="R32" i="2"/>
  <c r="S32" i="2"/>
  <c r="T32" i="2"/>
  <c r="U32" i="2"/>
  <c r="G33" i="2"/>
  <c r="J33" i="2"/>
  <c r="M33" i="2"/>
  <c r="R33" i="2"/>
  <c r="S33" i="2"/>
  <c r="T33" i="2"/>
  <c r="U33" i="2"/>
  <c r="G34" i="2"/>
  <c r="J34" i="2"/>
  <c r="M34" i="2"/>
  <c r="R34" i="2"/>
  <c r="S34" i="2"/>
  <c r="T34" i="2"/>
  <c r="U34" i="2"/>
  <c r="G35" i="2"/>
  <c r="J35" i="2"/>
  <c r="M35" i="2"/>
  <c r="R35" i="2"/>
  <c r="S35" i="2"/>
  <c r="T35" i="2"/>
  <c r="U35" i="2"/>
  <c r="G36" i="2"/>
  <c r="J36" i="2"/>
  <c r="M36" i="2"/>
  <c r="R36" i="2"/>
  <c r="S36" i="2"/>
  <c r="T36" i="2"/>
  <c r="U36" i="2"/>
  <c r="G37" i="2"/>
  <c r="J37" i="2"/>
  <c r="M37" i="2"/>
  <c r="R37" i="2"/>
  <c r="S37" i="2"/>
  <c r="T37" i="2"/>
  <c r="U37" i="2"/>
  <c r="G38" i="2"/>
  <c r="J38" i="2" s="1"/>
  <c r="M38" i="2"/>
  <c r="R38" i="2"/>
  <c r="S38" i="2"/>
  <c r="T38" i="2"/>
  <c r="U38" i="2"/>
  <c r="G39" i="2"/>
  <c r="J39" i="2"/>
  <c r="M39" i="2"/>
  <c r="R39" i="2"/>
  <c r="S39" i="2"/>
  <c r="T39" i="2"/>
  <c r="U39" i="2"/>
  <c r="G40" i="2"/>
  <c r="J40" i="2" s="1"/>
  <c r="M40" i="2"/>
  <c r="R40" i="2"/>
  <c r="S40" i="2"/>
  <c r="T40" i="2"/>
  <c r="U40" i="2"/>
  <c r="G41" i="2"/>
  <c r="J41" i="2"/>
  <c r="M41" i="2"/>
  <c r="R41" i="2"/>
  <c r="S41" i="2"/>
  <c r="T41" i="2"/>
  <c r="U41" i="2"/>
  <c r="G42" i="2"/>
  <c r="J42" i="2"/>
  <c r="M42" i="2"/>
  <c r="R42" i="2"/>
  <c r="S42" i="2"/>
  <c r="T42" i="2"/>
  <c r="U42" i="2"/>
  <c r="G43" i="2"/>
  <c r="J43" i="2"/>
  <c r="M43" i="2"/>
  <c r="R43" i="2"/>
  <c r="S43" i="2"/>
  <c r="T43" i="2"/>
  <c r="U43" i="2"/>
  <c r="G44" i="2"/>
  <c r="J44" i="2" s="1"/>
  <c r="M44" i="2"/>
  <c r="R44" i="2"/>
  <c r="S44" i="2"/>
  <c r="T44" i="2"/>
  <c r="U44" i="2"/>
  <c r="G45" i="2"/>
  <c r="J45" i="2"/>
  <c r="M45" i="2"/>
  <c r="R45" i="2"/>
  <c r="S45" i="2"/>
  <c r="T45" i="2"/>
  <c r="U45" i="2"/>
  <c r="G46" i="2"/>
  <c r="J46" i="2"/>
  <c r="M46" i="2"/>
  <c r="R46" i="2"/>
  <c r="S46" i="2"/>
  <c r="T46" i="2"/>
  <c r="U46" i="2"/>
  <c r="G47" i="2"/>
  <c r="J47" i="2"/>
  <c r="M47" i="2"/>
  <c r="R47" i="2"/>
  <c r="S47" i="2"/>
  <c r="T47" i="2"/>
  <c r="U47" i="2"/>
  <c r="G48" i="2"/>
  <c r="J48" i="2" s="1"/>
  <c r="M48" i="2"/>
  <c r="R48" i="2"/>
  <c r="S48" i="2"/>
  <c r="T48" i="2"/>
  <c r="U48" i="2"/>
  <c r="G49" i="2"/>
  <c r="J49" i="2"/>
  <c r="M49" i="2"/>
  <c r="R49" i="2"/>
  <c r="S49" i="2"/>
  <c r="T49" i="2"/>
  <c r="U49" i="2"/>
  <c r="G50" i="2"/>
  <c r="J50" i="2" s="1"/>
  <c r="M50" i="2"/>
  <c r="R50" i="2"/>
  <c r="S50" i="2"/>
  <c r="T50" i="2"/>
  <c r="U50" i="2"/>
  <c r="G51" i="2"/>
  <c r="J51" i="2"/>
  <c r="M51" i="2"/>
  <c r="R51" i="2"/>
  <c r="S51" i="2"/>
  <c r="T51" i="2"/>
  <c r="U51" i="2"/>
  <c r="G52" i="2"/>
  <c r="J52" i="2" s="1"/>
  <c r="M52" i="2"/>
  <c r="R52" i="2"/>
  <c r="S52" i="2"/>
  <c r="T52" i="2"/>
  <c r="U52" i="2"/>
  <c r="G53" i="2"/>
  <c r="J53" i="2" s="1"/>
  <c r="M53" i="2"/>
  <c r="R53" i="2"/>
  <c r="S53" i="2"/>
  <c r="T53" i="2"/>
  <c r="U53" i="2"/>
  <c r="G54" i="2"/>
  <c r="J54" i="2"/>
  <c r="M54" i="2"/>
  <c r="R54" i="2"/>
  <c r="S54" i="2"/>
  <c r="T54" i="2"/>
  <c r="U54" i="2"/>
  <c r="G55" i="2"/>
  <c r="J55" i="2" s="1"/>
  <c r="M55" i="2"/>
  <c r="R55" i="2"/>
  <c r="S55" i="2"/>
  <c r="T55" i="2"/>
  <c r="U55" i="2"/>
  <c r="G56" i="2"/>
  <c r="J56" i="2"/>
  <c r="M56" i="2"/>
  <c r="R56" i="2"/>
  <c r="S56" i="2"/>
  <c r="T56" i="2"/>
  <c r="U56" i="2"/>
  <c r="G57" i="2"/>
  <c r="J57" i="2"/>
  <c r="M57" i="2"/>
  <c r="R57" i="2"/>
  <c r="S57" i="2"/>
  <c r="T57" i="2"/>
  <c r="U57" i="2"/>
  <c r="G58" i="2"/>
  <c r="J58" i="2"/>
  <c r="M58" i="2"/>
  <c r="R58" i="2"/>
  <c r="S58" i="2"/>
  <c r="T58" i="2"/>
  <c r="U58" i="2"/>
  <c r="G59" i="2"/>
  <c r="J59" i="2" s="1"/>
  <c r="M59" i="2"/>
  <c r="R59" i="2"/>
  <c r="S59" i="2"/>
  <c r="T59" i="2"/>
  <c r="U59" i="2"/>
  <c r="G60" i="2"/>
  <c r="J60" i="2" s="1"/>
  <c r="M60" i="2"/>
  <c r="R60" i="2"/>
  <c r="S60" i="2"/>
  <c r="T60" i="2"/>
  <c r="U60" i="2"/>
  <c r="G61" i="2"/>
  <c r="J61" i="2"/>
  <c r="M61" i="2"/>
  <c r="R61" i="2"/>
  <c r="S61" i="2"/>
  <c r="T61" i="2"/>
  <c r="U61" i="2"/>
  <c r="G62" i="2"/>
  <c r="J62" i="2"/>
  <c r="M62" i="2"/>
  <c r="R62" i="2"/>
  <c r="S62" i="2"/>
  <c r="T62" i="2"/>
  <c r="U62" i="2"/>
  <c r="G63" i="2"/>
  <c r="J63" i="2"/>
  <c r="M63" i="2"/>
  <c r="R63" i="2"/>
  <c r="S63" i="2"/>
  <c r="T63" i="2"/>
  <c r="U63" i="2"/>
  <c r="G64" i="2"/>
  <c r="J64" i="2"/>
  <c r="M64" i="2"/>
  <c r="R64" i="2"/>
  <c r="S64" i="2"/>
  <c r="T64" i="2"/>
  <c r="U64" i="2"/>
  <c r="G65" i="2"/>
  <c r="J65" i="2"/>
  <c r="M65" i="2"/>
  <c r="R65" i="2"/>
  <c r="S65" i="2"/>
  <c r="T65" i="2"/>
  <c r="U65" i="2"/>
  <c r="G66" i="2"/>
  <c r="J66" i="2"/>
  <c r="M66" i="2"/>
  <c r="R66" i="2"/>
  <c r="S66" i="2"/>
  <c r="T66" i="2"/>
  <c r="U66" i="2"/>
  <c r="G67" i="2"/>
  <c r="J67" i="2"/>
  <c r="M67" i="2"/>
  <c r="R67" i="2"/>
  <c r="S67" i="2"/>
  <c r="T67" i="2"/>
  <c r="U67" i="2"/>
  <c r="G68" i="2"/>
  <c r="J68" i="2"/>
  <c r="M68" i="2"/>
  <c r="R68" i="2"/>
  <c r="S68" i="2"/>
  <c r="T68" i="2"/>
  <c r="U68" i="2"/>
  <c r="G69" i="2"/>
  <c r="J69" i="2"/>
  <c r="M69" i="2"/>
  <c r="R69" i="2"/>
  <c r="S69" i="2"/>
  <c r="T69" i="2"/>
  <c r="U69" i="2"/>
  <c r="G70" i="2"/>
  <c r="J70" i="2"/>
  <c r="M70" i="2"/>
  <c r="R70" i="2"/>
  <c r="S70" i="2"/>
  <c r="T70" i="2"/>
  <c r="U70" i="2"/>
  <c r="G71" i="2"/>
  <c r="J71" i="2" s="1"/>
  <c r="M71" i="2"/>
  <c r="R71" i="2"/>
  <c r="S71" i="2"/>
  <c r="T71" i="2"/>
  <c r="U71" i="2"/>
  <c r="G72" i="2"/>
  <c r="J72" i="2" s="1"/>
  <c r="M72" i="2"/>
  <c r="R72" i="2"/>
  <c r="S72" i="2"/>
  <c r="T72" i="2"/>
  <c r="U72" i="2"/>
  <c r="G73" i="2"/>
  <c r="J73" i="2" s="1"/>
  <c r="M73" i="2"/>
  <c r="R73" i="2"/>
  <c r="S73" i="2"/>
  <c r="T73" i="2"/>
  <c r="U73" i="2"/>
  <c r="G74" i="2"/>
  <c r="M74" i="2" s="1"/>
  <c r="J74" i="2"/>
  <c r="R74" i="2"/>
  <c r="S74" i="2"/>
  <c r="T74" i="2"/>
  <c r="U74" i="2"/>
  <c r="G75" i="2"/>
  <c r="J75" i="2"/>
  <c r="K75" i="2"/>
  <c r="M75" i="2"/>
  <c r="N75" i="2"/>
  <c r="O75" i="2"/>
  <c r="R75" i="2"/>
  <c r="S75" i="2"/>
  <c r="T75" i="2"/>
  <c r="U75" i="2"/>
  <c r="G76" i="2"/>
  <c r="J76" i="2"/>
  <c r="M76" i="2"/>
  <c r="R76" i="2"/>
  <c r="S76" i="2"/>
  <c r="T76" i="2"/>
  <c r="U76" i="2"/>
  <c r="G77" i="2"/>
  <c r="J77" i="2"/>
  <c r="M77" i="2"/>
  <c r="R77" i="2"/>
  <c r="S77" i="2"/>
  <c r="T77" i="2"/>
  <c r="U77" i="2"/>
  <c r="G78" i="2"/>
  <c r="J78" i="2"/>
  <c r="M78" i="2"/>
  <c r="R78" i="2"/>
  <c r="S78" i="2"/>
  <c r="T78" i="2"/>
  <c r="U78" i="2"/>
  <c r="G79" i="2"/>
  <c r="J79" i="2"/>
  <c r="M79" i="2"/>
  <c r="R79" i="2"/>
  <c r="S79" i="2"/>
  <c r="T79" i="2"/>
  <c r="U79" i="2"/>
  <c r="G80" i="2"/>
  <c r="J80" i="2"/>
  <c r="M80" i="2"/>
  <c r="R80" i="2"/>
  <c r="S80" i="2"/>
  <c r="T80" i="2"/>
  <c r="U80" i="2"/>
  <c r="G81" i="2"/>
  <c r="J81" i="2"/>
  <c r="M81" i="2"/>
  <c r="R81" i="2"/>
  <c r="S81" i="2"/>
  <c r="T81" i="2"/>
  <c r="U81" i="2"/>
  <c r="G82" i="2"/>
  <c r="J82" i="2"/>
  <c r="M82" i="2"/>
  <c r="R82" i="2"/>
  <c r="S82" i="2"/>
  <c r="T82" i="2"/>
  <c r="U82" i="2"/>
  <c r="G83" i="2"/>
  <c r="J83" i="2"/>
  <c r="M83" i="2"/>
  <c r="R83" i="2"/>
  <c r="S83" i="2"/>
  <c r="T83" i="2"/>
  <c r="U83" i="2"/>
  <c r="G84" i="2"/>
  <c r="J84" i="2" s="1"/>
  <c r="M84" i="2"/>
  <c r="R84" i="2"/>
  <c r="S84" i="2"/>
  <c r="T84" i="2"/>
  <c r="U84" i="2"/>
  <c r="G85" i="2"/>
  <c r="J85" i="2"/>
  <c r="M85" i="2"/>
  <c r="R85" i="2"/>
  <c r="S85" i="2"/>
  <c r="T85" i="2"/>
  <c r="U85" i="2"/>
  <c r="G86" i="2"/>
  <c r="J86" i="2"/>
  <c r="M86" i="2"/>
  <c r="R86" i="2"/>
  <c r="S86" i="2"/>
  <c r="T86" i="2"/>
  <c r="U86" i="2"/>
  <c r="G87" i="2"/>
  <c r="J87" i="2"/>
  <c r="M87" i="2"/>
  <c r="R87" i="2"/>
  <c r="S87" i="2"/>
  <c r="T87" i="2"/>
  <c r="U87" i="2"/>
  <c r="G88" i="2"/>
  <c r="J88" i="2" s="1"/>
  <c r="M88" i="2"/>
  <c r="R88" i="2"/>
  <c r="S88" i="2"/>
  <c r="T88" i="2"/>
  <c r="U88" i="2"/>
  <c r="G89" i="2"/>
  <c r="J89" i="2" s="1"/>
  <c r="M89" i="2"/>
  <c r="R89" i="2"/>
  <c r="S89" i="2"/>
  <c r="T89" i="2"/>
  <c r="U89" i="2"/>
  <c r="G90" i="2"/>
  <c r="J90" i="2"/>
  <c r="M90" i="2"/>
  <c r="R90" i="2"/>
  <c r="S90" i="2"/>
  <c r="T90" i="2"/>
  <c r="U90" i="2"/>
  <c r="G91" i="2"/>
  <c r="J91" i="2"/>
  <c r="M91" i="2"/>
  <c r="R91" i="2"/>
  <c r="S91" i="2"/>
  <c r="T91" i="2"/>
  <c r="U91" i="2"/>
  <c r="G92" i="2"/>
  <c r="J92" i="2"/>
  <c r="M92" i="2"/>
  <c r="R92" i="2"/>
  <c r="S92" i="2"/>
  <c r="T92" i="2"/>
  <c r="U92" i="2"/>
  <c r="G93" i="2"/>
  <c r="J93" i="2" s="1"/>
  <c r="M93" i="2"/>
  <c r="R93" i="2"/>
  <c r="S93" i="2"/>
  <c r="T93" i="2"/>
  <c r="U93" i="2"/>
  <c r="G94" i="2"/>
  <c r="J94" i="2" s="1"/>
  <c r="M94" i="2"/>
  <c r="R94" i="2"/>
  <c r="S94" i="2"/>
  <c r="T94" i="2"/>
  <c r="U94" i="2"/>
  <c r="G95" i="2"/>
  <c r="J95" i="2"/>
  <c r="M95" i="2"/>
  <c r="R95" i="2"/>
  <c r="S95" i="2"/>
  <c r="T95" i="2"/>
  <c r="U95" i="2"/>
  <c r="G96" i="2"/>
  <c r="R96" i="2"/>
  <c r="S96" i="2"/>
  <c r="T96" i="2"/>
  <c r="U96" i="2"/>
  <c r="G97" i="2"/>
  <c r="J97" i="2"/>
  <c r="M97" i="2"/>
  <c r="R97" i="2"/>
  <c r="S97" i="2"/>
  <c r="T97" i="2"/>
  <c r="U97" i="2"/>
  <c r="G98" i="2"/>
  <c r="J98" i="2"/>
  <c r="M98" i="2"/>
  <c r="R98" i="2"/>
  <c r="S98" i="2"/>
  <c r="T98" i="2"/>
  <c r="U98" i="2"/>
  <c r="G99" i="2"/>
  <c r="J99" i="2"/>
  <c r="M99" i="2"/>
  <c r="R99" i="2"/>
  <c r="S99" i="2"/>
  <c r="T99" i="2"/>
  <c r="U99" i="2"/>
  <c r="G100" i="2"/>
  <c r="J100" i="2"/>
  <c r="M100" i="2"/>
  <c r="R100" i="2"/>
  <c r="S100" i="2"/>
  <c r="T100" i="2"/>
  <c r="U100" i="2"/>
  <c r="G101" i="2"/>
  <c r="J101" i="2"/>
  <c r="M101" i="2"/>
  <c r="R101" i="2"/>
  <c r="S101" i="2"/>
  <c r="T101" i="2"/>
  <c r="U101" i="2"/>
  <c r="G102" i="2"/>
  <c r="J102" i="2"/>
  <c r="M102" i="2"/>
  <c r="R102" i="2"/>
  <c r="S102" i="2"/>
  <c r="T102" i="2"/>
  <c r="U102" i="2"/>
  <c r="G103" i="2"/>
  <c r="J103" i="2" s="1"/>
  <c r="M103" i="2"/>
  <c r="R103" i="2"/>
  <c r="S103" i="2"/>
  <c r="T103" i="2"/>
  <c r="U103" i="2"/>
  <c r="G104" i="2"/>
  <c r="J104" i="2"/>
  <c r="M104" i="2"/>
  <c r="R104" i="2"/>
  <c r="S104" i="2"/>
  <c r="T104" i="2"/>
  <c r="U104" i="2"/>
  <c r="G105" i="2"/>
  <c r="J105" i="2"/>
  <c r="M105" i="2"/>
  <c r="R105" i="2"/>
  <c r="S105" i="2"/>
  <c r="T105" i="2"/>
  <c r="U105" i="2"/>
  <c r="G106" i="2"/>
  <c r="J106" i="2"/>
  <c r="M106" i="2"/>
  <c r="R106" i="2"/>
  <c r="S106" i="2"/>
  <c r="T106" i="2"/>
  <c r="U106" i="2"/>
  <c r="G107" i="2"/>
  <c r="J107" i="2" s="1"/>
  <c r="M107" i="2"/>
  <c r="R107" i="2"/>
  <c r="S107" i="2"/>
  <c r="T107" i="2"/>
  <c r="U107" i="2"/>
  <c r="G108" i="2"/>
  <c r="J108" i="2"/>
  <c r="M108" i="2"/>
  <c r="R108" i="2"/>
  <c r="S108" i="2"/>
  <c r="T108" i="2"/>
  <c r="U108" i="2"/>
  <c r="G109" i="2"/>
  <c r="J109" i="2" s="1"/>
  <c r="M109" i="2"/>
  <c r="R109" i="2"/>
  <c r="S109" i="2"/>
  <c r="T109" i="2"/>
  <c r="U109" i="2"/>
  <c r="G110" i="2"/>
  <c r="J110" i="2"/>
  <c r="M110" i="2"/>
  <c r="R110" i="2"/>
  <c r="S110" i="2"/>
  <c r="T110" i="2"/>
  <c r="U110" i="2"/>
  <c r="G111" i="2"/>
  <c r="J111" i="2"/>
  <c r="M111" i="2"/>
  <c r="R111" i="2"/>
  <c r="S111" i="2"/>
  <c r="T111" i="2"/>
  <c r="U111" i="2"/>
  <c r="G112" i="2"/>
  <c r="J112" i="2" s="1"/>
  <c r="M112" i="2"/>
  <c r="R112" i="2"/>
  <c r="S112" i="2"/>
  <c r="T112" i="2"/>
  <c r="U112" i="2"/>
  <c r="G113" i="2"/>
  <c r="J113" i="2"/>
  <c r="M113" i="2"/>
  <c r="R113" i="2"/>
  <c r="S113" i="2"/>
  <c r="T113" i="2"/>
  <c r="U113" i="2"/>
  <c r="G114" i="2"/>
  <c r="J114" i="2"/>
  <c r="M114" i="2"/>
  <c r="R114" i="2"/>
  <c r="S114" i="2"/>
  <c r="T114" i="2"/>
  <c r="U114" i="2"/>
  <c r="G115" i="2"/>
  <c r="J115" i="2"/>
  <c r="M115" i="2"/>
  <c r="R115" i="2"/>
  <c r="S115" i="2"/>
  <c r="T115" i="2"/>
  <c r="U115" i="2"/>
  <c r="G116" i="2"/>
  <c r="J116" i="2"/>
  <c r="M116" i="2"/>
  <c r="R116" i="2"/>
  <c r="S116" i="2"/>
  <c r="T116" i="2"/>
  <c r="U116" i="2"/>
  <c r="G117" i="2"/>
  <c r="J117" i="2"/>
  <c r="M117" i="2"/>
  <c r="R117" i="2"/>
  <c r="S117" i="2"/>
  <c r="T117" i="2"/>
  <c r="U117" i="2"/>
  <c r="G118" i="2"/>
  <c r="J118" i="2"/>
  <c r="M118" i="2"/>
  <c r="R118" i="2"/>
  <c r="S118" i="2"/>
  <c r="T118" i="2"/>
  <c r="U118" i="2"/>
  <c r="G119" i="2"/>
  <c r="J119" i="2"/>
  <c r="M119" i="2"/>
  <c r="R119" i="2"/>
  <c r="S119" i="2"/>
  <c r="T119" i="2"/>
  <c r="U119" i="2"/>
  <c r="G120" i="2"/>
  <c r="J120" i="2" s="1"/>
  <c r="M120" i="2"/>
  <c r="R120" i="2"/>
  <c r="S120" i="2"/>
  <c r="T120" i="2"/>
  <c r="U120" i="2"/>
  <c r="G121" i="2"/>
  <c r="J121" i="2"/>
  <c r="M121" i="2"/>
  <c r="R121" i="2"/>
  <c r="S121" i="2"/>
  <c r="T121" i="2"/>
  <c r="U121" i="2"/>
  <c r="G122" i="2"/>
  <c r="J122" i="2" s="1"/>
  <c r="M122" i="2"/>
  <c r="R122" i="2"/>
  <c r="S122" i="2"/>
  <c r="T122" i="2"/>
  <c r="U122" i="2"/>
  <c r="G123" i="2"/>
  <c r="J123" i="2" s="1"/>
  <c r="M123" i="2"/>
  <c r="R123" i="2"/>
  <c r="S123" i="2"/>
  <c r="T123" i="2"/>
  <c r="U123" i="2"/>
  <c r="G124" i="2"/>
  <c r="J124" i="2"/>
  <c r="M124" i="2"/>
  <c r="R124" i="2"/>
  <c r="S124" i="2"/>
  <c r="T124" i="2"/>
  <c r="U124" i="2"/>
  <c r="G125" i="2"/>
  <c r="J125" i="2"/>
  <c r="M125" i="2"/>
  <c r="R125" i="2"/>
  <c r="S125" i="2"/>
  <c r="T125" i="2"/>
  <c r="U125" i="2"/>
  <c r="G126" i="2"/>
  <c r="J126" i="2"/>
  <c r="M126" i="2"/>
  <c r="R126" i="2"/>
  <c r="S126" i="2"/>
  <c r="T126" i="2"/>
  <c r="U126" i="2"/>
  <c r="G127" i="2"/>
  <c r="J127" i="2"/>
  <c r="M127" i="2"/>
  <c r="R127" i="2"/>
  <c r="S127" i="2"/>
  <c r="T127" i="2"/>
  <c r="U127" i="2"/>
  <c r="G128" i="2"/>
  <c r="J128" i="2"/>
  <c r="M128" i="2"/>
  <c r="R128" i="2"/>
  <c r="S128" i="2"/>
  <c r="T128" i="2"/>
  <c r="U128" i="2"/>
  <c r="G129" i="2"/>
  <c r="J129" i="2"/>
  <c r="M129" i="2"/>
  <c r="R129" i="2"/>
  <c r="S129" i="2"/>
  <c r="T129" i="2"/>
  <c r="U129" i="2"/>
  <c r="G130" i="2"/>
  <c r="J130" i="2"/>
  <c r="K130" i="2"/>
  <c r="M130" i="2"/>
  <c r="N130" i="2"/>
  <c r="O130" i="2"/>
  <c r="R130" i="2"/>
  <c r="S130" i="2"/>
  <c r="T130" i="2"/>
  <c r="U130" i="2"/>
  <c r="G131" i="2"/>
  <c r="R131" i="2"/>
  <c r="S131" i="2"/>
  <c r="T131" i="2"/>
  <c r="U131" i="2"/>
  <c r="G132" i="2"/>
  <c r="R132" i="2"/>
  <c r="S132" i="2"/>
  <c r="T132" i="2"/>
  <c r="U132" i="2"/>
  <c r="G133" i="2"/>
  <c r="J133" i="2" s="1"/>
  <c r="M133" i="2"/>
  <c r="R133" i="2"/>
  <c r="S133" i="2"/>
  <c r="T133" i="2"/>
  <c r="U133" i="2"/>
  <c r="G134" i="2"/>
  <c r="J134" i="2"/>
  <c r="M134" i="2"/>
  <c r="R134" i="2"/>
  <c r="S134" i="2"/>
  <c r="T134" i="2"/>
  <c r="U134" i="2"/>
  <c r="G135" i="2"/>
  <c r="J135" i="2" s="1"/>
  <c r="M135" i="2"/>
  <c r="R135" i="2"/>
  <c r="S135" i="2"/>
  <c r="T135" i="2"/>
  <c r="U135" i="2"/>
  <c r="G136" i="2"/>
  <c r="R136" i="2"/>
  <c r="S136" i="2"/>
  <c r="T136" i="2"/>
  <c r="U136" i="2"/>
  <c r="G137" i="2"/>
  <c r="J137" i="2"/>
  <c r="K137" i="2" s="1"/>
  <c r="M137" i="2"/>
  <c r="N137" i="2"/>
  <c r="O137" i="2"/>
  <c r="R137" i="2"/>
  <c r="S137" i="2"/>
  <c r="T137" i="2"/>
  <c r="U137" i="2"/>
  <c r="G138" i="2"/>
  <c r="J138" i="2"/>
  <c r="M138" i="2"/>
  <c r="R138" i="2"/>
  <c r="S138" i="2"/>
  <c r="T138" i="2"/>
  <c r="U138" i="2"/>
  <c r="G139" i="2"/>
  <c r="J139" i="2" s="1"/>
  <c r="M139" i="2"/>
  <c r="R139" i="2"/>
  <c r="S139" i="2"/>
  <c r="T139" i="2"/>
  <c r="U139" i="2"/>
  <c r="G140" i="2"/>
  <c r="J140" i="2"/>
  <c r="K140" i="2" s="1"/>
  <c r="M140" i="2"/>
  <c r="N140" i="2"/>
  <c r="O140" i="2"/>
  <c r="R140" i="2"/>
  <c r="S140" i="2"/>
  <c r="T140" i="2"/>
  <c r="U140" i="2"/>
  <c r="G141" i="2"/>
  <c r="J141" i="2"/>
  <c r="M141" i="2"/>
  <c r="R141" i="2"/>
  <c r="S141" i="2"/>
  <c r="T141" i="2"/>
  <c r="U141" i="2"/>
  <c r="G142" i="2"/>
  <c r="J142" i="2"/>
  <c r="M142" i="2"/>
  <c r="R142" i="2"/>
  <c r="S142" i="2"/>
  <c r="T142" i="2"/>
  <c r="U142" i="2"/>
  <c r="G143" i="2"/>
  <c r="J143" i="2"/>
  <c r="K143" i="2" s="1"/>
  <c r="M143" i="2"/>
  <c r="N143" i="2"/>
  <c r="O143" i="2"/>
  <c r="R143" i="2"/>
  <c r="S143" i="2"/>
  <c r="T143" i="2"/>
  <c r="U143" i="2"/>
  <c r="G144" i="2"/>
  <c r="J144" i="2" s="1"/>
  <c r="M144" i="2"/>
  <c r="R144" i="2"/>
  <c r="S144" i="2"/>
  <c r="T144" i="2"/>
  <c r="U144" i="2"/>
  <c r="G145" i="2"/>
  <c r="J145" i="2"/>
  <c r="M145" i="2"/>
  <c r="R145" i="2"/>
  <c r="S145" i="2"/>
  <c r="T145" i="2"/>
  <c r="U145" i="2"/>
  <c r="G146" i="2"/>
  <c r="J146" i="2" s="1"/>
  <c r="M146" i="2"/>
  <c r="R146" i="2"/>
  <c r="S146" i="2"/>
  <c r="T146" i="2"/>
  <c r="U146" i="2"/>
  <c r="G147" i="2"/>
  <c r="J147" i="2"/>
  <c r="K147" i="2" s="1"/>
  <c r="M147" i="2"/>
  <c r="N147" i="2"/>
  <c r="O147" i="2"/>
  <c r="R147" i="2"/>
  <c r="S147" i="2"/>
  <c r="T147" i="2"/>
  <c r="U147" i="2"/>
  <c r="G148" i="2"/>
  <c r="J148" i="2"/>
  <c r="M148" i="2"/>
  <c r="R148" i="2"/>
  <c r="S148" i="2"/>
  <c r="T148" i="2"/>
  <c r="U148" i="2"/>
  <c r="G149" i="2"/>
  <c r="J149" i="2" s="1"/>
  <c r="M149" i="2"/>
  <c r="R149" i="2"/>
  <c r="S149" i="2"/>
  <c r="T149" i="2"/>
  <c r="U149" i="2"/>
  <c r="G150" i="2"/>
  <c r="J150" i="2"/>
  <c r="M150" i="2"/>
  <c r="R150" i="2"/>
  <c r="S150" i="2"/>
  <c r="T150" i="2"/>
  <c r="U150" i="2"/>
  <c r="G151" i="2"/>
  <c r="J151" i="2"/>
  <c r="K151" i="2"/>
  <c r="M151" i="2"/>
  <c r="N151" i="2"/>
  <c r="O151" i="2"/>
  <c r="R151" i="2"/>
  <c r="S151" i="2"/>
  <c r="T151" i="2"/>
  <c r="U151" i="2"/>
  <c r="G152" i="2"/>
  <c r="J152" i="2"/>
  <c r="M152" i="2"/>
  <c r="R152" i="2"/>
  <c r="S152" i="2"/>
  <c r="T152" i="2"/>
  <c r="U152" i="2"/>
  <c r="G153" i="2"/>
  <c r="J153" i="2"/>
  <c r="M153" i="2"/>
  <c r="R153" i="2"/>
  <c r="S153" i="2"/>
  <c r="T153" i="2"/>
  <c r="U153" i="2"/>
  <c r="G154" i="2"/>
  <c r="J154" i="2"/>
  <c r="K154" i="2" s="1"/>
  <c r="M154" i="2"/>
  <c r="N154" i="2"/>
  <c r="O154" i="2"/>
  <c r="R154" i="2"/>
  <c r="S154" i="2"/>
  <c r="T154" i="2"/>
  <c r="U154" i="2"/>
  <c r="G155" i="2"/>
  <c r="J155" i="2"/>
  <c r="K155" i="2" s="1"/>
  <c r="M155" i="2"/>
  <c r="N155" i="2"/>
  <c r="O155" i="2"/>
  <c r="R155" i="2"/>
  <c r="S155" i="2"/>
  <c r="T155" i="2"/>
  <c r="U155" i="2"/>
  <c r="G156" i="2"/>
  <c r="J156" i="2" s="1"/>
  <c r="M156" i="2"/>
  <c r="R156" i="2"/>
  <c r="S156" i="2"/>
  <c r="T156" i="2"/>
  <c r="U156" i="2"/>
  <c r="G157" i="2"/>
  <c r="J157" i="2" s="1"/>
  <c r="M157" i="2"/>
  <c r="R157" i="2"/>
  <c r="S157" i="2"/>
  <c r="T157" i="2"/>
  <c r="U157" i="2"/>
  <c r="G158" i="2"/>
  <c r="J158" i="2"/>
  <c r="K158" i="2" s="1"/>
  <c r="M158" i="2"/>
  <c r="N158" i="2"/>
  <c r="O158" i="2"/>
  <c r="R158" i="2"/>
  <c r="S158" i="2"/>
  <c r="T158" i="2"/>
  <c r="U158" i="2"/>
  <c r="G159" i="2"/>
  <c r="J159" i="2"/>
  <c r="K159" i="2"/>
  <c r="M159" i="2"/>
  <c r="N159" i="2"/>
  <c r="O159" i="2"/>
  <c r="R159" i="2"/>
  <c r="S159" i="2"/>
  <c r="T159" i="2"/>
  <c r="U159" i="2"/>
  <c r="G160" i="2"/>
  <c r="J160" i="2"/>
  <c r="K160" i="2" s="1"/>
  <c r="M160" i="2"/>
  <c r="N160" i="2"/>
  <c r="O160" i="2"/>
  <c r="R160" i="2"/>
  <c r="S160" i="2"/>
  <c r="T160" i="2"/>
  <c r="U160" i="2"/>
  <c r="G161" i="2"/>
  <c r="J161" i="2" s="1"/>
  <c r="M161" i="2"/>
  <c r="R161" i="2"/>
  <c r="S161" i="2"/>
  <c r="T161" i="2"/>
  <c r="U161" i="2"/>
  <c r="G162" i="2"/>
  <c r="J162" i="2"/>
  <c r="K162" i="2" s="1"/>
  <c r="M162" i="2"/>
  <c r="N162" i="2"/>
  <c r="O162" i="2"/>
  <c r="R162" i="2"/>
  <c r="S162" i="2"/>
  <c r="T162" i="2"/>
  <c r="U162" i="2"/>
  <c r="G163" i="2"/>
  <c r="J163" i="2"/>
  <c r="K163" i="2"/>
  <c r="M163" i="2"/>
  <c r="N163" i="2"/>
  <c r="O163" i="2"/>
  <c r="R163" i="2"/>
  <c r="S163" i="2"/>
  <c r="T163" i="2"/>
  <c r="U163" i="2"/>
  <c r="G164" i="2"/>
  <c r="J164" i="2" s="1"/>
  <c r="M164" i="2"/>
  <c r="R164" i="2"/>
  <c r="S164" i="2"/>
  <c r="T164" i="2"/>
  <c r="U164" i="2"/>
  <c r="G165" i="2"/>
  <c r="J165" i="2"/>
  <c r="M165" i="2"/>
  <c r="R165" i="2"/>
  <c r="S165" i="2"/>
  <c r="T165" i="2"/>
  <c r="U165" i="2"/>
  <c r="G166" i="2"/>
  <c r="J166" i="2"/>
  <c r="O166" i="2" s="1"/>
  <c r="M166" i="2"/>
  <c r="R166" i="2"/>
  <c r="S166" i="2"/>
  <c r="T166" i="2"/>
  <c r="U166" i="2"/>
  <c r="G167" i="2"/>
  <c r="J167" i="2"/>
  <c r="M167" i="2"/>
  <c r="R167" i="2"/>
  <c r="S167" i="2"/>
  <c r="T167" i="2"/>
  <c r="U167" i="2"/>
  <c r="G168" i="2"/>
  <c r="R168" i="2"/>
  <c r="S168" i="2"/>
  <c r="T168" i="2"/>
  <c r="U168" i="2"/>
  <c r="G169" i="2"/>
  <c r="J169" i="2"/>
  <c r="M169" i="2"/>
  <c r="R169" i="2"/>
  <c r="S169" i="2"/>
  <c r="T169" i="2"/>
  <c r="U169" i="2"/>
  <c r="G170" i="2"/>
  <c r="J170" i="2" s="1"/>
  <c r="M170" i="2"/>
  <c r="R170" i="2"/>
  <c r="S170" i="2"/>
  <c r="T170" i="2"/>
  <c r="U170" i="2"/>
  <c r="G171" i="2"/>
  <c r="R171" i="2"/>
  <c r="S171" i="2"/>
  <c r="T171" i="2"/>
  <c r="U171" i="2"/>
  <c r="G172" i="2"/>
  <c r="R172" i="2"/>
  <c r="S172" i="2"/>
  <c r="T172" i="2"/>
  <c r="U172" i="2"/>
  <c r="G173" i="2"/>
  <c r="J173" i="2" s="1"/>
  <c r="M173" i="2"/>
  <c r="R173" i="2"/>
  <c r="S173" i="2"/>
  <c r="T173" i="2"/>
  <c r="U173" i="2"/>
  <c r="G174" i="2"/>
  <c r="J174" i="2"/>
  <c r="M174" i="2"/>
  <c r="R174" i="2"/>
  <c r="S174" i="2"/>
  <c r="T174" i="2"/>
  <c r="U174" i="2"/>
  <c r="G175" i="2"/>
  <c r="J175" i="2" s="1"/>
  <c r="M175" i="2"/>
  <c r="R175" i="2"/>
  <c r="S175" i="2"/>
  <c r="T175" i="2"/>
  <c r="U175" i="2"/>
  <c r="G176" i="2"/>
  <c r="J176" i="2"/>
  <c r="M176" i="2"/>
  <c r="R176" i="2"/>
  <c r="S176" i="2"/>
  <c r="T176" i="2"/>
  <c r="U176" i="2"/>
  <c r="G177" i="2"/>
  <c r="J177" i="2"/>
  <c r="M177" i="2"/>
  <c r="R177" i="2"/>
  <c r="S177" i="2"/>
  <c r="T177" i="2"/>
  <c r="U177" i="2"/>
  <c r="G178" i="2"/>
  <c r="J178" i="2"/>
  <c r="M178" i="2"/>
  <c r="R178" i="2"/>
  <c r="S178" i="2"/>
  <c r="T178" i="2"/>
  <c r="U178" i="2"/>
  <c r="G179" i="2"/>
  <c r="J179" i="2"/>
  <c r="M179" i="2"/>
  <c r="R179" i="2"/>
  <c r="S179" i="2"/>
  <c r="T179" i="2"/>
  <c r="U179" i="2"/>
  <c r="G180" i="2"/>
  <c r="J180" i="2"/>
  <c r="M180" i="2"/>
  <c r="R180" i="2"/>
  <c r="S180" i="2"/>
  <c r="T180" i="2"/>
  <c r="U180" i="2"/>
  <c r="G181" i="2"/>
  <c r="J181" i="2"/>
  <c r="M181" i="2"/>
  <c r="R181" i="2"/>
  <c r="S181" i="2"/>
  <c r="T181" i="2"/>
  <c r="U181" i="2"/>
  <c r="G182" i="2"/>
  <c r="J182" i="2"/>
  <c r="K182" i="2" s="1"/>
  <c r="M182" i="2"/>
  <c r="N182" i="2"/>
  <c r="O182" i="2"/>
  <c r="R182" i="2"/>
  <c r="S182" i="2"/>
  <c r="T182" i="2"/>
  <c r="U182" i="2"/>
  <c r="G183" i="2"/>
  <c r="J183" i="2"/>
  <c r="M183" i="2"/>
  <c r="R183" i="2"/>
  <c r="S183" i="2"/>
  <c r="T183" i="2"/>
  <c r="U183" i="2"/>
  <c r="G184" i="2"/>
  <c r="J184" i="2"/>
  <c r="K184" i="2"/>
  <c r="M184" i="2"/>
  <c r="N184" i="2"/>
  <c r="O184" i="2"/>
  <c r="R184" i="2"/>
  <c r="S184" i="2"/>
  <c r="T184" i="2"/>
  <c r="U184" i="2"/>
  <c r="G185" i="2"/>
  <c r="J185" i="2"/>
  <c r="O185" i="2" s="1"/>
  <c r="M185" i="2"/>
  <c r="R185" i="2"/>
  <c r="S185" i="2"/>
  <c r="T185" i="2"/>
  <c r="U185" i="2"/>
  <c r="G186" i="2"/>
  <c r="J186" i="2"/>
  <c r="M186" i="2"/>
  <c r="R186" i="2"/>
  <c r="S186" i="2"/>
  <c r="T186" i="2"/>
  <c r="U186" i="2"/>
  <c r="G187" i="2"/>
  <c r="J187" i="2"/>
  <c r="M187" i="2"/>
  <c r="R187" i="2"/>
  <c r="S187" i="2"/>
  <c r="T187" i="2"/>
  <c r="U187" i="2"/>
  <c r="G188" i="2"/>
  <c r="J188" i="2"/>
  <c r="K188" i="2"/>
  <c r="M188" i="2"/>
  <c r="N188" i="2"/>
  <c r="O188" i="2"/>
  <c r="R188" i="2"/>
  <c r="S188" i="2"/>
  <c r="T188" i="2"/>
  <c r="U188" i="2"/>
  <c r="G189" i="2"/>
  <c r="J189" i="2"/>
  <c r="M189" i="2"/>
  <c r="R189" i="2"/>
  <c r="S189" i="2"/>
  <c r="T189" i="2"/>
  <c r="U189" i="2"/>
  <c r="G190" i="2"/>
  <c r="J190" i="2"/>
  <c r="M190" i="2"/>
  <c r="R190" i="2"/>
  <c r="S190" i="2"/>
  <c r="T190" i="2"/>
  <c r="U190" i="2"/>
  <c r="G191" i="2"/>
  <c r="J191" i="2"/>
  <c r="M191" i="2"/>
  <c r="R191" i="2"/>
  <c r="S191" i="2"/>
  <c r="T191" i="2"/>
  <c r="U191" i="2"/>
  <c r="G192" i="2"/>
  <c r="J192" i="2"/>
  <c r="M192" i="2"/>
  <c r="R192" i="2"/>
  <c r="S192" i="2"/>
  <c r="T192" i="2"/>
  <c r="U192" i="2"/>
  <c r="G193" i="2"/>
  <c r="J193" i="2"/>
  <c r="M193" i="2"/>
  <c r="R193" i="2"/>
  <c r="S193" i="2"/>
  <c r="T193" i="2"/>
  <c r="U193" i="2"/>
  <c r="G194" i="2"/>
  <c r="J194" i="2" s="1"/>
  <c r="M194" i="2"/>
  <c r="R194" i="2"/>
  <c r="S194" i="2"/>
  <c r="T194" i="2"/>
  <c r="U194" i="2"/>
  <c r="G195" i="2"/>
  <c r="J195" i="2"/>
  <c r="K195" i="2" s="1"/>
  <c r="M195" i="2"/>
  <c r="N195" i="2"/>
  <c r="O195" i="2"/>
  <c r="R195" i="2"/>
  <c r="S195" i="2"/>
  <c r="T195" i="2"/>
  <c r="U195" i="2"/>
  <c r="G196" i="2"/>
  <c r="J196" i="2" s="1"/>
  <c r="M196" i="2"/>
  <c r="R196" i="2"/>
  <c r="S196" i="2"/>
  <c r="T196" i="2"/>
  <c r="U196" i="2"/>
  <c r="G197" i="2"/>
  <c r="J197" i="2"/>
  <c r="K197" i="2" s="1"/>
  <c r="M197" i="2"/>
  <c r="N197" i="2"/>
  <c r="O197" i="2"/>
  <c r="R197" i="2"/>
  <c r="S197" i="2"/>
  <c r="T197" i="2"/>
  <c r="U197" i="2"/>
  <c r="G198" i="2"/>
  <c r="J198" i="2"/>
  <c r="K198" i="2" s="1"/>
  <c r="M198" i="2"/>
  <c r="N198" i="2"/>
  <c r="O198" i="2"/>
  <c r="R198" i="2"/>
  <c r="S198" i="2"/>
  <c r="T198" i="2"/>
  <c r="U198" i="2"/>
  <c r="G199" i="2"/>
  <c r="J199" i="2" s="1"/>
  <c r="M199" i="2"/>
  <c r="R199" i="2"/>
  <c r="S199" i="2"/>
  <c r="T199" i="2"/>
  <c r="U199" i="2"/>
  <c r="G200" i="2"/>
  <c r="J200" i="2"/>
  <c r="M200" i="2"/>
  <c r="R200" i="2"/>
  <c r="S200" i="2"/>
  <c r="T200" i="2"/>
  <c r="U200" i="2"/>
  <c r="G201" i="2"/>
  <c r="J201" i="2"/>
  <c r="M201" i="2"/>
  <c r="R201" i="2"/>
  <c r="S201" i="2"/>
  <c r="T201" i="2"/>
  <c r="U201" i="2"/>
  <c r="G202" i="2"/>
  <c r="J202" i="2"/>
  <c r="K202" i="2"/>
  <c r="M202" i="2"/>
  <c r="N202" i="2"/>
  <c r="O202" i="2"/>
  <c r="R202" i="2"/>
  <c r="S202" i="2"/>
  <c r="T202" i="2"/>
  <c r="U202" i="2"/>
  <c r="G203" i="2"/>
  <c r="J203" i="2"/>
  <c r="M203" i="2"/>
  <c r="R203" i="2"/>
  <c r="S203" i="2"/>
  <c r="T203" i="2"/>
  <c r="U203" i="2"/>
  <c r="G204" i="2"/>
  <c r="J204" i="2"/>
  <c r="K204" i="2"/>
  <c r="M204" i="2"/>
  <c r="N204" i="2"/>
  <c r="O204" i="2"/>
  <c r="R204" i="2"/>
  <c r="S204" i="2"/>
  <c r="T204" i="2"/>
  <c r="U204" i="2"/>
  <c r="G205" i="2"/>
  <c r="J205" i="2" s="1"/>
  <c r="M205" i="2"/>
  <c r="R205" i="2"/>
  <c r="S205" i="2"/>
  <c r="T205" i="2"/>
  <c r="U205" i="2"/>
  <c r="G206" i="2"/>
  <c r="J206" i="2"/>
  <c r="K206" i="2"/>
  <c r="M206" i="2"/>
  <c r="N206" i="2"/>
  <c r="O206" i="2"/>
  <c r="R206" i="2"/>
  <c r="S206" i="2"/>
  <c r="T206" i="2"/>
  <c r="U206" i="2"/>
  <c r="G207" i="2"/>
  <c r="J207" i="2"/>
  <c r="K207" i="2" s="1"/>
  <c r="M207" i="2"/>
  <c r="N207" i="2"/>
  <c r="O207" i="2"/>
  <c r="R207" i="2"/>
  <c r="S207" i="2"/>
  <c r="T207" i="2"/>
  <c r="U207" i="2"/>
  <c r="G208" i="2"/>
  <c r="J208" i="2"/>
  <c r="K208" i="2"/>
  <c r="M208" i="2"/>
  <c r="N208" i="2"/>
  <c r="O208" i="2"/>
  <c r="R208" i="2"/>
  <c r="S208" i="2"/>
  <c r="T208" i="2"/>
  <c r="U208" i="2"/>
  <c r="G209" i="2"/>
  <c r="J209" i="2"/>
  <c r="K209" i="2"/>
  <c r="M209" i="2"/>
  <c r="N209" i="2"/>
  <c r="O209" i="2"/>
  <c r="R209" i="2"/>
  <c r="S209" i="2"/>
  <c r="T209" i="2"/>
  <c r="U209" i="2"/>
  <c r="G210" i="2"/>
  <c r="J210" i="2"/>
  <c r="K210" i="2" s="1"/>
  <c r="M210" i="2"/>
  <c r="N210" i="2"/>
  <c r="O210" i="2"/>
  <c r="R210" i="2"/>
  <c r="S210" i="2"/>
  <c r="T210" i="2"/>
  <c r="U210" i="2"/>
  <c r="G211" i="2"/>
  <c r="J211" i="2" s="1"/>
  <c r="M211" i="2"/>
  <c r="R211" i="2"/>
  <c r="S211" i="2"/>
  <c r="T211" i="2"/>
  <c r="U211" i="2"/>
  <c r="G212" i="2"/>
  <c r="J212" i="2"/>
  <c r="K212" i="2"/>
  <c r="M212" i="2"/>
  <c r="N212" i="2"/>
  <c r="O212" i="2"/>
  <c r="R212" i="2"/>
  <c r="S212" i="2"/>
  <c r="T212" i="2"/>
  <c r="U212" i="2"/>
  <c r="G213" i="2"/>
  <c r="J213" i="2" s="1"/>
  <c r="M213" i="2"/>
  <c r="R213" i="2"/>
  <c r="S213" i="2"/>
  <c r="T213" i="2"/>
  <c r="U213" i="2"/>
  <c r="G214" i="2"/>
  <c r="J214" i="2"/>
  <c r="K214" i="2"/>
  <c r="M214" i="2"/>
  <c r="N214" i="2"/>
  <c r="O214" i="2"/>
  <c r="R214" i="2"/>
  <c r="S214" i="2"/>
  <c r="T214" i="2"/>
  <c r="U214" i="2"/>
  <c r="G215" i="2"/>
  <c r="J215" i="2" s="1"/>
  <c r="M215" i="2"/>
  <c r="R215" i="2"/>
  <c r="S215" i="2"/>
  <c r="T215" i="2"/>
  <c r="U215" i="2"/>
  <c r="G216" i="2"/>
  <c r="R216" i="2"/>
  <c r="S216" i="2"/>
  <c r="T216" i="2"/>
  <c r="U216" i="2"/>
  <c r="G217" i="2"/>
  <c r="J217" i="2"/>
  <c r="M217" i="2"/>
  <c r="R217" i="2"/>
  <c r="S217" i="2"/>
  <c r="T217" i="2"/>
  <c r="U217" i="2"/>
  <c r="G218" i="2"/>
  <c r="J218" i="2"/>
  <c r="M218" i="2"/>
  <c r="R218" i="2"/>
  <c r="S218" i="2"/>
  <c r="T218" i="2"/>
  <c r="U218" i="2"/>
  <c r="G219" i="2"/>
  <c r="J219" i="2"/>
  <c r="M219" i="2"/>
  <c r="R219" i="2"/>
  <c r="S219" i="2"/>
  <c r="T219" i="2"/>
  <c r="U219" i="2"/>
  <c r="G220" i="2"/>
  <c r="J220" i="2" s="1"/>
  <c r="M220" i="2"/>
  <c r="R220" i="2"/>
  <c r="S220" i="2"/>
  <c r="T220" i="2"/>
  <c r="U220" i="2"/>
  <c r="G221" i="2"/>
  <c r="J221" i="2"/>
  <c r="K221" i="2" s="1"/>
  <c r="M221" i="2"/>
  <c r="N221" i="2"/>
  <c r="O221" i="2"/>
  <c r="R221" i="2"/>
  <c r="S221" i="2"/>
  <c r="T221" i="2"/>
  <c r="U221" i="2"/>
  <c r="G222" i="2"/>
  <c r="J222" i="2" s="1"/>
  <c r="M222" i="2"/>
  <c r="R222" i="2"/>
  <c r="S222" i="2"/>
  <c r="T222" i="2"/>
  <c r="U222" i="2"/>
  <c r="G223" i="2"/>
  <c r="J223" i="2" s="1"/>
  <c r="M223" i="2"/>
  <c r="R223" i="2"/>
  <c r="S223" i="2"/>
  <c r="T223" i="2"/>
  <c r="U223" i="2"/>
  <c r="G224" i="2"/>
  <c r="J224" i="2" s="1"/>
  <c r="M224" i="2"/>
  <c r="R224" i="2"/>
  <c r="S224" i="2"/>
  <c r="T224" i="2"/>
  <c r="U224" i="2"/>
  <c r="G225" i="2"/>
  <c r="J225" i="2"/>
  <c r="M225" i="2"/>
  <c r="R225" i="2"/>
  <c r="S225" i="2"/>
  <c r="T225" i="2"/>
  <c r="U225" i="2"/>
  <c r="G226" i="2"/>
  <c r="J226" i="2" s="1"/>
  <c r="M226" i="2"/>
  <c r="R226" i="2"/>
  <c r="S226" i="2"/>
  <c r="T226" i="2"/>
  <c r="U226" i="2"/>
  <c r="G227" i="2"/>
  <c r="J227" i="2"/>
  <c r="K227" i="2" s="1"/>
  <c r="M227" i="2"/>
  <c r="N227" i="2"/>
  <c r="O227" i="2"/>
  <c r="R227" i="2"/>
  <c r="S227" i="2"/>
  <c r="T227" i="2"/>
  <c r="U227" i="2"/>
  <c r="G228" i="2"/>
  <c r="J228" i="2" s="1"/>
  <c r="M228" i="2"/>
  <c r="R228" i="2"/>
  <c r="S228" i="2"/>
  <c r="T228" i="2"/>
  <c r="U228" i="2"/>
  <c r="G229" i="2"/>
  <c r="R229" i="2"/>
  <c r="S229" i="2"/>
  <c r="T229" i="2"/>
  <c r="U229" i="2"/>
  <c r="G230" i="2"/>
  <c r="J230" i="2"/>
  <c r="M230" i="2"/>
  <c r="R230" i="2"/>
  <c r="S230" i="2"/>
  <c r="T230" i="2"/>
  <c r="U230" i="2"/>
  <c r="G231" i="2"/>
  <c r="J231" i="2"/>
  <c r="M231" i="2"/>
  <c r="R231" i="2"/>
  <c r="S231" i="2"/>
  <c r="T231" i="2"/>
  <c r="U231" i="2"/>
  <c r="G232" i="2"/>
  <c r="R232" i="2"/>
  <c r="S232" i="2"/>
  <c r="T232" i="2"/>
  <c r="U232" i="2"/>
  <c r="G233" i="2"/>
  <c r="R233" i="2"/>
  <c r="S233" i="2"/>
  <c r="T233" i="2"/>
  <c r="U233" i="2"/>
  <c r="G234" i="2"/>
  <c r="R234" i="2"/>
  <c r="S234" i="2"/>
  <c r="T234" i="2"/>
  <c r="U234" i="2"/>
  <c r="G235" i="2"/>
  <c r="R235" i="2"/>
  <c r="S235" i="2"/>
  <c r="T235" i="2"/>
  <c r="U235" i="2"/>
  <c r="G236" i="2"/>
  <c r="J236" i="2" s="1"/>
  <c r="M236" i="2"/>
  <c r="R236" i="2"/>
  <c r="S236" i="2"/>
  <c r="T236" i="2"/>
  <c r="U236" i="2"/>
  <c r="G237" i="2"/>
  <c r="J237" i="2" s="1"/>
  <c r="M237" i="2"/>
  <c r="R237" i="2"/>
  <c r="S237" i="2"/>
  <c r="T237" i="2"/>
  <c r="U237" i="2"/>
  <c r="G238" i="2"/>
  <c r="J238" i="2"/>
  <c r="M238" i="2"/>
  <c r="R238" i="2"/>
  <c r="S238" i="2"/>
  <c r="T238" i="2"/>
  <c r="U238" i="2"/>
  <c r="G239" i="2"/>
  <c r="J239" i="2" s="1"/>
  <c r="M239" i="2"/>
  <c r="R239" i="2"/>
  <c r="S239" i="2"/>
  <c r="T239" i="2"/>
  <c r="U239" i="2"/>
  <c r="G240" i="2"/>
  <c r="J240" i="2"/>
  <c r="M240" i="2"/>
  <c r="R240" i="2"/>
  <c r="S240" i="2"/>
  <c r="T240" i="2"/>
  <c r="U240" i="2"/>
  <c r="G241" i="2"/>
  <c r="J241" i="2"/>
  <c r="K241" i="2" s="1"/>
  <c r="M241" i="2"/>
  <c r="N241" i="2"/>
  <c r="O241" i="2"/>
  <c r="R241" i="2"/>
  <c r="S241" i="2"/>
  <c r="T241" i="2"/>
  <c r="U241" i="2"/>
  <c r="G242" i="2"/>
  <c r="J242" i="2"/>
  <c r="M242" i="2"/>
  <c r="R242" i="2"/>
  <c r="S242" i="2"/>
  <c r="T242" i="2"/>
  <c r="U242" i="2"/>
  <c r="G243" i="2"/>
  <c r="J243" i="2" s="1"/>
  <c r="M243" i="2"/>
  <c r="R243" i="2"/>
  <c r="S243" i="2"/>
  <c r="T243" i="2"/>
  <c r="U243" i="2"/>
  <c r="G244" i="2"/>
  <c r="J244" i="2"/>
  <c r="M244" i="2"/>
  <c r="R244" i="2"/>
  <c r="S244" i="2"/>
  <c r="T244" i="2"/>
  <c r="U244" i="2"/>
  <c r="G245" i="2"/>
  <c r="J245" i="2"/>
  <c r="M245" i="2"/>
  <c r="R245" i="2"/>
  <c r="S245" i="2"/>
  <c r="T245" i="2"/>
  <c r="U245" i="2"/>
  <c r="G246" i="2"/>
  <c r="J246" i="2" s="1"/>
  <c r="M246" i="2"/>
  <c r="R246" i="2"/>
  <c r="S246" i="2"/>
  <c r="T246" i="2"/>
  <c r="U246" i="2"/>
  <c r="G247" i="2"/>
  <c r="J247" i="2"/>
  <c r="K247" i="2" s="1"/>
  <c r="M247" i="2"/>
  <c r="N247" i="2"/>
  <c r="O247" i="2"/>
  <c r="R247" i="2"/>
  <c r="S247" i="2"/>
  <c r="T247" i="2"/>
  <c r="U247" i="2"/>
  <c r="G248" i="2"/>
  <c r="J248" i="2"/>
  <c r="M248" i="2"/>
  <c r="R248" i="2"/>
  <c r="S248" i="2"/>
  <c r="T248" i="2"/>
  <c r="U248" i="2"/>
  <c r="G249" i="2"/>
  <c r="J249" i="2" s="1"/>
  <c r="M249" i="2"/>
  <c r="R249" i="2"/>
  <c r="S249" i="2"/>
  <c r="T249" i="2"/>
  <c r="U249" i="2"/>
  <c r="G250" i="2"/>
  <c r="J250" i="2" s="1"/>
  <c r="M250" i="2"/>
  <c r="R250" i="2"/>
  <c r="S250" i="2"/>
  <c r="T250" i="2"/>
  <c r="U250" i="2"/>
  <c r="G251" i="2"/>
  <c r="J251" i="2" s="1"/>
  <c r="M251" i="2"/>
  <c r="R251" i="2"/>
  <c r="S251" i="2"/>
  <c r="T251" i="2"/>
  <c r="U251" i="2"/>
  <c r="G252" i="2"/>
  <c r="J252" i="2"/>
  <c r="M252" i="2"/>
  <c r="R252" i="2"/>
  <c r="S252" i="2"/>
  <c r="T252" i="2"/>
  <c r="U252" i="2"/>
  <c r="G253" i="2"/>
  <c r="J253" i="2"/>
  <c r="K253" i="2" s="1"/>
  <c r="M253" i="2"/>
  <c r="N253" i="2"/>
  <c r="O253" i="2"/>
  <c r="R253" i="2"/>
  <c r="S253" i="2"/>
  <c r="T253" i="2"/>
  <c r="U253" i="2"/>
  <c r="G254" i="2"/>
  <c r="J254" i="2" s="1"/>
  <c r="M254" i="2"/>
  <c r="R254" i="2"/>
  <c r="S254" i="2"/>
  <c r="T254" i="2"/>
  <c r="U254" i="2"/>
  <c r="G255" i="2"/>
  <c r="J255" i="2"/>
  <c r="M255" i="2"/>
  <c r="R255" i="2"/>
  <c r="S255" i="2"/>
  <c r="T255" i="2"/>
  <c r="U255" i="2"/>
  <c r="G256" i="2"/>
  <c r="J256" i="2"/>
  <c r="M256" i="2"/>
  <c r="R256" i="2"/>
  <c r="S256" i="2"/>
  <c r="T256" i="2"/>
  <c r="U256" i="2"/>
  <c r="G257" i="2"/>
  <c r="J257" i="2"/>
  <c r="M257" i="2"/>
  <c r="R257" i="2"/>
  <c r="S257" i="2"/>
  <c r="T257" i="2"/>
  <c r="U257" i="2"/>
  <c r="G258" i="2"/>
  <c r="J258" i="2"/>
  <c r="K258" i="2" s="1"/>
  <c r="M258" i="2"/>
  <c r="N258" i="2"/>
  <c r="O258" i="2"/>
  <c r="R258" i="2"/>
  <c r="S258" i="2"/>
  <c r="T258" i="2"/>
  <c r="U258" i="2"/>
  <c r="G259" i="2"/>
  <c r="J259" i="2"/>
  <c r="M259" i="2"/>
  <c r="R259" i="2"/>
  <c r="S259" i="2"/>
  <c r="T259" i="2"/>
  <c r="U259" i="2"/>
  <c r="G260" i="2"/>
  <c r="J260" i="2"/>
  <c r="M260" i="2"/>
  <c r="R260" i="2"/>
  <c r="S260" i="2"/>
  <c r="T260" i="2"/>
  <c r="U260" i="2"/>
  <c r="G261" i="2"/>
  <c r="J261" i="2"/>
  <c r="O261" i="2" s="1"/>
  <c r="M261" i="2"/>
  <c r="R261" i="2"/>
  <c r="S261" i="2"/>
  <c r="T261" i="2"/>
  <c r="U261" i="2"/>
  <c r="G262" i="2"/>
  <c r="J262" i="2"/>
  <c r="M262" i="2"/>
  <c r="R262" i="2"/>
  <c r="S262" i="2"/>
  <c r="T262" i="2"/>
  <c r="U262" i="2"/>
  <c r="G263" i="2"/>
  <c r="J263" i="2" s="1"/>
  <c r="M263" i="2"/>
  <c r="R263" i="2"/>
  <c r="S263" i="2"/>
  <c r="T263" i="2"/>
  <c r="U263" i="2"/>
  <c r="G264" i="2"/>
  <c r="J264" i="2" s="1"/>
  <c r="M264" i="2"/>
  <c r="R264" i="2"/>
  <c r="S264" i="2"/>
  <c r="T264" i="2"/>
  <c r="U264" i="2"/>
  <c r="G265" i="2"/>
  <c r="R265" i="2"/>
  <c r="S265" i="2"/>
  <c r="T265" i="2"/>
  <c r="U265" i="2"/>
  <c r="G266" i="2"/>
  <c r="J266" i="2"/>
  <c r="M266" i="2"/>
  <c r="R266" i="2"/>
  <c r="S266" i="2"/>
  <c r="T266" i="2"/>
  <c r="U266" i="2"/>
  <c r="G267" i="2"/>
  <c r="J267" i="2"/>
  <c r="O267" i="2" s="1"/>
  <c r="M267" i="2"/>
  <c r="R267" i="2"/>
  <c r="S267" i="2"/>
  <c r="T267" i="2"/>
  <c r="U267" i="2"/>
  <c r="G268" i="2"/>
  <c r="M268" i="2" s="1"/>
  <c r="J268" i="2"/>
  <c r="R268" i="2"/>
  <c r="S268" i="2"/>
  <c r="T268" i="2"/>
  <c r="U268" i="2"/>
  <c r="G269" i="2"/>
  <c r="J269" i="2"/>
  <c r="M269" i="2"/>
  <c r="R269" i="2"/>
  <c r="S269" i="2"/>
  <c r="T269" i="2"/>
  <c r="U269" i="2"/>
  <c r="G270" i="2"/>
  <c r="J270" i="2"/>
  <c r="M270" i="2"/>
  <c r="R270" i="2"/>
  <c r="S270" i="2"/>
  <c r="T270" i="2"/>
  <c r="U270" i="2"/>
  <c r="G271" i="2"/>
  <c r="J271" i="2"/>
  <c r="M271" i="2"/>
  <c r="R271" i="2"/>
  <c r="S271" i="2"/>
  <c r="T271" i="2"/>
  <c r="U271" i="2"/>
  <c r="G272" i="2"/>
  <c r="J272" i="2"/>
  <c r="K272" i="2"/>
  <c r="M272" i="2"/>
  <c r="N272" i="2"/>
  <c r="O272" i="2"/>
  <c r="R272" i="2"/>
  <c r="S272" i="2"/>
  <c r="T272" i="2"/>
  <c r="U272" i="2"/>
  <c r="G273" i="2"/>
  <c r="J273" i="2"/>
  <c r="K273" i="2" s="1"/>
  <c r="M273" i="2"/>
  <c r="N273" i="2"/>
  <c r="O273" i="2"/>
  <c r="R273" i="2"/>
  <c r="S273" i="2"/>
  <c r="T273" i="2"/>
  <c r="U273" i="2"/>
  <c r="G274" i="2"/>
  <c r="J274" i="2" s="1"/>
  <c r="M274" i="2"/>
  <c r="R274" i="2"/>
  <c r="S274" i="2"/>
  <c r="T274" i="2"/>
  <c r="U274" i="2"/>
  <c r="G275" i="2"/>
  <c r="J275" i="2"/>
  <c r="M275" i="2"/>
  <c r="R275" i="2"/>
  <c r="S275" i="2"/>
  <c r="T275" i="2"/>
  <c r="U275" i="2"/>
  <c r="G276" i="2"/>
  <c r="J276" i="2"/>
  <c r="M276" i="2"/>
  <c r="R276" i="2"/>
  <c r="S276" i="2"/>
  <c r="T276" i="2"/>
  <c r="U276" i="2"/>
  <c r="G277" i="2"/>
  <c r="J277" i="2"/>
  <c r="M277" i="2"/>
  <c r="O277" i="2"/>
  <c r="R277" i="2"/>
  <c r="S277" i="2"/>
  <c r="T277" i="2"/>
  <c r="U277" i="2"/>
  <c r="G278" i="2"/>
  <c r="J278" i="2"/>
  <c r="M278" i="2"/>
  <c r="R278" i="2"/>
  <c r="S278" i="2"/>
  <c r="T278" i="2"/>
  <c r="U278" i="2"/>
  <c r="G279" i="2"/>
  <c r="J279" i="2"/>
  <c r="K279" i="2"/>
  <c r="M279" i="2"/>
  <c r="R279" i="2"/>
  <c r="S279" i="2"/>
  <c r="T279" i="2"/>
  <c r="U279" i="2"/>
  <c r="G280" i="2"/>
  <c r="J280" i="2" s="1"/>
  <c r="M280" i="2"/>
  <c r="R280" i="2"/>
  <c r="S280" i="2"/>
  <c r="T280" i="2"/>
  <c r="U280" i="2"/>
  <c r="G281" i="2"/>
  <c r="J281" i="2"/>
  <c r="K281" i="2" s="1"/>
  <c r="M281" i="2"/>
  <c r="N281" i="2"/>
  <c r="O281" i="2"/>
  <c r="R281" i="2"/>
  <c r="S281" i="2"/>
  <c r="T281" i="2"/>
  <c r="U281" i="2"/>
  <c r="G282" i="2"/>
  <c r="J282" i="2"/>
  <c r="K282" i="2"/>
  <c r="M282" i="2"/>
  <c r="N282" i="2"/>
  <c r="O282" i="2"/>
  <c r="R282" i="2"/>
  <c r="S282" i="2"/>
  <c r="T282" i="2"/>
  <c r="U282" i="2"/>
  <c r="G283" i="2"/>
  <c r="J283" i="2"/>
  <c r="K283" i="2" s="1"/>
  <c r="M283" i="2"/>
  <c r="N283" i="2"/>
  <c r="O283" i="2"/>
  <c r="R283" i="2"/>
  <c r="S283" i="2"/>
  <c r="T283" i="2"/>
  <c r="U283" i="2"/>
  <c r="G284" i="2"/>
  <c r="J284" i="2" s="1"/>
  <c r="M284" i="2"/>
  <c r="R284" i="2"/>
  <c r="S284" i="2"/>
  <c r="T284" i="2"/>
  <c r="U284" i="2"/>
  <c r="G285" i="2"/>
  <c r="J285" i="2" s="1"/>
  <c r="M285" i="2"/>
  <c r="R285" i="2"/>
  <c r="S285" i="2"/>
  <c r="T285" i="2"/>
  <c r="U285" i="2"/>
  <c r="G286" i="2"/>
  <c r="J286" i="2" s="1"/>
  <c r="M286" i="2"/>
  <c r="R286" i="2"/>
  <c r="S286" i="2"/>
  <c r="T286" i="2"/>
  <c r="U286" i="2"/>
  <c r="G287" i="2"/>
  <c r="J287" i="2"/>
  <c r="M287" i="2"/>
  <c r="N287" i="2"/>
  <c r="R287" i="2"/>
  <c r="S287" i="2"/>
  <c r="T287" i="2"/>
  <c r="U287" i="2"/>
  <c r="G288" i="2"/>
  <c r="J288" i="2" s="1"/>
  <c r="M288" i="2"/>
  <c r="R288" i="2"/>
  <c r="S288" i="2"/>
  <c r="T288" i="2"/>
  <c r="U288" i="2"/>
  <c r="G289" i="2"/>
  <c r="J289" i="2"/>
  <c r="M289" i="2"/>
  <c r="O289" i="2"/>
  <c r="R289" i="2"/>
  <c r="S289" i="2"/>
  <c r="T289" i="2"/>
  <c r="U289" i="2"/>
  <c r="G290" i="2"/>
  <c r="J290" i="2"/>
  <c r="K290" i="2" s="1"/>
  <c r="M290" i="2"/>
  <c r="N290" i="2"/>
  <c r="O290" i="2"/>
  <c r="R290" i="2"/>
  <c r="S290" i="2"/>
  <c r="T290" i="2"/>
  <c r="U290" i="2"/>
  <c r="G291" i="2"/>
  <c r="J291" i="2"/>
  <c r="M291" i="2"/>
  <c r="R291" i="2"/>
  <c r="S291" i="2"/>
  <c r="T291" i="2"/>
  <c r="U291" i="2"/>
  <c r="G292" i="2"/>
  <c r="J292" i="2"/>
  <c r="M292" i="2"/>
  <c r="R292" i="2"/>
  <c r="S292" i="2"/>
  <c r="T292" i="2"/>
  <c r="U292" i="2"/>
  <c r="G293" i="2"/>
  <c r="J293" i="2"/>
  <c r="M293" i="2"/>
  <c r="R293" i="2"/>
  <c r="S293" i="2"/>
  <c r="T293" i="2"/>
  <c r="U293" i="2"/>
  <c r="G294" i="2"/>
  <c r="J294" i="2"/>
  <c r="K294" i="2"/>
  <c r="M294" i="2"/>
  <c r="N294" i="2"/>
  <c r="O294" i="2"/>
  <c r="R294" i="2"/>
  <c r="S294" i="2"/>
  <c r="T294" i="2"/>
  <c r="U294" i="2"/>
  <c r="G295" i="2"/>
  <c r="J295" i="2"/>
  <c r="M295" i="2"/>
  <c r="O295" i="2"/>
  <c r="R295" i="2"/>
  <c r="S295" i="2"/>
  <c r="T295" i="2"/>
  <c r="U295" i="2"/>
  <c r="G296" i="2"/>
  <c r="J296" i="2"/>
  <c r="K296" i="2" s="1"/>
  <c r="M296" i="2"/>
  <c r="N296" i="2"/>
  <c r="O296" i="2"/>
  <c r="R296" i="2"/>
  <c r="S296" i="2"/>
  <c r="T296" i="2"/>
  <c r="U296" i="2"/>
  <c r="G297" i="2"/>
  <c r="J297" i="2"/>
  <c r="K297" i="2" s="1"/>
  <c r="M297" i="2"/>
  <c r="N297" i="2"/>
  <c r="O297" i="2"/>
  <c r="R297" i="2"/>
  <c r="S297" i="2"/>
  <c r="T297" i="2"/>
  <c r="U297" i="2"/>
  <c r="G298" i="2"/>
  <c r="J298" i="2"/>
  <c r="M298" i="2"/>
  <c r="R298" i="2"/>
  <c r="S298" i="2"/>
  <c r="T298" i="2"/>
  <c r="U298" i="2"/>
  <c r="G299" i="2"/>
  <c r="J299" i="2"/>
  <c r="K299" i="2" s="1"/>
  <c r="M299" i="2"/>
  <c r="N299" i="2"/>
  <c r="O299" i="2"/>
  <c r="R299" i="2"/>
  <c r="S299" i="2"/>
  <c r="T299" i="2"/>
  <c r="U299" i="2"/>
  <c r="G300" i="2"/>
  <c r="J300" i="2"/>
  <c r="M300" i="2"/>
  <c r="R300" i="2"/>
  <c r="S300" i="2"/>
  <c r="T300" i="2"/>
  <c r="U300" i="2"/>
  <c r="G301" i="2"/>
  <c r="R301" i="2"/>
  <c r="S301" i="2"/>
  <c r="T301" i="2"/>
  <c r="U301" i="2"/>
  <c r="G302" i="2"/>
  <c r="R302" i="2"/>
  <c r="S302" i="2"/>
  <c r="T302" i="2"/>
  <c r="U302" i="2"/>
  <c r="G303" i="2"/>
  <c r="R303" i="2"/>
  <c r="S303" i="2"/>
  <c r="T303" i="2"/>
  <c r="U303" i="2"/>
  <c r="G304" i="2"/>
  <c r="R304" i="2"/>
  <c r="S304" i="2"/>
  <c r="T304" i="2"/>
  <c r="U304" i="2"/>
  <c r="G305" i="2"/>
  <c r="J305" i="2"/>
  <c r="M305" i="2"/>
  <c r="R305" i="2"/>
  <c r="S305" i="2"/>
  <c r="T305" i="2"/>
  <c r="U305" i="2"/>
  <c r="G306" i="2"/>
  <c r="R306" i="2"/>
  <c r="S306" i="2"/>
  <c r="T306" i="2"/>
  <c r="U306" i="2"/>
  <c r="G307" i="2"/>
  <c r="J307" i="2"/>
  <c r="M307" i="2"/>
  <c r="R307" i="2"/>
  <c r="S307" i="2"/>
  <c r="T307" i="2"/>
  <c r="U307" i="2"/>
  <c r="G308" i="2"/>
  <c r="J308" i="2"/>
  <c r="M308" i="2"/>
  <c r="R308" i="2"/>
  <c r="S308" i="2"/>
  <c r="T308" i="2"/>
  <c r="U308" i="2"/>
  <c r="G309" i="2"/>
  <c r="J309" i="2"/>
  <c r="K309" i="2" s="1"/>
  <c r="M309" i="2"/>
  <c r="N309" i="2"/>
  <c r="O309" i="2"/>
  <c r="R309" i="2"/>
  <c r="S309" i="2"/>
  <c r="T309" i="2"/>
  <c r="U309" i="2"/>
  <c r="G310" i="2"/>
  <c r="J310" i="2"/>
  <c r="M310" i="2"/>
  <c r="R310" i="2"/>
  <c r="S310" i="2"/>
  <c r="T310" i="2"/>
  <c r="U310" i="2"/>
  <c r="G311" i="2"/>
  <c r="J311" i="2" s="1"/>
  <c r="M311" i="2"/>
  <c r="R311" i="2"/>
  <c r="S311" i="2"/>
  <c r="T311" i="2"/>
  <c r="U311" i="2"/>
  <c r="G312" i="2"/>
  <c r="J312" i="2"/>
  <c r="M312" i="2"/>
  <c r="R312" i="2"/>
  <c r="S312" i="2"/>
  <c r="T312" i="2"/>
  <c r="U312" i="2"/>
  <c r="G313" i="2"/>
  <c r="J313" i="2" s="1"/>
  <c r="M313" i="2"/>
  <c r="R313" i="2"/>
  <c r="S313" i="2"/>
  <c r="T313" i="2"/>
  <c r="U313" i="2"/>
  <c r="G314" i="2"/>
  <c r="R314" i="2"/>
  <c r="S314" i="2"/>
  <c r="T314" i="2"/>
  <c r="U314" i="2"/>
  <c r="G315" i="2"/>
  <c r="J315" i="2"/>
  <c r="K315" i="2" s="1"/>
  <c r="M315" i="2"/>
  <c r="N315" i="2"/>
  <c r="O315" i="2"/>
  <c r="R315" i="2"/>
  <c r="S315" i="2"/>
  <c r="T315" i="2"/>
  <c r="U315" i="2"/>
  <c r="G316" i="2"/>
  <c r="J316" i="2"/>
  <c r="K316" i="2" s="1"/>
  <c r="M316" i="2"/>
  <c r="N316" i="2"/>
  <c r="O316" i="2"/>
  <c r="R316" i="2"/>
  <c r="S316" i="2"/>
  <c r="T316" i="2"/>
  <c r="U316" i="2"/>
  <c r="G317" i="2"/>
  <c r="R317" i="2"/>
  <c r="S317" i="2"/>
  <c r="T317" i="2"/>
  <c r="U317" i="2"/>
  <c r="G318" i="2"/>
  <c r="J318" i="2" s="1"/>
  <c r="M318" i="2"/>
  <c r="R318" i="2"/>
  <c r="S318" i="2"/>
  <c r="T318" i="2"/>
  <c r="U318" i="2"/>
  <c r="G319" i="2"/>
  <c r="J319" i="2" s="1"/>
  <c r="M319" i="2"/>
  <c r="R319" i="2"/>
  <c r="S319" i="2"/>
  <c r="T319" i="2"/>
  <c r="U319" i="2"/>
  <c r="G320" i="2"/>
  <c r="J320" i="2" s="1"/>
  <c r="M320" i="2"/>
  <c r="R320" i="2"/>
  <c r="S320" i="2"/>
  <c r="T320" i="2"/>
  <c r="U320" i="2"/>
  <c r="G321" i="2"/>
  <c r="J321" i="2" s="1"/>
  <c r="M321" i="2"/>
  <c r="R321" i="2"/>
  <c r="S321" i="2"/>
  <c r="T321" i="2"/>
  <c r="U321" i="2"/>
  <c r="G322" i="2"/>
  <c r="J322" i="2"/>
  <c r="M322" i="2"/>
  <c r="R322" i="2"/>
  <c r="S322" i="2"/>
  <c r="T322" i="2"/>
  <c r="U322" i="2"/>
  <c r="G323" i="2"/>
  <c r="J323" i="2"/>
  <c r="K323" i="2" s="1"/>
  <c r="M323" i="2"/>
  <c r="N323" i="2"/>
  <c r="O323" i="2"/>
  <c r="R323" i="2"/>
  <c r="S323" i="2"/>
  <c r="T323" i="2"/>
  <c r="U323" i="2"/>
  <c r="G324" i="2"/>
  <c r="J324" i="2" s="1"/>
  <c r="M324" i="2"/>
  <c r="R324" i="2"/>
  <c r="S324" i="2"/>
  <c r="T324" i="2"/>
  <c r="U324" i="2"/>
  <c r="G325" i="2"/>
  <c r="J325" i="2" s="1"/>
  <c r="M325" i="2"/>
  <c r="R325" i="2"/>
  <c r="S325" i="2"/>
  <c r="T325" i="2"/>
  <c r="U325" i="2"/>
  <c r="G326" i="2"/>
  <c r="J326" i="2" s="1"/>
  <c r="M326" i="2"/>
  <c r="R326" i="2"/>
  <c r="S326" i="2"/>
  <c r="T326" i="2"/>
  <c r="U326" i="2"/>
  <c r="G327" i="2"/>
  <c r="R327" i="2"/>
  <c r="S327" i="2"/>
  <c r="T327" i="2"/>
  <c r="U327" i="2"/>
  <c r="G328" i="2"/>
  <c r="J328" i="2" s="1"/>
  <c r="M328" i="2"/>
  <c r="R328" i="2"/>
  <c r="S328" i="2"/>
  <c r="T328" i="2"/>
  <c r="U328" i="2"/>
  <c r="G329" i="2"/>
  <c r="J329" i="2"/>
  <c r="M329" i="2"/>
  <c r="R329" i="2"/>
  <c r="S329" i="2"/>
  <c r="T329" i="2"/>
  <c r="U329" i="2"/>
  <c r="G330" i="2"/>
  <c r="J330" i="2"/>
  <c r="K330" i="2" s="1"/>
  <c r="M330" i="2"/>
  <c r="N330" i="2"/>
  <c r="O330" i="2"/>
  <c r="R330" i="2"/>
  <c r="S330" i="2"/>
  <c r="T330" i="2"/>
  <c r="U330" i="2"/>
  <c r="G331" i="2"/>
  <c r="J331" i="2" s="1"/>
  <c r="M331" i="2"/>
  <c r="R331" i="2"/>
  <c r="S331" i="2"/>
  <c r="T331" i="2"/>
  <c r="U331" i="2"/>
  <c r="G332" i="2"/>
  <c r="R332" i="2"/>
  <c r="S332" i="2"/>
  <c r="T332" i="2"/>
  <c r="U332" i="2"/>
  <c r="G333" i="2"/>
  <c r="J333" i="2" s="1"/>
  <c r="M333" i="2"/>
  <c r="R333" i="2"/>
  <c r="S333" i="2"/>
  <c r="T333" i="2"/>
  <c r="U333" i="2"/>
  <c r="G334" i="2"/>
  <c r="J334" i="2" s="1"/>
  <c r="M334" i="2"/>
  <c r="R334" i="2"/>
  <c r="S334" i="2"/>
  <c r="T334" i="2"/>
  <c r="U334" i="2"/>
  <c r="G335" i="2"/>
  <c r="J335" i="2"/>
  <c r="K335" i="2" s="1"/>
  <c r="M335" i="2"/>
  <c r="N335" i="2"/>
  <c r="O335" i="2"/>
  <c r="R335" i="2"/>
  <c r="S335" i="2"/>
  <c r="T335" i="2"/>
  <c r="U335" i="2"/>
  <c r="G336" i="2"/>
  <c r="R336" i="2"/>
  <c r="S336" i="2"/>
  <c r="T336" i="2"/>
  <c r="U336" i="2"/>
  <c r="G337" i="2"/>
  <c r="J337" i="2"/>
  <c r="M337" i="2"/>
  <c r="R337" i="2"/>
  <c r="S337" i="2"/>
  <c r="T337" i="2"/>
  <c r="U337" i="2"/>
  <c r="G338" i="2"/>
  <c r="J338" i="2" s="1"/>
  <c r="M338" i="2"/>
  <c r="R338" i="2"/>
  <c r="S338" i="2"/>
  <c r="T338" i="2"/>
  <c r="U338" i="2"/>
  <c r="G339" i="2"/>
  <c r="J339" i="2"/>
  <c r="K339" i="2" s="1"/>
  <c r="M339" i="2"/>
  <c r="N339" i="2"/>
  <c r="O339" i="2"/>
  <c r="R339" i="2"/>
  <c r="S339" i="2"/>
  <c r="T339" i="2"/>
  <c r="U339" i="2"/>
  <c r="G340" i="2"/>
  <c r="J340" i="2"/>
  <c r="M340" i="2"/>
  <c r="R340" i="2"/>
  <c r="S340" i="2"/>
  <c r="T340" i="2"/>
  <c r="U340" i="2"/>
  <c r="G341" i="2"/>
  <c r="J341" i="2" s="1"/>
  <c r="M341" i="2"/>
  <c r="R341" i="2"/>
  <c r="S341" i="2"/>
  <c r="T341" i="2"/>
  <c r="U341" i="2"/>
  <c r="G342" i="2"/>
  <c r="J342" i="2"/>
  <c r="K342" i="2" s="1"/>
  <c r="M342" i="2"/>
  <c r="N342" i="2"/>
  <c r="O342" i="2"/>
  <c r="R342" i="2"/>
  <c r="S342" i="2"/>
  <c r="T342" i="2"/>
  <c r="U342" i="2"/>
  <c r="G343" i="2"/>
  <c r="J343" i="2"/>
  <c r="M343" i="2"/>
  <c r="R343" i="2"/>
  <c r="S343" i="2"/>
  <c r="T343" i="2"/>
  <c r="U343" i="2"/>
  <c r="G344" i="2"/>
  <c r="J344" i="2" s="1"/>
  <c r="M344" i="2"/>
  <c r="R344" i="2"/>
  <c r="S344" i="2"/>
  <c r="T344" i="2"/>
  <c r="U344" i="2"/>
  <c r="G345" i="2"/>
  <c r="J345" i="2"/>
  <c r="K345" i="2" s="1"/>
  <c r="M345" i="2"/>
  <c r="N345" i="2"/>
  <c r="O345" i="2"/>
  <c r="R345" i="2"/>
  <c r="S345" i="2"/>
  <c r="T345" i="2"/>
  <c r="U345" i="2"/>
  <c r="G346" i="2"/>
  <c r="J346" i="2"/>
  <c r="K346" i="2" s="1"/>
  <c r="M346" i="2"/>
  <c r="N346" i="2"/>
  <c r="O346" i="2"/>
  <c r="R346" i="2"/>
  <c r="S346" i="2"/>
  <c r="T346" i="2"/>
  <c r="U346" i="2"/>
  <c r="G347" i="2"/>
  <c r="J347" i="2" s="1"/>
  <c r="M347" i="2"/>
  <c r="R347" i="2"/>
  <c r="S347" i="2"/>
  <c r="T347" i="2"/>
  <c r="U347" i="2"/>
  <c r="G348" i="2"/>
  <c r="J348" i="2" s="1"/>
  <c r="M348" i="2"/>
  <c r="R348" i="2"/>
  <c r="S348" i="2"/>
  <c r="T348" i="2"/>
  <c r="U348" i="2"/>
  <c r="G349" i="2"/>
  <c r="J349" i="2" s="1"/>
  <c r="M349" i="2"/>
  <c r="R349" i="2"/>
  <c r="S349" i="2"/>
  <c r="T349" i="2"/>
  <c r="U349" i="2"/>
  <c r="G350" i="2"/>
  <c r="J350" i="2"/>
  <c r="K350" i="2" s="1"/>
  <c r="M350" i="2"/>
  <c r="N350" i="2"/>
  <c r="O350" i="2"/>
  <c r="R350" i="2"/>
  <c r="S350" i="2"/>
  <c r="T350" i="2"/>
  <c r="U350" i="2"/>
  <c r="G351" i="2"/>
  <c r="J351" i="2"/>
  <c r="M351" i="2"/>
  <c r="R351" i="2"/>
  <c r="S351" i="2"/>
  <c r="T351" i="2"/>
  <c r="U351" i="2"/>
  <c r="G352" i="2"/>
  <c r="J352" i="2"/>
  <c r="M352" i="2"/>
  <c r="R352" i="2"/>
  <c r="S352" i="2"/>
  <c r="T352" i="2"/>
  <c r="U352" i="2"/>
  <c r="G353" i="2"/>
  <c r="J353" i="2" s="1"/>
  <c r="M353" i="2"/>
  <c r="R353" i="2"/>
  <c r="S353" i="2"/>
  <c r="T353" i="2"/>
  <c r="U353" i="2"/>
  <c r="G354" i="2"/>
  <c r="J354" i="2"/>
  <c r="M354" i="2"/>
  <c r="R354" i="2"/>
  <c r="S354" i="2"/>
  <c r="T354" i="2"/>
  <c r="U354" i="2"/>
  <c r="G355" i="2"/>
  <c r="J355" i="2" s="1"/>
  <c r="M355" i="2"/>
  <c r="R355" i="2"/>
  <c r="S355" i="2"/>
  <c r="T355" i="2"/>
  <c r="U355" i="2"/>
  <c r="G356" i="2"/>
  <c r="J356" i="2" s="1"/>
  <c r="M356" i="2"/>
  <c r="R356" i="2"/>
  <c r="S356" i="2"/>
  <c r="T356" i="2"/>
  <c r="U356" i="2"/>
  <c r="G357" i="2"/>
  <c r="J357" i="2"/>
  <c r="M357" i="2"/>
  <c r="R357" i="2"/>
  <c r="S357" i="2"/>
  <c r="T357" i="2"/>
  <c r="U357" i="2"/>
  <c r="G358" i="2"/>
  <c r="M358" i="2" s="1"/>
  <c r="J358" i="2"/>
  <c r="R358" i="2"/>
  <c r="S358" i="2"/>
  <c r="T358" i="2"/>
  <c r="U358" i="2"/>
  <c r="G359" i="2"/>
  <c r="J359" i="2"/>
  <c r="M359" i="2"/>
  <c r="R359" i="2"/>
  <c r="S359" i="2"/>
  <c r="T359" i="2"/>
  <c r="U359" i="2"/>
  <c r="G360" i="2"/>
  <c r="J360" i="2" s="1"/>
  <c r="M360" i="2"/>
  <c r="R360" i="2"/>
  <c r="S360" i="2"/>
  <c r="T360" i="2"/>
  <c r="U360" i="2"/>
  <c r="G361" i="2"/>
  <c r="J361" i="2"/>
  <c r="M361" i="2"/>
  <c r="R361" i="2"/>
  <c r="S361" i="2"/>
  <c r="T361" i="2"/>
  <c r="U361" i="2"/>
  <c r="G362" i="2"/>
  <c r="J362" i="2"/>
  <c r="K362" i="2"/>
  <c r="M362" i="2"/>
  <c r="N362" i="2"/>
  <c r="O362" i="2"/>
  <c r="R362" i="2"/>
  <c r="S362" i="2"/>
  <c r="T362" i="2"/>
  <c r="U362" i="2"/>
  <c r="G363" i="2"/>
  <c r="J363" i="2"/>
  <c r="M363" i="2"/>
  <c r="R363" i="2"/>
  <c r="S363" i="2"/>
  <c r="T363" i="2"/>
  <c r="U363" i="2"/>
  <c r="G364" i="2"/>
  <c r="J364" i="2"/>
  <c r="K364" i="2"/>
  <c r="M364" i="2"/>
  <c r="N364" i="2"/>
  <c r="O364" i="2"/>
  <c r="R364" i="2"/>
  <c r="S364" i="2"/>
  <c r="T364" i="2"/>
  <c r="U364" i="2"/>
  <c r="G365" i="2"/>
  <c r="J365" i="2"/>
  <c r="K365" i="2"/>
  <c r="M365" i="2"/>
  <c r="N365" i="2"/>
  <c r="O365" i="2"/>
  <c r="R365" i="2"/>
  <c r="S365" i="2"/>
  <c r="T365" i="2"/>
  <c r="U365" i="2"/>
  <c r="G366" i="2"/>
  <c r="J366" i="2"/>
  <c r="K366" i="2"/>
  <c r="M366" i="2"/>
  <c r="N366" i="2"/>
  <c r="O366" i="2"/>
  <c r="R366" i="2"/>
  <c r="S366" i="2"/>
  <c r="T366" i="2"/>
  <c r="U366" i="2"/>
  <c r="G367" i="2"/>
  <c r="J367" i="2"/>
  <c r="K367" i="2"/>
  <c r="M367" i="2"/>
  <c r="R367" i="2"/>
  <c r="S367" i="2"/>
  <c r="T367" i="2"/>
  <c r="U367" i="2"/>
  <c r="G368" i="2"/>
  <c r="J368" i="2"/>
  <c r="K368" i="2"/>
  <c r="M368" i="2"/>
  <c r="R368" i="2"/>
  <c r="S368" i="2"/>
  <c r="T368" i="2"/>
  <c r="U368" i="2"/>
  <c r="G369" i="2"/>
  <c r="J369" i="2"/>
  <c r="K369" i="2"/>
  <c r="M369" i="2"/>
  <c r="N369" i="2"/>
  <c r="O369" i="2"/>
  <c r="R369" i="2"/>
  <c r="S369" i="2"/>
  <c r="T369" i="2"/>
  <c r="U369" i="2"/>
  <c r="G370" i="2"/>
  <c r="J370" i="2"/>
  <c r="K370" i="2"/>
  <c r="M370" i="2"/>
  <c r="N370" i="2"/>
  <c r="O370" i="2"/>
  <c r="R370" i="2"/>
  <c r="S370" i="2"/>
  <c r="T370" i="2"/>
  <c r="U370" i="2"/>
  <c r="G371" i="2"/>
  <c r="J371" i="2"/>
  <c r="K371" i="2"/>
  <c r="M371" i="2"/>
  <c r="N371" i="2"/>
  <c r="O371" i="2"/>
  <c r="R371" i="2"/>
  <c r="S371" i="2"/>
  <c r="T371" i="2"/>
  <c r="U371" i="2"/>
  <c r="G372" i="2"/>
  <c r="J372" i="2"/>
  <c r="K372" i="2"/>
  <c r="M372" i="2"/>
  <c r="N372" i="2"/>
  <c r="O372" i="2"/>
  <c r="R372" i="2"/>
  <c r="S372" i="2"/>
  <c r="T372" i="2"/>
  <c r="U372" i="2"/>
  <c r="G373" i="2"/>
  <c r="J373" i="2"/>
  <c r="K373" i="2"/>
  <c r="M373" i="2"/>
  <c r="N373" i="2"/>
  <c r="O373" i="2"/>
  <c r="R373" i="2"/>
  <c r="S373" i="2"/>
  <c r="T373" i="2"/>
  <c r="U373" i="2"/>
  <c r="G374" i="2"/>
  <c r="J374" i="2"/>
  <c r="M374" i="2"/>
  <c r="R374" i="2"/>
  <c r="S374" i="2"/>
  <c r="T374" i="2"/>
  <c r="U374" i="2"/>
  <c r="G375" i="2"/>
  <c r="J375" i="2"/>
  <c r="K375" i="2"/>
  <c r="M375" i="2"/>
  <c r="N375" i="2"/>
  <c r="O375" i="2"/>
  <c r="R375" i="2"/>
  <c r="S375" i="2"/>
  <c r="T375" i="2"/>
  <c r="U375" i="2"/>
  <c r="G376" i="2"/>
  <c r="J376" i="2"/>
  <c r="K376" i="2" s="1"/>
  <c r="M376" i="2"/>
  <c r="N376" i="2"/>
  <c r="O376" i="2"/>
  <c r="R376" i="2"/>
  <c r="S376" i="2"/>
  <c r="T376" i="2"/>
  <c r="U376" i="2"/>
  <c r="G377" i="2"/>
  <c r="J377" i="2"/>
  <c r="K377" i="2"/>
  <c r="M377" i="2"/>
  <c r="N377" i="2"/>
  <c r="O377" i="2"/>
  <c r="R377" i="2"/>
  <c r="S377" i="2"/>
  <c r="T377" i="2"/>
  <c r="U377" i="2"/>
  <c r="G378" i="2"/>
  <c r="J378" i="2"/>
  <c r="M378" i="2"/>
  <c r="R378" i="2"/>
  <c r="S378" i="2"/>
  <c r="T378" i="2"/>
  <c r="U378" i="2"/>
  <c r="G379" i="2"/>
  <c r="J379" i="2" s="1"/>
  <c r="M379" i="2"/>
  <c r="R379" i="2"/>
  <c r="S379" i="2"/>
  <c r="T379" i="2"/>
  <c r="U379" i="2"/>
  <c r="G380" i="2"/>
  <c r="J380" i="2"/>
  <c r="M380" i="2"/>
  <c r="R380" i="2"/>
  <c r="S380" i="2"/>
  <c r="T380" i="2"/>
  <c r="U380" i="2"/>
  <c r="G381" i="2"/>
  <c r="J381" i="2"/>
  <c r="K381" i="2" s="1"/>
  <c r="M381" i="2"/>
  <c r="N381" i="2"/>
  <c r="O381" i="2"/>
  <c r="R381" i="2"/>
  <c r="S381" i="2"/>
  <c r="T381" i="2"/>
  <c r="U381" i="2"/>
  <c r="G382" i="2"/>
  <c r="J382" i="2" s="1"/>
  <c r="M382" i="2"/>
  <c r="R382" i="2"/>
  <c r="S382" i="2"/>
  <c r="T382" i="2"/>
  <c r="U382" i="2"/>
  <c r="G383" i="2"/>
  <c r="J383" i="2" s="1"/>
  <c r="M383" i="2"/>
  <c r="R383" i="2"/>
  <c r="S383" i="2"/>
  <c r="T383" i="2"/>
  <c r="U383" i="2"/>
  <c r="G384" i="2"/>
  <c r="J384" i="2"/>
  <c r="M384" i="2"/>
  <c r="R384" i="2"/>
  <c r="S384" i="2"/>
  <c r="T384" i="2"/>
  <c r="U384" i="2"/>
  <c r="G385" i="2"/>
  <c r="J385" i="2"/>
  <c r="M385" i="2"/>
  <c r="R385" i="2"/>
  <c r="S385" i="2"/>
  <c r="T385" i="2"/>
  <c r="U385" i="2"/>
  <c r="G386" i="2"/>
  <c r="J386" i="2"/>
  <c r="M386" i="2"/>
  <c r="R386" i="2"/>
  <c r="S386" i="2"/>
  <c r="T386" i="2"/>
  <c r="U386" i="2"/>
  <c r="G387" i="2"/>
  <c r="J387" i="2"/>
  <c r="M387" i="2"/>
  <c r="O387" i="2"/>
  <c r="R387" i="2"/>
  <c r="S387" i="2"/>
  <c r="T387" i="2"/>
  <c r="U387" i="2"/>
  <c r="G388" i="2"/>
  <c r="J388" i="2"/>
  <c r="M388" i="2"/>
  <c r="R388" i="2"/>
  <c r="S388" i="2"/>
  <c r="T388" i="2"/>
  <c r="U388" i="2"/>
  <c r="G389" i="2"/>
  <c r="J389" i="2"/>
  <c r="M389" i="2"/>
  <c r="R389" i="2"/>
  <c r="S389" i="2"/>
  <c r="T389" i="2"/>
  <c r="U389" i="2"/>
  <c r="G390" i="2"/>
  <c r="J390" i="2"/>
  <c r="M390" i="2"/>
  <c r="R390" i="2"/>
  <c r="S390" i="2"/>
  <c r="T390" i="2"/>
  <c r="U390" i="2"/>
  <c r="G391" i="2"/>
  <c r="J391" i="2"/>
  <c r="K391" i="2" s="1"/>
  <c r="M391" i="2"/>
  <c r="N391" i="2"/>
  <c r="O391" i="2"/>
  <c r="R391" i="2"/>
  <c r="S391" i="2"/>
  <c r="T391" i="2"/>
  <c r="U391" i="2"/>
  <c r="G392" i="2"/>
  <c r="J392" i="2"/>
  <c r="M392" i="2"/>
  <c r="R392" i="2"/>
  <c r="S392" i="2"/>
  <c r="T392" i="2"/>
  <c r="U392" i="2"/>
  <c r="G393" i="2"/>
  <c r="J393" i="2"/>
  <c r="M393" i="2"/>
  <c r="R393" i="2"/>
  <c r="S393" i="2"/>
  <c r="T393" i="2"/>
  <c r="U393" i="2"/>
  <c r="G394" i="2"/>
  <c r="J394" i="2"/>
  <c r="M394" i="2"/>
  <c r="R394" i="2"/>
  <c r="S394" i="2"/>
  <c r="T394" i="2"/>
  <c r="U394" i="2"/>
  <c r="G395" i="2"/>
  <c r="J395" i="2"/>
  <c r="M395" i="2"/>
  <c r="R395" i="2"/>
  <c r="S395" i="2"/>
  <c r="T395" i="2"/>
  <c r="U395" i="2"/>
  <c r="G396" i="2"/>
  <c r="J396" i="2" s="1"/>
  <c r="M396" i="2"/>
  <c r="R396" i="2"/>
  <c r="S396" i="2"/>
  <c r="T396" i="2"/>
  <c r="U396" i="2"/>
  <c r="G397" i="2"/>
  <c r="J397" i="2" s="1"/>
  <c r="M397" i="2"/>
  <c r="R397" i="2"/>
  <c r="S397" i="2"/>
  <c r="T397" i="2"/>
  <c r="U397" i="2"/>
  <c r="G398" i="2"/>
  <c r="J398" i="2"/>
  <c r="K398" i="2"/>
  <c r="M398" i="2"/>
  <c r="N398" i="2"/>
  <c r="O398" i="2"/>
  <c r="R398" i="2"/>
  <c r="S398" i="2"/>
  <c r="T398" i="2"/>
  <c r="U398" i="2"/>
  <c r="G399" i="2"/>
  <c r="J399" i="2" s="1"/>
  <c r="M399" i="2"/>
  <c r="R399" i="2"/>
  <c r="S399" i="2"/>
  <c r="T399" i="2"/>
  <c r="U399" i="2"/>
  <c r="G400" i="2"/>
  <c r="R400" i="2"/>
  <c r="S400" i="2"/>
  <c r="T400" i="2"/>
  <c r="U400" i="2"/>
  <c r="G401" i="2"/>
  <c r="J401" i="2"/>
  <c r="M401" i="2"/>
  <c r="R401" i="2"/>
  <c r="S401" i="2"/>
  <c r="T401" i="2"/>
  <c r="U401" i="2"/>
  <c r="G402" i="2"/>
  <c r="J402" i="2"/>
  <c r="M402" i="2"/>
  <c r="R402" i="2"/>
  <c r="S402" i="2"/>
  <c r="T402" i="2"/>
  <c r="U402" i="2"/>
  <c r="G403" i="2"/>
  <c r="J403" i="2"/>
  <c r="K403" i="2" s="1"/>
  <c r="M403" i="2"/>
  <c r="N403" i="2"/>
  <c r="O403" i="2"/>
  <c r="R403" i="2"/>
  <c r="S403" i="2"/>
  <c r="T403" i="2"/>
  <c r="U403" i="2"/>
  <c r="G404" i="2"/>
  <c r="R404" i="2"/>
  <c r="S404" i="2"/>
  <c r="T404" i="2"/>
  <c r="U404" i="2"/>
  <c r="G405" i="2"/>
  <c r="J405" i="2" s="1"/>
  <c r="M405" i="2"/>
  <c r="R405" i="2"/>
  <c r="S405" i="2"/>
  <c r="T405" i="2"/>
  <c r="U405" i="2"/>
  <c r="G406" i="2"/>
  <c r="J406" i="2" s="1"/>
  <c r="M406" i="2"/>
  <c r="R406" i="2"/>
  <c r="S406" i="2"/>
  <c r="T406" i="2"/>
  <c r="U406" i="2"/>
  <c r="G407" i="2"/>
  <c r="J407" i="2" s="1"/>
  <c r="M407" i="2"/>
  <c r="R407" i="2"/>
  <c r="S407" i="2"/>
  <c r="T407" i="2"/>
  <c r="U407" i="2"/>
  <c r="G408" i="2"/>
  <c r="J408" i="2" s="1"/>
  <c r="M408" i="2"/>
  <c r="R408" i="2"/>
  <c r="S408" i="2"/>
  <c r="T408" i="2"/>
  <c r="U408" i="2"/>
  <c r="G409" i="2"/>
  <c r="J409" i="2" s="1"/>
  <c r="M409" i="2"/>
  <c r="R409" i="2"/>
  <c r="S409" i="2"/>
  <c r="T409" i="2"/>
  <c r="U409" i="2"/>
  <c r="G410" i="2"/>
  <c r="J410" i="2"/>
  <c r="M410" i="2"/>
  <c r="R410" i="2"/>
  <c r="S410" i="2"/>
  <c r="T410" i="2"/>
  <c r="U410" i="2"/>
  <c r="G411" i="2"/>
  <c r="J411" i="2"/>
  <c r="M411" i="2"/>
  <c r="R411" i="2"/>
  <c r="S411" i="2"/>
  <c r="T411" i="2"/>
  <c r="U411" i="2"/>
  <c r="G412" i="2"/>
  <c r="J412" i="2" s="1"/>
  <c r="M412" i="2"/>
  <c r="R412" i="2"/>
  <c r="S412" i="2"/>
  <c r="T412" i="2"/>
  <c r="U412" i="2"/>
  <c r="G413" i="2"/>
  <c r="J413" i="2"/>
  <c r="M413" i="2"/>
  <c r="R413" i="2"/>
  <c r="S413" i="2"/>
  <c r="T413" i="2"/>
  <c r="U413" i="2"/>
  <c r="G414" i="2"/>
  <c r="J414" i="2" s="1"/>
  <c r="M414" i="2"/>
  <c r="R414" i="2"/>
  <c r="S414" i="2"/>
  <c r="T414" i="2"/>
  <c r="U414" i="2"/>
  <c r="G415" i="2"/>
  <c r="R415" i="2"/>
  <c r="S415" i="2"/>
  <c r="T415" i="2"/>
  <c r="U415" i="2"/>
  <c r="G416" i="2"/>
  <c r="R416" i="2"/>
  <c r="S416" i="2"/>
  <c r="T416" i="2"/>
  <c r="U416" i="2"/>
  <c r="G417" i="2"/>
  <c r="J417" i="2"/>
  <c r="M417" i="2"/>
  <c r="R417" i="2"/>
  <c r="S417" i="2"/>
  <c r="T417" i="2"/>
  <c r="U417" i="2"/>
  <c r="G418" i="2"/>
  <c r="J418" i="2"/>
  <c r="M418" i="2"/>
  <c r="R418" i="2"/>
  <c r="S418" i="2"/>
  <c r="T418" i="2"/>
  <c r="U418" i="2"/>
  <c r="G419" i="2"/>
  <c r="R419" i="2"/>
  <c r="S419" i="2"/>
  <c r="T419" i="2"/>
  <c r="U419" i="2"/>
  <c r="G420" i="2"/>
  <c r="J420" i="2"/>
  <c r="M420" i="2"/>
  <c r="R420" i="2"/>
  <c r="S420" i="2"/>
  <c r="T420" i="2"/>
  <c r="U420" i="2"/>
  <c r="G421" i="2"/>
  <c r="J421" i="2" s="1"/>
  <c r="M421" i="2"/>
  <c r="R421" i="2"/>
  <c r="S421" i="2"/>
  <c r="T421" i="2"/>
  <c r="U421" i="2"/>
  <c r="G422" i="2"/>
  <c r="R422" i="2"/>
  <c r="S422" i="2"/>
  <c r="T422" i="2"/>
  <c r="U422" i="2"/>
  <c r="G423" i="2"/>
  <c r="J423" i="2" s="1"/>
  <c r="M423" i="2"/>
  <c r="R423" i="2"/>
  <c r="S423" i="2"/>
  <c r="T423" i="2"/>
  <c r="U423" i="2"/>
  <c r="G424" i="2"/>
  <c r="R424" i="2"/>
  <c r="S424" i="2"/>
  <c r="T424" i="2"/>
  <c r="U424" i="2"/>
  <c r="G425" i="2"/>
  <c r="J425" i="2" s="1"/>
  <c r="M425" i="2"/>
  <c r="R425" i="2"/>
  <c r="S425" i="2"/>
  <c r="T425" i="2"/>
  <c r="U425" i="2"/>
  <c r="G426" i="2"/>
  <c r="J426" i="2"/>
  <c r="M426" i="2"/>
  <c r="R426" i="2"/>
  <c r="S426" i="2"/>
  <c r="T426" i="2"/>
  <c r="U426" i="2"/>
  <c r="G427" i="2"/>
  <c r="J427" i="2" s="1"/>
  <c r="M427" i="2"/>
  <c r="R427" i="2"/>
  <c r="S427" i="2"/>
  <c r="T427" i="2"/>
  <c r="U427" i="2"/>
  <c r="G428" i="2"/>
  <c r="J428" i="2" s="1"/>
  <c r="M428" i="2"/>
  <c r="R428" i="2"/>
  <c r="S428" i="2"/>
  <c r="T428" i="2"/>
  <c r="U428" i="2"/>
  <c r="G429" i="2"/>
  <c r="R429" i="2"/>
  <c r="S429" i="2"/>
  <c r="T429" i="2"/>
  <c r="U429" i="2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A3" i="1"/>
  <c r="B3" i="1"/>
  <c r="C3" i="1"/>
  <c r="E3" i="1"/>
  <c r="A4" i="1"/>
  <c r="B4" i="1"/>
  <c r="C4" i="1"/>
  <c r="D4" i="1"/>
  <c r="E4" i="1"/>
  <c r="A5" i="1"/>
  <c r="B5" i="1"/>
  <c r="C5" i="1"/>
  <c r="E5" i="1"/>
  <c r="A6" i="1"/>
  <c r="B6" i="1"/>
  <c r="C6" i="1"/>
  <c r="D6" i="1"/>
  <c r="E6" i="1"/>
  <c r="A7" i="1"/>
  <c r="B7" i="1"/>
  <c r="C7" i="1"/>
  <c r="D7" i="1"/>
  <c r="E7" i="1"/>
  <c r="A8" i="1"/>
  <c r="B8" i="1"/>
  <c r="C8" i="1"/>
  <c r="D8" i="1"/>
  <c r="E8" i="1"/>
  <c r="A9" i="1"/>
  <c r="B9" i="1"/>
  <c r="C9" i="1"/>
  <c r="D9" i="1" s="1"/>
  <c r="E9" i="1"/>
  <c r="A10" i="1"/>
  <c r="B10" i="1"/>
  <c r="C10" i="1"/>
  <c r="D10" i="1"/>
  <c r="E10" i="1"/>
  <c r="A11" i="1"/>
  <c r="B11" i="1"/>
  <c r="C11" i="1"/>
  <c r="D11" i="1"/>
  <c r="E11" i="1"/>
  <c r="A12" i="1"/>
  <c r="B12" i="1"/>
  <c r="C12" i="1"/>
  <c r="E12" i="1"/>
  <c r="A13" i="1"/>
  <c r="B13" i="1"/>
  <c r="C13" i="1"/>
  <c r="E13" i="1"/>
  <c r="A14" i="1"/>
  <c r="B14" i="1"/>
  <c r="C14" i="1"/>
  <c r="E14" i="1"/>
  <c r="A15" i="1"/>
  <c r="B15" i="1"/>
  <c r="C15" i="1"/>
  <c r="E15" i="1"/>
  <c r="A16" i="1"/>
  <c r="B16" i="1"/>
  <c r="C16" i="1"/>
  <c r="D16" i="1"/>
  <c r="E16" i="1"/>
  <c r="A17" i="1"/>
  <c r="B17" i="1"/>
  <c r="C17" i="1"/>
  <c r="D17" i="1"/>
  <c r="E17" i="1"/>
  <c r="A18" i="1"/>
  <c r="B18" i="1"/>
  <c r="C18" i="1"/>
  <c r="E18" i="1"/>
  <c r="A19" i="1"/>
  <c r="B19" i="1"/>
  <c r="C19" i="1"/>
  <c r="D19" i="1"/>
  <c r="E19" i="1"/>
  <c r="A20" i="1"/>
  <c r="B20" i="1"/>
  <c r="C20" i="1"/>
  <c r="D20" i="1"/>
  <c r="E20" i="1"/>
  <c r="A21" i="1"/>
  <c r="B21" i="1"/>
  <c r="C21" i="1"/>
  <c r="E21" i="1"/>
  <c r="A22" i="1"/>
  <c r="B22" i="1"/>
  <c r="C22" i="1"/>
  <c r="E22" i="1"/>
  <c r="A23" i="1"/>
  <c r="B23" i="1"/>
  <c r="C23" i="1"/>
  <c r="D23" i="1"/>
  <c r="E23" i="1"/>
  <c r="A24" i="1"/>
  <c r="B24" i="1"/>
  <c r="C24" i="1"/>
  <c r="D24" i="1"/>
  <c r="E24" i="1"/>
  <c r="A25" i="1"/>
  <c r="B25" i="1"/>
  <c r="C25" i="1"/>
  <c r="D25" i="1"/>
  <c r="E25" i="1"/>
  <c r="A26" i="1"/>
  <c r="B26" i="1"/>
  <c r="C26" i="1"/>
  <c r="D26" i="1"/>
  <c r="E26" i="1"/>
  <c r="A27" i="1"/>
  <c r="B27" i="1"/>
  <c r="C27" i="1"/>
  <c r="D27" i="1"/>
  <c r="E27" i="1"/>
  <c r="A28" i="1"/>
  <c r="B28" i="1"/>
  <c r="C28" i="1"/>
  <c r="E28" i="1"/>
  <c r="A29" i="1"/>
  <c r="B29" i="1"/>
  <c r="C29" i="1"/>
  <c r="D29" i="1"/>
  <c r="E29" i="1"/>
  <c r="A30" i="1"/>
  <c r="B30" i="1"/>
  <c r="C30" i="1"/>
  <c r="D30" i="1"/>
  <c r="E30" i="1"/>
  <c r="A31" i="1"/>
  <c r="B31" i="1"/>
  <c r="C31" i="1"/>
  <c r="E31" i="1"/>
  <c r="A32" i="1"/>
  <c r="B32" i="1"/>
  <c r="C32" i="1"/>
  <c r="D32" i="1"/>
  <c r="E32" i="1"/>
  <c r="A33" i="1"/>
  <c r="B33" i="1"/>
  <c r="C33" i="1"/>
  <c r="D33" i="1"/>
  <c r="E33" i="1"/>
  <c r="A34" i="1"/>
  <c r="B34" i="1"/>
  <c r="C34" i="1"/>
  <c r="E34" i="1"/>
  <c r="A35" i="1"/>
  <c r="B35" i="1"/>
  <c r="C35" i="1"/>
  <c r="E35" i="1"/>
  <c r="A36" i="1"/>
  <c r="B36" i="1"/>
  <c r="C36" i="1"/>
  <c r="D36" i="1"/>
  <c r="E36" i="1"/>
  <c r="A37" i="1"/>
  <c r="B37" i="1"/>
  <c r="C37" i="1"/>
  <c r="D37" i="1"/>
  <c r="E37" i="1"/>
  <c r="A38" i="1"/>
  <c r="B38" i="1"/>
  <c r="C38" i="1"/>
  <c r="D38" i="1"/>
  <c r="E38" i="1"/>
  <c r="A39" i="1"/>
  <c r="B39" i="1"/>
  <c r="C39" i="1"/>
  <c r="D39" i="1"/>
  <c r="E39" i="1"/>
  <c r="A40" i="1"/>
  <c r="B40" i="1"/>
  <c r="C40" i="1"/>
  <c r="E40" i="1"/>
  <c r="A41" i="1"/>
  <c r="B41" i="1"/>
  <c r="C41" i="1"/>
  <c r="D41" i="1"/>
  <c r="E41" i="1"/>
  <c r="A42" i="1"/>
  <c r="B42" i="1"/>
  <c r="C42" i="1"/>
  <c r="E42" i="1"/>
  <c r="A43" i="1"/>
  <c r="B43" i="1"/>
  <c r="C43" i="1"/>
  <c r="D43" i="1"/>
  <c r="E43" i="1"/>
  <c r="A44" i="1"/>
  <c r="B44" i="1"/>
  <c r="C44" i="1"/>
  <c r="D44" i="1"/>
  <c r="E44" i="1"/>
  <c r="A45" i="1"/>
  <c r="B45" i="1"/>
  <c r="C45" i="1"/>
  <c r="D45" i="1"/>
  <c r="E45" i="1"/>
  <c r="A46" i="1"/>
  <c r="B46" i="1"/>
  <c r="C46" i="1"/>
  <c r="D46" i="1"/>
  <c r="E46" i="1"/>
  <c r="A47" i="1"/>
  <c r="B47" i="1"/>
  <c r="C47" i="1"/>
  <c r="D47" i="1"/>
  <c r="E47" i="1"/>
  <c r="A48" i="1"/>
  <c r="B48" i="1"/>
  <c r="C48" i="1"/>
  <c r="D48" i="1" s="1"/>
  <c r="E48" i="1"/>
  <c r="A49" i="1"/>
  <c r="B49" i="1"/>
  <c r="C49" i="1"/>
  <c r="D49" i="1"/>
  <c r="E49" i="1"/>
  <c r="A50" i="1"/>
  <c r="B50" i="1"/>
  <c r="C50" i="1"/>
  <c r="D50" i="1"/>
  <c r="E50" i="1"/>
  <c r="A51" i="1"/>
  <c r="B51" i="1"/>
  <c r="C51" i="1"/>
  <c r="E51" i="1"/>
  <c r="A52" i="1"/>
  <c r="B52" i="1"/>
  <c r="C52" i="1"/>
  <c r="D52" i="1"/>
  <c r="E52" i="1"/>
  <c r="A53" i="1"/>
  <c r="B53" i="1"/>
  <c r="C53" i="1"/>
  <c r="E53" i="1"/>
  <c r="A54" i="1"/>
  <c r="B54" i="1"/>
  <c r="C54" i="1"/>
  <c r="D54" i="1"/>
  <c r="E54" i="1"/>
  <c r="A55" i="1"/>
  <c r="B55" i="1"/>
  <c r="C55" i="1"/>
  <c r="D55" i="1"/>
  <c r="E55" i="1"/>
  <c r="A56" i="1"/>
  <c r="B56" i="1"/>
  <c r="C56" i="1"/>
  <c r="D56" i="1"/>
  <c r="E56" i="1"/>
  <c r="A57" i="1"/>
  <c r="B57" i="1"/>
  <c r="C57" i="1"/>
  <c r="D57" i="1"/>
  <c r="E57" i="1"/>
  <c r="A58" i="1"/>
  <c r="B58" i="1"/>
  <c r="C58" i="1"/>
  <c r="D58" i="1"/>
  <c r="E58" i="1"/>
  <c r="A59" i="1"/>
  <c r="B59" i="1"/>
  <c r="C59" i="1"/>
  <c r="D59" i="1"/>
  <c r="E59" i="1"/>
  <c r="A60" i="1"/>
  <c r="B60" i="1"/>
  <c r="C60" i="1"/>
  <c r="D60" i="1"/>
  <c r="E60" i="1"/>
  <c r="A61" i="1"/>
  <c r="B61" i="1"/>
  <c r="C61" i="1"/>
  <c r="D61" i="1"/>
  <c r="E61" i="1"/>
  <c r="A62" i="1"/>
  <c r="B62" i="1"/>
  <c r="C62" i="1"/>
  <c r="D62" i="1"/>
  <c r="E62" i="1"/>
  <c r="A63" i="1"/>
  <c r="B63" i="1"/>
  <c r="C63" i="1"/>
  <c r="D63" i="1"/>
  <c r="E63" i="1"/>
  <c r="A64" i="1"/>
  <c r="B64" i="1"/>
  <c r="C64" i="1"/>
  <c r="D64" i="1"/>
  <c r="E64" i="1"/>
  <c r="A65" i="1"/>
  <c r="B65" i="1"/>
  <c r="C65" i="1"/>
  <c r="D65" i="1"/>
  <c r="E65" i="1"/>
  <c r="A66" i="1"/>
  <c r="B66" i="1"/>
  <c r="C66" i="1"/>
  <c r="D66" i="1"/>
  <c r="E66" i="1"/>
  <c r="A67" i="1"/>
  <c r="B67" i="1"/>
  <c r="C67" i="1"/>
  <c r="D67" i="1"/>
  <c r="E67" i="1"/>
  <c r="A68" i="1"/>
  <c r="B68" i="1"/>
  <c r="C68" i="1"/>
  <c r="D68" i="1"/>
  <c r="E68" i="1"/>
  <c r="A69" i="1"/>
  <c r="B69" i="1"/>
  <c r="C69" i="1"/>
  <c r="D69" i="1"/>
  <c r="E69" i="1"/>
  <c r="A70" i="1"/>
  <c r="B70" i="1"/>
  <c r="C70" i="1"/>
  <c r="D70" i="1"/>
  <c r="E70" i="1"/>
  <c r="A71" i="1"/>
  <c r="B71" i="1"/>
  <c r="C71" i="1"/>
  <c r="D71" i="1"/>
  <c r="E71" i="1"/>
  <c r="A72" i="1"/>
  <c r="B72" i="1"/>
  <c r="C72" i="1"/>
  <c r="D72" i="1"/>
  <c r="E72" i="1"/>
  <c r="A73" i="1"/>
  <c r="B73" i="1"/>
  <c r="C73" i="1"/>
  <c r="D73" i="1" s="1"/>
  <c r="E73" i="1"/>
  <c r="A74" i="1"/>
  <c r="B74" i="1"/>
  <c r="C74" i="1"/>
  <c r="D74" i="1"/>
  <c r="E74" i="1"/>
  <c r="A75" i="1"/>
  <c r="B75" i="1"/>
  <c r="C75" i="1"/>
  <c r="E75" i="1"/>
  <c r="A76" i="1"/>
  <c r="B76" i="1"/>
  <c r="C76" i="1"/>
  <c r="D76" i="1"/>
  <c r="E76" i="1"/>
  <c r="A77" i="1"/>
  <c r="B77" i="1"/>
  <c r="C77" i="1"/>
  <c r="D77" i="1"/>
  <c r="E77" i="1"/>
  <c r="A78" i="1"/>
  <c r="B78" i="1"/>
  <c r="C78" i="1"/>
  <c r="D78" i="1" s="1"/>
  <c r="E78" i="1"/>
  <c r="A79" i="1"/>
  <c r="B79" i="1"/>
  <c r="C79" i="1"/>
  <c r="D79" i="1"/>
  <c r="E79" i="1"/>
  <c r="A80" i="1"/>
  <c r="B80" i="1"/>
  <c r="C80" i="1"/>
  <c r="E80" i="1"/>
  <c r="A81" i="1"/>
  <c r="B81" i="1"/>
  <c r="C81" i="1"/>
  <c r="D81" i="1" s="1"/>
  <c r="E81" i="1"/>
  <c r="A82" i="1"/>
  <c r="B82" i="1"/>
  <c r="C82" i="1"/>
  <c r="D82" i="1"/>
  <c r="E82" i="1"/>
  <c r="A83" i="1"/>
  <c r="B83" i="1"/>
  <c r="C83" i="1"/>
  <c r="E83" i="1"/>
  <c r="A84" i="1"/>
  <c r="B84" i="1"/>
  <c r="C84" i="1"/>
  <c r="D84" i="1"/>
  <c r="E84" i="1"/>
  <c r="A85" i="1"/>
  <c r="B85" i="1"/>
  <c r="C85" i="1"/>
  <c r="D85" i="1"/>
  <c r="E85" i="1"/>
  <c r="A86" i="1"/>
  <c r="B86" i="1"/>
  <c r="C86" i="1"/>
  <c r="D86" i="1"/>
  <c r="E86" i="1"/>
  <c r="A87" i="1"/>
  <c r="B87" i="1"/>
  <c r="C87" i="1"/>
  <c r="D87" i="1"/>
  <c r="E87" i="1"/>
  <c r="A88" i="1"/>
  <c r="B88" i="1"/>
  <c r="C88" i="1"/>
  <c r="D88" i="1"/>
  <c r="E88" i="1"/>
  <c r="A89" i="1"/>
  <c r="B89" i="1"/>
  <c r="C89" i="1"/>
  <c r="E89" i="1"/>
  <c r="A90" i="1"/>
  <c r="B90" i="1"/>
  <c r="C90" i="1"/>
  <c r="D90" i="1"/>
  <c r="E90" i="1"/>
  <c r="A91" i="1"/>
  <c r="B91" i="1"/>
  <c r="C91" i="1"/>
  <c r="D91" i="1"/>
  <c r="E91" i="1"/>
  <c r="A92" i="1"/>
  <c r="B92" i="1"/>
  <c r="C92" i="1"/>
  <c r="D92" i="1"/>
  <c r="E92" i="1"/>
  <c r="A93" i="1"/>
  <c r="B93" i="1"/>
  <c r="C93" i="1"/>
  <c r="E93" i="1"/>
  <c r="A94" i="1"/>
  <c r="B94" i="1"/>
  <c r="C94" i="1"/>
  <c r="E94" i="1"/>
  <c r="A95" i="1"/>
  <c r="B95" i="1"/>
  <c r="C95" i="1"/>
  <c r="E95" i="1"/>
  <c r="A96" i="1"/>
  <c r="B96" i="1"/>
  <c r="C96" i="1"/>
  <c r="D96" i="1"/>
  <c r="E96" i="1"/>
  <c r="A97" i="1"/>
  <c r="B97" i="1"/>
  <c r="C97" i="1"/>
  <c r="D97" i="1"/>
  <c r="E97" i="1"/>
  <c r="A98" i="1"/>
  <c r="B98" i="1"/>
  <c r="C98" i="1"/>
  <c r="E98" i="1"/>
  <c r="A99" i="1"/>
  <c r="B99" i="1"/>
  <c r="C99" i="1"/>
  <c r="E99" i="1"/>
  <c r="A100" i="1"/>
  <c r="B100" i="1"/>
  <c r="C100" i="1"/>
  <c r="E100" i="1"/>
  <c r="A101" i="1"/>
  <c r="B101" i="1"/>
  <c r="C101" i="1"/>
  <c r="E101" i="1"/>
  <c r="A102" i="1"/>
  <c r="B102" i="1"/>
  <c r="C102" i="1"/>
  <c r="D102" i="1"/>
  <c r="E102" i="1"/>
  <c r="A103" i="1"/>
  <c r="B103" i="1"/>
  <c r="C103" i="1"/>
  <c r="E103" i="1"/>
  <c r="A104" i="1"/>
  <c r="B104" i="1"/>
  <c r="C104" i="1"/>
  <c r="D104" i="1"/>
  <c r="E104" i="1"/>
  <c r="A105" i="1"/>
  <c r="B105" i="1"/>
  <c r="C105" i="1"/>
  <c r="D105" i="1"/>
  <c r="E105" i="1"/>
  <c r="A106" i="1"/>
  <c r="B106" i="1"/>
  <c r="C106" i="1"/>
  <c r="D106" i="1"/>
  <c r="E106" i="1"/>
  <c r="A107" i="1"/>
  <c r="B107" i="1"/>
  <c r="C107" i="1"/>
  <c r="D107" i="1"/>
  <c r="E107" i="1"/>
  <c r="A108" i="1"/>
  <c r="B108" i="1"/>
  <c r="C108" i="1"/>
  <c r="E108" i="1"/>
  <c r="A109" i="1"/>
  <c r="B109" i="1"/>
  <c r="C109" i="1"/>
  <c r="D109" i="1"/>
  <c r="E109" i="1"/>
  <c r="A110" i="1"/>
  <c r="B110" i="1"/>
  <c r="C110" i="1"/>
  <c r="D110" i="1"/>
  <c r="E110" i="1"/>
  <c r="A111" i="1"/>
  <c r="B111" i="1"/>
  <c r="C111" i="1"/>
  <c r="D111" i="1"/>
  <c r="E111" i="1"/>
  <c r="A112" i="1"/>
  <c r="B112" i="1"/>
  <c r="C112" i="1"/>
  <c r="D112" i="1"/>
  <c r="E112" i="1"/>
  <c r="A113" i="1"/>
  <c r="B113" i="1"/>
  <c r="C113" i="1"/>
  <c r="D113" i="1"/>
  <c r="E113" i="1"/>
  <c r="A114" i="1"/>
  <c r="B114" i="1"/>
  <c r="C114" i="1"/>
  <c r="D114" i="1"/>
  <c r="E114" i="1"/>
  <c r="A115" i="1"/>
  <c r="B115" i="1"/>
  <c r="C115" i="1"/>
  <c r="D115" i="1"/>
  <c r="E115" i="1"/>
  <c r="A116" i="1"/>
  <c r="B116" i="1"/>
  <c r="C116" i="1"/>
  <c r="E116" i="1"/>
  <c r="A117" i="1"/>
  <c r="B117" i="1"/>
  <c r="C117" i="1"/>
  <c r="D117" i="1"/>
  <c r="E117" i="1"/>
  <c r="A118" i="1"/>
  <c r="B118" i="1"/>
  <c r="C118" i="1"/>
  <c r="D118" i="1"/>
  <c r="E118" i="1"/>
  <c r="A119" i="1"/>
  <c r="B119" i="1"/>
  <c r="C119" i="1"/>
  <c r="D119" i="1"/>
  <c r="E119" i="1"/>
  <c r="A120" i="1"/>
  <c r="B120" i="1"/>
  <c r="C120" i="1"/>
  <c r="D120" i="1"/>
  <c r="E120" i="1"/>
  <c r="A121" i="1"/>
  <c r="B121" i="1"/>
  <c r="C121" i="1"/>
  <c r="D121" i="1"/>
  <c r="E121" i="1"/>
  <c r="A122" i="1"/>
  <c r="B122" i="1"/>
  <c r="C122" i="1"/>
  <c r="D122" i="1"/>
  <c r="E122" i="1"/>
  <c r="A123" i="1"/>
  <c r="B123" i="1"/>
  <c r="C123" i="1"/>
  <c r="E123" i="1"/>
  <c r="A124" i="1"/>
  <c r="B124" i="1"/>
  <c r="C124" i="1"/>
  <c r="D124" i="1"/>
  <c r="E124" i="1"/>
  <c r="A125" i="1"/>
  <c r="B125" i="1"/>
  <c r="C125" i="1"/>
  <c r="D125" i="1"/>
  <c r="E125" i="1"/>
  <c r="A126" i="1"/>
  <c r="B126" i="1"/>
  <c r="C126" i="1"/>
  <c r="D126" i="1"/>
  <c r="E126" i="1"/>
  <c r="A127" i="1"/>
  <c r="B127" i="1"/>
  <c r="C127" i="1"/>
  <c r="D127" i="1"/>
  <c r="E127" i="1"/>
  <c r="A128" i="1"/>
  <c r="B128" i="1"/>
  <c r="C128" i="1"/>
  <c r="D128" i="1"/>
  <c r="E128" i="1"/>
  <c r="A129" i="1"/>
  <c r="B129" i="1"/>
  <c r="C129" i="1"/>
  <c r="D129" i="1"/>
  <c r="E129" i="1"/>
  <c r="A130" i="1"/>
  <c r="B130" i="1"/>
  <c r="C130" i="1"/>
  <c r="D130" i="1"/>
  <c r="E130" i="1"/>
  <c r="A131" i="1"/>
  <c r="B131" i="1"/>
  <c r="C131" i="1"/>
  <c r="D131" i="1"/>
  <c r="E131" i="1"/>
  <c r="A132" i="1"/>
  <c r="B132" i="1"/>
  <c r="C132" i="1"/>
  <c r="D132" i="1"/>
  <c r="E132" i="1"/>
  <c r="A133" i="1"/>
  <c r="B133" i="1"/>
  <c r="C133" i="1"/>
  <c r="D133" i="1"/>
  <c r="E133" i="1"/>
  <c r="A134" i="1"/>
  <c r="B134" i="1"/>
  <c r="C134" i="1"/>
  <c r="D134" i="1"/>
  <c r="E134" i="1"/>
  <c r="A135" i="1"/>
  <c r="B135" i="1"/>
  <c r="C135" i="1"/>
  <c r="D135" i="1"/>
  <c r="E135" i="1"/>
  <c r="A136" i="1"/>
  <c r="B136" i="1"/>
  <c r="C136" i="1"/>
  <c r="D136" i="1"/>
  <c r="E136" i="1"/>
  <c r="A137" i="1"/>
  <c r="B137" i="1"/>
  <c r="C137" i="1"/>
  <c r="D137" i="1"/>
  <c r="E137" i="1"/>
  <c r="A138" i="1"/>
  <c r="B138" i="1"/>
  <c r="C138" i="1"/>
  <c r="E138" i="1"/>
  <c r="A139" i="1"/>
  <c r="B139" i="1"/>
  <c r="C139" i="1"/>
  <c r="D139" i="1"/>
  <c r="E139" i="1"/>
  <c r="A140" i="1"/>
  <c r="B140" i="1"/>
  <c r="C140" i="1"/>
  <c r="D140" i="1"/>
  <c r="E140" i="1"/>
  <c r="A141" i="1"/>
  <c r="B141" i="1"/>
  <c r="C141" i="1"/>
  <c r="D141" i="1"/>
  <c r="E141" i="1"/>
  <c r="A142" i="1"/>
  <c r="B142" i="1"/>
  <c r="C142" i="1"/>
  <c r="D142" i="1"/>
  <c r="E142" i="1"/>
  <c r="A143" i="1"/>
  <c r="B143" i="1"/>
  <c r="C143" i="1"/>
  <c r="D143" i="1"/>
  <c r="E143" i="1"/>
  <c r="A144" i="1"/>
  <c r="B144" i="1"/>
  <c r="C144" i="1"/>
  <c r="D144" i="1"/>
  <c r="E144" i="1"/>
  <c r="A145" i="1"/>
  <c r="B145" i="1"/>
  <c r="C145" i="1"/>
  <c r="D145" i="1"/>
  <c r="E145" i="1"/>
  <c r="A146" i="1"/>
  <c r="B146" i="1"/>
  <c r="C146" i="1"/>
  <c r="D146" i="1"/>
  <c r="E146" i="1"/>
  <c r="A147" i="1"/>
  <c r="B147" i="1"/>
  <c r="C147" i="1"/>
  <c r="D147" i="1"/>
  <c r="E147" i="1"/>
  <c r="A148" i="1"/>
  <c r="B148" i="1"/>
  <c r="C148" i="1"/>
  <c r="D148" i="1"/>
  <c r="E148" i="1"/>
  <c r="A149" i="1"/>
  <c r="B149" i="1"/>
  <c r="C149" i="1"/>
  <c r="D149" i="1"/>
  <c r="E149" i="1"/>
  <c r="A150" i="1"/>
  <c r="B150" i="1"/>
  <c r="C150" i="1"/>
  <c r="D150" i="1"/>
  <c r="E150" i="1"/>
  <c r="A151" i="1"/>
  <c r="B151" i="1"/>
  <c r="C151" i="1"/>
  <c r="D151" i="1"/>
  <c r="E151" i="1"/>
  <c r="A152" i="1"/>
  <c r="B152" i="1"/>
  <c r="C152" i="1"/>
  <c r="D152" i="1"/>
  <c r="E152" i="1"/>
  <c r="A153" i="1"/>
  <c r="B153" i="1"/>
  <c r="C153" i="1"/>
  <c r="D153" i="1"/>
  <c r="E153" i="1"/>
  <c r="A154" i="1"/>
  <c r="B154" i="1"/>
  <c r="C154" i="1"/>
  <c r="D154" i="1"/>
  <c r="E154" i="1"/>
  <c r="A155" i="1"/>
  <c r="B155" i="1"/>
  <c r="C155" i="1"/>
  <c r="D155" i="1"/>
  <c r="E155" i="1"/>
  <c r="A156" i="1"/>
  <c r="B156" i="1"/>
  <c r="C156" i="1"/>
  <c r="D156" i="1"/>
  <c r="E156" i="1"/>
  <c r="A157" i="1"/>
  <c r="B157" i="1"/>
  <c r="C157" i="1"/>
  <c r="D157" i="1"/>
  <c r="E157" i="1"/>
  <c r="A158" i="1"/>
  <c r="B158" i="1"/>
  <c r="C158" i="1"/>
  <c r="D158" i="1"/>
  <c r="E158" i="1"/>
  <c r="A159" i="1"/>
  <c r="B159" i="1"/>
  <c r="C159" i="1"/>
  <c r="D159" i="1"/>
  <c r="E159" i="1"/>
  <c r="A160" i="1"/>
  <c r="B160" i="1"/>
  <c r="C160" i="1"/>
  <c r="D160" i="1"/>
  <c r="E160" i="1"/>
  <c r="A161" i="1"/>
  <c r="B161" i="1"/>
  <c r="C161" i="1"/>
  <c r="D161" i="1"/>
  <c r="E161" i="1"/>
  <c r="A162" i="1"/>
  <c r="B162" i="1"/>
  <c r="C162" i="1"/>
  <c r="D162" i="1"/>
  <c r="E162" i="1"/>
  <c r="A163" i="1"/>
  <c r="B163" i="1"/>
  <c r="C163" i="1"/>
  <c r="D163" i="1"/>
  <c r="E163" i="1"/>
  <c r="A164" i="1"/>
  <c r="B164" i="1"/>
  <c r="C164" i="1"/>
  <c r="D164" i="1"/>
  <c r="E164" i="1"/>
  <c r="A165" i="1"/>
  <c r="B165" i="1"/>
  <c r="C165" i="1"/>
  <c r="D165" i="1"/>
  <c r="E165" i="1"/>
  <c r="A166" i="1"/>
  <c r="B166" i="1"/>
  <c r="C166" i="1"/>
  <c r="D166" i="1"/>
  <c r="E166" i="1"/>
  <c r="A167" i="1"/>
  <c r="B167" i="1"/>
  <c r="C167" i="1"/>
  <c r="D167" i="1"/>
  <c r="E167" i="1"/>
  <c r="A168" i="1"/>
  <c r="B168" i="1"/>
  <c r="C168" i="1"/>
  <c r="D168" i="1"/>
  <c r="E168" i="1"/>
  <c r="A169" i="1"/>
  <c r="B169" i="1"/>
  <c r="C169" i="1"/>
  <c r="D169" i="1"/>
  <c r="E169" i="1"/>
  <c r="A170" i="1"/>
  <c r="B170" i="1"/>
  <c r="C170" i="1"/>
  <c r="D170" i="1"/>
  <c r="E170" i="1"/>
  <c r="A171" i="1"/>
  <c r="B171" i="1"/>
  <c r="C171" i="1"/>
  <c r="D171" i="1"/>
  <c r="E171" i="1"/>
  <c r="A172" i="1"/>
  <c r="B172" i="1"/>
  <c r="C172" i="1"/>
  <c r="D172" i="1"/>
  <c r="E172" i="1"/>
  <c r="A173" i="1"/>
  <c r="B173" i="1"/>
  <c r="C173" i="1"/>
  <c r="D173" i="1"/>
  <c r="E173" i="1"/>
  <c r="A174" i="1"/>
  <c r="B174" i="1"/>
  <c r="C174" i="1"/>
  <c r="D174" i="1"/>
  <c r="E174" i="1"/>
  <c r="A175" i="1"/>
  <c r="B175" i="1"/>
  <c r="C175" i="1"/>
  <c r="D175" i="1"/>
  <c r="E175" i="1"/>
  <c r="A176" i="1"/>
  <c r="B176" i="1"/>
  <c r="C176" i="1"/>
  <c r="D176" i="1"/>
  <c r="E176" i="1"/>
  <c r="A177" i="1"/>
  <c r="B177" i="1"/>
  <c r="C177" i="1"/>
  <c r="D177" i="1"/>
  <c r="E177" i="1"/>
  <c r="A178" i="1"/>
  <c r="B178" i="1"/>
  <c r="C178" i="1"/>
  <c r="D178" i="1"/>
  <c r="E178" i="1"/>
  <c r="A179" i="1"/>
  <c r="B179" i="1"/>
  <c r="C179" i="1"/>
  <c r="D179" i="1"/>
  <c r="E179" i="1"/>
  <c r="A180" i="1"/>
  <c r="B180" i="1"/>
  <c r="C180" i="1"/>
  <c r="D180" i="1"/>
  <c r="E180" i="1"/>
  <c r="A181" i="1"/>
  <c r="B181" i="1"/>
  <c r="C181" i="1"/>
  <c r="D181" i="1"/>
  <c r="E181" i="1"/>
  <c r="A182" i="1"/>
  <c r="B182" i="1"/>
  <c r="C182" i="1"/>
  <c r="D182" i="1"/>
  <c r="E182" i="1"/>
  <c r="A183" i="1"/>
  <c r="B183" i="1"/>
  <c r="C183" i="1"/>
  <c r="D183" i="1"/>
  <c r="E183" i="1"/>
  <c r="A184" i="1"/>
  <c r="B184" i="1"/>
  <c r="C184" i="1"/>
  <c r="D184" i="1"/>
  <c r="E184" i="1"/>
  <c r="A185" i="1"/>
  <c r="B185" i="1"/>
  <c r="C185" i="1"/>
  <c r="D185" i="1"/>
  <c r="E185" i="1"/>
  <c r="A186" i="1"/>
  <c r="B186" i="1"/>
  <c r="C186" i="1"/>
  <c r="D186" i="1"/>
  <c r="E186" i="1"/>
  <c r="A187" i="1"/>
  <c r="B187" i="1"/>
  <c r="C187" i="1"/>
  <c r="D187" i="1"/>
  <c r="E187" i="1"/>
  <c r="A188" i="1"/>
  <c r="B188" i="1"/>
  <c r="C188" i="1"/>
  <c r="D188" i="1"/>
  <c r="E188" i="1"/>
  <c r="A189" i="1"/>
  <c r="B189" i="1"/>
  <c r="C189" i="1"/>
  <c r="D189" i="1"/>
  <c r="E189" i="1"/>
  <c r="A190" i="1"/>
  <c r="B190" i="1"/>
  <c r="C190" i="1"/>
  <c r="D190" i="1" s="1"/>
  <c r="E190" i="1"/>
  <c r="A191" i="1"/>
  <c r="B191" i="1"/>
  <c r="C191" i="1"/>
  <c r="D191" i="1"/>
  <c r="E191" i="1"/>
  <c r="A192" i="1"/>
  <c r="B192" i="1"/>
  <c r="C192" i="1"/>
  <c r="D192" i="1"/>
  <c r="E192" i="1"/>
  <c r="A193" i="1"/>
  <c r="B193" i="1"/>
  <c r="C193" i="1"/>
  <c r="D193" i="1"/>
  <c r="E193" i="1"/>
  <c r="A194" i="1"/>
  <c r="B194" i="1"/>
  <c r="C194" i="1"/>
  <c r="D194" i="1"/>
  <c r="E194" i="1"/>
  <c r="A195" i="1"/>
  <c r="B195" i="1"/>
  <c r="C195" i="1"/>
  <c r="D195" i="1"/>
  <c r="E195" i="1"/>
  <c r="A196" i="1"/>
  <c r="B196" i="1"/>
  <c r="C196" i="1"/>
  <c r="D196" i="1"/>
  <c r="E196" i="1"/>
  <c r="A197" i="1"/>
  <c r="B197" i="1"/>
  <c r="C197" i="1"/>
  <c r="D197" i="1"/>
  <c r="E197" i="1"/>
  <c r="A198" i="1"/>
  <c r="B198" i="1"/>
  <c r="C198" i="1"/>
  <c r="D198" i="1"/>
  <c r="E198" i="1"/>
  <c r="A199" i="1"/>
  <c r="B199" i="1"/>
  <c r="C199" i="1"/>
  <c r="D199" i="1"/>
  <c r="E199" i="1"/>
  <c r="A200" i="1"/>
  <c r="B200" i="1"/>
  <c r="C200" i="1"/>
  <c r="D200" i="1"/>
  <c r="E200" i="1"/>
  <c r="A201" i="1"/>
  <c r="B201" i="1"/>
  <c r="C201" i="1"/>
  <c r="D201" i="1"/>
  <c r="E201" i="1"/>
  <c r="A202" i="1"/>
  <c r="B202" i="1"/>
  <c r="C202" i="1"/>
  <c r="D202" i="1"/>
  <c r="E202" i="1"/>
  <c r="A203" i="1"/>
  <c r="B203" i="1"/>
  <c r="C203" i="1"/>
  <c r="D203" i="1"/>
  <c r="E203" i="1"/>
  <c r="A204" i="1"/>
  <c r="B204" i="1"/>
  <c r="D204" i="1" s="1"/>
  <c r="C204" i="1"/>
  <c r="E204" i="1"/>
  <c r="A205" i="1"/>
  <c r="B205" i="1"/>
  <c r="D205" i="1" s="1"/>
  <c r="C205" i="1"/>
  <c r="E205" i="1"/>
  <c r="A206" i="1"/>
  <c r="B206" i="1"/>
  <c r="C206" i="1"/>
  <c r="D206" i="1"/>
  <c r="E206" i="1"/>
  <c r="A207" i="1"/>
  <c r="B207" i="1"/>
  <c r="D207" i="1" s="1"/>
  <c r="C207" i="1"/>
  <c r="E207" i="1"/>
  <c r="A208" i="1"/>
  <c r="B208" i="1"/>
  <c r="C208" i="1"/>
  <c r="D208" i="1"/>
  <c r="E208" i="1"/>
  <c r="A209" i="1"/>
  <c r="B209" i="1"/>
  <c r="C209" i="1"/>
  <c r="D209" i="1"/>
  <c r="E209" i="1"/>
  <c r="A210" i="1"/>
  <c r="B210" i="1"/>
  <c r="C210" i="1"/>
  <c r="D210" i="1"/>
  <c r="E210" i="1"/>
  <c r="A211" i="1"/>
  <c r="B211" i="1"/>
  <c r="C211" i="1"/>
  <c r="D211" i="1"/>
  <c r="E211" i="1"/>
  <c r="A212" i="1"/>
  <c r="B212" i="1"/>
  <c r="C212" i="1"/>
  <c r="D212" i="1"/>
  <c r="E212" i="1"/>
  <c r="A213" i="1"/>
  <c r="B213" i="1"/>
  <c r="C213" i="1"/>
  <c r="D213" i="1"/>
  <c r="E213" i="1"/>
  <c r="A214" i="1"/>
  <c r="B214" i="1"/>
  <c r="C214" i="1"/>
  <c r="D214" i="1"/>
  <c r="E214" i="1"/>
  <c r="A215" i="1"/>
  <c r="B215" i="1"/>
  <c r="C215" i="1"/>
  <c r="D215" i="1"/>
  <c r="E215" i="1"/>
  <c r="A216" i="1"/>
  <c r="B216" i="1"/>
  <c r="C216" i="1"/>
  <c r="D216" i="1" s="1"/>
  <c r="E216" i="1"/>
  <c r="A217" i="1"/>
  <c r="B217" i="1"/>
  <c r="C217" i="1"/>
  <c r="D217" i="1" s="1"/>
  <c r="E217" i="1"/>
  <c r="A218" i="1"/>
  <c r="B218" i="1"/>
  <c r="C218" i="1"/>
  <c r="D218" i="1"/>
  <c r="E218" i="1"/>
  <c r="A219" i="1"/>
  <c r="B219" i="1"/>
  <c r="D219" i="1" s="1"/>
  <c r="C219" i="1"/>
  <c r="E219" i="1"/>
  <c r="A220" i="1"/>
  <c r="B220" i="1"/>
  <c r="C220" i="1"/>
  <c r="D220" i="1" s="1"/>
  <c r="E220" i="1"/>
  <c r="A221" i="1"/>
  <c r="B221" i="1"/>
  <c r="C221" i="1"/>
  <c r="D221" i="1"/>
  <c r="E221" i="1"/>
  <c r="A222" i="1"/>
  <c r="B222" i="1"/>
  <c r="C222" i="1"/>
  <c r="D222" i="1"/>
  <c r="E222" i="1"/>
  <c r="A223" i="1"/>
  <c r="B223" i="1"/>
  <c r="C223" i="1"/>
  <c r="D223" i="1"/>
  <c r="E223" i="1"/>
  <c r="A224" i="1"/>
  <c r="B224" i="1"/>
  <c r="C224" i="1"/>
  <c r="D224" i="1"/>
  <c r="E224" i="1"/>
  <c r="A225" i="1"/>
  <c r="B225" i="1"/>
  <c r="C225" i="1"/>
  <c r="D225" i="1" s="1"/>
  <c r="E225" i="1"/>
  <c r="A226" i="1"/>
  <c r="B226" i="1"/>
  <c r="D226" i="1" s="1"/>
  <c r="C226" i="1"/>
  <c r="E226" i="1"/>
  <c r="A227" i="1"/>
  <c r="B227" i="1"/>
  <c r="C227" i="1"/>
  <c r="D227" i="1"/>
  <c r="E227" i="1"/>
  <c r="A228" i="1"/>
  <c r="B228" i="1"/>
  <c r="C228" i="1"/>
  <c r="D228" i="1"/>
  <c r="E228" i="1"/>
  <c r="A229" i="1"/>
  <c r="B229" i="1"/>
  <c r="C229" i="1"/>
  <c r="D229" i="1"/>
  <c r="E229" i="1"/>
  <c r="A230" i="1"/>
  <c r="B230" i="1"/>
  <c r="D230" i="1" s="1"/>
  <c r="C230" i="1"/>
  <c r="E230" i="1"/>
  <c r="A231" i="1"/>
  <c r="B231" i="1"/>
  <c r="C231" i="1"/>
  <c r="D231" i="1"/>
  <c r="E231" i="1"/>
  <c r="A232" i="1"/>
  <c r="B232" i="1"/>
  <c r="D232" i="1" s="1"/>
  <c r="C232" i="1"/>
  <c r="E232" i="1"/>
  <c r="A233" i="1"/>
  <c r="B233" i="1"/>
  <c r="C233" i="1"/>
  <c r="D233" i="1"/>
  <c r="E233" i="1"/>
  <c r="A234" i="1"/>
  <c r="B234" i="1"/>
  <c r="C234" i="1"/>
  <c r="E234" i="1"/>
  <c r="A235" i="1"/>
  <c r="B235" i="1"/>
  <c r="C235" i="1"/>
  <c r="D235" i="1"/>
  <c r="E235" i="1"/>
  <c r="A236" i="1"/>
  <c r="B236" i="1"/>
  <c r="C236" i="1"/>
  <c r="D236" i="1"/>
  <c r="E236" i="1"/>
  <c r="A237" i="1"/>
  <c r="B237" i="1"/>
  <c r="C237" i="1"/>
  <c r="D237" i="1"/>
  <c r="E237" i="1"/>
  <c r="A238" i="1"/>
  <c r="B238" i="1"/>
  <c r="C238" i="1"/>
  <c r="D238" i="1"/>
  <c r="E238" i="1"/>
  <c r="A239" i="1"/>
  <c r="B239" i="1"/>
  <c r="C239" i="1"/>
  <c r="D239" i="1"/>
  <c r="E239" i="1"/>
  <c r="A240" i="1"/>
  <c r="B240" i="1"/>
  <c r="C240" i="1"/>
  <c r="D240" i="1"/>
  <c r="E240" i="1"/>
  <c r="A241" i="1"/>
  <c r="B241" i="1"/>
  <c r="C241" i="1"/>
  <c r="D241" i="1"/>
  <c r="E241" i="1"/>
  <c r="A242" i="1"/>
  <c r="B242" i="1"/>
  <c r="D242" i="1" s="1"/>
  <c r="C242" i="1"/>
  <c r="E242" i="1"/>
  <c r="A243" i="1"/>
  <c r="B243" i="1"/>
  <c r="C243" i="1"/>
  <c r="D243" i="1"/>
  <c r="E243" i="1"/>
  <c r="A244" i="1"/>
  <c r="B244" i="1"/>
  <c r="C244" i="1"/>
  <c r="D244" i="1"/>
  <c r="E244" i="1"/>
  <c r="A245" i="1"/>
  <c r="B245" i="1"/>
  <c r="C245" i="1"/>
  <c r="D245" i="1"/>
  <c r="E245" i="1"/>
  <c r="A246" i="1"/>
  <c r="B246" i="1"/>
  <c r="D246" i="1" s="1"/>
  <c r="C246" i="1"/>
  <c r="E246" i="1"/>
  <c r="A247" i="1"/>
  <c r="B247" i="1"/>
  <c r="D247" i="1" s="1"/>
  <c r="C247" i="1"/>
  <c r="E247" i="1"/>
  <c r="A248" i="1"/>
  <c r="B248" i="1"/>
  <c r="C248" i="1"/>
  <c r="D248" i="1"/>
  <c r="E248" i="1"/>
  <c r="A249" i="1"/>
  <c r="B249" i="1"/>
  <c r="C249" i="1"/>
  <c r="D249" i="1"/>
  <c r="E249" i="1"/>
  <c r="A250" i="1"/>
  <c r="B250" i="1"/>
  <c r="C250" i="1"/>
  <c r="D250" i="1"/>
  <c r="E250" i="1"/>
  <c r="A251" i="1"/>
  <c r="B251" i="1"/>
  <c r="C251" i="1"/>
  <c r="D251" i="1"/>
  <c r="E251" i="1"/>
  <c r="A252" i="1"/>
  <c r="B252" i="1"/>
  <c r="C252" i="1"/>
  <c r="D252" i="1"/>
  <c r="E252" i="1"/>
  <c r="A253" i="1"/>
  <c r="B253" i="1"/>
  <c r="C253" i="1"/>
  <c r="D253" i="1"/>
  <c r="E253" i="1"/>
  <c r="A254" i="1"/>
  <c r="B254" i="1"/>
  <c r="C254" i="1"/>
  <c r="D254" i="1"/>
  <c r="E254" i="1"/>
  <c r="A255" i="1"/>
  <c r="B255" i="1"/>
  <c r="C255" i="1"/>
  <c r="D255" i="1"/>
  <c r="E255" i="1"/>
  <c r="A256" i="1"/>
  <c r="B256" i="1"/>
  <c r="D256" i="1" s="1"/>
  <c r="C256" i="1"/>
  <c r="E256" i="1"/>
  <c r="A257" i="1"/>
  <c r="B257" i="1"/>
  <c r="D257" i="1" s="1"/>
  <c r="C257" i="1"/>
  <c r="E257" i="1"/>
  <c r="A258" i="1"/>
  <c r="B258" i="1"/>
  <c r="C258" i="1"/>
  <c r="D258" i="1"/>
  <c r="E258" i="1"/>
  <c r="A259" i="1"/>
  <c r="B259" i="1"/>
  <c r="C259" i="1"/>
  <c r="D259" i="1" s="1"/>
  <c r="E259" i="1"/>
  <c r="A260" i="1"/>
  <c r="B260" i="1"/>
  <c r="D260" i="1" s="1"/>
  <c r="C260" i="1"/>
  <c r="E260" i="1"/>
  <c r="A261" i="1"/>
  <c r="B261" i="1"/>
  <c r="D261" i="1" s="1"/>
  <c r="C261" i="1"/>
  <c r="E261" i="1"/>
  <c r="A262" i="1"/>
  <c r="B262" i="1"/>
  <c r="C262" i="1"/>
  <c r="D262" i="1"/>
  <c r="E262" i="1"/>
  <c r="A263" i="1"/>
  <c r="B263" i="1"/>
  <c r="C263" i="1"/>
  <c r="D263" i="1"/>
  <c r="E263" i="1"/>
  <c r="A264" i="1"/>
  <c r="B264" i="1"/>
  <c r="D264" i="1" s="1"/>
  <c r="C264" i="1"/>
  <c r="E264" i="1"/>
  <c r="A265" i="1"/>
  <c r="B265" i="1"/>
  <c r="C265" i="1"/>
  <c r="E265" i="1"/>
  <c r="A266" i="1"/>
  <c r="B266" i="1"/>
  <c r="C266" i="1"/>
  <c r="D266" i="1"/>
  <c r="E266" i="1"/>
  <c r="A267" i="1"/>
  <c r="B267" i="1"/>
  <c r="C267" i="1"/>
  <c r="E267" i="1"/>
  <c r="A268" i="1"/>
  <c r="B268" i="1"/>
  <c r="D268" i="1" s="1"/>
  <c r="C268" i="1"/>
  <c r="E268" i="1"/>
  <c r="A269" i="1"/>
  <c r="B269" i="1"/>
  <c r="C269" i="1"/>
  <c r="D269" i="1"/>
  <c r="E269" i="1"/>
  <c r="A270" i="1"/>
  <c r="B270" i="1"/>
  <c r="C270" i="1"/>
  <c r="D270" i="1"/>
  <c r="E270" i="1"/>
  <c r="A271" i="1"/>
  <c r="B271" i="1"/>
  <c r="C271" i="1"/>
  <c r="D271" i="1"/>
  <c r="E271" i="1"/>
  <c r="A272" i="1"/>
  <c r="B272" i="1"/>
  <c r="C272" i="1"/>
  <c r="D272" i="1"/>
  <c r="E272" i="1"/>
  <c r="A273" i="1"/>
  <c r="B273" i="1"/>
  <c r="C273" i="1"/>
  <c r="D273" i="1"/>
  <c r="E273" i="1"/>
  <c r="A274" i="1"/>
  <c r="B274" i="1"/>
  <c r="C274" i="1"/>
  <c r="E274" i="1"/>
  <c r="A275" i="1"/>
  <c r="B275" i="1"/>
  <c r="C275" i="1"/>
  <c r="E275" i="1"/>
  <c r="A276" i="1"/>
  <c r="B276" i="1"/>
  <c r="C276" i="1"/>
  <c r="D276" i="1" s="1"/>
  <c r="E276" i="1"/>
  <c r="A277" i="1"/>
  <c r="B277" i="1"/>
  <c r="C277" i="1"/>
  <c r="E277" i="1"/>
  <c r="A278" i="1"/>
  <c r="B278" i="1"/>
  <c r="C278" i="1"/>
  <c r="D278" i="1"/>
  <c r="E278" i="1"/>
  <c r="A279" i="1"/>
  <c r="B279" i="1"/>
  <c r="C279" i="1"/>
  <c r="D279" i="1"/>
  <c r="E279" i="1"/>
  <c r="A280" i="1"/>
  <c r="B280" i="1"/>
  <c r="C280" i="1"/>
  <c r="E280" i="1"/>
  <c r="A281" i="1"/>
  <c r="B281" i="1"/>
  <c r="C281" i="1"/>
  <c r="E281" i="1"/>
  <c r="A282" i="1"/>
  <c r="B282" i="1"/>
  <c r="C282" i="1"/>
  <c r="E282" i="1"/>
  <c r="A283" i="1"/>
  <c r="B283" i="1"/>
  <c r="D283" i="1" s="1"/>
  <c r="C283" i="1"/>
  <c r="E283" i="1"/>
  <c r="A284" i="1"/>
  <c r="B284" i="1"/>
  <c r="C284" i="1"/>
  <c r="E284" i="1"/>
  <c r="A285" i="1"/>
  <c r="B285" i="1"/>
  <c r="D285" i="1" s="1"/>
  <c r="C285" i="1"/>
  <c r="E285" i="1"/>
  <c r="A286" i="1"/>
  <c r="B286" i="1"/>
  <c r="C286" i="1"/>
  <c r="D286" i="1"/>
  <c r="E286" i="1"/>
  <c r="A287" i="1"/>
  <c r="B287" i="1"/>
  <c r="C287" i="1"/>
  <c r="E287" i="1"/>
  <c r="A288" i="1"/>
  <c r="B288" i="1"/>
  <c r="C288" i="1"/>
  <c r="E288" i="1"/>
  <c r="A289" i="1"/>
  <c r="B289" i="1"/>
  <c r="C289" i="1"/>
  <c r="D289" i="1"/>
  <c r="E289" i="1"/>
  <c r="A290" i="1"/>
  <c r="B290" i="1"/>
  <c r="C290" i="1"/>
  <c r="D290" i="1" s="1"/>
  <c r="E290" i="1"/>
  <c r="A291" i="1"/>
  <c r="B291" i="1"/>
  <c r="C291" i="1"/>
  <c r="D291" i="1"/>
  <c r="E291" i="1"/>
  <c r="A292" i="1"/>
  <c r="B292" i="1"/>
  <c r="C292" i="1"/>
  <c r="E292" i="1"/>
  <c r="A293" i="1"/>
  <c r="B293" i="1"/>
  <c r="C293" i="1"/>
  <c r="D293" i="1"/>
  <c r="E293" i="1"/>
  <c r="A294" i="1"/>
  <c r="B294" i="1"/>
  <c r="C294" i="1"/>
  <c r="E294" i="1"/>
  <c r="A295" i="1"/>
  <c r="B295" i="1"/>
  <c r="C295" i="1"/>
  <c r="D295" i="1" s="1"/>
  <c r="E295" i="1"/>
  <c r="A296" i="1"/>
  <c r="B296" i="1"/>
  <c r="C296" i="1"/>
  <c r="D296" i="1"/>
  <c r="E296" i="1"/>
  <c r="A297" i="1"/>
  <c r="B297" i="1"/>
  <c r="C297" i="1"/>
  <c r="E297" i="1"/>
  <c r="A298" i="1"/>
  <c r="B298" i="1"/>
  <c r="C298" i="1"/>
  <c r="E298" i="1"/>
  <c r="A299" i="1"/>
  <c r="B299" i="1"/>
  <c r="C299" i="1"/>
  <c r="D299" i="1"/>
  <c r="E299" i="1"/>
  <c r="A300" i="1"/>
  <c r="B300" i="1"/>
  <c r="C300" i="1"/>
  <c r="D300" i="1"/>
  <c r="E300" i="1"/>
  <c r="A301" i="1"/>
  <c r="B301" i="1"/>
  <c r="D301" i="1" s="1"/>
  <c r="C301" i="1"/>
  <c r="E301" i="1"/>
  <c r="A302" i="1"/>
  <c r="B302" i="1"/>
  <c r="C302" i="1"/>
  <c r="E302" i="1"/>
  <c r="A303" i="1"/>
  <c r="B303" i="1"/>
  <c r="C303" i="1"/>
  <c r="E303" i="1"/>
  <c r="A304" i="1"/>
  <c r="B304" i="1"/>
  <c r="C304" i="1"/>
  <c r="E304" i="1"/>
  <c r="A305" i="1"/>
  <c r="B305" i="1"/>
  <c r="D305" i="1" s="1"/>
  <c r="C305" i="1"/>
  <c r="E305" i="1"/>
  <c r="A306" i="1"/>
  <c r="B306" i="1"/>
  <c r="C306" i="1"/>
  <c r="E306" i="1"/>
  <c r="A307" i="1"/>
  <c r="B307" i="1"/>
  <c r="D307" i="1" s="1"/>
  <c r="C307" i="1"/>
  <c r="E307" i="1"/>
  <c r="A308" i="1"/>
  <c r="B308" i="1"/>
  <c r="C308" i="1"/>
  <c r="D308" i="1"/>
  <c r="E308" i="1"/>
  <c r="A309" i="1"/>
  <c r="B309" i="1"/>
  <c r="C309" i="1"/>
  <c r="D309" i="1"/>
  <c r="E309" i="1"/>
  <c r="A310" i="1"/>
  <c r="B310" i="1"/>
  <c r="D310" i="1" s="1"/>
  <c r="C310" i="1"/>
  <c r="E310" i="1"/>
  <c r="A311" i="1"/>
  <c r="B311" i="1"/>
  <c r="C311" i="1"/>
  <c r="D311" i="1"/>
  <c r="E311" i="1"/>
  <c r="A312" i="1"/>
  <c r="B312" i="1"/>
  <c r="C312" i="1"/>
  <c r="D312" i="1"/>
  <c r="E312" i="1"/>
  <c r="A313" i="1"/>
  <c r="B313" i="1"/>
  <c r="C313" i="1"/>
  <c r="D313" i="1"/>
  <c r="E313" i="1"/>
  <c r="A314" i="1"/>
  <c r="B314" i="1"/>
  <c r="D314" i="1" s="1"/>
  <c r="C314" i="1"/>
  <c r="E314" i="1"/>
  <c r="A315" i="1"/>
  <c r="B315" i="1"/>
  <c r="C315" i="1"/>
  <c r="E315" i="1"/>
  <c r="A316" i="1"/>
  <c r="B316" i="1"/>
  <c r="C316" i="1"/>
  <c r="E316" i="1"/>
  <c r="A317" i="1"/>
  <c r="B317" i="1"/>
  <c r="C317" i="1"/>
  <c r="D317" i="1"/>
  <c r="E317" i="1"/>
  <c r="A318" i="1"/>
  <c r="B318" i="1"/>
  <c r="C318" i="1"/>
  <c r="E318" i="1"/>
  <c r="A319" i="1"/>
  <c r="B319" i="1"/>
  <c r="C319" i="1"/>
  <c r="D319" i="1"/>
  <c r="E319" i="1"/>
  <c r="A320" i="1"/>
  <c r="B320" i="1"/>
  <c r="C320" i="1"/>
  <c r="D320" i="1"/>
  <c r="E320" i="1"/>
  <c r="A321" i="1"/>
  <c r="B321" i="1"/>
  <c r="C321" i="1"/>
  <c r="D321" i="1"/>
  <c r="E321" i="1"/>
  <c r="A322" i="1"/>
  <c r="B322" i="1"/>
  <c r="C322" i="1"/>
  <c r="D322" i="1"/>
  <c r="E322" i="1"/>
  <c r="A323" i="1"/>
  <c r="B323" i="1"/>
  <c r="C323" i="1"/>
  <c r="D323" i="1"/>
  <c r="E323" i="1"/>
  <c r="A324" i="1"/>
  <c r="B324" i="1"/>
  <c r="C324" i="1"/>
  <c r="E324" i="1"/>
  <c r="A325" i="1"/>
  <c r="B325" i="1"/>
  <c r="C325" i="1"/>
  <c r="D325" i="1"/>
  <c r="E325" i="1"/>
  <c r="A326" i="1"/>
  <c r="B326" i="1"/>
  <c r="C326" i="1"/>
  <c r="E326" i="1"/>
  <c r="A327" i="1"/>
  <c r="B327" i="1"/>
  <c r="C327" i="1"/>
  <c r="D327" i="1"/>
  <c r="E327" i="1"/>
  <c r="A328" i="1"/>
  <c r="B328" i="1"/>
  <c r="C328" i="1"/>
  <c r="D328" i="1"/>
  <c r="E328" i="1"/>
  <c r="A329" i="1"/>
  <c r="B329" i="1"/>
  <c r="C329" i="1"/>
  <c r="D329" i="1"/>
  <c r="E329" i="1"/>
  <c r="A330" i="1"/>
  <c r="B330" i="1"/>
  <c r="C330" i="1"/>
  <c r="E330" i="1"/>
  <c r="A331" i="1"/>
  <c r="B331" i="1"/>
  <c r="C331" i="1"/>
  <c r="D331" i="1"/>
  <c r="E331" i="1"/>
  <c r="A332" i="1"/>
  <c r="B332" i="1"/>
  <c r="C332" i="1"/>
  <c r="D332" i="1"/>
  <c r="E332" i="1"/>
  <c r="A333" i="1"/>
  <c r="B333" i="1"/>
  <c r="C333" i="1"/>
  <c r="D333" i="1"/>
  <c r="E333" i="1"/>
  <c r="A334" i="1"/>
  <c r="B334" i="1"/>
  <c r="C334" i="1"/>
  <c r="E334" i="1"/>
  <c r="A335" i="1"/>
  <c r="B335" i="1"/>
  <c r="C335" i="1"/>
  <c r="E335" i="1"/>
  <c r="A336" i="1"/>
  <c r="B336" i="1"/>
  <c r="C336" i="1"/>
  <c r="E336" i="1"/>
  <c r="A337" i="1"/>
  <c r="B337" i="1"/>
  <c r="C337" i="1"/>
  <c r="D337" i="1" s="1"/>
  <c r="E337" i="1"/>
  <c r="A338" i="1"/>
  <c r="B338" i="1"/>
  <c r="D338" i="1" s="1"/>
  <c r="C338" i="1"/>
  <c r="E338" i="1"/>
  <c r="A339" i="1"/>
  <c r="B339" i="1"/>
  <c r="C339" i="1"/>
  <c r="E339" i="1"/>
  <c r="A340" i="1"/>
  <c r="B340" i="1"/>
  <c r="C340" i="1"/>
  <c r="E340" i="1"/>
  <c r="A341" i="1"/>
  <c r="B341" i="1"/>
  <c r="C341" i="1"/>
  <c r="E341" i="1"/>
  <c r="A342" i="1"/>
  <c r="B342" i="1"/>
  <c r="C342" i="1"/>
  <c r="E342" i="1"/>
  <c r="A343" i="1"/>
  <c r="B343" i="1"/>
  <c r="C343" i="1"/>
  <c r="D343" i="1"/>
  <c r="E343" i="1"/>
  <c r="A344" i="1"/>
  <c r="B344" i="1"/>
  <c r="C344" i="1"/>
  <c r="E344" i="1"/>
  <c r="A345" i="1"/>
  <c r="B345" i="1"/>
  <c r="C345" i="1"/>
  <c r="E345" i="1"/>
  <c r="A346" i="1"/>
  <c r="B346" i="1"/>
  <c r="C346" i="1"/>
  <c r="E346" i="1"/>
  <c r="A347" i="1"/>
  <c r="B347" i="1"/>
  <c r="C347" i="1"/>
  <c r="E347" i="1"/>
  <c r="A348" i="1"/>
  <c r="B348" i="1"/>
  <c r="C348" i="1"/>
  <c r="E348" i="1"/>
  <c r="A349" i="1"/>
  <c r="B349" i="1"/>
  <c r="D349" i="1" s="1"/>
  <c r="C349" i="1"/>
  <c r="E349" i="1"/>
  <c r="A350" i="1"/>
  <c r="B350" i="1"/>
  <c r="C350" i="1"/>
  <c r="E350" i="1"/>
  <c r="A351" i="1"/>
  <c r="B351" i="1"/>
  <c r="C351" i="1"/>
  <c r="D351" i="1"/>
  <c r="E351" i="1"/>
  <c r="A352" i="1"/>
  <c r="B352" i="1"/>
  <c r="C352" i="1"/>
  <c r="D352" i="1"/>
  <c r="E352" i="1"/>
  <c r="A353" i="1"/>
  <c r="B353" i="1"/>
  <c r="D353" i="1" s="1"/>
  <c r="C353" i="1"/>
  <c r="E353" i="1"/>
  <c r="A354" i="1"/>
  <c r="B354" i="1"/>
  <c r="C354" i="1"/>
  <c r="D354" i="1"/>
  <c r="E354" i="1"/>
  <c r="A355" i="1"/>
  <c r="B355" i="1"/>
  <c r="D355" i="1" s="1"/>
  <c r="C355" i="1"/>
  <c r="E355" i="1"/>
  <c r="A356" i="1"/>
  <c r="B356" i="1"/>
  <c r="C356" i="1"/>
  <c r="D356" i="1"/>
  <c r="E356" i="1"/>
  <c r="A357" i="1"/>
  <c r="B357" i="1"/>
  <c r="C357" i="1"/>
  <c r="D357" i="1"/>
  <c r="E357" i="1"/>
  <c r="A358" i="1"/>
  <c r="B358" i="1"/>
  <c r="C358" i="1"/>
  <c r="D358" i="1"/>
  <c r="E358" i="1"/>
  <c r="A359" i="1"/>
  <c r="B359" i="1"/>
  <c r="C359" i="1"/>
  <c r="D359" i="1"/>
  <c r="E359" i="1"/>
  <c r="A360" i="1"/>
  <c r="B360" i="1"/>
  <c r="C360" i="1"/>
  <c r="D360" i="1"/>
  <c r="E360" i="1"/>
  <c r="A361" i="1"/>
  <c r="B361" i="1"/>
  <c r="C361" i="1"/>
  <c r="D361" i="1"/>
  <c r="E361" i="1"/>
  <c r="A362" i="1"/>
  <c r="B362" i="1"/>
  <c r="C362" i="1"/>
  <c r="D362" i="1"/>
  <c r="E362" i="1"/>
  <c r="A363" i="1"/>
  <c r="B363" i="1"/>
  <c r="D363" i="1" s="1"/>
  <c r="C363" i="1"/>
  <c r="E363" i="1"/>
  <c r="A364" i="1"/>
  <c r="B364" i="1"/>
  <c r="C364" i="1"/>
  <c r="D364" i="1"/>
  <c r="E364" i="1"/>
  <c r="A365" i="1"/>
  <c r="B365" i="1"/>
  <c r="C365" i="1"/>
  <c r="E365" i="1"/>
  <c r="A366" i="1"/>
  <c r="B366" i="1"/>
  <c r="C366" i="1"/>
  <c r="E366" i="1"/>
  <c r="A367" i="1"/>
  <c r="B367" i="1"/>
  <c r="C367" i="1"/>
  <c r="D367" i="1"/>
  <c r="E367" i="1"/>
  <c r="A368" i="1"/>
  <c r="B368" i="1"/>
  <c r="C368" i="1"/>
  <c r="D368" i="1"/>
  <c r="E368" i="1"/>
  <c r="A369" i="1"/>
  <c r="B369" i="1"/>
  <c r="C369" i="1"/>
  <c r="E369" i="1"/>
  <c r="A370" i="1"/>
  <c r="B370" i="1"/>
  <c r="C370" i="1"/>
  <c r="D370" i="1"/>
  <c r="E370" i="1"/>
  <c r="A371" i="1"/>
  <c r="B371" i="1"/>
  <c r="C371" i="1"/>
  <c r="D371" i="1"/>
  <c r="E371" i="1"/>
  <c r="A372" i="1"/>
  <c r="B372" i="1"/>
  <c r="C372" i="1"/>
  <c r="E372" i="1"/>
  <c r="A373" i="1"/>
  <c r="B373" i="1"/>
  <c r="C373" i="1"/>
  <c r="E373" i="1"/>
  <c r="A374" i="1"/>
  <c r="B374" i="1"/>
  <c r="C374" i="1"/>
  <c r="E374" i="1"/>
  <c r="A375" i="1"/>
  <c r="B375" i="1"/>
  <c r="C375" i="1"/>
  <c r="E375" i="1"/>
  <c r="A376" i="1"/>
  <c r="B376" i="1"/>
  <c r="D376" i="1" s="1"/>
  <c r="C376" i="1"/>
  <c r="E376" i="1"/>
  <c r="A377" i="1"/>
  <c r="B377" i="1"/>
  <c r="C377" i="1"/>
  <c r="E377" i="1"/>
  <c r="A378" i="1"/>
  <c r="B378" i="1"/>
  <c r="C378" i="1"/>
  <c r="D378" i="1"/>
  <c r="E378" i="1"/>
  <c r="A379" i="1"/>
  <c r="B379" i="1"/>
  <c r="C379" i="1"/>
  <c r="E379" i="1"/>
  <c r="A380" i="1"/>
  <c r="B380" i="1"/>
  <c r="C380" i="1"/>
  <c r="E380" i="1"/>
  <c r="A381" i="1"/>
  <c r="B381" i="1"/>
  <c r="C381" i="1"/>
  <c r="E381" i="1"/>
  <c r="A382" i="1"/>
  <c r="B382" i="1"/>
  <c r="D382" i="1" s="1"/>
  <c r="C382" i="1"/>
  <c r="E382" i="1"/>
  <c r="A383" i="1"/>
  <c r="B383" i="1"/>
  <c r="C383" i="1"/>
  <c r="D383" i="1" s="1"/>
  <c r="E383" i="1"/>
  <c r="A384" i="1"/>
  <c r="B384" i="1"/>
  <c r="C384" i="1"/>
  <c r="D384" i="1"/>
  <c r="E384" i="1"/>
  <c r="A385" i="1"/>
  <c r="B385" i="1"/>
  <c r="C385" i="1"/>
  <c r="E385" i="1"/>
  <c r="A386" i="1"/>
  <c r="B386" i="1"/>
  <c r="C386" i="1"/>
  <c r="D386" i="1" s="1"/>
  <c r="E386" i="1"/>
  <c r="A387" i="1"/>
  <c r="B387" i="1"/>
  <c r="C387" i="1"/>
  <c r="E387" i="1"/>
  <c r="A388" i="1"/>
  <c r="B388" i="1"/>
  <c r="C388" i="1"/>
  <c r="D388" i="1"/>
  <c r="E388" i="1"/>
  <c r="A389" i="1"/>
  <c r="B389" i="1"/>
  <c r="C389" i="1"/>
  <c r="E389" i="1"/>
  <c r="A390" i="1"/>
  <c r="B390" i="1"/>
  <c r="C390" i="1"/>
  <c r="E390" i="1"/>
  <c r="A391" i="1"/>
  <c r="B391" i="1"/>
  <c r="C391" i="1"/>
  <c r="E391" i="1"/>
  <c r="A392" i="1"/>
  <c r="B392" i="1"/>
  <c r="C392" i="1"/>
  <c r="D392" i="1"/>
  <c r="E392" i="1"/>
  <c r="A393" i="1"/>
  <c r="B393" i="1"/>
  <c r="C393" i="1"/>
  <c r="D393" i="1"/>
  <c r="E393" i="1"/>
  <c r="A394" i="1"/>
  <c r="B394" i="1"/>
  <c r="C394" i="1"/>
  <c r="E394" i="1"/>
  <c r="A395" i="1"/>
  <c r="B395" i="1"/>
  <c r="C395" i="1"/>
  <c r="D395" i="1"/>
  <c r="E395" i="1"/>
  <c r="A396" i="1"/>
  <c r="B396" i="1"/>
  <c r="C396" i="1"/>
  <c r="E396" i="1"/>
  <c r="A397" i="1"/>
  <c r="B397" i="1"/>
  <c r="C397" i="1"/>
  <c r="E397" i="1"/>
  <c r="A398" i="1"/>
  <c r="B398" i="1"/>
  <c r="D398" i="1" s="1"/>
  <c r="C398" i="1"/>
  <c r="E398" i="1"/>
  <c r="A399" i="1"/>
  <c r="B399" i="1"/>
  <c r="C399" i="1"/>
  <c r="D399" i="1" s="1"/>
  <c r="E399" i="1"/>
  <c r="A400" i="1"/>
  <c r="B400" i="1"/>
  <c r="C400" i="1"/>
  <c r="D400" i="1"/>
  <c r="E400" i="1"/>
  <c r="A401" i="1"/>
  <c r="B401" i="1"/>
  <c r="C401" i="1"/>
  <c r="D401" i="1"/>
  <c r="E401" i="1"/>
  <c r="A402" i="1"/>
  <c r="B402" i="1"/>
  <c r="C402" i="1"/>
  <c r="D402" i="1"/>
  <c r="E402" i="1"/>
  <c r="A403" i="1"/>
  <c r="B403" i="1"/>
  <c r="C403" i="1"/>
  <c r="D403" i="1"/>
  <c r="E403" i="1"/>
  <c r="A404" i="1"/>
  <c r="B404" i="1"/>
  <c r="C404" i="1"/>
  <c r="D404" i="1"/>
  <c r="E404" i="1"/>
  <c r="A405" i="1"/>
  <c r="B405" i="1"/>
  <c r="C405" i="1"/>
  <c r="D405" i="1"/>
  <c r="E405" i="1"/>
  <c r="A406" i="1"/>
  <c r="B406" i="1"/>
  <c r="C406" i="1"/>
  <c r="D406" i="1"/>
  <c r="E406" i="1"/>
  <c r="A407" i="1"/>
  <c r="B407" i="1"/>
  <c r="C407" i="1"/>
  <c r="D407" i="1"/>
  <c r="E407" i="1"/>
  <c r="A408" i="1"/>
  <c r="B408" i="1"/>
  <c r="C408" i="1"/>
  <c r="E408" i="1"/>
  <c r="A409" i="1"/>
  <c r="B409" i="1"/>
  <c r="C409" i="1"/>
  <c r="E409" i="1"/>
  <c r="A410" i="1"/>
  <c r="B410" i="1"/>
  <c r="C410" i="1"/>
  <c r="D410" i="1"/>
  <c r="E410" i="1"/>
  <c r="A411" i="1"/>
  <c r="B411" i="1"/>
  <c r="C411" i="1"/>
  <c r="E411" i="1"/>
  <c r="A412" i="1"/>
  <c r="B412" i="1"/>
  <c r="C412" i="1"/>
  <c r="D412" i="1"/>
  <c r="E412" i="1"/>
  <c r="A413" i="1"/>
  <c r="B413" i="1"/>
  <c r="C413" i="1"/>
  <c r="E413" i="1"/>
  <c r="A414" i="1"/>
  <c r="B414" i="1"/>
  <c r="C414" i="1"/>
  <c r="E414" i="1"/>
  <c r="A415" i="1"/>
  <c r="B415" i="1"/>
  <c r="C415" i="1"/>
  <c r="E415" i="1"/>
  <c r="A416" i="1"/>
  <c r="B416" i="1"/>
  <c r="D416" i="1" s="1"/>
  <c r="C416" i="1"/>
  <c r="E416" i="1"/>
  <c r="A417" i="1"/>
  <c r="B417" i="1"/>
  <c r="C417" i="1"/>
  <c r="E417" i="1"/>
  <c r="A418" i="1"/>
  <c r="B418" i="1"/>
  <c r="C418" i="1"/>
  <c r="D418" i="1"/>
  <c r="E418" i="1"/>
  <c r="A419" i="1"/>
  <c r="B419" i="1"/>
  <c r="D419" i="1" s="1"/>
  <c r="C419" i="1"/>
  <c r="E419" i="1"/>
  <c r="A420" i="1"/>
  <c r="B420" i="1"/>
  <c r="C420" i="1"/>
  <c r="D420" i="1"/>
  <c r="E420" i="1"/>
  <c r="A421" i="1"/>
  <c r="B421" i="1"/>
  <c r="D421" i="1" s="1"/>
  <c r="C421" i="1"/>
  <c r="E421" i="1"/>
  <c r="A422" i="1"/>
  <c r="B422" i="1"/>
  <c r="C422" i="1"/>
  <c r="E422" i="1"/>
  <c r="A423" i="1"/>
  <c r="B423" i="1"/>
  <c r="C423" i="1"/>
  <c r="E423" i="1"/>
  <c r="A424" i="1"/>
  <c r="B424" i="1"/>
  <c r="C424" i="1"/>
  <c r="D424" i="1"/>
  <c r="E424" i="1"/>
  <c r="A425" i="1"/>
  <c r="B425" i="1"/>
  <c r="C425" i="1"/>
  <c r="D425" i="1"/>
  <c r="E425" i="1"/>
  <c r="A426" i="1"/>
  <c r="B426" i="1"/>
  <c r="C426" i="1"/>
  <c r="E426" i="1"/>
  <c r="A427" i="1"/>
  <c r="B427" i="1"/>
  <c r="C427" i="1"/>
  <c r="E427" i="1"/>
  <c r="A428" i="1"/>
  <c r="B428" i="1"/>
  <c r="C428" i="1"/>
  <c r="E428" i="1"/>
  <c r="A429" i="1"/>
  <c r="B429" i="1"/>
  <c r="C429" i="1"/>
  <c r="E429" i="1"/>
  <c r="A430" i="1"/>
  <c r="B430" i="1"/>
  <c r="C430" i="1"/>
  <c r="E430" i="1"/>
  <c r="A431" i="1"/>
  <c r="B431" i="1"/>
  <c r="C431" i="1"/>
  <c r="D431" i="1"/>
  <c r="E431" i="1"/>
  <c r="A432" i="1"/>
  <c r="B432" i="1"/>
  <c r="D432" i="1" s="1"/>
  <c r="C432" i="1"/>
  <c r="E432" i="1"/>
  <c r="A433" i="1"/>
  <c r="B433" i="1"/>
  <c r="C433" i="1"/>
  <c r="D433" i="1" s="1"/>
  <c r="E433" i="1"/>
  <c r="A434" i="1"/>
  <c r="B434" i="1"/>
  <c r="C434" i="1"/>
  <c r="D434" i="1"/>
  <c r="E434" i="1"/>
  <c r="A435" i="1"/>
  <c r="B435" i="1"/>
  <c r="C435" i="1"/>
  <c r="D435" i="1"/>
  <c r="E435" i="1"/>
  <c r="A436" i="1"/>
  <c r="B436" i="1"/>
  <c r="D436" i="1" s="1"/>
  <c r="C436" i="1"/>
  <c r="E436" i="1"/>
  <c r="A437" i="1"/>
  <c r="B437" i="1"/>
  <c r="D437" i="1" s="1"/>
  <c r="C437" i="1"/>
  <c r="E437" i="1"/>
  <c r="A438" i="1"/>
  <c r="B438" i="1"/>
  <c r="C438" i="1"/>
  <c r="D438" i="1" s="1"/>
  <c r="E438" i="1"/>
  <c r="A439" i="1"/>
  <c r="B439" i="1"/>
  <c r="C439" i="1"/>
  <c r="E439" i="1"/>
  <c r="A440" i="1"/>
  <c r="B440" i="1"/>
  <c r="C440" i="1"/>
  <c r="E440" i="1"/>
  <c r="A441" i="1"/>
  <c r="B441" i="1"/>
  <c r="C441" i="1"/>
  <c r="E441" i="1"/>
  <c r="A442" i="1"/>
  <c r="B442" i="1"/>
  <c r="C442" i="1"/>
  <c r="E442" i="1"/>
  <c r="A443" i="1"/>
  <c r="B443" i="1"/>
  <c r="D443" i="1" s="1"/>
  <c r="C443" i="1"/>
  <c r="E443" i="1"/>
  <c r="A444" i="1"/>
  <c r="B444" i="1"/>
  <c r="C444" i="1"/>
  <c r="E444" i="1"/>
  <c r="A445" i="1"/>
  <c r="B445" i="1"/>
  <c r="C445" i="1"/>
  <c r="E445" i="1"/>
  <c r="A446" i="1"/>
  <c r="B446" i="1"/>
  <c r="C446" i="1"/>
  <c r="E446" i="1"/>
  <c r="A447" i="1"/>
  <c r="B447" i="1"/>
  <c r="C447" i="1"/>
  <c r="E447" i="1"/>
  <c r="A448" i="1"/>
  <c r="B448" i="1"/>
  <c r="C448" i="1"/>
  <c r="E448" i="1"/>
  <c r="A449" i="1"/>
  <c r="B449" i="1"/>
  <c r="C449" i="1"/>
  <c r="D449" i="1"/>
  <c r="E449" i="1"/>
  <c r="A450" i="1"/>
  <c r="B450" i="1"/>
  <c r="C450" i="1"/>
  <c r="E450" i="1"/>
  <c r="A451" i="1"/>
  <c r="B451" i="1"/>
  <c r="C451" i="1"/>
  <c r="D451" i="1" s="1"/>
  <c r="E451" i="1"/>
  <c r="A452" i="1"/>
  <c r="B452" i="1"/>
  <c r="C452" i="1"/>
  <c r="D452" i="1"/>
  <c r="E452" i="1"/>
  <c r="A453" i="1"/>
  <c r="B453" i="1"/>
  <c r="C453" i="1"/>
  <c r="D453" i="1"/>
  <c r="E453" i="1"/>
  <c r="A454" i="1"/>
  <c r="B454" i="1"/>
  <c r="C454" i="1"/>
  <c r="D454" i="1" s="1"/>
  <c r="E454" i="1"/>
  <c r="A455" i="1"/>
  <c r="B455" i="1"/>
  <c r="C455" i="1"/>
  <c r="E455" i="1"/>
  <c r="A456" i="1"/>
  <c r="B456" i="1"/>
  <c r="C456" i="1"/>
  <c r="D456" i="1"/>
  <c r="E456" i="1"/>
  <c r="A457" i="1"/>
  <c r="B457" i="1"/>
  <c r="D457" i="1" s="1"/>
  <c r="C457" i="1"/>
  <c r="E457" i="1"/>
  <c r="A458" i="1"/>
  <c r="B458" i="1"/>
  <c r="C458" i="1"/>
  <c r="E458" i="1"/>
  <c r="A459" i="1"/>
  <c r="B459" i="1"/>
  <c r="C459" i="1"/>
  <c r="E459" i="1"/>
  <c r="A460" i="1"/>
  <c r="B460" i="1"/>
  <c r="D460" i="1" s="1"/>
  <c r="C460" i="1"/>
  <c r="E460" i="1"/>
  <c r="A461" i="1"/>
  <c r="B461" i="1"/>
  <c r="C461" i="1"/>
  <c r="E461" i="1"/>
  <c r="A462" i="1"/>
  <c r="B462" i="1"/>
  <c r="C462" i="1"/>
  <c r="E462" i="1"/>
  <c r="A463" i="1"/>
  <c r="B463" i="1"/>
  <c r="C463" i="1"/>
  <c r="D463" i="1"/>
  <c r="E463" i="1"/>
  <c r="A464" i="1"/>
  <c r="B464" i="1"/>
  <c r="C464" i="1"/>
  <c r="E464" i="1"/>
  <c r="A465" i="1"/>
  <c r="B465" i="1"/>
  <c r="C465" i="1"/>
  <c r="D465" i="1"/>
  <c r="E465" i="1"/>
  <c r="A466" i="1"/>
  <c r="B466" i="1"/>
  <c r="C466" i="1"/>
  <c r="E466" i="1"/>
  <c r="A467" i="1"/>
  <c r="B467" i="1"/>
  <c r="C467" i="1"/>
  <c r="E467" i="1"/>
  <c r="A468" i="1"/>
  <c r="B468" i="1"/>
  <c r="C468" i="1"/>
  <c r="E468" i="1"/>
  <c r="A469" i="1"/>
  <c r="B469" i="1"/>
  <c r="C469" i="1"/>
  <c r="D469" i="1" s="1"/>
  <c r="E469" i="1"/>
  <c r="A470" i="1"/>
  <c r="B470" i="1"/>
  <c r="C470" i="1"/>
  <c r="E470" i="1"/>
  <c r="A471" i="1"/>
  <c r="B471" i="1"/>
  <c r="C471" i="1"/>
  <c r="E471" i="1"/>
  <c r="A472" i="1"/>
  <c r="B472" i="1"/>
  <c r="C472" i="1"/>
  <c r="E472" i="1"/>
  <c r="A473" i="1"/>
  <c r="B473" i="1"/>
  <c r="C473" i="1"/>
  <c r="E473" i="1"/>
  <c r="A474" i="1"/>
  <c r="B474" i="1"/>
  <c r="C474" i="1"/>
  <c r="E474" i="1"/>
  <c r="A475" i="1"/>
  <c r="B475" i="1"/>
  <c r="D475" i="1" s="1"/>
  <c r="C475" i="1"/>
  <c r="E475" i="1"/>
  <c r="A476" i="1"/>
  <c r="B476" i="1"/>
  <c r="C476" i="1"/>
  <c r="E476" i="1"/>
  <c r="A477" i="1"/>
  <c r="B477" i="1"/>
  <c r="C477" i="1"/>
  <c r="E477" i="1"/>
  <c r="A478" i="1"/>
  <c r="B478" i="1"/>
  <c r="C478" i="1"/>
  <c r="E478" i="1"/>
  <c r="A479" i="1"/>
  <c r="B479" i="1"/>
  <c r="C479" i="1"/>
  <c r="D479" i="1"/>
  <c r="E479" i="1"/>
  <c r="A480" i="1"/>
  <c r="B480" i="1"/>
  <c r="C480" i="1"/>
  <c r="E480" i="1"/>
  <c r="A481" i="1"/>
  <c r="B481" i="1"/>
  <c r="C481" i="1"/>
  <c r="D481" i="1"/>
  <c r="E481" i="1"/>
  <c r="A482" i="1"/>
  <c r="B482" i="1"/>
  <c r="C482" i="1"/>
  <c r="D482" i="1" s="1"/>
  <c r="E482" i="1"/>
  <c r="A483" i="1"/>
  <c r="B483" i="1"/>
  <c r="C483" i="1"/>
  <c r="E483" i="1"/>
  <c r="A484" i="1"/>
  <c r="B484" i="1"/>
  <c r="C484" i="1"/>
  <c r="E484" i="1"/>
  <c r="A485" i="1"/>
  <c r="B485" i="1"/>
  <c r="C485" i="1"/>
  <c r="E485" i="1"/>
  <c r="A486" i="1"/>
  <c r="B486" i="1"/>
  <c r="C486" i="1"/>
  <c r="E486" i="1"/>
  <c r="A487" i="1"/>
  <c r="B487" i="1"/>
  <c r="C487" i="1"/>
  <c r="E487" i="1"/>
  <c r="A488" i="1"/>
  <c r="B488" i="1"/>
  <c r="D488" i="1" s="1"/>
  <c r="C488" i="1"/>
  <c r="E488" i="1"/>
  <c r="A489" i="1"/>
  <c r="B489" i="1"/>
  <c r="D489" i="1" s="1"/>
  <c r="C489" i="1"/>
  <c r="E489" i="1"/>
  <c r="A490" i="1"/>
  <c r="B490" i="1"/>
  <c r="C490" i="1"/>
  <c r="E490" i="1"/>
  <c r="A491" i="1"/>
  <c r="B491" i="1"/>
  <c r="C491" i="1"/>
  <c r="D491" i="1"/>
  <c r="E491" i="1"/>
  <c r="A492" i="1"/>
  <c r="B492" i="1"/>
  <c r="C492" i="1"/>
  <c r="D492" i="1" s="1"/>
  <c r="E492" i="1"/>
  <c r="A493" i="1"/>
  <c r="B493" i="1"/>
  <c r="C493" i="1"/>
  <c r="E493" i="1"/>
  <c r="A494" i="1"/>
  <c r="B494" i="1"/>
  <c r="C494" i="1"/>
  <c r="D494" i="1"/>
  <c r="E494" i="1"/>
  <c r="A495" i="1"/>
  <c r="B495" i="1"/>
  <c r="C495" i="1"/>
  <c r="E495" i="1"/>
  <c r="A496" i="1"/>
  <c r="B496" i="1"/>
  <c r="C496" i="1"/>
  <c r="D496" i="1" s="1"/>
  <c r="E496" i="1"/>
  <c r="A497" i="1"/>
  <c r="B497" i="1"/>
  <c r="C497" i="1"/>
  <c r="E497" i="1"/>
  <c r="A498" i="1"/>
  <c r="B498" i="1"/>
  <c r="C498" i="1"/>
  <c r="D498" i="1" s="1"/>
  <c r="E498" i="1"/>
  <c r="A499" i="1"/>
  <c r="B499" i="1"/>
  <c r="C499" i="1"/>
  <c r="D499" i="1"/>
  <c r="E499" i="1"/>
  <c r="A500" i="1"/>
  <c r="B500" i="1"/>
  <c r="C500" i="1"/>
  <c r="E500" i="1"/>
  <c r="A501" i="1"/>
  <c r="B501" i="1"/>
  <c r="C501" i="1"/>
  <c r="E501" i="1"/>
  <c r="A502" i="1"/>
  <c r="B502" i="1"/>
  <c r="D502" i="1" s="1"/>
  <c r="C502" i="1"/>
  <c r="E502" i="1"/>
  <c r="A503" i="1"/>
  <c r="B503" i="1"/>
  <c r="C503" i="1"/>
  <c r="D503" i="1"/>
  <c r="E503" i="1"/>
  <c r="A504" i="1"/>
  <c r="B504" i="1"/>
  <c r="C504" i="1"/>
  <c r="D504" i="1"/>
  <c r="E504" i="1"/>
  <c r="A505" i="1"/>
  <c r="B505" i="1"/>
  <c r="C505" i="1"/>
  <c r="D505" i="1"/>
  <c r="E505" i="1"/>
  <c r="A506" i="1"/>
  <c r="B506" i="1"/>
  <c r="C506" i="1"/>
  <c r="E506" i="1"/>
  <c r="A507" i="1"/>
  <c r="B507" i="1"/>
  <c r="C507" i="1"/>
  <c r="D507" i="1"/>
  <c r="E507" i="1"/>
  <c r="A508" i="1"/>
  <c r="B508" i="1"/>
  <c r="C508" i="1"/>
  <c r="D508" i="1" s="1"/>
  <c r="E508" i="1"/>
  <c r="A509" i="1"/>
  <c r="B509" i="1"/>
  <c r="C509" i="1"/>
  <c r="D509" i="1"/>
  <c r="E509" i="1"/>
  <c r="A510" i="1"/>
  <c r="B510" i="1"/>
  <c r="C510" i="1"/>
  <c r="E510" i="1"/>
  <c r="A511" i="1"/>
  <c r="B511" i="1"/>
  <c r="C511" i="1"/>
  <c r="D511" i="1"/>
  <c r="E511" i="1"/>
  <c r="A512" i="1"/>
  <c r="B512" i="1"/>
  <c r="C512" i="1"/>
  <c r="E512" i="1"/>
  <c r="A513" i="1"/>
  <c r="B513" i="1"/>
  <c r="C513" i="1"/>
  <c r="D513" i="1" s="1"/>
  <c r="E513" i="1"/>
  <c r="A514" i="1"/>
  <c r="B514" i="1"/>
  <c r="C514" i="1"/>
  <c r="D514" i="1"/>
  <c r="E514" i="1"/>
  <c r="A515" i="1"/>
  <c r="B515" i="1"/>
  <c r="C515" i="1"/>
  <c r="D515" i="1"/>
  <c r="E515" i="1"/>
  <c r="A516" i="1"/>
  <c r="B516" i="1"/>
  <c r="C516" i="1"/>
  <c r="D516" i="1"/>
  <c r="E516" i="1"/>
  <c r="A517" i="1"/>
  <c r="B517" i="1"/>
  <c r="C517" i="1"/>
  <c r="D517" i="1"/>
  <c r="E517" i="1"/>
  <c r="A518" i="1"/>
  <c r="B518" i="1"/>
  <c r="C518" i="1"/>
  <c r="D518" i="1"/>
  <c r="E518" i="1"/>
  <c r="A519" i="1"/>
  <c r="B519" i="1"/>
  <c r="D519" i="1" s="1"/>
  <c r="C519" i="1"/>
  <c r="E519" i="1"/>
  <c r="A520" i="1"/>
  <c r="B520" i="1"/>
  <c r="C520" i="1"/>
  <c r="D520" i="1"/>
  <c r="E520" i="1"/>
  <c r="A521" i="1"/>
  <c r="B521" i="1"/>
  <c r="C521" i="1"/>
  <c r="D521" i="1"/>
  <c r="E521" i="1"/>
  <c r="A522" i="1"/>
  <c r="B522" i="1"/>
  <c r="C522" i="1"/>
  <c r="D522" i="1"/>
  <c r="E522" i="1"/>
  <c r="A523" i="1"/>
  <c r="B523" i="1"/>
  <c r="C523" i="1"/>
  <c r="D523" i="1"/>
  <c r="E523" i="1"/>
  <c r="A524" i="1"/>
  <c r="B524" i="1"/>
  <c r="C524" i="1"/>
  <c r="D524" i="1"/>
  <c r="E524" i="1"/>
  <c r="A525" i="1"/>
  <c r="B525" i="1"/>
  <c r="C525" i="1"/>
  <c r="D525" i="1"/>
  <c r="E525" i="1"/>
  <c r="A526" i="1"/>
  <c r="B526" i="1"/>
  <c r="C526" i="1"/>
  <c r="D526" i="1"/>
  <c r="E526" i="1"/>
  <c r="A527" i="1"/>
  <c r="B527" i="1"/>
  <c r="C527" i="1"/>
  <c r="D527" i="1"/>
  <c r="E527" i="1"/>
  <c r="A528" i="1"/>
  <c r="B528" i="1"/>
  <c r="C528" i="1"/>
  <c r="D528" i="1"/>
  <c r="E528" i="1"/>
  <c r="A529" i="1"/>
  <c r="B529" i="1"/>
  <c r="C529" i="1"/>
  <c r="D529" i="1"/>
  <c r="E529" i="1"/>
  <c r="A530" i="1"/>
  <c r="B530" i="1"/>
  <c r="C530" i="1"/>
  <c r="D530" i="1"/>
  <c r="E530" i="1"/>
  <c r="A531" i="1"/>
  <c r="B531" i="1"/>
  <c r="C531" i="1"/>
  <c r="D531" i="1"/>
  <c r="E531" i="1"/>
  <c r="A532" i="1"/>
  <c r="B532" i="1"/>
  <c r="C532" i="1"/>
  <c r="D532" i="1"/>
  <c r="E532" i="1"/>
  <c r="A533" i="1"/>
  <c r="B533" i="1"/>
  <c r="C533" i="1"/>
  <c r="D533" i="1"/>
  <c r="E533" i="1"/>
  <c r="A534" i="1"/>
  <c r="B534" i="1"/>
  <c r="C534" i="1"/>
  <c r="D534" i="1"/>
  <c r="E534" i="1"/>
  <c r="A535" i="1"/>
  <c r="B535" i="1"/>
  <c r="C535" i="1"/>
  <c r="D535" i="1"/>
  <c r="E535" i="1"/>
  <c r="A536" i="1"/>
  <c r="B536" i="1"/>
  <c r="C536" i="1"/>
  <c r="D536" i="1"/>
  <c r="E536" i="1"/>
  <c r="A537" i="1"/>
  <c r="B537" i="1"/>
  <c r="C537" i="1"/>
  <c r="D537" i="1"/>
  <c r="E537" i="1"/>
  <c r="A538" i="1"/>
  <c r="B538" i="1"/>
  <c r="C538" i="1"/>
  <c r="D538" i="1"/>
  <c r="E538" i="1"/>
  <c r="A539" i="1"/>
  <c r="B539" i="1"/>
  <c r="C539" i="1"/>
  <c r="D539" i="1"/>
  <c r="E539" i="1"/>
  <c r="A540" i="1"/>
  <c r="B540" i="1"/>
  <c r="C540" i="1"/>
  <c r="D540" i="1"/>
  <c r="E540" i="1"/>
  <c r="A541" i="1"/>
  <c r="B541" i="1"/>
  <c r="C541" i="1"/>
  <c r="D541" i="1"/>
  <c r="E541" i="1"/>
  <c r="A542" i="1"/>
  <c r="B542" i="1"/>
  <c r="C542" i="1"/>
  <c r="D542" i="1"/>
  <c r="E542" i="1"/>
  <c r="A543" i="1"/>
  <c r="B543" i="1"/>
  <c r="C543" i="1"/>
  <c r="D543" i="1"/>
  <c r="E543" i="1"/>
  <c r="A544" i="1"/>
  <c r="B544" i="1"/>
  <c r="C544" i="1"/>
  <c r="D544" i="1"/>
  <c r="E544" i="1"/>
  <c r="A545" i="1"/>
  <c r="B545" i="1"/>
  <c r="C545" i="1"/>
  <c r="D545" i="1"/>
  <c r="E545" i="1"/>
  <c r="A546" i="1"/>
  <c r="B546" i="1"/>
  <c r="C546" i="1"/>
  <c r="D546" i="1"/>
  <c r="E546" i="1"/>
  <c r="A547" i="1"/>
  <c r="B547" i="1"/>
  <c r="C547" i="1"/>
  <c r="D547" i="1"/>
  <c r="E547" i="1"/>
  <c r="A548" i="1"/>
  <c r="B548" i="1"/>
  <c r="C548" i="1"/>
  <c r="D548" i="1"/>
  <c r="E548" i="1"/>
  <c r="A549" i="1"/>
  <c r="B549" i="1"/>
  <c r="C549" i="1"/>
  <c r="D549" i="1"/>
  <c r="E549" i="1"/>
  <c r="A550" i="1"/>
  <c r="B550" i="1"/>
  <c r="C550" i="1"/>
  <c r="D550" i="1"/>
  <c r="E550" i="1"/>
  <c r="A551" i="1"/>
  <c r="B551" i="1"/>
  <c r="C551" i="1"/>
  <c r="D551" i="1"/>
  <c r="E551" i="1"/>
  <c r="A552" i="1"/>
  <c r="B552" i="1"/>
  <c r="C552" i="1"/>
  <c r="D552" i="1"/>
  <c r="E552" i="1"/>
  <c r="A553" i="1"/>
  <c r="B553" i="1"/>
  <c r="C553" i="1"/>
  <c r="D553" i="1"/>
  <c r="E553" i="1"/>
  <c r="A554" i="1"/>
  <c r="B554" i="1"/>
  <c r="C554" i="1"/>
  <c r="D554" i="1"/>
  <c r="E554" i="1"/>
  <c r="A555" i="1"/>
  <c r="B555" i="1"/>
  <c r="C555" i="1"/>
  <c r="D555" i="1"/>
  <c r="E555" i="1"/>
  <c r="A556" i="1"/>
  <c r="B556" i="1"/>
  <c r="C556" i="1"/>
  <c r="D556" i="1"/>
  <c r="E556" i="1"/>
  <c r="A557" i="1"/>
  <c r="B557" i="1"/>
  <c r="C557" i="1"/>
  <c r="D557" i="1"/>
  <c r="E557" i="1"/>
  <c r="A558" i="1"/>
  <c r="B558" i="1"/>
  <c r="C558" i="1"/>
  <c r="D558" i="1"/>
  <c r="E558" i="1"/>
  <c r="A559" i="1"/>
  <c r="B559" i="1"/>
  <c r="C559" i="1"/>
  <c r="D559" i="1"/>
  <c r="E559" i="1"/>
  <c r="A560" i="1"/>
  <c r="B560" i="1"/>
  <c r="C560" i="1"/>
  <c r="D560" i="1"/>
  <c r="E560" i="1"/>
  <c r="A561" i="1"/>
  <c r="B561" i="1"/>
  <c r="C561" i="1"/>
  <c r="D561" i="1"/>
  <c r="E561" i="1"/>
  <c r="A562" i="1"/>
  <c r="B562" i="1"/>
  <c r="C562" i="1"/>
  <c r="D562" i="1"/>
  <c r="E562" i="1"/>
  <c r="A563" i="1"/>
  <c r="B563" i="1"/>
  <c r="C563" i="1"/>
  <c r="D563" i="1"/>
  <c r="E563" i="1"/>
  <c r="A564" i="1"/>
  <c r="B564" i="1"/>
  <c r="C564" i="1"/>
  <c r="D564" i="1"/>
  <c r="E564" i="1"/>
  <c r="A565" i="1"/>
  <c r="B565" i="1"/>
  <c r="C565" i="1"/>
  <c r="D565" i="1"/>
  <c r="E565" i="1"/>
  <c r="A566" i="1"/>
  <c r="B566" i="1"/>
  <c r="C566" i="1"/>
  <c r="D566" i="1"/>
  <c r="E566" i="1"/>
  <c r="A567" i="1"/>
  <c r="B567" i="1"/>
  <c r="C567" i="1"/>
  <c r="D567" i="1"/>
  <c r="E567" i="1"/>
  <c r="A568" i="1"/>
  <c r="B568" i="1"/>
  <c r="C568" i="1"/>
  <c r="D568" i="1"/>
  <c r="E568" i="1"/>
  <c r="A569" i="1"/>
  <c r="B569" i="1"/>
  <c r="C569" i="1"/>
  <c r="D569" i="1"/>
  <c r="E569" i="1"/>
  <c r="A570" i="1"/>
  <c r="B570" i="1"/>
  <c r="C570" i="1"/>
  <c r="D570" i="1"/>
  <c r="E570" i="1"/>
  <c r="A571" i="1"/>
  <c r="B571" i="1"/>
  <c r="C571" i="1"/>
  <c r="D571" i="1"/>
  <c r="E571" i="1"/>
  <c r="A572" i="1"/>
  <c r="B572" i="1"/>
  <c r="C572" i="1"/>
  <c r="D572" i="1"/>
  <c r="E572" i="1"/>
  <c r="A573" i="1"/>
  <c r="B573" i="1"/>
  <c r="C573" i="1"/>
  <c r="D573" i="1"/>
  <c r="E573" i="1"/>
  <c r="A574" i="1"/>
  <c r="B574" i="1"/>
  <c r="C574" i="1"/>
  <c r="D574" i="1"/>
  <c r="E574" i="1"/>
  <c r="A575" i="1"/>
  <c r="B575" i="1"/>
  <c r="C575" i="1"/>
  <c r="D575" i="1"/>
  <c r="E575" i="1"/>
  <c r="A576" i="1"/>
  <c r="B576" i="1"/>
  <c r="C576" i="1"/>
  <c r="D576" i="1"/>
  <c r="E576" i="1"/>
  <c r="A577" i="1"/>
  <c r="B577" i="1"/>
  <c r="C577" i="1"/>
  <c r="D577" i="1"/>
  <c r="E577" i="1"/>
  <c r="A578" i="1"/>
  <c r="B578" i="1"/>
  <c r="C578" i="1"/>
  <c r="D578" i="1"/>
  <c r="E578" i="1"/>
  <c r="A579" i="1"/>
  <c r="B579" i="1"/>
  <c r="C579" i="1"/>
  <c r="D579" i="1"/>
  <c r="E579" i="1"/>
  <c r="A580" i="1"/>
  <c r="B580" i="1"/>
  <c r="C580" i="1"/>
  <c r="D580" i="1"/>
  <c r="E580" i="1"/>
  <c r="A581" i="1"/>
  <c r="B581" i="1"/>
  <c r="C581" i="1"/>
  <c r="D581" i="1"/>
  <c r="E581" i="1"/>
  <c r="A582" i="1"/>
  <c r="B582" i="1"/>
  <c r="C582" i="1"/>
  <c r="D582" i="1"/>
  <c r="E582" i="1"/>
  <c r="A583" i="1"/>
  <c r="B583" i="1"/>
  <c r="C583" i="1"/>
  <c r="D583" i="1"/>
  <c r="E583" i="1"/>
  <c r="A584" i="1"/>
  <c r="B584" i="1"/>
  <c r="C584" i="1"/>
  <c r="D584" i="1"/>
  <c r="E584" i="1"/>
  <c r="A585" i="1"/>
  <c r="B585" i="1"/>
  <c r="C585" i="1"/>
  <c r="D585" i="1"/>
  <c r="E585" i="1"/>
  <c r="A586" i="1"/>
  <c r="B586" i="1"/>
  <c r="C586" i="1"/>
  <c r="D586" i="1"/>
  <c r="E586" i="1"/>
  <c r="A587" i="1"/>
  <c r="B587" i="1"/>
  <c r="C587" i="1"/>
  <c r="D587" i="1"/>
  <c r="E587" i="1"/>
  <c r="A588" i="1"/>
  <c r="B588" i="1"/>
  <c r="C588" i="1"/>
  <c r="D588" i="1"/>
  <c r="E588" i="1"/>
  <c r="A589" i="1"/>
  <c r="B589" i="1"/>
  <c r="C589" i="1"/>
  <c r="D589" i="1"/>
  <c r="E589" i="1"/>
  <c r="A590" i="1"/>
  <c r="B590" i="1"/>
  <c r="C590" i="1"/>
  <c r="D590" i="1"/>
  <c r="E590" i="1"/>
  <c r="A591" i="1"/>
  <c r="B591" i="1"/>
  <c r="C591" i="1"/>
  <c r="D591" i="1"/>
  <c r="E591" i="1"/>
  <c r="A592" i="1"/>
  <c r="B592" i="1"/>
  <c r="C592" i="1"/>
  <c r="D592" i="1"/>
  <c r="E592" i="1"/>
  <c r="A593" i="1"/>
  <c r="B593" i="1"/>
  <c r="C593" i="1"/>
  <c r="D593" i="1"/>
  <c r="E593" i="1"/>
  <c r="A594" i="1"/>
  <c r="B594" i="1"/>
  <c r="C594" i="1"/>
  <c r="D594" i="1"/>
  <c r="E594" i="1"/>
  <c r="A595" i="1"/>
  <c r="B595" i="1"/>
  <c r="C595" i="1"/>
  <c r="D595" i="1"/>
  <c r="E595" i="1"/>
  <c r="A596" i="1"/>
  <c r="B596" i="1"/>
  <c r="C596" i="1"/>
  <c r="D596" i="1"/>
  <c r="E596" i="1"/>
  <c r="A597" i="1"/>
  <c r="B597" i="1"/>
  <c r="C597" i="1"/>
  <c r="D597" i="1"/>
  <c r="E597" i="1"/>
  <c r="A598" i="1"/>
  <c r="B598" i="1"/>
  <c r="C598" i="1"/>
  <c r="D598" i="1"/>
  <c r="E598" i="1"/>
  <c r="A599" i="1"/>
  <c r="B599" i="1"/>
  <c r="C599" i="1"/>
  <c r="D599" i="1"/>
  <c r="E599" i="1"/>
  <c r="A600" i="1"/>
  <c r="B600" i="1"/>
  <c r="C600" i="1"/>
  <c r="D600" i="1"/>
  <c r="E600" i="1"/>
  <c r="A601" i="1"/>
  <c r="B601" i="1"/>
  <c r="C601" i="1"/>
  <c r="D601" i="1"/>
  <c r="E601" i="1"/>
  <c r="A602" i="1"/>
  <c r="B602" i="1"/>
  <c r="C602" i="1"/>
  <c r="D602" i="1"/>
  <c r="E602" i="1"/>
  <c r="A603" i="1"/>
  <c r="B603" i="1"/>
  <c r="C603" i="1"/>
  <c r="D603" i="1"/>
  <c r="E603" i="1"/>
  <c r="A604" i="1"/>
  <c r="B604" i="1"/>
  <c r="C604" i="1"/>
  <c r="D604" i="1"/>
  <c r="E604" i="1"/>
  <c r="A605" i="1"/>
  <c r="B605" i="1"/>
  <c r="C605" i="1"/>
  <c r="D605" i="1"/>
  <c r="E605" i="1"/>
  <c r="A606" i="1"/>
  <c r="B606" i="1"/>
  <c r="C606" i="1"/>
  <c r="D606" i="1"/>
  <c r="E606" i="1"/>
  <c r="A607" i="1"/>
  <c r="B607" i="1"/>
  <c r="C607" i="1"/>
  <c r="D607" i="1"/>
  <c r="E607" i="1"/>
  <c r="A608" i="1"/>
  <c r="B608" i="1"/>
  <c r="C608" i="1"/>
  <c r="D608" i="1"/>
  <c r="E608" i="1"/>
  <c r="A609" i="1"/>
  <c r="B609" i="1"/>
  <c r="C609" i="1"/>
  <c r="D609" i="1"/>
  <c r="E609" i="1"/>
  <c r="A610" i="1"/>
  <c r="B610" i="1"/>
  <c r="C610" i="1"/>
  <c r="D610" i="1"/>
  <c r="E610" i="1"/>
  <c r="A611" i="1"/>
  <c r="B611" i="1"/>
  <c r="C611" i="1"/>
  <c r="D611" i="1"/>
  <c r="E611" i="1"/>
  <c r="A612" i="1"/>
  <c r="B612" i="1"/>
  <c r="C612" i="1"/>
  <c r="D612" i="1"/>
  <c r="E612" i="1"/>
  <c r="A613" i="1"/>
  <c r="B613" i="1"/>
  <c r="C613" i="1"/>
  <c r="D613" i="1"/>
  <c r="E613" i="1"/>
  <c r="A614" i="1"/>
  <c r="B614" i="1"/>
  <c r="C614" i="1"/>
  <c r="D614" i="1"/>
  <c r="E614" i="1"/>
  <c r="A615" i="1"/>
  <c r="B615" i="1"/>
  <c r="C615" i="1"/>
  <c r="D615" i="1"/>
  <c r="E615" i="1"/>
  <c r="A616" i="1"/>
  <c r="B616" i="1"/>
  <c r="C616" i="1"/>
  <c r="D616" i="1"/>
  <c r="E616" i="1"/>
  <c r="A617" i="1"/>
  <c r="B617" i="1"/>
  <c r="C617" i="1"/>
  <c r="D617" i="1"/>
  <c r="E617" i="1"/>
  <c r="A618" i="1"/>
  <c r="B618" i="1"/>
  <c r="C618" i="1"/>
  <c r="D618" i="1"/>
  <c r="E618" i="1"/>
  <c r="A619" i="1"/>
  <c r="B619" i="1"/>
  <c r="C619" i="1"/>
  <c r="D619" i="1"/>
  <c r="E619" i="1"/>
  <c r="A620" i="1"/>
  <c r="B620" i="1"/>
  <c r="C620" i="1"/>
  <c r="D620" i="1"/>
  <c r="E620" i="1"/>
  <c r="A621" i="1"/>
  <c r="B621" i="1"/>
  <c r="C621" i="1"/>
  <c r="D621" i="1"/>
  <c r="E621" i="1"/>
  <c r="A622" i="1"/>
  <c r="B622" i="1"/>
  <c r="C622" i="1"/>
  <c r="D622" i="1"/>
  <c r="E622" i="1"/>
  <c r="A623" i="1"/>
  <c r="B623" i="1"/>
  <c r="C623" i="1"/>
  <c r="D623" i="1"/>
  <c r="E623" i="1"/>
  <c r="A624" i="1"/>
  <c r="B624" i="1"/>
  <c r="C624" i="1"/>
  <c r="D624" i="1"/>
  <c r="E624" i="1"/>
  <c r="A625" i="1"/>
  <c r="B625" i="1"/>
  <c r="C625" i="1"/>
  <c r="D625" i="1"/>
  <c r="E625" i="1"/>
  <c r="A626" i="1"/>
  <c r="B626" i="1"/>
  <c r="C626" i="1"/>
  <c r="D626" i="1"/>
  <c r="E626" i="1"/>
  <c r="A627" i="1"/>
  <c r="B627" i="1"/>
  <c r="C627" i="1"/>
  <c r="D627" i="1"/>
  <c r="E627" i="1"/>
  <c r="A628" i="1"/>
  <c r="B628" i="1"/>
  <c r="C628" i="1"/>
  <c r="D628" i="1"/>
  <c r="E628" i="1"/>
  <c r="A629" i="1"/>
  <c r="B629" i="1"/>
  <c r="C629" i="1"/>
  <c r="D629" i="1"/>
  <c r="E629" i="1"/>
  <c r="A630" i="1"/>
  <c r="B630" i="1"/>
  <c r="C630" i="1"/>
  <c r="D630" i="1"/>
  <c r="E630" i="1"/>
  <c r="A631" i="1"/>
  <c r="B631" i="1"/>
  <c r="C631" i="1"/>
  <c r="D631" i="1"/>
  <c r="E631" i="1"/>
  <c r="A632" i="1"/>
  <c r="B632" i="1"/>
  <c r="C632" i="1"/>
  <c r="D632" i="1"/>
  <c r="E632" i="1"/>
  <c r="A633" i="1"/>
  <c r="B633" i="1"/>
  <c r="C633" i="1"/>
  <c r="D633" i="1"/>
  <c r="E633" i="1"/>
  <c r="A634" i="1"/>
  <c r="B634" i="1"/>
  <c r="C634" i="1"/>
  <c r="D634" i="1"/>
  <c r="E634" i="1"/>
  <c r="A635" i="1"/>
  <c r="B635" i="1"/>
  <c r="C635" i="1"/>
  <c r="D635" i="1"/>
  <c r="E635" i="1"/>
  <c r="A636" i="1"/>
  <c r="B636" i="1"/>
  <c r="C636" i="1"/>
  <c r="D636" i="1"/>
  <c r="E636" i="1"/>
  <c r="A637" i="1"/>
  <c r="B637" i="1"/>
  <c r="C637" i="1"/>
  <c r="D637" i="1"/>
  <c r="E637" i="1"/>
  <c r="A638" i="1"/>
  <c r="B638" i="1"/>
  <c r="C638" i="1"/>
  <c r="D638" i="1"/>
  <c r="E638" i="1"/>
  <c r="A639" i="1"/>
  <c r="B639" i="1"/>
  <c r="C639" i="1"/>
  <c r="D639" i="1"/>
  <c r="E639" i="1"/>
  <c r="A640" i="1"/>
  <c r="B640" i="1"/>
  <c r="C640" i="1"/>
  <c r="D640" i="1"/>
  <c r="E640" i="1"/>
  <c r="A641" i="1"/>
  <c r="B641" i="1"/>
  <c r="C641" i="1"/>
  <c r="D641" i="1"/>
  <c r="E641" i="1"/>
  <c r="A642" i="1"/>
  <c r="B642" i="1"/>
  <c r="C642" i="1"/>
  <c r="D642" i="1"/>
  <c r="E642" i="1"/>
  <c r="A643" i="1"/>
  <c r="B643" i="1"/>
  <c r="C643" i="1"/>
  <c r="E643" i="1"/>
  <c r="A644" i="1"/>
  <c r="B644" i="1"/>
  <c r="C644" i="1"/>
  <c r="D644" i="1"/>
  <c r="E644" i="1"/>
  <c r="A645" i="1"/>
  <c r="B645" i="1"/>
  <c r="C645" i="1"/>
  <c r="D645" i="1"/>
  <c r="E645" i="1"/>
  <c r="A646" i="1"/>
  <c r="B646" i="1"/>
  <c r="C646" i="1"/>
  <c r="D646" i="1"/>
  <c r="E646" i="1"/>
  <c r="A647" i="1"/>
  <c r="B647" i="1"/>
  <c r="C647" i="1"/>
  <c r="D647" i="1"/>
  <c r="E647" i="1"/>
  <c r="A648" i="1"/>
  <c r="B648" i="1"/>
  <c r="C648" i="1"/>
  <c r="D648" i="1"/>
  <c r="E648" i="1"/>
  <c r="A649" i="1"/>
  <c r="B649" i="1"/>
  <c r="C649" i="1"/>
  <c r="D649" i="1"/>
  <c r="E649" i="1"/>
  <c r="A650" i="1"/>
  <c r="B650" i="1"/>
  <c r="C650" i="1"/>
  <c r="E650" i="1"/>
  <c r="A651" i="1"/>
  <c r="B651" i="1"/>
  <c r="C651" i="1"/>
  <c r="D651" i="1"/>
  <c r="E651" i="1"/>
  <c r="A652" i="1"/>
  <c r="B652" i="1"/>
  <c r="C652" i="1"/>
  <c r="D652" i="1"/>
  <c r="E652" i="1"/>
  <c r="A653" i="1"/>
  <c r="B653" i="1"/>
  <c r="C653" i="1"/>
  <c r="D653" i="1"/>
  <c r="E653" i="1"/>
  <c r="A654" i="1"/>
  <c r="B654" i="1"/>
  <c r="C654" i="1"/>
  <c r="D654" i="1"/>
  <c r="E654" i="1"/>
  <c r="A655" i="1"/>
  <c r="B655" i="1"/>
  <c r="C655" i="1"/>
  <c r="D655" i="1"/>
  <c r="E655" i="1"/>
  <c r="A656" i="1"/>
  <c r="B656" i="1"/>
  <c r="C656" i="1"/>
  <c r="D656" i="1"/>
  <c r="E656" i="1"/>
  <c r="A657" i="1"/>
  <c r="B657" i="1"/>
  <c r="C657" i="1"/>
  <c r="D657" i="1"/>
  <c r="E657" i="1"/>
  <c r="A658" i="1"/>
  <c r="B658" i="1"/>
  <c r="C658" i="1"/>
  <c r="D658" i="1"/>
  <c r="E658" i="1"/>
  <c r="A659" i="1"/>
  <c r="B659" i="1"/>
  <c r="C659" i="1"/>
  <c r="D659" i="1"/>
  <c r="E659" i="1"/>
  <c r="A660" i="1"/>
  <c r="B660" i="1"/>
  <c r="C660" i="1"/>
  <c r="D660" i="1"/>
  <c r="E660" i="1"/>
  <c r="A661" i="1"/>
  <c r="B661" i="1"/>
  <c r="C661" i="1"/>
  <c r="D661" i="1"/>
  <c r="E661" i="1"/>
  <c r="A662" i="1"/>
  <c r="B662" i="1"/>
  <c r="C662" i="1"/>
  <c r="D662" i="1"/>
  <c r="E662" i="1"/>
  <c r="A663" i="1"/>
  <c r="B663" i="1"/>
  <c r="C663" i="1"/>
  <c r="D663" i="1"/>
  <c r="E663" i="1"/>
  <c r="A664" i="1"/>
  <c r="B664" i="1"/>
  <c r="C664" i="1"/>
  <c r="D664" i="1"/>
  <c r="E664" i="1"/>
  <c r="A665" i="1"/>
  <c r="B665" i="1"/>
  <c r="C665" i="1"/>
  <c r="D665" i="1"/>
  <c r="E665" i="1"/>
  <c r="A666" i="1"/>
  <c r="B666" i="1"/>
  <c r="C666" i="1"/>
  <c r="D666" i="1"/>
  <c r="E666" i="1"/>
  <c r="A667" i="1"/>
  <c r="B667" i="1"/>
  <c r="C667" i="1"/>
  <c r="D667" i="1"/>
  <c r="E667" i="1"/>
  <c r="A668" i="1"/>
  <c r="B668" i="1"/>
  <c r="C668" i="1"/>
  <c r="D668" i="1"/>
  <c r="E668" i="1"/>
  <c r="A669" i="1"/>
  <c r="B669" i="1"/>
  <c r="C669" i="1"/>
  <c r="D669" i="1"/>
  <c r="E669" i="1"/>
  <c r="A670" i="1"/>
  <c r="B670" i="1"/>
  <c r="C670" i="1"/>
  <c r="D670" i="1"/>
  <c r="E670" i="1"/>
  <c r="A671" i="1"/>
  <c r="B671" i="1"/>
  <c r="C671" i="1"/>
  <c r="D671" i="1"/>
  <c r="E671" i="1"/>
  <c r="A672" i="1"/>
  <c r="B672" i="1"/>
  <c r="C672" i="1"/>
  <c r="D672" i="1"/>
  <c r="E672" i="1"/>
  <c r="A673" i="1"/>
  <c r="B673" i="1"/>
  <c r="C673" i="1"/>
  <c r="D673" i="1"/>
  <c r="E673" i="1"/>
  <c r="A674" i="1"/>
  <c r="B674" i="1"/>
  <c r="C674" i="1"/>
  <c r="D674" i="1"/>
  <c r="E674" i="1"/>
  <c r="A675" i="1"/>
  <c r="B675" i="1"/>
  <c r="C675" i="1"/>
  <c r="D675" i="1"/>
  <c r="E675" i="1"/>
  <c r="A676" i="1"/>
  <c r="B676" i="1"/>
  <c r="C676" i="1"/>
  <c r="D676" i="1"/>
  <c r="E676" i="1"/>
  <c r="A677" i="1"/>
  <c r="B677" i="1"/>
  <c r="C677" i="1"/>
  <c r="D677" i="1"/>
  <c r="E677" i="1"/>
  <c r="A678" i="1"/>
  <c r="B678" i="1"/>
  <c r="C678" i="1"/>
  <c r="D678" i="1"/>
  <c r="E678" i="1"/>
  <c r="A679" i="1"/>
  <c r="B679" i="1"/>
  <c r="C679" i="1"/>
  <c r="D679" i="1"/>
  <c r="E679" i="1"/>
  <c r="A680" i="1"/>
  <c r="B680" i="1"/>
  <c r="C680" i="1"/>
  <c r="D680" i="1"/>
  <c r="E680" i="1"/>
  <c r="A681" i="1"/>
  <c r="B681" i="1"/>
  <c r="C681" i="1"/>
  <c r="D681" i="1"/>
  <c r="E681" i="1"/>
  <c r="A682" i="1"/>
  <c r="B682" i="1"/>
  <c r="C682" i="1"/>
  <c r="D682" i="1"/>
  <c r="E682" i="1"/>
  <c r="A683" i="1"/>
  <c r="B683" i="1"/>
  <c r="C683" i="1"/>
  <c r="D683" i="1"/>
  <c r="E683" i="1"/>
  <c r="A684" i="1"/>
  <c r="B684" i="1"/>
  <c r="C684" i="1"/>
  <c r="D684" i="1"/>
  <c r="E684" i="1"/>
  <c r="A685" i="1"/>
  <c r="B685" i="1"/>
  <c r="C685" i="1"/>
  <c r="D685" i="1"/>
  <c r="E685" i="1"/>
  <c r="A686" i="1"/>
  <c r="B686" i="1"/>
  <c r="C686" i="1"/>
  <c r="D686" i="1"/>
  <c r="E686" i="1"/>
  <c r="A687" i="1"/>
  <c r="B687" i="1"/>
  <c r="C687" i="1"/>
  <c r="D687" i="1"/>
  <c r="E687" i="1"/>
  <c r="A688" i="1"/>
  <c r="B688" i="1"/>
  <c r="C688" i="1"/>
  <c r="D688" i="1"/>
  <c r="E688" i="1"/>
  <c r="A689" i="1"/>
  <c r="B689" i="1"/>
  <c r="C689" i="1"/>
  <c r="D689" i="1"/>
  <c r="E689" i="1"/>
  <c r="A690" i="1"/>
  <c r="B690" i="1"/>
  <c r="C690" i="1"/>
  <c r="D690" i="1"/>
  <c r="E690" i="1"/>
  <c r="A691" i="1"/>
  <c r="B691" i="1"/>
  <c r="C691" i="1"/>
  <c r="D691" i="1"/>
  <c r="E691" i="1"/>
  <c r="A692" i="1"/>
  <c r="B692" i="1"/>
  <c r="C692" i="1"/>
  <c r="D692" i="1"/>
  <c r="E692" i="1"/>
  <c r="A693" i="1"/>
  <c r="B693" i="1"/>
  <c r="C693" i="1"/>
  <c r="D693" i="1"/>
  <c r="E693" i="1"/>
  <c r="A694" i="1"/>
  <c r="B694" i="1"/>
  <c r="C694" i="1"/>
  <c r="D694" i="1"/>
  <c r="E694" i="1"/>
  <c r="A695" i="1"/>
  <c r="B695" i="1"/>
  <c r="C695" i="1"/>
  <c r="D695" i="1"/>
  <c r="E695" i="1"/>
  <c r="A696" i="1"/>
  <c r="B696" i="1"/>
  <c r="C696" i="1"/>
  <c r="D696" i="1"/>
  <c r="E696" i="1"/>
  <c r="A697" i="1"/>
  <c r="B697" i="1"/>
  <c r="C697" i="1"/>
  <c r="D697" i="1"/>
  <c r="E697" i="1"/>
  <c r="A698" i="1"/>
  <c r="B698" i="1"/>
  <c r="C698" i="1"/>
  <c r="D698" i="1"/>
  <c r="E698" i="1"/>
  <c r="A699" i="1"/>
  <c r="B699" i="1"/>
  <c r="C699" i="1"/>
  <c r="D699" i="1"/>
  <c r="E699" i="1"/>
  <c r="A700" i="1"/>
  <c r="B700" i="1"/>
  <c r="C700" i="1"/>
  <c r="D700" i="1"/>
  <c r="E700" i="1"/>
  <c r="A701" i="1"/>
  <c r="B701" i="1"/>
  <c r="C701" i="1"/>
  <c r="D701" i="1"/>
  <c r="E701" i="1"/>
  <c r="A702" i="1"/>
  <c r="B702" i="1"/>
  <c r="C702" i="1"/>
  <c r="D702" i="1"/>
  <c r="E702" i="1"/>
  <c r="A703" i="1"/>
  <c r="B703" i="1"/>
  <c r="C703" i="1"/>
  <c r="D703" i="1"/>
  <c r="E703" i="1"/>
  <c r="A704" i="1"/>
  <c r="B704" i="1"/>
  <c r="C704" i="1"/>
  <c r="D704" i="1"/>
  <c r="E704" i="1"/>
  <c r="A705" i="1"/>
  <c r="B705" i="1"/>
  <c r="C705" i="1"/>
  <c r="D705" i="1"/>
  <c r="E705" i="1"/>
  <c r="A706" i="1"/>
  <c r="B706" i="1"/>
  <c r="C706" i="1"/>
  <c r="D706" i="1"/>
  <c r="E706" i="1"/>
  <c r="A707" i="1"/>
  <c r="B707" i="1"/>
  <c r="C707" i="1"/>
  <c r="D707" i="1"/>
  <c r="E707" i="1"/>
  <c r="A708" i="1"/>
  <c r="B708" i="1"/>
  <c r="C708" i="1"/>
  <c r="D708" i="1"/>
  <c r="E708" i="1"/>
  <c r="A709" i="1"/>
  <c r="B709" i="1"/>
  <c r="C709" i="1"/>
  <c r="D709" i="1"/>
  <c r="E709" i="1"/>
  <c r="A710" i="1"/>
  <c r="B710" i="1"/>
  <c r="C710" i="1"/>
  <c r="D710" i="1"/>
  <c r="E710" i="1"/>
  <c r="A711" i="1"/>
  <c r="B711" i="1"/>
  <c r="C711" i="1"/>
  <c r="D711" i="1"/>
  <c r="E711" i="1"/>
  <c r="A712" i="1"/>
  <c r="B712" i="1"/>
  <c r="C712" i="1"/>
  <c r="D712" i="1"/>
  <c r="E712" i="1"/>
  <c r="A713" i="1"/>
  <c r="B713" i="1"/>
  <c r="C713" i="1"/>
  <c r="D713" i="1"/>
  <c r="E713" i="1"/>
  <c r="A714" i="1"/>
  <c r="B714" i="1"/>
  <c r="C714" i="1"/>
  <c r="D714" i="1"/>
  <c r="E714" i="1"/>
  <c r="A715" i="1"/>
  <c r="B715" i="1"/>
  <c r="C715" i="1"/>
  <c r="D715" i="1"/>
  <c r="E715" i="1"/>
  <c r="A716" i="1"/>
  <c r="B716" i="1"/>
  <c r="C716" i="1"/>
  <c r="D716" i="1"/>
  <c r="E716" i="1"/>
  <c r="A717" i="1"/>
  <c r="B717" i="1"/>
  <c r="C717" i="1"/>
  <c r="D717" i="1"/>
  <c r="E717" i="1"/>
  <c r="A718" i="1"/>
  <c r="B718" i="1"/>
  <c r="C718" i="1"/>
  <c r="D718" i="1"/>
  <c r="E718" i="1"/>
  <c r="A719" i="1"/>
  <c r="B719" i="1"/>
  <c r="C719" i="1"/>
  <c r="D719" i="1"/>
  <c r="E719" i="1"/>
  <c r="A720" i="1"/>
  <c r="B720" i="1"/>
  <c r="C720" i="1"/>
  <c r="D720" i="1"/>
  <c r="E720" i="1"/>
  <c r="A721" i="1"/>
  <c r="B721" i="1"/>
  <c r="C721" i="1"/>
  <c r="D721" i="1"/>
  <c r="E721" i="1"/>
  <c r="A722" i="1"/>
  <c r="B722" i="1"/>
  <c r="C722" i="1"/>
  <c r="D722" i="1"/>
  <c r="E722" i="1"/>
  <c r="A723" i="1"/>
  <c r="B723" i="1"/>
  <c r="C723" i="1"/>
  <c r="D723" i="1"/>
  <c r="E723" i="1"/>
  <c r="A724" i="1"/>
  <c r="B724" i="1"/>
  <c r="C724" i="1"/>
  <c r="D724" i="1"/>
  <c r="E724" i="1"/>
  <c r="A725" i="1"/>
  <c r="B725" i="1"/>
  <c r="C725" i="1"/>
  <c r="D725" i="1"/>
  <c r="E725" i="1"/>
  <c r="A726" i="1"/>
  <c r="B726" i="1"/>
  <c r="C726" i="1"/>
  <c r="D726" i="1"/>
  <c r="E726" i="1"/>
  <c r="A727" i="1"/>
  <c r="B727" i="1"/>
  <c r="C727" i="1"/>
  <c r="D727" i="1"/>
  <c r="E727" i="1"/>
  <c r="A728" i="1"/>
  <c r="B728" i="1"/>
  <c r="C728" i="1"/>
  <c r="D728" i="1"/>
  <c r="E728" i="1"/>
  <c r="A729" i="1"/>
  <c r="B729" i="1"/>
  <c r="C729" i="1"/>
  <c r="D729" i="1"/>
  <c r="E729" i="1"/>
  <c r="A730" i="1"/>
  <c r="B730" i="1"/>
  <c r="C730" i="1"/>
  <c r="D730" i="1"/>
  <c r="E730" i="1"/>
  <c r="A731" i="1"/>
  <c r="B731" i="1"/>
  <c r="C731" i="1"/>
  <c r="D731" i="1"/>
  <c r="E731" i="1"/>
  <c r="A732" i="1"/>
  <c r="B732" i="1"/>
  <c r="C732" i="1"/>
  <c r="D732" i="1"/>
  <c r="E732" i="1"/>
  <c r="A733" i="1"/>
  <c r="B733" i="1"/>
  <c r="C733" i="1"/>
  <c r="D733" i="1"/>
  <c r="E733" i="1"/>
  <c r="A734" i="1"/>
  <c r="B734" i="1"/>
  <c r="C734" i="1"/>
  <c r="D734" i="1"/>
  <c r="E734" i="1"/>
  <c r="A735" i="1"/>
  <c r="B735" i="1"/>
  <c r="C735" i="1"/>
  <c r="D735" i="1"/>
  <c r="E735" i="1"/>
  <c r="A736" i="1"/>
  <c r="B736" i="1"/>
  <c r="C736" i="1"/>
  <c r="D736" i="1"/>
  <c r="E736" i="1"/>
  <c r="A737" i="1"/>
  <c r="B737" i="1"/>
  <c r="C737" i="1"/>
  <c r="D737" i="1"/>
  <c r="E737" i="1"/>
  <c r="A738" i="1"/>
  <c r="B738" i="1"/>
  <c r="C738" i="1"/>
  <c r="D738" i="1"/>
  <c r="E738" i="1"/>
  <c r="A739" i="1"/>
  <c r="B739" i="1"/>
  <c r="C739" i="1"/>
  <c r="D739" i="1"/>
  <c r="E739" i="1"/>
  <c r="A740" i="1"/>
  <c r="B740" i="1"/>
  <c r="C740" i="1"/>
  <c r="D740" i="1"/>
  <c r="E740" i="1"/>
  <c r="A741" i="1"/>
  <c r="B741" i="1"/>
  <c r="C741" i="1"/>
  <c r="D741" i="1"/>
  <c r="E741" i="1"/>
  <c r="A742" i="1"/>
  <c r="B742" i="1"/>
  <c r="C742" i="1"/>
  <c r="D742" i="1"/>
  <c r="E742" i="1"/>
  <c r="A743" i="1"/>
  <c r="B743" i="1"/>
  <c r="C743" i="1"/>
  <c r="D743" i="1"/>
  <c r="E743" i="1"/>
  <c r="A744" i="1"/>
  <c r="B744" i="1"/>
  <c r="C744" i="1"/>
  <c r="D744" i="1"/>
  <c r="E744" i="1"/>
  <c r="A745" i="1"/>
  <c r="B745" i="1"/>
  <c r="C745" i="1"/>
  <c r="D745" i="1"/>
  <c r="E745" i="1"/>
  <c r="A746" i="1"/>
  <c r="B746" i="1"/>
  <c r="C746" i="1"/>
  <c r="D746" i="1"/>
  <c r="E746" i="1"/>
  <c r="A747" i="1"/>
  <c r="B747" i="1"/>
  <c r="C747" i="1"/>
  <c r="D747" i="1"/>
  <c r="E747" i="1"/>
  <c r="A748" i="1"/>
  <c r="B748" i="1"/>
  <c r="C748" i="1"/>
  <c r="D748" i="1"/>
  <c r="E748" i="1"/>
  <c r="A749" i="1"/>
  <c r="B749" i="1"/>
  <c r="C749" i="1"/>
  <c r="D749" i="1"/>
  <c r="E749" i="1"/>
  <c r="A750" i="1"/>
  <c r="B750" i="1"/>
  <c r="C750" i="1"/>
  <c r="D750" i="1"/>
  <c r="E750" i="1"/>
  <c r="A751" i="1"/>
  <c r="B751" i="1"/>
  <c r="C751" i="1"/>
  <c r="D751" i="1"/>
  <c r="E751" i="1"/>
  <c r="A752" i="1"/>
  <c r="B752" i="1"/>
  <c r="C752" i="1"/>
  <c r="D752" i="1"/>
  <c r="E752" i="1"/>
  <c r="A753" i="1"/>
  <c r="B753" i="1"/>
  <c r="C753" i="1"/>
  <c r="D753" i="1"/>
  <c r="E753" i="1"/>
  <c r="A754" i="1"/>
  <c r="B754" i="1"/>
  <c r="C754" i="1"/>
  <c r="D754" i="1"/>
  <c r="E754" i="1"/>
  <c r="A755" i="1"/>
  <c r="B755" i="1"/>
  <c r="C755" i="1"/>
  <c r="D755" i="1"/>
  <c r="E755" i="1"/>
  <c r="A756" i="1"/>
  <c r="B756" i="1"/>
  <c r="C756" i="1"/>
  <c r="D756" i="1"/>
  <c r="E756" i="1"/>
  <c r="A757" i="1"/>
  <c r="B757" i="1"/>
  <c r="C757" i="1"/>
  <c r="D757" i="1"/>
  <c r="E757" i="1"/>
  <c r="A758" i="1"/>
  <c r="B758" i="1"/>
  <c r="C758" i="1"/>
  <c r="D758" i="1"/>
  <c r="E758" i="1"/>
  <c r="A759" i="1"/>
  <c r="B759" i="1"/>
  <c r="C759" i="1"/>
  <c r="D759" i="1" s="1"/>
  <c r="E759" i="1"/>
  <c r="A760" i="1"/>
  <c r="B760" i="1"/>
  <c r="C760" i="1"/>
  <c r="D760" i="1"/>
  <c r="E760" i="1"/>
  <c r="A761" i="1"/>
  <c r="B761" i="1"/>
  <c r="C761" i="1"/>
  <c r="D761" i="1"/>
  <c r="E761" i="1"/>
  <c r="A762" i="1"/>
  <c r="B762" i="1"/>
  <c r="C762" i="1"/>
  <c r="D762" i="1"/>
  <c r="E762" i="1"/>
  <c r="A763" i="1"/>
  <c r="B763" i="1"/>
  <c r="C763" i="1"/>
  <c r="D763" i="1"/>
  <c r="E763" i="1"/>
  <c r="A764" i="1"/>
  <c r="B764" i="1"/>
  <c r="C764" i="1"/>
  <c r="D764" i="1"/>
  <c r="E764" i="1"/>
  <c r="A765" i="1"/>
  <c r="B765" i="1"/>
  <c r="C765" i="1"/>
  <c r="D765" i="1"/>
  <c r="E765" i="1"/>
  <c r="A766" i="1"/>
  <c r="B766" i="1"/>
  <c r="C766" i="1"/>
  <c r="D766" i="1"/>
  <c r="E766" i="1"/>
  <c r="A767" i="1"/>
  <c r="B767" i="1"/>
  <c r="C767" i="1"/>
  <c r="D767" i="1"/>
  <c r="E767" i="1"/>
  <c r="A768" i="1"/>
  <c r="B768" i="1"/>
  <c r="C768" i="1"/>
  <c r="D768" i="1"/>
  <c r="E768" i="1"/>
  <c r="A769" i="1"/>
  <c r="B769" i="1"/>
  <c r="C769" i="1"/>
  <c r="D769" i="1"/>
  <c r="E769" i="1"/>
  <c r="A770" i="1"/>
  <c r="B770" i="1"/>
  <c r="C770" i="1"/>
  <c r="D770" i="1"/>
  <c r="E770" i="1"/>
  <c r="A771" i="1"/>
  <c r="B771" i="1"/>
  <c r="C771" i="1"/>
  <c r="D771" i="1"/>
  <c r="E771" i="1"/>
  <c r="A772" i="1"/>
  <c r="B772" i="1"/>
  <c r="C772" i="1"/>
  <c r="D772" i="1"/>
  <c r="E772" i="1"/>
  <c r="A773" i="1"/>
  <c r="B773" i="1"/>
  <c r="C773" i="1"/>
  <c r="D773" i="1"/>
  <c r="E773" i="1"/>
  <c r="A774" i="1"/>
  <c r="B774" i="1"/>
  <c r="C774" i="1"/>
  <c r="D774" i="1"/>
  <c r="E774" i="1"/>
  <c r="A775" i="1"/>
  <c r="B775" i="1"/>
  <c r="C775" i="1"/>
  <c r="D775" i="1"/>
  <c r="E775" i="1"/>
  <c r="A776" i="1"/>
  <c r="B776" i="1"/>
  <c r="C776" i="1"/>
  <c r="D776" i="1"/>
  <c r="E776" i="1"/>
  <c r="A777" i="1"/>
  <c r="B777" i="1"/>
  <c r="C777" i="1"/>
  <c r="D777" i="1"/>
  <c r="E777" i="1"/>
  <c r="A778" i="1"/>
  <c r="B778" i="1"/>
  <c r="C778" i="1"/>
  <c r="D778" i="1"/>
  <c r="E778" i="1"/>
  <c r="A779" i="1"/>
  <c r="B779" i="1"/>
  <c r="C779" i="1"/>
  <c r="D779" i="1"/>
  <c r="E779" i="1"/>
  <c r="A780" i="1"/>
  <c r="B780" i="1"/>
  <c r="C780" i="1"/>
  <c r="D780" i="1"/>
  <c r="E780" i="1"/>
  <c r="A781" i="1"/>
  <c r="B781" i="1"/>
  <c r="C781" i="1"/>
  <c r="D781" i="1"/>
  <c r="E781" i="1"/>
  <c r="A782" i="1"/>
  <c r="B782" i="1"/>
  <c r="C782" i="1"/>
  <c r="D782" i="1"/>
  <c r="E782" i="1"/>
  <c r="A783" i="1"/>
  <c r="B783" i="1"/>
  <c r="C783" i="1"/>
  <c r="D783" i="1"/>
  <c r="E783" i="1"/>
  <c r="A784" i="1"/>
  <c r="B784" i="1"/>
  <c r="C784" i="1"/>
  <c r="D784" i="1"/>
  <c r="E784" i="1"/>
  <c r="A785" i="1"/>
  <c r="B785" i="1"/>
  <c r="C785" i="1"/>
  <c r="D785" i="1"/>
  <c r="E785" i="1"/>
  <c r="A786" i="1"/>
  <c r="B786" i="1"/>
  <c r="C786" i="1"/>
  <c r="E786" i="1"/>
  <c r="A787" i="1"/>
  <c r="B787" i="1"/>
  <c r="C787" i="1"/>
  <c r="E787" i="1"/>
  <c r="A788" i="1"/>
  <c r="B788" i="1"/>
  <c r="C788" i="1"/>
  <c r="D788" i="1"/>
  <c r="E788" i="1"/>
  <c r="A789" i="1"/>
  <c r="B789" i="1"/>
  <c r="C789" i="1"/>
  <c r="D789" i="1"/>
  <c r="E789" i="1"/>
  <c r="A790" i="1"/>
  <c r="B790" i="1"/>
  <c r="C790" i="1"/>
  <c r="D790" i="1"/>
  <c r="E790" i="1"/>
  <c r="A791" i="1"/>
  <c r="B791" i="1"/>
  <c r="C791" i="1"/>
  <c r="D791" i="1"/>
  <c r="E791" i="1"/>
  <c r="A792" i="1"/>
  <c r="B792" i="1"/>
  <c r="C792" i="1"/>
  <c r="D792" i="1"/>
  <c r="E792" i="1"/>
  <c r="A793" i="1"/>
  <c r="B793" i="1"/>
  <c r="D793" i="1" s="1"/>
  <c r="C793" i="1"/>
  <c r="E793" i="1"/>
  <c r="A794" i="1"/>
  <c r="B794" i="1"/>
  <c r="C794" i="1"/>
  <c r="D794" i="1"/>
  <c r="E794" i="1"/>
  <c r="A795" i="1"/>
  <c r="B795" i="1"/>
  <c r="C795" i="1"/>
  <c r="D795" i="1"/>
  <c r="E795" i="1"/>
  <c r="A796" i="1"/>
  <c r="B796" i="1"/>
  <c r="C796" i="1"/>
  <c r="D796" i="1"/>
  <c r="E796" i="1"/>
  <c r="A797" i="1"/>
  <c r="B797" i="1"/>
  <c r="C797" i="1"/>
  <c r="D797" i="1"/>
  <c r="E797" i="1"/>
  <c r="A798" i="1"/>
  <c r="B798" i="1"/>
  <c r="C798" i="1"/>
  <c r="D798" i="1"/>
  <c r="E798" i="1"/>
  <c r="A799" i="1"/>
  <c r="B799" i="1"/>
  <c r="C799" i="1"/>
  <c r="D799" i="1"/>
  <c r="E799" i="1"/>
  <c r="A800" i="1"/>
  <c r="B800" i="1"/>
  <c r="C800" i="1"/>
  <c r="D800" i="1"/>
  <c r="E800" i="1"/>
  <c r="A801" i="1"/>
  <c r="B801" i="1"/>
  <c r="C801" i="1"/>
  <c r="D801" i="1"/>
  <c r="E801" i="1"/>
  <c r="A802" i="1"/>
  <c r="B802" i="1"/>
  <c r="C802" i="1"/>
  <c r="D802" i="1"/>
  <c r="E802" i="1"/>
  <c r="A803" i="1"/>
  <c r="B803" i="1"/>
  <c r="C803" i="1"/>
  <c r="D803" i="1"/>
  <c r="E803" i="1"/>
  <c r="A804" i="1"/>
  <c r="B804" i="1"/>
  <c r="C804" i="1"/>
  <c r="D804" i="1"/>
  <c r="E804" i="1"/>
  <c r="A805" i="1"/>
  <c r="B805" i="1"/>
  <c r="C805" i="1"/>
  <c r="D805" i="1"/>
  <c r="E805" i="1"/>
  <c r="A806" i="1"/>
  <c r="B806" i="1"/>
  <c r="C806" i="1"/>
  <c r="D806" i="1"/>
  <c r="E806" i="1"/>
  <c r="A807" i="1"/>
  <c r="B807" i="1"/>
  <c r="C807" i="1"/>
  <c r="D807" i="1"/>
  <c r="E807" i="1"/>
  <c r="A808" i="1"/>
  <c r="B808" i="1"/>
  <c r="C808" i="1"/>
  <c r="D808" i="1"/>
  <c r="E808" i="1"/>
  <c r="A809" i="1"/>
  <c r="B809" i="1"/>
  <c r="C809" i="1"/>
  <c r="D809" i="1"/>
  <c r="E809" i="1"/>
  <c r="A810" i="1"/>
  <c r="B810" i="1"/>
  <c r="C810" i="1"/>
  <c r="D810" i="1"/>
  <c r="E810" i="1"/>
  <c r="A811" i="1"/>
  <c r="B811" i="1"/>
  <c r="C811" i="1"/>
  <c r="D811" i="1"/>
  <c r="E811" i="1"/>
  <c r="A812" i="1"/>
  <c r="B812" i="1"/>
  <c r="C812" i="1"/>
  <c r="D812" i="1"/>
  <c r="E812" i="1"/>
  <c r="A813" i="1"/>
  <c r="B813" i="1"/>
  <c r="C813" i="1"/>
  <c r="D813" i="1"/>
  <c r="E813" i="1"/>
  <c r="A814" i="1"/>
  <c r="B814" i="1"/>
  <c r="C814" i="1"/>
  <c r="D814" i="1"/>
  <c r="E814" i="1"/>
  <c r="A815" i="1"/>
  <c r="B815" i="1"/>
  <c r="C815" i="1"/>
  <c r="D815" i="1"/>
  <c r="E815" i="1"/>
  <c r="A816" i="1"/>
  <c r="B816" i="1"/>
  <c r="C816" i="1"/>
  <c r="D816" i="1"/>
  <c r="E816" i="1"/>
  <c r="A817" i="1"/>
  <c r="B817" i="1"/>
  <c r="C817" i="1"/>
  <c r="D817" i="1"/>
  <c r="E817" i="1"/>
  <c r="A818" i="1"/>
  <c r="B818" i="1"/>
  <c r="C818" i="1"/>
  <c r="D818" i="1"/>
  <c r="E818" i="1"/>
  <c r="A819" i="1"/>
  <c r="B819" i="1"/>
  <c r="C819" i="1"/>
  <c r="D819" i="1"/>
  <c r="E819" i="1"/>
  <c r="A820" i="1"/>
  <c r="B820" i="1"/>
  <c r="C820" i="1"/>
  <c r="D820" i="1"/>
  <c r="E820" i="1"/>
  <c r="A821" i="1"/>
  <c r="B821" i="1"/>
  <c r="C821" i="1"/>
  <c r="D821" i="1"/>
  <c r="E821" i="1"/>
  <c r="A822" i="1"/>
  <c r="B822" i="1"/>
  <c r="C822" i="1"/>
  <c r="D822" i="1"/>
  <c r="E822" i="1"/>
  <c r="A823" i="1"/>
  <c r="B823" i="1"/>
  <c r="C823" i="1"/>
  <c r="D823" i="1"/>
  <c r="E823" i="1"/>
  <c r="A824" i="1"/>
  <c r="B824" i="1"/>
  <c r="C824" i="1"/>
  <c r="D824" i="1"/>
  <c r="E824" i="1"/>
  <c r="A825" i="1"/>
  <c r="B825" i="1"/>
  <c r="C825" i="1"/>
  <c r="D825" i="1"/>
  <c r="E825" i="1"/>
  <c r="A826" i="1"/>
  <c r="B826" i="1"/>
  <c r="C826" i="1"/>
  <c r="D826" i="1"/>
  <c r="E826" i="1"/>
  <c r="A827" i="1"/>
  <c r="B827" i="1"/>
  <c r="C827" i="1"/>
  <c r="D827" i="1"/>
  <c r="E827" i="1"/>
  <c r="A828" i="1"/>
  <c r="B828" i="1"/>
  <c r="C828" i="1"/>
  <c r="D828" i="1"/>
  <c r="E828" i="1"/>
  <c r="A829" i="1"/>
  <c r="B829" i="1"/>
  <c r="C829" i="1"/>
  <c r="D829" i="1"/>
  <c r="E829" i="1"/>
  <c r="A830" i="1"/>
  <c r="B830" i="1"/>
  <c r="C830" i="1"/>
  <c r="D830" i="1"/>
  <c r="E830" i="1"/>
  <c r="A831" i="1"/>
  <c r="B831" i="1"/>
  <c r="C831" i="1"/>
  <c r="D831" i="1"/>
  <c r="E831" i="1"/>
  <c r="A832" i="1"/>
  <c r="B832" i="1"/>
  <c r="C832" i="1"/>
  <c r="D832" i="1"/>
  <c r="E832" i="1"/>
  <c r="A833" i="1"/>
  <c r="B833" i="1"/>
  <c r="C833" i="1"/>
  <c r="D833" i="1"/>
  <c r="E833" i="1"/>
  <c r="A834" i="1"/>
  <c r="B834" i="1"/>
  <c r="C834" i="1"/>
  <c r="D834" i="1"/>
  <c r="E834" i="1"/>
  <c r="A835" i="1"/>
  <c r="B835" i="1"/>
  <c r="C835" i="1"/>
  <c r="D835" i="1"/>
  <c r="E835" i="1"/>
  <c r="A836" i="1"/>
  <c r="B836" i="1"/>
  <c r="C836" i="1"/>
  <c r="D836" i="1"/>
  <c r="E836" i="1"/>
  <c r="A837" i="1"/>
  <c r="B837" i="1"/>
  <c r="C837" i="1"/>
  <c r="D837" i="1"/>
  <c r="E837" i="1"/>
  <c r="A838" i="1"/>
  <c r="B838" i="1"/>
  <c r="C838" i="1"/>
  <c r="D838" i="1"/>
  <c r="E838" i="1"/>
  <c r="A839" i="1"/>
  <c r="B839" i="1"/>
  <c r="C839" i="1"/>
  <c r="D839" i="1"/>
  <c r="E839" i="1"/>
  <c r="A840" i="1"/>
  <c r="B840" i="1"/>
  <c r="C840" i="1"/>
  <c r="D840" i="1"/>
  <c r="E840" i="1"/>
  <c r="A841" i="1"/>
  <c r="B841" i="1"/>
  <c r="C841" i="1"/>
  <c r="D841" i="1"/>
  <c r="E841" i="1"/>
  <c r="A842" i="1"/>
  <c r="B842" i="1"/>
  <c r="C842" i="1"/>
  <c r="D842" i="1"/>
  <c r="E842" i="1"/>
  <c r="A843" i="1"/>
  <c r="B843" i="1"/>
  <c r="C843" i="1"/>
  <c r="D843" i="1"/>
  <c r="E843" i="1"/>
  <c r="A844" i="1"/>
  <c r="B844" i="1"/>
  <c r="C844" i="1"/>
  <c r="D844" i="1"/>
  <c r="E844" i="1"/>
  <c r="A845" i="1"/>
  <c r="B845" i="1"/>
  <c r="C845" i="1"/>
  <c r="D845" i="1"/>
  <c r="E845" i="1"/>
  <c r="A846" i="1"/>
  <c r="B846" i="1"/>
  <c r="C846" i="1"/>
  <c r="D846" i="1"/>
  <c r="E846" i="1"/>
  <c r="A847" i="1"/>
  <c r="B847" i="1"/>
  <c r="C847" i="1"/>
  <c r="D847" i="1"/>
  <c r="E847" i="1"/>
  <c r="A848" i="1"/>
  <c r="B848" i="1"/>
  <c r="C848" i="1"/>
  <c r="D848" i="1"/>
  <c r="E848" i="1"/>
  <c r="A849" i="1"/>
  <c r="B849" i="1"/>
  <c r="C849" i="1"/>
  <c r="D849" i="1"/>
  <c r="E849" i="1"/>
  <c r="A850" i="1"/>
  <c r="B850" i="1"/>
  <c r="C850" i="1"/>
  <c r="D850" i="1"/>
  <c r="E850" i="1"/>
  <c r="A851" i="1"/>
  <c r="B851" i="1"/>
  <c r="C851" i="1"/>
  <c r="D851" i="1"/>
  <c r="E851" i="1"/>
  <c r="A852" i="1"/>
  <c r="B852" i="1"/>
  <c r="C852" i="1"/>
  <c r="D852" i="1"/>
  <c r="E852" i="1"/>
  <c r="A853" i="1"/>
  <c r="B853" i="1"/>
  <c r="C853" i="1"/>
  <c r="D853" i="1"/>
  <c r="E853" i="1"/>
  <c r="A854" i="1"/>
  <c r="B854" i="1"/>
  <c r="C854" i="1"/>
  <c r="D854" i="1"/>
  <c r="E854" i="1"/>
  <c r="A855" i="1"/>
  <c r="B855" i="1"/>
  <c r="C855" i="1"/>
  <c r="D855" i="1"/>
  <c r="E855" i="1"/>
  <c r="A856" i="1"/>
  <c r="B856" i="1"/>
  <c r="C856" i="1"/>
  <c r="D856" i="1"/>
  <c r="E856" i="1"/>
  <c r="A857" i="1"/>
  <c r="B857" i="1"/>
  <c r="C857" i="1"/>
  <c r="D857" i="1"/>
  <c r="E857" i="1"/>
  <c r="A858" i="1"/>
  <c r="B858" i="1"/>
  <c r="C858" i="1"/>
  <c r="D858" i="1"/>
  <c r="E858" i="1"/>
  <c r="A859" i="1"/>
  <c r="B859" i="1"/>
  <c r="C859" i="1"/>
  <c r="D859" i="1"/>
  <c r="E859" i="1"/>
  <c r="A860" i="1"/>
  <c r="B860" i="1"/>
  <c r="C860" i="1"/>
  <c r="D860" i="1"/>
  <c r="E860" i="1"/>
  <c r="A861" i="1"/>
  <c r="B861" i="1"/>
  <c r="C861" i="1"/>
  <c r="D861" i="1"/>
  <c r="E861" i="1"/>
  <c r="A862" i="1"/>
  <c r="B862" i="1"/>
  <c r="C862" i="1"/>
  <c r="D862" i="1"/>
  <c r="E862" i="1"/>
  <c r="A863" i="1"/>
  <c r="B863" i="1"/>
  <c r="C863" i="1"/>
  <c r="D863" i="1"/>
  <c r="E863" i="1"/>
  <c r="A864" i="1"/>
  <c r="B864" i="1"/>
  <c r="C864" i="1"/>
  <c r="D864" i="1"/>
  <c r="E864" i="1"/>
  <c r="A865" i="1"/>
  <c r="B865" i="1"/>
  <c r="C865" i="1"/>
  <c r="D865" i="1"/>
  <c r="E865" i="1"/>
  <c r="A866" i="1"/>
  <c r="B866" i="1"/>
  <c r="C866" i="1"/>
  <c r="D866" i="1"/>
  <c r="E866" i="1"/>
  <c r="A867" i="1"/>
  <c r="B867" i="1"/>
  <c r="C867" i="1"/>
  <c r="D867" i="1"/>
  <c r="E867" i="1"/>
  <c r="A868" i="1"/>
  <c r="B868" i="1"/>
  <c r="C868" i="1"/>
  <c r="D868" i="1"/>
  <c r="E868" i="1"/>
  <c r="A869" i="1"/>
  <c r="B869" i="1"/>
  <c r="C869" i="1"/>
  <c r="D869" i="1"/>
  <c r="E869" i="1"/>
  <c r="A870" i="1"/>
  <c r="B870" i="1"/>
  <c r="C870" i="1"/>
  <c r="D870" i="1"/>
  <c r="E870" i="1"/>
  <c r="A871" i="1"/>
  <c r="B871" i="1"/>
  <c r="C871" i="1"/>
  <c r="D871" i="1"/>
  <c r="E871" i="1"/>
  <c r="A872" i="1"/>
  <c r="B872" i="1"/>
  <c r="C872" i="1"/>
  <c r="D872" i="1"/>
  <c r="E872" i="1"/>
  <c r="A873" i="1"/>
  <c r="B873" i="1"/>
  <c r="C873" i="1"/>
  <c r="D873" i="1"/>
  <c r="E873" i="1"/>
  <c r="A874" i="1"/>
  <c r="B874" i="1"/>
  <c r="C874" i="1"/>
  <c r="D874" i="1"/>
  <c r="E874" i="1"/>
  <c r="A875" i="1"/>
  <c r="B875" i="1"/>
  <c r="C875" i="1"/>
  <c r="D875" i="1"/>
  <c r="E875" i="1"/>
  <c r="A876" i="1"/>
  <c r="B876" i="1"/>
  <c r="C876" i="1"/>
  <c r="D876" i="1"/>
  <c r="E876" i="1"/>
  <c r="A877" i="1"/>
  <c r="B877" i="1"/>
  <c r="C877" i="1"/>
  <c r="D877" i="1"/>
  <c r="E877" i="1"/>
  <c r="A878" i="1"/>
  <c r="B878" i="1"/>
  <c r="C878" i="1"/>
  <c r="D878" i="1"/>
  <c r="E878" i="1"/>
  <c r="A879" i="1"/>
  <c r="B879" i="1"/>
  <c r="C879" i="1"/>
  <c r="D879" i="1"/>
  <c r="E879" i="1"/>
  <c r="A880" i="1"/>
  <c r="B880" i="1"/>
  <c r="C880" i="1"/>
  <c r="D880" i="1"/>
  <c r="E880" i="1"/>
  <c r="A881" i="1"/>
  <c r="B881" i="1"/>
  <c r="C881" i="1"/>
  <c r="D881" i="1"/>
  <c r="E881" i="1"/>
  <c r="A882" i="1"/>
  <c r="B882" i="1"/>
  <c r="C882" i="1"/>
  <c r="D882" i="1"/>
  <c r="E882" i="1"/>
  <c r="A883" i="1"/>
  <c r="B883" i="1"/>
  <c r="C883" i="1"/>
  <c r="D883" i="1"/>
  <c r="E883" i="1"/>
  <c r="A884" i="1"/>
  <c r="B884" i="1"/>
  <c r="C884" i="1"/>
  <c r="D884" i="1"/>
  <c r="E884" i="1"/>
  <c r="A885" i="1"/>
  <c r="B885" i="1"/>
  <c r="C885" i="1"/>
  <c r="D885" i="1"/>
  <c r="E885" i="1"/>
  <c r="A886" i="1"/>
  <c r="B886" i="1"/>
  <c r="C886" i="1"/>
  <c r="D886" i="1"/>
  <c r="E886" i="1"/>
  <c r="A887" i="1"/>
  <c r="B887" i="1"/>
  <c r="C887" i="1"/>
  <c r="D887" i="1"/>
  <c r="E887" i="1"/>
  <c r="A888" i="1"/>
  <c r="B888" i="1"/>
  <c r="C888" i="1"/>
  <c r="D888" i="1"/>
  <c r="E888" i="1"/>
  <c r="A889" i="1"/>
  <c r="B889" i="1"/>
  <c r="C889" i="1"/>
  <c r="D889" i="1"/>
  <c r="E889" i="1"/>
  <c r="A890" i="1"/>
  <c r="B890" i="1"/>
  <c r="C890" i="1"/>
  <c r="D890" i="1"/>
  <c r="E890" i="1"/>
  <c r="A891" i="1"/>
  <c r="B891" i="1"/>
  <c r="C891" i="1"/>
  <c r="D891" i="1"/>
  <c r="E891" i="1"/>
  <c r="A892" i="1"/>
  <c r="B892" i="1"/>
  <c r="C892" i="1"/>
  <c r="D892" i="1"/>
  <c r="E892" i="1"/>
  <c r="A893" i="1"/>
  <c r="B893" i="1"/>
  <c r="C893" i="1"/>
  <c r="D893" i="1"/>
  <c r="E893" i="1"/>
  <c r="A894" i="1"/>
  <c r="B894" i="1"/>
  <c r="C894" i="1"/>
  <c r="D894" i="1"/>
  <c r="E894" i="1"/>
  <c r="A895" i="1"/>
  <c r="B895" i="1"/>
  <c r="C895" i="1"/>
  <c r="D895" i="1"/>
  <c r="E895" i="1"/>
  <c r="A896" i="1"/>
  <c r="B896" i="1"/>
  <c r="C896" i="1"/>
  <c r="D896" i="1"/>
  <c r="E896" i="1"/>
  <c r="A897" i="1"/>
  <c r="B897" i="1"/>
  <c r="C897" i="1"/>
  <c r="D897" i="1"/>
  <c r="E897" i="1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D415" i="5"/>
  <c r="E415" i="5"/>
  <c r="C416" i="5"/>
  <c r="D416" i="5"/>
  <c r="E416" i="5"/>
  <c r="C417" i="5"/>
  <c r="D417" i="5"/>
  <c r="E417" i="5"/>
  <c r="C418" i="5"/>
  <c r="D418" i="5"/>
  <c r="E418" i="5"/>
  <c r="C419" i="5"/>
  <c r="D419" i="5"/>
  <c r="E419" i="5"/>
  <c r="C420" i="5"/>
  <c r="D420" i="5"/>
  <c r="E420" i="5"/>
  <c r="C421" i="5"/>
  <c r="D421" i="5"/>
  <c r="E421" i="5"/>
  <c r="C422" i="5"/>
  <c r="C423" i="5"/>
  <c r="C424" i="5"/>
  <c r="C425" i="5"/>
  <c r="C426" i="5"/>
  <c r="C427" i="5"/>
  <c r="D427" i="5"/>
  <c r="C428" i="5"/>
  <c r="D428" i="5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R2" i="2"/>
  <c r="B3" i="4"/>
  <c r="B4" i="4"/>
  <c r="B5" i="4"/>
  <c r="D476" i="1" l="1"/>
  <c r="D267" i="1"/>
  <c r="D347" i="1"/>
  <c r="D445" i="1"/>
  <c r="D483" i="1"/>
  <c r="D506" i="1"/>
  <c r="D510" i="1"/>
  <c r="D459" i="1"/>
  <c r="D787" i="1"/>
  <c r="D280" i="1"/>
  <c r="D486" i="1"/>
  <c r="D500" i="1"/>
  <c r="D372" i="1"/>
  <c r="D468" i="1"/>
  <c r="D490" i="1"/>
  <c r="D277" i="1"/>
  <c r="D315" i="1"/>
  <c r="D335" i="1"/>
  <c r="D345" i="1"/>
  <c r="D350" i="1"/>
  <c r="D413" i="1"/>
  <c r="D415" i="1"/>
  <c r="D417" i="1"/>
  <c r="D428" i="1"/>
  <c r="D462" i="1"/>
  <c r="D99" i="1"/>
  <c r="D282" i="1"/>
  <c r="D426" i="1"/>
  <c r="D427" i="1"/>
  <c r="D429" i="1"/>
  <c r="D234" i="1"/>
  <c r="D487" i="1"/>
  <c r="K167" i="2"/>
  <c r="N167" i="2"/>
  <c r="O167" i="2"/>
  <c r="N279" i="2"/>
  <c r="O279" i="2"/>
  <c r="D265" i="1"/>
  <c r="D100" i="1"/>
  <c r="D497" i="1"/>
  <c r="D411" i="1"/>
  <c r="D786" i="1"/>
  <c r="D430" i="1"/>
  <c r="D448" i="1"/>
  <c r="D93" i="1"/>
  <c r="D75" i="1"/>
  <c r="D80" i="1"/>
  <c r="D89" i="1"/>
  <c r="D138" i="1"/>
  <c r="D94" i="1"/>
  <c r="D95" i="1"/>
  <c r="D281" i="1"/>
  <c r="D330" i="1"/>
  <c r="D346" i="1"/>
  <c r="D369" i="1"/>
  <c r="D375" i="1"/>
  <c r="D650" i="1"/>
  <c r="D643" i="1"/>
  <c r="D379" i="1"/>
  <c r="D387" i="1"/>
  <c r="D394" i="1"/>
  <c r="D396" i="1"/>
  <c r="D440" i="1"/>
  <c r="D441" i="1"/>
  <c r="D447" i="1"/>
  <c r="D464" i="1"/>
  <c r="D466" i="1"/>
  <c r="D467" i="1"/>
  <c r="D470" i="1"/>
  <c r="D473" i="1"/>
  <c r="D474" i="1"/>
  <c r="D477" i="1"/>
  <c r="D478" i="1"/>
  <c r="D480" i="1"/>
  <c r="D485" i="1"/>
  <c r="D493" i="1"/>
  <c r="K185" i="2"/>
  <c r="N185" i="2"/>
  <c r="K187" i="2"/>
  <c r="N187" i="2"/>
  <c r="O187" i="2"/>
  <c r="K191" i="2"/>
  <c r="N191" i="2"/>
  <c r="O191" i="2"/>
  <c r="N368" i="2"/>
  <c r="O368" i="2"/>
  <c r="D83" i="1"/>
  <c r="D501" i="1"/>
  <c r="D512" i="1"/>
  <c r="D297" i="1"/>
  <c r="D391" i="1"/>
  <c r="D495" i="1"/>
  <c r="K262" i="2"/>
  <c r="N262" i="2"/>
  <c r="O262" i="2"/>
  <c r="O270" i="2"/>
  <c r="K270" i="2"/>
  <c r="N270" i="2"/>
  <c r="K271" i="2"/>
  <c r="N271" i="2"/>
  <c r="O271" i="2"/>
  <c r="K276" i="2"/>
  <c r="N276" i="2"/>
  <c r="O276" i="2"/>
  <c r="K277" i="2"/>
  <c r="N277" i="2"/>
  <c r="K278" i="2"/>
  <c r="N278" i="2"/>
  <c r="O278" i="2"/>
  <c r="N367" i="2"/>
  <c r="O367" i="2"/>
  <c r="D284" i="1"/>
  <c r="D288" i="1"/>
  <c r="D292" i="1"/>
  <c r="D298" i="1"/>
  <c r="D303" i="1"/>
  <c r="D316" i="1"/>
  <c r="D318" i="1"/>
  <c r="D326" i="1"/>
  <c r="D334" i="1"/>
  <c r="D336" i="1"/>
  <c r="D344" i="1"/>
  <c r="D422" i="1"/>
  <c r="D442" i="1"/>
  <c r="D444" i="1"/>
  <c r="D461" i="1"/>
  <c r="D472" i="1"/>
  <c r="D377" i="1"/>
  <c r="D397" i="1"/>
  <c r="D274" i="1"/>
  <c r="D275" i="1"/>
  <c r="D287" i="1"/>
  <c r="D304" i="1"/>
  <c r="D306" i="1"/>
  <c r="D324" i="1"/>
  <c r="D341" i="1"/>
  <c r="D408" i="1"/>
  <c r="D409" i="1"/>
  <c r="D414" i="1"/>
  <c r="D423" i="1"/>
  <c r="D439" i="1"/>
  <c r="D446" i="1"/>
  <c r="D450" i="1"/>
  <c r="D455" i="1"/>
  <c r="D458" i="1"/>
  <c r="D471" i="1"/>
  <c r="D484" i="1"/>
  <c r="K189" i="2"/>
  <c r="N189" i="2"/>
  <c r="O189" i="2"/>
  <c r="K192" i="2"/>
  <c r="N192" i="2"/>
  <c r="O192" i="2"/>
  <c r="K269" i="2"/>
  <c r="N269" i="2"/>
  <c r="O269" i="2"/>
  <c r="K275" i="2"/>
  <c r="N275" i="2"/>
  <c r="O275" i="2"/>
  <c r="K387" i="2"/>
  <c r="N387" i="2"/>
  <c r="K388" i="2"/>
  <c r="N388" i="2"/>
  <c r="O388" i="2"/>
  <c r="K410" i="2"/>
  <c r="N410" i="2"/>
  <c r="O410" i="2"/>
  <c r="K413" i="2"/>
  <c r="N413" i="2"/>
  <c r="O413" i="2"/>
  <c r="K426" i="2"/>
  <c r="N426" i="2"/>
  <c r="O426" i="2"/>
  <c r="D28" i="1"/>
  <c r="D31" i="1"/>
  <c r="D34" i="1"/>
  <c r="D35" i="1"/>
  <c r="D40" i="1"/>
  <c r="D42" i="1"/>
  <c r="D51" i="1"/>
  <c r="D53" i="1"/>
  <c r="D3" i="1"/>
  <c r="D5" i="1"/>
  <c r="D12" i="1"/>
  <c r="D13" i="1"/>
  <c r="D14" i="1"/>
  <c r="D15" i="1"/>
  <c r="D18" i="1"/>
  <c r="D21" i="1"/>
  <c r="D22" i="1"/>
  <c r="D302" i="1"/>
  <c r="D381" i="1"/>
  <c r="D98" i="1"/>
  <c r="D101" i="1"/>
  <c r="D103" i="1"/>
  <c r="D108" i="1"/>
  <c r="D116" i="1"/>
  <c r="D123" i="1"/>
  <c r="D294" i="1"/>
  <c r="D342" i="1"/>
  <c r="D380" i="1"/>
  <c r="D389" i="1"/>
  <c r="D390" i="1"/>
  <c r="D348" i="1"/>
  <c r="D365" i="1"/>
  <c r="D366" i="1"/>
  <c r="D373" i="1"/>
  <c r="D374" i="1"/>
  <c r="D339" i="1"/>
  <c r="D340" i="1"/>
  <c r="D385" i="1"/>
  <c r="K165" i="2"/>
  <c r="N165" i="2"/>
  <c r="O165" i="2"/>
  <c r="K186" i="2"/>
  <c r="N186" i="2"/>
  <c r="O186" i="2"/>
  <c r="K190" i="2"/>
  <c r="N190" i="2"/>
  <c r="O190" i="2"/>
  <c r="K193" i="2"/>
  <c r="N193" i="2"/>
  <c r="O193" i="2"/>
  <c r="K200" i="2"/>
  <c r="N200" i="2"/>
  <c r="O200" i="2"/>
  <c r="J5" i="2"/>
  <c r="M5" i="2"/>
  <c r="J7" i="2"/>
  <c r="M7" i="2"/>
  <c r="J8" i="2"/>
  <c r="M8" i="2"/>
  <c r="K76" i="2"/>
  <c r="O76" i="2"/>
  <c r="N76" i="2"/>
  <c r="K77" i="2"/>
  <c r="N77" i="2"/>
  <c r="O77" i="2"/>
  <c r="O78" i="2"/>
  <c r="N78" i="2"/>
  <c r="K78" i="2"/>
  <c r="K79" i="2"/>
  <c r="O79" i="2"/>
  <c r="N79" i="2"/>
  <c r="N80" i="2"/>
  <c r="K80" i="2"/>
  <c r="O80" i="2"/>
  <c r="J96" i="2"/>
  <c r="M96" i="2"/>
  <c r="K134" i="2"/>
  <c r="N134" i="2"/>
  <c r="O134" i="2"/>
  <c r="K141" i="2"/>
  <c r="O141" i="2"/>
  <c r="N141" i="2"/>
  <c r="N145" i="2"/>
  <c r="O145" i="2"/>
  <c r="K145" i="2"/>
  <c r="N146" i="2"/>
  <c r="O146" i="2"/>
  <c r="K146" i="2"/>
  <c r="N148" i="2"/>
  <c r="K148" i="2"/>
  <c r="O148" i="2"/>
  <c r="K149" i="2"/>
  <c r="O149" i="2"/>
  <c r="N149" i="2"/>
  <c r="O150" i="2"/>
  <c r="N150" i="2"/>
  <c r="K150" i="2"/>
  <c r="K152" i="2"/>
  <c r="N152" i="2"/>
  <c r="O152" i="2"/>
  <c r="N153" i="2"/>
  <c r="K153" i="2"/>
  <c r="O153" i="2"/>
  <c r="O156" i="2"/>
  <c r="N156" i="2"/>
  <c r="K156" i="2"/>
  <c r="O157" i="2"/>
  <c r="N157" i="2"/>
  <c r="K157" i="2"/>
  <c r="O161" i="2"/>
  <c r="N161" i="2"/>
  <c r="K161" i="2"/>
  <c r="O164" i="2"/>
  <c r="N164" i="2"/>
  <c r="K164" i="2"/>
  <c r="K166" i="2"/>
  <c r="N166" i="2"/>
  <c r="J168" i="2"/>
  <c r="M168" i="2"/>
  <c r="K169" i="2"/>
  <c r="N169" i="2"/>
  <c r="O169" i="2"/>
  <c r="J171" i="2"/>
  <c r="M171" i="2"/>
  <c r="J172" i="2"/>
  <c r="M172" i="2"/>
  <c r="O215" i="2"/>
  <c r="N215" i="2"/>
  <c r="K215" i="2"/>
  <c r="K217" i="2"/>
  <c r="N217" i="2"/>
  <c r="O217" i="2"/>
  <c r="N218" i="2"/>
  <c r="K218" i="2"/>
  <c r="O218" i="2"/>
  <c r="N219" i="2"/>
  <c r="K219" i="2"/>
  <c r="O219" i="2"/>
  <c r="O220" i="2"/>
  <c r="N220" i="2"/>
  <c r="K220" i="2"/>
  <c r="O222" i="2"/>
  <c r="N222" i="2"/>
  <c r="K222" i="2"/>
  <c r="O223" i="2"/>
  <c r="N223" i="2"/>
  <c r="K223" i="2"/>
  <c r="O224" i="2"/>
  <c r="N224" i="2"/>
  <c r="K224" i="2"/>
  <c r="N225" i="2"/>
  <c r="K225" i="2"/>
  <c r="O225" i="2"/>
  <c r="N226" i="2"/>
  <c r="O226" i="2"/>
  <c r="K226" i="2"/>
  <c r="O228" i="2"/>
  <c r="N228" i="2"/>
  <c r="K228" i="2"/>
  <c r="J229" i="2"/>
  <c r="M229" i="2"/>
  <c r="N230" i="2"/>
  <c r="O230" i="2"/>
  <c r="K230" i="2"/>
  <c r="O231" i="2"/>
  <c r="N231" i="2"/>
  <c r="K231" i="2"/>
  <c r="M232" i="2"/>
  <c r="J232" i="2"/>
  <c r="J233" i="2"/>
  <c r="M233" i="2"/>
  <c r="J234" i="2"/>
  <c r="M234" i="2"/>
  <c r="J235" i="2"/>
  <c r="M235" i="2"/>
  <c r="N236" i="2"/>
  <c r="O236" i="2"/>
  <c r="K236" i="2"/>
  <c r="O237" i="2"/>
  <c r="N237" i="2"/>
  <c r="K237" i="2"/>
  <c r="N238" i="2"/>
  <c r="K238" i="2"/>
  <c r="O238" i="2"/>
  <c r="O239" i="2"/>
  <c r="N239" i="2"/>
  <c r="K239" i="2"/>
  <c r="K244" i="2"/>
  <c r="O244" i="2"/>
  <c r="N244" i="2"/>
  <c r="O245" i="2"/>
  <c r="N245" i="2"/>
  <c r="K245" i="2"/>
  <c r="O248" i="2"/>
  <c r="N248" i="2"/>
  <c r="K248" i="2"/>
  <c r="O254" i="2"/>
  <c r="N254" i="2"/>
  <c r="K254" i="2"/>
  <c r="O255" i="2"/>
  <c r="N255" i="2"/>
  <c r="K255" i="2"/>
  <c r="K256" i="2"/>
  <c r="O256" i="2"/>
  <c r="N256" i="2"/>
  <c r="K257" i="2"/>
  <c r="O257" i="2"/>
  <c r="N257" i="2"/>
  <c r="K260" i="2"/>
  <c r="O260" i="2"/>
  <c r="N260" i="2"/>
  <c r="N261" i="2"/>
  <c r="K261" i="2"/>
  <c r="O263" i="2"/>
  <c r="N263" i="2"/>
  <c r="K263" i="2"/>
  <c r="O264" i="2"/>
  <c r="K264" i="2"/>
  <c r="N264" i="2"/>
  <c r="J265" i="2"/>
  <c r="M265" i="2"/>
  <c r="K266" i="2"/>
  <c r="O266" i="2"/>
  <c r="N266" i="2"/>
  <c r="K267" i="2"/>
  <c r="N267" i="2"/>
  <c r="N268" i="2"/>
  <c r="O268" i="2"/>
  <c r="K268" i="2"/>
  <c r="O287" i="2"/>
  <c r="K287" i="2"/>
  <c r="O288" i="2"/>
  <c r="N288" i="2"/>
  <c r="K288" i="2"/>
  <c r="K289" i="2"/>
  <c r="N289" i="2"/>
  <c r="O291" i="2"/>
  <c r="N291" i="2"/>
  <c r="K291" i="2"/>
  <c r="K292" i="2"/>
  <c r="O292" i="2"/>
  <c r="N292" i="2"/>
  <c r="N293" i="2"/>
  <c r="O293" i="2"/>
  <c r="K293" i="2"/>
  <c r="K295" i="2"/>
  <c r="N295" i="2"/>
  <c r="N298" i="2"/>
  <c r="O298" i="2"/>
  <c r="K298" i="2"/>
  <c r="O300" i="2"/>
  <c r="K300" i="2"/>
  <c r="N300" i="2"/>
  <c r="M301" i="2"/>
  <c r="J301" i="2"/>
  <c r="J302" i="2"/>
  <c r="M302" i="2"/>
  <c r="J303" i="2"/>
  <c r="M303" i="2"/>
  <c r="J304" i="2"/>
  <c r="M304" i="2"/>
  <c r="K305" i="2"/>
  <c r="O305" i="2"/>
  <c r="N305" i="2"/>
  <c r="J306" i="2"/>
  <c r="M306" i="2"/>
  <c r="K308" i="2"/>
  <c r="N308" i="2"/>
  <c r="O308" i="2"/>
  <c r="K310" i="2"/>
  <c r="N310" i="2"/>
  <c r="O310" i="2"/>
  <c r="J314" i="2"/>
  <c r="M314" i="2"/>
  <c r="K322" i="2"/>
  <c r="N322" i="2"/>
  <c r="O322" i="2"/>
  <c r="J327" i="2"/>
  <c r="M327" i="2"/>
  <c r="J332" i="2"/>
  <c r="M332" i="2"/>
  <c r="O334" i="2"/>
  <c r="N334" i="2"/>
  <c r="K334" i="2"/>
  <c r="M336" i="2"/>
  <c r="J336" i="2"/>
  <c r="N337" i="2"/>
  <c r="O337" i="2"/>
  <c r="K337" i="2"/>
  <c r="K340" i="2"/>
  <c r="N340" i="2"/>
  <c r="O340" i="2"/>
  <c r="O341" i="2"/>
  <c r="N341" i="2"/>
  <c r="K341" i="2"/>
  <c r="O349" i="2"/>
  <c r="N349" i="2"/>
  <c r="K349" i="2"/>
  <c r="N355" i="2"/>
  <c r="O355" i="2"/>
  <c r="K355" i="2"/>
  <c r="O356" i="2"/>
  <c r="N356" i="2"/>
  <c r="K356" i="2"/>
  <c r="O359" i="2"/>
  <c r="K359" i="2"/>
  <c r="N359" i="2"/>
  <c r="O360" i="2"/>
  <c r="N360" i="2"/>
  <c r="K360" i="2"/>
  <c r="K361" i="2"/>
  <c r="N361" i="2"/>
  <c r="O361" i="2"/>
  <c r="O363" i="2"/>
  <c r="N363" i="2"/>
  <c r="K363" i="2"/>
  <c r="N380" i="2"/>
  <c r="O380" i="2"/>
  <c r="K380" i="2"/>
  <c r="K390" i="2"/>
  <c r="O390" i="2"/>
  <c r="N390" i="2"/>
  <c r="K394" i="2"/>
  <c r="N394" i="2"/>
  <c r="O394" i="2"/>
  <c r="J400" i="2"/>
  <c r="M400" i="2"/>
  <c r="J404" i="2"/>
  <c r="M404" i="2"/>
  <c r="O408" i="2"/>
  <c r="N408" i="2"/>
  <c r="K408" i="2"/>
  <c r="O409" i="2"/>
  <c r="N409" i="2"/>
  <c r="K409" i="2"/>
  <c r="K411" i="2"/>
  <c r="N411" i="2"/>
  <c r="O411" i="2"/>
  <c r="O414" i="2"/>
  <c r="N414" i="2"/>
  <c r="K414" i="2"/>
  <c r="J415" i="2"/>
  <c r="M415" i="2"/>
  <c r="J416" i="2"/>
  <c r="M416" i="2"/>
  <c r="O417" i="2"/>
  <c r="K417" i="2"/>
  <c r="N417" i="2"/>
  <c r="N418" i="2"/>
  <c r="O418" i="2"/>
  <c r="K418" i="2"/>
  <c r="J419" i="2"/>
  <c r="M419" i="2"/>
  <c r="J422" i="2"/>
  <c r="M422" i="2"/>
  <c r="O423" i="2"/>
  <c r="N423" i="2"/>
  <c r="K423" i="2"/>
  <c r="M424" i="2"/>
  <c r="J424" i="2"/>
  <c r="O427" i="2"/>
  <c r="N427" i="2"/>
  <c r="K427" i="2"/>
  <c r="N4" i="2"/>
  <c r="K4" i="2"/>
  <c r="O4" i="2"/>
  <c r="O6" i="2"/>
  <c r="N6" i="2"/>
  <c r="K6" i="2"/>
  <c r="J9" i="2"/>
  <c r="M9" i="2"/>
  <c r="K10" i="2"/>
  <c r="O10" i="2"/>
  <c r="N10" i="2"/>
  <c r="O11" i="2"/>
  <c r="K11" i="2"/>
  <c r="N11" i="2"/>
  <c r="O12" i="2"/>
  <c r="N12" i="2"/>
  <c r="K12" i="2"/>
  <c r="N13" i="2"/>
  <c r="K13" i="2"/>
  <c r="O13" i="2"/>
  <c r="N14" i="2"/>
  <c r="O14" i="2"/>
  <c r="K14" i="2"/>
  <c r="O15" i="2"/>
  <c r="K15" i="2"/>
  <c r="N15" i="2"/>
  <c r="K16" i="2"/>
  <c r="N16" i="2"/>
  <c r="O16" i="2"/>
  <c r="K17" i="2"/>
  <c r="N17" i="2"/>
  <c r="O17" i="2"/>
  <c r="O18" i="2"/>
  <c r="K18" i="2"/>
  <c r="N18" i="2"/>
  <c r="O19" i="2"/>
  <c r="N19" i="2"/>
  <c r="K19" i="2"/>
  <c r="O20" i="2"/>
  <c r="K20" i="2"/>
  <c r="N20" i="2"/>
  <c r="O21" i="2"/>
  <c r="K21" i="2"/>
  <c r="N21" i="2"/>
  <c r="O22" i="2"/>
  <c r="K22" i="2"/>
  <c r="N22" i="2"/>
  <c r="J23" i="2"/>
  <c r="M23" i="2"/>
  <c r="O24" i="2"/>
  <c r="K24" i="2"/>
  <c r="N24" i="2"/>
  <c r="K25" i="2"/>
  <c r="N25" i="2"/>
  <c r="O25" i="2"/>
  <c r="K26" i="2"/>
  <c r="O26" i="2"/>
  <c r="N26" i="2"/>
  <c r="O27" i="2"/>
  <c r="N27" i="2"/>
  <c r="K27" i="2"/>
  <c r="O28" i="2"/>
  <c r="K28" i="2"/>
  <c r="N28" i="2"/>
  <c r="O29" i="2"/>
  <c r="N29" i="2"/>
  <c r="K29" i="2"/>
  <c r="O30" i="2"/>
  <c r="N30" i="2"/>
  <c r="K30" i="2"/>
  <c r="O31" i="2"/>
  <c r="N31" i="2"/>
  <c r="K31" i="2"/>
  <c r="O32" i="2"/>
  <c r="N32" i="2"/>
  <c r="K32" i="2"/>
  <c r="K33" i="2"/>
  <c r="O33" i="2"/>
  <c r="N33" i="2"/>
  <c r="K34" i="2"/>
  <c r="N34" i="2"/>
  <c r="O34" i="2"/>
  <c r="K35" i="2"/>
  <c r="O35" i="2"/>
  <c r="N35" i="2"/>
  <c r="K36" i="2"/>
  <c r="N36" i="2"/>
  <c r="O36" i="2"/>
  <c r="O37" i="2"/>
  <c r="N37" i="2"/>
  <c r="K37" i="2"/>
  <c r="O38" i="2"/>
  <c r="N38" i="2"/>
  <c r="K38" i="2"/>
  <c r="K39" i="2"/>
  <c r="O39" i="2"/>
  <c r="N39" i="2"/>
  <c r="O40" i="2"/>
  <c r="N40" i="2"/>
  <c r="K40" i="2"/>
  <c r="N41" i="2"/>
  <c r="K41" i="2"/>
  <c r="O41" i="2"/>
  <c r="O42" i="2"/>
  <c r="K42" i="2"/>
  <c r="N42" i="2"/>
  <c r="K43" i="2"/>
  <c r="N43" i="2"/>
  <c r="O43" i="2"/>
  <c r="O44" i="2"/>
  <c r="N44" i="2"/>
  <c r="K44" i="2"/>
  <c r="K45" i="2"/>
  <c r="N45" i="2"/>
  <c r="O45" i="2"/>
  <c r="N46" i="2"/>
  <c r="O46" i="2"/>
  <c r="K46" i="2"/>
  <c r="N47" i="2"/>
  <c r="K47" i="2"/>
  <c r="O47" i="2"/>
  <c r="O48" i="2"/>
  <c r="N48" i="2"/>
  <c r="K48" i="2"/>
  <c r="N49" i="2"/>
  <c r="K49" i="2"/>
  <c r="O49" i="2"/>
  <c r="K50" i="2"/>
  <c r="N50" i="2"/>
  <c r="O50" i="2"/>
  <c r="N51" i="2"/>
  <c r="K51" i="2"/>
  <c r="O51" i="2"/>
  <c r="O52" i="2"/>
  <c r="N52" i="2"/>
  <c r="K52" i="2"/>
  <c r="K53" i="2"/>
  <c r="N53" i="2"/>
  <c r="O53" i="2"/>
  <c r="O54" i="2"/>
  <c r="N54" i="2"/>
  <c r="K54" i="2"/>
  <c r="N55" i="2"/>
  <c r="K55" i="2"/>
  <c r="O55" i="2"/>
  <c r="K56" i="2"/>
  <c r="O56" i="2"/>
  <c r="N56" i="2"/>
  <c r="N57" i="2"/>
  <c r="K57" i="2"/>
  <c r="O57" i="2"/>
  <c r="K58" i="2"/>
  <c r="N58" i="2"/>
  <c r="O58" i="2"/>
  <c r="O59" i="2"/>
  <c r="N59" i="2"/>
  <c r="K59" i="2"/>
  <c r="O60" i="2"/>
  <c r="N60" i="2"/>
  <c r="K60" i="2"/>
  <c r="N61" i="2"/>
  <c r="K61" i="2"/>
  <c r="O61" i="2"/>
  <c r="K62" i="2"/>
  <c r="O62" i="2"/>
  <c r="N62" i="2"/>
  <c r="O63" i="2"/>
  <c r="K63" i="2"/>
  <c r="N63" i="2"/>
  <c r="K64" i="2"/>
  <c r="N64" i="2"/>
  <c r="O64" i="2"/>
  <c r="O65" i="2"/>
  <c r="K65" i="2"/>
  <c r="N65" i="2"/>
  <c r="O66" i="2"/>
  <c r="K66" i="2"/>
  <c r="N66" i="2"/>
  <c r="O67" i="2"/>
  <c r="N67" i="2"/>
  <c r="K67" i="2"/>
  <c r="K68" i="2"/>
  <c r="O68" i="2"/>
  <c r="N68" i="2"/>
  <c r="O69" i="2"/>
  <c r="N69" i="2"/>
  <c r="K69" i="2"/>
  <c r="O70" i="2"/>
  <c r="K70" i="2"/>
  <c r="N70" i="2"/>
  <c r="O71" i="2"/>
  <c r="N71" i="2"/>
  <c r="K71" i="2"/>
  <c r="O72" i="2"/>
  <c r="N72" i="2"/>
  <c r="K72" i="2"/>
  <c r="O73" i="2"/>
  <c r="N73" i="2"/>
  <c r="K73" i="2"/>
  <c r="O74" i="2"/>
  <c r="N74" i="2"/>
  <c r="K74" i="2"/>
  <c r="O81" i="2"/>
  <c r="N81" i="2"/>
  <c r="K81" i="2"/>
  <c r="O82" i="2"/>
  <c r="K82" i="2"/>
  <c r="N82" i="2"/>
  <c r="O83" i="2"/>
  <c r="N83" i="2"/>
  <c r="K83" i="2"/>
  <c r="O84" i="2"/>
  <c r="N84" i="2"/>
  <c r="K84" i="2"/>
  <c r="O85" i="2"/>
  <c r="K85" i="2"/>
  <c r="N85" i="2"/>
  <c r="N86" i="2"/>
  <c r="O86" i="2"/>
  <c r="K86" i="2"/>
  <c r="O87" i="2"/>
  <c r="N87" i="2"/>
  <c r="K87" i="2"/>
  <c r="O88" i="2"/>
  <c r="N88" i="2"/>
  <c r="K88" i="2"/>
  <c r="O89" i="2"/>
  <c r="N89" i="2"/>
  <c r="K89" i="2"/>
  <c r="O90" i="2"/>
  <c r="K90" i="2"/>
  <c r="N90" i="2"/>
  <c r="O91" i="2"/>
  <c r="N91" i="2"/>
  <c r="K91" i="2"/>
  <c r="N92" i="2"/>
  <c r="K92" i="2"/>
  <c r="O92" i="2"/>
  <c r="N93" i="2"/>
  <c r="O93" i="2"/>
  <c r="K93" i="2"/>
  <c r="O94" i="2"/>
  <c r="N94" i="2"/>
  <c r="K94" i="2"/>
  <c r="N95" i="2"/>
  <c r="K95" i="2"/>
  <c r="O95" i="2"/>
  <c r="K96" i="2"/>
  <c r="O96" i="2"/>
  <c r="N96" i="2"/>
  <c r="O97" i="2"/>
  <c r="N97" i="2"/>
  <c r="K97" i="2"/>
  <c r="O98" i="2"/>
  <c r="N98" i="2"/>
  <c r="K98" i="2"/>
  <c r="K99" i="2"/>
  <c r="O99" i="2"/>
  <c r="N99" i="2"/>
  <c r="K100" i="2"/>
  <c r="O100" i="2"/>
  <c r="N100" i="2"/>
  <c r="O101" i="2"/>
  <c r="N101" i="2"/>
  <c r="K101" i="2"/>
  <c r="O102" i="2"/>
  <c r="K102" i="2"/>
  <c r="N102" i="2"/>
  <c r="O103" i="2"/>
  <c r="N103" i="2"/>
  <c r="K103" i="2"/>
  <c r="N104" i="2"/>
  <c r="K104" i="2"/>
  <c r="O104" i="2"/>
  <c r="N105" i="2"/>
  <c r="O105" i="2"/>
  <c r="K105" i="2"/>
  <c r="O106" i="2"/>
  <c r="K106" i="2"/>
  <c r="N106" i="2"/>
  <c r="O107" i="2"/>
  <c r="N107" i="2"/>
  <c r="K107" i="2"/>
  <c r="N108" i="2"/>
  <c r="O108" i="2"/>
  <c r="K108" i="2"/>
  <c r="O109" i="2"/>
  <c r="N109" i="2"/>
  <c r="K109" i="2"/>
  <c r="N110" i="2"/>
  <c r="K110" i="2"/>
  <c r="O110" i="2"/>
  <c r="K111" i="2"/>
  <c r="N111" i="2"/>
  <c r="O111" i="2"/>
  <c r="O112" i="2"/>
  <c r="N112" i="2"/>
  <c r="K112" i="2"/>
  <c r="K113" i="2"/>
  <c r="N113" i="2"/>
  <c r="O113" i="2"/>
  <c r="K114" i="2"/>
  <c r="N114" i="2"/>
  <c r="O114" i="2"/>
  <c r="K115" i="2"/>
  <c r="O115" i="2"/>
  <c r="N115" i="2"/>
  <c r="O116" i="2"/>
  <c r="N116" i="2"/>
  <c r="K116" i="2"/>
  <c r="O117" i="2"/>
  <c r="K117" i="2"/>
  <c r="N117" i="2"/>
  <c r="K118" i="2"/>
  <c r="N118" i="2"/>
  <c r="O118" i="2"/>
  <c r="K119" i="2"/>
  <c r="N119" i="2"/>
  <c r="O119" i="2"/>
  <c r="O120" i="2"/>
  <c r="N120" i="2"/>
  <c r="K120" i="2"/>
  <c r="K121" i="2"/>
  <c r="N121" i="2"/>
  <c r="O121" i="2"/>
  <c r="N122" i="2"/>
  <c r="K122" i="2"/>
  <c r="O122" i="2"/>
  <c r="O123" i="2"/>
  <c r="N123" i="2"/>
  <c r="K123" i="2"/>
  <c r="O124" i="2"/>
  <c r="N124" i="2"/>
  <c r="K124" i="2"/>
  <c r="K125" i="2"/>
  <c r="N125" i="2"/>
  <c r="O125" i="2"/>
  <c r="K126" i="2"/>
  <c r="O126" i="2"/>
  <c r="N126" i="2"/>
  <c r="O127" i="2"/>
  <c r="N127" i="2"/>
  <c r="K127" i="2"/>
  <c r="K128" i="2"/>
  <c r="O128" i="2"/>
  <c r="N128" i="2"/>
  <c r="K129" i="2"/>
  <c r="N129" i="2"/>
  <c r="O129" i="2"/>
  <c r="J131" i="2"/>
  <c r="M131" i="2"/>
  <c r="J132" i="2"/>
  <c r="M132" i="2"/>
  <c r="O133" i="2"/>
  <c r="K133" i="2"/>
  <c r="N133" i="2"/>
  <c r="O135" i="2"/>
  <c r="N135" i="2"/>
  <c r="K135" i="2"/>
  <c r="J136" i="2"/>
  <c r="M136" i="2"/>
  <c r="K138" i="2"/>
  <c r="O138" i="2"/>
  <c r="N138" i="2"/>
  <c r="O139" i="2"/>
  <c r="N139" i="2"/>
  <c r="K139" i="2"/>
  <c r="K142" i="2"/>
  <c r="N142" i="2"/>
  <c r="O142" i="2"/>
  <c r="O144" i="2"/>
  <c r="N144" i="2"/>
  <c r="K144" i="2"/>
  <c r="O170" i="2"/>
  <c r="N170" i="2"/>
  <c r="K170" i="2"/>
  <c r="O173" i="2"/>
  <c r="N173" i="2"/>
  <c r="K173" i="2"/>
  <c r="K174" i="2"/>
  <c r="O174" i="2"/>
  <c r="N174" i="2"/>
  <c r="O175" i="2"/>
  <c r="N175" i="2"/>
  <c r="K175" i="2"/>
  <c r="K176" i="2"/>
  <c r="O176" i="2"/>
  <c r="N176" i="2"/>
  <c r="N177" i="2"/>
  <c r="O177" i="2"/>
  <c r="K177" i="2"/>
  <c r="O178" i="2"/>
  <c r="N178" i="2"/>
  <c r="K178" i="2"/>
  <c r="K179" i="2"/>
  <c r="N179" i="2"/>
  <c r="O179" i="2"/>
  <c r="K180" i="2"/>
  <c r="O180" i="2"/>
  <c r="N180" i="2"/>
  <c r="N181" i="2"/>
  <c r="K181" i="2"/>
  <c r="O181" i="2"/>
  <c r="K183" i="2"/>
  <c r="N183" i="2"/>
  <c r="O183" i="2"/>
  <c r="O194" i="2"/>
  <c r="N194" i="2"/>
  <c r="K194" i="2"/>
  <c r="O196" i="2"/>
  <c r="N196" i="2"/>
  <c r="K196" i="2"/>
  <c r="O199" i="2"/>
  <c r="N199" i="2"/>
  <c r="K199" i="2"/>
  <c r="N201" i="2"/>
  <c r="K201" i="2"/>
  <c r="O201" i="2"/>
  <c r="K203" i="2"/>
  <c r="O203" i="2"/>
  <c r="N203" i="2"/>
  <c r="O205" i="2"/>
  <c r="N205" i="2"/>
  <c r="K205" i="2"/>
  <c r="O211" i="2"/>
  <c r="N211" i="2"/>
  <c r="K211" i="2"/>
  <c r="O213" i="2"/>
  <c r="N213" i="2"/>
  <c r="K213" i="2"/>
  <c r="J216" i="2"/>
  <c r="M216" i="2"/>
  <c r="O240" i="2"/>
  <c r="N240" i="2"/>
  <c r="K240" i="2"/>
  <c r="K242" i="2"/>
  <c r="N242" i="2"/>
  <c r="O242" i="2"/>
  <c r="O243" i="2"/>
  <c r="N243" i="2"/>
  <c r="K243" i="2"/>
  <c r="O246" i="2"/>
  <c r="N246" i="2"/>
  <c r="K246" i="2"/>
  <c r="K249" i="2"/>
  <c r="O249" i="2"/>
  <c r="N249" i="2"/>
  <c r="O250" i="2"/>
  <c r="N250" i="2"/>
  <c r="K250" i="2"/>
  <c r="O251" i="2"/>
  <c r="N251" i="2"/>
  <c r="K251" i="2"/>
  <c r="O252" i="2"/>
  <c r="K252" i="2"/>
  <c r="N252" i="2"/>
  <c r="O259" i="2"/>
  <c r="K259" i="2"/>
  <c r="N259" i="2"/>
  <c r="O274" i="2"/>
  <c r="N274" i="2"/>
  <c r="K274" i="2"/>
  <c r="O280" i="2"/>
  <c r="N280" i="2"/>
  <c r="K280" i="2"/>
  <c r="O284" i="2"/>
  <c r="N284" i="2"/>
  <c r="K284" i="2"/>
  <c r="O285" i="2"/>
  <c r="N285" i="2"/>
  <c r="K285" i="2"/>
  <c r="O286" i="2"/>
  <c r="N286" i="2"/>
  <c r="K286" i="2"/>
  <c r="O307" i="2"/>
  <c r="K307" i="2"/>
  <c r="N307" i="2"/>
  <c r="O311" i="2"/>
  <c r="N311" i="2"/>
  <c r="K311" i="2"/>
  <c r="O312" i="2"/>
  <c r="K312" i="2"/>
  <c r="N312" i="2"/>
  <c r="O313" i="2"/>
  <c r="N313" i="2"/>
  <c r="K313" i="2"/>
  <c r="J317" i="2"/>
  <c r="M317" i="2"/>
  <c r="O318" i="2"/>
  <c r="K318" i="2"/>
  <c r="N318" i="2"/>
  <c r="N319" i="2"/>
  <c r="O319" i="2"/>
  <c r="K319" i="2"/>
  <c r="O320" i="2"/>
  <c r="N320" i="2"/>
  <c r="K320" i="2"/>
  <c r="O321" i="2"/>
  <c r="N321" i="2"/>
  <c r="K321" i="2"/>
  <c r="O324" i="2"/>
  <c r="N324" i="2"/>
  <c r="K324" i="2"/>
  <c r="O325" i="2"/>
  <c r="N325" i="2"/>
  <c r="K325" i="2"/>
  <c r="O326" i="2"/>
  <c r="K326" i="2"/>
  <c r="N326" i="2"/>
  <c r="O328" i="2"/>
  <c r="N328" i="2"/>
  <c r="K328" i="2"/>
  <c r="O329" i="2"/>
  <c r="K329" i="2"/>
  <c r="N329" i="2"/>
  <c r="O331" i="2"/>
  <c r="N331" i="2"/>
  <c r="K331" i="2"/>
  <c r="O333" i="2"/>
  <c r="N333" i="2"/>
  <c r="K333" i="2"/>
  <c r="O338" i="2"/>
  <c r="N338" i="2"/>
  <c r="K338" i="2"/>
  <c r="K343" i="2"/>
  <c r="O343" i="2"/>
  <c r="N343" i="2"/>
  <c r="K344" i="2"/>
  <c r="O344" i="2"/>
  <c r="N344" i="2"/>
  <c r="N347" i="2"/>
  <c r="O347" i="2"/>
  <c r="K347" i="2"/>
  <c r="O348" i="2"/>
  <c r="N348" i="2"/>
  <c r="K348" i="2"/>
  <c r="N351" i="2"/>
  <c r="O351" i="2"/>
  <c r="K351" i="2"/>
  <c r="O352" i="2"/>
  <c r="N352" i="2"/>
  <c r="K352" i="2"/>
  <c r="O353" i="2"/>
  <c r="N353" i="2"/>
  <c r="K353" i="2"/>
  <c r="N354" i="2"/>
  <c r="O354" i="2"/>
  <c r="K354" i="2"/>
  <c r="N357" i="2"/>
  <c r="K357" i="2"/>
  <c r="O357" i="2"/>
  <c r="K358" i="2"/>
  <c r="O358" i="2"/>
  <c r="N358" i="2"/>
  <c r="K374" i="2"/>
  <c r="O374" i="2"/>
  <c r="N374" i="2"/>
  <c r="N378" i="2"/>
  <c r="O378" i="2"/>
  <c r="K378" i="2"/>
  <c r="O379" i="2"/>
  <c r="N379" i="2"/>
  <c r="K379" i="2"/>
  <c r="O382" i="2"/>
  <c r="N382" i="2"/>
  <c r="K382" i="2"/>
  <c r="O383" i="2"/>
  <c r="N383" i="2"/>
  <c r="K383" i="2"/>
  <c r="N384" i="2"/>
  <c r="K384" i="2"/>
  <c r="O384" i="2"/>
  <c r="N385" i="2"/>
  <c r="O385" i="2"/>
  <c r="K385" i="2"/>
  <c r="K386" i="2"/>
  <c r="O386" i="2"/>
  <c r="N386" i="2"/>
  <c r="K389" i="2"/>
  <c r="O389" i="2"/>
  <c r="N389" i="2"/>
  <c r="N392" i="2"/>
  <c r="O392" i="2"/>
  <c r="K392" i="2"/>
  <c r="K393" i="2"/>
  <c r="O393" i="2"/>
  <c r="N393" i="2"/>
  <c r="K395" i="2"/>
  <c r="N395" i="2"/>
  <c r="O395" i="2"/>
  <c r="O396" i="2"/>
  <c r="N396" i="2"/>
  <c r="K396" i="2"/>
  <c r="O397" i="2"/>
  <c r="N397" i="2"/>
  <c r="K397" i="2"/>
  <c r="O399" i="2"/>
  <c r="N399" i="2"/>
  <c r="K399" i="2"/>
  <c r="K401" i="2"/>
  <c r="N401" i="2"/>
  <c r="O401" i="2"/>
  <c r="K402" i="2"/>
  <c r="O402" i="2"/>
  <c r="N402" i="2"/>
  <c r="O405" i="2"/>
  <c r="N405" i="2"/>
  <c r="K405" i="2"/>
  <c r="O406" i="2"/>
  <c r="N406" i="2"/>
  <c r="K406" i="2"/>
  <c r="O407" i="2"/>
  <c r="N407" i="2"/>
  <c r="K407" i="2"/>
  <c r="O412" i="2"/>
  <c r="N412" i="2"/>
  <c r="K412" i="2"/>
  <c r="N420" i="2"/>
  <c r="O420" i="2"/>
  <c r="K420" i="2"/>
  <c r="N421" i="2"/>
  <c r="O421" i="2"/>
  <c r="K421" i="2"/>
  <c r="O425" i="2"/>
  <c r="N425" i="2"/>
  <c r="K425" i="2"/>
  <c r="O428" i="2"/>
  <c r="N428" i="2"/>
  <c r="K428" i="2"/>
  <c r="J429" i="2"/>
  <c r="M429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D387" i="5"/>
  <c r="E387" i="5"/>
  <c r="D388" i="5"/>
  <c r="E388" i="5" s="1"/>
  <c r="D392" i="5"/>
  <c r="D393" i="5"/>
  <c r="E393" i="5" s="1"/>
  <c r="D394" i="5"/>
  <c r="E394" i="5" s="1"/>
  <c r="D402" i="5"/>
  <c r="D403" i="5"/>
  <c r="D412" i="5"/>
  <c r="E412" i="5" s="1"/>
  <c r="D414" i="5"/>
  <c r="E414" i="5" s="1"/>
  <c r="D423" i="5"/>
  <c r="D380" i="5"/>
  <c r="D381" i="5"/>
  <c r="D384" i="5"/>
  <c r="E384" i="5"/>
  <c r="D390" i="5"/>
  <c r="D395" i="5"/>
  <c r="E395" i="5"/>
  <c r="D398" i="5"/>
  <c r="D399" i="5"/>
  <c r="E399" i="5"/>
  <c r="D413" i="5"/>
  <c r="E380" i="5"/>
  <c r="E381" i="5"/>
  <c r="D382" i="5"/>
  <c r="E382" i="5"/>
  <c r="D389" i="5"/>
  <c r="E392" i="5"/>
  <c r="D396" i="5"/>
  <c r="D397" i="5"/>
  <c r="D401" i="5"/>
  <c r="D410" i="5"/>
  <c r="E423" i="5"/>
  <c r="D426" i="5"/>
  <c r="E390" i="5"/>
  <c r="D404" i="5"/>
  <c r="D406" i="5"/>
  <c r="D407" i="5"/>
  <c r="D408" i="5"/>
  <c r="D409" i="5"/>
  <c r="E427" i="5"/>
  <c r="E428" i="5"/>
  <c r="D383" i="5"/>
  <c r="D385" i="5"/>
  <c r="D386" i="5"/>
  <c r="D391" i="5"/>
  <c r="D400" i="5"/>
  <c r="E401" i="5"/>
  <c r="E402" i="5"/>
  <c r="E403" i="5"/>
  <c r="E404" i="5"/>
  <c r="D405" i="5"/>
  <c r="E406" i="5"/>
  <c r="E407" i="5"/>
  <c r="E408" i="5"/>
  <c r="E409" i="5"/>
  <c r="E410" i="5"/>
  <c r="D424" i="5"/>
  <c r="D425" i="5"/>
  <c r="E426" i="5"/>
  <c r="D411" i="5"/>
  <c r="E411" i="5" s="1"/>
  <c r="E413" i="5"/>
  <c r="D422" i="5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G3" i="2"/>
  <c r="A5" i="2"/>
  <c r="A13" i="2"/>
  <c r="A17" i="2"/>
  <c r="A37" i="2"/>
  <c r="A41" i="2"/>
  <c r="A53" i="2"/>
  <c r="A65" i="2"/>
  <c r="A116" i="2"/>
  <c r="A117" i="2"/>
  <c r="A149" i="2"/>
  <c r="A152" i="2"/>
  <c r="A182" i="2"/>
  <c r="A201" i="2"/>
  <c r="A209" i="2"/>
  <c r="A225" i="2"/>
  <c r="A231" i="2"/>
  <c r="A274" i="2"/>
  <c r="A309" i="2"/>
  <c r="A328" i="2"/>
  <c r="A345" i="2"/>
  <c r="A372" i="2"/>
  <c r="A374" i="2"/>
  <c r="J3" i="2"/>
  <c r="K3" i="2" s="1"/>
  <c r="M3" i="2"/>
  <c r="R3" i="2"/>
  <c r="S3" i="2"/>
  <c r="T3" i="2"/>
  <c r="U3" i="2"/>
  <c r="A377" i="2"/>
  <c r="C265" i="5"/>
  <c r="D265" i="5" s="1"/>
  <c r="E265" i="5" s="1"/>
  <c r="C266" i="5"/>
  <c r="D266" i="5" s="1"/>
  <c r="E266" i="5" s="1"/>
  <c r="C267" i="5"/>
  <c r="D267" i="5"/>
  <c r="E267" i="5" s="1"/>
  <c r="C268" i="5"/>
  <c r="D268" i="5" s="1"/>
  <c r="E268" i="5" s="1"/>
  <c r="C269" i="5"/>
  <c r="D269" i="5" s="1"/>
  <c r="E269" i="5" s="1"/>
  <c r="C270" i="5"/>
  <c r="D270" i="5" s="1"/>
  <c r="E270" i="5" s="1"/>
  <c r="C271" i="5"/>
  <c r="D271" i="5" s="1"/>
  <c r="C272" i="5"/>
  <c r="D272" i="5"/>
  <c r="C273" i="5"/>
  <c r="D273" i="5" s="1"/>
  <c r="E273" i="5" s="1"/>
  <c r="C274" i="5"/>
  <c r="D274" i="5" s="1"/>
  <c r="E274" i="5" s="1"/>
  <c r="C275" i="5"/>
  <c r="D275" i="5" s="1"/>
  <c r="C276" i="5"/>
  <c r="D276" i="5" s="1"/>
  <c r="C277" i="5"/>
  <c r="D277" i="5" s="1"/>
  <c r="E277" i="5" s="1"/>
  <c r="C278" i="5"/>
  <c r="D278" i="5" s="1"/>
  <c r="E278" i="5" s="1"/>
  <c r="C279" i="5"/>
  <c r="D279" i="5" s="1"/>
  <c r="E279" i="5" s="1"/>
  <c r="C280" i="5"/>
  <c r="D280" i="5" s="1"/>
  <c r="E280" i="5" s="1"/>
  <c r="C281" i="5"/>
  <c r="D281" i="5" s="1"/>
  <c r="E281" i="5" s="1"/>
  <c r="C282" i="5"/>
  <c r="D282" i="5" s="1"/>
  <c r="E282" i="5" s="1"/>
  <c r="C283" i="5"/>
  <c r="D283" i="5" s="1"/>
  <c r="C284" i="5"/>
  <c r="D284" i="5"/>
  <c r="C285" i="5"/>
  <c r="D285" i="5" s="1"/>
  <c r="E285" i="5" s="1"/>
  <c r="C286" i="5"/>
  <c r="D286" i="5" s="1"/>
  <c r="E286" i="5" s="1"/>
  <c r="C287" i="5"/>
  <c r="D287" i="5" s="1"/>
  <c r="C288" i="5"/>
  <c r="D288" i="5" s="1"/>
  <c r="C289" i="5"/>
  <c r="D289" i="5" s="1"/>
  <c r="E289" i="5" s="1"/>
  <c r="C290" i="5"/>
  <c r="D290" i="5" s="1"/>
  <c r="E290" i="5" s="1"/>
  <c r="C291" i="5"/>
  <c r="D291" i="5"/>
  <c r="E291" i="5" s="1"/>
  <c r="C292" i="5"/>
  <c r="D292" i="5" s="1"/>
  <c r="E292" i="5" s="1"/>
  <c r="C293" i="5"/>
  <c r="D293" i="5" s="1"/>
  <c r="E293" i="5" s="1"/>
  <c r="C294" i="5"/>
  <c r="D294" i="5" s="1"/>
  <c r="E294" i="5" s="1"/>
  <c r="C295" i="5"/>
  <c r="D295" i="5" s="1"/>
  <c r="C296" i="5"/>
  <c r="C297" i="5"/>
  <c r="D297" i="5" s="1"/>
  <c r="E297" i="5" s="1"/>
  <c r="C298" i="5"/>
  <c r="D298" i="5" s="1"/>
  <c r="E298" i="5" s="1"/>
  <c r="C299" i="5"/>
  <c r="D299" i="5" s="1"/>
  <c r="C300" i="5"/>
  <c r="D300" i="5" s="1"/>
  <c r="C301" i="5"/>
  <c r="D301" i="5" s="1"/>
  <c r="E301" i="5" s="1"/>
  <c r="C302" i="5"/>
  <c r="D302" i="5" s="1"/>
  <c r="E302" i="5" s="1"/>
  <c r="C303" i="5"/>
  <c r="D303" i="5"/>
  <c r="E303" i="5" s="1"/>
  <c r="C304" i="5"/>
  <c r="D304" i="5"/>
  <c r="E304" i="5" s="1"/>
  <c r="C305" i="5"/>
  <c r="D305" i="5" s="1"/>
  <c r="E305" i="5" s="1"/>
  <c r="C306" i="5"/>
  <c r="D306" i="5" s="1"/>
  <c r="E306" i="5" s="1"/>
  <c r="C307" i="5"/>
  <c r="D307" i="5" s="1"/>
  <c r="C308" i="5"/>
  <c r="C309" i="5"/>
  <c r="D309" i="5" s="1"/>
  <c r="E309" i="5" s="1"/>
  <c r="C310" i="5"/>
  <c r="D310" i="5" s="1"/>
  <c r="E310" i="5" s="1"/>
  <c r="C311" i="5"/>
  <c r="D311" i="5" s="1"/>
  <c r="C312" i="5"/>
  <c r="C313" i="5"/>
  <c r="D313" i="5" s="1"/>
  <c r="E313" i="5" s="1"/>
  <c r="C314" i="5"/>
  <c r="D314" i="5" s="1"/>
  <c r="E314" i="5" s="1"/>
  <c r="C315" i="5"/>
  <c r="D315" i="5" s="1"/>
  <c r="E315" i="5" s="1"/>
  <c r="C316" i="5"/>
  <c r="D316" i="5" s="1"/>
  <c r="E316" i="5" s="1"/>
  <c r="C317" i="5"/>
  <c r="D317" i="5" s="1"/>
  <c r="E317" i="5" s="1"/>
  <c r="C318" i="5"/>
  <c r="D318" i="5" s="1"/>
  <c r="E318" i="5" s="1"/>
  <c r="C319" i="5"/>
  <c r="D319" i="5" s="1"/>
  <c r="C320" i="5"/>
  <c r="D320" i="5" s="1"/>
  <c r="C321" i="5"/>
  <c r="D321" i="5" s="1"/>
  <c r="E321" i="5" s="1"/>
  <c r="C322" i="5"/>
  <c r="D322" i="5" s="1"/>
  <c r="E322" i="5" s="1"/>
  <c r="C323" i="5"/>
  <c r="D323" i="5" s="1"/>
  <c r="C324" i="5"/>
  <c r="D324" i="5" s="1"/>
  <c r="C325" i="5"/>
  <c r="D325" i="5" s="1"/>
  <c r="E325" i="5" s="1"/>
  <c r="C326" i="5"/>
  <c r="D326" i="5" s="1"/>
  <c r="E326" i="5" s="1"/>
  <c r="C327" i="5"/>
  <c r="D327" i="5" s="1"/>
  <c r="E327" i="5" s="1"/>
  <c r="C328" i="5"/>
  <c r="D328" i="5"/>
  <c r="E328" i="5" s="1"/>
  <c r="C329" i="5"/>
  <c r="D329" i="5" s="1"/>
  <c r="E329" i="5" s="1"/>
  <c r="C330" i="5"/>
  <c r="D330" i="5" s="1"/>
  <c r="E330" i="5" s="1"/>
  <c r="C331" i="5"/>
  <c r="D331" i="5" s="1"/>
  <c r="C332" i="5"/>
  <c r="D332" i="5"/>
  <c r="C333" i="5"/>
  <c r="D333" i="5" s="1"/>
  <c r="E333" i="5" s="1"/>
  <c r="C334" i="5"/>
  <c r="D334" i="5" s="1"/>
  <c r="E334" i="5" s="1"/>
  <c r="C335" i="5"/>
  <c r="D335" i="5" s="1"/>
  <c r="C336" i="5"/>
  <c r="D336" i="5"/>
  <c r="C337" i="5"/>
  <c r="D337" i="5" s="1"/>
  <c r="E337" i="5" s="1"/>
  <c r="C338" i="5"/>
  <c r="D338" i="5" s="1"/>
  <c r="E338" i="5" s="1"/>
  <c r="C339" i="5"/>
  <c r="D339" i="5" s="1"/>
  <c r="E339" i="5" s="1"/>
  <c r="C340" i="5"/>
  <c r="D340" i="5" s="1"/>
  <c r="E340" i="5" s="1"/>
  <c r="C341" i="5"/>
  <c r="D341" i="5" s="1"/>
  <c r="E341" i="5" s="1"/>
  <c r="C342" i="5"/>
  <c r="D342" i="5" s="1"/>
  <c r="E342" i="5" s="1"/>
  <c r="C343" i="5"/>
  <c r="D343" i="5" s="1"/>
  <c r="C344" i="5"/>
  <c r="D344" i="5" s="1"/>
  <c r="E344" i="5" s="1"/>
  <c r="C345" i="5"/>
  <c r="D345" i="5" s="1"/>
  <c r="E345" i="5" s="1"/>
  <c r="C346" i="5"/>
  <c r="D346" i="5" s="1"/>
  <c r="E346" i="5" s="1"/>
  <c r="C347" i="5"/>
  <c r="D347" i="5" s="1"/>
  <c r="C348" i="5"/>
  <c r="D348" i="5" s="1"/>
  <c r="C349" i="5"/>
  <c r="D349" i="5" s="1"/>
  <c r="E349" i="5" s="1"/>
  <c r="C350" i="5"/>
  <c r="D350" i="5" s="1"/>
  <c r="E350" i="5" s="1"/>
  <c r="C351" i="5"/>
  <c r="D351" i="5" s="1"/>
  <c r="E351" i="5" s="1"/>
  <c r="C352" i="5"/>
  <c r="D352" i="5" s="1"/>
  <c r="E352" i="5" s="1"/>
  <c r="C353" i="5"/>
  <c r="D353" i="5" s="1"/>
  <c r="E353" i="5" s="1"/>
  <c r="C354" i="5"/>
  <c r="D354" i="5" s="1"/>
  <c r="E354" i="5" s="1"/>
  <c r="C355" i="5"/>
  <c r="D355" i="5" s="1"/>
  <c r="E355" i="5" s="1"/>
  <c r="C356" i="5"/>
  <c r="D356" i="5" s="1"/>
  <c r="E356" i="5" s="1"/>
  <c r="C357" i="5"/>
  <c r="D357" i="5" s="1"/>
  <c r="E357" i="5" s="1"/>
  <c r="C358" i="5"/>
  <c r="D358" i="5" s="1"/>
  <c r="E358" i="5" s="1"/>
  <c r="C359" i="5"/>
  <c r="D359" i="5" s="1"/>
  <c r="C360" i="5"/>
  <c r="D360" i="5" s="1"/>
  <c r="E360" i="5" s="1"/>
  <c r="C361" i="5"/>
  <c r="D361" i="5" s="1"/>
  <c r="E361" i="5" s="1"/>
  <c r="C362" i="5"/>
  <c r="D362" i="5" s="1"/>
  <c r="E362" i="5" s="1"/>
  <c r="C363" i="5"/>
  <c r="C364" i="5"/>
  <c r="D364" i="5" s="1"/>
  <c r="C365" i="5"/>
  <c r="D365" i="5" s="1"/>
  <c r="E365" i="5" s="1"/>
  <c r="C366" i="5"/>
  <c r="D366" i="5" s="1"/>
  <c r="E366" i="5" s="1"/>
  <c r="C367" i="5"/>
  <c r="D367" i="5" s="1"/>
  <c r="C368" i="5"/>
  <c r="D368" i="5" s="1"/>
  <c r="E368" i="5" s="1"/>
  <c r="C369" i="5"/>
  <c r="D369" i="5" s="1"/>
  <c r="E369" i="5" s="1"/>
  <c r="C370" i="5"/>
  <c r="D370" i="5" s="1"/>
  <c r="E370" i="5" s="1"/>
  <c r="C371" i="5"/>
  <c r="D371" i="5" s="1"/>
  <c r="E371" i="5" s="1"/>
  <c r="C372" i="5"/>
  <c r="D372" i="5" s="1"/>
  <c r="E372" i="5" s="1"/>
  <c r="C373" i="5"/>
  <c r="D373" i="5" s="1"/>
  <c r="E373" i="5" s="1"/>
  <c r="C374" i="5"/>
  <c r="D374" i="5" s="1"/>
  <c r="E374" i="5" s="1"/>
  <c r="C375" i="5"/>
  <c r="D375" i="5" s="1"/>
  <c r="E375" i="5" s="1"/>
  <c r="C376" i="5"/>
  <c r="D376" i="5" s="1"/>
  <c r="E376" i="5" s="1"/>
  <c r="C377" i="5"/>
  <c r="D377" i="5" s="1"/>
  <c r="E377" i="5" s="1"/>
  <c r="C378" i="5"/>
  <c r="D378" i="5" s="1"/>
  <c r="E378" i="5" s="1"/>
  <c r="C379" i="5"/>
  <c r="D379" i="5" s="1"/>
  <c r="E379" i="5" s="1"/>
  <c r="E2" i="1"/>
  <c r="C2" i="1"/>
  <c r="B2" i="1"/>
  <c r="A2" i="1"/>
  <c r="O5" i="2" l="1"/>
  <c r="N5" i="2"/>
  <c r="K5" i="2"/>
  <c r="O7" i="2"/>
  <c r="N7" i="2"/>
  <c r="K7" i="2"/>
  <c r="K8" i="2"/>
  <c r="N8" i="2"/>
  <c r="O8" i="2"/>
  <c r="O327" i="2"/>
  <c r="N327" i="2"/>
  <c r="K327" i="2"/>
  <c r="O168" i="2"/>
  <c r="N168" i="2"/>
  <c r="K168" i="2"/>
  <c r="O171" i="2"/>
  <c r="N171" i="2"/>
  <c r="K171" i="2"/>
  <c r="K172" i="2"/>
  <c r="N172" i="2"/>
  <c r="O172" i="2"/>
  <c r="O332" i="2"/>
  <c r="K332" i="2"/>
  <c r="N332" i="2"/>
  <c r="O306" i="2"/>
  <c r="N306" i="2"/>
  <c r="K306" i="2"/>
  <c r="O314" i="2"/>
  <c r="N314" i="2"/>
  <c r="K314" i="2"/>
  <c r="O400" i="2"/>
  <c r="N400" i="2"/>
  <c r="K400" i="2"/>
  <c r="O404" i="2"/>
  <c r="N404" i="2"/>
  <c r="K404" i="2"/>
  <c r="O415" i="2"/>
  <c r="N415" i="2"/>
  <c r="K415" i="2"/>
  <c r="O416" i="2"/>
  <c r="N416" i="2"/>
  <c r="K416" i="2"/>
  <c r="O419" i="2"/>
  <c r="N419" i="2"/>
  <c r="K419" i="2"/>
  <c r="O422" i="2"/>
  <c r="N422" i="2"/>
  <c r="K422" i="2"/>
  <c r="N424" i="2"/>
  <c r="O424" i="2"/>
  <c r="K424" i="2"/>
  <c r="K229" i="2"/>
  <c r="O229" i="2"/>
  <c r="N229" i="2"/>
  <c r="O232" i="2"/>
  <c r="N232" i="2"/>
  <c r="K232" i="2"/>
  <c r="O233" i="2"/>
  <c r="K233" i="2"/>
  <c r="N233" i="2"/>
  <c r="O234" i="2"/>
  <c r="K234" i="2"/>
  <c r="N234" i="2"/>
  <c r="O235" i="2"/>
  <c r="N235" i="2"/>
  <c r="K235" i="2"/>
  <c r="O265" i="2"/>
  <c r="N265" i="2"/>
  <c r="K265" i="2"/>
  <c r="N301" i="2"/>
  <c r="K301" i="2"/>
  <c r="O301" i="2"/>
  <c r="O302" i="2"/>
  <c r="K302" i="2"/>
  <c r="N302" i="2"/>
  <c r="O303" i="2"/>
  <c r="K303" i="2"/>
  <c r="N303" i="2"/>
  <c r="O304" i="2"/>
  <c r="K304" i="2"/>
  <c r="N304" i="2"/>
  <c r="O336" i="2"/>
  <c r="N336" i="2"/>
  <c r="K336" i="2"/>
  <c r="K9" i="2"/>
  <c r="N9" i="2"/>
  <c r="O9" i="2"/>
  <c r="N23" i="2"/>
  <c r="K23" i="2"/>
  <c r="O23" i="2"/>
  <c r="O131" i="2"/>
  <c r="N131" i="2"/>
  <c r="K131" i="2"/>
  <c r="N132" i="2"/>
  <c r="K132" i="2"/>
  <c r="O132" i="2"/>
  <c r="O136" i="2"/>
  <c r="N136" i="2"/>
  <c r="K136" i="2"/>
  <c r="O216" i="2"/>
  <c r="N216" i="2"/>
  <c r="K216" i="2"/>
  <c r="O317" i="2"/>
  <c r="N317" i="2"/>
  <c r="K317" i="2"/>
  <c r="O429" i="2"/>
  <c r="N429" i="2"/>
  <c r="K429" i="2"/>
  <c r="D308" i="5"/>
  <c r="E308" i="5"/>
  <c r="A72" i="2"/>
  <c r="E389" i="5"/>
  <c r="E391" i="5"/>
  <c r="E424" i="5"/>
  <c r="E405" i="5"/>
  <c r="E383" i="5"/>
  <c r="E385" i="5"/>
  <c r="E386" i="5"/>
  <c r="E396" i="5"/>
  <c r="E397" i="5"/>
  <c r="E398" i="5"/>
  <c r="E422" i="5"/>
  <c r="E425" i="5"/>
  <c r="E400" i="5"/>
  <c r="E272" i="5"/>
  <c r="A268" i="2"/>
  <c r="A270" i="2"/>
  <c r="A291" i="2"/>
  <c r="A292" i="2"/>
  <c r="A303" i="2"/>
  <c r="A310" i="2"/>
  <c r="A321" i="2"/>
  <c r="A334" i="2"/>
  <c r="A346" i="2"/>
  <c r="A358" i="2"/>
  <c r="A267" i="2"/>
  <c r="A286" i="2"/>
  <c r="A298" i="2"/>
  <c r="A315" i="2"/>
  <c r="A322" i="2"/>
  <c r="A339" i="2"/>
  <c r="A4" i="2"/>
  <c r="A18" i="2"/>
  <c r="A24" i="2"/>
  <c r="A40" i="2"/>
  <c r="A52" i="2"/>
  <c r="A57" i="2"/>
  <c r="A69" i="2"/>
  <c r="A82" i="2"/>
  <c r="A88" i="2"/>
  <c r="A100" i="2"/>
  <c r="A105" i="2"/>
  <c r="A118" i="2"/>
  <c r="A123" i="2"/>
  <c r="A136" i="2"/>
  <c r="A148" i="2"/>
  <c r="A164" i="2"/>
  <c r="A168" i="2"/>
  <c r="A180" i="2"/>
  <c r="A186" i="2"/>
  <c r="A198" i="2"/>
  <c r="A208" i="2"/>
  <c r="A216" i="2"/>
  <c r="A232" i="2"/>
  <c r="A240" i="2"/>
  <c r="A248" i="2"/>
  <c r="A256" i="2"/>
  <c r="A261" i="2"/>
  <c r="A10" i="2"/>
  <c r="A11" i="2"/>
  <c r="A20" i="2"/>
  <c r="A33" i="2"/>
  <c r="A42" i="2"/>
  <c r="A54" i="2"/>
  <c r="A58" i="2"/>
  <c r="A66" i="2"/>
  <c r="A9" i="2"/>
  <c r="A34" i="2"/>
  <c r="A45" i="2"/>
  <c r="A59" i="2"/>
  <c r="A70" i="2"/>
  <c r="A84" i="2"/>
  <c r="A90" i="2"/>
  <c r="A102" i="2"/>
  <c r="A106" i="2"/>
  <c r="A120" i="2"/>
  <c r="A129" i="2"/>
  <c r="A139" i="2"/>
  <c r="A153" i="2"/>
  <c r="A155" i="2"/>
  <c r="A166" i="2"/>
  <c r="A177" i="2"/>
  <c r="A184" i="2"/>
  <c r="A196" i="2"/>
  <c r="A203" i="2"/>
  <c r="A214" i="2"/>
  <c r="A228" i="2"/>
  <c r="A244" i="2"/>
  <c r="A250" i="2"/>
  <c r="A260" i="2"/>
  <c r="A264" i="2"/>
  <c r="A6" i="2"/>
  <c r="A22" i="2"/>
  <c r="A36" i="2"/>
  <c r="A43" i="2"/>
  <c r="A56" i="2"/>
  <c r="A68" i="2"/>
  <c r="A81" i="2"/>
  <c r="A89" i="2"/>
  <c r="A91" i="2"/>
  <c r="A104" i="2"/>
  <c r="A107" i="2"/>
  <c r="A132" i="2"/>
  <c r="A138" i="2"/>
  <c r="A150" i="2"/>
  <c r="A154" i="2"/>
  <c r="A165" i="2"/>
  <c r="A171" i="2"/>
  <c r="A183" i="2"/>
  <c r="A187" i="2"/>
  <c r="A200" i="2"/>
  <c r="A202" i="2"/>
  <c r="A212" i="2"/>
  <c r="A219" i="2"/>
  <c r="A234" i="2"/>
  <c r="A246" i="2"/>
  <c r="A251" i="2"/>
  <c r="A262" i="2"/>
  <c r="A213" i="2"/>
  <c r="A327" i="2"/>
  <c r="A103" i="2"/>
  <c r="A21" i="2"/>
  <c r="A23" i="2"/>
  <c r="A197" i="2"/>
  <c r="A151" i="2"/>
  <c r="A101" i="2"/>
  <c r="A263" i="2"/>
  <c r="A55" i="2"/>
  <c r="A304" i="2"/>
  <c r="A215" i="2"/>
  <c r="A135" i="2"/>
  <c r="A167" i="2"/>
  <c r="A7" i="2"/>
  <c r="A364" i="2"/>
  <c r="A119" i="2"/>
  <c r="A359" i="2"/>
  <c r="A247" i="2"/>
  <c r="A285" i="2"/>
  <c r="A71" i="2"/>
  <c r="A280" i="2"/>
  <c r="A340" i="2"/>
  <c r="A279" i="2"/>
  <c r="A224" i="2"/>
  <c r="A352" i="2"/>
  <c r="A8" i="2"/>
  <c r="A316" i="2"/>
  <c r="A371" i="2"/>
  <c r="A369" i="2"/>
  <c r="A333" i="2"/>
  <c r="A297" i="2"/>
  <c r="A365" i="2"/>
  <c r="A161" i="2"/>
  <c r="A185" i="2"/>
  <c r="A113" i="2"/>
  <c r="A137" i="2"/>
  <c r="A257" i="2"/>
  <c r="A233" i="2"/>
  <c r="A29" i="2"/>
  <c r="A245" i="2"/>
  <c r="A353" i="2"/>
  <c r="A249" i="2"/>
  <c r="A378" i="2"/>
  <c r="A273" i="2"/>
  <c r="A170" i="2"/>
  <c r="A218" i="2"/>
  <c r="A230" i="2"/>
  <c r="A266" i="2"/>
  <c r="A265" i="2"/>
  <c r="A181" i="2"/>
  <c r="A85" i="2"/>
  <c r="A133" i="2"/>
  <c r="A73" i="2"/>
  <c r="A121" i="2"/>
  <c r="A145" i="2"/>
  <c r="A217" i="2"/>
  <c r="A49" i="2"/>
  <c r="A229" i="2"/>
  <c r="A235" i="2"/>
  <c r="A199" i="2"/>
  <c r="O3" i="2"/>
  <c r="N3" i="2"/>
  <c r="A97" i="2"/>
  <c r="A25" i="2"/>
  <c r="A241" i="2"/>
  <c r="A193" i="2"/>
  <c r="A169" i="2"/>
  <c r="E284" i="5"/>
  <c r="E332" i="5"/>
  <c r="E320" i="5"/>
  <c r="D363" i="5"/>
  <c r="E363" i="5" s="1"/>
  <c r="D296" i="5"/>
  <c r="E296" i="5" s="1"/>
  <c r="A67" i="2"/>
  <c r="A19" i="2"/>
  <c r="A162" i="2"/>
  <c r="A191" i="2"/>
  <c r="A195" i="2"/>
  <c r="A254" i="2"/>
  <c r="A238" i="2"/>
  <c r="A222" i="2"/>
  <c r="A206" i="2"/>
  <c r="A190" i="2"/>
  <c r="A174" i="2"/>
  <c r="A158" i="2"/>
  <c r="A142" i="2"/>
  <c r="A126" i="2"/>
  <c r="A94" i="2"/>
  <c r="A78" i="2"/>
  <c r="A46" i="2"/>
  <c r="A30" i="2"/>
  <c r="A111" i="2"/>
  <c r="A259" i="2"/>
  <c r="A243" i="2"/>
  <c r="A227" i="2"/>
  <c r="A211" i="2"/>
  <c r="A179" i="2"/>
  <c r="A163" i="2"/>
  <c r="A147" i="2"/>
  <c r="A131" i="2"/>
  <c r="A115" i="2"/>
  <c r="A83" i="2"/>
  <c r="A51" i="2"/>
  <c r="A35" i="2"/>
  <c r="A258" i="2"/>
  <c r="A242" i="2"/>
  <c r="A226" i="2"/>
  <c r="A210" i="2"/>
  <c r="A194" i="2"/>
  <c r="A178" i="2"/>
  <c r="A146" i="2"/>
  <c r="A130" i="2"/>
  <c r="A114" i="2"/>
  <c r="A176" i="2"/>
  <c r="A144" i="2"/>
  <c r="A128" i="2"/>
  <c r="A96" i="2"/>
  <c r="A64" i="2"/>
  <c r="A32" i="2"/>
  <c r="A239" i="2"/>
  <c r="A207" i="2"/>
  <c r="A159" i="2"/>
  <c r="A143" i="2"/>
  <c r="A95" i="2"/>
  <c r="A63" i="2"/>
  <c r="A31" i="2"/>
  <c r="A253" i="2"/>
  <c r="A237" i="2"/>
  <c r="A221" i="2"/>
  <c r="A205" i="2"/>
  <c r="A189" i="2"/>
  <c r="A173" i="2"/>
  <c r="A157" i="2"/>
  <c r="A141" i="2"/>
  <c r="A125" i="2"/>
  <c r="A109" i="2"/>
  <c r="A93" i="2"/>
  <c r="A77" i="2"/>
  <c r="A61" i="2"/>
  <c r="A252" i="2"/>
  <c r="A236" i="2"/>
  <c r="A220" i="2"/>
  <c r="A204" i="2"/>
  <c r="A188" i="2"/>
  <c r="A172" i="2"/>
  <c r="A156" i="2"/>
  <c r="A140" i="2"/>
  <c r="A124" i="2"/>
  <c r="A108" i="2"/>
  <c r="A92" i="2"/>
  <c r="A76" i="2"/>
  <c r="A60" i="2"/>
  <c r="A44" i="2"/>
  <c r="A28" i="2"/>
  <c r="A12" i="2"/>
  <c r="A79" i="2"/>
  <c r="A192" i="2"/>
  <c r="A160" i="2"/>
  <c r="A112" i="2"/>
  <c r="A80" i="2"/>
  <c r="A48" i="2"/>
  <c r="A16" i="2"/>
  <c r="A255" i="2"/>
  <c r="A223" i="2"/>
  <c r="A175" i="2"/>
  <c r="A127" i="2"/>
  <c r="A47" i="2"/>
  <c r="A15" i="2"/>
  <c r="A362" i="2"/>
  <c r="E336" i="5"/>
  <c r="E276" i="5"/>
  <c r="E367" i="5"/>
  <c r="E300" i="5"/>
  <c r="E324" i="5"/>
  <c r="E348" i="5"/>
  <c r="E288" i="5"/>
  <c r="D312" i="5"/>
  <c r="E312" i="5" s="1"/>
  <c r="A380" i="2"/>
  <c r="A354" i="2"/>
  <c r="A338" i="2"/>
  <c r="A356" i="2"/>
  <c r="A360" i="2"/>
  <c r="A314" i="2"/>
  <c r="A361" i="2"/>
  <c r="A284" i="2"/>
  <c r="A344" i="2"/>
  <c r="A326" i="2"/>
  <c r="A308" i="2"/>
  <c r="A350" i="2"/>
  <c r="A332" i="2"/>
  <c r="E347" i="5"/>
  <c r="E335" i="5"/>
  <c r="E323" i="5"/>
  <c r="E311" i="5"/>
  <c r="E299" i="5"/>
  <c r="E287" i="5"/>
  <c r="E275" i="5"/>
  <c r="E359" i="5"/>
  <c r="E364" i="5"/>
  <c r="E343" i="5"/>
  <c r="E331" i="5"/>
  <c r="E319" i="5"/>
  <c r="E307" i="5"/>
  <c r="E295" i="5"/>
  <c r="E283" i="5"/>
  <c r="E271" i="5"/>
  <c r="A39" i="2"/>
  <c r="A27" i="2"/>
  <c r="A366" i="2"/>
  <c r="A320" i="2"/>
  <c r="A302" i="2"/>
  <c r="A296" i="2"/>
  <c r="A290" i="2"/>
  <c r="A3" i="2"/>
  <c r="A278" i="2"/>
  <c r="A99" i="2"/>
  <c r="A375" i="2"/>
  <c r="A272" i="2"/>
  <c r="A87" i="2"/>
  <c r="A75" i="2"/>
  <c r="A368" i="2"/>
  <c r="A381" i="2"/>
  <c r="A376" i="2"/>
  <c r="A373" i="2"/>
  <c r="A342" i="2"/>
  <c r="A330" i="2"/>
  <c r="A336" i="2"/>
  <c r="A363" i="2"/>
  <c r="A312" i="2"/>
  <c r="A348" i="2"/>
  <c r="A335" i="2"/>
  <c r="A379" i="2"/>
  <c r="A370" i="2"/>
  <c r="A351" i="2"/>
  <c r="A357" i="2"/>
  <c r="A349" i="2"/>
  <c r="A331" i="2"/>
  <c r="A318" i="2"/>
  <c r="A306" i="2"/>
  <c r="A288" i="2"/>
  <c r="A277" i="2"/>
  <c r="A313" i="2"/>
  <c r="A367" i="2"/>
  <c r="A355" i="2"/>
  <c r="A329" i="2"/>
  <c r="A324" i="2"/>
  <c r="A295" i="2"/>
  <c r="A347" i="2"/>
  <c r="A341" i="2"/>
  <c r="A323" i="2"/>
  <c r="A305" i="2"/>
  <c r="A294" i="2"/>
  <c r="A287" i="2"/>
  <c r="A276" i="2"/>
  <c r="A317" i="2"/>
  <c r="A299" i="2"/>
  <c r="A281" i="2"/>
  <c r="A343" i="2"/>
  <c r="A325" i="2"/>
  <c r="A307" i="2"/>
  <c r="A289" i="2"/>
  <c r="A271" i="2"/>
  <c r="A311" i="2"/>
  <c r="A300" i="2"/>
  <c r="A293" i="2"/>
  <c r="A282" i="2"/>
  <c r="A275" i="2"/>
  <c r="A337" i="2"/>
  <c r="A319" i="2"/>
  <c r="A301" i="2"/>
  <c r="A283" i="2"/>
  <c r="A269" i="2"/>
  <c r="A134" i="2"/>
  <c r="A122" i="2"/>
  <c r="A110" i="2"/>
  <c r="A98" i="2"/>
  <c r="A86" i="2"/>
  <c r="A74" i="2"/>
  <c r="A62" i="2"/>
  <c r="A50" i="2"/>
  <c r="A38" i="2"/>
  <c r="A26" i="2"/>
  <c r="A14" i="2"/>
  <c r="C260" i="5"/>
  <c r="D260" i="5" s="1"/>
  <c r="C261" i="5"/>
  <c r="C262" i="5"/>
  <c r="D262" i="5" s="1"/>
  <c r="E262" i="5" s="1"/>
  <c r="C263" i="5"/>
  <c r="C264" i="5"/>
  <c r="Q2" i="4"/>
  <c r="C125" i="5"/>
  <c r="D125" i="5" s="1"/>
  <c r="E125" i="5" s="1"/>
  <c r="C126" i="5"/>
  <c r="C127" i="5"/>
  <c r="D127" i="5" s="1"/>
  <c r="E127" i="5" s="1"/>
  <c r="C128" i="5"/>
  <c r="D128" i="5" s="1"/>
  <c r="C129" i="5"/>
  <c r="C130" i="5"/>
  <c r="D130" i="5" s="1"/>
  <c r="E130" i="5" s="1"/>
  <c r="C131" i="5"/>
  <c r="C132" i="5"/>
  <c r="D132" i="5" s="1"/>
  <c r="E132" i="5" s="1"/>
  <c r="C133" i="5"/>
  <c r="C134" i="5"/>
  <c r="D134" i="5" s="1"/>
  <c r="C135" i="5"/>
  <c r="D135" i="5" s="1"/>
  <c r="C136" i="5"/>
  <c r="D136" i="5" s="1"/>
  <c r="C137" i="5"/>
  <c r="C138" i="5"/>
  <c r="D138" i="5" s="1"/>
  <c r="C139" i="5"/>
  <c r="C140" i="5"/>
  <c r="D140" i="5" s="1"/>
  <c r="E140" i="5" s="1"/>
  <c r="C141" i="5"/>
  <c r="C142" i="5"/>
  <c r="D142" i="5" s="1"/>
  <c r="E142" i="5" s="1"/>
  <c r="C143" i="5"/>
  <c r="D143" i="5" s="1"/>
  <c r="E143" i="5" s="1"/>
  <c r="C144" i="5"/>
  <c r="D144" i="5" s="1"/>
  <c r="E144" i="5" s="1"/>
  <c r="C145" i="5"/>
  <c r="D145" i="5" s="1"/>
  <c r="E145" i="5" s="1"/>
  <c r="C146" i="5"/>
  <c r="D146" i="5" s="1"/>
  <c r="C147" i="5"/>
  <c r="C148" i="5"/>
  <c r="D148" i="5" s="1"/>
  <c r="C149" i="5"/>
  <c r="C150" i="5"/>
  <c r="D150" i="5" s="1"/>
  <c r="C151" i="5"/>
  <c r="D151" i="5" s="1"/>
  <c r="C152" i="5"/>
  <c r="D152" i="5" s="1"/>
  <c r="E152" i="5" s="1"/>
  <c r="C153" i="5"/>
  <c r="C154" i="5"/>
  <c r="D154" i="5" s="1"/>
  <c r="E154" i="5" s="1"/>
  <c r="C155" i="5"/>
  <c r="D155" i="5" s="1"/>
  <c r="E155" i="5" s="1"/>
  <c r="C156" i="5"/>
  <c r="C157" i="5"/>
  <c r="D157" i="5" s="1"/>
  <c r="E157" i="5" s="1"/>
  <c r="C158" i="5"/>
  <c r="D158" i="5" s="1"/>
  <c r="E158" i="5" s="1"/>
  <c r="C159" i="5"/>
  <c r="C160" i="5"/>
  <c r="D160" i="5" s="1"/>
  <c r="C161" i="5"/>
  <c r="C162" i="5"/>
  <c r="C163" i="5"/>
  <c r="C164" i="5"/>
  <c r="C165" i="5"/>
  <c r="C166" i="5"/>
  <c r="D166" i="5" s="1"/>
  <c r="C167" i="5"/>
  <c r="D167" i="5" s="1"/>
  <c r="C168" i="5"/>
  <c r="C169" i="5"/>
  <c r="D169" i="5" s="1"/>
  <c r="E169" i="5" s="1"/>
  <c r="C170" i="5"/>
  <c r="D170" i="5" s="1"/>
  <c r="C171" i="5"/>
  <c r="D171" i="5" s="1"/>
  <c r="C172" i="5"/>
  <c r="D172" i="5" s="1"/>
  <c r="E172" i="5" s="1"/>
  <c r="C173" i="5"/>
  <c r="C174" i="5"/>
  <c r="D174" i="5" s="1"/>
  <c r="E174" i="5" s="1"/>
  <c r="C175" i="5"/>
  <c r="D175" i="5" s="1"/>
  <c r="E175" i="5" s="1"/>
  <c r="C176" i="5"/>
  <c r="C177" i="5"/>
  <c r="D177" i="5" s="1"/>
  <c r="C178" i="5"/>
  <c r="D178" i="5" s="1"/>
  <c r="C179" i="5"/>
  <c r="C180" i="5"/>
  <c r="D180" i="5" s="1"/>
  <c r="C181" i="5"/>
  <c r="D181" i="5" s="1"/>
  <c r="C182" i="5"/>
  <c r="D182" i="5" s="1"/>
  <c r="C183" i="5"/>
  <c r="C184" i="5"/>
  <c r="D184" i="5" s="1"/>
  <c r="E184" i="5" s="1"/>
  <c r="C185" i="5"/>
  <c r="C186" i="5"/>
  <c r="D186" i="5" s="1"/>
  <c r="E186" i="5" s="1"/>
  <c r="C187" i="5"/>
  <c r="D187" i="5" s="1"/>
  <c r="C188" i="5"/>
  <c r="D188" i="5" s="1"/>
  <c r="C189" i="5"/>
  <c r="C190" i="5"/>
  <c r="D190" i="5" s="1"/>
  <c r="E190" i="5" s="1"/>
  <c r="C191" i="5"/>
  <c r="D191" i="5" s="1"/>
  <c r="E191" i="5" s="1"/>
  <c r="C192" i="5"/>
  <c r="D192" i="5" s="1"/>
  <c r="C193" i="5"/>
  <c r="D193" i="5" s="1"/>
  <c r="E193" i="5" s="1"/>
  <c r="C194" i="5"/>
  <c r="D194" i="5" s="1"/>
  <c r="E194" i="5" s="1"/>
  <c r="C195" i="5"/>
  <c r="C196" i="5"/>
  <c r="D196" i="5" s="1"/>
  <c r="E196" i="5" s="1"/>
  <c r="C197" i="5"/>
  <c r="C198" i="5"/>
  <c r="D198" i="5" s="1"/>
  <c r="E198" i="5" s="1"/>
  <c r="C199" i="5"/>
  <c r="D199" i="5" s="1"/>
  <c r="C200" i="5"/>
  <c r="C201" i="5"/>
  <c r="C202" i="5"/>
  <c r="D202" i="5" s="1"/>
  <c r="C203" i="5"/>
  <c r="C204" i="5"/>
  <c r="C205" i="5"/>
  <c r="D205" i="5" s="1"/>
  <c r="E205" i="5" s="1"/>
  <c r="C206" i="5"/>
  <c r="D206" i="5" s="1"/>
  <c r="E206" i="5" s="1"/>
  <c r="C207" i="5"/>
  <c r="D207" i="5" s="1"/>
  <c r="C208" i="5"/>
  <c r="D208" i="5" s="1"/>
  <c r="E208" i="5" s="1"/>
  <c r="C209" i="5"/>
  <c r="C210" i="5"/>
  <c r="D210" i="5" s="1"/>
  <c r="C211" i="5"/>
  <c r="D211" i="5" s="1"/>
  <c r="E211" i="5" s="1"/>
  <c r="C212" i="5"/>
  <c r="C213" i="5"/>
  <c r="D213" i="5" s="1"/>
  <c r="C214" i="5"/>
  <c r="D214" i="5" s="1"/>
  <c r="C215" i="5"/>
  <c r="C216" i="5"/>
  <c r="C217" i="5"/>
  <c r="C218" i="5"/>
  <c r="D218" i="5" s="1"/>
  <c r="E218" i="5" s="1"/>
  <c r="C219" i="5"/>
  <c r="C220" i="5"/>
  <c r="D220" i="5" s="1"/>
  <c r="C221" i="5"/>
  <c r="C222" i="5"/>
  <c r="C223" i="5"/>
  <c r="D223" i="5" s="1"/>
  <c r="E223" i="5" s="1"/>
  <c r="C224" i="5"/>
  <c r="D224" i="5" s="1"/>
  <c r="C225" i="5"/>
  <c r="C226" i="5"/>
  <c r="D226" i="5" s="1"/>
  <c r="E226" i="5" s="1"/>
  <c r="C227" i="5"/>
  <c r="C228" i="5"/>
  <c r="D228" i="5" s="1"/>
  <c r="E228" i="5" s="1"/>
  <c r="C229" i="5"/>
  <c r="D229" i="5" s="1"/>
  <c r="C230" i="5"/>
  <c r="D230" i="5" s="1"/>
  <c r="C231" i="5"/>
  <c r="C232" i="5"/>
  <c r="D232" i="5" s="1"/>
  <c r="C233" i="5"/>
  <c r="C234" i="5"/>
  <c r="D234" i="5" s="1"/>
  <c r="E234" i="5" s="1"/>
  <c r="C235" i="5"/>
  <c r="C236" i="5"/>
  <c r="C237" i="5"/>
  <c r="C238" i="5"/>
  <c r="D238" i="5" s="1"/>
  <c r="E238" i="5" s="1"/>
  <c r="C239" i="5"/>
  <c r="D239" i="5" s="1"/>
  <c r="E239" i="5" s="1"/>
  <c r="C240" i="5"/>
  <c r="C241" i="5"/>
  <c r="D241" i="5" s="1"/>
  <c r="E241" i="5" s="1"/>
  <c r="C242" i="5"/>
  <c r="D242" i="5" s="1"/>
  <c r="C243" i="5"/>
  <c r="C244" i="5"/>
  <c r="D244" i="5" s="1"/>
  <c r="C245" i="5"/>
  <c r="C246" i="5"/>
  <c r="D246" i="5" s="1"/>
  <c r="C247" i="5"/>
  <c r="C248" i="5"/>
  <c r="C249" i="5"/>
  <c r="D249" i="5" s="1"/>
  <c r="E249" i="5" s="1"/>
  <c r="C250" i="5"/>
  <c r="D250" i="5" s="1"/>
  <c r="E250" i="5" s="1"/>
  <c r="C251" i="5"/>
  <c r="D251" i="5" s="1"/>
  <c r="C252" i="5"/>
  <c r="C253" i="5"/>
  <c r="D253" i="5" s="1"/>
  <c r="C254" i="5"/>
  <c r="D254" i="5" s="1"/>
  <c r="C255" i="5"/>
  <c r="C256" i="5"/>
  <c r="D256" i="5" s="1"/>
  <c r="C257" i="5"/>
  <c r="C258" i="5"/>
  <c r="D258" i="5" s="1"/>
  <c r="E258" i="5" s="1"/>
  <c r="C259" i="5"/>
  <c r="D259" i="5" s="1"/>
  <c r="D126" i="5" l="1"/>
  <c r="E126" i="5" s="1"/>
  <c r="D263" i="5"/>
  <c r="D264" i="5"/>
  <c r="D133" i="5"/>
  <c r="D137" i="5"/>
  <c r="E137" i="5" s="1"/>
  <c r="D141" i="5"/>
  <c r="E141" i="5" s="1"/>
  <c r="D156" i="5"/>
  <c r="E156" i="5" s="1"/>
  <c r="D163" i="5"/>
  <c r="E163" i="5" s="1"/>
  <c r="D168" i="5"/>
  <c r="D204" i="5"/>
  <c r="E204" i="5" s="1"/>
  <c r="D215" i="5"/>
  <c r="D216" i="5"/>
  <c r="E216" i="5" s="1"/>
  <c r="D222" i="5"/>
  <c r="E222" i="5" s="1"/>
  <c r="D235" i="5"/>
  <c r="D240" i="5"/>
  <c r="E240" i="5" s="1"/>
  <c r="D243" i="5"/>
  <c r="E243" i="5" s="1"/>
  <c r="D247" i="5"/>
  <c r="E247" i="5" s="1"/>
  <c r="D252" i="5"/>
  <c r="D162" i="5"/>
  <c r="E162" i="5" s="1"/>
  <c r="D221" i="5"/>
  <c r="D149" i="5"/>
  <c r="E149" i="5" s="1"/>
  <c r="D217" i="5"/>
  <c r="E217" i="5" s="1"/>
  <c r="D261" i="5"/>
  <c r="E261" i="5" s="1"/>
  <c r="D185" i="5"/>
  <c r="D203" i="5"/>
  <c r="E203" i="5" s="1"/>
  <c r="D131" i="5"/>
  <c r="E131" i="5" s="1"/>
  <c r="D237" i="5"/>
  <c r="E237" i="5" s="1"/>
  <c r="D201" i="5"/>
  <c r="E201" i="5" s="1"/>
  <c r="D165" i="5"/>
  <c r="E165" i="5" s="1"/>
  <c r="D153" i="5"/>
  <c r="E153" i="5" s="1"/>
  <c r="D129" i="5"/>
  <c r="E129" i="5" s="1"/>
  <c r="D139" i="5"/>
  <c r="E139" i="5" s="1"/>
  <c r="D173" i="5"/>
  <c r="E173" i="5" s="1"/>
  <c r="D227" i="5"/>
  <c r="E227" i="5" s="1"/>
  <c r="D179" i="5"/>
  <c r="E179" i="5" s="1"/>
  <c r="D225" i="5"/>
  <c r="E225" i="5" s="1"/>
  <c r="D248" i="5"/>
  <c r="E248" i="5" s="1"/>
  <c r="D236" i="5"/>
  <c r="E236" i="5" s="1"/>
  <c r="D212" i="5"/>
  <c r="D200" i="5"/>
  <c r="E200" i="5" s="1"/>
  <c r="D176" i="5"/>
  <c r="E176" i="5" s="1"/>
  <c r="D164" i="5"/>
  <c r="E164" i="5" s="1"/>
  <c r="D161" i="5"/>
  <c r="E161" i="5" s="1"/>
  <c r="D257" i="5"/>
  <c r="E257" i="5" s="1"/>
  <c r="D233" i="5"/>
  <c r="E233" i="5" s="1"/>
  <c r="D209" i="5"/>
  <c r="E209" i="5" s="1"/>
  <c r="D255" i="5"/>
  <c r="E255" i="5" s="1"/>
  <c r="D231" i="5"/>
  <c r="E231" i="5" s="1"/>
  <c r="D219" i="5"/>
  <c r="D195" i="5"/>
  <c r="E195" i="5" s="1"/>
  <c r="D183" i="5"/>
  <c r="D159" i="5"/>
  <c r="E159" i="5" s="1"/>
  <c r="D147" i="5"/>
  <c r="E147" i="5" s="1"/>
  <c r="D245" i="5"/>
  <c r="D197" i="5"/>
  <c r="E197" i="5" s="1"/>
  <c r="D2" i="1"/>
  <c r="E188" i="5"/>
  <c r="E134" i="5"/>
  <c r="E207" i="5"/>
  <c r="E253" i="5"/>
  <c r="E252" i="5"/>
  <c r="E219" i="5"/>
  <c r="E170" i="5"/>
  <c r="E264" i="5"/>
  <c r="D189" i="5"/>
  <c r="E189" i="5" s="1"/>
  <c r="E263" i="5"/>
  <c r="E260" i="5"/>
  <c r="E259" i="5"/>
  <c r="E251" i="5"/>
  <c r="E230" i="5"/>
  <c r="E221" i="5"/>
  <c r="E187" i="5"/>
  <c r="E177" i="5"/>
  <c r="E168" i="5"/>
  <c r="E220" i="5"/>
  <c r="E212" i="5"/>
  <c r="E202" i="5"/>
  <c r="E167" i="5"/>
  <c r="E185" i="5"/>
  <c r="E166" i="5"/>
  <c r="E254" i="5"/>
  <c r="E148" i="5"/>
  <c r="E138" i="5"/>
  <c r="E199" i="5"/>
  <c r="E244" i="5"/>
  <c r="E232" i="5"/>
  <c r="E180" i="5"/>
  <c r="E135" i="5"/>
  <c r="E229" i="5"/>
  <c r="E133" i="5"/>
  <c r="E215" i="5"/>
  <c r="E151" i="5"/>
  <c r="E246" i="5"/>
  <c r="E214" i="5"/>
  <c r="E182" i="5"/>
  <c r="E150" i="5"/>
  <c r="E235" i="5"/>
  <c r="E171" i="5"/>
  <c r="E256" i="5"/>
  <c r="E224" i="5"/>
  <c r="E192" i="5"/>
  <c r="E160" i="5"/>
  <c r="E128" i="5"/>
  <c r="E213" i="5"/>
  <c r="E181" i="5"/>
  <c r="E136" i="5"/>
  <c r="E242" i="5"/>
  <c r="E210" i="5"/>
  <c r="E178" i="5"/>
  <c r="E146" i="5"/>
  <c r="E183" i="5" l="1"/>
  <c r="E245" i="5"/>
  <c r="Q1" i="4"/>
  <c r="Q3" i="4" s="1"/>
  <c r="U2" i="2" l="1"/>
  <c r="A3" i="10"/>
  <c r="A4" i="10"/>
  <c r="A5" i="10"/>
  <c r="A6" i="10"/>
  <c r="A7" i="10"/>
  <c r="A2" i="10"/>
  <c r="S2" i="2" l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S1" i="4" l="1"/>
  <c r="R2" i="4"/>
  <c r="T2" i="2"/>
  <c r="Q7" i="4" s="1"/>
  <c r="F15" i="6"/>
  <c r="C8" i="5"/>
  <c r="A6" i="4" l="1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Q8" i="4"/>
  <c r="D8" i="5"/>
  <c r="E8" i="5" s="1"/>
  <c r="L3" i="2" l="1"/>
  <c r="L4" i="2" s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L123" i="2" s="1"/>
  <c r="L124" i="2" s="1"/>
  <c r="L125" i="2" s="1"/>
  <c r="L126" i="2" s="1"/>
  <c r="L127" i="2" s="1"/>
  <c r="L128" i="2" s="1"/>
  <c r="L129" i="2" s="1"/>
  <c r="L130" i="2" s="1"/>
  <c r="L131" i="2" s="1"/>
  <c r="L132" i="2" s="1"/>
  <c r="L133" i="2" s="1"/>
  <c r="L134" i="2" s="1"/>
  <c r="L135" i="2" s="1"/>
  <c r="L136" i="2" s="1"/>
  <c r="L137" i="2" s="1"/>
  <c r="L138" i="2" s="1"/>
  <c r="L139" i="2" s="1"/>
  <c r="L140" i="2" s="1"/>
  <c r="L141" i="2" s="1"/>
  <c r="L142" i="2" s="1"/>
  <c r="L143" i="2" s="1"/>
  <c r="L144" i="2" s="1"/>
  <c r="L145" i="2" s="1"/>
  <c r="L146" i="2" s="1"/>
  <c r="L147" i="2" s="1"/>
  <c r="L148" i="2" s="1"/>
  <c r="L149" i="2" s="1"/>
  <c r="L150" i="2" s="1"/>
  <c r="L151" i="2" s="1"/>
  <c r="L152" i="2" s="1"/>
  <c r="L153" i="2" s="1"/>
  <c r="L154" i="2" s="1"/>
  <c r="L155" i="2" s="1"/>
  <c r="L156" i="2" s="1"/>
  <c r="L157" i="2" s="1"/>
  <c r="L158" i="2" s="1"/>
  <c r="L159" i="2" s="1"/>
  <c r="L160" i="2" s="1"/>
  <c r="L161" i="2" s="1"/>
  <c r="L162" i="2" s="1"/>
  <c r="L163" i="2" s="1"/>
  <c r="L164" i="2" s="1"/>
  <c r="L165" i="2" s="1"/>
  <c r="L166" i="2" s="1"/>
  <c r="L167" i="2" s="1"/>
  <c r="L168" i="2" s="1"/>
  <c r="L169" i="2" s="1"/>
  <c r="L170" i="2" s="1"/>
  <c r="L171" i="2" s="1"/>
  <c r="L172" i="2" s="1"/>
  <c r="L173" i="2" s="1"/>
  <c r="L174" i="2" s="1"/>
  <c r="L175" i="2" s="1"/>
  <c r="L176" i="2" s="1"/>
  <c r="L177" i="2" s="1"/>
  <c r="L178" i="2" s="1"/>
  <c r="L179" i="2" s="1"/>
  <c r="L180" i="2" s="1"/>
  <c r="L181" i="2" s="1"/>
  <c r="L182" i="2" s="1"/>
  <c r="L183" i="2" s="1"/>
  <c r="L184" i="2" s="1"/>
  <c r="L185" i="2" s="1"/>
  <c r="L186" i="2" s="1"/>
  <c r="L187" i="2" s="1"/>
  <c r="L188" i="2" s="1"/>
  <c r="L189" i="2" s="1"/>
  <c r="L190" i="2" s="1"/>
  <c r="L191" i="2" s="1"/>
  <c r="L192" i="2" s="1"/>
  <c r="L193" i="2" s="1"/>
  <c r="L194" i="2" s="1"/>
  <c r="L195" i="2" s="1"/>
  <c r="L196" i="2" s="1"/>
  <c r="L197" i="2" s="1"/>
  <c r="L198" i="2" s="1"/>
  <c r="L199" i="2" s="1"/>
  <c r="L200" i="2" s="1"/>
  <c r="L201" i="2" s="1"/>
  <c r="L202" i="2" s="1"/>
  <c r="L203" i="2" s="1"/>
  <c r="L204" i="2" s="1"/>
  <c r="L205" i="2" s="1"/>
  <c r="L206" i="2" s="1"/>
  <c r="L207" i="2" s="1"/>
  <c r="L208" i="2" s="1"/>
  <c r="L209" i="2" s="1"/>
  <c r="L210" i="2" s="1"/>
  <c r="L211" i="2" s="1"/>
  <c r="L212" i="2" s="1"/>
  <c r="L213" i="2" s="1"/>
  <c r="L214" i="2" s="1"/>
  <c r="L215" i="2" s="1"/>
  <c r="L216" i="2" s="1"/>
  <c r="L217" i="2" s="1"/>
  <c r="L218" i="2" s="1"/>
  <c r="L219" i="2" s="1"/>
  <c r="L220" i="2" s="1"/>
  <c r="L221" i="2" s="1"/>
  <c r="L222" i="2" s="1"/>
  <c r="L223" i="2" s="1"/>
  <c r="L224" i="2" s="1"/>
  <c r="L225" i="2" s="1"/>
  <c r="L226" i="2" s="1"/>
  <c r="L227" i="2" s="1"/>
  <c r="L228" i="2" s="1"/>
  <c r="L229" i="2" s="1"/>
  <c r="L230" i="2" s="1"/>
  <c r="L231" i="2" s="1"/>
  <c r="L232" i="2" s="1"/>
  <c r="L233" i="2" s="1"/>
  <c r="L234" i="2" s="1"/>
  <c r="L235" i="2" s="1"/>
  <c r="L236" i="2" s="1"/>
  <c r="L237" i="2" s="1"/>
  <c r="L238" i="2" s="1"/>
  <c r="L239" i="2" s="1"/>
  <c r="L240" i="2" s="1"/>
  <c r="L241" i="2" s="1"/>
  <c r="L242" i="2" s="1"/>
  <c r="L243" i="2" s="1"/>
  <c r="L244" i="2" s="1"/>
  <c r="L245" i="2" s="1"/>
  <c r="L246" i="2" s="1"/>
  <c r="L247" i="2" s="1"/>
  <c r="L248" i="2" s="1"/>
  <c r="L249" i="2" s="1"/>
  <c r="L250" i="2" s="1"/>
  <c r="L251" i="2" s="1"/>
  <c r="L252" i="2" s="1"/>
  <c r="L253" i="2" s="1"/>
  <c r="L254" i="2" s="1"/>
  <c r="L255" i="2" s="1"/>
  <c r="L256" i="2" s="1"/>
  <c r="L257" i="2" s="1"/>
  <c r="L258" i="2" s="1"/>
  <c r="L259" i="2" s="1"/>
  <c r="L260" i="2" s="1"/>
  <c r="L261" i="2" s="1"/>
  <c r="L262" i="2" s="1"/>
  <c r="L263" i="2" s="1"/>
  <c r="L264" i="2" s="1"/>
  <c r="L265" i="2" s="1"/>
  <c r="L266" i="2" s="1"/>
  <c r="L267" i="2" s="1"/>
  <c r="L268" i="2" s="1"/>
  <c r="L269" i="2" s="1"/>
  <c r="L270" i="2" s="1"/>
  <c r="L271" i="2" s="1"/>
  <c r="L272" i="2" s="1"/>
  <c r="L273" i="2" s="1"/>
  <c r="L274" i="2" s="1"/>
  <c r="L275" i="2" s="1"/>
  <c r="L276" i="2" s="1"/>
  <c r="L277" i="2" s="1"/>
  <c r="L278" i="2" s="1"/>
  <c r="L279" i="2" s="1"/>
  <c r="L280" i="2" s="1"/>
  <c r="L281" i="2" s="1"/>
  <c r="L282" i="2" s="1"/>
  <c r="L283" i="2" s="1"/>
  <c r="L284" i="2" s="1"/>
  <c r="L285" i="2" s="1"/>
  <c r="L286" i="2" s="1"/>
  <c r="L287" i="2" s="1"/>
  <c r="L288" i="2" s="1"/>
  <c r="L289" i="2" s="1"/>
  <c r="L290" i="2" s="1"/>
  <c r="L291" i="2" s="1"/>
  <c r="L292" i="2" s="1"/>
  <c r="L293" i="2" s="1"/>
  <c r="L294" i="2" s="1"/>
  <c r="L295" i="2" s="1"/>
  <c r="L296" i="2" s="1"/>
  <c r="L297" i="2" s="1"/>
  <c r="L298" i="2" s="1"/>
  <c r="L299" i="2" s="1"/>
  <c r="L300" i="2" s="1"/>
  <c r="L301" i="2" s="1"/>
  <c r="L302" i="2" s="1"/>
  <c r="L303" i="2" s="1"/>
  <c r="L304" i="2" s="1"/>
  <c r="L305" i="2" s="1"/>
  <c r="L306" i="2" s="1"/>
  <c r="L307" i="2" s="1"/>
  <c r="L308" i="2" s="1"/>
  <c r="L309" i="2" s="1"/>
  <c r="L310" i="2" s="1"/>
  <c r="L311" i="2" s="1"/>
  <c r="L312" i="2" s="1"/>
  <c r="L313" i="2" s="1"/>
  <c r="L314" i="2" s="1"/>
  <c r="L315" i="2" s="1"/>
  <c r="L316" i="2" s="1"/>
  <c r="L317" i="2" s="1"/>
  <c r="L318" i="2" s="1"/>
  <c r="L319" i="2" s="1"/>
  <c r="L320" i="2" s="1"/>
  <c r="L321" i="2" s="1"/>
  <c r="L322" i="2" s="1"/>
  <c r="L323" i="2" s="1"/>
  <c r="L324" i="2" s="1"/>
  <c r="L325" i="2" s="1"/>
  <c r="L326" i="2" s="1"/>
  <c r="L327" i="2" s="1"/>
  <c r="L328" i="2" s="1"/>
  <c r="L329" i="2" s="1"/>
  <c r="L330" i="2" s="1"/>
  <c r="L331" i="2" s="1"/>
  <c r="L332" i="2" s="1"/>
  <c r="L333" i="2" s="1"/>
  <c r="L334" i="2" s="1"/>
  <c r="L335" i="2" s="1"/>
  <c r="L336" i="2" s="1"/>
  <c r="L337" i="2" s="1"/>
  <c r="L338" i="2" s="1"/>
  <c r="L339" i="2" s="1"/>
  <c r="L340" i="2" s="1"/>
  <c r="L341" i="2" s="1"/>
  <c r="L342" i="2" s="1"/>
  <c r="L343" i="2" s="1"/>
  <c r="L344" i="2" s="1"/>
  <c r="L345" i="2" s="1"/>
  <c r="L346" i="2" s="1"/>
  <c r="L347" i="2" s="1"/>
  <c r="L348" i="2" s="1"/>
  <c r="L349" i="2" s="1"/>
  <c r="L350" i="2" s="1"/>
  <c r="L351" i="2" s="1"/>
  <c r="L352" i="2" s="1"/>
  <c r="L353" i="2" s="1"/>
  <c r="L354" i="2" s="1"/>
  <c r="L355" i="2" s="1"/>
  <c r="L356" i="2" s="1"/>
  <c r="L357" i="2" s="1"/>
  <c r="L358" i="2" s="1"/>
  <c r="L359" i="2" s="1"/>
  <c r="L360" i="2" s="1"/>
  <c r="L361" i="2" s="1"/>
  <c r="L362" i="2" s="1"/>
  <c r="L363" i="2" s="1"/>
  <c r="L364" i="2" s="1"/>
  <c r="L365" i="2" s="1"/>
  <c r="L366" i="2" s="1"/>
  <c r="L367" i="2" s="1"/>
  <c r="L368" i="2" s="1"/>
  <c r="L369" i="2" s="1"/>
  <c r="L370" i="2" s="1"/>
  <c r="L371" i="2" s="1"/>
  <c r="L372" i="2" s="1"/>
  <c r="L373" i="2" s="1"/>
  <c r="L374" i="2" s="1"/>
  <c r="L375" i="2" s="1"/>
  <c r="L376" i="2" s="1"/>
  <c r="L377" i="2" s="1"/>
  <c r="L378" i="2" s="1"/>
  <c r="L379" i="2" s="1"/>
  <c r="L380" i="2" s="1"/>
  <c r="L381" i="2" s="1"/>
  <c r="L382" i="2" s="1"/>
  <c r="L383" i="2" s="1"/>
  <c r="L384" i="2" s="1"/>
  <c r="L385" i="2" s="1"/>
  <c r="L386" i="2" s="1"/>
  <c r="L387" i="2" s="1"/>
  <c r="L388" i="2" s="1"/>
  <c r="L389" i="2" s="1"/>
  <c r="L390" i="2" s="1"/>
  <c r="L391" i="2" s="1"/>
  <c r="L392" i="2" s="1"/>
  <c r="L393" i="2" s="1"/>
  <c r="L394" i="2" s="1"/>
  <c r="L395" i="2" s="1"/>
  <c r="L396" i="2" s="1"/>
  <c r="L397" i="2" s="1"/>
  <c r="L398" i="2" s="1"/>
  <c r="L399" i="2" s="1"/>
  <c r="L400" i="2" s="1"/>
  <c r="L401" i="2" s="1"/>
  <c r="L402" i="2" s="1"/>
  <c r="L403" i="2" s="1"/>
  <c r="L404" i="2" s="1"/>
  <c r="L405" i="2" s="1"/>
  <c r="L406" i="2" s="1"/>
  <c r="L407" i="2" s="1"/>
  <c r="L408" i="2" s="1"/>
  <c r="L409" i="2" s="1"/>
  <c r="L410" i="2" s="1"/>
  <c r="L411" i="2" s="1"/>
  <c r="L412" i="2" s="1"/>
  <c r="L413" i="2" s="1"/>
  <c r="L414" i="2" s="1"/>
  <c r="L415" i="2" s="1"/>
  <c r="L416" i="2" s="1"/>
  <c r="L417" i="2" s="1"/>
  <c r="L418" i="2" s="1"/>
  <c r="L419" i="2" s="1"/>
  <c r="L420" i="2" s="1"/>
  <c r="L421" i="2" s="1"/>
  <c r="L422" i="2" s="1"/>
  <c r="L423" i="2" s="1"/>
  <c r="L424" i="2" s="1"/>
  <c r="L425" i="2" s="1"/>
  <c r="L426" i="2" s="1"/>
  <c r="L427" i="2" s="1"/>
  <c r="L428" i="2" s="1"/>
  <c r="L429" i="2" s="1"/>
  <c r="C3" i="5" l="1"/>
  <c r="C4" i="5"/>
  <c r="C5" i="5"/>
  <c r="C6" i="5"/>
  <c r="C7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2" i="5"/>
  <c r="D111" i="5" l="1"/>
  <c r="E111" i="5" s="1"/>
  <c r="D103" i="5"/>
  <c r="E103" i="5" s="1"/>
  <c r="D91" i="5"/>
  <c r="E91" i="5" s="1"/>
  <c r="D83" i="5"/>
  <c r="E83" i="5" s="1"/>
  <c r="D75" i="5"/>
  <c r="E75" i="5" s="1"/>
  <c r="D67" i="5"/>
  <c r="E67" i="5" s="1"/>
  <c r="D59" i="5"/>
  <c r="E59" i="5" s="1"/>
  <c r="D55" i="5"/>
  <c r="E55" i="5" s="1"/>
  <c r="D51" i="5"/>
  <c r="E51" i="5" s="1"/>
  <c r="D47" i="5"/>
  <c r="E47" i="5" s="1"/>
  <c r="D43" i="5"/>
  <c r="E43" i="5" s="1"/>
  <c r="D39" i="5"/>
  <c r="E39" i="5" s="1"/>
  <c r="D35" i="5"/>
  <c r="E35" i="5" s="1"/>
  <c r="D31" i="5"/>
  <c r="E31" i="5" s="1"/>
  <c r="D121" i="5"/>
  <c r="E121" i="5" s="1"/>
  <c r="D117" i="5"/>
  <c r="E117" i="5" s="1"/>
  <c r="D113" i="5"/>
  <c r="E113" i="5" s="1"/>
  <c r="D109" i="5"/>
  <c r="E109" i="5" s="1"/>
  <c r="D105" i="5"/>
  <c r="E105" i="5" s="1"/>
  <c r="D101" i="5"/>
  <c r="E101" i="5" s="1"/>
  <c r="D97" i="5"/>
  <c r="E97" i="5" s="1"/>
  <c r="D93" i="5"/>
  <c r="E93" i="5" s="1"/>
  <c r="D89" i="5"/>
  <c r="E89" i="5" s="1"/>
  <c r="D85" i="5"/>
  <c r="E85" i="5" s="1"/>
  <c r="D81" i="5"/>
  <c r="E81" i="5" s="1"/>
  <c r="D77" i="5"/>
  <c r="E77" i="5" s="1"/>
  <c r="D73" i="5"/>
  <c r="E73" i="5" s="1"/>
  <c r="D69" i="5"/>
  <c r="E69" i="5" s="1"/>
  <c r="D65" i="5"/>
  <c r="E65" i="5" s="1"/>
  <c r="D61" i="5"/>
  <c r="E61" i="5" s="1"/>
  <c r="D57" i="5"/>
  <c r="E57" i="5" s="1"/>
  <c r="D53" i="5"/>
  <c r="E53" i="5" s="1"/>
  <c r="D49" i="5"/>
  <c r="E49" i="5" s="1"/>
  <c r="D45" i="5"/>
  <c r="E45" i="5" s="1"/>
  <c r="D41" i="5"/>
  <c r="E41" i="5" s="1"/>
  <c r="D37" i="5"/>
  <c r="E37" i="5" s="1"/>
  <c r="D33" i="5"/>
  <c r="E33" i="5" s="1"/>
  <c r="D123" i="5"/>
  <c r="E123" i="5" s="1"/>
  <c r="D87" i="5"/>
  <c r="E87" i="5" s="1"/>
  <c r="D124" i="5"/>
  <c r="E124" i="5" s="1"/>
  <c r="D120" i="5"/>
  <c r="E120" i="5" s="1"/>
  <c r="D116" i="5"/>
  <c r="E116" i="5" s="1"/>
  <c r="D112" i="5"/>
  <c r="E112" i="5" s="1"/>
  <c r="D108" i="5"/>
  <c r="E108" i="5" s="1"/>
  <c r="D104" i="5"/>
  <c r="E104" i="5" s="1"/>
  <c r="D100" i="5"/>
  <c r="E100" i="5" s="1"/>
  <c r="D96" i="5"/>
  <c r="E96" i="5" s="1"/>
  <c r="D92" i="5"/>
  <c r="E92" i="5" s="1"/>
  <c r="D88" i="5"/>
  <c r="E88" i="5" s="1"/>
  <c r="D84" i="5"/>
  <c r="E84" i="5" s="1"/>
  <c r="D80" i="5"/>
  <c r="E80" i="5" s="1"/>
  <c r="D76" i="5"/>
  <c r="E76" i="5" s="1"/>
  <c r="D72" i="5"/>
  <c r="E72" i="5" s="1"/>
  <c r="D68" i="5"/>
  <c r="E68" i="5" s="1"/>
  <c r="D64" i="5"/>
  <c r="E64" i="5" s="1"/>
  <c r="D60" i="5"/>
  <c r="E60" i="5" s="1"/>
  <c r="D56" i="5"/>
  <c r="E56" i="5" s="1"/>
  <c r="D52" i="5"/>
  <c r="E52" i="5" s="1"/>
  <c r="D48" i="5"/>
  <c r="E48" i="5" s="1"/>
  <c r="D44" i="5"/>
  <c r="E44" i="5" s="1"/>
  <c r="D40" i="5"/>
  <c r="E40" i="5" s="1"/>
  <c r="D36" i="5"/>
  <c r="E36" i="5" s="1"/>
  <c r="D32" i="5"/>
  <c r="E32" i="5" s="1"/>
  <c r="D119" i="5"/>
  <c r="E119" i="5" s="1"/>
  <c r="D99" i="5"/>
  <c r="E99" i="5" s="1"/>
  <c r="D71" i="5"/>
  <c r="E71" i="5" s="1"/>
  <c r="D115" i="5"/>
  <c r="E115" i="5" s="1"/>
  <c r="D107" i="5"/>
  <c r="E107" i="5" s="1"/>
  <c r="D95" i="5"/>
  <c r="E95" i="5" s="1"/>
  <c r="D79" i="5"/>
  <c r="E79" i="5" s="1"/>
  <c r="D63" i="5"/>
  <c r="E63" i="5" s="1"/>
  <c r="D122" i="5"/>
  <c r="E122" i="5" s="1"/>
  <c r="D118" i="5"/>
  <c r="E118" i="5" s="1"/>
  <c r="D114" i="5"/>
  <c r="E114" i="5" s="1"/>
  <c r="D110" i="5"/>
  <c r="E110" i="5" s="1"/>
  <c r="D106" i="5"/>
  <c r="E106" i="5" s="1"/>
  <c r="D102" i="5"/>
  <c r="E102" i="5" s="1"/>
  <c r="D98" i="5"/>
  <c r="E98" i="5" s="1"/>
  <c r="D94" i="5"/>
  <c r="E94" i="5" s="1"/>
  <c r="D90" i="5"/>
  <c r="E90" i="5" s="1"/>
  <c r="D86" i="5"/>
  <c r="E86" i="5" s="1"/>
  <c r="D82" i="5"/>
  <c r="E82" i="5" s="1"/>
  <c r="D78" i="5"/>
  <c r="E78" i="5" s="1"/>
  <c r="D74" i="5"/>
  <c r="E74" i="5" s="1"/>
  <c r="D70" i="5"/>
  <c r="E70" i="5" s="1"/>
  <c r="D66" i="5"/>
  <c r="E66" i="5" s="1"/>
  <c r="D62" i="5"/>
  <c r="E62" i="5" s="1"/>
  <c r="D58" i="5"/>
  <c r="E58" i="5" s="1"/>
  <c r="D54" i="5"/>
  <c r="E54" i="5" s="1"/>
  <c r="D50" i="5"/>
  <c r="E50" i="5" s="1"/>
  <c r="D46" i="5"/>
  <c r="E46" i="5" s="1"/>
  <c r="D42" i="5"/>
  <c r="E42" i="5" s="1"/>
  <c r="D38" i="5"/>
  <c r="E38" i="5" s="1"/>
  <c r="D34" i="5"/>
  <c r="E34" i="5" s="1"/>
  <c r="D2" i="5"/>
  <c r="E2" i="5" s="1"/>
  <c r="D30" i="5"/>
  <c r="E30" i="5" s="1"/>
  <c r="D29" i="5"/>
  <c r="E29" i="5" s="1"/>
  <c r="D28" i="5"/>
  <c r="E28" i="5" s="1"/>
  <c r="D27" i="5"/>
  <c r="E27" i="5" s="1"/>
  <c r="D26" i="5"/>
  <c r="E26" i="5" s="1"/>
  <c r="D25" i="5"/>
  <c r="E25" i="5" s="1"/>
  <c r="D24" i="5"/>
  <c r="E24" i="5" s="1"/>
  <c r="D23" i="5"/>
  <c r="E23" i="5" s="1"/>
  <c r="D22" i="5"/>
  <c r="E22" i="5" s="1"/>
  <c r="D21" i="5"/>
  <c r="E21" i="5" s="1"/>
  <c r="D20" i="5"/>
  <c r="E20" i="5" s="1"/>
  <c r="D19" i="5"/>
  <c r="E19" i="5" s="1"/>
  <c r="D18" i="5"/>
  <c r="E18" i="5" s="1"/>
  <c r="D17" i="5"/>
  <c r="E17" i="5" s="1"/>
  <c r="D16" i="5"/>
  <c r="E16" i="5" s="1"/>
  <c r="D15" i="5"/>
  <c r="E15" i="5" s="1"/>
  <c r="D14" i="5"/>
  <c r="E14" i="5" s="1"/>
  <c r="D13" i="5"/>
  <c r="E13" i="5" s="1"/>
  <c r="D12" i="5"/>
  <c r="E12" i="5" s="1"/>
  <c r="D11" i="5"/>
  <c r="E11" i="5" s="1"/>
  <c r="D10" i="5"/>
  <c r="E10" i="5" s="1"/>
  <c r="D9" i="5"/>
  <c r="E9" i="5" s="1"/>
  <c r="D7" i="5"/>
  <c r="E7" i="5" s="1"/>
  <c r="D6" i="5"/>
  <c r="E6" i="5" s="1"/>
  <c r="D5" i="5"/>
  <c r="E5" i="5" s="1"/>
  <c r="D4" i="5"/>
  <c r="E4" i="5" s="1"/>
  <c r="D3" i="5"/>
  <c r="E3" i="5" s="1"/>
  <c r="G2" i="2"/>
  <c r="A2" i="2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M2" i="2" l="1"/>
  <c r="J2" i="2"/>
  <c r="O2" i="2" s="1"/>
  <c r="H2" i="5"/>
  <c r="H1" i="5"/>
  <c r="I1" i="5" l="1"/>
  <c r="N2" i="2"/>
  <c r="K2" i="2"/>
  <c r="A3" i="4" l="1"/>
  <c r="A5" i="4"/>
  <c r="A4" i="4"/>
</calcChain>
</file>

<file path=xl/sharedStrings.xml><?xml version="1.0" encoding="utf-8"?>
<sst xmlns="http://schemas.openxmlformats.org/spreadsheetml/2006/main" count="20302" uniqueCount="2249">
  <si>
    <t>Facture</t>
  </si>
  <si>
    <t>Document de vente</t>
  </si>
  <si>
    <t>Date de la facture</t>
  </si>
  <si>
    <t>nÂ° client</t>
  </si>
  <si>
    <t>raison sociale</t>
  </si>
  <si>
    <t>nÂ° chargeur</t>
  </si>
  <si>
    <t>chargeur Alpha</t>
  </si>
  <si>
    <t>Nom chargeur</t>
  </si>
  <si>
    <t>NÂ° compte exploit.</t>
  </si>
  <si>
    <t>Nom compte exploit.</t>
  </si>
  <si>
    <t>Nom 2</t>
  </si>
  <si>
    <t>Nom 3</t>
  </si>
  <si>
    <t>Nom 4</t>
  </si>
  <si>
    <t>nÂ° payer</t>
  </si>
  <si>
    <t>Nom payer</t>
  </si>
  <si>
    <t>Groupe d'articles</t>
  </si>
  <si>
    <t>Article</t>
  </si>
  <si>
    <t>DÃ©signation article</t>
  </si>
  <si>
    <t>HiÃ©rarchie produits</t>
  </si>
  <si>
    <t>PRICING_COND</t>
  </si>
  <si>
    <t>Poste</t>
  </si>
  <si>
    <t>Date jour</t>
  </si>
  <si>
    <t>NumÃ©ro de colis</t>
  </si>
  <si>
    <t>Numero Colis interne</t>
  </si>
  <si>
    <t>Consignation ID</t>
  </si>
  <si>
    <t>nombre de points</t>
  </si>
  <si>
    <t>QuantitÃ© facturÃ©e</t>
  </si>
  <si>
    <t>Nombre de colis</t>
  </si>
  <si>
    <t>Poids pour le traitement commande vente</t>
  </si>
  <si>
    <t>UnitÃ© de qtÃ© base</t>
  </si>
  <si>
    <t>Valeur de Base</t>
  </si>
  <si>
    <t>CSR</t>
  </si>
  <si>
    <t>PER</t>
  </si>
  <si>
    <t>SGO</t>
  </si>
  <si>
    <t>prix kilos additionnel</t>
  </si>
  <si>
    <t>Saisie manuelle</t>
  </si>
  <si>
    <t>Monnaie ADV</t>
  </si>
  <si>
    <t>Client RÃ©fÃ©rence</t>
  </si>
  <si>
    <t>Client RÃ©fÃ©rence 1</t>
  </si>
  <si>
    <t>Client RÃ©fÃ©rence 2</t>
  </si>
  <si>
    <t>Client RÃ©fÃ©rence 3</t>
  </si>
  <si>
    <t>adresse de destination NOM</t>
  </si>
  <si>
    <t>adresse de dest. ADR1</t>
  </si>
  <si>
    <t>adresse de destination ADR2</t>
  </si>
  <si>
    <t>adresse de destination ADR3</t>
  </si>
  <si>
    <t>adresse de destination CP</t>
  </si>
  <si>
    <t>adresse de destination VILLE</t>
  </si>
  <si>
    <t>Code Pays</t>
  </si>
  <si>
    <t>Pays</t>
  </si>
  <si>
    <t>DSV_TRANSITNO</t>
  </si>
  <si>
    <t>LA RUCHE LOGISTIQUE</t>
  </si>
  <si>
    <t>LA RUCHE</t>
  </si>
  <si>
    <t>SURCHARGE</t>
  </si>
  <si>
    <t>SUR_ADM_01</t>
  </si>
  <si>
    <t>Frais de Gestion</t>
  </si>
  <si>
    <t>SURCHALL ADM</t>
  </si>
  <si>
    <t>KG</t>
  </si>
  <si>
    <t>EUR</t>
  </si>
  <si>
    <t>PARCEL_D01_S07</t>
  </si>
  <si>
    <t>Business Parcel - Dis. 01 - Size 07</t>
  </si>
  <si>
    <t>PARCEDOMESSTANDARD</t>
  </si>
  <si>
    <t>FR</t>
  </si>
  <si>
    <t>France</t>
  </si>
  <si>
    <t>PARCEL_D01_S05</t>
  </si>
  <si>
    <t>Business Parcel - Dis. 01 - Size 05</t>
  </si>
  <si>
    <t>PARIS</t>
  </si>
  <si>
    <t>PARCEL_D01_S04</t>
  </si>
  <si>
    <t>Business Parcel - Dis. 01 - Size 04</t>
  </si>
  <si>
    <t>MARSEILLE</t>
  </si>
  <si>
    <t>PARCEL_D01_S03</t>
  </si>
  <si>
    <t>Business Parcel - Dis. 01 - Size 03</t>
  </si>
  <si>
    <t>PARCEL_D01_S02</t>
  </si>
  <si>
    <t>Business Parcel - Dis. 01 - Size 02</t>
  </si>
  <si>
    <t>PARCEL_D01_S01</t>
  </si>
  <si>
    <t>Business Parcel - Dis. 01 - Size 01</t>
  </si>
  <si>
    <t>SURCHALL BPTOC</t>
  </si>
  <si>
    <t>SURCHALL GEO</t>
  </si>
  <si>
    <t>PARCEL_D01_S06</t>
  </si>
  <si>
    <t>Business Parcel - Dis. 01 - Size 06</t>
  </si>
  <si>
    <t>SURCHALL</t>
  </si>
  <si>
    <t>NANTES</t>
  </si>
  <si>
    <t>Total HT (hors gazole)</t>
  </si>
  <si>
    <t>Total HT</t>
  </si>
  <si>
    <t>Gazole</t>
  </si>
  <si>
    <t xml:space="preserve"> Transporteur </t>
  </si>
  <si>
    <t>Date validité tarif</t>
  </si>
  <si>
    <t>Réf.1</t>
  </si>
  <si>
    <t>Réf. 2</t>
  </si>
  <si>
    <t>Id client</t>
  </si>
  <si>
    <t>N° Tracking</t>
  </si>
  <si>
    <t>Nom</t>
  </si>
  <si>
    <t>E / P</t>
  </si>
  <si>
    <t xml:space="preserve"> Zone </t>
  </si>
  <si>
    <t xml:space="preserve"> Nbr Colis </t>
  </si>
  <si>
    <t xml:space="preserve"> Poids </t>
  </si>
  <si>
    <t>mode envoi</t>
  </si>
  <si>
    <t xml:space="preserve"> TVA </t>
  </si>
  <si>
    <t xml:space="preserve"> Droits et taxes </t>
  </si>
  <si>
    <t xml:space="preserve"> Assurance </t>
  </si>
  <si>
    <t xml:space="preserve"> Zones éloignées </t>
  </si>
  <si>
    <t xml:space="preserve"> Colis volumineux </t>
  </si>
  <si>
    <t xml:space="preserve"> Adresses </t>
  </si>
  <si>
    <t xml:space="preserve"> Frêt </t>
  </si>
  <si>
    <t xml:space="preserve"> plus-value BtoC </t>
  </si>
  <si>
    <t>P</t>
  </si>
  <si>
    <t>Catégorie</t>
  </si>
  <si>
    <t>Catégorie GLS</t>
  </si>
  <si>
    <t>Catégorie ERP</t>
  </si>
  <si>
    <t>Frêt</t>
  </si>
  <si>
    <t>Frais de gestion</t>
  </si>
  <si>
    <t>Frêt - avisé</t>
  </si>
  <si>
    <t>Zone éloignée</t>
  </si>
  <si>
    <t>(vide)</t>
  </si>
  <si>
    <t>Étiquettes de lignes</t>
  </si>
  <si>
    <t>Max. de Poids pour le traitement commande vente</t>
  </si>
  <si>
    <t>poids</t>
  </si>
  <si>
    <t>Total</t>
  </si>
  <si>
    <t>ID clients</t>
  </si>
  <si>
    <t>SURCHALL SNGLPRCL</t>
  </si>
  <si>
    <t>SURCHALL RETURN</t>
  </si>
  <si>
    <t>PARCEDOMESPRTN</t>
  </si>
  <si>
    <t>SURCHALL NC</t>
  </si>
  <si>
    <t>FDS</t>
  </si>
  <si>
    <t>Frêt - retour</t>
  </si>
  <si>
    <t>ZZ_Ramasse unicolis</t>
  </si>
  <si>
    <t>Hors gazole</t>
  </si>
  <si>
    <t>Taux gazole</t>
  </si>
  <si>
    <t>tracking</t>
  </si>
  <si>
    <t>AT</t>
  </si>
  <si>
    <t>DE</t>
  </si>
  <si>
    <t>BE</t>
  </si>
  <si>
    <t>PARCEEUROPSTANDARD</t>
  </si>
  <si>
    <t>ES</t>
  </si>
  <si>
    <t>IT</t>
  </si>
  <si>
    <t>HR</t>
  </si>
  <si>
    <t>HU</t>
  </si>
  <si>
    <t>PT</t>
  </si>
  <si>
    <t>BG</t>
  </si>
  <si>
    <t>NL</t>
  </si>
  <si>
    <t>RO</t>
  </si>
  <si>
    <t>FI</t>
  </si>
  <si>
    <t>PL</t>
  </si>
  <si>
    <t>CH</t>
  </si>
  <si>
    <t>Zone</t>
  </si>
  <si>
    <t>TVA</t>
  </si>
  <si>
    <t>Somme de Total HT (hors gazole)</t>
  </si>
  <si>
    <t>RENSEIGNER LES POIDS</t>
  </si>
  <si>
    <t>Total GO</t>
  </si>
  <si>
    <t>Somme de Total GO</t>
  </si>
  <si>
    <t>Poids</t>
  </si>
  <si>
    <t>PARCEDOMESPSHP</t>
  </si>
  <si>
    <t>LYON</t>
  </si>
  <si>
    <t>PARCEDOMESFDS</t>
  </si>
  <si>
    <t>PARCEDOMESSHDS</t>
  </si>
  <si>
    <t>PARCEEUROPFDS</t>
  </si>
  <si>
    <t>Atomic soda</t>
  </si>
  <si>
    <t>ANOTHER WAY</t>
  </si>
  <si>
    <t>LU</t>
  </si>
  <si>
    <t>Facture pdf</t>
  </si>
  <si>
    <t>Montant</t>
  </si>
  <si>
    <t>novembre 2022 -&gt; ok</t>
  </si>
  <si>
    <t>MOWLY</t>
  </si>
  <si>
    <t>AÃ„SGARD</t>
  </si>
  <si>
    <t>SURCHALL NTFCNCRD</t>
  </si>
  <si>
    <t>ALL MY KETO</t>
  </si>
  <si>
    <t>NOSC</t>
  </si>
  <si>
    <t>HYDRATIS</t>
  </si>
  <si>
    <t>Adresse</t>
  </si>
  <si>
    <t>Colis volumineux</t>
  </si>
  <si>
    <t>Le vapoteur tranquille</t>
  </si>
  <si>
    <t>DRUYDES</t>
  </si>
  <si>
    <t>Par un Curieux Hasard</t>
  </si>
  <si>
    <t>SERVIALL FDS</t>
  </si>
  <si>
    <t>DÃ©couvre Bitcoin</t>
  </si>
  <si>
    <t>KERBI</t>
  </si>
  <si>
    <t>Laboratoires Christian Roche</t>
  </si>
  <si>
    <t>FDS_D01_S01</t>
  </si>
  <si>
    <t>BP FlexDelivery - Dis. 01 - Size 01</t>
  </si>
  <si>
    <t>SUR_FS_AVIS_01</t>
  </si>
  <si>
    <t>AvisÃ© FDS</t>
  </si>
  <si>
    <t>SURCHALL PCKNOPAR</t>
  </si>
  <si>
    <t>IE</t>
  </si>
  <si>
    <t>ID</t>
  </si>
  <si>
    <t>Taux SGO %</t>
  </si>
  <si>
    <t>EDRA</t>
  </si>
  <si>
    <t>SENEA</t>
  </si>
  <si>
    <t>SpineFootwear</t>
  </si>
  <si>
    <t>BY FOUTAS</t>
  </si>
  <si>
    <t>ADOPTE UN BRASSEUR</t>
  </si>
  <si>
    <t>WISE</t>
  </si>
  <si>
    <t>PHARMACIE TALENSAC</t>
  </si>
  <si>
    <t>DENYS HELENE</t>
  </si>
  <si>
    <t>GR</t>
  </si>
  <si>
    <t>GLS</t>
  </si>
  <si>
    <t>EQUILIBRE CBD</t>
  </si>
  <si>
    <t>ENJOY THE WOOD</t>
  </si>
  <si>
    <t>(Tous)</t>
  </si>
  <si>
    <t>Présence</t>
  </si>
  <si>
    <t>19 RUE BEL AIR</t>
  </si>
  <si>
    <t>BERCAIL DECO</t>
  </si>
  <si>
    <t>Fichier import</t>
  </si>
  <si>
    <t>Ecart</t>
  </si>
  <si>
    <t>poids &lt; 500 g</t>
  </si>
  <si>
    <t>poids &gt; 500 g</t>
  </si>
  <si>
    <t>PARCEGLOBASTANDARD</t>
  </si>
  <si>
    <t>RE</t>
  </si>
  <si>
    <t>Frais de gestion ok</t>
  </si>
  <si>
    <t>ONEGUM</t>
  </si>
  <si>
    <t>HT</t>
  </si>
  <si>
    <t>TTC</t>
  </si>
  <si>
    <t>EE</t>
  </si>
  <si>
    <t>Prairymood</t>
  </si>
  <si>
    <t>SE</t>
  </si>
  <si>
    <t>EXPREDOMESSTANDARD</t>
  </si>
  <si>
    <t>zz</t>
  </si>
  <si>
    <t>STRASBOURG</t>
  </si>
  <si>
    <t>Somme de Total HT</t>
  </si>
  <si>
    <t>Total général</t>
  </si>
  <si>
    <t>TOULOUSE</t>
  </si>
  <si>
    <t>FDSDISC</t>
  </si>
  <si>
    <t>SERV_FDS_REBATE</t>
  </si>
  <si>
    <t>Service - FDS - Remise</t>
  </si>
  <si>
    <t>CZ</t>
  </si>
  <si>
    <t>NO</t>
  </si>
  <si>
    <t>Logistique</t>
  </si>
  <si>
    <t>ROUEN</t>
  </si>
  <si>
    <t>SUR_RET_BUP_D01</t>
  </si>
  <si>
    <t>Retour Colis BUP - Classe 01</t>
  </si>
  <si>
    <t>BORDEAUX</t>
  </si>
  <si>
    <t>NICE</t>
  </si>
  <si>
    <t>MONTPELLIER</t>
  </si>
  <si>
    <t>PARCEL_D01_S08</t>
  </si>
  <si>
    <t>Business Parcel - Dis. 01 - Size 08</t>
  </si>
  <si>
    <t>Majoration AvisÃ© sans TÃ©l ou mail</t>
  </si>
  <si>
    <t>ANGERS</t>
  </si>
  <si>
    <t>AIX-EN-PROVENCE</t>
  </si>
  <si>
    <t>ok</t>
  </si>
  <si>
    <t>DIJON</t>
  </si>
  <si>
    <t>LES PLOMBIERS DU VERCORS</t>
  </si>
  <si>
    <t>25 ALLEE DU LYONNAIS ZI NORD</t>
  </si>
  <si>
    <t>Ramassage Uni - Colis - Type 01</t>
  </si>
  <si>
    <t>Euro FlexDelivery - Dis. 11 - Size 01</t>
  </si>
  <si>
    <t>EuroBusiness Parcel - Dis. 12 - S. 13</t>
  </si>
  <si>
    <t>BOURG DE PEAGE</t>
  </si>
  <si>
    <t>AD</t>
  </si>
  <si>
    <t>CY</t>
  </si>
  <si>
    <t>DK</t>
  </si>
  <si>
    <t>GI</t>
  </si>
  <si>
    <t>LV</t>
  </si>
  <si>
    <t>LI</t>
  </si>
  <si>
    <t>LT</t>
  </si>
  <si>
    <t>MT</t>
  </si>
  <si>
    <t>GB</t>
  </si>
  <si>
    <t>SM</t>
  </si>
  <si>
    <t>SK</t>
  </si>
  <si>
    <t>SI</t>
  </si>
  <si>
    <t>TR</t>
  </si>
  <si>
    <t>VA</t>
  </si>
  <si>
    <t/>
  </si>
  <si>
    <t>Désignation article</t>
  </si>
  <si>
    <t>RONDEL CATHERINE</t>
  </si>
  <si>
    <t>LEVALLOIS-PERRET</t>
  </si>
  <si>
    <t>COURBEVOIE</t>
  </si>
  <si>
    <t>ANGLET</t>
  </si>
  <si>
    <t>LILLE</t>
  </si>
  <si>
    <t>PARCEL_D01_S09</t>
  </si>
  <si>
    <t>Business Parcel - Dis. 01 - Size 09</t>
  </si>
  <si>
    <t>EFDS</t>
  </si>
  <si>
    <t>FDS_D11_S01</t>
  </si>
  <si>
    <t>VANVES</t>
  </si>
  <si>
    <t>CLAMART</t>
  </si>
  <si>
    <t>BREST</t>
  </si>
  <si>
    <t>GRASSE</t>
  </si>
  <si>
    <t>SURESNES</t>
  </si>
  <si>
    <t>ANNECY</t>
  </si>
  <si>
    <t>PARCEL_D01_S10</t>
  </si>
  <si>
    <t>Business Parcel - Dis. 01 - Size 10</t>
  </si>
  <si>
    <t>Pays-Bas</t>
  </si>
  <si>
    <t>ANNEMASSE</t>
  </si>
  <si>
    <t>BIO COOP</t>
  </si>
  <si>
    <t>174 AVENUE DE SAINT MENET</t>
  </si>
  <si>
    <t>CALZADA ROSELYNE</t>
  </si>
  <si>
    <t>NANCY</t>
  </si>
  <si>
    <t>AMAZON-CDG7</t>
  </si>
  <si>
    <t>PA DES PORTES DE SENLIS</t>
  </si>
  <si>
    <t>1 AVENUE ALAIN BOUCHER</t>
  </si>
  <si>
    <t>SENLIS CEDEX</t>
  </si>
  <si>
    <t>DRAVEIL</t>
  </si>
  <si>
    <t>BONNEVILLE</t>
  </si>
  <si>
    <t>AVIGNON</t>
  </si>
  <si>
    <t>ERAGNY</t>
  </si>
  <si>
    <t>Tracking</t>
  </si>
  <si>
    <t>Raison</t>
  </si>
  <si>
    <t>Tarif</t>
  </si>
  <si>
    <t>LA COLLE SUR LOUP</t>
  </si>
  <si>
    <t>AMIENS</t>
  </si>
  <si>
    <t>MONTREUIL</t>
  </si>
  <si>
    <t>NEUILLY SUR SEINE</t>
  </si>
  <si>
    <t>NEUILLY-SUR-SEINE</t>
  </si>
  <si>
    <t>GARANCE CREATIVE</t>
  </si>
  <si>
    <t>HARMANDI</t>
  </si>
  <si>
    <t>RAIMBAUD MARINE</t>
  </si>
  <si>
    <t>6 RUE LOUIS CRISTAU</t>
  </si>
  <si>
    <t>SAINT GILLES CROIX DE VIE</t>
  </si>
  <si>
    <t>SAS MIRAMAR</t>
  </si>
  <si>
    <t>PORT CROUESTY</t>
  </si>
  <si>
    <t>DUCAUD CORINNE</t>
  </si>
  <si>
    <t>ARZON</t>
  </si>
  <si>
    <t>SAINT-MAUR-DES-FOSSES</t>
  </si>
  <si>
    <t>PUTEAUX</t>
  </si>
  <si>
    <t>CHALON-SUR-SAONE</t>
  </si>
  <si>
    <t>PARCEL_D01_S12</t>
  </si>
  <si>
    <t>Business Parcel - Dis. 01 - Size 12</t>
  </si>
  <si>
    <t>AURAY</t>
  </si>
  <si>
    <t>PALAISEAU</t>
  </si>
  <si>
    <t>SAINT-MALO</t>
  </si>
  <si>
    <t>VILLEURBANNE</t>
  </si>
  <si>
    <t>Allemagne</t>
  </si>
  <si>
    <t>SUR_MNT_D01</t>
  </si>
  <si>
    <t>Zone Montagne - Classe 01</t>
  </si>
  <si>
    <t>PHARMACIE LA CENTAUREE</t>
  </si>
  <si>
    <t>53 GRANDE RUE S ALLENDE</t>
  </si>
  <si>
    <t>LEONARD ALEXANDRA</t>
  </si>
  <si>
    <t>PASSY</t>
  </si>
  <si>
    <t>MERIGNAC</t>
  </si>
  <si>
    <t>1000 FLOWERS ACADEMY</t>
  </si>
  <si>
    <t>THOULOUZE ELODIE</t>
  </si>
  <si>
    <t>RUE DES FARAYETTES</t>
  </si>
  <si>
    <t>GAREOULT</t>
  </si>
  <si>
    <t>PARCEL_D01_S16</t>
  </si>
  <si>
    <t>Business Parcel - Dis. 01 - Size 16</t>
  </si>
  <si>
    <t>ARGEVILLE</t>
  </si>
  <si>
    <t>1198 AVENUE DU DR MAURICE DONA</t>
  </si>
  <si>
    <t>MOUGINS</t>
  </si>
  <si>
    <t>TASSIN-LA-DEMI-LUNE</t>
  </si>
  <si>
    <t>00KZ5BVG</t>
  </si>
  <si>
    <t>EXP20260522-2756836</t>
  </si>
  <si>
    <t>RINCK MARIE</t>
  </si>
  <si>
    <t>191 RUE DE LA PRADELLE</t>
  </si>
  <si>
    <t>CLERMONT-FERRAND</t>
  </si>
  <si>
    <t>GRENOBLE</t>
  </si>
  <si>
    <t>MONVERT-COMBE HELENE</t>
  </si>
  <si>
    <t>47 AV DU DOCTEUR ARNOLD NETTER</t>
  </si>
  <si>
    <t>AXEL TELECOM</t>
  </si>
  <si>
    <t>64 RUE DE LA REPUBLIQUE</t>
  </si>
  <si>
    <t>KRIMOVICH FABIENNE</t>
  </si>
  <si>
    <t>CHAMBERY</t>
  </si>
  <si>
    <t>ECULLY</t>
  </si>
  <si>
    <t>PARCEL_D01_S11</t>
  </si>
  <si>
    <t>Business Parcel - Dis. 01 - Size 11</t>
  </si>
  <si>
    <t>VERRIERES-LE-BUISSON</t>
  </si>
  <si>
    <t>SAINT OUEN</t>
  </si>
  <si>
    <t>TOURS</t>
  </si>
  <si>
    <t>DEWAELE HELENE</t>
  </si>
  <si>
    <t>287 AVENUE DE LA GARE</t>
  </si>
  <si>
    <t>CMI FRANCE - MAGAZINE ELLE</t>
  </si>
  <si>
    <t>92, AVENUE DE FRANCE</t>
  </si>
  <si>
    <t>QUIMPER</t>
  </si>
  <si>
    <t>COUDRAY SOPHIE</t>
  </si>
  <si>
    <t>9 AVENUE FLORIAN</t>
  </si>
  <si>
    <t>LE PLESSIS ROBINSON</t>
  </si>
  <si>
    <t>00KUR5TU</t>
  </si>
  <si>
    <t>EXP20260528-2768458-</t>
  </si>
  <si>
    <t>CARBALLEDA ELENA</t>
  </si>
  <si>
    <t>8 RUE ALFRED DE MUSSET</t>
  </si>
  <si>
    <t>FONTENAY-LE-FLEURY</t>
  </si>
  <si>
    <t>30.06.2026</t>
  </si>
  <si>
    <t>01.06.2026</t>
  </si>
  <si>
    <t>00KZZJTF</t>
  </si>
  <si>
    <t>EXP20260530-2770811-</t>
  </si>
  <si>
    <t>BERIOT LOUISE</t>
  </si>
  <si>
    <t>119 RUE DE LEGLISE</t>
  </si>
  <si>
    <t>LABRUYERE</t>
  </si>
  <si>
    <t>00KZZJTD</t>
  </si>
  <si>
    <t>EXP20260529-2769727-</t>
  </si>
  <si>
    <t>GENDRON CARINE</t>
  </si>
  <si>
    <t>4 LOTISSEMENT PARK KOZH</t>
  </si>
  <si>
    <t>SAINT-SEGAL</t>
  </si>
  <si>
    <t>00KZZJTH</t>
  </si>
  <si>
    <t>EXP20260529-2770182-</t>
  </si>
  <si>
    <t>KORMAS CELINE</t>
  </si>
  <si>
    <t>110 ROUTE DE THONES</t>
  </si>
  <si>
    <t>00KZZJT9</t>
  </si>
  <si>
    <t>EXP20260529-2769320-</t>
  </si>
  <si>
    <t>COSTE DE BAGNEAUX JUSTINE</t>
  </si>
  <si>
    <t>46 RUE LOUIS PETRI</t>
  </si>
  <si>
    <t>RENNES</t>
  </si>
  <si>
    <t>00KZZJTG</t>
  </si>
  <si>
    <t>EXP20260530-2770970-</t>
  </si>
  <si>
    <t>REAL CHARLES</t>
  </si>
  <si>
    <t>8 RUE RUHMKORFF</t>
  </si>
  <si>
    <t>00KZZJTA</t>
  </si>
  <si>
    <t>EXP20260529-2769726-</t>
  </si>
  <si>
    <t>GABORIT CLARISSE</t>
  </si>
  <si>
    <t>15 RUE DE LA LIBERTE</t>
  </si>
  <si>
    <t>00KZZJTC</t>
  </si>
  <si>
    <t>EXP20260529-2769287-</t>
  </si>
  <si>
    <t>HEUBES CAROLINE</t>
  </si>
  <si>
    <t>29 AVENUE FELIX FAURE</t>
  </si>
  <si>
    <t>00KZZJTB</t>
  </si>
  <si>
    <t>EXP20260529-2769423-</t>
  </si>
  <si>
    <t>HERVOUET DOMINIQUE</t>
  </si>
  <si>
    <t>10 IMPASSE DE LA DOUETTEE</t>
  </si>
  <si>
    <t>VERTOU</t>
  </si>
  <si>
    <t>00KZZJTE</t>
  </si>
  <si>
    <t>EXP20260529-2770183-</t>
  </si>
  <si>
    <t>CALLENDRET TIFFANY</t>
  </si>
  <si>
    <t>206 CHEMIN DE NARBAN</t>
  </si>
  <si>
    <t>ST VICTOR DE MORESTEL</t>
  </si>
  <si>
    <t>00KUR5TX</t>
  </si>
  <si>
    <t>EXP20260529-2769457-</t>
  </si>
  <si>
    <t>00KUR5TY</t>
  </si>
  <si>
    <t>EXP20260601-2773451-</t>
  </si>
  <si>
    <t>HELENE MAZO</t>
  </si>
  <si>
    <t>9 RUE DES CORDELIERES</t>
  </si>
  <si>
    <t>00KUR5TZ</t>
  </si>
  <si>
    <t>EXP20260601-2773449-</t>
  </si>
  <si>
    <t>MANGHI HANAN</t>
  </si>
  <si>
    <t>PAUL RIQUET 34 BIS ROUTE DE BA</t>
  </si>
  <si>
    <t>FRONTIGNAN</t>
  </si>
  <si>
    <t>02.06.2026</t>
  </si>
  <si>
    <t>00L0EX46</t>
  </si>
  <si>
    <t>EXP20260601-2774736</t>
  </si>
  <si>
    <t>LEROY FANNY</t>
  </si>
  <si>
    <t>9 RUE EMILE DUBOIS</t>
  </si>
  <si>
    <t>00L0EXC0</t>
  </si>
  <si>
    <t>EXP20260601-2772297</t>
  </si>
  <si>
    <t>GROSSEMY MARIE-LAURE</t>
  </si>
  <si>
    <t>24, RUE DES ERABLES</t>
  </si>
  <si>
    <t>GIVRY</t>
  </si>
  <si>
    <t>00KZZJTK</t>
  </si>
  <si>
    <t>EXP20260530-2771113-</t>
  </si>
  <si>
    <t>BRAIZE FREDERIC</t>
  </si>
  <si>
    <t>420 AVENUE DE LA FRUITIERE</t>
  </si>
  <si>
    <t>SCIEZ</t>
  </si>
  <si>
    <t>00KZZJTI</t>
  </si>
  <si>
    <t>EXP20260529-2769965-</t>
  </si>
  <si>
    <t>FICHET MORGAN</t>
  </si>
  <si>
    <t>9 RUE DU DOUET</t>
  </si>
  <si>
    <t>CESSON-SEVIGNE</t>
  </si>
  <si>
    <t>00KZZJU2</t>
  </si>
  <si>
    <t>EXP20260601-2774808-</t>
  </si>
  <si>
    <t>AUDRAIN ESTELLE</t>
  </si>
  <si>
    <t>305 RUE JEAN DAUSSET</t>
  </si>
  <si>
    <t>00KZZJTP</t>
  </si>
  <si>
    <t>EXP20260530-2771224-</t>
  </si>
  <si>
    <t>LAMY MEGANE</t>
  </si>
  <si>
    <t>24 RUE DU CLOCHER</t>
  </si>
  <si>
    <t>SAINT-TROPEZ</t>
  </si>
  <si>
    <t>00KZZJTY</t>
  </si>
  <si>
    <t>EXP20260601-2772286-</t>
  </si>
  <si>
    <t>ROBION MAEVA</t>
  </si>
  <si>
    <t>140 IMPASSE DES CHARMES</t>
  </si>
  <si>
    <t>COMMEQUIERS</t>
  </si>
  <si>
    <t>00KZZJTX</t>
  </si>
  <si>
    <t>EXP20260601-2772275-</t>
  </si>
  <si>
    <t>PERSICO CELINE</t>
  </si>
  <si>
    <t>20 RUE DES MARES BATIMENT K AP</t>
  </si>
  <si>
    <t>ROMAINVILLE</t>
  </si>
  <si>
    <t>00KZZJTS</t>
  </si>
  <si>
    <t>EXP20260601-2772276-</t>
  </si>
  <si>
    <t>PARIS VIRGINIE</t>
  </si>
  <si>
    <t>12 RUE DES CERISIERS</t>
  </si>
  <si>
    <t>CLIRON</t>
  </si>
  <si>
    <t>00KZZJU0</t>
  </si>
  <si>
    <t>EXP20260601-2772284-</t>
  </si>
  <si>
    <t>MILVILLE JUSTINE</t>
  </si>
  <si>
    <t>7 TER IMPASSE DE LA PAIX</t>
  </si>
  <si>
    <t>SAINT-BRICE-COURCELLES</t>
  </si>
  <si>
    <t>00KZZJTV</t>
  </si>
  <si>
    <t>EXP20260601-2772288-</t>
  </si>
  <si>
    <t>JURET NOLWEN</t>
  </si>
  <si>
    <t>19 PLACE DE L'HOTEL DE VILLE</t>
  </si>
  <si>
    <t>ROCHEFORT-SUR-LOIRE</t>
  </si>
  <si>
    <t>00KZZJTJ</t>
  </si>
  <si>
    <t>EXP20260529-2769861-</t>
  </si>
  <si>
    <t>FLAMMEN AURELIE</t>
  </si>
  <si>
    <t>LE GRAND BOISSIGNAN</t>
  </si>
  <si>
    <t>NOYAL-MUZILLAC</t>
  </si>
  <si>
    <t>00KZZJTL</t>
  </si>
  <si>
    <t>EXP20260530-2771365-</t>
  </si>
  <si>
    <t>PERROT SIBYLLE</t>
  </si>
  <si>
    <t>18 RUE PAUL BLONDEAU</t>
  </si>
  <si>
    <t>MARCQ-EN-BARUL</t>
  </si>
  <si>
    <t>00KZZJTM</t>
  </si>
  <si>
    <t>EXP20260530-2771657-</t>
  </si>
  <si>
    <t>HARTMANN CHARLOTTE</t>
  </si>
  <si>
    <t>222 CHEMIN DENTABOR</t>
  </si>
  <si>
    <t>BAZIEGE</t>
  </si>
  <si>
    <t>00KZZJTN</t>
  </si>
  <si>
    <t>EXP20260530-2771449-</t>
  </si>
  <si>
    <t>LLOYD JULIETTE</t>
  </si>
  <si>
    <t>11 AVENUE DES CIGALES</t>
  </si>
  <si>
    <t>GIF SUR YVETTE</t>
  </si>
  <si>
    <t>00KZZJTO</t>
  </si>
  <si>
    <t>EXP20260530-2771031-</t>
  </si>
  <si>
    <t>SARTORIO ALICE</t>
  </si>
  <si>
    <t>38 RUE DOCTEUR FRANCOIS MORUCC</t>
  </si>
  <si>
    <t>00KZZJTQ</t>
  </si>
  <si>
    <t>EXP20260601-2772278-</t>
  </si>
  <si>
    <t>BOUZY CLAIRE</t>
  </si>
  <si>
    <t>11 RUE LOUIS GAIN</t>
  </si>
  <si>
    <t>00KZZJTR</t>
  </si>
  <si>
    <t>EXP20260601-2772279-</t>
  </si>
  <si>
    <t>BIZOT MAUD</t>
  </si>
  <si>
    <t>24 RUE DES MARAIS</t>
  </si>
  <si>
    <t>CHAMBRECY</t>
  </si>
  <si>
    <t>00KZZJTT</t>
  </si>
  <si>
    <t>EXP20260601-2772285-</t>
  </si>
  <si>
    <t>LACROIX CLEMENT</t>
  </si>
  <si>
    <t>100 CHENIN DES 40 FONTS</t>
  </si>
  <si>
    <t>BARBIERES</t>
  </si>
  <si>
    <t>00KZZJTU</t>
  </si>
  <si>
    <t>EXP20260601-2772289-</t>
  </si>
  <si>
    <t>LOISEL JUSTINE</t>
  </si>
  <si>
    <t>1 PASSAGE ROBIN</t>
  </si>
  <si>
    <t>00KZZJTW</t>
  </si>
  <si>
    <t>EXP20260601-2772291-</t>
  </si>
  <si>
    <t>BUISSON JESSICA</t>
  </si>
  <si>
    <t>11 RUE DE L'ANCIEN LAVOIR</t>
  </si>
  <si>
    <t>ROUGEMONT-LE-CHATEAU</t>
  </si>
  <si>
    <t>00KZZJTZ</t>
  </si>
  <si>
    <t>EXP20260531-2771802-</t>
  </si>
  <si>
    <t>ROBINSON THOMAS</t>
  </si>
  <si>
    <t>4 BOULEVARD GRIFFOUL DORVAL</t>
  </si>
  <si>
    <t>00KZZJU1</t>
  </si>
  <si>
    <t>EXP20260601-2774809-</t>
  </si>
  <si>
    <t>ROSET SOPHIE</t>
  </si>
  <si>
    <t>10 RUE DU MOULIN</t>
  </si>
  <si>
    <t>00KZZJU3</t>
  </si>
  <si>
    <t>EXP20260602-2775755-</t>
  </si>
  <si>
    <t>FERHAT NATHALIE</t>
  </si>
  <si>
    <t>14 RUE DUPHOT</t>
  </si>
  <si>
    <t>00KUR5U0</t>
  </si>
  <si>
    <t>EXP20260601-2773433-</t>
  </si>
  <si>
    <t>MARTINOT STEPHANIE</t>
  </si>
  <si>
    <t>6 RUE DU CHATEAU D'EAU</t>
  </si>
  <si>
    <t>SAINT BARTHELEMY</t>
  </si>
  <si>
    <t>00KUR5U1</t>
  </si>
  <si>
    <t>EXP20260601-2773391-</t>
  </si>
  <si>
    <t>DURAND MELANIE</t>
  </si>
  <si>
    <t>57,PASSAGE DU MONT JOVET</t>
  </si>
  <si>
    <t>MOUTIERS</t>
  </si>
  <si>
    <t>00KUR5U2</t>
  </si>
  <si>
    <t>EXP20260529-2770258-</t>
  </si>
  <si>
    <t>DOUCE CANDICE</t>
  </si>
  <si>
    <t>475 RUE PARADIS</t>
  </si>
  <si>
    <t>00KUR5U3</t>
  </si>
  <si>
    <t>EXP20260601-2774328-</t>
  </si>
  <si>
    <t>ANNE-SOPHIE DE GROER</t>
  </si>
  <si>
    <t>7 AVENUE DU 8 MAI 1945 91120 P</t>
  </si>
  <si>
    <t>00KUR5U4</t>
  </si>
  <si>
    <t>EXP20260531-2771965-</t>
  </si>
  <si>
    <t>HIS CAROLE</t>
  </si>
  <si>
    <t>48BIS RUE RACINE</t>
  </si>
  <si>
    <t>00KUR5U5</t>
  </si>
  <si>
    <t>EXP20260531-2771952-</t>
  </si>
  <si>
    <t>ABDELLAH ANAELLE</t>
  </si>
  <si>
    <t>40 RUE DE BENFELD</t>
  </si>
  <si>
    <t>00KUR5U6</t>
  </si>
  <si>
    <t>EXP20260602-2775672-</t>
  </si>
  <si>
    <t>LEVEQUE GUILLAUME</t>
  </si>
  <si>
    <t>1251 ROUTE DE LA TELECABINE</t>
  </si>
  <si>
    <t>CROZET</t>
  </si>
  <si>
    <t>00L0DR8P</t>
  </si>
  <si>
    <t>EXP20260601-2774231</t>
  </si>
  <si>
    <t>00L0DT0Y</t>
  </si>
  <si>
    <t>EXP20260601-2774558</t>
  </si>
  <si>
    <t>00L0DT2S</t>
  </si>
  <si>
    <t>EXP20260601-2774236</t>
  </si>
  <si>
    <t>03.06.2026</t>
  </si>
  <si>
    <t>00KUR5UE</t>
  </si>
  <si>
    <t>EXP20260602-2776795-</t>
  </si>
  <si>
    <t>HAYER CECILIA</t>
  </si>
  <si>
    <t>11 RUE DE L'EGLISE</t>
  </si>
  <si>
    <t>WESTHALTEN</t>
  </si>
  <si>
    <t>00KUR5UF</t>
  </si>
  <si>
    <t>EXP20260603-2778695-</t>
  </si>
  <si>
    <t>UN LIVRE ANASTASIA</t>
  </si>
  <si>
    <t>6 AVENUE DE MESSINE</t>
  </si>
  <si>
    <t>00KUR5UD</t>
  </si>
  <si>
    <t>EXP20260602-2776136-</t>
  </si>
  <si>
    <t>LEBORGNE MAXIME</t>
  </si>
  <si>
    <t>77 QUATER ROUTE DE LA LOIRE</t>
  </si>
  <si>
    <t>DIVATTE SUR LOIRE</t>
  </si>
  <si>
    <t>00KUR5U7</t>
  </si>
  <si>
    <t>EXP20260602-2776023-</t>
  </si>
  <si>
    <t>00KUR5U9</t>
  </si>
  <si>
    <t>EXP20260602-2776040-</t>
  </si>
  <si>
    <t>00KUR5UC</t>
  </si>
  <si>
    <t>EXP20260602-2776918-</t>
  </si>
  <si>
    <t>MANFREDI LUANA</t>
  </si>
  <si>
    <t>261 CHEMIN DE LA COSTIERE</t>
  </si>
  <si>
    <t>00KUR5U8</t>
  </si>
  <si>
    <t>EXP20260527-2766394-</t>
  </si>
  <si>
    <t>DE COURCY CHRISTINE</t>
  </si>
  <si>
    <t>4, AVENUE DE LA GARE LES PRAI</t>
  </si>
  <si>
    <t>LANTON</t>
  </si>
  <si>
    <t>00KUR5UA</t>
  </si>
  <si>
    <t>EXP20260602-2777009-</t>
  </si>
  <si>
    <t>DEVISME NOEMIE</t>
  </si>
  <si>
    <t>2 RUE DU POISSON BLEU</t>
  </si>
  <si>
    <t>CHATENAY MALABRY</t>
  </si>
  <si>
    <t>00KUR5UB</t>
  </si>
  <si>
    <t>EXP20260602-2776794-</t>
  </si>
  <si>
    <t>00L0GLJP</t>
  </si>
  <si>
    <t>EXP20260602-2777085</t>
  </si>
  <si>
    <t>VEYSSADE SANDRA</t>
  </si>
  <si>
    <t>149 RUE DES ERABLES</t>
  </si>
  <si>
    <t>SAINT CANNAT</t>
  </si>
  <si>
    <t>00KZZJU4</t>
  </si>
  <si>
    <t>EXP20260602-2776355-</t>
  </si>
  <si>
    <t>00KZZJU5</t>
  </si>
  <si>
    <t>EXP20260601-2774807-</t>
  </si>
  <si>
    <t>BROCHART NANS</t>
  </si>
  <si>
    <t>8 RUE CLEMENT VIENOT</t>
  </si>
  <si>
    <t>VINCENNES</t>
  </si>
  <si>
    <t>00KZZJU6</t>
  </si>
  <si>
    <t>EXP20260602-2777082-</t>
  </si>
  <si>
    <t>LEA LABROUSSE</t>
  </si>
  <si>
    <t>86 AVENUE DE STALINGRAD</t>
  </si>
  <si>
    <t>FONTENAY-SOUS-BOIS</t>
  </si>
  <si>
    <t>00KZZJU7</t>
  </si>
  <si>
    <t>EXP20260603-2777637-</t>
  </si>
  <si>
    <t>DROILLARD MAELIS</t>
  </si>
  <si>
    <t>4 RUE DU REDUIT</t>
  </si>
  <si>
    <t>BRUGES</t>
  </si>
  <si>
    <t>00KZZJU8</t>
  </si>
  <si>
    <t>EXP20260602-2777194-</t>
  </si>
  <si>
    <t>SAINT BLANCAT MILENA</t>
  </si>
  <si>
    <t>29 IMPASSE CHIMENE</t>
  </si>
  <si>
    <t>00KZZJU9</t>
  </si>
  <si>
    <t>EXP20260602-2777192-</t>
  </si>
  <si>
    <t>SERGENT AGATHE</t>
  </si>
  <si>
    <t>9 RUE DU LOCH</t>
  </si>
  <si>
    <t>PLOUHINEC</t>
  </si>
  <si>
    <t>00KZZJUA</t>
  </si>
  <si>
    <t>EXP20260602-2777358-</t>
  </si>
  <si>
    <t>BAOUCHE FABIENNE</t>
  </si>
  <si>
    <t>2 RUE CHOPIN</t>
  </si>
  <si>
    <t>OIGNIES</t>
  </si>
  <si>
    <t>00KZZJUB</t>
  </si>
  <si>
    <t>EXP20260602-2777018-</t>
  </si>
  <si>
    <t>TADRIST MAURANE</t>
  </si>
  <si>
    <t>5 RUE PASTEUR</t>
  </si>
  <si>
    <t>RIS-ORANGIS</t>
  </si>
  <si>
    <t>00KZZJUC</t>
  </si>
  <si>
    <t>EXP20260603-2777940-</t>
  </si>
  <si>
    <t>TOUTENU CAMILLE</t>
  </si>
  <si>
    <t>CHEMIN DU PRE POULET</t>
  </si>
  <si>
    <t>MONTAGNY</t>
  </si>
  <si>
    <t>SUR_CARD_01</t>
  </si>
  <si>
    <t>00L0EXFW</t>
  </si>
  <si>
    <t>EXP20260601-2772294</t>
  </si>
  <si>
    <t>ROBERT MURIEL</t>
  </si>
  <si>
    <t>1 CHEMIN DU STADE</t>
  </si>
  <si>
    <t>GIPCY</t>
  </si>
  <si>
    <t>00L0F7R5</t>
  </si>
  <si>
    <t>EXP20260602-2775957</t>
  </si>
  <si>
    <t>BOISSIN CHANTAL</t>
  </si>
  <si>
    <t>11 LOTISSEMENT LA SONATINE 263</t>
  </si>
  <si>
    <t>INT MARCEL- LES-VALENCE</t>
  </si>
  <si>
    <t>SAINT MARCEL LES VALENCES</t>
  </si>
  <si>
    <t>04.06.2026</t>
  </si>
  <si>
    <t>00KZZJUE</t>
  </si>
  <si>
    <t>EXP20260603-2779671-</t>
  </si>
  <si>
    <t>00KZZJUD</t>
  </si>
  <si>
    <t>EXP20260604-2779972-</t>
  </si>
  <si>
    <t>DEVEVEY JULIA</t>
  </si>
  <si>
    <t>42 ROUTE DE LAIVES</t>
  </si>
  <si>
    <t>LALHEUE</t>
  </si>
  <si>
    <t>00KZZJUH</t>
  </si>
  <si>
    <t>EXP20260603-2779673-</t>
  </si>
  <si>
    <t>TERNISIEN HELENE</t>
  </si>
  <si>
    <t>13 RUE EMILE BATAILLE</t>
  </si>
  <si>
    <t>00KUR5UG</t>
  </si>
  <si>
    <t>EXP20260603-2778120-</t>
  </si>
  <si>
    <t>MARTINE ABITBOL</t>
  </si>
  <si>
    <t>4 RUE SAINT GILLES 75003 PARIS</t>
  </si>
  <si>
    <t>00KUR5UH</t>
  </si>
  <si>
    <t>EXP20260603-2779498-</t>
  </si>
  <si>
    <t>MESNARD RAYAN</t>
  </si>
  <si>
    <t>6 RUE DE LA HOLLANDE</t>
  </si>
  <si>
    <t>CHOLET</t>
  </si>
  <si>
    <t>00KUR5UI</t>
  </si>
  <si>
    <t>EXP20260603-2779680-</t>
  </si>
  <si>
    <t>OGEZ MAXIME</t>
  </si>
  <si>
    <t>39, RUE DU LEVANT</t>
  </si>
  <si>
    <t>JACOU</t>
  </si>
  <si>
    <t>00KZZJUF</t>
  </si>
  <si>
    <t>EXP20260604-2779957-</t>
  </si>
  <si>
    <t>BENCHEIKH NAJAT</t>
  </si>
  <si>
    <t>33 RUE DES BERGERES</t>
  </si>
  <si>
    <t>LES ULIS</t>
  </si>
  <si>
    <t>00KZZJUG</t>
  </si>
  <si>
    <t>EXP20260603-2779472-</t>
  </si>
  <si>
    <t>TRETON ALEXIS</t>
  </si>
  <si>
    <t>14 SQUARE JEAN MONNET</t>
  </si>
  <si>
    <t>VELIZY VILLACOUBLAY</t>
  </si>
  <si>
    <t>00KZZJUI</t>
  </si>
  <si>
    <t>EXP20260603-2779605-</t>
  </si>
  <si>
    <t>MOIGNIER MANON</t>
  </si>
  <si>
    <t>31 RUE DES ORMES</t>
  </si>
  <si>
    <t>SAINT-NOM-LA-BRETECHE</t>
  </si>
  <si>
    <t>05.06.2026</t>
  </si>
  <si>
    <t>00KUR5UO</t>
  </si>
  <si>
    <t>EXP20260604-2781631-</t>
  </si>
  <si>
    <t>00KUR5UP</t>
  </si>
  <si>
    <t>EXP20260604-2781710-</t>
  </si>
  <si>
    <t>COUDRAY MARINE</t>
  </si>
  <si>
    <t>81 ANCIEN CHEMIN DU TRIADOU</t>
  </si>
  <si>
    <t>SAINT-JEAN-DE-CUCULLES</t>
  </si>
  <si>
    <t>00KUR5UJ</t>
  </si>
  <si>
    <t>EXP20260604-2780111-</t>
  </si>
  <si>
    <t>MARTINI MAXIME</t>
  </si>
  <si>
    <t>4 AVENUE ALPHONSE MOREL</t>
  </si>
  <si>
    <t>00KUR5UK</t>
  </si>
  <si>
    <t>EXP20260604-2780173-</t>
  </si>
  <si>
    <t>00KUR5UN</t>
  </si>
  <si>
    <t>EXP20260604-2781583-</t>
  </si>
  <si>
    <t>00KUR5UM</t>
  </si>
  <si>
    <t>EXP20260604-2781064-</t>
  </si>
  <si>
    <t>LOPEZ VINCENT</t>
  </si>
  <si>
    <t>340 CHEMIN DE BOUSSAZ</t>
  </si>
  <si>
    <t>SALLANCHES</t>
  </si>
  <si>
    <t>00KUR5UL</t>
  </si>
  <si>
    <t>EXP20260604-2780773-</t>
  </si>
  <si>
    <t>ANAIS NATAF</t>
  </si>
  <si>
    <t>30 RUE MARIE LOUISE 13008 MARS</t>
  </si>
  <si>
    <t>00KZZJUO</t>
  </si>
  <si>
    <t>EXP20260605-2782630-</t>
  </si>
  <si>
    <t>FRUHAUF CATHERINE</t>
  </si>
  <si>
    <t>2 RUE DES MACONS</t>
  </si>
  <si>
    <t>HOTTVILLER</t>
  </si>
  <si>
    <t>00KZZJUN</t>
  </si>
  <si>
    <t>EXP20260604-2781474-</t>
  </si>
  <si>
    <t>DALLENBACH LAURIE</t>
  </si>
  <si>
    <t>380 CHEM. DES PONCHONS</t>
  </si>
  <si>
    <t>LA GAUDE</t>
  </si>
  <si>
    <t>00KZZJUL</t>
  </si>
  <si>
    <t>EXP20260604-2781475-</t>
  </si>
  <si>
    <t>00KZZJUM</t>
  </si>
  <si>
    <t>EXP20260605-2782181-</t>
  </si>
  <si>
    <t>FRANCOIS HELOISE</t>
  </si>
  <si>
    <t>9 PLACE D'AUSTERLITZ (PHARMACI</t>
  </si>
  <si>
    <t>SAINTE-MENEHOULD</t>
  </si>
  <si>
    <t>00KZZJUP</t>
  </si>
  <si>
    <t>EXP20260605-2782367-</t>
  </si>
  <si>
    <t>BUFFET GILLES</t>
  </si>
  <si>
    <t>90 CHEMIN DES VALLIERES</t>
  </si>
  <si>
    <t>LYAUD</t>
  </si>
  <si>
    <t>00KZZJUK</t>
  </si>
  <si>
    <t>EXP20260604-2781388-</t>
  </si>
  <si>
    <t>00KZZJUJ</t>
  </si>
  <si>
    <t>EXP20260604-2780721-</t>
  </si>
  <si>
    <t>DEFFRENNES HELENE</t>
  </si>
  <si>
    <t>1 IMPASSE JOAN MIRO</t>
  </si>
  <si>
    <t>SAINT-GENEST-LERPT</t>
  </si>
  <si>
    <t>SUR_FS_AVIS_02</t>
  </si>
  <si>
    <t>AvisÃ© FDS 2eme passage</t>
  </si>
  <si>
    <t>08.06.2026</t>
  </si>
  <si>
    <t>00L0SRL4</t>
  </si>
  <si>
    <t>EXP20260607-2784982</t>
  </si>
  <si>
    <t>MAZZOLENI SANDRA</t>
  </si>
  <si>
    <t>354 ROUTE DES PRES COMMUNAUX</t>
  </si>
  <si>
    <t>ROTHERENS</t>
  </si>
  <si>
    <t>00KZZJUQ</t>
  </si>
  <si>
    <t>EXP20260606-2783929-</t>
  </si>
  <si>
    <t>DRAY CANDICE</t>
  </si>
  <si>
    <t>4 RUE DE LA COURONNE</t>
  </si>
  <si>
    <t>NIMES</t>
  </si>
  <si>
    <t>00KUR5UQ</t>
  </si>
  <si>
    <t>EXP20260605-2783071-</t>
  </si>
  <si>
    <t>CONGI MELISSA</t>
  </si>
  <si>
    <t>12 RUE TRUFFAUT</t>
  </si>
  <si>
    <t>00KUR5UR</t>
  </si>
  <si>
    <t>EXP20260605-2783070-</t>
  </si>
  <si>
    <t>COIGNARD JADE</t>
  </si>
  <si>
    <t>21 RUE REAUMUR</t>
  </si>
  <si>
    <t>09.06.2026</t>
  </si>
  <si>
    <t>00KZZJUT</t>
  </si>
  <si>
    <t>EXP20260608-2786027-</t>
  </si>
  <si>
    <t>MAISONNEUVE CAROLE</t>
  </si>
  <si>
    <t>2 RUE DE LA VALLEE</t>
  </si>
  <si>
    <t>SAINT-GENIS-LES-OLLIERES</t>
  </si>
  <si>
    <t>00KZZJUU</t>
  </si>
  <si>
    <t>EXP20260608-2787171-</t>
  </si>
  <si>
    <t>ALLIX CHRISTINE</t>
  </si>
  <si>
    <t>120 RUE DE SILLY</t>
  </si>
  <si>
    <t>BOULOGNE-BILLANCOURT</t>
  </si>
  <si>
    <t>00KZZJUR</t>
  </si>
  <si>
    <t>EXP20260605-2783167-</t>
  </si>
  <si>
    <t>SAINT MARTIN EMMA</t>
  </si>
  <si>
    <t>29 RUE HENRI PAUQUET</t>
  </si>
  <si>
    <t>CREIL</t>
  </si>
  <si>
    <t>00KZZJUS</t>
  </si>
  <si>
    <t>EXP20260606-2783698-</t>
  </si>
  <si>
    <t>GUICHARD DANIELE</t>
  </si>
  <si>
    <t>44 AVENUE DE LA MARCHE</t>
  </si>
  <si>
    <t>GOUZON</t>
  </si>
  <si>
    <t>00KUR5UT</t>
  </si>
  <si>
    <t>EXP20260606-2783600-</t>
  </si>
  <si>
    <t>CHACHA EMNA</t>
  </si>
  <si>
    <t>134 RUE PEYSSONNEL</t>
  </si>
  <si>
    <t>00KUR5V0</t>
  </si>
  <si>
    <t>EXP20260608-2785587-</t>
  </si>
  <si>
    <t>BORDARIES YOANN</t>
  </si>
  <si>
    <t>52 ROUTE DE VERTOU</t>
  </si>
  <si>
    <t>00KUR5UY</t>
  </si>
  <si>
    <t>EXP20260607-2784685-</t>
  </si>
  <si>
    <t>RIVOIRE GENEVIEVE</t>
  </si>
  <si>
    <t>74 BD DES BROTTEAUX</t>
  </si>
  <si>
    <t>00KUR5UU</t>
  </si>
  <si>
    <t>EXP20260606-2783694-</t>
  </si>
  <si>
    <t>DUBRULLE HUGO</t>
  </si>
  <si>
    <t>62 AVENUE DU GENERAL DE GAULLE</t>
  </si>
  <si>
    <t>SAUMUR</t>
  </si>
  <si>
    <t>00KUR5V1</t>
  </si>
  <si>
    <t>EXP20260608-2787020-</t>
  </si>
  <si>
    <t>LAFOND HANNA</t>
  </si>
  <si>
    <t>22 RUE DES BELLES FEUILLES</t>
  </si>
  <si>
    <t>00KUR5UZ</t>
  </si>
  <si>
    <t>EXP20260605-2783483-</t>
  </si>
  <si>
    <t>MAKHLOUF MELANIE</t>
  </si>
  <si>
    <t>17 RUE DES BATELIERS</t>
  </si>
  <si>
    <t>00KUR5UW</t>
  </si>
  <si>
    <t>EXP20260606-2783588-</t>
  </si>
  <si>
    <t>GUILBAUD MICHEL</t>
  </si>
  <si>
    <t>34 RUE DES FLANDRES, 76290 MON</t>
  </si>
  <si>
    <t>MONTIVILLIERS</t>
  </si>
  <si>
    <t>00KUR5US</t>
  </si>
  <si>
    <t>EXP20260607-2784926-</t>
  </si>
  <si>
    <t>VEZIGNOL CHARLINE</t>
  </si>
  <si>
    <t>16 RUE PIERRE LHOMME</t>
  </si>
  <si>
    <t>00KUR5UX</t>
  </si>
  <si>
    <t>EXP20260607-2784612-</t>
  </si>
  <si>
    <t>LAHALLE JEREMY</t>
  </si>
  <si>
    <t>66 RUE DU GENERAL LECLERC</t>
  </si>
  <si>
    <t>ROSNY SOUS BOIS</t>
  </si>
  <si>
    <t>00KUR5UV</t>
  </si>
  <si>
    <t>EXP20260606-2783885-</t>
  </si>
  <si>
    <t>LASTRA-DAME PAULA</t>
  </si>
  <si>
    <t>3, CHEMIN DES CHATAIGNIERS</t>
  </si>
  <si>
    <t>DROUE-SUR-DROUETTE</t>
  </si>
  <si>
    <t>10.06.2026</t>
  </si>
  <si>
    <t>00KUR5V2</t>
  </si>
  <si>
    <t>EXP20260609-2788797-</t>
  </si>
  <si>
    <t>GIROLD SYLVIE</t>
  </si>
  <si>
    <t>1 ALLEE AIME CESAIRE</t>
  </si>
  <si>
    <t>PESSAC</t>
  </si>
  <si>
    <t>00KUR5V6</t>
  </si>
  <si>
    <t>EXP20260610-2789865-</t>
  </si>
  <si>
    <t>LEDARD (SAVARD) MARIANNE</t>
  </si>
  <si>
    <t>18 BOULEVARD ANDRE DETOLLE</t>
  </si>
  <si>
    <t>CAEN</t>
  </si>
  <si>
    <t>00KUR5V4</t>
  </si>
  <si>
    <t>EXP20260609-2789355-</t>
  </si>
  <si>
    <t>00KUR5V5</t>
  </si>
  <si>
    <t>EXP20260609-2789644-</t>
  </si>
  <si>
    <t>BURTIN MME CELINE</t>
  </si>
  <si>
    <t>55 IMPASSE DE PIE BOUQUET</t>
  </si>
  <si>
    <t>BOISSERON</t>
  </si>
  <si>
    <t>00KUR5V3</t>
  </si>
  <si>
    <t>EXP20260604-2780157-</t>
  </si>
  <si>
    <t>11 BD DE SEBASTOPOL</t>
  </si>
  <si>
    <t>PARIS 1ER ARRONDISSEMENT</t>
  </si>
  <si>
    <t>00L29F9X</t>
  </si>
  <si>
    <t>EXP20260609-2788660</t>
  </si>
  <si>
    <t>00L29FI2</t>
  </si>
  <si>
    <t>EXP20260609-2788659</t>
  </si>
  <si>
    <t>00KZZJUX</t>
  </si>
  <si>
    <t>EXP20260609-2789388-</t>
  </si>
  <si>
    <t>SAINT OLIVE CHARLOTTE</t>
  </si>
  <si>
    <t>2 RUE TRONCHET</t>
  </si>
  <si>
    <t>00KZZJUW</t>
  </si>
  <si>
    <t>EXP20260610-2789857-</t>
  </si>
  <si>
    <t>GOUJON JEAN FRANCOIS</t>
  </si>
  <si>
    <t>8 RUE DE LA BROT</t>
  </si>
  <si>
    <t>00KZZJUY</t>
  </si>
  <si>
    <t>EXP20260609-2789243-</t>
  </si>
  <si>
    <t>PETROVER BENJAMIN</t>
  </si>
  <si>
    <t>1 PL. RODIN</t>
  </si>
  <si>
    <t>00KZZJUV</t>
  </si>
  <si>
    <t>EXP20260609-2788943-</t>
  </si>
  <si>
    <t>JONAT PATRICE</t>
  </si>
  <si>
    <t>12 RUE DE L'EGLISE</t>
  </si>
  <si>
    <t>WINKEL</t>
  </si>
  <si>
    <t>11.06.2026</t>
  </si>
  <si>
    <t>00KUR5V7</t>
  </si>
  <si>
    <t>EXP20260610-2790001-</t>
  </si>
  <si>
    <t>TOZZI MARGAUX</t>
  </si>
  <si>
    <t>14 RUE DU GAZ</t>
  </si>
  <si>
    <t>MARTIGUES</t>
  </si>
  <si>
    <t>00KUR5V8</t>
  </si>
  <si>
    <t>EXP20260610-2791235-</t>
  </si>
  <si>
    <t>BERNE RACHEL</t>
  </si>
  <si>
    <t>6 RUE DES REMPARTS</t>
  </si>
  <si>
    <t>MUDAISON</t>
  </si>
  <si>
    <t>00KUR5V9</t>
  </si>
  <si>
    <t>EXP20260611-2791577-</t>
  </si>
  <si>
    <t>PERSO</t>
  </si>
  <si>
    <t>45 RUE MADELEINE ODRU</t>
  </si>
  <si>
    <t>00KUR5VA</t>
  </si>
  <si>
    <t>EXP20260611-2791528-</t>
  </si>
  <si>
    <t>00KUR5VB</t>
  </si>
  <si>
    <t>EXP20260610-2791192-</t>
  </si>
  <si>
    <t>ALTENAIJI TALEB</t>
  </si>
  <si>
    <t>GL - NET 7 RUE DU MEUNIER (SNS</t>
  </si>
  <si>
    <t>ROISSY-EN-FRANCE</t>
  </si>
  <si>
    <t>00KZZJUZ</t>
  </si>
  <si>
    <t>EXP20260610-2790120-</t>
  </si>
  <si>
    <t>SAINSARD MONIQUE</t>
  </si>
  <si>
    <t>3 IMPASSE SAINT-PIERRE</t>
  </si>
  <si>
    <t>SAUVIAN</t>
  </si>
  <si>
    <t>00KUR5VC</t>
  </si>
  <si>
    <t>EXP20260611-2792195-</t>
  </si>
  <si>
    <t>JOUTARD CAMILLE</t>
  </si>
  <si>
    <t>159 RUE PELLEPORT</t>
  </si>
  <si>
    <t>12.06.2026</t>
  </si>
  <si>
    <t>00KUR5VD</t>
  </si>
  <si>
    <t>EXP20260611-2792449-</t>
  </si>
  <si>
    <t>AMARGIER ARNAUD</t>
  </si>
  <si>
    <t>50 CHEMIN DU ROULON</t>
  </si>
  <si>
    <t>LE BRIGNON</t>
  </si>
  <si>
    <t>00KUR5VE</t>
  </si>
  <si>
    <t>EXP20260611-2792450-</t>
  </si>
  <si>
    <t>COSNIER FRANCIS</t>
  </si>
  <si>
    <t>156 AVENUE DE LA</t>
  </si>
  <si>
    <t>00KUR5VF</t>
  </si>
  <si>
    <t>EXP20260611-2792503-</t>
  </si>
  <si>
    <t>TAKASAGO</t>
  </si>
  <si>
    <t>12 RUE TORRICELLI</t>
  </si>
  <si>
    <t>00KUR5VG</t>
  </si>
  <si>
    <t>EXP20260611-2792567-</t>
  </si>
  <si>
    <t>ZWLMMM8V</t>
  </si>
  <si>
    <t>EXP20260611-2792334-</t>
  </si>
  <si>
    <t>OPA EN AN</t>
  </si>
  <si>
    <t>VOORSTRAAT 306</t>
  </si>
  <si>
    <t>3311 CW</t>
  </si>
  <si>
    <t>DORDRECHT</t>
  </si>
  <si>
    <t>PARCEL_D11_S07</t>
  </si>
  <si>
    <t>EuroBusiness Parcel - Dis. 11 - S. 07</t>
  </si>
  <si>
    <t>15.06.2026</t>
  </si>
  <si>
    <t>00KZZJV4</t>
  </si>
  <si>
    <t>EXP20260614-2797124-</t>
  </si>
  <si>
    <t>MALMEJEAN LORENE</t>
  </si>
  <si>
    <t>9 RUE FAUVEAU</t>
  </si>
  <si>
    <t>EAUBONNE</t>
  </si>
  <si>
    <t>00KZZJV3</t>
  </si>
  <si>
    <t>EXP20260614-2797480-</t>
  </si>
  <si>
    <t>LE BIHAN ALEXANDRA</t>
  </si>
  <si>
    <t>390 ROUTE DE LA ROCHE</t>
  </si>
  <si>
    <t>POLEYMIEUX-AU-MONT-D'OR</t>
  </si>
  <si>
    <t>00KZZJV2</t>
  </si>
  <si>
    <t>EXP20260613-2796658-</t>
  </si>
  <si>
    <t>CROZAFON PHILIPPE</t>
  </si>
  <si>
    <t>170 AVENUE DE GAIRAUT</t>
  </si>
  <si>
    <t>00KZZJV1</t>
  </si>
  <si>
    <t>EXP20260614-2797854-</t>
  </si>
  <si>
    <t>RAMBAUD EMILIE</t>
  </si>
  <si>
    <t>6 RUE DU PRE LONGE</t>
  </si>
  <si>
    <t>00KZZJV0</t>
  </si>
  <si>
    <t>EXP20260612-2793404-</t>
  </si>
  <si>
    <t>MARDON JUSTINE</t>
  </si>
  <si>
    <t>70 RESIDENCE LE CLOS DES PINS</t>
  </si>
  <si>
    <t>BOUC-BEL-AIR</t>
  </si>
  <si>
    <t>00KUR5VH</t>
  </si>
  <si>
    <t>EXP20260613-2796151-</t>
  </si>
  <si>
    <t>IRINA GONCHAROVA</t>
  </si>
  <si>
    <t>1 AVENUE DU GENERAL LECLERC</t>
  </si>
  <si>
    <t>VILLEMOMBLE</t>
  </si>
  <si>
    <t>00KUR5VL</t>
  </si>
  <si>
    <t>EXP20260612-2795888-</t>
  </si>
  <si>
    <t>RAFFIN MATHILDE</t>
  </si>
  <si>
    <t>6 ALLEE DU GRAND CEDRE</t>
  </si>
  <si>
    <t>00KUR5VK</t>
  </si>
  <si>
    <t>EXP20260612-2795886-</t>
  </si>
  <si>
    <t>BIAYS VERONIQUE</t>
  </si>
  <si>
    <t>217 RUE MARCOZ</t>
  </si>
  <si>
    <t>00KUR5VJ</t>
  </si>
  <si>
    <t>EXP20260614-2798056-</t>
  </si>
  <si>
    <t>CHERINE LACHHAB</t>
  </si>
  <si>
    <t>27 RUE JULES FERRY</t>
  </si>
  <si>
    <t>00KUR5VI</t>
  </si>
  <si>
    <t>EXP20260614-2797542-</t>
  </si>
  <si>
    <t>DAHMANI KAMEL</t>
  </si>
  <si>
    <t>13 RUE ZACHARIE NICOLAY</t>
  </si>
  <si>
    <t>16.06.2026</t>
  </si>
  <si>
    <t>00L2R9O3</t>
  </si>
  <si>
    <t>EXP20260615-2799667</t>
  </si>
  <si>
    <t>HANNE ELISABETH</t>
  </si>
  <si>
    <t>78 CHEMIN DES POISSONNIERS</t>
  </si>
  <si>
    <t>RES ST CLAUDE BAT 2 ESC 1</t>
  </si>
  <si>
    <t>00L2RVK3</t>
  </si>
  <si>
    <t>EXP20260615-2799792</t>
  </si>
  <si>
    <t>TRINQUET CATHERINE</t>
  </si>
  <si>
    <t>22 AVENUE DE LA TUILIERE</t>
  </si>
  <si>
    <t>CARRY-LE-ROUET</t>
  </si>
  <si>
    <t>00KZZJV5</t>
  </si>
  <si>
    <t>EXP20260615-2800217-</t>
  </si>
  <si>
    <t>DELSALLE LUC</t>
  </si>
  <si>
    <t>41 LOTISSEMENT DE LA CHARTEUSE</t>
  </si>
  <si>
    <t>BRECH</t>
  </si>
  <si>
    <t>00KUR5VM</t>
  </si>
  <si>
    <t>EXP20260615-2799145-</t>
  </si>
  <si>
    <t>VIRGINIE CONGE</t>
  </si>
  <si>
    <t>11 RUE JEAN VALMY BAYSSE</t>
  </si>
  <si>
    <t>SAINT-MEDARD-EN-JALLES</t>
  </si>
  <si>
    <t>17.06.2026</t>
  </si>
  <si>
    <t>00KUR5VS</t>
  </si>
  <si>
    <t>EXP20260616-2801725-</t>
  </si>
  <si>
    <t>00KUR5VR</t>
  </si>
  <si>
    <t>EXP20260616-2801723-</t>
  </si>
  <si>
    <t>SALESSE ROLAND</t>
  </si>
  <si>
    <t>23 RUE DU VERSOIR</t>
  </si>
  <si>
    <t>IGNY</t>
  </si>
  <si>
    <t>00KUR5VQ</t>
  </si>
  <si>
    <t>EXP20260616-2801724-</t>
  </si>
  <si>
    <t>00KUR5VP</t>
  </si>
  <si>
    <t>EXP20260616-2801488-</t>
  </si>
  <si>
    <t>GUEZENNEC EMMANUELLE</t>
  </si>
  <si>
    <t>12 RUE MONGENOT</t>
  </si>
  <si>
    <t>00KUR5VO</t>
  </si>
  <si>
    <t>EXP20260615-2799814-</t>
  </si>
  <si>
    <t>NATHALIE CLIDASSOU</t>
  </si>
  <si>
    <t>3 PLACE DE LA DUCHESSE ANNE 56</t>
  </si>
  <si>
    <t>QUIBERON</t>
  </si>
  <si>
    <t>00KUR5VN</t>
  </si>
  <si>
    <t>EXP20260615-2799813-</t>
  </si>
  <si>
    <t>CHARLENE GAUCHER</t>
  </si>
  <si>
    <t>81 BIS BEL ABORD</t>
  </si>
  <si>
    <t>ARTANNES-SUR-THOUET</t>
  </si>
  <si>
    <t>00L2X6VJ</t>
  </si>
  <si>
    <t>EXP20260615-2800649</t>
  </si>
  <si>
    <t>00KUR5VT</t>
  </si>
  <si>
    <t>EXP20260616-2801719-</t>
  </si>
  <si>
    <t>NIETO NICOLAS</t>
  </si>
  <si>
    <t>9 COURS LAFAYETTE</t>
  </si>
  <si>
    <t>00KUR5VU</t>
  </si>
  <si>
    <t>EXP20260616-2801607-</t>
  </si>
  <si>
    <t>BONNEAU MARLENE</t>
  </si>
  <si>
    <t>3 RUE ALEXANDRE DUMAS</t>
  </si>
  <si>
    <t>SAINT-OUEN-SUR-SEINE</t>
  </si>
  <si>
    <t>00KUR5VV</t>
  </si>
  <si>
    <t>EXP20260616-2801606-</t>
  </si>
  <si>
    <t>SEVIN MANON</t>
  </si>
  <si>
    <t>112 AVENUE VICTOR HUGO</t>
  </si>
  <si>
    <t>00KUR5VW</t>
  </si>
  <si>
    <t>EXP20260616-2801726-</t>
  </si>
  <si>
    <t>ROBIN ANAELLE</t>
  </si>
  <si>
    <t>3 RUE DU DOCTEUR ET MADAME COC</t>
  </si>
  <si>
    <t>CANCALE</t>
  </si>
  <si>
    <t>00KUR5VX</t>
  </si>
  <si>
    <t>EXP20260616-2801814-</t>
  </si>
  <si>
    <t>4 PLACE AUX AIRES,</t>
  </si>
  <si>
    <t>00KUR5VY</t>
  </si>
  <si>
    <t>EXP20260616-2801722-</t>
  </si>
  <si>
    <t>BACHALA VALERIE</t>
  </si>
  <si>
    <t>115, RUE DU SEGALA</t>
  </si>
  <si>
    <t>GLANES</t>
  </si>
  <si>
    <t>00KUR5VZ</t>
  </si>
  <si>
    <t>EXP20260616-2801817-</t>
  </si>
  <si>
    <t>29, BOULEVARD MALESHERBES,</t>
  </si>
  <si>
    <t>00KZZJV6</t>
  </si>
  <si>
    <t>EXP20260616-2802245-</t>
  </si>
  <si>
    <t>REY-SALETES EMMANUELLE</t>
  </si>
  <si>
    <t>42 RUE DES FILATIERS</t>
  </si>
  <si>
    <t>00KZZJV7</t>
  </si>
  <si>
    <t>EXP20260616-2802443-</t>
  </si>
  <si>
    <t>LOUVET SYLVAIN</t>
  </si>
  <si>
    <t>22 RUE MASSEZ</t>
  </si>
  <si>
    <t>COURTISOLS</t>
  </si>
  <si>
    <t>00KUR5W5</t>
  </si>
  <si>
    <t>EXP20260616-2802542-</t>
  </si>
  <si>
    <t>RAILLON ANAIS</t>
  </si>
  <si>
    <t>42 AVENUE DE LA REPUBLIQUE</t>
  </si>
  <si>
    <t>MIOS</t>
  </si>
  <si>
    <t>00KUR5W7</t>
  </si>
  <si>
    <t>EXP20260617-2803400-</t>
  </si>
  <si>
    <t>BENAYOUN JENNA DAHAN</t>
  </si>
  <si>
    <t>31 AVENUE CHARLES DE GAULLE</t>
  </si>
  <si>
    <t>00KUR5W0</t>
  </si>
  <si>
    <t>EXP20260616-2801720-</t>
  </si>
  <si>
    <t>LAIGNELET LUDOVIC</t>
  </si>
  <si>
    <t>00KUR5W6</t>
  </si>
  <si>
    <t>EXP20260617-2802971-</t>
  </si>
  <si>
    <t>LIBES GAUTHIER</t>
  </si>
  <si>
    <t>17 RUE MONGE APPARTEMENT 931</t>
  </si>
  <si>
    <t>00KUR5W4</t>
  </si>
  <si>
    <t>EXP20260616-2801429-</t>
  </si>
  <si>
    <t>DUPRIX JULIE</t>
  </si>
  <si>
    <t>9 RUE BULOT</t>
  </si>
  <si>
    <t>CHOISY-EN-BRIE</t>
  </si>
  <si>
    <t>00KUR5W3</t>
  </si>
  <si>
    <t>EXP20260616-2801697-</t>
  </si>
  <si>
    <t>SCHOOSE TAMARA</t>
  </si>
  <si>
    <t>56 RUE TER DU CHEMIN VERT</t>
  </si>
  <si>
    <t>00KUR5W2</t>
  </si>
  <si>
    <t>EXP20260616-2801695-</t>
  </si>
  <si>
    <t>DELPONTE CLARA</t>
  </si>
  <si>
    <t>75 RUE DU PRE-PIGEON</t>
  </si>
  <si>
    <t>00KUR5W1</t>
  </si>
  <si>
    <t>EXP20260617-2802793-</t>
  </si>
  <si>
    <t>CAMIN VIRGINIE</t>
  </si>
  <si>
    <t>1032 CHEMIN DES REVOIRES</t>
  </si>
  <si>
    <t>LA TURBIE</t>
  </si>
  <si>
    <t>18.06.2026</t>
  </si>
  <si>
    <t>00KUR5W8</t>
  </si>
  <si>
    <t>EXP20260617-2803415-</t>
  </si>
  <si>
    <t>RACHEL FAY</t>
  </si>
  <si>
    <t>LIEU DIT L ETOILE DES CHENES</t>
  </si>
  <si>
    <t>BEAUCOUZE FRANCE</t>
  </si>
  <si>
    <t>00KUR5W9</t>
  </si>
  <si>
    <t>EXP20260617-2803479-</t>
  </si>
  <si>
    <t>ANNE GALEY</t>
  </si>
  <si>
    <t>2 RUE RIGAUD</t>
  </si>
  <si>
    <t>00KUR5WA</t>
  </si>
  <si>
    <t>EXP20260608-2786092-</t>
  </si>
  <si>
    <t>RACHEL MAAREK</t>
  </si>
  <si>
    <t>RUE DU GENERAL LARGEAU</t>
  </si>
  <si>
    <t>00KUR5WB</t>
  </si>
  <si>
    <t>EXP20260617-2803819-</t>
  </si>
  <si>
    <t>HARNIE MICHELE</t>
  </si>
  <si>
    <t>2 LA TONDRIE</t>
  </si>
  <si>
    <t>HERIC</t>
  </si>
  <si>
    <t>00KUR5WC</t>
  </si>
  <si>
    <t>EXP20260617-2804523-</t>
  </si>
  <si>
    <t>THIBAULT LEFEVRE</t>
  </si>
  <si>
    <t>110 RUE DES BUSSYS</t>
  </si>
  <si>
    <t>00KUR5WD</t>
  </si>
  <si>
    <t>EXP20260617-2804196-</t>
  </si>
  <si>
    <t>BISMUTH HANNAH</t>
  </si>
  <si>
    <t>5 BOULEVARD DES FILLES DU CALV</t>
  </si>
  <si>
    <t>00L3602L</t>
  </si>
  <si>
    <t>EXP20260617-2803247</t>
  </si>
  <si>
    <t>INTER-LOGISTIQUE POUR COEUR DE</t>
  </si>
  <si>
    <t>ZI AEROPARC</t>
  </si>
  <si>
    <t>COEUR DE SANTE CLAUDINE</t>
  </si>
  <si>
    <t>FONTAINE</t>
  </si>
  <si>
    <t>PARCEL_D01_S15</t>
  </si>
  <si>
    <t>Business Parcel - Dis. 01 - Size 15</t>
  </si>
  <si>
    <t>00L3602K</t>
  </si>
  <si>
    <t>00L363N4</t>
  </si>
  <si>
    <t>EXP20260617-2803245</t>
  </si>
  <si>
    <t>00KZZJVA</t>
  </si>
  <si>
    <t>EXP20260617-2804464-</t>
  </si>
  <si>
    <t>VIOLIER KKO MARION</t>
  </si>
  <si>
    <t>2855 ROUTE DE LA FENERIE</t>
  </si>
  <si>
    <t>PEGOMAS</t>
  </si>
  <si>
    <t>00KZZJV9</t>
  </si>
  <si>
    <t>EXP20260617-2804271-</t>
  </si>
  <si>
    <t>HAZIZA JULIA</t>
  </si>
  <si>
    <t>8 AVENUE DE LA GRANDE ARMEE</t>
  </si>
  <si>
    <t>00KZZJV8</t>
  </si>
  <si>
    <t>EXP20260616-2801837-</t>
  </si>
  <si>
    <t>MASSE CHANTAL</t>
  </si>
  <si>
    <t>57 RUE DE L'ARMANDEL</t>
  </si>
  <si>
    <t>SAINT-CLEMENT-DES-BALEINES</t>
  </si>
  <si>
    <t>19.06.2026</t>
  </si>
  <si>
    <t>00KUR5WF</t>
  </si>
  <si>
    <t>EXP20260618-2805042-</t>
  </si>
  <si>
    <t>EVA MIZELE</t>
  </si>
  <si>
    <t>67 RUE REAUMUR</t>
  </si>
  <si>
    <t>00KUR5WE</t>
  </si>
  <si>
    <t>EXP20260618-2804939-</t>
  </si>
  <si>
    <t>GELIN SARAH</t>
  </si>
  <si>
    <t>3 ROUTE DE BOUXIERES AUX CHENE</t>
  </si>
  <si>
    <t>AMANCE</t>
  </si>
  <si>
    <t>22.06.2026</t>
  </si>
  <si>
    <t>00KUR5WK</t>
  </si>
  <si>
    <t>EXP20260619-2806972-</t>
  </si>
  <si>
    <t>LE FLOCON SAS NOMISS 2</t>
  </si>
  <si>
    <t>18 BOULEVARD DU PIC DU MIDI</t>
  </si>
  <si>
    <t>LA MONGIE</t>
  </si>
  <si>
    <t>00KUR5WG</t>
  </si>
  <si>
    <t>EXP20260618-2805158-</t>
  </si>
  <si>
    <t>00KUR5WH</t>
  </si>
  <si>
    <t>EXP20260618-2805968-</t>
  </si>
  <si>
    <t>VAUCHIER MICHEL</t>
  </si>
  <si>
    <t>22 RUE DU GOHLER</t>
  </si>
  <si>
    <t>00KZZJVB</t>
  </si>
  <si>
    <t>EXP20260619-2806957-</t>
  </si>
  <si>
    <t>DIZ CIDALINE</t>
  </si>
  <si>
    <t>5 CHEMIN DE LA ECOLE</t>
  </si>
  <si>
    <t>TRIEL-SUR-SEINE</t>
  </si>
  <si>
    <t>00L38JTQ</t>
  </si>
  <si>
    <t>EXP20260619-2807073</t>
  </si>
  <si>
    <t>BAUDRIERE NICOLE</t>
  </si>
  <si>
    <t>2190 CHEMIN DE FENESTRELLE</t>
  </si>
  <si>
    <t>AUBAGNE</t>
  </si>
  <si>
    <t>00KUR5WJ</t>
  </si>
  <si>
    <t>EXP20260618-2806435-</t>
  </si>
  <si>
    <t>BELLIZZI LAETITIA</t>
  </si>
  <si>
    <t>496 RUE DE LA FRUITIERE</t>
  </si>
  <si>
    <t>CESSY</t>
  </si>
  <si>
    <t>00KUR5WI</t>
  </si>
  <si>
    <t>EXP20260618-2805758-</t>
  </si>
  <si>
    <t>HELENA RAJCHMAN</t>
  </si>
  <si>
    <t>11 RUE ROQUEPINE</t>
  </si>
  <si>
    <t>23.06.2026</t>
  </si>
  <si>
    <t>00L0NDX4</t>
  </si>
  <si>
    <t>EXP20260621-2809954-</t>
  </si>
  <si>
    <t>SASSOLAT LESLIE</t>
  </si>
  <si>
    <t>259 CHEM. DES SANSOUIRES, 3413</t>
  </si>
  <si>
    <t>MAUGUIO</t>
  </si>
  <si>
    <t>00L0NDX3</t>
  </si>
  <si>
    <t>EXP20260621-2810445-</t>
  </si>
  <si>
    <t>HOTTEKIET--BEAUCOURT FLORE</t>
  </si>
  <si>
    <t>7 ALL. DES SORBIERS, 77420 CHA</t>
  </si>
  <si>
    <t>CHAMPS-SUR-MARNE</t>
  </si>
  <si>
    <t>00L0NDX2</t>
  </si>
  <si>
    <t>EXP20260621-2810178-</t>
  </si>
  <si>
    <t>MANOND ANGELIQUE</t>
  </si>
  <si>
    <t>76 RUE DE STRASBOURG</t>
  </si>
  <si>
    <t>NIORT</t>
  </si>
  <si>
    <t>00KUR5WL</t>
  </si>
  <si>
    <t>EXP20260620-2808727-</t>
  </si>
  <si>
    <t>GAULIER MICHELE</t>
  </si>
  <si>
    <t>6 RUE TAL AL LENN</t>
  </si>
  <si>
    <t>MOELAN-SUR-MER</t>
  </si>
  <si>
    <t>ZWLMMM8W</t>
  </si>
  <si>
    <t>EXP20260616-2802112-</t>
  </si>
  <si>
    <t>ART M CAPTAIN CARD</t>
  </si>
  <si>
    <t>GUTENBERGSTRASE 97</t>
  </si>
  <si>
    <t>POTSDAM</t>
  </si>
  <si>
    <t>PARCEL_D11_S24</t>
  </si>
  <si>
    <t>EuroBusiness Parcel - Dis. 11 - S. 24</t>
  </si>
  <si>
    <t>00L0NDX1</t>
  </si>
  <si>
    <t>EXP20260621-2810522-</t>
  </si>
  <si>
    <t>SUFFYS AURORE</t>
  </si>
  <si>
    <t>33 RUE BASTION SAINT-ANDRE, 59</t>
  </si>
  <si>
    <t>00L0NDX0</t>
  </si>
  <si>
    <t>EXP20260621-2810081-</t>
  </si>
  <si>
    <t>GRIENTI MARMORATO SEVERINE</t>
  </si>
  <si>
    <t>432 ROUTE DE MONTSOLEIL</t>
  </si>
  <si>
    <t>BOLLENE</t>
  </si>
  <si>
    <t>00L0NDWZ</t>
  </si>
  <si>
    <t>EXP20260621-2810521-</t>
  </si>
  <si>
    <t>LOISON SYLVAIN</t>
  </si>
  <si>
    <t>26 RUE DES SABLONS</t>
  </si>
  <si>
    <t>MONTMAGNY</t>
  </si>
  <si>
    <t>00L0NDWY</t>
  </si>
  <si>
    <t>EXP20260621-2810446-</t>
  </si>
  <si>
    <t>BERNAUD MATHIEU</t>
  </si>
  <si>
    <t>7 IMP. JACQUES BRUGNON, 56000</t>
  </si>
  <si>
    <t>VANNES</t>
  </si>
  <si>
    <t>00L0NDWX</t>
  </si>
  <si>
    <t>EXP20260621-2810080-</t>
  </si>
  <si>
    <t>GWENAEL LE QUELLEC</t>
  </si>
  <si>
    <t>38 RUE SAULNIER</t>
  </si>
  <si>
    <t>00L0NDWW</t>
  </si>
  <si>
    <t>EXP20260621-2810078-</t>
  </si>
  <si>
    <t>BECHU-LEVEQUE ESTELLE</t>
  </si>
  <si>
    <t>77 RUE DE BOURGNEUF</t>
  </si>
  <si>
    <t>00L0NDWV</t>
  </si>
  <si>
    <t>EXP20260621-2810183-</t>
  </si>
  <si>
    <t>BENDAHMANE ELSA</t>
  </si>
  <si>
    <t>22 RUE SAINT-LAURENT, 33000 BO</t>
  </si>
  <si>
    <t>00L0NDWU</t>
  </si>
  <si>
    <t>EXP20260621-2810292-</t>
  </si>
  <si>
    <t>BROUZES MURIEL</t>
  </si>
  <si>
    <t>12 IMPASSE COLETTE</t>
  </si>
  <si>
    <t>LAUDUN</t>
  </si>
  <si>
    <t>00L0NDWT</t>
  </si>
  <si>
    <t>EXP20260622-2812030-</t>
  </si>
  <si>
    <t>SOUBRET STEPHANIE</t>
  </si>
  <si>
    <t>28 IMPASSE DE LA FUTAIE</t>
  </si>
  <si>
    <t>00L0NDWS</t>
  </si>
  <si>
    <t>EXP20260622-2812841-</t>
  </si>
  <si>
    <t>LORCHEL ISABELLE</t>
  </si>
  <si>
    <t>9 CHEMIN SAINTE MARIE</t>
  </si>
  <si>
    <t>00KZZJVC</t>
  </si>
  <si>
    <t>EXP20260621-2809845-</t>
  </si>
  <si>
    <t>GARDEUR VALERIE</t>
  </si>
  <si>
    <t>73 RUE DE LA PLAGE</t>
  </si>
  <si>
    <t>TELGRUC-SUR-MER</t>
  </si>
  <si>
    <t>00KZZJVD</t>
  </si>
  <si>
    <t>EXP20260621-2809329-</t>
  </si>
  <si>
    <t>GAGNE CELINE</t>
  </si>
  <si>
    <t>860 ROUTE DE MALAUCENE</t>
  </si>
  <si>
    <t>LE BARROUX</t>
  </si>
  <si>
    <t>00L0NDWA</t>
  </si>
  <si>
    <t>EXP20260621-2809846-</t>
  </si>
  <si>
    <t>MICHEL CLARA</t>
  </si>
  <si>
    <t>291 RTE DES FORGETTES, 76750 B</t>
  </si>
  <si>
    <t>BOSC-BORDEL</t>
  </si>
  <si>
    <t>00L0NDWB</t>
  </si>
  <si>
    <t>EXP20260621-2809489-</t>
  </si>
  <si>
    <t>QUIGNON RAPHAEL</t>
  </si>
  <si>
    <t>40 ALL. DES 2 CEDRES, 91210 DR</t>
  </si>
  <si>
    <t>00L0NDWC</t>
  </si>
  <si>
    <t>EXP20260621-2809676-</t>
  </si>
  <si>
    <t>ROHAN ANNE</t>
  </si>
  <si>
    <t>12 RUE DES BUTTES</t>
  </si>
  <si>
    <t>CRETEIL</t>
  </si>
  <si>
    <t>00L0NDWD</t>
  </si>
  <si>
    <t>EXP20260621-2809288-</t>
  </si>
  <si>
    <t>LEBEAU LAETITIA</t>
  </si>
  <si>
    <t>11 KERNIVINEN</t>
  </si>
  <si>
    <t>MELRAND</t>
  </si>
  <si>
    <t>00L0NDWE</t>
  </si>
  <si>
    <t>EXP20260621-2809486-</t>
  </si>
  <si>
    <t>GISBERT ROUSSERIE ANNE</t>
  </si>
  <si>
    <t>116 IMPASSE DE CHEZ PALLUD</t>
  </si>
  <si>
    <t>LUCINGES</t>
  </si>
  <si>
    <t>00L0NDWF</t>
  </si>
  <si>
    <t>EXP20260621-2809767-</t>
  </si>
  <si>
    <t>AKOUH NADIA</t>
  </si>
  <si>
    <t>170 RUE GUSTAVE DUBLED, 59170</t>
  </si>
  <si>
    <t>CROIX</t>
  </si>
  <si>
    <t>00L0NDWG</t>
  </si>
  <si>
    <t>EXP20260621-2809570-</t>
  </si>
  <si>
    <t>THEROND PAULINE</t>
  </si>
  <si>
    <t>84 RUE DE PESSAC, 33000 BORDEA</t>
  </si>
  <si>
    <t>00L0NDWH</t>
  </si>
  <si>
    <t>EXP20260621-2809487-</t>
  </si>
  <si>
    <t>LALLEMENT-PUCHOIS AURELIE</t>
  </si>
  <si>
    <t>3 RUE CAGNON</t>
  </si>
  <si>
    <t>BEAUQUESNE</t>
  </si>
  <si>
    <t>00L0NDWI</t>
  </si>
  <si>
    <t>EXP20260621-2809285-</t>
  </si>
  <si>
    <t>DE JUST SANDRINE</t>
  </si>
  <si>
    <t>140 IMPASSE DES NOISETIERS</t>
  </si>
  <si>
    <t>SAINT-CLAR-DE-RIVIERE</t>
  </si>
  <si>
    <t>00L0NDWJ</t>
  </si>
  <si>
    <t>EXP20260621-2809485-</t>
  </si>
  <si>
    <t>ETIENNE PATRICIA</t>
  </si>
  <si>
    <t>30 RUE DES TILLEULS</t>
  </si>
  <si>
    <t>SAINT SORLIN EN VALLOIRE</t>
  </si>
  <si>
    <t>00L0NDWK</t>
  </si>
  <si>
    <t>EXP20260621-2809286-</t>
  </si>
  <si>
    <t>MAROTTE CLEMENCE</t>
  </si>
  <si>
    <t>79 RUE DE L'OFFRANDE, APPT 21</t>
  </si>
  <si>
    <t>00L0NDWL</t>
  </si>
  <si>
    <t>EXP20260621-2809675-</t>
  </si>
  <si>
    <t>GARCIA MATTHIEU</t>
  </si>
  <si>
    <t>166 AVENUE DU MARECHAL DE LATT</t>
  </si>
  <si>
    <t>00L0NDWM</t>
  </si>
  <si>
    <t>EXP20260619-2808067-</t>
  </si>
  <si>
    <t>DIGARD AMANDINE</t>
  </si>
  <si>
    <t>136 CHEMIN DES 2 FRERES</t>
  </si>
  <si>
    <t>OLLIOULES</t>
  </si>
  <si>
    <t>00L0NDWN</t>
  </si>
  <si>
    <t>EXP20260621-2809844-</t>
  </si>
  <si>
    <t>N'GUESSAN ELENA</t>
  </si>
  <si>
    <t>27A CHEMIN DE CLAIREFONTAINE</t>
  </si>
  <si>
    <t>MAULE</t>
  </si>
  <si>
    <t>00L0NDWO</t>
  </si>
  <si>
    <t>EXP20260621-2809571-</t>
  </si>
  <si>
    <t>LEMAIRE CHRISTELLE</t>
  </si>
  <si>
    <t>16 RUE DU TUMULUS ER GRIGEN, 5</t>
  </si>
  <si>
    <t>00L0NDWP</t>
  </si>
  <si>
    <t>EXP20260621-2809490-</t>
  </si>
  <si>
    <t>MARTINEZ JOANA</t>
  </si>
  <si>
    <t>13 RUE DE BELFORT</t>
  </si>
  <si>
    <t>PONTAULT-COMBAULT</t>
  </si>
  <si>
    <t>00L0NDWQ</t>
  </si>
  <si>
    <t>EXP20260621-2809287-</t>
  </si>
  <si>
    <t>MULLER VICTORIA</t>
  </si>
  <si>
    <t>9 RUE DES CERISIERS</t>
  </si>
  <si>
    <t>WALDIGHOFFEN</t>
  </si>
  <si>
    <t>00L0NDWR</t>
  </si>
  <si>
    <t>EXP20260622-2811504-</t>
  </si>
  <si>
    <t>00L0NDX7</t>
  </si>
  <si>
    <t>EXP20260621-2809847-</t>
  </si>
  <si>
    <t>LEFEUVRE CHRISTELLE</t>
  </si>
  <si>
    <t>10 ALL. PAUL NIZAN, 37320 ESVR</t>
  </si>
  <si>
    <t>ESVRES</t>
  </si>
  <si>
    <t>00L0NDX6</t>
  </si>
  <si>
    <t>EXP20260621-2810377-</t>
  </si>
  <si>
    <t>LECOINTRE MANON</t>
  </si>
  <si>
    <t>3 IMPASSE DES DAHLIAS</t>
  </si>
  <si>
    <t>TREILLIERES</t>
  </si>
  <si>
    <t>00L0NDX5</t>
  </si>
  <si>
    <t>EXP20260621-2810079-</t>
  </si>
  <si>
    <t>PEROT ANNE</t>
  </si>
  <si>
    <t>6 RUE DE LA CHAPELLE, 68118 HI</t>
  </si>
  <si>
    <t>HIRTZBACH</t>
  </si>
  <si>
    <t>24.06.2026</t>
  </si>
  <si>
    <t>00KUR5WP</t>
  </si>
  <si>
    <t>EXP20260621-2810267-</t>
  </si>
  <si>
    <t>LEVAILLANT ANNE-CATHERINE</t>
  </si>
  <si>
    <t>50 RUE PIERRE BUTIN</t>
  </si>
  <si>
    <t>PONTOISE</t>
  </si>
  <si>
    <t>00KUR5WQ</t>
  </si>
  <si>
    <t>EXP20260623-2813787-</t>
  </si>
  <si>
    <t>BEAURAIN ESTELLE</t>
  </si>
  <si>
    <t>773 AVENUE EDOUARD HERRIOT</t>
  </si>
  <si>
    <t>CAHORS</t>
  </si>
  <si>
    <t>00KUR5WR</t>
  </si>
  <si>
    <t>EXP20260623-2813640-</t>
  </si>
  <si>
    <t>TURNER EMILY</t>
  </si>
  <si>
    <t>21 RUE TOMBE L'OLY</t>
  </si>
  <si>
    <t>00KUR5WS</t>
  </si>
  <si>
    <t>EXP20260623-2813730-</t>
  </si>
  <si>
    <t>00KUR5WT</t>
  </si>
  <si>
    <t>EXP20260623-2814142-</t>
  </si>
  <si>
    <t>NELLY DHESSE</t>
  </si>
  <si>
    <t>17 RUE DE PARIS 94000 CRETEIL</t>
  </si>
  <si>
    <t>00KUR5WN</t>
  </si>
  <si>
    <t>EXP20260620-2808363-</t>
  </si>
  <si>
    <t>GAYMARD MARIE</t>
  </si>
  <si>
    <t>103 ROUTE DE SAINTE GEMME</t>
  </si>
  <si>
    <t>00KUR5WU</t>
  </si>
  <si>
    <t>EXP20260623-2814520-</t>
  </si>
  <si>
    <t>CHOLLET PIERRE</t>
  </si>
  <si>
    <t>11 SQUARE ALBIN CACHOT</t>
  </si>
  <si>
    <t>00KUR5WM</t>
  </si>
  <si>
    <t>EXP20260622-2811402-</t>
  </si>
  <si>
    <t>BETITO LAURENE</t>
  </si>
  <si>
    <t>15 RUE LOUIS-PHILIPPE</t>
  </si>
  <si>
    <t>00KUR5WO</t>
  </si>
  <si>
    <t>EXP20260622-2811594-</t>
  </si>
  <si>
    <t>CHLOE KADOUCHE</t>
  </si>
  <si>
    <t>50 AVENUE D'IVRY</t>
  </si>
  <si>
    <t>00L3KSUN</t>
  </si>
  <si>
    <t>EXP20260623-2813699</t>
  </si>
  <si>
    <t>MENARD SYLVIE</t>
  </si>
  <si>
    <t>24 RUE DES CHATAIGNIERS</t>
  </si>
  <si>
    <t>HOMBLIERES</t>
  </si>
  <si>
    <t>00L0NDXX</t>
  </si>
  <si>
    <t>EXP20260623-2815048-</t>
  </si>
  <si>
    <t>TURINES CECILE</t>
  </si>
  <si>
    <t>11 IMPASSE JEAN DE FRANCES</t>
  </si>
  <si>
    <t>TREMOULET</t>
  </si>
  <si>
    <t>00L0NDXY</t>
  </si>
  <si>
    <t>EXP20260624-2815775-</t>
  </si>
  <si>
    <t>BELLAALA MOUNIA</t>
  </si>
  <si>
    <t>18 RUE ROGER LABBE, 71100 CHAL</t>
  </si>
  <si>
    <t>00L0NDXZ</t>
  </si>
  <si>
    <t>EXP20260624-2815781-</t>
  </si>
  <si>
    <t>HOLZINGER LOUISE</t>
  </si>
  <si>
    <t>47 AVENUE DE LA LIBERTE</t>
  </si>
  <si>
    <t>SAINT-GILLES-CROIX-DE-VIE</t>
  </si>
  <si>
    <t>00L0NDY0</t>
  </si>
  <si>
    <t>EXP20260624-2815783-</t>
  </si>
  <si>
    <t>PIERRE OMBELINE</t>
  </si>
  <si>
    <t>29 COURS VITTON</t>
  </si>
  <si>
    <t>00L0NDY1</t>
  </si>
  <si>
    <t>EXP20260624-2815249-</t>
  </si>
  <si>
    <t>CHAUVEAU FRDERIQUE</t>
  </si>
  <si>
    <t>21 RUE DES CHENES</t>
  </si>
  <si>
    <t>MUIDES-SUR-LOIRE</t>
  </si>
  <si>
    <t>00L0NDY2</t>
  </si>
  <si>
    <t>EXP20260624-2815780-</t>
  </si>
  <si>
    <t>MASMONT AGNES</t>
  </si>
  <si>
    <t>16 RUE CAMENA D'ALMEIDA</t>
  </si>
  <si>
    <t>00L0NDY3</t>
  </si>
  <si>
    <t>EXP20260624-2815547-</t>
  </si>
  <si>
    <t>TROALIC EMMA</t>
  </si>
  <si>
    <t>14 RUE DE CASTELLANE, 75008 PA</t>
  </si>
  <si>
    <t>00L0NDY4</t>
  </si>
  <si>
    <t>EXP20260624-2815544-</t>
  </si>
  <si>
    <t>GONCALVES OLIVIA</t>
  </si>
  <si>
    <t>328 ROUTE DE CHARNEUSE</t>
  </si>
  <si>
    <t>POISY</t>
  </si>
  <si>
    <t>00L0NDY5</t>
  </si>
  <si>
    <t>EXP20260624-2815351-</t>
  </si>
  <si>
    <t>BARRE AMANDINE</t>
  </si>
  <si>
    <t>1 L LOULERIE</t>
  </si>
  <si>
    <t>CUGAND-LA-BERNARDIERE</t>
  </si>
  <si>
    <t>00L0NDY6</t>
  </si>
  <si>
    <t>EXP20260624-2815779-</t>
  </si>
  <si>
    <t>RONCIN CAROLINE</t>
  </si>
  <si>
    <t>1 RUE DES IRIS</t>
  </si>
  <si>
    <t>SAINTE LUCE SUR LOIRE</t>
  </si>
  <si>
    <t>00L0NDY7</t>
  </si>
  <si>
    <t>EXP20260624-2815776-</t>
  </si>
  <si>
    <t>LIEF AGATHE</t>
  </si>
  <si>
    <t>165 BOULEVARD DU PRESIDENT WIL</t>
  </si>
  <si>
    <t>00L0NDY8</t>
  </si>
  <si>
    <t>EXP20260624-2815782-</t>
  </si>
  <si>
    <t>PIRONTE</t>
  </si>
  <si>
    <t>201 VOIE DES ACTIVITES</t>
  </si>
  <si>
    <t>FAVARS</t>
  </si>
  <si>
    <t>00L0NDY9</t>
  </si>
  <si>
    <t>EXP20260624-2815353-</t>
  </si>
  <si>
    <t>GALIEN JULIETTE</t>
  </si>
  <si>
    <t>1 RUE ANDRE DEL SARTE</t>
  </si>
  <si>
    <t>00L0NDYA</t>
  </si>
  <si>
    <t>EXP20260624-2815356-</t>
  </si>
  <si>
    <t>BA FLORENCE</t>
  </si>
  <si>
    <t>45 AVENUE DE VERDUN</t>
  </si>
  <si>
    <t>CHAPONOST</t>
  </si>
  <si>
    <t>00L0NDYB</t>
  </si>
  <si>
    <t>EXP20260624-2815443-</t>
  </si>
  <si>
    <t>LABADIE PIERRE</t>
  </si>
  <si>
    <t>44 AVENUE LEON BLUM</t>
  </si>
  <si>
    <t>00L0NDYC</t>
  </si>
  <si>
    <t>EXP20260624-2815546-</t>
  </si>
  <si>
    <t>CALLAMARD ANTHONY</t>
  </si>
  <si>
    <t>59 COURS GAMBETTA</t>
  </si>
  <si>
    <t>00L0NDYD</t>
  </si>
  <si>
    <t>EXP20260624-2815354-</t>
  </si>
  <si>
    <t>AMBROSINI PAULINE</t>
  </si>
  <si>
    <t>40 BIS AVENUE SAINT LAZARE</t>
  </si>
  <si>
    <t>00L0NDYE</t>
  </si>
  <si>
    <t>EXP20260624-2815447-</t>
  </si>
  <si>
    <t>VAISSELLET SOPHIE</t>
  </si>
  <si>
    <t>69 RUE MONTGOLFIER</t>
  </si>
  <si>
    <t>00L0NDYF</t>
  </si>
  <si>
    <t>EXP20260624-2815448-</t>
  </si>
  <si>
    <t>ARNOLD VIRGINIE</t>
  </si>
  <si>
    <t>23 RUE VICTOR TERTRAIS</t>
  </si>
  <si>
    <t>00L0NDYG</t>
  </si>
  <si>
    <t>EXP20260624-2815450-</t>
  </si>
  <si>
    <t>TOSELLI MARIANNE</t>
  </si>
  <si>
    <t>22 ALLEE DES GRANDS BOIS</t>
  </si>
  <si>
    <t>GRADIGNAN</t>
  </si>
  <si>
    <t>00L0NDYH</t>
  </si>
  <si>
    <t>EXP20260624-2815355-</t>
  </si>
  <si>
    <t>ASTRIE NINA</t>
  </si>
  <si>
    <t>38 RUE DU COMMANDANT RENE MOUC</t>
  </si>
  <si>
    <t>SAINT-MANDE</t>
  </si>
  <si>
    <t>00L0NDYI</t>
  </si>
  <si>
    <t>EXP20260624-2815449-</t>
  </si>
  <si>
    <t>MORIZOT PHILIPPINE</t>
  </si>
  <si>
    <t>5 RUE CORNAC</t>
  </si>
  <si>
    <t>00L0NDYJ</t>
  </si>
  <si>
    <t>EXP20260624-2815444-</t>
  </si>
  <si>
    <t>GRAUL MURIEL</t>
  </si>
  <si>
    <t>17 RUE DES TREMBLES</t>
  </si>
  <si>
    <t>MOUILLERON LE CAPTIF</t>
  </si>
  <si>
    <t>00L0NDYK</t>
  </si>
  <si>
    <t>EXP20260624-2815352-</t>
  </si>
  <si>
    <t>BRIANT VICTORIA</t>
  </si>
  <si>
    <t>40 RUE PAUL BERT</t>
  </si>
  <si>
    <t>00L0NDX9</t>
  </si>
  <si>
    <t>EXP20260622-2812460-</t>
  </si>
  <si>
    <t>KERBAUL ANAIS</t>
  </si>
  <si>
    <t>26 A RUE SAINT CHARLES</t>
  </si>
  <si>
    <t>SCHILTIGHEIM</t>
  </si>
  <si>
    <t>00L0NDX8</t>
  </si>
  <si>
    <t>EXP20260621-2810444-</t>
  </si>
  <si>
    <t>THEILLAC AGNES</t>
  </si>
  <si>
    <t>4 AVENUE FRANKLIN ROOSEVELT</t>
  </si>
  <si>
    <t>00L0NDXA</t>
  </si>
  <si>
    <t>EXP20260622-2811347-</t>
  </si>
  <si>
    <t>GUICHARD MATHIEU</t>
  </si>
  <si>
    <t>73 RUE ACHILLE VIADIEU</t>
  </si>
  <si>
    <t>00L0NDXB</t>
  </si>
  <si>
    <t>EXP20260622-2812998-</t>
  </si>
  <si>
    <t>LAHAYE ADAM</t>
  </si>
  <si>
    <t>12 GRANDE RUE, 91150 BRIERES-L</t>
  </si>
  <si>
    <t>BRIERES-LES-SCELLES</t>
  </si>
  <si>
    <t>00L0NDXC</t>
  </si>
  <si>
    <t>EXP20260622-2812461-</t>
  </si>
  <si>
    <t>TEIXEIRA SIMON</t>
  </si>
  <si>
    <t>16 RUE JEAN DE MALET, 33800 BO</t>
  </si>
  <si>
    <t>00L0NDXD</t>
  </si>
  <si>
    <t>EXP20260622-2812917-</t>
  </si>
  <si>
    <t>PERNEZ TATIANA</t>
  </si>
  <si>
    <t>8 CHEM. DE BARIOT, 16210 RIOUX</t>
  </si>
  <si>
    <t>RIOUX-MARTIN</t>
  </si>
  <si>
    <t>00L0NDXE</t>
  </si>
  <si>
    <t>EXP20260622-2811886-</t>
  </si>
  <si>
    <t>DOUILLET RAPHAELLE</t>
  </si>
  <si>
    <t>105 RUE LE MATTRE, 80000 AMIEN</t>
  </si>
  <si>
    <t>00L0NDXF</t>
  </si>
  <si>
    <t>EXP20260622-2812916-</t>
  </si>
  <si>
    <t>BOUVET MARGAUX</t>
  </si>
  <si>
    <t>26 TER AVENUE DU CALVADOS (BAT</t>
  </si>
  <si>
    <t>00L0NDXG</t>
  </si>
  <si>
    <t>EXP20260622-2812650-</t>
  </si>
  <si>
    <t>QUERE ELISE</t>
  </si>
  <si>
    <t>8 IMPASSE DE COAT MENGUY</t>
  </si>
  <si>
    <t>MORLAIX</t>
  </si>
  <si>
    <t>00L0NDXH</t>
  </si>
  <si>
    <t>EXP20260622-2812999-</t>
  </si>
  <si>
    <t>KRUMM JONATHAN</t>
  </si>
  <si>
    <t>9 RUE DE LA SEINE, 57700 HAYAN</t>
  </si>
  <si>
    <t>HAYANGE</t>
  </si>
  <si>
    <t>00L0NDXI</t>
  </si>
  <si>
    <t>EXP20260622-2810882-</t>
  </si>
  <si>
    <t>GRAVELLE BRICE</t>
  </si>
  <si>
    <t>17 BD BERTRAND DUGUESCLIN, 345</t>
  </si>
  <si>
    <t>BEZIERS</t>
  </si>
  <si>
    <t>00L0NDXJ</t>
  </si>
  <si>
    <t>EXP20260623-2813632-</t>
  </si>
  <si>
    <t>MALAPERT LEA</t>
  </si>
  <si>
    <t>32 RUE LEYTEIRE</t>
  </si>
  <si>
    <t>00L0NDXK</t>
  </si>
  <si>
    <t>EXP20260623-2813942-</t>
  </si>
  <si>
    <t>GUILLOT SOPHIE</t>
  </si>
  <si>
    <t>270 AVENUE AUGUSTIN FRESNEL, B</t>
  </si>
  <si>
    <t>00L0NDXL</t>
  </si>
  <si>
    <t>EXP20260623-2813941-</t>
  </si>
  <si>
    <t>SAMSON CHLOE</t>
  </si>
  <si>
    <t>18 RUE VILLEBOIS MAREUIL</t>
  </si>
  <si>
    <t>00L0NDXM</t>
  </si>
  <si>
    <t>EXP20260623-2813596-</t>
  </si>
  <si>
    <t>ANDRIEU MARGAUX</t>
  </si>
  <si>
    <t>89 AV. JEAN JAURES, 08000 VILL</t>
  </si>
  <si>
    <t>VILLERS-SEMEUSE</t>
  </si>
  <si>
    <t>00L0NDXN</t>
  </si>
  <si>
    <t>EXP20260623-2814693-</t>
  </si>
  <si>
    <t>RESMINI CHIARA</t>
  </si>
  <si>
    <t>95 BD BAILLE, 13005 MARSEILLE,</t>
  </si>
  <si>
    <t>00L0NDXO</t>
  </si>
  <si>
    <t>EXP20260623-2814694-</t>
  </si>
  <si>
    <t>LEBRET-BARBIER ASTRID</t>
  </si>
  <si>
    <t>32 ROUTE DE SAINT-LEGER</t>
  </si>
  <si>
    <t>POIGNY-LA-FORET</t>
  </si>
  <si>
    <t>00L0NDXP</t>
  </si>
  <si>
    <t>EXP20260623-2814368-</t>
  </si>
  <si>
    <t>LAMBERT PASCAL</t>
  </si>
  <si>
    <t>20 LA TRONIERE DU GUINEAU, 444</t>
  </si>
  <si>
    <t>DIVATTE-SUR-LOIRE</t>
  </si>
  <si>
    <t>00L0NDXQ</t>
  </si>
  <si>
    <t>EXP20260623-2814482-</t>
  </si>
  <si>
    <t>FOYER JESSICA</t>
  </si>
  <si>
    <t>211 RUE DU GENERAL DE GAULLE,</t>
  </si>
  <si>
    <t>LE HOULME</t>
  </si>
  <si>
    <t>00L0NDXR</t>
  </si>
  <si>
    <t>EXP20260623-2814947-</t>
  </si>
  <si>
    <t>BELLARABI ASSIA</t>
  </si>
  <si>
    <t>4 RUE NELATON</t>
  </si>
  <si>
    <t>00L0NDXS</t>
  </si>
  <si>
    <t>EXP20260623-2814092-</t>
  </si>
  <si>
    <t>FORMONT-MAROIS MELANIE</t>
  </si>
  <si>
    <t>5 SQ. DU GENERAL CHARLES DELES</t>
  </si>
  <si>
    <t>00L0NDXT</t>
  </si>
  <si>
    <t>EXP20260623-2814811-</t>
  </si>
  <si>
    <t>TORT ANTHONY</t>
  </si>
  <si>
    <t>20 RUE MAXIME LEBRUN</t>
  </si>
  <si>
    <t>SAINT-DOULCHARD</t>
  </si>
  <si>
    <t>00L0NDXU</t>
  </si>
  <si>
    <t>EXP20260624-2815548-</t>
  </si>
  <si>
    <t>BARA LEONORE</t>
  </si>
  <si>
    <t>52, AVENUE DE SAINT-MEDARD</t>
  </si>
  <si>
    <t>00L0NDXV</t>
  </si>
  <si>
    <t>EXP20260624-2815550-</t>
  </si>
  <si>
    <t>BAILLEUL JULIE</t>
  </si>
  <si>
    <t>7 LES CORNILLONS (CHAMPTOCEAUX</t>
  </si>
  <si>
    <t>OREE D'ANJOU</t>
  </si>
  <si>
    <t>00L0NDXW</t>
  </si>
  <si>
    <t>EXP20260624-2815777-</t>
  </si>
  <si>
    <t>TURLURE PAUL</t>
  </si>
  <si>
    <t>46 RUE DE LA TOUR D'AUVERGNE</t>
  </si>
  <si>
    <t>00L3KZME</t>
  </si>
  <si>
    <t>EXP20260624-2815849</t>
  </si>
  <si>
    <t>25.06.2026</t>
  </si>
  <si>
    <t>00L0NDZC</t>
  </si>
  <si>
    <t>EXP20260624-2815995-</t>
  </si>
  <si>
    <t>PORGROULT ELISA</t>
  </si>
  <si>
    <t>5 RUE JANUS</t>
  </si>
  <si>
    <t>CASTELNAU LE LEZ</t>
  </si>
  <si>
    <t>00L0NDZ9</t>
  </si>
  <si>
    <t>EXP20260624-2817375-</t>
  </si>
  <si>
    <t>BOUCAUD CHRISTELLE</t>
  </si>
  <si>
    <t>228 RUE LECOURBE</t>
  </si>
  <si>
    <t>00L0NDZ4</t>
  </si>
  <si>
    <t>EXP20260624-2817574-</t>
  </si>
  <si>
    <t>GUILLOIS CLEMENTINE</t>
  </si>
  <si>
    <t>19 RUE DE SAINT MALO</t>
  </si>
  <si>
    <t>00L0NDZ2</t>
  </si>
  <si>
    <t>EXP20260624-2816171-</t>
  </si>
  <si>
    <t>CHEZ MARTIN PHILIPPE</t>
  </si>
  <si>
    <t>1 RUE DU MARAIS</t>
  </si>
  <si>
    <t>LE RUSSEY</t>
  </si>
  <si>
    <t>00L0NDZ1</t>
  </si>
  <si>
    <t>EXP20260624-2816923-</t>
  </si>
  <si>
    <t>KOPFF-MAES GASPARD</t>
  </si>
  <si>
    <t>19 AVENUE DUQUESNE</t>
  </si>
  <si>
    <t>00L0NDYL</t>
  </si>
  <si>
    <t>EXP20260624-2815446-</t>
  </si>
  <si>
    <t>DAVOUT D'AUERSTAEDT FLEUR</t>
  </si>
  <si>
    <t>19 RUE DU COLISEE</t>
  </si>
  <si>
    <t>00L0NDZE</t>
  </si>
  <si>
    <t>EXP20260624-2817476-</t>
  </si>
  <si>
    <t>SAYKALY ELINA</t>
  </si>
  <si>
    <t>35 AVENUE FELIX FAURE</t>
  </si>
  <si>
    <t>00L0NDZ7</t>
  </si>
  <si>
    <t>EXP20260624-2817232-</t>
  </si>
  <si>
    <t>NGUYEN SHONY</t>
  </si>
  <si>
    <t>14 RUE JUSTIN LARREBAT</t>
  </si>
  <si>
    <t>00L0NDZ5</t>
  </si>
  <si>
    <t>EXP20260624-2817698-</t>
  </si>
  <si>
    <t>SAVVA SONIA</t>
  </si>
  <si>
    <t>45 AVENUE SIMON BOLIVAR</t>
  </si>
  <si>
    <t>00L0NDZ3</t>
  </si>
  <si>
    <t>EXP20260624-2816310-</t>
  </si>
  <si>
    <t>BOUVIER KAREEN</t>
  </si>
  <si>
    <t>251 CHEMIN DE SAINTE CLAIRE</t>
  </si>
  <si>
    <t>SAINT-PAUL-DE-VENCE</t>
  </si>
  <si>
    <t>00L0NDYY</t>
  </si>
  <si>
    <t>EXP20260624-2816457-</t>
  </si>
  <si>
    <t>PLANTIER PASCALE</t>
  </si>
  <si>
    <t>11 PLACE GABRIEL PERI</t>
  </si>
  <si>
    <t>00L0NDYS</t>
  </si>
  <si>
    <t>EXP20260624-2816313-</t>
  </si>
  <si>
    <t>MARTINENGO AUDREY</t>
  </si>
  <si>
    <t>185 ALLEE DES CYPRES</t>
  </si>
  <si>
    <t>LIMONEST</t>
  </si>
  <si>
    <t>00L0NDZF</t>
  </si>
  <si>
    <t>EXP20260624-2817104-</t>
  </si>
  <si>
    <t>RICHARD ELLIOT</t>
  </si>
  <si>
    <t>69 RUE SAINT-FARGEAU</t>
  </si>
  <si>
    <t>00L0NDYX</t>
  </si>
  <si>
    <t>EXP20260624-2816713-</t>
  </si>
  <si>
    <t>HAYERE LOLA</t>
  </si>
  <si>
    <t>10 RUE CARDINAL PAUL GOUYON</t>
  </si>
  <si>
    <t>00L0NDYW</t>
  </si>
  <si>
    <t>EXP20260624-2816925-</t>
  </si>
  <si>
    <t>FOREST BOITEAU LAURA</t>
  </si>
  <si>
    <t>10 RUE DU GRENACHE, 34130 LANS</t>
  </si>
  <si>
    <t>LANSARGUES</t>
  </si>
  <si>
    <t>00L0NDYT</t>
  </si>
  <si>
    <t>EXP20260624-2816311-</t>
  </si>
  <si>
    <t>MARTIN ELISE</t>
  </si>
  <si>
    <t>10 RUE DES COURTISANES</t>
  </si>
  <si>
    <t>00L0NDZD</t>
  </si>
  <si>
    <t>EXP20260624-2817475-</t>
  </si>
  <si>
    <t>DE BUYER ISAURE</t>
  </si>
  <si>
    <t>55 RUE CHARLES LAFFITTE</t>
  </si>
  <si>
    <t>00L0NDZB</t>
  </si>
  <si>
    <t>EXP20260624-2817699-</t>
  </si>
  <si>
    <t>DESFORGES SOLENE</t>
  </si>
  <si>
    <t>2 BOULEVARD DE LA COTE D ARGEN</t>
  </si>
  <si>
    <t>ARCACHON</t>
  </si>
  <si>
    <t>00L0NDZA</t>
  </si>
  <si>
    <t>EXP20260624-2817103-</t>
  </si>
  <si>
    <t>COLONNA DA ISTRIA LEOPOLDINE</t>
  </si>
  <si>
    <t>71 RUE DU GENERAL DE GAULLE</t>
  </si>
  <si>
    <t>SAINT-MICHEL-SUR-ORGE</t>
  </si>
  <si>
    <t>00L0NDYV</t>
  </si>
  <si>
    <t>EXP20260624-2816924-</t>
  </si>
  <si>
    <t>BUON PEGGY</t>
  </si>
  <si>
    <t>1644 CHEMIN DE DAUBOEUF</t>
  </si>
  <si>
    <t>TOUQUES</t>
  </si>
  <si>
    <t>00L0NDYZ</t>
  </si>
  <si>
    <t>EXP20260624-2816711-</t>
  </si>
  <si>
    <t>FORMOSA GERALDINE</t>
  </si>
  <si>
    <t>34 CHEMIN DES BASTIDES</t>
  </si>
  <si>
    <t>SAUSSET-LES-PINS</t>
  </si>
  <si>
    <t>00L0NDYR</t>
  </si>
  <si>
    <t>EXP20260624-2816712-</t>
  </si>
  <si>
    <t>RICQUEBOURG BEATRICE</t>
  </si>
  <si>
    <t>4 CHEMIN D'OLIVEAU</t>
  </si>
  <si>
    <t>MARS-SUR-ALLIER</t>
  </si>
  <si>
    <t>00L0NDYN</t>
  </si>
  <si>
    <t>EXP20260624-2817102-</t>
  </si>
  <si>
    <t>PARFAIT CLEMENTINE</t>
  </si>
  <si>
    <t>125 BOULEVARD VOLTAIRE</t>
  </si>
  <si>
    <t>00L0NDZ8</t>
  </si>
  <si>
    <t>EXP20260625-2817901-</t>
  </si>
  <si>
    <t>AYCARD JULIE</t>
  </si>
  <si>
    <t>AVENUE DU 8 MAI 1945</t>
  </si>
  <si>
    <t>BELGENTIER</t>
  </si>
  <si>
    <t>00L0NDZ6</t>
  </si>
  <si>
    <t>EXP20260625-2817983-</t>
  </si>
  <si>
    <t>JEANNOL AURELIE</t>
  </si>
  <si>
    <t>4 RUE DE LA TOUR</t>
  </si>
  <si>
    <t>00L0NDZ0</t>
  </si>
  <si>
    <t>EXP20260624-2816312-</t>
  </si>
  <si>
    <t>HERBOMEL GAETAN</t>
  </si>
  <si>
    <t>242 BIS ROUTE D'EAUNES</t>
  </si>
  <si>
    <t>MURET</t>
  </si>
  <si>
    <t>00L0NDYU</t>
  </si>
  <si>
    <t>EXP20260624-2816926-</t>
  </si>
  <si>
    <t>MIRAMOND CAMILLE</t>
  </si>
  <si>
    <t>83 ALLEE DES GOELANDS</t>
  </si>
  <si>
    <t>LA GRANDE MOTTE</t>
  </si>
  <si>
    <t>00L0NDYQ</t>
  </si>
  <si>
    <t>EXP20260624-2816456-</t>
  </si>
  <si>
    <t>GINDRE GWENOLA</t>
  </si>
  <si>
    <t>60 RUE VAUBAN</t>
  </si>
  <si>
    <t>69006 LYON</t>
  </si>
  <si>
    <t>00L0NDYP</t>
  </si>
  <si>
    <t>EXP20260624-2816458-</t>
  </si>
  <si>
    <t>LIETTE EVA</t>
  </si>
  <si>
    <t>30 RUE DE COMET</t>
  </si>
  <si>
    <t>SAINT-LOUBES</t>
  </si>
  <si>
    <t>00L0NDYO</t>
  </si>
  <si>
    <t>EXP20260624-2816710-</t>
  </si>
  <si>
    <t>BOUTROT SOPHIE</t>
  </si>
  <si>
    <t>11 AVENUE DE ROHAN</t>
  </si>
  <si>
    <t>VAUX-SUR-MER</t>
  </si>
  <si>
    <t>00L0NDYM</t>
  </si>
  <si>
    <t>EXP20260624-2815451-</t>
  </si>
  <si>
    <t>WITTENZELLNER CAROLINE</t>
  </si>
  <si>
    <t>129 LE CLOS DE LA GREE</t>
  </si>
  <si>
    <t>SAINT-SENOUX</t>
  </si>
  <si>
    <t>00KUR5WV</t>
  </si>
  <si>
    <t>EXP20260624-2815944-</t>
  </si>
  <si>
    <t>EL KHANTOUTI IMANE</t>
  </si>
  <si>
    <t>12 RUE TEMPONIERES</t>
  </si>
  <si>
    <t>00KUR5WW</t>
  </si>
  <si>
    <t>EXP20260624-2816321-</t>
  </si>
  <si>
    <t>NADEGE JULLIOT</t>
  </si>
  <si>
    <t>80 RUE DU PANORAMA</t>
  </si>
  <si>
    <t>CHELLES</t>
  </si>
  <si>
    <t>00KUR5WX</t>
  </si>
  <si>
    <t>EXP20260624-2816241-</t>
  </si>
  <si>
    <t>VERONIQUE POLLEDRI</t>
  </si>
  <si>
    <t>21 RUE DE LA VANNE</t>
  </si>
  <si>
    <t>MONTROUGE</t>
  </si>
  <si>
    <t>00KUR5WY</t>
  </si>
  <si>
    <t>EXP20260624-2816803-</t>
  </si>
  <si>
    <t>GUIRAUD BENJAMIN</t>
  </si>
  <si>
    <t>10 RUE VITAL-MAREILLE</t>
  </si>
  <si>
    <t>00KUR5WZ</t>
  </si>
  <si>
    <t>EXP20260624-2817653-</t>
  </si>
  <si>
    <t>TRANSMANUCENTRE</t>
  </si>
  <si>
    <t>20 RUE EMILE LECONTE</t>
  </si>
  <si>
    <t>INGRE</t>
  </si>
  <si>
    <t>00KUR5X0</t>
  </si>
  <si>
    <t>EXP20260624-2816320-</t>
  </si>
  <si>
    <t>BACCI EVA</t>
  </si>
  <si>
    <t>29 BOULEVARD DE LA FONTAINE</t>
  </si>
  <si>
    <t>26.06.2026</t>
  </si>
  <si>
    <t>00L0NDZT</t>
  </si>
  <si>
    <t>EXP20260625-2820004-</t>
  </si>
  <si>
    <t>PORRECA CLAIRE</t>
  </si>
  <si>
    <t>17 RUE DES FETES</t>
  </si>
  <si>
    <t>00L0NDZS</t>
  </si>
  <si>
    <t>EXP20260625-2819204-</t>
  </si>
  <si>
    <t>DESAINT DOROTHEE</t>
  </si>
  <si>
    <t>586 BOIS D'ACHELLES</t>
  </si>
  <si>
    <t>BONDUES</t>
  </si>
  <si>
    <t>00L0NDZR</t>
  </si>
  <si>
    <t>EXP20260625-2819884-</t>
  </si>
  <si>
    <t>BOULANGER ADELINE</t>
  </si>
  <si>
    <t>12 RUE DE LA FOULERIE, 28000 C</t>
  </si>
  <si>
    <t>CHARTRES</t>
  </si>
  <si>
    <t>00L0NDZQ</t>
  </si>
  <si>
    <t>EXP20260625-2818054-</t>
  </si>
  <si>
    <t>TRUONG CECILE</t>
  </si>
  <si>
    <t>5 RUE ANTOINE BOISSON, 70200 L</t>
  </si>
  <si>
    <t>LURE</t>
  </si>
  <si>
    <t>00L0NDZP</t>
  </si>
  <si>
    <t>EXP20260625-2818481-</t>
  </si>
  <si>
    <t>GIZARD CLAIRE</t>
  </si>
  <si>
    <t>7 BOULEVARD DOUVILLE</t>
  </si>
  <si>
    <t>00L0NDZO</t>
  </si>
  <si>
    <t>EXP20260625-2818478-</t>
  </si>
  <si>
    <t>LE HELIAS LAURENCE</t>
  </si>
  <si>
    <t>18 BRUE DE LA CROIX</t>
  </si>
  <si>
    <t>00L0NDZN</t>
  </si>
  <si>
    <t>EXP20260625-2818055-</t>
  </si>
  <si>
    <t>CHARROIN FANNY</t>
  </si>
  <si>
    <t>10 COURSIERE DES VIGNES</t>
  </si>
  <si>
    <t>LA FOUILLOUSE</t>
  </si>
  <si>
    <t>00L0NDZM</t>
  </si>
  <si>
    <t>EXP20260625-2818479-</t>
  </si>
  <si>
    <t>RAMOS ELOISE</t>
  </si>
  <si>
    <t>744 ROUTE DU BADET</t>
  </si>
  <si>
    <t>ST JEAN DE MARSACQ</t>
  </si>
  <si>
    <t>00L0NDZL</t>
  </si>
  <si>
    <t>EXP20260625-2818480-</t>
  </si>
  <si>
    <t>GUEUGNIER MARIE</t>
  </si>
  <si>
    <t>70 RUE DE PARIS</t>
  </si>
  <si>
    <t>BOULOGNE BILLANCOURT</t>
  </si>
  <si>
    <t>00L0NDZK</t>
  </si>
  <si>
    <t>EXP20260625-2818256-</t>
  </si>
  <si>
    <t>POIROT SOPHIE</t>
  </si>
  <si>
    <t>7 BIS RUE DU GENERAL DE GAULLE</t>
  </si>
  <si>
    <t>MUSSIDAN</t>
  </si>
  <si>
    <t>00L0NDZJ</t>
  </si>
  <si>
    <t>EXP20260625-2818131-</t>
  </si>
  <si>
    <t>00L0NDZI</t>
  </si>
  <si>
    <t>EXP20260625-2818130-</t>
  </si>
  <si>
    <t>MEYER AGATHE</t>
  </si>
  <si>
    <t>13 RUE RAYMOND POINCARE, 77400</t>
  </si>
  <si>
    <t>THORIGNY-SUR-MARNE</t>
  </si>
  <si>
    <t>00L0NDZH</t>
  </si>
  <si>
    <t>EXP20260625-2818685-</t>
  </si>
  <si>
    <t>BRONET COSETTE</t>
  </si>
  <si>
    <t>10 CHEMIN DE CALES</t>
  </si>
  <si>
    <t>REVEL</t>
  </si>
  <si>
    <t>00L0NDZG</t>
  </si>
  <si>
    <t>EXP20260625-2818684-</t>
  </si>
  <si>
    <t>LACHEVRE MELANIE</t>
  </si>
  <si>
    <t>23 RUE ESCARPEE</t>
  </si>
  <si>
    <t>LE HAVRE</t>
  </si>
  <si>
    <t>00L0NE01</t>
  </si>
  <si>
    <t>EXP20260625-2819886-</t>
  </si>
  <si>
    <t>LA MASTRA MARION</t>
  </si>
  <si>
    <t>6 RUE DE LA VILLAGEOISE</t>
  </si>
  <si>
    <t>ARCUEIL</t>
  </si>
  <si>
    <t>00L0NDZU</t>
  </si>
  <si>
    <t>EXP20260625-2819276-</t>
  </si>
  <si>
    <t>LE HINGRAT JUSTINE</t>
  </si>
  <si>
    <t>6 LA VILLE RICHARD, 22240 PLUR</t>
  </si>
  <si>
    <t>PLURIEN</t>
  </si>
  <si>
    <t>00L0NDZV</t>
  </si>
  <si>
    <t>EXP20260625-2819121-</t>
  </si>
  <si>
    <t>KERHOAS ELSA</t>
  </si>
  <si>
    <t>1 IMPASSE DE KERLEREC</t>
  </si>
  <si>
    <t>00L0NDZW</t>
  </si>
  <si>
    <t>EXP20260625-2819275-</t>
  </si>
  <si>
    <t>SONIA LEPVRAUD</t>
  </si>
  <si>
    <t>25 RUE BOULBONNE</t>
  </si>
  <si>
    <t>00L0NDZX</t>
  </si>
  <si>
    <t>EXP20260625-2819885-</t>
  </si>
  <si>
    <t>MARVILLE LYVIA</t>
  </si>
  <si>
    <t>15 MAIL PABLO PICASSO</t>
  </si>
  <si>
    <t>00L0NDZY</t>
  </si>
  <si>
    <t>EXP20260625-2819120-</t>
  </si>
  <si>
    <t>GILET AGATHE</t>
  </si>
  <si>
    <t>8 RUE BERTHE SAVERY</t>
  </si>
  <si>
    <t>00L0NDZZ</t>
  </si>
  <si>
    <t>EXP20260625-2820002-</t>
  </si>
  <si>
    <t>ADELINE PORCHERIE</t>
  </si>
  <si>
    <t>25 ROUTE DE LA COMBETTE LOT LE</t>
  </si>
  <si>
    <t>VESANCY</t>
  </si>
  <si>
    <t>00L0NE00</t>
  </si>
  <si>
    <t>EXP20260625-2819710-</t>
  </si>
  <si>
    <t>BONNIN PATRICK</t>
  </si>
  <si>
    <t>5 ALLEE DES CHARMES</t>
  </si>
  <si>
    <t>LIBOURNE</t>
  </si>
  <si>
    <t>00L0NE02</t>
  </si>
  <si>
    <t>EXP20260625-2819635-</t>
  </si>
  <si>
    <t>DUCHESNE MATHILDE</t>
  </si>
  <si>
    <t>8 RUE FERDINAND BUISSON</t>
  </si>
  <si>
    <t>LIMOGES</t>
  </si>
  <si>
    <t>00L0NE03</t>
  </si>
  <si>
    <t>EXP20260626-2820286-</t>
  </si>
  <si>
    <t>GALINDO ANTONIO</t>
  </si>
  <si>
    <t>6 RUE DE VASSIEUX EN VERCORS</t>
  </si>
  <si>
    <t>00KUR5X1</t>
  </si>
  <si>
    <t>EXP20260625-2818331-</t>
  </si>
  <si>
    <t>TERRIEN AMANDINE</t>
  </si>
  <si>
    <t>22 RUE DE LA BONNEAU</t>
  </si>
  <si>
    <t>PREE-D'ANJOU</t>
  </si>
  <si>
    <t>00KUR5X2</t>
  </si>
  <si>
    <t>EXP20260625-2818120-</t>
  </si>
  <si>
    <t>TOPAL HUSEYIN</t>
  </si>
  <si>
    <t>2 RUE DE LA OBERHARTH</t>
  </si>
  <si>
    <t>COLMAR</t>
  </si>
  <si>
    <t>00KUR5X3</t>
  </si>
  <si>
    <t>EXP20260625-2818541-</t>
  </si>
  <si>
    <t>CHARLINE BERARD</t>
  </si>
  <si>
    <t>CHEMIN SAINTE-PETRONILLE</t>
  </si>
  <si>
    <t>00KUR5X4</t>
  </si>
  <si>
    <t>EXP20260625-2818542-</t>
  </si>
  <si>
    <t>MARION HUPPE GUARINO</t>
  </si>
  <si>
    <t>12 SQUARE HENRY PATE</t>
  </si>
  <si>
    <t>00KUR5X5</t>
  </si>
  <si>
    <t>EXP20260626-2820349-</t>
  </si>
  <si>
    <t>WORBE FLORA</t>
  </si>
  <si>
    <t>57 RUE SAINT LOUIS EN L ILE</t>
  </si>
  <si>
    <t>00KUR5X6</t>
  </si>
  <si>
    <t>EXP20260625-2819847-</t>
  </si>
  <si>
    <t>RAIN CASSANDRE</t>
  </si>
  <si>
    <t>73, BOULEVARD DE LA MARNE</t>
  </si>
  <si>
    <t>00KUR5X7</t>
  </si>
  <si>
    <t>EXP20260626-2820380-</t>
  </si>
  <si>
    <t>KOCHETKOV 193507 ANTON</t>
  </si>
  <si>
    <t>11 RUE DE LA PAIX</t>
  </si>
  <si>
    <t>ST LOUIS</t>
  </si>
  <si>
    <t>29.06.2026</t>
  </si>
  <si>
    <t>00L0NE04</t>
  </si>
  <si>
    <t>EXP20260626-2821036-</t>
  </si>
  <si>
    <t>RICHARD ROMAIN</t>
  </si>
  <si>
    <t>68 AVENUE ROUGET DE LISLE</t>
  </si>
  <si>
    <t>VITRY-SUR-SEINE</t>
  </si>
  <si>
    <t>00L0NE05</t>
  </si>
  <si>
    <t>EXP20260626-2820851-</t>
  </si>
  <si>
    <t>SAUVAGE RACHEL</t>
  </si>
  <si>
    <t>316 CHEMIN DE LA SAULAIE</t>
  </si>
  <si>
    <t>CRANVES-SALES</t>
  </si>
  <si>
    <t>00L0NE06</t>
  </si>
  <si>
    <t>EXP20260626-2820679-</t>
  </si>
  <si>
    <t>BOULO MARIE</t>
  </si>
  <si>
    <t>3 RUE CHARLES FOREST - RESIDEN</t>
  </si>
  <si>
    <t>HOUILLES</t>
  </si>
  <si>
    <t>00L0NE07</t>
  </si>
  <si>
    <t>EXP20260626-2820678-</t>
  </si>
  <si>
    <t>LE GONIDEC FAUSTINE</t>
  </si>
  <si>
    <t>70 QUAI DE LA LOIRE</t>
  </si>
  <si>
    <t>00L0NE08</t>
  </si>
  <si>
    <t>EXP20260626-2820852-</t>
  </si>
  <si>
    <t>VELLAS LAVAYSSIERE CAMILLE</t>
  </si>
  <si>
    <t>2 AVENUE FRIZAC</t>
  </si>
  <si>
    <t>00L0NE09</t>
  </si>
  <si>
    <t>EXP20260626-2821035-</t>
  </si>
  <si>
    <t>DA SILVA BRIGITTE</t>
  </si>
  <si>
    <t>66 CHEMIN DE VAULONGUE</t>
  </si>
  <si>
    <t>00L3Y32D</t>
  </si>
  <si>
    <t>EXP20260626-2821993</t>
  </si>
  <si>
    <t>00L3QE5G</t>
  </si>
  <si>
    <t>EXP20260625-2818916</t>
  </si>
  <si>
    <t>00KUR5X8</t>
  </si>
  <si>
    <t>EXP20260626-2820387-</t>
  </si>
  <si>
    <t>PAULINE CHAMP</t>
  </si>
  <si>
    <t>3B. RUE SYLVESTRE CHAUVELOT</t>
  </si>
  <si>
    <t>BEAUNE</t>
  </si>
  <si>
    <t>00KUR5X9</t>
  </si>
  <si>
    <t>EXP20260626-2820573-</t>
  </si>
  <si>
    <t>FAKHRI DELPHINE</t>
  </si>
  <si>
    <t>41 VOIE DE CHATENAY</t>
  </si>
  <si>
    <t>00KUR5XA</t>
  </si>
  <si>
    <t>EXP20260625-2819026-</t>
  </si>
  <si>
    <t>LICCIARDI ALEX</t>
  </si>
  <si>
    <t>1095 CHEMIN DE JYLLOUE</t>
  </si>
  <si>
    <t>00L0NE0Y</t>
  </si>
  <si>
    <t>EXP20260629-2828011-</t>
  </si>
  <si>
    <t>THEPAUT IGGY</t>
  </si>
  <si>
    <t>95 RUE TORPILLEUR FOUDROYANT</t>
  </si>
  <si>
    <t>00L0NE0S</t>
  </si>
  <si>
    <t>EXP20260630-2828422-</t>
  </si>
  <si>
    <t>SOLER VERONICA</t>
  </si>
  <si>
    <t>10 RUE VICTOR HUGO</t>
  </si>
  <si>
    <t>LE CANNET</t>
  </si>
  <si>
    <t>00L0NE0P</t>
  </si>
  <si>
    <t>EXP20260626-2821726-</t>
  </si>
  <si>
    <t>ZYBERAJ ULYSSE</t>
  </si>
  <si>
    <t>12 RUE DU POIRIER DE FER</t>
  </si>
  <si>
    <t>VILLECRESNES</t>
  </si>
  <si>
    <t>00L0NE0O</t>
  </si>
  <si>
    <t>EXP20260629-2825681-</t>
  </si>
  <si>
    <t>SESSA GIULIO</t>
  </si>
  <si>
    <t>229 AVENUE FRANCOIS NARDI</t>
  </si>
  <si>
    <t>TOULON</t>
  </si>
  <si>
    <t>00L0NE0N</t>
  </si>
  <si>
    <t>EXP20260628-2824036-</t>
  </si>
  <si>
    <t>GIRARD PAULINE</t>
  </si>
  <si>
    <t>21 RUE DE L'ETOILE</t>
  </si>
  <si>
    <t>SAINT-LEGER-SOUS-CHOLET</t>
  </si>
  <si>
    <t>00L0NE0K</t>
  </si>
  <si>
    <t>EXP20260628-2824652-</t>
  </si>
  <si>
    <t>MACRAIGNE ANNICK</t>
  </si>
  <si>
    <t>5 ESP. DES PROVINS, 71120 CHAR</t>
  </si>
  <si>
    <t>CHAROLLES</t>
  </si>
  <si>
    <t>00L0NE0G</t>
  </si>
  <si>
    <t>EXP20260628-2825117-</t>
  </si>
  <si>
    <t>AUBERT VANESSA</t>
  </si>
  <si>
    <t>5 RUE DE LA BORNE AUX DAMES</t>
  </si>
  <si>
    <t>00L0NE0F</t>
  </si>
  <si>
    <t>EXP20260627-2822579-</t>
  </si>
  <si>
    <t>AIWALA KARIN</t>
  </si>
  <si>
    <t>30A RUE DU MOUTIER</t>
  </si>
  <si>
    <t>ENNERY</t>
  </si>
  <si>
    <t>00L0NE0D</t>
  </si>
  <si>
    <t>EXP20260629-2827938-</t>
  </si>
  <si>
    <t>DELAROQUE CHRISTOPHE</t>
  </si>
  <si>
    <t>37 RUE NELSON MANDELA</t>
  </si>
  <si>
    <t>HEROUVILLETTE</t>
  </si>
  <si>
    <t>00L0NE0C</t>
  </si>
  <si>
    <t>EXP20260628-2825216-</t>
  </si>
  <si>
    <t>PAUL LEGOFF</t>
  </si>
  <si>
    <t>25 BOULEVARD DE BELLEVILLE</t>
  </si>
  <si>
    <t>00L0NE0B</t>
  </si>
  <si>
    <t>EXP20260628-2824469-</t>
  </si>
  <si>
    <t>GALLE VERONIQUE</t>
  </si>
  <si>
    <t>778E CHEMIN DES GARRIGUES</t>
  </si>
  <si>
    <t>VENASQUE</t>
  </si>
  <si>
    <t>00L0NE0A</t>
  </si>
  <si>
    <t>EXP20260628-2824360-</t>
  </si>
  <si>
    <t>BD AVOCATES</t>
  </si>
  <si>
    <t>23 RUE MARC BLOCH</t>
  </si>
  <si>
    <t>LYON 7EME ARRONDISSEMENT</t>
  </si>
  <si>
    <t>00L40S0N</t>
  </si>
  <si>
    <t>CARDETTI CLEMENCE</t>
  </si>
  <si>
    <t>20 RUE FRANCOIS CAMEL</t>
  </si>
  <si>
    <t>TARASCON SUR ARIEGE</t>
  </si>
  <si>
    <t>00L0NE0X</t>
  </si>
  <si>
    <t>EXP20260628-2824879-</t>
  </si>
  <si>
    <t>LECHEVALLIER MADELEINE</t>
  </si>
  <si>
    <t>235 ROUTE DE COUTANCES</t>
  </si>
  <si>
    <t>DONVILLE-LES-BAINS</t>
  </si>
  <si>
    <t>00L0NE0R</t>
  </si>
  <si>
    <t>EXP20260628-2824653-</t>
  </si>
  <si>
    <t>GAYRARD ISABELLE</t>
  </si>
  <si>
    <t>26 RUE DE LA RONCE, 92410 VILL</t>
  </si>
  <si>
    <t>VILLE-D'AVRAY</t>
  </si>
  <si>
    <t>00L0NE0L</t>
  </si>
  <si>
    <t>EXP20260629-2828094-</t>
  </si>
  <si>
    <t>OJEDA ALICIA</t>
  </si>
  <si>
    <t>51 BIS RUE HERMITE</t>
  </si>
  <si>
    <t>00L0NE0E</t>
  </si>
  <si>
    <t>EXP20260628-2824359-</t>
  </si>
  <si>
    <t>QUINET TRISTAN</t>
  </si>
  <si>
    <t>109 AV. DE LODEVE, 34070 MONTP</t>
  </si>
  <si>
    <t>00L0NE0U</t>
  </si>
  <si>
    <t>EXP20260628-2825014-</t>
  </si>
  <si>
    <t>TOSTEN CAROLINE</t>
  </si>
  <si>
    <t>76 RUE JULES GUESDE</t>
  </si>
  <si>
    <t>00L0NE1F</t>
  </si>
  <si>
    <t>EXP20260627-2823527-</t>
  </si>
  <si>
    <t>BRETAULT EVE</t>
  </si>
  <si>
    <t>107 RUE RAYMOND LOSSERAND, PAR</t>
  </si>
  <si>
    <t>00L0NE14</t>
  </si>
  <si>
    <t>EXP20260629-2827269-</t>
  </si>
  <si>
    <t>BLOT ETIENNE</t>
  </si>
  <si>
    <t>2 RUE DE LA AUNIS</t>
  </si>
  <si>
    <t>AYTRE</t>
  </si>
  <si>
    <t>00L0NE13</t>
  </si>
  <si>
    <t>EXP20260627-2822397-</t>
  </si>
  <si>
    <t>GOURNEL HELENE</t>
  </si>
  <si>
    <t>14 RUE DU CLOS FILLATRE, 27910</t>
  </si>
  <si>
    <t>LES HOGUES</t>
  </si>
  <si>
    <t>00L0NE12</t>
  </si>
  <si>
    <t>EXP20260629-2825679-</t>
  </si>
  <si>
    <t>BROCHERAY RIVAS MARINA</t>
  </si>
  <si>
    <t>17 LES BOUTONS D OR</t>
  </si>
  <si>
    <t>LES BAUX STE CROIX</t>
  </si>
  <si>
    <t>00L0NE11</t>
  </si>
  <si>
    <t>EXP20260627-2823791-</t>
  </si>
  <si>
    <t>RECHDAN LEA</t>
  </si>
  <si>
    <t>2 RUE DU PLATEAU</t>
  </si>
  <si>
    <t>RUEIL MALMAISON</t>
  </si>
  <si>
    <t>00L0NE0W</t>
  </si>
  <si>
    <t>EXP20260627-2822513-</t>
  </si>
  <si>
    <t>MARLANGUE ANNE</t>
  </si>
  <si>
    <t>71 RUE SAINT-BLAISE</t>
  </si>
  <si>
    <t>00L0NE0V</t>
  </si>
  <si>
    <t>EXP20260629-2827553-</t>
  </si>
  <si>
    <t>SU XINYUE</t>
  </si>
  <si>
    <t>52 RUE VASCO DE GAMA</t>
  </si>
  <si>
    <t>00L0NE0T</t>
  </si>
  <si>
    <t>EXP20260626-2821384-</t>
  </si>
  <si>
    <t>CHEE CHRISTIANA</t>
  </si>
  <si>
    <t>9G BOULEVARD JOURDAN</t>
  </si>
  <si>
    <t>00L0NE0M</t>
  </si>
  <si>
    <t>EXP20260628-2825016-</t>
  </si>
  <si>
    <t>THOMAS GENEVIEVE</t>
  </si>
  <si>
    <t>38 RUE BENARD</t>
  </si>
  <si>
    <t>00L0NE0J</t>
  </si>
  <si>
    <t>EXP20260630-2828367-</t>
  </si>
  <si>
    <t>ROCHEFORT ANNE</t>
  </si>
  <si>
    <t>65 AVENUE PIERRE LEFAUCHEUX</t>
  </si>
  <si>
    <t>00L0NE0H</t>
  </si>
  <si>
    <t>EXP20260627-2823291-</t>
  </si>
  <si>
    <t>DESGRIPPES MARIE</t>
  </si>
  <si>
    <t>253 RUE LECOURBE</t>
  </si>
  <si>
    <t>00L0NE1S</t>
  </si>
  <si>
    <t>EXP20260628-2824471-</t>
  </si>
  <si>
    <t>00L0NE0Z</t>
  </si>
  <si>
    <t>EXP20260627-2823733-</t>
  </si>
  <si>
    <t>NGUYEN GAELLE</t>
  </si>
  <si>
    <t>87 ROUTE DE SAINT-DENIS</t>
  </si>
  <si>
    <t>DEUIL-LA-BARRE</t>
  </si>
  <si>
    <t>00L0NE1Q</t>
  </si>
  <si>
    <t>EXP20260627-2823406-</t>
  </si>
  <si>
    <t>VOULTOURY ELIZABETH</t>
  </si>
  <si>
    <t>1 RUE JEAN GIONO</t>
  </si>
  <si>
    <t>ISLE</t>
  </si>
  <si>
    <t>00L0NE1O</t>
  </si>
  <si>
    <t>EXP20260627-2823734-</t>
  </si>
  <si>
    <t>LANGE MURIELLE</t>
  </si>
  <si>
    <t>35 AVENUE KLEBER</t>
  </si>
  <si>
    <t>DUNKERQUE</t>
  </si>
  <si>
    <t>00L0NE1P</t>
  </si>
  <si>
    <t>EXP20260627-2823525-</t>
  </si>
  <si>
    <t>DE LENCQUESAING PHILIPPINE</t>
  </si>
  <si>
    <t>4 RUE DE TOCQUEVILLE</t>
  </si>
  <si>
    <t>00L0NE1R</t>
  </si>
  <si>
    <t>EXP20260628-2825401-</t>
  </si>
  <si>
    <t>BOUFFLET CELINE</t>
  </si>
  <si>
    <t>45 RUE COQUEREL</t>
  </si>
  <si>
    <t>00L0NE1M</t>
  </si>
  <si>
    <t>EXP20260627-2822398-</t>
  </si>
  <si>
    <t>ANGELI CHRISTELLE</t>
  </si>
  <si>
    <t>11BIS CHEMIN DE LA BERRETTE ES</t>
  </si>
  <si>
    <t>CASTILLON-DU-GARD</t>
  </si>
  <si>
    <t>00L0NE1I</t>
  </si>
  <si>
    <t>EXP20260629-2825680-</t>
  </si>
  <si>
    <t>SORIN LAURENT</t>
  </si>
  <si>
    <t>1 LES AGRIONS</t>
  </si>
  <si>
    <t>TREMAOUEZAN</t>
  </si>
  <si>
    <t>00L0NE1N</t>
  </si>
  <si>
    <t>EXP20260627-2823528-</t>
  </si>
  <si>
    <t>CORMEE CAMILLE</t>
  </si>
  <si>
    <t>25 BIS RUE LEON MENU</t>
  </si>
  <si>
    <t>BRY SUR MARNE</t>
  </si>
  <si>
    <t>00L0NE1K</t>
  </si>
  <si>
    <t>EXP20260627-2822783-</t>
  </si>
  <si>
    <t>OSSOLA DELPHINE</t>
  </si>
  <si>
    <t>9 MAS DE GUERREVIEILLE</t>
  </si>
  <si>
    <t>SAINTE-MAXIME</t>
  </si>
  <si>
    <t>00L0NE1J</t>
  </si>
  <si>
    <t>EXP20260627-2823616-</t>
  </si>
  <si>
    <t>00L0NE1H</t>
  </si>
  <si>
    <t>EXP20260626-2821812-</t>
  </si>
  <si>
    <t>LEJEUNE ENORA</t>
  </si>
  <si>
    <t>18 TER RUE DU 7 JUIN 1944</t>
  </si>
  <si>
    <t>00L0NE1E</t>
  </si>
  <si>
    <t>EXP20260627-2823408-</t>
  </si>
  <si>
    <t>MONNIER ELISE</t>
  </si>
  <si>
    <t>4 RUE DE LA AIRE</t>
  </si>
  <si>
    <t>PLAISSAN</t>
  </si>
  <si>
    <t>00L0NE0Q</t>
  </si>
  <si>
    <t>EXP20260627-2822784-</t>
  </si>
  <si>
    <t>LAURENCON CHLOE</t>
  </si>
  <si>
    <t>90 RUE BLOMET</t>
  </si>
  <si>
    <t>00L0NE0I</t>
  </si>
  <si>
    <t>EXP20260629-2827408-</t>
  </si>
  <si>
    <t>METAIREAU EDWIGE</t>
  </si>
  <si>
    <t>2 RUE AMEDEE MENARD, 44300 NAN</t>
  </si>
  <si>
    <t>00L0NE1L</t>
  </si>
  <si>
    <t>EXP20260627-2822490-</t>
  </si>
  <si>
    <t>KRUST AURELIE</t>
  </si>
  <si>
    <t>31 RUE JEAN GUEHENNO</t>
  </si>
  <si>
    <t>00L0NE1G</t>
  </si>
  <si>
    <t>EXP20260626-2822174-</t>
  </si>
  <si>
    <t>SEELEUTHNER JULIE</t>
  </si>
  <si>
    <t>6 RUE ADOLPHE MAGNIN, 74100 AN</t>
  </si>
  <si>
    <t>00L0NE1D</t>
  </si>
  <si>
    <t>EXP20260628-2825015-</t>
  </si>
  <si>
    <t>ROQUES MORGANE</t>
  </si>
  <si>
    <t>56 BD PAUL VAILLANT COUTURIER</t>
  </si>
  <si>
    <t>00L0NE1C</t>
  </si>
  <si>
    <t>EXP20260629-2827552-</t>
  </si>
  <si>
    <t>KERMONY OFFICE</t>
  </si>
  <si>
    <t>24 AVENUE HUBERT GERMAIN</t>
  </si>
  <si>
    <t>00L0NE1B</t>
  </si>
  <si>
    <t>EXP20260627-2823091-</t>
  </si>
  <si>
    <t>SCP MARTEAU NOTAIRES</t>
  </si>
  <si>
    <t>54 AVENUE DU MARECHAL FOCH</t>
  </si>
  <si>
    <t>CHATOU</t>
  </si>
  <si>
    <t>00L0NE1A</t>
  </si>
  <si>
    <t>EXP20260626-2822175-</t>
  </si>
  <si>
    <t>VIDACAK LISA</t>
  </si>
  <si>
    <t>22 RUE DE LA BANNIERE</t>
  </si>
  <si>
    <t>00L0NE19</t>
  </si>
  <si>
    <t>EXP20260626-2821218-</t>
  </si>
  <si>
    <t>BELLANGER ELISE</t>
  </si>
  <si>
    <t>53 RUE KANT</t>
  </si>
  <si>
    <t>00L0NE18</t>
  </si>
  <si>
    <t>EXP20260628-2823860-</t>
  </si>
  <si>
    <t>AUDI ROYAN</t>
  </si>
  <si>
    <t>28 RUE GUSTAVE EIFFEL</t>
  </si>
  <si>
    <t>SAINT-SULPICE-DE-ROYAN</t>
  </si>
  <si>
    <t>00L0NE17</t>
  </si>
  <si>
    <t>EXP20260628-2824765-</t>
  </si>
  <si>
    <t>PASCAL STEPHANIE</t>
  </si>
  <si>
    <t>106 RUE MAC CARTHY</t>
  </si>
  <si>
    <t>00L0NE16</t>
  </si>
  <si>
    <t>EXP20260628-2824117-</t>
  </si>
  <si>
    <t>PARCELLIER AMELIE</t>
  </si>
  <si>
    <t>5 ALL. DU RIEZ, 59110 LA MADEL</t>
  </si>
  <si>
    <t>LA MADELEINE</t>
  </si>
  <si>
    <t>00L0NE15</t>
  </si>
  <si>
    <t>EXP20260627-2823732-</t>
  </si>
  <si>
    <t>HINGREZ ANAIS</t>
  </si>
  <si>
    <t>22 RUE DES COQUELICOTS</t>
  </si>
  <si>
    <t>QUIBERVILLE-SUR-MER</t>
  </si>
  <si>
    <t>00L0NE10</t>
  </si>
  <si>
    <t>EXP20260628-2824561-</t>
  </si>
  <si>
    <t>PONDI SEPHORA</t>
  </si>
  <si>
    <t>198 RUE DE NOISY LE SEC</t>
  </si>
  <si>
    <t>BAGNOLET</t>
  </si>
  <si>
    <t>00KUR5XB</t>
  </si>
  <si>
    <t>EXP20260628-2824197-</t>
  </si>
  <si>
    <t>BOUGES ROSYNE</t>
  </si>
  <si>
    <t>49 PLACE DE LA HERMITAGE</t>
  </si>
  <si>
    <t>LE TOUQUET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</si>
</sst>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&quot; kg&quot;"/>
    <numFmt numFmtId="165" formatCode="#,##0.0&quot; kg&quot;"/>
    <numFmt numFmtId="166" formatCode="0.0%"/>
    <numFmt numFmtId="167" formatCode="mmmm\ 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0" fillId="33" borderId="0" xfId="0" applyFill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33" borderId="0" xfId="42" applyFont="1" applyFill="1"/>
    <xf numFmtId="44" fontId="0" fillId="0" borderId="0" xfId="42" applyFont="1"/>
    <xf numFmtId="44" fontId="0" fillId="0" borderId="0" xfId="0" applyNumberFormat="1"/>
    <xf numFmtId="10" fontId="0" fillId="0" borderId="0" xfId="43" applyNumberFormat="1" applyFont="1"/>
    <xf numFmtId="16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8" fillId="0" borderId="0" xfId="0" applyFont="1"/>
    <xf numFmtId="0" fontId="19" fillId="34" borderId="10" xfId="0" applyFont="1" applyFill="1" applyBorder="1" applyAlignment="1">
      <alignment horizontal="center" vertical="center"/>
    </xf>
    <xf numFmtId="8" fontId="20" fillId="34" borderId="11" xfId="0" applyNumberFormat="1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8" fontId="20" fillId="0" borderId="13" xfId="0" applyNumberFormat="1" applyFont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8" fontId="20" fillId="34" borderId="13" xfId="0" applyNumberFormat="1" applyFont="1" applyFill="1" applyBorder="1" applyAlignment="1">
      <alignment horizontal="center" vertical="center"/>
    </xf>
    <xf numFmtId="164" fontId="0" fillId="33" borderId="0" xfId="0" applyNumberFormat="1" applyFill="1"/>
    <xf numFmtId="165" fontId="0" fillId="33" borderId="0" xfId="0" applyNumberFormat="1" applyFill="1"/>
    <xf numFmtId="0" fontId="21" fillId="0" borderId="0" xfId="0" applyFont="1"/>
    <xf numFmtId="44" fontId="0" fillId="0" borderId="14" xfId="42" applyFont="1" applyBorder="1"/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 applyAlignment="1">
      <alignment vertical="center"/>
    </xf>
    <xf numFmtId="0" fontId="0" fillId="35" borderId="0" xfId="0" applyFill="1" applyAlignment="1">
      <alignment vertical="center"/>
    </xf>
    <xf numFmtId="166" fontId="0" fillId="0" borderId="0" xfId="43" applyNumberFormat="1" applyFont="1"/>
    <xf numFmtId="167" fontId="0" fillId="0" borderId="0" xfId="0" applyNumberFormat="1"/>
    <xf numFmtId="1" fontId="0" fillId="0" borderId="0" xfId="44" applyNumberFormat="1" applyFont="1"/>
    <xf numFmtId="1" fontId="0" fillId="0" borderId="0" xfId="0" applyNumberFormat="1"/>
    <xf numFmtId="0" fontId="16" fillId="36" borderId="15" xfId="0" applyFont="1" applyFill="1" applyBorder="1"/>
    <xf numFmtId="2" fontId="0" fillId="0" borderId="0" xfId="0" applyNumberFormat="1"/>
    <xf numFmtId="0" fontId="0" fillId="37" borderId="0" xfId="0" applyFill="1"/>
    <xf numFmtId="14" fontId="0" fillId="38" borderId="0" xfId="0" applyNumberFormat="1" applyFill="1"/>
    <xf numFmtId="0" fontId="0" fillId="0" borderId="0" xfId="0" applyAlignment="1">
      <alignment wrapText="1"/>
    </xf>
    <xf numFmtId="0" fontId="0" fillId="39" borderId="0" xfId="0" applyFill="1"/>
  </cellXfs>
  <cellStyles count="45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Milliers" xfId="44" builtinId="3"/>
    <cellStyle name="Monétaire" xfId="42" builtinId="4"/>
    <cellStyle name="Neutre" xfId="8" builtinId="28" customBuiltin="1"/>
    <cellStyle name="Normal" xfId="0" builtinId="0"/>
    <cellStyle name="Note" xfId="15" builtinId="10" customBuiltin="1"/>
    <cellStyle name="Pourcentage" xfId="43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3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0</xdr:row>
      <xdr:rowOff>57150</xdr:rowOff>
    </xdr:from>
    <xdr:to>
      <xdr:col>14</xdr:col>
      <xdr:colOff>248744</xdr:colOff>
      <xdr:row>40</xdr:row>
      <xdr:rowOff>77266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B713E4A-6346-72E5-8831-CA158E877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6575" y="57150"/>
          <a:ext cx="7840169" cy="764011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e SCHMITT" refreshedDate="46115.636046990738" createdVersion="8" refreshedVersion="8" minRefreshableVersion="3" recordCount="1162" xr:uid="{3BCD10BA-79F9-4F20-A28E-36AE9F87C89D}">
  <cacheSource type="worksheet">
    <worksheetSource ref="N1:O1048576" sheet="Facture GLS"/>
  </cacheSource>
  <cacheFields count="2">
    <cacheField name="NÂ° compte exploit." numFmtId="0">
      <sharedItems containsString="0" containsBlank="1" containsNumber="1" containsInteger="1" minValue="9000037814" maxValue="9000152816" count="26">
        <n v="9000037814"/>
        <n v="9000082822"/>
        <n v="9000079830"/>
        <n v="9000079829"/>
        <n v="9000084612"/>
        <m/>
        <n v="9000084611" u="1"/>
        <n v="9000082814" u="1"/>
        <n v="9000083593" u="1"/>
        <n v="9000079831" u="1"/>
        <n v="9000079828" u="1"/>
        <n v="9000082423" u="1"/>
        <n v="9000081899" u="1"/>
        <n v="9000083759" u="1"/>
        <n v="9000082821" u="1"/>
        <n v="9000083106" u="1"/>
        <n v="9000082815" u="1"/>
        <n v="9000079832" u="1"/>
        <n v="9000083758" u="1"/>
        <n v="9000085256" u="1"/>
        <n v="9000152816" u="1"/>
        <n v="9000083458" u="1"/>
        <n v="9000082422" u="1"/>
        <n v="9000082421" u="1"/>
        <n v="9000082004" u="1"/>
        <n v="9000079833" u="1"/>
      </sharedItems>
    </cacheField>
    <cacheField name="Nom compte exploit." numFmtId="0">
      <sharedItems containsBlank="1" count="29">
        <s v="LA RUCHE"/>
        <s v="Laboratoires Christian Roche"/>
        <s v="BY FOUTAS"/>
        <s v="ANOTHER WAY"/>
        <s v="EQUILIBRE CBD"/>
        <m/>
        <s v="HARMANDI" u="1"/>
        <s v="EDRA" u="1"/>
        <s v="SpineFootwear" u="1"/>
        <s v="Prairymood" u="1"/>
        <s v="NALKAA" u="1"/>
        <s v="NOSC" u="1"/>
        <s v="AÃ„SGARD" u="1"/>
        <s v="ALL MY KETO" u="1"/>
        <s v="ADOPTE UN BRASSEUR" u="1"/>
        <s v="KERBI" u="1"/>
        <s v="Par un Curieux Hasard" u="1"/>
        <s v="DÃ©couvre Bitcoin" u="1"/>
        <s v="Le vapoteur tranquille" u="1"/>
        <s v="WISE" u="1"/>
        <s v="BERCAIL DECO" u="1"/>
        <s v="ONEGUM" u="1"/>
        <s v="ENJOY THE WOOD PAR HARMANDI" u="1"/>
        <s v="SILVER DEVELOPMENT" u="1"/>
        <s v="ENJOY THE WOOD" u="1"/>
        <s v="HYDRATIS" u="1"/>
        <s v="DRUYDES" u="1"/>
        <s v="Atomic soda" u="1"/>
        <s v="MOWLY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ëtan BEUTEAU" refreshedDate="46190.372065162039" createdVersion="8" refreshedVersion="8" minRefreshableVersion="3" recordCount="437" xr:uid="{192ADE76-4649-4723-B10C-DED4F4B034C3}">
  <cacheSource type="worksheet">
    <worksheetSource ref="A2:C64618" sheet="TCD"/>
  </cacheSource>
  <cacheFields count="3">
    <cacheField name="Total GO" numFmtId="0">
      <sharedItems containsString="0" containsBlank="1" containsNumber="1" minValue="0" maxValue="43.69715568924898"/>
    </cacheField>
    <cacheField name="Total" numFmtId="0">
      <sharedItems containsString="0" containsBlank="1" containsNumber="1" minValue="0" maxValue="33.71"/>
    </cacheField>
    <cacheField name="ID clients" numFmtId="0">
      <sharedItems containsString="0" containsBlank="1" containsNumber="1" containsInteger="1" minValue="0" maxValue="9512" count="64">
        <m/>
        <n v="361"/>
        <n v="7254"/>
        <n v="8568"/>
        <n v="8041"/>
        <n v="7515"/>
        <n v="4813"/>
        <n v="6739"/>
        <n v="3888"/>
        <n v="6930"/>
        <n v="4565"/>
        <n v="7413"/>
        <n v="6685"/>
        <n v="6199"/>
        <n v="6813"/>
        <n v="9512"/>
        <n v="8656"/>
        <n v="9351"/>
        <n v="0" u="1"/>
        <n v="7027" u="1"/>
        <n v="6814" u="1"/>
        <n v="9169" u="1"/>
        <n v="5361" u="1"/>
        <n v="8640" u="1"/>
        <n v="9294" u="1"/>
        <n v="7845" u="1"/>
        <n v="2072" u="1"/>
        <n v="9160" u="1"/>
        <n v="6639" u="1"/>
        <n v="6085" u="1"/>
        <n v="6210" u="1"/>
        <n v="6259" u="1"/>
        <n v="6665" u="1"/>
        <n v="8580" u="1"/>
        <n v="3752" u="1"/>
        <n v="6262" u="1"/>
        <n v="7069" u="1"/>
        <n v="6910" u="1"/>
        <n v="6235" u="1"/>
        <n v="7614" u="1"/>
        <n v="7846" u="1"/>
        <n v="6741" u="1"/>
        <n v="7849" u="1"/>
        <n v="3769" u="1"/>
        <n v="6851" u="1"/>
        <n v="7847" u="1"/>
        <n v="6464" u="1"/>
        <n v="6705" u="1"/>
        <n v="3997" u="1"/>
        <n v="365" u="1"/>
        <n v="7178" u="1"/>
        <n v="7494" u="1"/>
        <n v="6374" u="1"/>
        <n v="4280" u="1"/>
        <n v="6175" u="1"/>
        <n v="5861" u="1"/>
        <n v="6071" u="1"/>
        <n v="6437" u="1"/>
        <n v="4757" u="1"/>
        <n v="6516" u="1"/>
        <n v="6652" u="1"/>
        <n v="6753" u="1"/>
        <n v="6294" u="1"/>
        <n v="669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e SCHMITT" refreshedDate="46209.386181712965" createdVersion="8" refreshedVersion="8" minRefreshableVersion="3" recordCount="905" xr:uid="{00000000-000A-0000-FFFF-FFFF0A000000}">
  <cacheSource type="worksheet">
    <worksheetSource ref="AB1:AH1048576" sheet="Facture GLS"/>
  </cacheSource>
  <cacheFields count="7">
    <cacheField name="NumÃ©ro de colis" numFmtId="0">
      <sharedItems containsBlank="1" count="8000">
        <s v="00KZZJTF"/>
        <s v="00KZZJTD"/>
        <s v="00KZZJTH"/>
        <s v="00KZZJT9"/>
        <s v="00KZZJTG"/>
        <s v="00KZZJTA"/>
        <s v="00KZZJTC"/>
        <s v="00KZZJTB"/>
        <s v="00KZZJTE"/>
        <s v="00KUR5TX"/>
        <s v="00KUR5TY"/>
        <s v="00KUR5TZ"/>
        <s v="00KUR5TU"/>
        <s v="00L0EX46"/>
        <s v="00L0EXC0"/>
        <s v="00KZZJTK"/>
        <s v="00KZZJTI"/>
        <s v="00KZZJU2"/>
        <s v="00KZZJTP"/>
        <s v="00KZZJTY"/>
        <s v="00KZZJTX"/>
        <s v="00KZZJTS"/>
        <s v="00KZZJU0"/>
        <s v="00KZZJTV"/>
        <s v="00KZZJTJ"/>
        <s v="00KZZJTL"/>
        <s v="00KZZJTM"/>
        <s v="00KZZJTN"/>
        <s v="00KZZJTO"/>
        <s v="00KZZJTQ"/>
        <s v="00KZZJTR"/>
        <s v="00KZZJTT"/>
        <s v="00KZZJTU"/>
        <s v="00KZZJTW"/>
        <s v="00KZZJTZ"/>
        <s v="00KZZJU1"/>
        <s v="00KZZJU3"/>
        <s v="00KUR5U0"/>
        <s v="00KUR5U1"/>
        <s v="00KUR5U2"/>
        <s v="00KUR5U3"/>
        <s v="00KUR5U4"/>
        <s v="00KUR5U5"/>
        <s v="00KUR5U6"/>
        <s v="00L0DR8P"/>
        <s v="00L0DT0Y"/>
        <s v="00L0DT2S"/>
        <s v="00KUR5UE"/>
        <s v="00KUR5UF"/>
        <s v="00KUR5UD"/>
        <s v="00KUR5U7"/>
        <s v="00KUR5U9"/>
        <s v="00KUR5UC"/>
        <s v="00KUR5U8"/>
        <s v="00KUR5UA"/>
        <s v="00KUR5UB"/>
        <s v="00L0GLJP"/>
        <s v="00KZZJU4"/>
        <s v="00KZZJU5"/>
        <s v="00KZZJU6"/>
        <s v="00KZZJU7"/>
        <s v="00KZZJU8"/>
        <s v="00KZZJU9"/>
        <s v="00KZZJUA"/>
        <s v="00KZZJUB"/>
        <s v="00KZZJUC"/>
        <s v="00L0EXFW"/>
        <s v="00L0F7R5"/>
        <s v="00KZZJUE"/>
        <s v="00KZZJUD"/>
        <s v="00KZ5BVG"/>
        <s v="00KZZJUH"/>
        <s v="00KUR5UG"/>
        <s v="00KUR5UH"/>
        <s v="00KUR5UI"/>
        <s v="00KZZJUF"/>
        <s v="00KZZJUG"/>
        <s v="00KZZJUI"/>
        <s v="00KUR5UO"/>
        <s v="00KUR5UP"/>
        <s v="00KUR5UJ"/>
        <s v="00KUR5UK"/>
        <s v="00KUR5UN"/>
        <s v="00KUR5UM"/>
        <s v="00KUR5UL"/>
        <s v="00KZZJUO"/>
        <s v="00KZZJUN"/>
        <s v="00KZZJUL"/>
        <s v="00KZZJUM"/>
        <s v="00KZZJUP"/>
        <s v="00KZZJUK"/>
        <s v="00KZZJUJ"/>
        <s v="00L0SRL4"/>
        <s v="00KZZJUQ"/>
        <s v="00KUR5UQ"/>
        <s v="00KUR5UR"/>
        <s v="00KZZJUT"/>
        <s v="00KZZJUU"/>
        <s v="00KZZJUR"/>
        <s v="00KZZJUS"/>
        <s v="00KUR5UT"/>
        <s v="00KUR5V0"/>
        <s v="00KUR5UY"/>
        <s v="00KUR5UU"/>
        <s v="00KUR5V1"/>
        <s v="00KUR5UZ"/>
        <s v="00KUR5UW"/>
        <s v="00KUR5US"/>
        <s v="00KUR5UX"/>
        <s v="00KUR5UV"/>
        <s v="00KUR5V2"/>
        <s v="00KUR5V6"/>
        <s v="00KUR5V4"/>
        <s v="00KUR5V5"/>
        <s v="00KUR5V3"/>
        <s v="00L29F9X"/>
        <s v="00L29FI2"/>
        <s v="00KZZJUX"/>
        <s v="00KZZJUW"/>
        <s v="00KZZJUY"/>
        <s v="00KZZJUV"/>
        <s v="00KUR5V7"/>
        <s v="00KUR5V8"/>
        <s v="00KUR5V9"/>
        <s v="00KUR5VA"/>
        <s v="00KUR5VB"/>
        <s v="00KZZJUZ"/>
        <s v="00KUR5VC"/>
        <s v="00KUR5VD"/>
        <s v="00KUR5VE"/>
        <s v="00KUR5VF"/>
        <s v="00KUR5VG"/>
        <s v="ZWLMMM8V"/>
        <s v="00KZZJV4"/>
        <s v="00KZZJV3"/>
        <s v="00KZZJV2"/>
        <s v="00KZZJV1"/>
        <s v="00KZZJV0"/>
        <s v="00KUR5VH"/>
        <s v="00KUR5VL"/>
        <s v="00KUR5VK"/>
        <s v="00KUR5VJ"/>
        <s v="00KUR5VI"/>
        <s v="00L2R9O3"/>
        <s v="00L2RVK3"/>
        <s v="00KZZJV5"/>
        <s v="00KUR5VM"/>
        <s v="00KUR5VS"/>
        <s v="00KUR5VR"/>
        <s v="00KUR5VQ"/>
        <s v="00KUR5VP"/>
        <s v="00KUR5VO"/>
        <s v="00KUR5VN"/>
        <s v="00L2X6VJ"/>
        <s v="00KUR5VT"/>
        <s v="00KUR5VU"/>
        <s v="00KUR5VV"/>
        <s v="00KUR5VW"/>
        <s v="00KUR5VX"/>
        <s v="00KUR5VY"/>
        <s v="00KUR5VZ"/>
        <s v="00KZZJV6"/>
        <s v="00KZZJV7"/>
        <s v="00KUR5W5"/>
        <s v="00KUR5W7"/>
        <s v="00KUR5W0"/>
        <s v="00KUR5W6"/>
        <s v="00KUR5W4"/>
        <s v="00KUR5W3"/>
        <s v="00KUR5W2"/>
        <s v="00KUR5W1"/>
        <s v="00KUR5W8"/>
        <s v="00KUR5W9"/>
        <s v="00KUR5WA"/>
        <s v="00KUR5WB"/>
        <s v="00KUR5WC"/>
        <s v="00KUR5WD"/>
        <s v="00L3602L"/>
        <s v="00L3602K"/>
        <s v="00L363N4"/>
        <s v="00KZZJVA"/>
        <s v="00KZZJV9"/>
        <s v="00KZZJV8"/>
        <s v="00KUR5WF"/>
        <s v="00KUR5WE"/>
        <s v="00KUR5WK"/>
        <s v="00KUR5WG"/>
        <s v="00KUR5WH"/>
        <s v="00KZZJVB"/>
        <s v="00L38JTQ"/>
        <s v="00KUR5WJ"/>
        <s v="00KUR5WI"/>
        <s v="00L0NDX4"/>
        <s v="00L0NDX3"/>
        <s v="00L0NDX2"/>
        <s v="00KUR5WL"/>
        <s v="ZWLMMM8W"/>
        <s v="00L0NDX1"/>
        <s v="00L0NDX0"/>
        <s v="00L0NDWZ"/>
        <s v="00L0NDWY"/>
        <s v="00L0NDWX"/>
        <s v="00L0NDWW"/>
        <s v="00L0NDWV"/>
        <s v="00L0NDWU"/>
        <s v="00L0NDWT"/>
        <s v="00L0NDWS"/>
        <s v="00KZZJVC"/>
        <s v="00KZZJVD"/>
        <s v="00L0NDWA"/>
        <s v="00L0NDWB"/>
        <s v="00L0NDWC"/>
        <s v="00L0NDWD"/>
        <s v="00L0NDWE"/>
        <s v="00L0NDWF"/>
        <s v="00L0NDWG"/>
        <s v="00L0NDWH"/>
        <s v="00L0NDWI"/>
        <s v="00L0NDWJ"/>
        <s v="00L0NDWK"/>
        <s v="00L0NDWL"/>
        <s v="00L0NDWM"/>
        <s v="00L0NDWN"/>
        <s v="00L0NDWO"/>
        <s v="00L0NDWP"/>
        <s v="00L0NDWQ"/>
        <s v="00L0NDWR"/>
        <s v="00L0NDX7"/>
        <s v="00L0NDX6"/>
        <s v="00L0NDX5"/>
        <s v="00KUR5WP"/>
        <s v="00KUR5WQ"/>
        <s v="00KUR5WR"/>
        <s v="00KUR5WS"/>
        <s v="00KUR5WT"/>
        <s v="00KUR5WN"/>
        <s v="00KUR5WU"/>
        <s v="00KUR5WM"/>
        <s v="00KUR5WO"/>
        <s v="00L3KSUN"/>
        <s v="00L0NDXX"/>
        <s v="00L0NDXY"/>
        <s v="00L0NDXZ"/>
        <s v="00L0NDY0"/>
        <s v="00L0NDY1"/>
        <s v="00L0NDY2"/>
        <s v="00L0NDY3"/>
        <s v="00L0NDY4"/>
        <s v="00L0NDY5"/>
        <s v="00L0NDY6"/>
        <s v="00L0NDY7"/>
        <s v="00L0NDY8"/>
        <s v="00L0NDY9"/>
        <s v="00L0NDYA"/>
        <s v="00L0NDYB"/>
        <s v="00L0NDYC"/>
        <s v="00L0NDYD"/>
        <s v="00L0NDYE"/>
        <s v="00L0NDYF"/>
        <s v="00L0NDYG"/>
        <s v="00L0NDYH"/>
        <s v="00L0NDYI"/>
        <s v="00L0NDYJ"/>
        <s v="00L0NDYK"/>
        <s v="00L0NDX9"/>
        <s v="00L0NDX8"/>
        <s v="00L0NDXA"/>
        <s v="00L0NDXB"/>
        <s v="00L0NDXC"/>
        <s v="00L0NDXD"/>
        <s v="00L0NDXE"/>
        <s v="00L0NDXF"/>
        <s v="00L0NDXG"/>
        <s v="00L0NDXH"/>
        <s v="00L0NDXI"/>
        <s v="00L0NDXJ"/>
        <s v="00L0NDXK"/>
        <s v="00L0NDXL"/>
        <s v="00L0NDXM"/>
        <s v="00L0NDXN"/>
        <s v="00L0NDXO"/>
        <s v="00L0NDXP"/>
        <s v="00L0NDXQ"/>
        <s v="00L0NDXR"/>
        <s v="00L0NDXS"/>
        <s v="00L0NDXT"/>
        <s v="00L0NDXU"/>
        <s v="00L0NDXV"/>
        <s v="00L0NDXW"/>
        <s v="00L3KZME"/>
        <s v="00L0NDZC"/>
        <s v="00L0NDZ9"/>
        <s v="00L0NDZ4"/>
        <s v="00L0NDZ2"/>
        <s v="00L0NDZ1"/>
        <s v="00L0NDYL"/>
        <s v="00L0NDZE"/>
        <s v="00L0NDZ7"/>
        <s v="00L0NDZ5"/>
        <s v="00L0NDZ3"/>
        <s v="00L0NDYY"/>
        <s v="00L0NDYS"/>
        <s v="00L0NDZF"/>
        <s v="00L0NDYX"/>
        <s v="00L0NDYW"/>
        <s v="00L0NDYT"/>
        <s v="00L0NDZD"/>
        <s v="00L0NDZB"/>
        <s v="00L0NDZA"/>
        <s v="00L0NDYV"/>
        <s v="00L0NDYZ"/>
        <s v="00L0NDYR"/>
        <s v="00L0NDYN"/>
        <s v="00L0NDZ8"/>
        <s v="00L0NDZ6"/>
        <s v="00L0NDZ0"/>
        <s v="00L0NDYU"/>
        <s v="00L0NDYQ"/>
        <s v="00L0NDYP"/>
        <s v="00L0NDYO"/>
        <s v="00L0NDYM"/>
        <s v="00KUR5WV"/>
        <s v="00KUR5WW"/>
        <s v="00KUR5WX"/>
        <s v="00KUR5WY"/>
        <s v="00KUR5WZ"/>
        <s v="00KUR5X0"/>
        <s v="00L0NDZT"/>
        <s v="00L0NDZS"/>
        <s v="00L0NDZR"/>
        <s v="00L0NDZQ"/>
        <s v="00L0NDZP"/>
        <s v="00L0NDZO"/>
        <s v="00L0NDZN"/>
        <s v="00L0NDZM"/>
        <s v="00L0NDZL"/>
        <s v="00L0NDZK"/>
        <s v="00L0NDZJ"/>
        <s v="00L0NDZI"/>
        <s v="00L0NDZH"/>
        <s v="00L0NDZG"/>
        <s v="00L0NE01"/>
        <s v="00L0NDZU"/>
        <s v="00L0NDZV"/>
        <s v="00L0NDZW"/>
        <s v="00L0NDZX"/>
        <s v="00L0NDZY"/>
        <s v="00L0NDZZ"/>
        <s v="00L0NE00"/>
        <s v="00L0NE02"/>
        <s v="00L0NE03"/>
        <s v="00KUR5X1"/>
        <s v="00KUR5X2"/>
        <s v="00KUR5X3"/>
        <s v="00KUR5X4"/>
        <s v="00KUR5X5"/>
        <s v="00KUR5X6"/>
        <s v="00KUR5X7"/>
        <s v="00L0NE04"/>
        <s v="00L0NE05"/>
        <s v="00L0NE06"/>
        <s v="00L0NE07"/>
        <s v="00L0NE08"/>
        <s v="00L0NE09"/>
        <s v="00L3Y32D"/>
        <s v="00L3QE5G"/>
        <s v="00KUR5X8"/>
        <s v="00KUR5X9"/>
        <s v="00KUR5XA"/>
        <s v="00L0NE0Y"/>
        <s v="00L0NE0S"/>
        <s v="00L0NE0P"/>
        <s v="00L0NE0O"/>
        <s v="00L0NE0N"/>
        <s v="00L0NE0K"/>
        <s v="00L0NE0G"/>
        <s v="00L0NE0F"/>
        <s v="00L0NE0D"/>
        <s v="00L0NE0C"/>
        <s v="00L0NE0B"/>
        <s v="00L0NE0A"/>
        <s v="00L40S0N"/>
        <s v="00L0NE0X"/>
        <s v="00L0NE0R"/>
        <s v="00L0NE0L"/>
        <s v="00L0NE0E"/>
        <s v="00L0NE0U"/>
        <s v="00L0NE1F"/>
        <s v="00L0NE14"/>
        <s v="00L0NE13"/>
        <s v="00L0NE12"/>
        <s v="00L0NE11"/>
        <s v="00L0NE0W"/>
        <s v="00L0NE0V"/>
        <s v="00L0NE0T"/>
        <s v="00L0NE0M"/>
        <s v="00L0NE0J"/>
        <s v="00L0NE0H"/>
        <s v="00L0NE1S"/>
        <s v="00L0NE0Z"/>
        <s v="00L0NE1Q"/>
        <s v="00L0NE1O"/>
        <s v="00L0NE1P"/>
        <s v="00L0NE1R"/>
        <s v="00L0NE1M"/>
        <s v="00L0NE1I"/>
        <s v="00L0NE1N"/>
        <s v="00L0NE1K"/>
        <s v="00L0NE1J"/>
        <s v="00L0NE1H"/>
        <s v="00L0NE1E"/>
        <s v="00L0NE0Q"/>
        <s v="00L0NE0I"/>
        <s v="00L0NE1L"/>
        <s v="00L0NE1G"/>
        <s v="00L0NE1D"/>
        <s v="00L0NE1C"/>
        <s v="00L0NE1B"/>
        <s v="00L0NE1A"/>
        <s v="00L0NE19"/>
        <s v="00L0NE18"/>
        <s v="00L0NE17"/>
        <s v="00L0NE16"/>
        <s v="00L0NE15"/>
        <s v="00L0NE10"/>
        <m/>
        <s v="00KUR5XB"/>
        <s v="00KWWEWK" u="1"/>
        <s v="00KWXJHP" u="1"/>
        <s v="00KWWG7Y" u="1"/>
        <s v="00KX4HAB" u="1"/>
        <s v="00KWXZMZ" u="1"/>
        <s v="00KX4H8C" u="1"/>
        <s v="00KX8PGD" u="1"/>
        <s v="00KX8PBI" u="1"/>
        <s v="00KX8P7X" u="1"/>
        <s v="00KX8JZM" u="1"/>
        <s v="00KX8IV6" u="1"/>
        <s v="00KX8IOC" u="1"/>
        <s v="00KX8I6X" u="1"/>
        <s v="00KX8I4V" u="1"/>
        <s v="00KX7ZY2" u="1"/>
        <s v="00KX4JB4" u="1"/>
        <s v="00KX4DZJ" u="1"/>
        <s v="00KX9V56" u="1"/>
        <s v="00KX9V3Y" u="1"/>
        <s v="00KX8WYM" u="1"/>
        <s v="00KX8WZF" u="1"/>
        <s v="00KX8X1V" u="1"/>
        <s v="00KX8X2K" u="1"/>
        <s v="00KX8X40" u="1"/>
        <s v="00KX979V" u="1"/>
        <s v="00KX97ON" u="1"/>
        <s v="00KX9V12" u="1"/>
        <s v="00KX9V2S" u="1"/>
        <s v="00KX89IO" u="1"/>
        <s v="00KX87XH" u="1"/>
        <s v="00KX8EIL" u="1"/>
        <s v="00KX8PU0" u="1"/>
        <s v="00KX8PG0" u="1"/>
        <s v="00KX8I9Y" u="1"/>
        <s v="00KX88VX" u="1"/>
        <s v="00KX8WXZ" u="1"/>
        <s v="00KX8WXG" u="1"/>
        <s v="00KX8PQQ" u="1"/>
        <s v="00KX8POK" u="1"/>
        <s v="00KX83JZ" u="1"/>
        <s v="00KX9UB7" u="1"/>
        <s v="00KX98S5" u="1"/>
        <s v="00KX98U1" u="1"/>
        <s v="00KX4I4N" u="1"/>
        <s v="00KX4IXA" u="1"/>
        <s v="00KX4JBD" u="1"/>
        <s v="00KX82G2" u="1"/>
        <s v="00KX9UZI" u="1"/>
        <s v="00KXK0OS" u="1"/>
        <s v="00KXJSC1" u="1"/>
        <s v="00KX9UZV" u="1"/>
        <s v="00KX9V0A" u="1"/>
        <s v="00KX9V0M" u="1"/>
        <s v="00KXIPUG" u="1"/>
        <s v="00KXIPMU" u="1"/>
        <s v="00KX9YP8" u="1"/>
        <s v="00KXKXB8" u="1"/>
        <s v="00KXKX8L" u="1"/>
        <s v="00KXKX6A" u="1"/>
        <s v="00KXKLXE" u="1"/>
        <s v="00KX9V3E" u="1"/>
        <s v="00KX9ZKE" u="1"/>
        <s v="00KXA0D3" u="1"/>
        <s v="00KXIPN5" u="1"/>
        <s v="00KXITNR" u="1"/>
        <s v="00KX9YP2" u="1"/>
        <s v="00KXIOEF" u="1"/>
        <s v="00KX9VFY" u="1"/>
        <s v="00KXIOHE" u="1"/>
        <s v="00KXK0OH" u="1"/>
        <s v="00KXIS1N" u="1"/>
        <s v="00KXUP8J" u="1"/>
        <s v="ZWLM1QCS" u="1"/>
        <s v="00KXZAAD" u="1"/>
        <s v="00KXZA5H" u="1"/>
        <s v="00KXY9OY" u="1"/>
        <s v="00KXY2BK" u="1"/>
        <s v="00KXY1YV" u="1"/>
        <s v="00KY16LT" u="1"/>
        <s v="00KY1391" u="1"/>
        <s v="00KY0P4N" u="1"/>
        <s v="00KXZXSX" u="1"/>
        <s v="00KXZX7B" u="1"/>
        <s v="00KXZE13" u="1"/>
        <s v="00KXZD0W" u="1"/>
        <s v="00KXZC43" u="1"/>
        <s v="00KXZBYU" u="1"/>
        <s v="00KXZA9B" u="1"/>
        <s v="00KXZ73T" u="1"/>
        <s v="00KXY9US" u="1"/>
        <s v="00KXY9IZ" u="1"/>
        <s v="00KXY9HU" u="1"/>
        <s v="00KXY6PV" u="1"/>
        <s v="00KXY5FO" u="1"/>
        <s v="00KXY571" u="1"/>
        <s v="00KXY4ME" u="1"/>
        <s v="00KXY2AB" u="1"/>
        <s v="00KXY1UR" u="1"/>
        <s v="00KXXO5M" u="1"/>
        <s v="00KY14GB" u="1"/>
        <s v="00KY0R0V" u="1"/>
        <s v="00KY0OEC" u="1"/>
        <s v="00KXY29K" u="1"/>
        <s v="00KXZXOM" u="1"/>
        <s v="00KY03Q1" u="1"/>
        <s v="00KXZAB3" u="1"/>
        <s v="00KXY48N" u="1"/>
        <s v="00KXZENC" u="1"/>
        <s v="00KXY4MZ" u="1"/>
        <s v="ZWLM3SAJ" u="1"/>
        <s v="ZWLM3SAI" u="1"/>
        <s v="00KY0267" u="1"/>
        <s v="00KXY9K4" u="1"/>
        <s v="00KY06OF" u="1"/>
        <s v="00KXZCBN" u="1"/>
        <s v="00KXY9QC" u="1"/>
        <s v="00KY16MY" u="1"/>
        <s v="00KXZC4N" u="1"/>
        <s v="00KXY9J5" u="1"/>
        <s v="00KXY9H9" u="1"/>
        <s v="00KXZCUJ" u="1"/>
        <s v="00KY03QE" u="1"/>
        <s v="00KY03KV" u="1"/>
        <s v="00KXY5F3" u="1"/>
        <s v="00KY16P3" u="1"/>
        <s v="00KY14JM" u="1"/>
        <s v="00KY14JE" u="1"/>
        <s v="00KY13YZ" u="1"/>
        <s v="00KY13X2" u="1"/>
        <s v="00KY13WJ" u="1"/>
        <s v="00KY13VG" u="1"/>
        <s v="00KY13FS" u="1"/>
        <s v="00KY0RE3" u="1"/>
        <s v="00KY06SC" u="1"/>
        <s v="00KXZCJG" u="1"/>
        <s v="00KY54T0" u="1"/>
        <s v="00KY55NA" u="1"/>
        <s v="00KY57TY" u="1"/>
        <s v="00KY58P1" u="1"/>
        <s v="00KY4P86" u="1"/>
        <s v="00KXZWGL" u="1"/>
        <s v="00KY49NM" u="1"/>
        <s v="00KY4XU7" u="1"/>
        <s v="00KY16N8" u="1"/>
        <s v="00KY16SP" u="1"/>
        <s v="00KY16TM" u="1"/>
        <s v="00KY170N" u="1"/>
        <s v="00KY171H" u="1"/>
        <s v="00KY4XV4" u="1"/>
        <s v="00KY4XVP" u="1"/>
        <s v="00KY173U" u="1"/>
        <s v="00KY172L" u="1"/>
        <s v="00KY1723" u="1"/>
        <s v="00KY06HP" u="1"/>
        <s v="00KY0XPH" u="1"/>
        <s v="00KY96W7" u="1"/>
        <s v="00KY96XN" u="1"/>
        <s v="00KY96YG" u="1"/>
        <s v="00KY96Z0" u="1"/>
        <s v="00KY9DT1" u="1"/>
        <s v="ZWLM5UMD" u="1"/>
        <s v="00KY94K4" u="1"/>
        <s v="00KY96LH" u="1"/>
        <s v="00KY5UQC" u="1"/>
        <s v="00KY95Z9" u="1"/>
        <s v="00KY96UU" u="1"/>
        <s v="00KY96R3" u="1"/>
        <s v="00KY951V" u="1"/>
        <s v="00KY5UPP" u="1"/>
        <s v="00KY9E7M" u="1"/>
        <s v="00KY9ETB" u="1"/>
        <s v="00KY9IUG" u="1"/>
        <s v="00KY9IVG" u="1"/>
        <s v="00KY9IWW" u="1"/>
        <s v="00KY9IYG" u="1"/>
        <s v="00KY9K0V" u="1"/>
        <s v="00KYF3H3" u="1"/>
        <s v="00KYJ6R3" u="1"/>
        <s v="00KYJM1U" u="1"/>
        <s v="00KYJMY7" u="1"/>
        <s v="00KYJPZG" u="1"/>
        <s v="00KYK0AN" u="1"/>
        <s v="00KYK0VL" u="1"/>
        <s v="00KY9DTR" u="1"/>
        <s v="00KYJZBQ" u="1"/>
        <s v="00KYJYU0" u="1"/>
        <s v="00KYJY7J" u="1"/>
        <s v="00KYJXV8" u="1"/>
        <s v="00KYJQEE" u="1"/>
        <s v="00KYJQDQ" u="1"/>
        <s v="00KY96XP" u="1"/>
        <s v="00KYQ49V" u="1"/>
        <s v="00KYK0NF" u="1"/>
        <s v="00KY96SF" u="1"/>
        <s v="00KYI12G" u="1"/>
        <s v="00KYJ6NU" u="1"/>
        <s v="00KYHNND" u="1"/>
        <s v="00KY9K1F" u="1"/>
        <s v="00KY9IXE" u="1"/>
        <s v="00KY9IWH" u="1"/>
        <s v="00KYHQ3Q" u="1"/>
        <s v="00KYGK6P" u="1"/>
        <s v="00KY9JZS" u="1"/>
        <s v="00KY9ITW" u="1"/>
        <s v="00KYJT0G" u="1"/>
        <s v="00KY96UD" u="1"/>
        <s v="00KYJQLN" u="1"/>
        <s v="00KYJMWU" u="1"/>
        <s v="00KYHNRY" u="1"/>
        <s v="00KY9K03" u="1"/>
        <s v="00KY9IZ8" u="1"/>
        <s v="00KY9IXK" u="1"/>
        <s v="00KY9IV4" u="1"/>
        <s v="00KY9E8Z" u="1"/>
        <s v="00KY9DU5" u="1"/>
        <s v="00KY979L" u="1"/>
        <s v="00KY9794" u="1"/>
        <s v="00KY96WZ" u="1"/>
        <s v="00KYQ8HK" u="1"/>
        <s v="00KY9EBJ" u="1"/>
        <s v="00KYJ6P5" u="1"/>
        <s v="00KYJ6P4" u="1"/>
        <s v="00KYHMNA" u="1"/>
        <s v="00KYUPKW" u="1"/>
        <s v="00KYUPYN" u="1"/>
        <s v="00KYUQ01" u="1"/>
        <s v="00KYUQPF" u="1"/>
        <s v="00KYUQPT" u="1"/>
        <s v="00KYURH8" u="1"/>
        <s v="00KYQ9LU" u="1"/>
        <s v="00KYQ9OL" u="1"/>
        <s v="00KYQ9QM" u="1"/>
        <s v="00KYQAK6" u="1"/>
        <s v="00KYUNOY" u="1"/>
        <s v="00KYQ9O8" u="1"/>
        <s v="00KYQ9Q0" u="1"/>
        <s v="00KYQ9L3" u="1"/>
        <s v="ZWLM8L8P" u="1"/>
        <s v="00KYYT9O" u="1"/>
        <s v="00KYZ0T1" u="1"/>
        <s v="00KYUSXJ" u="1"/>
        <s v="00KWGB1V" u="1"/>
        <s v="00KYVBJK" u="1"/>
        <s v="00KYVBIS" u="1"/>
        <s v="00KYV030" u="1"/>
        <s v="00KYUWWJ" u="1"/>
        <s v="00KZ3H9A" u="1"/>
        <s v="00KYZ3Z1" u="1"/>
        <s v="00KZ3K9K" u="1"/>
        <s v="00KZ2U9H" u="1"/>
        <s v="00KYZ2JG" u="1"/>
        <s v="00KZ3QLS" u="1"/>
        <s v="00KZ3KB8" u="1"/>
        <s v="00KYZBG9" u="1"/>
        <s v="00KYZ2KR" u="1"/>
        <s v="00KZ3NPU" u="1"/>
        <s v="00KZ3QKK" u="1"/>
        <s v="00KZ5SUF" u="1"/>
        <s v="00KZ5S95" u="1"/>
        <s v="ZWLMBCJ7" u="1"/>
        <s v="00KZ463F" u="1"/>
        <s v="00KZ463T" u="1"/>
        <s v="00KZ5ATT" u="1"/>
        <s v="00KZ5AUM" u="1"/>
        <s v="00KZ5AW0" u="1"/>
        <s v="00KZ5POS" u="1"/>
        <s v="00KZ5PPT" u="1"/>
        <s v="00KZ5PQ3" u="1"/>
        <s v="00KZ5RBZ" u="1"/>
        <s v="00KZ5RCQ" u="1"/>
        <s v="00KZ5TEW" u="1"/>
        <s v="00KZ44QQ" u="1"/>
        <s v="00KZ3RDR" u="1"/>
        <s v="00KZ3S63" u="1"/>
        <s v="00KZ5SWI" u="1"/>
        <s v="00KZ5TUI" u="1"/>
        <s v="00KZ5TW8" u="1"/>
        <s v="00KZ5U31" u="1"/>
        <s v="00KZOH9A" u="1"/>
        <s v="00KZOHA2" u="1"/>
        <s v="00KZOHA9" u="1"/>
        <s v="00KZOHAM" u="1"/>
        <s v="00KZOHAX" u="1"/>
        <s v="00KZOHBO" u="1"/>
        <s v="00KZOHCC" u="1"/>
        <s v="00KZOHCI" u="1"/>
        <s v="00KZOHCJ" u="1"/>
        <s v="00KZOHDM" u="1"/>
        <s v="00KZOHHH" u="1"/>
        <s v="00KZOHL4" u="1"/>
        <s v="00KZOHLZ" u="1"/>
        <s v="00KZOHM0" u="1"/>
        <s v="00KZOI2P" u="1"/>
        <s v="00KZOI3S" u="1"/>
        <s v="00KZOI5K" u="1"/>
        <s v="00KZOI60" u="1"/>
        <s v="00KZOI7K" u="1"/>
        <s v="00KZOI80" u="1"/>
        <s v="00KZOI81" u="1"/>
        <s v="00KZOJKA" u="1"/>
        <s v="00KZOJKO" u="1"/>
        <s v="00KZP9OM" u="1"/>
        <s v="00KZOHDK" u="1"/>
        <s v="00KZOHB1" u="1"/>
        <s v="00KZ5VEC" u="1"/>
        <s v="00KZRA48" u="1"/>
        <s v="00KZRA47" u="1"/>
        <s v="00KZR9YG" u="1"/>
        <s v="00KZR8XU" u="1"/>
        <s v="00KZOHLM" u="1"/>
        <s v="00KZOI3B" u="1"/>
        <s v="00KZR7M3" u="1"/>
        <s v="00KZR8R1" u="1"/>
        <s v="00KZOHB5" u="1"/>
        <s v="00KZOHCP" u="1"/>
        <s v="00KZOHCV" u="1"/>
        <s v="00KZOHHL" u="1"/>
        <s v="00KZR8OH" u="1"/>
        <s v="00KZ5VCU" u="1"/>
        <s v="00KZ5YOF" u="1"/>
        <s v="00KZOI7W" u="1"/>
        <s v="00KZOJKU" u="1"/>
        <s v="00KZP9TV" u="1"/>
        <s v="00KZ5UXK" u="1"/>
        <s v="00KZ5V1K" u="1"/>
        <s v="00KZ5YMC" u="1"/>
        <s v="00KZ5YMI" u="1"/>
        <s v="00KZOI8B" u="1"/>
        <s v="00KZOI8D" u="1"/>
        <s v="00KZR7JX" u="1"/>
        <s v="00KZR7MS" u="1"/>
        <s v="00KZR7NO" u="1"/>
        <s v="00KZ5VFJ" u="1"/>
        <s v="00KZ5YM4" u="1"/>
        <s v="00KZR64Z" u="1"/>
        <s v="00KZR7LJ" u="1"/>
        <s v="00KZR7LW" u="1"/>
        <s v="00KZR7SN" u="1"/>
        <s v="00KZR8CN" u="1"/>
        <s v="00KZR8BI" u="1"/>
        <s v="00KZR7Q0" u="1"/>
        <s v="00KZQOW3" u="1"/>
        <s v="00KZP9UD" u="1"/>
        <s v="00KZP9U0" u="1"/>
        <s v="00KZR7R3" u="1"/>
        <s v="00KZP9OS" u="1"/>
        <s v="00KZP9P4" u="1"/>
        <s v="00KZR6U0" u="1"/>
        <s v="00KZR7LE" u="1"/>
        <s v="00KZR7ND" u="1"/>
        <s v="00KZ5VCS" u="1"/>
        <s v="00KZ5VFQ" u="1"/>
        <s v="00KZ5YNI" u="1"/>
        <s v="00KZOHMJ" u="1"/>
        <s v="00KZOHML" u="1"/>
        <s v="00KZOI42" u="1"/>
        <s v="00KZOI5Z" u="1"/>
        <s v="00KZOI82" u="1"/>
        <s v="00KZOI8G" u="1"/>
        <s v="00KZOJKI" u="1"/>
        <s v="00KZOJKY" u="1"/>
        <s v="00KZOJL4" u="1"/>
        <s v="00KZP9OG" u="1"/>
        <s v="00KZP9UK" u="1"/>
        <s v="00KZR7QO" u="1"/>
        <s v="00KZR8SN" u="1"/>
        <s v="00KZ5VEG" u="1"/>
        <s v="00KZR7P8" u="1"/>
        <s v="00KZ7I81" u="1"/>
        <s v="00KZ7IDU" u="1"/>
        <s v="00KZ7IHQ" u="1"/>
        <s v="00KZTVDJ" u="1"/>
        <s v="00KZTVCP" u="1"/>
        <s v="00KZTV3C" u="1"/>
        <s v="00KZTURD" u="1"/>
        <s v="00KZTUP2" u="1"/>
        <s v="00KZTUNF" u="1"/>
        <s v="00KZTUN1" u="1"/>
        <s v="00KZRGX9" u="1"/>
        <s v="00KZRGSZ" u="1"/>
        <s v="00KZRDUO" u="1"/>
        <s v="00KZRH1F" u="1"/>
        <s v="00KZRDHU" u="1"/>
        <s v="00KZRH11" u="1"/>
        <s v="00KZRH0P" u="1"/>
        <s v="00KZTVG1" u="1"/>
        <s v="00KZTVHN" u="1"/>
        <s v="00KZW033" u="1"/>
        <s v="00KZRG1I" u="1"/>
        <s v="00KZRGV1" u="1"/>
        <s v="00KZRH72" u="1"/>
        <s v="00KZRH7C" u="1"/>
        <s v="00KZRL1N" u="1"/>
        <s v="00KZRL1W" u="1"/>
        <s v="00KZRL56" u="1"/>
        <s v="00KUR5TM" u="1"/>
        <s v="00KZWE0Z" u="1"/>
        <s v="00KZZJSM" u="1"/>
        <s v="00KZZJSN" u="1"/>
        <s v="00KZZJSO" u="1"/>
        <s v="00KZZJSP" u="1"/>
        <s v="00KZZJSQ" u="1"/>
        <s v="00KZZJSR" u="1"/>
        <s v="00KZZJSS" u="1"/>
        <s v="00KZZJST" u="1"/>
        <s v="00KZZJSU" u="1"/>
        <s v="00KUR5TK" u="1"/>
        <s v="00KUR5TL" u="1"/>
        <s v="00KUR5TN" u="1"/>
        <s v="00KUR5TO" u="1"/>
        <s v="00KUR5TP" u="1"/>
        <s v="00KUR5TQ" u="1"/>
        <s v="00KUR5TR" u="1"/>
        <s v="00KZZJT1" u="1"/>
        <s v="00KZZJT2" u="1"/>
        <s v="00KZZJT3" u="1"/>
        <s v="00KZZJT4" u="1"/>
        <s v="00KZZJT5" u="1"/>
        <s v="00KZZJT6" u="1"/>
        <s v="00KZZJT7" u="1"/>
        <s v="00KZZJT8" u="1"/>
        <s v="00KZZJSZ" u="1"/>
        <s v="00KZZJSX" u="1"/>
        <s v="00KZZJSY" u="1"/>
        <s v="00KZZJSV" u="1"/>
        <s v="00KZZJT0" u="1"/>
        <s v="00KZZJSW" u="1"/>
        <s v="00KUR5TS" u="1"/>
        <s v="00KUR5TT" u="1"/>
        <s v="00KUR5TV" u="1"/>
        <s v="00KUR5TW" u="1"/>
        <s v="00KSVRF2" u="1"/>
        <s v="00KSV6AE" u="1"/>
        <s v="00KSQBBI" u="1"/>
        <s v="00KSVR2E" u="1"/>
        <s v="00KSVTLK" u="1"/>
        <s v="00KSVPTD" u="1"/>
        <s v="00KSV6AA" u="1"/>
        <s v="00KSU3QN" u="1"/>
        <s v="00KSU787" u="1"/>
        <s v="00KSPWH1" u="1"/>
        <s v="00KSVRFK" u="1"/>
        <s v="00KSVRFF" u="1"/>
        <s v="00KSVPUD" u="1"/>
        <s v="00KSV69N" u="1"/>
        <s v="00KSPWKB" u="1"/>
        <s v="00KSU3NL" u="1"/>
        <s v="00KSLTSJ" u="1"/>
        <s v="00KSLSTI" u="1"/>
        <s v="00KT0F2F" u="1"/>
        <s v="00KT3D93" u="1"/>
        <s v="00KSW3T2" u="1"/>
        <s v="00KSW5HA" u="1"/>
        <s v="00KSW5KV" u="1"/>
        <s v="00KSW5KS" u="1"/>
        <s v="00KT51V4" u="1"/>
        <s v="00KT65B5" u="1"/>
        <s v="00KT65BG" u="1"/>
        <s v="00KT3EQS" u="1"/>
        <s v="00KT3EG2" u="1"/>
        <s v="00KT68GB" u="1"/>
        <s v="00KT51UT" u="1"/>
        <s v="00KT3IWS" u="1"/>
        <s v="00KT3IWN" u="1"/>
        <s v="00KT68F0" u="1"/>
        <s v="00KT3G2H" u="1"/>
        <s v="00KT6860" u="1"/>
        <s v="00KT51RS" u="1"/>
        <s v="00KT3ED6" u="1"/>
        <s v="00KTXMNQ" u="1"/>
        <s v="00KTXMI3" u="1"/>
        <s v="00KTXML0" u="1"/>
        <s v="00KTXL30" u="1"/>
        <s v="00KSDBU7" u="1"/>
        <s v="00KUA4H8" u="1"/>
        <s v="ZWLLII6O" u="1"/>
        <s v="ZWLLIGH2" u="1"/>
        <s v="00KUAKYG" u="1"/>
        <s v="00KUE14K" u="1"/>
        <s v="00KUE157" u="1"/>
        <s v="00KUE25U" u="1"/>
        <s v="00KUE3ZL" u="1"/>
        <s v="00KUE4JR" u="1"/>
        <s v="00KUE5UL" u="1"/>
        <s v="00KUE5WL" u="1"/>
        <s v="00KUE5ZI" u="1"/>
        <s v="00KUGUAT" u="1"/>
        <s v="00KUE14T" u="1"/>
        <s v="00KUE3CV" u="1"/>
        <s v="00KUE432" u="1"/>
        <s v="00KUE4AF" u="1"/>
        <s v="00KUE5G4" u="1"/>
        <s v="00KUC2BJ" u="1"/>
        <s v="00KUE3DD" u="1"/>
        <s v="00KUGW5Y" u="1"/>
        <s v="ZWLLJ30S" u="1"/>
        <s v="00KUE4ZE" u="1"/>
        <s v="00KUE24G" u="1"/>
        <s v="00KUG4D4" u="1"/>
        <s v="00KUBW7N" u="1"/>
        <s v="00KUC1HE" u="1"/>
        <s v="00KUE162" u="1"/>
        <s v="00KUE15O" u="1"/>
        <s v="00KUE14W" u="1"/>
        <s v="00KUE148" u="1"/>
        <s v="00KUE196" u="1"/>
        <s v="00KUGWEK" u="1"/>
        <s v="00KUE5TS" u="1"/>
        <s v="00KUE5QH" u="1"/>
        <s v="00KUHBS7" u="1"/>
        <s v="00KUH8MV" u="1"/>
        <s v="00KUHBLW" u="1"/>
        <s v="00KUHAHS" u="1"/>
        <s v="00KUHBRJ" u="1"/>
        <s v="00KUHBQB" u="1"/>
        <s v="00KUHZZP" u="1"/>
        <s v="00KUHAFZ" u="1"/>
        <s v="00KUH8PI" u="1"/>
        <s v="00KUH8OS" u="1"/>
        <s v="00KUGVNO" u="1"/>
        <s v="00KUGUCC" u="1"/>
        <s v="00KUHAG2" u="1"/>
        <s v="00KUMOTP" u="1"/>
        <s v="00KUMPO3" u="1"/>
        <s v="00KUKBYF" u="1"/>
        <s v="00KUKC2I" u="1"/>
        <s v="00KUKCMO" u="1"/>
        <s v="00KURD95" u="1"/>
        <s v="00KURD9C" u="1"/>
        <s v="00KURDAR" u="1"/>
        <s v="00KUSBTV" u="1"/>
        <s v="00KURDJ9" u="1"/>
        <s v="00KURDJX" u="1"/>
        <s v="00KURDK1" u="1"/>
        <s v="00KURDKE" u="1"/>
        <s v="00KURKMK" u="1"/>
        <s v="00KURKML" u="1"/>
        <s v="00KURKMP" u="1"/>
        <s v="00KUSBTK" u="1"/>
        <s v="00KUSBVQ" u="1"/>
        <s v="00KUSAWH" u="1"/>
        <s v="00KUSB1E" u="1"/>
        <s v="00KUYD0J" u="1"/>
        <s v="00KUYD9A" u="1"/>
        <s v="00KUZ3YZ" u="1"/>
        <s v="00KUZEKX" u="1"/>
        <s v="00KUUK2N" u="1"/>
        <s v="00KUUKDE" u="1"/>
        <s v="00KUYBY5" u="1"/>
        <s v="00KUUK3X" u="1"/>
        <s v="00KUYBYC" u="1"/>
        <s v="00KUYC1E" u="1"/>
        <s v="00KUYD03" u="1"/>
        <s v="00KUUKEI" u="1"/>
        <s v="00KUZWDT" u="1"/>
        <s v="00KV0KH3" u="1"/>
        <s v="00KV0KIQ" u="1"/>
        <s v="00KV1JRX" u="1"/>
        <s v="00KV2RZK" u="1"/>
        <s v="00KV0G2U" u="1"/>
        <s v="00KV0HVP" u="1"/>
        <s v="00KV0J6X" u="1"/>
        <s v="00KV0J79" u="1"/>
        <s v="00KV0FAQ" u="1"/>
        <s v="00KV3SBC" u="1"/>
        <s v="00KV5FP5" u="1"/>
        <s v="00KV6OER" u="1"/>
        <s v="00KV4A31" u="1"/>
        <s v="00KV5FPN" u="1"/>
        <s v="00KV5R8W" u="1"/>
        <s v="ZWLLNS9W" u="1"/>
        <s v="00KV5FFS" u="1"/>
        <s v="00KV5FF8" u="1"/>
        <s v="00KV6ODP" u="1"/>
        <s v="00KV4BTU" u="1"/>
        <s v="00KVDOEG" u="1"/>
        <s v="00KVDOPG" u="1"/>
        <s v="00KVDNW0" u="1"/>
        <s v="00KVDNWE" u="1"/>
        <s v="00KV7FVP" u="1"/>
        <s v="00KVDO7A" u="1"/>
        <s v="00KVEEEM" u="1"/>
        <s v="00KVEEF4" u="1"/>
        <s v="00KVEERD" u="1"/>
        <s v="00KVEESP" u="1"/>
        <s v="00KVEEU1" u="1"/>
        <s v="00KVEEUP" u="1"/>
        <s v="00KVEEV4" u="1"/>
        <s v="00KVEEX5" u="1"/>
        <s v="00KVEEY6" u="1"/>
        <s v="00KVEF2U" u="1"/>
        <s v="00KVEF36" u="1"/>
        <s v="00KVENG5" u="1"/>
        <s v="00KVENHP" u="1"/>
        <s v="00KVENQS" u="1"/>
        <s v="00KVENOE" u="1"/>
        <s v="00KVENO7" u="1"/>
        <s v="00KVENNN" u="1"/>
        <s v="00KVENLZ" u="1"/>
        <s v="00KVENKW" u="1"/>
        <s v="00KVENJB" u="1"/>
        <s v="00KVEEE5" u="1"/>
        <s v="00KVEDLE" u="1"/>
        <s v="00KVEDKP" u="1"/>
        <s v="00KVEDK6" u="1"/>
        <s v="00KVEDJQ" u="1"/>
        <s v="00KVEDJC" u="1"/>
        <s v="00KVEDIQ" u="1"/>
        <s v="00KVEDI2" u="1"/>
        <s v="00KVDSCM" u="1"/>
        <s v="00KVDRTV" u="1"/>
        <s v="00KVDQLD" u="1"/>
        <s v="00KVDQKA" u="1"/>
        <s v="00KVDQEZ" u="1"/>
        <s v="00KVDQDW" u="1"/>
        <s v="00KVDQC3" u="1"/>
        <s v="00KVECER" u="1"/>
        <s v="00KVI76C" u="1"/>
        <s v="00KVI6YC" u="1"/>
        <s v="00KVI64I" u="1"/>
        <s v="00KVI5Z9" u="1"/>
        <s v="00KVI3EB" u="1"/>
        <s v="00KVENRK" u="1"/>
        <s v="00KVENLV" u="1"/>
        <s v="00KVI2ZG" u="1"/>
        <s v="00KVEF3D" u="1"/>
        <s v="00KVH97H" u="1"/>
        <s v="00KVHFTY" u="1"/>
        <s v="00KVI3CK" u="1"/>
        <s v="00KVI367" u="1"/>
        <s v="00KVI34P" u="1"/>
        <s v="00KVI31B" u="1"/>
        <s v="00KVI27Q" u="1"/>
        <s v="00KVI26C" u="1"/>
        <s v="00KVI1ZE" u="1"/>
        <s v="00KVI1LF" u="1"/>
        <s v="00KVI1KA" u="1"/>
        <s v="00KVI1IX" u="1"/>
        <s v="00KVI1CV" u="1"/>
        <s v="00KVI0YG" u="1"/>
        <s v="00KVI0Y9" u="1"/>
        <s v="00KVI0XY" u="1"/>
        <s v="00KVHUAK" u="1"/>
        <s v="00KVHUA8" u="1"/>
        <s v="00KVHU9W" u="1"/>
        <s v="00KVHU9M" u="1"/>
        <s v="00KVHU3W" u="1"/>
        <s v="00KVHU30" u="1"/>
        <s v="00KVHTIV" u="1"/>
        <s v="00KVHCFQ" u="1"/>
        <s v="00KVEOCK" u="1"/>
        <s v="00KVEOAI" u="1"/>
        <s v="00KVEO6V" u="1"/>
        <s v="00KVENYU" u="1"/>
        <s v="00KVENYH" u="1"/>
        <s v="00KVENXF" u="1"/>
        <s v="00KVENWB" u="1"/>
        <s v="00KVENW1" u="1"/>
        <s v="00KVENVI" u="1"/>
        <s v="00KVDSCL" u="1"/>
        <s v="00KVENR5" u="1"/>
        <s v="00KVKZF2" u="1"/>
        <s v="00KVKZDT" u="1"/>
        <s v="00KVKZCF" u="1"/>
        <s v="00KVKZBO" u="1"/>
        <s v="00KVKZAQ" u="1"/>
        <s v="00KVIGMR" u="1"/>
        <s v="00KVIG9U" u="1"/>
        <s v="00KVIFPU" u="1"/>
        <s v="00KVIFPA" u="1"/>
        <s v="00KVI76D" u="1"/>
        <s v="00KVL73B" u="1"/>
        <s v="00KVLE1A" u="1"/>
        <s v="00KVL7MU" u="1"/>
        <s v="00KVL7A5" u="1"/>
        <s v="00KVL771" u="1"/>
        <s v="00KVL6MW" u="1"/>
        <s v="00KVKZHJ" u="1"/>
        <s v="00KVKZI1" u="1"/>
        <s v="00KVKZIQ" u="1"/>
        <s v="00KVKZJN" u="1"/>
        <s v="00KVKZKJ" u="1"/>
        <s v="00KVL05S" u="1"/>
        <s v="00KVL07K" u="1"/>
        <s v="00KVL087" u="1"/>
        <s v="00KVL09E" u="1"/>
        <s v="00KVL09R" u="1"/>
        <s v="00KVL09U" u="1"/>
        <s v="00KVIFS6" u="1"/>
        <s v="00KVEDJ0" u="1"/>
        <s v="00KVIIZU" u="1"/>
        <s v="00KVLQ6B" u="1"/>
        <s v="00KVLPGI" u="1"/>
        <s v="00KVP40S" u="1"/>
        <s v="00KVP40D" u="1"/>
        <s v="00KVP3Z6" u="1"/>
        <s v="00KVP3YR" u="1"/>
        <s v="00KVP3Y9" u="1"/>
        <s v="00KVP277" u="1"/>
        <s v="00KVZC2S" u="1"/>
        <s v="00KVR0NR" u="1"/>
        <s v="00KVQYMK" u="1"/>
        <s v="00KVZGDJ" u="1"/>
        <s v="00KVZEK2" u="1"/>
        <s v="00KVZD3T" u="1"/>
        <s v="00KVZD34" u="1"/>
        <s v="00KVZCV4" u="1"/>
        <s v="00KVPXCQ" u="1"/>
        <s v="00KVPTHA" u="1"/>
        <s v="00KVR0OV" u="1"/>
        <s v="00KVQYPK" u="1"/>
        <s v="00KVZFE5" u="1"/>
        <s v="00KVZLBE" u="1"/>
        <s v="00KVZLBX" u="1"/>
        <s v="00KVZLCH" u="1"/>
        <s v="00KW3M0T" u="1"/>
        <s v="00KW3MRI" u="1"/>
        <s v="00KW3OQO" u="1"/>
        <s v="00KW3P0H" u="1"/>
        <s v="00KW3QZ7" u="1"/>
        <s v="00KW3R0J" u="1"/>
        <s v="00KW3R12" u="1"/>
        <s v="00KW3REP" u="1"/>
        <s v="00KW3REU" u="1"/>
        <s v="00KW3REZ" u="1"/>
        <s v="00KW3SAC" u="1"/>
        <s v="00KVZLB7" u="1"/>
        <s v="00KVZL2F" u="1"/>
        <s v="00KVZL1Z" u="1"/>
        <s v="00KVZL1A" u="1"/>
        <s v="00KVZGG1" u="1"/>
        <s v="00KVZEK1" u="1"/>
        <s v="00KW4EMV" u="1"/>
        <s v="00KW421N" u="1"/>
        <s v="00KW40H3" u="1"/>
        <s v="00KW40G2" u="1"/>
        <s v="00KW3WZP" u="1"/>
        <s v="00KW3UDL" u="1"/>
        <s v="00KW3U99" u="1"/>
        <s v="00KW3U8O" u="1"/>
        <s v="00KW3SAE" u="1"/>
        <s v="00KW3U6X" u="1"/>
        <s v="00KW3U6L" u="1"/>
        <s v="00KW3U62" u="1"/>
        <s v="00KW3U5V" u="1"/>
        <s v="00KW3U5N" u="1"/>
        <s v="00KW3U56" u="1"/>
        <s v="00KW3U52" u="1"/>
        <s v="00KW3U4S" u="1"/>
        <s v="00KW3U4M" u="1"/>
        <s v="00KW3U4D" u="1"/>
        <s v="00KW3U44" u="1"/>
        <s v="00KW3U3P" u="1"/>
        <s v="00KW3U3M" u="1"/>
        <s v="00KW3U3B" u="1"/>
        <s v="00KW3U2U" u="1"/>
        <s v="00KW3SPU" u="1"/>
        <s v="00KW3SPP" u="1"/>
        <s v="00KW3SAY" u="1"/>
        <s v="00KVZIG2" u="1"/>
        <s v="00KW4EYP" u="1"/>
        <s v="00KW4EOS" u="1"/>
        <s v="00KW4EIO" u="1"/>
        <s v="00KW4EE6" u="1"/>
        <s v="00KW2K5S" u="1"/>
        <s v="00KW4SWW" u="1"/>
        <s v="00KW4SVD" u="1"/>
        <s v="00KRXFH9" u="1"/>
        <s v="00KWGK20" u="1"/>
        <s v="00KWGAVT" u="1"/>
        <s v="00KW9723" u="1"/>
        <s v="00KW96IR" u="1"/>
        <s v="00KW96C7" u="1"/>
        <s v="00KW96AQ" u="1"/>
        <s v="00KW4TZN" u="1"/>
        <s v="00KW4TVG" u="1"/>
        <s v="00KW4TTX" u="1"/>
        <s v="00KW7Q4D" u="1"/>
        <s v="00KWGB2Z" u="1"/>
        <s v="00KW4U5O" u="1"/>
        <s v="00KWM28S" u="1"/>
        <s v="00KWM7ND" u="1"/>
        <s v="00KWM7W4" u="1"/>
        <s v="00KWM7NS" u="1"/>
        <s v="00KWM7C5" u="1"/>
        <s v="00KWGEVN" u="1"/>
        <s v="00KWGEW7" u="1"/>
        <s v="00KWGEXD" u="1"/>
        <s v="00KWGF3A" u="1"/>
        <s v="00KWGF3W" u="1"/>
        <s v="00KWGHPK" u="1"/>
        <s v="00KWI9I7" u="1"/>
        <s v="00KWM1NQ" u="1"/>
        <s v="00KWM1Q5" u="1"/>
        <s v="00KWM33M" u="1"/>
        <s v="00KWR1B2" u="1"/>
        <s v="00KWRC2T" u="1"/>
        <s v="00KWQSKA" u="1"/>
        <s v="00KWMDBY" u="1"/>
        <s v="00KWMDCL" u="1"/>
        <s v="00KWMF49" u="1"/>
        <s v="00KWMGSZ" u="1"/>
        <s v="00KWMGT9" u="1"/>
        <s v="00KWMGTQ" u="1"/>
        <s v="00KWQSE9" u="1"/>
        <s v="00KWMGSK" u="1"/>
        <s v="00KWMD8K" u="1"/>
        <s v="00KPSF6C" u="1"/>
        <s v="00KPSF68" u="1"/>
        <s v="00KPSF66" u="1"/>
        <s v="00KPSF64" u="1"/>
        <s v="00KPSF63" u="1"/>
        <s v="00KPSF5B" u="1"/>
        <s v="00KPSF57" u="1"/>
        <s v="00KPSF56" u="1"/>
        <s v="00KPSF4X" u="1"/>
        <s v="00KPSF4A" u="1"/>
        <s v="00KPSF45" u="1"/>
        <s v="00KPSF40" u="1"/>
        <s v="00KPSF3Z" u="1"/>
        <s v="00KPSF3U" u="1"/>
        <s v="00KPSF3O" u="1"/>
        <s v="00KPSF3K" u="1"/>
        <s v="00KPSF38" u="1"/>
        <s v="00KPSF36" u="1"/>
        <s v="00KPSF34" u="1"/>
        <s v="00KPSF30" u="1"/>
        <s v="00KPSF2T" u="1"/>
        <s v="00KPSF2G" u="1"/>
        <s v="00KPSF2C" u="1"/>
        <s v="00KPSF2A" u="1"/>
        <s v="00KPSF22" u="1"/>
        <s v="00KPSF1Q" u="1"/>
        <s v="00KPSF1N" u="1"/>
        <s v="00KPSEUQ" u="1"/>
        <s v="00KPSET3" u="1"/>
        <s v="00KPSCPT" u="1"/>
        <s v="00KQ240J" u="1"/>
        <s v="00KQ11VK" u="1"/>
        <s v="ZWLKTP5D" u="1"/>
        <s v="00KPSF7G" u="1"/>
        <s v="00KNWOZH" u="1"/>
        <s v="00KPQ1VP" u="1"/>
        <s v="00KPSFB5" u="1"/>
        <s v="00KPSFA1" u="1"/>
        <s v="00KPSF9K" u="1"/>
        <s v="00KQ11UM" u="1"/>
        <s v="00KPSFPQ" u="1"/>
        <s v="00KPSFMR" u="1"/>
        <s v="00KPSFMN" u="1"/>
        <s v="00KPSFMA" u="1"/>
        <s v="00KPSFLY" u="1"/>
        <s v="00KPSFD0" u="1"/>
        <s v="00KPSFC4" u="1"/>
        <s v="00KPSFBN" u="1"/>
        <s v="00KPSFBE" u="1"/>
        <s v="00KPSFB7" u="1"/>
        <s v="00KPSFAO" u="1"/>
        <s v="00KPSFAI" u="1"/>
        <s v="00KPSFAF" u="1"/>
        <s v="00KPSF9Y" u="1"/>
        <s v="00KPSF9S" u="1"/>
        <s v="00KPSF9L" u="1"/>
        <s v="00KPSF9F" u="1"/>
        <s v="00KPSF97" u="1"/>
        <s v="00KPSF95" u="1"/>
        <s v="00KPSF8L" u="1"/>
        <s v="00KPSF8H" u="1"/>
        <s v="00KPSF8D" u="1"/>
        <s v="00KPSF8C" u="1"/>
        <s v="00KPSF7Y" u="1"/>
        <s v="00KPSF7W" u="1"/>
        <s v="00KPSF7K" u="1"/>
        <s v="00KPSF7I" u="1"/>
        <s v="00KQ297L" u="1"/>
        <s v="00KQ298F" u="1"/>
        <s v="00KQ296H" u="1"/>
        <s v="00KQ295C" u="1"/>
        <s v="00KQ27XX" u="1"/>
        <s v="00KQ29Z9" u="1"/>
        <s v="00KQ2AED" u="1"/>
        <s v="00KQ2AER" u="1"/>
        <s v="00KQ2AGK" u="1"/>
        <s v="00KQ2AHV" u="1"/>
        <s v="00KQ2AJ9" u="1"/>
        <s v="00KQ27X7" u="1"/>
        <s v="00KQ27VQ" u="1"/>
        <s v="00KQ27DY" u="1"/>
        <s v="00KQ26AE" u="1"/>
        <s v="00KQ4UBI" u="1"/>
        <s v="00KQ4UAY" u="1"/>
        <s v="00KQ2BRE" u="1"/>
        <s v="00KQ5YL4" u="1"/>
        <s v="00KQ5XIV" u="1"/>
        <s v="00KQ5XBF" u="1"/>
        <s v="00KQ5VPA" u="1"/>
        <s v="00KQ5VMS" u="1"/>
        <s v="00KQ2BRJ" u="1"/>
        <s v="00KQ4UAT" u="1"/>
        <s v="00KQ2AH9" u="1"/>
        <s v="00KQ2ACM" u="1"/>
        <s v="00KQ2A0T" u="1"/>
        <s v="00KQ2983" u="1"/>
        <s v="00KQ2978" u="1"/>
        <s v="00KQ27VJ" u="1"/>
        <s v="00KQ5VKV" u="1"/>
        <s v="00KQ4VTA" u="1"/>
        <s v="00KQ4V16" u="1"/>
        <s v="00KQ4UXV" u="1"/>
        <s v="00KQ4U9D" u="1"/>
        <s v="00KQ4Q1C" u="1"/>
        <s v="00KQ2CG7" u="1"/>
        <s v="00KQ2AK1" u="1"/>
        <s v="00KQ4LO8" u="1"/>
        <s v="00KQ4VVX" u="1"/>
        <s v="00KQ5JZG" u="1"/>
        <s v="00KQ9IVP" u="1"/>
        <s v="00KQ9IWD" u="1"/>
        <s v="00KQ9J2K" u="1"/>
        <s v="00KQ9J6F" u="1"/>
        <s v="00KQ9M7Z" u="1"/>
        <s v="00KQ9M8G" u="1"/>
        <s v="00KQ9MAF" u="1"/>
        <s v="00KQ9T2S" u="1"/>
        <s v="00KQ9T38" u="1"/>
        <s v="00KQ9T6R" u="1"/>
        <s v="00KQA01A" u="1"/>
        <s v="00KQA4VX" u="1"/>
        <s v="00KQA4W6" u="1"/>
        <s v="00KQ5VQ4" u="1"/>
        <s v="00KQ63AH" u="1"/>
        <s v="00KQ5VLR" u="1"/>
        <s v="00KQ9IVA" u="1"/>
        <s v="00KQ9IUV" u="1"/>
        <s v="00KQ9IUQ" u="1"/>
        <s v="00KQ9I3Q" u="1"/>
        <s v="00KQ9I3G" u="1"/>
        <s v="00KQ9I1I" u="1"/>
        <s v="00KQ9I0J" u="1"/>
        <s v="00KQ9I05" u="1"/>
        <s v="00KQ9HZH" u="1"/>
        <s v="00KQ9HZF" u="1"/>
        <s v="00KQ9HZ5" u="1"/>
        <s v="00KQ9HY5" u="1"/>
        <s v="00KQ9HXR" u="1"/>
        <s v="00KQ9HXQ" u="1"/>
        <s v="00KQ9HWZ" u="1"/>
        <s v="00KQ9HRE" u="1"/>
        <s v="00KQ9HOI" u="1"/>
        <s v="00KQ63NO" u="1"/>
        <s v="00KQ63D7" u="1"/>
        <s v="00KQ5WOD" u="1"/>
        <s v="00KQ63CC" u="1"/>
        <s v="00KQ61US" u="1"/>
        <s v="00KQ5YN1" u="1"/>
        <s v="00KQ5WP9" u="1"/>
        <s v="00KQ65B8" u="1"/>
        <s v="00KQ9MAX" u="1"/>
        <s v="00KQFYK4" u="1"/>
        <s v="00KQEF9S" u="1"/>
        <s v="00KQFYW1" u="1"/>
        <s v="00KQFVU1" u="1"/>
        <s v="00KQFVTV" u="1"/>
        <s v="00KQEQOD" u="1"/>
        <s v="00KQEP0K" u="1"/>
        <s v="00KQEHLF" u="1"/>
        <s v="00KQEHHN" u="1"/>
        <s v="00KQEFZO" u="1"/>
        <s v="00KQEDA0" u="1"/>
        <s v="00KQEC17" u="1"/>
        <s v="00KQE7RB" u="1"/>
        <s v="00KQE09M" u="1"/>
        <s v="00KQDYCQ" u="1"/>
        <s v="00KQDWZG" u="1"/>
        <s v="00KQDWM2" u="1"/>
        <s v="00KQDIP8" u="1"/>
        <s v="00KQAHKK" u="1"/>
        <s v="00KQAHKI" u="1"/>
        <s v="00KQAHKA" u="1"/>
        <s v="00KQAHC1" u="1"/>
        <s v="00KQAFVN" u="1"/>
        <s v="00KQAFDQ" u="1"/>
        <s v="00KQAEIA" u="1"/>
        <s v="00KQAEI0" u="1"/>
        <s v="00KQADJZ" u="1"/>
        <s v="00KQAHF1" u="1"/>
        <s v="ZWLKW268" u="1"/>
        <s v="00KQJBNF" u="1"/>
        <s v="00KQJ7KA" u="1"/>
        <s v="00KQJ7JB" u="1"/>
        <s v="00KQJ7DN" u="1"/>
        <s v="00KQJ7DA" u="1"/>
        <s v="00KQJ7D4" u="1"/>
        <s v="00KQFZ3L" u="1"/>
        <s v="00KQFZO3" u="1"/>
        <s v="00KQPPHB" u="1"/>
        <s v="00KQPPIO" u="1"/>
        <s v="00KQPPJ3" u="1"/>
        <s v="00KQPPJ9" u="1"/>
        <s v="00KQJRLR" u="1"/>
        <s v="00KQJRL4" u="1"/>
        <s v="00KQJRLD" u="1"/>
        <s v="00KQPDZ8" u="1"/>
        <s v="00KQPE30" u="1"/>
        <s v="00KQPE58" u="1"/>
        <s v="00KQPGVV" u="1"/>
        <s v="00KQPI3K" u="1"/>
        <s v="00KQPIOS" u="1"/>
        <s v="00KQPKXB" u="1"/>
        <s v="00KQPN7D" u="1"/>
        <s v="00KQJB1Z" u="1"/>
        <s v="00KQJQW6" u="1"/>
        <s v="00KQJRGR" u="1"/>
        <s v="00KQPI05" u="1"/>
        <s v="00KQPI0V" u="1"/>
        <s v="00KQPM3E" u="1"/>
        <s v="00KQM4WZ" u="1"/>
        <s v="00KQQ61L" u="1"/>
        <s v="00KQQ61M" u="1"/>
        <s v="00KQQ620" u="1"/>
        <s v="00KQQ62K" u="1"/>
        <s v="00KQQ62T" u="1"/>
        <s v="00KQQ636" u="1"/>
        <s v="00KQQ639" u="1"/>
        <s v="00KQQ63F" u="1"/>
        <s v="00KQQ64H" u="1"/>
        <s v="00KQQSCJ" u="1"/>
        <s v="00KQR34Q" u="1"/>
        <s v="00KQS78Z" u="1"/>
        <s v="00KQTBXA" u="1"/>
        <s v="00KQTCH1" u="1"/>
        <s v="00KQTCP3" u="1"/>
        <s v="00KQQ2J6" u="1"/>
        <s v="00KQPYIZ" u="1"/>
        <s v="00KQPY87" u="1"/>
        <s v="00KQPY71" u="1"/>
        <s v="00KQPY6A" u="1"/>
        <s v="00KQPXMT" u="1"/>
        <s v="00KQPXLX" u="1"/>
        <s v="00KQPXHZ" u="1"/>
        <s v="00KQPXEH" u="1"/>
        <s v="00KQPPJG" u="1"/>
        <s v="00KQPPJ1" u="1"/>
        <s v="00KQPPFS" u="1"/>
        <s v="00KQPNO2" u="1"/>
        <s v="00KQTQ9Y" u="1"/>
        <s v="00KQTDV7" u="1"/>
        <s v="00KQZL16" u="1"/>
        <s v="00KQZKZ5" u="1"/>
        <s v="00KQZKTK" u="1"/>
        <s v="00KQZKBJ" u="1"/>
        <s v="00KQZJTO" u="1"/>
        <s v="00KQZJ6C" u="1"/>
        <s v="00KQZJ3G" u="1"/>
        <s v="00KQZHJ5" u="1"/>
        <s v="00KQZFZ0" u="1"/>
        <s v="00KQZFYT" u="1"/>
        <s v="00KQZFY6" u="1"/>
        <s v="00KQZEQD" u="1"/>
        <s v="00KQZEOU" u="1"/>
        <s v="00KQZDA5" u="1"/>
        <s v="00KQZD9R" u="1"/>
        <s v="00KQZCOU" u="1"/>
        <s v="00KQZCNT" u="1"/>
        <s v="00KQZC1D" u="1"/>
        <s v="00KQZBZR" u="1"/>
        <s v="00KQYPSN" u="1"/>
        <s v="00KQYOKB" u="1"/>
        <s v="00KQYNNL" u="1"/>
        <s v="00KQYD54" u="1"/>
        <s v="00KQTTRH" u="1"/>
        <s v="00KQTTR6" u="1"/>
        <s v="00KQTTNK" u="1"/>
        <s v="00KQTTND" u="1"/>
        <s v="00KQTTK5" u="1"/>
        <s v="00KQTE8Y" u="1"/>
        <s v="00KQR7PX" u="1"/>
        <s v="00KQYPHA" u="1"/>
        <s v="00KQYDO6" u="1"/>
        <s v="00KQT3K5" u="1"/>
        <s v="00KR3Y9P" u="1"/>
        <s v="00KR3JNN" u="1"/>
        <s v="00KR3JB4" u="1"/>
        <s v="00KR3IPQ" u="1"/>
        <s v="00KR3GSW" u="1"/>
        <s v="00KR369Z" u="1"/>
        <s v="00KR33SI" u="1"/>
        <s v="00KR33PH" u="1"/>
        <s v="00KR2Z0V" u="1"/>
        <s v="00KR2XAK" u="1"/>
        <s v="00KR2X9Y" u="1"/>
        <s v="00KR2X77" u="1"/>
        <s v="00KR2WCD" u="1"/>
        <s v="00KR2WBH" u="1"/>
        <s v="00KR2W3O" u="1"/>
        <s v="00KR2VV3" u="1"/>
        <s v="00KR2VTW" u="1"/>
        <s v="00KR2UNR" u="1"/>
        <s v="00KR2UJS" u="1"/>
        <s v="00KR036M" u="1"/>
        <s v="00KR01VZ" u="1"/>
        <s v="00KQZZAQ" u="1"/>
        <s v="00KQZT5G" u="1"/>
        <s v="00KQZT3T" u="1"/>
        <s v="00KR3ZCO" u="1"/>
        <s v="00KR455F" u="1"/>
        <s v="00KR8F0J" u="1"/>
        <s v="00KR8EV8" u="1"/>
        <s v="00KR8ELX" u="1"/>
        <s v="00KR8EKU" u="1"/>
        <s v="00KR8EHU" u="1"/>
        <s v="00KR8DMN" u="1"/>
        <s v="00KR886X" u="1"/>
        <s v="00KR83PH" u="1"/>
        <s v="00KR7XAG" u="1"/>
        <s v="00KR7XA6" u="1"/>
        <s v="00KR7X98" u="1"/>
        <s v="00KR7WKS" u="1"/>
        <s v="00KR4V8N" u="1"/>
        <s v="00KR4V29" u="1"/>
        <s v="00KR4QVH" u="1"/>
        <s v="00KR4QUN" u="1"/>
        <s v="00KR4QUK" u="1"/>
        <s v="00KR4QT3" u="1"/>
        <s v="00KR4QSJ" u="1"/>
        <s v="00KR4Q05" u="1"/>
        <s v="00KR4L6W" u="1"/>
        <s v="00KR4L67" u="1"/>
        <s v="00KR456J" u="1"/>
        <s v="00KR8L0A" u="1"/>
        <s v="00KRFSAE" u="1"/>
        <s v="00KRFS6K" u="1"/>
        <s v="00KRFQRA" u="1"/>
        <s v="00KRFQQ6" u="1"/>
        <s v="00KRFQPP" u="1"/>
        <s v="00KRFQ46" u="1"/>
        <s v="00KRFPUH" u="1"/>
        <s v="00KRFPUG" u="1"/>
        <s v="00KRFP4Q" u="1"/>
        <s v="00KRFO7R" u="1"/>
        <s v="00KRFKU5" u="1"/>
        <s v="00KRFKTD" u="1"/>
        <s v="00KRFKNB" u="1"/>
        <s v="00KRFKMA" u="1"/>
        <s v="00KRFKLE" u="1"/>
        <s v="00KR8L2N" u="1"/>
        <s v="00KR8L2C" u="1"/>
        <s v="00KR8L1P" u="1"/>
        <s v="00KR8HJX" u="1"/>
        <s v="00KR8FXK" u="1"/>
        <s v="00KR8FWS" u="1"/>
        <s v="00KRD1U1" u="1"/>
        <s v="00KRFQRM" u="1"/>
        <s v="00KRFW6N" u="1"/>
        <s v="00KRFUIX" u="1"/>
        <s v="00KRFUIJ" u="1"/>
        <s v="00KRFUI8" u="1"/>
        <s v="00KRFUFY" u="1"/>
        <s v="00KRFU9K" u="1"/>
        <s v="00KRFTH4" u="1"/>
        <s v="00KRFTFX" u="1"/>
        <s v="00KRFSBY" u="1"/>
        <s v="00KRIRKD" u="1"/>
        <s v="00KRIOPA" u="1"/>
        <s v="00KRFUHP" u="1"/>
        <s v="00KRJGSM" u="1"/>
        <s v="00KRJGRQ" u="1"/>
        <s v="00KRJGRO" u="1"/>
        <s v="00KRJFVZ" u="1"/>
        <s v="00KRJFC7" u="1"/>
        <s v="00KRJ8QE" u="1"/>
        <s v="00KRFWE1" u="1"/>
        <s v="00KRG8VO" u="1"/>
        <s v="00KRIOQK" u="1"/>
        <s v="00KRJ4AV" u="1"/>
        <s v="00KRFV4M" u="1"/>
        <s v="00KRFWDO" u="1"/>
        <s v="00KRFWFA" u="1"/>
        <s v="00KRFWFF" u="1"/>
        <s v="00KRG8XM" u="1"/>
        <s v="00KRIT32" u="1"/>
        <s v="00KRJ4AI" u="1"/>
        <s v="00KRFW6S" u="1"/>
        <s v="00KRFUQR" u="1"/>
        <s v="00KRFUY5" u="1"/>
        <s v="00KRG8XC" u="1"/>
        <s v="00KROMGN" u="1"/>
        <s v="00KROMGY" u="1"/>
        <s v="00KROMHA" u="1"/>
        <s v="00KRON9Q" u="1"/>
        <s v="00KRNLXR" u="1"/>
        <s v="00KRNP8W" u="1"/>
        <s v="00KRK2GI" u="1"/>
        <s v="00KRND1S" u="1"/>
        <s v="00KRND21" u="1"/>
        <s v="00KRND2H" u="1"/>
        <s v="00KRNEBZ" u="1"/>
        <s v="00KRNECP" u="1"/>
        <s v="00KRNM32" u="1"/>
        <s v="00KRNM3B" u="1"/>
        <s v="00KRNODK" u="1"/>
        <s v="00KRNP9D" u="1"/>
        <s v="00KROMF3" u="1"/>
        <s v="00KROMF9" u="1"/>
        <s v="00KRNLYT" u="1"/>
        <s v="00KROL9F" u="1"/>
        <s v="00KROM7K" u="1"/>
        <s v="00KROMG9" u="1"/>
        <s v="00KRNHLN" u="1"/>
        <s v="00KRNOGR" u="1"/>
        <s v="00KRSCSC" u="1"/>
        <s v="00KRSBY0" u="1"/>
        <s v="00KRSBD2" u="1"/>
        <s v="00KRS72G" u="1"/>
        <s v="00KRS2BI" u="1"/>
        <s v="00KRS1TK" u="1"/>
        <s v="00KRS1S3" u="1"/>
        <s v="00KRS1OD" u="1"/>
        <s v="00KRS6Y1" u="1"/>
        <s v="00KRP1WL" u="1"/>
        <s v="00KRSCVK" u="1"/>
        <s v="00KRP30U" u="1"/>
        <s v="00KRP4QA" u="1"/>
        <s v="00KRS0PR" u="1"/>
        <s v="00KRS2C9" u="1"/>
        <s v="00KRS6ZE" u="1"/>
        <s v="00KRS70T" u="1"/>
        <s v="00KRS79N" u="1"/>
        <s v="00KRS7A2" u="1"/>
        <s v="00KRRZAJ" u="1"/>
        <s v="00KRWQC2" u="1"/>
        <s v="00KRWRC1" u="1"/>
        <s v="00KRWRCV" u="1"/>
        <s v="00KRS1RM" u="1"/>
        <s v="00KRT8ZN" u="1"/>
        <s v="00KRT8ZX" u="1"/>
        <s v="00KRTB40" u="1"/>
        <s v="00KRWDJT" u="1"/>
        <s v="00KRWLBI" u="1"/>
        <s v="00KRWOQ0" u="1"/>
        <s v="00KRWEFC" u="1"/>
        <s v="00KRWOUD" u="1"/>
        <s v="00KRWE5C" u="1"/>
        <s v="00KRWEBY" u="1"/>
        <s v="00KRWECX" u="1"/>
        <s v="00KS1XDE" u="1"/>
        <s v="00KS1XC0" u="1"/>
        <s v="00KS1DC3" u="1"/>
        <s v="00KS1VZT" u="1"/>
        <s v="00KS1VZG" u="1"/>
        <s v="00KS1UXZ" u="1"/>
        <s v="00KS1DCJ" u="1"/>
        <s v="00KS1I5W" u="1"/>
        <s v="00KRWTOH" u="1"/>
        <s v="00KS1X5M" u="1"/>
        <s v="00KS1L10" u="1"/>
        <s v="00KS2DN1" u="1"/>
        <s v="00KS2DDG" u="1"/>
        <s v="00KS2D4P" u="1"/>
        <s v="00KS20RV" u="1"/>
        <s v="00KS78XT" u="1"/>
        <s v="00KS2DCT" u="1"/>
        <s v="00KS2DB2" u="1"/>
        <s v="00KS79LY" u="1"/>
        <s v="00KS79LG" u="1"/>
        <s v="00KS78Y5" u="1"/>
        <s v="00KS2IVG" u="1"/>
        <s v="00KS2IXS" u="1"/>
        <s v="00KS2J30" u="1"/>
        <s v="00KS2J39" u="1"/>
        <s v="00KS69CE" u="1"/>
        <s v="00KS2DO3" u="1"/>
        <s v="00KS2DOS" u="1"/>
        <s v="00KS2E9R" u="1"/>
        <s v="00KS2IO1" u="1"/>
        <s v="00KS2IRS" u="1"/>
        <s v="00KS2IU9" u="1"/>
        <s v="00KS2E69" u="1"/>
        <s v="00KS2DMK" u="1"/>
        <s v="00KS20SE" u="1"/>
        <s v="00KS216X" u="1"/>
        <s v="00KS66IQ" u="1"/>
        <s v="00KS6OWZ" u="1"/>
        <s v="00KS7F9W" u="1"/>
        <s v="00KS7GV0" u="1"/>
        <s v="00KS88EY" u="1"/>
        <s v="00KS87J6" u="1"/>
        <s v="00KS87HW" u="1"/>
        <s v="00KS874T" u="1"/>
        <s v="00KS86YQ" u="1"/>
        <s v="00KS1GQP" u="1"/>
        <s v="00KS1GPG" u="1"/>
        <s v="00KS1GPA" u="1"/>
        <s v="00KS1GP4" u="1"/>
        <s v="00KS1GM5" u="1"/>
        <s v="00KS1GL3" u="1"/>
        <s v="00KSAR8F" u="1"/>
        <s v="00KS9V3R" u="1"/>
        <s v="00KSAVKE" u="1"/>
        <s v="00KS88FM" u="1"/>
        <s v="00KSAK3D" u="1"/>
        <s v="00KSAK3T" u="1"/>
        <s v="00KSAR05" u="1"/>
        <s v="00KSARD0" u="1"/>
        <s v="00KSAV0C" u="1"/>
        <s v="00KS88CV" u="1"/>
        <s v="00KS88P2" u="1"/>
        <s v="00KS88UF" u="1"/>
        <s v="00KS88BE" u="1"/>
        <s v="00KS87UO" u="1"/>
        <s v="00KS9WD5" u="1"/>
        <s v="00KSB32V" u="1"/>
        <s v="00KSB35O" u="1"/>
        <s v="00KSB36F" u="1"/>
        <s v="00KSCVDB" u="1"/>
        <s v="00KSCWWX" u="1"/>
        <s v="00KSCX95" u="1"/>
        <s v="00KSD19S" u="1"/>
        <s v="00KSB144" u="1"/>
        <s v="00KSAVNI" u="1"/>
        <s v="00KSB12U" u="1"/>
        <s v="00KSCWWK" u="1"/>
        <s v="00KSC0YI" u="1"/>
        <s v="00KSB3RE" u="1"/>
        <s v="00KSDBTW" u="1"/>
        <s v="00KSDFQF" u="1"/>
        <s v="00KSGIZG" u="1"/>
        <s v="00KSH7YP" u="1"/>
        <s v="00KSH7XO" u="1"/>
        <s v="00KSH7XE" u="1"/>
        <s v="00KSH7UD" u="1"/>
        <s v="00KSH7T8" u="1"/>
        <s v="00KSH7ZJ" u="1"/>
        <s v="00KSH8JI" u="1"/>
        <s v="00KSH8K3" u="1"/>
        <s v="00KSH8JG" u="1"/>
        <s v="00KSJ3Q9" u="1"/>
        <s v="00KSJ4ZA" u="1"/>
        <s v="00KSJ509" u="1"/>
        <s v="00KSH7VT" u="1"/>
        <s v="00KSH7WM" u="1"/>
        <s v="00KSH7UT" u="1"/>
        <s v="00KSLV8U" u="1"/>
        <s v="00KSLUJW" u="1"/>
        <s v="00KSLSP2" u="1"/>
        <s v="00KSLSI9" u="1"/>
        <s v="00KSLV9E" u="1"/>
        <s v="00KSLV9Q" u="1"/>
        <s v="00KSNDZK" u="1"/>
        <s v="00KSNLZ1" u="1"/>
        <s v="00KSNMLY" u="1"/>
        <s v="00KSNMNL" u="1"/>
        <s v="00KSL87J" u="1"/>
        <s v="00KSLSCR" u="1"/>
        <s v="00KSLP3W" u="1"/>
        <s v="00KSLQ3R" u="1"/>
        <s v="00KSLQG1" u="1"/>
        <s v="00KSLR8B" u="1"/>
        <s v="00KSLSBI" u="1"/>
        <s v="00KSLSDC" u="1"/>
        <s v="00KSLNPG" u="1"/>
        <s v="00KSLVAY" u="1"/>
        <s v="00KSLVI1" u="1"/>
        <s v="00KSLTX7" u="1"/>
        <s v="00KSLTXE" u="1"/>
        <s v="00KSLTXT" u="1"/>
        <s v="00KSOI67" u="1"/>
        <s v="00KSOJ0U" u="1"/>
        <s v="00KSOQZF" u="1"/>
        <s v="00KSOVI7" u="1"/>
        <s v="ZWLL3P7C" u="1"/>
        <s v="00KM1KHH" u="1"/>
        <s v="00KM1NJU" u="1"/>
        <s v="00KM8LKC" u="1"/>
        <s v="00KM8UEY" u="1"/>
        <s v="00KM8UOG" u="1"/>
        <s v="00KM8UOX" u="1"/>
        <s v="00KM8UQU" u="1"/>
        <s v="00KM8URY" u="1"/>
        <s v="00KM8UTZ" u="1"/>
        <s v="00KM8UX1" u="1"/>
        <s v="00KM8V9A" u="1"/>
        <s v="00KM8ZVF" u="1"/>
        <s v="00KM8TA2" u="1"/>
        <s v="00KM8UQD" u="1"/>
        <s v="00KM8URK" u="1"/>
        <s v="00KM8UTT" u="1"/>
        <s v="00KM8VG0" u="1"/>
        <s v="00KM8WQ9" u="1"/>
        <s v="00KKSI04" u="1"/>
        <s v="00KM8V6X" u="1"/>
        <s v="00KM8VHP" u="1"/>
        <s v="00KM7851" u="1"/>
        <s v="00KM9KCS" u="1"/>
        <s v="00KM9211" u="1"/>
        <s v="00KM9WPJ" u="1"/>
        <s v="00KM9QT8" u="1"/>
        <s v="00KMDBSK" u="1"/>
        <s v="00KME52N" u="1"/>
        <s v="00KMDCQF" u="1"/>
        <s v="00KME53W" u="1"/>
        <s v="00KME4G3" u="1"/>
        <s v="00KMDOUY" u="1"/>
        <s v="00KK6SAY" u="1"/>
        <s v="00KM9TE3" u="1"/>
        <s v="00KM9Q95" u="1"/>
        <s v="00KME2QX" u="1"/>
        <s v="00KM9Q65" u="1"/>
        <s v="00KMIKSK" u="1"/>
        <s v="00KMI21A" u="1"/>
        <s v="00KMI290" u="1"/>
        <s v="00KMI2GC" u="1"/>
        <s v="00KMI6BB" u="1"/>
        <s v="00KMIL8S" u="1"/>
        <s v="00KMIEVT" u="1"/>
        <s v="00KMIEVB" u="1"/>
        <s v="00KMIH6Y" u="1"/>
        <s v="00KMM1HO" u="1"/>
        <s v="00KMLAKE" u="1"/>
        <s v="00KMJ1WP" u="1"/>
        <s v="00KMJ1LJ" u="1"/>
        <s v="00KML9KT" u="1"/>
        <s v="00KML9DX" u="1"/>
        <s v="00KN481D" u="1"/>
        <s v="00KMOXM5" u="1"/>
        <s v="00KN47ZP" u="1"/>
        <s v="00KN47ZU" u="1"/>
        <s v="00KN51PK" u="1"/>
        <s v="00KNA4UK" u="1"/>
        <s v="00KNA5QO" u="1"/>
        <s v="00KNA4HG" u="1"/>
        <s v="00KNC7SE" u="1"/>
        <s v="00KNCL98" u="1"/>
        <s v="00KNAKMA" u="1"/>
        <s v="00KNAKLH" u="1"/>
        <s v="00KNAFFO" u="1"/>
        <s v="00KNABAN" u="1"/>
        <s v="00KNCUGJ" u="1"/>
        <s v="00KNCL7Z" u="1"/>
        <s v="00KNC8JR" u="1"/>
        <s v="00KNAGP6" u="1"/>
        <s v="00KNAFJP" u="1"/>
        <s v="00KNA4X7" u="1"/>
        <s v="00KNA4VB" u="1"/>
        <s v="00KNAFHN" u="1"/>
        <s v="00KNH7GI" u="1"/>
        <s v="00KNHDKD" u="1"/>
        <s v="00KNHDL4" u="1"/>
        <s v="00KNHNV1" u="1"/>
        <s v="00KNH7B2" u="1"/>
        <s v="00KNGCLZ" u="1"/>
        <s v="00KNH3TA" u="1"/>
        <s v="00KNH7BE" u="1"/>
        <s v="00KNH66I" u="1"/>
        <s v="00KNH6U0" u="1"/>
        <s v="00KNH5WD" u="1"/>
        <s v="00KNMIHF" u="1"/>
        <s v="00KNMPJM" u="1"/>
        <s v="00KNMQ5Q" u="1"/>
        <s v="00KNMQ8H" u="1"/>
        <s v="00KNI18G" u="1"/>
        <s v="00KNI2UI" u="1"/>
        <s v="00KNHO1N" u="1"/>
        <s v="00KNMGIY" u="1"/>
        <s v="00KNHNXU" u="1"/>
        <s v="00KNM77Z" u="1"/>
        <s v="00KNN0PW" u="1"/>
        <s v="00KNQ934" u="1"/>
        <s v="00KNQ55H" u="1"/>
        <s v="00KNQ4OS" u="1"/>
        <s v="00KNQ98T" u="1"/>
        <s v="00KNQ97X" u="1"/>
        <s v="00KNQNWD" u="1"/>
        <s v="00KNWDUG" u="1"/>
        <s v="00KNQHWE" u="1"/>
        <s v="00KNQBQT" u="1"/>
        <s v="00KNTVN3" u="1"/>
        <s v="00KNTVO5" u="1"/>
        <s v="00KNU6KK" u="1"/>
        <s v="00KNQIVL" u="1"/>
        <s v="00KNWRPR" u="1"/>
        <s v="00KO0DAZ" u="1"/>
        <s v="00KO0DC7" u="1"/>
        <s v="00KO0GD2" u="1"/>
        <s v="00KO0H51" u="1"/>
        <s v="00KNWE15" u="1"/>
        <s v="00KNWE8Q" u="1"/>
        <s v="00KNWOZE" u="1"/>
        <s v="00KNWP09" u="1"/>
        <s v="00KNWQLM" u="1"/>
        <s v="00KNWE1V" u="1"/>
        <s v="00KNWHFB" u="1"/>
        <s v="00KNWOPG" u="1"/>
        <s v="00KNWPDZ" u="1"/>
        <s v="00KNWREK" u="1"/>
        <s v="00KNWOZO" u="1"/>
        <s v="00KNWP15" u="1"/>
        <s v="00KNWQD9" u="1"/>
        <s v="00KO3EAR" u="1"/>
        <s v="00KO3EA8" u="1"/>
        <s v="00KO3EA5" u="1"/>
        <s v="00KO3E96" u="1"/>
        <s v="00KO3DZV" u="1"/>
        <s v="00KO3DZ4" u="1"/>
        <s v="00KO3D6F" u="1"/>
        <s v="00KO3CT1" u="1"/>
        <s v="00KO3CRT" u="1"/>
        <s v="00KO3CQ0" u="1"/>
        <s v="00KO3BP4" u="1"/>
        <s v="00KO382E" u="1"/>
        <s v="00KO3EAJ" u="1"/>
        <s v="00KO0Z5U" u="1"/>
        <s v="00KO0KPJ" u="1"/>
        <s v="00KO3MIU" u="1"/>
        <s v="00KO3LYA" u="1"/>
        <s v="00KO3LXW" u="1"/>
        <s v="00KO3EII" u="1"/>
        <s v="00KO3EJD" u="1"/>
        <s v="00KO3EJG" u="1"/>
        <s v="00KO3EJU" u="1"/>
        <s v="00KO3EJV" u="1"/>
        <s v="00KO3EKR" u="1"/>
        <s v="00KO3EKT" u="1"/>
        <s v="00KO3ELL" u="1"/>
        <s v="00KO3ELZ" u="1"/>
        <s v="00KO3EME" u="1"/>
        <s v="00KO3EML" u="1"/>
        <s v="00KO3ENE" u="1"/>
        <s v="00KO3ESX" u="1"/>
        <s v="00KO3ETS" u="1"/>
        <s v="00KO3LXH" u="1"/>
        <s v="00KOAZJO" u="1"/>
        <s v="00KOAZKF" u="1"/>
        <s v="00KOAZKV" u="1"/>
        <s v="00KOAZLZ" u="1"/>
        <s v="00KOAZMT" u="1"/>
        <s v="00KOAZN8" u="1"/>
        <s v="00KOAZNE" u="1"/>
        <s v="00KOB0GY" u="1"/>
        <s v="00KOB0HF" u="1"/>
        <s v="00KOB0I7" u="1"/>
        <s v="00KOB0Q4" u="1"/>
        <s v="00KOB0QV" u="1"/>
        <s v="00KOB0S9" u="1"/>
        <s v="00KOB0SK" u="1"/>
        <s v="00KOB0UB" u="1"/>
        <s v="00KOB0UN" u="1"/>
        <s v="00KOB0WZ" u="1"/>
        <s v="00KOB0Z8" u="1"/>
        <s v="00KOAZJM" u="1"/>
        <s v="00KOAZIU" u="1"/>
        <s v="00KOAZIQ" u="1"/>
        <s v="00KOAZI2" u="1"/>
        <s v="00KOAZGC" u="1"/>
        <s v="00KOAZFY" u="1"/>
        <s v="00KOAZC0" u="1"/>
        <s v="00KOAZBS" u="1"/>
        <s v="00KOAZAQ" u="1"/>
        <s v="00KOAZ9Q" u="1"/>
        <s v="00KOAZ8T" u="1"/>
        <s v="00KOAZ7Q" u="1"/>
        <s v="00KOAZ63" u="1"/>
        <s v="00KOAZ4H" u="1"/>
        <s v="00KOAZ3M" u="1"/>
        <s v="00KOAZ3F" u="1"/>
        <s v="00KOAYI4" u="1"/>
        <s v="00KOAYI0" u="1"/>
        <s v="00KOB157" u="1"/>
        <s v="00KOB5ZB" u="1"/>
        <s v="00KOB5ZJ" u="1"/>
        <s v="00KOB604" u="1"/>
        <s v="00KOB605" u="1"/>
        <s v="00KOB609" u="1"/>
        <s v="00KOB6S2" u="1"/>
        <s v="00KOB6SL" u="1"/>
        <s v="00KOB5YY" u="1"/>
        <s v="00KOB5YQ" u="1"/>
        <s v="00KOB5YF" u="1"/>
        <s v="00KOB5HO" u="1"/>
        <s v="00KOB5GA" u="1"/>
        <s v="00KOB5BJ" u="1"/>
        <s v="00KOB4HN" u="1"/>
        <s v="00KOB4GC" u="1"/>
        <s v="00KOB4CV" u="1"/>
        <s v="00KOB4CN" u="1"/>
        <s v="00KOB43V" u="1"/>
        <s v="00KOB3YL" u="1"/>
        <s v="00KOB3B1" u="1"/>
        <s v="00KOB2HK" u="1"/>
        <s v="00KOB2H1" u="1"/>
        <s v="00KOB2D3" u="1"/>
        <s v="00KOB2BN" u="1"/>
        <s v="00KOB2B0" u="1"/>
        <s v="00KOB29Z" u="1"/>
        <s v="00KOB287" u="1"/>
        <s v="00KOB24R" u="1"/>
        <s v="00KOB1WU" u="1"/>
        <s v="00KOB1WQ" u="1"/>
        <s v="00KOB1VP" u="1"/>
        <s v="00KOB1TY" u="1"/>
        <s v="00KOB1B5" u="1"/>
        <s v="00KOB19F" u="1"/>
        <s v="00KOB177" u="1"/>
        <s v="00KOB15P" u="1"/>
        <s v="00KO472Y" u="1"/>
        <s v="00KO472Q" u="1"/>
        <s v="00KO472N" u="1"/>
        <s v="00KO472H" u="1"/>
        <s v="00KO4727" u="1"/>
        <s v="00KO4724" u="1"/>
        <s v="00KO471Z" u="1"/>
        <s v="00KO471Y" u="1"/>
        <s v="00KO471I" u="1"/>
        <s v="00KO471H" u="1"/>
        <s v="00KO471C" u="1"/>
        <s v="00KO470Y" u="1"/>
        <s v="00KO470S" u="1"/>
        <s v="00KO470H" u="1"/>
        <s v="00KO470F" u="1"/>
        <s v="00KO4700" u="1"/>
        <s v="00KO46ZZ" u="1"/>
        <s v="00KO46ZO" u="1"/>
        <s v="00KO46Z0" u="1"/>
        <s v="00KO46YV" u="1"/>
        <s v="00KO46YT" u="1"/>
        <s v="00KO46Y7" u="1"/>
        <s v="00KO46X9" u="1"/>
        <s v="00KO46WS" u="1"/>
        <s v="00KO46W5" u="1"/>
        <s v="00KO46W4" u="1"/>
        <s v="00KO46VP" u="1"/>
        <s v="00KO46V4" u="1"/>
        <s v="00KOBAOJ" u="1"/>
        <s v="00KOBAHY" u="1"/>
        <s v="00KOB2EJ" u="1"/>
        <s v="00KO476K" u="1"/>
        <s v="00KO46OQ" u="1"/>
        <s v="00KOBLDW" u="1"/>
        <s v="00KOBKP0" u="1"/>
        <s v="00KOBKNV" u="1"/>
        <s v="00KO4730" u="1"/>
        <s v="00KOAXSV" u="1"/>
        <s v="00KOAXL7" u="1"/>
        <s v="00KOAXKD" u="1"/>
        <s v="00KOAXK9" u="1"/>
        <s v="00KOAXJU" u="1"/>
        <s v="00KOAXJB" u="1"/>
        <s v="00KOAVL8" u="1"/>
        <s v="00KOAU0D" u="1"/>
        <s v="00KOA8XX" u="1"/>
        <s v="00KOA8XV" u="1"/>
        <s v="00KOA76K" u="1"/>
        <s v="00KO479K" u="1"/>
        <s v="00KO478F" u="1"/>
        <s v="00KO4787" u="1"/>
        <s v="00KO4785" u="1"/>
        <s v="00KO477W" u="1"/>
        <s v="00KO477E" u="1"/>
        <s v="00KO477D" u="1"/>
        <s v="00KO477A" u="1"/>
        <s v="00KO476W" u="1"/>
        <s v="00KO476V" u="1"/>
        <s v="00KO476I" u="1"/>
        <s v="00KO476D" u="1"/>
        <s v="00KO475Q" u="1"/>
        <s v="00KO475O" u="1"/>
        <s v="00KO475J" u="1"/>
        <s v="00KO475I" u="1"/>
        <s v="00KO475A" u="1"/>
        <s v="00KO474P" u="1"/>
        <s v="00KO474J" u="1"/>
        <s v="00KO4745" u="1"/>
        <s v="00KO4742" u="1"/>
        <s v="00KO473P" u="1"/>
        <s v="00KO473K" u="1"/>
        <s v="00KO4735" u="1"/>
        <s v="00KO4731" u="1"/>
        <s v="00KOBC44" u="1"/>
        <s v="00KOBC3J" u="1"/>
        <s v="00KOBC35" u="1"/>
        <s v="00KOBC2Q" u="1"/>
        <s v="00KOBC2C" u="1"/>
        <s v="00KOBC1X" u="1"/>
        <s v="00KOBC1U" u="1"/>
        <s v="00KOBC1S" u="1"/>
        <s v="00KOBC1F" u="1"/>
        <s v="00KOBBXY" u="1"/>
        <s v="00KOBBWS" u="1"/>
        <s v="00KOBBWO" u="1"/>
        <s v="00KOBBWK" u="1"/>
        <s v="00KOBBWB" u="1"/>
        <s v="00KOBBW7" u="1"/>
        <s v="00KOBBVU" u="1"/>
        <s v="00KOBBVL" u="1"/>
        <s v="00KOBBVK" u="1"/>
        <s v="00KOBBV6" u="1"/>
        <s v="00KOBBUG" u="1"/>
        <s v="00KOBBUF" u="1"/>
        <s v="00KOBBN9" u="1"/>
        <s v="00KOBBMR" u="1"/>
        <s v="00KOBBA3" u="1"/>
        <s v="00KOBB9N" u="1"/>
        <s v="00KOBATX" u="1"/>
        <s v="00KOBATF" u="1"/>
        <s v="00KOBAP1" u="1"/>
        <s v="00KOBAJ1" u="1"/>
        <s v="00KOBAIO" u="1"/>
        <s v="00KOBAGX" u="1"/>
        <s v="00KOBAGA" u="1"/>
        <s v="00KOBAFA" u="1"/>
        <s v="00KOBAF0" u="1"/>
        <s v="00KOBAEP" u="1"/>
        <s v="00KOBAEN" u="1"/>
        <s v="00KOBC7Y" u="1"/>
        <s v="00KOBC4D" u="1"/>
        <s v="00KOAZMS" u="1"/>
        <s v="00KOBICR" u="1"/>
        <s v="00KOBIB0" u="1"/>
        <s v="00KOBIAH" u="1"/>
        <s v="00KOBIA3" u="1"/>
        <s v="00KOBI9T" u="1"/>
        <s v="00KOBI9M" u="1"/>
        <s v="00KOBI9F" u="1"/>
        <s v="00KOBI96" u="1"/>
        <s v="00KOBI8Q" u="1"/>
        <s v="00KOBI82" u="1"/>
        <s v="00KOBI7R" u="1"/>
        <s v="00KOBI7L" u="1"/>
        <s v="00KOBI6T" u="1"/>
        <s v="00KOBI6R" u="1"/>
        <s v="00KOBI6G" u="1"/>
        <s v="00KOBI5V" u="1"/>
        <s v="00KOBI5S" u="1"/>
        <s v="00KOBI5B" u="1"/>
        <s v="00KOBI4U" u="1"/>
        <s v="00KOBI37" u="1"/>
        <s v="00KOBCM3" u="1"/>
        <s v="00KOBCKC" u="1"/>
        <s v="00KOBCJT" u="1"/>
        <s v="00KOBCJE" u="1"/>
        <s v="00KOBCIK" u="1"/>
        <s v="00KOBCI7" u="1"/>
        <s v="00KOBCHR" u="1"/>
        <s v="00KOBCGY" u="1"/>
        <s v="00KOBCGT" u="1"/>
        <s v="00KOBCGG" u="1"/>
        <s v="00KOBC87" u="1"/>
        <s v="00KOB9DW" u="1"/>
        <s v="00KOB9DG" u="1"/>
        <s v="00KOB9BV" u="1"/>
        <s v="00KOB9AO" u="1"/>
        <s v="00KOB97N" u="1"/>
        <s v="00KOB96X" u="1"/>
        <s v="00KOB96V" u="1"/>
        <s v="00KOB967" u="1"/>
        <s v="00KOB963" u="1"/>
        <s v="00KOB8WY" u="1"/>
        <s v="00KOB8V5" u="1"/>
        <s v="00KOB8U9" u="1"/>
        <s v="00KOB8TH" u="1"/>
        <s v="00KOB8SM" u="1"/>
        <s v="00KOB808" u="1"/>
        <s v="00KOB7TN" u="1"/>
        <s v="00KOB74H" u="1"/>
        <s v="00KOB711" u="1"/>
        <s v="00KOB70T" u="1"/>
        <s v="00KOB6ZJ" u="1"/>
        <s v="00KOB6YM" u="1"/>
        <s v="00KOB6YJ" u="1"/>
        <s v="00KOB6Y1" u="1"/>
        <s v="00KOB6X3" u="1"/>
        <s v="00KOB6WQ" u="1"/>
        <s v="00KOB6WF" u="1"/>
        <s v="00KOB6VV" u="1"/>
        <s v="00KOB6VQ" u="1"/>
        <s v="00KOB6VP" u="1"/>
        <s v="00KOB6V1" u="1"/>
        <s v="00KOB6US" u="1"/>
        <s v="00KOB6UO" u="1"/>
        <s v="00KOB6TL" u="1"/>
        <s v="00KOB6TK" u="1"/>
        <s v="00KOB6T1" u="1"/>
        <s v="00KOB6SX" u="1"/>
        <s v="00KOB9H0" u="1"/>
        <s v="00KOBADD" u="1"/>
        <s v="00KOBAD9" u="1"/>
        <s v="00KOBA8V" u="1"/>
        <s v="00KOBA8U" u="1"/>
        <s v="00KOBA8I" u="1"/>
        <s v="00KOBA8G" u="1"/>
        <s v="00KOBA86" u="1"/>
        <s v="00KOBA81" u="1"/>
        <s v="00KOBA7K" u="1"/>
        <s v="00KOBA7D" u="1"/>
        <s v="00KOBA6Y" u="1"/>
        <s v="00KOBA6J" u="1"/>
        <s v="00KOBA5M" u="1"/>
        <s v="00KOBA4X" u="1"/>
        <s v="00KOBA46" u="1"/>
        <s v="00KOBA34" u="1"/>
        <s v="00KOBA27" u="1"/>
        <s v="00KOBA1K" u="1"/>
        <s v="00KOBA0D" u="1"/>
        <s v="00KOB9Z7" u="1"/>
        <s v="00KOB9YA" u="1"/>
        <s v="00KOB9O9" u="1"/>
        <s v="00KOB9NT" u="1"/>
        <s v="00KOB9N7" u="1"/>
        <s v="00KOB9ME" u="1"/>
        <s v="00KOB9LG" u="1"/>
        <s v="00KOB9KK" u="1"/>
        <s v="00KOB9K9" u="1"/>
        <s v="00KOB9K3" u="1"/>
        <s v="00KOB9JN" u="1"/>
        <s v="00KOB9JG" u="1"/>
        <s v="00KOB9J0" u="1"/>
        <s v="00KOB9IQ" u="1"/>
        <s v="00KOB9IE" u="1"/>
        <s v="00KOB9HO" u="1"/>
        <s v="00KOB9HB" u="1"/>
        <s v="00KOB5LL" u="1"/>
        <s v="00KOBO0B" u="1"/>
        <s v="00KOBO2E" u="1"/>
        <s v="00KOBWQU" u="1"/>
        <s v="00KOBOVS" u="1"/>
        <s v="00KOBXM7" u="1"/>
        <s v="00KOBWWP" u="1"/>
        <s v="00KOBOGN" u="1"/>
        <s v="00KOBOHO" u="1"/>
        <s v="00KOBOKD" u="1"/>
        <s v="00KOBOLC" u="1"/>
        <s v="00KOBOM2" u="1"/>
        <s v="00KOBOND" u="1"/>
        <s v="00KOBOO2" u="1"/>
        <s v="00KOBUZN" u="1"/>
        <s v="00KOBSU6" u="1"/>
        <s v="00KOBRE7" u="1"/>
        <s v="00KOBRDJ" u="1"/>
        <s v="00KOBRCA" u="1"/>
        <s v="00KOBRAA" u="1"/>
        <s v="00KOBQYT" u="1"/>
        <s v="00KOBQUW" u="1"/>
        <s v="00KOBQTX" u="1"/>
        <s v="00KOBQSS" u="1"/>
        <s v="00KOBQGL" u="1"/>
        <s v="00KOBQFS" u="1"/>
        <s v="00KOBQEG" u="1"/>
        <s v="00KOBOPL" u="1"/>
        <s v="00KOBQDN" u="1"/>
        <s v="00KOBQ8B" u="1"/>
        <s v="00KOBQ47" u="1"/>
        <s v="00KOBQ3J" u="1"/>
        <s v="00KOBQ2Q" u="1"/>
        <s v="00KOBQ26" u="1"/>
        <s v="00KOBQ1A" u="1"/>
        <s v="00KOBP37" u="1"/>
        <s v="00KOBOYH" u="1"/>
        <s v="00KOBOW3" u="1"/>
        <s v="00KOBOU7" u="1"/>
        <s v="00KOBOR5" u="1"/>
        <s v="00KOBOQ2" u="1"/>
        <s v="00KOBWP7" u="1"/>
        <s v="00KOF95E" u="1"/>
        <s v="00KOFFQ6" u="1"/>
        <s v="00KOFJTM" u="1"/>
        <s v="00KOFJU7" u="1"/>
        <s v="00KOFJUG" u="1"/>
        <s v="00KOFKXQ" u="1"/>
        <s v="00KOHX11" u="1"/>
        <s v="00KOIN2B" u="1"/>
        <s v="00KOIOL6" u="1"/>
        <s v="00KOJMJ9" u="1"/>
        <s v="00KOJNON" u="1"/>
        <s v="00KOJRBI" u="1"/>
        <s v="00KONKI0" u="1"/>
        <s v="00KONKIX" u="1"/>
        <s v="00KONKJ6" u="1"/>
        <s v="00KONKKB" u="1"/>
        <s v="00KOOJ45" u="1"/>
        <s v="00KOKL9V" u="1"/>
        <s v="00KOKLAW" u="1"/>
        <s v="00KOKLE4" u="1"/>
        <s v="00KOKLHB" u="1"/>
        <s v="00KONKEB" u="1"/>
        <s v="00KOKKNE" u="1"/>
        <s v="00KOKSPP" u="1"/>
        <s v="00KOKKWK" u="1"/>
        <s v="00KOROKM" u="1"/>
        <s v="00KOPCLS" u="1"/>
        <s v="00KOP8V9" u="1"/>
        <s v="00KORVE9" u="1"/>
        <s v="00KORVGG" u="1"/>
        <s v="00KOS2X0" u="1"/>
        <s v="00KOQNEW" u="1"/>
        <s v="00KOPL4L" u="1"/>
        <s v="00KPP8W4" u="1"/>
        <s v="00KPPCID" u="1"/>
        <s v="00KOS9T7" u="1"/>
        <s v="00KPPB74" u="1"/>
        <s v="00KOS9TN" u="1"/>
        <s v="00KPOBMZ" u="1"/>
        <s v="00KOS52A" u="1"/>
        <s v="00KPPBB6" u="1"/>
        <s v="00KPPCKG" u="1"/>
        <s v="00KPQ8FH" u="1"/>
        <s v="00KIXYU9" u="1"/>
        <s v="00KIXYUC" u="1"/>
        <s v="00KIXYOT" u="1"/>
        <s v="00KIXYO7" u="1"/>
        <s v="00KIXYNU" u="1"/>
        <s v="00KIXYUL" u="1"/>
        <s v="00KIXYV6" u="1"/>
        <s v="00KIXYW4" u="1"/>
        <s v="00KIXYWR" u="1"/>
        <s v="00KJ4823" u="1"/>
        <s v="00KIXYAN" u="1"/>
        <s v="00KIXXXZ" u="1"/>
        <s v="00KIXXX1" u="1"/>
        <s v="00KIXXWS" u="1"/>
        <s v="00KIXRCV" u="1"/>
        <s v="00KIWOMJ" u="1"/>
        <s v="00KIWK6A" u="1"/>
        <s v="00KIWJXA" u="1"/>
        <s v="00KIWJH9" u="1"/>
        <s v="00KIWJG7" u="1"/>
        <s v="00KJ48DP" u="1"/>
        <s v="00KJ49SS" u="1"/>
        <s v="00KJ4W74" u="1"/>
        <s v="00KJ4WAL" u="1"/>
        <s v="00KJ4YP1" u="1"/>
        <s v="00KJ4YS3" u="1"/>
        <s v="00KJ4YST" u="1"/>
        <s v="00KJ4Z3Z" u="1"/>
        <s v="00KJ4Z4C" u="1"/>
        <s v="00KJ4Z5A" u="1"/>
        <s v="00KJ4ZD2" u="1"/>
        <s v="00KJ4ZE4" u="1"/>
        <s v="00KJ4ZFM" u="1"/>
        <s v="00KJ4ZUL" u="1"/>
        <s v="00KJ528M" u="1"/>
        <s v="00KJ52H9" u="1"/>
        <s v="00KIWLGQ" u="1"/>
        <s v="00KIWLGU" u="1"/>
        <s v="00KIWLH0" u="1"/>
        <s v="00KJ4W9C" u="1"/>
        <s v="00KIWCEI" u="1"/>
        <s v="00KJ5BAB" u="1"/>
        <s v="00KJ5BB6" u="1"/>
        <s v="00KJ5BJN" u="1"/>
        <s v="00KJBZIC" u="1"/>
        <s v="00KJC2F1" u="1"/>
        <s v="00KJC2TB" u="1"/>
        <s v="00KJC2Z8" u="1"/>
        <s v="00KJC311" u="1"/>
        <s v="00KJC3M1" u="1"/>
        <s v="00KJC8P7" u="1"/>
        <s v="00KJC8R5" u="1"/>
        <s v="00KJCC75" u="1"/>
        <s v="00KJCCP1" u="1"/>
        <s v="00KJCCXO" u="1"/>
        <s v="00KJCCYT" u="1"/>
        <s v="00KJCCZ5" u="1"/>
        <s v="00KJIMIS" u="1"/>
        <s v="00KJIMJG" u="1"/>
        <s v="00KJIQ5Y" u="1"/>
        <s v="00KJIRO3" u="1"/>
        <s v="00KJLW91" u="1"/>
        <s v="00KJIVTP" u="1"/>
        <s v="00KJLWO8" u="1"/>
        <s v="00KJLVDS" u="1"/>
        <s v="00KJLFKI" u="1"/>
        <s v="00KJLI4C" u="1"/>
        <s v="00KJIW6I" u="1"/>
        <s v="00KJIW8B" u="1"/>
        <s v="00KJIW91" u="1"/>
        <s v="00KJIW9N" u="1"/>
        <s v="00KJM5XK" u="1"/>
        <s v="00KIPRBM" u="1"/>
        <s v="00KJPT73" u="1"/>
        <s v="00KJPSV9" u="1"/>
        <s v="00KJQCR7" u="1"/>
        <s v="ZWLK0GD0" u="1"/>
        <s v="00KJV233" u="1"/>
        <s v="00KJV1SK" u="1"/>
        <s v="00KJV12A" u="1"/>
        <s v="00KJV11E" u="1"/>
        <s v="00KJV0VO" u="1"/>
        <s v="00KJV0P8" u="1"/>
        <s v="00KJQDPM" u="1"/>
        <s v="00KJPT7O" u="1"/>
        <s v="00KJQCZT" u="1"/>
        <s v="00KJPQYH" u="1"/>
        <s v="00KJTTNV" u="1"/>
        <s v="00KJTWJQ" u="1"/>
        <s v="00KJVRKJ" u="1"/>
        <s v="00KJPYR3" u="1"/>
        <s v="00KJZY31" u="1"/>
        <s v="00KJZZ4M" u="1"/>
        <s v="00KJZZPO" u="1"/>
        <s v="00KK00RM" u="1"/>
        <s v="00KJZXVE" u="1"/>
        <s v="00KJVNZW" u="1"/>
        <s v="00KJVO3T" u="1"/>
        <s v="00KJVYCW" u="1"/>
        <s v="00KJVV06" u="1"/>
        <s v="00KJVRNV" u="1"/>
        <s v="00KJVR9K" u="1"/>
        <s v="00KJVOBU" u="1"/>
        <s v="00KJVOJL" u="1"/>
        <s v="00KJVW36" u="1"/>
        <s v="00KK3N7Q" u="1"/>
        <s v="00KK3NWB" u="1"/>
        <s v="00KK3JGE" u="1"/>
        <s v="00KK3HT7" u="1"/>
        <s v="00KK3HSZ" u="1"/>
        <s v="00KK3N8H" u="1"/>
        <s v="00KK3JI9" u="1"/>
        <s v="00KK4691" u="1"/>
        <s v="00KFLN0Z" u="1"/>
        <s v="00KK6R4V" u="1"/>
        <s v="00KK4892" u="1"/>
        <s v="00KK45UI" u="1"/>
        <s v="00KK6R4Y" u="1"/>
        <s v="00KK6DZW" u="1"/>
        <s v="00KK6DX4" u="1"/>
        <s v="00KK6DZA" u="1"/>
        <s v="00KK6DYJ" u="1"/>
        <s v="00KK67V9" u="1"/>
        <s v="00KK43HC" u="1"/>
        <s v="00KKNW6W" u="1"/>
        <s v="00KKNP6L" u="1"/>
        <s v="00KK7D7L" u="1"/>
        <s v="00KKNW8B" u="1"/>
        <s v="00KKNPD4" u="1"/>
        <s v="00KKNP55" u="1"/>
        <s v="00KKSI0N" u="1"/>
        <s v="00KKSI5F" u="1"/>
        <s v="00KKSIAO" u="1"/>
        <s v="00KKSIBH" u="1"/>
        <s v="00KKSKEO" u="1"/>
        <s v="00KKSKFD" u="1"/>
        <s v="00KKRS9E" u="1"/>
        <s v="00KKO32S" u="1"/>
        <s v="00KKPYJ4" u="1"/>
        <s v="00KKSCWM" u="1"/>
        <s v="00KKSEQG" u="1"/>
        <s v="00KKSD3E" u="1"/>
        <s v="00KKO2XH" u="1"/>
        <s v="00KKSIHK" u="1"/>
        <s v="00KKSIRW" u="1"/>
        <s v="00KKXSKR" u="1"/>
        <s v="00KKY8SA" u="1"/>
        <s v="00KKY8UC" u="1"/>
        <s v="00KKY9NU" u="1"/>
        <s v="00KKYAI4" u="1"/>
        <s v="00KKYBRG" u="1"/>
        <s v="00KKSXXR" u="1"/>
        <s v="00KKT3J0" u="1"/>
        <s v="00KKSXTL" u="1"/>
        <s v="00KKT26C" u="1"/>
        <s v="00KKSMT2" u="1"/>
        <s v="00KKT3MV" u="1"/>
        <s v="00KKT3MM" u="1"/>
        <s v="00KKXSM6" u="1"/>
        <s v="00KKSMRI" u="1"/>
        <s v="00KKYHDW" u="1"/>
        <s v="00KKYZEP" u="1"/>
        <s v="00KL5X2W" u="1"/>
        <s v="00KL5X3U" u="1"/>
        <s v="00KL5XZ4" u="1"/>
        <s v="00KKYOF8" u="1"/>
        <s v="00KKYONC" u="1"/>
        <s v="00KKYNEU" u="1"/>
        <s v="00KKYOMT" u="1"/>
        <s v="00KKYKPD" u="1"/>
        <s v="00KKYONM" u="1"/>
        <s v="00KKYOMN" u="1"/>
        <s v="00KFXZMY" u="1"/>
        <s v="00KLBSJE" u="1"/>
        <s v="00KLBSFD" u="1"/>
        <s v="00KLBS9P" u="1"/>
        <s v="00KLBMJ4" u="1"/>
        <s v="00KLBMHU" u="1"/>
        <s v="00KLBIYE" u="1"/>
        <s v="00KLBIXT" u="1"/>
        <s v="00KLBIRW" u="1"/>
        <s v="00KLBIH6" u="1"/>
        <s v="00KLBIFI" u="1"/>
        <s v="00KLB85V" u="1"/>
        <s v="00KLAOEW" u="1"/>
        <s v="00KLANMZ" u="1"/>
        <s v="00KL6AY1" u="1"/>
        <s v="00KL6AWT" u="1"/>
        <s v="00KL6AWM" u="1"/>
        <s v="00KL6AWK" u="1"/>
        <s v="00KL692U" u="1"/>
        <s v="00KL68OT" u="1"/>
        <s v="00KLBSK4" u="1"/>
        <s v="00KL6AU5" u="1"/>
        <s v="00KKYOTB" u="1"/>
        <s v="00KLE129" u="1"/>
        <s v="00KLE13D" u="1"/>
        <s v="00KLE132" u="1"/>
        <s v="00KLE13J" u="1"/>
        <s v="00KLLIJ3" u="1"/>
        <s v="00KLLIJE" u="1"/>
        <s v="00KLLIR8" u="1"/>
        <s v="00KLLIYG" u="1"/>
        <s v="00KLLIZJ" u="1"/>
        <s v="00KLLRM6" u="1"/>
        <s v="00KLLRTJ" u="1"/>
        <s v="00KLLUG5" u="1"/>
        <s v="00KLLUH9" u="1"/>
        <s v="00KLE8XG" u="1"/>
        <s v="00KLLIIQ" u="1"/>
        <s v="00KLLH4G" u="1"/>
        <s v="00KLE57H" u="1"/>
        <s v="00KLLNHH" u="1"/>
        <s v="00KLK61V" u="1"/>
        <s v="00KLPSEH" u="1"/>
        <s v="00KLMFMZ" u="1"/>
        <s v="00KLPNOP" u="1"/>
        <s v="00KLPNNQ" u="1"/>
        <s v="00KLPMBF" u="1"/>
        <s v="00KLPMB3" u="1"/>
        <s v="00KLPM7N" u="1"/>
        <s v="00KLPDLA" u="1"/>
        <s v="00KLMFK3" u="1"/>
        <s v="00KLQTXS" u="1"/>
        <s v="00KLQT84" u="1"/>
        <s v="00KLR0RA" u="1"/>
        <s v="00KLRFOE" u="1"/>
        <s v="00KLRFSJ" u="1"/>
        <s v="00KLTU59" u="1"/>
        <s v="00KLTUG7" u="1"/>
        <s v="00KLTUGT" u="1"/>
        <s v="00KLTUGZ" u="1"/>
        <s v="00KLTUHK" u="1"/>
        <s v="00KLTXNI" u="1"/>
        <s v="00KLTXS8" u="1"/>
        <s v="00KLU236" u="1"/>
        <s v="00KLU24P" u="1"/>
        <s v="00KLU3QI" u="1"/>
        <s v="00KLXJ65" u="1"/>
        <s v="00KLWR8Q" u="1"/>
        <s v="00KLWRYB" u="1"/>
        <s v="00KLWQSF" u="1"/>
        <s v="00KLWPFI" u="1"/>
        <s v="00KLWPO1" u="1"/>
        <s v="00KLXK03" u="1"/>
        <s v="00KLWPCX" u="1"/>
        <s v="00KLX9PQ" u="1"/>
        <s v="00KLWRXO" u="1"/>
        <s v="00KLWRQP" u="1"/>
        <s v="00KM0VKQ" u="1"/>
        <s v="00KM1IDT" u="1"/>
        <s v="00KM1IDC" u="1"/>
        <s v="00KM19AC" u="1"/>
        <s v="00KM1FVN" u="1"/>
        <s v="00KM1FXM" u="1"/>
        <s v="00KM1I8W" u="1"/>
        <s v="00KM1I9S" u="1"/>
        <s v="00KM1IDJ" u="1"/>
        <s v="00KM18JZ" u="1"/>
        <s v="00KM197U" u="1"/>
        <s v="00KEGM0U" u="1"/>
        <s v="00KEH1ZV" u="1"/>
        <s v="00KEH687" u="1"/>
        <s v="00KEHI5N" u="1"/>
        <s v="00KEHMCZ" u="1"/>
        <s v="00KEHNB5" u="1"/>
        <s v="00KENNMJ" u="1"/>
        <s v="00KENNNW" u="1"/>
        <s v="00KENNOU" u="1"/>
        <s v="00KENNS7" u="1"/>
        <s v="00KENNUK" u="1"/>
        <s v="00KENNWF" u="1"/>
        <s v="00KENOJ7" u="1"/>
        <s v="00KENOPR" u="1"/>
        <s v="00KENWYO" u="1"/>
        <s v="00KENWZI" u="1"/>
        <s v="00KENX9L" u="1"/>
        <s v="00KENXAQ" u="1"/>
        <s v="00KENZFV" u="1"/>
        <s v="00KENZRH" u="1"/>
        <s v="00KENZU5" u="1"/>
        <s v="00KENZYP" u="1"/>
        <s v="00KEO08Z" u="1"/>
        <s v="00KEO0DI" u="1"/>
        <s v="00KEO1JP" u="1"/>
        <s v="00KEO2RV" u="1"/>
        <s v="00KEO4PM" u="1"/>
        <s v="00KEO4S4" u="1"/>
        <s v="00KEO7GV" u="1"/>
        <s v="00KEO7L7" u="1"/>
        <s v="00KEO7MA" u="1"/>
        <s v="00KEO7ME" u="1"/>
        <s v="00KEO8FZ" u="1"/>
        <s v="00KEO8GM" u="1"/>
        <s v="00KEO9FZ" u="1"/>
        <s v="00KEOBJ4" u="1"/>
        <s v="00KEOBWR" u="1"/>
        <s v="00KEGLFN" u="1"/>
        <s v="00KEHL7K" u="1"/>
        <s v="00KEHL8R" u="1"/>
        <s v="00KEHLYE" u="1"/>
        <s v="00KEHLZY" u="1"/>
        <s v="00KEOD1C" u="1"/>
        <s v="00KEODCJ" u="1"/>
        <s v="00KE9IDR" u="1"/>
        <s v="00KE9J1E" u="1"/>
        <s v="00KE9T7R" u="1"/>
        <s v="00KE9TOJ" u="1"/>
        <s v="00KE9TZU" u="1"/>
        <s v="00KE9U1Q" u="1"/>
        <s v="00KE9V8A" u="1"/>
        <s v="00KE9V98" u="1"/>
        <s v="00KE9VB7" u="1"/>
        <s v="00KE9VBJ" u="1"/>
        <s v="00KE9VBQ" u="1"/>
        <s v="00KE9VBU" u="1"/>
        <s v="00KE9VC0" u="1"/>
        <s v="00KE9VC5" u="1"/>
        <s v="00KE9VC9" u="1"/>
        <s v="00KE9VCH" u="1"/>
        <s v="00KE9VCL" u="1"/>
        <s v="00KE9VCZ" u="1"/>
        <s v="00KE9VD0" u="1"/>
        <s v="00KE9VQ4" u="1"/>
        <s v="00KE9VQT" u="1"/>
        <s v="00KE9VRQ" u="1"/>
        <s v="00KE9VSP" u="1"/>
        <s v="00KE9VTE" u="1"/>
        <s v="00KE9VU3" u="1"/>
        <s v="00KE9VU6" u="1"/>
        <s v="00KE9VUO" u="1"/>
        <s v="00KE9VV0" u="1"/>
        <s v="00KE9VVC" u="1"/>
        <s v="00KE9VX8" u="1"/>
        <s v="00KEGK3P" u="1"/>
        <s v="00KEOBZJ" u="1"/>
        <s v="00KEOCTU" u="1"/>
        <s v="00KEODMM" u="1"/>
        <s v="00KE9VSN" u="1"/>
        <s v="00KE9VZU" u="1"/>
        <s v="00KENOMM" u="1"/>
        <s v="00KE9TY9" u="1"/>
        <s v="00KEH1PB" u="1"/>
        <s v="00KEH1YL" u="1"/>
        <s v="00KEODA1" u="1"/>
        <s v="00KEODR7" u="1"/>
        <s v="00KEO7JT" u="1"/>
        <s v="00KEODQ1" u="1"/>
        <s v="00KEODSS" u="1"/>
        <s v="00KEJWQA" u="1"/>
        <s v="00KEK4LX" u="1"/>
        <s v="00KEK6YM" u="1"/>
        <s v="00KE9U3A" u="1"/>
        <s v="00KEH19Q" u="1"/>
        <s v="00KEJZE8" u="1"/>
        <s v="00KEK75I" u="1"/>
        <s v="00KE9V3V" u="1"/>
        <s v="00KE9VCC" u="1"/>
        <s v="00KE9VQS" u="1"/>
        <s v="00KEGM39" u="1"/>
        <s v="00KEO7LE" u="1"/>
        <s v="00KEOBWT" u="1"/>
        <s v="00KEOBXG" u="1"/>
        <s v="00KEOBY6" u="1"/>
        <s v="00KEOBZB" u="1"/>
        <s v="00KEOBZL" u="1"/>
        <s v="00KEOC34" u="1"/>
        <s v="00KEOC9K" u="1"/>
        <s v="00KEOC9X" u="1"/>
        <s v="00KEOCAN" u="1"/>
        <s v="00KEOCB9" u="1"/>
        <s v="00KEOCBA" u="1"/>
        <s v="00KEOCBZ" u="1"/>
        <s v="00KEOCC4" u="1"/>
        <s v="00KEOCRY" u="1"/>
        <s v="00KEOCT6" u="1"/>
        <s v="00KEOCUE" u="1"/>
        <s v="00KEOCXN" u="1"/>
        <s v="00KEOCZR" u="1"/>
        <s v="00KEODC8" u="1"/>
        <s v="00KEODCL" u="1"/>
        <s v="00KEODMX" u="1"/>
        <s v="00KEODNK" u="1"/>
        <s v="00KEODOT" u="1"/>
        <s v="00KEODRL" u="1"/>
        <s v="00KEODVG" u="1"/>
        <s v="00KEODVV" u="1"/>
        <s v="00KEODY9" u="1"/>
        <s v="00KEOEA7" u="1"/>
        <s v="00KEOFCV" u="1"/>
        <s v="00KE9VC1" u="1"/>
        <s v="00KEGK2I" u="1"/>
        <s v="00KEGMBY" u="1"/>
        <s v="00KEH0ZK" u="1"/>
        <s v="00KEH1XK" u="1"/>
        <s v="00KEH1ZL" u="1"/>
        <s v="00KEM497" u="1"/>
        <s v="00KENNTH" u="1"/>
        <s v="00KEGLOB" u="1"/>
        <s v="00KEH66Q" u="1"/>
        <s v="00KEHHJP" u="1"/>
        <s v="00KEHI8V" u="1"/>
        <s v="00KEHL0A" u="1"/>
        <s v="00KE9J0O" u="1"/>
        <s v="00KE9VTH" u="1"/>
        <s v="00KF5F0S" u="1"/>
        <s v="00KF5F7S" u="1"/>
        <s v="00KF58N6" u="1"/>
        <s v="00KEOZCS" u="1"/>
        <s v="00KF5FBZ" u="1"/>
        <s v="00KF5G86" u="1"/>
        <s v="00KF9HMB" u="1"/>
        <s v="00KF9IHJ" u="1"/>
        <s v="00KF9II7" u="1"/>
        <s v="00KEOZAS" u="1"/>
        <s v="00KEOZ67" u="1"/>
        <s v="00KEOZ5T" u="1"/>
        <s v="00KEOYZ4" u="1"/>
        <s v="00KEOXLT" u="1"/>
        <s v="00KEOXLB" u="1"/>
        <s v="00KEOXL5" u="1"/>
        <s v="00KEONVO" u="1"/>
        <s v="00KEON33" u="1"/>
        <s v="00KEON2B" u="1"/>
        <s v="00KF9K6F" u="1"/>
        <s v="00KF9KRR" u="1"/>
        <s v="00KF9R96" u="1"/>
        <s v="00KF9SPA" u="1"/>
        <s v="00KFA3PY" u="1"/>
        <s v="00KFA99A" u="1"/>
        <s v="00KFAAYV" u="1"/>
        <s v="00KFAE9H" u="1"/>
        <s v="00KFAHR3" u="1"/>
        <s v="00KFALCS" u="1"/>
        <s v="00KFAM6F" u="1"/>
        <s v="00KFAVHU" u="1"/>
        <s v="00KFAVJG" u="1"/>
        <s v="00KFAVKA" u="1"/>
        <s v="00KFAVM6" u="1"/>
        <s v="00KFAVXZ" u="1"/>
        <s v="00KFAVZW" u="1"/>
        <s v="00KFAWVL" u="1"/>
        <s v="00KFAWZO" u="1"/>
        <s v="00KEON16" u="1"/>
        <s v="00KFCW15" u="1"/>
        <s v="00KFCW12" u="1"/>
        <s v="00KFCVYV" u="1"/>
        <s v="00KFCVDF" u="1"/>
        <s v="00KFCVCP" u="1"/>
        <s v="00KFCV7P" u="1"/>
        <s v="00KFCV6U" u="1"/>
        <s v="00KFCV6B" u="1"/>
        <s v="00KFCV5C" u="1"/>
        <s v="00KFCW3L" u="1"/>
        <s v="00KFCW5W" u="1"/>
        <s v="00KFCWBG" u="1"/>
        <s v="00KFCWNY" u="1"/>
        <s v="00KFCY8U" u="1"/>
        <s v="00KFCYPP" u="1"/>
        <s v="00KF5FAB" u="1"/>
        <s v="00KF94JI" u="1"/>
        <s v="00KF9IGQ" u="1"/>
        <s v="00KF9K4W" u="1"/>
        <s v="00KFACBM" u="1"/>
        <s v="00KFAVZ0" u="1"/>
        <s v="00KFBL00" u="1"/>
        <s v="00KFCDAF" u="1"/>
        <s v="00KEODOQ" u="1"/>
        <s v="00KEODQS" u="1"/>
        <s v="00KEODS3" u="1"/>
        <s v="00KEOFK6" u="1"/>
        <s v="00KEOFN6" u="1"/>
        <s v="00KEOFWI" u="1"/>
        <s v="00KEOG1K" u="1"/>
        <s v="00KEOG1L" u="1"/>
        <s v="00KEOJVO" u="1"/>
        <s v="00KEOJYJ" u="1"/>
        <s v="00KEOJZW" u="1"/>
        <s v="00KEOK0F" u="1"/>
        <s v="00KEOK1J" u="1"/>
        <s v="00KEOK1Q" u="1"/>
        <s v="00KEON0K" u="1"/>
        <s v="00KFAXXJ" u="1"/>
        <s v="00KEODTK" u="1"/>
        <s v="00KEOEGD" u="1"/>
        <s v="00KEOFIL" u="1"/>
        <s v="00KEOFJC" u="1"/>
        <s v="00KEOG2T" u="1"/>
        <s v="00KEOIZN" u="1"/>
        <s v="00KEOJV1" u="1"/>
        <s v="00KEOJV9" u="1"/>
        <s v="00KEON2I" u="1"/>
        <s v="00KEONVQ" u="1"/>
        <s v="00KEOX8K" u="1"/>
        <s v="00KEOYZ5" u="1"/>
        <s v="00KEOZ2K" u="1"/>
        <s v="00KEOZ9J" u="1"/>
        <s v="00KF5F0R" u="1"/>
        <s v="00KF5F2T" u="1"/>
        <s v="00KF9IFP" u="1"/>
        <s v="00KF9IJX" u="1"/>
        <s v="00KF9JP6" u="1"/>
        <s v="00KF9JQ0" u="1"/>
        <s v="00KF9K0K" u="1"/>
        <s v="00KFAJ2L" u="1"/>
        <s v="00KFBNIW" u="1"/>
        <s v="00KF9I20" u="1"/>
        <s v="00KF9K5G" u="1"/>
        <s v="00KF9LWH" u="1"/>
        <s v="00KFB9Q9" u="1"/>
        <s v="00KFC9XY" u="1"/>
        <s v="00KFBL0V" u="1"/>
        <s v="00KE9BU4" u="1"/>
        <s v="00KFAY30" u="1"/>
        <s v="00KFB8WU" u="1"/>
        <s v="00KFB8ZY" u="1"/>
        <s v="00KFB93S" u="1"/>
        <s v="00KFB9R7" u="1"/>
        <s v="00KFBBG9" u="1"/>
        <s v="00KFBKCD" u="1"/>
        <s v="00KFBWBK" u="1"/>
        <s v="00KFC9Q5" u="1"/>
        <s v="00KFC9RA" u="1"/>
        <s v="00KFC9TJ" u="1"/>
        <s v="00KFC9U5" u="1"/>
        <s v="00KFC9XI" u="1"/>
        <s v="00KFC9Y5" u="1"/>
        <s v="00KFC9Z8" u="1"/>
        <s v="00KFC9ZR" u="1"/>
        <s v="00KFCAIH" u="1"/>
        <s v="00KFCAJC" u="1"/>
        <s v="00KFCAK5" u="1"/>
        <s v="00KFCCEM" u="1"/>
        <s v="00KFCCG4" u="1"/>
        <s v="00KFCCH9" u="1"/>
        <s v="00KFCCJQ" u="1"/>
        <s v="00KFCCKX" u="1"/>
        <s v="00KFCD4N" u="1"/>
        <s v="00KFCD8B" u="1"/>
        <s v="00KFCDDK" u="1"/>
        <s v="00KFCDDR" u="1"/>
        <s v="00KFCDEA" u="1"/>
        <s v="00KFCCGY" u="1"/>
        <s v="00KFCCI3" u="1"/>
        <s v="00KF5FSR" u="1"/>
        <s v="00KFCYJU" u="1"/>
        <s v="00KFD0XM" u="1"/>
        <s v="00KFAYAJ" u="1"/>
        <s v="00KFLNHP" u="1"/>
        <s v="00KFLNH4" u="1"/>
        <s v="00KFLNBH" u="1"/>
        <s v="00KFLNAV" u="1"/>
        <s v="00KFLNI4" u="1"/>
        <s v="00KFLNLO" u="1"/>
        <s v="00KFLNNR" u="1"/>
        <s v="00KFD5RK" u="1"/>
        <s v="00KFDH3G" u="1"/>
        <s v="00KFDH4H" u="1"/>
        <s v="00KFDHA9" u="1"/>
        <s v="00KFDHC8" u="1"/>
        <s v="00KFL1GE" u="1"/>
        <s v="00KFL28R" u="1"/>
        <s v="00KFD7TZ" u="1"/>
        <s v="00KFDR0F" u="1"/>
        <s v="00KFL1JM" u="1"/>
        <s v="00KFLNA2" u="1"/>
        <s v="00KFLN8K" u="1"/>
        <s v="00KFLN5P" u="1"/>
        <s v="00KFLN57" u="1"/>
        <s v="00KFLMZY" u="1"/>
        <s v="00KFLMAM" u="1"/>
        <s v="00KFLM94" u="1"/>
        <s v="00KFLM7P" u="1"/>
        <s v="00KFLM6M" u="1"/>
        <s v="00KFLM4M" u="1"/>
        <s v="00KFLLZ4" u="1"/>
        <s v="00KFLLWX" u="1"/>
        <s v="00KFLLVI" u="1"/>
        <s v="00KFLLPW" u="1"/>
        <s v="00KFLKLP" u="1"/>
        <s v="00KFLKK4" u="1"/>
        <s v="00KFLJB8" u="1"/>
        <s v="00KFLGAZ" u="1"/>
        <s v="00KFLFXZ" u="1"/>
        <s v="00KFL2B6" u="1"/>
        <s v="00KFDTNZ" u="1"/>
        <s v="00KFLGA9" u="1"/>
        <s v="00KFLF69" u="1"/>
        <s v="00KFL6C9" u="1"/>
        <s v="00KFL68X" u="1"/>
        <s v="00KFL3YN" u="1"/>
        <s v="00KFL1K9" u="1"/>
        <s v="00KFLN4W" u="1"/>
        <s v="00KFLN38" u="1"/>
        <s v="00KFLN27" u="1"/>
        <s v="00KFLN0S" u="1"/>
        <s v="00KFLMZF" u="1"/>
        <s v="00KFLMAL" u="1"/>
        <s v="00KFLG8Z" u="1"/>
        <s v="00KFLFYH" u="1"/>
        <s v="00KFLFWO" u="1"/>
        <s v="00KFLF8M" u="1"/>
        <s v="00KFLF88" u="1"/>
        <s v="00KFLLXU" u="1"/>
        <s v="00KFD7JR" u="1"/>
        <s v="00KFD7KD" u="1"/>
        <s v="00KFD7SG" u="1"/>
        <s v="00KFIPMF" u="1"/>
        <s v="00KFLFWD" u="1"/>
        <s v="00KFLDRA" u="1"/>
        <s v="00KFLNIP" u="1"/>
        <s v="00KFLNOC" u="1"/>
        <s v="00KFLN81" u="1"/>
        <s v="00KFLN83" u="1"/>
        <s v="00KFLNBU" u="1"/>
        <s v="00KFLNNJ" u="1"/>
        <s v="00KFLNP3" u="1"/>
        <s v="00KFPC92" u="1"/>
        <s v="00KFPC86" u="1"/>
        <s v="00KFPBY5" u="1"/>
        <s v="00KFPBX5" u="1"/>
        <s v="00KFPBVJ" u="1"/>
        <s v="00KFPBUU" u="1"/>
        <s v="00KFPBS7" u="1"/>
        <s v="00KFPBOI" u="1"/>
        <s v="00KFPBLF" u="1"/>
        <s v="00KFPBFA" u="1"/>
        <s v="00KFPBES" u="1"/>
        <s v="00KFPBCO" u="1"/>
        <s v="00KFPB9H" u="1"/>
        <s v="00KFP6ZM" u="1"/>
        <s v="00KFP6YI" u="1"/>
        <s v="00KFP6VL" u="1"/>
        <s v="00KFP6U2" u="1"/>
        <s v="00KFP6S1" u="1"/>
        <s v="00KFP5QS" u="1"/>
        <s v="00KFPCAE" u="1"/>
        <s v="00KFPCIR" u="1"/>
        <s v="00KFPD3T" u="1"/>
        <s v="00KFPGUU" u="1"/>
        <s v="00KFPGVD" u="1"/>
        <s v="00KFPGWQ" u="1"/>
        <s v="00KFPQV2" u="1"/>
        <s v="00KFPQVK" u="1"/>
        <s v="00KFPWF5" u="1"/>
        <s v="00KFQRY6" u="1"/>
        <s v="00KFQS91" u="1"/>
        <s v="00KFQWWF" u="1"/>
        <s v="00KFLQI0" u="1"/>
        <s v="00KFPG8E" u="1"/>
        <s v="00KFPKST" u="1"/>
        <s v="00KFPFHV" u="1"/>
        <s v="00KFPGDS" u="1"/>
        <s v="00KFLPF9" u="1"/>
        <s v="00KFPG6V" u="1"/>
        <s v="00KFLNJS" u="1"/>
        <s v="00KFLOSV" u="1"/>
        <s v="00KFLOTE" u="1"/>
        <s v="00KFLOVF" u="1"/>
        <s v="00KFLOX8" u="1"/>
        <s v="00KFLOY3" u="1"/>
        <s v="00KFLOYQ" u="1"/>
        <s v="00KFLP09" u="1"/>
        <s v="00KFLP2D" u="1"/>
        <s v="00KFLPCD" u="1"/>
        <s v="00KFLPD9" u="1"/>
        <s v="00KFLPE1" u="1"/>
        <s v="00KFLR99" u="1"/>
        <s v="00KFLREB" u="1"/>
        <s v="00KFLRMA" u="1"/>
        <s v="00KFLRSA" u="1"/>
        <s v="00KFOGTK" u="1"/>
        <s v="00KFOGVG" u="1"/>
        <s v="00KFP2EA" u="1"/>
        <s v="00KFP48T" u="1"/>
        <s v="00KFP4CG" u="1"/>
        <s v="00KFP4ED" u="1"/>
        <s v="00KFLNIZ" u="1"/>
        <s v="00KFP2SJ" u="1"/>
        <s v="00KFPEDB" u="1"/>
        <s v="00KFP6UF" u="1"/>
        <s v="00KFP6RR" u="1"/>
        <s v="00KFP46I" u="1"/>
        <s v="00KFP41M" u="1"/>
        <s v="00KFLRQV" u="1"/>
        <s v="00KFOMYH" u="1"/>
        <s v="00KFLPBM" u="1"/>
        <s v="00KFQW77" u="1"/>
        <s v="00KFP64I" u="1"/>
        <s v="00KFP64J" u="1"/>
        <s v="00KFLN9C" u="1"/>
        <s v="00KFLNA8" u="1"/>
        <s v="00KFLNBF" u="1"/>
        <s v="00KFPD45" u="1"/>
        <s v="00KFVDDR" u="1"/>
        <s v="00KFVD6C" u="1"/>
        <s v="00KFVDED" u="1"/>
        <s v="00KFVDVR" u="1"/>
        <s v="00KFVD4T" u="1"/>
        <s v="00KFVCU0" u="1"/>
        <s v="00KFVCTE" u="1"/>
        <s v="00KFR5NJ" u="1"/>
        <s v="00KFVDWN" u="1"/>
        <s v="00KFVGJY" u="1"/>
        <s v="00KFVGKS" u="1"/>
        <s v="00KFVGMD" u="1"/>
        <s v="00KFVH0E" u="1"/>
        <s v="00KFVH18" u="1"/>
        <s v="00KFX5YX" u="1"/>
        <s v="00KFXV3Y" u="1"/>
        <s v="00KFXWQ6" u="1"/>
        <s v="00KFR1SJ" u="1"/>
        <s v="00KFR1S6" u="1"/>
        <s v="00KFR1R3" u="1"/>
        <s v="00KFR1PQ" u="1"/>
        <s v="00KFR1PP" u="1"/>
        <s v="00KFR16O" u="1"/>
        <s v="00KFR16M" u="1"/>
        <s v="00KFR10L" u="1"/>
        <s v="00KFR0W4" u="1"/>
        <s v="00KFR0VV" u="1"/>
        <s v="00KFR0TA" u="1"/>
        <s v="00KFQZVY" u="1"/>
        <s v="00KFQWCZ" u="1"/>
        <s v="00KFQWBM" u="1"/>
        <s v="00KFXV9N" u="1"/>
        <s v="00KFXV4W" u="1"/>
        <s v="00KG2FN3" u="1"/>
        <s v="00KG3GIC" u="1"/>
        <s v="00KG3GUR" u="1"/>
        <s v="00KG3HSF" u="1"/>
        <s v="00KG3HUO" u="1"/>
        <s v="00KG3YO7" u="1"/>
        <s v="00KG41FJ" u="1"/>
        <s v="00KG46NG" u="1"/>
        <s v="00KG46R9" u="1"/>
        <s v="00KG46TS" u="1"/>
        <s v="00KG4DBQ" u="1"/>
        <s v="00KG4IX6" u="1"/>
        <s v="00KG4KIX" u="1"/>
        <s v="00KG4KM7" u="1"/>
        <s v="00KG4YIN" u="1"/>
        <s v="00KFY715" u="1"/>
        <s v="00KG46DH" u="1"/>
        <s v="00KG46KH" u="1"/>
        <s v="00KG48K9" u="1"/>
        <s v="00KG4IX5" u="1"/>
        <s v="00KG4IXQ" u="1"/>
        <s v="00KG4IYK" u="1"/>
        <s v="00KFQS79" u="1"/>
        <s v="00KFR0RU" u="1"/>
        <s v="00KG3R2Y" u="1"/>
        <s v="00KG3R73" u="1"/>
        <s v="00KG3R99" u="1"/>
        <s v="00KG3ZUD" u="1"/>
        <s v="00KG4391" u="1"/>
        <s v="00KG43EK" u="1"/>
        <s v="00KG46QP" u="1"/>
        <s v="00KG46SO" u="1"/>
        <s v="00KG4DH8" u="1"/>
        <s v="00KG4DM0" u="1"/>
        <s v="00KG4DTP" u="1"/>
        <s v="00KG4EAM" u="1"/>
        <s v="00KG4EAT" u="1"/>
        <s v="00KG4EES" u="1"/>
        <s v="00KG4EGM" u="1"/>
        <s v="00KG4ERJ" u="1"/>
        <s v="00KG4EU9" u="1"/>
        <s v="00KG4EV4" u="1"/>
        <s v="00KG4EVJ" u="1"/>
        <s v="00KG4H2R" u="1"/>
        <s v="00KG4H3Q" u="1"/>
        <s v="00KG4IUT" u="1"/>
        <s v="00KG4YJL" u="1"/>
        <s v="00KG4YKC" u="1"/>
        <s v="00KFY2V5" u="1"/>
        <s v="00KG1ZLL" u="1"/>
        <s v="00KFY19E" u="1"/>
        <s v="00KFY19V" u="1"/>
        <s v="00KFY222" u="1"/>
        <s v="00KFY22I" u="1"/>
        <s v="00KFY2CQ" u="1"/>
        <s v="00KFY2US" u="1"/>
        <s v="00KFY2V1" u="1"/>
        <s v="00KFXXO3" u="1"/>
        <s v="00KFXYOV" u="1"/>
        <s v="00KFXYSS" u="1"/>
        <s v="00KFXYSU" u="1"/>
        <s v="00KFXYSZ" u="1"/>
        <s v="00KFXYT8" u="1"/>
        <s v="00KFXYTV" u="1"/>
        <s v="00KFXZMD" u="1"/>
        <s v="00KFY17G" u="1"/>
        <s v="00KFY189" u="1"/>
        <s v="00KFY18J" u="1"/>
        <s v="00KG2BIS" u="1"/>
        <s v="00KG2BK7" u="1"/>
        <s v="00KG2GFF" u="1"/>
        <s v="00KG2GIM" u="1"/>
        <s v="00KG3BWH" u="1"/>
        <s v="00KG3G73" u="1"/>
        <s v="00KG4JID" u="1"/>
        <s v="00KFXXEY" u="1"/>
        <s v="00KFXY1I" u="1"/>
        <s v="00KFXYBH" u="1"/>
        <s v="00KFXYDM" u="1"/>
        <s v="00KFXYGK" u="1"/>
        <s v="00KFXYHV" u="1"/>
        <s v="00KFXYJG" u="1"/>
        <s v="00KFXYJK" u="1"/>
        <s v="00KFXYON" u="1"/>
        <s v="00KFXYRW" u="1"/>
        <s v="00KFXZM9" u="1"/>
        <s v="00KFXZNA" u="1"/>
        <s v="00KFY16T" u="1"/>
        <s v="00KFY24S" u="1"/>
        <s v="00KFY24Y" u="1"/>
        <s v="00KFY29T" u="1"/>
        <s v="00KFY2A5" u="1"/>
        <s v="00KFY2BF" u="1"/>
        <s v="00KFY2CR" u="1"/>
        <s v="00KFY3BC" u="1"/>
        <s v="00KG1SXR" u="1"/>
        <s v="00KG1VOH" u="1"/>
        <s v="00KG46MP" u="1"/>
        <s v="00KG3L5M" u="1"/>
        <s v="00KG3L6N" u="1"/>
        <s v="00KG4L02" u="1"/>
        <s v="00KFY26E" u="1"/>
        <s v="00KFY28K" u="1"/>
        <s v="00KFXW3S" u="1"/>
        <s v="00KFXWQ7" u="1"/>
        <s v="00KG3I1H" u="1"/>
        <s v="00KG3IBB" u="1"/>
        <s v="00KG3IER" u="1"/>
        <s v="00KG3IES" u="1"/>
        <s v="00KG3KZ7" u="1"/>
        <s v="00KG3L1N" u="1"/>
        <s v="00KG3L3B" u="1"/>
        <s v="00KG3L55" u="1"/>
        <s v="00KG3L6B" u="1"/>
        <s v="00KG3N2G" u="1"/>
        <s v="00KG3QHQ" u="1"/>
        <s v="00KG3QIF" u="1"/>
        <s v="00KG3QJW" u="1"/>
        <s v="00KG3QMX" u="1"/>
        <s v="00KG3QU3" u="1"/>
        <s v="00KG3QYJ" u="1"/>
        <s v="00KG3SBC" u="1"/>
        <s v="00KG1VS2" u="1"/>
        <s v="00KG1Z8X" u="1"/>
        <s v="00KG1ZCT" u="1"/>
        <s v="00KG25P8" u="1"/>
        <s v="00KG2FL0" u="1"/>
        <s v="00KG2FM5" u="1"/>
        <s v="00KG2FP1" u="1"/>
        <s v="00KG2FUR" u="1"/>
        <s v="00KG2GEE" u="1"/>
        <s v="00KG2GFB" u="1"/>
        <s v="00KG2GGE" u="1"/>
        <s v="00KG2GJ3" u="1"/>
        <s v="00KG2GKN" u="1"/>
        <s v="00KG2GLG" u="1"/>
        <s v="00KG2GM8" u="1"/>
        <s v="00KG2GN0" u="1"/>
        <s v="00KG3C5E" u="1"/>
        <s v="00KG3HTH" u="1"/>
        <s v="00KG4EOE" u="1"/>
        <s v="00KG4ENO" u="1"/>
        <s v="00KG4EJM" u="1"/>
        <s v="00KG4ECO" u="1"/>
        <s v="00KGEQ4Q" u="1"/>
        <s v="00KGEI5J" u="1"/>
        <s v="00KGFKXS" u="1"/>
        <s v="00KGGKKL" u="1"/>
        <s v="00KGGT50" u="1"/>
        <s v="00KGEGUR" u="1"/>
        <s v="00KGECKS" u="1"/>
        <s v="00KGASKY" u="1"/>
        <s v="00KGASKD" u="1"/>
        <s v="00KGARXE" u="1"/>
        <s v="00KGGTRY" u="1"/>
        <s v="00KG50IX" u="1"/>
        <s v="00KG50QQ" u="1"/>
        <s v="00KG55CG" u="1"/>
        <s v="00KG5DOL" u="1"/>
        <s v="00KG5I1F" u="1"/>
        <s v="00KG5I24" u="1"/>
        <s v="00KGA37I" u="1"/>
        <s v="00KGEQ7R" u="1"/>
        <s v="00KG5I7W" u="1"/>
        <s v="00KGEI69" u="1"/>
        <s v="00KGEH4D" u="1"/>
        <s v="00KGEGFN" u="1"/>
        <s v="00KGAXWM" u="1"/>
        <s v="00KGAWWH" u="1"/>
        <s v="00KGAWIK" u="1"/>
        <s v="00KGAW88" u="1"/>
        <s v="00KGARWG" u="1"/>
        <s v="00KGAKS1" u="1"/>
        <s v="00KGA82G" u="1"/>
        <s v="00KGA374" u="1"/>
        <s v="00KGA32L" u="1"/>
        <s v="00KG9U2V" u="1"/>
        <s v="00KG5I7H" u="1"/>
        <s v="00KG5HR6" u="1"/>
        <s v="00KG5HNK" u="1"/>
        <s v="00KG5HHA" u="1"/>
        <s v="00KGEI6Y" u="1"/>
        <s v="00KGGTPZ" u="1"/>
        <s v="00KGGYLQ" u="1"/>
        <s v="00KG5GIQ" u="1"/>
        <s v="00KG5GQ0" u="1"/>
        <s v="00KG4IZU" u="1"/>
        <s v="00KG55HK" u="1"/>
        <s v="00KG5DRK" u="1"/>
        <s v="00KG5H0R" u="1"/>
        <s v="00KG5HFD" u="1"/>
        <s v="00KGGT2R" u="1"/>
        <s v="00KGEOTI" u="1"/>
        <s v="00KGEOSL" u="1"/>
        <s v="00KG559B" u="1"/>
        <s v="00KGASLT" u="1"/>
        <s v="00KG5HGF" u="1"/>
        <s v="00KG5GSL" u="1"/>
        <s v="00KG5D0C" u="1"/>
        <s v="00KG5CQ5" u="1"/>
        <s v="00KG5CJG" u="1"/>
        <s v="00KG5CEF" u="1"/>
        <s v="00KG5HXM" u="1"/>
        <s v="00KG4L9T" u="1"/>
        <s v="00KG64PS" u="1"/>
        <s v="00KGMCQ8" u="1"/>
        <s v="00KGLOP5" u="1"/>
        <s v="00KGMBDV" u="1"/>
        <s v="00KGMBKQ" u="1"/>
        <s v="00KGMK90" u="1"/>
        <s v="00KGMK9T" u="1"/>
        <s v="00KGMLR9" u="1"/>
        <s v="00KGMN27" u="1"/>
        <s v="00KGMN56" u="1"/>
        <s v="00KGMRNE" u="1"/>
        <s v="00KGMRNZ" u="1"/>
        <s v="00KGMTE7" u="1"/>
        <s v="00KGGL65" u="1"/>
        <s v="00KGGS4H" u="1"/>
        <s v="00KGL7VZ" u="1"/>
        <s v="00KGLHCG" u="1"/>
        <s v="00KGLYDV" u="1"/>
        <s v="00KGMBB1" u="1"/>
        <s v="00KGMBCU" u="1"/>
        <s v="00KGMBFF" u="1"/>
        <s v="00KGMK2K" u="1"/>
        <s v="00KGMN4J" u="1"/>
        <s v="00KGMN5B" u="1"/>
        <s v="00KGMRA4" u="1"/>
        <s v="00KGMRAY" u="1"/>
        <s v="00KGMTF1" u="1"/>
        <s v="00KGMTHG" u="1"/>
        <s v="00KGF1ZD" u="1"/>
        <s v="00KGMAGP" u="1"/>
        <s v="00KGMAHO" u="1"/>
        <s v="00KGMB2B" u="1"/>
        <s v="00KGMCN7" u="1"/>
        <s v="00KGMMBN" u="1"/>
        <s v="00KGMLR8" u="1"/>
        <s v="00KGMXF9" u="1"/>
        <s v="00KGMBUW" u="1"/>
        <s v="00KGM9AC" u="1"/>
        <s v="00KGQXSK" u="1"/>
        <s v="00KGR0ML" u="1"/>
        <s v="00KGR224" u="1"/>
        <s v="00KGR23W" u="1"/>
        <s v="00KGR3Q6" u="1"/>
        <s v="00KGR6EA" u="1"/>
        <s v="00KGQADG" u="1"/>
        <s v="00KGQB4L" u="1"/>
        <s v="00KGQCGP" u="1"/>
        <s v="00KGQFZ2" u="1"/>
        <s v="00KGQYMZ" u="1"/>
        <s v="00KGQYU4" u="1"/>
        <s v="00KGMVW4" u="1"/>
        <s v="00KGMXFW" u="1"/>
        <s v="00KGQB8P" u="1"/>
        <s v="00KGQJF7" u="1"/>
        <s v="00KGQJY4" u="1"/>
        <s v="00KGQK3Z" u="1"/>
        <s v="00KGQK7O" u="1"/>
        <s v="00KGQKT6" u="1"/>
        <s v="00KGQL0I" u="1"/>
        <s v="00KGQOFK" u="1"/>
        <s v="00KGQVGL" u="1"/>
        <s v="00KGQVHW" u="1"/>
        <s v="00KGQVPN" u="1"/>
        <s v="00KGQVRZ" u="1"/>
        <s v="00KGQVTX" u="1"/>
        <s v="00KGQVUY" u="1"/>
        <s v="00KGQVWY" u="1"/>
        <s v="00KGQYLY" u="1"/>
        <s v="00KGQK2G" u="1"/>
        <s v="00KGQK6M" u="1"/>
        <s v="00KGQVR7" u="1"/>
        <s v="00KGQVR2" u="1"/>
        <s v="00KGQVNK" u="1"/>
        <s v="00KGQL16" u="1"/>
        <s v="00KGQK7I" u="1"/>
        <s v="00KGQX99" u="1"/>
        <s v="00KGR9D6" u="1"/>
        <s v="00KGR293" u="1"/>
        <s v="00KGVWTD" u="1"/>
        <s v="00KGVV50" u="1"/>
        <s v="00KGVWYX" u="1"/>
        <s v="00KGW0C9" u="1"/>
        <s v="00KGR9J6" u="1"/>
        <s v="00KGVX6G" u="1"/>
        <s v="00KGVU6N" u="1"/>
        <s v="00KH14TV" u="1"/>
        <s v="00KH0BS2" u="1"/>
        <s v="00KH0BQU" u="1"/>
        <s v="00KH0BK0" u="1"/>
        <s v="00KH164K" u="1"/>
        <s v="00KH14US" u="1"/>
        <s v="00KH1CPT" u="1"/>
        <s v="00KH14WX" u="1"/>
        <s v="00KH13XA" u="1"/>
        <s v="00KGW923" u="1"/>
        <s v="00KGW93X" u="1"/>
        <s v="00KH05Y0" u="1"/>
        <s v="00KH063P" u="1"/>
        <s v="00KH0KFV" u="1"/>
        <s v="00KH0KN8" u="1"/>
        <s v="00KH12XE" u="1"/>
        <s v="00KGW9T6" u="1"/>
        <s v="00KH0BII" u="1"/>
        <s v="00KH0FH3" u="1"/>
        <s v="00KH0FKU" u="1"/>
        <s v="00KH0NUA" u="1"/>
        <s v="00KH0O0U" u="1"/>
        <s v="00KH0O4W" u="1"/>
        <s v="00KH0O5S" u="1"/>
        <s v="00KH0ZI2" u="1"/>
        <s v="00KH100M" u="1"/>
        <s v="00KH16OX" u="1"/>
        <s v="00KH064Y" u="1"/>
        <s v="00KH05T0" u="1"/>
        <s v="00KGZ7OQ" u="1"/>
        <s v="00KHT5L4" u="1"/>
        <s v="00KHT692" u="1"/>
        <s v="00KHT6BB" u="1"/>
        <s v="00KHT6C0" u="1"/>
        <s v="00KHT6FW" u="1"/>
        <s v="00KHT6GM" u="1"/>
        <s v="00KHT79V" u="1"/>
        <s v="00KHT91U" u="1"/>
        <s v="00KHTD0C" u="1"/>
        <s v="00KHTDA6" u="1"/>
        <s v="00KH1DS2" u="1"/>
        <s v="00KH5KLK" u="1"/>
        <s v="00KH69N0" u="1"/>
        <s v="00KHT186" u="1"/>
        <s v="00KH1J3L" u="1"/>
        <s v="00KH1J83" u="1"/>
        <s v="00KH29S6" u="1"/>
        <s v="00KH2AC6" u="1"/>
        <s v="00KH2ACO" u="1"/>
        <s v="00KH2AIN" u="1"/>
        <s v="00KH29RB" u="1"/>
        <s v="00KHSYSD" u="1"/>
        <s v="00KHTHNN" u="1"/>
        <s v="00KH2AJ6" u="1"/>
        <s v="00KH2AKU" u="1"/>
        <s v="00KH5CEQ" u="1"/>
        <s v="00KH5CEZ" u="1"/>
        <s v="00KH5CF9" u="1"/>
        <s v="00KH5CFZ" u="1"/>
        <s v="00KH5CHI" u="1"/>
        <s v="00KH5KMB" u="1"/>
        <s v="00KHYB6O" u="1"/>
        <s v="00KHYB48" u="1"/>
        <s v="00KHYB2T" u="1"/>
        <s v="00KHY9CO" u="1"/>
        <s v="00KHYCI7" u="1"/>
        <s v="00KHYBXR" u="1"/>
        <s v="00KHYCGA" u="1"/>
        <s v="00KHYCHN" u="1"/>
        <s v="00KHYCLK" u="1"/>
        <s v="00KHZ3B0" u="1"/>
        <s v="00KHZ9SZ" u="1"/>
        <s v="00KHZCJ2" u="1"/>
        <s v="00KHYHEP" u="1"/>
        <s v="00KHZB6B" u="1"/>
        <s v="00KHYCGX" u="1"/>
        <s v="00KHYGMJ" u="1"/>
        <s v="00KI6AZ9" u="1"/>
        <s v="00KI6U8S" u="1"/>
        <s v="00KHZHL8" u="1"/>
        <s v="00KHZJHG" u="1"/>
        <s v="00KI69ON" u="1"/>
        <s v="00KHZOPD" u="1"/>
        <s v="00KI6LGB" u="1"/>
        <s v="00KI6LJ9" u="1"/>
        <s v="00KI6LO9" u="1"/>
        <s v="00KI6LOS" u="1"/>
        <s v="00KI6NLU" u="1"/>
        <s v="00KI6SYW" u="1"/>
        <s v="00KI6T72" u="1"/>
        <s v="00KIA8TB" u="1"/>
        <s v="00KIA8TU" u="1"/>
        <s v="00KIAQL9" u="1"/>
        <s v="00KDD0KO" u="1"/>
        <s v="00KIA8ZK" u="1"/>
        <s v="00KIA8ZV" u="1"/>
        <s v="00KIA8F7" u="1"/>
        <s v="00KIAT1W" u="1"/>
        <s v="00KIF1W9" u="1"/>
        <s v="00KIF0L6" u="1"/>
        <s v="00KIF08N" u="1"/>
        <s v="00KIF083" u="1"/>
        <s v="00KIF05E" u="1"/>
        <s v="00KIEXG7" u="1"/>
        <s v="00KIDTTI" u="1"/>
        <s v="00KID7FS" u="1"/>
        <s v="00KICG7T" u="1"/>
        <s v="00KIF6QO" u="1"/>
        <s v="00KIF3DJ" u="1"/>
        <s v="00KIF2I8" u="1"/>
        <s v="00KIEWJM" u="1"/>
        <s v="00KIAZ8T" u="1"/>
        <s v="00KIAS7G" u="1"/>
        <s v="00KIAS74" u="1"/>
        <s v="00KICG4E" u="1"/>
        <s v="00KIJFKM" u="1"/>
        <s v="00KIJIP5" u="1"/>
        <s v="00KIF6RW" u="1"/>
        <s v="00KIF8YC" u="1"/>
        <s v="00KIJIOR" u="1"/>
        <s v="00KIF7WR" u="1"/>
        <s v="00KIF571" u="1"/>
        <s v="00KIIHNT" u="1"/>
        <s v="00KIIHNU" u="1"/>
        <s v="00KIIRFV" u="1"/>
        <s v="00KIPYR1" u="1"/>
        <s v="00KIJQUG" u="1"/>
        <s v="00KIJQY1" u="1"/>
        <s v="00KIKB9I" u="1"/>
        <s v="00KIKBA4" u="1"/>
        <s v="00KIKBBO" u="1"/>
        <s v="00KIKBCR" u="1"/>
        <s v="00KIM7SK" u="1"/>
        <s v="00KIM8AY" u="1"/>
        <s v="00KIPIPM" u="1"/>
        <s v="00KIKCT4" u="1"/>
        <s v="00KIKD11" u="1"/>
        <s v="00KIKD2C" u="1"/>
        <s v="00KIM7RD" u="1"/>
        <s v="00KIM8AN" u="1"/>
        <s v="00KIM8BJ" u="1"/>
        <s v="00KIMAJI" u="1"/>
        <s v="00KIPRF8" u="1"/>
        <s v="00KIPUHY" u="1"/>
        <s v="00KIPWXA" u="1"/>
        <s v="00KIKBD2" u="1"/>
        <s v="00KIMAIK" u="1"/>
        <s v="00KIMAKC" u="1"/>
        <s v="00KIPR0Z" u="1"/>
        <s v="00KIPR17" u="1"/>
        <s v="00KIPR96" u="1"/>
        <s v="00KIPWWC" u="1"/>
        <s v="00KIPR9U" u="1"/>
        <s v="00KIPYS9" u="1"/>
        <s v="00KIPYSD" u="1"/>
        <s v="00KIPZMX" u="1"/>
        <s v="00KIM75Z" u="1"/>
        <s v="00KIM7QV" u="1"/>
        <s v="00KIS0IQ" u="1"/>
        <s v="00KIS2DZ" u="1"/>
        <s v="00KIPV2X" u="1"/>
        <s v="00KIPV3G" u="1"/>
        <s v="00KIQ1FO" u="1"/>
        <s v="00KIQJF4" u="1"/>
        <s v="00KIRTV7" u="1"/>
        <s v="00KIRXWF" u="1"/>
        <s v="00KIPYQ8" u="1"/>
        <s v="00KIQ12H" u="1"/>
        <s v="00KIQ37A" u="1"/>
        <s v="00KIQ3ST" u="1"/>
        <s v="00KIQ3V0" u="1"/>
        <s v="00KIRTUS" u="1"/>
        <s v="00KIRXST" u="1"/>
        <s v="00KIRZAX" u="1"/>
        <s v="00KIQ375" u="1"/>
        <s v="00KIQ382" u="1"/>
        <s v="00KIRVMP" u="1"/>
        <s v="00KIRZAI" u="1"/>
        <s v="00KIQ3U8" u="1"/>
        <s v="00KIRTHM" u="1"/>
        <s v="00KIRYE8" u="1"/>
        <s v="00KIQ3FV" u="1"/>
        <s v="00KATC79" u="1"/>
        <s v="00KATF6O" u="1"/>
        <s v="00KATFBT" u="1"/>
        <s v="00KAU7D6" u="1"/>
        <s v="00KAUCQ5" u="1"/>
        <s v="00KAUD8E" u="1"/>
        <s v="00KANQTT" u="1"/>
        <s v="00KANR1C" u="1"/>
        <s v="00KANR1N" u="1"/>
        <s v="00KANLVK" u="1"/>
        <s v="00KANND6" u="1"/>
        <s v="00KANRKT" u="1"/>
        <s v="00KANRQU" u="1"/>
        <s v="00KATC6D" u="1"/>
        <s v="00KANNDV" u="1"/>
        <s v="00KANQSK" u="1"/>
        <s v="00KANR1L" u="1"/>
        <s v="00KANR2Q" u="1"/>
        <s v="00KANR2Z" u="1"/>
        <s v="00KANRTL" u="1"/>
        <s v="00KAT9WK" u="1"/>
        <s v="00KATC4G" u="1"/>
        <s v="00KANLFQ" u="1"/>
        <s v="00KAU8Z8" u="1"/>
        <s v="00KAU9FL" u="1"/>
        <s v="00KAYCT3" u="1"/>
        <s v="00KAZ5A4" u="1"/>
        <s v="00KAUWNZ" u="1"/>
        <s v="00KAUWJV" u="1"/>
        <s v="00KAUPWA" u="1"/>
        <s v="00KAUSFZ" u="1"/>
        <s v="00KAUT33" u="1"/>
        <s v="00KAUV7O" u="1"/>
        <s v="00KAUVNO" u="1"/>
        <s v="00KAUV8K" u="1"/>
        <s v="00KAYZV1" u="1"/>
        <s v="00KAYZW6" u="1"/>
        <s v="00KAYZYU" u="1"/>
        <s v="00KAZ1L0" u="1"/>
        <s v="00KAZ5SA" u="1"/>
        <s v="ZWLIQ7D0" u="1"/>
        <s v="ZWLIQRTR" u="1"/>
        <s v="00KAUV2V" u="1"/>
        <s v="00KAYZD4" u="1"/>
        <s v="00KAYZHQ" u="1"/>
        <s v="00KAURH6" u="1"/>
        <s v="00KAUSMK" u="1"/>
        <s v="00KAUT4W" u="1"/>
        <s v="00KAUV0N" u="1"/>
        <s v="00KAUV1P" u="1"/>
        <s v="00KAYZ89" u="1"/>
        <s v="00KAURCQ" u="1"/>
        <s v="00KAUWGW" u="1"/>
        <s v="00KAUV0D" u="1"/>
        <s v="00KAKNEY" u="1"/>
        <s v="00KAUG2O" u="1"/>
        <s v="00KAYQ2A" u="1"/>
        <s v="00KAYVKC" u="1"/>
        <s v="00KAUSL1" u="1"/>
        <s v="00KB3NF8" u="1"/>
        <s v="00KB3NHQ" u="1"/>
        <s v="00KB3MRQ" u="1"/>
        <s v="00KAZFLH" u="1"/>
        <s v="00KB3DRQ" u="1"/>
        <s v="00KB3LUM" u="1"/>
        <s v="00KAZ90Z" u="1"/>
        <s v="00KB87V4" u="1"/>
        <s v="00KB87UM" u="1"/>
        <s v="00KB87KA" u="1"/>
        <s v="00KB865G" u="1"/>
        <s v="00KB864C" u="1"/>
        <s v="00KB84TB" u="1"/>
        <s v="00KB84S5" u="1"/>
        <s v="00KB3ZN0" u="1"/>
        <s v="00KB3ZMJ" u="1"/>
        <s v="00KB3PVY" u="1"/>
        <s v="00KB3PJB" u="1"/>
        <s v="00KB3PIG" u="1"/>
        <s v="00KB3PGT" u="1"/>
        <s v="00KB3O61" u="1"/>
        <s v="00KB3NL3" u="1"/>
        <s v="00KB3MXO" u="1"/>
        <s v="00KB3KOD" u="1"/>
        <s v="00KB8LZN" u="1"/>
        <s v="00KB8A1Z" u="1"/>
        <s v="00KB3M41" u="1"/>
        <s v="00KB3QHQ" u="1"/>
        <s v="00KB3X46" u="1"/>
        <s v="00KB3XFK" u="1"/>
        <s v="00KB3TAX" u="1"/>
        <s v="00KB3UPE" u="1"/>
        <s v="00KB3UQ9" u="1"/>
        <s v="00KB3VJR" u="1"/>
        <s v="00KB3WZZ" u="1"/>
        <s v="00KB3VLF" u="1"/>
        <s v="00KB3VMU" u="1"/>
        <s v="00KB3VOV" u="1"/>
        <s v="00KB3WHE" u="1"/>
        <s v="00KB3VO2" u="1"/>
        <s v="00KB6ZL2" u="1"/>
        <s v="00KB8NMC" u="1"/>
        <s v="00KB3SH8" u="1"/>
        <s v="00KB3XD6" u="1"/>
        <s v="00KB8LN3" u="1"/>
        <s v="00KB8TUL" u="1"/>
        <s v="00KB8U1I" u="1"/>
        <s v="00KB8UQ4" u="1"/>
        <s v="00KBBZ8I" u="1"/>
        <s v="00KBC2RH" u="1"/>
        <s v="00KBC2UV" u="1"/>
        <s v="00KBC2VF" u="1"/>
        <s v="00KBC2XG" u="1"/>
        <s v="00KBC2XS" u="1"/>
        <s v="00KBC34T" u="1"/>
        <s v="00KBC6JH" u="1"/>
        <s v="00KB8P21" u="1"/>
        <s v="00KB8R4J" u="1"/>
        <s v="00KB8R5B" u="1"/>
        <s v="00K9RJUZ" u="1"/>
        <s v="00KB8UP2" u="1"/>
        <s v="00KBC2QF" u="1"/>
        <s v="00KBC5SZ" u="1"/>
        <s v="00KB8R51" u="1"/>
        <s v="00KBITAW" u="1"/>
        <s v="00KBCC37" u="1"/>
        <s v="00KBCBYD" u="1"/>
        <s v="00KBC8D1" u="1"/>
        <s v="00KBITCK" u="1"/>
        <s v="00KBITNB" u="1"/>
        <s v="00KBIY0F" u="1"/>
        <s v="00KBIY67" u="1"/>
        <s v="00KBC7OB" u="1"/>
        <s v="00KBC7YU" u="1"/>
        <s v="00KBC88R" u="1"/>
        <s v="00KBC8A4" u="1"/>
        <s v="00KAKFP4" u="1"/>
        <s v="00KBC835" u="1"/>
        <s v="00KBC88L" u="1"/>
        <s v="00KBC84I" u="1"/>
        <s v="00KBC9JE" u="1"/>
        <s v="00KBISST" u="1"/>
        <s v="00KBC8GW" u="1"/>
        <s v="00KBITD0" u="1"/>
        <s v="00KBITE0" u="1"/>
        <s v="00KBJ4J2" u="1"/>
        <s v="00KBJ512" u="1"/>
        <s v="00KBJ51X" u="1"/>
        <s v="00KBJ5JJ" u="1"/>
        <s v="00KBJJRJ" u="1"/>
        <s v="00KBZA23" u="1"/>
        <s v="00KBJJSC" u="1"/>
        <s v="00KBJJSD" u="1"/>
        <s v="00KBZ7QV" u="1"/>
        <s v="00KC1LJE" u="1"/>
        <s v="00KC1LH8" u="1"/>
        <s v="00KC1LGM" u="1"/>
        <s v="00KC1L8U" u="1"/>
        <s v="00KC1KNW" u="1"/>
        <s v="00KC1KNF" u="1"/>
        <s v="00KC1KEN" u="1"/>
        <s v="00KC1K9B" u="1"/>
        <s v="00KC612D" u="1"/>
        <s v="00KC611G" u="1"/>
        <s v="00KC6111" u="1"/>
        <s v="00KC60WS" u="1"/>
        <s v="00KC60HR" u="1"/>
        <s v="00KC5Y4Y" u="1"/>
        <s v="00KC5XB6" u="1"/>
        <s v="00KC5WIO" u="1"/>
        <s v="00KC53TA" u="1"/>
        <s v="00KC40EQ" u="1"/>
        <s v="00KC3JDK" u="1"/>
        <s v="00KC1SYK" u="1"/>
        <s v="00KC1SOM" u="1"/>
        <s v="00KC1SO7" u="1"/>
        <s v="00KC1SL6" u="1"/>
        <s v="00KC1QCF" u="1"/>
        <s v="00KC1LK3" u="1"/>
        <s v="00KC1MNU" u="1"/>
        <s v="00KC1MR4" u="1"/>
        <s v="00KC1LKD" u="1"/>
        <s v="00KC1L8R" u="1"/>
        <s v="00KC1KAG" u="1"/>
        <s v="00KC1MR2" u="1"/>
        <s v="00KC1MPS" u="1"/>
        <s v="00KC1MP2" u="1"/>
        <s v="00KC58YN" u="1"/>
        <s v="00KC1N5S" u="1"/>
        <s v="00KC1N6R" u="1"/>
        <s v="00KC1N86" u="1"/>
        <s v="00KC1NA0" u="1"/>
        <s v="00KC1NBD" u="1"/>
        <s v="00KC6H20" u="1"/>
        <s v="00KC5ZAG" u="1"/>
        <s v="00KC1OI3" u="1"/>
        <s v="00KC1NEI" u="1"/>
        <s v="00KC1NEZ" u="1"/>
        <s v="00KC1NFG" u="1"/>
        <s v="00KCBI3N" u="1"/>
        <s v="00KCBI4G" u="1"/>
        <s v="00KCBI4V" u="1"/>
        <s v="00KCBI5K" u="1"/>
        <s v="00KCBI6G" u="1"/>
        <s v="00KCBI71" u="1"/>
        <s v="00KCBIA1" u="1"/>
        <s v="00KCBMWE" u="1"/>
        <s v="00KCBMZE" u="1"/>
        <s v="00KCBN04" u="1"/>
        <s v="00KCBN5O" u="1"/>
        <s v="00KCBNCZ" u="1"/>
        <s v="00KCBHNS" u="1"/>
        <s v="00KCBI2R" u="1"/>
        <s v="00KCBHVO" u="1"/>
        <s v="00KCBHLW" u="1"/>
        <s v="00KCBHLC" u="1"/>
        <s v="00KCBMYW" u="1"/>
        <s v="00KCBMUN" u="1"/>
        <s v="00KCBMD4" u="1"/>
        <s v="00KCBIAQ" u="1"/>
        <s v="00KCBI9D" u="1"/>
        <s v="00KCBI1A" u="1"/>
        <s v="00KCBHMW" u="1"/>
        <s v="00KC79UG" u="1"/>
        <s v="00KC6FWK" u="1"/>
        <s v="00KCBQX3" u="1"/>
        <s v="00KCBN6S" u="1"/>
        <s v="00KCBMJI" u="1"/>
        <s v="00KCBMJO" u="1"/>
        <s v="00KC6RNX" u="1"/>
        <s v="00KC6U0V" u="1"/>
        <s v="00KCBI23" u="1"/>
        <s v="00KCBHKI" u="1"/>
        <s v="00KCBQPR" u="1"/>
        <s v="00KCBNBX" u="1"/>
        <s v="00KCBNAC" u="1"/>
        <s v="00KCBMEC" u="1"/>
        <s v="00KC79T3" u="1"/>
        <s v="00KC79S7" u="1"/>
        <s v="00KCBQOP" u="1"/>
        <s v="00KCBNEF" u="1"/>
        <s v="00KCBN8Z" u="1"/>
        <s v="00KCBN71" u="1"/>
        <s v="00KCBN6L" u="1"/>
        <s v="00KCBIG0" u="1"/>
        <s v="00KCBI0Q" u="1"/>
        <s v="00KC79SM" u="1"/>
        <s v="00KC6GN5" u="1"/>
        <s v="00KCLHYS" u="1"/>
        <s v="00KCBQNK" u="1"/>
        <s v="00KCBR5W" u="1"/>
        <s v="00KCBRYP" u="1"/>
        <s v="00KCL2IZ" u="1"/>
        <s v="00KCL30O" u="1"/>
        <s v="00KCLGFU" u="1"/>
        <s v="00KCLGKJ" u="1"/>
        <s v="00KCLHFL" u="1"/>
        <s v="00KCBQQ8" u="1"/>
        <s v="00KCBQTD" u="1"/>
        <s v="00KCBRZ2" u="1"/>
        <s v="00KCLHX4" u="1"/>
        <s v="00KCLHQU" u="1"/>
        <s v="00KCLHKC" u="1"/>
        <s v="00KCLHIX" u="1"/>
        <s v="00KCLH5N" u="1"/>
        <s v="00KCLGI7" u="1"/>
        <s v="00KCLF8X" u="1"/>
        <s v="00KCLF89" u="1"/>
        <s v="00KCL8GT" u="1"/>
        <s v="00KCL8FY" u="1"/>
        <s v="00KCCG5S" u="1"/>
        <s v="00KCKTA7" u="1"/>
        <s v="00KCKT6Y" u="1"/>
        <s v="00KCKQFP" u="1"/>
        <s v="00KCKPM5" u="1"/>
        <s v="00KCKP1A" u="1"/>
        <s v="00KCKM3E" u="1"/>
        <s v="00KCCCSY" u="1"/>
        <s v="00KCBQVO" u="1"/>
        <s v="00KCCCWM" u="1"/>
        <s v="00KCBRZF" u="1"/>
        <s v="00KCLGLO" u="1"/>
        <s v="00KCCCL3" u="1"/>
        <s v="00KCL971" u="1"/>
        <s v="00KCL99B" u="1"/>
        <s v="00KCKLA3" u="1"/>
        <s v="00KCKLZO" u="1"/>
        <s v="00KCKVNG" u="1"/>
        <s v="00KCLJZX" u="1"/>
        <s v="00KCLK98" u="1"/>
        <s v="00KCLKAP" u="1"/>
        <s v="00KCQD82" u="1"/>
        <s v="00KCQB04" u="1"/>
        <s v="00KCPXQU" u="1"/>
        <s v="00KCPW62" u="1"/>
        <s v="00KCMO8Y" u="1"/>
        <s v="00KCQHM4" u="1"/>
        <s v="00KCQDHE" u="1"/>
        <s v="00KCQBW1" u="1"/>
        <s v="00KCQ223" u="1"/>
        <s v="00KCQ1YV" u="1"/>
        <s v="00KCQ1WY" u="1"/>
        <s v="00KCPY92" u="1"/>
        <s v="00KCMDH0" u="1"/>
        <s v="00KCMO6R" u="1"/>
        <s v="00KCMO8M" u="1"/>
        <s v="00KCMOLU" u="1"/>
        <s v="00KCMP6L" u="1"/>
        <s v="00KCPY85" u="1"/>
        <s v="00KCOCCA" u="1"/>
        <s v="00KCPUOI" u="1"/>
        <s v="00KCMO1S" u="1"/>
        <s v="00KCMDAT" u="1"/>
        <s v="00KCME8V" u="1"/>
        <s v="00KCV4EM" u="1"/>
        <s v="00KCV643" u="1"/>
        <s v="00KCV6E9" u="1"/>
        <s v="00KCV6F2" u="1"/>
        <s v="00KCV6G4" u="1"/>
        <s v="00KCV70M" u="1"/>
        <s v="00KCUT8Y" u="1"/>
        <s v="00KCQI3D" u="1"/>
        <s v="00KCUKYJ" u="1"/>
        <s v="00KCUQKL" u="1"/>
        <s v="00KCQHRK" u="1"/>
        <s v="00KCUKQF" u="1"/>
        <s v="00KCUJZD" u="1"/>
        <s v="00KCUK74" u="1"/>
        <s v="00KD7MBI" u="1"/>
        <s v="00KD7O0X" u="1"/>
        <s v="00KD7O7C" u="1"/>
        <s v="00KCVDGE" u="1"/>
        <s v="00KD7LRQ" u="1"/>
        <s v="00KD7MHM" u="1"/>
        <s v="00KD7O74" u="1"/>
        <s v="00KD7NW7" u="1"/>
        <s v="00KD9VM2" u="1"/>
        <s v="00KD9VLT" u="1"/>
        <s v="00KD7OSS" u="1"/>
        <s v="00KD7OL5" u="1"/>
        <s v="00KDI24Z" u="1"/>
        <s v="00KDHZCU" u="1"/>
        <s v="00KDD0TC" u="1"/>
        <s v="00KDD0SS" u="1"/>
        <s v="00KDCZGJ" u="1"/>
        <s v="00KDCWKM" u="1"/>
        <s v="00KDCUQG" u="1"/>
        <s v="00KDCUPM" u="1"/>
        <s v="00KDJSLS" u="1"/>
        <s v="00KDJBI7" u="1"/>
        <s v="00KDJAN0" u="1"/>
        <s v="00KDJ9MD" u="1"/>
        <s v="00KDIDMW" u="1"/>
        <s v="00KDI2DF" u="1"/>
        <s v="00KDJY85" u="1"/>
        <s v="00KDJPUR" u="1"/>
        <s v="00KDJQ9Q" u="1"/>
        <s v="00KDJQAI" u="1"/>
        <s v="00KDJS23" u="1"/>
        <s v="00KDJSNF" u="1"/>
        <s v="00KDJUOQ" u="1"/>
        <s v="00KDJUX0" u="1"/>
        <s v="00KDJX6B" u="1"/>
        <s v="00KDI25U" u="1"/>
        <s v="00KDCUAM" u="1"/>
        <s v="00KDCUBR" u="1"/>
        <s v="00KDCUEI" u="1"/>
        <s v="00KDD0RF" u="1"/>
        <s v="00KDI0SF" u="1"/>
        <s v="00KDI0TC" u="1"/>
        <s v="00KDCU9K" u="1"/>
        <s v="00KDCZGZ" u="1"/>
        <s v="00KDCUA1" u="1"/>
        <s v="00KDCT4G" u="1"/>
        <s v="00KDJOWE" u="1"/>
        <s v="00KDJB7W" u="1"/>
        <s v="00KDJ6BW" u="1"/>
        <s v="00KDJ64N" u="1"/>
        <s v="00KDI2KW" u="1"/>
        <s v="00KDCUDQ" u="1"/>
        <s v="00KDCUBB" u="1"/>
        <s v="00KDJZL0" u="1"/>
        <s v="00KDJZWU" u="1"/>
        <s v="00KDJZXH" u="1"/>
        <s v="00KDK02Q" u="1"/>
        <s v="00KDK0K9" u="1"/>
        <s v="00KDK0OH" u="1"/>
        <s v="00KDK0PP" u="1"/>
        <s v="00KDK0QI" u="1"/>
        <s v="00KDKDJ6" u="1"/>
        <s v="00KDKH98" u="1"/>
        <s v="00KDKHDJ" u="1"/>
        <s v="00KDKHJ4" u="1"/>
        <s v="00KDKHN1" u="1"/>
        <s v="00KDKHQ6" u="1"/>
        <s v="00KDLYH1" u="1"/>
        <s v="00KDLLMT" u="1"/>
        <s v="00KDLLAS" u="1"/>
        <s v="00KDLITP" u="1"/>
        <s v="00KDKI4X" u="1"/>
        <s v="00KDLIS2" u="1"/>
        <s v="00KDJZ9Z" u="1"/>
        <s v="00KDJYXL" u="1"/>
        <s v="00KDOIEN" u="1"/>
        <s v="00KDOICI" u="1"/>
        <s v="00KDOGJJ" u="1"/>
        <s v="00KDOGIP" u="1"/>
        <s v="00KDMV5Q" u="1"/>
        <s v="00KDM2HC" u="1"/>
        <s v="00KDM2G2" u="1"/>
        <s v="00KDLZ6D" u="1"/>
        <s v="00KDKCZX" u="1"/>
        <s v="00KDP2KQ" u="1"/>
        <s v="00KDP11X" u="1"/>
        <s v="00KDP085" u="1"/>
        <s v="00KDP01U" u="1"/>
        <s v="00KDOYKF" u="1"/>
        <s v="00KDOYAA" u="1"/>
        <s v="00KDOY9U" u="1"/>
        <s v="00KDOY9J" u="1"/>
        <s v="00KDOWRO" u="1"/>
        <s v="00KDOIGS" u="1"/>
        <s v="00KDLLGR" u="1"/>
        <s v="00KDLL9H" u="1"/>
        <s v="00KDLYHS" u="1"/>
        <s v="00KDKHN3" u="1"/>
        <s v="00KDOHFP" u="1"/>
        <s v="00KDMP1J" u="1"/>
        <s v="00KDLYC5" u="1"/>
        <s v="00KDOHCD" u="1"/>
        <s v="00KDO4KJ" u="1"/>
        <s v="00KDNR4S" u="1"/>
        <s v="00KDMO9Z" u="1"/>
        <s v="00KDM2FQ" u="1"/>
        <s v="00KDM0XN" u="1"/>
        <s v="00KDLYJR" u="1"/>
        <s v="00KDLIMO" u="1"/>
        <s v="00KDKHDU" u="1"/>
        <s v="00KDK3KJ" u="1"/>
        <s v="00KDJZR8" u="1"/>
        <s v="00KDOIED" u="1"/>
        <s v="00KDOGHZ" u="1"/>
        <s v="00KDO4LN" u="1"/>
        <s v="00KDNRIP" u="1"/>
        <s v="00KDNR4O" u="1"/>
        <s v="00KDMZJJ" u="1"/>
        <s v="00KDMSOZ" u="1"/>
        <s v="00KDMP2C" u="1"/>
        <s v="00KDMOGU" u="1"/>
        <s v="00KDM2IP" u="1"/>
        <s v="00KDLZ50" u="1"/>
        <s v="00KDNRO7" u="1"/>
        <s v="00KDP0F5" u="1"/>
        <s v="00KDLIKW" u="1"/>
        <s v="00KDLLDU" u="1"/>
        <s v="00KDNTYE" u="1"/>
        <s v="00KDOGNT" u="1"/>
        <s v="00KDSY7R" u="1"/>
        <s v="00KDTM93" u="1"/>
        <s v="00KDTN7L" u="1"/>
        <s v="00KDSXC9" u="1"/>
        <s v="00KDTN99" u="1"/>
        <s v="00KDTOH3" u="1"/>
        <s v="00KDTOHY" u="1"/>
        <s v="00KDTOI5" u="1"/>
        <s v="00KDTOQD" u="1"/>
        <s v="00KDTOZ2" u="1"/>
        <s v="00KDU26M" u="1"/>
        <s v="00KDOYKT" u="1"/>
        <s v="00KDSWBR" u="1"/>
        <s v="00KDSWB1" u="1"/>
        <s v="00KDSW1Y" u="1"/>
        <s v="00KDSVWE" u="1"/>
        <s v="00KDSUVZ" u="1"/>
        <s v="00KDSUO7" u="1"/>
        <s v="00KDSUIE" u="1"/>
        <s v="00KDPCB7" u="1"/>
        <s v="00KDPB8F" u="1"/>
        <s v="00KDP494" u="1"/>
        <s v="00KDP2V6" u="1"/>
        <s v="00KDP03H" u="1"/>
        <s v="00KDOGMY" u="1"/>
        <s v="00KDOGK4" u="1"/>
        <s v="00KDT3W9" u="1"/>
        <s v="00KDPBPE" u="1"/>
        <s v="00KDZT2W" u="1"/>
        <s v="00KDZSWH" u="1"/>
        <s v="00KDZH2Z" u="1"/>
        <s v="00KDZFV1" u="1"/>
        <s v="00KDXMOI" u="1"/>
        <s v="00KDXMLQ" u="1"/>
        <s v="00KDX582" u="1"/>
        <s v="00KDWU0E" u="1"/>
        <s v="00KDWTT5" u="1"/>
        <s v="00KDULTY" u="1"/>
        <s v="00KDULSF" u="1"/>
        <s v="00KDUI24" u="1"/>
        <s v="00KDUHXP" u="1"/>
        <s v="00KDUG0F" u="1"/>
        <s v="00KDUG0A" u="1"/>
        <s v="00KDUFRH" u="1"/>
        <s v="00KDUFD7" u="1"/>
        <s v="00KDU2L1" u="1"/>
        <s v="00KDZTWF" u="1"/>
        <s v="00KDZT4D" u="1"/>
        <s v="00KE0JVC" u="1"/>
        <s v="00KDZPAN" u="1"/>
        <s v="00KDZOJ1" u="1"/>
        <s v="00KE0JCI" u="1"/>
        <s v="00KE09XD" u="1"/>
        <s v="00KE08EZ" u="1"/>
        <s v="00KDZTVQ" u="1"/>
        <s v="00KDZT3Z" u="1"/>
        <s v="00KE04LZ" u="1"/>
        <s v="00KDZTGZ" u="1"/>
        <s v="00KE08FH" u="1"/>
        <s v="00KE08DK" u="1"/>
        <s v="00KDZQ4Q" u="1"/>
        <s v="00KDZR4G" u="1"/>
        <s v="00KDZRJE" u="1"/>
        <s v="00KDZRS9" u="1"/>
        <s v="00KDZS0O" u="1"/>
        <s v="00KDZS36" u="1"/>
        <s v="00KDZSIN" u="1"/>
        <s v="00KDZSM2" u="1"/>
        <s v="00KDZSN5" u="1"/>
        <s v="00KDZT5K" u="1"/>
        <s v="00KDZTQS" u="1"/>
        <s v="00KE05MM" u="1"/>
        <s v="00KE05TY" u="1"/>
        <s v="00KE06PU" u="1"/>
        <s v="00KE078L" u="1"/>
        <s v="00KE07IA" u="1"/>
        <s v="00KE07JF" u="1"/>
        <s v="00KE07KP" u="1"/>
        <s v="00KE07LZ" u="1"/>
        <s v="00KE07PB" u="1"/>
        <s v="00KE086G" u="1"/>
        <s v="00KE08BD" u="1"/>
        <s v="00KE08G2" u="1"/>
        <s v="00KDZPOU" u="1"/>
        <s v="00KDZO1V" u="1"/>
        <s v="00KDZOIW" u="1"/>
        <s v="00KDZOKY" u="1"/>
        <s v="00KDZOLP" u="1"/>
        <s v="00KDZOWK" u="1"/>
        <s v="00KDZOYL" u="1"/>
        <s v="00KDZOZP" u="1"/>
        <s v="00KDZP08" u="1"/>
        <s v="00KDZP0M" u="1"/>
        <s v="00KDZP0Q" u="1"/>
        <s v="00KDZP9I" u="1"/>
        <s v="00KDZPCD" u="1"/>
        <s v="00KDZPD2" u="1"/>
        <s v="00KDZPE1" u="1"/>
        <s v="00KDZPF5" u="1"/>
        <s v="00KDZPFQ" u="1"/>
        <s v="00KDZPGX" u="1"/>
        <s v="00KDZPJ8" u="1"/>
        <s v="00KDZPK3" u="1"/>
        <s v="00KDZPKW" u="1"/>
        <s v="00KDZPLD" u="1"/>
        <s v="00KDZPMK" u="1"/>
        <s v="00KDZPNH" u="1"/>
        <s v="00KE0JQF" u="1"/>
        <s v="00KE98T8" u="1"/>
        <s v="00KE98SP" u="1"/>
        <s v="00KE98TW" u="1"/>
        <s v="00KE99DW" u="1"/>
        <s v="00KE98RV" u="1"/>
        <s v="00KE98QY" u="1"/>
        <s v="00KE98A7" u="1"/>
        <s v="00KE989N" u="1"/>
        <s v="00KE9878" u="1"/>
        <s v="00KE9BEP" u="1"/>
        <s v="00KE9BFJ" u="1"/>
        <s v="00KE9BID" u="1"/>
        <s v="00KE9BMZ" u="1"/>
        <s v="00KE9BOM" u="1"/>
        <s v="00KE9BQ7" u="1"/>
        <s v="00KE9BSY" u="1"/>
        <s v="00KE9BVE" u="1"/>
        <s v="00KE9BWX" u="1"/>
        <s v="00KE0NNV" u="1"/>
        <s v="00KE0NNN" u="1"/>
        <s v="00KE0NHA" u="1"/>
        <s v="00KE0NFT" u="1"/>
        <s v="00KE0N8C" u="1"/>
        <s v="00KE0MEF" u="1"/>
        <s v="00KE0MAT" u="1"/>
        <s v="00KE0LKE" u="1"/>
        <s v="00KE0LJD" u="1"/>
        <s v="00KE0LFX" u="1"/>
        <s v="00KE0KEF" u="1"/>
        <s v="00KE0K12" u="1"/>
        <s v="00KE0LK0" u="1"/>
        <s v="00KE0NF5" u="1"/>
        <s v="00KE0NDZ" u="1"/>
        <s v="00KE0ND7" u="1"/>
        <s v="00KE0NC5" u="1"/>
        <s v="00KE0N8S" u="1"/>
        <s v="00KE9BYV" u="1"/>
        <s v="00KE9BY2" u="1"/>
        <s v="00KE9BYH" u="1"/>
        <s v="00KE9BYA" u="1"/>
        <s v="00KE0N7T" u="1"/>
        <s v="00KE0NC4" u="1"/>
        <s v="00KE0NBD" u="1"/>
        <s v="00KE0MHE" u="1"/>
        <s v="00KE0MGI" u="1"/>
        <s v="00KE0MFR" u="1"/>
        <s v="00KE0MET" u="1"/>
        <s v="00KE0MBU" u="1"/>
        <s v="00KE0MAQ" u="1"/>
        <s v="00KE0M9S" u="1"/>
        <s v="00KE0LKK" u="1"/>
        <s v="00KE0LH9" u="1"/>
        <s v="00KE0LGJ" u="1"/>
        <s v="00KE0LDG" u="1"/>
        <s v="00KE0LCN" u="1"/>
        <s v="00KE0LBS" u="1"/>
        <s v="00KE0KJT" u="1"/>
        <s v="00KE0KGW" u="1"/>
        <s v="00KE0KFR" u="1"/>
        <s v="00KE0KEY" u="1"/>
        <s v="00KE0KCV" u="1"/>
        <s v="00KE0KA0" u="1"/>
        <s v="00KE0K0W" u="1"/>
        <s v="00KE09WB" u="1"/>
        <s v="00KE08IC" u="1"/>
        <s v="00KE07QF" u="1"/>
        <s v="00KE07NB" u="1"/>
        <s v="00KE07L5" u="1"/>
        <s v="00KE07JP" u="1"/>
        <s v="00KE9BNE" u="1"/>
        <s v="00KE0NEH" u="1"/>
        <s v="00KE0NCK" u="1"/>
        <s v="00K5OI39" u="1"/>
        <s v="00K610XJ" u="1"/>
        <s v="00K6K1O7" u="1"/>
        <s v="00K6K572" u="1"/>
        <s v="00K6KQNG" u="1"/>
        <s v="00K6LFPH" u="1"/>
        <s v="00K6LLKZ" u="1"/>
        <s v="00K6LLM6" u="1"/>
        <s v="00K6LLO2" u="1"/>
        <s v="00K6LOLI" u="1"/>
        <s v="00K6LOTO" u="1"/>
        <s v="00K6LOW0" u="1"/>
        <s v="00K6OP1Y" u="1"/>
        <s v="00K6OXIZ" u="1"/>
        <s v="00K6OY08" u="1"/>
        <s v="00K6OY5E" u="1"/>
        <s v="00K6OYCJ" u="1"/>
        <s v="00K6P1U1" u="1"/>
        <s v="00K6P1UZ" u="1"/>
        <s v="00K6P1WM" u="1"/>
        <s v="00K6P24Z" u="1"/>
        <s v="00K6P2YA" u="1"/>
        <s v="00K6POKV" u="1"/>
        <s v="00K6POQL" u="1"/>
        <s v="00K6QJA6" u="1"/>
        <s v="00K6QL51" u="1"/>
        <s v="00K6QYPS" u="1"/>
        <s v="00K6S8KT" u="1"/>
        <s v="00K6S8MH" u="1"/>
        <s v="00K6S96N" u="1"/>
        <s v="00K6SU4E" u="1"/>
        <s v="00K6TEMA" u="1"/>
        <s v="00K6TFID" u="1"/>
        <s v="00K6THVC" u="1"/>
        <s v="00K6UC5X" u="1"/>
        <s v="00K6V99A" u="1"/>
        <s v="00K6ZEAS" u="1"/>
        <s v="00K6ZUUO" u="1"/>
        <s v="00K70IS7" u="1"/>
        <s v="00K70JLQ" u="1"/>
        <s v="00K7197U" u="1"/>
        <s v="00K73MS3" u="1"/>
        <s v="00K73N6B" u="1"/>
        <s v="00K76FKI" u="1"/>
        <s v="00K76I8O" u="1"/>
        <s v="00K76IRJ" u="1"/>
        <s v="00K76J1Q" u="1"/>
        <s v="00K76J78" u="1"/>
        <s v="00K76K78" u="1"/>
        <s v="00K76KUR" u="1"/>
        <s v="00K76L9C" u="1"/>
        <s v="00K76LKJ" u="1"/>
        <s v="00K76LL9" u="1"/>
        <s v="00K76LOI" u="1"/>
        <s v="00K76MXW" u="1"/>
        <s v="00K76MZG" u="1"/>
        <s v="00K76N0O" u="1"/>
        <s v="00K76NZ6" u="1"/>
        <s v="00K76PL5" u="1"/>
        <s v="00K76PMK" u="1"/>
        <s v="00K76PPI" u="1"/>
        <s v="00K76PR4" u="1"/>
        <s v="00K76PU0" u="1"/>
        <s v="00K76Q69" u="1"/>
        <s v="00K76QXJ" u="1"/>
        <s v="00K76QZZ" u="1"/>
        <s v="00K76R07" u="1"/>
        <s v="00K76R2N" u="1"/>
        <s v="00K76R9F" u="1"/>
        <s v="00K76ZIA" u="1"/>
        <s v="00K770TU" u="1"/>
        <s v="00K798FE" u="1"/>
        <s v="00K8ATSD" u="1"/>
        <s v="00K8ATUD" u="1"/>
        <s v="00K8ATUZ" u="1"/>
        <s v="00K8ATWR" u="1"/>
        <s v="00K8AUZX" u="1"/>
        <s v="00K8AV1N" u="1"/>
        <s v="00K8AVI9" u="1"/>
        <s v="00K8AX5J" u="1"/>
        <s v="00K8BE4D" u="1"/>
        <s v="00K8BN7C" u="1"/>
        <s v="00K8BNCF" u="1"/>
        <s v="00K8BNFV" u="1"/>
        <s v="00K8BNXL" u="1"/>
        <s v="00K8E38S" u="1"/>
        <s v="00K8GBFO" u="1"/>
        <s v="00K8GEN2" u="1"/>
        <s v="00K8GFRQ" u="1"/>
        <s v="00K8GFTI" u="1"/>
        <s v="00K8GFU0" u="1"/>
        <s v="00K8GFVB" u="1"/>
        <s v="00K8GFW3" u="1"/>
        <s v="00K8GH12" u="1"/>
        <s v="00K8GHSG" u="1"/>
        <s v="00K8GJKV" u="1"/>
        <s v="00K8GK0M" u="1"/>
        <s v="00K8K79B" u="1"/>
        <s v="00K8KHAR" u="1"/>
        <s v="00K8KID2" u="1"/>
        <s v="00K8KQW1" u="1"/>
        <s v="00K8M6OD" u="1"/>
        <s v="00K8MEUG" u="1"/>
        <s v="00K8MV8O" u="1"/>
        <s v="00K8MW2M" u="1"/>
        <s v="00K8MW34" u="1"/>
        <s v="00K8MZFL" u="1"/>
        <s v="00K8MZFR" u="1"/>
        <s v="00K8MZRF" u="1"/>
        <s v="00K8MZSY" u="1"/>
        <s v="00K8MZWT" u="1"/>
        <s v="00K8N14C" u="1"/>
        <s v="00K8N64E" u="1"/>
        <s v="00K8NCAQ" u="1"/>
        <s v="00K8NCGW" u="1"/>
        <s v="00K8OPUK" u="1"/>
        <s v="00K8T7IS" u="1"/>
        <s v="00K8TBEH" u="1"/>
        <s v="00K8TBP8" u="1"/>
        <s v="00K8TCLC" u="1"/>
        <s v="00K8TCLN" u="1"/>
        <s v="00K8TCTY" u="1"/>
        <s v="00K8TD1R" u="1"/>
        <s v="00K8TDEH" u="1"/>
        <s v="00K8TDZF" u="1"/>
        <s v="00K8TFJH" u="1"/>
        <s v="00K8TIWZ" u="1"/>
        <s v="00K8TJ68" u="1"/>
        <s v="00K8TOUB" u="1"/>
        <s v="00K8TZ4W" u="1"/>
        <s v="00K8TZAB" u="1"/>
        <s v="00K8TZBY" u="1"/>
        <s v="00K8VPCM" u="1"/>
        <s v="00K8VTEG" u="1"/>
        <s v="00K8VTQ3" u="1"/>
        <s v="00K8VTQ4" u="1"/>
        <s v="00K8VTSH" u="1"/>
        <s v="00K8VTT9" u="1"/>
        <s v="00K8VTTN" u="1"/>
        <s v="00K8VU1E" u="1"/>
        <s v="00K8VU49" u="1"/>
        <s v="00K8W9X2" u="1"/>
        <s v="00K8ZE7R" u="1"/>
        <s v="00K8ZH0L" u="1"/>
        <s v="00K8ZIKG" u="1"/>
        <s v="00K8ZINR" u="1"/>
        <s v="00K8ZKY2" u="1"/>
        <s v="00K8ZLJZ" u="1"/>
        <s v="00K8ZLKG" u="1"/>
        <s v="00K92NID" u="1"/>
        <s v="00K92P2D" u="1"/>
        <s v="00K92WIH" u="1"/>
        <s v="00K947KT" u="1"/>
        <s v="00K94D19" u="1"/>
        <s v="00K95JVS" u="1"/>
        <s v="00K95N9N" u="1"/>
        <s v="00K95OEC" u="1"/>
        <s v="00K95OQX" u="1"/>
        <s v="00K95QLD" u="1"/>
        <s v="00K95QVT" u="1"/>
        <s v="00K95R2I" u="1"/>
        <s v="00K9632F" u="1"/>
        <s v="00K9656Y" u="1"/>
        <s v="00K965CJ" u="1"/>
        <s v="00K965LG" u="1"/>
        <s v="00K967WE" u="1"/>
        <s v="00K967X7" u="1"/>
        <s v="00K96CG7" u="1"/>
        <s v="00K96CPP" u="1"/>
        <s v="00K96GZ4" u="1"/>
        <s v="00K96GZL" u="1"/>
        <s v="00K9A376" u="1"/>
        <s v="00K9A4AP" u="1"/>
        <s v="00K9A7IJ" u="1"/>
        <s v="00K9ARFS" u="1"/>
        <s v="00K9AS92" u="1"/>
        <s v="00K9B17Z" u="1"/>
        <s v="00K9CB6G" u="1"/>
        <s v="00K9CBZO" u="1"/>
        <s v="00K9ER6D" u="1"/>
        <s v="00K9F0WD" u="1"/>
        <s v="00K9F1G1" u="1"/>
        <s v="00K9F1GB" u="1"/>
        <s v="00K9F1JT" u="1"/>
        <s v="00K9F21I" u="1"/>
        <s v="00K9J1JW" u="1"/>
        <s v="00K9J2HA" u="1"/>
        <s v="00K9JIAV" u="1"/>
        <s v="00K9JKTA" u="1"/>
        <s v="00K9JL0U" u="1"/>
        <s v="00K9JL3X" u="1"/>
        <s v="00K9JLF9" u="1"/>
        <s v="00K9JZ34" u="1"/>
        <s v="00K9K1P3" u="1"/>
        <s v="00K9K1SG" u="1"/>
        <s v="00K9K1W6" u="1"/>
        <s v="00K9QU7A" u="1"/>
        <s v="00K9RJA7" u="1"/>
        <s v="00K9RLWP" u="1"/>
        <s v="00K9RM2D" u="1"/>
        <s v="00K9RM49" u="1"/>
        <s v="00K9RM54" u="1"/>
        <s v="00K9RM8L" u="1"/>
        <s v="00K9RM9S" u="1"/>
        <s v="00K9RMAT" u="1"/>
        <s v="00K9RP3Z" u="1"/>
        <s v="00K9S00Z" u="1"/>
        <s v="00K9S0EH" u="1"/>
        <s v="00K9S0ER" u="1"/>
        <s v="00K9S1LA" u="1"/>
        <s v="00K9S2L9" u="1"/>
        <s v="00K9S2PE" u="1"/>
        <s v="00K9S2QJ" u="1"/>
        <s v="00K9S3YV" u="1"/>
        <s v="00K9URV2" u="1"/>
        <s v="00K9URVW" u="1"/>
        <s v="00K9URWF" u="1"/>
        <s v="00K9USHD" u="1"/>
        <s v="00K9USHY" u="1"/>
        <s v="00K9USPM" u="1"/>
        <s v="00K9W3XJ" u="1"/>
        <s v="00K9W509" u="1"/>
        <s v="00K9W554" u="1"/>
        <s v="00K9W5DS" u="1"/>
        <s v="00K9ZT9C" u="1"/>
        <s v="00KA01PI" u="1"/>
        <s v="00KA02BO" u="1"/>
        <s v="00KA03DL" u="1"/>
        <s v="00KA064D" u="1"/>
        <s v="00KA0672" u="1"/>
        <s v="00KA0AF3" u="1"/>
        <s v="00KA0BFP" u="1"/>
        <s v="00KA0BHK" u="1"/>
        <s v="00KA0BHX" u="1"/>
        <s v="00KA2YRS" u="1"/>
        <s v="00KA3KTG" u="1"/>
        <s v="00KA3L3T" u="1"/>
        <s v="00KA3N29" u="1"/>
        <s v="00KA3RCM" u="1"/>
        <s v="00KA3T0H" u="1"/>
        <s v="00KA3T3G" u="1"/>
        <s v="00KA798E" u="1"/>
        <s v="00KA8K7M" u="1"/>
        <s v="00KA8P1V" u="1"/>
        <s v="00KA8PU7" u="1"/>
        <s v="00KA8PUT" u="1"/>
        <s v="00KA8Q2U" u="1"/>
        <s v="00KA8Q3J" u="1"/>
        <s v="00KA95GU" u="1"/>
        <s v="00KA9CAD" u="1"/>
        <s v="00KA9CDR" u="1"/>
        <s v="00KA9CFV" u="1"/>
        <s v="00KA9CUW" u="1"/>
        <s v="00KA9CV9" u="1"/>
        <s v="00KA9CWF" u="1"/>
        <s v="00KA9CWR" u="1"/>
        <s v="00KA9CX3" u="1"/>
        <s v="00KA9DA8" u="1"/>
        <s v="00KA9O9B" u="1"/>
        <s v="00KA9SLB" u="1"/>
        <s v="00KADNGQ" u="1"/>
        <s v="00KADNMT" u="1"/>
        <s v="00KADPSN" u="1"/>
        <s v="00KADX5I" u="1"/>
        <s v="00KADXQB" u="1"/>
        <s v="00KADXR7" u="1"/>
        <s v="00KADYP9" u="1"/>
        <s v="00KADYZ1" u="1"/>
        <s v="00KADZ4K" u="1"/>
        <s v="00KADZ5I" u="1"/>
        <s v="00KADZI3" u="1"/>
        <s v="00KADZUU" u="1"/>
        <s v="00KAE5XQ" u="1"/>
        <s v="00KAEWO3" u="1"/>
        <s v="00KAGRB1" u="1"/>
        <s v="00KAGRZE" u="1"/>
        <s v="00KAGUOK" u="1"/>
        <s v="00KAGVA6" u="1"/>
        <s v="00KAGWZ3" u="1"/>
        <s v="00KAGX14" u="1"/>
        <s v="00KAH5KN" u="1"/>
        <s v="00KAH8ME" u="1"/>
        <s v="00KAH8R3" u="1"/>
        <s v="00KAH914" u="1"/>
        <s v="00KAK6XA" u="1"/>
        <s v="00KAK726" u="1"/>
        <s v="00KAK748" u="1"/>
        <s v="00KAK7SI" u="1"/>
        <s v="00KAK8EA" u="1"/>
        <s v="00KAKFOI" u="1"/>
        <s v="00KAKFUE" u="1"/>
        <s v="00KAKHVX" u="1"/>
        <s v="00KAKHYM" u="1"/>
        <s v="00KAKHZD" u="1"/>
        <s v="00KAKHZN" u="1"/>
        <s v="00KAKHZP" u="1"/>
        <s v="00KAKI6L" u="1"/>
        <s v="00KAKLGR" u="1"/>
        <s v="00KAKLI9" u="1"/>
        <s v="00KAKMR6" u="1"/>
        <s v="00KAKMRE" u="1"/>
        <s v="00KAKMRQ" u="1"/>
        <s v="00KAKMTL" u="1"/>
        <s v="00KAKN18" u="1"/>
        <s v="00KAKN1J" u="1"/>
        <s v="00KAKNCS" u="1"/>
        <s v="00KAKND2" u="1"/>
        <s v="00KAKND3" u="1"/>
        <s v="00KAKND9" u="1"/>
        <s v="00KAKNDS" u="1"/>
        <s v="00KAKNFP" u="1"/>
        <s v="00KANLRP" u="1"/>
        <s v="00K2HPNJ" u="1"/>
        <s v="00K2HQOV" u="1"/>
        <s v="00K2MNDH" u="1"/>
        <s v="00K2MNMD" u="1"/>
        <s v="00K2MX3P" u="1"/>
        <s v="00K2N7FX" u="1"/>
        <s v="00K2N7TD" u="1"/>
        <s v="00K2N8JM" u="1"/>
        <s v="00K2N8LK" u="1"/>
        <s v="00K2N8OF" u="1"/>
        <s v="00K2N8PR" u="1"/>
        <s v="00K2N8TB" u="1"/>
        <s v="00K2N8UC" u="1"/>
        <s v="00K2N91H" u="1"/>
        <s v="00K2NA8P" u="1"/>
        <s v="00K2NBTA" u="1"/>
        <s v="00K2NPW6" u="1"/>
        <s v="00K2NV96" u="1"/>
        <s v="00K2NVAW" u="1"/>
        <s v="00K2NVD4" u="1"/>
        <s v="00K2NVDT" u="1"/>
        <s v="00K2NVJ6" u="1"/>
        <s v="00K2NXUW" u="1"/>
        <s v="00K2NXVL" u="1"/>
        <s v="00K2NXW3" u="1"/>
        <s v="00K2NXZ9" u="1"/>
        <s v="00K2NY15" u="1"/>
        <s v="00K2NY19" u="1"/>
        <s v="00K2NY2G" u="1"/>
        <s v="00K2NY38" u="1"/>
        <s v="00K2NYVC" u="1"/>
        <s v="00K2P6WS" u="1"/>
        <s v="00K2QKF8" u="1"/>
        <s v="00K2QKQQ" u="1"/>
        <s v="00K2QZFJ" u="1"/>
        <s v="00K2R8LB" u="1"/>
        <s v="00K2R8VF" u="1"/>
        <s v="00K2R91D" u="1"/>
        <s v="00K2R9FR" u="1"/>
        <s v="00K2RD7K" u="1"/>
        <s v="00K2RLKA" u="1"/>
        <s v="00K2RSTZ" u="1"/>
        <s v="00K2RTTU" u="1"/>
        <s v="00K2RTWY" u="1"/>
        <s v="00K36P8I" u="1"/>
        <s v="00K36P91" u="1"/>
        <s v="00K36YWI" u="1"/>
        <s v="00K36YYM" u="1"/>
        <s v="00K37GKU" u="1"/>
        <s v="00K37GSG" u="1"/>
        <s v="00K37I4O" u="1"/>
        <s v="00K37LGA" u="1"/>
        <s v="00K37MD1" u="1"/>
        <s v="00K39ZYO" u="1"/>
        <s v="00K3ASB5" u="1"/>
        <s v="00K3AU98" u="1"/>
        <s v="00K3B0KV" u="1"/>
        <s v="00K3B11Y" u="1"/>
        <s v="00K3B6C8" u="1"/>
        <s v="00K3BDNS" u="1"/>
        <s v="00K3BN8F" u="1"/>
        <s v="00K3BOMY" u="1"/>
        <s v="00K3BRJG" u="1"/>
        <s v="00K3BRWZ" u="1"/>
        <s v="00K3BSLX" u="1"/>
        <s v="00K3DYZT" u="1"/>
        <s v="00K3DZEQ" u="1"/>
        <s v="00K3DZH4" u="1"/>
        <s v="00K3EMPJ" u="1"/>
        <s v="00K3EQOD" u="1"/>
        <s v="00K3EUP8" u="1"/>
        <s v="00K3EX0H" u="1"/>
        <s v="00K3EX91" u="1"/>
        <s v="00K3N81J" u="1"/>
        <s v="00K3N9P7" u="1"/>
        <s v="00K3NAQ2" u="1"/>
        <s v="00K3NARI" u="1"/>
        <s v="00K3NPRW" u="1"/>
        <s v="00K3NPYL" u="1"/>
        <s v="00K3O8P0" u="1"/>
        <s v="00K3OOOQ" u="1"/>
        <s v="00K3OXS9" u="1"/>
        <s v="00K3OZVO" u="1"/>
        <s v="00K3P07I" u="1"/>
        <s v="00K3P0U4" u="1"/>
        <s v="00K3P1TX" u="1"/>
        <s v="00K3P1YI" u="1"/>
        <s v="00K3P20D" u="1"/>
        <s v="00K3QJ4K" u="1"/>
        <s v="00K3QJ4L" u="1"/>
        <s v="00K3RS5F" u="1"/>
        <s v="00K3SBND" u="1"/>
        <s v="00K3SNE7" u="1"/>
        <s v="00K3T4T7" u="1"/>
        <s v="00K3T78S" u="1"/>
        <s v="00K3T7B6" u="1"/>
        <s v="00K3T8Y4" u="1"/>
        <s v="00K3T8YY" u="1"/>
        <s v="00K3T9O0" u="1"/>
        <s v="00K3T9QG" u="1"/>
        <s v="00K3TDB9" u="1"/>
        <s v="00K3V2JP" u="1"/>
        <s v="00K3VYLI" u="1"/>
        <s v="00K3W94P" u="1"/>
        <s v="00K3W9QK" u="1"/>
        <s v="00K3W9VT" u="1"/>
        <s v="00K3WATZ" u="1"/>
        <s v="00K3WQBK" u="1"/>
        <s v="00K3WQFN" u="1"/>
        <s v="00K3YRC9" u="1"/>
        <s v="00K3YXUA" u="1"/>
        <s v="00K3YXW9" u="1"/>
        <s v="00K3YXX9" u="1"/>
        <s v="00K3Z0S1" u="1"/>
        <s v="00K3Z0SP" u="1"/>
        <s v="00K3Z1KI" u="1"/>
        <s v="00K3ZD4N" u="1"/>
        <s v="00K3ZDC3" u="1"/>
        <s v="00K4B5O3" u="1"/>
        <s v="00K4BE1J" u="1"/>
        <s v="00K4BT3E" u="1"/>
        <s v="00K4BT6E" u="1"/>
        <s v="00K4BTAD" u="1"/>
        <s v="00K4BTBY" u="1"/>
        <s v="00K4BTP8" u="1"/>
        <s v="00K4BUPV" u="1"/>
        <s v="00K4BURA" u="1"/>
        <s v="00K4BUZJ" u="1"/>
        <s v="00K4BV08" u="1"/>
        <s v="00K4BV4T" u="1"/>
        <s v="00K4BVAI" u="1"/>
        <s v="00K4BVOO" u="1"/>
        <s v="00K4D967" u="1"/>
        <s v="00K4DANY" u="1"/>
        <s v="00K4DDFF" u="1"/>
        <s v="00K4DDNR" u="1"/>
        <s v="00K4DVCC" u="1"/>
        <s v="00K4DZGQ" u="1"/>
        <s v="00K4EEXG" u="1"/>
        <s v="00K4EEZU" u="1"/>
        <s v="00K4ETTN" u="1"/>
        <s v="00K4FY0J" u="1"/>
        <s v="00K4FZTI" u="1"/>
        <s v="00K4G0NB" u="1"/>
        <s v="00K4G36A" u="1"/>
        <s v="00K4G41Z" u="1"/>
        <s v="00K4G4AO" u="1"/>
        <s v="00K4G4DS" u="1"/>
        <s v="00K4G4EV" u="1"/>
        <s v="00K4G4FL" u="1"/>
        <s v="00K4G5NC" u="1"/>
        <s v="00K4ZTF7" u="1"/>
        <s v="00K4ZTYV" u="1"/>
        <s v="00K4ZX0C" u="1"/>
        <s v="00K4ZXHT" u="1"/>
        <s v="00K4ZXPE" u="1"/>
        <s v="00K4ZXTV" u="1"/>
        <s v="00K4ZY7L" u="1"/>
        <s v="00K52HCF" u="1"/>
        <s v="00K52K98" u="1"/>
        <s v="00K52MDO" u="1"/>
        <s v="00K52MHA" u="1"/>
        <s v="00K52MOI" u="1"/>
        <s v="00K52UNX" u="1"/>
        <s v="00K52UT4" u="1"/>
        <s v="00K52WJC" u="1"/>
        <s v="00K537H5" u="1"/>
        <s v="00K539ER" u="1"/>
        <s v="00K53AZM" u="1"/>
        <s v="00K53JQT" u="1"/>
        <s v="00K53JVQ" u="1"/>
        <s v="00K53P58" u="1"/>
        <s v="00K56ICG" u="1"/>
        <s v="00K56UF3" u="1"/>
        <s v="00K56V12" u="1"/>
        <s v="00K577XD" u="1"/>
        <s v="00K579ZN" u="1"/>
        <s v="00K57A06" u="1"/>
        <s v="00K57A0D" u="1"/>
        <s v="00K57A0K" u="1"/>
        <s v="00K59KTW" u="1"/>
        <s v="00K59WJ6" u="1"/>
        <s v="00K5AJX4" u="1"/>
        <s v="00K5AU4O" u="1"/>
        <s v="00K5BQYI" u="1"/>
        <s v="00K5BQZW" u="1"/>
        <s v="00K5BX04" u="1"/>
        <s v="00K5BX9E" u="1"/>
        <s v="00K5BX9S" u="1"/>
        <s v="00K5BYM7" u="1"/>
        <s v="00K5BYN5" u="1"/>
        <s v="00K5BYQ6" u="1"/>
        <s v="00K5BZJT" u="1"/>
        <s v="00K5BZL9" u="1"/>
        <s v="00K5BZQQ" u="1"/>
        <s v="00K5C1IB" u="1"/>
        <s v="00K5C1T4" u="1"/>
        <s v="00K5CBVJ" u="1"/>
        <s v="00K5CBW8" u="1"/>
        <s v="00K5CC29" u="1"/>
        <s v="00K5CS85" u="1"/>
        <s v="00K5CSDC" u="1"/>
        <s v="00K5CT6D" u="1"/>
        <s v="00K5F69S" u="1"/>
        <s v="00K5FJWG" u="1"/>
        <s v="00K5FL2M" u="1"/>
        <s v="00K5FRI6" u="1"/>
        <s v="00K5G8QO" u="1"/>
        <s v="00K5GCWE" u="1"/>
        <s v="00K5GD4I" u="1"/>
        <s v="00K5GSYQ" u="1"/>
        <s v="00K5GT1E" u="1"/>
        <s v="00K5GT79" u="1"/>
        <s v="00K5JM7S" u="1"/>
        <s v="00K5KXQJ" u="1"/>
        <s v="00K5KZBI" u="1"/>
        <s v="00K5KZDA" u="1"/>
        <s v="00K5LLXW" u="1"/>
        <s v="00K5LP2Q" u="1"/>
        <s v="00K5LXXZ" u="1"/>
        <s v="00K5NJFX" u="1"/>
        <s v="00K5OGAX" u="1"/>
        <s v="00K5OI4H" u="1"/>
        <s v="00K5OQFL" u="1"/>
        <s v="00K5OQU4" u="1"/>
        <s v="00K5OQXH" u="1"/>
        <s v="00K5S1EC" u="1"/>
        <s v="00K5S2DC" u="1"/>
        <s v="00K5S2DW" u="1"/>
        <s v="00K5S2P4" u="1"/>
        <s v="00K5S4UV" u="1"/>
        <s v="00K5S4X0" u="1"/>
        <s v="00K5S52B" u="1"/>
        <s v="00K5S5NZ" u="1"/>
        <s v="00K5SEJR" u="1"/>
        <s v="00K5T38U" u="1"/>
        <s v="00K5T39Z" u="1"/>
        <s v="00K5T3C0" u="1"/>
        <s v="00K5T3LV" u="1"/>
        <s v="00K5T4L7" u="1"/>
        <s v="00K5T4M1" u="1"/>
        <s v="00K5XK7G" u="1"/>
        <s v="00K5XL46" u="1"/>
        <s v="00K5YCLP" u="1"/>
        <s v="00K5YJTD" u="1"/>
        <s v="00K60K59" u="1"/>
        <s v="00K60L12" u="1"/>
        <s v="00K60L2H" u="1"/>
        <s v="00K60L2V" u="1"/>
        <s v="00K60L39" u="1"/>
        <s v="00K60L5K" u="1"/>
        <s v="00K60L5N" u="1"/>
        <s v="00K60LC4" u="1"/>
        <s v="00K60LD2" u="1"/>
        <s v="00K60NK1" u="1"/>
        <s v="00K60QTA" u="1"/>
        <s v="00K60UGI" u="1"/>
        <s v="00K60UO8" u="1"/>
        <s v="00K60VOF" u="1"/>
        <s v="00K60WZ4" u="1"/>
        <s v="00K610S6" u="1"/>
        <s v="ZWLI0HFQ" u="1"/>
        <s v="00JZTQAW" u="1"/>
        <s v="00K05BMW" u="1"/>
        <s v="00K06YKG" u="1"/>
        <s v="00K07ACA" u="1"/>
        <s v="00K07IT5" u="1"/>
        <s v="00K09H5G" u="1"/>
        <s v="00K09HVU" u="1"/>
        <s v="00K09UBD" u="1"/>
        <s v="00K09Y6I" u="1"/>
        <s v="00K09ZVC" u="1"/>
        <s v="00K09ZVV" u="1"/>
        <s v="00K09ZVZ" u="1"/>
        <s v="00K0A042" u="1"/>
        <s v="00K0A055" u="1"/>
        <s v="00K0BNET" u="1"/>
        <s v="00K0BQHM" u="1"/>
        <s v="00K0BR11" u="1"/>
        <s v="00K0BR7S" u="1"/>
        <s v="00K0BTLN" u="1"/>
        <s v="00K0CLVN" u="1"/>
        <s v="00K0CMAU" u="1"/>
        <s v="00K0CMEW" u="1"/>
        <s v="00K0CMQ1" u="1"/>
        <s v="00K0CNH1" u="1"/>
        <s v="00K0COWF" u="1"/>
        <s v="00K0CP0S" u="1"/>
        <s v="00K0D5D5" u="1"/>
        <s v="00K0D5F3" u="1"/>
        <s v="00K0HN6L" u="1"/>
        <s v="00K0HN8V" u="1"/>
        <s v="00K0HRDS" u="1"/>
        <s v="00K0HRFW" u="1"/>
        <s v="00K0JBDJ" u="1"/>
        <s v="00K0JC2D" u="1"/>
        <s v="00K0JC69" u="1"/>
        <s v="00K0JDGS" u="1"/>
        <s v="00K0JL6G" u="1"/>
        <s v="00K0JL7S" u="1"/>
        <s v="00K0JMGQ" u="1"/>
        <s v="00K0JMKK" u="1"/>
        <s v="00K0JMNL" u="1"/>
        <s v="00K0JMS5" u="1"/>
        <s v="00K0JMTS" u="1"/>
        <s v="00K0JQ5Z" u="1"/>
        <s v="00K0K9ZF" u="1"/>
        <s v="00K0KA0A" u="1"/>
        <s v="00K0KA2R" u="1"/>
        <s v="00K0KA3C" u="1"/>
        <s v="00K0KA3U" u="1"/>
        <s v="00K0KAC9" u="1"/>
        <s v="00K0KADF" u="1"/>
        <s v="00K0KAE4" u="1"/>
        <s v="00K0KAFN" u="1"/>
        <s v="00K0KAOQ" u="1"/>
        <s v="00K0KAQ1" u="1"/>
        <s v="00K0KAQQ" u="1"/>
        <s v="00K0KCNA" u="1"/>
        <s v="00K0KCO0" u="1"/>
        <s v="00K0KCOQ" u="1"/>
        <s v="00K0KCPD" u="1"/>
        <s v="00K0KDAJ" u="1"/>
        <s v="00K0KDAY" u="1"/>
        <s v="00K0KE26" u="1"/>
        <s v="00K0KE31" u="1"/>
        <s v="00K0KE3U" u="1"/>
        <s v="00K0KE5M" u="1"/>
        <s v="00K0KE8K" u="1"/>
        <s v="00K0KE8X" u="1"/>
        <s v="00K0KFNQ" u="1"/>
        <s v="00K0KFO5" u="1"/>
        <s v="00K0KFOJ" u="1"/>
        <s v="00K0KSNY" u="1"/>
        <s v="00K0KSW9" u="1"/>
        <s v="00K0KT50" u="1"/>
        <s v="00K0KTK4" u="1"/>
        <s v="00K0KTKM" u="1"/>
        <s v="00K0KTL2" u="1"/>
        <s v="00K0KTLC" u="1"/>
        <s v="00K0KTM9" u="1"/>
        <s v="00K0KTOU" u="1"/>
        <s v="00K0KTPS" u="1"/>
        <s v="00K0KTVR" u="1"/>
        <s v="00K0KTWN" u="1"/>
        <s v="00K0KU1M" u="1"/>
        <s v="00K0KU20" u="1"/>
        <s v="00K0KU5J" u="1"/>
        <s v="00K0KUB7" u="1"/>
        <s v="00K0MDPL" u="1"/>
        <s v="00K0MDZ2" u="1"/>
        <s v="00K0MFAH" u="1"/>
        <s v="00K0MFCX" u="1"/>
        <s v="00K0MI7J" u="1"/>
        <s v="00K0MI95" u="1"/>
        <s v="00K0N1F4" u="1"/>
        <s v="00K0NN18" u="1"/>
        <s v="00K0NTUU" u="1"/>
        <s v="00K0NTVI" u="1"/>
        <s v="00K0NV0Y" u="1"/>
        <s v="00K0NXZ3" u="1"/>
        <s v="00K0NYS6" u="1"/>
        <s v="00K0NYTE" u="1"/>
        <s v="00K0NYU2" u="1"/>
        <s v="00K0O92V" u="1"/>
        <s v="00K0O9YE" u="1"/>
        <s v="00K0O9Z7" u="1"/>
        <s v="00K0OZRQ" u="1"/>
        <s v="00K0P0PU" u="1"/>
        <s v="00K0P0S1" u="1"/>
        <s v="00K0P1FG" u="1"/>
        <s v="00K0P69Y" u="1"/>
        <s v="00K0P7F4" u="1"/>
        <s v="00K0P7FQ" u="1"/>
        <s v="00K0P7NE" u="1"/>
        <s v="00K0P7S8" u="1"/>
        <s v="00K0P8BF" u="1"/>
        <s v="00K0P8DH" u="1"/>
        <s v="00K0PBKG" u="1"/>
        <s v="00K0PBLT" u="1"/>
        <s v="00K0PBRT" u="1"/>
        <s v="00K0Q3AP" u="1"/>
        <s v="00K0Q4KE" u="1"/>
        <s v="00K0Q7IH" u="1"/>
        <s v="00K0QC3Y" u="1"/>
        <s v="00K0QDF6" u="1"/>
        <s v="00K0QGPG" u="1"/>
        <s v="00K0QGRS" u="1"/>
        <s v="00K0QGT2" u="1"/>
        <s v="00K0QGTY" u="1"/>
        <s v="00K0QHI0" u="1"/>
        <s v="00K0QHIF" u="1"/>
        <s v="00K0QHJI" u="1"/>
        <s v="00K0QHJY" u="1"/>
        <s v="00K0QHV3" u="1"/>
        <s v="00K0QHWC" u="1"/>
        <s v="00K0R13G" u="1"/>
        <s v="00K0R6EO" u="1"/>
        <s v="00K0R6EW" u="1"/>
        <s v="00K0SZ2N" u="1"/>
        <s v="00K0SZ3Y" u="1"/>
        <s v="00K0SZ7A" u="1"/>
        <s v="00K0TFCI" u="1"/>
        <s v="00K0TKT0" u="1"/>
        <s v="00K0TNON" u="1"/>
        <s v="00K0TNOX" u="1"/>
        <s v="00K0TNPB" u="1"/>
        <s v="00K0TOCO" u="1"/>
        <s v="00K0TONQ" u="1"/>
        <s v="00K0TOV1" u="1"/>
        <s v="00K0TP9P" u="1"/>
        <s v="00K0TPXJ" u="1"/>
        <s v="00K0UEOA" u="1"/>
        <s v="00K0UGJE" u="1"/>
        <s v="00K0UGPL" u="1"/>
        <s v="00K0UIKY" u="1"/>
        <s v="00K0WRWX" u="1"/>
        <s v="00K0X8GW" u="1"/>
        <s v="00K0X8KR" u="1"/>
        <s v="00K0X8NX" u="1"/>
        <s v="00K0XHXH" u="1"/>
        <s v="00K0XKSI" u="1"/>
        <s v="00K0XMSH" u="1"/>
        <s v="00K0XMV4" u="1"/>
        <s v="00K0XMX4" u="1"/>
        <s v="00K0XMYY" u="1"/>
        <s v="00K0XPS0" u="1"/>
        <s v="00K0XQU2" u="1"/>
        <s v="00K125Y5" u="1"/>
        <s v="00K125ZD" u="1"/>
        <s v="00K128PX" u="1"/>
        <s v="00K128SE" u="1"/>
        <s v="00K128T7" u="1"/>
        <s v="00K128U5" u="1"/>
        <s v="00K128ZM" u="1"/>
        <s v="00K129CB" u="1"/>
        <s v="00K129E6" u="1"/>
        <s v="00K129FJ" u="1"/>
        <s v="00K12AJ9" u="1"/>
        <s v="00K12AO0" u="1"/>
        <s v="00K12AP0" u="1"/>
        <s v="00K12AQ0" u="1"/>
        <s v="00K12ATW" u="1"/>
        <s v="00K12AVC" u="1"/>
        <s v="00K12XSK" u="1"/>
        <s v="00K12XV8" u="1"/>
        <s v="00K12YVR" u="1"/>
        <s v="00K12Z08" u="1"/>
        <s v="00K12Z4V" u="1"/>
        <s v="00K1303Q" u="1"/>
        <s v="00K1304D" u="1"/>
        <s v="00K133HQ" u="1"/>
        <s v="00K136B2" u="1"/>
        <s v="00K136LK" u="1"/>
        <s v="00K136Q4" u="1"/>
        <s v="00K13BPO" u="1"/>
        <s v="00K13BTY" u="1"/>
        <s v="00K13BU2" u="1"/>
        <s v="00K14C8V" u="1"/>
        <s v="00K14DBD" u="1"/>
        <s v="00K14E3U" u="1"/>
        <s v="00K14E5S" u="1"/>
        <s v="00K14GGP" u="1"/>
        <s v="00K14GIT" u="1"/>
        <s v="00K14GLL" u="1"/>
        <s v="00K14GMC" u="1"/>
        <s v="00K14GN6" u="1"/>
        <s v="00K14GTC" u="1"/>
        <s v="00K14HF6" u="1"/>
        <s v="00K14JS9" u="1"/>
        <s v="00K14JT3" u="1"/>
        <s v="00K14JUY" u="1"/>
        <s v="00K14ZBH" u="1"/>
        <s v="00K14ZHT" u="1"/>
        <s v="00K150F5" u="1"/>
        <s v="00K15JZZ" u="1"/>
        <s v="00K15PRE" u="1"/>
        <s v="00K165CJ" u="1"/>
        <s v="00K16FYU" u="1"/>
        <s v="00K16G0A" u="1"/>
        <s v="00K16G1F" u="1"/>
        <s v="00K16G79" u="1"/>
        <s v="00K16GB5" u="1"/>
        <s v="00K16GBZ" u="1"/>
        <s v="00K16X2D" u="1"/>
        <s v="00K16XGW" u="1"/>
        <s v="00K16XJO" u="1"/>
        <s v="00K16XKN" u="1"/>
        <s v="00K16XM7" u="1"/>
        <s v="00K16XN5" u="1"/>
        <s v="00K16XOJ" u="1"/>
        <s v="00K16XXH" u="1"/>
        <s v="00K16Z96" u="1"/>
        <s v="00K17B6R" u="1"/>
        <s v="00K17BX9" u="1"/>
        <s v="00K17BXR" u="1"/>
        <s v="00K17BY7" u="1"/>
        <s v="00K17C7V" u="1"/>
        <s v="00K17C8G" u="1"/>
        <s v="00K17C8R" u="1"/>
        <s v="00K17CMS" u="1"/>
        <s v="00K17DH9" u="1"/>
        <s v="00K17DI1" u="1"/>
        <s v="00K17E43" u="1"/>
        <s v="00K17EB4" u="1"/>
        <s v="00K17EHN" u="1"/>
        <s v="00K17EI1" u="1"/>
        <s v="00K17F52" u="1"/>
        <s v="00K17TJB" u="1"/>
        <s v="00K17TL8" u="1"/>
        <s v="00K17ZS8" u="1"/>
        <s v="00K17ZYL" u="1"/>
        <s v="00K18001" u="1"/>
        <s v="00K19ISQ" u="1"/>
        <s v="00K19N6N" u="1"/>
        <s v="00K19N78" u="1"/>
        <s v="00K19QG6" u="1"/>
        <s v="00K19QHH" u="1"/>
        <s v="00K19QJ0" u="1"/>
        <s v="00K19QK0" u="1"/>
        <s v="00K1AJJM" u="1"/>
        <s v="00K1AKX8" u="1"/>
        <s v="00K1AV2I" u="1"/>
        <s v="00K1B2KC" u="1"/>
        <s v="00K1B6HO" u="1"/>
        <s v="00K1B6JA" u="1"/>
        <s v="00K1B6YM" u="1"/>
        <s v="00K1DPGX" u="1"/>
        <s v="00K1DPR4" u="1"/>
        <s v="00K1DQ32" u="1"/>
        <s v="00K1DVH4" u="1"/>
        <s v="00K1DW7U" u="1"/>
        <s v="00K1E39U" u="1"/>
        <s v="00K1EOSF" u="1"/>
        <s v="00K1F8C2" u="1"/>
        <s v="00K1FGNJ" u="1"/>
        <s v="00K1HKF0" u="1"/>
        <s v="00K1HNKT" u="1"/>
        <s v="00K1HOKQ" u="1"/>
        <s v="00K1HOP2" u="1"/>
        <s v="00K1HOTH" u="1"/>
        <s v="00K1HOU9" u="1"/>
        <s v="00K1HP1W" u="1"/>
        <s v="00K1HP2W" u="1"/>
        <s v="00K1HP3O" u="1"/>
        <s v="00K1HWNW" u="1"/>
        <s v="00K1HY1X" u="1"/>
        <s v="00K1HY2Q" u="1"/>
        <s v="00K1HY38" u="1"/>
        <s v="00K1HY4G" u="1"/>
        <s v="00K1HY5B" u="1"/>
        <s v="00K1HY5Y" u="1"/>
        <s v="00K1QTTO" u="1"/>
        <s v="00K1QUSV" u="1"/>
        <s v="00K1QUSW" u="1"/>
        <s v="00K1QV1A" u="1"/>
        <s v="00K1QV7U" u="1"/>
        <s v="00K1R3VW" u="1"/>
        <s v="00K1R5U6" u="1"/>
        <s v="00K1R5XT" u="1"/>
        <s v="00K1RB9C" u="1"/>
        <s v="00K1RBMG" u="1"/>
        <s v="00K1RBQ9" u="1"/>
        <s v="00K1RBRP" u="1"/>
        <s v="00K1RBVY" u="1"/>
        <s v="00K1RCCV" u="1"/>
        <s v="00K1RCDT" u="1"/>
        <s v="00K1RDO1" u="1"/>
        <s v="00K1RDRG" u="1"/>
        <s v="00K1RDS4" u="1"/>
        <s v="00K1RECO" u="1"/>
        <s v="00K1REFE" u="1"/>
        <s v="00K1REG2" u="1"/>
        <s v="00K1REGX" u="1"/>
        <s v="00K1REL3" u="1"/>
        <s v="00K1REO9" u="1"/>
        <s v="00K1REPB" u="1"/>
        <s v="00K1REPI" u="1"/>
        <s v="00K1REQL" u="1"/>
        <s v="00K1RER9" u="1"/>
        <s v="00K1RES3" u="1"/>
        <s v="00K1RETN" u="1"/>
        <s v="00K1RFUB" u="1"/>
        <s v="00K1RIDD" u="1"/>
        <s v="00K1RL6L" u="1"/>
        <s v="00K1RLBS" u="1"/>
        <s v="00K1TGSP" u="1"/>
        <s v="00K1TGTB" u="1"/>
        <s v="00K1U2QJ" u="1"/>
        <s v="00K1U2RG" u="1"/>
        <s v="00K1U2XB" u="1"/>
        <s v="00K1U5EJ" u="1"/>
        <s v="00K1U5GR" u="1"/>
        <s v="00K1U5LI" u="1"/>
        <s v="00K1U5SH" u="1"/>
        <s v="00K1U5UF" u="1"/>
        <s v="00K1U6MR" u="1"/>
        <s v="00K1U7FZ" u="1"/>
        <s v="00K1UE5U" u="1"/>
        <s v="00K1UHFG" u="1"/>
        <s v="00K1V3PW" u="1"/>
        <s v="00K1V5M9" u="1"/>
        <s v="00K1V5MV" u="1"/>
        <s v="00K1V62C" u="1"/>
        <s v="00K1V666" u="1"/>
        <s v="00K1V6EW" u="1"/>
        <s v="00K1V73Y" u="1"/>
        <s v="00K1V76Z" u="1"/>
        <s v="00K1WTCV" u="1"/>
        <s v="00K1X373" u="1"/>
        <s v="00K1X4XS" u="1"/>
        <s v="00K1X4Z3" u="1"/>
        <s v="00K1X56D" u="1"/>
        <s v="00K1XMOG" u="1"/>
        <s v="00K1XNW5" u="1"/>
        <s v="00K1XQ8T" u="1"/>
        <s v="00K1XV01" u="1"/>
        <s v="00K1XVNY" u="1"/>
        <s v="00K1XVRG" u="1"/>
        <s v="00K1XVUT" u="1"/>
        <s v="00K1Y2VI" u="1"/>
        <s v="00K1Y4AX" u="1"/>
        <s v="00K1Y4CZ" u="1"/>
        <s v="00K1Y8GR" u="1"/>
        <s v="00K1YYH1" u="1"/>
        <s v="00K1Z75T" u="1"/>
        <s v="00K20SX8" u="1"/>
        <s v="00K20T0X" u="1"/>
        <s v="00K20TDX" u="1"/>
        <s v="00K20U5Q" u="1"/>
        <s v="00K20U5Z" u="1"/>
        <s v="00K21132" u="1"/>
        <s v="00K2148F" u="1"/>
        <s v="00K2149F" u="1"/>
        <s v="00K214NV" u="1"/>
        <s v="00K21540" u="1"/>
        <s v="00K2154C" u="1"/>
        <s v="00K25SAN" u="1"/>
        <s v="00K25SCE" u="1"/>
        <s v="00K25SCP" u="1"/>
        <s v="00K25SE6" u="1"/>
        <s v="00K25SJW" u="1"/>
        <s v="00K25SLS" u="1"/>
        <s v="00K25SNL" u="1"/>
        <s v="00K25SP9" u="1"/>
        <s v="00K25SRW" u="1"/>
        <s v="00K25SVD" u="1"/>
        <s v="00K260C0" u="1"/>
        <s v="00K2679O" u="1"/>
        <s v="00K267BJ" u="1"/>
        <s v="00K267CT" u="1"/>
        <s v="00K267DI" u="1"/>
        <s v="00K26GXE" u="1"/>
        <s v="00K26JIA" u="1"/>
        <s v="00K26JJD" u="1"/>
        <s v="00K26JKK" u="1"/>
        <s v="00K26JMQ" u="1"/>
        <s v="00K26JN5" u="1"/>
        <s v="00K26JT1" u="1"/>
        <s v="00K26JTQ" u="1"/>
        <s v="00K26JUL" u="1"/>
        <s v="00K26JUZ" u="1"/>
        <s v="00K26JWD" u="1"/>
        <s v="00K26JXB" u="1"/>
        <s v="00K26JY8" u="1"/>
        <s v="00K26K0Z" u="1"/>
        <s v="00K26TT4" u="1"/>
        <s v="00K26TTI" u="1"/>
        <s v="00K26VH3" u="1"/>
        <s v="00K26VHJ" u="1"/>
        <s v="00K26VIQ" u="1"/>
        <s v="00K29GGQ" u="1"/>
        <s v="00K29IPK" u="1"/>
        <s v="00K29IXZ" u="1"/>
        <s v="00K29JG3" u="1"/>
        <s v="00K29WDX" u="1"/>
        <s v="00K2B0XW" u="1"/>
        <s v="00K2B1XW" u="1"/>
        <s v="00K2B5LO" u="1"/>
        <s v="00K2BBHB" u="1"/>
        <s v="00K2BBHW" u="1"/>
        <s v="00K2BBIG" u="1"/>
        <s v="00K2BCB8" u="1"/>
        <s v="00K2BCO0" u="1"/>
        <s v="00K2BCUQ" u="1"/>
        <s v="00K2CAMQ" u="1"/>
        <s v="00K2CHBL" u="1"/>
        <s v="00K2CHC1" u="1"/>
        <s v="00K2CHDE" u="1"/>
        <s v="00K2CHDK" u="1"/>
        <s v="00K2CIT7" u="1"/>
        <s v="00K2CONB" u="1"/>
        <s v="00K2COR8" u="1"/>
        <s v="00K2CWV2" u="1"/>
        <s v="00K2CWZT" u="1"/>
        <s v="00K2CZN1" u="1"/>
        <s v="00K2D1UV" u="1"/>
        <s v="00K2D53L" u="1"/>
        <s v="00K2D53N" u="1"/>
        <s v="00K2EZHX" u="1"/>
        <s v="00K2EZJ8" u="1"/>
        <s v="00K2EZS9" u="1"/>
        <s v="00K2EZZY" u="1"/>
        <s v="00K2F65Q" u="1"/>
        <s v="00K2FLDV" u="1"/>
        <s v="00K2FYQB" u="1"/>
        <s v="00K2FYWQ" u="1"/>
        <s v="00K2GUY6" u="1"/>
        <s v="00K2HCM0" u="1"/>
        <s v="00K2HD0Q" u="1"/>
        <s v="00K2HGS3" u="1"/>
        <s v="00K2HI2E" u="1"/>
        <s v="00JSTHEX" u="1"/>
        <s v="00JVPH5T" u="1"/>
        <s v="00JVQ4P3" u="1"/>
        <s v="00JVUP8F" u="1"/>
        <s v="00JVQ4V4" u="1"/>
        <s v="00JVQ4XS" u="1"/>
        <s v="00JVQ4W0" u="1"/>
        <s v="00JVQ4B0" u="1"/>
        <s v="00JVQ3UG" u="1"/>
        <s v="00JVQ3PG" u="1"/>
        <s v="00JVP2EK" u="1"/>
        <s v="00JVP3KM" u="1"/>
        <s v="00JVP3LX" u="1"/>
        <s v="00JVP85X" u="1"/>
        <s v="00JVQ426" u="1"/>
        <s v="00JW0C4M" u="1"/>
        <s v="00JVWUNH" u="1"/>
        <s v="00JW0C5D" u="1"/>
        <s v="00JW13LP" u="1"/>
        <s v="00JVWUQ3" u="1"/>
        <s v="00JVWUTY" u="1"/>
        <s v="00JVXKVW" u="1"/>
        <s v="00JVXKXG" u="1"/>
        <s v="00JW0BJT" u="1"/>
        <s v="00JW0BI8" u="1"/>
        <s v="00JW0C2Z" u="1"/>
        <s v="00JW0BKJ" u="1"/>
        <s v="00JVXOA7" u="1"/>
        <s v="00JVXO8N" u="1"/>
        <s v="00JVXKYZ" u="1"/>
        <s v="00JW0BNC" u="1"/>
        <s v="00JUB8FV" u="1"/>
        <s v="00JW1JVH" u="1"/>
        <s v="00JW1JOZ" u="1"/>
        <s v="00JW1E45" u="1"/>
        <s v="00JVXOEF" u="1"/>
        <s v="00JW1ES3" u="1"/>
        <s v="00JVXTS2" u="1"/>
        <s v="00JW1EMZ" u="1"/>
        <s v="00JVXTRR" u="1"/>
        <s v="00JVXP8B" u="1"/>
        <s v="00JW3IUQ" u="1"/>
        <s v="00JW3HX3" u="1"/>
        <s v="00JW3IAK" u="1"/>
        <s v="00JW3HY3" u="1"/>
        <s v="00JW3GRV" u="1"/>
        <s v="00JW3IAC" u="1"/>
        <s v="00JW3I7H" u="1"/>
        <s v="00JW2D0K" u="1"/>
        <s v="00JW2D3P" u="1"/>
        <s v="00JW2D8D" u="1"/>
        <s v="00JW2KKU" u="1"/>
        <s v="00JW3FDN" u="1"/>
        <s v="00JW3FF2" u="1"/>
        <s v="00JW3FKA" u="1"/>
        <s v="00JW3FL8" u="1"/>
        <s v="00JW3FNF" u="1"/>
        <s v="00JW3FNL" u="1"/>
        <s v="00JW3G8C" u="1"/>
        <s v="00JW3GC3" u="1"/>
        <s v="00JW3GSK" u="1"/>
        <s v="00JW3HVM" u="1"/>
        <s v="00JW3HWK" u="1"/>
        <s v="00JW54XK" u="1"/>
        <s v="00JW579F" u="1"/>
        <s v="00JW5B0X" u="1"/>
        <s v="00JW5CHA" u="1"/>
        <s v="00JW5DZJ" u="1"/>
        <s v="00JW5GR1" u="1"/>
        <s v="00JW5GU9" u="1"/>
        <s v="00JW5H1U" u="1"/>
        <s v="00JW5MB0" u="1"/>
        <s v="00JW5MCA" u="1"/>
        <s v="00JW69AY" u="1"/>
        <s v="00JW6974" u="1"/>
        <s v="00JWBWSR" u="1"/>
        <s v="00JWBYF1" u="1"/>
        <s v="00JW9U8T" u="1"/>
        <s v="00JW69NY" u="1"/>
        <s v="00JW67XF" u="1"/>
        <s v="00JWBTPH" u="1"/>
        <s v="00JWBGIC" u="1"/>
        <s v="00JWBGI9" u="1"/>
        <s v="00JWAQ47" u="1"/>
        <s v="00JW9VI4" u="1"/>
        <s v="00JW9UOK" u="1"/>
        <s v="00JW9U6I" u="1"/>
        <s v="00JW6A86" u="1"/>
        <s v="00JW6A7V" u="1"/>
        <s v="00JW69EG" u="1"/>
        <s v="00JW6A22" u="1"/>
        <s v="00JW6A8K" u="1"/>
        <s v="00JWA37T" u="1"/>
        <s v="00JWAC9K" u="1"/>
        <s v="00JWACC5" u="1"/>
        <s v="00JWBWPH" u="1"/>
        <s v="00JWBXB0" u="1"/>
        <s v="00JWBXOD" u="1"/>
        <s v="00JW699D" u="1"/>
        <s v="00JW6DL8" u="1"/>
        <s v="00JWBVJZ" u="1"/>
        <s v="00JW695Z" u="1"/>
        <s v="00JW6A6N" u="1"/>
        <s v="00JW6DXR" u="1"/>
        <s v="00JW689Q" u="1"/>
        <s v="00JWGKV1" u="1"/>
        <s v="00JWGKQU" u="1"/>
        <s v="00JWGKIB" u="1"/>
        <s v="00JWH0AB" u="1"/>
        <s v="00JWGKLS" u="1"/>
        <s v="00JXH9T9" u="1"/>
        <s v="00JXLDCO" u="1"/>
        <s v="00JXNAVW" u="1"/>
        <s v="00JXLC6B" u="1"/>
        <s v="00JXJER0" u="1"/>
        <s v="00JXJEUO" u="1"/>
        <s v="00JXJEZ8" u="1"/>
        <s v="00JXLEK3" u="1"/>
        <s v="00JXJCBC" u="1"/>
        <s v="00JXJRSJ" u="1"/>
        <s v="00JXJRY2" u="1"/>
        <s v="00JXJRYN" u="1"/>
        <s v="00JXJRZV" u="1"/>
        <s v="00JXJSD9" u="1"/>
        <s v="00JXJSW6" u="1"/>
        <s v="00JXJWVI" u="1"/>
        <s v="00JXJWXW" u="1"/>
        <s v="00JXJXB4" u="1"/>
        <s v="00JXJXCA" u="1"/>
        <s v="00JXLASL" u="1"/>
        <s v="00JXMDVN" u="1"/>
        <s v="00JV20KP" u="1"/>
        <s v="00JXJLUN" u="1"/>
        <s v="00JXJM31" u="1"/>
        <s v="00JXJPPH" u="1"/>
        <s v="00JXJQOJ" u="1"/>
        <s v="00JXJR56" u="1"/>
        <s v="00JXLEOG" u="1"/>
        <s v="00JXLJN1" u="1"/>
        <s v="00JXMYZY" u="1"/>
        <s v="00JXMZ38" u="1"/>
        <s v="00JXN5TT" u="1"/>
        <s v="00JXN67Z" u="1"/>
        <s v="00JXN6HV" u="1"/>
        <s v="00JXN6JT" u="1"/>
        <s v="00JXNV3F" u="1"/>
        <s v="00JXNU0E" u="1"/>
        <s v="00JXR7LD" u="1"/>
        <s v="00JXR7IQ" u="1"/>
        <s v="00JXPA9Q" u="1"/>
        <s v="00JXP92N" u="1"/>
        <s v="00JXP7M0" u="1"/>
        <s v="00JXNV9O" u="1"/>
        <s v="00JXP2IV" u="1"/>
        <s v="00JXP2KL" u="1"/>
        <s v="00JXP31H" u="1"/>
        <s v="00JXR7UE" u="1"/>
        <s v="00JXP59S" u="1"/>
        <s v="00JXP57R" u="1"/>
        <s v="00JXNJBO" u="1"/>
        <s v="00JXP2IW" u="1"/>
        <s v="00JXNQI2" u="1"/>
        <s v="00JXWR1J" u="1"/>
        <s v="00JXWQVG" u="1"/>
        <s v="00JXWQS2" u="1"/>
        <s v="00JXWQDJ" u="1"/>
        <s v="00JXWQBG" u="1"/>
        <s v="00JXRTVB" u="1"/>
        <s v="00JXRB0G" u="1"/>
        <s v="00JXWUHN" u="1"/>
        <s v="00JXYEJZ" u="1"/>
        <s v="00JXRSDY" u="1"/>
        <s v="00JXWRK0" u="1"/>
        <s v="00JXX867" u="1"/>
        <s v="00JXXLYP" u="1"/>
        <s v="00JXYBKL" u="1"/>
        <s v="00JXRDC4" u="1"/>
        <s v="00JXVX5Y" u="1"/>
        <s v="00JXRSIJ" u="1"/>
        <s v="00JXRTFR" u="1"/>
        <s v="00JXRTZ4" u="1"/>
        <s v="00JXVVWF" u="1"/>
        <s v="00JXXE4G" u="1"/>
        <s v="00JXXE72" u="1"/>
        <s v="00JXXEMI" u="1"/>
        <s v="00JXXV5E" u="1"/>
        <s v="00JY2SFX" u="1"/>
        <s v="00JY2THV" u="1"/>
        <s v="00JY2WS5" u="1"/>
        <s v="00JY2WSU" u="1"/>
        <s v="00JY2XEV" u="1"/>
        <s v="00JY2OCX" u="1"/>
        <s v="00JY2XF9" u="1"/>
        <s v="00JY2RSR" u="1"/>
        <s v="00JY3VP6" u="1"/>
        <s v="00JY3VTF" u="1"/>
        <s v="00JXXD2F" u="1"/>
        <s v="00JY3VLX" u="1"/>
        <s v="00JY3ARQ" u="1"/>
        <s v="00JY3CR4" u="1"/>
        <s v="00JY3CSS" u="1"/>
        <s v="00JY3AKD" u="1"/>
        <s v="00JY3AQS" u="1"/>
        <s v="00JY3CR0" u="1"/>
        <s v="00JY3AQK" u="1"/>
        <s v="00JY3DD8" u="1"/>
        <s v="00JYG6KP" u="1"/>
        <s v="00JYG6PF" u="1"/>
        <s v="00JYG6TQ" u="1"/>
        <s v="00JYG7GR" u="1"/>
        <s v="00JYG8IG" u="1"/>
        <s v="00JYG8W7" u="1"/>
        <s v="00JYG9EM" u="1"/>
        <s v="00JYGAKM" u="1"/>
        <s v="00JYGAYW" u="1"/>
        <s v="00JYHF52" u="1"/>
        <s v="00JYHKKK" u="1"/>
        <s v="00JY3CYA" u="1"/>
        <s v="00JYKWXR" u="1"/>
        <s v="00JYKWQO" u="1"/>
        <s v="00JYKW8B" u="1"/>
        <s v="00JYKW5G" u="1"/>
        <s v="00JYKVEU" u="1"/>
        <s v="00JYKV5A" u="1"/>
        <s v="00JYKV36" u="1"/>
        <s v="00JYKV2E" u="1"/>
        <s v="00JYKUYS" u="1"/>
        <s v="00JYKUSQ" u="1"/>
        <s v="00JYKUK6" u="1"/>
        <s v="00JYKUGE" u="1"/>
        <s v="00JYKUDF" u="1"/>
        <s v="00JYKU5G" u="1"/>
        <s v="00JYHRQI" u="1"/>
        <s v="00JYHRAF" u="1"/>
        <s v="00JYKX1Q" u="1"/>
        <s v="00JYL6B7" u="1"/>
        <s v="00JYNAF6" u="1"/>
        <s v="00JYID71" u="1"/>
        <s v="00JYI0I8" u="1"/>
        <s v="00JYLRGG" u="1"/>
        <s v="00JYNDZA" u="1"/>
        <s v="00JYLQHA" u="1"/>
        <s v="00JYLQKD" u="1"/>
        <s v="00JYLR6C" u="1"/>
        <s v="00JYLRNH" u="1"/>
        <s v="00JYNAGZ" u="1"/>
        <s v="00JYNB0N" u="1"/>
        <s v="00JYNPTC" u="1"/>
        <s v="00JYNPY7" u="1"/>
        <s v="00JYNQ1Q" u="1"/>
        <s v="00JYNQ37" u="1"/>
        <s v="00JYNUMP" u="1"/>
        <s v="00JYNVSM" u="1"/>
        <s v="00JYNVT3" u="1"/>
        <s v="00JYNW00" u="1"/>
        <s v="00JYPUMZ" u="1"/>
        <s v="00JYP4O3" u="1"/>
        <s v="00JYP4LF" u="1"/>
        <s v="00JYQ0C5" u="1"/>
        <s v="00JYPVR4" u="1"/>
        <s v="00JYPVN0" u="1"/>
        <s v="00JYPVJK" u="1"/>
        <s v="00JYPHHQ" u="1"/>
        <s v="00JYOOVW" u="1"/>
        <s v="00JYOOTY" u="1"/>
        <s v="00JYQN16" u="1"/>
        <s v="00JYQNJ8" u="1"/>
        <s v="00JYOJSL" u="1"/>
        <s v="00JYP4S5" u="1"/>
        <s v="00JYP4UT" u="1"/>
        <s v="00JYP4WB" u="1"/>
        <s v="00JYP5OG" u="1"/>
        <s v="00JYP5V6" u="1"/>
        <s v="00JYQB0K" u="1"/>
        <s v="00JYQB22" u="1"/>
        <s v="00JYQB99" u="1"/>
        <s v="00JYQC0Z" u="1"/>
        <s v="00JYQC1S" u="1"/>
        <s v="00JYQC2T" u="1"/>
        <s v="00JYNTLX" u="1"/>
        <s v="00JYNPXJ" u="1"/>
        <s v="00JYSAZT" u="1"/>
        <s v="00JYSB0G" u="1"/>
        <s v="00JYS77C" u="1"/>
        <s v="00JYS6GF" u="1"/>
        <s v="00JYS6P0" u="1"/>
        <s v="00JYRHEM" u="1"/>
        <s v="00JYRHG7" u="1"/>
        <s v="00JYS6KJ" u="1"/>
        <s v="00JYS6L7" u="1"/>
        <s v="00JYS75R" u="1"/>
        <s v="00JYSAWM" u="1"/>
        <s v="00JYSAYC" u="1"/>
        <s v="00JYSAXH" u="1"/>
        <s v="00JYSAV5" u="1"/>
        <s v="00JYS6OF" u="1"/>
        <s v="00JYS6PL" u="1"/>
        <s v="00JYS6PM" u="1"/>
        <s v="00JYS6Y4" u="1"/>
        <s v="00JYS6YH" u="1"/>
        <s v="00JYS6ZM" u="1"/>
        <s v="00JYS70H" u="1"/>
        <s v="00JYQHPF" u="1"/>
        <s v="00JYS6N5" u="1"/>
        <s v="00JYS5J6" u="1"/>
        <s v="00JYS6IW" u="1"/>
        <s v="00JYS6HA" u="1"/>
        <s v="00JYS6MR" u="1"/>
        <s v="00JYS6KX" u="1"/>
        <s v="00JYS6JQ" u="1"/>
        <s v="00JYS6J3" u="1"/>
        <s v="00JYS6I2" u="1"/>
        <s v="00JYRHDK" u="1"/>
        <s v="00JYRGKX" u="1"/>
        <s v="00JYQWAB" u="1"/>
        <s v="00JYS6JO" u="1"/>
        <s v="00JYQO6E" u="1"/>
        <s v="00JYRHFG" u="1"/>
        <s v="00JYOOSE" u="1"/>
        <s v="00JYQEQ2" u="1"/>
        <s v="00JYQHQZ" u="1"/>
        <s v="00JYRHT4" u="1"/>
        <s v="00JYRJNX" u="1"/>
        <s v="00JYRLJN" u="1"/>
        <s v="00JYS17I" u="1"/>
        <s v="00JYS6KM" u="1"/>
        <s v="00JYS7KZ" u="1"/>
        <s v="00JYXHU8" u="1"/>
        <s v="00JYXI0T" u="1"/>
        <s v="00JYXI3C" u="1"/>
        <s v="00JYXVCB" u="1"/>
        <s v="00JYSAMR" u="1"/>
        <s v="00JYX6GK" u="1"/>
        <s v="00JYX6JD" u="1"/>
        <s v="00JYX6KP" u="1"/>
        <s v="00JYXC5V" u="1"/>
        <s v="00JYXEXH" u="1"/>
        <s v="00JYXHIS" u="1"/>
        <s v="00JYXV4X" u="1"/>
        <s v="00JYXV6Y" u="1"/>
        <s v="00JYSQQ1" u="1"/>
        <s v="00JYXEYL" u="1"/>
        <s v="00JYXHK8" u="1"/>
        <s v="00JYXV66" u="1"/>
        <s v="00JYXDBZ" u="1"/>
        <s v="00JYX59Q" u="1"/>
        <s v="00JYX3OA" u="1"/>
        <s v="00JYSHPM" u="1"/>
        <s v="00JYY1AL" u="1"/>
        <s v="00JYY18F" u="1"/>
        <s v="00JYXXTH" u="1"/>
        <s v="00JYXW7H" u="1"/>
        <s v="00JYXW2B" u="1"/>
        <s v="00JYXVX8" u="1"/>
        <s v="00JYXVEW" u="1"/>
        <s v="00JYXVDH" u="1"/>
        <s v="00JYXV91" u="1"/>
        <s v="00JYVW5A" u="1"/>
        <s v="00JYVW0E" u="1"/>
        <s v="00JYXC3O" u="1"/>
        <s v="00JYXI49" u="1"/>
        <s v="00JYXBN7" u="1"/>
        <s v="00JYX6OI" u="1"/>
        <s v="00JYXV4M" u="1"/>
        <s v="00JYXI2X" u="1"/>
        <s v="00JYXI1P" u="1"/>
        <s v="00JYXI0L" u="1"/>
        <s v="00JYXHXN" u="1"/>
        <s v="00JYXHW5" u="1"/>
        <s v="00JYXHW1" u="1"/>
        <s v="00JYXHT1" u="1"/>
        <s v="00JYXHOE" u="1"/>
        <s v="00JYXHH1" u="1"/>
        <s v="00JYXD85" u="1"/>
        <s v="00JYXD7O" u="1"/>
        <s v="00JYXCR5" u="1"/>
        <s v="00JYX57W" u="1"/>
        <s v="00JYX4K6" u="1"/>
        <s v="00JYX3AX" u="1"/>
        <s v="00JYSQQX" u="1"/>
        <s v="00JYW1GQ" u="1"/>
        <s v="00JYSHQ8" u="1"/>
        <s v="00JYSCHA" u="1"/>
        <s v="00JYSCD7" u="1"/>
        <s v="00JYWZUZ" u="1"/>
        <s v="00JYW33Y" u="1"/>
        <s v="00JYVNOL" u="1"/>
        <s v="00JYVNFV" u="1"/>
        <s v="00JYSQRB" u="1"/>
        <s v="00JYPG1X" u="1"/>
        <s v="00JZ6373" u="1"/>
        <s v="00JZ6377" u="1"/>
        <s v="00JZ638L" u="1"/>
        <s v="00JZ638Z" u="1"/>
        <s v="00JZ642R" u="1"/>
        <s v="00JZ643C" u="1"/>
        <s v="00JZ644H" u="1"/>
        <s v="00JZ6458" u="1"/>
        <s v="00JZ645B" u="1"/>
        <s v="00JZ646E" u="1"/>
        <s v="00JYYN6N" u="1"/>
        <s v="00JYYNSG" u="1"/>
        <s v="00JYYPC3" u="1"/>
        <s v="00JZ6332" u="1"/>
        <s v="00JZ6349" u="1"/>
        <s v="00JYYNYT" u="1"/>
        <s v="00JZ635K" u="1"/>
        <s v="00JZ6347" u="1"/>
        <s v="00JZ633P" u="1"/>
        <s v="00JZ631A" u="1"/>
        <s v="00JZ61ZX" u="1"/>
        <s v="00JZ619E" u="1"/>
        <s v="00JZ6159" u="1"/>
        <s v="00JZ611Q" u="1"/>
        <s v="00JZ52VI" u="1"/>
        <s v="00JZ52OK" u="1"/>
        <s v="00JZ50WA" u="1"/>
        <s v="00JZ23ZB" u="1"/>
        <s v="00JZ201J" u="1"/>
        <s v="00JZ1ZSW" u="1"/>
        <s v="00JYYPBW" u="1"/>
        <s v="00JYYNBD" u="1"/>
        <s v="00JYYNX6" u="1"/>
        <s v="00JYYNVY" u="1"/>
        <s v="00JYYNUZ" u="1"/>
        <s v="00JYYNUP" u="1"/>
        <s v="00JYYNX7" u="1"/>
        <s v="00JYYNVX" u="1"/>
        <s v="00JYYNSX" u="1"/>
        <s v="00JYY641" u="1"/>
        <s v="00JYY1LE" u="1"/>
        <s v="00JYYNA9" u="1"/>
        <s v="00JYYMYL" u="1"/>
        <s v="00JYYCJU" u="1"/>
        <s v="00JYYCAE" u="1"/>
        <s v="00JYY2YE" u="1"/>
        <s v="00JZ5ZAT" u="1"/>
        <s v="00JZ2505" u="1"/>
        <s v="00JZ24Z5" u="1"/>
        <s v="00JZ24UU" u="1"/>
        <s v="00JZ24T9" u="1"/>
        <s v="00JZ23Z3" u="1"/>
        <s v="00JYYH7W" u="1"/>
        <s v="00JYYGDG" u="1"/>
        <s v="00JYYF4T" u="1"/>
        <s v="00JYYEHC" u="1"/>
        <s v="00JYYCIM" u="1"/>
        <s v="00JYYCF4" u="1"/>
        <s v="00JYYCCZ" u="1"/>
        <s v="00JYYCBT" u="1"/>
        <s v="00JYYB7A" u="1"/>
        <s v="00JYYB20" u="1"/>
        <s v="00JZ59X1" u="1"/>
        <s v="00JZ5TWI" u="1"/>
        <s v="00JZ56WU" u="1"/>
        <s v="00JYYNU1" u="1"/>
        <s v="00JZBYL4" u="1"/>
        <s v="00JZBYXZ" u="1"/>
        <s v="00JZBN61" u="1"/>
        <s v="00JZBN2R" u="1"/>
        <s v="00JZBEQY" u="1"/>
        <s v="00JZBE70" u="1"/>
        <s v="00JZBDRH" u="1"/>
        <s v="00JZBAZ2" u="1"/>
        <s v="00JZ6SYP" u="1"/>
        <s v="00JZ6RU1" u="1"/>
        <s v="00JZ6RTU" u="1"/>
        <s v="00JZ6R5G" u="1"/>
        <s v="00JZBN2U" u="1"/>
        <s v="00JZBE8J" u="1"/>
        <s v="00JZBDZ2" u="1"/>
        <s v="00JZBDVO" u="1"/>
        <s v="00JZBB11" u="1"/>
        <s v="00JZBAXB" u="1"/>
        <s v="00JZBAIP" u="1"/>
        <s v="00JZBAFA" u="1"/>
        <s v="00JZB9Z7" u="1"/>
        <s v="00JZ6UJD" u="1"/>
        <s v="00JZ6UKS" u="1"/>
        <s v="00JZ6UK5" u="1"/>
        <s v="00JZ6T34" u="1"/>
        <s v="00JZ6SZL" u="1"/>
        <s v="00JZ6SY1" u="1"/>
        <s v="00JZ6SOP" u="1"/>
        <s v="00JZ6SOC" u="1"/>
        <s v="00JZ6SO1" u="1"/>
        <s v="00JZ6RTA" u="1"/>
        <s v="00JZ6RNG" u="1"/>
        <s v="00JZ6RMA" u="1"/>
        <s v="00JZ6RFF" u="1"/>
        <s v="00JZ6QLM" u="1"/>
        <s v="00JZ6QIB" u="1"/>
        <s v="00JZ6Q91" u="1"/>
        <s v="00JZ6Q5R" u="1"/>
        <s v="00JZ6Q1W" u="1"/>
        <s v="00JZ6OD9" u="1"/>
        <s v="00JZ6O1U" u="1"/>
        <s v="00JZ6O0P" u="1"/>
        <s v="00JZ6NYD" u="1"/>
        <s v="00JZ6NWN" u="1"/>
        <s v="00JZ6UAN" u="1"/>
        <s v="00JZBZ1V" u="1"/>
        <s v="00JZBYZ6" u="1"/>
        <s v="00JZBYXT" u="1"/>
        <s v="00JZBYK6" u="1"/>
        <s v="00JZBYIP" u="1"/>
        <s v="00JZBYHN" u="1"/>
        <s v="00JZBY8V" u="1"/>
        <s v="00JZBY7H" u="1"/>
        <s v="00JZBY5V" u="1"/>
        <s v="00JZBNO3" u="1"/>
        <s v="00JZBN81" u="1"/>
        <s v="00JZBN6Y" u="1"/>
        <s v="00JZBN4Y" u="1"/>
        <s v="00JZBN4Q" u="1"/>
        <s v="00JZBN3V" u="1"/>
        <s v="00JZBN2A" u="1"/>
        <s v="00JZBN23" u="1"/>
        <s v="00JZ6T1B" u="1"/>
        <s v="00JZ6RTM" u="1"/>
        <s v="00JZ6R68" u="1"/>
        <s v="00JZ6Q5O" u="1"/>
        <s v="00JZ6P8B" u="1"/>
        <s v="00JZ6OFY" u="1"/>
        <s v="00JZ6NZN" u="1"/>
        <s v="00JZBMDW" u="1"/>
        <s v="00JZBEAJ" u="1"/>
        <s v="00JZBDXQ" u="1"/>
        <s v="00JZBDQH" u="1"/>
        <s v="00JZBB45" u="1"/>
        <s v="00JZB9W3" u="1"/>
        <s v="00JZ6QCR" u="1"/>
        <s v="00JZ6NZ0" u="1"/>
        <s v="00JZC8VH" u="1"/>
        <s v="00JZC7XP" u="1"/>
        <s v="00JZC7W3" u="1"/>
        <s v="00JZC7TQ" u="1"/>
        <s v="00JZC7QE" u="1"/>
        <s v="00JZBZ2I" u="1"/>
        <s v="00JZ6PCJ" u="1"/>
        <s v="00JZBMG2" u="1"/>
        <s v="00JZBEYH" u="1"/>
        <s v="00JZBE4I" u="1"/>
        <s v="00JZBE2F" u="1"/>
        <s v="00JZBDW1" u="1"/>
        <s v="00JZBB4X" u="1"/>
        <s v="00JZBAX9" u="1"/>
        <s v="00JZ6UNT" u="1"/>
        <s v="00JZ6U8O" u="1"/>
        <s v="00JZ6T26" u="1"/>
        <s v="00JZ6RVT" u="1"/>
        <s v="00JZ6RVD" u="1"/>
        <s v="00JZ6RUP" u="1"/>
        <s v="00JZ6RRJ" u="1"/>
        <s v="00JZ6RC2" u="1"/>
        <s v="00JZ6QKP" u="1"/>
        <s v="00JZ6Q8H" u="1"/>
        <s v="00JZ6QCA" u="1"/>
        <s v="00JZ6R0W" u="1"/>
        <s v="00JZ6R9C" u="1"/>
        <s v="00JZ6RQD" u="1"/>
        <s v="00JZBLAJ" u="1"/>
        <s v="00JZ6UM1" u="1"/>
        <s v="00JZ6U73" u="1"/>
        <s v="00JZ6SXO" u="1"/>
        <s v="00JZ6RP7" u="1"/>
        <s v="00JZ6QHW" u="1"/>
        <s v="00JZ6Q6P" u="1"/>
        <s v="00JZ6Q8B" u="1"/>
        <s v="00JZBE53" u="1"/>
        <s v="00JZBE3S" u="1"/>
        <s v="00JZBDUK" u="1"/>
        <s v="00JZBDTA" u="1"/>
        <s v="00JZBDT6" u="1"/>
        <s v="00JZBDQ1" u="1"/>
        <s v="00JZBDPA" u="1"/>
        <s v="00JZBDJ6" u="1"/>
        <s v="00JZBDJ4" u="1"/>
        <s v="00JZBCIZ" u="1"/>
        <s v="00JZBBYB" u="1"/>
        <s v="00JZBBKH" u="1"/>
        <s v="00JZBB5O" u="1"/>
        <s v="00JZBAYV" u="1"/>
        <s v="00JZBANF" u="1"/>
        <s v="00JZBALL" u="1"/>
        <s v="00JZBALK" u="1"/>
        <s v="00JZBAKQ" u="1"/>
        <s v="00JZBAE1" u="1"/>
        <s v="00JZBA1C" u="1"/>
        <s v="00JZ6UNG" u="1"/>
        <s v="00JZ6ULK" u="1"/>
        <s v="00JZ6Q88" u="1"/>
        <s v="00JZ6Q63" u="1"/>
        <s v="00JZ6Q4M" u="1"/>
        <s v="00JZ6Q0P" u="1"/>
        <s v="00JZ6PGN" u="1"/>
        <s v="00JZ6PAG" u="1"/>
        <s v="00JZBN05" u="1"/>
        <s v="00JZBMTX" u="1"/>
        <s v="00JZBMHO" u="1"/>
        <s v="00JZBEHG" u="1"/>
        <s v="00JZBED7" u="1"/>
        <s v="00JZBECI" u="1"/>
        <s v="00JZ8VKU" u="1"/>
        <s v="00JZ6RA5" u="1"/>
        <s v="00JZ8VZ1" u="1"/>
        <s v="00JZBK96" u="1"/>
        <s v="00JZ8VSR" u="1"/>
        <s v="00JZBEWP" u="1"/>
        <s v="00JZ8US9" u="1"/>
        <s v="00JZ6NZT" u="1"/>
        <s v="00JZ6QOG" u="1"/>
        <s v="00JZ6R6R" u="1"/>
        <s v="00JZ6R8G" u="1"/>
        <s v="00JZ6RJF" u="1"/>
        <s v="00JZ6SNS" u="1"/>
        <s v="00JZ6U8N" u="1"/>
        <s v="00JZ6UAL" u="1"/>
        <s v="00JZ8TI0" u="1"/>
        <s v="00JZBO7M" u="1"/>
        <s v="00JZBOPT" u="1"/>
        <s v="00JZBR2L" u="1"/>
        <s v="00JZBR3X" u="1"/>
        <s v="00JZBS10" u="1"/>
        <s v="00JZBSFA" u="1"/>
        <s v="00JZBSH6" u="1"/>
        <s v="00JZBX4D" u="1"/>
        <s v="00JZF7BH" u="1"/>
        <s v="00JZF7EL" u="1"/>
        <s v="00JZEJCW" u="1"/>
        <s v="00JZEYGZ" u="1"/>
        <s v="00JZEKBO" u="1"/>
        <s v="00JZEMP0" u="1"/>
        <s v="00JZEK6R" u="1"/>
        <s v="00JZEK9A" u="1"/>
        <s v="00JZEYFR" u="1"/>
        <s v="00JZF0L9" u="1"/>
        <s v="00JZF0OH" u="1"/>
        <s v="00JZF0PG" u="1"/>
        <s v="00JZEK64" u="1"/>
        <s v="00JZEK4W" u="1"/>
        <s v="00JZEJEP" u="1"/>
        <s v="00JZC7WR" u="1"/>
        <s v="00JZFSOA" u="1"/>
        <s v="00JZFSNA" u="1"/>
        <s v="00JZF39L" u="1"/>
        <s v="00JZF37D" u="1"/>
        <s v="00JZF364" u="1"/>
        <s v="00JZF0QW" u="1"/>
        <s v="00JZF34Q" u="1"/>
        <s v="00JZEYVJ" u="1"/>
        <s v="00JZEYPI" u="1"/>
        <s v="00JZF0N2" u="1"/>
        <s v="00JZEYDL" u="1"/>
        <s v="00JZC8RS" u="1"/>
        <s v="00JZEYWZ" u="1"/>
        <s v="00JZEYN6" u="1"/>
        <s v="00JZEKF2" u="1"/>
        <s v="00JZEKAW" u="1"/>
        <s v="00JZF0O1" u="1"/>
        <s v="00JZF0JG" u="1"/>
        <s v="00JZEYJZ" u="1"/>
        <s v="00JZEYHL" u="1"/>
        <s v="00JZC8WG" u="1"/>
        <s v="00JZEYOJ" u="1"/>
        <s v="00JZCAHJ" u="1"/>
        <s v="00JZEYNQ" u="1"/>
        <s v="00JZEYO2" u="1"/>
        <s v="00JZF0JK" u="1"/>
        <s v="00JZF9I0" u="1"/>
        <s v="00JZVMZK" u="1"/>
        <s v="00JZVN5I" u="1"/>
        <s v="00JZVNIF" u="1"/>
        <s v="00JZVNIK" u="1"/>
        <s v="00JZVNJU" u="1"/>
        <s v="00JZVNPZ" u="1"/>
        <s v="00JZVNS5" u="1"/>
        <s v="00JZVNUD" u="1"/>
        <s v="00JZVNVO" u="1"/>
        <s v="00JZVNWV" u="1"/>
        <s v="00JZVNZY" u="1"/>
        <s v="00JZVRC9" u="1"/>
        <s v="00JZVMYO" u="1"/>
        <s v="00JZVMWF" u="1"/>
        <s v="00JZUG67" u="1"/>
        <s v="00JZUG5V" u="1"/>
        <s v="00JZUG5N" u="1"/>
        <s v="00JZUG3T" u="1"/>
        <s v="00JZUG2I" u="1"/>
        <s v="00JZUFE9" u="1"/>
        <s v="00JZTALC" u="1"/>
        <s v="00JZTAKJ" u="1"/>
        <s v="00JZUG7N" u="1"/>
        <s v="00JZU95R" u="1"/>
        <s v="00JZU94Z" u="1"/>
        <s v="00JZU946" u="1"/>
        <s v="00JZU93P" u="1"/>
        <s v="00JZU93C" u="1"/>
        <s v="00JZU937" u="1"/>
        <s v="00JZU923" u="1"/>
        <s v="00JZU91N" u="1"/>
        <s v="00JZU8XH" u="1"/>
        <s v="00JZU8X6" u="1"/>
        <s v="00JZU8VJ" u="1"/>
        <s v="00JZU8UA" u="1"/>
        <s v="00JZU8U1" u="1"/>
        <s v="00JZU8TC" u="1"/>
        <s v="00JZTQHE" u="1"/>
        <s v="00JZTQCY" u="1"/>
        <s v="00JZTQCF" u="1"/>
        <s v="00JZTQBX" u="1"/>
        <s v="00JZTQBK" u="1"/>
        <s v="00JZTQ59" u="1"/>
        <s v="00JZVRIX" u="1"/>
        <s v="00JZUG6O" u="1"/>
        <s v="00JZVHLD" u="1"/>
        <s v="00JZG7AW" u="1"/>
        <s v="00JZU96I" u="1"/>
        <s v="00JZU96X" u="1"/>
        <s v="00JZTQGJ" u="1"/>
        <s v="00JZU8VV" u="1"/>
        <s v="00JZU8XZ" u="1"/>
        <s v="00JZU8RZ" u="1"/>
        <s v="00JZU8SJ" u="1"/>
        <s v="00JZU95I" u="1"/>
        <s v="00JZTQFU" u="1"/>
        <s v="00K008DT" u="1"/>
        <s v="00K00KME" u="1"/>
        <s v="00K00KSH" u="1"/>
        <s v="00K00M6K" u="1"/>
        <s v="00K00MNB" u="1"/>
        <s v="00K00TOI" u="1"/>
        <s v="00K00X62" u="1"/>
        <s v="00K0199X" u="1"/>
        <s v="00K01AF1" u="1"/>
        <s v="00K01AL8" u="1"/>
        <s v="00JZW9ZH" u="1"/>
        <s v="00JZWD3L" u="1"/>
        <s v="00JZYSON" u="1"/>
        <s v="00JZZZIC" u="1"/>
        <s v="00K001WE" u="1"/>
        <s v="00K00M4E" u="1"/>
        <s v="00K00MJZ" u="1"/>
        <s v="00K0199A" u="1"/>
        <s v="00K002UG" u="1"/>
        <s v="00K00KOD" u="1"/>
        <s v="00K00X31" u="1"/>
        <s v="00K01AK7" u="1"/>
        <s v="00JZW6RT" u="1"/>
        <s v="00K000VI" u="1"/>
        <s v="00K000RP" u="1"/>
        <s v="00K000QF" u="1"/>
        <s v="00JZYUP6" u="1"/>
        <s v="00K01AOF" u="1"/>
        <s v="00K01AJ4" u="1"/>
        <s v="00K01AHC" u="1"/>
        <s v="00K01AG4" u="1"/>
        <s v="00K01ADU" u="1"/>
        <s v="00K01AAR" u="1"/>
        <s v="00K01A9F" u="1"/>
        <s v="00K01A70" u="1"/>
        <s v="00K01999" u="1"/>
        <s v="00K000XI" u="1"/>
        <s v="00K000Z7" u="1"/>
        <s v="00K002SQ" u="1"/>
        <s v="00K005OJ" u="1"/>
        <s v="00K00890" u="1"/>
        <s v="00K00TYU" u="1"/>
        <s v="00K00VVT" u="1"/>
        <s v="00K00WGO" u="1"/>
        <s v="00K00WIB" u="1"/>
        <s v="00K00WNM" u="1"/>
        <s v="00K00X7W" u="1"/>
        <s v="00JZW6Q6" u="1"/>
        <s v="00JZW6T6" u="1"/>
        <s v="00JZW6VO" u="1"/>
        <s v="00JZW6XL" u="1"/>
        <s v="00K00M1U" u="1"/>
        <s v="00K00TRW" u="1"/>
        <s v="00K00WXN" u="1"/>
        <s v="00JZW6UE" u="1"/>
        <s v="00JZW9OH" u="1"/>
        <s v="00JZWA09" u="1"/>
        <s v="00JZWC4C" u="1"/>
        <s v="00JZZZQ5" u="1"/>
        <s v="00K0010S" u="1"/>
        <s v="00K0012R" u="1"/>
        <s v="00K001NV" u="1"/>
        <s v="00K002PV" u="1"/>
        <s v="00K00KTZ" u="1"/>
        <s v="00K00LW4" u="1"/>
        <s v="00K00LXZ" u="1"/>
        <s v="00K00LYR" u="1"/>
        <s v="00K00M55" u="1"/>
        <s v="00K00M8D" u="1"/>
        <s v="00K00M9E" u="1"/>
        <s v="00K00MAD" u="1"/>
        <s v="00K00MIH" u="1"/>
        <s v="00K00MMH" u="1"/>
        <s v="00K00QBE" u="1"/>
        <s v="00K00R2I" u="1"/>
        <s v="00K00R4B" u="1"/>
        <s v="00K00TWG" u="1"/>
        <s v="00JZWE7O" u="1"/>
        <s v="00JZW979" u="1"/>
        <s v="00JZWC8S" u="1"/>
        <s v="00K01762" u="1"/>
        <s v="00K000HC" u="1"/>
        <s v="00JZWCSA" u="1"/>
        <s v="00JZWCB6" u="1"/>
        <s v="00K000JK" u="1"/>
        <s v="00K000DF" u="1"/>
        <s v="00K000AK" u="1"/>
        <s v="00K031T5" u="1"/>
        <s v="00K031PO" u="1"/>
        <s v="00K02OC1" u="1"/>
        <s v="00K02OBB" u="1"/>
        <s v="00K02OAS" u="1"/>
        <s v="00K033CW" u="1"/>
        <s v="00K033JY" u="1"/>
        <s v="00K034PN" u="1"/>
        <s v="00K034QT" u="1"/>
        <s v="00K034X2" u="1"/>
        <s v="00K034Y0" u="1"/>
        <s v="00K035AF" u="1"/>
        <s v="00K001LJ" u="1"/>
        <s v="00K02HGP" u="1"/>
        <s v="00K01S4V" u="1"/>
        <s v="00K01S39" u="1"/>
        <s v="00K01RYH" u="1"/>
        <s v="00K01RV0" u="1"/>
        <s v="00K01QDZ" u="1"/>
        <s v="00K01QFK" u="1"/>
        <s v="00K01QQE" u="1"/>
        <s v="00K01QSG" u="1"/>
        <s v="00K01QTS" u="1"/>
        <s v="00K01R15" u="1"/>
        <s v="00K01R2F" u="1"/>
        <s v="00K01RCK" u="1"/>
        <s v="00K01RNR" u="1"/>
        <s v="00K01ZPL" u="1"/>
        <s v="00K03NFU" u="1"/>
        <s v="00K03M79" u="1"/>
        <s v="00K02XDH" u="1"/>
        <s v="00K02JX5" u="1"/>
        <s v="00K02HKL" u="1"/>
        <s v="00K02HFP" u="1"/>
        <s v="00K02HCM" u="1"/>
        <s v="00K020DN" u="1"/>
        <s v="00K020D6" u="1"/>
        <s v="00K020CR" u="1"/>
        <s v="00K020AW" u="1"/>
        <s v="00K0209U" u="1"/>
        <s v="00K01ZQD" u="1"/>
        <s v="00K01ZCR" u="1"/>
        <s v="00K01YFW" u="1"/>
        <s v="00K01XIT" u="1"/>
        <s v="00K01XBQ" u="1"/>
        <s v="00K01XAX" u="1"/>
        <s v="00K01U6H" u="1"/>
        <s v="00K01RBU" u="1"/>
        <s v="00K01ZQO" u="1"/>
        <s v="00K05F5H" u="1"/>
        <s v="00K05FRR" u="1"/>
        <s v="00K05BJK" u="1"/>
        <s v="00K05BT3" u="1"/>
        <s v="00K05DEH" u="1"/>
        <s v="00K05DF4" u="1"/>
        <s v="00K06X3D" u="1"/>
        <s v="00K05BM5" u="1"/>
        <s v="00K05F6H" u="1"/>
        <s v="00K06JW8" u="1"/>
        <s v="00K06MGS" u="1"/>
        <s v="00K06MWA" u="1"/>
        <s v="00K05DX6" u="1"/>
        <s v="00K05BKC" u="1"/>
        <s v="00K06XAW" u="1"/>
        <s v="00K06K13" u="1"/>
        <s v="00K06IV8" u="1"/>
        <s v="00K05DZ2" u="1"/>
        <s v="00K05DXY" u="1"/>
        <s v="00K05DGQ" u="1"/>
        <s v="00K05DCX" u="1"/>
        <s v="00K05BL7" u="1"/>
        <s v="00K05APY" u="1"/>
        <s v="00K06MY5" u="1"/>
        <s v="00K06WOL" u="1"/>
        <s v="00K06WE5" u="1"/>
        <s v="00K05H3A" u="1"/>
        <s v="00K05FRN" u="1"/>
        <s v="00K05CEL" u="1"/>
        <s v="00K06JI5" u="1"/>
        <s v="00K05H44" u="1"/>
        <s v="00K05FP9" u="1"/>
        <s v="00K06JCV" u="1"/>
        <s v="00K05DYJ" u="1"/>
        <s v="00K06NOI" u="1"/>
        <s v="00K05DWV" u="1"/>
        <s v="00K05DWP" u="1"/>
        <s v="00K05BRU" u="1"/>
        <s v="00K06WF0" u="1"/>
        <s v="00K05A4Z" u="1"/>
        <s v="00K069V8" u="1"/>
        <s v="00K06EYR" u="1"/>
        <s v="00K06MYU" u="1"/>
        <s v="00K06LZN" u="1"/>
        <s v="00K091H8" u="1"/>
        <s v="00K091G2" u="1"/>
        <s v="00K09118" u="1"/>
        <s v="00K08ZLU" u="1"/>
        <s v="00K08ZKN" u="1"/>
        <s v="00K08ZE7" u="1"/>
        <s v="00K08Z9S" u="1"/>
        <s v="00K07IU2" u="1"/>
        <s v="00K07ITL" u="1"/>
        <s v="00K07AAM" u="1"/>
        <s v="00K097XP" u="1"/>
        <s v="00K09B2N" u="1"/>
        <s v="00K06X65" u="1"/>
        <s v="00K073BW" u="1"/>
        <s v="00K09FDH" u="1"/>
        <s v="00K08WKQ" u="1"/>
        <s v="ZWLH5ZVM" u="1"/>
        <s v="00JQL7C4" u="1"/>
        <s v="00JRYE14" u="1"/>
        <s v="00JRXQCJ" u="1"/>
        <s v="00JRY7BK" u="1"/>
        <s v="00JRYAWN" u="1"/>
        <s v="00JRXVTI" u="1"/>
        <s v="00JRXYM3" u="1"/>
        <s v="00JRXV0V" u="1"/>
        <s v="00JRV7VV" u="1"/>
        <s v="00JRY6VZ" u="1"/>
        <s v="00JRYWXV" u="1"/>
        <s v="00JRYMJI" u="1"/>
        <s v="00JRTNLY" u="1"/>
        <s v="00JS65NZ" u="1"/>
        <s v="00JS65NL" u="1"/>
        <s v="00JS65M7" u="1"/>
        <s v="00JS65ER" u="1"/>
        <s v="00JS65DY" u="1"/>
        <s v="00JS65D5" u="1"/>
        <s v="00JS65CI" u="1"/>
        <s v="00JS65M0" u="1"/>
        <s v="00JS65JO" u="1"/>
        <s v="00JS65IU" u="1"/>
        <s v="00JS65IH" u="1"/>
        <s v="00JS65I3" u="1"/>
        <s v="00JS65HU" u="1"/>
        <s v="00JS65FZ" u="1"/>
        <s v="00JS65F1" u="1"/>
        <s v="00JS65BN" u="1"/>
        <s v="00JS65B1" u="1"/>
        <s v="00JS65A1" u="1"/>
        <s v="00JS659F" u="1"/>
        <s v="00JS658N" u="1"/>
        <s v="00JS6559" u="1"/>
        <s v="00JS654Q" u="1"/>
        <s v="00JS652T" u="1"/>
        <s v="00JS651R" u="1"/>
        <s v="00JS6512" u="1"/>
        <s v="00JS64YP" u="1"/>
        <s v="00JS64VQ" u="1"/>
        <s v="00JS64VI" u="1"/>
        <s v="00JS64T0" u="1"/>
        <s v="00JS64SF" u="1"/>
        <s v="00JS65O7" u="1"/>
        <s v="00JS6BSZ" u="1"/>
        <s v="00JS6BSS" u="1"/>
        <s v="00JS6B48" u="1"/>
        <s v="00JS6B3P" u="1"/>
        <s v="00JS6B3H" u="1"/>
        <s v="00JS6B3G" u="1"/>
        <s v="00JS6B2W" u="1"/>
        <s v="00JS6B2Q" u="1"/>
        <s v="00JS6B28" u="1"/>
        <s v="00JS6B19" u="1"/>
        <s v="00JS6B0U" u="1"/>
        <s v="00JS6AVH" u="1"/>
        <s v="00JS6AVF" u="1"/>
        <s v="00JS6AUF" u="1"/>
        <s v="00JS6AU2" u="1"/>
        <s v="00JS6ATE" u="1"/>
        <s v="00JS6AT1" u="1"/>
        <s v="00JS6ASS" u="1"/>
        <s v="00JS6ASB" u="1"/>
        <s v="00JS6AQZ" u="1"/>
        <s v="00JS69YA" u="1"/>
        <s v="00JS69RU" u="1"/>
        <s v="00JS69MY" u="1"/>
        <s v="00JS69FB" u="1"/>
        <s v="00JS68CS" u="1"/>
        <s v="00JS666I" u="1"/>
        <s v="00JS6641" u="1"/>
        <s v="00JS65U1" u="1"/>
        <s v="00JS65S9" u="1"/>
        <s v="00JS65QO" u="1"/>
        <s v="00JS644E" u="1"/>
        <s v="00JS6FV2" u="1"/>
        <s v="00JS6FIY" u="1"/>
        <s v="00JS6FHR" u="1"/>
        <s v="00JS6F87" u="1"/>
        <s v="00JS6E4T" u="1"/>
        <s v="00JS6DW3" u="1"/>
        <s v="00JS6BS8" u="1"/>
        <s v="00JS6B2H" u="1"/>
        <s v="00JS6B0K" u="1"/>
        <s v="00JS6ARG" u="1"/>
        <s v="00JS68AT" u="1"/>
        <s v="00JS65A8" u="1"/>
        <s v="00JS657W" u="1"/>
        <s v="00JS767C" u="1"/>
        <s v="00JS6FFG" u="1"/>
        <s v="00JS6E3M" u="1"/>
        <s v="00JS6E35" u="1"/>
        <s v="00JS6E2R" u="1"/>
        <s v="00JS6E1U" u="1"/>
        <s v="00JS6E1N" u="1"/>
        <s v="00JS6DXA" u="1"/>
        <s v="00JS69G5" u="1"/>
        <s v="00JS665F" u="1"/>
        <s v="00JS65LX" u="1"/>
        <s v="00JS65K7" u="1"/>
        <s v="00JS65CX" u="1"/>
        <s v="00JS639D" u="1"/>
        <s v="00JS3WFH" u="1"/>
        <s v="00JRZHEG" u="1"/>
        <s v="00JRZH4S" u="1"/>
        <s v="00JRZECY" u="1"/>
        <s v="00JS6446" u="1"/>
        <s v="00JS63EE" u="1"/>
        <s v="00JS63DD" u="1"/>
        <s v="00JS63BV" u="1"/>
        <s v="00JS63B2" u="1"/>
        <s v="00JS6398" u="1"/>
        <s v="00JS638H" u="1"/>
        <s v="00JS636N" u="1"/>
        <s v="00JS62QB" u="1"/>
        <s v="00JS62PG" u="1"/>
        <s v="00JS62N6" u="1"/>
        <s v="00JS62LI" u="1"/>
        <s v="00JS5AC7" u="1"/>
        <s v="00JS59O7" u="1"/>
        <s v="00JS59MB" u="1"/>
        <s v="00JS50Z6" u="1"/>
        <s v="00JS3ZL2" u="1"/>
        <s v="00JS3ZIM" u="1"/>
        <s v="00JS3UQ7" u="1"/>
        <s v="00JS3UOL" u="1"/>
        <s v="00JS3UK9" u="1"/>
        <s v="00JRZIK2" u="1"/>
        <s v="00JRZI1Z" u="1"/>
        <s v="00JRZI08" u="1"/>
        <s v="00JRZHXR" u="1"/>
        <s v="00JRZHUT" u="1"/>
        <s v="00JRZHUA" u="1"/>
        <s v="00JRZHDI" u="1"/>
        <s v="00JRZHCE" u="1"/>
        <s v="00JRZH32" u="1"/>
        <s v="00JRZG3T" u="1"/>
        <s v="00JS6FDY" u="1"/>
        <s v="00JS6E6S" u="1"/>
        <s v="00JS6E5L" u="1"/>
        <s v="00JS6AC7" u="1"/>
        <s v="00JS69ZM" u="1"/>
        <s v="00JS668H" u="1"/>
        <s v="00JS65RI" u="1"/>
        <s v="00JS65QX" u="1"/>
        <s v="00JS65LT" u="1"/>
        <s v="00JS63CQ" u="1"/>
        <s v="00JS637U" u="1"/>
        <s v="00JS62RB" u="1"/>
        <s v="00JS62Q0" u="1"/>
        <s v="00JS5A7I" u="1"/>
        <s v="00JS58Y5" u="1"/>
        <s v="00JS3UTC" u="1"/>
        <s v="00JRZHZ8" u="1"/>
        <s v="00JRZHTG" u="1"/>
        <s v="00JRZHT9" u="1"/>
        <s v="00JRZH8T" u="1"/>
        <s v="00JS76A2" u="1"/>
        <s v="00JS7666" u="1"/>
        <s v="00JS765Q" u="1"/>
        <s v="00JS7626" u="1"/>
        <s v="00JS742S" u="1"/>
        <s v="00JS6FIU" u="1"/>
        <s v="00JS6E5C" u="1"/>
        <s v="00JS6E3U" u="1"/>
        <s v="00JS6E3H" u="1"/>
        <s v="00JS5A46" u="1"/>
        <s v="00JS6FDK" u="1"/>
        <s v="00JS6EZL" u="1"/>
        <s v="00JS6EUL" u="1"/>
        <s v="00JS6CVK" u="1"/>
        <s v="00JS6F5F" u="1"/>
        <s v="00JS6F3S" u="1"/>
        <s v="00JS6F1T" u="1"/>
        <s v="00JS6AOC" u="1"/>
        <s v="00JS6AM9" u="1"/>
        <s v="00JS6AKH" u="1"/>
        <s v="00JS3UTA" u="1"/>
        <s v="00JRZAK6" u="1"/>
        <s v="00JRZ4GO" u="1"/>
        <s v="00JS57S9" u="1"/>
        <s v="00JS64UQ" u="1"/>
        <s v="00JS664L" u="1"/>
        <s v="00JS6622" u="1"/>
        <s v="00JS6E38" u="1"/>
        <s v="00JS6FRG" u="1"/>
        <s v="00JS6FQB" u="1"/>
        <s v="00JS6FOV" u="1"/>
        <s v="00JS6FNW" u="1"/>
        <s v="00JS6FKM" u="1"/>
        <s v="00JS6FKK" u="1"/>
        <s v="00JS6FJ7" u="1"/>
        <s v="00JS6FIL" u="1"/>
        <s v="00JS6FHT" u="1"/>
        <s v="00JS6FG9" u="1"/>
        <s v="00JS6FG7" u="1"/>
        <s v="00JS6FF6" u="1"/>
        <s v="00JS6FF3" u="1"/>
        <s v="00JS6FDV" u="1"/>
        <s v="00JS6FCU" u="1"/>
        <s v="00JS6FCK" u="1"/>
        <s v="00JS6FBE" u="1"/>
        <s v="00JS6FAC" u="1"/>
        <s v="00JS6E5Q" u="1"/>
        <s v="00JS6E3Y" u="1"/>
        <s v="00JS6E3W" u="1"/>
        <s v="00JS6E26" u="1"/>
        <s v="00JS6E14" u="1"/>
        <s v="00JS6DXN" u="1"/>
        <s v="00JS6DXF" u="1"/>
        <s v="00JS6DVR" u="1"/>
        <s v="00JS6DVK" u="1"/>
        <s v="00JS6DVC" u="1"/>
        <s v="00JS6DTJ" u="1"/>
        <s v="00JS6BU1" u="1"/>
        <s v="00JS6FTO" u="1"/>
        <s v="00JS6AAH" u="1"/>
        <s v="00JS69WL" u="1"/>
        <s v="00JS69V6" u="1"/>
        <s v="00JS66BQ" u="1"/>
        <s v="00JS662Y" u="1"/>
        <s v="00JS65TV" u="1"/>
        <s v="00JS65P7" u="1"/>
        <s v="00JS65OD" u="1"/>
        <s v="00JS65CP" u="1"/>
        <s v="00JS63CJ" u="1"/>
        <s v="00JS637A" u="1"/>
        <s v="00JS62M1" u="1"/>
        <s v="00JS5A3F" u="1"/>
        <s v="00JS3ZE4" u="1"/>
        <s v="00JS3UXH" u="1"/>
        <s v="00JS3UME" u="1"/>
        <s v="00JRZIT8" u="1"/>
        <s v="00JRZINI" u="1"/>
        <s v="00JRZHF6" u="1"/>
        <s v="00JRZG2H" u="1"/>
        <s v="00JRZFXZ" u="1"/>
        <s v="00JRZFXS" u="1"/>
        <s v="00JRZE60" u="1"/>
        <s v="00JS7654" u="1"/>
        <s v="00JS7603" u="1"/>
        <s v="00JS75WQ" u="1"/>
        <s v="00JS75UE" u="1"/>
        <s v="00JS73PZ" u="1"/>
        <s v="00JS73EF" u="1"/>
        <s v="00JS6GLF" u="1"/>
        <s v="00JRZEAP" u="1"/>
        <s v="00JS65L5" u="1"/>
        <s v="00JRZHF2" u="1"/>
        <s v="00JRZHZT" u="1"/>
        <s v="00JS67H9" u="1"/>
        <s v="00JS76GE" u="1"/>
        <s v="00JS6DXT" u="1"/>
        <s v="00JS6BT8" u="1"/>
        <s v="00JS6B0Q" u="1"/>
        <s v="00JSAX68" u="1"/>
        <s v="00JSAUH7" u="1"/>
        <s v="00JSATVQ" u="1"/>
        <s v="00JSAXBZ" u="1"/>
        <s v="00JSAYDF" u="1"/>
        <s v="00JSAYEU" u="1"/>
        <s v="00JSATP3" u="1"/>
        <s v="00JSATNF" u="1"/>
        <s v="00JSATL0" u="1"/>
        <s v="00JSATHT" u="1"/>
        <s v="00JSATDJ" u="1"/>
        <s v="00JSAT1K" u="1"/>
        <s v="00JSASZN" u="1"/>
        <s v="00JSAYV4" u="1"/>
        <s v="00JSAYWP" u="1"/>
        <s v="00JSAYXB" u="1"/>
        <s v="00JSAYXX" u="1"/>
        <s v="00JSAYZV" u="1"/>
        <s v="00JSAZ2Y" u="1"/>
        <s v="00JSAZ73" u="1"/>
        <s v="00JS76GZ" u="1"/>
        <s v="00JS76Q9" u="1"/>
        <s v="00JS76T3" u="1"/>
        <s v="00JS76WU" u="1"/>
        <s v="00JS76YB" u="1"/>
        <s v="00JS9OS8" u="1"/>
        <s v="00JSAS1S" u="1"/>
        <s v="00JSATUB" u="1"/>
        <s v="00JSAX9W" u="1"/>
        <s v="00JSAZ95" u="1"/>
        <s v="00JS76J5" u="1"/>
        <s v="00JS76NV" u="1"/>
        <s v="00JS9OPJ" u="1"/>
        <s v="00JS9OVA" u="1"/>
        <s v="00JS9SSG" u="1"/>
        <s v="00JS9SVR" u="1"/>
        <s v="00JS9WP3" u="1"/>
        <s v="00JS9XA3" u="1"/>
        <s v="00JSA7RD" u="1"/>
        <s v="00JSA80Y" u="1"/>
        <s v="00JSALWE" u="1"/>
        <s v="00JSAM06" u="1"/>
        <s v="00JSAM2O" u="1"/>
        <s v="00JSANKC" u="1"/>
        <s v="00JSANMR" u="1"/>
        <s v="00JSANXQ" u="1"/>
        <s v="00JSAO2F" u="1"/>
        <s v="00JSAO4I" u="1"/>
        <s v="00JSAOX3" u="1"/>
        <s v="00JSAOYX" u="1"/>
        <s v="00JSARSE" u="1"/>
        <s v="00JSARWJ" u="1"/>
        <s v="00JSAS1K" u="1"/>
        <s v="00JSAM2J" u="1"/>
        <s v="00JSA1YA" u="1"/>
        <s v="00JS9ZZX" u="1"/>
        <s v="00JSBM00" u="1"/>
        <s v="00JSB071" u="1"/>
        <s v="00JSALG2" u="1"/>
        <s v="00JSA747" u="1"/>
        <s v="00JSA1LI" u="1"/>
        <s v="00JSA0H8" u="1"/>
        <s v="00JSARYM" u="1"/>
        <s v="00JSA4II" u="1"/>
        <s v="00JS9OUN" u="1"/>
        <s v="00JS9XHS" u="1"/>
        <s v="00JSARV8" u="1"/>
        <s v="00JSARWP" u="1"/>
        <s v="00JSAZCJ" u="1"/>
        <s v="00JSBHWL" u="1"/>
        <s v="00JS76RP" u="1"/>
        <s v="00JS76VO" u="1"/>
        <s v="00JS9OSZ" u="1"/>
        <s v="00JS9QRS" u="1"/>
        <s v="00JS9QVD" u="1"/>
        <s v="00JS9S1I" u="1"/>
        <s v="00JS9SR5" u="1"/>
        <s v="00JSATI3" u="1"/>
        <s v="00JSAVGZ" u="1"/>
        <s v="00JSAX71" u="1"/>
        <s v="00JSAX7I" u="1"/>
        <s v="00JSAX8J" u="1"/>
        <s v="00JSAX9D" u="1"/>
        <s v="00JSAYUX" u="1"/>
        <s v="00JSAZFO" u="1"/>
        <s v="00JSBI31" u="1"/>
        <s v="00JSAYZ4" u="1"/>
        <s v="00JSANAY" u="1"/>
        <s v="00JSA7DA" u="1"/>
        <s v="00JSAM1C" u="1"/>
        <s v="00JSAMB9" u="1"/>
        <s v="00JS7747" u="1"/>
        <s v="00JSAFHO" u="1"/>
        <s v="00JSB5L3" u="1"/>
        <s v="00JSAXIQ" u="1"/>
        <s v="00JSAS5W" u="1"/>
        <s v="00JSATXB" u="1"/>
        <s v="00JSAUF9" u="1"/>
        <s v="00JSEEOT" u="1"/>
        <s v="00JSEENO" u="1"/>
        <s v="00JSEEFG" u="1"/>
        <s v="00JSEEEI" u="1"/>
        <s v="00JSEE7G" u="1"/>
        <s v="00JSEEQ1" u="1"/>
        <s v="00JSEEQA" u="1"/>
        <s v="00JSEERI" u="1"/>
        <s v="00JSEN8G" u="1"/>
        <s v="00JSENA2" u="1"/>
        <s v="00JSENI1" u="1"/>
        <s v="00JSENJS" u="1"/>
        <s v="00JSENLM" u="1"/>
        <s v="00JSERA4" u="1"/>
        <s v="00JSERJ7" u="1"/>
        <s v="00JSERKC" u="1"/>
        <s v="00JSF2SM" u="1"/>
        <s v="00JSF3FZ" u="1"/>
        <s v="00JSEE6X" u="1"/>
        <s v="00JSEE6F" u="1"/>
        <s v="00JSEE50" u="1"/>
        <s v="00JSEE38" u="1"/>
        <s v="00JSEE1B" u="1"/>
        <s v="00JSEDIO" u="1"/>
        <s v="00JSEDBK" u="1"/>
        <s v="00JSEDB5" u="1"/>
        <s v="00JSEDA8" u="1"/>
        <s v="00JSED8T" u="1"/>
        <s v="00JSECZA" u="1"/>
        <s v="00JSECYH" u="1"/>
        <s v="00JSECY8" u="1"/>
        <s v="00JSECXV" u="1"/>
        <s v="00JSECXB" u="1"/>
        <s v="00JSECUW" u="1"/>
        <s v="00JSECTX" u="1"/>
        <s v="00JSBON8" u="1"/>
        <s v="00JSBNUQ" u="1"/>
        <s v="00JSEDEN" u="1"/>
        <s v="00JSECCS" u="1"/>
        <s v="00JSEAJY" u="1"/>
        <s v="00JSE2NB" u="1"/>
        <s v="00JSERNR" u="1"/>
        <s v="00JSEND1" u="1"/>
        <s v="00JSEN8X" u="1"/>
        <s v="00JSDYLA" u="1"/>
        <s v="00JSDNLN" u="1"/>
        <s v="00JSDNKR" u="1"/>
        <s v="00JSBCMU" u="1"/>
        <s v="00JRB7RO" u="1"/>
        <s v="00JSEDLB" u="1"/>
        <s v="00JSEE5F" u="1"/>
        <s v="00JSEE3Q" u="1"/>
        <s v="00JSEE0R" u="1"/>
        <s v="00JSEDYW" u="1"/>
        <s v="00JSEDAP" u="1"/>
        <s v="00JSENCB" u="1"/>
        <s v="00JSEEKC" u="1"/>
        <s v="00JSEEJT" u="1"/>
        <s v="00JSEEJQ" u="1"/>
        <s v="00JSEE82" u="1"/>
        <s v="00JSEE4C" u="1"/>
        <s v="00JSEDWE" u="1"/>
        <s v="00JSEDGW" u="1"/>
        <s v="00JSECWJ" u="1"/>
        <s v="00JSEDD5" u="1"/>
        <s v="00JSF2TA" u="1"/>
        <s v="00JSDF1S" u="1"/>
        <s v="00JSDRZD" u="1"/>
        <s v="00JSB042" u="1"/>
        <s v="00JSBC3C" u="1"/>
        <s v="00JSBC75" u="1"/>
        <s v="00JSBHLI" u="1"/>
        <s v="00JSBHQN" u="1"/>
        <s v="00JSBKWD" u="1"/>
        <s v="00JSBLYS" u="1"/>
        <s v="00JSECSB" u="1"/>
        <s v="00JSECVV" u="1"/>
        <s v="00JSER8U" u="1"/>
        <s v="00JSF2EF" u="1"/>
        <s v="00JSEN6H" u="1"/>
        <s v="00JSENDW" u="1"/>
        <s v="00JSEEFT" u="1"/>
        <s v="00JSIU86" u="1"/>
        <s v="00JSIUVK" u="1"/>
        <s v="00JSK4P9" u="1"/>
        <s v="00JSK4OJ" u="1"/>
        <s v="00JSK4O3" u="1"/>
        <s v="00JSIUW1" u="1"/>
        <s v="00JSIURF" u="1"/>
        <s v="00JSIU90" u="1"/>
        <s v="00JSIUKZ" u="1"/>
        <s v="00JSJYA4" u="1"/>
        <s v="00JSJLXN" u="1"/>
        <s v="00JSJHMD" u="1"/>
        <s v="00JSJHLQ" u="1"/>
        <s v="00JSJAKL" u="1"/>
        <s v="00JSIYWE" u="1"/>
        <s v="00JSIYV3" u="1"/>
        <s v="00JSIYUK" u="1"/>
        <s v="00JSIYU3" u="1"/>
        <s v="00JSIYTX" u="1"/>
        <s v="00JSIYSP" u="1"/>
        <s v="00JSIYSF" u="1"/>
        <s v="00JSIUPF" u="1"/>
        <s v="00JSIUA6" u="1"/>
        <s v="00JSIUW3" u="1"/>
        <s v="00JSIUSL" u="1"/>
        <s v="00JSIYS1" u="1"/>
        <s v="00JSIYRI" u="1"/>
        <s v="00JSIUUX" u="1"/>
        <s v="00JSIUUO" u="1"/>
        <s v="00JSIUT4" u="1"/>
        <s v="00JSIUSW" u="1"/>
        <s v="00JSIH2V" u="1"/>
        <s v="00JSIIXN" u="1"/>
        <s v="00JSIN21" u="1"/>
        <s v="00JSJ0DG" u="1"/>
        <s v="00JSJ0F2" u="1"/>
        <s v="00JSJYC0" u="1"/>
        <s v="00JSK4KO" u="1"/>
        <s v="00JSK4OR" u="1"/>
        <s v="00JSK4WF" u="1"/>
        <s v="00JSK43J" u="1"/>
        <s v="00JSF2CV" u="1"/>
        <s v="00JSSEDW" u="1"/>
        <s v="00JSSAK9" u="1"/>
        <s v="00JSSAIA" u="1"/>
        <s v="00JSSAA9" u="1"/>
        <s v="00JSS9DU" u="1"/>
        <s v="00JSS9CB" u="1"/>
        <s v="00JSS405" u="1"/>
        <s v="00JSS3MM" u="1"/>
        <s v="00JSS2LL" u="1"/>
        <s v="00JSS1UR" u="1"/>
        <s v="00JSS1TE" u="1"/>
        <s v="00JSRZNZ" u="1"/>
        <s v="00JSRZLG" u="1"/>
        <s v="00JSRZJQ" u="1"/>
        <s v="00JSRZGM" u="1"/>
        <s v="00JSRZ82" u="1"/>
        <s v="00JSRYYR" u="1"/>
        <s v="00JSRYW8" u="1"/>
        <s v="00JSQJFP" u="1"/>
        <s v="00JSQJAV" u="1"/>
        <s v="00JSQJ6G" u="1"/>
        <s v="00JSQJ27" u="1"/>
        <s v="00JSQITA" u="1"/>
        <s v="00JSMMGL" u="1"/>
        <s v="00JSMMEG" u="1"/>
        <s v="00JSMMAZ" u="1"/>
        <s v="00JSMLMX" u="1"/>
        <s v="00JSMKZY" u="1"/>
        <s v="00JSMKZQ" u="1"/>
        <s v="00JSMKUO" u="1"/>
        <s v="00JSQI1X" u="1"/>
        <s v="00JSMTMR" u="1"/>
        <s v="00JSML4L" u="1"/>
        <s v="00JSMKYS" u="1"/>
        <s v="00JSQIE9" u="1"/>
        <s v="00JSQICH" u="1"/>
        <s v="00JSP4PL" u="1"/>
        <s v="00JSMML3" u="1"/>
        <s v="00JSMMHQ" u="1"/>
        <s v="00JSMMAT" u="1"/>
        <s v="00JSMM8X" u="1"/>
        <s v="00JSMLNQ" u="1"/>
        <s v="00JSMLD1" u="1"/>
        <s v="00JSML8D" u="1"/>
        <s v="00JSSEHZ" u="1"/>
        <s v="00JSSEEK" u="1"/>
        <s v="00JSQIIZ" u="1"/>
        <s v="00JSMTQL" u="1"/>
        <s v="00JSMTOJ" u="1"/>
        <s v="00JSMTND" u="1"/>
        <s v="00JSMTMD" u="1"/>
        <s v="00JSMT9C" u="1"/>
        <s v="00JSMO8O" u="1"/>
        <s v="00JSMMMQ" u="1"/>
        <s v="00JSMMKY" u="1"/>
        <s v="00JSMMIR" u="1"/>
        <s v="00JSMMHH" u="1"/>
        <s v="00JSMMAV" u="1"/>
        <s v="00JSMMB4" u="1"/>
        <s v="00JSMMCC" u="1"/>
        <s v="00JSMMCQ" u="1"/>
        <s v="00JSMMET" u="1"/>
        <s v="00JSMMG8" u="1"/>
        <s v="00JSQIGR" u="1"/>
        <s v="00JSQIA9" u="1"/>
        <s v="00JSQHPZ" u="1"/>
        <s v="00JSQFE8" u="1"/>
        <s v="00JSQF9D" u="1"/>
        <s v="00JSQF5E" u="1"/>
        <s v="00JSQF2Q" u="1"/>
        <s v="00JSQERH" u="1"/>
        <s v="00JSQEPB" u="1"/>
        <s v="00JSPUSP" u="1"/>
        <s v="00JSP4SU" u="1"/>
        <s v="00JSP4R3" u="1"/>
        <s v="00JSP4P3" u="1"/>
        <s v="00JSP4GV" u="1"/>
        <s v="00JSMTYL" u="1"/>
        <s v="00JSMTY8" u="1"/>
        <s v="00JSMTY1" u="1"/>
        <s v="00JSMTXI" u="1"/>
        <s v="00JSMTW7" u="1"/>
        <s v="00JSMLCM" u="1"/>
        <s v="00JSML24" u="1"/>
        <s v="00JSML1O" u="1"/>
        <s v="00JSML0W" u="1"/>
        <s v="00JSMLRM" u="1"/>
        <s v="00JSMLPV" u="1"/>
        <s v="00JSMLAZ" u="1"/>
        <s v="00JSMM9Z" u="1"/>
        <s v="00JSMLND" u="1"/>
        <s v="00JSMLMB" u="1"/>
        <s v="00JSMLLS" u="1"/>
        <s v="00JSML8S" u="1"/>
        <s v="00JSML88" u="1"/>
        <s v="00JSML7U" u="1"/>
        <s v="00JSML6X" u="1"/>
        <s v="00JSML6G" u="1"/>
        <s v="00JSML5P" u="1"/>
        <s v="00JSML5D" u="1"/>
        <s v="00JSML44" u="1"/>
        <s v="00JSML3R" u="1"/>
        <s v="00JSML3L" u="1"/>
        <s v="00JSML36" u="1"/>
        <s v="00JSML2P" u="1"/>
        <s v="00JSML2L" u="1"/>
        <s v="00JSML21" u="1"/>
        <s v="00JSMKY8" u="1"/>
        <s v="00JSMKWQ" u="1"/>
        <s v="00JSMKVQ" u="1"/>
        <s v="00JSMKV8" u="1"/>
        <s v="00JSRH0H" u="1"/>
        <s v="00JSRHA6" u="1"/>
        <s v="00JSRHPC" u="1"/>
        <s v="00JSRI87" u="1"/>
        <s v="00JSRIIL" u="1"/>
        <s v="00JSRY6D" u="1"/>
        <s v="00JSRY85" u="1"/>
        <s v="00JSRYQA" u="1"/>
        <s v="00JSMH4P" u="1"/>
        <s v="00JSMJFH" u="1"/>
        <s v="00JSML3Y" u="1"/>
        <s v="00JSMSM3" u="1"/>
        <s v="00JSQY7L" u="1"/>
        <s v="00JSMEYN" u="1"/>
        <s v="00JSMEYS" u="1"/>
        <s v="00JSMJ4L" u="1"/>
        <s v="00JSMQPD" u="1"/>
        <s v="00JSRBQU" u="1"/>
        <s v="00JSMBUV" u="1"/>
        <s v="00JSMJ03" u="1"/>
        <s v="00JSMBYR" u="1"/>
        <s v="00JSK54D" u="1"/>
        <s v="00JSMTEH" u="1"/>
        <s v="00JSQIFZ" u="1"/>
        <s v="00JSS9B3" u="1"/>
        <s v="00JSS9CW" u="1"/>
        <s v="00JSSA2G" u="1"/>
        <s v="00JSML8O" u="1"/>
        <s v="00JSMBRV" u="1"/>
        <s v="00JSS625" u="1"/>
        <s v="00JT8S2I" u="1"/>
        <s v="00JT7W38" u="1"/>
        <s v="00JT9W7C" u="1"/>
        <s v="00JT9W6I" u="1"/>
        <s v="00JT9T7B" u="1"/>
        <s v="00JT9RZJ" u="1"/>
        <s v="00JT9N0G" u="1"/>
        <s v="00JT8XA6" u="1"/>
        <s v="00JT8S5O" u="1"/>
        <s v="00JT8OAJ" u="1"/>
        <s v="00JT8N38" u="1"/>
        <s v="00JT8J8Q" u="1"/>
        <s v="00JT8869" u="1"/>
        <s v="00JST1DD" u="1"/>
        <s v="00JSTHG6" u="1"/>
        <s v="00JSTHX7" u="1"/>
        <s v="00JSTHZM" u="1"/>
        <s v="00JSTI4I" u="1"/>
        <s v="00JST3KY" u="1"/>
        <s v="00JST168" u="1"/>
        <s v="00JST19I" u="1"/>
        <s v="00JT7UJN" u="1"/>
        <s v="00JT7UO7" u="1"/>
        <s v="00JT82XX" u="1"/>
        <s v="00JT8283" u="1"/>
        <s v="00JSTHGR" u="1"/>
        <s v="00JT9WCQ" u="1"/>
        <s v="00JT82OS" u="1"/>
        <s v="00JT84LQ" u="1"/>
        <s v="00JT82B2" u="1"/>
        <s v="00JT829L" u="1"/>
        <s v="00JT9WDS" u="1"/>
        <s v="00JT9Q3X" u="1"/>
        <s v="00JT9Q1P" u="1"/>
        <s v="00JT84B4" u="1"/>
        <s v="00JT9PG7" u="1"/>
        <s v="00JT9PHL" u="1"/>
        <s v="00JTFC58" u="1"/>
        <s v="00JTFC3N" u="1"/>
        <s v="00JTFC33" u="1"/>
        <s v="00JTFC6B" u="1"/>
        <s v="00JTFC82" u="1"/>
        <s v="00JTFCA1" u="1"/>
        <s v="00JTFC6F" u="1"/>
        <s v="00JTFC5B" u="1"/>
        <s v="00JTFDGR" u="1"/>
        <s v="00JTFC9R" u="1"/>
        <s v="00JTDM8U" u="1"/>
        <s v="00JTFDK2" u="1"/>
        <s v="00JTFDEI" u="1"/>
        <s v="00JTFDIJ" u="1"/>
        <s v="00JTFC8V" u="1"/>
        <s v="00JTDNRA" u="1"/>
        <s v="00JTDOYG" u="1"/>
        <s v="00JTDQHR" u="1"/>
        <s v="00JTF5KN" u="1"/>
        <s v="00JTD8RW" u="1"/>
        <s v="00JTHGUM" u="1"/>
        <s v="00JTHLFM" u="1"/>
        <s v="00JTHLU0" u="1"/>
        <s v="00JTHLVX" u="1"/>
        <s v="00JTHNIQ" u="1"/>
        <s v="00JTHO1A" u="1"/>
        <s v="00JTHLHY" u="1"/>
        <s v="00JTSVDC" u="1"/>
        <s v="00JTT6CI" u="1"/>
        <s v="00JTFUUX" u="1"/>
        <s v="00JTFUVO" u="1"/>
        <s v="00JTFV31" u="1"/>
        <s v="00JTFW8N" u="1"/>
        <s v="00JTGY2N" u="1"/>
        <s v="00JTTANR" u="1"/>
        <s v="00JTT88H" u="1"/>
        <s v="00JTT419" u="1"/>
        <s v="00JU01GX" u="1"/>
        <s v="00JTZUEC" u="1"/>
        <s v="00JU05RO" u="1"/>
        <s v="00JTZYMY" u="1"/>
        <s v="00JTZS4R" u="1"/>
        <s v="00JU005M" u="1"/>
        <s v="00JTZWJY" u="1"/>
        <s v="00JTZWDQ" u="1"/>
        <s v="00JTZTKS" u="1"/>
        <s v="00JTZWGB" u="1"/>
        <s v="00JTZV02" u="1"/>
        <s v="00JU05QT" u="1"/>
        <s v="00JU0087" u="1"/>
        <s v="00JTZWR3" u="1"/>
        <s v="00JTTEK2" u="1"/>
        <s v="00JTYEN0" u="1"/>
        <s v="00JTZQUT" u="1"/>
        <s v="00JTZS5W" u="1"/>
        <s v="00JTZUKA" u="1"/>
        <s v="00JU0CLN" u="1"/>
        <s v="00JU0EZP" u="1"/>
        <s v="00JTZLUN" u="1"/>
        <s v="00JTYEDI" u="1"/>
        <s v="00JTYEJO" u="1"/>
        <s v="00JTYFJI" u="1"/>
        <s v="00JTZTKH" u="1"/>
        <s v="00JTZUU8" u="1"/>
        <s v="00JU1L4D" u="1"/>
        <s v="00JU21ZF" u="1"/>
        <s v="00JU7UZM" u="1"/>
        <s v="00JU7WMQ" u="1"/>
        <s v="00JU1FDQ" u="1"/>
        <s v="00JU1FED" u="1"/>
        <s v="00JU1IZU" u="1"/>
        <s v="00JU1KKN" u="1"/>
        <s v="00JU1KT3" u="1"/>
        <s v="00JU7V0E" u="1"/>
        <s v="00JU7W9D" u="1"/>
        <s v="00JU7WAB" u="1"/>
        <s v="00JU1J0Y" u="1"/>
        <s v="00JU1JRR" u="1"/>
        <s v="00JU1KDE" u="1"/>
        <s v="00JU7WA1" u="1"/>
        <s v="00JU7WM3" u="1"/>
        <s v="00JU7WP0" u="1"/>
        <s v="00JU1FFF" u="1"/>
        <s v="00JU1HLJ" u="1"/>
        <s v="00JU1L03" u="1"/>
        <s v="00JU1KXT" u="1"/>
        <s v="00JU1KU9" u="1"/>
        <s v="00JU1KK3" u="1"/>
        <s v="00JU1JU7" u="1"/>
        <s v="00JU1JU6" u="1"/>
        <s v="00JU1J3X" u="1"/>
        <s v="00JU1J30" u="1"/>
        <s v="00JU1FCP" u="1"/>
        <s v="00JU7WDY" u="1"/>
        <s v="00JU7WDG" u="1"/>
        <s v="00JU7WCP" u="1"/>
        <s v="00JU7WBA" u="1"/>
        <s v="00JU7WAK" u="1"/>
        <s v="00JU7W8Z" u="1"/>
        <s v="00JU1J4N" u="1"/>
        <s v="00JU729F" u="1"/>
        <s v="00JU6Y0R" u="1"/>
        <s v="00JU71Z7" u="1"/>
        <s v="00JU7213" u="1"/>
        <s v="00JU7UXK" u="1"/>
        <s v="00JU726N" u="1"/>
        <s v="00JU71MB" u="1"/>
        <s v="00JU71IO" u="1"/>
        <s v="00JU71G6" u="1"/>
        <s v="00JU1LPN" u="1"/>
        <s v="00JU1L68" u="1"/>
        <s v="00JU1L2Z" u="1"/>
        <s v="00JU1J67" u="1"/>
        <s v="00JU1HP0" u="1"/>
        <s v="00JU7V1W" u="1"/>
        <s v="00JU7V0S" u="1"/>
        <s v="00JU72CY" u="1"/>
        <s v="00JU7258" u="1"/>
        <s v="00JU7230" u="1"/>
        <s v="00JU21YV" u="1"/>
        <s v="00JU21YF" u="1"/>
        <s v="00JU1LNM" u="1"/>
        <s v="00JU1LMQ" u="1"/>
        <s v="00JU1LLC" u="1"/>
        <s v="00JU1L7E" u="1"/>
        <s v="00JU1KRX" u="1"/>
        <s v="00JU1KIK" u="1"/>
        <s v="00JU1KG4" u="1"/>
        <s v="00JU1KFX" u="1"/>
        <s v="00JU1JVD" u="1"/>
        <s v="00JU1JT2" u="1"/>
        <s v="00JU1JOF" u="1"/>
        <s v="00JU1JNI" u="1"/>
        <s v="00JU1HO6" u="1"/>
        <s v="00JU1FH5" u="1"/>
        <s v="00JU1FE6" u="1"/>
        <s v="00JU8WWO" u="1"/>
        <s v="00JU1IQR" u="1"/>
        <s v="00JU1CLZ" u="1"/>
        <s v="00JU1C4D" u="1"/>
        <s v="00JU8WQK" u="1"/>
        <s v="00JU1EY6" u="1"/>
        <s v="00JUBCB5" u="1"/>
        <s v="00JUBCA1" u="1"/>
        <s v="00JUBCDV" u="1"/>
        <s v="00JUBCGH" u="1"/>
        <s v="00JUBC6G" u="1"/>
        <s v="00JUBBZ5" u="1"/>
        <s v="00JUBBUV" u="1"/>
        <s v="00JUBBT0" u="1"/>
        <s v="00JUBCHC" u="1"/>
        <s v="00JUBCHO" u="1"/>
        <s v="00JUBCI7" u="1"/>
        <s v="00JUBE2K" u="1"/>
        <s v="00JUBE3M" u="1"/>
        <s v="00JUBFAY" u="1"/>
        <s v="00JUBFC0" u="1"/>
        <s v="00JUBG8N" u="1"/>
        <s v="00JUC764" u="1"/>
        <s v="00JUBBS6" u="1"/>
        <s v="00JUBBQP" u="1"/>
        <s v="00JUB97C" u="1"/>
        <s v="00JUB95S" u="1"/>
        <s v="00JUB928" u="1"/>
        <s v="00JUB922" u="1"/>
        <s v="00JUB90U" u="1"/>
        <s v="00JUB8Y5" u="1"/>
        <s v="00JUB8VH" u="1"/>
        <s v="00JUB8TL" u="1"/>
        <s v="00JU9H3Y" u="1"/>
        <s v="00JU9GRI" u="1"/>
        <s v="00JU9GGK" u="1"/>
        <s v="00JU9G2S" u="1"/>
        <s v="00JU939F" u="1"/>
        <s v="00JU936A" u="1"/>
        <s v="00JUCP94" u="1"/>
        <s v="00JUCP20" u="1"/>
        <s v="00JUCJLW" u="1"/>
        <s v="00JUBF5K" u="1"/>
        <s v="00JUBE59" u="1"/>
        <s v="00JUBE3R" u="1"/>
        <s v="00JUBE1J" u="1"/>
        <s v="00JUB8NP" u="1"/>
        <s v="00JUB8JR" u="1"/>
        <s v="00JUB8IB" u="1"/>
        <s v="00JUB8E8" u="1"/>
        <s v="00JUB8DL" u="1"/>
        <s v="00JU9IC1" u="1"/>
        <s v="00JU9IBJ" u="1"/>
        <s v="00JU9IAU" u="1"/>
        <s v="00JU9I9A" u="1"/>
        <s v="00JU9I8Y" u="1"/>
        <s v="00JU9I8L" u="1"/>
        <s v="00JU9I88" u="1"/>
        <s v="00JU9I7X" u="1"/>
        <s v="00JU9I76" u="1"/>
        <s v="00JU9I6G" u="1"/>
        <s v="00JU9GZ8" u="1"/>
        <s v="00JU9GR2" u="1"/>
        <s v="00JU9I7R" u="1"/>
        <s v="00JUD9LC" u="1"/>
        <s v="00JUCPAL" u="1"/>
        <s v="00JUCPF1" u="1"/>
        <s v="00JUE6QF" u="1"/>
        <s v="00JUE6RP" u="1"/>
        <s v="00JUE6TY" u="1"/>
        <s v="00JUE6V6" u="1"/>
        <s v="00JUEFV4" u="1"/>
        <s v="00JUES0X" u="1"/>
        <s v="00JUES2U" u="1"/>
        <s v="00JUET11" u="1"/>
        <s v="00JUFG0V" u="1"/>
        <s v="00JUE1P2" u="1"/>
        <s v="00JUE4BL" u="1"/>
        <s v="00JUE53U" u="1"/>
        <s v="00JUE69O" u="1"/>
        <s v="00JUE5EO" u="1"/>
        <s v="00JUE4DJ" u="1"/>
        <s v="00JUH8V2" u="1"/>
        <s v="00JUGK82" u="1"/>
        <s v="00JUHNB5" u="1"/>
        <s v="00JUHOLK" u="1"/>
        <s v="00JUHKP5" u="1"/>
        <s v="ZWLGR02D" u="1"/>
        <s v="00JUICN1" u="1"/>
        <s v="00JUGK64" u="1"/>
        <s v="00JUJRQK" u="1"/>
        <s v="00JUJRX8" u="1"/>
        <s v="00JUOJE8" u="1"/>
        <s v="00JULVSC" u="1"/>
        <s v="00JUOMKA" u="1"/>
        <s v="00JUT8AA" u="1"/>
        <s v="00JUT7BG" u="1"/>
        <s v="00JUT7DJ" u="1"/>
        <s v="00JUT7Q7" u="1"/>
        <s v="00JUT7UO" u="1"/>
        <s v="00JUT7AW" u="1"/>
        <s v="00JUSKYH" u="1"/>
        <s v="00JUW0AF" u="1"/>
        <s v="00JUSWEI" u="1"/>
        <s v="00JUURF2" u="1"/>
        <s v="00JUURH0" u="1"/>
        <s v="00JUUVUM" u="1"/>
        <s v="00JUUTBN" u="1"/>
        <s v="00JUUVVN" u="1"/>
        <s v="00JUT7VD" u="1"/>
        <s v="00JUT7SO" u="1"/>
        <s v="00JUT87Y" u="1"/>
        <s v="00JUT89C" u="1"/>
        <s v="00JUT8AM" u="1"/>
        <s v="00JUY940" u="1"/>
        <s v="00JUXLWD" u="1"/>
        <s v="00JUXJCZ" u="1"/>
        <s v="00JUXJ73" u="1"/>
        <s v="00JUXE6I" u="1"/>
        <s v="00JUYTHP" u="1"/>
        <s v="00JUXL8K" u="1"/>
        <s v="00JUXL2V" u="1"/>
        <s v="00JUXJLT" u="1"/>
        <s v="00JUYUM9" u="1"/>
        <s v="00JUYTKT" u="1"/>
        <s v="00JUYK5R" u="1"/>
        <s v="00JUXLWC" u="1"/>
        <s v="00JUXLT3" u="1"/>
        <s v="00JUXJL2" u="1"/>
        <s v="00JUYCEI" u="1"/>
        <s v="00JUZ1G5" u="1"/>
        <s v="00JUZHHM" u="1"/>
        <s v="00JUZZM5" u="1"/>
        <s v="00JUZZUE" u="1"/>
        <s v="00JUXJKO" u="1"/>
        <s v="00JUXLSR" u="1"/>
        <s v="00JUXLX2" u="1"/>
        <s v="00JUYG74" u="1"/>
        <s v="00JUYT6I" u="1"/>
        <s v="00JUYUHO" u="1"/>
        <s v="00JV35WD" u="1"/>
        <s v="00JV34PM" u="1"/>
        <s v="00JV34JX" u="1"/>
        <s v="00JV32ZX" u="1"/>
        <s v="00JV34JZ" u="1"/>
        <s v="00JV3314" u="1"/>
        <s v="00JV32CW" u="1"/>
        <s v="00JV31E4" u="1"/>
        <s v="00JV3BPR" u="1"/>
        <s v="00JV32VO" u="1"/>
        <s v="00JV32SC" u="1"/>
        <s v="00JV30UU" u="1"/>
        <s v="00JV35Y6" u="1"/>
        <s v="00JV365H" u="1"/>
        <s v="00JV3FIA" u="1"/>
        <s v="00JV3H6M" u="1"/>
        <s v="00JV30MG" u="1"/>
        <s v="00JV0RPO" u="1"/>
        <s v="00JV300G" u="1"/>
        <s v="00JV30TB" u="1"/>
        <s v="00JVFVCN" u="1"/>
        <s v="00JVFVH4" u="1"/>
        <s v="00JV3PAL" u="1"/>
        <s v="00JV3OZA" u="1"/>
        <s v="00JV3P05" u="1"/>
        <s v="00JV3SBC" u="1"/>
        <s v="00JV3S9G" u="1"/>
        <s v="00JVG2SD" u="1"/>
        <s v="00JVGA5D" u="1"/>
        <s v="00JVK8X3" u="1"/>
        <s v="00JVH3RH" u="1"/>
        <s v="00JVH3FK" u="1"/>
        <s v="00JVH3AO" u="1"/>
        <s v="00JVH39Q" u="1"/>
        <s v="00JVH38B" u="1"/>
        <s v="00JVH34V" u="1"/>
        <s v="00JVLAQR" u="1"/>
        <s v="00JVL7E4" u="1"/>
        <s v="00JVKKYV" u="1"/>
        <s v="00JVH3RZ" u="1"/>
        <s v="00JVH3H5" u="1"/>
        <s v="00JVH37D" u="1"/>
        <s v="00JVKA1K" u="1"/>
        <s v="00JVK8U7" u="1"/>
        <s v="00JVGSU2" u="1"/>
        <s v="00JVLBWS" u="1"/>
        <s v="00JVJH5U" u="1"/>
        <s v="00JVKYCV" u="1"/>
        <s v="00JVKB5S" u="1"/>
        <s v="00JVKDLK" u="1"/>
        <s v="00JVKH8Z" u="1"/>
        <s v="00JVH37R" u="1"/>
        <s v="00JVJHUS" u="1"/>
        <s v="00JVJH5Y" u="1"/>
        <s v="00JVJHLE" u="1"/>
        <s v="00JVJIGV" u="1"/>
        <s v="00JVJNRO" u="1"/>
        <s v="00JVJOHU" u="1"/>
        <s v="00JVJNW2" u="1"/>
        <s v="00JVGAK8" u="1"/>
        <s v="00JVGRK9" u="1"/>
        <s v="00JVGKVV" u="1"/>
        <s v="00JVKKVO" u="1"/>
        <s v="00JOUQ6K" u="1"/>
        <s v="00JOUQER" u="1"/>
        <s v="00JOURYS" u="1"/>
        <s v="00JOUS5P" u="1"/>
        <s v="00JOUS8U" u="1"/>
        <s v="00JOUSGX" u="1"/>
        <s v="00JOUSZ7" u="1"/>
        <s v="00JOUT6G" u="1"/>
        <s v="00JOUT7A" u="1"/>
        <s v="00JOUTAE" u="1"/>
        <s v="00JOUTR7" u="1"/>
        <s v="00JOUU22" u="1"/>
        <s v="00JOUUWV" u="1"/>
        <s v="00JOUUXX" u="1"/>
        <s v="00JOUVHP" u="1"/>
        <s v="00JOUVXZ" u="1"/>
        <s v="00JOUW6H" u="1"/>
        <s v="00JOUW75" u="1"/>
        <s v="00JOUWC9" u="1"/>
        <s v="00JOUXRN" u="1"/>
        <s v="00JOUY09" u="1"/>
        <s v="00JOUY2E" u="1"/>
        <s v="00JOUYDW" u="1"/>
        <s v="00JOUYEJ" u="1"/>
        <s v="00JOUYUW" u="1"/>
        <s v="00JOX70O" u="1"/>
        <s v="00JOX75D" u="1"/>
        <s v="00JOX7F7" u="1"/>
        <s v="00JOXC9A" u="1"/>
        <s v="00JOXCDQ" u="1"/>
        <s v="00JOXFTQ" u="1"/>
        <s v="00JOXK0S" u="1"/>
        <s v="00JOXK2B" u="1"/>
        <s v="00JOXK50" u="1"/>
        <s v="00JOXK6E" u="1"/>
        <s v="00JOXK7G" u="1"/>
        <s v="00JOXKGO" u="1"/>
        <s v="00JOXKHO" u="1"/>
        <s v="00JOXKO2" u="1"/>
        <s v="00JOXKOV" u="1"/>
        <s v="00JOXM5O" u="1"/>
        <s v="00JOXM71" u="1"/>
        <s v="00JOXMAD" u="1"/>
        <s v="00JOXMFK" u="1"/>
        <s v="00JOXMGL" u="1"/>
        <s v="00JOXMHS" u="1"/>
        <s v="00JOXMIK" u="1"/>
        <s v="00JOY49O" u="1"/>
        <s v="00JP1YDL" u="1"/>
        <s v="00JP1YE3" u="1"/>
        <s v="00JP1YEN" u="1"/>
        <s v="00JP1Z54" u="1"/>
        <s v="00JP1ZE2" u="1"/>
        <s v="00JP1ZF2" u="1"/>
        <s v="00JP1ZKP" u="1"/>
        <s v="00JP23KD" u="1"/>
        <s v="00JP23KV" u="1"/>
        <s v="00JP2BRY" u="1"/>
        <s v="00JP2BSB" u="1"/>
        <s v="00JP2VA8" u="1"/>
        <s v="00JP2VAA" u="1"/>
        <s v="00JP2ZXD" u="1"/>
        <s v="00JP30NM" u="1"/>
        <s v="00JP311T" u="1"/>
        <s v="00JP31JU" u="1"/>
        <s v="00JP3BA9" u="1"/>
        <s v="00JP3BBA" u="1"/>
        <s v="00JP3BCC" u="1"/>
        <s v="00JP3BDD" u="1"/>
        <s v="00JP3M1G" u="1"/>
        <s v="00JP3M44" u="1"/>
        <s v="00JP3M88" u="1"/>
        <s v="00JP3NDO" u="1"/>
        <s v="00JP3NQ7" u="1"/>
        <s v="00JP3NSY" u="1"/>
        <s v="00JP3OER" u="1"/>
        <s v="00JP3OTW" u="1"/>
        <s v="00JP4LND" u="1"/>
        <s v="00JP4P7G" u="1"/>
        <s v="00JP4PCW" u="1"/>
        <s v="00JP4PNO" u="1"/>
        <s v="00JP4PYB" u="1"/>
        <s v="00JP4Q0L" u="1"/>
        <s v="00JP4Q5F" u="1"/>
        <s v="00JP4QD2" u="1"/>
        <s v="00JP4QG9" u="1"/>
        <s v="00JP4QKX" u="1"/>
        <s v="00JP4TJQ" u="1"/>
        <s v="00JP4TW6" u="1"/>
        <s v="00JP4V74" u="1"/>
        <s v="00JP4VA6" u="1"/>
        <s v="00JP4VBO" u="1"/>
        <s v="00JP4VH4" u="1"/>
        <s v="00JP4WK3" u="1"/>
        <s v="00JP616U" u="1"/>
        <s v="00JP7XDF" u="1"/>
        <s v="00JP7XES" u="1"/>
        <s v="00JP7XK4" u="1"/>
        <s v="00JP7XMD" u="1"/>
        <s v="00JP7XS0" u="1"/>
        <s v="00JP7Y07" u="1"/>
        <s v="00JP7Y90" u="1"/>
        <s v="00JP7YC8" u="1"/>
        <s v="00JP7YFC" u="1"/>
        <s v="00JP7YGQ" u="1"/>
        <s v="00JP7YNY" u="1"/>
        <s v="00JP7YOG" u="1"/>
        <s v="00JP7YRZ" u="1"/>
        <s v="00JP7YTL" u="1"/>
        <s v="00JP7YYY" u="1"/>
        <s v="00JP7Z25" u="1"/>
        <s v="00JP7Z6V" u="1"/>
        <s v="00JP7ZE3" u="1"/>
        <s v="00JP7ZGP" u="1"/>
        <s v="00JP81IN" u="1"/>
        <s v="00JP81R8" u="1"/>
        <s v="00JP81TN" u="1"/>
        <s v="00JP81TO" u="1"/>
        <s v="00JP81VE" u="1"/>
        <s v="00JP81WC" u="1"/>
        <s v="00JP82U1" u="1"/>
        <s v="00JP830N" u="1"/>
        <s v="00JP832W" u="1"/>
        <s v="00JP84CC" u="1"/>
        <s v="00JP84DL" u="1"/>
        <s v="00JP84S9" u="1"/>
        <s v="00JP8556" u="1"/>
        <s v="00JP856J" u="1"/>
        <s v="00JP859G" u="1"/>
        <s v="00JP85DA" u="1"/>
        <s v="00JP88KV" u="1"/>
        <s v="00JP88SD" u="1"/>
        <s v="00JP88VI" u="1"/>
        <s v="00JP8A1H" u="1"/>
        <s v="00JP8AAW" u="1"/>
        <s v="00JP8BFE" u="1"/>
        <s v="00JP8BT3" u="1"/>
        <s v="00JP8CIG" u="1"/>
        <s v="00JP8EKZ" u="1"/>
        <s v="00JP8IXH" u="1"/>
        <s v="00JP8IZM" u="1"/>
        <s v="00JP8J2C" u="1"/>
        <s v="00JP8JAK" u="1"/>
        <s v="00JP8JCA" u="1"/>
        <s v="00JP8JG1" u="1"/>
        <s v="00JP8JVZ" u="1"/>
        <s v="00JP8JW4" u="1"/>
        <s v="00JP8KUK" u="1"/>
        <s v="00JP8KXA" u="1"/>
        <s v="00JP8KYD" u="1"/>
        <s v="00JP8L0G" u="1"/>
        <s v="00JP8L33" u="1"/>
        <s v="00JP8L36" u="1"/>
        <s v="00JP8L65" u="1"/>
        <s v="00JP8L72" u="1"/>
        <s v="00JP8LDK" u="1"/>
        <s v="00JP8LGM" u="1"/>
        <s v="00JP8LKN" u="1"/>
        <s v="00JP8LLM" u="1"/>
        <s v="00JP8LMX" u="1"/>
        <s v="00JP8LRU" u="1"/>
        <s v="00JP8LUB" u="1"/>
        <s v="00JP8LVX" u="1"/>
        <s v="00JP8LW9" u="1"/>
        <s v="00JP8LY5" u="1"/>
        <s v="00JP8NES" u="1"/>
        <s v="00JP8NF0" u="1"/>
        <s v="00JP8NGY" u="1"/>
        <s v="00JP8NH0" u="1"/>
        <s v="00JP8NTS" u="1"/>
        <s v="00JP8NUU" u="1"/>
        <s v="00JP8NX2" u="1"/>
        <s v="00JP8NX9" u="1"/>
        <s v="00JP8NXG" u="1"/>
        <s v="00JP8NY3" u="1"/>
        <s v="00JP8NZM" u="1"/>
        <s v="00JP8O0R" u="1"/>
        <s v="00JP8O2F" u="1"/>
        <s v="00JP8O2U" u="1"/>
        <s v="00JP8O7A" u="1"/>
        <s v="00JP8O7Q" u="1"/>
        <s v="00JP8O9T" u="1"/>
        <s v="00JP8OAA" u="1"/>
        <s v="00JP8PHX" u="1"/>
        <s v="00JP8PIB" u="1"/>
        <s v="00JP95GE" u="1"/>
        <s v="00JP9600" u="1"/>
        <s v="00JP9602" u="1"/>
        <s v="00JP961M" u="1"/>
        <s v="00JP962Y" u="1"/>
        <s v="00JP9660" u="1"/>
        <s v="00JP967W" u="1"/>
        <s v="00JP9685" u="1"/>
        <s v="00JP96E8" u="1"/>
        <s v="00JP96FJ" u="1"/>
        <s v="00JP96GF" u="1"/>
        <s v="00JP96LH" u="1"/>
        <s v="00JP96OH" u="1"/>
        <s v="00JP96ON" u="1"/>
        <s v="00JP96PS" u="1"/>
        <s v="00JP96QK" u="1"/>
        <s v="00JP96RD" u="1"/>
        <s v="00JP96YS" u="1"/>
        <s v="00JP970H" u="1"/>
        <s v="00JP970V" u="1"/>
        <s v="00JP9D8A" u="1"/>
        <s v="00JP9I6I" u="1"/>
        <s v="00JP9U6T" u="1"/>
        <s v="00JP9Y81" u="1"/>
        <s v="00JPA2ZH" u="1"/>
        <s v="00JPCRVK" u="1"/>
        <s v="00JPCRXC" u="1"/>
        <s v="00JPCT5D" u="1"/>
        <s v="00JPCU0E" u="1"/>
        <s v="00JPCUE3" u="1"/>
        <s v="00JPCUQC" u="1"/>
        <s v="00JPCUR4" u="1"/>
        <s v="00JPCUZ3" u="1"/>
        <s v="00JPCV10" u="1"/>
        <s v="00JPCV2H" u="1"/>
        <s v="00JPCVH4" u="1"/>
        <s v="00JPCVHU" u="1"/>
        <s v="00JPCVSH" u="1"/>
        <s v="00JPCVTF" u="1"/>
        <s v="00JPCVUK" u="1"/>
        <s v="00JPD0YD" u="1"/>
        <s v="00JPD5ZO" u="1"/>
        <s v="00JPD68L" u="1"/>
        <s v="00JPD7ER" u="1"/>
        <s v="00JPD7JH" u="1"/>
        <s v="00JPD820" u="1"/>
        <s v="00JPD83M" u="1"/>
        <s v="00JPD8JN" u="1"/>
        <s v="00JPD8R0" u="1"/>
        <s v="00JPD8TD" u="1"/>
        <s v="00JPD8WC" u="1"/>
        <s v="00JPD8X7" u="1"/>
        <s v="00JPD8ZM" u="1"/>
        <s v="00JPD8ZW" u="1"/>
        <s v="00JPD90C" u="1"/>
        <s v="00JPD90L" u="1"/>
        <s v="00JPD962" u="1"/>
        <s v="00JPD9D0" u="1"/>
        <s v="00JPD9EV" u="1"/>
        <s v="00JPDAEH" u="1"/>
        <s v="00JPDAHY" u="1"/>
        <s v="00JPDBP2" u="1"/>
        <s v="00JPDBRT" u="1"/>
        <s v="00JPDF9J" u="1"/>
        <s v="00JPDFEK" u="1"/>
        <s v="00JPDFJC" u="1"/>
        <s v="00JPDFSK" u="1"/>
        <s v="00JPDFYU" u="1"/>
        <s v="00JPDGEE" u="1"/>
        <s v="00JPDGLC" u="1"/>
        <s v="00JPDGLR" u="1"/>
        <s v="00JPDGNT" u="1"/>
        <s v="00JPDGP3" u="1"/>
        <s v="00JPDGP9" u="1"/>
        <s v="00JPDGPI" u="1"/>
        <s v="00JPDGPN" u="1"/>
        <s v="00JPDGPV" u="1"/>
        <s v="00JPDGQK" u="1"/>
        <s v="00JPDGQV" u="1"/>
        <s v="00JPDGRA" u="1"/>
        <s v="00JPDGRW" u="1"/>
        <s v="00JPDGTP" u="1"/>
        <s v="00JPDL29" u="1"/>
        <s v="00JPDLVJ" u="1"/>
        <s v="00JPDLW7" u="1"/>
        <s v="00JPDLWF" u="1"/>
        <s v="00JPDLY8" u="1"/>
        <s v="00JPDMEJ" u="1"/>
        <s v="00JPDMEQ" u="1"/>
        <s v="00JPDMFT" u="1"/>
        <s v="00JPDMFV" u="1"/>
        <s v="00JPDMHH" u="1"/>
        <s v="00JPDMIQ" u="1"/>
        <s v="00JPDMO7" u="1"/>
        <s v="00JPDNEM" u="1"/>
        <s v="00JPDNFT" u="1"/>
        <s v="00JPDNFY" u="1"/>
        <s v="00JPDNGU" u="1"/>
        <s v="00JPDNH5" u="1"/>
        <s v="00JPDNIX" u="1"/>
        <s v="00JPDNK3" u="1"/>
        <s v="00JPDNKB" u="1"/>
        <s v="00JPDNL9" u="1"/>
        <s v="00JPDNNV" u="1"/>
        <s v="00JPDNOH" u="1"/>
        <s v="00JPDNYY" u="1"/>
        <s v="00JPDNZZ" u="1"/>
        <s v="00JPDO11" u="1"/>
        <s v="00JPDPSQ" u="1"/>
        <s v="00JPDPVX" u="1"/>
        <s v="00JPDPWM" u="1"/>
        <s v="00JPDQ3A" u="1"/>
        <s v="00JPDQ6R" u="1"/>
        <s v="00JPDQBA" u="1"/>
        <s v="00JPDQGT" u="1"/>
        <s v="00JPDQL7" u="1"/>
        <s v="00JPDQMF" u="1"/>
        <s v="00JPDQNX" u="1"/>
        <s v="00JPDR0N" u="1"/>
        <s v="00JPDR1P" u="1"/>
        <s v="00JPDT6W" u="1"/>
        <s v="00JPDT85" u="1"/>
        <s v="00JPDUPC" u="1"/>
        <s v="00JPDUQD" u="1"/>
        <s v="00JPDVIY" u="1"/>
        <s v="00JPDWRE" u="1"/>
        <s v="00JPDXBW" u="1"/>
        <s v="00JPE1EA" u="1"/>
        <s v="00JPE1L0" u="1"/>
        <s v="00JPIC0N" u="1"/>
        <s v="00JPIC6A" u="1"/>
        <s v="00JPJFEH" u="1"/>
        <s v="00JPJFVE" u="1"/>
        <s v="00JPJQ95" u="1"/>
        <s v="00JPJQVF" u="1"/>
        <s v="00JPK14P" u="1"/>
        <s v="00JPK1A0" u="1"/>
        <s v="00JPK1AV" u="1"/>
        <s v="00JPK1BU" u="1"/>
        <s v="00JPK1DB" u="1"/>
        <s v="00JPK1DN" u="1"/>
        <s v="00JPK1EG" u="1"/>
        <s v="00JPK1FN" u="1"/>
        <s v="00JPK2GC" u="1"/>
        <s v="00JPK2KY" u="1"/>
        <s v="00JPK2LQ" u="1"/>
        <s v="00JPK2M6" u="1"/>
        <s v="00JPK34A" u="1"/>
        <s v="00JPK34T" u="1"/>
        <s v="00JPK351" u="1"/>
        <s v="00JPK36Q" u="1"/>
        <s v="00JPK3A3" u="1"/>
        <s v="00JPK3UN" u="1"/>
        <s v="00JPK3UW" u="1"/>
        <s v="00JPK3VE" u="1"/>
        <s v="00JPK4AY" u="1"/>
        <s v="00JPK4EV" u="1"/>
        <s v="00JPK4PD" u="1"/>
        <s v="00JPK4PM" u="1"/>
        <s v="00JPK4QO" u="1"/>
        <s v="00JPK4R1" u="1"/>
        <s v="00JPK4R7" u="1"/>
        <s v="00JPK4RL" u="1"/>
        <s v="00JPK51W" u="1"/>
        <s v="00JPPVZX" u="1"/>
        <s v="00JPPWOV" u="1"/>
        <s v="00JPPWTV" u="1"/>
        <s v="00JPQ3HB" u="1"/>
        <s v="00JPQ3JB" u="1"/>
        <s v="00JPQ3PJ" u="1"/>
        <s v="00JPQ4KA" u="1"/>
        <s v="00JPQ54J" u="1"/>
        <s v="00JPQ5LW" u="1"/>
        <s v="00JPQ5OI" u="1"/>
        <s v="00JPQ6FR" u="1"/>
        <s v="00JPQVMK" u="1"/>
        <s v="00JPRHEE" u="1"/>
        <s v="00JPRI9L" u="1"/>
        <s v="00JPRJGY" u="1"/>
        <s v="00JPRK8U" u="1"/>
        <s v="00JPRKF9" u="1"/>
        <s v="00JPRKMM" u="1"/>
        <s v="00JPRKY8" u="1"/>
        <s v="00JPRM6Q" u="1"/>
        <s v="00JPRMA3" u="1"/>
        <s v="00JPRMRF" u="1"/>
        <s v="00JPRPHR" u="1"/>
        <s v="00JPRPK5" u="1"/>
        <s v="00JPS0KS" u="1"/>
        <s v="00JPS0MF" u="1"/>
        <s v="00JPS0NI" u="1"/>
        <s v="00JPS0S4" u="1"/>
        <s v="00JPS0T4" u="1"/>
        <s v="00JPS0UA" u="1"/>
        <s v="00JPS21W" u="1"/>
        <s v="00JPS267" u="1"/>
        <s v="00JPS288" u="1"/>
        <s v="00JPS2AG" u="1"/>
        <s v="00JPS2CN" u="1"/>
        <s v="00JPS2DM" u="1"/>
        <s v="00JPS2EA" u="1"/>
        <s v="00JPS2F0" u="1"/>
        <s v="00JPS2FY" u="1"/>
        <s v="00JPS2HC" u="1"/>
        <s v="00JPTWYG" u="1"/>
        <s v="00JPTYJO" u="1"/>
        <s v="00JPU0VM" u="1"/>
        <s v="00JPU7JW" u="1"/>
        <s v="00JPU7NA" u="1"/>
        <s v="00JPU7OC" u="1"/>
        <s v="00JPU88D" u="1"/>
        <s v="00JPU89A" u="1"/>
        <s v="00JPU89Q" u="1"/>
        <s v="00JPU8AP" u="1"/>
        <s v="00JPU8B6" u="1"/>
        <s v="00JPU8B9" u="1"/>
        <s v="00JPU8CU" u="1"/>
        <s v="00JPU8EE" u="1"/>
        <s v="00JPU8JY" u="1"/>
        <s v="00JPU8NO" u="1"/>
        <s v="00JPU8NZ" u="1"/>
        <s v="00JPU8PP" u="1"/>
        <s v="00JPU8TR" u="1"/>
        <s v="00JPU8UA" u="1"/>
        <s v="00JPU8VC" u="1"/>
        <s v="00JPU8ZK" u="1"/>
        <s v="00JPU91I" u="1"/>
        <s v="00JPU92M" u="1"/>
        <s v="00JPU93K" u="1"/>
        <s v="00JPU993" u="1"/>
        <s v="00JPU994" u="1"/>
        <s v="00JPU9AP" u="1"/>
        <s v="00JPU9BE" u="1"/>
        <s v="00JPU9EQ" u="1"/>
        <s v="00JPU9FE" u="1"/>
        <s v="00JPU9GY" u="1"/>
        <s v="00JPU9I2" u="1"/>
        <s v="00JPU9J0" u="1"/>
        <s v="00JPU9K2" u="1"/>
        <s v="00JPU9LZ" u="1"/>
        <s v="00JPUHRB" u="1"/>
        <s v="00JPUMR4" u="1"/>
        <s v="00JPUMVR" u="1"/>
        <s v="00JPUNSD" u="1"/>
        <s v="00JPUNVN" u="1"/>
        <s v="00JPUNXL" u="1"/>
        <s v="00JPUOE6" u="1"/>
        <s v="00JPUOIA" u="1"/>
        <s v="00JPUOIC" u="1"/>
        <s v="00JPUOKO" u="1"/>
        <s v="00JPUP45" u="1"/>
        <s v="00JPUPFS" u="1"/>
        <s v="00JPUQ1P" u="1"/>
        <s v="00JPUR59" u="1"/>
        <s v="00JPUR7X" u="1"/>
        <s v="00JPUR9K" u="1"/>
        <s v="00JPUTCX" u="1"/>
        <s v="00JPUUD9" u="1"/>
        <s v="00JPUUEM" u="1"/>
        <s v="00JPUY2L" u="1"/>
        <s v="00JPUZMH" u="1"/>
        <s v="00JPUZNF" u="1"/>
        <s v="00JPV0AS" u="1"/>
        <s v="00JPVILS" u="1"/>
        <s v="00JPVIOJ" u="1"/>
        <s v="00JPVITQ" u="1"/>
        <s v="00JPVIY1" u="1"/>
        <s v="00JPVK4N" u="1"/>
        <s v="00JPVK6G" u="1"/>
        <s v="00JPVKDW" u="1"/>
        <s v="00JPVNUY" u="1"/>
        <s v="00JPVWX1" u="1"/>
        <s v="00JPW11F" u="1"/>
        <s v="00JPW13D" u="1"/>
        <s v="00JPW81H" u="1"/>
        <s v="00JPW829" u="1"/>
        <s v="00JPW83J" u="1"/>
        <s v="00JPZBHP" u="1"/>
        <s v="00JPZBVL" u="1"/>
        <s v="00JPZHVX" u="1"/>
        <s v="00JPZI92" u="1"/>
        <s v="00JPZJY9" u="1"/>
        <s v="00JPZNEL" u="1"/>
        <s v="00JPZPEF" u="1"/>
        <s v="00JPZPK1" u="1"/>
        <s v="00JPZPKY" u="1"/>
        <s v="00JPZT6N" u="1"/>
        <s v="00JPZTAJ" u="1"/>
        <s v="00JPZTCP" u="1"/>
        <s v="00JQ0INA" u="1"/>
        <s v="00JQ0RDW" u="1"/>
        <s v="00JQ0RET" u="1"/>
        <s v="00JQ0RLV" u="1"/>
        <s v="00JQ0RMU" u="1"/>
        <s v="00JQ0RNW" u="1"/>
        <s v="00JQ0RON" u="1"/>
        <s v="00JQ0RS9" u="1"/>
        <s v="00JQ0RT3" u="1"/>
        <s v="00JQ0RVS" u="1"/>
        <s v="00JQ0RW7" u="1"/>
        <s v="00JQ0T5C" u="1"/>
        <s v="00JQ0T5N" u="1"/>
        <s v="00JQ0T7P" u="1"/>
        <s v="00JQ0TL5" u="1"/>
        <s v="00JQ0UMP" u="1"/>
        <s v="00JQ0UOR" u="1"/>
        <s v="00JQ0UVC" u="1"/>
        <s v="00JQ1GVO" u="1"/>
        <s v="00JQ1GW6" u="1"/>
        <s v="00JQ1GX7" u="1"/>
        <s v="00JQ1GXM" u="1"/>
        <s v="00JQ1GYG" u="1"/>
        <s v="00JQ1L7R" u="1"/>
        <s v="00JQ1L9Y" u="1"/>
        <s v="00JQ1LAE" u="1"/>
        <s v="00JQ1LDH" u="1"/>
        <s v="00JQ1MCL" u="1"/>
        <s v="00JQ1MCV" u="1"/>
        <s v="00JQ1NO4" u="1"/>
        <s v="00JQ1NRW" u="1"/>
        <s v="00JQ2J2W" u="1"/>
        <s v="00JQ2J3I" u="1"/>
        <s v="00JQ2J89" u="1"/>
        <s v="00JQ2JE6" u="1"/>
        <s v="00JQ2JMA" u="1"/>
        <s v="00JQ2JSU" u="1"/>
        <s v="00JQ2L2I" u="1"/>
        <s v="00JQ2L3N" u="1"/>
        <s v="00JQ2L57" u="1"/>
        <s v="00JQ2LEA" u="1"/>
        <s v="00JQ2N77" u="1"/>
        <s v="00JQ2NXQ" u="1"/>
        <s v="00JQ2NZ9" u="1"/>
        <s v="00JQ2PBA" u="1"/>
        <s v="00JQ2PDT" u="1"/>
        <s v="00JQ2PVX" u="1"/>
        <s v="00JQ2QYE" u="1"/>
        <s v="00JQ2R4V" u="1"/>
        <s v="00JQ2RIO" u="1"/>
        <s v="00JQ3WNH" u="1"/>
        <s v="00JQ3WV7" u="1"/>
        <s v="00JQ41NX" u="1"/>
        <s v="00JQ41P1" u="1"/>
        <s v="00JQ41RA" u="1"/>
        <s v="00JQ41S2" u="1"/>
        <s v="00JQ41UE" u="1"/>
        <s v="00JQ41UX" u="1"/>
        <s v="00JQ43NK" u="1"/>
        <s v="00JQ441P" u="1"/>
        <s v="00JQ442Y" u="1"/>
        <s v="00JQ443Z" u="1"/>
        <s v="00JQ44JE" u="1"/>
        <s v="00JQ44K3" u="1"/>
        <s v="00JQ45HQ" u="1"/>
        <s v="00JQ45IU" u="1"/>
        <s v="00JQ45JB" u="1"/>
        <s v="00JQ45KZ" u="1"/>
        <s v="00JQ461D" u="1"/>
        <s v="00JQ48U4" u="1"/>
        <s v="00JQ48VA" u="1"/>
        <s v="00JQ48VS" u="1"/>
        <s v="00JQ4KKC" u="1"/>
        <s v="00JQ4M4L" u="1"/>
        <s v="00JQ4ML8" u="1"/>
        <s v="00JQ4O0I" u="1"/>
        <s v="00JQ4OTV" u="1"/>
        <s v="00JQ4UHJ" u="1"/>
        <s v="00JQ4UHX" u="1"/>
        <s v="00JQ4V0E" u="1"/>
        <s v="00JQ4W1N" u="1"/>
        <s v="00JQ4XNA" u="1"/>
        <s v="00JQ5FIN" u="1"/>
        <s v="00JQ5Y4B" u="1"/>
        <s v="00JQ5ZB2" u="1"/>
        <s v="00JQ5ZCA" u="1"/>
        <s v="00JQ60I3" u="1"/>
        <s v="00JQ613V" u="1"/>
        <s v="00JQ62LE" u="1"/>
        <s v="00JQ62VK" u="1"/>
        <s v="00JQ63F1" u="1"/>
        <s v="00JQ63V6" u="1"/>
        <s v="00JQ65OF" u="1"/>
        <s v="00JQ65RN" u="1"/>
        <s v="00JQ66KU" u="1"/>
        <s v="00JQ678J" u="1"/>
        <s v="00JQ679Z" u="1"/>
        <s v="00JQ68OL" u="1"/>
        <s v="00JQ6FQH" u="1"/>
        <s v="00JQ6Y58" u="1"/>
        <s v="00JQ8CFQ" u="1"/>
        <s v="00JQ8F75" u="1"/>
        <s v="00JQ8FXD" u="1"/>
        <s v="00JQ8FY8" u="1"/>
        <s v="00JQ8FYA" u="1"/>
        <s v="00JQ8FZA" u="1"/>
        <s v="00JQ8FZT" u="1"/>
        <s v="00JQ8GJG" u="1"/>
        <s v="00JQ8GPS" u="1"/>
        <s v="00JQ8GQF" u="1"/>
        <s v="00JQ8GRN" u="1"/>
        <s v="00JQ8GS1" u="1"/>
        <s v="00JQ8H0X" u="1"/>
        <s v="00JQ8H29" u="1"/>
        <s v="00JQ8H8C" u="1"/>
        <s v="00JQ8H9L" u="1"/>
        <s v="00JQ8PUB" u="1"/>
        <s v="00JQFQ7W" u="1"/>
        <s v="00JQFRWN" u="1"/>
        <s v="00JQHBPI" u="1"/>
        <s v="00JQHG9Q" u="1"/>
        <s v="00JQHGSZ" u="1"/>
        <s v="00JQI2FQ" u="1"/>
        <s v="00JQI6OR" u="1"/>
        <s v="00JQI8B8" u="1"/>
        <s v="00JQI8G5" u="1"/>
        <s v="00JQI992" u="1"/>
        <s v="00JQI998" u="1"/>
        <s v="00JQI9CO" u="1"/>
        <s v="00JQI9IB" u="1"/>
        <s v="00JQI9KQ" u="1"/>
        <s v="00JQI9LI" u="1"/>
        <s v="00JQI9N0" u="1"/>
        <s v="00JQI9PA" u="1"/>
        <s v="00JQIEQQ" u="1"/>
        <s v="00JQIKG2" u="1"/>
        <s v="00JQIKIM" u="1"/>
        <s v="00JQKH0P" u="1"/>
        <s v="00JQKH2H" u="1"/>
        <s v="00JQKH37" u="1"/>
        <s v="00JQKH5N" u="1"/>
        <s v="00JQKH6R" u="1"/>
        <s v="00JQKICD" u="1"/>
        <s v="00JQKIR5" u="1"/>
        <s v="00JQKIS4" u="1"/>
        <s v="00JQKJKV" u="1"/>
        <s v="00JQKJMH" u="1"/>
        <s v="00JQKJNQ" u="1"/>
        <s v="00JQKLBA" u="1"/>
        <s v="00JQKLL5" u="1"/>
        <s v="00JQKPV7" u="1"/>
        <s v="00JQKXHW" u="1"/>
        <s v="00JQKXUN" u="1"/>
        <s v="00JQL1KX" u="1"/>
        <s v="00JQL1R6" u="1"/>
        <s v="00JQL4GM" u="1"/>
        <s v="00JQL4I0" u="1"/>
        <s v="00JQL6C0" u="1"/>
        <s v="00JQL76E" u="1"/>
        <s v="00JQL798" u="1"/>
        <s v="00JQL7B2" u="1"/>
        <s v="00JQL83C" u="1"/>
        <s v="00JQL86L" u="1"/>
        <s v="00JQL89F" u="1"/>
        <s v="00JQL8Q8" u="1"/>
        <s v="00JQL8TH" u="1"/>
        <s v="00JQL98F" u="1"/>
        <s v="00JQL9BB" u="1"/>
        <s v="00JQL9F0" u="1"/>
        <s v="00JQL9GG" u="1"/>
        <s v="00JQL9KZ" u="1"/>
        <s v="00JQL9VD" u="1"/>
        <s v="00JQLEJ9" u="1"/>
        <s v="00JQNHXA" u="1"/>
        <s v="00JQO4XJ" u="1"/>
        <s v="00JR80PE" u="1"/>
        <s v="00JR87V0" u="1"/>
        <s v="00JR87XO" u="1"/>
        <s v="00JR87XY" u="1"/>
        <s v="00JR87Y8" u="1"/>
        <s v="00JR89Z2" u="1"/>
        <s v="00JR8A0D" u="1"/>
        <s v="00JR8A0Z" u="1"/>
        <s v="00JR8A1C" u="1"/>
        <s v="00JR8A4E" u="1"/>
        <s v="00JR8A5Y" u="1"/>
        <s v="00JR8C2F" u="1"/>
        <s v="00JR8CKI" u="1"/>
        <s v="00JR8CO0" u="1"/>
        <s v="00JR8DFV" u="1"/>
        <s v="00JR8DHQ" u="1"/>
        <s v="00JR8DKR" u="1"/>
        <s v="00JR8E0L" u="1"/>
        <s v="00JR8INJ" u="1"/>
        <s v="00JR8MVQ" u="1"/>
        <s v="00JR8ON2" u="1"/>
        <s v="00JR8OYP" u="1"/>
        <s v="00JR8P09" u="1"/>
        <s v="00JR8QBJ" u="1"/>
        <s v="00JR8QQZ" u="1"/>
        <s v="00JR8RNM" u="1"/>
        <s v="00JR8RW3" u="1"/>
        <s v="00JR8RWQ" u="1"/>
        <s v="00JR8SEV" u="1"/>
        <s v="00JR8SG3" u="1"/>
        <s v="00JR8SHR" u="1"/>
        <s v="00JR8T3F" u="1"/>
        <s v="00JR8WNM" u="1"/>
        <s v="00JR8X2Y" u="1"/>
        <s v="00JRB7VB" u="1"/>
        <s v="00JRC6YO" u="1"/>
        <s v="00JRC7KI" u="1"/>
        <s v="00JRCC06" u="1"/>
        <s v="00JRCIW4" u="1"/>
        <s v="00JRCIXK" u="1"/>
        <s v="00JRCLJ4" u="1"/>
        <s v="00JRCLL4" u="1"/>
        <s v="00JRCNKJ" u="1"/>
        <s v="00JRCU9B" u="1"/>
        <s v="00JRCUA8" u="1"/>
        <s v="00JRCUK9" u="1"/>
        <s v="00JRE9R9" u="1"/>
        <s v="00JRF8FR" u="1"/>
        <s v="00JRFQUC" u="1"/>
        <s v="00JRFRGW" u="1"/>
        <s v="00JRFSGG" u="1"/>
        <s v="00JRHOG2" u="1"/>
        <s v="00JRIMEI" u="1"/>
        <s v="00JRITUA" u="1"/>
        <s v="00JRITWO" u="1"/>
        <s v="00JRITXY" u="1"/>
        <s v="00JRIU71" u="1"/>
        <s v="00JRIU7J" u="1"/>
        <s v="00JRJM2P" u="1"/>
        <s v="00JRJMMU" u="1"/>
        <s v="00JRJMWZ" u="1"/>
        <s v="00JRJNPB" u="1"/>
        <s v="00JRJNRB" u="1"/>
        <s v="00JRJWZC" u="1"/>
        <s v="00JRJYJL" u="1"/>
        <s v="00JRK15T" u="1"/>
        <s v="00JRK16A" u="1"/>
        <s v="00JRK1J7" u="1"/>
        <s v="00JRK2UD" u="1"/>
        <s v="00JRK2WQ" u="1"/>
        <s v="00JRK359" u="1"/>
        <s v="00JRK4V6" u="1"/>
        <s v="00JRKXQZ" u="1"/>
        <s v="00JRKYF2" u="1"/>
        <s v="00JRKZ73" u="1"/>
        <s v="00JRKZWE" u="1"/>
        <s v="00JRLFGJ" u="1"/>
        <s v="00JRM79V" u="1"/>
        <s v="00JRM7CP" u="1"/>
        <s v="00JRM7NM" u="1"/>
        <s v="00JRMA9S" u="1"/>
        <s v="00JRQ1NO" u="1"/>
        <s v="00JRQ9XK" u="1"/>
        <s v="00JRQMZX" u="1"/>
        <s v="00JRQVZ1" u="1"/>
        <s v="00JRQWSM" u="1"/>
        <s v="00JRQXHK" u="1"/>
        <s v="00JRR3E2" u="1"/>
        <s v="00JRUKX2" u="1"/>
        <s v="00JRUL1C" u="1"/>
        <s v="00JRUL4D" u="1"/>
        <s v="00JRULAG" u="1"/>
        <s v="00JRULEI" u="1"/>
        <s v="00JRULPK" u="1"/>
        <s v="00JRULV7" u="1"/>
        <s v="00JRUOTI" u="1"/>
        <s v="00JRUT47" u="1"/>
        <s v="00JRUU1Q" u="1"/>
        <s v="00JRUV10" u="1"/>
        <s v="00JRUYZ4" u="1"/>
        <s v="00JRUZVS" u="1"/>
        <s v="00JRV17O" u="1"/>
        <s v="ZWLGC5WT" u="1"/>
        <s v="ZWLGFTNA" u="1"/>
        <s v="00JKY70C" u="1"/>
        <s v="00JKY74G" u="1"/>
        <s v="00JKYKZR" u="1"/>
        <s v="00JKYL3I" u="1"/>
        <s v="00JKYMI2" u="1"/>
        <s v="00JKYMJV" u="1"/>
        <s v="00JKYO3T" u="1"/>
        <s v="00JKYQ8M" u="1"/>
        <s v="00JKYQMF" u="1"/>
        <s v="00JKYQNH" u="1"/>
        <s v="00JKYQP3" u="1"/>
        <s v="00JKYVNH" u="1"/>
        <s v="00JKYZOH" u="1"/>
        <s v="00JKZ031" u="1"/>
        <s v="00JL2DOG" u="1"/>
        <s v="00JL31DG" u="1"/>
        <s v="00JL31LE" u="1"/>
        <s v="00JL5MEB" u="1"/>
        <s v="00JKY5U2" u="1"/>
        <s v="00JKYLT6" u="1"/>
        <s v="00JKYQJT" u="1"/>
        <s v="00JKY4FF" u="1"/>
        <s v="00JKY4FH" u="1"/>
        <s v="00JL2DBR" u="1"/>
        <s v="00JL2CHU" u="1"/>
        <s v="00JL2E2M" u="1"/>
        <s v="00JL5N8I" u="1"/>
        <s v="00JL2NEG" u="1"/>
        <s v="00JL2NQ3" u="1"/>
        <s v="00JL2NP5" u="1"/>
        <s v="00JL2KSF" u="1"/>
        <s v="00JKWRP0" u="1"/>
        <s v="00JL7MIL" u="1"/>
        <s v="00JL7NG2" u="1"/>
        <s v="00JL7P8B" u="1"/>
        <s v="00JL7I79" u="1"/>
        <s v="00JLEHE7" u="1"/>
        <s v="00JL7VF0" u="1"/>
        <s v="00JL7TGV" u="1"/>
        <s v="00JL7PAE" u="1"/>
        <s v="00JL7PW8" u="1"/>
        <s v="00JL7PYM" u="1"/>
        <s v="00JL7QLK" u="1"/>
        <s v="00JL7QOL" u="1"/>
        <s v="00JL7QSO" u="1"/>
        <s v="00JL7QVD" u="1"/>
        <s v="00JL7QX9" u="1"/>
        <s v="00JL60A5" u="1"/>
        <s v="00JLESOE" u="1"/>
        <s v="00JLELBF" u="1"/>
        <s v="00JLEKPP" u="1"/>
        <s v="00JLEHG9" u="1"/>
        <s v="00JLEHHV" u="1"/>
        <s v="00JLEI4G" u="1"/>
        <s v="00JLEI65" u="1"/>
        <s v="00JLEIAH" u="1"/>
        <s v="00JLEICW" u="1"/>
        <s v="00JLEJN7" u="1"/>
        <s v="00JLEJTK" u="1"/>
        <s v="00JLEKCE" u="1"/>
        <s v="00JLEKHT" u="1"/>
        <s v="00JL7QZL" u="1"/>
        <s v="00JKOJF0" u="1"/>
        <s v="00JLE9F0" u="1"/>
        <s v="00JL7SXS" u="1"/>
        <s v="00JLEHC3" u="1"/>
        <s v="00JLEGNR" u="1"/>
        <s v="00JL80JN" u="1"/>
        <s v="00JL7XA1" u="1"/>
        <s v="00JL7X32" u="1"/>
        <s v="00JL7VWD" u="1"/>
        <s v="00JL7UZY" u="1"/>
        <s v="00JL7UWV" u="1"/>
        <s v="00JL7T01" u="1"/>
        <s v="00JL7SYG" u="1"/>
        <s v="00JL7RFT" u="1"/>
        <s v="00JL7RC4" u="1"/>
        <s v="00JL7R1Y" u="1"/>
        <s v="00JL7R1C" u="1"/>
        <s v="00JL7US9" u="1"/>
        <s v="00JL7TJF" u="1"/>
        <s v="00JLEKOV" u="1"/>
        <s v="00JLESMO" u="1"/>
        <s v="00JL7E4D" u="1"/>
        <s v="00JLEFT5" u="1"/>
        <s v="00JL7Q1V" u="1"/>
        <s v="00JL7PV4" u="1"/>
        <s v="00JL5ZNY" u="1"/>
        <s v="00JLEZYT" u="1"/>
        <s v="00JLEZJN" u="1"/>
        <s v="00JLI9L3" u="1"/>
        <s v="00JLI98P" u="1"/>
        <s v="00JLI9YY" u="1"/>
        <s v="00JLI9XO" u="1"/>
        <s v="00JLI9V9" u="1"/>
        <s v="00JLI9U4" u="1"/>
        <s v="00JLI9T7" u="1"/>
        <s v="00JLI9PI" u="1"/>
        <s v="00JLI9OD" u="1"/>
        <s v="00JLI9M3" u="1"/>
        <s v="00JLF1LM" u="1"/>
        <s v="00JLI9KM" u="1"/>
        <s v="00JLI9TT" u="1"/>
        <s v="00JLI21T" u="1"/>
        <s v="00JLI94B" u="1"/>
        <s v="00JLI96O" u="1"/>
        <s v="00JLF072" u="1"/>
        <s v="00JLIRES" u="1"/>
        <s v="00JLJ19V" u="1"/>
        <s v="00JLLCGY" u="1"/>
        <s v="00JLLCJL" u="1"/>
        <s v="00JLLCK6" u="1"/>
        <s v="00JLLCOH" u="1"/>
        <s v="00JLESE8" u="1"/>
        <s v="00JLIHVW" u="1"/>
        <s v="00JLIJJ3" u="1"/>
        <s v="00JLIJKB" u="1"/>
        <s v="00JLIJLO" u="1"/>
        <s v="00JLIRBX" u="1"/>
        <s v="00JLIHU6" u="1"/>
        <s v="00JLI9CG" u="1"/>
        <s v="00JLLCX5" u="1"/>
        <s v="00JLLCWG" u="1"/>
        <s v="00JLLCQV" u="1"/>
        <s v="00JLLCLB" u="1"/>
        <s v="00JLLCID" u="1"/>
        <s v="00JLXQPK" u="1"/>
        <s v="00JLXQNZ" u="1"/>
        <s v="00JLXPSW" u="1"/>
        <s v="00JLXPOZ" u="1"/>
        <s v="00JLXOM3" u="1"/>
        <s v="00JLXOJZ" u="1"/>
        <s v="00JLXOHP" u="1"/>
        <s v="00JLXOBR" u="1"/>
        <s v="00JLXNIW" u="1"/>
        <s v="00JLX818" u="1"/>
        <s v="00JLX777" u="1"/>
        <s v="00JLVQ19" u="1"/>
        <s v="00JLVOOK" u="1"/>
        <s v="00JLVLHQ" u="1"/>
      </sharedItems>
    </cacheField>
    <cacheField name="Numero Colis interne" numFmtId="0">
      <sharedItems containsString="0" containsBlank="1" containsNumber="1" containsInteger="1" minValue="6579152" maxValue="2604000299"/>
    </cacheField>
    <cacheField name="Consignation ID" numFmtId="0">
      <sharedItems containsNonDate="0" containsString="0" containsBlank="1"/>
    </cacheField>
    <cacheField name="nombre de points" numFmtId="0">
      <sharedItems containsString="0" containsBlank="1" containsNumber="1" containsInteger="1" minValue="0" maxValue="0"/>
    </cacheField>
    <cacheField name="QuantitÃ© facturÃ©e" numFmtId="0">
      <sharedItems containsString="0" containsBlank="1" containsNumber="1" containsInteger="1" minValue="0" maxValue="1"/>
    </cacheField>
    <cacheField name="Nombre de colis" numFmtId="0">
      <sharedItems containsString="0" containsBlank="1" containsNumber="1" containsInteger="1" minValue="0" maxValue="0"/>
    </cacheField>
    <cacheField name="Poids pour le traitement commande vente" numFmtId="0">
      <sharedItems containsString="0" containsBlank="1" containsNumber="1" minValue="0" maxValue="19.55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e SCHMITT" refreshedDate="46209.386511921293" createdVersion="8" refreshedVersion="8" minRefreshableVersion="3" recordCount="905" xr:uid="{00000000-000A-0000-FFFF-FFFF07000000}">
  <cacheSource type="worksheet">
    <worksheetSource ref="A1:BD1048576" sheet="Facture GLS"/>
  </cacheSource>
  <cacheFields count="56">
    <cacheField name="Catégorie" numFmtId="0">
      <sharedItems containsBlank="1" count="14">
        <s v="Frêt"/>
        <s v="Frêt - avisé"/>
        <s v="Adresse"/>
        <s v="Frêt - retour"/>
        <s v="Zone éloignée"/>
        <s v="Frais de gestion"/>
        <s v="Colis volumineux"/>
        <s v="ZZ_Ramasse unicolis"/>
        <m/>
        <s v="Frêt - Mauvais service" u="1"/>
        <s v="Z_Colis instable" u="1"/>
        <s v="catégorie inconnue" u="1"/>
        <s v="Z_Ramasse unicolis" u="1"/>
        <s v="ZZ_Colis instable" u="1"/>
      </sharedItems>
    </cacheField>
    <cacheField name="Total HT" numFmtId="0">
      <sharedItems containsString="0" containsBlank="1" containsNumber="1" minValue="0" maxValue="33.71"/>
    </cacheField>
    <cacheField name="Gazole" numFmtId="0">
      <sharedItems containsString="0" containsBlank="1" containsNumber="1" minValue="0" maxValue="5.29"/>
    </cacheField>
    <cacheField name="Total HT (hors gazole)" numFmtId="0">
      <sharedItems containsString="0" containsBlank="1" containsNumber="1" minValue="0" maxValue="33.71"/>
    </cacheField>
    <cacheField name="Poids" numFmtId="0">
      <sharedItems containsBlank="1" containsMixedTypes="1" containsNumber="1" minValue="0.5" maxValue="20"/>
    </cacheField>
    <cacheField name="Facture" numFmtId="0">
      <sharedItems containsString="0" containsBlank="1" containsNumber="1" containsInteger="1" minValue="2501382993" maxValue="2501382993"/>
    </cacheField>
    <cacheField name="Document de vente" numFmtId="0">
      <sharedItems containsString="0" containsBlank="1" containsNumber="1" containsInteger="1" minValue="60224825" maxValue="1030350167"/>
    </cacheField>
    <cacheField name="Date de la facture" numFmtId="0">
      <sharedItems containsBlank="1"/>
    </cacheField>
    <cacheField name="nÂ° client" numFmtId="0">
      <sharedItems containsString="0" containsBlank="1" containsNumber="1" containsInteger="1" minValue="2500034092" maxValue="2500034092"/>
    </cacheField>
    <cacheField name="raison sociale" numFmtId="0">
      <sharedItems containsBlank="1"/>
    </cacheField>
    <cacheField name="nÂ° chargeur" numFmtId="0">
      <sharedItems containsString="0" containsBlank="1" containsNumber="1" containsInteger="1" minValue="9000009190" maxValue="9000009190"/>
    </cacheField>
    <cacheField name="chargeur Alpha" numFmtId="0">
      <sharedItems containsString="0" containsBlank="1" containsNumber="1" containsInteger="1" minValue="46946" maxValue="46946"/>
    </cacheField>
    <cacheField name="Nom chargeur" numFmtId="0">
      <sharedItems containsBlank="1"/>
    </cacheField>
    <cacheField name="NÂ° compte exploit." numFmtId="0">
      <sharedItems containsString="0" containsBlank="1" containsNumber="1" containsInteger="1" minValue="9000037814" maxValue="9000084611"/>
    </cacheField>
    <cacheField name="Nom compte exploit." numFmtId="0">
      <sharedItems containsBlank="1" count="28">
        <s v="BY FOUTAS"/>
        <s v="LA RUCHE"/>
        <s v="ANOTHER WAY"/>
        <s v="Laboratoires Christian Roche"/>
        <s v="HARMANDI"/>
        <s v="EDRA"/>
        <m/>
        <s v="EQUILIBRE CBD" u="1"/>
        <s v="SpineFootwear" u="1"/>
        <s v="Prairymood" u="1"/>
        <s v="NALKAA" u="1"/>
        <s v="NOSC" u="1"/>
        <s v="AÃ„SGARD" u="1"/>
        <s v="ADOPTE UN BRASSEUR" u="1"/>
        <s v="ALL MY KETO" u="1"/>
        <s v="KERBI" u="1"/>
        <s v="Par un Curieux Hasard" u="1"/>
        <s v="DÃ©couvre Bitcoin" u="1"/>
        <s v="Le vapoteur tranquille" u="1"/>
        <s v="WISE" u="1"/>
        <s v="BERCAIL DECO" u="1"/>
        <s v="ONEGUM" u="1"/>
        <s v="ENJOY THE WOOD PAR HARMANDI" u="1"/>
        <s v="ENJOY THE WOOD" u="1"/>
        <s v="SILVER DEVELOPMENT" u="1"/>
        <s v="HYDRATIS" u="1"/>
        <s v="SENEA" u="1"/>
        <s v="MOWLY" u="1"/>
      </sharedItems>
    </cacheField>
    <cacheField name="Nom 2" numFmtId="0">
      <sharedItems containsNonDate="0" containsString="0" containsBlank="1"/>
    </cacheField>
    <cacheField name="Nom 3" numFmtId="0">
      <sharedItems containsNonDate="0" containsString="0" containsBlank="1"/>
    </cacheField>
    <cacheField name="Nom 4" numFmtId="0">
      <sharedItems containsNonDate="0" containsString="0" containsBlank="1"/>
    </cacheField>
    <cacheField name="nÂ° payer" numFmtId="0">
      <sharedItems containsString="0" containsBlank="1" containsNumber="1" containsInteger="1" minValue="2507012387" maxValue="2507012387"/>
    </cacheField>
    <cacheField name="Nom payer" numFmtId="0">
      <sharedItems containsBlank="1"/>
    </cacheField>
    <cacheField name="Groupe d'articles" numFmtId="0">
      <sharedItems containsBlank="1"/>
    </cacheField>
    <cacheField name="Article" numFmtId="0">
      <sharedItems containsBlank="1"/>
    </cacheField>
    <cacheField name="DÃ©signation article" numFmtId="0">
      <sharedItems containsBlank="1"/>
    </cacheField>
    <cacheField name="HiÃ©rarchie produits" numFmtId="0">
      <sharedItems containsBlank="1"/>
    </cacheField>
    <cacheField name="PRICING_COND" numFmtId="0">
      <sharedItems containsNonDate="0" containsString="0" containsBlank="1"/>
    </cacheField>
    <cacheField name="Poste" numFmtId="0">
      <sharedItems containsString="0" containsBlank="1" containsNumber="1" containsInteger="1" minValue="10" maxValue="272"/>
    </cacheField>
    <cacheField name="Date jour" numFmtId="0">
      <sharedItems containsBlank="1"/>
    </cacheField>
    <cacheField name="NumÃ©ro de colis" numFmtId="0">
      <sharedItems containsBlank="1" count="8000">
        <s v="00KZZJTF"/>
        <s v="00KZZJTD"/>
        <s v="00KZZJTH"/>
        <s v="00KZZJT9"/>
        <s v="00KZZJTG"/>
        <s v="00KZZJTA"/>
        <s v="00KZZJTC"/>
        <s v="00KZZJTB"/>
        <s v="00KZZJTE"/>
        <s v="00KUR5TX"/>
        <s v="00KUR5TY"/>
        <s v="00KUR5TZ"/>
        <s v="00KUR5TU"/>
        <s v="00L0EX46"/>
        <s v="00L0EXC0"/>
        <s v="00KZZJTK"/>
        <s v="00KZZJTI"/>
        <s v="00KZZJU2"/>
        <s v="00KZZJTP"/>
        <s v="00KZZJTY"/>
        <s v="00KZZJTX"/>
        <s v="00KZZJTS"/>
        <s v="00KZZJU0"/>
        <s v="00KZZJTV"/>
        <s v="00KZZJTJ"/>
        <s v="00KZZJTL"/>
        <s v="00KZZJTM"/>
        <s v="00KZZJTN"/>
        <s v="00KZZJTO"/>
        <s v="00KZZJTQ"/>
        <s v="00KZZJTR"/>
        <s v="00KZZJTT"/>
        <s v="00KZZJTU"/>
        <s v="00KZZJTW"/>
        <s v="00KZZJTZ"/>
        <s v="00KZZJU1"/>
        <s v="00KZZJU3"/>
        <s v="00KUR5U0"/>
        <s v="00KUR5U1"/>
        <s v="00KUR5U2"/>
        <s v="00KUR5U3"/>
        <s v="00KUR5U4"/>
        <s v="00KUR5U5"/>
        <s v="00KUR5U6"/>
        <s v="00L0DR8P"/>
        <s v="00L0DT0Y"/>
        <s v="00L0DT2S"/>
        <s v="00KUR5UE"/>
        <s v="00KUR5UF"/>
        <s v="00KUR5UD"/>
        <s v="00KUR5U7"/>
        <s v="00KUR5U9"/>
        <s v="00KUR5UC"/>
        <s v="00KUR5U8"/>
        <s v="00KUR5UA"/>
        <s v="00KUR5UB"/>
        <s v="00L0GLJP"/>
        <s v="00KZZJU4"/>
        <s v="00KZZJU5"/>
        <s v="00KZZJU6"/>
        <s v="00KZZJU7"/>
        <s v="00KZZJU8"/>
        <s v="00KZZJU9"/>
        <s v="00KZZJUA"/>
        <s v="00KZZJUB"/>
        <s v="00KZZJUC"/>
        <s v="00L0EXFW"/>
        <s v="00L0F7R5"/>
        <s v="00KZZJUE"/>
        <s v="00KZZJUD"/>
        <s v="00KZ5BVG"/>
        <s v="00KZZJUH"/>
        <s v="00KUR5UG"/>
        <s v="00KUR5UH"/>
        <s v="00KUR5UI"/>
        <s v="00KZZJUF"/>
        <s v="00KZZJUG"/>
        <s v="00KZZJUI"/>
        <s v="00KUR5UO"/>
        <s v="00KUR5UP"/>
        <s v="00KUR5UJ"/>
        <s v="00KUR5UK"/>
        <s v="00KUR5UN"/>
        <s v="00KUR5UM"/>
        <s v="00KUR5UL"/>
        <s v="00KZZJUO"/>
        <s v="00KZZJUN"/>
        <s v="00KZZJUL"/>
        <s v="00KZZJUM"/>
        <s v="00KZZJUP"/>
        <s v="00KZZJUK"/>
        <s v="00KZZJUJ"/>
        <s v="00L0SRL4"/>
        <s v="00KZZJUQ"/>
        <s v="00KUR5UQ"/>
        <s v="00KUR5UR"/>
        <s v="00KZZJUT"/>
        <s v="00KZZJUU"/>
        <s v="00KZZJUR"/>
        <s v="00KZZJUS"/>
        <s v="00KUR5UT"/>
        <s v="00KUR5V0"/>
        <s v="00KUR5UY"/>
        <s v="00KUR5UU"/>
        <s v="00KUR5V1"/>
        <s v="00KUR5UZ"/>
        <s v="00KUR5UW"/>
        <s v="00KUR5US"/>
        <s v="00KUR5UX"/>
        <s v="00KUR5UV"/>
        <s v="00KUR5V2"/>
        <s v="00KUR5V6"/>
        <s v="00KUR5V4"/>
        <s v="00KUR5V5"/>
        <s v="00KUR5V3"/>
        <s v="00L29F9X"/>
        <s v="00L29FI2"/>
        <s v="00KZZJUX"/>
        <s v="00KZZJUW"/>
        <s v="00KZZJUY"/>
        <s v="00KZZJUV"/>
        <s v="00KUR5V7"/>
        <s v="00KUR5V8"/>
        <s v="00KUR5V9"/>
        <s v="00KUR5VA"/>
        <s v="00KUR5VB"/>
        <s v="00KZZJUZ"/>
        <s v="00KUR5VC"/>
        <s v="00KUR5VD"/>
        <s v="00KUR5VE"/>
        <s v="00KUR5VF"/>
        <s v="00KUR5VG"/>
        <s v="ZWLMMM8V"/>
        <s v="00KZZJV4"/>
        <s v="00KZZJV3"/>
        <s v="00KZZJV2"/>
        <s v="00KZZJV1"/>
        <s v="00KZZJV0"/>
        <s v="00KUR5VH"/>
        <s v="00KUR5VL"/>
        <s v="00KUR5VK"/>
        <s v="00KUR5VJ"/>
        <s v="00KUR5VI"/>
        <s v="00L2R9O3"/>
        <s v="00L2RVK3"/>
        <s v="00KZZJV5"/>
        <s v="00KUR5VM"/>
        <s v="00KUR5VS"/>
        <s v="00KUR5VR"/>
        <s v="00KUR5VQ"/>
        <s v="00KUR5VP"/>
        <s v="00KUR5VO"/>
        <s v="00KUR5VN"/>
        <s v="00L2X6VJ"/>
        <s v="00KUR5VT"/>
        <s v="00KUR5VU"/>
        <s v="00KUR5VV"/>
        <s v="00KUR5VW"/>
        <s v="00KUR5VX"/>
        <s v="00KUR5VY"/>
        <s v="00KUR5VZ"/>
        <s v="00KZZJV6"/>
        <s v="00KZZJV7"/>
        <s v="00KUR5W5"/>
        <s v="00KUR5W7"/>
        <s v="00KUR5W0"/>
        <s v="00KUR5W6"/>
        <s v="00KUR5W4"/>
        <s v="00KUR5W3"/>
        <s v="00KUR5W2"/>
        <s v="00KUR5W1"/>
        <s v="00KUR5W8"/>
        <s v="00KUR5W9"/>
        <s v="00KUR5WA"/>
        <s v="00KUR5WB"/>
        <s v="00KUR5WC"/>
        <s v="00KUR5WD"/>
        <s v="00L3602L"/>
        <s v="00L3602K"/>
        <s v="00L363N4"/>
        <s v="00KZZJVA"/>
        <s v="00KZZJV9"/>
        <s v="00KZZJV8"/>
        <s v="00KUR5WF"/>
        <s v="00KUR5WE"/>
        <s v="00KUR5WK"/>
        <s v="00KUR5WG"/>
        <s v="00KUR5WH"/>
        <s v="00KZZJVB"/>
        <s v="00L38JTQ"/>
        <s v="00KUR5WJ"/>
        <s v="00KUR5WI"/>
        <s v="00L0NDX4"/>
        <s v="00L0NDX3"/>
        <s v="00L0NDX2"/>
        <s v="00KUR5WL"/>
        <s v="ZWLMMM8W"/>
        <s v="00L0NDX1"/>
        <s v="00L0NDX0"/>
        <s v="00L0NDWZ"/>
        <s v="00L0NDWY"/>
        <s v="00L0NDWX"/>
        <s v="00L0NDWW"/>
        <s v="00L0NDWV"/>
        <s v="00L0NDWU"/>
        <s v="00L0NDWT"/>
        <s v="00L0NDWS"/>
        <s v="00KZZJVC"/>
        <s v="00KZZJVD"/>
        <s v="00L0NDWA"/>
        <s v="00L0NDWB"/>
        <s v="00L0NDWC"/>
        <s v="00L0NDWD"/>
        <s v="00L0NDWE"/>
        <s v="00L0NDWF"/>
        <s v="00L0NDWG"/>
        <s v="00L0NDWH"/>
        <s v="00L0NDWI"/>
        <s v="00L0NDWJ"/>
        <s v="00L0NDWK"/>
        <s v="00L0NDWL"/>
        <s v="00L0NDWM"/>
        <s v="00L0NDWN"/>
        <s v="00L0NDWO"/>
        <s v="00L0NDWP"/>
        <s v="00L0NDWQ"/>
        <s v="00L0NDWR"/>
        <s v="00L0NDX7"/>
        <s v="00L0NDX6"/>
        <s v="00L0NDX5"/>
        <s v="00KUR5WP"/>
        <s v="00KUR5WQ"/>
        <s v="00KUR5WR"/>
        <s v="00KUR5WS"/>
        <s v="00KUR5WT"/>
        <s v="00KUR5WN"/>
        <s v="00KUR5WU"/>
        <s v="00KUR5WM"/>
        <s v="00KUR5WO"/>
        <s v="00L3KSUN"/>
        <s v="00L0NDXX"/>
        <s v="00L0NDXY"/>
        <s v="00L0NDXZ"/>
        <s v="00L0NDY0"/>
        <s v="00L0NDY1"/>
        <s v="00L0NDY2"/>
        <s v="00L0NDY3"/>
        <s v="00L0NDY4"/>
        <s v="00L0NDY5"/>
        <s v="00L0NDY6"/>
        <s v="00L0NDY7"/>
        <s v="00L0NDY8"/>
        <s v="00L0NDY9"/>
        <s v="00L0NDYA"/>
        <s v="00L0NDYB"/>
        <s v="00L0NDYC"/>
        <s v="00L0NDYD"/>
        <s v="00L0NDYE"/>
        <s v="00L0NDYF"/>
        <s v="00L0NDYG"/>
        <s v="00L0NDYH"/>
        <s v="00L0NDYI"/>
        <s v="00L0NDYJ"/>
        <s v="00L0NDYK"/>
        <s v="00L0NDX9"/>
        <s v="00L0NDX8"/>
        <s v="00L0NDXA"/>
        <s v="00L0NDXB"/>
        <s v="00L0NDXC"/>
        <s v="00L0NDXD"/>
        <s v="00L0NDXE"/>
        <s v="00L0NDXF"/>
        <s v="00L0NDXG"/>
        <s v="00L0NDXH"/>
        <s v="00L0NDXI"/>
        <s v="00L0NDXJ"/>
        <s v="00L0NDXK"/>
        <s v="00L0NDXL"/>
        <s v="00L0NDXM"/>
        <s v="00L0NDXN"/>
        <s v="00L0NDXO"/>
        <s v="00L0NDXP"/>
        <s v="00L0NDXQ"/>
        <s v="00L0NDXR"/>
        <s v="00L0NDXS"/>
        <s v="00L0NDXT"/>
        <s v="00L0NDXU"/>
        <s v="00L0NDXV"/>
        <s v="00L0NDXW"/>
        <s v="00L3KZME"/>
        <s v="00L0NDZC"/>
        <s v="00L0NDZ9"/>
        <s v="00L0NDZ4"/>
        <s v="00L0NDZ2"/>
        <s v="00L0NDZ1"/>
        <s v="00L0NDYL"/>
        <s v="00L0NDZE"/>
        <s v="00L0NDZ7"/>
        <s v="00L0NDZ5"/>
        <s v="00L0NDZ3"/>
        <s v="00L0NDYY"/>
        <s v="00L0NDYS"/>
        <s v="00L0NDZF"/>
        <s v="00L0NDYX"/>
        <s v="00L0NDYW"/>
        <s v="00L0NDYT"/>
        <s v="00L0NDZD"/>
        <s v="00L0NDZB"/>
        <s v="00L0NDZA"/>
        <s v="00L0NDYV"/>
        <s v="00L0NDYZ"/>
        <s v="00L0NDYR"/>
        <s v="00L0NDYN"/>
        <s v="00L0NDZ8"/>
        <s v="00L0NDZ6"/>
        <s v="00L0NDZ0"/>
        <s v="00L0NDYU"/>
        <s v="00L0NDYQ"/>
        <s v="00L0NDYP"/>
        <s v="00L0NDYO"/>
        <s v="00L0NDYM"/>
        <s v="00KUR5WV"/>
        <s v="00KUR5WW"/>
        <s v="00KUR5WX"/>
        <s v="00KUR5WY"/>
        <s v="00KUR5WZ"/>
        <s v="00KUR5X0"/>
        <s v="00L0NDZT"/>
        <s v="00L0NDZS"/>
        <s v="00L0NDZR"/>
        <s v="00L0NDZQ"/>
        <s v="00L0NDZP"/>
        <s v="00L0NDZO"/>
        <s v="00L0NDZN"/>
        <s v="00L0NDZM"/>
        <s v="00L0NDZL"/>
        <s v="00L0NDZK"/>
        <s v="00L0NDZJ"/>
        <s v="00L0NDZI"/>
        <s v="00L0NDZH"/>
        <s v="00L0NDZG"/>
        <s v="00L0NE01"/>
        <s v="00L0NDZU"/>
        <s v="00L0NDZV"/>
        <s v="00L0NDZW"/>
        <s v="00L0NDZX"/>
        <s v="00L0NDZY"/>
        <s v="00L0NDZZ"/>
        <s v="00L0NE00"/>
        <s v="00L0NE02"/>
        <s v="00L0NE03"/>
        <s v="00KUR5X1"/>
        <s v="00KUR5X2"/>
        <s v="00KUR5X3"/>
        <s v="00KUR5X4"/>
        <s v="00KUR5X5"/>
        <s v="00KUR5X6"/>
        <s v="00KUR5X7"/>
        <s v="00L0NE04"/>
        <s v="00L0NE05"/>
        <s v="00L0NE06"/>
        <s v="00L0NE07"/>
        <s v="00L0NE08"/>
        <s v="00L0NE09"/>
        <s v="00L3Y32D"/>
        <s v="00L3QE5G"/>
        <s v="00KUR5X8"/>
        <s v="00KUR5X9"/>
        <s v="00KUR5XA"/>
        <s v="00L0NE0Y"/>
        <s v="00L0NE0S"/>
        <s v="00L0NE0P"/>
        <s v="00L0NE0O"/>
        <s v="00L0NE0N"/>
        <s v="00L0NE0K"/>
        <s v="00L0NE0G"/>
        <s v="00L0NE0F"/>
        <s v="00L0NE0D"/>
        <s v="00L0NE0C"/>
        <s v="00L0NE0B"/>
        <s v="00L0NE0A"/>
        <s v="00L40S0N"/>
        <s v="00L0NE0X"/>
        <s v="00L0NE0R"/>
        <s v="00L0NE0L"/>
        <s v="00L0NE0E"/>
        <s v="00L0NE0U"/>
        <s v="00L0NE1F"/>
        <s v="00L0NE14"/>
        <s v="00L0NE13"/>
        <s v="00L0NE12"/>
        <s v="00L0NE11"/>
        <s v="00L0NE0W"/>
        <s v="00L0NE0V"/>
        <s v="00L0NE0T"/>
        <s v="00L0NE0M"/>
        <s v="00L0NE0J"/>
        <s v="00L0NE0H"/>
        <s v="00L0NE1S"/>
        <s v="00L0NE0Z"/>
        <s v="00L0NE1Q"/>
        <s v="00L0NE1O"/>
        <s v="00L0NE1P"/>
        <s v="00L0NE1R"/>
        <s v="00L0NE1M"/>
        <s v="00L0NE1I"/>
        <s v="00L0NE1N"/>
        <s v="00L0NE1K"/>
        <s v="00L0NE1J"/>
        <s v="00L0NE1H"/>
        <s v="00L0NE1E"/>
        <s v="00L0NE0Q"/>
        <s v="00L0NE0I"/>
        <s v="00L0NE1L"/>
        <s v="00L0NE1G"/>
        <s v="00L0NE1D"/>
        <s v="00L0NE1C"/>
        <s v="00L0NE1B"/>
        <s v="00L0NE1A"/>
        <s v="00L0NE19"/>
        <s v="00L0NE18"/>
        <s v="00L0NE17"/>
        <s v="00L0NE16"/>
        <s v="00L0NE15"/>
        <s v="00L0NE10"/>
        <m/>
        <s v="00KUR5XB"/>
        <s v="00KWWEWK" u="1"/>
        <s v="00KWXJHP" u="1"/>
        <s v="00KWWG7Y" u="1"/>
        <s v="00KX4HAB" u="1"/>
        <s v="00KWXZMZ" u="1"/>
        <s v="00KX4H8C" u="1"/>
        <s v="00KX8PGD" u="1"/>
        <s v="00KX8PBI" u="1"/>
        <s v="00KX8P7X" u="1"/>
        <s v="00KX8JZM" u="1"/>
        <s v="00KX8IV6" u="1"/>
        <s v="00KX8IOC" u="1"/>
        <s v="00KX8I6X" u="1"/>
        <s v="00KX8I4V" u="1"/>
        <s v="00KX7ZY2" u="1"/>
        <s v="00KX4JB4" u="1"/>
        <s v="00KX4DZJ" u="1"/>
        <s v="00KX9V56" u="1"/>
        <s v="00KX9V3Y" u="1"/>
        <s v="00KX8WYM" u="1"/>
        <s v="00KX8WZF" u="1"/>
        <s v="00KX8X1V" u="1"/>
        <s v="00KX8X2K" u="1"/>
        <s v="00KX8X40" u="1"/>
        <s v="00KX979V" u="1"/>
        <s v="00KX97ON" u="1"/>
        <s v="00KX9V12" u="1"/>
        <s v="00KX9V2S" u="1"/>
        <s v="00KX89IO" u="1"/>
        <s v="00KX87XH" u="1"/>
        <s v="00KX8EIL" u="1"/>
        <s v="00KX8PU0" u="1"/>
        <s v="00KX8PG0" u="1"/>
        <s v="00KX8I9Y" u="1"/>
        <s v="00KX88VX" u="1"/>
        <s v="00KX8WXZ" u="1"/>
        <s v="00KX8WXG" u="1"/>
        <s v="00KX8PQQ" u="1"/>
        <s v="00KX8POK" u="1"/>
        <s v="00KX83JZ" u="1"/>
        <s v="00KX9UB7" u="1"/>
        <s v="00KX98S5" u="1"/>
        <s v="00KX98U1" u="1"/>
        <s v="00KX4I4N" u="1"/>
        <s v="00KX4IXA" u="1"/>
        <s v="00KX4JBD" u="1"/>
        <s v="00KX82G2" u="1"/>
        <s v="00KX9UZI" u="1"/>
        <s v="00KXK0OS" u="1"/>
        <s v="00KXJSC1" u="1"/>
        <s v="00KX9UZV" u="1"/>
        <s v="00KX9V0A" u="1"/>
        <s v="00KX9V0M" u="1"/>
        <s v="00KXIPUG" u="1"/>
        <s v="00KXIPMU" u="1"/>
        <s v="00KX9YP8" u="1"/>
        <s v="00KXKXB8" u="1"/>
        <s v="00KXKX8L" u="1"/>
        <s v="00KXKX6A" u="1"/>
        <s v="00KXKLXE" u="1"/>
        <s v="00KX9V3E" u="1"/>
        <s v="00KX9ZKE" u="1"/>
        <s v="00KXA0D3" u="1"/>
        <s v="00KXIPN5" u="1"/>
        <s v="00KXITNR" u="1"/>
        <s v="00KX9YP2" u="1"/>
        <s v="00KXIOEF" u="1"/>
        <s v="00KX9VFY" u="1"/>
        <s v="00KXIOHE" u="1"/>
        <s v="00KXK0OH" u="1"/>
        <s v="00KXIS1N" u="1"/>
        <s v="00KXUP8J" u="1"/>
        <s v="ZWLM1QCS" u="1"/>
        <s v="00KXZAAD" u="1"/>
        <s v="00KXZA5H" u="1"/>
        <s v="00KXY9OY" u="1"/>
        <s v="00KXY2BK" u="1"/>
        <s v="00KXY1YV" u="1"/>
        <s v="00KY16LT" u="1"/>
        <s v="00KY1391" u="1"/>
        <s v="00KY0P4N" u="1"/>
        <s v="00KXZXSX" u="1"/>
        <s v="00KXZX7B" u="1"/>
        <s v="00KXZE13" u="1"/>
        <s v="00KXZD0W" u="1"/>
        <s v="00KXZC43" u="1"/>
        <s v="00KXZBYU" u="1"/>
        <s v="00KXZA9B" u="1"/>
        <s v="00KXZ73T" u="1"/>
        <s v="00KXY9US" u="1"/>
        <s v="00KXY9IZ" u="1"/>
        <s v="00KXY9HU" u="1"/>
        <s v="00KXY6PV" u="1"/>
        <s v="00KXY5FO" u="1"/>
        <s v="00KXY571" u="1"/>
        <s v="00KXY4ME" u="1"/>
        <s v="00KXY2AB" u="1"/>
        <s v="00KXY1UR" u="1"/>
        <s v="00KXXO5M" u="1"/>
        <s v="00KY14GB" u="1"/>
        <s v="00KY0R0V" u="1"/>
        <s v="00KY0OEC" u="1"/>
        <s v="00KXY29K" u="1"/>
        <s v="00KXZXOM" u="1"/>
        <s v="00KY03Q1" u="1"/>
        <s v="00KXZAB3" u="1"/>
        <s v="00KXY48N" u="1"/>
        <s v="00KXZENC" u="1"/>
        <s v="00KXY4MZ" u="1"/>
        <s v="ZWLM3SAJ" u="1"/>
        <s v="ZWLM3SAI" u="1"/>
        <s v="00KY0267" u="1"/>
        <s v="00KXY9K4" u="1"/>
        <s v="00KY06OF" u="1"/>
        <s v="00KXZCBN" u="1"/>
        <s v="00KXY9QC" u="1"/>
        <s v="00KY16MY" u="1"/>
        <s v="00KXZC4N" u="1"/>
        <s v="00KXY9J5" u="1"/>
        <s v="00KXY9H9" u="1"/>
        <s v="00KXZCUJ" u="1"/>
        <s v="00KY03QE" u="1"/>
        <s v="00KY03KV" u="1"/>
        <s v="00KXY5F3" u="1"/>
        <s v="00KY16P3" u="1"/>
        <s v="00KY14JM" u="1"/>
        <s v="00KY14JE" u="1"/>
        <s v="00KY13YZ" u="1"/>
        <s v="00KY13X2" u="1"/>
        <s v="00KY13WJ" u="1"/>
        <s v="00KY13VG" u="1"/>
        <s v="00KY13FS" u="1"/>
        <s v="00KY0RE3" u="1"/>
        <s v="00KY06SC" u="1"/>
        <s v="00KXZCJG" u="1"/>
        <s v="00KY54T0" u="1"/>
        <s v="00KY55NA" u="1"/>
        <s v="00KY57TY" u="1"/>
        <s v="00KY58P1" u="1"/>
        <s v="00KY4P86" u="1"/>
        <s v="00KXZWGL" u="1"/>
        <s v="00KY49NM" u="1"/>
        <s v="00KY4XU7" u="1"/>
        <s v="00KY16N8" u="1"/>
        <s v="00KY16SP" u="1"/>
        <s v="00KY16TM" u="1"/>
        <s v="00KY170N" u="1"/>
        <s v="00KY171H" u="1"/>
        <s v="00KY4XV4" u="1"/>
        <s v="00KY4XVP" u="1"/>
        <s v="00KY173U" u="1"/>
        <s v="00KY172L" u="1"/>
        <s v="00KY1723" u="1"/>
        <s v="00KY06HP" u="1"/>
        <s v="00KY0XPH" u="1"/>
        <s v="00KY96W7" u="1"/>
        <s v="00KY96XN" u="1"/>
        <s v="00KY96YG" u="1"/>
        <s v="00KY96Z0" u="1"/>
        <s v="00KY9DT1" u="1"/>
        <s v="ZWLM5UMD" u="1"/>
        <s v="00KY94K4" u="1"/>
        <s v="00KY96LH" u="1"/>
        <s v="00KY5UQC" u="1"/>
        <s v="00KY95Z9" u="1"/>
        <s v="00KY96UU" u="1"/>
        <s v="00KY96R3" u="1"/>
        <s v="00KY951V" u="1"/>
        <s v="00KY5UPP" u="1"/>
        <s v="00KY9E7M" u="1"/>
        <s v="00KY9ETB" u="1"/>
        <s v="00KY9IUG" u="1"/>
        <s v="00KY9IVG" u="1"/>
        <s v="00KY9IWW" u="1"/>
        <s v="00KY9IYG" u="1"/>
        <s v="00KY9K0V" u="1"/>
        <s v="00KYF3H3" u="1"/>
        <s v="00KYJ6R3" u="1"/>
        <s v="00KYJM1U" u="1"/>
        <s v="00KYJMY7" u="1"/>
        <s v="00KYJPZG" u="1"/>
        <s v="00KYK0AN" u="1"/>
        <s v="00KYK0VL" u="1"/>
        <s v="00KY9DTR" u="1"/>
        <s v="00KYJZBQ" u="1"/>
        <s v="00KYJYU0" u="1"/>
        <s v="00KYJY7J" u="1"/>
        <s v="00KYJXV8" u="1"/>
        <s v="00KYJQEE" u="1"/>
        <s v="00KYJQDQ" u="1"/>
        <s v="00KY96XP" u="1"/>
        <s v="00KYQ49V" u="1"/>
        <s v="00KYK0NF" u="1"/>
        <s v="00KY96SF" u="1"/>
        <s v="00KYI12G" u="1"/>
        <s v="00KYJ6NU" u="1"/>
        <s v="00KYHNND" u="1"/>
        <s v="00KY9K1F" u="1"/>
        <s v="00KY9IXE" u="1"/>
        <s v="00KY9IWH" u="1"/>
        <s v="00KYHQ3Q" u="1"/>
        <s v="00KYGK6P" u="1"/>
        <s v="00KY9JZS" u="1"/>
        <s v="00KY9ITW" u="1"/>
        <s v="00KYJT0G" u="1"/>
        <s v="00KY96UD" u="1"/>
        <s v="00KYJQLN" u="1"/>
        <s v="00KYJMWU" u="1"/>
        <s v="00KYHNRY" u="1"/>
        <s v="00KY9K03" u="1"/>
        <s v="00KY9IZ8" u="1"/>
        <s v="00KY9IXK" u="1"/>
        <s v="00KY9IV4" u="1"/>
        <s v="00KY9E8Z" u="1"/>
        <s v="00KY9DU5" u="1"/>
        <s v="00KY979L" u="1"/>
        <s v="00KY9794" u="1"/>
        <s v="00KY96WZ" u="1"/>
        <s v="00KYQ8HK" u="1"/>
        <s v="00KY9EBJ" u="1"/>
        <s v="00KYJ6P5" u="1"/>
        <s v="00KYJ6P4" u="1"/>
        <s v="00KYHMNA" u="1"/>
        <s v="00KYUPKW" u="1"/>
        <s v="00KYUPYN" u="1"/>
        <s v="00KYUQ01" u="1"/>
        <s v="00KYUQPF" u="1"/>
        <s v="00KYUQPT" u="1"/>
        <s v="00KYURH8" u="1"/>
        <s v="00KYQ9LU" u="1"/>
        <s v="00KYQ9OL" u="1"/>
        <s v="00KYQ9QM" u="1"/>
        <s v="00KYQAK6" u="1"/>
        <s v="00KYUNOY" u="1"/>
        <s v="00KYQ9O8" u="1"/>
        <s v="00KYQ9Q0" u="1"/>
        <s v="00KYQ9L3" u="1"/>
        <s v="ZWLM8L8P" u="1"/>
        <s v="00KYYT9O" u="1"/>
        <s v="00KYZ0T1" u="1"/>
        <s v="00KYUSXJ" u="1"/>
        <s v="00KWGB1V" u="1"/>
        <s v="00KYVBJK" u="1"/>
        <s v="00KYVBIS" u="1"/>
        <s v="00KYV030" u="1"/>
        <s v="00KYUWWJ" u="1"/>
        <s v="00KZ3H9A" u="1"/>
        <s v="00KYZ3Z1" u="1"/>
        <s v="00KZ3K9K" u="1"/>
        <s v="00KZ2U9H" u="1"/>
        <s v="00KYZ2JG" u="1"/>
        <s v="00KZ3QLS" u="1"/>
        <s v="00KZ3KB8" u="1"/>
        <s v="00KYZBG9" u="1"/>
        <s v="00KYZ2KR" u="1"/>
        <s v="00KZ3NPU" u="1"/>
        <s v="00KZ3QKK" u="1"/>
        <s v="00KZ5SUF" u="1"/>
        <s v="00KZ5S95" u="1"/>
        <s v="ZWLMBCJ7" u="1"/>
        <s v="00KZ463F" u="1"/>
        <s v="00KZ463T" u="1"/>
        <s v="00KZ5ATT" u="1"/>
        <s v="00KZ5AUM" u="1"/>
        <s v="00KZ5AW0" u="1"/>
        <s v="00KZ5POS" u="1"/>
        <s v="00KZ5PPT" u="1"/>
        <s v="00KZ5PQ3" u="1"/>
        <s v="00KZ5RBZ" u="1"/>
        <s v="00KZ5RCQ" u="1"/>
        <s v="00KZ5TEW" u="1"/>
        <s v="00KZ44QQ" u="1"/>
        <s v="00KZ3RDR" u="1"/>
        <s v="00KZ3S63" u="1"/>
        <s v="00KZ5SWI" u="1"/>
        <s v="00KZ5TUI" u="1"/>
        <s v="00KZ5TW8" u="1"/>
        <s v="00KZ5U31" u="1"/>
        <s v="00KZOH9A" u="1"/>
        <s v="00KZOHA2" u="1"/>
        <s v="00KZOHA9" u="1"/>
        <s v="00KZOHAM" u="1"/>
        <s v="00KZOHAX" u="1"/>
        <s v="00KZOHBO" u="1"/>
        <s v="00KZOHCC" u="1"/>
        <s v="00KZOHCI" u="1"/>
        <s v="00KZOHCJ" u="1"/>
        <s v="00KZOHDM" u="1"/>
        <s v="00KZOHHH" u="1"/>
        <s v="00KZOHL4" u="1"/>
        <s v="00KZOHLZ" u="1"/>
        <s v="00KZOHM0" u="1"/>
        <s v="00KZOI2P" u="1"/>
        <s v="00KZOI3S" u="1"/>
        <s v="00KZOI5K" u="1"/>
        <s v="00KZOI60" u="1"/>
        <s v="00KZOI7K" u="1"/>
        <s v="00KZOI80" u="1"/>
        <s v="00KZOI81" u="1"/>
        <s v="00KZOJKA" u="1"/>
        <s v="00KZOJKO" u="1"/>
        <s v="00KZP9OM" u="1"/>
        <s v="00KZOHDK" u="1"/>
        <s v="00KZOHB1" u="1"/>
        <s v="00KZ5VEC" u="1"/>
        <s v="00KZRA48" u="1"/>
        <s v="00KZRA47" u="1"/>
        <s v="00KZR9YG" u="1"/>
        <s v="00KZR8XU" u="1"/>
        <s v="00KZOHLM" u="1"/>
        <s v="00KZOI3B" u="1"/>
        <s v="00KZR7M3" u="1"/>
        <s v="00KZR8R1" u="1"/>
        <s v="00KZOHB5" u="1"/>
        <s v="00KZOHCP" u="1"/>
        <s v="00KZOHCV" u="1"/>
        <s v="00KZOHHL" u="1"/>
        <s v="00KZR8OH" u="1"/>
        <s v="00KZ5VCU" u="1"/>
        <s v="00KZ5YOF" u="1"/>
        <s v="00KZOI7W" u="1"/>
        <s v="00KZOJKU" u="1"/>
        <s v="00KZP9TV" u="1"/>
        <s v="00KZ5UXK" u="1"/>
        <s v="00KZ5V1K" u="1"/>
        <s v="00KZ5YMC" u="1"/>
        <s v="00KZ5YMI" u="1"/>
        <s v="00KZOI8B" u="1"/>
        <s v="00KZOI8D" u="1"/>
        <s v="00KZR7JX" u="1"/>
        <s v="00KZR7MS" u="1"/>
        <s v="00KZR7NO" u="1"/>
        <s v="00KZ5VFJ" u="1"/>
        <s v="00KZ5YM4" u="1"/>
        <s v="00KZR64Z" u="1"/>
        <s v="00KZR7LJ" u="1"/>
        <s v="00KZR7LW" u="1"/>
        <s v="00KZR7SN" u="1"/>
        <s v="00KZR8CN" u="1"/>
        <s v="00KZR8BI" u="1"/>
        <s v="00KZR7Q0" u="1"/>
        <s v="00KZQOW3" u="1"/>
        <s v="00KZP9UD" u="1"/>
        <s v="00KZP9U0" u="1"/>
        <s v="00KZR7R3" u="1"/>
        <s v="00KZP9OS" u="1"/>
        <s v="00KZP9P4" u="1"/>
        <s v="00KZR6U0" u="1"/>
        <s v="00KZR7LE" u="1"/>
        <s v="00KZR7ND" u="1"/>
        <s v="00KZ5VCS" u="1"/>
        <s v="00KZ5VFQ" u="1"/>
        <s v="00KZ5YNI" u="1"/>
        <s v="00KZOHMJ" u="1"/>
        <s v="00KZOHML" u="1"/>
        <s v="00KZOI42" u="1"/>
        <s v="00KZOI5Z" u="1"/>
        <s v="00KZOI82" u="1"/>
        <s v="00KZOI8G" u="1"/>
        <s v="00KZOJKI" u="1"/>
        <s v="00KZOJKY" u="1"/>
        <s v="00KZOJL4" u="1"/>
        <s v="00KZP9OG" u="1"/>
        <s v="00KZP9UK" u="1"/>
        <s v="00KZR7QO" u="1"/>
        <s v="00KZR8SN" u="1"/>
        <s v="00KZ5VEG" u="1"/>
        <s v="00KZR7P8" u="1"/>
        <s v="00KZ7I81" u="1"/>
        <s v="00KZ7IDU" u="1"/>
        <s v="00KZ7IHQ" u="1"/>
        <s v="00KZTVDJ" u="1"/>
        <s v="00KZTVCP" u="1"/>
        <s v="00KZTV3C" u="1"/>
        <s v="00KZTURD" u="1"/>
        <s v="00KZTUP2" u="1"/>
        <s v="00KZTUNF" u="1"/>
        <s v="00KZTUN1" u="1"/>
        <s v="00KZRGX9" u="1"/>
        <s v="00KZRGSZ" u="1"/>
        <s v="00KZRDUO" u="1"/>
        <s v="00KZRH1F" u="1"/>
        <s v="00KZRDHU" u="1"/>
        <s v="00KZRH11" u="1"/>
        <s v="00KZRH0P" u="1"/>
        <s v="00KZTVG1" u="1"/>
        <s v="00KZTVHN" u="1"/>
        <s v="00KZW033" u="1"/>
        <s v="00KZRG1I" u="1"/>
        <s v="00KZRGV1" u="1"/>
        <s v="00KZRH72" u="1"/>
        <s v="00KZRH7C" u="1"/>
        <s v="00KZRL1N" u="1"/>
        <s v="00KZRL1W" u="1"/>
        <s v="00KZRL56" u="1"/>
        <s v="00KUR5TM" u="1"/>
        <s v="00KZWE0Z" u="1"/>
        <s v="00KZZJSM" u="1"/>
        <s v="00KZZJSN" u="1"/>
        <s v="00KZZJSO" u="1"/>
        <s v="00KZZJSP" u="1"/>
        <s v="00KZZJSQ" u="1"/>
        <s v="00KZZJSR" u="1"/>
        <s v="00KZZJSS" u="1"/>
        <s v="00KZZJST" u="1"/>
        <s v="00KZZJSU" u="1"/>
        <s v="00KUR5TK" u="1"/>
        <s v="00KUR5TL" u="1"/>
        <s v="00KUR5TN" u="1"/>
        <s v="00KUR5TO" u="1"/>
        <s v="00KUR5TP" u="1"/>
        <s v="00KUR5TQ" u="1"/>
        <s v="00KUR5TR" u="1"/>
        <s v="00KZZJT1" u="1"/>
        <s v="00KZZJT2" u="1"/>
        <s v="00KZZJT3" u="1"/>
        <s v="00KZZJT4" u="1"/>
        <s v="00KZZJT5" u="1"/>
        <s v="00KZZJT6" u="1"/>
        <s v="00KZZJT7" u="1"/>
        <s v="00KZZJT8" u="1"/>
        <s v="00KZZJSZ" u="1"/>
        <s v="00KZZJSX" u="1"/>
        <s v="00KZZJSY" u="1"/>
        <s v="00KZZJSV" u="1"/>
        <s v="00KZZJT0" u="1"/>
        <s v="00KZZJSW" u="1"/>
        <s v="00KUR5TS" u="1"/>
        <s v="00KUR5TT" u="1"/>
        <s v="00KUR5TV" u="1"/>
        <s v="00KUR5TW" u="1"/>
        <s v="00KSVRF2" u="1"/>
        <s v="00KSV6AE" u="1"/>
        <s v="00KSQBBI" u="1"/>
        <s v="00KSVR2E" u="1"/>
        <s v="00KSVTLK" u="1"/>
        <s v="00KSVPTD" u="1"/>
        <s v="00KSV6AA" u="1"/>
        <s v="00KSU3QN" u="1"/>
        <s v="00KSU787" u="1"/>
        <s v="00KSPWH1" u="1"/>
        <s v="00KSVRFK" u="1"/>
        <s v="00KSVRFF" u="1"/>
        <s v="00KSVPUD" u="1"/>
        <s v="00KSV69N" u="1"/>
        <s v="00KSPWKB" u="1"/>
        <s v="00KSU3NL" u="1"/>
        <s v="00KSLTSJ" u="1"/>
        <s v="00KSLSTI" u="1"/>
        <s v="00KT0F2F" u="1"/>
        <s v="00KT3D93" u="1"/>
        <s v="00KSW3T2" u="1"/>
        <s v="00KSW5HA" u="1"/>
        <s v="00KSW5KV" u="1"/>
        <s v="00KSW5KS" u="1"/>
        <s v="00KT51V4" u="1"/>
        <s v="00KT65B5" u="1"/>
        <s v="00KT65BG" u="1"/>
        <s v="00KT3EQS" u="1"/>
        <s v="00KT3EG2" u="1"/>
        <s v="00KT68GB" u="1"/>
        <s v="00KT51UT" u="1"/>
        <s v="00KT3IWS" u="1"/>
        <s v="00KT3IWN" u="1"/>
        <s v="00KT68F0" u="1"/>
        <s v="00KT3G2H" u="1"/>
        <s v="00KT6860" u="1"/>
        <s v="00KT51RS" u="1"/>
        <s v="00KT3ED6" u="1"/>
        <s v="00KTXMNQ" u="1"/>
        <s v="00KTXMI3" u="1"/>
        <s v="00KTXML0" u="1"/>
        <s v="00KTXL30" u="1"/>
        <s v="00KSDBU7" u="1"/>
        <s v="00KUA4H8" u="1"/>
        <s v="ZWLLII6O" u="1"/>
        <s v="ZWLLIGH2" u="1"/>
        <s v="00KUAKYG" u="1"/>
        <s v="00KUE14K" u="1"/>
        <s v="00KUE157" u="1"/>
        <s v="00KUE25U" u="1"/>
        <s v="00KUE3ZL" u="1"/>
        <s v="00KUE4JR" u="1"/>
        <s v="00KUE5UL" u="1"/>
        <s v="00KUE5WL" u="1"/>
        <s v="00KUE5ZI" u="1"/>
        <s v="00KUGUAT" u="1"/>
        <s v="00KUE14T" u="1"/>
        <s v="00KUE3CV" u="1"/>
        <s v="00KUE432" u="1"/>
        <s v="00KUE4AF" u="1"/>
        <s v="00KUE5G4" u="1"/>
        <s v="00KUC2BJ" u="1"/>
        <s v="00KUE3DD" u="1"/>
        <s v="00KUGW5Y" u="1"/>
        <s v="ZWLLJ30S" u="1"/>
        <s v="00KUE4ZE" u="1"/>
        <s v="00KUE24G" u="1"/>
        <s v="00KUG4D4" u="1"/>
        <s v="00KUBW7N" u="1"/>
        <s v="00KUC1HE" u="1"/>
        <s v="00KUE162" u="1"/>
        <s v="00KUE15O" u="1"/>
        <s v="00KUE14W" u="1"/>
        <s v="00KUE148" u="1"/>
        <s v="00KUE196" u="1"/>
        <s v="00KUGWEK" u="1"/>
        <s v="00KUE5TS" u="1"/>
        <s v="00KUE5QH" u="1"/>
        <s v="00KUHBS7" u="1"/>
        <s v="00KUH8MV" u="1"/>
        <s v="00KUHBLW" u="1"/>
        <s v="00KUHAHS" u="1"/>
        <s v="00KUHBRJ" u="1"/>
        <s v="00KUHBQB" u="1"/>
        <s v="00KUHZZP" u="1"/>
        <s v="00KUHAFZ" u="1"/>
        <s v="00KUH8PI" u="1"/>
        <s v="00KUH8OS" u="1"/>
        <s v="00KUGVNO" u="1"/>
        <s v="00KUGUCC" u="1"/>
        <s v="00KUHAG2" u="1"/>
        <s v="00KUMOTP" u="1"/>
        <s v="00KUMPO3" u="1"/>
        <s v="00KUKBYF" u="1"/>
        <s v="00KUKC2I" u="1"/>
        <s v="00KUKCMO" u="1"/>
        <s v="00KURD95" u="1"/>
        <s v="00KURD9C" u="1"/>
        <s v="00KURDAR" u="1"/>
        <s v="00KUSBTV" u="1"/>
        <s v="00KURDJ9" u="1"/>
        <s v="00KURDJX" u="1"/>
        <s v="00KURDK1" u="1"/>
        <s v="00KURDKE" u="1"/>
        <s v="00KURKMK" u="1"/>
        <s v="00KURKML" u="1"/>
        <s v="00KURKMP" u="1"/>
        <s v="00KUSBTK" u="1"/>
        <s v="00KUSBVQ" u="1"/>
        <s v="00KUSAWH" u="1"/>
        <s v="00KUSB1E" u="1"/>
        <s v="00KUYD0J" u="1"/>
        <s v="00KUYD9A" u="1"/>
        <s v="00KUZ3YZ" u="1"/>
        <s v="00KUZEKX" u="1"/>
        <s v="00KUUK2N" u="1"/>
        <s v="00KUUKDE" u="1"/>
        <s v="00KUYBY5" u="1"/>
        <s v="00KUUK3X" u="1"/>
        <s v="00KUYBYC" u="1"/>
        <s v="00KUYC1E" u="1"/>
        <s v="00KUYD03" u="1"/>
        <s v="00KUUKEI" u="1"/>
        <s v="00KUZWDT" u="1"/>
        <s v="00KV0KH3" u="1"/>
        <s v="00KV0KIQ" u="1"/>
        <s v="00KV1JRX" u="1"/>
        <s v="00KV2RZK" u="1"/>
        <s v="00KV0G2U" u="1"/>
        <s v="00KV0HVP" u="1"/>
        <s v="00KV0J6X" u="1"/>
        <s v="00KV0J79" u="1"/>
        <s v="00KV0FAQ" u="1"/>
        <s v="00KV3SBC" u="1"/>
        <s v="00KV5FP5" u="1"/>
        <s v="00KV6OER" u="1"/>
        <s v="00KV4A31" u="1"/>
        <s v="00KV5FPN" u="1"/>
        <s v="00KV5R8W" u="1"/>
        <s v="ZWLLNS9W" u="1"/>
        <s v="00KV5FFS" u="1"/>
        <s v="00KV5FF8" u="1"/>
        <s v="00KV6ODP" u="1"/>
        <s v="00KV4BTU" u="1"/>
        <s v="00KVDOEG" u="1"/>
        <s v="00KVDOPG" u="1"/>
        <s v="00KVDNW0" u="1"/>
        <s v="00KVDNWE" u="1"/>
        <s v="00KV7FVP" u="1"/>
        <s v="00KVDO7A" u="1"/>
        <s v="00KVEEEM" u="1"/>
        <s v="00KVEEF4" u="1"/>
        <s v="00KVEERD" u="1"/>
        <s v="00KVEESP" u="1"/>
        <s v="00KVEEU1" u="1"/>
        <s v="00KVEEUP" u="1"/>
        <s v="00KVEEV4" u="1"/>
        <s v="00KVEEX5" u="1"/>
        <s v="00KVEEY6" u="1"/>
        <s v="00KVEF2U" u="1"/>
        <s v="00KVEF36" u="1"/>
        <s v="00KVENG5" u="1"/>
        <s v="00KVENHP" u="1"/>
        <s v="00KVENQS" u="1"/>
        <s v="00KVENOE" u="1"/>
        <s v="00KVENO7" u="1"/>
        <s v="00KVENNN" u="1"/>
        <s v="00KVENLZ" u="1"/>
        <s v="00KVENKW" u="1"/>
        <s v="00KVENJB" u="1"/>
        <s v="00KVEEE5" u="1"/>
        <s v="00KVEDLE" u="1"/>
        <s v="00KVEDKP" u="1"/>
        <s v="00KVEDK6" u="1"/>
        <s v="00KVEDJQ" u="1"/>
        <s v="00KVEDJC" u="1"/>
        <s v="00KVEDIQ" u="1"/>
        <s v="00KVEDI2" u="1"/>
        <s v="00KVDSCM" u="1"/>
        <s v="00KVDRTV" u="1"/>
        <s v="00KVDQLD" u="1"/>
        <s v="00KVDQKA" u="1"/>
        <s v="00KVDQEZ" u="1"/>
        <s v="00KVDQDW" u="1"/>
        <s v="00KVDQC3" u="1"/>
        <s v="00KVECER" u="1"/>
        <s v="00KVI76C" u="1"/>
        <s v="00KVI6YC" u="1"/>
        <s v="00KVI64I" u="1"/>
        <s v="00KVI5Z9" u="1"/>
        <s v="00KVI3EB" u="1"/>
        <s v="00KVENRK" u="1"/>
        <s v="00KVENLV" u="1"/>
        <s v="00KVI2ZG" u="1"/>
        <s v="00KVEF3D" u="1"/>
        <s v="00KVH97H" u="1"/>
        <s v="00KVHFTY" u="1"/>
        <s v="00KVI3CK" u="1"/>
        <s v="00KVI367" u="1"/>
        <s v="00KVI34P" u="1"/>
        <s v="00KVI31B" u="1"/>
        <s v="00KVI27Q" u="1"/>
        <s v="00KVI26C" u="1"/>
        <s v="00KVI1ZE" u="1"/>
        <s v="00KVI1LF" u="1"/>
        <s v="00KVI1KA" u="1"/>
        <s v="00KVI1IX" u="1"/>
        <s v="00KVI1CV" u="1"/>
        <s v="00KVI0YG" u="1"/>
        <s v="00KVI0Y9" u="1"/>
        <s v="00KVI0XY" u="1"/>
        <s v="00KVHUAK" u="1"/>
        <s v="00KVHUA8" u="1"/>
        <s v="00KVHU9W" u="1"/>
        <s v="00KVHU9M" u="1"/>
        <s v="00KVHU3W" u="1"/>
        <s v="00KVHU30" u="1"/>
        <s v="00KVHTIV" u="1"/>
        <s v="00KVHCFQ" u="1"/>
        <s v="00KVEOCK" u="1"/>
        <s v="00KVEOAI" u="1"/>
        <s v="00KVEO6V" u="1"/>
        <s v="00KVENYU" u="1"/>
        <s v="00KVENYH" u="1"/>
        <s v="00KVENXF" u="1"/>
        <s v="00KVENWB" u="1"/>
        <s v="00KVENW1" u="1"/>
        <s v="00KVENVI" u="1"/>
        <s v="00KVDSCL" u="1"/>
        <s v="00KVENR5" u="1"/>
        <s v="00KVKZF2" u="1"/>
        <s v="00KVKZDT" u="1"/>
        <s v="00KVKZCF" u="1"/>
        <s v="00KVKZBO" u="1"/>
        <s v="00KVKZAQ" u="1"/>
        <s v="00KVIGMR" u="1"/>
        <s v="00KVIG9U" u="1"/>
        <s v="00KVIFPU" u="1"/>
        <s v="00KVIFPA" u="1"/>
        <s v="00KVI76D" u="1"/>
        <s v="00KVL73B" u="1"/>
        <s v="00KVLE1A" u="1"/>
        <s v="00KVL7MU" u="1"/>
        <s v="00KVL7A5" u="1"/>
        <s v="00KVL771" u="1"/>
        <s v="00KVL6MW" u="1"/>
        <s v="00KVKZHJ" u="1"/>
        <s v="00KVKZI1" u="1"/>
        <s v="00KVKZIQ" u="1"/>
        <s v="00KVKZJN" u="1"/>
        <s v="00KVKZKJ" u="1"/>
        <s v="00KVL05S" u="1"/>
        <s v="00KVL07K" u="1"/>
        <s v="00KVL087" u="1"/>
        <s v="00KVL09E" u="1"/>
        <s v="00KVL09R" u="1"/>
        <s v="00KVL09U" u="1"/>
        <s v="00KVIFS6" u="1"/>
        <s v="00KVEDJ0" u="1"/>
        <s v="00KVIIZU" u="1"/>
        <s v="00KVLQ6B" u="1"/>
        <s v="00KVLPGI" u="1"/>
        <s v="00KVP40S" u="1"/>
        <s v="00KVP40D" u="1"/>
        <s v="00KVP3Z6" u="1"/>
        <s v="00KVP3YR" u="1"/>
        <s v="00KVP3Y9" u="1"/>
        <s v="00KVP277" u="1"/>
        <s v="00KVZC2S" u="1"/>
        <s v="00KVR0NR" u="1"/>
        <s v="00KVQYMK" u="1"/>
        <s v="00KVZGDJ" u="1"/>
        <s v="00KVZEK2" u="1"/>
        <s v="00KVZD3T" u="1"/>
        <s v="00KVZD34" u="1"/>
        <s v="00KVZCV4" u="1"/>
        <s v="00KVPXCQ" u="1"/>
        <s v="00KVPTHA" u="1"/>
        <s v="00KVR0OV" u="1"/>
        <s v="00KVQYPK" u="1"/>
        <s v="00KVZFE5" u="1"/>
        <s v="00KVZLBE" u="1"/>
        <s v="00KVZLBX" u="1"/>
        <s v="00KVZLCH" u="1"/>
        <s v="00KW3M0T" u="1"/>
        <s v="00KW3MRI" u="1"/>
        <s v="00KW3OQO" u="1"/>
        <s v="00KW3P0H" u="1"/>
        <s v="00KW3QZ7" u="1"/>
        <s v="00KW3R0J" u="1"/>
        <s v="00KW3R12" u="1"/>
        <s v="00KW3REP" u="1"/>
        <s v="00KW3REU" u="1"/>
        <s v="00KW3REZ" u="1"/>
        <s v="00KW3SAC" u="1"/>
        <s v="00KVZLB7" u="1"/>
        <s v="00KVZL2F" u="1"/>
        <s v="00KVZL1Z" u="1"/>
        <s v="00KVZL1A" u="1"/>
        <s v="00KVZGG1" u="1"/>
        <s v="00KVZEK1" u="1"/>
        <s v="00KW4EMV" u="1"/>
        <s v="00KW421N" u="1"/>
        <s v="00KW40H3" u="1"/>
        <s v="00KW40G2" u="1"/>
        <s v="00KW3WZP" u="1"/>
        <s v="00KW3UDL" u="1"/>
        <s v="00KW3U99" u="1"/>
        <s v="00KW3U8O" u="1"/>
        <s v="00KW3SAE" u="1"/>
        <s v="00KW3U6X" u="1"/>
        <s v="00KW3U6L" u="1"/>
        <s v="00KW3U62" u="1"/>
        <s v="00KW3U5V" u="1"/>
        <s v="00KW3U5N" u="1"/>
        <s v="00KW3U56" u="1"/>
        <s v="00KW3U52" u="1"/>
        <s v="00KW3U4S" u="1"/>
        <s v="00KW3U4M" u="1"/>
        <s v="00KW3U4D" u="1"/>
        <s v="00KW3U44" u="1"/>
        <s v="00KW3U3P" u="1"/>
        <s v="00KW3U3M" u="1"/>
        <s v="00KW3U3B" u="1"/>
        <s v="00KW3U2U" u="1"/>
        <s v="00KW3SPU" u="1"/>
        <s v="00KW3SPP" u="1"/>
        <s v="00KW3SAY" u="1"/>
        <s v="00KVZIG2" u="1"/>
        <s v="00KW4EYP" u="1"/>
        <s v="00KW4EOS" u="1"/>
        <s v="00KW4EIO" u="1"/>
        <s v="00KW4EE6" u="1"/>
        <s v="00KW2K5S" u="1"/>
        <s v="00KW4SWW" u="1"/>
        <s v="00KW4SVD" u="1"/>
        <s v="00KRXFH9" u="1"/>
        <s v="00KWGK20" u="1"/>
        <s v="00KWGAVT" u="1"/>
        <s v="00KW9723" u="1"/>
        <s v="00KW96IR" u="1"/>
        <s v="00KW96C7" u="1"/>
        <s v="00KW96AQ" u="1"/>
        <s v="00KW4TZN" u="1"/>
        <s v="00KW4TVG" u="1"/>
        <s v="00KW4TTX" u="1"/>
        <s v="00KW7Q4D" u="1"/>
        <s v="00KWGB2Z" u="1"/>
        <s v="00KW4U5O" u="1"/>
        <s v="00KWM28S" u="1"/>
        <s v="00KWM7ND" u="1"/>
        <s v="00KWM7W4" u="1"/>
        <s v="00KWM7NS" u="1"/>
        <s v="00KWM7C5" u="1"/>
        <s v="00KWGEVN" u="1"/>
        <s v="00KWGEW7" u="1"/>
        <s v="00KWGEXD" u="1"/>
        <s v="00KWGF3A" u="1"/>
        <s v="00KWGF3W" u="1"/>
        <s v="00KWGHPK" u="1"/>
        <s v="00KWI9I7" u="1"/>
        <s v="00KWM1NQ" u="1"/>
        <s v="00KWM1Q5" u="1"/>
        <s v="00KWM33M" u="1"/>
        <s v="00KWR1B2" u="1"/>
        <s v="00KWRC2T" u="1"/>
        <s v="00KWQSKA" u="1"/>
        <s v="00KWMDBY" u="1"/>
        <s v="00KWMDCL" u="1"/>
        <s v="00KWMF49" u="1"/>
        <s v="00KWMGSZ" u="1"/>
        <s v="00KWMGT9" u="1"/>
        <s v="00KWMGTQ" u="1"/>
        <s v="00KWQSE9" u="1"/>
        <s v="00KWMGSK" u="1"/>
        <s v="00KWMD8K" u="1"/>
        <s v="00KPSF6C" u="1"/>
        <s v="00KPSF68" u="1"/>
        <s v="00KPSF66" u="1"/>
        <s v="00KPSF64" u="1"/>
        <s v="00KPSF63" u="1"/>
        <s v="00KPSF5B" u="1"/>
        <s v="00KPSF57" u="1"/>
        <s v="00KPSF56" u="1"/>
        <s v="00KPSF4X" u="1"/>
        <s v="00KPSF4A" u="1"/>
        <s v="00KPSF45" u="1"/>
        <s v="00KPSF40" u="1"/>
        <s v="00KPSF3Z" u="1"/>
        <s v="00KPSF3U" u="1"/>
        <s v="00KPSF3O" u="1"/>
        <s v="00KPSF3K" u="1"/>
        <s v="00KPSF38" u="1"/>
        <s v="00KPSF36" u="1"/>
        <s v="00KPSF34" u="1"/>
        <s v="00KPSF30" u="1"/>
        <s v="00KPSF2T" u="1"/>
        <s v="00KPSF2G" u="1"/>
        <s v="00KPSF2C" u="1"/>
        <s v="00KPSF2A" u="1"/>
        <s v="00KPSF22" u="1"/>
        <s v="00KPSF1Q" u="1"/>
        <s v="00KPSF1N" u="1"/>
        <s v="00KPSEUQ" u="1"/>
        <s v="00KPSET3" u="1"/>
        <s v="00KPSCPT" u="1"/>
        <s v="00KQ240J" u="1"/>
        <s v="00KQ11VK" u="1"/>
        <s v="ZWLKTP5D" u="1"/>
        <s v="00KPSF7G" u="1"/>
        <s v="00KNWOZH" u="1"/>
        <s v="00KPQ1VP" u="1"/>
        <s v="00KPSFB5" u="1"/>
        <s v="00KPSFA1" u="1"/>
        <s v="00KPSF9K" u="1"/>
        <s v="00KQ11UM" u="1"/>
        <s v="00KPSFPQ" u="1"/>
        <s v="00KPSFMR" u="1"/>
        <s v="00KPSFMN" u="1"/>
        <s v="00KPSFMA" u="1"/>
        <s v="00KPSFLY" u="1"/>
        <s v="00KPSFD0" u="1"/>
        <s v="00KPSFC4" u="1"/>
        <s v="00KPSFBN" u="1"/>
        <s v="00KPSFBE" u="1"/>
        <s v="00KPSFB7" u="1"/>
        <s v="00KPSFAO" u="1"/>
        <s v="00KPSFAI" u="1"/>
        <s v="00KPSFAF" u="1"/>
        <s v="00KPSF9Y" u="1"/>
        <s v="00KPSF9S" u="1"/>
        <s v="00KPSF9L" u="1"/>
        <s v="00KPSF9F" u="1"/>
        <s v="00KPSF97" u="1"/>
        <s v="00KPSF95" u="1"/>
        <s v="00KPSF8L" u="1"/>
        <s v="00KPSF8H" u="1"/>
        <s v="00KPSF8D" u="1"/>
        <s v="00KPSF8C" u="1"/>
        <s v="00KPSF7Y" u="1"/>
        <s v="00KPSF7W" u="1"/>
        <s v="00KPSF7K" u="1"/>
        <s v="00KPSF7I" u="1"/>
        <s v="00KQ297L" u="1"/>
        <s v="00KQ298F" u="1"/>
        <s v="00KQ296H" u="1"/>
        <s v="00KQ295C" u="1"/>
        <s v="00KQ27XX" u="1"/>
        <s v="00KQ29Z9" u="1"/>
        <s v="00KQ2AED" u="1"/>
        <s v="00KQ2AER" u="1"/>
        <s v="00KQ2AGK" u="1"/>
        <s v="00KQ2AHV" u="1"/>
        <s v="00KQ2AJ9" u="1"/>
        <s v="00KQ27X7" u="1"/>
        <s v="00KQ27VQ" u="1"/>
        <s v="00KQ27DY" u="1"/>
        <s v="00KQ26AE" u="1"/>
        <s v="00KQ4UBI" u="1"/>
        <s v="00KQ4UAY" u="1"/>
        <s v="00KQ2BRE" u="1"/>
        <s v="00KQ5YL4" u="1"/>
        <s v="00KQ5XIV" u="1"/>
        <s v="00KQ5XBF" u="1"/>
        <s v="00KQ5VPA" u="1"/>
        <s v="00KQ5VMS" u="1"/>
        <s v="00KQ2BRJ" u="1"/>
        <s v="00KQ4UAT" u="1"/>
        <s v="00KQ2AH9" u="1"/>
        <s v="00KQ2ACM" u="1"/>
        <s v="00KQ2A0T" u="1"/>
        <s v="00KQ2983" u="1"/>
        <s v="00KQ2978" u="1"/>
        <s v="00KQ27VJ" u="1"/>
        <s v="00KQ5VKV" u="1"/>
        <s v="00KQ4VTA" u="1"/>
        <s v="00KQ4V16" u="1"/>
        <s v="00KQ4UXV" u="1"/>
        <s v="00KQ4U9D" u="1"/>
        <s v="00KQ4Q1C" u="1"/>
        <s v="00KQ2CG7" u="1"/>
        <s v="00KQ2AK1" u="1"/>
        <s v="00KQ4LO8" u="1"/>
        <s v="00KQ4VVX" u="1"/>
        <s v="00KQ5JZG" u="1"/>
        <s v="00KQ9IVP" u="1"/>
        <s v="00KQ9IWD" u="1"/>
        <s v="00KQ9J2K" u="1"/>
        <s v="00KQ9J6F" u="1"/>
        <s v="00KQ9M7Z" u="1"/>
        <s v="00KQ9M8G" u="1"/>
        <s v="00KQ9MAF" u="1"/>
        <s v="00KQ9T2S" u="1"/>
        <s v="00KQ9T38" u="1"/>
        <s v="00KQ9T6R" u="1"/>
        <s v="00KQA01A" u="1"/>
        <s v="00KQA4VX" u="1"/>
        <s v="00KQA4W6" u="1"/>
        <s v="00KQ5VQ4" u="1"/>
        <s v="00KQ63AH" u="1"/>
        <s v="00KQ5VLR" u="1"/>
        <s v="00KQ9IVA" u="1"/>
        <s v="00KQ9IUV" u="1"/>
        <s v="00KQ9IUQ" u="1"/>
        <s v="00KQ9I3Q" u="1"/>
        <s v="00KQ9I3G" u="1"/>
        <s v="00KQ9I1I" u="1"/>
        <s v="00KQ9I0J" u="1"/>
        <s v="00KQ9I05" u="1"/>
        <s v="00KQ9HZH" u="1"/>
        <s v="00KQ9HZF" u="1"/>
        <s v="00KQ9HZ5" u="1"/>
        <s v="00KQ9HY5" u="1"/>
        <s v="00KQ9HXR" u="1"/>
        <s v="00KQ9HXQ" u="1"/>
        <s v="00KQ9HWZ" u="1"/>
        <s v="00KQ9HRE" u="1"/>
        <s v="00KQ9HOI" u="1"/>
        <s v="00KQ63NO" u="1"/>
        <s v="00KQ63D7" u="1"/>
        <s v="00KQ5WOD" u="1"/>
        <s v="00KQ63CC" u="1"/>
        <s v="00KQ61US" u="1"/>
        <s v="00KQ5YN1" u="1"/>
        <s v="00KQ5WP9" u="1"/>
        <s v="00KQ65B8" u="1"/>
        <s v="00KQ9MAX" u="1"/>
        <s v="00KQFYK4" u="1"/>
        <s v="00KQEF9S" u="1"/>
        <s v="00KQFYW1" u="1"/>
        <s v="00KQFVU1" u="1"/>
        <s v="00KQFVTV" u="1"/>
        <s v="00KQEQOD" u="1"/>
        <s v="00KQEP0K" u="1"/>
        <s v="00KQEHLF" u="1"/>
        <s v="00KQEHHN" u="1"/>
        <s v="00KQEFZO" u="1"/>
        <s v="00KQEDA0" u="1"/>
        <s v="00KQEC17" u="1"/>
        <s v="00KQE7RB" u="1"/>
        <s v="00KQE09M" u="1"/>
        <s v="00KQDYCQ" u="1"/>
        <s v="00KQDWZG" u="1"/>
        <s v="00KQDWM2" u="1"/>
        <s v="00KQDIP8" u="1"/>
        <s v="00KQAHKK" u="1"/>
        <s v="00KQAHKI" u="1"/>
        <s v="00KQAHKA" u="1"/>
        <s v="00KQAHC1" u="1"/>
        <s v="00KQAFVN" u="1"/>
        <s v="00KQAFDQ" u="1"/>
        <s v="00KQAEIA" u="1"/>
        <s v="00KQAEI0" u="1"/>
        <s v="00KQADJZ" u="1"/>
        <s v="00KQAHF1" u="1"/>
        <s v="ZWLKW268" u="1"/>
        <s v="00KQJBNF" u="1"/>
        <s v="00KQJ7KA" u="1"/>
        <s v="00KQJ7JB" u="1"/>
        <s v="00KQJ7DN" u="1"/>
        <s v="00KQJ7DA" u="1"/>
        <s v="00KQJ7D4" u="1"/>
        <s v="00KQFZ3L" u="1"/>
        <s v="00KQFZO3" u="1"/>
        <s v="00KQPPHB" u="1"/>
        <s v="00KQPPIO" u="1"/>
        <s v="00KQPPJ3" u="1"/>
        <s v="00KQPPJ9" u="1"/>
        <s v="00KQJRLR" u="1"/>
        <s v="00KQJRL4" u="1"/>
        <s v="00KQJRLD" u="1"/>
        <s v="00KQPDZ8" u="1"/>
        <s v="00KQPE30" u="1"/>
        <s v="00KQPE58" u="1"/>
        <s v="00KQPGVV" u="1"/>
        <s v="00KQPI3K" u="1"/>
        <s v="00KQPIOS" u="1"/>
        <s v="00KQPKXB" u="1"/>
        <s v="00KQPN7D" u="1"/>
        <s v="00KQJB1Z" u="1"/>
        <s v="00KQJQW6" u="1"/>
        <s v="00KQJRGR" u="1"/>
        <s v="00KQPI05" u="1"/>
        <s v="00KQPI0V" u="1"/>
        <s v="00KQPM3E" u="1"/>
        <s v="00KQM4WZ" u="1"/>
        <s v="00KQQ61L" u="1"/>
        <s v="00KQQ61M" u="1"/>
        <s v="00KQQ620" u="1"/>
        <s v="00KQQ62K" u="1"/>
        <s v="00KQQ62T" u="1"/>
        <s v="00KQQ636" u="1"/>
        <s v="00KQQ639" u="1"/>
        <s v="00KQQ63F" u="1"/>
        <s v="00KQQ64H" u="1"/>
        <s v="00KQQSCJ" u="1"/>
        <s v="00KQR34Q" u="1"/>
        <s v="00KQS78Z" u="1"/>
        <s v="00KQTBXA" u="1"/>
        <s v="00KQTCH1" u="1"/>
        <s v="00KQTCP3" u="1"/>
        <s v="00KQQ2J6" u="1"/>
        <s v="00KQPYIZ" u="1"/>
        <s v="00KQPY87" u="1"/>
        <s v="00KQPY71" u="1"/>
        <s v="00KQPY6A" u="1"/>
        <s v="00KQPXMT" u="1"/>
        <s v="00KQPXLX" u="1"/>
        <s v="00KQPXHZ" u="1"/>
        <s v="00KQPXEH" u="1"/>
        <s v="00KQPPJG" u="1"/>
        <s v="00KQPPJ1" u="1"/>
        <s v="00KQPPFS" u="1"/>
        <s v="00KQPNO2" u="1"/>
        <s v="00KQTQ9Y" u="1"/>
        <s v="00KQTDV7" u="1"/>
        <s v="00KQZL16" u="1"/>
        <s v="00KQZKZ5" u="1"/>
        <s v="00KQZKTK" u="1"/>
        <s v="00KQZKBJ" u="1"/>
        <s v="00KQZJTO" u="1"/>
        <s v="00KQZJ6C" u="1"/>
        <s v="00KQZJ3G" u="1"/>
        <s v="00KQZHJ5" u="1"/>
        <s v="00KQZFZ0" u="1"/>
        <s v="00KQZFYT" u="1"/>
        <s v="00KQZFY6" u="1"/>
        <s v="00KQZEQD" u="1"/>
        <s v="00KQZEOU" u="1"/>
        <s v="00KQZDA5" u="1"/>
        <s v="00KQZD9R" u="1"/>
        <s v="00KQZCOU" u="1"/>
        <s v="00KQZCNT" u="1"/>
        <s v="00KQZC1D" u="1"/>
        <s v="00KQZBZR" u="1"/>
        <s v="00KQYPSN" u="1"/>
        <s v="00KQYOKB" u="1"/>
        <s v="00KQYNNL" u="1"/>
        <s v="00KQYD54" u="1"/>
        <s v="00KQTTRH" u="1"/>
        <s v="00KQTTR6" u="1"/>
        <s v="00KQTTNK" u="1"/>
        <s v="00KQTTND" u="1"/>
        <s v="00KQTTK5" u="1"/>
        <s v="00KQTE8Y" u="1"/>
        <s v="00KQR7PX" u="1"/>
        <s v="00KQYPHA" u="1"/>
        <s v="00KQYDO6" u="1"/>
        <s v="00KQT3K5" u="1"/>
        <s v="00KR3Y9P" u="1"/>
        <s v="00KR3JNN" u="1"/>
        <s v="00KR3JB4" u="1"/>
        <s v="00KR3IPQ" u="1"/>
        <s v="00KR3GSW" u="1"/>
        <s v="00KR369Z" u="1"/>
        <s v="00KR33SI" u="1"/>
        <s v="00KR33PH" u="1"/>
        <s v="00KR2Z0V" u="1"/>
        <s v="00KR2XAK" u="1"/>
        <s v="00KR2X9Y" u="1"/>
        <s v="00KR2X77" u="1"/>
        <s v="00KR2WCD" u="1"/>
        <s v="00KR2WBH" u="1"/>
        <s v="00KR2W3O" u="1"/>
        <s v="00KR2VV3" u="1"/>
        <s v="00KR2VTW" u="1"/>
        <s v="00KR2UNR" u="1"/>
        <s v="00KR2UJS" u="1"/>
        <s v="00KR036M" u="1"/>
        <s v="00KR01VZ" u="1"/>
        <s v="00KQZZAQ" u="1"/>
        <s v="00KQZT5G" u="1"/>
        <s v="00KQZT3T" u="1"/>
        <s v="00KR3ZCO" u="1"/>
        <s v="00KR455F" u="1"/>
        <s v="00KR8F0J" u="1"/>
        <s v="00KR8EV8" u="1"/>
        <s v="00KR8ELX" u="1"/>
        <s v="00KR8EKU" u="1"/>
        <s v="00KR8EHU" u="1"/>
        <s v="00KR8DMN" u="1"/>
        <s v="00KR886X" u="1"/>
        <s v="00KR83PH" u="1"/>
        <s v="00KR7XAG" u="1"/>
        <s v="00KR7XA6" u="1"/>
        <s v="00KR7X98" u="1"/>
        <s v="00KR7WKS" u="1"/>
        <s v="00KR4V8N" u="1"/>
        <s v="00KR4V29" u="1"/>
        <s v="00KR4QVH" u="1"/>
        <s v="00KR4QUN" u="1"/>
        <s v="00KR4QUK" u="1"/>
        <s v="00KR4QT3" u="1"/>
        <s v="00KR4QSJ" u="1"/>
        <s v="00KR4Q05" u="1"/>
        <s v="00KR4L6W" u="1"/>
        <s v="00KR4L67" u="1"/>
        <s v="00KR456J" u="1"/>
        <s v="00KR8L0A" u="1"/>
        <s v="00KRFSAE" u="1"/>
        <s v="00KRFS6K" u="1"/>
        <s v="00KRFQRA" u="1"/>
        <s v="00KRFQQ6" u="1"/>
        <s v="00KRFQPP" u="1"/>
        <s v="00KRFQ46" u="1"/>
        <s v="00KRFPUH" u="1"/>
        <s v="00KRFPUG" u="1"/>
        <s v="00KRFP4Q" u="1"/>
        <s v="00KRFO7R" u="1"/>
        <s v="00KRFKU5" u="1"/>
        <s v="00KRFKTD" u="1"/>
        <s v="00KRFKNB" u="1"/>
        <s v="00KRFKMA" u="1"/>
        <s v="00KRFKLE" u="1"/>
        <s v="00KR8L2N" u="1"/>
        <s v="00KR8L2C" u="1"/>
        <s v="00KR8L1P" u="1"/>
        <s v="00KR8HJX" u="1"/>
        <s v="00KR8FXK" u="1"/>
        <s v="00KR8FWS" u="1"/>
        <s v="00KRD1U1" u="1"/>
        <s v="00KRFQRM" u="1"/>
        <s v="00KRFW6N" u="1"/>
        <s v="00KRFUIX" u="1"/>
        <s v="00KRFUIJ" u="1"/>
        <s v="00KRFUI8" u="1"/>
        <s v="00KRFUFY" u="1"/>
        <s v="00KRFU9K" u="1"/>
        <s v="00KRFTH4" u="1"/>
        <s v="00KRFTFX" u="1"/>
        <s v="00KRFSBY" u="1"/>
        <s v="00KRIRKD" u="1"/>
        <s v="00KRIOPA" u="1"/>
        <s v="00KRFUHP" u="1"/>
        <s v="00KRJGSM" u="1"/>
        <s v="00KRJGRQ" u="1"/>
        <s v="00KRJGRO" u="1"/>
        <s v="00KRJFVZ" u="1"/>
        <s v="00KRJFC7" u="1"/>
        <s v="00KRJ8QE" u="1"/>
        <s v="00KRFWE1" u="1"/>
        <s v="00KRG8VO" u="1"/>
        <s v="00KRIOQK" u="1"/>
        <s v="00KRJ4AV" u="1"/>
        <s v="00KRFV4M" u="1"/>
        <s v="00KRFWDO" u="1"/>
        <s v="00KRFWFA" u="1"/>
        <s v="00KRFWFF" u="1"/>
        <s v="00KRG8XM" u="1"/>
        <s v="00KRIT32" u="1"/>
        <s v="00KRJ4AI" u="1"/>
        <s v="00KRFW6S" u="1"/>
        <s v="00KRFUQR" u="1"/>
        <s v="00KRFUY5" u="1"/>
        <s v="00KRG8XC" u="1"/>
        <s v="00KROMGN" u="1"/>
        <s v="00KROMGY" u="1"/>
        <s v="00KROMHA" u="1"/>
        <s v="00KRON9Q" u="1"/>
        <s v="00KRNLXR" u="1"/>
        <s v="00KRNP8W" u="1"/>
        <s v="00KRK2GI" u="1"/>
        <s v="00KRND1S" u="1"/>
        <s v="00KRND21" u="1"/>
        <s v="00KRND2H" u="1"/>
        <s v="00KRNEBZ" u="1"/>
        <s v="00KRNECP" u="1"/>
        <s v="00KRNM32" u="1"/>
        <s v="00KRNM3B" u="1"/>
        <s v="00KRNODK" u="1"/>
        <s v="00KRNP9D" u="1"/>
        <s v="00KROMF3" u="1"/>
        <s v="00KROMF9" u="1"/>
        <s v="00KRNLYT" u="1"/>
        <s v="00KROL9F" u="1"/>
        <s v="00KROM7K" u="1"/>
        <s v="00KROMG9" u="1"/>
        <s v="00KRNHLN" u="1"/>
        <s v="00KRNOGR" u="1"/>
        <s v="00KRSCSC" u="1"/>
        <s v="00KRSBY0" u="1"/>
        <s v="00KRSBD2" u="1"/>
        <s v="00KRS72G" u="1"/>
        <s v="00KRS2BI" u="1"/>
        <s v="00KRS1TK" u="1"/>
        <s v="00KRS1S3" u="1"/>
        <s v="00KRS1OD" u="1"/>
        <s v="00KRS6Y1" u="1"/>
        <s v="00KRP1WL" u="1"/>
        <s v="00KRSCVK" u="1"/>
        <s v="00KRP30U" u="1"/>
        <s v="00KRP4QA" u="1"/>
        <s v="00KRS0PR" u="1"/>
        <s v="00KRS2C9" u="1"/>
        <s v="00KRS6ZE" u="1"/>
        <s v="00KRS70T" u="1"/>
        <s v="00KRS79N" u="1"/>
        <s v="00KRS7A2" u="1"/>
        <s v="00KRRZAJ" u="1"/>
        <s v="00KRWQC2" u="1"/>
        <s v="00KRWRC1" u="1"/>
        <s v="00KRWRCV" u="1"/>
        <s v="00KRS1RM" u="1"/>
        <s v="00KRT8ZN" u="1"/>
        <s v="00KRT8ZX" u="1"/>
        <s v="00KRTB40" u="1"/>
        <s v="00KRWDJT" u="1"/>
        <s v="00KRWLBI" u="1"/>
        <s v="00KRWOQ0" u="1"/>
        <s v="00KRWEFC" u="1"/>
        <s v="00KRWOUD" u="1"/>
        <s v="00KRWE5C" u="1"/>
        <s v="00KRWEBY" u="1"/>
        <s v="00KRWECX" u="1"/>
        <s v="00KS1XDE" u="1"/>
        <s v="00KS1XC0" u="1"/>
        <s v="00KS1DC3" u="1"/>
        <s v="00KS1VZT" u="1"/>
        <s v="00KS1VZG" u="1"/>
        <s v="00KS1UXZ" u="1"/>
        <s v="00KS1DCJ" u="1"/>
        <s v="00KS1I5W" u="1"/>
        <s v="00KRWTOH" u="1"/>
        <s v="00KS1X5M" u="1"/>
        <s v="00KS1L10" u="1"/>
        <s v="00KS2DN1" u="1"/>
        <s v="00KS2DDG" u="1"/>
        <s v="00KS2D4P" u="1"/>
        <s v="00KS20RV" u="1"/>
        <s v="00KS78XT" u="1"/>
        <s v="00KS2DCT" u="1"/>
        <s v="00KS2DB2" u="1"/>
        <s v="00KS79LY" u="1"/>
        <s v="00KS79LG" u="1"/>
        <s v="00KS78Y5" u="1"/>
        <s v="00KS2IVG" u="1"/>
        <s v="00KS2IXS" u="1"/>
        <s v="00KS2J30" u="1"/>
        <s v="00KS2J39" u="1"/>
        <s v="00KS69CE" u="1"/>
        <s v="00KS2DO3" u="1"/>
        <s v="00KS2DOS" u="1"/>
        <s v="00KS2E9R" u="1"/>
        <s v="00KS2IO1" u="1"/>
        <s v="00KS2IRS" u="1"/>
        <s v="00KS2IU9" u="1"/>
        <s v="00KS2E69" u="1"/>
        <s v="00KS2DMK" u="1"/>
        <s v="00KS20SE" u="1"/>
        <s v="00KS216X" u="1"/>
        <s v="00KS66IQ" u="1"/>
        <s v="00KS6OWZ" u="1"/>
        <s v="00KS7F9W" u="1"/>
        <s v="00KS7GV0" u="1"/>
        <s v="00KS88EY" u="1"/>
        <s v="00KS87J6" u="1"/>
        <s v="00KS87HW" u="1"/>
        <s v="00KS874T" u="1"/>
        <s v="00KS86YQ" u="1"/>
        <s v="00KS1GQP" u="1"/>
        <s v="00KS1GPG" u="1"/>
        <s v="00KS1GPA" u="1"/>
        <s v="00KS1GP4" u="1"/>
        <s v="00KS1GM5" u="1"/>
        <s v="00KS1GL3" u="1"/>
        <s v="00KSAR8F" u="1"/>
        <s v="00KS9V3R" u="1"/>
        <s v="00KSAVKE" u="1"/>
        <s v="00KS88FM" u="1"/>
        <s v="00KSAK3D" u="1"/>
        <s v="00KSAK3T" u="1"/>
        <s v="00KSAR05" u="1"/>
        <s v="00KSARD0" u="1"/>
        <s v="00KSAV0C" u="1"/>
        <s v="00KS88CV" u="1"/>
        <s v="00KS88P2" u="1"/>
        <s v="00KS88UF" u="1"/>
        <s v="00KS88BE" u="1"/>
        <s v="00KS87UO" u="1"/>
        <s v="00KS9WD5" u="1"/>
        <s v="00KSB32V" u="1"/>
        <s v="00KSB35O" u="1"/>
        <s v="00KSB36F" u="1"/>
        <s v="00KSCVDB" u="1"/>
        <s v="00KSCWWX" u="1"/>
        <s v="00KSCX95" u="1"/>
        <s v="00KSD19S" u="1"/>
        <s v="00KSB144" u="1"/>
        <s v="00KSAVNI" u="1"/>
        <s v="00KSB12U" u="1"/>
        <s v="00KSCWWK" u="1"/>
        <s v="00KSC0YI" u="1"/>
        <s v="00KSB3RE" u="1"/>
        <s v="00KSDBTW" u="1"/>
        <s v="00KSDFQF" u="1"/>
        <s v="00KSGIZG" u="1"/>
        <s v="00KSH7YP" u="1"/>
        <s v="00KSH7XO" u="1"/>
        <s v="00KSH7XE" u="1"/>
        <s v="00KSH7UD" u="1"/>
        <s v="00KSH7T8" u="1"/>
        <s v="00KSH7ZJ" u="1"/>
        <s v="00KSH8JI" u="1"/>
        <s v="00KSH8K3" u="1"/>
        <s v="00KSH8JG" u="1"/>
        <s v="00KSJ3Q9" u="1"/>
        <s v="00KSJ4ZA" u="1"/>
        <s v="00KSJ509" u="1"/>
        <s v="00KSH7VT" u="1"/>
        <s v="00KSH7WM" u="1"/>
        <s v="00KSH7UT" u="1"/>
        <s v="00KSLV8U" u="1"/>
        <s v="00KSLUJW" u="1"/>
        <s v="00KSLSP2" u="1"/>
        <s v="00KSLSI9" u="1"/>
        <s v="00KSLV9E" u="1"/>
        <s v="00KSLV9Q" u="1"/>
        <s v="00KSNDZK" u="1"/>
        <s v="00KSNLZ1" u="1"/>
        <s v="00KSNMLY" u="1"/>
        <s v="00KSNMNL" u="1"/>
        <s v="00KSL87J" u="1"/>
        <s v="00KSLSCR" u="1"/>
        <s v="00KSLP3W" u="1"/>
        <s v="00KSLQ3R" u="1"/>
        <s v="00KSLQG1" u="1"/>
        <s v="00KSLR8B" u="1"/>
        <s v="00KSLSBI" u="1"/>
        <s v="00KSLSDC" u="1"/>
        <s v="00KSLNPG" u="1"/>
        <s v="00KSLVAY" u="1"/>
        <s v="00KSLVI1" u="1"/>
        <s v="00KSLTX7" u="1"/>
        <s v="00KSLTXE" u="1"/>
        <s v="00KSLTXT" u="1"/>
        <s v="00KSOI67" u="1"/>
        <s v="00KSOJ0U" u="1"/>
        <s v="00KSOQZF" u="1"/>
        <s v="00KSOVI7" u="1"/>
        <s v="ZWLL3P7C" u="1"/>
        <s v="00KM1KHH" u="1"/>
        <s v="00KM1NJU" u="1"/>
        <s v="00KM8LKC" u="1"/>
        <s v="00KM8UEY" u="1"/>
        <s v="00KM8UOG" u="1"/>
        <s v="00KM8UOX" u="1"/>
        <s v="00KM8UQU" u="1"/>
        <s v="00KM8URY" u="1"/>
        <s v="00KM8UTZ" u="1"/>
        <s v="00KM8UX1" u="1"/>
        <s v="00KM8V9A" u="1"/>
        <s v="00KM8ZVF" u="1"/>
        <s v="00KM8TA2" u="1"/>
        <s v="00KM8UQD" u="1"/>
        <s v="00KM8URK" u="1"/>
        <s v="00KM8UTT" u="1"/>
        <s v="00KM8VG0" u="1"/>
        <s v="00KM8WQ9" u="1"/>
        <s v="00KKSI04" u="1"/>
        <s v="00KM8V6X" u="1"/>
        <s v="00KM8VHP" u="1"/>
        <s v="00KM7851" u="1"/>
        <s v="00KM9KCS" u="1"/>
        <s v="00KM9211" u="1"/>
        <s v="00KM9WPJ" u="1"/>
        <s v="00KM9QT8" u="1"/>
        <s v="00KMDBSK" u="1"/>
        <s v="00KME52N" u="1"/>
        <s v="00KMDCQF" u="1"/>
        <s v="00KME53W" u="1"/>
        <s v="00KME4G3" u="1"/>
        <s v="00KMDOUY" u="1"/>
        <s v="00KK6SAY" u="1"/>
        <s v="00KM9TE3" u="1"/>
        <s v="00KM9Q95" u="1"/>
        <s v="00KME2QX" u="1"/>
        <s v="00KM9Q65" u="1"/>
        <s v="00KMIKSK" u="1"/>
        <s v="00KMI21A" u="1"/>
        <s v="00KMI290" u="1"/>
        <s v="00KMI2GC" u="1"/>
        <s v="00KMI6BB" u="1"/>
        <s v="00KMIL8S" u="1"/>
        <s v="00KMIEVT" u="1"/>
        <s v="00KMIEVB" u="1"/>
        <s v="00KMIH6Y" u="1"/>
        <s v="00KMM1HO" u="1"/>
        <s v="00KMLAKE" u="1"/>
        <s v="00KMJ1WP" u="1"/>
        <s v="00KMJ1LJ" u="1"/>
        <s v="00KML9KT" u="1"/>
        <s v="00KML9DX" u="1"/>
        <s v="00KN481D" u="1"/>
        <s v="00KMOXM5" u="1"/>
        <s v="00KN47ZP" u="1"/>
        <s v="00KN47ZU" u="1"/>
        <s v="00KN51PK" u="1"/>
        <s v="00KNA4UK" u="1"/>
        <s v="00KNA5QO" u="1"/>
        <s v="00KNA4HG" u="1"/>
        <s v="00KNC7SE" u="1"/>
        <s v="00KNCL98" u="1"/>
        <s v="00KNAKMA" u="1"/>
        <s v="00KNAKLH" u="1"/>
        <s v="00KNAFFO" u="1"/>
        <s v="00KNABAN" u="1"/>
        <s v="00KNCUGJ" u="1"/>
        <s v="00KNCL7Z" u="1"/>
        <s v="00KNC8JR" u="1"/>
        <s v="00KNAGP6" u="1"/>
        <s v="00KNAFJP" u="1"/>
        <s v="00KNA4X7" u="1"/>
        <s v="00KNA4VB" u="1"/>
        <s v="00KNAFHN" u="1"/>
        <s v="00KNH7GI" u="1"/>
        <s v="00KNHDKD" u="1"/>
        <s v="00KNHDL4" u="1"/>
        <s v="00KNHNV1" u="1"/>
        <s v="00KNH7B2" u="1"/>
        <s v="00KNGCLZ" u="1"/>
        <s v="00KNH3TA" u="1"/>
        <s v="00KNH7BE" u="1"/>
        <s v="00KNH66I" u="1"/>
        <s v="00KNH6U0" u="1"/>
        <s v="00KNH5WD" u="1"/>
        <s v="00KNMIHF" u="1"/>
        <s v="00KNMPJM" u="1"/>
        <s v="00KNMQ5Q" u="1"/>
        <s v="00KNMQ8H" u="1"/>
        <s v="00KNI18G" u="1"/>
        <s v="00KNI2UI" u="1"/>
        <s v="00KNHO1N" u="1"/>
        <s v="00KNMGIY" u="1"/>
        <s v="00KNHNXU" u="1"/>
        <s v="00KNM77Z" u="1"/>
        <s v="00KNN0PW" u="1"/>
        <s v="00KNQ934" u="1"/>
        <s v="00KNQ55H" u="1"/>
        <s v="00KNQ4OS" u="1"/>
        <s v="00KNQ98T" u="1"/>
        <s v="00KNQ97X" u="1"/>
        <s v="00KNQNWD" u="1"/>
        <s v="00KNWDUG" u="1"/>
        <s v="00KNQHWE" u="1"/>
        <s v="00KNQBQT" u="1"/>
        <s v="00KNTVN3" u="1"/>
        <s v="00KNTVO5" u="1"/>
        <s v="00KNU6KK" u="1"/>
        <s v="00KNQIVL" u="1"/>
        <s v="00KNWRPR" u="1"/>
        <s v="00KO0DAZ" u="1"/>
        <s v="00KO0DC7" u="1"/>
        <s v="00KO0GD2" u="1"/>
        <s v="00KO0H51" u="1"/>
        <s v="00KNWE15" u="1"/>
        <s v="00KNWE8Q" u="1"/>
        <s v="00KNWOZE" u="1"/>
        <s v="00KNWP09" u="1"/>
        <s v="00KNWQLM" u="1"/>
        <s v="00KNWE1V" u="1"/>
        <s v="00KNWHFB" u="1"/>
        <s v="00KNWOPG" u="1"/>
        <s v="00KNWPDZ" u="1"/>
        <s v="00KNWREK" u="1"/>
        <s v="00KNWOZO" u="1"/>
        <s v="00KNWP15" u="1"/>
        <s v="00KNWQD9" u="1"/>
        <s v="00KO3EAR" u="1"/>
        <s v="00KO3EA8" u="1"/>
        <s v="00KO3EA5" u="1"/>
        <s v="00KO3E96" u="1"/>
        <s v="00KO3DZV" u="1"/>
        <s v="00KO3DZ4" u="1"/>
        <s v="00KO3D6F" u="1"/>
        <s v="00KO3CT1" u="1"/>
        <s v="00KO3CRT" u="1"/>
        <s v="00KO3CQ0" u="1"/>
        <s v="00KO3BP4" u="1"/>
        <s v="00KO382E" u="1"/>
        <s v="00KO3EAJ" u="1"/>
        <s v="00KO0Z5U" u="1"/>
        <s v="00KO0KPJ" u="1"/>
        <s v="00KO3MIU" u="1"/>
        <s v="00KO3LYA" u="1"/>
        <s v="00KO3LXW" u="1"/>
        <s v="00KO3EII" u="1"/>
        <s v="00KO3EJD" u="1"/>
        <s v="00KO3EJG" u="1"/>
        <s v="00KO3EJU" u="1"/>
        <s v="00KO3EJV" u="1"/>
        <s v="00KO3EKR" u="1"/>
        <s v="00KO3EKT" u="1"/>
        <s v="00KO3ELL" u="1"/>
        <s v="00KO3ELZ" u="1"/>
        <s v="00KO3EME" u="1"/>
        <s v="00KO3EML" u="1"/>
        <s v="00KO3ENE" u="1"/>
        <s v="00KO3ESX" u="1"/>
        <s v="00KO3ETS" u="1"/>
        <s v="00KO3LXH" u="1"/>
        <s v="00KOAZJO" u="1"/>
        <s v="00KOAZKF" u="1"/>
        <s v="00KOAZKV" u="1"/>
        <s v="00KOAZLZ" u="1"/>
        <s v="00KOAZMT" u="1"/>
        <s v="00KOAZN8" u="1"/>
        <s v="00KOAZNE" u="1"/>
        <s v="00KOB0GY" u="1"/>
        <s v="00KOB0HF" u="1"/>
        <s v="00KOB0I7" u="1"/>
        <s v="00KOB0Q4" u="1"/>
        <s v="00KOB0QV" u="1"/>
        <s v="00KOB0S9" u="1"/>
        <s v="00KOB0SK" u="1"/>
        <s v="00KOB0UB" u="1"/>
        <s v="00KOB0UN" u="1"/>
        <s v="00KOB0WZ" u="1"/>
        <s v="00KOB0Z8" u="1"/>
        <s v="00KOAZJM" u="1"/>
        <s v="00KOAZIU" u="1"/>
        <s v="00KOAZIQ" u="1"/>
        <s v="00KOAZI2" u="1"/>
        <s v="00KOAZGC" u="1"/>
        <s v="00KOAZFY" u="1"/>
        <s v="00KOAZC0" u="1"/>
        <s v="00KOAZBS" u="1"/>
        <s v="00KOAZAQ" u="1"/>
        <s v="00KOAZ9Q" u="1"/>
        <s v="00KOAZ8T" u="1"/>
        <s v="00KOAZ7Q" u="1"/>
        <s v="00KOAZ63" u="1"/>
        <s v="00KOAZ4H" u="1"/>
        <s v="00KOAZ3M" u="1"/>
        <s v="00KOAZ3F" u="1"/>
        <s v="00KOAYI4" u="1"/>
        <s v="00KOAYI0" u="1"/>
        <s v="00KOB157" u="1"/>
        <s v="00KOB5ZB" u="1"/>
        <s v="00KOB5ZJ" u="1"/>
        <s v="00KOB604" u="1"/>
        <s v="00KOB605" u="1"/>
        <s v="00KOB609" u="1"/>
        <s v="00KOB6S2" u="1"/>
        <s v="00KOB6SL" u="1"/>
        <s v="00KOB5YY" u="1"/>
        <s v="00KOB5YQ" u="1"/>
        <s v="00KOB5YF" u="1"/>
        <s v="00KOB5HO" u="1"/>
        <s v="00KOB5GA" u="1"/>
        <s v="00KOB5BJ" u="1"/>
        <s v="00KOB4HN" u="1"/>
        <s v="00KOB4GC" u="1"/>
        <s v="00KOB4CV" u="1"/>
        <s v="00KOB4CN" u="1"/>
        <s v="00KOB43V" u="1"/>
        <s v="00KOB3YL" u="1"/>
        <s v="00KOB3B1" u="1"/>
        <s v="00KOB2HK" u="1"/>
        <s v="00KOB2H1" u="1"/>
        <s v="00KOB2D3" u="1"/>
        <s v="00KOB2BN" u="1"/>
        <s v="00KOB2B0" u="1"/>
        <s v="00KOB29Z" u="1"/>
        <s v="00KOB287" u="1"/>
        <s v="00KOB24R" u="1"/>
        <s v="00KOB1WU" u="1"/>
        <s v="00KOB1WQ" u="1"/>
        <s v="00KOB1VP" u="1"/>
        <s v="00KOB1TY" u="1"/>
        <s v="00KOB1B5" u="1"/>
        <s v="00KOB19F" u="1"/>
        <s v="00KOB177" u="1"/>
        <s v="00KOB15P" u="1"/>
        <s v="00KO472Y" u="1"/>
        <s v="00KO472Q" u="1"/>
        <s v="00KO472N" u="1"/>
        <s v="00KO472H" u="1"/>
        <s v="00KO4727" u="1"/>
        <s v="00KO4724" u="1"/>
        <s v="00KO471Z" u="1"/>
        <s v="00KO471Y" u="1"/>
        <s v="00KO471I" u="1"/>
        <s v="00KO471H" u="1"/>
        <s v="00KO471C" u="1"/>
        <s v="00KO470Y" u="1"/>
        <s v="00KO470S" u="1"/>
        <s v="00KO470H" u="1"/>
        <s v="00KO470F" u="1"/>
        <s v="00KO4700" u="1"/>
        <s v="00KO46ZZ" u="1"/>
        <s v="00KO46ZO" u="1"/>
        <s v="00KO46Z0" u="1"/>
        <s v="00KO46YV" u="1"/>
        <s v="00KO46YT" u="1"/>
        <s v="00KO46Y7" u="1"/>
        <s v="00KO46X9" u="1"/>
        <s v="00KO46WS" u="1"/>
        <s v="00KO46W5" u="1"/>
        <s v="00KO46W4" u="1"/>
        <s v="00KO46VP" u="1"/>
        <s v="00KO46V4" u="1"/>
        <s v="00KOBAOJ" u="1"/>
        <s v="00KOBAHY" u="1"/>
        <s v="00KOB2EJ" u="1"/>
        <s v="00KO476K" u="1"/>
        <s v="00KO46OQ" u="1"/>
        <s v="00KOBLDW" u="1"/>
        <s v="00KOBKP0" u="1"/>
        <s v="00KOBKNV" u="1"/>
        <s v="00KO4730" u="1"/>
        <s v="00KOAXSV" u="1"/>
        <s v="00KOAXL7" u="1"/>
        <s v="00KOAXKD" u="1"/>
        <s v="00KOAXK9" u="1"/>
        <s v="00KOAXJU" u="1"/>
        <s v="00KOAXJB" u="1"/>
        <s v="00KOAVL8" u="1"/>
        <s v="00KOAU0D" u="1"/>
        <s v="00KOA8XX" u="1"/>
        <s v="00KOA8XV" u="1"/>
        <s v="00KOA76K" u="1"/>
        <s v="00KO479K" u="1"/>
        <s v="00KO478F" u="1"/>
        <s v="00KO4787" u="1"/>
        <s v="00KO4785" u="1"/>
        <s v="00KO477W" u="1"/>
        <s v="00KO477E" u="1"/>
        <s v="00KO477D" u="1"/>
        <s v="00KO477A" u="1"/>
        <s v="00KO476W" u="1"/>
        <s v="00KO476V" u="1"/>
        <s v="00KO476I" u="1"/>
        <s v="00KO476D" u="1"/>
        <s v="00KO475Q" u="1"/>
        <s v="00KO475O" u="1"/>
        <s v="00KO475J" u="1"/>
        <s v="00KO475I" u="1"/>
        <s v="00KO475A" u="1"/>
        <s v="00KO474P" u="1"/>
        <s v="00KO474J" u="1"/>
        <s v="00KO4745" u="1"/>
        <s v="00KO4742" u="1"/>
        <s v="00KO473P" u="1"/>
        <s v="00KO473K" u="1"/>
        <s v="00KO4735" u="1"/>
        <s v="00KO4731" u="1"/>
        <s v="00KOBC44" u="1"/>
        <s v="00KOBC3J" u="1"/>
        <s v="00KOBC35" u="1"/>
        <s v="00KOBC2Q" u="1"/>
        <s v="00KOBC2C" u="1"/>
        <s v="00KOBC1X" u="1"/>
        <s v="00KOBC1U" u="1"/>
        <s v="00KOBC1S" u="1"/>
        <s v="00KOBC1F" u="1"/>
        <s v="00KOBBXY" u="1"/>
        <s v="00KOBBWS" u="1"/>
        <s v="00KOBBWO" u="1"/>
        <s v="00KOBBWK" u="1"/>
        <s v="00KOBBWB" u="1"/>
        <s v="00KOBBW7" u="1"/>
        <s v="00KOBBVU" u="1"/>
        <s v="00KOBBVL" u="1"/>
        <s v="00KOBBVK" u="1"/>
        <s v="00KOBBV6" u="1"/>
        <s v="00KOBBUG" u="1"/>
        <s v="00KOBBUF" u="1"/>
        <s v="00KOBBN9" u="1"/>
        <s v="00KOBBMR" u="1"/>
        <s v="00KOBBA3" u="1"/>
        <s v="00KOBB9N" u="1"/>
        <s v="00KOBATX" u="1"/>
        <s v="00KOBATF" u="1"/>
        <s v="00KOBAP1" u="1"/>
        <s v="00KOBAJ1" u="1"/>
        <s v="00KOBAIO" u="1"/>
        <s v="00KOBAGX" u="1"/>
        <s v="00KOBAGA" u="1"/>
        <s v="00KOBAFA" u="1"/>
        <s v="00KOBAF0" u="1"/>
        <s v="00KOBAEP" u="1"/>
        <s v="00KOBAEN" u="1"/>
        <s v="00KOBC7Y" u="1"/>
        <s v="00KOBC4D" u="1"/>
        <s v="00KOAZMS" u="1"/>
        <s v="00KOBICR" u="1"/>
        <s v="00KOBIB0" u="1"/>
        <s v="00KOBIAH" u="1"/>
        <s v="00KOBIA3" u="1"/>
        <s v="00KOBI9T" u="1"/>
        <s v="00KOBI9M" u="1"/>
        <s v="00KOBI9F" u="1"/>
        <s v="00KOBI96" u="1"/>
        <s v="00KOBI8Q" u="1"/>
        <s v="00KOBI82" u="1"/>
        <s v="00KOBI7R" u="1"/>
        <s v="00KOBI7L" u="1"/>
        <s v="00KOBI6T" u="1"/>
        <s v="00KOBI6R" u="1"/>
        <s v="00KOBI6G" u="1"/>
        <s v="00KOBI5V" u="1"/>
        <s v="00KOBI5S" u="1"/>
        <s v="00KOBI5B" u="1"/>
        <s v="00KOBI4U" u="1"/>
        <s v="00KOBI37" u="1"/>
        <s v="00KOBCM3" u="1"/>
        <s v="00KOBCKC" u="1"/>
        <s v="00KOBCJT" u="1"/>
        <s v="00KOBCJE" u="1"/>
        <s v="00KOBCIK" u="1"/>
        <s v="00KOBCI7" u="1"/>
        <s v="00KOBCHR" u="1"/>
        <s v="00KOBCGY" u="1"/>
        <s v="00KOBCGT" u="1"/>
        <s v="00KOBCGG" u="1"/>
        <s v="00KOBC87" u="1"/>
        <s v="00KOB9DW" u="1"/>
        <s v="00KOB9DG" u="1"/>
        <s v="00KOB9BV" u="1"/>
        <s v="00KOB9AO" u="1"/>
        <s v="00KOB97N" u="1"/>
        <s v="00KOB96X" u="1"/>
        <s v="00KOB96V" u="1"/>
        <s v="00KOB967" u="1"/>
        <s v="00KOB963" u="1"/>
        <s v="00KOB8WY" u="1"/>
        <s v="00KOB8V5" u="1"/>
        <s v="00KOB8U9" u="1"/>
        <s v="00KOB8TH" u="1"/>
        <s v="00KOB8SM" u="1"/>
        <s v="00KOB808" u="1"/>
        <s v="00KOB7TN" u="1"/>
        <s v="00KOB74H" u="1"/>
        <s v="00KOB711" u="1"/>
        <s v="00KOB70T" u="1"/>
        <s v="00KOB6ZJ" u="1"/>
        <s v="00KOB6YM" u="1"/>
        <s v="00KOB6YJ" u="1"/>
        <s v="00KOB6Y1" u="1"/>
        <s v="00KOB6X3" u="1"/>
        <s v="00KOB6WQ" u="1"/>
        <s v="00KOB6WF" u="1"/>
        <s v="00KOB6VV" u="1"/>
        <s v="00KOB6VQ" u="1"/>
        <s v="00KOB6VP" u="1"/>
        <s v="00KOB6V1" u="1"/>
        <s v="00KOB6US" u="1"/>
        <s v="00KOB6UO" u="1"/>
        <s v="00KOB6TL" u="1"/>
        <s v="00KOB6TK" u="1"/>
        <s v="00KOB6T1" u="1"/>
        <s v="00KOB6SX" u="1"/>
        <s v="00KOB9H0" u="1"/>
        <s v="00KOBADD" u="1"/>
        <s v="00KOBAD9" u="1"/>
        <s v="00KOBA8V" u="1"/>
        <s v="00KOBA8U" u="1"/>
        <s v="00KOBA8I" u="1"/>
        <s v="00KOBA8G" u="1"/>
        <s v="00KOBA86" u="1"/>
        <s v="00KOBA81" u="1"/>
        <s v="00KOBA7K" u="1"/>
        <s v="00KOBA7D" u="1"/>
        <s v="00KOBA6Y" u="1"/>
        <s v="00KOBA6J" u="1"/>
        <s v="00KOBA5M" u="1"/>
        <s v="00KOBA4X" u="1"/>
        <s v="00KOBA46" u="1"/>
        <s v="00KOBA34" u="1"/>
        <s v="00KOBA27" u="1"/>
        <s v="00KOBA1K" u="1"/>
        <s v="00KOBA0D" u="1"/>
        <s v="00KOB9Z7" u="1"/>
        <s v="00KOB9YA" u="1"/>
        <s v="00KOB9O9" u="1"/>
        <s v="00KOB9NT" u="1"/>
        <s v="00KOB9N7" u="1"/>
        <s v="00KOB9ME" u="1"/>
        <s v="00KOB9LG" u="1"/>
        <s v="00KOB9KK" u="1"/>
        <s v="00KOB9K9" u="1"/>
        <s v="00KOB9K3" u="1"/>
        <s v="00KOB9JN" u="1"/>
        <s v="00KOB9JG" u="1"/>
        <s v="00KOB9J0" u="1"/>
        <s v="00KOB9IQ" u="1"/>
        <s v="00KOB9IE" u="1"/>
        <s v="00KOB9HO" u="1"/>
        <s v="00KOB9HB" u="1"/>
        <s v="00KOB5LL" u="1"/>
        <s v="00KOBO0B" u="1"/>
        <s v="00KOBO2E" u="1"/>
        <s v="00KOBWQU" u="1"/>
        <s v="00KOBOVS" u="1"/>
        <s v="00KOBXM7" u="1"/>
        <s v="00KOBWWP" u="1"/>
        <s v="00KOBOGN" u="1"/>
        <s v="00KOBOHO" u="1"/>
        <s v="00KOBOKD" u="1"/>
        <s v="00KOBOLC" u="1"/>
        <s v="00KOBOM2" u="1"/>
        <s v="00KOBOND" u="1"/>
        <s v="00KOBOO2" u="1"/>
        <s v="00KOBUZN" u="1"/>
        <s v="00KOBSU6" u="1"/>
        <s v="00KOBRE7" u="1"/>
        <s v="00KOBRDJ" u="1"/>
        <s v="00KOBRCA" u="1"/>
        <s v="00KOBRAA" u="1"/>
        <s v="00KOBQYT" u="1"/>
        <s v="00KOBQUW" u="1"/>
        <s v="00KOBQTX" u="1"/>
        <s v="00KOBQSS" u="1"/>
        <s v="00KOBQGL" u="1"/>
        <s v="00KOBQFS" u="1"/>
        <s v="00KOBQEG" u="1"/>
        <s v="00KOBOPL" u="1"/>
        <s v="00KOBQDN" u="1"/>
        <s v="00KOBQ8B" u="1"/>
        <s v="00KOBQ47" u="1"/>
        <s v="00KOBQ3J" u="1"/>
        <s v="00KOBQ2Q" u="1"/>
        <s v="00KOBQ26" u="1"/>
        <s v="00KOBQ1A" u="1"/>
        <s v="00KOBP37" u="1"/>
        <s v="00KOBOYH" u="1"/>
        <s v="00KOBOW3" u="1"/>
        <s v="00KOBOU7" u="1"/>
        <s v="00KOBOR5" u="1"/>
        <s v="00KOBOQ2" u="1"/>
        <s v="00KOBWP7" u="1"/>
        <s v="00KOF95E" u="1"/>
        <s v="00KOFFQ6" u="1"/>
        <s v="00KOFJTM" u="1"/>
        <s v="00KOFJU7" u="1"/>
        <s v="00KOFJUG" u="1"/>
        <s v="00KOFKXQ" u="1"/>
        <s v="00KOHX11" u="1"/>
        <s v="00KOIN2B" u="1"/>
        <s v="00KOIOL6" u="1"/>
        <s v="00KOJMJ9" u="1"/>
        <s v="00KOJNON" u="1"/>
        <s v="00KOJRBI" u="1"/>
        <s v="00KONKI0" u="1"/>
        <s v="00KONKIX" u="1"/>
        <s v="00KONKJ6" u="1"/>
        <s v="00KONKKB" u="1"/>
        <s v="00KOOJ45" u="1"/>
        <s v="00KOKL9V" u="1"/>
        <s v="00KOKLAW" u="1"/>
        <s v="00KOKLE4" u="1"/>
        <s v="00KOKLHB" u="1"/>
        <s v="00KONKEB" u="1"/>
        <s v="00KOKKNE" u="1"/>
        <s v="00KOKSPP" u="1"/>
        <s v="00KOKKWK" u="1"/>
        <s v="00KOROKM" u="1"/>
        <s v="00KOPCLS" u="1"/>
        <s v="00KOP8V9" u="1"/>
        <s v="00KORVE9" u="1"/>
        <s v="00KORVGG" u="1"/>
        <s v="00KOS2X0" u="1"/>
        <s v="00KOQNEW" u="1"/>
        <s v="00KOPL4L" u="1"/>
        <s v="00KPP8W4" u="1"/>
        <s v="00KPPCID" u="1"/>
        <s v="00KOS9T7" u="1"/>
        <s v="00KPPB74" u="1"/>
        <s v="00KOS9TN" u="1"/>
        <s v="00KPOBMZ" u="1"/>
        <s v="00KOS52A" u="1"/>
        <s v="00KPPBB6" u="1"/>
        <s v="00KPPCKG" u="1"/>
        <s v="00KPQ8FH" u="1"/>
        <s v="00KIXYU9" u="1"/>
        <s v="00KIXYUC" u="1"/>
        <s v="00KIXYOT" u="1"/>
        <s v="00KIXYO7" u="1"/>
        <s v="00KIXYNU" u="1"/>
        <s v="00KIXYUL" u="1"/>
        <s v="00KIXYV6" u="1"/>
        <s v="00KIXYW4" u="1"/>
        <s v="00KIXYWR" u="1"/>
        <s v="00KJ4823" u="1"/>
        <s v="00KIXYAN" u="1"/>
        <s v="00KIXXXZ" u="1"/>
        <s v="00KIXXX1" u="1"/>
        <s v="00KIXXWS" u="1"/>
        <s v="00KIXRCV" u="1"/>
        <s v="00KIWOMJ" u="1"/>
        <s v="00KIWK6A" u="1"/>
        <s v="00KIWJXA" u="1"/>
        <s v="00KIWJH9" u="1"/>
        <s v="00KIWJG7" u="1"/>
        <s v="00KJ48DP" u="1"/>
        <s v="00KJ49SS" u="1"/>
        <s v="00KJ4W74" u="1"/>
        <s v="00KJ4WAL" u="1"/>
        <s v="00KJ4YP1" u="1"/>
        <s v="00KJ4YS3" u="1"/>
        <s v="00KJ4YST" u="1"/>
        <s v="00KJ4Z3Z" u="1"/>
        <s v="00KJ4Z4C" u="1"/>
        <s v="00KJ4Z5A" u="1"/>
        <s v="00KJ4ZD2" u="1"/>
        <s v="00KJ4ZE4" u="1"/>
        <s v="00KJ4ZFM" u="1"/>
        <s v="00KJ4ZUL" u="1"/>
        <s v="00KJ528M" u="1"/>
        <s v="00KJ52H9" u="1"/>
        <s v="00KIWLGQ" u="1"/>
        <s v="00KIWLGU" u="1"/>
        <s v="00KIWLH0" u="1"/>
        <s v="00KJ4W9C" u="1"/>
        <s v="00KIWCEI" u="1"/>
        <s v="00KJ5BAB" u="1"/>
        <s v="00KJ5BB6" u="1"/>
        <s v="00KJ5BJN" u="1"/>
        <s v="00KJBZIC" u="1"/>
        <s v="00KJC2F1" u="1"/>
        <s v="00KJC2TB" u="1"/>
        <s v="00KJC2Z8" u="1"/>
        <s v="00KJC311" u="1"/>
        <s v="00KJC3M1" u="1"/>
        <s v="00KJC8P7" u="1"/>
        <s v="00KJC8R5" u="1"/>
        <s v="00KJCC75" u="1"/>
        <s v="00KJCCP1" u="1"/>
        <s v="00KJCCXO" u="1"/>
        <s v="00KJCCYT" u="1"/>
        <s v="00KJCCZ5" u="1"/>
        <s v="00KJIMIS" u="1"/>
        <s v="00KJIMJG" u="1"/>
        <s v="00KJIQ5Y" u="1"/>
        <s v="00KJIRO3" u="1"/>
        <s v="00KJLW91" u="1"/>
        <s v="00KJIVTP" u="1"/>
        <s v="00KJLWO8" u="1"/>
        <s v="00KJLVDS" u="1"/>
        <s v="00KJLFKI" u="1"/>
        <s v="00KJLI4C" u="1"/>
        <s v="00KJIW6I" u="1"/>
        <s v="00KJIW8B" u="1"/>
        <s v="00KJIW91" u="1"/>
        <s v="00KJIW9N" u="1"/>
        <s v="00KJM5XK" u="1"/>
        <s v="00KIPRBM" u="1"/>
        <s v="00KJPT73" u="1"/>
        <s v="00KJPSV9" u="1"/>
        <s v="00KJQCR7" u="1"/>
        <s v="ZWLK0GD0" u="1"/>
        <s v="00KJV233" u="1"/>
        <s v="00KJV1SK" u="1"/>
        <s v="00KJV12A" u="1"/>
        <s v="00KJV11E" u="1"/>
        <s v="00KJV0VO" u="1"/>
        <s v="00KJV0P8" u="1"/>
        <s v="00KJQDPM" u="1"/>
        <s v="00KJPT7O" u="1"/>
        <s v="00KJQCZT" u="1"/>
        <s v="00KJPQYH" u="1"/>
        <s v="00KJTTNV" u="1"/>
        <s v="00KJTWJQ" u="1"/>
        <s v="00KJVRKJ" u="1"/>
        <s v="00KJPYR3" u="1"/>
        <s v="00KJZY31" u="1"/>
        <s v="00KJZZ4M" u="1"/>
        <s v="00KJZZPO" u="1"/>
        <s v="00KK00RM" u="1"/>
        <s v="00KJZXVE" u="1"/>
        <s v="00KJVNZW" u="1"/>
        <s v="00KJVO3T" u="1"/>
        <s v="00KJVYCW" u="1"/>
        <s v="00KJVV06" u="1"/>
        <s v="00KJVRNV" u="1"/>
        <s v="00KJVR9K" u="1"/>
        <s v="00KJVOBU" u="1"/>
        <s v="00KJVOJL" u="1"/>
        <s v="00KJVW36" u="1"/>
        <s v="00KK3N7Q" u="1"/>
        <s v="00KK3NWB" u="1"/>
        <s v="00KK3JGE" u="1"/>
        <s v="00KK3HT7" u="1"/>
        <s v="00KK3HSZ" u="1"/>
        <s v="00KK3N8H" u="1"/>
        <s v="00KK3JI9" u="1"/>
        <s v="00KK4691" u="1"/>
        <s v="00KFLN0Z" u="1"/>
        <s v="00KK6R4V" u="1"/>
        <s v="00KK4892" u="1"/>
        <s v="00KK45UI" u="1"/>
        <s v="00KK6R4Y" u="1"/>
        <s v="00KK6DZW" u="1"/>
        <s v="00KK6DX4" u="1"/>
        <s v="00KK6DZA" u="1"/>
        <s v="00KK6DYJ" u="1"/>
        <s v="00KK67V9" u="1"/>
        <s v="00KK43HC" u="1"/>
        <s v="00KKNW6W" u="1"/>
        <s v="00KKNP6L" u="1"/>
        <s v="00KK7D7L" u="1"/>
        <s v="00KKNW8B" u="1"/>
        <s v="00KKNPD4" u="1"/>
        <s v="00KKNP55" u="1"/>
        <s v="00KKSI0N" u="1"/>
        <s v="00KKSI5F" u="1"/>
        <s v="00KKSIAO" u="1"/>
        <s v="00KKSIBH" u="1"/>
        <s v="00KKSKEO" u="1"/>
        <s v="00KKSKFD" u="1"/>
        <s v="00KKRS9E" u="1"/>
        <s v="00KKO32S" u="1"/>
        <s v="00KKPYJ4" u="1"/>
        <s v="00KKSCWM" u="1"/>
        <s v="00KKSEQG" u="1"/>
        <s v="00KKSD3E" u="1"/>
        <s v="00KKO2XH" u="1"/>
        <s v="00KKSIHK" u="1"/>
        <s v="00KKSIRW" u="1"/>
        <s v="00KKXSKR" u="1"/>
        <s v="00KKY8SA" u="1"/>
        <s v="00KKY8UC" u="1"/>
        <s v="00KKY9NU" u="1"/>
        <s v="00KKYAI4" u="1"/>
        <s v="00KKYBRG" u="1"/>
        <s v="00KKSXXR" u="1"/>
        <s v="00KKT3J0" u="1"/>
        <s v="00KKSXTL" u="1"/>
        <s v="00KKT26C" u="1"/>
        <s v="00KKSMT2" u="1"/>
        <s v="00KKT3MV" u="1"/>
        <s v="00KKT3MM" u="1"/>
        <s v="00KKXSM6" u="1"/>
        <s v="00KKSMRI" u="1"/>
        <s v="00KKYHDW" u="1"/>
        <s v="00KKYZEP" u="1"/>
        <s v="00KL5X2W" u="1"/>
        <s v="00KL5X3U" u="1"/>
        <s v="00KL5XZ4" u="1"/>
        <s v="00KKYOF8" u="1"/>
        <s v="00KKYONC" u="1"/>
        <s v="00KKYNEU" u="1"/>
        <s v="00KKYOMT" u="1"/>
        <s v="00KKYKPD" u="1"/>
        <s v="00KKYONM" u="1"/>
        <s v="00KKYOMN" u="1"/>
        <s v="00KFXZMY" u="1"/>
        <s v="00KLBSJE" u="1"/>
        <s v="00KLBSFD" u="1"/>
        <s v="00KLBS9P" u="1"/>
        <s v="00KLBMJ4" u="1"/>
        <s v="00KLBMHU" u="1"/>
        <s v="00KLBIYE" u="1"/>
        <s v="00KLBIXT" u="1"/>
        <s v="00KLBIRW" u="1"/>
        <s v="00KLBIH6" u="1"/>
        <s v="00KLBIFI" u="1"/>
        <s v="00KLB85V" u="1"/>
        <s v="00KLAOEW" u="1"/>
        <s v="00KLANMZ" u="1"/>
        <s v="00KL6AY1" u="1"/>
        <s v="00KL6AWT" u="1"/>
        <s v="00KL6AWM" u="1"/>
        <s v="00KL6AWK" u="1"/>
        <s v="00KL692U" u="1"/>
        <s v="00KL68OT" u="1"/>
        <s v="00KLBSK4" u="1"/>
        <s v="00KL6AU5" u="1"/>
        <s v="00KKYOTB" u="1"/>
        <s v="00KLE129" u="1"/>
        <s v="00KLE13D" u="1"/>
        <s v="00KLE132" u="1"/>
        <s v="00KLE13J" u="1"/>
        <s v="00KLLIJ3" u="1"/>
        <s v="00KLLIJE" u="1"/>
        <s v="00KLLIR8" u="1"/>
        <s v="00KLLIYG" u="1"/>
        <s v="00KLLIZJ" u="1"/>
        <s v="00KLLRM6" u="1"/>
        <s v="00KLLRTJ" u="1"/>
        <s v="00KLLUG5" u="1"/>
        <s v="00KLLUH9" u="1"/>
        <s v="00KLE8XG" u="1"/>
        <s v="00KLLIIQ" u="1"/>
        <s v="00KLLH4G" u="1"/>
        <s v="00KLE57H" u="1"/>
        <s v="00KLLNHH" u="1"/>
        <s v="00KLK61V" u="1"/>
        <s v="00KLPSEH" u="1"/>
        <s v="00KLMFMZ" u="1"/>
        <s v="00KLPNOP" u="1"/>
        <s v="00KLPNNQ" u="1"/>
        <s v="00KLPMBF" u="1"/>
        <s v="00KLPMB3" u="1"/>
        <s v="00KLPM7N" u="1"/>
        <s v="00KLPDLA" u="1"/>
        <s v="00KLMFK3" u="1"/>
        <s v="00KLQTXS" u="1"/>
        <s v="00KLQT84" u="1"/>
        <s v="00KLR0RA" u="1"/>
        <s v="00KLRFOE" u="1"/>
        <s v="00KLRFSJ" u="1"/>
        <s v="00KLTU59" u="1"/>
        <s v="00KLTUG7" u="1"/>
        <s v="00KLTUGT" u="1"/>
        <s v="00KLTUGZ" u="1"/>
        <s v="00KLTUHK" u="1"/>
        <s v="00KLTXNI" u="1"/>
        <s v="00KLTXS8" u="1"/>
        <s v="00KLU236" u="1"/>
        <s v="00KLU24P" u="1"/>
        <s v="00KLU3QI" u="1"/>
        <s v="00KLXJ65" u="1"/>
        <s v="00KLWR8Q" u="1"/>
        <s v="00KLWRYB" u="1"/>
        <s v="00KLWQSF" u="1"/>
        <s v="00KLWPFI" u="1"/>
        <s v="00KLWPO1" u="1"/>
        <s v="00KLXK03" u="1"/>
        <s v="00KLWPCX" u="1"/>
        <s v="00KLX9PQ" u="1"/>
        <s v="00KLWRXO" u="1"/>
        <s v="00KLWRQP" u="1"/>
        <s v="00KM0VKQ" u="1"/>
        <s v="00KM1IDT" u="1"/>
        <s v="00KM1IDC" u="1"/>
        <s v="00KM19AC" u="1"/>
        <s v="00KM1FVN" u="1"/>
        <s v="00KM1FXM" u="1"/>
        <s v="00KM1I8W" u="1"/>
        <s v="00KM1I9S" u="1"/>
        <s v="00KM1IDJ" u="1"/>
        <s v="00KM18JZ" u="1"/>
        <s v="00KM197U" u="1"/>
        <s v="00KEGM0U" u="1"/>
        <s v="00KEH1ZV" u="1"/>
        <s v="00KEH687" u="1"/>
        <s v="00KEHI5N" u="1"/>
        <s v="00KEHMCZ" u="1"/>
        <s v="00KEHNB5" u="1"/>
        <s v="00KENNMJ" u="1"/>
        <s v="00KENNNW" u="1"/>
        <s v="00KENNOU" u="1"/>
        <s v="00KENNS7" u="1"/>
        <s v="00KENNUK" u="1"/>
        <s v="00KENNWF" u="1"/>
        <s v="00KENOJ7" u="1"/>
        <s v="00KENOPR" u="1"/>
        <s v="00KENWYO" u="1"/>
        <s v="00KENWZI" u="1"/>
        <s v="00KENX9L" u="1"/>
        <s v="00KENXAQ" u="1"/>
        <s v="00KENZFV" u="1"/>
        <s v="00KENZRH" u="1"/>
        <s v="00KENZU5" u="1"/>
        <s v="00KENZYP" u="1"/>
        <s v="00KEO08Z" u="1"/>
        <s v="00KEO0DI" u="1"/>
        <s v="00KEO1JP" u="1"/>
        <s v="00KEO2RV" u="1"/>
        <s v="00KEO4PM" u="1"/>
        <s v="00KEO4S4" u="1"/>
        <s v="00KEO7GV" u="1"/>
        <s v="00KEO7L7" u="1"/>
        <s v="00KEO7MA" u="1"/>
        <s v="00KEO7ME" u="1"/>
        <s v="00KEO8FZ" u="1"/>
        <s v="00KEO8GM" u="1"/>
        <s v="00KEO9FZ" u="1"/>
        <s v="00KEOBJ4" u="1"/>
        <s v="00KEOBWR" u="1"/>
        <s v="00KEGLFN" u="1"/>
        <s v="00KEHL7K" u="1"/>
        <s v="00KEHL8R" u="1"/>
        <s v="00KEHLYE" u="1"/>
        <s v="00KEHLZY" u="1"/>
        <s v="00KEOD1C" u="1"/>
        <s v="00KEODCJ" u="1"/>
        <s v="00KE9IDR" u="1"/>
        <s v="00KE9J1E" u="1"/>
        <s v="00KE9T7R" u="1"/>
        <s v="00KE9TOJ" u="1"/>
        <s v="00KE9TZU" u="1"/>
        <s v="00KE9U1Q" u="1"/>
        <s v="00KE9V8A" u="1"/>
        <s v="00KE9V98" u="1"/>
        <s v="00KE9VB7" u="1"/>
        <s v="00KE9VBJ" u="1"/>
        <s v="00KE9VBQ" u="1"/>
        <s v="00KE9VBU" u="1"/>
        <s v="00KE9VC0" u="1"/>
        <s v="00KE9VC5" u="1"/>
        <s v="00KE9VC9" u="1"/>
        <s v="00KE9VCH" u="1"/>
        <s v="00KE9VCL" u="1"/>
        <s v="00KE9VCZ" u="1"/>
        <s v="00KE9VD0" u="1"/>
        <s v="00KE9VQ4" u="1"/>
        <s v="00KE9VQT" u="1"/>
        <s v="00KE9VRQ" u="1"/>
        <s v="00KE9VSP" u="1"/>
        <s v="00KE9VTE" u="1"/>
        <s v="00KE9VU3" u="1"/>
        <s v="00KE9VU6" u="1"/>
        <s v="00KE9VUO" u="1"/>
        <s v="00KE9VV0" u="1"/>
        <s v="00KE9VVC" u="1"/>
        <s v="00KE9VX8" u="1"/>
        <s v="00KEGK3P" u="1"/>
        <s v="00KEOBZJ" u="1"/>
        <s v="00KEOCTU" u="1"/>
        <s v="00KEODMM" u="1"/>
        <s v="00KE9VSN" u="1"/>
        <s v="00KE9VZU" u="1"/>
        <s v="00KENOMM" u="1"/>
        <s v="00KE9TY9" u="1"/>
        <s v="00KEH1PB" u="1"/>
        <s v="00KEH1YL" u="1"/>
        <s v="00KEODA1" u="1"/>
        <s v="00KEODR7" u="1"/>
        <s v="00KEO7JT" u="1"/>
        <s v="00KEODQ1" u="1"/>
        <s v="00KEODSS" u="1"/>
        <s v="00KEJWQA" u="1"/>
        <s v="00KEK4LX" u="1"/>
        <s v="00KEK6YM" u="1"/>
        <s v="00KE9U3A" u="1"/>
        <s v="00KEH19Q" u="1"/>
        <s v="00KEJZE8" u="1"/>
        <s v="00KEK75I" u="1"/>
        <s v="00KE9V3V" u="1"/>
        <s v="00KE9VCC" u="1"/>
        <s v="00KE9VQS" u="1"/>
        <s v="00KEGM39" u="1"/>
        <s v="00KEO7LE" u="1"/>
        <s v="00KEOBWT" u="1"/>
        <s v="00KEOBXG" u="1"/>
        <s v="00KEOBY6" u="1"/>
        <s v="00KEOBZB" u="1"/>
        <s v="00KEOBZL" u="1"/>
        <s v="00KEOC34" u="1"/>
        <s v="00KEOC9K" u="1"/>
        <s v="00KEOC9X" u="1"/>
        <s v="00KEOCAN" u="1"/>
        <s v="00KEOCB9" u="1"/>
        <s v="00KEOCBA" u="1"/>
        <s v="00KEOCBZ" u="1"/>
        <s v="00KEOCC4" u="1"/>
        <s v="00KEOCRY" u="1"/>
        <s v="00KEOCT6" u="1"/>
        <s v="00KEOCUE" u="1"/>
        <s v="00KEOCXN" u="1"/>
        <s v="00KEOCZR" u="1"/>
        <s v="00KEODC8" u="1"/>
        <s v="00KEODCL" u="1"/>
        <s v="00KEODMX" u="1"/>
        <s v="00KEODNK" u="1"/>
        <s v="00KEODOT" u="1"/>
        <s v="00KEODRL" u="1"/>
        <s v="00KEODVG" u="1"/>
        <s v="00KEODVV" u="1"/>
        <s v="00KEODY9" u="1"/>
        <s v="00KEOEA7" u="1"/>
        <s v="00KEOFCV" u="1"/>
        <s v="00KE9VC1" u="1"/>
        <s v="00KEGK2I" u="1"/>
        <s v="00KEGMBY" u="1"/>
        <s v="00KEH0ZK" u="1"/>
        <s v="00KEH1XK" u="1"/>
        <s v="00KEH1ZL" u="1"/>
        <s v="00KEM497" u="1"/>
        <s v="00KENNTH" u="1"/>
        <s v="00KEGLOB" u="1"/>
        <s v="00KEH66Q" u="1"/>
        <s v="00KEHHJP" u="1"/>
        <s v="00KEHI8V" u="1"/>
        <s v="00KEHL0A" u="1"/>
        <s v="00KE9J0O" u="1"/>
        <s v="00KE9VTH" u="1"/>
        <s v="00KF5F0S" u="1"/>
        <s v="00KF5F7S" u="1"/>
        <s v="00KF58N6" u="1"/>
        <s v="00KEOZCS" u="1"/>
        <s v="00KF5FBZ" u="1"/>
        <s v="00KF5G86" u="1"/>
        <s v="00KF9HMB" u="1"/>
        <s v="00KF9IHJ" u="1"/>
        <s v="00KF9II7" u="1"/>
        <s v="00KEOZAS" u="1"/>
        <s v="00KEOZ67" u="1"/>
        <s v="00KEOZ5T" u="1"/>
        <s v="00KEOYZ4" u="1"/>
        <s v="00KEOXLT" u="1"/>
        <s v="00KEOXLB" u="1"/>
        <s v="00KEOXL5" u="1"/>
        <s v="00KEONVO" u="1"/>
        <s v="00KEON33" u="1"/>
        <s v="00KEON2B" u="1"/>
        <s v="00KF9K6F" u="1"/>
        <s v="00KF9KRR" u="1"/>
        <s v="00KF9R96" u="1"/>
        <s v="00KF9SPA" u="1"/>
        <s v="00KFA3PY" u="1"/>
        <s v="00KFA99A" u="1"/>
        <s v="00KFAAYV" u="1"/>
        <s v="00KFAE9H" u="1"/>
        <s v="00KFAHR3" u="1"/>
        <s v="00KFALCS" u="1"/>
        <s v="00KFAM6F" u="1"/>
        <s v="00KFAVHU" u="1"/>
        <s v="00KFAVJG" u="1"/>
        <s v="00KFAVKA" u="1"/>
        <s v="00KFAVM6" u="1"/>
        <s v="00KFAVXZ" u="1"/>
        <s v="00KFAVZW" u="1"/>
        <s v="00KFAWVL" u="1"/>
        <s v="00KFAWZO" u="1"/>
        <s v="00KEON16" u="1"/>
        <s v="00KFCW15" u="1"/>
        <s v="00KFCW12" u="1"/>
        <s v="00KFCVYV" u="1"/>
        <s v="00KFCVDF" u="1"/>
        <s v="00KFCVCP" u="1"/>
        <s v="00KFCV7P" u="1"/>
        <s v="00KFCV6U" u="1"/>
        <s v="00KFCV6B" u="1"/>
        <s v="00KFCV5C" u="1"/>
        <s v="00KFCW3L" u="1"/>
        <s v="00KFCW5W" u="1"/>
        <s v="00KFCWBG" u="1"/>
        <s v="00KFCWNY" u="1"/>
        <s v="00KFCY8U" u="1"/>
        <s v="00KFCYPP" u="1"/>
        <s v="00KF5FAB" u="1"/>
        <s v="00KF94JI" u="1"/>
        <s v="00KF9IGQ" u="1"/>
        <s v="00KF9K4W" u="1"/>
        <s v="00KFACBM" u="1"/>
        <s v="00KFAVZ0" u="1"/>
        <s v="00KFBL00" u="1"/>
        <s v="00KFCDAF" u="1"/>
        <s v="00KEODOQ" u="1"/>
        <s v="00KEODQS" u="1"/>
        <s v="00KEODS3" u="1"/>
        <s v="00KEOFK6" u="1"/>
        <s v="00KEOFN6" u="1"/>
        <s v="00KEOFWI" u="1"/>
        <s v="00KEOG1K" u="1"/>
        <s v="00KEOG1L" u="1"/>
        <s v="00KEOJVO" u="1"/>
        <s v="00KEOJYJ" u="1"/>
        <s v="00KEOJZW" u="1"/>
        <s v="00KEOK0F" u="1"/>
        <s v="00KEOK1J" u="1"/>
        <s v="00KEOK1Q" u="1"/>
        <s v="00KEON0K" u="1"/>
        <s v="00KFAXXJ" u="1"/>
        <s v="00KEODTK" u="1"/>
        <s v="00KEOEGD" u="1"/>
        <s v="00KEOFIL" u="1"/>
        <s v="00KEOFJC" u="1"/>
        <s v="00KEOG2T" u="1"/>
        <s v="00KEOIZN" u="1"/>
        <s v="00KEOJV1" u="1"/>
        <s v="00KEOJV9" u="1"/>
        <s v="00KEON2I" u="1"/>
        <s v="00KEONVQ" u="1"/>
        <s v="00KEOX8K" u="1"/>
        <s v="00KEOYZ5" u="1"/>
        <s v="00KEOZ2K" u="1"/>
        <s v="00KEOZ9J" u="1"/>
        <s v="00KF5F0R" u="1"/>
        <s v="00KF5F2T" u="1"/>
        <s v="00KF9IFP" u="1"/>
        <s v="00KF9IJX" u="1"/>
        <s v="00KF9JP6" u="1"/>
        <s v="00KF9JQ0" u="1"/>
        <s v="00KF9K0K" u="1"/>
        <s v="00KFAJ2L" u="1"/>
        <s v="00KFBNIW" u="1"/>
        <s v="00KF9I20" u="1"/>
        <s v="00KF9K5G" u="1"/>
        <s v="00KF9LWH" u="1"/>
        <s v="00KFB9Q9" u="1"/>
        <s v="00KFC9XY" u="1"/>
        <s v="00KFBL0V" u="1"/>
        <s v="00KE9BU4" u="1"/>
        <s v="00KFAY30" u="1"/>
        <s v="00KFB8WU" u="1"/>
        <s v="00KFB8ZY" u="1"/>
        <s v="00KFB93S" u="1"/>
        <s v="00KFB9R7" u="1"/>
        <s v="00KFBBG9" u="1"/>
        <s v="00KFBKCD" u="1"/>
        <s v="00KFBWBK" u="1"/>
        <s v="00KFC9Q5" u="1"/>
        <s v="00KFC9RA" u="1"/>
        <s v="00KFC9TJ" u="1"/>
        <s v="00KFC9U5" u="1"/>
        <s v="00KFC9XI" u="1"/>
        <s v="00KFC9Y5" u="1"/>
        <s v="00KFC9Z8" u="1"/>
        <s v="00KFC9ZR" u="1"/>
        <s v="00KFCAIH" u="1"/>
        <s v="00KFCAJC" u="1"/>
        <s v="00KFCAK5" u="1"/>
        <s v="00KFCCEM" u="1"/>
        <s v="00KFCCG4" u="1"/>
        <s v="00KFCCH9" u="1"/>
        <s v="00KFCCJQ" u="1"/>
        <s v="00KFCCKX" u="1"/>
        <s v="00KFCD4N" u="1"/>
        <s v="00KFCD8B" u="1"/>
        <s v="00KFCDDK" u="1"/>
        <s v="00KFCDDR" u="1"/>
        <s v="00KFCDEA" u="1"/>
        <s v="00KFCCGY" u="1"/>
        <s v="00KFCCI3" u="1"/>
        <s v="00KF5FSR" u="1"/>
        <s v="00KFCYJU" u="1"/>
        <s v="00KFD0XM" u="1"/>
        <s v="00KFAYAJ" u="1"/>
        <s v="00KFLNHP" u="1"/>
        <s v="00KFLNH4" u="1"/>
        <s v="00KFLNBH" u="1"/>
        <s v="00KFLNAV" u="1"/>
        <s v="00KFLNI4" u="1"/>
        <s v="00KFLNLO" u="1"/>
        <s v="00KFLNNR" u="1"/>
        <s v="00KFD5RK" u="1"/>
        <s v="00KFDH3G" u="1"/>
        <s v="00KFDH4H" u="1"/>
        <s v="00KFDHA9" u="1"/>
        <s v="00KFDHC8" u="1"/>
        <s v="00KFL1GE" u="1"/>
        <s v="00KFL28R" u="1"/>
        <s v="00KFD7TZ" u="1"/>
        <s v="00KFDR0F" u="1"/>
        <s v="00KFL1JM" u="1"/>
        <s v="00KFLNA2" u="1"/>
        <s v="00KFLN8K" u="1"/>
        <s v="00KFLN5P" u="1"/>
        <s v="00KFLN57" u="1"/>
        <s v="00KFLMZY" u="1"/>
        <s v="00KFLMAM" u="1"/>
        <s v="00KFLM94" u="1"/>
        <s v="00KFLM7P" u="1"/>
        <s v="00KFLM6M" u="1"/>
        <s v="00KFLM4M" u="1"/>
        <s v="00KFLLZ4" u="1"/>
        <s v="00KFLLWX" u="1"/>
        <s v="00KFLLVI" u="1"/>
        <s v="00KFLLPW" u="1"/>
        <s v="00KFLKLP" u="1"/>
        <s v="00KFLKK4" u="1"/>
        <s v="00KFLJB8" u="1"/>
        <s v="00KFLGAZ" u="1"/>
        <s v="00KFLFXZ" u="1"/>
        <s v="00KFL2B6" u="1"/>
        <s v="00KFDTNZ" u="1"/>
        <s v="00KFLGA9" u="1"/>
        <s v="00KFLF69" u="1"/>
        <s v="00KFL6C9" u="1"/>
        <s v="00KFL68X" u="1"/>
        <s v="00KFL3YN" u="1"/>
        <s v="00KFL1K9" u="1"/>
        <s v="00KFLN4W" u="1"/>
        <s v="00KFLN38" u="1"/>
        <s v="00KFLN27" u="1"/>
        <s v="00KFLN0S" u="1"/>
        <s v="00KFLMZF" u="1"/>
        <s v="00KFLMAL" u="1"/>
        <s v="00KFLG8Z" u="1"/>
        <s v="00KFLFYH" u="1"/>
        <s v="00KFLFWO" u="1"/>
        <s v="00KFLF8M" u="1"/>
        <s v="00KFLF88" u="1"/>
        <s v="00KFLLXU" u="1"/>
        <s v="00KFD7JR" u="1"/>
        <s v="00KFD7KD" u="1"/>
        <s v="00KFD7SG" u="1"/>
        <s v="00KFIPMF" u="1"/>
        <s v="00KFLFWD" u="1"/>
        <s v="00KFLDRA" u="1"/>
        <s v="00KFLNIP" u="1"/>
        <s v="00KFLNOC" u="1"/>
        <s v="00KFLN81" u="1"/>
        <s v="00KFLN83" u="1"/>
        <s v="00KFLNBU" u="1"/>
        <s v="00KFLNNJ" u="1"/>
        <s v="00KFLNP3" u="1"/>
        <s v="00KFPC92" u="1"/>
        <s v="00KFPC86" u="1"/>
        <s v="00KFPBY5" u="1"/>
        <s v="00KFPBX5" u="1"/>
        <s v="00KFPBVJ" u="1"/>
        <s v="00KFPBUU" u="1"/>
        <s v="00KFPBS7" u="1"/>
        <s v="00KFPBOI" u="1"/>
        <s v="00KFPBLF" u="1"/>
        <s v="00KFPBFA" u="1"/>
        <s v="00KFPBES" u="1"/>
        <s v="00KFPBCO" u="1"/>
        <s v="00KFPB9H" u="1"/>
        <s v="00KFP6ZM" u="1"/>
        <s v="00KFP6YI" u="1"/>
        <s v="00KFP6VL" u="1"/>
        <s v="00KFP6U2" u="1"/>
        <s v="00KFP6S1" u="1"/>
        <s v="00KFP5QS" u="1"/>
        <s v="00KFPCAE" u="1"/>
        <s v="00KFPCIR" u="1"/>
        <s v="00KFPD3T" u="1"/>
        <s v="00KFPGUU" u="1"/>
        <s v="00KFPGVD" u="1"/>
        <s v="00KFPGWQ" u="1"/>
        <s v="00KFPQV2" u="1"/>
        <s v="00KFPQVK" u="1"/>
        <s v="00KFPWF5" u="1"/>
        <s v="00KFQRY6" u="1"/>
        <s v="00KFQS91" u="1"/>
        <s v="00KFQWWF" u="1"/>
        <s v="00KFLQI0" u="1"/>
        <s v="00KFPG8E" u="1"/>
        <s v="00KFPKST" u="1"/>
        <s v="00KFPFHV" u="1"/>
        <s v="00KFPGDS" u="1"/>
        <s v="00KFLPF9" u="1"/>
        <s v="00KFPG6V" u="1"/>
        <s v="00KFLNJS" u="1"/>
        <s v="00KFLOSV" u="1"/>
        <s v="00KFLOTE" u="1"/>
        <s v="00KFLOVF" u="1"/>
        <s v="00KFLOX8" u="1"/>
        <s v="00KFLOY3" u="1"/>
        <s v="00KFLOYQ" u="1"/>
        <s v="00KFLP09" u="1"/>
        <s v="00KFLP2D" u="1"/>
        <s v="00KFLPCD" u="1"/>
        <s v="00KFLPD9" u="1"/>
        <s v="00KFLPE1" u="1"/>
        <s v="00KFLR99" u="1"/>
        <s v="00KFLREB" u="1"/>
        <s v="00KFLRMA" u="1"/>
        <s v="00KFLRSA" u="1"/>
        <s v="00KFOGTK" u="1"/>
        <s v="00KFOGVG" u="1"/>
        <s v="00KFP2EA" u="1"/>
        <s v="00KFP48T" u="1"/>
        <s v="00KFP4CG" u="1"/>
        <s v="00KFP4ED" u="1"/>
        <s v="00KFLNIZ" u="1"/>
        <s v="00KFP2SJ" u="1"/>
        <s v="00KFPEDB" u="1"/>
        <s v="00KFP6UF" u="1"/>
        <s v="00KFP6RR" u="1"/>
        <s v="00KFP46I" u="1"/>
        <s v="00KFP41M" u="1"/>
        <s v="00KFLRQV" u="1"/>
        <s v="00KFOMYH" u="1"/>
        <s v="00KFLPBM" u="1"/>
        <s v="00KFQW77" u="1"/>
        <s v="00KFP64I" u="1"/>
        <s v="00KFP64J" u="1"/>
        <s v="00KFLN9C" u="1"/>
        <s v="00KFLNA8" u="1"/>
        <s v="00KFLNBF" u="1"/>
        <s v="00KFPD45" u="1"/>
        <s v="00KFVDDR" u="1"/>
        <s v="00KFVD6C" u="1"/>
        <s v="00KFVDED" u="1"/>
        <s v="00KFVDVR" u="1"/>
        <s v="00KFVD4T" u="1"/>
        <s v="00KFVCU0" u="1"/>
        <s v="00KFVCTE" u="1"/>
        <s v="00KFR5NJ" u="1"/>
        <s v="00KFVDWN" u="1"/>
        <s v="00KFVGJY" u="1"/>
        <s v="00KFVGKS" u="1"/>
        <s v="00KFVGMD" u="1"/>
        <s v="00KFVH0E" u="1"/>
        <s v="00KFVH18" u="1"/>
        <s v="00KFX5YX" u="1"/>
        <s v="00KFXV3Y" u="1"/>
        <s v="00KFXWQ6" u="1"/>
        <s v="00KFR1SJ" u="1"/>
        <s v="00KFR1S6" u="1"/>
        <s v="00KFR1R3" u="1"/>
        <s v="00KFR1PQ" u="1"/>
        <s v="00KFR1PP" u="1"/>
        <s v="00KFR16O" u="1"/>
        <s v="00KFR16M" u="1"/>
        <s v="00KFR10L" u="1"/>
        <s v="00KFR0W4" u="1"/>
        <s v="00KFR0VV" u="1"/>
        <s v="00KFR0TA" u="1"/>
        <s v="00KFQZVY" u="1"/>
        <s v="00KFQWCZ" u="1"/>
        <s v="00KFQWBM" u="1"/>
        <s v="00KFXV9N" u="1"/>
        <s v="00KFXV4W" u="1"/>
        <s v="00KG2FN3" u="1"/>
        <s v="00KG3GIC" u="1"/>
        <s v="00KG3GUR" u="1"/>
        <s v="00KG3HSF" u="1"/>
        <s v="00KG3HUO" u="1"/>
        <s v="00KG3YO7" u="1"/>
        <s v="00KG41FJ" u="1"/>
        <s v="00KG46NG" u="1"/>
        <s v="00KG46R9" u="1"/>
        <s v="00KG46TS" u="1"/>
        <s v="00KG4DBQ" u="1"/>
        <s v="00KG4IX6" u="1"/>
        <s v="00KG4KIX" u="1"/>
        <s v="00KG4KM7" u="1"/>
        <s v="00KG4YIN" u="1"/>
        <s v="00KFY715" u="1"/>
        <s v="00KG46DH" u="1"/>
        <s v="00KG46KH" u="1"/>
        <s v="00KG48K9" u="1"/>
        <s v="00KG4IX5" u="1"/>
        <s v="00KG4IXQ" u="1"/>
        <s v="00KG4IYK" u="1"/>
        <s v="00KFQS79" u="1"/>
        <s v="00KFR0RU" u="1"/>
        <s v="00KG3R2Y" u="1"/>
        <s v="00KG3R73" u="1"/>
        <s v="00KG3R99" u="1"/>
        <s v="00KG3ZUD" u="1"/>
        <s v="00KG4391" u="1"/>
        <s v="00KG43EK" u="1"/>
        <s v="00KG46QP" u="1"/>
        <s v="00KG46SO" u="1"/>
        <s v="00KG4DH8" u="1"/>
        <s v="00KG4DM0" u="1"/>
        <s v="00KG4DTP" u="1"/>
        <s v="00KG4EAM" u="1"/>
        <s v="00KG4EAT" u="1"/>
        <s v="00KG4EES" u="1"/>
        <s v="00KG4EGM" u="1"/>
        <s v="00KG4ERJ" u="1"/>
        <s v="00KG4EU9" u="1"/>
        <s v="00KG4EV4" u="1"/>
        <s v="00KG4EVJ" u="1"/>
        <s v="00KG4H2R" u="1"/>
        <s v="00KG4H3Q" u="1"/>
        <s v="00KG4IUT" u="1"/>
        <s v="00KG4YJL" u="1"/>
        <s v="00KG4YKC" u="1"/>
        <s v="00KFY2V5" u="1"/>
        <s v="00KG1ZLL" u="1"/>
        <s v="00KFY19E" u="1"/>
        <s v="00KFY19V" u="1"/>
        <s v="00KFY222" u="1"/>
        <s v="00KFY22I" u="1"/>
        <s v="00KFY2CQ" u="1"/>
        <s v="00KFY2US" u="1"/>
        <s v="00KFY2V1" u="1"/>
        <s v="00KFXXO3" u="1"/>
        <s v="00KFXYOV" u="1"/>
        <s v="00KFXYSS" u="1"/>
        <s v="00KFXYSU" u="1"/>
        <s v="00KFXYSZ" u="1"/>
        <s v="00KFXYT8" u="1"/>
        <s v="00KFXYTV" u="1"/>
        <s v="00KFXZMD" u="1"/>
        <s v="00KFY17G" u="1"/>
        <s v="00KFY189" u="1"/>
        <s v="00KFY18J" u="1"/>
        <s v="00KG2BIS" u="1"/>
        <s v="00KG2BK7" u="1"/>
        <s v="00KG2GFF" u="1"/>
        <s v="00KG2GIM" u="1"/>
        <s v="00KG3BWH" u="1"/>
        <s v="00KG3G73" u="1"/>
        <s v="00KG4JID" u="1"/>
        <s v="00KFXXEY" u="1"/>
        <s v="00KFXY1I" u="1"/>
        <s v="00KFXYBH" u="1"/>
        <s v="00KFXYDM" u="1"/>
        <s v="00KFXYGK" u="1"/>
        <s v="00KFXYHV" u="1"/>
        <s v="00KFXYJG" u="1"/>
        <s v="00KFXYJK" u="1"/>
        <s v="00KFXYON" u="1"/>
        <s v="00KFXYRW" u="1"/>
        <s v="00KFXZM9" u="1"/>
        <s v="00KFXZNA" u="1"/>
        <s v="00KFY16T" u="1"/>
        <s v="00KFY24S" u="1"/>
        <s v="00KFY24Y" u="1"/>
        <s v="00KFY29T" u="1"/>
        <s v="00KFY2A5" u="1"/>
        <s v="00KFY2BF" u="1"/>
        <s v="00KFY2CR" u="1"/>
        <s v="00KFY3BC" u="1"/>
        <s v="00KG1SXR" u="1"/>
        <s v="00KG1VOH" u="1"/>
        <s v="00KG46MP" u="1"/>
        <s v="00KG3L5M" u="1"/>
        <s v="00KG3L6N" u="1"/>
        <s v="00KG4L02" u="1"/>
        <s v="00KFY26E" u="1"/>
        <s v="00KFY28K" u="1"/>
        <s v="00KFXW3S" u="1"/>
        <s v="00KFXWQ7" u="1"/>
        <s v="00KG3I1H" u="1"/>
        <s v="00KG3IBB" u="1"/>
        <s v="00KG3IER" u="1"/>
        <s v="00KG3IES" u="1"/>
        <s v="00KG3KZ7" u="1"/>
        <s v="00KG3L1N" u="1"/>
        <s v="00KG3L3B" u="1"/>
        <s v="00KG3L55" u="1"/>
        <s v="00KG3L6B" u="1"/>
        <s v="00KG3N2G" u="1"/>
        <s v="00KG3QHQ" u="1"/>
        <s v="00KG3QIF" u="1"/>
        <s v="00KG3QJW" u="1"/>
        <s v="00KG3QMX" u="1"/>
        <s v="00KG3QU3" u="1"/>
        <s v="00KG3QYJ" u="1"/>
        <s v="00KG3SBC" u="1"/>
        <s v="00KG1VS2" u="1"/>
        <s v="00KG1Z8X" u="1"/>
        <s v="00KG1ZCT" u="1"/>
        <s v="00KG25P8" u="1"/>
        <s v="00KG2FL0" u="1"/>
        <s v="00KG2FM5" u="1"/>
        <s v="00KG2FP1" u="1"/>
        <s v="00KG2FUR" u="1"/>
        <s v="00KG2GEE" u="1"/>
        <s v="00KG2GFB" u="1"/>
        <s v="00KG2GGE" u="1"/>
        <s v="00KG2GJ3" u="1"/>
        <s v="00KG2GKN" u="1"/>
        <s v="00KG2GLG" u="1"/>
        <s v="00KG2GM8" u="1"/>
        <s v="00KG2GN0" u="1"/>
        <s v="00KG3C5E" u="1"/>
        <s v="00KG3HTH" u="1"/>
        <s v="00KG4EOE" u="1"/>
        <s v="00KG4ENO" u="1"/>
        <s v="00KG4EJM" u="1"/>
        <s v="00KG4ECO" u="1"/>
        <s v="00KGEQ4Q" u="1"/>
        <s v="00KGEI5J" u="1"/>
        <s v="00KGFKXS" u="1"/>
        <s v="00KGGKKL" u="1"/>
        <s v="00KGGT50" u="1"/>
        <s v="00KGEGUR" u="1"/>
        <s v="00KGECKS" u="1"/>
        <s v="00KGASKY" u="1"/>
        <s v="00KGASKD" u="1"/>
        <s v="00KGARXE" u="1"/>
        <s v="00KGGTRY" u="1"/>
        <s v="00KG50IX" u="1"/>
        <s v="00KG50QQ" u="1"/>
        <s v="00KG55CG" u="1"/>
        <s v="00KG5DOL" u="1"/>
        <s v="00KG5I1F" u="1"/>
        <s v="00KG5I24" u="1"/>
        <s v="00KGA37I" u="1"/>
        <s v="00KGEQ7R" u="1"/>
        <s v="00KG5I7W" u="1"/>
        <s v="00KGEI69" u="1"/>
        <s v="00KGEH4D" u="1"/>
        <s v="00KGEGFN" u="1"/>
        <s v="00KGAXWM" u="1"/>
        <s v="00KGAWWH" u="1"/>
        <s v="00KGAWIK" u="1"/>
        <s v="00KGAW88" u="1"/>
        <s v="00KGARWG" u="1"/>
        <s v="00KGAKS1" u="1"/>
        <s v="00KGA82G" u="1"/>
        <s v="00KGA374" u="1"/>
        <s v="00KGA32L" u="1"/>
        <s v="00KG9U2V" u="1"/>
        <s v="00KG5I7H" u="1"/>
        <s v="00KG5HR6" u="1"/>
        <s v="00KG5HNK" u="1"/>
        <s v="00KG5HHA" u="1"/>
        <s v="00KGEI6Y" u="1"/>
        <s v="00KGGTPZ" u="1"/>
        <s v="00KGGYLQ" u="1"/>
        <s v="00KG5GIQ" u="1"/>
        <s v="00KG5GQ0" u="1"/>
        <s v="00KG4IZU" u="1"/>
        <s v="00KG55HK" u="1"/>
        <s v="00KG5DRK" u="1"/>
        <s v="00KG5H0R" u="1"/>
        <s v="00KG5HFD" u="1"/>
        <s v="00KGGT2R" u="1"/>
        <s v="00KGEOTI" u="1"/>
        <s v="00KGEOSL" u="1"/>
        <s v="00KG559B" u="1"/>
        <s v="00KGASLT" u="1"/>
        <s v="00KG5HGF" u="1"/>
        <s v="00KG5GSL" u="1"/>
        <s v="00KG5D0C" u="1"/>
        <s v="00KG5CQ5" u="1"/>
        <s v="00KG5CJG" u="1"/>
        <s v="00KG5CEF" u="1"/>
        <s v="00KG5HXM" u="1"/>
        <s v="00KG4L9T" u="1"/>
        <s v="00KG64PS" u="1"/>
        <s v="00KGMCQ8" u="1"/>
        <s v="00KGLOP5" u="1"/>
        <s v="00KGMBDV" u="1"/>
        <s v="00KGMBKQ" u="1"/>
        <s v="00KGMK90" u="1"/>
        <s v="00KGMK9T" u="1"/>
        <s v="00KGMLR9" u="1"/>
        <s v="00KGMN27" u="1"/>
        <s v="00KGMN56" u="1"/>
        <s v="00KGMRNE" u="1"/>
        <s v="00KGMRNZ" u="1"/>
        <s v="00KGMTE7" u="1"/>
        <s v="00KGGL65" u="1"/>
        <s v="00KGGS4H" u="1"/>
        <s v="00KGL7VZ" u="1"/>
        <s v="00KGLHCG" u="1"/>
        <s v="00KGLYDV" u="1"/>
        <s v="00KGMBB1" u="1"/>
        <s v="00KGMBCU" u="1"/>
        <s v="00KGMBFF" u="1"/>
        <s v="00KGMK2K" u="1"/>
        <s v="00KGMN4J" u="1"/>
        <s v="00KGMN5B" u="1"/>
        <s v="00KGMRA4" u="1"/>
        <s v="00KGMRAY" u="1"/>
        <s v="00KGMTF1" u="1"/>
        <s v="00KGMTHG" u="1"/>
        <s v="00KGF1ZD" u="1"/>
        <s v="00KGMAGP" u="1"/>
        <s v="00KGMAHO" u="1"/>
        <s v="00KGMB2B" u="1"/>
        <s v="00KGMCN7" u="1"/>
        <s v="00KGMMBN" u="1"/>
        <s v="00KGMLR8" u="1"/>
        <s v="00KGMXF9" u="1"/>
        <s v="00KGMBUW" u="1"/>
        <s v="00KGM9AC" u="1"/>
        <s v="00KGQXSK" u="1"/>
        <s v="00KGR0ML" u="1"/>
        <s v="00KGR224" u="1"/>
        <s v="00KGR23W" u="1"/>
        <s v="00KGR3Q6" u="1"/>
        <s v="00KGR6EA" u="1"/>
        <s v="00KGQADG" u="1"/>
        <s v="00KGQB4L" u="1"/>
        <s v="00KGQCGP" u="1"/>
        <s v="00KGQFZ2" u="1"/>
        <s v="00KGQYMZ" u="1"/>
        <s v="00KGQYU4" u="1"/>
        <s v="00KGMVW4" u="1"/>
        <s v="00KGMXFW" u="1"/>
        <s v="00KGQB8P" u="1"/>
        <s v="00KGQJF7" u="1"/>
        <s v="00KGQJY4" u="1"/>
        <s v="00KGQK3Z" u="1"/>
        <s v="00KGQK7O" u="1"/>
        <s v="00KGQKT6" u="1"/>
        <s v="00KGQL0I" u="1"/>
        <s v="00KGQOFK" u="1"/>
        <s v="00KGQVGL" u="1"/>
        <s v="00KGQVHW" u="1"/>
        <s v="00KGQVPN" u="1"/>
        <s v="00KGQVRZ" u="1"/>
        <s v="00KGQVTX" u="1"/>
        <s v="00KGQVUY" u="1"/>
        <s v="00KGQVWY" u="1"/>
        <s v="00KGQYLY" u="1"/>
        <s v="00KGQK2G" u="1"/>
        <s v="00KGQK6M" u="1"/>
        <s v="00KGQVR7" u="1"/>
        <s v="00KGQVR2" u="1"/>
        <s v="00KGQVNK" u="1"/>
        <s v="00KGQL16" u="1"/>
        <s v="00KGQK7I" u="1"/>
        <s v="00KGQX99" u="1"/>
        <s v="00KGR9D6" u="1"/>
        <s v="00KGR293" u="1"/>
        <s v="00KGVWTD" u="1"/>
        <s v="00KGVV50" u="1"/>
        <s v="00KGVWYX" u="1"/>
        <s v="00KGW0C9" u="1"/>
        <s v="00KGR9J6" u="1"/>
        <s v="00KGVX6G" u="1"/>
        <s v="00KGVU6N" u="1"/>
        <s v="00KH14TV" u="1"/>
        <s v="00KH0BS2" u="1"/>
        <s v="00KH0BQU" u="1"/>
        <s v="00KH0BK0" u="1"/>
        <s v="00KH164K" u="1"/>
        <s v="00KH14US" u="1"/>
        <s v="00KH1CPT" u="1"/>
        <s v="00KH14WX" u="1"/>
        <s v="00KH13XA" u="1"/>
        <s v="00KGW923" u="1"/>
        <s v="00KGW93X" u="1"/>
        <s v="00KH05Y0" u="1"/>
        <s v="00KH063P" u="1"/>
        <s v="00KH0KFV" u="1"/>
        <s v="00KH0KN8" u="1"/>
        <s v="00KH12XE" u="1"/>
        <s v="00KGW9T6" u="1"/>
        <s v="00KH0BII" u="1"/>
        <s v="00KH0FH3" u="1"/>
        <s v="00KH0FKU" u="1"/>
        <s v="00KH0NUA" u="1"/>
        <s v="00KH0O0U" u="1"/>
        <s v="00KH0O4W" u="1"/>
        <s v="00KH0O5S" u="1"/>
        <s v="00KH0ZI2" u="1"/>
        <s v="00KH100M" u="1"/>
        <s v="00KH16OX" u="1"/>
        <s v="00KH064Y" u="1"/>
        <s v="00KH05T0" u="1"/>
        <s v="00KGZ7OQ" u="1"/>
        <s v="00KHT5L4" u="1"/>
        <s v="00KHT692" u="1"/>
        <s v="00KHT6BB" u="1"/>
        <s v="00KHT6C0" u="1"/>
        <s v="00KHT6FW" u="1"/>
        <s v="00KHT6GM" u="1"/>
        <s v="00KHT79V" u="1"/>
        <s v="00KHT91U" u="1"/>
        <s v="00KHTD0C" u="1"/>
        <s v="00KHTDA6" u="1"/>
        <s v="00KH1DS2" u="1"/>
        <s v="00KH5KLK" u="1"/>
        <s v="00KH69N0" u="1"/>
        <s v="00KHT186" u="1"/>
        <s v="00KH1J3L" u="1"/>
        <s v="00KH1J83" u="1"/>
        <s v="00KH29S6" u="1"/>
        <s v="00KH2AC6" u="1"/>
        <s v="00KH2ACO" u="1"/>
        <s v="00KH2AIN" u="1"/>
        <s v="00KH29RB" u="1"/>
        <s v="00KHSYSD" u="1"/>
        <s v="00KHTHNN" u="1"/>
        <s v="00KH2AJ6" u="1"/>
        <s v="00KH2AKU" u="1"/>
        <s v="00KH5CEQ" u="1"/>
        <s v="00KH5CEZ" u="1"/>
        <s v="00KH5CF9" u="1"/>
        <s v="00KH5CFZ" u="1"/>
        <s v="00KH5CHI" u="1"/>
        <s v="00KH5KMB" u="1"/>
        <s v="00KHYB6O" u="1"/>
        <s v="00KHYB48" u="1"/>
        <s v="00KHYB2T" u="1"/>
        <s v="00KHY9CO" u="1"/>
        <s v="00KHYCI7" u="1"/>
        <s v="00KHYBXR" u="1"/>
        <s v="00KHYCGA" u="1"/>
        <s v="00KHYCHN" u="1"/>
        <s v="00KHYCLK" u="1"/>
        <s v="00KHZ3B0" u="1"/>
        <s v="00KHZ9SZ" u="1"/>
        <s v="00KHZCJ2" u="1"/>
        <s v="00KHYHEP" u="1"/>
        <s v="00KHZB6B" u="1"/>
        <s v="00KHYCGX" u="1"/>
        <s v="00KHYGMJ" u="1"/>
        <s v="00KI6AZ9" u="1"/>
        <s v="00KI6U8S" u="1"/>
        <s v="00KHZHL8" u="1"/>
        <s v="00KHZJHG" u="1"/>
        <s v="00KI69ON" u="1"/>
        <s v="00KHZOPD" u="1"/>
        <s v="00KI6LGB" u="1"/>
        <s v="00KI6LJ9" u="1"/>
        <s v="00KI6LO9" u="1"/>
        <s v="00KI6LOS" u="1"/>
        <s v="00KI6NLU" u="1"/>
        <s v="00KI6SYW" u="1"/>
        <s v="00KI6T72" u="1"/>
        <s v="00KIA8TB" u="1"/>
        <s v="00KIA8TU" u="1"/>
        <s v="00KIAQL9" u="1"/>
        <s v="00KDD0KO" u="1"/>
        <s v="00KIA8ZK" u="1"/>
        <s v="00KIA8ZV" u="1"/>
        <s v="00KIA8F7" u="1"/>
        <s v="00KIAT1W" u="1"/>
        <s v="00KIF1W9" u="1"/>
        <s v="00KIF0L6" u="1"/>
        <s v="00KIF08N" u="1"/>
        <s v="00KIF083" u="1"/>
        <s v="00KIF05E" u="1"/>
        <s v="00KIEXG7" u="1"/>
        <s v="00KIDTTI" u="1"/>
        <s v="00KID7FS" u="1"/>
        <s v="00KICG7T" u="1"/>
        <s v="00KIF6QO" u="1"/>
        <s v="00KIF3DJ" u="1"/>
        <s v="00KIF2I8" u="1"/>
        <s v="00KIEWJM" u="1"/>
        <s v="00KIAZ8T" u="1"/>
        <s v="00KIAS7G" u="1"/>
        <s v="00KIAS74" u="1"/>
        <s v="00KICG4E" u="1"/>
        <s v="00KIJFKM" u="1"/>
        <s v="00KIJIP5" u="1"/>
        <s v="00KIF6RW" u="1"/>
        <s v="00KIF8YC" u="1"/>
        <s v="00KIJIOR" u="1"/>
        <s v="00KIF7WR" u="1"/>
        <s v="00KIF571" u="1"/>
        <s v="00KIIHNT" u="1"/>
        <s v="00KIIHNU" u="1"/>
        <s v="00KIIRFV" u="1"/>
        <s v="00KIPYR1" u="1"/>
        <s v="00KIJQUG" u="1"/>
        <s v="00KIJQY1" u="1"/>
        <s v="00KIKB9I" u="1"/>
        <s v="00KIKBA4" u="1"/>
        <s v="00KIKBBO" u="1"/>
        <s v="00KIKBCR" u="1"/>
        <s v="00KIM7SK" u="1"/>
        <s v="00KIM8AY" u="1"/>
        <s v="00KIPIPM" u="1"/>
        <s v="00KIKCT4" u="1"/>
        <s v="00KIKD11" u="1"/>
        <s v="00KIKD2C" u="1"/>
        <s v="00KIM7RD" u="1"/>
        <s v="00KIM8AN" u="1"/>
        <s v="00KIM8BJ" u="1"/>
        <s v="00KIMAJI" u="1"/>
        <s v="00KIPRF8" u="1"/>
        <s v="00KIPUHY" u="1"/>
        <s v="00KIPWXA" u="1"/>
        <s v="00KIKBD2" u="1"/>
        <s v="00KIMAIK" u="1"/>
        <s v="00KIMAKC" u="1"/>
        <s v="00KIPR0Z" u="1"/>
        <s v="00KIPR17" u="1"/>
        <s v="00KIPR96" u="1"/>
        <s v="00KIPWWC" u="1"/>
        <s v="00KIPR9U" u="1"/>
        <s v="00KIPYS9" u="1"/>
        <s v="00KIPYSD" u="1"/>
        <s v="00KIPZMX" u="1"/>
        <s v="00KIM75Z" u="1"/>
        <s v="00KIM7QV" u="1"/>
        <s v="00KIS0IQ" u="1"/>
        <s v="00KIS2DZ" u="1"/>
        <s v="00KIPV2X" u="1"/>
        <s v="00KIPV3G" u="1"/>
        <s v="00KIQ1FO" u="1"/>
        <s v="00KIQJF4" u="1"/>
        <s v="00KIRTV7" u="1"/>
        <s v="00KIRXWF" u="1"/>
        <s v="00KIPYQ8" u="1"/>
        <s v="00KIQ12H" u="1"/>
        <s v="00KIQ37A" u="1"/>
        <s v="00KIQ3ST" u="1"/>
        <s v="00KIQ3V0" u="1"/>
        <s v="00KIRTUS" u="1"/>
        <s v="00KIRXST" u="1"/>
        <s v="00KIRZAX" u="1"/>
        <s v="00KIQ375" u="1"/>
        <s v="00KIQ382" u="1"/>
        <s v="00KIRVMP" u="1"/>
        <s v="00KIRZAI" u="1"/>
        <s v="00KIQ3U8" u="1"/>
        <s v="00KIRTHM" u="1"/>
        <s v="00KIRYE8" u="1"/>
        <s v="00KIQ3FV" u="1"/>
        <s v="00KATC79" u="1"/>
        <s v="00KATF6O" u="1"/>
        <s v="00KATFBT" u="1"/>
        <s v="00KAU7D6" u="1"/>
        <s v="00KAUCQ5" u="1"/>
        <s v="00KAUD8E" u="1"/>
        <s v="00KANQTT" u="1"/>
        <s v="00KANR1C" u="1"/>
        <s v="00KANR1N" u="1"/>
        <s v="00KANLVK" u="1"/>
        <s v="00KANND6" u="1"/>
        <s v="00KANRKT" u="1"/>
        <s v="00KANRQU" u="1"/>
        <s v="00KATC6D" u="1"/>
        <s v="00KANNDV" u="1"/>
        <s v="00KANQSK" u="1"/>
        <s v="00KANR1L" u="1"/>
        <s v="00KANR2Q" u="1"/>
        <s v="00KANR2Z" u="1"/>
        <s v="00KANRTL" u="1"/>
        <s v="00KAT9WK" u="1"/>
        <s v="00KATC4G" u="1"/>
        <s v="00KANLFQ" u="1"/>
        <s v="00KAU8Z8" u="1"/>
        <s v="00KAU9FL" u="1"/>
        <s v="00KAYCT3" u="1"/>
        <s v="00KAZ5A4" u="1"/>
        <s v="00KAUWNZ" u="1"/>
        <s v="00KAUWJV" u="1"/>
        <s v="00KAUPWA" u="1"/>
        <s v="00KAUSFZ" u="1"/>
        <s v="00KAUT33" u="1"/>
        <s v="00KAUV7O" u="1"/>
        <s v="00KAUVNO" u="1"/>
        <s v="00KAUV8K" u="1"/>
        <s v="00KAYZV1" u="1"/>
        <s v="00KAYZW6" u="1"/>
        <s v="00KAYZYU" u="1"/>
        <s v="00KAZ1L0" u="1"/>
        <s v="00KAZ5SA" u="1"/>
        <s v="ZWLIQ7D0" u="1"/>
        <s v="ZWLIQRTR" u="1"/>
        <s v="00KAUV2V" u="1"/>
        <s v="00KAYZD4" u="1"/>
        <s v="00KAYZHQ" u="1"/>
        <s v="00KAURH6" u="1"/>
        <s v="00KAUSMK" u="1"/>
        <s v="00KAUT4W" u="1"/>
        <s v="00KAUV0N" u="1"/>
        <s v="00KAUV1P" u="1"/>
        <s v="00KAYZ89" u="1"/>
        <s v="00KAURCQ" u="1"/>
        <s v="00KAUWGW" u="1"/>
        <s v="00KAUV0D" u="1"/>
        <s v="00KAKNEY" u="1"/>
        <s v="00KAUG2O" u="1"/>
        <s v="00KAYQ2A" u="1"/>
        <s v="00KAYVKC" u="1"/>
        <s v="00KAUSL1" u="1"/>
        <s v="00KB3NF8" u="1"/>
        <s v="00KB3NHQ" u="1"/>
        <s v="00KB3MRQ" u="1"/>
        <s v="00KAZFLH" u="1"/>
        <s v="00KB3DRQ" u="1"/>
        <s v="00KB3LUM" u="1"/>
        <s v="00KAZ90Z" u="1"/>
        <s v="00KB87V4" u="1"/>
        <s v="00KB87UM" u="1"/>
        <s v="00KB87KA" u="1"/>
        <s v="00KB865G" u="1"/>
        <s v="00KB864C" u="1"/>
        <s v="00KB84TB" u="1"/>
        <s v="00KB84S5" u="1"/>
        <s v="00KB3ZN0" u="1"/>
        <s v="00KB3ZMJ" u="1"/>
        <s v="00KB3PVY" u="1"/>
        <s v="00KB3PJB" u="1"/>
        <s v="00KB3PIG" u="1"/>
        <s v="00KB3PGT" u="1"/>
        <s v="00KB3O61" u="1"/>
        <s v="00KB3NL3" u="1"/>
        <s v="00KB3MXO" u="1"/>
        <s v="00KB3KOD" u="1"/>
        <s v="00KB8LZN" u="1"/>
        <s v="00KB8A1Z" u="1"/>
        <s v="00KB3M41" u="1"/>
        <s v="00KB3QHQ" u="1"/>
        <s v="00KB3X46" u="1"/>
        <s v="00KB3XFK" u="1"/>
        <s v="00KB3TAX" u="1"/>
        <s v="00KB3UPE" u="1"/>
        <s v="00KB3UQ9" u="1"/>
        <s v="00KB3VJR" u="1"/>
        <s v="00KB3WZZ" u="1"/>
        <s v="00KB3VLF" u="1"/>
        <s v="00KB3VMU" u="1"/>
        <s v="00KB3VOV" u="1"/>
        <s v="00KB3WHE" u="1"/>
        <s v="00KB3VO2" u="1"/>
        <s v="00KB6ZL2" u="1"/>
        <s v="00KB8NMC" u="1"/>
        <s v="00KB3SH8" u="1"/>
        <s v="00KB3XD6" u="1"/>
        <s v="00KB8LN3" u="1"/>
        <s v="00KB8TUL" u="1"/>
        <s v="00KB8U1I" u="1"/>
        <s v="00KB8UQ4" u="1"/>
        <s v="00KBBZ8I" u="1"/>
        <s v="00KBC2RH" u="1"/>
        <s v="00KBC2UV" u="1"/>
        <s v="00KBC2VF" u="1"/>
        <s v="00KBC2XG" u="1"/>
        <s v="00KBC2XS" u="1"/>
        <s v="00KBC34T" u="1"/>
        <s v="00KBC6JH" u="1"/>
        <s v="00KB8P21" u="1"/>
        <s v="00KB8R4J" u="1"/>
        <s v="00KB8R5B" u="1"/>
        <s v="00K9RJUZ" u="1"/>
        <s v="00KB8UP2" u="1"/>
        <s v="00KBC2QF" u="1"/>
        <s v="00KBC5SZ" u="1"/>
        <s v="00KB8R51" u="1"/>
        <s v="00KBITAW" u="1"/>
        <s v="00KBCC37" u="1"/>
        <s v="00KBCBYD" u="1"/>
        <s v="00KBC8D1" u="1"/>
        <s v="00KBITCK" u="1"/>
        <s v="00KBITNB" u="1"/>
        <s v="00KBIY0F" u="1"/>
        <s v="00KBIY67" u="1"/>
        <s v="00KBC7OB" u="1"/>
        <s v="00KBC7YU" u="1"/>
        <s v="00KBC88R" u="1"/>
        <s v="00KBC8A4" u="1"/>
        <s v="00KAKFP4" u="1"/>
        <s v="00KBC835" u="1"/>
        <s v="00KBC88L" u="1"/>
        <s v="00KBC84I" u="1"/>
        <s v="00KBC9JE" u="1"/>
        <s v="00KBISST" u="1"/>
        <s v="00KBC8GW" u="1"/>
        <s v="00KBITD0" u="1"/>
        <s v="00KBITE0" u="1"/>
        <s v="00KBJ4J2" u="1"/>
        <s v="00KBJ512" u="1"/>
        <s v="00KBJ51X" u="1"/>
        <s v="00KBJ5JJ" u="1"/>
        <s v="00KBJJRJ" u="1"/>
        <s v="00KBZA23" u="1"/>
        <s v="00KBJJSC" u="1"/>
        <s v="00KBJJSD" u="1"/>
        <s v="00KBZ7QV" u="1"/>
        <s v="00KC1LJE" u="1"/>
        <s v="00KC1LH8" u="1"/>
        <s v="00KC1LGM" u="1"/>
        <s v="00KC1L8U" u="1"/>
        <s v="00KC1KNW" u="1"/>
        <s v="00KC1KNF" u="1"/>
        <s v="00KC1KEN" u="1"/>
        <s v="00KC1K9B" u="1"/>
        <s v="00KC612D" u="1"/>
        <s v="00KC611G" u="1"/>
        <s v="00KC6111" u="1"/>
        <s v="00KC60WS" u="1"/>
        <s v="00KC60HR" u="1"/>
        <s v="00KC5Y4Y" u="1"/>
        <s v="00KC5XB6" u="1"/>
        <s v="00KC5WIO" u="1"/>
        <s v="00KC53TA" u="1"/>
        <s v="00KC40EQ" u="1"/>
        <s v="00KC3JDK" u="1"/>
        <s v="00KC1SYK" u="1"/>
        <s v="00KC1SOM" u="1"/>
        <s v="00KC1SO7" u="1"/>
        <s v="00KC1SL6" u="1"/>
        <s v="00KC1QCF" u="1"/>
        <s v="00KC1LK3" u="1"/>
        <s v="00KC1MNU" u="1"/>
        <s v="00KC1MR4" u="1"/>
        <s v="00KC1LKD" u="1"/>
        <s v="00KC1L8R" u="1"/>
        <s v="00KC1KAG" u="1"/>
        <s v="00KC1MR2" u="1"/>
        <s v="00KC1MPS" u="1"/>
        <s v="00KC1MP2" u="1"/>
        <s v="00KC58YN" u="1"/>
        <s v="00KC1N5S" u="1"/>
        <s v="00KC1N6R" u="1"/>
        <s v="00KC1N86" u="1"/>
        <s v="00KC1NA0" u="1"/>
        <s v="00KC1NBD" u="1"/>
        <s v="00KC6H20" u="1"/>
        <s v="00KC5ZAG" u="1"/>
        <s v="00KC1OI3" u="1"/>
        <s v="00KC1NEI" u="1"/>
        <s v="00KC1NEZ" u="1"/>
        <s v="00KC1NFG" u="1"/>
        <s v="00KCBI3N" u="1"/>
        <s v="00KCBI4G" u="1"/>
        <s v="00KCBI4V" u="1"/>
        <s v="00KCBI5K" u="1"/>
        <s v="00KCBI6G" u="1"/>
        <s v="00KCBI71" u="1"/>
        <s v="00KCBIA1" u="1"/>
        <s v="00KCBMWE" u="1"/>
        <s v="00KCBMZE" u="1"/>
        <s v="00KCBN04" u="1"/>
        <s v="00KCBN5O" u="1"/>
        <s v="00KCBNCZ" u="1"/>
        <s v="00KCBHNS" u="1"/>
        <s v="00KCBI2R" u="1"/>
        <s v="00KCBHVO" u="1"/>
        <s v="00KCBHLW" u="1"/>
        <s v="00KCBHLC" u="1"/>
        <s v="00KCBMYW" u="1"/>
        <s v="00KCBMUN" u="1"/>
        <s v="00KCBMD4" u="1"/>
        <s v="00KCBIAQ" u="1"/>
        <s v="00KCBI9D" u="1"/>
        <s v="00KCBI1A" u="1"/>
        <s v="00KCBHMW" u="1"/>
        <s v="00KC79UG" u="1"/>
        <s v="00KC6FWK" u="1"/>
        <s v="00KCBQX3" u="1"/>
        <s v="00KCBN6S" u="1"/>
        <s v="00KCBMJI" u="1"/>
        <s v="00KCBMJO" u="1"/>
        <s v="00KC6RNX" u="1"/>
        <s v="00KC6U0V" u="1"/>
        <s v="00KCBI23" u="1"/>
        <s v="00KCBHKI" u="1"/>
        <s v="00KCBQPR" u="1"/>
        <s v="00KCBNBX" u="1"/>
        <s v="00KCBNAC" u="1"/>
        <s v="00KCBMEC" u="1"/>
        <s v="00KC79T3" u="1"/>
        <s v="00KC79S7" u="1"/>
        <s v="00KCBQOP" u="1"/>
        <s v="00KCBNEF" u="1"/>
        <s v="00KCBN8Z" u="1"/>
        <s v="00KCBN71" u="1"/>
        <s v="00KCBN6L" u="1"/>
        <s v="00KCBIG0" u="1"/>
        <s v="00KCBI0Q" u="1"/>
        <s v="00KC79SM" u="1"/>
        <s v="00KC6GN5" u="1"/>
        <s v="00KCLHYS" u="1"/>
        <s v="00KCBQNK" u="1"/>
        <s v="00KCBR5W" u="1"/>
        <s v="00KCBRYP" u="1"/>
        <s v="00KCL2IZ" u="1"/>
        <s v="00KCL30O" u="1"/>
        <s v="00KCLGFU" u="1"/>
        <s v="00KCLGKJ" u="1"/>
        <s v="00KCLHFL" u="1"/>
        <s v="00KCBQQ8" u="1"/>
        <s v="00KCBQTD" u="1"/>
        <s v="00KCBRZ2" u="1"/>
        <s v="00KCLHX4" u="1"/>
        <s v="00KCLHQU" u="1"/>
        <s v="00KCLHKC" u="1"/>
        <s v="00KCLHIX" u="1"/>
        <s v="00KCLH5N" u="1"/>
        <s v="00KCLGI7" u="1"/>
        <s v="00KCLF8X" u="1"/>
        <s v="00KCLF89" u="1"/>
        <s v="00KCL8GT" u="1"/>
        <s v="00KCL8FY" u="1"/>
        <s v="00KCCG5S" u="1"/>
        <s v="00KCKTA7" u="1"/>
        <s v="00KCKT6Y" u="1"/>
        <s v="00KCKQFP" u="1"/>
        <s v="00KCKPM5" u="1"/>
        <s v="00KCKP1A" u="1"/>
        <s v="00KCKM3E" u="1"/>
        <s v="00KCCCSY" u="1"/>
        <s v="00KCBQVO" u="1"/>
        <s v="00KCCCWM" u="1"/>
        <s v="00KCBRZF" u="1"/>
        <s v="00KCLGLO" u="1"/>
        <s v="00KCCCL3" u="1"/>
        <s v="00KCL971" u="1"/>
        <s v="00KCL99B" u="1"/>
        <s v="00KCKLA3" u="1"/>
        <s v="00KCKLZO" u="1"/>
        <s v="00KCKVNG" u="1"/>
        <s v="00KCLJZX" u="1"/>
        <s v="00KCLK98" u="1"/>
        <s v="00KCLKAP" u="1"/>
        <s v="00KCQD82" u="1"/>
        <s v="00KCQB04" u="1"/>
        <s v="00KCPXQU" u="1"/>
        <s v="00KCPW62" u="1"/>
        <s v="00KCMO8Y" u="1"/>
        <s v="00KCQHM4" u="1"/>
        <s v="00KCQDHE" u="1"/>
        <s v="00KCQBW1" u="1"/>
        <s v="00KCQ223" u="1"/>
        <s v="00KCQ1YV" u="1"/>
        <s v="00KCQ1WY" u="1"/>
        <s v="00KCPY92" u="1"/>
        <s v="00KCMDH0" u="1"/>
        <s v="00KCMO6R" u="1"/>
        <s v="00KCMO8M" u="1"/>
        <s v="00KCMOLU" u="1"/>
        <s v="00KCMP6L" u="1"/>
        <s v="00KCPY85" u="1"/>
        <s v="00KCOCCA" u="1"/>
        <s v="00KCPUOI" u="1"/>
        <s v="00KCMO1S" u="1"/>
        <s v="00KCMDAT" u="1"/>
        <s v="00KCME8V" u="1"/>
        <s v="00KCV4EM" u="1"/>
        <s v="00KCV643" u="1"/>
        <s v="00KCV6E9" u="1"/>
        <s v="00KCV6F2" u="1"/>
        <s v="00KCV6G4" u="1"/>
        <s v="00KCV70M" u="1"/>
        <s v="00KCUT8Y" u="1"/>
        <s v="00KCQI3D" u="1"/>
        <s v="00KCUKYJ" u="1"/>
        <s v="00KCUQKL" u="1"/>
        <s v="00KCQHRK" u="1"/>
        <s v="00KCUKQF" u="1"/>
        <s v="00KCUJZD" u="1"/>
        <s v="00KCUK74" u="1"/>
        <s v="00KD7MBI" u="1"/>
        <s v="00KD7O0X" u="1"/>
        <s v="00KD7O7C" u="1"/>
        <s v="00KCVDGE" u="1"/>
        <s v="00KD7LRQ" u="1"/>
        <s v="00KD7MHM" u="1"/>
        <s v="00KD7O74" u="1"/>
        <s v="00KD7NW7" u="1"/>
        <s v="00KD9VM2" u="1"/>
        <s v="00KD9VLT" u="1"/>
        <s v="00KD7OSS" u="1"/>
        <s v="00KD7OL5" u="1"/>
        <s v="00KDI24Z" u="1"/>
        <s v="00KDHZCU" u="1"/>
        <s v="00KDD0TC" u="1"/>
        <s v="00KDD0SS" u="1"/>
        <s v="00KDCZGJ" u="1"/>
        <s v="00KDCWKM" u="1"/>
        <s v="00KDCUQG" u="1"/>
        <s v="00KDCUPM" u="1"/>
        <s v="00KDJSLS" u="1"/>
        <s v="00KDJBI7" u="1"/>
        <s v="00KDJAN0" u="1"/>
        <s v="00KDJ9MD" u="1"/>
        <s v="00KDIDMW" u="1"/>
        <s v="00KDI2DF" u="1"/>
        <s v="00KDJY85" u="1"/>
        <s v="00KDJPUR" u="1"/>
        <s v="00KDJQ9Q" u="1"/>
        <s v="00KDJQAI" u="1"/>
        <s v="00KDJS23" u="1"/>
        <s v="00KDJSNF" u="1"/>
        <s v="00KDJUOQ" u="1"/>
        <s v="00KDJUX0" u="1"/>
        <s v="00KDJX6B" u="1"/>
        <s v="00KDI25U" u="1"/>
        <s v="00KDCUAM" u="1"/>
        <s v="00KDCUBR" u="1"/>
        <s v="00KDCUEI" u="1"/>
        <s v="00KDD0RF" u="1"/>
        <s v="00KDI0SF" u="1"/>
        <s v="00KDI0TC" u="1"/>
        <s v="00KDCU9K" u="1"/>
        <s v="00KDCZGZ" u="1"/>
        <s v="00KDCUA1" u="1"/>
        <s v="00KDCT4G" u="1"/>
        <s v="00KDJOWE" u="1"/>
        <s v="00KDJB7W" u="1"/>
        <s v="00KDJ6BW" u="1"/>
        <s v="00KDJ64N" u="1"/>
        <s v="00KDI2KW" u="1"/>
        <s v="00KDCUDQ" u="1"/>
        <s v="00KDCUBB" u="1"/>
        <s v="00KDJZL0" u="1"/>
        <s v="00KDJZWU" u="1"/>
        <s v="00KDJZXH" u="1"/>
        <s v="00KDK02Q" u="1"/>
        <s v="00KDK0K9" u="1"/>
        <s v="00KDK0OH" u="1"/>
        <s v="00KDK0PP" u="1"/>
        <s v="00KDK0QI" u="1"/>
        <s v="00KDKDJ6" u="1"/>
        <s v="00KDKH98" u="1"/>
        <s v="00KDKHDJ" u="1"/>
        <s v="00KDKHJ4" u="1"/>
        <s v="00KDKHN1" u="1"/>
        <s v="00KDKHQ6" u="1"/>
        <s v="00KDLYH1" u="1"/>
        <s v="00KDLLMT" u="1"/>
        <s v="00KDLLAS" u="1"/>
        <s v="00KDLITP" u="1"/>
        <s v="00KDKI4X" u="1"/>
        <s v="00KDLIS2" u="1"/>
        <s v="00KDJZ9Z" u="1"/>
        <s v="00KDJYXL" u="1"/>
        <s v="00KDOIEN" u="1"/>
        <s v="00KDOICI" u="1"/>
        <s v="00KDOGJJ" u="1"/>
        <s v="00KDOGIP" u="1"/>
        <s v="00KDMV5Q" u="1"/>
        <s v="00KDM2HC" u="1"/>
        <s v="00KDM2G2" u="1"/>
        <s v="00KDLZ6D" u="1"/>
        <s v="00KDKCZX" u="1"/>
        <s v="00KDP2KQ" u="1"/>
        <s v="00KDP11X" u="1"/>
        <s v="00KDP085" u="1"/>
        <s v="00KDP01U" u="1"/>
        <s v="00KDOYKF" u="1"/>
        <s v="00KDOYAA" u="1"/>
        <s v="00KDOY9U" u="1"/>
        <s v="00KDOY9J" u="1"/>
        <s v="00KDOWRO" u="1"/>
        <s v="00KDOIGS" u="1"/>
        <s v="00KDLLGR" u="1"/>
        <s v="00KDLL9H" u="1"/>
        <s v="00KDLYHS" u="1"/>
        <s v="00KDKHN3" u="1"/>
        <s v="00KDOHFP" u="1"/>
        <s v="00KDMP1J" u="1"/>
        <s v="00KDLYC5" u="1"/>
        <s v="00KDOHCD" u="1"/>
        <s v="00KDO4KJ" u="1"/>
        <s v="00KDNR4S" u="1"/>
        <s v="00KDMO9Z" u="1"/>
        <s v="00KDM2FQ" u="1"/>
        <s v="00KDM0XN" u="1"/>
        <s v="00KDLYJR" u="1"/>
        <s v="00KDLIMO" u="1"/>
        <s v="00KDKHDU" u="1"/>
        <s v="00KDK3KJ" u="1"/>
        <s v="00KDJZR8" u="1"/>
        <s v="00KDOIED" u="1"/>
        <s v="00KDOGHZ" u="1"/>
        <s v="00KDO4LN" u="1"/>
        <s v="00KDNRIP" u="1"/>
        <s v="00KDNR4O" u="1"/>
        <s v="00KDMZJJ" u="1"/>
        <s v="00KDMSOZ" u="1"/>
        <s v="00KDMP2C" u="1"/>
        <s v="00KDMOGU" u="1"/>
        <s v="00KDM2IP" u="1"/>
        <s v="00KDLZ50" u="1"/>
        <s v="00KDNRO7" u="1"/>
        <s v="00KDP0F5" u="1"/>
        <s v="00KDLIKW" u="1"/>
        <s v="00KDLLDU" u="1"/>
        <s v="00KDNTYE" u="1"/>
        <s v="00KDOGNT" u="1"/>
        <s v="00KDSY7R" u="1"/>
        <s v="00KDTM93" u="1"/>
        <s v="00KDTN7L" u="1"/>
        <s v="00KDSXC9" u="1"/>
        <s v="00KDTN99" u="1"/>
        <s v="00KDTOH3" u="1"/>
        <s v="00KDTOHY" u="1"/>
        <s v="00KDTOI5" u="1"/>
        <s v="00KDTOQD" u="1"/>
        <s v="00KDTOZ2" u="1"/>
        <s v="00KDU26M" u="1"/>
        <s v="00KDOYKT" u="1"/>
        <s v="00KDSWBR" u="1"/>
        <s v="00KDSWB1" u="1"/>
        <s v="00KDSW1Y" u="1"/>
        <s v="00KDSVWE" u="1"/>
        <s v="00KDSUVZ" u="1"/>
        <s v="00KDSUO7" u="1"/>
        <s v="00KDSUIE" u="1"/>
        <s v="00KDPCB7" u="1"/>
        <s v="00KDPB8F" u="1"/>
        <s v="00KDP494" u="1"/>
        <s v="00KDP2V6" u="1"/>
        <s v="00KDP03H" u="1"/>
        <s v="00KDOGMY" u="1"/>
        <s v="00KDOGK4" u="1"/>
        <s v="00KDT3W9" u="1"/>
        <s v="00KDPBPE" u="1"/>
        <s v="00KDZT2W" u="1"/>
        <s v="00KDZSWH" u="1"/>
        <s v="00KDZH2Z" u="1"/>
        <s v="00KDZFV1" u="1"/>
        <s v="00KDXMOI" u="1"/>
        <s v="00KDXMLQ" u="1"/>
        <s v="00KDX582" u="1"/>
        <s v="00KDWU0E" u="1"/>
        <s v="00KDWTT5" u="1"/>
        <s v="00KDULTY" u="1"/>
        <s v="00KDULSF" u="1"/>
        <s v="00KDUI24" u="1"/>
        <s v="00KDUHXP" u="1"/>
        <s v="00KDUG0F" u="1"/>
        <s v="00KDUG0A" u="1"/>
        <s v="00KDUFRH" u="1"/>
        <s v="00KDUFD7" u="1"/>
        <s v="00KDU2L1" u="1"/>
        <s v="00KDZTWF" u="1"/>
        <s v="00KDZT4D" u="1"/>
        <s v="00KE0JVC" u="1"/>
        <s v="00KDZPAN" u="1"/>
        <s v="00KDZOJ1" u="1"/>
        <s v="00KE0JCI" u="1"/>
        <s v="00KE09XD" u="1"/>
        <s v="00KE08EZ" u="1"/>
        <s v="00KDZTVQ" u="1"/>
        <s v="00KDZT3Z" u="1"/>
        <s v="00KE04LZ" u="1"/>
        <s v="00KDZTGZ" u="1"/>
        <s v="00KE08FH" u="1"/>
        <s v="00KE08DK" u="1"/>
        <s v="00KDZQ4Q" u="1"/>
        <s v="00KDZR4G" u="1"/>
        <s v="00KDZRJE" u="1"/>
        <s v="00KDZRS9" u="1"/>
        <s v="00KDZS0O" u="1"/>
        <s v="00KDZS36" u="1"/>
        <s v="00KDZSIN" u="1"/>
        <s v="00KDZSM2" u="1"/>
        <s v="00KDZSN5" u="1"/>
        <s v="00KDZT5K" u="1"/>
        <s v="00KDZTQS" u="1"/>
        <s v="00KE05MM" u="1"/>
        <s v="00KE05TY" u="1"/>
        <s v="00KE06PU" u="1"/>
        <s v="00KE078L" u="1"/>
        <s v="00KE07IA" u="1"/>
        <s v="00KE07JF" u="1"/>
        <s v="00KE07KP" u="1"/>
        <s v="00KE07LZ" u="1"/>
        <s v="00KE07PB" u="1"/>
        <s v="00KE086G" u="1"/>
        <s v="00KE08BD" u="1"/>
        <s v="00KE08G2" u="1"/>
        <s v="00KDZPOU" u="1"/>
        <s v="00KDZO1V" u="1"/>
        <s v="00KDZOIW" u="1"/>
        <s v="00KDZOKY" u="1"/>
        <s v="00KDZOLP" u="1"/>
        <s v="00KDZOWK" u="1"/>
        <s v="00KDZOYL" u="1"/>
        <s v="00KDZOZP" u="1"/>
        <s v="00KDZP08" u="1"/>
        <s v="00KDZP0M" u="1"/>
        <s v="00KDZP0Q" u="1"/>
        <s v="00KDZP9I" u="1"/>
        <s v="00KDZPCD" u="1"/>
        <s v="00KDZPD2" u="1"/>
        <s v="00KDZPE1" u="1"/>
        <s v="00KDZPF5" u="1"/>
        <s v="00KDZPFQ" u="1"/>
        <s v="00KDZPGX" u="1"/>
        <s v="00KDZPJ8" u="1"/>
        <s v="00KDZPK3" u="1"/>
        <s v="00KDZPKW" u="1"/>
        <s v="00KDZPLD" u="1"/>
        <s v="00KDZPMK" u="1"/>
        <s v="00KDZPNH" u="1"/>
        <s v="00KE0JQF" u="1"/>
        <s v="00KE98T8" u="1"/>
        <s v="00KE98SP" u="1"/>
        <s v="00KE98TW" u="1"/>
        <s v="00KE99DW" u="1"/>
        <s v="00KE98RV" u="1"/>
        <s v="00KE98QY" u="1"/>
        <s v="00KE98A7" u="1"/>
        <s v="00KE989N" u="1"/>
        <s v="00KE9878" u="1"/>
        <s v="00KE9BEP" u="1"/>
        <s v="00KE9BFJ" u="1"/>
        <s v="00KE9BID" u="1"/>
        <s v="00KE9BMZ" u="1"/>
        <s v="00KE9BOM" u="1"/>
        <s v="00KE9BQ7" u="1"/>
        <s v="00KE9BSY" u="1"/>
        <s v="00KE9BVE" u="1"/>
        <s v="00KE9BWX" u="1"/>
        <s v="00KE0NNV" u="1"/>
        <s v="00KE0NNN" u="1"/>
        <s v="00KE0NHA" u="1"/>
        <s v="00KE0NFT" u="1"/>
        <s v="00KE0N8C" u="1"/>
        <s v="00KE0MEF" u="1"/>
        <s v="00KE0MAT" u="1"/>
        <s v="00KE0LKE" u="1"/>
        <s v="00KE0LJD" u="1"/>
        <s v="00KE0LFX" u="1"/>
        <s v="00KE0KEF" u="1"/>
        <s v="00KE0K12" u="1"/>
        <s v="00KE0LK0" u="1"/>
        <s v="00KE0NF5" u="1"/>
        <s v="00KE0NDZ" u="1"/>
        <s v="00KE0ND7" u="1"/>
        <s v="00KE0NC5" u="1"/>
        <s v="00KE0N8S" u="1"/>
        <s v="00KE9BYV" u="1"/>
        <s v="00KE9BY2" u="1"/>
        <s v="00KE9BYH" u="1"/>
        <s v="00KE9BYA" u="1"/>
        <s v="00KE0N7T" u="1"/>
        <s v="00KE0NC4" u="1"/>
        <s v="00KE0NBD" u="1"/>
        <s v="00KE0MHE" u="1"/>
        <s v="00KE0MGI" u="1"/>
        <s v="00KE0MFR" u="1"/>
        <s v="00KE0MET" u="1"/>
        <s v="00KE0MBU" u="1"/>
        <s v="00KE0MAQ" u="1"/>
        <s v="00KE0M9S" u="1"/>
        <s v="00KE0LKK" u="1"/>
        <s v="00KE0LH9" u="1"/>
        <s v="00KE0LGJ" u="1"/>
        <s v="00KE0LDG" u="1"/>
        <s v="00KE0LCN" u="1"/>
        <s v="00KE0LBS" u="1"/>
        <s v="00KE0KJT" u="1"/>
        <s v="00KE0KGW" u="1"/>
        <s v="00KE0KFR" u="1"/>
        <s v="00KE0KEY" u="1"/>
        <s v="00KE0KCV" u="1"/>
        <s v="00KE0KA0" u="1"/>
        <s v="00KE0K0W" u="1"/>
        <s v="00KE09WB" u="1"/>
        <s v="00KE08IC" u="1"/>
        <s v="00KE07QF" u="1"/>
        <s v="00KE07NB" u="1"/>
        <s v="00KE07L5" u="1"/>
        <s v="00KE07JP" u="1"/>
        <s v="00KE9BNE" u="1"/>
        <s v="00KE0NEH" u="1"/>
        <s v="00KE0NCK" u="1"/>
        <s v="00K5OI39" u="1"/>
        <s v="00K610XJ" u="1"/>
        <s v="00K6K1O7" u="1"/>
        <s v="00K6K572" u="1"/>
        <s v="00K6KQNG" u="1"/>
        <s v="00K6LFPH" u="1"/>
        <s v="00K6LLKZ" u="1"/>
        <s v="00K6LLM6" u="1"/>
        <s v="00K6LLO2" u="1"/>
        <s v="00K6LOLI" u="1"/>
        <s v="00K6LOTO" u="1"/>
        <s v="00K6LOW0" u="1"/>
        <s v="00K6OP1Y" u="1"/>
        <s v="00K6OXIZ" u="1"/>
        <s v="00K6OY08" u="1"/>
        <s v="00K6OY5E" u="1"/>
        <s v="00K6OYCJ" u="1"/>
        <s v="00K6P1U1" u="1"/>
        <s v="00K6P1UZ" u="1"/>
        <s v="00K6P1WM" u="1"/>
        <s v="00K6P24Z" u="1"/>
        <s v="00K6P2YA" u="1"/>
        <s v="00K6POKV" u="1"/>
        <s v="00K6POQL" u="1"/>
        <s v="00K6QJA6" u="1"/>
        <s v="00K6QL51" u="1"/>
        <s v="00K6QYPS" u="1"/>
        <s v="00K6S8KT" u="1"/>
        <s v="00K6S8MH" u="1"/>
        <s v="00K6S96N" u="1"/>
        <s v="00K6SU4E" u="1"/>
        <s v="00K6TEMA" u="1"/>
        <s v="00K6TFID" u="1"/>
        <s v="00K6THVC" u="1"/>
        <s v="00K6UC5X" u="1"/>
        <s v="00K6V99A" u="1"/>
        <s v="00K6ZEAS" u="1"/>
        <s v="00K6ZUUO" u="1"/>
        <s v="00K70IS7" u="1"/>
        <s v="00K70JLQ" u="1"/>
        <s v="00K7197U" u="1"/>
        <s v="00K73MS3" u="1"/>
        <s v="00K73N6B" u="1"/>
        <s v="00K76FKI" u="1"/>
        <s v="00K76I8O" u="1"/>
        <s v="00K76IRJ" u="1"/>
        <s v="00K76J1Q" u="1"/>
        <s v="00K76J78" u="1"/>
        <s v="00K76K78" u="1"/>
        <s v="00K76KUR" u="1"/>
        <s v="00K76L9C" u="1"/>
        <s v="00K76LKJ" u="1"/>
        <s v="00K76LL9" u="1"/>
        <s v="00K76LOI" u="1"/>
        <s v="00K76MXW" u="1"/>
        <s v="00K76MZG" u="1"/>
        <s v="00K76N0O" u="1"/>
        <s v="00K76NZ6" u="1"/>
        <s v="00K76PL5" u="1"/>
        <s v="00K76PMK" u="1"/>
        <s v="00K76PPI" u="1"/>
        <s v="00K76PR4" u="1"/>
        <s v="00K76PU0" u="1"/>
        <s v="00K76Q69" u="1"/>
        <s v="00K76QXJ" u="1"/>
        <s v="00K76QZZ" u="1"/>
        <s v="00K76R07" u="1"/>
        <s v="00K76R2N" u="1"/>
        <s v="00K76R9F" u="1"/>
        <s v="00K76ZIA" u="1"/>
        <s v="00K770TU" u="1"/>
        <s v="00K798FE" u="1"/>
        <s v="00K8ATSD" u="1"/>
        <s v="00K8ATUD" u="1"/>
        <s v="00K8ATUZ" u="1"/>
        <s v="00K8ATWR" u="1"/>
        <s v="00K8AUZX" u="1"/>
        <s v="00K8AV1N" u="1"/>
        <s v="00K8AVI9" u="1"/>
        <s v="00K8AX5J" u="1"/>
        <s v="00K8BE4D" u="1"/>
        <s v="00K8BN7C" u="1"/>
        <s v="00K8BNCF" u="1"/>
        <s v="00K8BNFV" u="1"/>
        <s v="00K8BNXL" u="1"/>
        <s v="00K8E38S" u="1"/>
        <s v="00K8GBFO" u="1"/>
        <s v="00K8GEN2" u="1"/>
        <s v="00K8GFRQ" u="1"/>
        <s v="00K8GFTI" u="1"/>
        <s v="00K8GFU0" u="1"/>
        <s v="00K8GFVB" u="1"/>
        <s v="00K8GFW3" u="1"/>
        <s v="00K8GH12" u="1"/>
        <s v="00K8GHSG" u="1"/>
        <s v="00K8GJKV" u="1"/>
        <s v="00K8GK0M" u="1"/>
        <s v="00K8K79B" u="1"/>
        <s v="00K8KHAR" u="1"/>
        <s v="00K8KID2" u="1"/>
        <s v="00K8KQW1" u="1"/>
        <s v="00K8M6OD" u="1"/>
        <s v="00K8MEUG" u="1"/>
        <s v="00K8MV8O" u="1"/>
        <s v="00K8MW2M" u="1"/>
        <s v="00K8MW34" u="1"/>
        <s v="00K8MZFL" u="1"/>
        <s v="00K8MZFR" u="1"/>
        <s v="00K8MZRF" u="1"/>
        <s v="00K8MZSY" u="1"/>
        <s v="00K8MZWT" u="1"/>
        <s v="00K8N14C" u="1"/>
        <s v="00K8N64E" u="1"/>
        <s v="00K8NCAQ" u="1"/>
        <s v="00K8NCGW" u="1"/>
        <s v="00K8OPUK" u="1"/>
        <s v="00K8T7IS" u="1"/>
        <s v="00K8TBEH" u="1"/>
        <s v="00K8TBP8" u="1"/>
        <s v="00K8TCLC" u="1"/>
        <s v="00K8TCLN" u="1"/>
        <s v="00K8TCTY" u="1"/>
        <s v="00K8TD1R" u="1"/>
        <s v="00K8TDEH" u="1"/>
        <s v="00K8TDZF" u="1"/>
        <s v="00K8TFJH" u="1"/>
        <s v="00K8TIWZ" u="1"/>
        <s v="00K8TJ68" u="1"/>
        <s v="00K8TOUB" u="1"/>
        <s v="00K8TZ4W" u="1"/>
        <s v="00K8TZAB" u="1"/>
        <s v="00K8TZBY" u="1"/>
        <s v="00K8VPCM" u="1"/>
        <s v="00K8VTEG" u="1"/>
        <s v="00K8VTQ3" u="1"/>
        <s v="00K8VTQ4" u="1"/>
        <s v="00K8VTSH" u="1"/>
        <s v="00K8VTT9" u="1"/>
        <s v="00K8VTTN" u="1"/>
        <s v="00K8VU1E" u="1"/>
        <s v="00K8VU49" u="1"/>
        <s v="00K8W9X2" u="1"/>
        <s v="00K8ZE7R" u="1"/>
        <s v="00K8ZH0L" u="1"/>
        <s v="00K8ZIKG" u="1"/>
        <s v="00K8ZINR" u="1"/>
        <s v="00K8ZKY2" u="1"/>
        <s v="00K8ZLJZ" u="1"/>
        <s v="00K8ZLKG" u="1"/>
        <s v="00K92NID" u="1"/>
        <s v="00K92P2D" u="1"/>
        <s v="00K92WIH" u="1"/>
        <s v="00K947KT" u="1"/>
        <s v="00K94D19" u="1"/>
        <s v="00K95JVS" u="1"/>
        <s v="00K95N9N" u="1"/>
        <s v="00K95OEC" u="1"/>
        <s v="00K95OQX" u="1"/>
        <s v="00K95QLD" u="1"/>
        <s v="00K95QVT" u="1"/>
        <s v="00K95R2I" u="1"/>
        <s v="00K9632F" u="1"/>
        <s v="00K9656Y" u="1"/>
        <s v="00K965CJ" u="1"/>
        <s v="00K965LG" u="1"/>
        <s v="00K967WE" u="1"/>
        <s v="00K967X7" u="1"/>
        <s v="00K96CG7" u="1"/>
        <s v="00K96CPP" u="1"/>
        <s v="00K96GZ4" u="1"/>
        <s v="00K96GZL" u="1"/>
        <s v="00K9A376" u="1"/>
        <s v="00K9A4AP" u="1"/>
        <s v="00K9A7IJ" u="1"/>
        <s v="00K9ARFS" u="1"/>
        <s v="00K9AS92" u="1"/>
        <s v="00K9B17Z" u="1"/>
        <s v="00K9CB6G" u="1"/>
        <s v="00K9CBZO" u="1"/>
        <s v="00K9ER6D" u="1"/>
        <s v="00K9F0WD" u="1"/>
        <s v="00K9F1G1" u="1"/>
        <s v="00K9F1GB" u="1"/>
        <s v="00K9F1JT" u="1"/>
        <s v="00K9F21I" u="1"/>
        <s v="00K9J1JW" u="1"/>
        <s v="00K9J2HA" u="1"/>
        <s v="00K9JIAV" u="1"/>
        <s v="00K9JKTA" u="1"/>
        <s v="00K9JL0U" u="1"/>
        <s v="00K9JL3X" u="1"/>
        <s v="00K9JLF9" u="1"/>
        <s v="00K9JZ34" u="1"/>
        <s v="00K9K1P3" u="1"/>
        <s v="00K9K1SG" u="1"/>
        <s v="00K9K1W6" u="1"/>
        <s v="00K9QU7A" u="1"/>
        <s v="00K9RJA7" u="1"/>
        <s v="00K9RLWP" u="1"/>
        <s v="00K9RM2D" u="1"/>
        <s v="00K9RM49" u="1"/>
        <s v="00K9RM54" u="1"/>
        <s v="00K9RM8L" u="1"/>
        <s v="00K9RM9S" u="1"/>
        <s v="00K9RMAT" u="1"/>
        <s v="00K9RP3Z" u="1"/>
        <s v="00K9S00Z" u="1"/>
        <s v="00K9S0EH" u="1"/>
        <s v="00K9S0ER" u="1"/>
        <s v="00K9S1LA" u="1"/>
        <s v="00K9S2L9" u="1"/>
        <s v="00K9S2PE" u="1"/>
        <s v="00K9S2QJ" u="1"/>
        <s v="00K9S3YV" u="1"/>
        <s v="00K9URV2" u="1"/>
        <s v="00K9URVW" u="1"/>
        <s v="00K9URWF" u="1"/>
        <s v="00K9USHD" u="1"/>
        <s v="00K9USHY" u="1"/>
        <s v="00K9USPM" u="1"/>
        <s v="00K9W3XJ" u="1"/>
        <s v="00K9W509" u="1"/>
        <s v="00K9W554" u="1"/>
        <s v="00K9W5DS" u="1"/>
        <s v="00K9ZT9C" u="1"/>
        <s v="00KA01PI" u="1"/>
        <s v="00KA02BO" u="1"/>
        <s v="00KA03DL" u="1"/>
        <s v="00KA064D" u="1"/>
        <s v="00KA0672" u="1"/>
        <s v="00KA0AF3" u="1"/>
        <s v="00KA0BFP" u="1"/>
        <s v="00KA0BHK" u="1"/>
        <s v="00KA0BHX" u="1"/>
        <s v="00KA2YRS" u="1"/>
        <s v="00KA3KTG" u="1"/>
        <s v="00KA3L3T" u="1"/>
        <s v="00KA3N29" u="1"/>
        <s v="00KA3RCM" u="1"/>
        <s v="00KA3T0H" u="1"/>
        <s v="00KA3T3G" u="1"/>
        <s v="00KA798E" u="1"/>
        <s v="00KA8K7M" u="1"/>
        <s v="00KA8P1V" u="1"/>
        <s v="00KA8PU7" u="1"/>
        <s v="00KA8PUT" u="1"/>
        <s v="00KA8Q2U" u="1"/>
        <s v="00KA8Q3J" u="1"/>
        <s v="00KA95GU" u="1"/>
        <s v="00KA9CAD" u="1"/>
        <s v="00KA9CDR" u="1"/>
        <s v="00KA9CFV" u="1"/>
        <s v="00KA9CUW" u="1"/>
        <s v="00KA9CV9" u="1"/>
        <s v="00KA9CWF" u="1"/>
        <s v="00KA9CWR" u="1"/>
        <s v="00KA9CX3" u="1"/>
        <s v="00KA9DA8" u="1"/>
        <s v="00KA9O9B" u="1"/>
        <s v="00KA9SLB" u="1"/>
        <s v="00KADNGQ" u="1"/>
        <s v="00KADNMT" u="1"/>
        <s v="00KADPSN" u="1"/>
        <s v="00KADX5I" u="1"/>
        <s v="00KADXQB" u="1"/>
        <s v="00KADXR7" u="1"/>
        <s v="00KADYP9" u="1"/>
        <s v="00KADYZ1" u="1"/>
        <s v="00KADZ4K" u="1"/>
        <s v="00KADZ5I" u="1"/>
        <s v="00KADZI3" u="1"/>
        <s v="00KADZUU" u="1"/>
        <s v="00KAE5XQ" u="1"/>
        <s v="00KAEWO3" u="1"/>
        <s v="00KAGRB1" u="1"/>
        <s v="00KAGRZE" u="1"/>
        <s v="00KAGUOK" u="1"/>
        <s v="00KAGVA6" u="1"/>
        <s v="00KAGWZ3" u="1"/>
        <s v="00KAGX14" u="1"/>
        <s v="00KAH5KN" u="1"/>
        <s v="00KAH8ME" u="1"/>
        <s v="00KAH8R3" u="1"/>
        <s v="00KAH914" u="1"/>
        <s v="00KAK6XA" u="1"/>
        <s v="00KAK726" u="1"/>
        <s v="00KAK748" u="1"/>
        <s v="00KAK7SI" u="1"/>
        <s v="00KAK8EA" u="1"/>
        <s v="00KAKFOI" u="1"/>
        <s v="00KAKFUE" u="1"/>
        <s v="00KAKHVX" u="1"/>
        <s v="00KAKHYM" u="1"/>
        <s v="00KAKHZD" u="1"/>
        <s v="00KAKHZN" u="1"/>
        <s v="00KAKHZP" u="1"/>
        <s v="00KAKI6L" u="1"/>
        <s v="00KAKLGR" u="1"/>
        <s v="00KAKLI9" u="1"/>
        <s v="00KAKMR6" u="1"/>
        <s v="00KAKMRE" u="1"/>
        <s v="00KAKMRQ" u="1"/>
        <s v="00KAKMTL" u="1"/>
        <s v="00KAKN18" u="1"/>
        <s v="00KAKN1J" u="1"/>
        <s v="00KAKNCS" u="1"/>
        <s v="00KAKND2" u="1"/>
        <s v="00KAKND3" u="1"/>
        <s v="00KAKND9" u="1"/>
        <s v="00KAKNDS" u="1"/>
        <s v="00KAKNFP" u="1"/>
        <s v="00KANLRP" u="1"/>
        <s v="00K2HPNJ" u="1"/>
        <s v="00K2HQOV" u="1"/>
        <s v="00K2MNDH" u="1"/>
        <s v="00K2MNMD" u="1"/>
        <s v="00K2MX3P" u="1"/>
        <s v="00K2N7FX" u="1"/>
        <s v="00K2N7TD" u="1"/>
        <s v="00K2N8JM" u="1"/>
        <s v="00K2N8LK" u="1"/>
        <s v="00K2N8OF" u="1"/>
        <s v="00K2N8PR" u="1"/>
        <s v="00K2N8TB" u="1"/>
        <s v="00K2N8UC" u="1"/>
        <s v="00K2N91H" u="1"/>
        <s v="00K2NA8P" u="1"/>
        <s v="00K2NBTA" u="1"/>
        <s v="00K2NPW6" u="1"/>
        <s v="00K2NV96" u="1"/>
        <s v="00K2NVAW" u="1"/>
        <s v="00K2NVD4" u="1"/>
        <s v="00K2NVDT" u="1"/>
        <s v="00K2NVJ6" u="1"/>
        <s v="00K2NXUW" u="1"/>
        <s v="00K2NXVL" u="1"/>
        <s v="00K2NXW3" u="1"/>
        <s v="00K2NXZ9" u="1"/>
        <s v="00K2NY15" u="1"/>
        <s v="00K2NY19" u="1"/>
        <s v="00K2NY2G" u="1"/>
        <s v="00K2NY38" u="1"/>
        <s v="00K2NYVC" u="1"/>
        <s v="00K2P6WS" u="1"/>
        <s v="00K2QKF8" u="1"/>
        <s v="00K2QKQQ" u="1"/>
        <s v="00K2QZFJ" u="1"/>
        <s v="00K2R8LB" u="1"/>
        <s v="00K2R8VF" u="1"/>
        <s v="00K2R91D" u="1"/>
        <s v="00K2R9FR" u="1"/>
        <s v="00K2RD7K" u="1"/>
        <s v="00K2RLKA" u="1"/>
        <s v="00K2RSTZ" u="1"/>
        <s v="00K2RTTU" u="1"/>
        <s v="00K2RTWY" u="1"/>
        <s v="00K36P8I" u="1"/>
        <s v="00K36P91" u="1"/>
        <s v="00K36YWI" u="1"/>
        <s v="00K36YYM" u="1"/>
        <s v="00K37GKU" u="1"/>
        <s v="00K37GSG" u="1"/>
        <s v="00K37I4O" u="1"/>
        <s v="00K37LGA" u="1"/>
        <s v="00K37MD1" u="1"/>
        <s v="00K39ZYO" u="1"/>
        <s v="00K3ASB5" u="1"/>
        <s v="00K3AU98" u="1"/>
        <s v="00K3B0KV" u="1"/>
        <s v="00K3B11Y" u="1"/>
        <s v="00K3B6C8" u="1"/>
        <s v="00K3BDNS" u="1"/>
        <s v="00K3BN8F" u="1"/>
        <s v="00K3BOMY" u="1"/>
        <s v="00K3BRJG" u="1"/>
        <s v="00K3BRWZ" u="1"/>
        <s v="00K3BSLX" u="1"/>
        <s v="00K3DYZT" u="1"/>
        <s v="00K3DZEQ" u="1"/>
        <s v="00K3DZH4" u="1"/>
        <s v="00K3EMPJ" u="1"/>
        <s v="00K3EQOD" u="1"/>
        <s v="00K3EUP8" u="1"/>
        <s v="00K3EX0H" u="1"/>
        <s v="00K3EX91" u="1"/>
        <s v="00K3N81J" u="1"/>
        <s v="00K3N9P7" u="1"/>
        <s v="00K3NAQ2" u="1"/>
        <s v="00K3NARI" u="1"/>
        <s v="00K3NPRW" u="1"/>
        <s v="00K3NPYL" u="1"/>
        <s v="00K3O8P0" u="1"/>
        <s v="00K3OOOQ" u="1"/>
        <s v="00K3OXS9" u="1"/>
        <s v="00K3OZVO" u="1"/>
        <s v="00K3P07I" u="1"/>
        <s v="00K3P0U4" u="1"/>
        <s v="00K3P1TX" u="1"/>
        <s v="00K3P1YI" u="1"/>
        <s v="00K3P20D" u="1"/>
        <s v="00K3QJ4K" u="1"/>
        <s v="00K3QJ4L" u="1"/>
        <s v="00K3RS5F" u="1"/>
        <s v="00K3SBND" u="1"/>
        <s v="00K3SNE7" u="1"/>
        <s v="00K3T4T7" u="1"/>
        <s v="00K3T78S" u="1"/>
        <s v="00K3T7B6" u="1"/>
        <s v="00K3T8Y4" u="1"/>
        <s v="00K3T8YY" u="1"/>
        <s v="00K3T9O0" u="1"/>
        <s v="00K3T9QG" u="1"/>
        <s v="00K3TDB9" u="1"/>
        <s v="00K3V2JP" u="1"/>
        <s v="00K3VYLI" u="1"/>
        <s v="00K3W94P" u="1"/>
        <s v="00K3W9QK" u="1"/>
        <s v="00K3W9VT" u="1"/>
        <s v="00K3WATZ" u="1"/>
        <s v="00K3WQBK" u="1"/>
        <s v="00K3WQFN" u="1"/>
        <s v="00K3YRC9" u="1"/>
        <s v="00K3YXUA" u="1"/>
        <s v="00K3YXW9" u="1"/>
        <s v="00K3YXX9" u="1"/>
        <s v="00K3Z0S1" u="1"/>
        <s v="00K3Z0SP" u="1"/>
        <s v="00K3Z1KI" u="1"/>
        <s v="00K3ZD4N" u="1"/>
        <s v="00K3ZDC3" u="1"/>
        <s v="00K4B5O3" u="1"/>
        <s v="00K4BE1J" u="1"/>
        <s v="00K4BT3E" u="1"/>
        <s v="00K4BT6E" u="1"/>
        <s v="00K4BTAD" u="1"/>
        <s v="00K4BTBY" u="1"/>
        <s v="00K4BTP8" u="1"/>
        <s v="00K4BUPV" u="1"/>
        <s v="00K4BURA" u="1"/>
        <s v="00K4BUZJ" u="1"/>
        <s v="00K4BV08" u="1"/>
        <s v="00K4BV4T" u="1"/>
        <s v="00K4BVAI" u="1"/>
        <s v="00K4BVOO" u="1"/>
        <s v="00K4D967" u="1"/>
        <s v="00K4DANY" u="1"/>
        <s v="00K4DDFF" u="1"/>
        <s v="00K4DDNR" u="1"/>
        <s v="00K4DVCC" u="1"/>
        <s v="00K4DZGQ" u="1"/>
        <s v="00K4EEXG" u="1"/>
        <s v="00K4EEZU" u="1"/>
        <s v="00K4ETTN" u="1"/>
        <s v="00K4FY0J" u="1"/>
        <s v="00K4FZTI" u="1"/>
        <s v="00K4G0NB" u="1"/>
        <s v="00K4G36A" u="1"/>
        <s v="00K4G41Z" u="1"/>
        <s v="00K4G4AO" u="1"/>
        <s v="00K4G4DS" u="1"/>
        <s v="00K4G4EV" u="1"/>
        <s v="00K4G4FL" u="1"/>
        <s v="00K4G5NC" u="1"/>
        <s v="00K4ZTF7" u="1"/>
        <s v="00K4ZTYV" u="1"/>
        <s v="00K4ZX0C" u="1"/>
        <s v="00K4ZXHT" u="1"/>
        <s v="00K4ZXPE" u="1"/>
        <s v="00K4ZXTV" u="1"/>
        <s v="00K4ZY7L" u="1"/>
        <s v="00K52HCF" u="1"/>
        <s v="00K52K98" u="1"/>
        <s v="00K52MDO" u="1"/>
        <s v="00K52MHA" u="1"/>
        <s v="00K52MOI" u="1"/>
        <s v="00K52UNX" u="1"/>
        <s v="00K52UT4" u="1"/>
        <s v="00K52WJC" u="1"/>
        <s v="00K537H5" u="1"/>
        <s v="00K539ER" u="1"/>
        <s v="00K53AZM" u="1"/>
        <s v="00K53JQT" u="1"/>
        <s v="00K53JVQ" u="1"/>
        <s v="00K53P58" u="1"/>
        <s v="00K56ICG" u="1"/>
        <s v="00K56UF3" u="1"/>
        <s v="00K56V12" u="1"/>
        <s v="00K577XD" u="1"/>
        <s v="00K579ZN" u="1"/>
        <s v="00K57A06" u="1"/>
        <s v="00K57A0D" u="1"/>
        <s v="00K57A0K" u="1"/>
        <s v="00K59KTW" u="1"/>
        <s v="00K59WJ6" u="1"/>
        <s v="00K5AJX4" u="1"/>
        <s v="00K5AU4O" u="1"/>
        <s v="00K5BQYI" u="1"/>
        <s v="00K5BQZW" u="1"/>
        <s v="00K5BX04" u="1"/>
        <s v="00K5BX9E" u="1"/>
        <s v="00K5BX9S" u="1"/>
        <s v="00K5BYM7" u="1"/>
        <s v="00K5BYN5" u="1"/>
        <s v="00K5BYQ6" u="1"/>
        <s v="00K5BZJT" u="1"/>
        <s v="00K5BZL9" u="1"/>
        <s v="00K5BZQQ" u="1"/>
        <s v="00K5C1IB" u="1"/>
        <s v="00K5C1T4" u="1"/>
        <s v="00K5CBVJ" u="1"/>
        <s v="00K5CBW8" u="1"/>
        <s v="00K5CC29" u="1"/>
        <s v="00K5CS85" u="1"/>
        <s v="00K5CSDC" u="1"/>
        <s v="00K5CT6D" u="1"/>
        <s v="00K5F69S" u="1"/>
        <s v="00K5FJWG" u="1"/>
        <s v="00K5FL2M" u="1"/>
        <s v="00K5FRI6" u="1"/>
        <s v="00K5G8QO" u="1"/>
        <s v="00K5GCWE" u="1"/>
        <s v="00K5GD4I" u="1"/>
        <s v="00K5GSYQ" u="1"/>
        <s v="00K5GT1E" u="1"/>
        <s v="00K5GT79" u="1"/>
        <s v="00K5JM7S" u="1"/>
        <s v="00K5KXQJ" u="1"/>
        <s v="00K5KZBI" u="1"/>
        <s v="00K5KZDA" u="1"/>
        <s v="00K5LLXW" u="1"/>
        <s v="00K5LP2Q" u="1"/>
        <s v="00K5LXXZ" u="1"/>
        <s v="00K5NJFX" u="1"/>
        <s v="00K5OGAX" u="1"/>
        <s v="00K5OI4H" u="1"/>
        <s v="00K5OQFL" u="1"/>
        <s v="00K5OQU4" u="1"/>
        <s v="00K5OQXH" u="1"/>
        <s v="00K5S1EC" u="1"/>
        <s v="00K5S2DC" u="1"/>
        <s v="00K5S2DW" u="1"/>
        <s v="00K5S2P4" u="1"/>
        <s v="00K5S4UV" u="1"/>
        <s v="00K5S4X0" u="1"/>
        <s v="00K5S52B" u="1"/>
        <s v="00K5S5NZ" u="1"/>
        <s v="00K5SEJR" u="1"/>
        <s v="00K5T38U" u="1"/>
        <s v="00K5T39Z" u="1"/>
        <s v="00K5T3C0" u="1"/>
        <s v="00K5T3LV" u="1"/>
        <s v="00K5T4L7" u="1"/>
        <s v="00K5T4M1" u="1"/>
        <s v="00K5XK7G" u="1"/>
        <s v="00K5XL46" u="1"/>
        <s v="00K5YCLP" u="1"/>
        <s v="00K5YJTD" u="1"/>
        <s v="00K60K59" u="1"/>
        <s v="00K60L12" u="1"/>
        <s v="00K60L2H" u="1"/>
        <s v="00K60L2V" u="1"/>
        <s v="00K60L39" u="1"/>
        <s v="00K60L5K" u="1"/>
        <s v="00K60L5N" u="1"/>
        <s v="00K60LC4" u="1"/>
        <s v="00K60LD2" u="1"/>
        <s v="00K60NK1" u="1"/>
        <s v="00K60QTA" u="1"/>
        <s v="00K60UGI" u="1"/>
        <s v="00K60UO8" u="1"/>
        <s v="00K60VOF" u="1"/>
        <s v="00K60WZ4" u="1"/>
        <s v="00K610S6" u="1"/>
        <s v="ZWLI0HFQ" u="1"/>
        <s v="00JZTQAW" u="1"/>
        <s v="00K05BMW" u="1"/>
        <s v="00K06YKG" u="1"/>
        <s v="00K07ACA" u="1"/>
        <s v="00K07IT5" u="1"/>
        <s v="00K09H5G" u="1"/>
        <s v="00K09HVU" u="1"/>
        <s v="00K09UBD" u="1"/>
        <s v="00K09Y6I" u="1"/>
        <s v="00K09ZVC" u="1"/>
        <s v="00K09ZVV" u="1"/>
        <s v="00K09ZVZ" u="1"/>
        <s v="00K0A042" u="1"/>
        <s v="00K0A055" u="1"/>
        <s v="00K0BNET" u="1"/>
        <s v="00K0BQHM" u="1"/>
        <s v="00K0BR11" u="1"/>
        <s v="00K0BR7S" u="1"/>
        <s v="00K0BTLN" u="1"/>
        <s v="00K0CLVN" u="1"/>
        <s v="00K0CMAU" u="1"/>
        <s v="00K0CMEW" u="1"/>
        <s v="00K0CMQ1" u="1"/>
        <s v="00K0CNH1" u="1"/>
        <s v="00K0COWF" u="1"/>
        <s v="00K0CP0S" u="1"/>
        <s v="00K0D5D5" u="1"/>
        <s v="00K0D5F3" u="1"/>
        <s v="00K0HN6L" u="1"/>
        <s v="00K0HN8V" u="1"/>
        <s v="00K0HRDS" u="1"/>
        <s v="00K0HRFW" u="1"/>
        <s v="00K0JBDJ" u="1"/>
        <s v="00K0JC2D" u="1"/>
        <s v="00K0JC69" u="1"/>
        <s v="00K0JDGS" u="1"/>
        <s v="00K0JL6G" u="1"/>
        <s v="00K0JL7S" u="1"/>
        <s v="00K0JMGQ" u="1"/>
        <s v="00K0JMKK" u="1"/>
        <s v="00K0JMNL" u="1"/>
        <s v="00K0JMS5" u="1"/>
        <s v="00K0JMTS" u="1"/>
        <s v="00K0JQ5Z" u="1"/>
        <s v="00K0K9ZF" u="1"/>
        <s v="00K0KA0A" u="1"/>
        <s v="00K0KA2R" u="1"/>
        <s v="00K0KA3C" u="1"/>
        <s v="00K0KA3U" u="1"/>
        <s v="00K0KAC9" u="1"/>
        <s v="00K0KADF" u="1"/>
        <s v="00K0KAE4" u="1"/>
        <s v="00K0KAFN" u="1"/>
        <s v="00K0KAOQ" u="1"/>
        <s v="00K0KAQ1" u="1"/>
        <s v="00K0KAQQ" u="1"/>
        <s v="00K0KCNA" u="1"/>
        <s v="00K0KCO0" u="1"/>
        <s v="00K0KCOQ" u="1"/>
        <s v="00K0KCPD" u="1"/>
        <s v="00K0KDAJ" u="1"/>
        <s v="00K0KDAY" u="1"/>
        <s v="00K0KE26" u="1"/>
        <s v="00K0KE31" u="1"/>
        <s v="00K0KE3U" u="1"/>
        <s v="00K0KE5M" u="1"/>
        <s v="00K0KE8K" u="1"/>
        <s v="00K0KE8X" u="1"/>
        <s v="00K0KFNQ" u="1"/>
        <s v="00K0KFO5" u="1"/>
        <s v="00K0KFOJ" u="1"/>
        <s v="00K0KSNY" u="1"/>
        <s v="00K0KSW9" u="1"/>
        <s v="00K0KT50" u="1"/>
        <s v="00K0KTK4" u="1"/>
        <s v="00K0KTKM" u="1"/>
        <s v="00K0KTL2" u="1"/>
        <s v="00K0KTLC" u="1"/>
        <s v="00K0KTM9" u="1"/>
        <s v="00K0KTOU" u="1"/>
        <s v="00K0KTPS" u="1"/>
        <s v="00K0KTVR" u="1"/>
        <s v="00K0KTWN" u="1"/>
        <s v="00K0KU1M" u="1"/>
        <s v="00K0KU20" u="1"/>
        <s v="00K0KU5J" u="1"/>
        <s v="00K0KUB7" u="1"/>
        <s v="00K0MDPL" u="1"/>
        <s v="00K0MDZ2" u="1"/>
        <s v="00K0MFAH" u="1"/>
        <s v="00K0MFCX" u="1"/>
        <s v="00K0MI7J" u="1"/>
        <s v="00K0MI95" u="1"/>
        <s v="00K0N1F4" u="1"/>
        <s v="00K0NN18" u="1"/>
        <s v="00K0NTUU" u="1"/>
        <s v="00K0NTVI" u="1"/>
        <s v="00K0NV0Y" u="1"/>
        <s v="00K0NXZ3" u="1"/>
        <s v="00K0NYS6" u="1"/>
        <s v="00K0NYTE" u="1"/>
        <s v="00K0NYU2" u="1"/>
        <s v="00K0O92V" u="1"/>
        <s v="00K0O9YE" u="1"/>
        <s v="00K0O9Z7" u="1"/>
        <s v="00K0OZRQ" u="1"/>
        <s v="00K0P0PU" u="1"/>
        <s v="00K0P0S1" u="1"/>
        <s v="00K0P1FG" u="1"/>
        <s v="00K0P69Y" u="1"/>
        <s v="00K0P7F4" u="1"/>
        <s v="00K0P7FQ" u="1"/>
        <s v="00K0P7NE" u="1"/>
        <s v="00K0P7S8" u="1"/>
        <s v="00K0P8BF" u="1"/>
        <s v="00K0P8DH" u="1"/>
        <s v="00K0PBKG" u="1"/>
        <s v="00K0PBLT" u="1"/>
        <s v="00K0PBRT" u="1"/>
        <s v="00K0Q3AP" u="1"/>
        <s v="00K0Q4KE" u="1"/>
        <s v="00K0Q7IH" u="1"/>
        <s v="00K0QC3Y" u="1"/>
        <s v="00K0QDF6" u="1"/>
        <s v="00K0QGPG" u="1"/>
        <s v="00K0QGRS" u="1"/>
        <s v="00K0QGT2" u="1"/>
        <s v="00K0QGTY" u="1"/>
        <s v="00K0QHI0" u="1"/>
        <s v="00K0QHIF" u="1"/>
        <s v="00K0QHJI" u="1"/>
        <s v="00K0QHJY" u="1"/>
        <s v="00K0QHV3" u="1"/>
        <s v="00K0QHWC" u="1"/>
        <s v="00K0R13G" u="1"/>
        <s v="00K0R6EO" u="1"/>
        <s v="00K0R6EW" u="1"/>
        <s v="00K0SZ2N" u="1"/>
        <s v="00K0SZ3Y" u="1"/>
        <s v="00K0SZ7A" u="1"/>
        <s v="00K0TFCI" u="1"/>
        <s v="00K0TKT0" u="1"/>
        <s v="00K0TNON" u="1"/>
        <s v="00K0TNOX" u="1"/>
        <s v="00K0TNPB" u="1"/>
        <s v="00K0TOCO" u="1"/>
        <s v="00K0TONQ" u="1"/>
        <s v="00K0TOV1" u="1"/>
        <s v="00K0TP9P" u="1"/>
        <s v="00K0TPXJ" u="1"/>
        <s v="00K0UEOA" u="1"/>
        <s v="00K0UGJE" u="1"/>
        <s v="00K0UGPL" u="1"/>
        <s v="00K0UIKY" u="1"/>
        <s v="00K0WRWX" u="1"/>
        <s v="00K0X8GW" u="1"/>
        <s v="00K0X8KR" u="1"/>
        <s v="00K0X8NX" u="1"/>
        <s v="00K0XHXH" u="1"/>
        <s v="00K0XKSI" u="1"/>
        <s v="00K0XMSH" u="1"/>
        <s v="00K0XMV4" u="1"/>
        <s v="00K0XMX4" u="1"/>
        <s v="00K0XMYY" u="1"/>
        <s v="00K0XPS0" u="1"/>
        <s v="00K0XQU2" u="1"/>
        <s v="00K125Y5" u="1"/>
        <s v="00K125ZD" u="1"/>
        <s v="00K128PX" u="1"/>
        <s v="00K128SE" u="1"/>
        <s v="00K128T7" u="1"/>
        <s v="00K128U5" u="1"/>
        <s v="00K128ZM" u="1"/>
        <s v="00K129CB" u="1"/>
        <s v="00K129E6" u="1"/>
        <s v="00K129FJ" u="1"/>
        <s v="00K12AJ9" u="1"/>
        <s v="00K12AO0" u="1"/>
        <s v="00K12AP0" u="1"/>
        <s v="00K12AQ0" u="1"/>
        <s v="00K12ATW" u="1"/>
        <s v="00K12AVC" u="1"/>
        <s v="00K12XSK" u="1"/>
        <s v="00K12XV8" u="1"/>
        <s v="00K12YVR" u="1"/>
        <s v="00K12Z08" u="1"/>
        <s v="00K12Z4V" u="1"/>
        <s v="00K1303Q" u="1"/>
        <s v="00K1304D" u="1"/>
        <s v="00K133HQ" u="1"/>
        <s v="00K136B2" u="1"/>
        <s v="00K136LK" u="1"/>
        <s v="00K136Q4" u="1"/>
        <s v="00K13BPO" u="1"/>
        <s v="00K13BTY" u="1"/>
        <s v="00K13BU2" u="1"/>
        <s v="00K14C8V" u="1"/>
        <s v="00K14DBD" u="1"/>
        <s v="00K14E3U" u="1"/>
        <s v="00K14E5S" u="1"/>
        <s v="00K14GGP" u="1"/>
        <s v="00K14GIT" u="1"/>
        <s v="00K14GLL" u="1"/>
        <s v="00K14GMC" u="1"/>
        <s v="00K14GN6" u="1"/>
        <s v="00K14GTC" u="1"/>
        <s v="00K14HF6" u="1"/>
        <s v="00K14JS9" u="1"/>
        <s v="00K14JT3" u="1"/>
        <s v="00K14JUY" u="1"/>
        <s v="00K14ZBH" u="1"/>
        <s v="00K14ZHT" u="1"/>
        <s v="00K150F5" u="1"/>
        <s v="00K15JZZ" u="1"/>
        <s v="00K15PRE" u="1"/>
        <s v="00K165CJ" u="1"/>
        <s v="00K16FYU" u="1"/>
        <s v="00K16G0A" u="1"/>
        <s v="00K16G1F" u="1"/>
        <s v="00K16G79" u="1"/>
        <s v="00K16GB5" u="1"/>
        <s v="00K16GBZ" u="1"/>
        <s v="00K16X2D" u="1"/>
        <s v="00K16XGW" u="1"/>
        <s v="00K16XJO" u="1"/>
        <s v="00K16XKN" u="1"/>
        <s v="00K16XM7" u="1"/>
        <s v="00K16XN5" u="1"/>
        <s v="00K16XOJ" u="1"/>
        <s v="00K16XXH" u="1"/>
        <s v="00K16Z96" u="1"/>
        <s v="00K17B6R" u="1"/>
        <s v="00K17BX9" u="1"/>
        <s v="00K17BXR" u="1"/>
        <s v="00K17BY7" u="1"/>
        <s v="00K17C7V" u="1"/>
        <s v="00K17C8G" u="1"/>
        <s v="00K17C8R" u="1"/>
        <s v="00K17CMS" u="1"/>
        <s v="00K17DH9" u="1"/>
        <s v="00K17DI1" u="1"/>
        <s v="00K17E43" u="1"/>
        <s v="00K17EB4" u="1"/>
        <s v="00K17EHN" u="1"/>
        <s v="00K17EI1" u="1"/>
        <s v="00K17F52" u="1"/>
        <s v="00K17TJB" u="1"/>
        <s v="00K17TL8" u="1"/>
        <s v="00K17ZS8" u="1"/>
        <s v="00K17ZYL" u="1"/>
        <s v="00K18001" u="1"/>
        <s v="00K19ISQ" u="1"/>
        <s v="00K19N6N" u="1"/>
        <s v="00K19N78" u="1"/>
        <s v="00K19QG6" u="1"/>
        <s v="00K19QHH" u="1"/>
        <s v="00K19QJ0" u="1"/>
        <s v="00K19QK0" u="1"/>
        <s v="00K1AJJM" u="1"/>
        <s v="00K1AKX8" u="1"/>
        <s v="00K1AV2I" u="1"/>
        <s v="00K1B2KC" u="1"/>
        <s v="00K1B6HO" u="1"/>
        <s v="00K1B6JA" u="1"/>
        <s v="00K1B6YM" u="1"/>
        <s v="00K1DPGX" u="1"/>
        <s v="00K1DPR4" u="1"/>
        <s v="00K1DQ32" u="1"/>
        <s v="00K1DVH4" u="1"/>
        <s v="00K1DW7U" u="1"/>
        <s v="00K1E39U" u="1"/>
        <s v="00K1EOSF" u="1"/>
        <s v="00K1F8C2" u="1"/>
        <s v="00K1FGNJ" u="1"/>
        <s v="00K1HKF0" u="1"/>
        <s v="00K1HNKT" u="1"/>
        <s v="00K1HOKQ" u="1"/>
        <s v="00K1HOP2" u="1"/>
        <s v="00K1HOTH" u="1"/>
        <s v="00K1HOU9" u="1"/>
        <s v="00K1HP1W" u="1"/>
        <s v="00K1HP2W" u="1"/>
        <s v="00K1HP3O" u="1"/>
        <s v="00K1HWNW" u="1"/>
        <s v="00K1HY1X" u="1"/>
        <s v="00K1HY2Q" u="1"/>
        <s v="00K1HY38" u="1"/>
        <s v="00K1HY4G" u="1"/>
        <s v="00K1HY5B" u="1"/>
        <s v="00K1HY5Y" u="1"/>
        <s v="00K1QTTO" u="1"/>
        <s v="00K1QUSV" u="1"/>
        <s v="00K1QUSW" u="1"/>
        <s v="00K1QV1A" u="1"/>
        <s v="00K1QV7U" u="1"/>
        <s v="00K1R3VW" u="1"/>
        <s v="00K1R5U6" u="1"/>
        <s v="00K1R5XT" u="1"/>
        <s v="00K1RB9C" u="1"/>
        <s v="00K1RBMG" u="1"/>
        <s v="00K1RBQ9" u="1"/>
        <s v="00K1RBRP" u="1"/>
        <s v="00K1RBVY" u="1"/>
        <s v="00K1RCCV" u="1"/>
        <s v="00K1RCDT" u="1"/>
        <s v="00K1RDO1" u="1"/>
        <s v="00K1RDRG" u="1"/>
        <s v="00K1RDS4" u="1"/>
        <s v="00K1RECO" u="1"/>
        <s v="00K1REFE" u="1"/>
        <s v="00K1REG2" u="1"/>
        <s v="00K1REGX" u="1"/>
        <s v="00K1REL3" u="1"/>
        <s v="00K1REO9" u="1"/>
        <s v="00K1REPB" u="1"/>
        <s v="00K1REPI" u="1"/>
        <s v="00K1REQL" u="1"/>
        <s v="00K1RER9" u="1"/>
        <s v="00K1RES3" u="1"/>
        <s v="00K1RETN" u="1"/>
        <s v="00K1RFUB" u="1"/>
        <s v="00K1RIDD" u="1"/>
        <s v="00K1RL6L" u="1"/>
        <s v="00K1RLBS" u="1"/>
        <s v="00K1TGSP" u="1"/>
        <s v="00K1TGTB" u="1"/>
        <s v="00K1U2QJ" u="1"/>
        <s v="00K1U2RG" u="1"/>
        <s v="00K1U2XB" u="1"/>
        <s v="00K1U5EJ" u="1"/>
        <s v="00K1U5GR" u="1"/>
        <s v="00K1U5LI" u="1"/>
        <s v="00K1U5SH" u="1"/>
        <s v="00K1U5UF" u="1"/>
        <s v="00K1U6MR" u="1"/>
        <s v="00K1U7FZ" u="1"/>
        <s v="00K1UE5U" u="1"/>
        <s v="00K1UHFG" u="1"/>
        <s v="00K1V3PW" u="1"/>
        <s v="00K1V5M9" u="1"/>
        <s v="00K1V5MV" u="1"/>
        <s v="00K1V62C" u="1"/>
        <s v="00K1V666" u="1"/>
        <s v="00K1V6EW" u="1"/>
        <s v="00K1V73Y" u="1"/>
        <s v="00K1V76Z" u="1"/>
        <s v="00K1WTCV" u="1"/>
        <s v="00K1X373" u="1"/>
        <s v="00K1X4XS" u="1"/>
        <s v="00K1X4Z3" u="1"/>
        <s v="00K1X56D" u="1"/>
        <s v="00K1XMOG" u="1"/>
        <s v="00K1XNW5" u="1"/>
        <s v="00K1XQ8T" u="1"/>
        <s v="00K1XV01" u="1"/>
        <s v="00K1XVNY" u="1"/>
        <s v="00K1XVRG" u="1"/>
        <s v="00K1XVUT" u="1"/>
        <s v="00K1Y2VI" u="1"/>
        <s v="00K1Y4AX" u="1"/>
        <s v="00K1Y4CZ" u="1"/>
        <s v="00K1Y8GR" u="1"/>
        <s v="00K1YYH1" u="1"/>
        <s v="00K1Z75T" u="1"/>
        <s v="00K20SX8" u="1"/>
        <s v="00K20T0X" u="1"/>
        <s v="00K20TDX" u="1"/>
        <s v="00K20U5Q" u="1"/>
        <s v="00K20U5Z" u="1"/>
        <s v="00K21132" u="1"/>
        <s v="00K2148F" u="1"/>
        <s v="00K2149F" u="1"/>
        <s v="00K214NV" u="1"/>
        <s v="00K21540" u="1"/>
        <s v="00K2154C" u="1"/>
        <s v="00K25SAN" u="1"/>
        <s v="00K25SCE" u="1"/>
        <s v="00K25SCP" u="1"/>
        <s v="00K25SE6" u="1"/>
        <s v="00K25SJW" u="1"/>
        <s v="00K25SLS" u="1"/>
        <s v="00K25SNL" u="1"/>
        <s v="00K25SP9" u="1"/>
        <s v="00K25SRW" u="1"/>
        <s v="00K25SVD" u="1"/>
        <s v="00K260C0" u="1"/>
        <s v="00K2679O" u="1"/>
        <s v="00K267BJ" u="1"/>
        <s v="00K267CT" u="1"/>
        <s v="00K267DI" u="1"/>
        <s v="00K26GXE" u="1"/>
        <s v="00K26JIA" u="1"/>
        <s v="00K26JJD" u="1"/>
        <s v="00K26JKK" u="1"/>
        <s v="00K26JMQ" u="1"/>
        <s v="00K26JN5" u="1"/>
        <s v="00K26JT1" u="1"/>
        <s v="00K26JTQ" u="1"/>
        <s v="00K26JUL" u="1"/>
        <s v="00K26JUZ" u="1"/>
        <s v="00K26JWD" u="1"/>
        <s v="00K26JXB" u="1"/>
        <s v="00K26JY8" u="1"/>
        <s v="00K26K0Z" u="1"/>
        <s v="00K26TT4" u="1"/>
        <s v="00K26TTI" u="1"/>
        <s v="00K26VH3" u="1"/>
        <s v="00K26VHJ" u="1"/>
        <s v="00K26VIQ" u="1"/>
        <s v="00K29GGQ" u="1"/>
        <s v="00K29IPK" u="1"/>
        <s v="00K29IXZ" u="1"/>
        <s v="00K29JG3" u="1"/>
        <s v="00K29WDX" u="1"/>
        <s v="00K2B0XW" u="1"/>
        <s v="00K2B1XW" u="1"/>
        <s v="00K2B5LO" u="1"/>
        <s v="00K2BBHB" u="1"/>
        <s v="00K2BBHW" u="1"/>
        <s v="00K2BBIG" u="1"/>
        <s v="00K2BCB8" u="1"/>
        <s v="00K2BCO0" u="1"/>
        <s v="00K2BCUQ" u="1"/>
        <s v="00K2CAMQ" u="1"/>
        <s v="00K2CHBL" u="1"/>
        <s v="00K2CHC1" u="1"/>
        <s v="00K2CHDE" u="1"/>
        <s v="00K2CHDK" u="1"/>
        <s v="00K2CIT7" u="1"/>
        <s v="00K2CONB" u="1"/>
        <s v="00K2COR8" u="1"/>
        <s v="00K2CWV2" u="1"/>
        <s v="00K2CWZT" u="1"/>
        <s v="00K2CZN1" u="1"/>
        <s v="00K2D1UV" u="1"/>
        <s v="00K2D53L" u="1"/>
        <s v="00K2D53N" u="1"/>
        <s v="00K2EZHX" u="1"/>
        <s v="00K2EZJ8" u="1"/>
        <s v="00K2EZS9" u="1"/>
        <s v="00K2EZZY" u="1"/>
        <s v="00K2F65Q" u="1"/>
        <s v="00K2FLDV" u="1"/>
        <s v="00K2FYQB" u="1"/>
        <s v="00K2FYWQ" u="1"/>
        <s v="00K2GUY6" u="1"/>
        <s v="00K2HCM0" u="1"/>
        <s v="00K2HD0Q" u="1"/>
        <s v="00K2HGS3" u="1"/>
        <s v="00K2HI2E" u="1"/>
        <s v="00JSTHEX" u="1"/>
        <s v="00JVPH5T" u="1"/>
        <s v="00JVQ4P3" u="1"/>
        <s v="00JVUP8F" u="1"/>
        <s v="00JVQ4V4" u="1"/>
        <s v="00JVQ4XS" u="1"/>
        <s v="00JVQ4W0" u="1"/>
        <s v="00JVQ4B0" u="1"/>
        <s v="00JVQ3UG" u="1"/>
        <s v="00JVQ3PG" u="1"/>
        <s v="00JVP2EK" u="1"/>
        <s v="00JVP3KM" u="1"/>
        <s v="00JVP3LX" u="1"/>
        <s v="00JVP85X" u="1"/>
        <s v="00JVQ426" u="1"/>
        <s v="00JW0C4M" u="1"/>
        <s v="00JVWUNH" u="1"/>
        <s v="00JW0C5D" u="1"/>
        <s v="00JW13LP" u="1"/>
        <s v="00JVWUQ3" u="1"/>
        <s v="00JVWUTY" u="1"/>
        <s v="00JVXKVW" u="1"/>
        <s v="00JVXKXG" u="1"/>
        <s v="00JW0BJT" u="1"/>
        <s v="00JW0BI8" u="1"/>
        <s v="00JW0C2Z" u="1"/>
        <s v="00JW0BKJ" u="1"/>
        <s v="00JVXOA7" u="1"/>
        <s v="00JVXO8N" u="1"/>
        <s v="00JVXKYZ" u="1"/>
        <s v="00JW0BNC" u="1"/>
        <s v="00JUB8FV" u="1"/>
        <s v="00JW1JVH" u="1"/>
        <s v="00JW1JOZ" u="1"/>
        <s v="00JW1E45" u="1"/>
        <s v="00JVXOEF" u="1"/>
        <s v="00JW1ES3" u="1"/>
        <s v="00JVXTS2" u="1"/>
        <s v="00JW1EMZ" u="1"/>
        <s v="00JVXTRR" u="1"/>
        <s v="00JVXP8B" u="1"/>
        <s v="00JW3IUQ" u="1"/>
        <s v="00JW3HX3" u="1"/>
        <s v="00JW3IAK" u="1"/>
        <s v="00JW3HY3" u="1"/>
        <s v="00JW3GRV" u="1"/>
        <s v="00JW3IAC" u="1"/>
        <s v="00JW3I7H" u="1"/>
        <s v="00JW2D0K" u="1"/>
        <s v="00JW2D3P" u="1"/>
        <s v="00JW2D8D" u="1"/>
        <s v="00JW2KKU" u="1"/>
        <s v="00JW3FDN" u="1"/>
        <s v="00JW3FF2" u="1"/>
        <s v="00JW3FKA" u="1"/>
        <s v="00JW3FL8" u="1"/>
        <s v="00JW3FNF" u="1"/>
        <s v="00JW3FNL" u="1"/>
        <s v="00JW3G8C" u="1"/>
        <s v="00JW3GC3" u="1"/>
        <s v="00JW3GSK" u="1"/>
        <s v="00JW3HVM" u="1"/>
        <s v="00JW3HWK" u="1"/>
        <s v="00JW54XK" u="1"/>
        <s v="00JW579F" u="1"/>
        <s v="00JW5B0X" u="1"/>
        <s v="00JW5CHA" u="1"/>
        <s v="00JW5DZJ" u="1"/>
        <s v="00JW5GR1" u="1"/>
        <s v="00JW5GU9" u="1"/>
        <s v="00JW5H1U" u="1"/>
        <s v="00JW5MB0" u="1"/>
        <s v="00JW5MCA" u="1"/>
        <s v="00JW69AY" u="1"/>
        <s v="00JW6974" u="1"/>
        <s v="00JWBWSR" u="1"/>
        <s v="00JWBYF1" u="1"/>
        <s v="00JW9U8T" u="1"/>
        <s v="00JW69NY" u="1"/>
        <s v="00JW67XF" u="1"/>
        <s v="00JWBTPH" u="1"/>
        <s v="00JWBGIC" u="1"/>
        <s v="00JWBGI9" u="1"/>
        <s v="00JWAQ47" u="1"/>
        <s v="00JW9VI4" u="1"/>
        <s v="00JW9UOK" u="1"/>
        <s v="00JW9U6I" u="1"/>
        <s v="00JW6A86" u="1"/>
        <s v="00JW6A7V" u="1"/>
        <s v="00JW69EG" u="1"/>
        <s v="00JW6A22" u="1"/>
        <s v="00JW6A8K" u="1"/>
        <s v="00JWA37T" u="1"/>
        <s v="00JWAC9K" u="1"/>
        <s v="00JWACC5" u="1"/>
        <s v="00JWBWPH" u="1"/>
        <s v="00JWBXB0" u="1"/>
        <s v="00JWBXOD" u="1"/>
        <s v="00JW699D" u="1"/>
        <s v="00JW6DL8" u="1"/>
        <s v="00JWBVJZ" u="1"/>
        <s v="00JW695Z" u="1"/>
        <s v="00JW6A6N" u="1"/>
        <s v="00JW6DXR" u="1"/>
        <s v="00JW689Q" u="1"/>
        <s v="00JWGKV1" u="1"/>
        <s v="00JWGKQU" u="1"/>
        <s v="00JWGKIB" u="1"/>
        <s v="00JWH0AB" u="1"/>
        <s v="00JWGKLS" u="1"/>
        <s v="00JXH9T9" u="1"/>
        <s v="00JXLDCO" u="1"/>
        <s v="00JXNAVW" u="1"/>
        <s v="00JXLC6B" u="1"/>
        <s v="00JXJER0" u="1"/>
        <s v="00JXJEUO" u="1"/>
        <s v="00JXJEZ8" u="1"/>
        <s v="00JXLEK3" u="1"/>
        <s v="00JXJCBC" u="1"/>
        <s v="00JXJRSJ" u="1"/>
        <s v="00JXJRY2" u="1"/>
        <s v="00JXJRYN" u="1"/>
        <s v="00JXJRZV" u="1"/>
        <s v="00JXJSD9" u="1"/>
        <s v="00JXJSW6" u="1"/>
        <s v="00JXJWVI" u="1"/>
        <s v="00JXJWXW" u="1"/>
        <s v="00JXJXB4" u="1"/>
        <s v="00JXJXCA" u="1"/>
        <s v="00JXLASL" u="1"/>
        <s v="00JXMDVN" u="1"/>
        <s v="00JV20KP" u="1"/>
        <s v="00JXJLUN" u="1"/>
        <s v="00JXJM31" u="1"/>
        <s v="00JXJPPH" u="1"/>
        <s v="00JXJQOJ" u="1"/>
        <s v="00JXJR56" u="1"/>
        <s v="00JXLEOG" u="1"/>
        <s v="00JXLJN1" u="1"/>
        <s v="00JXMYZY" u="1"/>
        <s v="00JXMZ38" u="1"/>
        <s v="00JXN5TT" u="1"/>
        <s v="00JXN67Z" u="1"/>
        <s v="00JXN6HV" u="1"/>
        <s v="00JXN6JT" u="1"/>
        <s v="00JXNV3F" u="1"/>
        <s v="00JXNU0E" u="1"/>
        <s v="00JXR7LD" u="1"/>
        <s v="00JXR7IQ" u="1"/>
        <s v="00JXPA9Q" u="1"/>
        <s v="00JXP92N" u="1"/>
        <s v="00JXP7M0" u="1"/>
        <s v="00JXNV9O" u="1"/>
        <s v="00JXP2IV" u="1"/>
        <s v="00JXP2KL" u="1"/>
        <s v="00JXP31H" u="1"/>
        <s v="00JXR7UE" u="1"/>
        <s v="00JXP59S" u="1"/>
        <s v="00JXP57R" u="1"/>
        <s v="00JXNJBO" u="1"/>
        <s v="00JXP2IW" u="1"/>
        <s v="00JXNQI2" u="1"/>
        <s v="00JXWR1J" u="1"/>
        <s v="00JXWQVG" u="1"/>
        <s v="00JXWQS2" u="1"/>
        <s v="00JXWQDJ" u="1"/>
        <s v="00JXWQBG" u="1"/>
        <s v="00JXRTVB" u="1"/>
        <s v="00JXRB0G" u="1"/>
        <s v="00JXWUHN" u="1"/>
        <s v="00JXYEJZ" u="1"/>
        <s v="00JXRSDY" u="1"/>
        <s v="00JXWRK0" u="1"/>
        <s v="00JXX867" u="1"/>
        <s v="00JXXLYP" u="1"/>
        <s v="00JXYBKL" u="1"/>
        <s v="00JXRDC4" u="1"/>
        <s v="00JXVX5Y" u="1"/>
        <s v="00JXRSIJ" u="1"/>
        <s v="00JXRTFR" u="1"/>
        <s v="00JXRTZ4" u="1"/>
        <s v="00JXVVWF" u="1"/>
        <s v="00JXXE4G" u="1"/>
        <s v="00JXXE72" u="1"/>
        <s v="00JXXEMI" u="1"/>
        <s v="00JXXV5E" u="1"/>
        <s v="00JY2SFX" u="1"/>
        <s v="00JY2THV" u="1"/>
        <s v="00JY2WS5" u="1"/>
        <s v="00JY2WSU" u="1"/>
        <s v="00JY2XEV" u="1"/>
        <s v="00JY2OCX" u="1"/>
        <s v="00JY2XF9" u="1"/>
        <s v="00JY2RSR" u="1"/>
        <s v="00JY3VP6" u="1"/>
        <s v="00JY3VTF" u="1"/>
        <s v="00JXXD2F" u="1"/>
        <s v="00JY3VLX" u="1"/>
        <s v="00JY3ARQ" u="1"/>
        <s v="00JY3CR4" u="1"/>
        <s v="00JY3CSS" u="1"/>
        <s v="00JY3AKD" u="1"/>
        <s v="00JY3AQS" u="1"/>
        <s v="00JY3CR0" u="1"/>
        <s v="00JY3AQK" u="1"/>
        <s v="00JY3DD8" u="1"/>
        <s v="00JYG6KP" u="1"/>
        <s v="00JYG6PF" u="1"/>
        <s v="00JYG6TQ" u="1"/>
        <s v="00JYG7GR" u="1"/>
        <s v="00JYG8IG" u="1"/>
        <s v="00JYG8W7" u="1"/>
        <s v="00JYG9EM" u="1"/>
        <s v="00JYGAKM" u="1"/>
        <s v="00JYGAYW" u="1"/>
        <s v="00JYHF52" u="1"/>
        <s v="00JYHKKK" u="1"/>
        <s v="00JY3CYA" u="1"/>
        <s v="00JYKWXR" u="1"/>
        <s v="00JYKWQO" u="1"/>
        <s v="00JYKW8B" u="1"/>
        <s v="00JYKW5G" u="1"/>
        <s v="00JYKVEU" u="1"/>
        <s v="00JYKV5A" u="1"/>
        <s v="00JYKV36" u="1"/>
        <s v="00JYKV2E" u="1"/>
        <s v="00JYKUYS" u="1"/>
        <s v="00JYKUSQ" u="1"/>
        <s v="00JYKUK6" u="1"/>
        <s v="00JYKUGE" u="1"/>
        <s v="00JYKUDF" u="1"/>
        <s v="00JYKU5G" u="1"/>
        <s v="00JYHRQI" u="1"/>
        <s v="00JYHRAF" u="1"/>
        <s v="00JYKX1Q" u="1"/>
        <s v="00JYL6B7" u="1"/>
        <s v="00JYNAF6" u="1"/>
        <s v="00JYID71" u="1"/>
        <s v="00JYI0I8" u="1"/>
        <s v="00JYLRGG" u="1"/>
        <s v="00JYNDZA" u="1"/>
        <s v="00JYLQHA" u="1"/>
        <s v="00JYLQKD" u="1"/>
        <s v="00JYLR6C" u="1"/>
        <s v="00JYLRNH" u="1"/>
        <s v="00JYNAGZ" u="1"/>
        <s v="00JYNB0N" u="1"/>
        <s v="00JYNPTC" u="1"/>
        <s v="00JYNPY7" u="1"/>
        <s v="00JYNQ1Q" u="1"/>
        <s v="00JYNQ37" u="1"/>
        <s v="00JYNUMP" u="1"/>
        <s v="00JYNVSM" u="1"/>
        <s v="00JYNVT3" u="1"/>
        <s v="00JYNW00" u="1"/>
        <s v="00JYPUMZ" u="1"/>
        <s v="00JYP4O3" u="1"/>
        <s v="00JYP4LF" u="1"/>
        <s v="00JYQ0C5" u="1"/>
        <s v="00JYPVR4" u="1"/>
        <s v="00JYPVN0" u="1"/>
        <s v="00JYPVJK" u="1"/>
        <s v="00JYPHHQ" u="1"/>
        <s v="00JYOOVW" u="1"/>
        <s v="00JYOOTY" u="1"/>
        <s v="00JYQN16" u="1"/>
        <s v="00JYQNJ8" u="1"/>
        <s v="00JYOJSL" u="1"/>
        <s v="00JYP4S5" u="1"/>
        <s v="00JYP4UT" u="1"/>
        <s v="00JYP4WB" u="1"/>
        <s v="00JYP5OG" u="1"/>
        <s v="00JYP5V6" u="1"/>
        <s v="00JYQB0K" u="1"/>
        <s v="00JYQB22" u="1"/>
        <s v="00JYQB99" u="1"/>
        <s v="00JYQC0Z" u="1"/>
        <s v="00JYQC1S" u="1"/>
        <s v="00JYQC2T" u="1"/>
        <s v="00JYNTLX" u="1"/>
        <s v="00JYNPXJ" u="1"/>
        <s v="00JYSAZT" u="1"/>
        <s v="00JYSB0G" u="1"/>
        <s v="00JYS77C" u="1"/>
        <s v="00JYS6GF" u="1"/>
        <s v="00JYS6P0" u="1"/>
        <s v="00JYRHEM" u="1"/>
        <s v="00JYRHG7" u="1"/>
        <s v="00JYS6KJ" u="1"/>
        <s v="00JYS6L7" u="1"/>
        <s v="00JYS75R" u="1"/>
        <s v="00JYSAWM" u="1"/>
        <s v="00JYSAYC" u="1"/>
        <s v="00JYSAXH" u="1"/>
        <s v="00JYSAV5" u="1"/>
        <s v="00JYS6OF" u="1"/>
        <s v="00JYS6PL" u="1"/>
        <s v="00JYS6PM" u="1"/>
        <s v="00JYS6Y4" u="1"/>
        <s v="00JYS6YH" u="1"/>
        <s v="00JYS6ZM" u="1"/>
        <s v="00JYS70H" u="1"/>
        <s v="00JYQHPF" u="1"/>
        <s v="00JYS6N5" u="1"/>
        <s v="00JYS5J6" u="1"/>
        <s v="00JYS6IW" u="1"/>
        <s v="00JYS6HA" u="1"/>
        <s v="00JYS6MR" u="1"/>
        <s v="00JYS6KX" u="1"/>
        <s v="00JYS6JQ" u="1"/>
        <s v="00JYS6J3" u="1"/>
        <s v="00JYS6I2" u="1"/>
        <s v="00JYRHDK" u="1"/>
        <s v="00JYRGKX" u="1"/>
        <s v="00JYQWAB" u="1"/>
        <s v="00JYS6JO" u="1"/>
        <s v="00JYQO6E" u="1"/>
        <s v="00JYRHFG" u="1"/>
        <s v="00JYOOSE" u="1"/>
        <s v="00JYQEQ2" u="1"/>
        <s v="00JYQHQZ" u="1"/>
        <s v="00JYRHT4" u="1"/>
        <s v="00JYRJNX" u="1"/>
        <s v="00JYRLJN" u="1"/>
        <s v="00JYS17I" u="1"/>
        <s v="00JYS6KM" u="1"/>
        <s v="00JYS7KZ" u="1"/>
        <s v="00JYXHU8" u="1"/>
        <s v="00JYXI0T" u="1"/>
        <s v="00JYXI3C" u="1"/>
        <s v="00JYXVCB" u="1"/>
        <s v="00JYSAMR" u="1"/>
        <s v="00JYX6GK" u="1"/>
        <s v="00JYX6JD" u="1"/>
        <s v="00JYX6KP" u="1"/>
        <s v="00JYXC5V" u="1"/>
        <s v="00JYXEXH" u="1"/>
        <s v="00JYXHIS" u="1"/>
        <s v="00JYXV4X" u="1"/>
        <s v="00JYXV6Y" u="1"/>
        <s v="00JYSQQ1" u="1"/>
        <s v="00JYXEYL" u="1"/>
        <s v="00JYXHK8" u="1"/>
        <s v="00JYXV66" u="1"/>
        <s v="00JYXDBZ" u="1"/>
        <s v="00JYX59Q" u="1"/>
        <s v="00JYX3OA" u="1"/>
        <s v="00JYSHPM" u="1"/>
        <s v="00JYY1AL" u="1"/>
        <s v="00JYY18F" u="1"/>
        <s v="00JYXXTH" u="1"/>
        <s v="00JYXW7H" u="1"/>
        <s v="00JYXW2B" u="1"/>
        <s v="00JYXVX8" u="1"/>
        <s v="00JYXVEW" u="1"/>
        <s v="00JYXVDH" u="1"/>
        <s v="00JYXV91" u="1"/>
        <s v="00JYVW5A" u="1"/>
        <s v="00JYVW0E" u="1"/>
        <s v="00JYXC3O" u="1"/>
        <s v="00JYXI49" u="1"/>
        <s v="00JYXBN7" u="1"/>
        <s v="00JYX6OI" u="1"/>
        <s v="00JYXV4M" u="1"/>
        <s v="00JYXI2X" u="1"/>
        <s v="00JYXI1P" u="1"/>
        <s v="00JYXI0L" u="1"/>
        <s v="00JYXHXN" u="1"/>
        <s v="00JYXHW5" u="1"/>
        <s v="00JYXHW1" u="1"/>
        <s v="00JYXHT1" u="1"/>
        <s v="00JYXHOE" u="1"/>
        <s v="00JYXHH1" u="1"/>
        <s v="00JYXD85" u="1"/>
        <s v="00JYXD7O" u="1"/>
        <s v="00JYXCR5" u="1"/>
        <s v="00JYX57W" u="1"/>
        <s v="00JYX4K6" u="1"/>
        <s v="00JYX3AX" u="1"/>
        <s v="00JYSQQX" u="1"/>
        <s v="00JYW1GQ" u="1"/>
        <s v="00JYSHQ8" u="1"/>
        <s v="00JYSCHA" u="1"/>
        <s v="00JYSCD7" u="1"/>
        <s v="00JYWZUZ" u="1"/>
        <s v="00JYW33Y" u="1"/>
        <s v="00JYVNOL" u="1"/>
        <s v="00JYVNFV" u="1"/>
        <s v="00JYSQRB" u="1"/>
        <s v="00JYPG1X" u="1"/>
        <s v="00JZ6373" u="1"/>
        <s v="00JZ6377" u="1"/>
        <s v="00JZ638L" u="1"/>
        <s v="00JZ638Z" u="1"/>
        <s v="00JZ642R" u="1"/>
        <s v="00JZ643C" u="1"/>
        <s v="00JZ644H" u="1"/>
        <s v="00JZ6458" u="1"/>
        <s v="00JZ645B" u="1"/>
        <s v="00JZ646E" u="1"/>
        <s v="00JYYN6N" u="1"/>
        <s v="00JYYNSG" u="1"/>
        <s v="00JYYPC3" u="1"/>
        <s v="00JZ6332" u="1"/>
        <s v="00JZ6349" u="1"/>
        <s v="00JYYNYT" u="1"/>
        <s v="00JZ635K" u="1"/>
        <s v="00JZ6347" u="1"/>
        <s v="00JZ633P" u="1"/>
        <s v="00JZ631A" u="1"/>
        <s v="00JZ61ZX" u="1"/>
        <s v="00JZ619E" u="1"/>
        <s v="00JZ6159" u="1"/>
        <s v="00JZ611Q" u="1"/>
        <s v="00JZ52VI" u="1"/>
        <s v="00JZ52OK" u="1"/>
        <s v="00JZ50WA" u="1"/>
        <s v="00JZ23ZB" u="1"/>
        <s v="00JZ201J" u="1"/>
        <s v="00JZ1ZSW" u="1"/>
        <s v="00JYYPBW" u="1"/>
        <s v="00JYYNBD" u="1"/>
        <s v="00JYYNX6" u="1"/>
        <s v="00JYYNVY" u="1"/>
        <s v="00JYYNUZ" u="1"/>
        <s v="00JYYNUP" u="1"/>
        <s v="00JYYNX7" u="1"/>
        <s v="00JYYNVX" u="1"/>
        <s v="00JYYNSX" u="1"/>
        <s v="00JYY641" u="1"/>
        <s v="00JYY1LE" u="1"/>
        <s v="00JYYNA9" u="1"/>
        <s v="00JYYMYL" u="1"/>
        <s v="00JYYCJU" u="1"/>
        <s v="00JYYCAE" u="1"/>
        <s v="00JYY2YE" u="1"/>
        <s v="00JZ5ZAT" u="1"/>
        <s v="00JZ2505" u="1"/>
        <s v="00JZ24Z5" u="1"/>
        <s v="00JZ24UU" u="1"/>
        <s v="00JZ24T9" u="1"/>
        <s v="00JZ23Z3" u="1"/>
        <s v="00JYYH7W" u="1"/>
        <s v="00JYYGDG" u="1"/>
        <s v="00JYYF4T" u="1"/>
        <s v="00JYYEHC" u="1"/>
        <s v="00JYYCIM" u="1"/>
        <s v="00JYYCF4" u="1"/>
        <s v="00JYYCCZ" u="1"/>
        <s v="00JYYCBT" u="1"/>
        <s v="00JYYB7A" u="1"/>
        <s v="00JYYB20" u="1"/>
        <s v="00JZ59X1" u="1"/>
        <s v="00JZ5TWI" u="1"/>
        <s v="00JZ56WU" u="1"/>
        <s v="00JYYNU1" u="1"/>
        <s v="00JZBYL4" u="1"/>
        <s v="00JZBYXZ" u="1"/>
        <s v="00JZBN61" u="1"/>
        <s v="00JZBN2R" u="1"/>
        <s v="00JZBEQY" u="1"/>
        <s v="00JZBE70" u="1"/>
        <s v="00JZBDRH" u="1"/>
        <s v="00JZBAZ2" u="1"/>
        <s v="00JZ6SYP" u="1"/>
        <s v="00JZ6RU1" u="1"/>
        <s v="00JZ6RTU" u="1"/>
        <s v="00JZ6R5G" u="1"/>
        <s v="00JZBN2U" u="1"/>
        <s v="00JZBE8J" u="1"/>
        <s v="00JZBDZ2" u="1"/>
        <s v="00JZBDVO" u="1"/>
        <s v="00JZBB11" u="1"/>
        <s v="00JZBAXB" u="1"/>
        <s v="00JZBAIP" u="1"/>
        <s v="00JZBAFA" u="1"/>
        <s v="00JZB9Z7" u="1"/>
        <s v="00JZ6UJD" u="1"/>
        <s v="00JZ6UKS" u="1"/>
        <s v="00JZ6UK5" u="1"/>
        <s v="00JZ6T34" u="1"/>
        <s v="00JZ6SZL" u="1"/>
        <s v="00JZ6SY1" u="1"/>
        <s v="00JZ6SOP" u="1"/>
        <s v="00JZ6SOC" u="1"/>
        <s v="00JZ6SO1" u="1"/>
        <s v="00JZ6RTA" u="1"/>
        <s v="00JZ6RNG" u="1"/>
        <s v="00JZ6RMA" u="1"/>
        <s v="00JZ6RFF" u="1"/>
        <s v="00JZ6QLM" u="1"/>
        <s v="00JZ6QIB" u="1"/>
        <s v="00JZ6Q91" u="1"/>
        <s v="00JZ6Q5R" u="1"/>
        <s v="00JZ6Q1W" u="1"/>
        <s v="00JZ6OD9" u="1"/>
        <s v="00JZ6O1U" u="1"/>
        <s v="00JZ6O0P" u="1"/>
        <s v="00JZ6NYD" u="1"/>
        <s v="00JZ6NWN" u="1"/>
        <s v="00JZ6UAN" u="1"/>
        <s v="00JZBZ1V" u="1"/>
        <s v="00JZBYZ6" u="1"/>
        <s v="00JZBYXT" u="1"/>
        <s v="00JZBYK6" u="1"/>
        <s v="00JZBYIP" u="1"/>
        <s v="00JZBYHN" u="1"/>
        <s v="00JZBY8V" u="1"/>
        <s v="00JZBY7H" u="1"/>
        <s v="00JZBY5V" u="1"/>
        <s v="00JZBNO3" u="1"/>
        <s v="00JZBN81" u="1"/>
        <s v="00JZBN6Y" u="1"/>
        <s v="00JZBN4Y" u="1"/>
        <s v="00JZBN4Q" u="1"/>
        <s v="00JZBN3V" u="1"/>
        <s v="00JZBN2A" u="1"/>
        <s v="00JZBN23" u="1"/>
        <s v="00JZ6T1B" u="1"/>
        <s v="00JZ6RTM" u="1"/>
        <s v="00JZ6R68" u="1"/>
        <s v="00JZ6Q5O" u="1"/>
        <s v="00JZ6P8B" u="1"/>
        <s v="00JZ6OFY" u="1"/>
        <s v="00JZ6NZN" u="1"/>
        <s v="00JZBMDW" u="1"/>
        <s v="00JZBEAJ" u="1"/>
        <s v="00JZBDXQ" u="1"/>
        <s v="00JZBDQH" u="1"/>
        <s v="00JZBB45" u="1"/>
        <s v="00JZB9W3" u="1"/>
        <s v="00JZ6QCR" u="1"/>
        <s v="00JZ6NZ0" u="1"/>
        <s v="00JZC8VH" u="1"/>
        <s v="00JZC7XP" u="1"/>
        <s v="00JZC7W3" u="1"/>
        <s v="00JZC7TQ" u="1"/>
        <s v="00JZC7QE" u="1"/>
        <s v="00JZBZ2I" u="1"/>
        <s v="00JZ6PCJ" u="1"/>
        <s v="00JZBMG2" u="1"/>
        <s v="00JZBEYH" u="1"/>
        <s v="00JZBE4I" u="1"/>
        <s v="00JZBE2F" u="1"/>
        <s v="00JZBDW1" u="1"/>
        <s v="00JZBB4X" u="1"/>
        <s v="00JZBAX9" u="1"/>
        <s v="00JZ6UNT" u="1"/>
        <s v="00JZ6U8O" u="1"/>
        <s v="00JZ6T26" u="1"/>
        <s v="00JZ6RVT" u="1"/>
        <s v="00JZ6RVD" u="1"/>
        <s v="00JZ6RUP" u="1"/>
        <s v="00JZ6RRJ" u="1"/>
        <s v="00JZ6RC2" u="1"/>
        <s v="00JZ6QKP" u="1"/>
        <s v="00JZ6Q8H" u="1"/>
        <s v="00JZ6QCA" u="1"/>
        <s v="00JZ6R0W" u="1"/>
        <s v="00JZ6R9C" u="1"/>
        <s v="00JZ6RQD" u="1"/>
        <s v="00JZBLAJ" u="1"/>
        <s v="00JZ6UM1" u="1"/>
        <s v="00JZ6U73" u="1"/>
        <s v="00JZ6SXO" u="1"/>
        <s v="00JZ6RP7" u="1"/>
        <s v="00JZ6QHW" u="1"/>
        <s v="00JZ6Q6P" u="1"/>
        <s v="00JZ6Q8B" u="1"/>
        <s v="00JZBE53" u="1"/>
        <s v="00JZBE3S" u="1"/>
        <s v="00JZBDUK" u="1"/>
        <s v="00JZBDTA" u="1"/>
        <s v="00JZBDT6" u="1"/>
        <s v="00JZBDQ1" u="1"/>
        <s v="00JZBDPA" u="1"/>
        <s v="00JZBDJ6" u="1"/>
        <s v="00JZBDJ4" u="1"/>
        <s v="00JZBCIZ" u="1"/>
        <s v="00JZBBYB" u="1"/>
        <s v="00JZBBKH" u="1"/>
        <s v="00JZBB5O" u="1"/>
        <s v="00JZBAYV" u="1"/>
        <s v="00JZBANF" u="1"/>
        <s v="00JZBALL" u="1"/>
        <s v="00JZBALK" u="1"/>
        <s v="00JZBAKQ" u="1"/>
        <s v="00JZBAE1" u="1"/>
        <s v="00JZBA1C" u="1"/>
        <s v="00JZ6UNG" u="1"/>
        <s v="00JZ6ULK" u="1"/>
        <s v="00JZ6Q88" u="1"/>
        <s v="00JZ6Q63" u="1"/>
        <s v="00JZ6Q4M" u="1"/>
        <s v="00JZ6Q0P" u="1"/>
        <s v="00JZ6PGN" u="1"/>
        <s v="00JZ6PAG" u="1"/>
        <s v="00JZBN05" u="1"/>
        <s v="00JZBMTX" u="1"/>
        <s v="00JZBMHO" u="1"/>
        <s v="00JZBEHG" u="1"/>
        <s v="00JZBED7" u="1"/>
        <s v="00JZBECI" u="1"/>
        <s v="00JZ8VKU" u="1"/>
        <s v="00JZ6RA5" u="1"/>
        <s v="00JZ8VZ1" u="1"/>
        <s v="00JZBK96" u="1"/>
        <s v="00JZ8VSR" u="1"/>
        <s v="00JZBEWP" u="1"/>
        <s v="00JZ8US9" u="1"/>
        <s v="00JZ6NZT" u="1"/>
        <s v="00JZ6QOG" u="1"/>
        <s v="00JZ6R6R" u="1"/>
        <s v="00JZ6R8G" u="1"/>
        <s v="00JZ6RJF" u="1"/>
        <s v="00JZ6SNS" u="1"/>
        <s v="00JZ6U8N" u="1"/>
        <s v="00JZ6UAL" u="1"/>
        <s v="00JZ8TI0" u="1"/>
        <s v="00JZBO7M" u="1"/>
        <s v="00JZBOPT" u="1"/>
        <s v="00JZBR2L" u="1"/>
        <s v="00JZBR3X" u="1"/>
        <s v="00JZBS10" u="1"/>
        <s v="00JZBSFA" u="1"/>
        <s v="00JZBSH6" u="1"/>
        <s v="00JZBX4D" u="1"/>
        <s v="00JZF7BH" u="1"/>
        <s v="00JZF7EL" u="1"/>
        <s v="00JZEJCW" u="1"/>
        <s v="00JZEYGZ" u="1"/>
        <s v="00JZEKBO" u="1"/>
        <s v="00JZEMP0" u="1"/>
        <s v="00JZEK6R" u="1"/>
        <s v="00JZEK9A" u="1"/>
        <s v="00JZEYFR" u="1"/>
        <s v="00JZF0L9" u="1"/>
        <s v="00JZF0OH" u="1"/>
        <s v="00JZF0PG" u="1"/>
        <s v="00JZEK64" u="1"/>
        <s v="00JZEK4W" u="1"/>
        <s v="00JZEJEP" u="1"/>
        <s v="00JZC7WR" u="1"/>
        <s v="00JZFSOA" u="1"/>
        <s v="00JZFSNA" u="1"/>
        <s v="00JZF39L" u="1"/>
        <s v="00JZF37D" u="1"/>
        <s v="00JZF364" u="1"/>
        <s v="00JZF0QW" u="1"/>
        <s v="00JZF34Q" u="1"/>
        <s v="00JZEYVJ" u="1"/>
        <s v="00JZEYPI" u="1"/>
        <s v="00JZF0N2" u="1"/>
        <s v="00JZEYDL" u="1"/>
        <s v="00JZC8RS" u="1"/>
        <s v="00JZEYWZ" u="1"/>
        <s v="00JZEYN6" u="1"/>
        <s v="00JZEKF2" u="1"/>
        <s v="00JZEKAW" u="1"/>
        <s v="00JZF0O1" u="1"/>
        <s v="00JZF0JG" u="1"/>
        <s v="00JZEYJZ" u="1"/>
        <s v="00JZEYHL" u="1"/>
        <s v="00JZC8WG" u="1"/>
        <s v="00JZEYOJ" u="1"/>
        <s v="00JZCAHJ" u="1"/>
        <s v="00JZEYNQ" u="1"/>
        <s v="00JZEYO2" u="1"/>
        <s v="00JZF0JK" u="1"/>
        <s v="00JZF9I0" u="1"/>
        <s v="00JZVMZK" u="1"/>
        <s v="00JZVN5I" u="1"/>
        <s v="00JZVNIF" u="1"/>
        <s v="00JZVNIK" u="1"/>
        <s v="00JZVNJU" u="1"/>
        <s v="00JZVNPZ" u="1"/>
        <s v="00JZVNS5" u="1"/>
        <s v="00JZVNUD" u="1"/>
        <s v="00JZVNVO" u="1"/>
        <s v="00JZVNWV" u="1"/>
        <s v="00JZVNZY" u="1"/>
        <s v="00JZVRC9" u="1"/>
        <s v="00JZVMYO" u="1"/>
        <s v="00JZVMWF" u="1"/>
        <s v="00JZUG67" u="1"/>
        <s v="00JZUG5V" u="1"/>
        <s v="00JZUG5N" u="1"/>
        <s v="00JZUG3T" u="1"/>
        <s v="00JZUG2I" u="1"/>
        <s v="00JZUFE9" u="1"/>
        <s v="00JZTALC" u="1"/>
        <s v="00JZTAKJ" u="1"/>
        <s v="00JZUG7N" u="1"/>
        <s v="00JZU95R" u="1"/>
        <s v="00JZU94Z" u="1"/>
        <s v="00JZU946" u="1"/>
        <s v="00JZU93P" u="1"/>
        <s v="00JZU93C" u="1"/>
        <s v="00JZU937" u="1"/>
        <s v="00JZU923" u="1"/>
        <s v="00JZU91N" u="1"/>
        <s v="00JZU8XH" u="1"/>
        <s v="00JZU8X6" u="1"/>
        <s v="00JZU8VJ" u="1"/>
        <s v="00JZU8UA" u="1"/>
        <s v="00JZU8U1" u="1"/>
        <s v="00JZU8TC" u="1"/>
        <s v="00JZTQHE" u="1"/>
        <s v="00JZTQCY" u="1"/>
        <s v="00JZTQCF" u="1"/>
        <s v="00JZTQBX" u="1"/>
        <s v="00JZTQBK" u="1"/>
        <s v="00JZTQ59" u="1"/>
        <s v="00JZVRIX" u="1"/>
        <s v="00JZUG6O" u="1"/>
        <s v="00JZVHLD" u="1"/>
        <s v="00JZG7AW" u="1"/>
        <s v="00JZU96I" u="1"/>
        <s v="00JZU96X" u="1"/>
        <s v="00JZTQGJ" u="1"/>
        <s v="00JZU8VV" u="1"/>
        <s v="00JZU8XZ" u="1"/>
        <s v="00JZU8RZ" u="1"/>
        <s v="00JZU8SJ" u="1"/>
        <s v="00JZU95I" u="1"/>
        <s v="00JZTQFU" u="1"/>
        <s v="00K008DT" u="1"/>
        <s v="00K00KME" u="1"/>
        <s v="00K00KSH" u="1"/>
        <s v="00K00M6K" u="1"/>
        <s v="00K00MNB" u="1"/>
        <s v="00K00TOI" u="1"/>
        <s v="00K00X62" u="1"/>
        <s v="00K0199X" u="1"/>
        <s v="00K01AF1" u="1"/>
        <s v="00K01AL8" u="1"/>
        <s v="00JZW9ZH" u="1"/>
        <s v="00JZWD3L" u="1"/>
        <s v="00JZYSON" u="1"/>
        <s v="00JZZZIC" u="1"/>
        <s v="00K001WE" u="1"/>
        <s v="00K00M4E" u="1"/>
        <s v="00K00MJZ" u="1"/>
        <s v="00K0199A" u="1"/>
        <s v="00K002UG" u="1"/>
        <s v="00K00KOD" u="1"/>
        <s v="00K00X31" u="1"/>
        <s v="00K01AK7" u="1"/>
        <s v="00JZW6RT" u="1"/>
        <s v="00K000VI" u="1"/>
        <s v="00K000RP" u="1"/>
        <s v="00K000QF" u="1"/>
        <s v="00JZYUP6" u="1"/>
        <s v="00K01AOF" u="1"/>
        <s v="00K01AJ4" u="1"/>
        <s v="00K01AHC" u="1"/>
        <s v="00K01AG4" u="1"/>
        <s v="00K01ADU" u="1"/>
        <s v="00K01AAR" u="1"/>
        <s v="00K01A9F" u="1"/>
        <s v="00K01A70" u="1"/>
        <s v="00K01999" u="1"/>
        <s v="00K000XI" u="1"/>
        <s v="00K000Z7" u="1"/>
        <s v="00K002SQ" u="1"/>
        <s v="00K005OJ" u="1"/>
        <s v="00K00890" u="1"/>
        <s v="00K00TYU" u="1"/>
        <s v="00K00VVT" u="1"/>
        <s v="00K00WGO" u="1"/>
        <s v="00K00WIB" u="1"/>
        <s v="00K00WNM" u="1"/>
        <s v="00K00X7W" u="1"/>
        <s v="00JZW6Q6" u="1"/>
        <s v="00JZW6T6" u="1"/>
        <s v="00JZW6VO" u="1"/>
        <s v="00JZW6XL" u="1"/>
        <s v="00K00M1U" u="1"/>
        <s v="00K00TRW" u="1"/>
        <s v="00K00WXN" u="1"/>
        <s v="00JZW6UE" u="1"/>
        <s v="00JZW9OH" u="1"/>
        <s v="00JZWA09" u="1"/>
        <s v="00JZWC4C" u="1"/>
        <s v="00JZZZQ5" u="1"/>
        <s v="00K0010S" u="1"/>
        <s v="00K0012R" u="1"/>
        <s v="00K001NV" u="1"/>
        <s v="00K002PV" u="1"/>
        <s v="00K00KTZ" u="1"/>
        <s v="00K00LW4" u="1"/>
        <s v="00K00LXZ" u="1"/>
        <s v="00K00LYR" u="1"/>
        <s v="00K00M55" u="1"/>
        <s v="00K00M8D" u="1"/>
        <s v="00K00M9E" u="1"/>
        <s v="00K00MAD" u="1"/>
        <s v="00K00MIH" u="1"/>
        <s v="00K00MMH" u="1"/>
        <s v="00K00QBE" u="1"/>
        <s v="00K00R2I" u="1"/>
        <s v="00K00R4B" u="1"/>
        <s v="00K00TWG" u="1"/>
        <s v="00JZWE7O" u="1"/>
        <s v="00JZW979" u="1"/>
        <s v="00JZWC8S" u="1"/>
        <s v="00K01762" u="1"/>
        <s v="00K000HC" u="1"/>
        <s v="00JZWCSA" u="1"/>
        <s v="00JZWCB6" u="1"/>
        <s v="00K000JK" u="1"/>
        <s v="00K000DF" u="1"/>
        <s v="00K000AK" u="1"/>
        <s v="00K031T5" u="1"/>
        <s v="00K031PO" u="1"/>
        <s v="00K02OC1" u="1"/>
        <s v="00K02OBB" u="1"/>
        <s v="00K02OAS" u="1"/>
        <s v="00K033CW" u="1"/>
        <s v="00K033JY" u="1"/>
        <s v="00K034PN" u="1"/>
        <s v="00K034QT" u="1"/>
        <s v="00K034X2" u="1"/>
        <s v="00K034Y0" u="1"/>
        <s v="00K035AF" u="1"/>
        <s v="00K001LJ" u="1"/>
        <s v="00K02HGP" u="1"/>
        <s v="00K01S4V" u="1"/>
        <s v="00K01S39" u="1"/>
        <s v="00K01RYH" u="1"/>
        <s v="00K01RV0" u="1"/>
        <s v="00K01QDZ" u="1"/>
        <s v="00K01QFK" u="1"/>
        <s v="00K01QQE" u="1"/>
        <s v="00K01QSG" u="1"/>
        <s v="00K01QTS" u="1"/>
        <s v="00K01R15" u="1"/>
        <s v="00K01R2F" u="1"/>
        <s v="00K01RCK" u="1"/>
        <s v="00K01RNR" u="1"/>
        <s v="00K01ZPL" u="1"/>
        <s v="00K03NFU" u="1"/>
        <s v="00K03M79" u="1"/>
        <s v="00K02XDH" u="1"/>
        <s v="00K02JX5" u="1"/>
        <s v="00K02HKL" u="1"/>
        <s v="00K02HFP" u="1"/>
        <s v="00K02HCM" u="1"/>
        <s v="00K020DN" u="1"/>
        <s v="00K020D6" u="1"/>
        <s v="00K020CR" u="1"/>
        <s v="00K020AW" u="1"/>
        <s v="00K0209U" u="1"/>
        <s v="00K01ZQD" u="1"/>
        <s v="00K01ZCR" u="1"/>
        <s v="00K01YFW" u="1"/>
        <s v="00K01XIT" u="1"/>
        <s v="00K01XBQ" u="1"/>
        <s v="00K01XAX" u="1"/>
        <s v="00K01U6H" u="1"/>
        <s v="00K01RBU" u="1"/>
        <s v="00K01ZQO" u="1"/>
        <s v="00K05F5H" u="1"/>
        <s v="00K05FRR" u="1"/>
        <s v="00K05BJK" u="1"/>
        <s v="00K05BT3" u="1"/>
        <s v="00K05DEH" u="1"/>
        <s v="00K05DF4" u="1"/>
        <s v="00K06X3D" u="1"/>
        <s v="00K05BM5" u="1"/>
        <s v="00K05F6H" u="1"/>
        <s v="00K06JW8" u="1"/>
        <s v="00K06MGS" u="1"/>
        <s v="00K06MWA" u="1"/>
        <s v="00K05DX6" u="1"/>
        <s v="00K05BKC" u="1"/>
        <s v="00K06XAW" u="1"/>
        <s v="00K06K13" u="1"/>
        <s v="00K06IV8" u="1"/>
        <s v="00K05DZ2" u="1"/>
        <s v="00K05DXY" u="1"/>
        <s v="00K05DGQ" u="1"/>
        <s v="00K05DCX" u="1"/>
        <s v="00K05BL7" u="1"/>
        <s v="00K05APY" u="1"/>
        <s v="00K06MY5" u="1"/>
        <s v="00K06WOL" u="1"/>
        <s v="00K06WE5" u="1"/>
        <s v="00K05H3A" u="1"/>
        <s v="00K05FRN" u="1"/>
        <s v="00K05CEL" u="1"/>
        <s v="00K06JI5" u="1"/>
        <s v="00K05H44" u="1"/>
        <s v="00K05FP9" u="1"/>
        <s v="00K06JCV" u="1"/>
        <s v="00K05DYJ" u="1"/>
        <s v="00K06NOI" u="1"/>
        <s v="00K05DWV" u="1"/>
        <s v="00K05DWP" u="1"/>
        <s v="00K05BRU" u="1"/>
        <s v="00K06WF0" u="1"/>
        <s v="00K05A4Z" u="1"/>
        <s v="00K069V8" u="1"/>
        <s v="00K06EYR" u="1"/>
        <s v="00K06MYU" u="1"/>
        <s v="00K06LZN" u="1"/>
        <s v="00K091H8" u="1"/>
        <s v="00K091G2" u="1"/>
        <s v="00K09118" u="1"/>
        <s v="00K08ZLU" u="1"/>
        <s v="00K08ZKN" u="1"/>
        <s v="00K08ZE7" u="1"/>
        <s v="00K08Z9S" u="1"/>
        <s v="00K07IU2" u="1"/>
        <s v="00K07ITL" u="1"/>
        <s v="00K07AAM" u="1"/>
        <s v="00K097XP" u="1"/>
        <s v="00K09B2N" u="1"/>
        <s v="00K06X65" u="1"/>
        <s v="00K073BW" u="1"/>
        <s v="00K09FDH" u="1"/>
        <s v="00K08WKQ" u="1"/>
        <s v="ZWLH5ZVM" u="1"/>
        <s v="00JQL7C4" u="1"/>
        <s v="00JRYE14" u="1"/>
        <s v="00JRXQCJ" u="1"/>
        <s v="00JRY7BK" u="1"/>
        <s v="00JRYAWN" u="1"/>
        <s v="00JRXVTI" u="1"/>
        <s v="00JRXYM3" u="1"/>
        <s v="00JRXV0V" u="1"/>
        <s v="00JRV7VV" u="1"/>
        <s v="00JRY6VZ" u="1"/>
        <s v="00JRYWXV" u="1"/>
        <s v="00JRYMJI" u="1"/>
        <s v="00JRTNLY" u="1"/>
        <s v="00JS65NZ" u="1"/>
        <s v="00JS65NL" u="1"/>
        <s v="00JS65M7" u="1"/>
        <s v="00JS65ER" u="1"/>
        <s v="00JS65DY" u="1"/>
        <s v="00JS65D5" u="1"/>
        <s v="00JS65CI" u="1"/>
        <s v="00JS65M0" u="1"/>
        <s v="00JS65JO" u="1"/>
        <s v="00JS65IU" u="1"/>
        <s v="00JS65IH" u="1"/>
        <s v="00JS65I3" u="1"/>
        <s v="00JS65HU" u="1"/>
        <s v="00JS65FZ" u="1"/>
        <s v="00JS65F1" u="1"/>
        <s v="00JS65BN" u="1"/>
        <s v="00JS65B1" u="1"/>
        <s v="00JS65A1" u="1"/>
        <s v="00JS659F" u="1"/>
        <s v="00JS658N" u="1"/>
        <s v="00JS6559" u="1"/>
        <s v="00JS654Q" u="1"/>
        <s v="00JS652T" u="1"/>
        <s v="00JS651R" u="1"/>
        <s v="00JS6512" u="1"/>
        <s v="00JS64YP" u="1"/>
        <s v="00JS64VQ" u="1"/>
        <s v="00JS64VI" u="1"/>
        <s v="00JS64T0" u="1"/>
        <s v="00JS64SF" u="1"/>
        <s v="00JS65O7" u="1"/>
        <s v="00JS6BSZ" u="1"/>
        <s v="00JS6BSS" u="1"/>
        <s v="00JS6B48" u="1"/>
        <s v="00JS6B3P" u="1"/>
        <s v="00JS6B3H" u="1"/>
        <s v="00JS6B3G" u="1"/>
        <s v="00JS6B2W" u="1"/>
        <s v="00JS6B2Q" u="1"/>
        <s v="00JS6B28" u="1"/>
        <s v="00JS6B19" u="1"/>
        <s v="00JS6B0U" u="1"/>
        <s v="00JS6AVH" u="1"/>
        <s v="00JS6AVF" u="1"/>
        <s v="00JS6AUF" u="1"/>
        <s v="00JS6AU2" u="1"/>
        <s v="00JS6ATE" u="1"/>
        <s v="00JS6AT1" u="1"/>
        <s v="00JS6ASS" u="1"/>
        <s v="00JS6ASB" u="1"/>
        <s v="00JS6AQZ" u="1"/>
        <s v="00JS69YA" u="1"/>
        <s v="00JS69RU" u="1"/>
        <s v="00JS69MY" u="1"/>
        <s v="00JS69FB" u="1"/>
        <s v="00JS68CS" u="1"/>
        <s v="00JS666I" u="1"/>
        <s v="00JS6641" u="1"/>
        <s v="00JS65U1" u="1"/>
        <s v="00JS65S9" u="1"/>
        <s v="00JS65QO" u="1"/>
        <s v="00JS644E" u="1"/>
        <s v="00JS6FV2" u="1"/>
        <s v="00JS6FIY" u="1"/>
        <s v="00JS6FHR" u="1"/>
        <s v="00JS6F87" u="1"/>
        <s v="00JS6E4T" u="1"/>
        <s v="00JS6DW3" u="1"/>
        <s v="00JS6BS8" u="1"/>
        <s v="00JS6B2H" u="1"/>
        <s v="00JS6B0K" u="1"/>
        <s v="00JS6ARG" u="1"/>
        <s v="00JS68AT" u="1"/>
        <s v="00JS65A8" u="1"/>
        <s v="00JS657W" u="1"/>
        <s v="00JS767C" u="1"/>
        <s v="00JS6FFG" u="1"/>
        <s v="00JS6E3M" u="1"/>
        <s v="00JS6E35" u="1"/>
        <s v="00JS6E2R" u="1"/>
        <s v="00JS6E1U" u="1"/>
        <s v="00JS6E1N" u="1"/>
        <s v="00JS6DXA" u="1"/>
        <s v="00JS69G5" u="1"/>
        <s v="00JS665F" u="1"/>
        <s v="00JS65LX" u="1"/>
        <s v="00JS65K7" u="1"/>
        <s v="00JS65CX" u="1"/>
        <s v="00JS639D" u="1"/>
        <s v="00JS3WFH" u="1"/>
        <s v="00JRZHEG" u="1"/>
        <s v="00JRZH4S" u="1"/>
        <s v="00JRZECY" u="1"/>
        <s v="00JS6446" u="1"/>
        <s v="00JS63EE" u="1"/>
        <s v="00JS63DD" u="1"/>
        <s v="00JS63BV" u="1"/>
        <s v="00JS63B2" u="1"/>
        <s v="00JS6398" u="1"/>
        <s v="00JS638H" u="1"/>
        <s v="00JS636N" u="1"/>
        <s v="00JS62QB" u="1"/>
        <s v="00JS62PG" u="1"/>
        <s v="00JS62N6" u="1"/>
        <s v="00JS62LI" u="1"/>
        <s v="00JS5AC7" u="1"/>
        <s v="00JS59O7" u="1"/>
        <s v="00JS59MB" u="1"/>
        <s v="00JS50Z6" u="1"/>
        <s v="00JS3ZL2" u="1"/>
        <s v="00JS3ZIM" u="1"/>
        <s v="00JS3UQ7" u="1"/>
        <s v="00JS3UOL" u="1"/>
        <s v="00JS3UK9" u="1"/>
        <s v="00JRZIK2" u="1"/>
        <s v="00JRZI1Z" u="1"/>
        <s v="00JRZI08" u="1"/>
        <s v="00JRZHXR" u="1"/>
        <s v="00JRZHUT" u="1"/>
        <s v="00JRZHUA" u="1"/>
        <s v="00JRZHDI" u="1"/>
        <s v="00JRZHCE" u="1"/>
        <s v="00JRZH32" u="1"/>
        <s v="00JRZG3T" u="1"/>
        <s v="00JS6FDY" u="1"/>
        <s v="00JS6E6S" u="1"/>
        <s v="00JS6E5L" u="1"/>
        <s v="00JS6AC7" u="1"/>
        <s v="00JS69ZM" u="1"/>
        <s v="00JS668H" u="1"/>
        <s v="00JS65RI" u="1"/>
        <s v="00JS65QX" u="1"/>
        <s v="00JS65LT" u="1"/>
        <s v="00JS63CQ" u="1"/>
        <s v="00JS637U" u="1"/>
        <s v="00JS62RB" u="1"/>
        <s v="00JS62Q0" u="1"/>
        <s v="00JS5A7I" u="1"/>
        <s v="00JS58Y5" u="1"/>
        <s v="00JS3UTC" u="1"/>
        <s v="00JRZHZ8" u="1"/>
        <s v="00JRZHTG" u="1"/>
        <s v="00JRZHT9" u="1"/>
        <s v="00JRZH8T" u="1"/>
        <s v="00JS76A2" u="1"/>
        <s v="00JS7666" u="1"/>
        <s v="00JS765Q" u="1"/>
        <s v="00JS7626" u="1"/>
        <s v="00JS742S" u="1"/>
        <s v="00JS6FIU" u="1"/>
        <s v="00JS6E5C" u="1"/>
        <s v="00JS6E3U" u="1"/>
        <s v="00JS6E3H" u="1"/>
        <s v="00JS5A46" u="1"/>
        <s v="00JS6FDK" u="1"/>
        <s v="00JS6EZL" u="1"/>
        <s v="00JS6EUL" u="1"/>
        <s v="00JS6CVK" u="1"/>
        <s v="00JS6F5F" u="1"/>
        <s v="00JS6F3S" u="1"/>
        <s v="00JS6F1T" u="1"/>
        <s v="00JS6AOC" u="1"/>
        <s v="00JS6AM9" u="1"/>
        <s v="00JS6AKH" u="1"/>
        <s v="00JS3UTA" u="1"/>
        <s v="00JRZAK6" u="1"/>
        <s v="00JRZ4GO" u="1"/>
        <s v="00JS57S9" u="1"/>
        <s v="00JS64UQ" u="1"/>
        <s v="00JS664L" u="1"/>
        <s v="00JS6622" u="1"/>
        <s v="00JS6E38" u="1"/>
        <s v="00JS6FRG" u="1"/>
        <s v="00JS6FQB" u="1"/>
        <s v="00JS6FOV" u="1"/>
        <s v="00JS6FNW" u="1"/>
        <s v="00JS6FKM" u="1"/>
        <s v="00JS6FKK" u="1"/>
        <s v="00JS6FJ7" u="1"/>
        <s v="00JS6FIL" u="1"/>
        <s v="00JS6FHT" u="1"/>
        <s v="00JS6FG9" u="1"/>
        <s v="00JS6FG7" u="1"/>
        <s v="00JS6FF6" u="1"/>
        <s v="00JS6FF3" u="1"/>
        <s v="00JS6FDV" u="1"/>
        <s v="00JS6FCU" u="1"/>
        <s v="00JS6FCK" u="1"/>
        <s v="00JS6FBE" u="1"/>
        <s v="00JS6FAC" u="1"/>
        <s v="00JS6E5Q" u="1"/>
        <s v="00JS6E3Y" u="1"/>
        <s v="00JS6E3W" u="1"/>
        <s v="00JS6E26" u="1"/>
        <s v="00JS6E14" u="1"/>
        <s v="00JS6DXN" u="1"/>
        <s v="00JS6DXF" u="1"/>
        <s v="00JS6DVR" u="1"/>
        <s v="00JS6DVK" u="1"/>
        <s v="00JS6DVC" u="1"/>
        <s v="00JS6DTJ" u="1"/>
        <s v="00JS6BU1" u="1"/>
        <s v="00JS6FTO" u="1"/>
        <s v="00JS6AAH" u="1"/>
        <s v="00JS69WL" u="1"/>
        <s v="00JS69V6" u="1"/>
        <s v="00JS66BQ" u="1"/>
        <s v="00JS662Y" u="1"/>
        <s v="00JS65TV" u="1"/>
        <s v="00JS65P7" u="1"/>
        <s v="00JS65OD" u="1"/>
        <s v="00JS65CP" u="1"/>
        <s v="00JS63CJ" u="1"/>
        <s v="00JS637A" u="1"/>
        <s v="00JS62M1" u="1"/>
        <s v="00JS5A3F" u="1"/>
        <s v="00JS3ZE4" u="1"/>
        <s v="00JS3UXH" u="1"/>
        <s v="00JS3UME" u="1"/>
        <s v="00JRZIT8" u="1"/>
        <s v="00JRZINI" u="1"/>
        <s v="00JRZHF6" u="1"/>
        <s v="00JRZG2H" u="1"/>
        <s v="00JRZFXZ" u="1"/>
        <s v="00JRZFXS" u="1"/>
        <s v="00JRZE60" u="1"/>
        <s v="00JS7654" u="1"/>
        <s v="00JS7603" u="1"/>
        <s v="00JS75WQ" u="1"/>
        <s v="00JS75UE" u="1"/>
        <s v="00JS73PZ" u="1"/>
        <s v="00JS73EF" u="1"/>
        <s v="00JS6GLF" u="1"/>
        <s v="00JRZEAP" u="1"/>
        <s v="00JS65L5" u="1"/>
        <s v="00JRZHF2" u="1"/>
        <s v="00JRZHZT" u="1"/>
        <s v="00JS67H9" u="1"/>
        <s v="00JS76GE" u="1"/>
        <s v="00JS6DXT" u="1"/>
        <s v="00JS6BT8" u="1"/>
        <s v="00JS6B0Q" u="1"/>
        <s v="00JSAX68" u="1"/>
        <s v="00JSAUH7" u="1"/>
        <s v="00JSATVQ" u="1"/>
        <s v="00JSAXBZ" u="1"/>
        <s v="00JSAYDF" u="1"/>
        <s v="00JSAYEU" u="1"/>
        <s v="00JSATP3" u="1"/>
        <s v="00JSATNF" u="1"/>
        <s v="00JSATL0" u="1"/>
        <s v="00JSATHT" u="1"/>
        <s v="00JSATDJ" u="1"/>
        <s v="00JSAT1K" u="1"/>
        <s v="00JSASZN" u="1"/>
        <s v="00JSAYV4" u="1"/>
        <s v="00JSAYWP" u="1"/>
        <s v="00JSAYXB" u="1"/>
        <s v="00JSAYXX" u="1"/>
        <s v="00JSAYZV" u="1"/>
        <s v="00JSAZ2Y" u="1"/>
        <s v="00JSAZ73" u="1"/>
        <s v="00JS76GZ" u="1"/>
        <s v="00JS76Q9" u="1"/>
        <s v="00JS76T3" u="1"/>
        <s v="00JS76WU" u="1"/>
        <s v="00JS76YB" u="1"/>
        <s v="00JS9OS8" u="1"/>
        <s v="00JSAS1S" u="1"/>
        <s v="00JSATUB" u="1"/>
        <s v="00JSAX9W" u="1"/>
        <s v="00JSAZ95" u="1"/>
        <s v="00JS76J5" u="1"/>
        <s v="00JS76NV" u="1"/>
        <s v="00JS9OPJ" u="1"/>
        <s v="00JS9OVA" u="1"/>
        <s v="00JS9SSG" u="1"/>
        <s v="00JS9SVR" u="1"/>
        <s v="00JS9WP3" u="1"/>
        <s v="00JS9XA3" u="1"/>
        <s v="00JSA7RD" u="1"/>
        <s v="00JSA80Y" u="1"/>
        <s v="00JSALWE" u="1"/>
        <s v="00JSAM06" u="1"/>
        <s v="00JSAM2O" u="1"/>
        <s v="00JSANKC" u="1"/>
        <s v="00JSANMR" u="1"/>
        <s v="00JSANXQ" u="1"/>
        <s v="00JSAO2F" u="1"/>
        <s v="00JSAO4I" u="1"/>
        <s v="00JSAOX3" u="1"/>
        <s v="00JSAOYX" u="1"/>
        <s v="00JSARSE" u="1"/>
        <s v="00JSARWJ" u="1"/>
        <s v="00JSAS1K" u="1"/>
        <s v="00JSAM2J" u="1"/>
        <s v="00JSA1YA" u="1"/>
        <s v="00JS9ZZX" u="1"/>
        <s v="00JSBM00" u="1"/>
        <s v="00JSB071" u="1"/>
        <s v="00JSALG2" u="1"/>
        <s v="00JSA747" u="1"/>
        <s v="00JSA1LI" u="1"/>
        <s v="00JSA0H8" u="1"/>
        <s v="00JSARYM" u="1"/>
        <s v="00JSA4II" u="1"/>
        <s v="00JS9OUN" u="1"/>
        <s v="00JS9XHS" u="1"/>
        <s v="00JSARV8" u="1"/>
        <s v="00JSARWP" u="1"/>
        <s v="00JSAZCJ" u="1"/>
        <s v="00JSBHWL" u="1"/>
        <s v="00JS76RP" u="1"/>
        <s v="00JS76VO" u="1"/>
        <s v="00JS9OSZ" u="1"/>
        <s v="00JS9QRS" u="1"/>
        <s v="00JS9QVD" u="1"/>
        <s v="00JS9S1I" u="1"/>
        <s v="00JS9SR5" u="1"/>
        <s v="00JSATI3" u="1"/>
        <s v="00JSAVGZ" u="1"/>
        <s v="00JSAX71" u="1"/>
        <s v="00JSAX7I" u="1"/>
        <s v="00JSAX8J" u="1"/>
        <s v="00JSAX9D" u="1"/>
        <s v="00JSAYUX" u="1"/>
        <s v="00JSAZFO" u="1"/>
        <s v="00JSBI31" u="1"/>
        <s v="00JSAYZ4" u="1"/>
        <s v="00JSANAY" u="1"/>
        <s v="00JSA7DA" u="1"/>
        <s v="00JSAM1C" u="1"/>
        <s v="00JSAMB9" u="1"/>
        <s v="00JS7747" u="1"/>
        <s v="00JSAFHO" u="1"/>
        <s v="00JSB5L3" u="1"/>
        <s v="00JSAXIQ" u="1"/>
        <s v="00JSAS5W" u="1"/>
        <s v="00JSATXB" u="1"/>
        <s v="00JSAUF9" u="1"/>
        <s v="00JSEEOT" u="1"/>
        <s v="00JSEENO" u="1"/>
        <s v="00JSEEFG" u="1"/>
        <s v="00JSEEEI" u="1"/>
        <s v="00JSEE7G" u="1"/>
        <s v="00JSEEQ1" u="1"/>
        <s v="00JSEEQA" u="1"/>
        <s v="00JSEERI" u="1"/>
        <s v="00JSEN8G" u="1"/>
        <s v="00JSENA2" u="1"/>
        <s v="00JSENI1" u="1"/>
        <s v="00JSENJS" u="1"/>
        <s v="00JSENLM" u="1"/>
        <s v="00JSERA4" u="1"/>
        <s v="00JSERJ7" u="1"/>
        <s v="00JSERKC" u="1"/>
        <s v="00JSF2SM" u="1"/>
        <s v="00JSF3FZ" u="1"/>
        <s v="00JSEE6X" u="1"/>
        <s v="00JSEE6F" u="1"/>
        <s v="00JSEE50" u="1"/>
        <s v="00JSEE38" u="1"/>
        <s v="00JSEE1B" u="1"/>
        <s v="00JSEDIO" u="1"/>
        <s v="00JSEDBK" u="1"/>
        <s v="00JSEDB5" u="1"/>
        <s v="00JSEDA8" u="1"/>
        <s v="00JSED8T" u="1"/>
        <s v="00JSECZA" u="1"/>
        <s v="00JSECYH" u="1"/>
        <s v="00JSECY8" u="1"/>
        <s v="00JSECXV" u="1"/>
        <s v="00JSECXB" u="1"/>
        <s v="00JSECUW" u="1"/>
        <s v="00JSECTX" u="1"/>
        <s v="00JSBON8" u="1"/>
        <s v="00JSBNUQ" u="1"/>
        <s v="00JSEDEN" u="1"/>
        <s v="00JSECCS" u="1"/>
        <s v="00JSEAJY" u="1"/>
        <s v="00JSE2NB" u="1"/>
        <s v="00JSERNR" u="1"/>
        <s v="00JSEND1" u="1"/>
        <s v="00JSEN8X" u="1"/>
        <s v="00JSDYLA" u="1"/>
        <s v="00JSDNLN" u="1"/>
        <s v="00JSDNKR" u="1"/>
        <s v="00JSBCMU" u="1"/>
        <s v="00JRB7RO" u="1"/>
        <s v="00JSEDLB" u="1"/>
        <s v="00JSEE5F" u="1"/>
        <s v="00JSEE3Q" u="1"/>
        <s v="00JSEE0R" u="1"/>
        <s v="00JSEDYW" u="1"/>
        <s v="00JSEDAP" u="1"/>
        <s v="00JSENCB" u="1"/>
        <s v="00JSEEKC" u="1"/>
        <s v="00JSEEJT" u="1"/>
        <s v="00JSEEJQ" u="1"/>
        <s v="00JSEE82" u="1"/>
        <s v="00JSEE4C" u="1"/>
        <s v="00JSEDWE" u="1"/>
        <s v="00JSEDGW" u="1"/>
        <s v="00JSECWJ" u="1"/>
        <s v="00JSEDD5" u="1"/>
        <s v="00JSF2TA" u="1"/>
        <s v="00JSDF1S" u="1"/>
        <s v="00JSDRZD" u="1"/>
        <s v="00JSB042" u="1"/>
        <s v="00JSBC3C" u="1"/>
        <s v="00JSBC75" u="1"/>
        <s v="00JSBHLI" u="1"/>
        <s v="00JSBHQN" u="1"/>
        <s v="00JSBKWD" u="1"/>
        <s v="00JSBLYS" u="1"/>
        <s v="00JSECSB" u="1"/>
        <s v="00JSECVV" u="1"/>
        <s v="00JSER8U" u="1"/>
        <s v="00JSF2EF" u="1"/>
        <s v="00JSEN6H" u="1"/>
        <s v="00JSENDW" u="1"/>
        <s v="00JSEEFT" u="1"/>
        <s v="00JSIU86" u="1"/>
        <s v="00JSIUVK" u="1"/>
        <s v="00JSK4P9" u="1"/>
        <s v="00JSK4OJ" u="1"/>
        <s v="00JSK4O3" u="1"/>
        <s v="00JSIUW1" u="1"/>
        <s v="00JSIURF" u="1"/>
        <s v="00JSIU90" u="1"/>
        <s v="00JSIUKZ" u="1"/>
        <s v="00JSJYA4" u="1"/>
        <s v="00JSJLXN" u="1"/>
        <s v="00JSJHMD" u="1"/>
        <s v="00JSJHLQ" u="1"/>
        <s v="00JSJAKL" u="1"/>
        <s v="00JSIYWE" u="1"/>
        <s v="00JSIYV3" u="1"/>
        <s v="00JSIYUK" u="1"/>
        <s v="00JSIYU3" u="1"/>
        <s v="00JSIYTX" u="1"/>
        <s v="00JSIYSP" u="1"/>
        <s v="00JSIYSF" u="1"/>
        <s v="00JSIUPF" u="1"/>
        <s v="00JSIUA6" u="1"/>
        <s v="00JSIUW3" u="1"/>
        <s v="00JSIUSL" u="1"/>
        <s v="00JSIYS1" u="1"/>
        <s v="00JSIYRI" u="1"/>
        <s v="00JSIUUX" u="1"/>
        <s v="00JSIUUO" u="1"/>
        <s v="00JSIUT4" u="1"/>
        <s v="00JSIUSW" u="1"/>
        <s v="00JSIH2V" u="1"/>
        <s v="00JSIIXN" u="1"/>
        <s v="00JSIN21" u="1"/>
        <s v="00JSJ0DG" u="1"/>
        <s v="00JSJ0F2" u="1"/>
        <s v="00JSJYC0" u="1"/>
        <s v="00JSK4KO" u="1"/>
        <s v="00JSK4OR" u="1"/>
        <s v="00JSK4WF" u="1"/>
        <s v="00JSK43J" u="1"/>
        <s v="00JSF2CV" u="1"/>
        <s v="00JSSEDW" u="1"/>
        <s v="00JSSAK9" u="1"/>
        <s v="00JSSAIA" u="1"/>
        <s v="00JSSAA9" u="1"/>
        <s v="00JSS9DU" u="1"/>
        <s v="00JSS9CB" u="1"/>
        <s v="00JSS405" u="1"/>
        <s v="00JSS3MM" u="1"/>
        <s v="00JSS2LL" u="1"/>
        <s v="00JSS1UR" u="1"/>
        <s v="00JSS1TE" u="1"/>
        <s v="00JSRZNZ" u="1"/>
        <s v="00JSRZLG" u="1"/>
        <s v="00JSRZJQ" u="1"/>
        <s v="00JSRZGM" u="1"/>
        <s v="00JSRZ82" u="1"/>
        <s v="00JSRYYR" u="1"/>
        <s v="00JSRYW8" u="1"/>
        <s v="00JSQJFP" u="1"/>
        <s v="00JSQJAV" u="1"/>
        <s v="00JSQJ6G" u="1"/>
        <s v="00JSQJ27" u="1"/>
        <s v="00JSQITA" u="1"/>
        <s v="00JSMMGL" u="1"/>
        <s v="00JSMMEG" u="1"/>
        <s v="00JSMMAZ" u="1"/>
        <s v="00JSMLMX" u="1"/>
        <s v="00JSMKZY" u="1"/>
        <s v="00JSMKZQ" u="1"/>
        <s v="00JSMKUO" u="1"/>
        <s v="00JSQI1X" u="1"/>
        <s v="00JSMTMR" u="1"/>
        <s v="00JSML4L" u="1"/>
        <s v="00JSMKYS" u="1"/>
        <s v="00JSQIE9" u="1"/>
        <s v="00JSQICH" u="1"/>
        <s v="00JSP4PL" u="1"/>
        <s v="00JSMML3" u="1"/>
        <s v="00JSMMHQ" u="1"/>
        <s v="00JSMMAT" u="1"/>
        <s v="00JSMM8X" u="1"/>
        <s v="00JSMLNQ" u="1"/>
        <s v="00JSMLD1" u="1"/>
        <s v="00JSML8D" u="1"/>
        <s v="00JSSEHZ" u="1"/>
        <s v="00JSSEEK" u="1"/>
        <s v="00JSQIIZ" u="1"/>
        <s v="00JSMTQL" u="1"/>
        <s v="00JSMTOJ" u="1"/>
        <s v="00JSMTND" u="1"/>
        <s v="00JSMTMD" u="1"/>
        <s v="00JSMT9C" u="1"/>
        <s v="00JSMO8O" u="1"/>
        <s v="00JSMMMQ" u="1"/>
        <s v="00JSMMKY" u="1"/>
        <s v="00JSMMIR" u="1"/>
        <s v="00JSMMHH" u="1"/>
        <s v="00JSMMAV" u="1"/>
        <s v="00JSMMB4" u="1"/>
        <s v="00JSMMCC" u="1"/>
        <s v="00JSMMCQ" u="1"/>
        <s v="00JSMMET" u="1"/>
        <s v="00JSMMG8" u="1"/>
        <s v="00JSQIGR" u="1"/>
        <s v="00JSQIA9" u="1"/>
        <s v="00JSQHPZ" u="1"/>
        <s v="00JSQFE8" u="1"/>
        <s v="00JSQF9D" u="1"/>
        <s v="00JSQF5E" u="1"/>
        <s v="00JSQF2Q" u="1"/>
        <s v="00JSQERH" u="1"/>
        <s v="00JSQEPB" u="1"/>
        <s v="00JSPUSP" u="1"/>
        <s v="00JSP4SU" u="1"/>
        <s v="00JSP4R3" u="1"/>
        <s v="00JSP4P3" u="1"/>
        <s v="00JSP4GV" u="1"/>
        <s v="00JSMTYL" u="1"/>
        <s v="00JSMTY8" u="1"/>
        <s v="00JSMTY1" u="1"/>
        <s v="00JSMTXI" u="1"/>
        <s v="00JSMTW7" u="1"/>
        <s v="00JSMLCM" u="1"/>
        <s v="00JSML24" u="1"/>
        <s v="00JSML1O" u="1"/>
        <s v="00JSML0W" u="1"/>
        <s v="00JSMLRM" u="1"/>
        <s v="00JSMLPV" u="1"/>
        <s v="00JSMLAZ" u="1"/>
        <s v="00JSMM9Z" u="1"/>
        <s v="00JSMLND" u="1"/>
        <s v="00JSMLMB" u="1"/>
        <s v="00JSMLLS" u="1"/>
        <s v="00JSML8S" u="1"/>
        <s v="00JSML88" u="1"/>
        <s v="00JSML7U" u="1"/>
        <s v="00JSML6X" u="1"/>
        <s v="00JSML6G" u="1"/>
        <s v="00JSML5P" u="1"/>
        <s v="00JSML5D" u="1"/>
        <s v="00JSML44" u="1"/>
        <s v="00JSML3R" u="1"/>
        <s v="00JSML3L" u="1"/>
        <s v="00JSML36" u="1"/>
        <s v="00JSML2P" u="1"/>
        <s v="00JSML2L" u="1"/>
        <s v="00JSML21" u="1"/>
        <s v="00JSMKY8" u="1"/>
        <s v="00JSMKWQ" u="1"/>
        <s v="00JSMKVQ" u="1"/>
        <s v="00JSMKV8" u="1"/>
        <s v="00JSRH0H" u="1"/>
        <s v="00JSRHA6" u="1"/>
        <s v="00JSRHPC" u="1"/>
        <s v="00JSRI87" u="1"/>
        <s v="00JSRIIL" u="1"/>
        <s v="00JSRY6D" u="1"/>
        <s v="00JSRY85" u="1"/>
        <s v="00JSRYQA" u="1"/>
        <s v="00JSMH4P" u="1"/>
        <s v="00JSMJFH" u="1"/>
        <s v="00JSML3Y" u="1"/>
        <s v="00JSMSM3" u="1"/>
        <s v="00JSQY7L" u="1"/>
        <s v="00JSMEYN" u="1"/>
        <s v="00JSMEYS" u="1"/>
        <s v="00JSMJ4L" u="1"/>
        <s v="00JSMQPD" u="1"/>
        <s v="00JSRBQU" u="1"/>
        <s v="00JSMBUV" u="1"/>
        <s v="00JSMJ03" u="1"/>
        <s v="00JSMBYR" u="1"/>
        <s v="00JSK54D" u="1"/>
        <s v="00JSMTEH" u="1"/>
        <s v="00JSQIFZ" u="1"/>
        <s v="00JSS9B3" u="1"/>
        <s v="00JSS9CW" u="1"/>
        <s v="00JSSA2G" u="1"/>
        <s v="00JSML8O" u="1"/>
        <s v="00JSMBRV" u="1"/>
        <s v="00JSS625" u="1"/>
        <s v="00JT8S2I" u="1"/>
        <s v="00JT7W38" u="1"/>
        <s v="00JT9W7C" u="1"/>
        <s v="00JT9W6I" u="1"/>
        <s v="00JT9T7B" u="1"/>
        <s v="00JT9RZJ" u="1"/>
        <s v="00JT9N0G" u="1"/>
        <s v="00JT8XA6" u="1"/>
        <s v="00JT8S5O" u="1"/>
        <s v="00JT8OAJ" u="1"/>
        <s v="00JT8N38" u="1"/>
        <s v="00JT8J8Q" u="1"/>
        <s v="00JT8869" u="1"/>
        <s v="00JST1DD" u="1"/>
        <s v="00JSTHG6" u="1"/>
        <s v="00JSTHX7" u="1"/>
        <s v="00JSTHZM" u="1"/>
        <s v="00JSTI4I" u="1"/>
        <s v="00JST3KY" u="1"/>
        <s v="00JST168" u="1"/>
        <s v="00JST19I" u="1"/>
        <s v="00JT7UJN" u="1"/>
        <s v="00JT7UO7" u="1"/>
        <s v="00JT82XX" u="1"/>
        <s v="00JT8283" u="1"/>
        <s v="00JSTHGR" u="1"/>
        <s v="00JT9WCQ" u="1"/>
        <s v="00JT82OS" u="1"/>
        <s v="00JT84LQ" u="1"/>
        <s v="00JT82B2" u="1"/>
        <s v="00JT829L" u="1"/>
        <s v="00JT9WDS" u="1"/>
        <s v="00JT9Q3X" u="1"/>
        <s v="00JT9Q1P" u="1"/>
        <s v="00JT84B4" u="1"/>
        <s v="00JT9PG7" u="1"/>
        <s v="00JT9PHL" u="1"/>
        <s v="00JTFC58" u="1"/>
        <s v="00JTFC3N" u="1"/>
        <s v="00JTFC33" u="1"/>
        <s v="00JTFC6B" u="1"/>
        <s v="00JTFC82" u="1"/>
        <s v="00JTFCA1" u="1"/>
        <s v="00JTFC6F" u="1"/>
        <s v="00JTFC5B" u="1"/>
        <s v="00JTFDGR" u="1"/>
        <s v="00JTFC9R" u="1"/>
        <s v="00JTDM8U" u="1"/>
        <s v="00JTFDK2" u="1"/>
        <s v="00JTFDEI" u="1"/>
        <s v="00JTFDIJ" u="1"/>
        <s v="00JTFC8V" u="1"/>
        <s v="00JTDNRA" u="1"/>
        <s v="00JTDOYG" u="1"/>
        <s v="00JTDQHR" u="1"/>
        <s v="00JTF5KN" u="1"/>
        <s v="00JTD8RW" u="1"/>
        <s v="00JTHGUM" u="1"/>
        <s v="00JTHLFM" u="1"/>
        <s v="00JTHLU0" u="1"/>
        <s v="00JTHLVX" u="1"/>
        <s v="00JTHNIQ" u="1"/>
        <s v="00JTHO1A" u="1"/>
        <s v="00JTHLHY" u="1"/>
        <s v="00JTSVDC" u="1"/>
        <s v="00JTT6CI" u="1"/>
        <s v="00JTFUUX" u="1"/>
        <s v="00JTFUVO" u="1"/>
        <s v="00JTFV31" u="1"/>
        <s v="00JTFW8N" u="1"/>
        <s v="00JTGY2N" u="1"/>
        <s v="00JTTANR" u="1"/>
        <s v="00JTT88H" u="1"/>
        <s v="00JTT419" u="1"/>
        <s v="00JU01GX" u="1"/>
        <s v="00JTZUEC" u="1"/>
        <s v="00JU05RO" u="1"/>
        <s v="00JTZYMY" u="1"/>
        <s v="00JTZS4R" u="1"/>
        <s v="00JU005M" u="1"/>
        <s v="00JTZWJY" u="1"/>
        <s v="00JTZWDQ" u="1"/>
        <s v="00JTZTKS" u="1"/>
        <s v="00JTZWGB" u="1"/>
        <s v="00JTZV02" u="1"/>
        <s v="00JU05QT" u="1"/>
        <s v="00JU0087" u="1"/>
        <s v="00JTZWR3" u="1"/>
        <s v="00JTTEK2" u="1"/>
        <s v="00JTYEN0" u="1"/>
        <s v="00JTZQUT" u="1"/>
        <s v="00JTZS5W" u="1"/>
        <s v="00JTZUKA" u="1"/>
        <s v="00JU0CLN" u="1"/>
        <s v="00JU0EZP" u="1"/>
        <s v="00JTZLUN" u="1"/>
        <s v="00JTYEDI" u="1"/>
        <s v="00JTYEJO" u="1"/>
        <s v="00JTYFJI" u="1"/>
        <s v="00JTZTKH" u="1"/>
        <s v="00JTZUU8" u="1"/>
        <s v="00JU1L4D" u="1"/>
        <s v="00JU21ZF" u="1"/>
        <s v="00JU7UZM" u="1"/>
        <s v="00JU7WMQ" u="1"/>
        <s v="00JU1FDQ" u="1"/>
        <s v="00JU1FED" u="1"/>
        <s v="00JU1IZU" u="1"/>
        <s v="00JU1KKN" u="1"/>
        <s v="00JU1KT3" u="1"/>
        <s v="00JU7V0E" u="1"/>
        <s v="00JU7W9D" u="1"/>
        <s v="00JU7WAB" u="1"/>
        <s v="00JU1J0Y" u="1"/>
        <s v="00JU1JRR" u="1"/>
        <s v="00JU1KDE" u="1"/>
        <s v="00JU7WA1" u="1"/>
        <s v="00JU7WM3" u="1"/>
        <s v="00JU7WP0" u="1"/>
        <s v="00JU1FFF" u="1"/>
        <s v="00JU1HLJ" u="1"/>
        <s v="00JU1L03" u="1"/>
        <s v="00JU1KXT" u="1"/>
        <s v="00JU1KU9" u="1"/>
        <s v="00JU1KK3" u="1"/>
        <s v="00JU1JU7" u="1"/>
        <s v="00JU1JU6" u="1"/>
        <s v="00JU1J3X" u="1"/>
        <s v="00JU1J30" u="1"/>
        <s v="00JU1FCP" u="1"/>
        <s v="00JU7WDY" u="1"/>
        <s v="00JU7WDG" u="1"/>
        <s v="00JU7WCP" u="1"/>
        <s v="00JU7WBA" u="1"/>
        <s v="00JU7WAK" u="1"/>
        <s v="00JU7W8Z" u="1"/>
        <s v="00JU1J4N" u="1"/>
        <s v="00JU729F" u="1"/>
        <s v="00JU6Y0R" u="1"/>
        <s v="00JU71Z7" u="1"/>
        <s v="00JU7213" u="1"/>
        <s v="00JU7UXK" u="1"/>
        <s v="00JU726N" u="1"/>
        <s v="00JU71MB" u="1"/>
        <s v="00JU71IO" u="1"/>
        <s v="00JU71G6" u="1"/>
        <s v="00JU1LPN" u="1"/>
        <s v="00JU1L68" u="1"/>
        <s v="00JU1L2Z" u="1"/>
        <s v="00JU1J67" u="1"/>
        <s v="00JU1HP0" u="1"/>
        <s v="00JU7V1W" u="1"/>
        <s v="00JU7V0S" u="1"/>
        <s v="00JU72CY" u="1"/>
        <s v="00JU7258" u="1"/>
        <s v="00JU7230" u="1"/>
        <s v="00JU21YV" u="1"/>
        <s v="00JU21YF" u="1"/>
        <s v="00JU1LNM" u="1"/>
        <s v="00JU1LMQ" u="1"/>
        <s v="00JU1LLC" u="1"/>
        <s v="00JU1L7E" u="1"/>
        <s v="00JU1KRX" u="1"/>
        <s v="00JU1KIK" u="1"/>
        <s v="00JU1KG4" u="1"/>
        <s v="00JU1KFX" u="1"/>
        <s v="00JU1JVD" u="1"/>
        <s v="00JU1JT2" u="1"/>
        <s v="00JU1JOF" u="1"/>
        <s v="00JU1JNI" u="1"/>
        <s v="00JU1HO6" u="1"/>
        <s v="00JU1FH5" u="1"/>
        <s v="00JU1FE6" u="1"/>
        <s v="00JU8WWO" u="1"/>
        <s v="00JU1IQR" u="1"/>
        <s v="00JU1CLZ" u="1"/>
        <s v="00JU1C4D" u="1"/>
        <s v="00JU8WQK" u="1"/>
        <s v="00JU1EY6" u="1"/>
        <s v="00JUBCB5" u="1"/>
        <s v="00JUBCA1" u="1"/>
        <s v="00JUBCDV" u="1"/>
        <s v="00JUBCGH" u="1"/>
        <s v="00JUBC6G" u="1"/>
        <s v="00JUBBZ5" u="1"/>
        <s v="00JUBBUV" u="1"/>
        <s v="00JUBBT0" u="1"/>
        <s v="00JUBCHC" u="1"/>
        <s v="00JUBCHO" u="1"/>
        <s v="00JUBCI7" u="1"/>
        <s v="00JUBE2K" u="1"/>
        <s v="00JUBE3M" u="1"/>
        <s v="00JUBFAY" u="1"/>
        <s v="00JUBFC0" u="1"/>
        <s v="00JUBG8N" u="1"/>
        <s v="00JUC764" u="1"/>
        <s v="00JUBBS6" u="1"/>
        <s v="00JUBBQP" u="1"/>
        <s v="00JUB97C" u="1"/>
        <s v="00JUB95S" u="1"/>
        <s v="00JUB928" u="1"/>
        <s v="00JUB922" u="1"/>
        <s v="00JUB90U" u="1"/>
        <s v="00JUB8Y5" u="1"/>
        <s v="00JUB8VH" u="1"/>
        <s v="00JUB8TL" u="1"/>
        <s v="00JU9H3Y" u="1"/>
        <s v="00JU9GRI" u="1"/>
        <s v="00JU9GGK" u="1"/>
        <s v="00JU9G2S" u="1"/>
        <s v="00JU939F" u="1"/>
        <s v="00JU936A" u="1"/>
        <s v="00JUCP94" u="1"/>
        <s v="00JUCP20" u="1"/>
        <s v="00JUCJLW" u="1"/>
        <s v="00JUBF5K" u="1"/>
        <s v="00JUBE59" u="1"/>
        <s v="00JUBE3R" u="1"/>
        <s v="00JUBE1J" u="1"/>
        <s v="00JUB8NP" u="1"/>
        <s v="00JUB8JR" u="1"/>
        <s v="00JUB8IB" u="1"/>
        <s v="00JUB8E8" u="1"/>
        <s v="00JUB8DL" u="1"/>
        <s v="00JU9IC1" u="1"/>
        <s v="00JU9IBJ" u="1"/>
        <s v="00JU9IAU" u="1"/>
        <s v="00JU9I9A" u="1"/>
        <s v="00JU9I8Y" u="1"/>
        <s v="00JU9I8L" u="1"/>
        <s v="00JU9I88" u="1"/>
        <s v="00JU9I7X" u="1"/>
        <s v="00JU9I76" u="1"/>
        <s v="00JU9I6G" u="1"/>
        <s v="00JU9GZ8" u="1"/>
        <s v="00JU9GR2" u="1"/>
        <s v="00JU9I7R" u="1"/>
        <s v="00JUD9LC" u="1"/>
        <s v="00JUCPAL" u="1"/>
        <s v="00JUCPF1" u="1"/>
        <s v="00JUE6QF" u="1"/>
        <s v="00JUE6RP" u="1"/>
        <s v="00JUE6TY" u="1"/>
        <s v="00JUE6V6" u="1"/>
        <s v="00JUEFV4" u="1"/>
        <s v="00JUES0X" u="1"/>
        <s v="00JUES2U" u="1"/>
        <s v="00JUET11" u="1"/>
        <s v="00JUFG0V" u="1"/>
        <s v="00JUE1P2" u="1"/>
        <s v="00JUE4BL" u="1"/>
        <s v="00JUE53U" u="1"/>
        <s v="00JUE69O" u="1"/>
        <s v="00JUE5EO" u="1"/>
        <s v="00JUE4DJ" u="1"/>
        <s v="00JUH8V2" u="1"/>
        <s v="00JUGK82" u="1"/>
        <s v="00JUHNB5" u="1"/>
        <s v="00JUHOLK" u="1"/>
        <s v="00JUHKP5" u="1"/>
        <s v="ZWLGR02D" u="1"/>
        <s v="00JUICN1" u="1"/>
        <s v="00JUGK64" u="1"/>
        <s v="00JUJRQK" u="1"/>
        <s v="00JUJRX8" u="1"/>
        <s v="00JUOJE8" u="1"/>
        <s v="00JULVSC" u="1"/>
        <s v="00JUOMKA" u="1"/>
        <s v="00JUT8AA" u="1"/>
        <s v="00JUT7BG" u="1"/>
        <s v="00JUT7DJ" u="1"/>
        <s v="00JUT7Q7" u="1"/>
        <s v="00JUT7UO" u="1"/>
        <s v="00JUT7AW" u="1"/>
        <s v="00JUSKYH" u="1"/>
        <s v="00JUW0AF" u="1"/>
        <s v="00JUSWEI" u="1"/>
        <s v="00JUURF2" u="1"/>
        <s v="00JUURH0" u="1"/>
        <s v="00JUUVUM" u="1"/>
        <s v="00JUUTBN" u="1"/>
        <s v="00JUUVVN" u="1"/>
        <s v="00JUT7VD" u="1"/>
        <s v="00JUT7SO" u="1"/>
        <s v="00JUT87Y" u="1"/>
        <s v="00JUT89C" u="1"/>
        <s v="00JUT8AM" u="1"/>
        <s v="00JUY940" u="1"/>
        <s v="00JUXLWD" u="1"/>
        <s v="00JUXJCZ" u="1"/>
        <s v="00JUXJ73" u="1"/>
        <s v="00JUXE6I" u="1"/>
        <s v="00JUYTHP" u="1"/>
        <s v="00JUXL8K" u="1"/>
        <s v="00JUXL2V" u="1"/>
        <s v="00JUXJLT" u="1"/>
        <s v="00JUYUM9" u="1"/>
        <s v="00JUYTKT" u="1"/>
        <s v="00JUYK5R" u="1"/>
        <s v="00JUXLWC" u="1"/>
        <s v="00JUXLT3" u="1"/>
        <s v="00JUXJL2" u="1"/>
        <s v="00JUYCEI" u="1"/>
        <s v="00JUZ1G5" u="1"/>
        <s v="00JUZHHM" u="1"/>
        <s v="00JUZZM5" u="1"/>
        <s v="00JUZZUE" u="1"/>
        <s v="00JUXJKO" u="1"/>
        <s v="00JUXLSR" u="1"/>
        <s v="00JUXLX2" u="1"/>
        <s v="00JUYG74" u="1"/>
        <s v="00JUYT6I" u="1"/>
        <s v="00JUYUHO" u="1"/>
        <s v="00JV35WD" u="1"/>
        <s v="00JV34PM" u="1"/>
        <s v="00JV34JX" u="1"/>
        <s v="00JV32ZX" u="1"/>
        <s v="00JV34JZ" u="1"/>
        <s v="00JV3314" u="1"/>
        <s v="00JV32CW" u="1"/>
        <s v="00JV31E4" u="1"/>
        <s v="00JV3BPR" u="1"/>
        <s v="00JV32VO" u="1"/>
        <s v="00JV32SC" u="1"/>
        <s v="00JV30UU" u="1"/>
        <s v="00JV35Y6" u="1"/>
        <s v="00JV365H" u="1"/>
        <s v="00JV3FIA" u="1"/>
        <s v="00JV3H6M" u="1"/>
        <s v="00JV30MG" u="1"/>
        <s v="00JV0RPO" u="1"/>
        <s v="00JV300G" u="1"/>
        <s v="00JV30TB" u="1"/>
        <s v="00JVFVCN" u="1"/>
        <s v="00JVFVH4" u="1"/>
        <s v="00JV3PAL" u="1"/>
        <s v="00JV3OZA" u="1"/>
        <s v="00JV3P05" u="1"/>
        <s v="00JV3SBC" u="1"/>
        <s v="00JV3S9G" u="1"/>
        <s v="00JVG2SD" u="1"/>
        <s v="00JVGA5D" u="1"/>
        <s v="00JVK8X3" u="1"/>
        <s v="00JVH3RH" u="1"/>
        <s v="00JVH3FK" u="1"/>
        <s v="00JVH3AO" u="1"/>
        <s v="00JVH39Q" u="1"/>
        <s v="00JVH38B" u="1"/>
        <s v="00JVH34V" u="1"/>
        <s v="00JVLAQR" u="1"/>
        <s v="00JVL7E4" u="1"/>
        <s v="00JVKKYV" u="1"/>
        <s v="00JVH3RZ" u="1"/>
        <s v="00JVH3H5" u="1"/>
        <s v="00JVH37D" u="1"/>
        <s v="00JVKA1K" u="1"/>
        <s v="00JVK8U7" u="1"/>
        <s v="00JVGSU2" u="1"/>
        <s v="00JVLBWS" u="1"/>
        <s v="00JVJH5U" u="1"/>
        <s v="00JVKYCV" u="1"/>
        <s v="00JVKB5S" u="1"/>
        <s v="00JVKDLK" u="1"/>
        <s v="00JVKH8Z" u="1"/>
        <s v="00JVH37R" u="1"/>
        <s v="00JVJHUS" u="1"/>
        <s v="00JVJH5Y" u="1"/>
        <s v="00JVJHLE" u="1"/>
        <s v="00JVJIGV" u="1"/>
        <s v="00JVJNRO" u="1"/>
        <s v="00JVJOHU" u="1"/>
        <s v="00JVJNW2" u="1"/>
        <s v="00JVGAK8" u="1"/>
        <s v="00JVGRK9" u="1"/>
        <s v="00JVGKVV" u="1"/>
        <s v="00JVKKVO" u="1"/>
        <s v="00JOUQ6K" u="1"/>
        <s v="00JOUQER" u="1"/>
        <s v="00JOURYS" u="1"/>
        <s v="00JOUS5P" u="1"/>
        <s v="00JOUS8U" u="1"/>
        <s v="00JOUSGX" u="1"/>
        <s v="00JOUSZ7" u="1"/>
        <s v="00JOUT6G" u="1"/>
        <s v="00JOUT7A" u="1"/>
        <s v="00JOUTAE" u="1"/>
        <s v="00JOUTR7" u="1"/>
        <s v="00JOUU22" u="1"/>
        <s v="00JOUUWV" u="1"/>
        <s v="00JOUUXX" u="1"/>
        <s v="00JOUVHP" u="1"/>
        <s v="00JOUVXZ" u="1"/>
        <s v="00JOUW6H" u="1"/>
        <s v="00JOUW75" u="1"/>
        <s v="00JOUWC9" u="1"/>
        <s v="00JOUXRN" u="1"/>
        <s v="00JOUY09" u="1"/>
        <s v="00JOUY2E" u="1"/>
        <s v="00JOUYDW" u="1"/>
        <s v="00JOUYEJ" u="1"/>
        <s v="00JOUYUW" u="1"/>
        <s v="00JOX70O" u="1"/>
        <s v="00JOX75D" u="1"/>
        <s v="00JOX7F7" u="1"/>
        <s v="00JOXC9A" u="1"/>
        <s v="00JOXCDQ" u="1"/>
        <s v="00JOXFTQ" u="1"/>
        <s v="00JOXK0S" u="1"/>
        <s v="00JOXK2B" u="1"/>
        <s v="00JOXK50" u="1"/>
        <s v="00JOXK6E" u="1"/>
        <s v="00JOXK7G" u="1"/>
        <s v="00JOXKGO" u="1"/>
        <s v="00JOXKHO" u="1"/>
        <s v="00JOXKO2" u="1"/>
        <s v="00JOXKOV" u="1"/>
        <s v="00JOXM5O" u="1"/>
        <s v="00JOXM71" u="1"/>
        <s v="00JOXMAD" u="1"/>
        <s v="00JOXMFK" u="1"/>
        <s v="00JOXMGL" u="1"/>
        <s v="00JOXMHS" u="1"/>
        <s v="00JOXMIK" u="1"/>
        <s v="00JOY49O" u="1"/>
        <s v="00JP1YDL" u="1"/>
        <s v="00JP1YE3" u="1"/>
        <s v="00JP1YEN" u="1"/>
        <s v="00JP1Z54" u="1"/>
        <s v="00JP1ZE2" u="1"/>
        <s v="00JP1ZF2" u="1"/>
        <s v="00JP1ZKP" u="1"/>
        <s v="00JP23KD" u="1"/>
        <s v="00JP23KV" u="1"/>
        <s v="00JP2BRY" u="1"/>
        <s v="00JP2BSB" u="1"/>
        <s v="00JP2VA8" u="1"/>
        <s v="00JP2VAA" u="1"/>
        <s v="00JP2ZXD" u="1"/>
        <s v="00JP30NM" u="1"/>
        <s v="00JP311T" u="1"/>
        <s v="00JP31JU" u="1"/>
        <s v="00JP3BA9" u="1"/>
        <s v="00JP3BBA" u="1"/>
        <s v="00JP3BCC" u="1"/>
        <s v="00JP3BDD" u="1"/>
        <s v="00JP3M1G" u="1"/>
        <s v="00JP3M44" u="1"/>
        <s v="00JP3M88" u="1"/>
        <s v="00JP3NDO" u="1"/>
        <s v="00JP3NQ7" u="1"/>
        <s v="00JP3NSY" u="1"/>
        <s v="00JP3OER" u="1"/>
        <s v="00JP3OTW" u="1"/>
        <s v="00JP4LND" u="1"/>
        <s v="00JP4P7G" u="1"/>
        <s v="00JP4PCW" u="1"/>
        <s v="00JP4PNO" u="1"/>
        <s v="00JP4PYB" u="1"/>
        <s v="00JP4Q0L" u="1"/>
        <s v="00JP4Q5F" u="1"/>
        <s v="00JP4QD2" u="1"/>
        <s v="00JP4QG9" u="1"/>
        <s v="00JP4QKX" u="1"/>
        <s v="00JP4TJQ" u="1"/>
        <s v="00JP4TW6" u="1"/>
        <s v="00JP4V74" u="1"/>
        <s v="00JP4VA6" u="1"/>
        <s v="00JP4VBO" u="1"/>
        <s v="00JP4VH4" u="1"/>
        <s v="00JP4WK3" u="1"/>
        <s v="00JP616U" u="1"/>
        <s v="00JP7XDF" u="1"/>
        <s v="00JP7XES" u="1"/>
        <s v="00JP7XK4" u="1"/>
        <s v="00JP7XMD" u="1"/>
        <s v="00JP7XS0" u="1"/>
        <s v="00JP7Y07" u="1"/>
        <s v="00JP7Y90" u="1"/>
        <s v="00JP7YC8" u="1"/>
        <s v="00JP7YFC" u="1"/>
        <s v="00JP7YGQ" u="1"/>
        <s v="00JP7YNY" u="1"/>
        <s v="00JP7YOG" u="1"/>
        <s v="00JP7YRZ" u="1"/>
        <s v="00JP7YTL" u="1"/>
        <s v="00JP7YYY" u="1"/>
        <s v="00JP7Z25" u="1"/>
        <s v="00JP7Z6V" u="1"/>
        <s v="00JP7ZE3" u="1"/>
        <s v="00JP7ZGP" u="1"/>
        <s v="00JP81IN" u="1"/>
        <s v="00JP81R8" u="1"/>
        <s v="00JP81TN" u="1"/>
        <s v="00JP81TO" u="1"/>
        <s v="00JP81VE" u="1"/>
        <s v="00JP81WC" u="1"/>
        <s v="00JP82U1" u="1"/>
        <s v="00JP830N" u="1"/>
        <s v="00JP832W" u="1"/>
        <s v="00JP84CC" u="1"/>
        <s v="00JP84DL" u="1"/>
        <s v="00JP84S9" u="1"/>
        <s v="00JP8556" u="1"/>
        <s v="00JP856J" u="1"/>
        <s v="00JP859G" u="1"/>
        <s v="00JP85DA" u="1"/>
        <s v="00JP88KV" u="1"/>
        <s v="00JP88SD" u="1"/>
        <s v="00JP88VI" u="1"/>
        <s v="00JP8A1H" u="1"/>
        <s v="00JP8AAW" u="1"/>
        <s v="00JP8BFE" u="1"/>
        <s v="00JP8BT3" u="1"/>
        <s v="00JP8CIG" u="1"/>
        <s v="00JP8EKZ" u="1"/>
        <s v="00JP8IXH" u="1"/>
        <s v="00JP8IZM" u="1"/>
        <s v="00JP8J2C" u="1"/>
        <s v="00JP8JAK" u="1"/>
        <s v="00JP8JCA" u="1"/>
        <s v="00JP8JG1" u="1"/>
        <s v="00JP8JVZ" u="1"/>
        <s v="00JP8JW4" u="1"/>
        <s v="00JP8KUK" u="1"/>
        <s v="00JP8KXA" u="1"/>
        <s v="00JP8KYD" u="1"/>
        <s v="00JP8L0G" u="1"/>
        <s v="00JP8L33" u="1"/>
        <s v="00JP8L36" u="1"/>
        <s v="00JP8L65" u="1"/>
        <s v="00JP8L72" u="1"/>
        <s v="00JP8LDK" u="1"/>
        <s v="00JP8LGM" u="1"/>
        <s v="00JP8LKN" u="1"/>
        <s v="00JP8LLM" u="1"/>
        <s v="00JP8LMX" u="1"/>
        <s v="00JP8LRU" u="1"/>
        <s v="00JP8LUB" u="1"/>
        <s v="00JP8LVX" u="1"/>
        <s v="00JP8LW9" u="1"/>
        <s v="00JP8LY5" u="1"/>
        <s v="00JP8NES" u="1"/>
        <s v="00JP8NF0" u="1"/>
        <s v="00JP8NGY" u="1"/>
        <s v="00JP8NH0" u="1"/>
        <s v="00JP8NTS" u="1"/>
        <s v="00JP8NUU" u="1"/>
        <s v="00JP8NX2" u="1"/>
        <s v="00JP8NX9" u="1"/>
        <s v="00JP8NXG" u="1"/>
        <s v="00JP8NY3" u="1"/>
        <s v="00JP8NZM" u="1"/>
        <s v="00JP8O0R" u="1"/>
        <s v="00JP8O2F" u="1"/>
        <s v="00JP8O2U" u="1"/>
        <s v="00JP8O7A" u="1"/>
        <s v="00JP8O7Q" u="1"/>
        <s v="00JP8O9T" u="1"/>
        <s v="00JP8OAA" u="1"/>
        <s v="00JP8PHX" u="1"/>
        <s v="00JP8PIB" u="1"/>
        <s v="00JP95GE" u="1"/>
        <s v="00JP9600" u="1"/>
        <s v="00JP9602" u="1"/>
        <s v="00JP961M" u="1"/>
        <s v="00JP962Y" u="1"/>
        <s v="00JP9660" u="1"/>
        <s v="00JP967W" u="1"/>
        <s v="00JP9685" u="1"/>
        <s v="00JP96E8" u="1"/>
        <s v="00JP96FJ" u="1"/>
        <s v="00JP96GF" u="1"/>
        <s v="00JP96LH" u="1"/>
        <s v="00JP96OH" u="1"/>
        <s v="00JP96ON" u="1"/>
        <s v="00JP96PS" u="1"/>
        <s v="00JP96QK" u="1"/>
        <s v="00JP96RD" u="1"/>
        <s v="00JP96YS" u="1"/>
        <s v="00JP970H" u="1"/>
        <s v="00JP970V" u="1"/>
        <s v="00JP9D8A" u="1"/>
        <s v="00JP9I6I" u="1"/>
        <s v="00JP9U6T" u="1"/>
        <s v="00JP9Y81" u="1"/>
        <s v="00JPA2ZH" u="1"/>
        <s v="00JPCRVK" u="1"/>
        <s v="00JPCRXC" u="1"/>
        <s v="00JPCT5D" u="1"/>
        <s v="00JPCU0E" u="1"/>
        <s v="00JPCUE3" u="1"/>
        <s v="00JPCUQC" u="1"/>
        <s v="00JPCUR4" u="1"/>
        <s v="00JPCUZ3" u="1"/>
        <s v="00JPCV10" u="1"/>
        <s v="00JPCV2H" u="1"/>
        <s v="00JPCVH4" u="1"/>
        <s v="00JPCVHU" u="1"/>
        <s v="00JPCVSH" u="1"/>
        <s v="00JPCVTF" u="1"/>
        <s v="00JPCVUK" u="1"/>
        <s v="00JPD0YD" u="1"/>
        <s v="00JPD5ZO" u="1"/>
        <s v="00JPD68L" u="1"/>
        <s v="00JPD7ER" u="1"/>
        <s v="00JPD7JH" u="1"/>
        <s v="00JPD820" u="1"/>
        <s v="00JPD83M" u="1"/>
        <s v="00JPD8JN" u="1"/>
        <s v="00JPD8R0" u="1"/>
        <s v="00JPD8TD" u="1"/>
        <s v="00JPD8WC" u="1"/>
        <s v="00JPD8X7" u="1"/>
        <s v="00JPD8ZM" u="1"/>
        <s v="00JPD8ZW" u="1"/>
        <s v="00JPD90C" u="1"/>
        <s v="00JPD90L" u="1"/>
        <s v="00JPD962" u="1"/>
        <s v="00JPD9D0" u="1"/>
        <s v="00JPD9EV" u="1"/>
        <s v="00JPDAEH" u="1"/>
        <s v="00JPDAHY" u="1"/>
        <s v="00JPDBP2" u="1"/>
        <s v="00JPDBRT" u="1"/>
        <s v="00JPDF9J" u="1"/>
        <s v="00JPDFEK" u="1"/>
        <s v="00JPDFJC" u="1"/>
        <s v="00JPDFSK" u="1"/>
        <s v="00JPDFYU" u="1"/>
        <s v="00JPDGEE" u="1"/>
        <s v="00JPDGLC" u="1"/>
        <s v="00JPDGLR" u="1"/>
        <s v="00JPDGNT" u="1"/>
        <s v="00JPDGP3" u="1"/>
        <s v="00JPDGP9" u="1"/>
        <s v="00JPDGPI" u="1"/>
        <s v="00JPDGPN" u="1"/>
        <s v="00JPDGPV" u="1"/>
        <s v="00JPDGQK" u="1"/>
        <s v="00JPDGQV" u="1"/>
        <s v="00JPDGRA" u="1"/>
        <s v="00JPDGRW" u="1"/>
        <s v="00JPDGTP" u="1"/>
        <s v="00JPDL29" u="1"/>
        <s v="00JPDLVJ" u="1"/>
        <s v="00JPDLW7" u="1"/>
        <s v="00JPDLWF" u="1"/>
        <s v="00JPDLY8" u="1"/>
        <s v="00JPDMEJ" u="1"/>
        <s v="00JPDMEQ" u="1"/>
        <s v="00JPDMFT" u="1"/>
        <s v="00JPDMFV" u="1"/>
        <s v="00JPDMHH" u="1"/>
        <s v="00JPDMIQ" u="1"/>
        <s v="00JPDMO7" u="1"/>
        <s v="00JPDNEM" u="1"/>
        <s v="00JPDNFT" u="1"/>
        <s v="00JPDNFY" u="1"/>
        <s v="00JPDNGU" u="1"/>
        <s v="00JPDNH5" u="1"/>
        <s v="00JPDNIX" u="1"/>
        <s v="00JPDNK3" u="1"/>
        <s v="00JPDNKB" u="1"/>
        <s v="00JPDNL9" u="1"/>
        <s v="00JPDNNV" u="1"/>
        <s v="00JPDNOH" u="1"/>
        <s v="00JPDNYY" u="1"/>
        <s v="00JPDNZZ" u="1"/>
        <s v="00JPDO11" u="1"/>
        <s v="00JPDPSQ" u="1"/>
        <s v="00JPDPVX" u="1"/>
        <s v="00JPDPWM" u="1"/>
        <s v="00JPDQ3A" u="1"/>
        <s v="00JPDQ6R" u="1"/>
        <s v="00JPDQBA" u="1"/>
        <s v="00JPDQGT" u="1"/>
        <s v="00JPDQL7" u="1"/>
        <s v="00JPDQMF" u="1"/>
        <s v="00JPDQNX" u="1"/>
        <s v="00JPDR0N" u="1"/>
        <s v="00JPDR1P" u="1"/>
        <s v="00JPDT6W" u="1"/>
        <s v="00JPDT85" u="1"/>
        <s v="00JPDUPC" u="1"/>
        <s v="00JPDUQD" u="1"/>
        <s v="00JPDVIY" u="1"/>
        <s v="00JPDWRE" u="1"/>
        <s v="00JPDXBW" u="1"/>
        <s v="00JPE1EA" u="1"/>
        <s v="00JPE1L0" u="1"/>
        <s v="00JPIC0N" u="1"/>
        <s v="00JPIC6A" u="1"/>
        <s v="00JPJFEH" u="1"/>
        <s v="00JPJFVE" u="1"/>
        <s v="00JPJQ95" u="1"/>
        <s v="00JPJQVF" u="1"/>
        <s v="00JPK14P" u="1"/>
        <s v="00JPK1A0" u="1"/>
        <s v="00JPK1AV" u="1"/>
        <s v="00JPK1BU" u="1"/>
        <s v="00JPK1DB" u="1"/>
        <s v="00JPK1DN" u="1"/>
        <s v="00JPK1EG" u="1"/>
        <s v="00JPK1FN" u="1"/>
        <s v="00JPK2GC" u="1"/>
        <s v="00JPK2KY" u="1"/>
        <s v="00JPK2LQ" u="1"/>
        <s v="00JPK2M6" u="1"/>
        <s v="00JPK34A" u="1"/>
        <s v="00JPK34T" u="1"/>
        <s v="00JPK351" u="1"/>
        <s v="00JPK36Q" u="1"/>
        <s v="00JPK3A3" u="1"/>
        <s v="00JPK3UN" u="1"/>
        <s v="00JPK3UW" u="1"/>
        <s v="00JPK3VE" u="1"/>
        <s v="00JPK4AY" u="1"/>
        <s v="00JPK4EV" u="1"/>
        <s v="00JPK4PD" u="1"/>
        <s v="00JPK4PM" u="1"/>
        <s v="00JPK4QO" u="1"/>
        <s v="00JPK4R1" u="1"/>
        <s v="00JPK4R7" u="1"/>
        <s v="00JPK4RL" u="1"/>
        <s v="00JPK51W" u="1"/>
        <s v="00JPPVZX" u="1"/>
        <s v="00JPPWOV" u="1"/>
        <s v="00JPPWTV" u="1"/>
        <s v="00JPQ3HB" u="1"/>
        <s v="00JPQ3JB" u="1"/>
        <s v="00JPQ3PJ" u="1"/>
        <s v="00JPQ4KA" u="1"/>
        <s v="00JPQ54J" u="1"/>
        <s v="00JPQ5LW" u="1"/>
        <s v="00JPQ5OI" u="1"/>
        <s v="00JPQ6FR" u="1"/>
        <s v="00JPQVMK" u="1"/>
        <s v="00JPRHEE" u="1"/>
        <s v="00JPRI9L" u="1"/>
        <s v="00JPRJGY" u="1"/>
        <s v="00JPRK8U" u="1"/>
        <s v="00JPRKF9" u="1"/>
        <s v="00JPRKMM" u="1"/>
        <s v="00JPRKY8" u="1"/>
        <s v="00JPRM6Q" u="1"/>
        <s v="00JPRMA3" u="1"/>
        <s v="00JPRMRF" u="1"/>
        <s v="00JPRPHR" u="1"/>
        <s v="00JPRPK5" u="1"/>
        <s v="00JPS0KS" u="1"/>
        <s v="00JPS0MF" u="1"/>
        <s v="00JPS0NI" u="1"/>
        <s v="00JPS0S4" u="1"/>
        <s v="00JPS0T4" u="1"/>
        <s v="00JPS0UA" u="1"/>
        <s v="00JPS21W" u="1"/>
        <s v="00JPS267" u="1"/>
        <s v="00JPS288" u="1"/>
        <s v="00JPS2AG" u="1"/>
        <s v="00JPS2CN" u="1"/>
        <s v="00JPS2DM" u="1"/>
        <s v="00JPS2EA" u="1"/>
        <s v="00JPS2F0" u="1"/>
        <s v="00JPS2FY" u="1"/>
        <s v="00JPS2HC" u="1"/>
        <s v="00JPTWYG" u="1"/>
        <s v="00JPTYJO" u="1"/>
        <s v="00JPU0VM" u="1"/>
        <s v="00JPU7JW" u="1"/>
        <s v="00JPU7NA" u="1"/>
        <s v="00JPU7OC" u="1"/>
        <s v="00JPU88D" u="1"/>
        <s v="00JPU89A" u="1"/>
        <s v="00JPU89Q" u="1"/>
        <s v="00JPU8AP" u="1"/>
        <s v="00JPU8B6" u="1"/>
        <s v="00JPU8B9" u="1"/>
        <s v="00JPU8CU" u="1"/>
        <s v="00JPU8EE" u="1"/>
        <s v="00JPU8JY" u="1"/>
        <s v="00JPU8NO" u="1"/>
        <s v="00JPU8NZ" u="1"/>
        <s v="00JPU8PP" u="1"/>
        <s v="00JPU8TR" u="1"/>
        <s v="00JPU8UA" u="1"/>
        <s v="00JPU8VC" u="1"/>
        <s v="00JPU8ZK" u="1"/>
        <s v="00JPU91I" u="1"/>
        <s v="00JPU92M" u="1"/>
        <s v="00JPU93K" u="1"/>
        <s v="00JPU993" u="1"/>
        <s v="00JPU994" u="1"/>
        <s v="00JPU9AP" u="1"/>
        <s v="00JPU9BE" u="1"/>
        <s v="00JPU9EQ" u="1"/>
        <s v="00JPU9FE" u="1"/>
        <s v="00JPU9GY" u="1"/>
        <s v="00JPU9I2" u="1"/>
        <s v="00JPU9J0" u="1"/>
        <s v="00JPU9K2" u="1"/>
        <s v="00JPU9LZ" u="1"/>
        <s v="00JPUHRB" u="1"/>
        <s v="00JPUMR4" u="1"/>
        <s v="00JPUMVR" u="1"/>
        <s v="00JPUNSD" u="1"/>
        <s v="00JPUNVN" u="1"/>
        <s v="00JPUNXL" u="1"/>
        <s v="00JPUOE6" u="1"/>
        <s v="00JPUOIA" u="1"/>
        <s v="00JPUOIC" u="1"/>
        <s v="00JPUOKO" u="1"/>
        <s v="00JPUP45" u="1"/>
        <s v="00JPUPFS" u="1"/>
        <s v="00JPUQ1P" u="1"/>
        <s v="00JPUR59" u="1"/>
        <s v="00JPUR7X" u="1"/>
        <s v="00JPUR9K" u="1"/>
        <s v="00JPUTCX" u="1"/>
        <s v="00JPUUD9" u="1"/>
        <s v="00JPUUEM" u="1"/>
        <s v="00JPUY2L" u="1"/>
        <s v="00JPUZMH" u="1"/>
        <s v="00JPUZNF" u="1"/>
        <s v="00JPV0AS" u="1"/>
        <s v="00JPVILS" u="1"/>
        <s v="00JPVIOJ" u="1"/>
        <s v="00JPVITQ" u="1"/>
        <s v="00JPVIY1" u="1"/>
        <s v="00JPVK4N" u="1"/>
        <s v="00JPVK6G" u="1"/>
        <s v="00JPVKDW" u="1"/>
        <s v="00JPVNUY" u="1"/>
        <s v="00JPVWX1" u="1"/>
        <s v="00JPW11F" u="1"/>
        <s v="00JPW13D" u="1"/>
        <s v="00JPW81H" u="1"/>
        <s v="00JPW829" u="1"/>
        <s v="00JPW83J" u="1"/>
        <s v="00JPZBHP" u="1"/>
        <s v="00JPZBVL" u="1"/>
        <s v="00JPZHVX" u="1"/>
        <s v="00JPZI92" u="1"/>
        <s v="00JPZJY9" u="1"/>
        <s v="00JPZNEL" u="1"/>
        <s v="00JPZPEF" u="1"/>
        <s v="00JPZPK1" u="1"/>
        <s v="00JPZPKY" u="1"/>
        <s v="00JPZT6N" u="1"/>
        <s v="00JPZTAJ" u="1"/>
        <s v="00JPZTCP" u="1"/>
        <s v="00JQ0INA" u="1"/>
        <s v="00JQ0RDW" u="1"/>
        <s v="00JQ0RET" u="1"/>
        <s v="00JQ0RLV" u="1"/>
        <s v="00JQ0RMU" u="1"/>
        <s v="00JQ0RNW" u="1"/>
        <s v="00JQ0RON" u="1"/>
        <s v="00JQ0RS9" u="1"/>
        <s v="00JQ0RT3" u="1"/>
        <s v="00JQ0RVS" u="1"/>
        <s v="00JQ0RW7" u="1"/>
        <s v="00JQ0T5C" u="1"/>
        <s v="00JQ0T5N" u="1"/>
        <s v="00JQ0T7P" u="1"/>
        <s v="00JQ0TL5" u="1"/>
        <s v="00JQ0UMP" u="1"/>
        <s v="00JQ0UOR" u="1"/>
        <s v="00JQ0UVC" u="1"/>
        <s v="00JQ1GVO" u="1"/>
        <s v="00JQ1GW6" u="1"/>
        <s v="00JQ1GX7" u="1"/>
        <s v="00JQ1GXM" u="1"/>
        <s v="00JQ1GYG" u="1"/>
        <s v="00JQ1L7R" u="1"/>
        <s v="00JQ1L9Y" u="1"/>
        <s v="00JQ1LAE" u="1"/>
        <s v="00JQ1LDH" u="1"/>
        <s v="00JQ1MCL" u="1"/>
        <s v="00JQ1MCV" u="1"/>
        <s v="00JQ1NO4" u="1"/>
        <s v="00JQ1NRW" u="1"/>
        <s v="00JQ2J2W" u="1"/>
        <s v="00JQ2J3I" u="1"/>
        <s v="00JQ2J89" u="1"/>
        <s v="00JQ2JE6" u="1"/>
        <s v="00JQ2JMA" u="1"/>
        <s v="00JQ2JSU" u="1"/>
        <s v="00JQ2L2I" u="1"/>
        <s v="00JQ2L3N" u="1"/>
        <s v="00JQ2L57" u="1"/>
        <s v="00JQ2LEA" u="1"/>
        <s v="00JQ2N77" u="1"/>
        <s v="00JQ2NXQ" u="1"/>
        <s v="00JQ2NZ9" u="1"/>
        <s v="00JQ2PBA" u="1"/>
        <s v="00JQ2PDT" u="1"/>
        <s v="00JQ2PVX" u="1"/>
        <s v="00JQ2QYE" u="1"/>
        <s v="00JQ2R4V" u="1"/>
        <s v="00JQ2RIO" u="1"/>
        <s v="00JQ3WNH" u="1"/>
        <s v="00JQ3WV7" u="1"/>
        <s v="00JQ41NX" u="1"/>
        <s v="00JQ41P1" u="1"/>
        <s v="00JQ41RA" u="1"/>
        <s v="00JQ41S2" u="1"/>
        <s v="00JQ41UE" u="1"/>
        <s v="00JQ41UX" u="1"/>
        <s v="00JQ43NK" u="1"/>
        <s v="00JQ441P" u="1"/>
        <s v="00JQ442Y" u="1"/>
        <s v="00JQ443Z" u="1"/>
        <s v="00JQ44JE" u="1"/>
        <s v="00JQ44K3" u="1"/>
        <s v="00JQ45HQ" u="1"/>
        <s v="00JQ45IU" u="1"/>
        <s v="00JQ45JB" u="1"/>
        <s v="00JQ45KZ" u="1"/>
        <s v="00JQ461D" u="1"/>
        <s v="00JQ48U4" u="1"/>
        <s v="00JQ48VA" u="1"/>
        <s v="00JQ48VS" u="1"/>
        <s v="00JQ4KKC" u="1"/>
        <s v="00JQ4M4L" u="1"/>
        <s v="00JQ4ML8" u="1"/>
        <s v="00JQ4O0I" u="1"/>
        <s v="00JQ4OTV" u="1"/>
        <s v="00JQ4UHJ" u="1"/>
        <s v="00JQ4UHX" u="1"/>
        <s v="00JQ4V0E" u="1"/>
        <s v="00JQ4W1N" u="1"/>
        <s v="00JQ4XNA" u="1"/>
        <s v="00JQ5FIN" u="1"/>
        <s v="00JQ5Y4B" u="1"/>
        <s v="00JQ5ZB2" u="1"/>
        <s v="00JQ5ZCA" u="1"/>
        <s v="00JQ60I3" u="1"/>
        <s v="00JQ613V" u="1"/>
        <s v="00JQ62LE" u="1"/>
        <s v="00JQ62VK" u="1"/>
        <s v="00JQ63F1" u="1"/>
        <s v="00JQ63V6" u="1"/>
        <s v="00JQ65OF" u="1"/>
        <s v="00JQ65RN" u="1"/>
        <s v="00JQ66KU" u="1"/>
        <s v="00JQ678J" u="1"/>
        <s v="00JQ679Z" u="1"/>
        <s v="00JQ68OL" u="1"/>
        <s v="00JQ6FQH" u="1"/>
        <s v="00JQ6Y58" u="1"/>
        <s v="00JQ8CFQ" u="1"/>
        <s v="00JQ8F75" u="1"/>
        <s v="00JQ8FXD" u="1"/>
        <s v="00JQ8FY8" u="1"/>
        <s v="00JQ8FYA" u="1"/>
        <s v="00JQ8FZA" u="1"/>
        <s v="00JQ8FZT" u="1"/>
        <s v="00JQ8GJG" u="1"/>
        <s v="00JQ8GPS" u="1"/>
        <s v="00JQ8GQF" u="1"/>
        <s v="00JQ8GRN" u="1"/>
        <s v="00JQ8GS1" u="1"/>
        <s v="00JQ8H0X" u="1"/>
        <s v="00JQ8H29" u="1"/>
        <s v="00JQ8H8C" u="1"/>
        <s v="00JQ8H9L" u="1"/>
        <s v="00JQ8PUB" u="1"/>
        <s v="00JQFQ7W" u="1"/>
        <s v="00JQFRWN" u="1"/>
        <s v="00JQHBPI" u="1"/>
        <s v="00JQHG9Q" u="1"/>
        <s v="00JQHGSZ" u="1"/>
        <s v="00JQI2FQ" u="1"/>
        <s v="00JQI6OR" u="1"/>
        <s v="00JQI8B8" u="1"/>
        <s v="00JQI8G5" u="1"/>
        <s v="00JQI992" u="1"/>
        <s v="00JQI998" u="1"/>
        <s v="00JQI9CO" u="1"/>
        <s v="00JQI9IB" u="1"/>
        <s v="00JQI9KQ" u="1"/>
        <s v="00JQI9LI" u="1"/>
        <s v="00JQI9N0" u="1"/>
        <s v="00JQI9PA" u="1"/>
        <s v="00JQIEQQ" u="1"/>
        <s v="00JQIKG2" u="1"/>
        <s v="00JQIKIM" u="1"/>
        <s v="00JQKH0P" u="1"/>
        <s v="00JQKH2H" u="1"/>
        <s v="00JQKH37" u="1"/>
        <s v="00JQKH5N" u="1"/>
        <s v="00JQKH6R" u="1"/>
        <s v="00JQKICD" u="1"/>
        <s v="00JQKIR5" u="1"/>
        <s v="00JQKIS4" u="1"/>
        <s v="00JQKJKV" u="1"/>
        <s v="00JQKJMH" u="1"/>
        <s v="00JQKJNQ" u="1"/>
        <s v="00JQKLBA" u="1"/>
        <s v="00JQKLL5" u="1"/>
        <s v="00JQKPV7" u="1"/>
        <s v="00JQKXHW" u="1"/>
        <s v="00JQKXUN" u="1"/>
        <s v="00JQL1KX" u="1"/>
        <s v="00JQL1R6" u="1"/>
        <s v="00JQL4GM" u="1"/>
        <s v="00JQL4I0" u="1"/>
        <s v="00JQL6C0" u="1"/>
        <s v="00JQL76E" u="1"/>
        <s v="00JQL798" u="1"/>
        <s v="00JQL7B2" u="1"/>
        <s v="00JQL83C" u="1"/>
        <s v="00JQL86L" u="1"/>
        <s v="00JQL89F" u="1"/>
        <s v="00JQL8Q8" u="1"/>
        <s v="00JQL8TH" u="1"/>
        <s v="00JQL98F" u="1"/>
        <s v="00JQL9BB" u="1"/>
        <s v="00JQL9F0" u="1"/>
        <s v="00JQL9GG" u="1"/>
        <s v="00JQL9KZ" u="1"/>
        <s v="00JQL9VD" u="1"/>
        <s v="00JQLEJ9" u="1"/>
        <s v="00JQNHXA" u="1"/>
        <s v="00JQO4XJ" u="1"/>
        <s v="00JR80PE" u="1"/>
        <s v="00JR87V0" u="1"/>
        <s v="00JR87XO" u="1"/>
        <s v="00JR87XY" u="1"/>
        <s v="00JR87Y8" u="1"/>
        <s v="00JR89Z2" u="1"/>
        <s v="00JR8A0D" u="1"/>
        <s v="00JR8A0Z" u="1"/>
        <s v="00JR8A1C" u="1"/>
        <s v="00JR8A4E" u="1"/>
        <s v="00JR8A5Y" u="1"/>
        <s v="00JR8C2F" u="1"/>
        <s v="00JR8CKI" u="1"/>
        <s v="00JR8CO0" u="1"/>
        <s v="00JR8DFV" u="1"/>
        <s v="00JR8DHQ" u="1"/>
        <s v="00JR8DKR" u="1"/>
        <s v="00JR8E0L" u="1"/>
        <s v="00JR8INJ" u="1"/>
        <s v="00JR8MVQ" u="1"/>
        <s v="00JR8ON2" u="1"/>
        <s v="00JR8OYP" u="1"/>
        <s v="00JR8P09" u="1"/>
        <s v="00JR8QBJ" u="1"/>
        <s v="00JR8QQZ" u="1"/>
        <s v="00JR8RNM" u="1"/>
        <s v="00JR8RW3" u="1"/>
        <s v="00JR8RWQ" u="1"/>
        <s v="00JR8SEV" u="1"/>
        <s v="00JR8SG3" u="1"/>
        <s v="00JR8SHR" u="1"/>
        <s v="00JR8T3F" u="1"/>
        <s v="00JR8WNM" u="1"/>
        <s v="00JR8X2Y" u="1"/>
        <s v="00JRB7VB" u="1"/>
        <s v="00JRC6YO" u="1"/>
        <s v="00JRC7KI" u="1"/>
        <s v="00JRCC06" u="1"/>
        <s v="00JRCIW4" u="1"/>
        <s v="00JRCIXK" u="1"/>
        <s v="00JRCLJ4" u="1"/>
        <s v="00JRCLL4" u="1"/>
        <s v="00JRCNKJ" u="1"/>
        <s v="00JRCU9B" u="1"/>
        <s v="00JRCUA8" u="1"/>
        <s v="00JRCUK9" u="1"/>
        <s v="00JRE9R9" u="1"/>
        <s v="00JRF8FR" u="1"/>
        <s v="00JRFQUC" u="1"/>
        <s v="00JRFRGW" u="1"/>
        <s v="00JRFSGG" u="1"/>
        <s v="00JRHOG2" u="1"/>
        <s v="00JRIMEI" u="1"/>
        <s v="00JRITUA" u="1"/>
        <s v="00JRITWO" u="1"/>
        <s v="00JRITXY" u="1"/>
        <s v="00JRIU71" u="1"/>
        <s v="00JRIU7J" u="1"/>
        <s v="00JRJM2P" u="1"/>
        <s v="00JRJMMU" u="1"/>
        <s v="00JRJMWZ" u="1"/>
        <s v="00JRJNPB" u="1"/>
        <s v="00JRJNRB" u="1"/>
        <s v="00JRJWZC" u="1"/>
        <s v="00JRJYJL" u="1"/>
        <s v="00JRK15T" u="1"/>
        <s v="00JRK16A" u="1"/>
        <s v="00JRK1J7" u="1"/>
        <s v="00JRK2UD" u="1"/>
        <s v="00JRK2WQ" u="1"/>
        <s v="00JRK359" u="1"/>
        <s v="00JRK4V6" u="1"/>
        <s v="00JRKXQZ" u="1"/>
        <s v="00JRKYF2" u="1"/>
        <s v="00JRKZ73" u="1"/>
        <s v="00JRKZWE" u="1"/>
        <s v="00JRLFGJ" u="1"/>
        <s v="00JRM79V" u="1"/>
        <s v="00JRM7CP" u="1"/>
        <s v="00JRM7NM" u="1"/>
        <s v="00JRMA9S" u="1"/>
        <s v="00JRQ1NO" u="1"/>
        <s v="00JRQ9XK" u="1"/>
        <s v="00JRQMZX" u="1"/>
        <s v="00JRQVZ1" u="1"/>
        <s v="00JRQWSM" u="1"/>
        <s v="00JRQXHK" u="1"/>
        <s v="00JRR3E2" u="1"/>
        <s v="00JRUKX2" u="1"/>
        <s v="00JRUL1C" u="1"/>
        <s v="00JRUL4D" u="1"/>
        <s v="00JRULAG" u="1"/>
        <s v="00JRULEI" u="1"/>
        <s v="00JRULPK" u="1"/>
        <s v="00JRULV7" u="1"/>
        <s v="00JRUOTI" u="1"/>
        <s v="00JRUT47" u="1"/>
        <s v="00JRUU1Q" u="1"/>
        <s v="00JRUV10" u="1"/>
        <s v="00JRUYZ4" u="1"/>
        <s v="00JRUZVS" u="1"/>
        <s v="00JRV17O" u="1"/>
        <s v="ZWLGC5WT" u="1"/>
        <s v="ZWLGFTNA" u="1"/>
        <s v="00JKY70C" u="1"/>
        <s v="00JKY74G" u="1"/>
        <s v="00JKYKZR" u="1"/>
        <s v="00JKYL3I" u="1"/>
        <s v="00JKYMI2" u="1"/>
        <s v="00JKYMJV" u="1"/>
        <s v="00JKYO3T" u="1"/>
        <s v="00JKYQ8M" u="1"/>
        <s v="00JKYQMF" u="1"/>
        <s v="00JKYQNH" u="1"/>
        <s v="00JKYQP3" u="1"/>
        <s v="00JKYVNH" u="1"/>
        <s v="00JKYZOH" u="1"/>
        <s v="00JKZ031" u="1"/>
        <s v="00JL2DOG" u="1"/>
        <s v="00JL31DG" u="1"/>
        <s v="00JL31LE" u="1"/>
        <s v="00JL5MEB" u="1"/>
        <s v="00JKY5U2" u="1"/>
        <s v="00JKYLT6" u="1"/>
        <s v="00JKYQJT" u="1"/>
        <s v="00JKY4FF" u="1"/>
        <s v="00JKY4FH" u="1"/>
        <s v="00JL2DBR" u="1"/>
        <s v="00JL2CHU" u="1"/>
        <s v="00JL2E2M" u="1"/>
        <s v="00JL5N8I" u="1"/>
        <s v="00JL2NEG" u="1"/>
        <s v="00JL2NQ3" u="1"/>
        <s v="00JL2NP5" u="1"/>
        <s v="00JL2KSF" u="1"/>
        <s v="00JKWRP0" u="1"/>
        <s v="00JL7MIL" u="1"/>
        <s v="00JL7NG2" u="1"/>
        <s v="00JL7P8B" u="1"/>
        <s v="00JL7I79" u="1"/>
        <s v="00JLEHE7" u="1"/>
        <s v="00JL7VF0" u="1"/>
        <s v="00JL7TGV" u="1"/>
        <s v="00JL7PAE" u="1"/>
        <s v="00JL7PW8" u="1"/>
        <s v="00JL7PYM" u="1"/>
        <s v="00JL7QLK" u="1"/>
        <s v="00JL7QOL" u="1"/>
        <s v="00JL7QSO" u="1"/>
        <s v="00JL7QVD" u="1"/>
        <s v="00JL7QX9" u="1"/>
        <s v="00JL60A5" u="1"/>
        <s v="00JLESOE" u="1"/>
        <s v="00JLELBF" u="1"/>
        <s v="00JLEKPP" u="1"/>
        <s v="00JLEHG9" u="1"/>
        <s v="00JLEHHV" u="1"/>
        <s v="00JLEI4G" u="1"/>
        <s v="00JLEI65" u="1"/>
        <s v="00JLEIAH" u="1"/>
        <s v="00JLEICW" u="1"/>
        <s v="00JLEJN7" u="1"/>
        <s v="00JLEJTK" u="1"/>
        <s v="00JLEKCE" u="1"/>
        <s v="00JLEKHT" u="1"/>
        <s v="00JL7QZL" u="1"/>
        <s v="00JKOJF0" u="1"/>
        <s v="00JLE9F0" u="1"/>
        <s v="00JL7SXS" u="1"/>
        <s v="00JLEHC3" u="1"/>
        <s v="00JLEGNR" u="1"/>
        <s v="00JL80JN" u="1"/>
        <s v="00JL7XA1" u="1"/>
        <s v="00JL7X32" u="1"/>
        <s v="00JL7VWD" u="1"/>
        <s v="00JL7UZY" u="1"/>
        <s v="00JL7UWV" u="1"/>
        <s v="00JL7T01" u="1"/>
        <s v="00JL7SYG" u="1"/>
        <s v="00JL7RFT" u="1"/>
        <s v="00JL7RC4" u="1"/>
        <s v="00JL7R1Y" u="1"/>
        <s v="00JL7R1C" u="1"/>
        <s v="00JL7US9" u="1"/>
        <s v="00JL7TJF" u="1"/>
        <s v="00JLEKOV" u="1"/>
        <s v="00JLESMO" u="1"/>
        <s v="00JL7E4D" u="1"/>
        <s v="00JLEFT5" u="1"/>
        <s v="00JL7Q1V" u="1"/>
        <s v="00JL7PV4" u="1"/>
        <s v="00JL5ZNY" u="1"/>
        <s v="00JLEZYT" u="1"/>
        <s v="00JLEZJN" u="1"/>
        <s v="00JLI9L3" u="1"/>
        <s v="00JLI98P" u="1"/>
        <s v="00JLI9YY" u="1"/>
        <s v="00JLI9XO" u="1"/>
        <s v="00JLI9V9" u="1"/>
        <s v="00JLI9U4" u="1"/>
        <s v="00JLI9T7" u="1"/>
        <s v="00JLI9PI" u="1"/>
        <s v="00JLI9OD" u="1"/>
        <s v="00JLI9M3" u="1"/>
        <s v="00JLF1LM" u="1"/>
        <s v="00JLI9KM" u="1"/>
        <s v="00JLI9TT" u="1"/>
        <s v="00JLI21T" u="1"/>
        <s v="00JLI94B" u="1"/>
        <s v="00JLI96O" u="1"/>
        <s v="00JLF072" u="1"/>
        <s v="00JLIRES" u="1"/>
        <s v="00JLJ19V" u="1"/>
        <s v="00JLLCGY" u="1"/>
        <s v="00JLLCJL" u="1"/>
        <s v="00JLLCK6" u="1"/>
        <s v="00JLLCOH" u="1"/>
        <s v="00JLESE8" u="1"/>
        <s v="00JLIHVW" u="1"/>
        <s v="00JLIJJ3" u="1"/>
        <s v="00JLIJKB" u="1"/>
        <s v="00JLIJLO" u="1"/>
        <s v="00JLIRBX" u="1"/>
        <s v="00JLIHU6" u="1"/>
        <s v="00JLI9CG" u="1"/>
        <s v="00JLLCX5" u="1"/>
        <s v="00JLLCWG" u="1"/>
        <s v="00JLLCQV" u="1"/>
        <s v="00JLLCLB" u="1"/>
        <s v="00JLLCID" u="1"/>
        <s v="00JLXQPK" u="1"/>
        <s v="00JLXQNZ" u="1"/>
        <s v="00JLXPSW" u="1"/>
        <s v="00JLXPOZ" u="1"/>
        <s v="00JLXOM3" u="1"/>
        <s v="00JLXOJZ" u="1"/>
        <s v="00JLXOHP" u="1"/>
        <s v="00JLXOBR" u="1"/>
        <s v="00JLXNIW" u="1"/>
        <s v="00JLX818" u="1"/>
        <s v="00JLX777" u="1"/>
        <s v="00JLVQ19" u="1"/>
        <s v="00JLVOOK" u="1"/>
        <s v="00JLVLHQ" u="1"/>
      </sharedItems>
    </cacheField>
    <cacheField name="Numero Colis interne" numFmtId="0">
      <sharedItems containsString="0" containsBlank="1" containsNumber="1" containsInteger="1" minValue="6579152" maxValue="2604000299"/>
    </cacheField>
    <cacheField name="Consignation ID" numFmtId="0">
      <sharedItems containsNonDate="0" containsString="0" containsBlank="1"/>
    </cacheField>
    <cacheField name="nombre de points" numFmtId="0">
      <sharedItems containsString="0" containsBlank="1" containsNumber="1" containsInteger="1" minValue="0" maxValue="0"/>
    </cacheField>
    <cacheField name="QuantitÃ© facturÃ©e" numFmtId="0">
      <sharedItems containsString="0" containsBlank="1" containsNumber="1" containsInteger="1" minValue="0" maxValue="1"/>
    </cacheField>
    <cacheField name="Nombre de colis" numFmtId="0">
      <sharedItems containsString="0" containsBlank="1" containsNumber="1" containsInteger="1" minValue="0" maxValue="0"/>
    </cacheField>
    <cacheField name="Poids pour le traitement commande vente" numFmtId="0">
      <sharedItems containsString="0" containsBlank="1" containsNumber="1" minValue="0" maxValue="19.559999999999999"/>
    </cacheField>
    <cacheField name="UnitÃ© de qtÃ© base" numFmtId="0">
      <sharedItems containsBlank="1"/>
    </cacheField>
    <cacheField name="Valeur de Base" numFmtId="0">
      <sharedItems containsString="0" containsBlank="1" containsNumber="1" minValue="0" maxValue="17.28"/>
    </cacheField>
    <cacheField name="CSR" numFmtId="0">
      <sharedItems containsString="0" containsBlank="1" containsNumber="1" minValue="0" maxValue="0.9"/>
    </cacheField>
    <cacheField name="PER" numFmtId="0">
      <sharedItems containsString="0" containsBlank="1" containsNumber="1" minValue="0" maxValue="0.15"/>
    </cacheField>
    <cacheField name="Taux SGO %" numFmtId="0">
      <sharedItems containsString="0" containsBlank="1" containsNumber="1" minValue="0" maxValue="29.1"/>
    </cacheField>
    <cacheField name="SGO" numFmtId="0">
      <sharedItems containsString="0" containsBlank="1" containsNumber="1" minValue="0" maxValue="5.29"/>
    </cacheField>
    <cacheField name="prix kilos additionnel" numFmtId="0">
      <sharedItems containsString="0" containsBlank="1" containsNumber="1" containsInteger="1" minValue="0" maxValue="0"/>
    </cacheField>
    <cacheField name="Saisie manuelle" numFmtId="0">
      <sharedItems containsString="0" containsBlank="1" containsNumber="1" minValue="0" maxValue="33.71"/>
    </cacheField>
    <cacheField name="Monnaie ADV" numFmtId="0">
      <sharedItems containsBlank="1"/>
    </cacheField>
    <cacheField name="Client RÃ©fÃ©rence" numFmtId="0">
      <sharedItems containsString="0" containsBlank="1" containsNumber="1" containsInteger="1" minValue="26784" maxValue="26784"/>
    </cacheField>
    <cacheField name="Client RÃ©fÃ©rence 1" numFmtId="0">
      <sharedItems containsBlank="1" containsMixedTypes="1" containsNumber="1" containsInteger="1" minValue="26784" maxValue="26784"/>
    </cacheField>
    <cacheField name="Client RÃ©fÃ©rence 2" numFmtId="0">
      <sharedItems containsBlank="1"/>
    </cacheField>
    <cacheField name="Client RÃ©fÃ©rence 3" numFmtId="0">
      <sharedItems containsBlank="1"/>
    </cacheField>
    <cacheField name="adresse de destination NOM" numFmtId="0">
      <sharedItems containsBlank="1"/>
    </cacheField>
    <cacheField name="adresse de dest. ADR1" numFmtId="0">
      <sharedItems containsBlank="1"/>
    </cacheField>
    <cacheField name="adresse de destination ADR2" numFmtId="0">
      <sharedItems containsBlank="1"/>
    </cacheField>
    <cacheField name="adresse de destination ADR3" numFmtId="0">
      <sharedItems containsBlank="1"/>
    </cacheField>
    <cacheField name="adresse de destination CP" numFmtId="0">
      <sharedItems containsBlank="1" containsMixedTypes="1" containsNumber="1" containsInteger="1" minValue="1170" maxValue="95700"/>
    </cacheField>
    <cacheField name="adresse de destination VILLE" numFmtId="0">
      <sharedItems containsBlank="1"/>
    </cacheField>
    <cacheField name="Code Pays" numFmtId="0">
      <sharedItems containsBlank="1"/>
    </cacheField>
    <cacheField name="Pays" numFmtId="0">
      <sharedItems containsBlank="1"/>
    </cacheField>
    <cacheField name="DSV_TRANSITN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e SCHMITT" refreshedDate="46209.387790046298" createdVersion="8" refreshedVersion="8" minRefreshableVersion="3" recordCount="905" xr:uid="{796E10F0-1E8E-4B65-A821-119ED7D4FEA6}">
  <cacheSource type="worksheet">
    <worksheetSource ref="B1:F1048576" sheet="Facture GLS"/>
  </cacheSource>
  <cacheFields count="5">
    <cacheField name="Total HT" numFmtId="0">
      <sharedItems containsString="0" containsBlank="1" containsNumber="1" minValue="0" maxValue="33.71"/>
    </cacheField>
    <cacheField name="Gazole" numFmtId="0">
      <sharedItems containsString="0" containsBlank="1" containsNumber="1" minValue="0" maxValue="5.29"/>
    </cacheField>
    <cacheField name="Total HT (hors gazole)" numFmtId="0">
      <sharedItems containsString="0" containsBlank="1" containsNumber="1" minValue="0" maxValue="33.71"/>
    </cacheField>
    <cacheField name="Poids" numFmtId="0">
      <sharedItems containsBlank="1" containsMixedTypes="1" containsNumber="1" minValue="0.5" maxValue="20"/>
    </cacheField>
    <cacheField name="Facture" numFmtId="0">
      <sharedItems containsString="0" containsBlank="1" containsNumber="1" containsInteger="1" minValue="2501190513" maxValue="2501382993" count="26">
        <n v="2501382993"/>
        <m/>
        <n v="2501373502" u="1"/>
        <n v="2501364071" u="1"/>
        <n v="2501351570" u="1"/>
        <n v="2501351571" u="1"/>
        <n v="2501343611" u="1"/>
        <n v="2501335326" u="1"/>
        <n v="2501322063" u="1"/>
        <n v="2501312180" u="1"/>
        <n v="2501304121" u="1"/>
        <n v="2501291871" u="1"/>
        <n v="2501280300" u="1"/>
        <n v="2501274020" u="1"/>
        <n v="2501274021" u="1"/>
        <n v="2501263969" u="1"/>
        <n v="2501254050" u="1"/>
        <n v="2501240734" u="1"/>
        <n v="2501232194" u="1"/>
        <n v="2501232195" u="1"/>
        <n v="2501210069" u="1"/>
        <n v="2501210071" u="1"/>
        <n v="2501200293" u="1"/>
        <n v="2501200294" u="1"/>
        <n v="2501190513" u="1"/>
        <n v="2501190514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2"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2"/>
  </r>
  <r>
    <x v="2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2"/>
  </r>
  <r>
    <x v="2"/>
    <x v="2"/>
  </r>
  <r>
    <x v="3"/>
    <x v="3"/>
  </r>
  <r>
    <x v="3"/>
    <x v="3"/>
  </r>
  <r>
    <x v="3"/>
    <x v="3"/>
  </r>
  <r>
    <x v="3"/>
    <x v="3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2"/>
  </r>
  <r>
    <x v="2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3"/>
  </r>
  <r>
    <x v="3"/>
    <x v="3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2"/>
  </r>
  <r>
    <x v="2"/>
    <x v="2"/>
  </r>
  <r>
    <x v="2"/>
    <x v="2"/>
  </r>
  <r>
    <x v="2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2"/>
  </r>
  <r>
    <x v="2"/>
    <x v="2"/>
  </r>
  <r>
    <x v="2"/>
    <x v="2"/>
  </r>
  <r>
    <x v="2"/>
    <x v="2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4"/>
    <x v="4"/>
  </r>
  <r>
    <x v="4"/>
    <x v="4"/>
  </r>
  <r>
    <x v="3"/>
    <x v="3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1"/>
    <x v="1"/>
  </r>
  <r>
    <x v="1"/>
    <x v="1"/>
  </r>
  <r>
    <x v="1"/>
    <x v="1"/>
  </r>
  <r>
    <x v="1"/>
    <x v="1"/>
  </r>
  <r>
    <x v="3"/>
    <x v="3"/>
  </r>
  <r>
    <x v="3"/>
    <x v="3"/>
  </r>
  <r>
    <x v="3"/>
    <x v="3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3"/>
  </r>
  <r>
    <x v="4"/>
    <x v="4"/>
  </r>
  <r>
    <x v="1"/>
    <x v="1"/>
  </r>
  <r>
    <x v="2"/>
    <x v="2"/>
  </r>
  <r>
    <x v="0"/>
    <x v="0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7">
  <r>
    <n v="0"/>
    <n v="0"/>
    <x v="0"/>
  </r>
  <r>
    <n v="0"/>
    <n v="0"/>
    <x v="0"/>
  </r>
  <r>
    <n v="6.6757743043498143"/>
    <n v="5.15"/>
    <x v="1"/>
  </r>
  <r>
    <n v="6.2480062421293407"/>
    <n v="4.82"/>
    <x v="2"/>
  </r>
  <r>
    <n v="7.5053850916864908"/>
    <n v="5.7900000000000009"/>
    <x v="1"/>
  </r>
  <r>
    <n v="6.2480062421293407"/>
    <n v="4.82"/>
    <x v="3"/>
  </r>
  <r>
    <n v="6.2480062421293407"/>
    <n v="4.82"/>
    <x v="4"/>
  </r>
  <r>
    <n v="6.2480062421293407"/>
    <n v="4.82"/>
    <x v="3"/>
  </r>
  <r>
    <n v="6.2480062421293407"/>
    <n v="4.82"/>
    <x v="3"/>
  </r>
  <r>
    <n v="6.2480062421293407"/>
    <n v="4.82"/>
    <x v="3"/>
  </r>
  <r>
    <n v="6.2480062421293407"/>
    <n v="4.82"/>
    <x v="4"/>
  </r>
  <r>
    <n v="6.2480062421293407"/>
    <n v="4.82"/>
    <x v="4"/>
  </r>
  <r>
    <n v="7.0905796980181517"/>
    <n v="5.47"/>
    <x v="1"/>
  </r>
  <r>
    <n v="6.6757743043498143"/>
    <n v="5.15"/>
    <x v="1"/>
  </r>
  <r>
    <n v="6.6757743043498143"/>
    <n v="5.15"/>
    <x v="5"/>
  </r>
  <r>
    <n v="4.8869260441551061"/>
    <n v="3.7699999999999996"/>
    <x v="4"/>
  </r>
  <r>
    <n v="7.0905796980181526"/>
    <n v="5.4700000000000006"/>
    <x v="1"/>
  </r>
  <r>
    <n v="6.2480062421293407"/>
    <n v="4.82"/>
    <x v="6"/>
  </r>
  <r>
    <n v="11.134932286284446"/>
    <n v="8.59"/>
    <x v="4"/>
  </r>
  <r>
    <n v="6.2480062421293407"/>
    <n v="4.82"/>
    <x v="7"/>
  </r>
  <r>
    <n v="6.2480062421293407"/>
    <n v="4.82"/>
    <x v="2"/>
  </r>
  <r>
    <n v="8.2312945306060801"/>
    <n v="6.35"/>
    <x v="8"/>
  </r>
  <r>
    <n v="7.5053850916864908"/>
    <n v="5.7900000000000009"/>
    <x v="2"/>
  </r>
  <r>
    <n v="7.0905796980181526"/>
    <n v="5.4700000000000006"/>
    <x v="8"/>
  </r>
  <r>
    <n v="8.9572039695256755"/>
    <n v="6.9100000000000019"/>
    <x v="8"/>
  </r>
  <r>
    <n v="6.2480062421293407"/>
    <n v="4.82"/>
    <x v="2"/>
  </r>
  <r>
    <n v="8.2312945306060801"/>
    <n v="6.35"/>
    <x v="8"/>
  </r>
  <r>
    <n v="6.2480062421293407"/>
    <n v="4.82"/>
    <x v="4"/>
  </r>
  <r>
    <n v="6.2480062421293407"/>
    <n v="4.82"/>
    <x v="8"/>
  </r>
  <r>
    <n v="6.6757743043498143"/>
    <n v="5.15"/>
    <x v="9"/>
  </r>
  <r>
    <n v="7.0905796980181526"/>
    <n v="5.4700000000000006"/>
    <x v="1"/>
  </r>
  <r>
    <n v="6.6757743043498143"/>
    <n v="5.15"/>
    <x v="1"/>
  </r>
  <r>
    <n v="7.0905796980181526"/>
    <n v="5.4700000000000006"/>
    <x v="1"/>
  </r>
  <r>
    <n v="6.6757743043498143"/>
    <n v="5.15"/>
    <x v="1"/>
  </r>
  <r>
    <n v="6.2480062421293407"/>
    <n v="4.82"/>
    <x v="1"/>
  </r>
  <r>
    <n v="6.2480062421293407"/>
    <n v="4.82"/>
    <x v="1"/>
  </r>
  <r>
    <n v="6.6757743043498143"/>
    <n v="5.15"/>
    <x v="1"/>
  </r>
  <r>
    <n v="6.2480062421293407"/>
    <n v="4.82"/>
    <x v="1"/>
  </r>
  <r>
    <n v="6.2480062421293407"/>
    <n v="4.82"/>
    <x v="4"/>
  </r>
  <r>
    <n v="6.2480062421293407"/>
    <n v="4.82"/>
    <x v="4"/>
  </r>
  <r>
    <n v="6.2480062421293407"/>
    <n v="4.82"/>
    <x v="4"/>
  </r>
  <r>
    <n v="6.2480062421293407"/>
    <n v="4.82"/>
    <x v="4"/>
  </r>
  <r>
    <n v="6.6757743043498143"/>
    <n v="5.15"/>
    <x v="1"/>
  </r>
  <r>
    <n v="6.2480062421293407"/>
    <n v="4.82"/>
    <x v="4"/>
  </r>
  <r>
    <n v="6.2480062421293407"/>
    <n v="4.82"/>
    <x v="1"/>
  </r>
  <r>
    <n v="6.2480062421293407"/>
    <n v="4.82"/>
    <x v="1"/>
  </r>
  <r>
    <n v="6.6757743043498143"/>
    <n v="5.15"/>
    <x v="1"/>
  </r>
  <r>
    <n v="6.2480062421293407"/>
    <n v="4.82"/>
    <x v="1"/>
  </r>
  <r>
    <n v="6.2480062421293407"/>
    <n v="4.82"/>
    <x v="1"/>
  </r>
  <r>
    <n v="6.2480062421293407"/>
    <n v="4.82"/>
    <x v="1"/>
  </r>
  <r>
    <n v="6.6757743043498143"/>
    <n v="5.15"/>
    <x v="1"/>
  </r>
  <r>
    <n v="6.2480062421293407"/>
    <n v="4.82"/>
    <x v="1"/>
  </r>
  <r>
    <n v="6.2480062421293407"/>
    <n v="4.82"/>
    <x v="1"/>
  </r>
  <r>
    <n v="6.2480062421293407"/>
    <n v="4.82"/>
    <x v="1"/>
  </r>
  <r>
    <n v="6.2480062421293407"/>
    <n v="4.82"/>
    <x v="1"/>
  </r>
  <r>
    <n v="6.2480062421293407"/>
    <n v="4.82"/>
    <x v="1"/>
  </r>
  <r>
    <n v="6.2480062421293407"/>
    <n v="4.82"/>
    <x v="10"/>
  </r>
  <r>
    <n v="6.2480062421293407"/>
    <n v="4.82"/>
    <x v="10"/>
  </r>
  <r>
    <n v="7.0905796980181526"/>
    <n v="5.4700000000000006"/>
    <x v="7"/>
  </r>
  <r>
    <n v="6.2480062421293407"/>
    <n v="4.82"/>
    <x v="1"/>
  </r>
  <r>
    <n v="6.2480062421293407"/>
    <n v="4.82"/>
    <x v="1"/>
  </r>
  <r>
    <n v="6.2480062421293407"/>
    <n v="4.82"/>
    <x v="1"/>
  </r>
  <r>
    <n v="6.2480062421293407"/>
    <n v="4.82"/>
    <x v="1"/>
  </r>
  <r>
    <n v="6.2480062421293407"/>
    <n v="4.82"/>
    <x v="1"/>
  </r>
  <r>
    <n v="6.6757743043498143"/>
    <n v="5.15"/>
    <x v="1"/>
  </r>
  <r>
    <n v="6.2480062421293407"/>
    <n v="4.82"/>
    <x v="1"/>
  </r>
  <r>
    <n v="7.0905796980181526"/>
    <n v="5.4700000000000006"/>
    <x v="1"/>
  </r>
  <r>
    <n v="6.6757743043498143"/>
    <n v="5.15"/>
    <x v="1"/>
  </r>
  <r>
    <n v="7.0905796980181526"/>
    <n v="5.4700000000000006"/>
    <x v="1"/>
  </r>
  <r>
    <n v="6.6757743043498143"/>
    <n v="5.15"/>
    <x v="6"/>
  </r>
  <r>
    <n v="6.2480062421293407"/>
    <n v="4.82"/>
    <x v="6"/>
  </r>
  <r>
    <n v="6.2480062421293407"/>
    <n v="4.82"/>
    <x v="6"/>
  </r>
  <r>
    <n v="6.2480062421293407"/>
    <n v="4.82"/>
    <x v="6"/>
  </r>
  <r>
    <n v="7.0905796980181526"/>
    <n v="5.4700000000000006"/>
    <x v="1"/>
  </r>
  <r>
    <n v="6.6757743043498143"/>
    <n v="5.15"/>
    <x v="3"/>
  </r>
  <r>
    <n v="6.2480062421293407"/>
    <n v="4.82"/>
    <x v="6"/>
  </r>
  <r>
    <n v="6.2480062421293407"/>
    <n v="4.82"/>
    <x v="1"/>
  </r>
  <r>
    <n v="6.2480062421293407"/>
    <n v="4.82"/>
    <x v="6"/>
  </r>
  <r>
    <n v="7.0905796980181526"/>
    <n v="5.4700000000000006"/>
    <x v="8"/>
  </r>
  <r>
    <n v="6.2480062421293407"/>
    <n v="4.82"/>
    <x v="1"/>
  </r>
  <r>
    <n v="6.2480062421293407"/>
    <n v="4.82"/>
    <x v="6"/>
  </r>
  <r>
    <n v="6.6757743043498143"/>
    <n v="5.15"/>
    <x v="6"/>
  </r>
  <r>
    <n v="6.2480062421293407"/>
    <n v="4.82"/>
    <x v="6"/>
  </r>
  <r>
    <n v="6.2480062421293407"/>
    <n v="4.82"/>
    <x v="11"/>
  </r>
  <r>
    <n v="6.6757743043498143"/>
    <n v="5.15"/>
    <x v="6"/>
  </r>
  <r>
    <n v="6.6757743043498143"/>
    <n v="5.15"/>
    <x v="6"/>
  </r>
  <r>
    <n v="7.5053850916864908"/>
    <n v="5.7900000000000009"/>
    <x v="6"/>
  </r>
  <r>
    <n v="7.0905796980181526"/>
    <n v="5.4700000000000006"/>
    <x v="7"/>
  </r>
  <r>
    <n v="6.2480062421293407"/>
    <n v="4.82"/>
    <x v="3"/>
  </r>
  <r>
    <n v="6.2480062421293407"/>
    <n v="4.82"/>
    <x v="3"/>
  </r>
  <r>
    <n v="6.6757743043498143"/>
    <n v="5.15"/>
    <x v="6"/>
  </r>
  <r>
    <n v="6.2480062421293407"/>
    <n v="4.82"/>
    <x v="6"/>
  </r>
  <r>
    <n v="6.2480062421293407"/>
    <n v="4.82"/>
    <x v="6"/>
  </r>
  <r>
    <n v="6.6757743043498143"/>
    <n v="5.15"/>
    <x v="2"/>
  </r>
  <r>
    <n v="12.884892540822749"/>
    <n v="9.9400000000000013"/>
    <x v="8"/>
  </r>
  <r>
    <n v="6.2480062421293407"/>
    <n v="4.82"/>
    <x v="2"/>
  </r>
  <r>
    <n v="6.6757743043498143"/>
    <n v="5.15"/>
    <x v="7"/>
  </r>
  <r>
    <n v="6.2480062421293407"/>
    <n v="4.82"/>
    <x v="2"/>
  </r>
  <r>
    <n v="6.6757743043498143"/>
    <n v="5.15"/>
    <x v="6"/>
  </r>
  <r>
    <n v="6.2480062421293407"/>
    <n v="4.82"/>
    <x v="6"/>
  </r>
  <r>
    <n v="6.2480062421293407"/>
    <n v="4.82"/>
    <x v="6"/>
  </r>
  <r>
    <n v="7.0905796980181526"/>
    <n v="5.4700000000000006"/>
    <x v="1"/>
  </r>
  <r>
    <n v="6.2480062421293407"/>
    <n v="4.82"/>
    <x v="1"/>
  </r>
  <r>
    <n v="6.2480062421293407"/>
    <n v="4.82"/>
    <x v="1"/>
  </r>
  <r>
    <n v="7.0905796980181526"/>
    <n v="5.4700000000000006"/>
    <x v="1"/>
  </r>
  <r>
    <n v="8.2312945306060801"/>
    <n v="6.35"/>
    <x v="1"/>
  </r>
  <r>
    <n v="6.6757743043498143"/>
    <n v="5.15"/>
    <x v="1"/>
  </r>
  <r>
    <n v="7.5053850916864908"/>
    <n v="5.7900000000000009"/>
    <x v="1"/>
  </r>
  <r>
    <n v="6.2480062421293407"/>
    <n v="4.82"/>
    <x v="1"/>
  </r>
  <r>
    <n v="6.2480062421293407"/>
    <n v="4.82"/>
    <x v="4"/>
  </r>
  <r>
    <n v="6.6757743043498143"/>
    <n v="5.15"/>
    <x v="6"/>
  </r>
  <r>
    <n v="6.2480062421293407"/>
    <n v="4.82"/>
    <x v="6"/>
  </r>
  <r>
    <n v="6.6757743043498143"/>
    <n v="5.15"/>
    <x v="6"/>
  </r>
  <r>
    <n v="6.6757743043498143"/>
    <n v="5.15"/>
    <x v="6"/>
  </r>
  <r>
    <n v="6.2480062421293407"/>
    <n v="4.82"/>
    <x v="6"/>
  </r>
  <r>
    <n v="6.2480062421293407"/>
    <n v="4.82"/>
    <x v="6"/>
  </r>
  <r>
    <n v="7.0905796980181526"/>
    <n v="5.4700000000000006"/>
    <x v="6"/>
  </r>
  <r>
    <n v="7.5053850916864908"/>
    <n v="5.7900000000000009"/>
    <x v="6"/>
  </r>
  <r>
    <n v="6.6757743043498143"/>
    <n v="5.15"/>
    <x v="6"/>
  </r>
  <r>
    <n v="7.0905796980181526"/>
    <n v="5.4700000000000006"/>
    <x v="6"/>
  </r>
  <r>
    <n v="6.2480062421293407"/>
    <n v="4.82"/>
    <x v="6"/>
  </r>
  <r>
    <n v="6.2480062421293407"/>
    <n v="4.82"/>
    <x v="2"/>
  </r>
  <r>
    <n v="8.2312945306060801"/>
    <n v="6.35"/>
    <x v="8"/>
  </r>
  <r>
    <n v="6.2480062421293407"/>
    <n v="4.82"/>
    <x v="4"/>
  </r>
  <r>
    <n v="6.2480062421293407"/>
    <n v="4.82"/>
    <x v="3"/>
  </r>
  <r>
    <n v="6.2480062421293407"/>
    <n v="4.82"/>
    <x v="6"/>
  </r>
  <r>
    <n v="6.2480062421293407"/>
    <n v="4.82"/>
    <x v="4"/>
  </r>
  <r>
    <n v="11.225670966149396"/>
    <n v="8.66"/>
    <x v="1"/>
  </r>
  <r>
    <n v="6.6757743043498143"/>
    <n v="5.15"/>
    <x v="6"/>
  </r>
  <r>
    <n v="6.2480062421293407"/>
    <n v="4.82"/>
    <x v="6"/>
  </r>
  <r>
    <n v="6.6757743043498143"/>
    <n v="5.15"/>
    <x v="6"/>
  </r>
  <r>
    <n v="7.5053850916864908"/>
    <n v="5.7900000000000009"/>
    <x v="12"/>
  </r>
  <r>
    <n v="7.5053850916864908"/>
    <n v="5.7900000000000009"/>
    <x v="1"/>
  </r>
  <r>
    <n v="6.6757743043498143"/>
    <n v="5.15"/>
    <x v="6"/>
  </r>
  <r>
    <n v="6.2480062421293407"/>
    <n v="4.82"/>
    <x v="6"/>
  </r>
  <r>
    <n v="6.2480062421293407"/>
    <n v="4.82"/>
    <x v="1"/>
  </r>
  <r>
    <n v="6.2480062421293407"/>
    <n v="4.82"/>
    <x v="6"/>
  </r>
  <r>
    <n v="6.6757743043498143"/>
    <n v="5.15"/>
    <x v="6"/>
  </r>
  <r>
    <n v="6.6757743043498143"/>
    <n v="5.15"/>
    <x v="12"/>
  </r>
  <r>
    <n v="6.2480062421293407"/>
    <n v="4.82"/>
    <x v="11"/>
  </r>
  <r>
    <n v="6.6757743043498143"/>
    <n v="5.15"/>
    <x v="13"/>
  </r>
  <r>
    <n v="6.6757743043498143"/>
    <n v="5.15"/>
    <x v="13"/>
  </r>
  <r>
    <n v="6.6757743043498143"/>
    <n v="5.15"/>
    <x v="13"/>
  </r>
  <r>
    <n v="6.6757743043498143"/>
    <n v="5.15"/>
    <x v="13"/>
  </r>
  <r>
    <n v="6.6757743043498143"/>
    <n v="5.15"/>
    <x v="13"/>
  </r>
  <r>
    <n v="6.2480062421293407"/>
    <n v="4.82"/>
    <x v="6"/>
  </r>
  <r>
    <n v="6.6757743043498143"/>
    <n v="5.15"/>
    <x v="13"/>
  </r>
  <r>
    <n v="6.6757743043498143"/>
    <n v="5.15"/>
    <x v="6"/>
  </r>
  <r>
    <n v="6.2480062421293407"/>
    <n v="4.82"/>
    <x v="4"/>
  </r>
  <r>
    <n v="7.0905796980181526"/>
    <n v="5.4700000000000006"/>
    <x v="6"/>
  </r>
  <r>
    <n v="6.6757743043498143"/>
    <n v="5.15"/>
    <x v="13"/>
  </r>
  <r>
    <n v="6.6757743043498143"/>
    <n v="5.15"/>
    <x v="13"/>
  </r>
  <r>
    <n v="6.6757743043498143"/>
    <n v="5.15"/>
    <x v="13"/>
  </r>
  <r>
    <n v="6.6757743043498143"/>
    <n v="5.15"/>
    <x v="13"/>
  </r>
  <r>
    <n v="6.6757743043498143"/>
    <n v="5.15"/>
    <x v="13"/>
  </r>
  <r>
    <n v="6.6757743043498143"/>
    <n v="5.15"/>
    <x v="13"/>
  </r>
  <r>
    <n v="6.6757743043498143"/>
    <n v="5.15"/>
    <x v="13"/>
  </r>
  <r>
    <n v="6.6757743043498143"/>
    <n v="5.15"/>
    <x v="13"/>
  </r>
  <r>
    <n v="6.6757743043498143"/>
    <n v="5.15"/>
    <x v="13"/>
  </r>
  <r>
    <n v="6.2480062421293407"/>
    <n v="4.82"/>
    <x v="14"/>
  </r>
  <r>
    <n v="6.2480062421293407"/>
    <n v="4.82"/>
    <x v="3"/>
  </r>
  <r>
    <n v="6.2480062421293407"/>
    <n v="4.82"/>
    <x v="6"/>
  </r>
  <r>
    <n v="7.0905796980181526"/>
    <n v="5.4700000000000006"/>
    <x v="13"/>
  </r>
  <r>
    <n v="6.6757743043498143"/>
    <n v="5.15"/>
    <x v="13"/>
  </r>
  <r>
    <n v="6.2480062421293407"/>
    <n v="4.82"/>
    <x v="15"/>
  </r>
  <r>
    <n v="6.2480062421293407"/>
    <n v="4.82"/>
    <x v="15"/>
  </r>
  <r>
    <n v="6.2480062421293407"/>
    <n v="4.82"/>
    <x v="6"/>
  </r>
  <r>
    <n v="6.2480062421293407"/>
    <n v="4.82"/>
    <x v="3"/>
  </r>
  <r>
    <n v="13.649689985398744"/>
    <n v="10.53"/>
    <x v="7"/>
  </r>
  <r>
    <n v="6.2480062421293407"/>
    <n v="4.82"/>
    <x v="4"/>
  </r>
  <r>
    <n v="6.2480062421293407"/>
    <n v="4.82"/>
    <x v="6"/>
  </r>
  <r>
    <n v="6.2480062421293407"/>
    <n v="4.82"/>
    <x v="10"/>
  </r>
  <r>
    <n v="6.2480062421293407"/>
    <n v="4.82"/>
    <x v="1"/>
  </r>
  <r>
    <n v="6.2480062421293407"/>
    <n v="4.82"/>
    <x v="6"/>
  </r>
  <r>
    <n v="7.5053850916864908"/>
    <n v="5.7900000000000009"/>
    <x v="1"/>
  </r>
  <r>
    <n v="6.6757743043498143"/>
    <n v="5.15"/>
    <x v="1"/>
  </r>
  <r>
    <n v="6.6757743043498143"/>
    <n v="5.15"/>
    <x v="6"/>
  </r>
  <r>
    <n v="7.0905796980181526"/>
    <n v="5.4700000000000006"/>
    <x v="6"/>
  </r>
  <r>
    <n v="6.2480062421293407"/>
    <n v="4.82"/>
    <x v="1"/>
  </r>
  <r>
    <n v="6.6757743043498143"/>
    <n v="5.15"/>
    <x v="1"/>
  </r>
  <r>
    <n v="7.0905796980181526"/>
    <n v="5.4700000000000006"/>
    <x v="6"/>
  </r>
  <r>
    <n v="6.2480062421293407"/>
    <n v="4.82"/>
    <x v="6"/>
  </r>
  <r>
    <n v="7.0905796980181526"/>
    <n v="5.4700000000000006"/>
    <x v="6"/>
  </r>
  <r>
    <n v="7.0905796980181526"/>
    <n v="5.4700000000000006"/>
    <x v="6"/>
  </r>
  <r>
    <n v="6.6757743043498143"/>
    <n v="5.15"/>
    <x v="6"/>
  </r>
  <r>
    <n v="6.6757743043498143"/>
    <n v="5.15"/>
    <x v="6"/>
  </r>
  <r>
    <n v="7.5053850916864908"/>
    <n v="5.7900000000000009"/>
    <x v="6"/>
  </r>
  <r>
    <n v="6.2480062421293407"/>
    <n v="4.82"/>
    <x v="4"/>
  </r>
  <r>
    <n v="6.6757743043498143"/>
    <n v="5.15"/>
    <x v="6"/>
  </r>
  <r>
    <n v="6.2480062421293407"/>
    <n v="4.82"/>
    <x v="6"/>
  </r>
  <r>
    <n v="6.6757743043498143"/>
    <n v="5.15"/>
    <x v="6"/>
  </r>
  <r>
    <n v="7.5053850916864908"/>
    <n v="5.7900000000000009"/>
    <x v="8"/>
  </r>
  <r>
    <n v="6.2480062421293407"/>
    <n v="4.82"/>
    <x v="3"/>
  </r>
  <r>
    <n v="7.0905796980181526"/>
    <n v="5.4700000000000006"/>
    <x v="6"/>
  </r>
  <r>
    <n v="6.2480062421293407"/>
    <n v="4.82"/>
    <x v="6"/>
  </r>
  <r>
    <n v="6.6757743043498143"/>
    <n v="5.15"/>
    <x v="6"/>
  </r>
  <r>
    <n v="6.2480062421293407"/>
    <n v="4.82"/>
    <x v="6"/>
  </r>
  <r>
    <n v="7.0905796980181526"/>
    <n v="5.4700000000000006"/>
    <x v="6"/>
  </r>
  <r>
    <n v="6.2480062421293407"/>
    <n v="4.82"/>
    <x v="6"/>
  </r>
  <r>
    <n v="7.0905796980181526"/>
    <n v="5.4700000000000006"/>
    <x v="6"/>
  </r>
  <r>
    <n v="6.6757743043498143"/>
    <n v="5.15"/>
    <x v="6"/>
  </r>
  <r>
    <n v="6.2480062421293407"/>
    <n v="4.82"/>
    <x v="6"/>
  </r>
  <r>
    <n v="6.6757743043498143"/>
    <n v="5.15"/>
    <x v="6"/>
  </r>
  <r>
    <n v="7.0905796980181526"/>
    <n v="5.4700000000000006"/>
    <x v="6"/>
  </r>
  <r>
    <n v="6.6757743043498143"/>
    <n v="5.15"/>
    <x v="6"/>
  </r>
  <r>
    <n v="6.2480062421293407"/>
    <n v="4.82"/>
    <x v="6"/>
  </r>
  <r>
    <n v="7.0905796980181526"/>
    <n v="5.4700000000000006"/>
    <x v="6"/>
  </r>
  <r>
    <n v="6.2480062421293407"/>
    <n v="4.82"/>
    <x v="6"/>
  </r>
  <r>
    <n v="7.0905796980181526"/>
    <n v="5.4700000000000006"/>
    <x v="8"/>
  </r>
  <r>
    <n v="6.2480062421293407"/>
    <n v="4.82"/>
    <x v="9"/>
  </r>
  <r>
    <n v="7.0905796980181526"/>
    <n v="5.4700000000000006"/>
    <x v="1"/>
  </r>
  <r>
    <n v="6.6757743043498143"/>
    <n v="5.15"/>
    <x v="1"/>
  </r>
  <r>
    <n v="7.0905796980181526"/>
    <n v="5.4700000000000006"/>
    <x v="1"/>
  </r>
  <r>
    <n v="7.5053850916864908"/>
    <n v="5.7900000000000009"/>
    <x v="1"/>
  </r>
  <r>
    <n v="7.0905796980181526"/>
    <n v="5.4700000000000006"/>
    <x v="13"/>
  </r>
  <r>
    <n v="6.6757743043498143"/>
    <n v="5.15"/>
    <x v="8"/>
  </r>
  <r>
    <n v="7.0905796980181526"/>
    <n v="5.4700000000000006"/>
    <x v="8"/>
  </r>
  <r>
    <n v="6.2480062421293407"/>
    <n v="4.82"/>
    <x v="4"/>
  </r>
  <r>
    <n v="6.2480062421293407"/>
    <n v="4.82"/>
    <x v="4"/>
  </r>
  <r>
    <n v="6.6757743043498143"/>
    <n v="5.15"/>
    <x v="4"/>
  </r>
  <r>
    <n v="6.2480062421293407"/>
    <n v="4.82"/>
    <x v="11"/>
  </r>
  <r>
    <n v="6.2480062421293407"/>
    <n v="4.82"/>
    <x v="6"/>
  </r>
  <r>
    <n v="6.2480062421293407"/>
    <n v="4.82"/>
    <x v="6"/>
  </r>
  <r>
    <n v="6.2480062421293407"/>
    <n v="4.82"/>
    <x v="6"/>
  </r>
  <r>
    <n v="6.6757743043498143"/>
    <n v="5.15"/>
    <x v="6"/>
  </r>
  <r>
    <n v="6.6757743043498143"/>
    <n v="5.15"/>
    <x v="6"/>
  </r>
  <r>
    <n v="6.2480062421293407"/>
    <n v="4.82"/>
    <x v="6"/>
  </r>
  <r>
    <n v="6.2480062421293407"/>
    <n v="4.82"/>
    <x v="6"/>
  </r>
  <r>
    <n v="6.2480062421293407"/>
    <n v="4.82"/>
    <x v="6"/>
  </r>
  <r>
    <n v="6.2480062421293407"/>
    <n v="4.82"/>
    <x v="6"/>
  </r>
  <r>
    <n v="6.2480062421293407"/>
    <n v="4.82"/>
    <x v="6"/>
  </r>
  <r>
    <n v="7.0905796980181526"/>
    <n v="5.4700000000000006"/>
    <x v="6"/>
  </r>
  <r>
    <n v="6.2480062421293407"/>
    <n v="4.82"/>
    <x v="6"/>
  </r>
  <r>
    <n v="7.0905796980181526"/>
    <n v="5.4700000000000006"/>
    <x v="1"/>
  </r>
  <r>
    <n v="6.2480062421293407"/>
    <n v="4.82"/>
    <x v="10"/>
  </r>
  <r>
    <n v="8.2312945306060801"/>
    <n v="6.35"/>
    <x v="7"/>
  </r>
  <r>
    <n v="6.2480062421293407"/>
    <n v="4.82"/>
    <x v="6"/>
  </r>
  <r>
    <n v="7.0905796980181526"/>
    <n v="5.4700000000000006"/>
    <x v="6"/>
  </r>
  <r>
    <n v="6.2480062421293407"/>
    <n v="4.82"/>
    <x v="6"/>
  </r>
  <r>
    <n v="6.2480062421293407"/>
    <n v="4.82"/>
    <x v="10"/>
  </r>
  <r>
    <n v="6.2480062421293407"/>
    <n v="4.82"/>
    <x v="4"/>
  </r>
  <r>
    <n v="6.6757743043498143"/>
    <n v="5.15"/>
    <x v="1"/>
  </r>
  <r>
    <n v="6.6757743043498143"/>
    <n v="5.15"/>
    <x v="13"/>
  </r>
  <r>
    <n v="6.6757743043498143"/>
    <n v="5.15"/>
    <x v="13"/>
  </r>
  <r>
    <n v="6.6757743043498143"/>
    <n v="5.15"/>
    <x v="6"/>
  </r>
  <r>
    <n v="6.2480062421293407"/>
    <n v="4.82"/>
    <x v="4"/>
  </r>
  <r>
    <n v="6.6757743043498143"/>
    <n v="5.15"/>
    <x v="6"/>
  </r>
  <r>
    <n v="6.6757743043498143"/>
    <n v="5.15"/>
    <x v="13"/>
  </r>
  <r>
    <n v="6.6757743043498143"/>
    <n v="5.15"/>
    <x v="13"/>
  </r>
  <r>
    <n v="6.6757743043498143"/>
    <n v="5.15"/>
    <x v="8"/>
  </r>
  <r>
    <n v="8.9572039695256755"/>
    <n v="6.9100000000000019"/>
    <x v="12"/>
  </r>
  <r>
    <n v="6.6757743043498143"/>
    <n v="5.15"/>
    <x v="13"/>
  </r>
  <r>
    <n v="6.6757743043498143"/>
    <n v="5.15"/>
    <x v="1"/>
  </r>
  <r>
    <n v="7.0905796980181526"/>
    <n v="5.4700000000000006"/>
    <x v="1"/>
  </r>
  <r>
    <n v="14.531151446943966"/>
    <n v="11.21"/>
    <x v="8"/>
  </r>
  <r>
    <n v="6.6757743043498143"/>
    <n v="5.15"/>
    <x v="8"/>
  </r>
  <r>
    <n v="6.6757743043498143"/>
    <n v="5.15"/>
    <x v="1"/>
  </r>
  <r>
    <n v="6.2480062421293407"/>
    <n v="4.82"/>
    <x v="4"/>
  </r>
  <r>
    <n v="8.2312945306060801"/>
    <n v="6.35"/>
    <x v="1"/>
  </r>
  <r>
    <n v="6.2480062421293407"/>
    <n v="4.82"/>
    <x v="3"/>
  </r>
  <r>
    <n v="6.6757743043498143"/>
    <n v="5.15"/>
    <x v="3"/>
  </r>
  <r>
    <n v="8.2312945306060801"/>
    <n v="6.35"/>
    <x v="1"/>
  </r>
  <r>
    <n v="6.6757743043498143"/>
    <n v="5.15"/>
    <x v="6"/>
  </r>
  <r>
    <n v="6.2480062421293407"/>
    <n v="4.82"/>
    <x v="16"/>
  </r>
  <r>
    <n v="7.0905796980181526"/>
    <n v="5.4700000000000006"/>
    <x v="7"/>
  </r>
  <r>
    <n v="6.2480062421293407"/>
    <n v="4.82"/>
    <x v="7"/>
  </r>
  <r>
    <n v="6.2480062421293407"/>
    <n v="4.82"/>
    <x v="1"/>
  </r>
  <r>
    <n v="6.2480062421293407"/>
    <n v="4.82"/>
    <x v="6"/>
  </r>
  <r>
    <n v="6.2480062421293407"/>
    <n v="4.82"/>
    <x v="4"/>
  </r>
  <r>
    <n v="7.5053850916864908"/>
    <n v="5.7900000000000009"/>
    <x v="7"/>
  </r>
  <r>
    <n v="8.9572039695256755"/>
    <n v="6.9100000000000019"/>
    <x v="8"/>
  </r>
  <r>
    <n v="12.884892540822749"/>
    <n v="9.9400000000000013"/>
    <x v="8"/>
  </r>
  <r>
    <n v="7.0905796980181526"/>
    <n v="5.4700000000000006"/>
    <x v="8"/>
  </r>
  <r>
    <n v="6.2480062421293407"/>
    <n v="4.82"/>
    <x v="8"/>
  </r>
  <r>
    <n v="7.0905796980181526"/>
    <n v="5.4700000000000006"/>
    <x v="8"/>
  </r>
  <r>
    <n v="6.6757743043498143"/>
    <n v="5.15"/>
    <x v="8"/>
  </r>
  <r>
    <n v="6.6757743043498143"/>
    <n v="5.15"/>
    <x v="8"/>
  </r>
  <r>
    <n v="7.0905796980181526"/>
    <n v="5.4700000000000006"/>
    <x v="8"/>
  </r>
  <r>
    <n v="7.5053850916864908"/>
    <n v="5.7900000000000009"/>
    <x v="8"/>
  </r>
  <r>
    <n v="7.0905796980181526"/>
    <n v="5.4700000000000006"/>
    <x v="8"/>
  </r>
  <r>
    <n v="7.0905796980181526"/>
    <n v="5.4700000000000006"/>
    <x v="8"/>
  </r>
  <r>
    <n v="9.6831134084452657"/>
    <n v="7.4700000000000006"/>
    <x v="13"/>
  </r>
  <r>
    <n v="7.0905796980181526"/>
    <n v="5.4700000000000006"/>
    <x v="1"/>
  </r>
  <r>
    <n v="6.2480062421293407"/>
    <n v="4.82"/>
    <x v="4"/>
  </r>
  <r>
    <n v="6.6757743043498143"/>
    <n v="5.15"/>
    <x v="1"/>
  </r>
  <r>
    <n v="6.6757743043498143"/>
    <n v="5.15"/>
    <x v="13"/>
  </r>
  <r>
    <n v="6.6757743043498143"/>
    <n v="5.15"/>
    <x v="13"/>
  </r>
  <r>
    <n v="6.6757743043498143"/>
    <n v="5.15"/>
    <x v="13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6.6757743043498143"/>
    <n v="5.15"/>
    <x v="8"/>
  </r>
  <r>
    <n v="6.2480062421293407"/>
    <n v="4.82"/>
    <x v="8"/>
  </r>
  <r>
    <n v="7.5053850916864908"/>
    <n v="5.7900000000000009"/>
    <x v="8"/>
  </r>
  <r>
    <n v="8.2312945306060801"/>
    <n v="6.35"/>
    <x v="8"/>
  </r>
  <r>
    <n v="7.0905796980181526"/>
    <n v="5.4700000000000006"/>
    <x v="8"/>
  </r>
  <r>
    <n v="8.2312945306060801"/>
    <n v="6.35"/>
    <x v="8"/>
  </r>
  <r>
    <n v="7.0905796980181526"/>
    <n v="5.4700000000000006"/>
    <x v="8"/>
  </r>
  <r>
    <n v="7.5053850916864908"/>
    <n v="5.7900000000000009"/>
    <x v="8"/>
  </r>
  <r>
    <n v="7.0905796980181526"/>
    <n v="5.4700000000000006"/>
    <x v="8"/>
  </r>
  <r>
    <n v="6.6757743043498143"/>
    <n v="5.15"/>
    <x v="8"/>
  </r>
  <r>
    <n v="7.0905796980181526"/>
    <n v="5.4700000000000006"/>
    <x v="7"/>
  </r>
  <r>
    <n v="7.5053850916864908"/>
    <n v="5.7900000000000009"/>
    <x v="7"/>
  </r>
  <r>
    <n v="7.0905796980181526"/>
    <n v="5.4700000000000006"/>
    <x v="7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6.2480062421293407"/>
    <n v="4.82"/>
    <x v="8"/>
  </r>
  <r>
    <n v="6.6757743043498143"/>
    <n v="5.15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6.6757743043498143"/>
    <n v="5.15"/>
    <x v="8"/>
  </r>
  <r>
    <n v="6.6757743043498143"/>
    <n v="5.15"/>
    <x v="8"/>
  </r>
  <r>
    <n v="6.2480062421293407"/>
    <n v="4.82"/>
    <x v="8"/>
  </r>
  <r>
    <n v="7.0905796980181526"/>
    <n v="5.4700000000000006"/>
    <x v="8"/>
  </r>
  <r>
    <n v="7.0905796980181526"/>
    <n v="5.4700000000000006"/>
    <x v="8"/>
  </r>
  <r>
    <n v="6.6757743043498143"/>
    <n v="5.15"/>
    <x v="8"/>
  </r>
  <r>
    <n v="7.0905796980181526"/>
    <n v="5.4700000000000006"/>
    <x v="8"/>
  </r>
  <r>
    <n v="6.2480062421293407"/>
    <n v="4.82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6.2480062421293407"/>
    <n v="4.82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6.6757743043498143"/>
    <n v="5.15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7.5053850916864908"/>
    <n v="5.7900000000000009"/>
    <x v="8"/>
  </r>
  <r>
    <n v="7.5053850916864908"/>
    <n v="5.7900000000000009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6.6757743043498143"/>
    <n v="5.15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6.6757743043498143"/>
    <n v="5.15"/>
    <x v="8"/>
  </r>
  <r>
    <n v="6.2480062421293407"/>
    <n v="4.82"/>
    <x v="16"/>
  </r>
  <r>
    <n v="6.2480062421293407"/>
    <n v="4.82"/>
    <x v="16"/>
  </r>
  <r>
    <n v="7.0905796980181526"/>
    <n v="5.4700000000000006"/>
    <x v="8"/>
  </r>
  <r>
    <n v="10.409022847364858"/>
    <n v="8.0300000000000011"/>
    <x v="1"/>
  </r>
  <r>
    <n v="8.2312945306060801"/>
    <n v="6.35"/>
    <x v="8"/>
  </r>
  <r>
    <n v="7.0905796980181526"/>
    <n v="5.4700000000000006"/>
    <x v="8"/>
  </r>
  <r>
    <n v="7.5053850916864908"/>
    <n v="5.7900000000000009"/>
    <x v="8"/>
  </r>
  <r>
    <n v="7.0905796980181526"/>
    <n v="5.4700000000000006"/>
    <x v="8"/>
  </r>
  <r>
    <n v="8.2312945306060801"/>
    <n v="6.35"/>
    <x v="8"/>
  </r>
  <r>
    <n v="8.2312945306060801"/>
    <n v="6.35"/>
    <x v="8"/>
  </r>
  <r>
    <n v="6.2480062421293407"/>
    <n v="4.82"/>
    <x v="8"/>
  </r>
  <r>
    <n v="7.5053850916864908"/>
    <n v="5.7900000000000009"/>
    <x v="8"/>
  </r>
  <r>
    <n v="7.0905796980181526"/>
    <n v="5.4700000000000006"/>
    <x v="8"/>
  </r>
  <r>
    <n v="7.5053850916864908"/>
    <n v="5.7900000000000009"/>
    <x v="8"/>
  </r>
  <r>
    <n v="7.0905796980181526"/>
    <n v="5.4700000000000006"/>
    <x v="9"/>
  </r>
  <r>
    <n v="9.6831134084452657"/>
    <n v="7.4700000000000006"/>
    <x v="8"/>
  </r>
  <r>
    <n v="7.0905796980181526"/>
    <n v="5.4700000000000006"/>
    <x v="8"/>
  </r>
  <r>
    <n v="10.409022847364858"/>
    <n v="8.0300000000000011"/>
    <x v="8"/>
  </r>
  <r>
    <n v="8.2312945306060801"/>
    <n v="6.35"/>
    <x v="8"/>
  </r>
  <r>
    <n v="8.9572039695256755"/>
    <n v="6.9100000000000019"/>
    <x v="8"/>
  </r>
  <r>
    <n v="8.2312945306060801"/>
    <n v="6.35"/>
    <x v="8"/>
  </r>
  <r>
    <n v="6.6757743043498143"/>
    <n v="5.15"/>
    <x v="8"/>
  </r>
  <r>
    <n v="6.2480062421293407"/>
    <n v="4.82"/>
    <x v="8"/>
  </r>
  <r>
    <n v="7.0905796980181526"/>
    <n v="5.4700000000000006"/>
    <x v="8"/>
  </r>
  <r>
    <n v="8.2312945306060801"/>
    <n v="6.35"/>
    <x v="8"/>
  </r>
  <r>
    <n v="7.5053850916864908"/>
    <n v="5.7900000000000009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6"/>
  </r>
  <r>
    <n v="7.0905796980181526"/>
    <n v="5.4700000000000006"/>
    <x v="6"/>
  </r>
  <r>
    <n v="6.6757743043498143"/>
    <n v="5.15"/>
    <x v="6"/>
  </r>
  <r>
    <n v="7.0905796980181526"/>
    <n v="5.4700000000000006"/>
    <x v="6"/>
  </r>
  <r>
    <n v="6.2480062421293407"/>
    <n v="4.82"/>
    <x v="1"/>
  </r>
  <r>
    <n v="7.5053850916864908"/>
    <n v="5.7900000000000009"/>
    <x v="1"/>
  </r>
  <r>
    <n v="6.6757743043498143"/>
    <n v="5.15"/>
    <x v="6"/>
  </r>
  <r>
    <n v="6.6757743043498143"/>
    <n v="5.15"/>
    <x v="6"/>
  </r>
  <r>
    <n v="7.0905796980181526"/>
    <n v="5.4700000000000006"/>
    <x v="6"/>
  </r>
  <r>
    <n v="6.2480062421293407"/>
    <n v="4.82"/>
    <x v="1"/>
  </r>
  <r>
    <n v="6.2480062421293407"/>
    <n v="4.82"/>
    <x v="6"/>
  </r>
  <r>
    <n v="6.2480062421293407"/>
    <n v="4.82"/>
    <x v="11"/>
  </r>
  <r>
    <n v="6.2480062421293407"/>
    <n v="4.82"/>
    <x v="4"/>
  </r>
  <r>
    <n v="6.2480062421293407"/>
    <n v="4.82"/>
    <x v="4"/>
  </r>
  <r>
    <n v="6.2480062421293407"/>
    <n v="4.82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7.5053850916864908"/>
    <n v="5.7900000000000009"/>
    <x v="8"/>
  </r>
  <r>
    <n v="6.6757743043498143"/>
    <n v="5.15"/>
    <x v="8"/>
  </r>
  <r>
    <n v="7.0905796980181526"/>
    <n v="5.4700000000000006"/>
    <x v="8"/>
  </r>
  <r>
    <n v="10.409022847364858"/>
    <n v="8.0300000000000011"/>
    <x v="8"/>
  </r>
  <r>
    <n v="6.2480062421293407"/>
    <n v="4.82"/>
    <x v="8"/>
  </r>
  <r>
    <n v="6.6757743043498143"/>
    <n v="5.15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6.2480062421293407"/>
    <n v="4.82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7.0905796980181526"/>
    <n v="5.4700000000000006"/>
    <x v="8"/>
  </r>
  <r>
    <n v="6.6757743043498143"/>
    <n v="5.15"/>
    <x v="8"/>
  </r>
  <r>
    <n v="6.6757743043498143"/>
    <n v="5.15"/>
    <x v="8"/>
  </r>
  <r>
    <n v="6.2480062421293407"/>
    <n v="4.82"/>
    <x v="8"/>
  </r>
  <r>
    <n v="7.0905796980181526"/>
    <n v="5.4700000000000006"/>
    <x v="8"/>
  </r>
  <r>
    <n v="8.9572039695256755"/>
    <n v="6.9100000000000019"/>
    <x v="8"/>
  </r>
  <r>
    <n v="7.0905796980181526"/>
    <n v="5.4700000000000006"/>
    <x v="8"/>
  </r>
  <r>
    <n v="7.5053850916864908"/>
    <n v="5.7900000000000009"/>
    <x v="8"/>
  </r>
  <r>
    <n v="7.0905796980181526"/>
    <n v="5.4700000000000006"/>
    <x v="8"/>
  </r>
  <r>
    <n v="7.0905796980181526"/>
    <n v="5.4700000000000006"/>
    <x v="8"/>
  </r>
  <r>
    <n v="6.6757743043498143"/>
    <n v="5.15"/>
    <x v="8"/>
  </r>
  <r>
    <n v="7.0905796980181526"/>
    <n v="5.4700000000000006"/>
    <x v="8"/>
  </r>
  <r>
    <n v="7.0905796980181526"/>
    <n v="5.4700000000000006"/>
    <x v="8"/>
  </r>
  <r>
    <n v="28.984526882575111"/>
    <n v="22.359999999999996"/>
    <x v="16"/>
  </r>
  <r>
    <n v="16.294074370034398"/>
    <n v="12.569999999999999"/>
    <x v="17"/>
  </r>
  <r>
    <n v="16.294074370034398"/>
    <n v="12.569999999999999"/>
    <x v="17"/>
  </r>
  <r>
    <n v="14.803367486538811"/>
    <n v="11.42"/>
    <x v="16"/>
  </r>
  <r>
    <n v="17.797743922082127"/>
    <n v="13.73"/>
    <x v="10"/>
  </r>
  <r>
    <n v="16.294074370034398"/>
    <n v="12.569999999999999"/>
    <x v="17"/>
  </r>
  <r>
    <n v="43.69715568924898"/>
    <n v="33.71"/>
    <x v="0"/>
  </r>
  <r>
    <m/>
    <m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5">
  <r>
    <x v="0"/>
    <n v="2604000030"/>
    <m/>
    <n v="0"/>
    <n v="0"/>
    <n v="0"/>
    <n v="0"/>
  </r>
  <r>
    <x v="1"/>
    <n v="2604000028"/>
    <m/>
    <n v="0"/>
    <n v="0"/>
    <n v="0"/>
    <n v="0"/>
  </r>
  <r>
    <x v="2"/>
    <n v="2604000032"/>
    <m/>
    <n v="0"/>
    <n v="0"/>
    <n v="0"/>
    <n v="0"/>
  </r>
  <r>
    <x v="3"/>
    <n v="2604000024"/>
    <m/>
    <n v="0"/>
    <n v="0"/>
    <n v="0"/>
    <n v="0"/>
  </r>
  <r>
    <x v="4"/>
    <n v="2604000031"/>
    <m/>
    <n v="0"/>
    <n v="0"/>
    <n v="0"/>
    <n v="0"/>
  </r>
  <r>
    <x v="5"/>
    <n v="2604000025"/>
    <m/>
    <n v="0"/>
    <n v="0"/>
    <n v="0"/>
    <n v="0"/>
  </r>
  <r>
    <x v="6"/>
    <n v="2604000027"/>
    <m/>
    <n v="0"/>
    <n v="0"/>
    <n v="0"/>
    <n v="0"/>
  </r>
  <r>
    <x v="7"/>
    <n v="2604000026"/>
    <m/>
    <n v="0"/>
    <n v="0"/>
    <n v="0"/>
    <n v="0"/>
  </r>
  <r>
    <x v="8"/>
    <n v="2604000029"/>
    <m/>
    <n v="0"/>
    <n v="0"/>
    <n v="0"/>
    <n v="0"/>
  </r>
  <r>
    <x v="2"/>
    <n v="2604000032"/>
    <m/>
    <n v="0"/>
    <n v="1"/>
    <n v="0"/>
    <n v="1.7"/>
  </r>
  <r>
    <x v="4"/>
    <n v="2604000031"/>
    <m/>
    <n v="0"/>
    <n v="1"/>
    <n v="0"/>
    <n v="1.1499999999999999"/>
  </r>
  <r>
    <x v="0"/>
    <n v="2604000030"/>
    <m/>
    <n v="0"/>
    <n v="1"/>
    <n v="0"/>
    <n v="2.42"/>
  </r>
  <r>
    <x v="8"/>
    <n v="2604000029"/>
    <m/>
    <n v="0"/>
    <n v="1"/>
    <n v="0"/>
    <n v="0.48"/>
  </r>
  <r>
    <x v="1"/>
    <n v="2604000028"/>
    <m/>
    <n v="0"/>
    <n v="1"/>
    <n v="0"/>
    <n v="2.38"/>
  </r>
  <r>
    <x v="6"/>
    <n v="2604000027"/>
    <m/>
    <n v="0"/>
    <n v="1"/>
    <n v="0"/>
    <n v="0.85"/>
  </r>
  <r>
    <x v="7"/>
    <n v="2604000026"/>
    <m/>
    <n v="0"/>
    <n v="1"/>
    <n v="0"/>
    <n v="0.86"/>
  </r>
  <r>
    <x v="5"/>
    <n v="2604000025"/>
    <m/>
    <n v="0"/>
    <n v="1"/>
    <n v="0"/>
    <n v="1.1499999999999999"/>
  </r>
  <r>
    <x v="3"/>
    <n v="2604000024"/>
    <m/>
    <n v="0"/>
    <n v="1"/>
    <n v="0"/>
    <n v="1.53"/>
  </r>
  <r>
    <x v="9"/>
    <n v="2604000015"/>
    <m/>
    <n v="0"/>
    <n v="1"/>
    <n v="0"/>
    <n v="0.25"/>
  </r>
  <r>
    <x v="10"/>
    <n v="2604000016"/>
    <m/>
    <n v="0"/>
    <n v="1"/>
    <n v="0"/>
    <n v="0.28000000000000003"/>
  </r>
  <r>
    <x v="11"/>
    <n v="2604000017"/>
    <m/>
    <n v="0"/>
    <n v="1"/>
    <n v="0"/>
    <n v="0.26"/>
  </r>
  <r>
    <x v="9"/>
    <n v="2604000015"/>
    <m/>
    <n v="0"/>
    <n v="0"/>
    <n v="0"/>
    <n v="0"/>
  </r>
  <r>
    <x v="10"/>
    <n v="2604000016"/>
    <m/>
    <n v="0"/>
    <n v="0"/>
    <n v="0"/>
    <n v="0"/>
  </r>
  <r>
    <x v="11"/>
    <n v="2604000017"/>
    <m/>
    <n v="0"/>
    <n v="0"/>
    <n v="0"/>
    <n v="0"/>
  </r>
  <r>
    <x v="12"/>
    <n v="2604000012"/>
    <m/>
    <n v="0"/>
    <n v="0"/>
    <n v="0"/>
    <n v="0"/>
  </r>
  <r>
    <x v="13"/>
    <n v="6699599"/>
    <m/>
    <n v="0"/>
    <n v="0"/>
    <n v="0"/>
    <n v="0"/>
  </r>
  <r>
    <x v="14"/>
    <n v="6699902"/>
    <m/>
    <n v="0"/>
    <n v="1"/>
    <n v="0"/>
    <n v="0.4"/>
  </r>
  <r>
    <x v="13"/>
    <n v="6699599"/>
    <m/>
    <n v="0"/>
    <n v="1"/>
    <n v="0"/>
    <n v="0.38"/>
  </r>
  <r>
    <x v="15"/>
    <n v="2604000035"/>
    <m/>
    <n v="0"/>
    <n v="0"/>
    <n v="0"/>
    <n v="0"/>
  </r>
  <r>
    <x v="16"/>
    <n v="2604000033"/>
    <m/>
    <n v="0"/>
    <n v="0"/>
    <n v="0"/>
    <n v="0"/>
  </r>
  <r>
    <x v="17"/>
    <n v="2604000053"/>
    <m/>
    <n v="0"/>
    <n v="0"/>
    <n v="0"/>
    <n v="0"/>
  </r>
  <r>
    <x v="18"/>
    <n v="2604000040"/>
    <m/>
    <n v="0"/>
    <n v="0"/>
    <n v="0"/>
    <n v="0"/>
  </r>
  <r>
    <x v="19"/>
    <n v="2604000049"/>
    <m/>
    <n v="0"/>
    <n v="0"/>
    <n v="0"/>
    <n v="0"/>
  </r>
  <r>
    <x v="20"/>
    <n v="2604000048"/>
    <m/>
    <n v="0"/>
    <n v="0"/>
    <n v="0"/>
    <n v="0"/>
  </r>
  <r>
    <x v="21"/>
    <n v="2604000043"/>
    <m/>
    <n v="0"/>
    <n v="0"/>
    <n v="0"/>
    <n v="0"/>
  </r>
  <r>
    <x v="22"/>
    <n v="2604000051"/>
    <m/>
    <n v="0"/>
    <n v="0"/>
    <n v="0"/>
    <n v="0"/>
  </r>
  <r>
    <x v="23"/>
    <n v="2604000046"/>
    <m/>
    <n v="0"/>
    <n v="0"/>
    <n v="0"/>
    <n v="0"/>
  </r>
  <r>
    <x v="16"/>
    <n v="2604000033"/>
    <m/>
    <n v="0"/>
    <n v="1"/>
    <n v="0"/>
    <n v="1.1100000000000001"/>
  </r>
  <r>
    <x v="24"/>
    <n v="2604000034"/>
    <m/>
    <n v="0"/>
    <n v="1"/>
    <n v="0"/>
    <n v="2.06"/>
  </r>
  <r>
    <x v="15"/>
    <n v="2604000035"/>
    <m/>
    <n v="0"/>
    <n v="1"/>
    <n v="0"/>
    <n v="1.18"/>
  </r>
  <r>
    <x v="25"/>
    <n v="2604000036"/>
    <m/>
    <n v="0"/>
    <n v="1"/>
    <n v="0"/>
    <n v="1.1499999999999999"/>
  </r>
  <r>
    <x v="26"/>
    <n v="2604000037"/>
    <m/>
    <n v="0"/>
    <n v="1"/>
    <n v="0"/>
    <n v="1.92"/>
  </r>
  <r>
    <x v="27"/>
    <n v="2604000038"/>
    <m/>
    <n v="0"/>
    <n v="1"/>
    <n v="0"/>
    <n v="1.26"/>
  </r>
  <r>
    <x v="28"/>
    <n v="2604000039"/>
    <m/>
    <n v="0"/>
    <n v="1"/>
    <n v="0"/>
    <n v="1.88"/>
  </r>
  <r>
    <x v="18"/>
    <n v="2604000040"/>
    <m/>
    <n v="0"/>
    <n v="1"/>
    <n v="0"/>
    <n v="0.86"/>
  </r>
  <r>
    <x v="29"/>
    <n v="2604000041"/>
    <m/>
    <n v="0"/>
    <n v="1"/>
    <n v="0"/>
    <n v="1.2"/>
  </r>
  <r>
    <x v="30"/>
    <n v="2604000042"/>
    <m/>
    <n v="0"/>
    <n v="1"/>
    <n v="0"/>
    <n v="1.91"/>
  </r>
  <r>
    <x v="21"/>
    <n v="2604000043"/>
    <m/>
    <n v="0"/>
    <n v="1"/>
    <n v="0"/>
    <n v="0.5"/>
  </r>
  <r>
    <x v="31"/>
    <n v="2604000044"/>
    <m/>
    <n v="0"/>
    <n v="1"/>
    <n v="0"/>
    <n v="1.52"/>
  </r>
  <r>
    <x v="32"/>
    <n v="2604000045"/>
    <m/>
    <n v="0"/>
    <n v="1"/>
    <n v="0"/>
    <n v="2.2400000000000002"/>
  </r>
  <r>
    <x v="23"/>
    <n v="2604000046"/>
    <m/>
    <n v="0"/>
    <n v="1"/>
    <n v="0"/>
    <n v="2.2999999999999998"/>
  </r>
  <r>
    <x v="33"/>
    <n v="2604000047"/>
    <m/>
    <n v="0"/>
    <n v="1"/>
    <n v="0"/>
    <n v="1.32"/>
  </r>
  <r>
    <x v="20"/>
    <n v="2604000048"/>
    <m/>
    <n v="0"/>
    <n v="1"/>
    <n v="0"/>
    <n v="0.45"/>
  </r>
  <r>
    <x v="19"/>
    <n v="2604000049"/>
    <m/>
    <n v="0"/>
    <n v="1"/>
    <n v="0"/>
    <n v="0.5"/>
  </r>
  <r>
    <x v="34"/>
    <n v="2604000050"/>
    <m/>
    <n v="0"/>
    <n v="1"/>
    <n v="0"/>
    <n v="1.1399999999999999"/>
  </r>
  <r>
    <x v="22"/>
    <n v="2604000051"/>
    <m/>
    <n v="0"/>
    <n v="1"/>
    <n v="0"/>
    <n v="4.8"/>
  </r>
  <r>
    <x v="35"/>
    <n v="2604000052"/>
    <m/>
    <n v="0"/>
    <n v="1"/>
    <n v="0"/>
    <n v="1.2"/>
  </r>
  <r>
    <x v="17"/>
    <n v="2604000053"/>
    <m/>
    <n v="0"/>
    <n v="1"/>
    <n v="0"/>
    <n v="0.84"/>
  </r>
  <r>
    <x v="36"/>
    <n v="2604000054"/>
    <m/>
    <n v="0"/>
    <n v="1"/>
    <n v="0"/>
    <n v="1.66"/>
  </r>
  <r>
    <x v="32"/>
    <n v="2604000045"/>
    <m/>
    <n v="0"/>
    <n v="0"/>
    <n v="0"/>
    <n v="0"/>
  </r>
  <r>
    <x v="24"/>
    <n v="2604000034"/>
    <m/>
    <n v="0"/>
    <n v="0"/>
    <n v="0"/>
    <n v="0"/>
  </r>
  <r>
    <x v="36"/>
    <n v="2604000054"/>
    <m/>
    <n v="0"/>
    <n v="0"/>
    <n v="0"/>
    <n v="0"/>
  </r>
  <r>
    <x v="31"/>
    <n v="2604000044"/>
    <m/>
    <n v="0"/>
    <n v="0"/>
    <n v="0"/>
    <n v="0"/>
  </r>
  <r>
    <x v="30"/>
    <n v="2604000042"/>
    <m/>
    <n v="0"/>
    <n v="0"/>
    <n v="0"/>
    <n v="0"/>
  </r>
  <r>
    <x v="28"/>
    <n v="2604000039"/>
    <m/>
    <n v="0"/>
    <n v="0"/>
    <n v="0"/>
    <n v="0"/>
  </r>
  <r>
    <x v="37"/>
    <n v="2604000018"/>
    <m/>
    <n v="0"/>
    <n v="1"/>
    <n v="0"/>
    <n v="0.28000000000000003"/>
  </r>
  <r>
    <x v="38"/>
    <n v="2604000019"/>
    <m/>
    <n v="0"/>
    <n v="1"/>
    <n v="0"/>
    <n v="0.54"/>
  </r>
  <r>
    <x v="39"/>
    <n v="2604000020"/>
    <m/>
    <n v="0"/>
    <n v="1"/>
    <n v="0"/>
    <n v="0.28000000000000003"/>
  </r>
  <r>
    <x v="40"/>
    <n v="2604000021"/>
    <m/>
    <n v="0"/>
    <n v="1"/>
    <n v="0"/>
    <n v="0.3"/>
  </r>
  <r>
    <x v="41"/>
    <n v="2604000022"/>
    <m/>
    <n v="0"/>
    <n v="1"/>
    <n v="0"/>
    <n v="0.54"/>
  </r>
  <r>
    <x v="42"/>
    <n v="2604000023"/>
    <m/>
    <n v="0"/>
    <n v="1"/>
    <n v="0"/>
    <n v="0.56000000000000005"/>
  </r>
  <r>
    <x v="43"/>
    <n v="2604000024"/>
    <m/>
    <n v="0"/>
    <n v="1"/>
    <n v="0"/>
    <n v="0.72"/>
  </r>
  <r>
    <x v="37"/>
    <n v="2604000018"/>
    <m/>
    <n v="0"/>
    <n v="0"/>
    <n v="0"/>
    <n v="0"/>
  </r>
  <r>
    <x v="39"/>
    <n v="2604000020"/>
    <m/>
    <n v="0"/>
    <n v="0"/>
    <n v="0"/>
    <n v="0"/>
  </r>
  <r>
    <x v="40"/>
    <n v="2604000021"/>
    <m/>
    <n v="0"/>
    <n v="0"/>
    <n v="0"/>
    <n v="0"/>
  </r>
  <r>
    <x v="38"/>
    <n v="2604000019"/>
    <m/>
    <n v="0"/>
    <n v="0"/>
    <n v="0"/>
    <n v="0"/>
  </r>
  <r>
    <x v="41"/>
    <n v="2604000022"/>
    <m/>
    <n v="0"/>
    <n v="0"/>
    <n v="0"/>
    <n v="0"/>
  </r>
  <r>
    <x v="42"/>
    <n v="2604000023"/>
    <m/>
    <n v="0"/>
    <n v="0"/>
    <n v="0"/>
    <n v="0"/>
  </r>
  <r>
    <x v="43"/>
    <n v="2604000024"/>
    <m/>
    <n v="0"/>
    <n v="0"/>
    <n v="0"/>
    <n v="0"/>
  </r>
  <r>
    <x v="44"/>
    <n v="6694240"/>
    <m/>
    <n v="0"/>
    <n v="1"/>
    <n v="0"/>
    <n v="0.2"/>
  </r>
  <r>
    <x v="45"/>
    <n v="6694523"/>
    <m/>
    <n v="0"/>
    <n v="1"/>
    <n v="0"/>
    <n v="2.7"/>
  </r>
  <r>
    <x v="46"/>
    <n v="6694589"/>
    <m/>
    <n v="0"/>
    <n v="1"/>
    <n v="0"/>
    <n v="0.77"/>
  </r>
  <r>
    <x v="44"/>
    <n v="6694240"/>
    <m/>
    <n v="0"/>
    <n v="0"/>
    <n v="0"/>
    <n v="0"/>
  </r>
  <r>
    <x v="46"/>
    <n v="6694589"/>
    <m/>
    <n v="0"/>
    <n v="0"/>
    <n v="0"/>
    <n v="0"/>
  </r>
  <r>
    <x v="45"/>
    <n v="6694523"/>
    <m/>
    <n v="0"/>
    <n v="0"/>
    <n v="0"/>
    <n v="0"/>
  </r>
  <r>
    <x v="26"/>
    <n v="2604000037"/>
    <m/>
    <n v="0"/>
    <n v="0"/>
    <n v="0"/>
    <n v="0"/>
  </r>
  <r>
    <x v="35"/>
    <n v="2604000052"/>
    <m/>
    <n v="0"/>
    <n v="0"/>
    <n v="0"/>
    <n v="0"/>
  </r>
  <r>
    <x v="34"/>
    <n v="2604000050"/>
    <m/>
    <n v="0"/>
    <n v="0"/>
    <n v="0"/>
    <n v="0"/>
  </r>
  <r>
    <x v="33"/>
    <n v="2604000047"/>
    <m/>
    <n v="0"/>
    <n v="0"/>
    <n v="0"/>
    <n v="0"/>
  </r>
  <r>
    <x v="29"/>
    <n v="2604000041"/>
    <m/>
    <n v="0"/>
    <n v="0"/>
    <n v="0"/>
    <n v="0"/>
  </r>
  <r>
    <x v="27"/>
    <n v="2604000038"/>
    <m/>
    <n v="0"/>
    <n v="0"/>
    <n v="0"/>
    <n v="0"/>
  </r>
  <r>
    <x v="25"/>
    <n v="2604000036"/>
    <m/>
    <n v="0"/>
    <n v="0"/>
    <n v="0"/>
    <n v="0"/>
  </r>
  <r>
    <x v="14"/>
    <n v="6699902"/>
    <m/>
    <n v="0"/>
    <n v="0"/>
    <n v="0"/>
    <n v="0"/>
  </r>
  <r>
    <x v="47"/>
    <n v="2604000032"/>
    <m/>
    <n v="0"/>
    <n v="1"/>
    <n v="0"/>
    <n v="2.88"/>
  </r>
  <r>
    <x v="48"/>
    <n v="2604000033"/>
    <m/>
    <n v="0"/>
    <n v="1"/>
    <n v="0"/>
    <n v="0.45"/>
  </r>
  <r>
    <x v="49"/>
    <n v="2604000031"/>
    <m/>
    <n v="0"/>
    <n v="0"/>
    <n v="0"/>
    <n v="0"/>
  </r>
  <r>
    <x v="50"/>
    <n v="2604000025"/>
    <m/>
    <n v="0"/>
    <n v="0"/>
    <n v="0"/>
    <n v="0"/>
  </r>
  <r>
    <x v="51"/>
    <n v="2604000027"/>
    <m/>
    <n v="0"/>
    <n v="0"/>
    <n v="0"/>
    <n v="0"/>
  </r>
  <r>
    <x v="52"/>
    <n v="2604000030"/>
    <m/>
    <n v="0"/>
    <n v="0"/>
    <n v="0"/>
    <n v="0"/>
  </r>
  <r>
    <x v="48"/>
    <n v="2604000033"/>
    <m/>
    <n v="0"/>
    <n v="0"/>
    <n v="0"/>
    <n v="0"/>
  </r>
  <r>
    <x v="50"/>
    <n v="2604000025"/>
    <m/>
    <n v="0"/>
    <n v="1"/>
    <n v="0"/>
    <n v="0.48"/>
  </r>
  <r>
    <x v="53"/>
    <n v="2604000026"/>
    <m/>
    <n v="0"/>
    <n v="1"/>
    <n v="0"/>
    <n v="0.57999999999999996"/>
  </r>
  <r>
    <x v="51"/>
    <n v="2604000027"/>
    <m/>
    <n v="0"/>
    <n v="1"/>
    <n v="0"/>
    <n v="0.32"/>
  </r>
  <r>
    <x v="54"/>
    <n v="2604000028"/>
    <m/>
    <n v="0"/>
    <n v="1"/>
    <n v="0"/>
    <n v="0.82"/>
  </r>
  <r>
    <x v="55"/>
    <n v="2604000029"/>
    <m/>
    <n v="0"/>
    <n v="1"/>
    <n v="0"/>
    <n v="0.8"/>
  </r>
  <r>
    <x v="52"/>
    <n v="2604000030"/>
    <m/>
    <n v="0"/>
    <n v="1"/>
    <n v="0"/>
    <n v="0.42"/>
  </r>
  <r>
    <x v="49"/>
    <n v="2604000031"/>
    <m/>
    <n v="0"/>
    <n v="1"/>
    <n v="0"/>
    <n v="0.16"/>
  </r>
  <r>
    <x v="56"/>
    <n v="6708090"/>
    <m/>
    <n v="0"/>
    <n v="0"/>
    <n v="0"/>
    <n v="0"/>
  </r>
  <r>
    <x v="56"/>
    <n v="6708090"/>
    <m/>
    <n v="0"/>
    <n v="1"/>
    <n v="0"/>
    <n v="0.26"/>
  </r>
  <r>
    <x v="47"/>
    <n v="2604000032"/>
    <m/>
    <n v="0"/>
    <n v="0"/>
    <n v="0"/>
    <n v="0"/>
  </r>
  <r>
    <x v="55"/>
    <n v="2604000029"/>
    <m/>
    <n v="0"/>
    <n v="0"/>
    <n v="0"/>
    <n v="0"/>
  </r>
  <r>
    <x v="54"/>
    <n v="2604000028"/>
    <m/>
    <n v="0"/>
    <n v="0"/>
    <n v="0"/>
    <n v="0"/>
  </r>
  <r>
    <x v="53"/>
    <n v="2604000026"/>
    <m/>
    <n v="0"/>
    <n v="0"/>
    <n v="0"/>
    <n v="0"/>
  </r>
  <r>
    <x v="57"/>
    <n v="2604000055"/>
    <m/>
    <n v="0"/>
    <n v="1"/>
    <n v="0"/>
    <n v="1.18"/>
  </r>
  <r>
    <x v="58"/>
    <n v="2604000056"/>
    <m/>
    <n v="0"/>
    <n v="1"/>
    <n v="0"/>
    <n v="1.6"/>
  </r>
  <r>
    <x v="59"/>
    <n v="2604000057"/>
    <m/>
    <n v="0"/>
    <n v="1"/>
    <n v="0"/>
    <n v="1.1100000000000001"/>
  </r>
  <r>
    <x v="60"/>
    <n v="2604000058"/>
    <m/>
    <n v="0"/>
    <n v="1"/>
    <n v="0"/>
    <n v="1.1100000000000001"/>
  </r>
  <r>
    <x v="61"/>
    <n v="2604000059"/>
    <m/>
    <n v="0"/>
    <n v="1"/>
    <n v="0"/>
    <n v="1.56"/>
  </r>
  <r>
    <x v="62"/>
    <n v="2604000060"/>
    <m/>
    <n v="0"/>
    <n v="1"/>
    <n v="0"/>
    <n v="0.48"/>
  </r>
  <r>
    <x v="63"/>
    <n v="2604000061"/>
    <m/>
    <n v="0"/>
    <n v="1"/>
    <n v="0"/>
    <n v="1.56"/>
  </r>
  <r>
    <x v="64"/>
    <n v="2604000062"/>
    <m/>
    <n v="0"/>
    <n v="1"/>
    <n v="0"/>
    <n v="2.0499999999999998"/>
  </r>
  <r>
    <x v="65"/>
    <n v="2604000063"/>
    <m/>
    <n v="0"/>
    <n v="1"/>
    <n v="0"/>
    <n v="3.88"/>
  </r>
  <r>
    <x v="62"/>
    <n v="2604000060"/>
    <m/>
    <n v="0"/>
    <n v="0"/>
    <n v="0"/>
    <n v="0"/>
  </r>
  <r>
    <x v="57"/>
    <n v="2604000055"/>
    <m/>
    <n v="0"/>
    <n v="0"/>
    <n v="0"/>
    <n v="0"/>
  </r>
  <r>
    <x v="59"/>
    <n v="2604000057"/>
    <m/>
    <n v="0"/>
    <n v="0"/>
    <n v="0"/>
    <n v="0"/>
  </r>
  <r>
    <x v="60"/>
    <n v="2604000058"/>
    <m/>
    <n v="0"/>
    <n v="0"/>
    <n v="0"/>
    <n v="0"/>
  </r>
  <r>
    <x v="58"/>
    <n v="2604000056"/>
    <m/>
    <n v="0"/>
    <n v="0"/>
    <n v="0"/>
    <n v="0"/>
  </r>
  <r>
    <x v="61"/>
    <n v="2604000059"/>
    <m/>
    <n v="0"/>
    <n v="0"/>
    <n v="0"/>
    <n v="0"/>
  </r>
  <r>
    <x v="63"/>
    <n v="2604000061"/>
    <m/>
    <n v="0"/>
    <n v="0"/>
    <n v="0"/>
    <n v="0"/>
  </r>
  <r>
    <x v="64"/>
    <n v="2604000062"/>
    <m/>
    <n v="0"/>
    <n v="0"/>
    <n v="0"/>
    <n v="0"/>
  </r>
  <r>
    <x v="65"/>
    <n v="2604000063"/>
    <m/>
    <n v="0"/>
    <n v="0"/>
    <n v="0"/>
    <n v="0"/>
  </r>
  <r>
    <x v="16"/>
    <n v="2604000033"/>
    <m/>
    <n v="0"/>
    <n v="0"/>
    <n v="0"/>
    <n v="0"/>
  </r>
  <r>
    <x v="16"/>
    <n v="2604000033"/>
    <m/>
    <n v="0"/>
    <n v="0"/>
    <n v="0"/>
    <n v="0"/>
  </r>
  <r>
    <x v="66"/>
    <n v="6700045"/>
    <m/>
    <n v="0"/>
    <n v="1"/>
    <n v="0"/>
    <n v="0.22"/>
  </r>
  <r>
    <x v="67"/>
    <n v="6703047"/>
    <m/>
    <n v="0"/>
    <n v="1"/>
    <n v="0"/>
    <n v="0.28000000000000003"/>
  </r>
  <r>
    <x v="67"/>
    <n v="6703047"/>
    <m/>
    <n v="0"/>
    <n v="0"/>
    <n v="0"/>
    <n v="0"/>
  </r>
  <r>
    <x v="66"/>
    <n v="6700045"/>
    <m/>
    <n v="0"/>
    <n v="0"/>
    <n v="0"/>
    <n v="0"/>
  </r>
  <r>
    <x v="68"/>
    <n v="2604000065"/>
    <m/>
    <n v="0"/>
    <n v="1"/>
    <n v="0"/>
    <n v="0.81"/>
  </r>
  <r>
    <x v="69"/>
    <n v="2604000064"/>
    <m/>
    <n v="0"/>
    <n v="1"/>
    <n v="0"/>
    <n v="3.12"/>
  </r>
  <r>
    <x v="70"/>
    <n v="6579152"/>
    <m/>
    <n v="0"/>
    <n v="0"/>
    <n v="0"/>
    <n v="0"/>
  </r>
  <r>
    <x v="65"/>
    <n v="2604000063"/>
    <m/>
    <n v="0"/>
    <n v="0"/>
    <n v="0"/>
    <n v="0"/>
  </r>
  <r>
    <x v="65"/>
    <n v="2604000063"/>
    <m/>
    <n v="0"/>
    <n v="0"/>
    <n v="0"/>
    <n v="0"/>
  </r>
  <r>
    <x v="69"/>
    <n v="2604000064"/>
    <m/>
    <n v="0"/>
    <n v="0"/>
    <n v="0"/>
    <n v="0"/>
  </r>
  <r>
    <x v="71"/>
    <n v="2604000068"/>
    <m/>
    <n v="0"/>
    <n v="0"/>
    <n v="0"/>
    <n v="0"/>
  </r>
  <r>
    <x v="72"/>
    <n v="2604000034"/>
    <m/>
    <n v="0"/>
    <n v="1"/>
    <n v="0"/>
    <n v="0.38"/>
  </r>
  <r>
    <x v="73"/>
    <n v="2604000035"/>
    <m/>
    <n v="0"/>
    <n v="1"/>
    <n v="0"/>
    <n v="0.64"/>
  </r>
  <r>
    <x v="74"/>
    <n v="2604000036"/>
    <m/>
    <n v="0"/>
    <n v="1"/>
    <n v="0"/>
    <n v="0.28000000000000003"/>
  </r>
  <r>
    <x v="72"/>
    <n v="2604000034"/>
    <m/>
    <n v="0"/>
    <n v="0"/>
    <n v="0"/>
    <n v="0"/>
  </r>
  <r>
    <x v="74"/>
    <n v="2604000036"/>
    <m/>
    <n v="0"/>
    <n v="0"/>
    <n v="0"/>
    <n v="0"/>
  </r>
  <r>
    <x v="73"/>
    <n v="2604000035"/>
    <m/>
    <n v="0"/>
    <n v="0"/>
    <n v="0"/>
    <n v="0"/>
  </r>
  <r>
    <x v="39"/>
    <n v="2604000020"/>
    <m/>
    <n v="0"/>
    <n v="0"/>
    <n v="0"/>
    <n v="0"/>
  </r>
  <r>
    <x v="75"/>
    <n v="2604000066"/>
    <m/>
    <n v="0"/>
    <n v="0"/>
    <n v="0"/>
    <n v="0"/>
  </r>
  <r>
    <x v="76"/>
    <n v="2604000067"/>
    <m/>
    <n v="0"/>
    <n v="0"/>
    <n v="0"/>
    <n v="0"/>
  </r>
  <r>
    <x v="68"/>
    <n v="2604000065"/>
    <m/>
    <n v="0"/>
    <n v="0"/>
    <n v="0"/>
    <n v="0"/>
  </r>
  <r>
    <x v="77"/>
    <n v="2604000069"/>
    <m/>
    <n v="0"/>
    <n v="0"/>
    <n v="0"/>
    <n v="0"/>
  </r>
  <r>
    <x v="77"/>
    <n v="2604000069"/>
    <m/>
    <n v="0"/>
    <n v="1"/>
    <n v="0"/>
    <n v="0.45"/>
  </r>
  <r>
    <x v="71"/>
    <n v="2604000068"/>
    <m/>
    <n v="0"/>
    <n v="1"/>
    <n v="0"/>
    <n v="2"/>
  </r>
  <r>
    <x v="75"/>
    <n v="2604000066"/>
    <m/>
    <n v="0"/>
    <n v="1"/>
    <n v="0"/>
    <n v="1.95"/>
  </r>
  <r>
    <x v="76"/>
    <n v="2604000067"/>
    <m/>
    <n v="0"/>
    <n v="1"/>
    <n v="0"/>
    <n v="1.1599999999999999"/>
  </r>
  <r>
    <x v="78"/>
    <n v="2604000042"/>
    <m/>
    <n v="0"/>
    <n v="0"/>
    <n v="0"/>
    <n v="0"/>
  </r>
  <r>
    <x v="79"/>
    <n v="2604000043"/>
    <m/>
    <n v="0"/>
    <n v="0"/>
    <n v="0"/>
    <n v="0"/>
  </r>
  <r>
    <x v="80"/>
    <n v="2604000037"/>
    <m/>
    <n v="0"/>
    <n v="0"/>
    <n v="0"/>
    <n v="0"/>
  </r>
  <r>
    <x v="81"/>
    <n v="2604000038"/>
    <m/>
    <n v="0"/>
    <n v="0"/>
    <n v="0"/>
    <n v="0"/>
  </r>
  <r>
    <x v="82"/>
    <n v="2604000041"/>
    <m/>
    <n v="0"/>
    <n v="0"/>
    <n v="0"/>
    <n v="0"/>
  </r>
  <r>
    <x v="83"/>
    <n v="2604000040"/>
    <m/>
    <n v="0"/>
    <n v="0"/>
    <n v="0"/>
    <n v="0"/>
  </r>
  <r>
    <x v="84"/>
    <n v="2604000039"/>
    <m/>
    <n v="0"/>
    <n v="0"/>
    <n v="0"/>
    <n v="0"/>
  </r>
  <r>
    <x v="79"/>
    <n v="2604000043"/>
    <m/>
    <n v="0"/>
    <n v="1"/>
    <n v="0"/>
    <n v="0.8"/>
  </r>
  <r>
    <x v="78"/>
    <n v="2604000042"/>
    <m/>
    <n v="0"/>
    <n v="1"/>
    <n v="0"/>
    <n v="1.04"/>
  </r>
  <r>
    <x v="82"/>
    <n v="2604000041"/>
    <m/>
    <n v="0"/>
    <n v="1"/>
    <n v="0"/>
    <n v="0.48"/>
  </r>
  <r>
    <x v="75"/>
    <n v="2604000066"/>
    <m/>
    <n v="0"/>
    <n v="0"/>
    <n v="0"/>
    <n v="0"/>
  </r>
  <r>
    <x v="85"/>
    <n v="2604000075"/>
    <m/>
    <n v="0"/>
    <n v="0"/>
    <n v="0"/>
    <n v="0"/>
  </r>
  <r>
    <x v="86"/>
    <n v="2604000074"/>
    <m/>
    <n v="0"/>
    <n v="0"/>
    <n v="0"/>
    <n v="0"/>
  </r>
  <r>
    <x v="87"/>
    <n v="2604000072"/>
    <m/>
    <n v="0"/>
    <n v="0"/>
    <n v="0"/>
    <n v="0"/>
  </r>
  <r>
    <x v="88"/>
    <n v="2604000073"/>
    <m/>
    <n v="0"/>
    <n v="0"/>
    <n v="0"/>
    <n v="0"/>
  </r>
  <r>
    <x v="89"/>
    <n v="2604000076"/>
    <m/>
    <n v="0"/>
    <n v="1"/>
    <n v="0"/>
    <n v="1.62"/>
  </r>
  <r>
    <x v="85"/>
    <n v="2604000075"/>
    <m/>
    <n v="0"/>
    <n v="1"/>
    <n v="0"/>
    <n v="1.92"/>
  </r>
  <r>
    <x v="86"/>
    <n v="2604000074"/>
    <m/>
    <n v="0"/>
    <n v="1"/>
    <n v="0"/>
    <n v="1.66"/>
  </r>
  <r>
    <x v="90"/>
    <n v="2604000071"/>
    <m/>
    <n v="0"/>
    <n v="0"/>
    <n v="0"/>
    <n v="0"/>
  </r>
  <r>
    <x v="91"/>
    <n v="2604000070"/>
    <m/>
    <n v="0"/>
    <n v="0"/>
    <n v="0"/>
    <n v="0"/>
  </r>
  <r>
    <x v="89"/>
    <n v="2604000076"/>
    <m/>
    <n v="0"/>
    <n v="0"/>
    <n v="0"/>
    <n v="0"/>
  </r>
  <r>
    <x v="88"/>
    <n v="2604000073"/>
    <m/>
    <n v="0"/>
    <n v="1"/>
    <n v="0"/>
    <n v="1.18"/>
  </r>
  <r>
    <x v="87"/>
    <n v="2604000072"/>
    <m/>
    <n v="0"/>
    <n v="1"/>
    <n v="0"/>
    <n v="1.7"/>
  </r>
  <r>
    <x v="26"/>
    <n v="2604000037"/>
    <m/>
    <n v="0"/>
    <n v="0"/>
    <n v="0"/>
    <n v="0"/>
  </r>
  <r>
    <x v="75"/>
    <n v="2604000066"/>
    <m/>
    <n v="0"/>
    <n v="0"/>
    <n v="0"/>
    <n v="0"/>
  </r>
  <r>
    <x v="16"/>
    <n v="2604000033"/>
    <m/>
    <n v="0"/>
    <n v="0"/>
    <n v="0"/>
    <n v="0"/>
  </r>
  <r>
    <x v="90"/>
    <n v="2604000071"/>
    <m/>
    <n v="0"/>
    <n v="1"/>
    <n v="0"/>
    <n v="3.05"/>
  </r>
  <r>
    <x v="91"/>
    <n v="2604000070"/>
    <m/>
    <n v="0"/>
    <n v="1"/>
    <n v="0"/>
    <n v="2.46"/>
  </r>
  <r>
    <x v="80"/>
    <n v="2604000037"/>
    <m/>
    <n v="0"/>
    <n v="1"/>
    <n v="0"/>
    <n v="0.78"/>
  </r>
  <r>
    <x v="81"/>
    <n v="2604000038"/>
    <m/>
    <n v="0"/>
    <n v="1"/>
    <n v="0"/>
    <n v="0.61"/>
  </r>
  <r>
    <x v="84"/>
    <n v="2604000039"/>
    <m/>
    <n v="0"/>
    <n v="1"/>
    <n v="0"/>
    <n v="0.3"/>
  </r>
  <r>
    <x v="83"/>
    <n v="2604000040"/>
    <m/>
    <n v="0"/>
    <n v="1"/>
    <n v="0"/>
    <n v="0.3"/>
  </r>
  <r>
    <x v="26"/>
    <n v="2604000037"/>
    <m/>
    <n v="0"/>
    <n v="0"/>
    <n v="0"/>
    <n v="0"/>
  </r>
  <r>
    <x v="92"/>
    <n v="6761431"/>
    <m/>
    <n v="0"/>
    <n v="1"/>
    <n v="0"/>
    <n v="1.02"/>
  </r>
  <r>
    <x v="92"/>
    <n v="6761431"/>
    <m/>
    <n v="0"/>
    <n v="0"/>
    <n v="0"/>
    <n v="0"/>
  </r>
  <r>
    <x v="93"/>
    <n v="2604000077"/>
    <m/>
    <n v="0"/>
    <n v="0"/>
    <n v="0"/>
    <n v="0"/>
  </r>
  <r>
    <x v="93"/>
    <n v="2604000077"/>
    <m/>
    <n v="0"/>
    <n v="1"/>
    <n v="0"/>
    <n v="5.44"/>
  </r>
  <r>
    <x v="94"/>
    <n v="2604000044"/>
    <m/>
    <n v="0"/>
    <n v="0"/>
    <n v="0"/>
    <n v="0"/>
  </r>
  <r>
    <x v="95"/>
    <n v="2604000045"/>
    <m/>
    <n v="0"/>
    <n v="0"/>
    <n v="0"/>
    <n v="0"/>
  </r>
  <r>
    <x v="95"/>
    <n v="2604000045"/>
    <m/>
    <n v="0"/>
    <n v="1"/>
    <n v="0"/>
    <n v="0.3"/>
  </r>
  <r>
    <x v="94"/>
    <n v="2604000044"/>
    <m/>
    <n v="0"/>
    <n v="1"/>
    <n v="0"/>
    <n v="0.52"/>
  </r>
  <r>
    <x v="96"/>
    <n v="2604000080"/>
    <m/>
    <n v="0"/>
    <n v="1"/>
    <n v="0"/>
    <n v="1.72"/>
  </r>
  <r>
    <x v="97"/>
    <n v="2604000081"/>
    <m/>
    <n v="0"/>
    <n v="1"/>
    <n v="0"/>
    <n v="0.52"/>
  </r>
  <r>
    <x v="98"/>
    <n v="2604000078"/>
    <m/>
    <n v="0"/>
    <n v="0"/>
    <n v="0"/>
    <n v="0"/>
  </r>
  <r>
    <x v="99"/>
    <n v="2604000079"/>
    <m/>
    <n v="0"/>
    <n v="1"/>
    <n v="0"/>
    <n v="2.2799999999999998"/>
  </r>
  <r>
    <x v="98"/>
    <n v="2604000078"/>
    <m/>
    <n v="0"/>
    <n v="1"/>
    <n v="0"/>
    <n v="0.44"/>
  </r>
  <r>
    <x v="97"/>
    <n v="2604000081"/>
    <m/>
    <n v="0"/>
    <n v="0"/>
    <n v="0"/>
    <n v="0"/>
  </r>
  <r>
    <x v="96"/>
    <n v="2604000080"/>
    <m/>
    <n v="0"/>
    <n v="0"/>
    <n v="0"/>
    <n v="0"/>
  </r>
  <r>
    <x v="99"/>
    <n v="2604000079"/>
    <m/>
    <n v="0"/>
    <n v="0"/>
    <n v="0"/>
    <n v="0"/>
  </r>
  <r>
    <x v="100"/>
    <n v="2604000047"/>
    <m/>
    <n v="0"/>
    <n v="0"/>
    <n v="0"/>
    <n v="0"/>
  </r>
  <r>
    <x v="101"/>
    <n v="2604000054"/>
    <m/>
    <n v="0"/>
    <n v="0"/>
    <n v="0"/>
    <n v="0"/>
  </r>
  <r>
    <x v="102"/>
    <n v="2604000052"/>
    <m/>
    <n v="0"/>
    <n v="0"/>
    <n v="0"/>
    <n v="0"/>
  </r>
  <r>
    <x v="103"/>
    <n v="2604000048"/>
    <m/>
    <n v="0"/>
    <n v="0"/>
    <n v="0"/>
    <n v="0"/>
  </r>
  <r>
    <x v="104"/>
    <n v="2604000055"/>
    <m/>
    <n v="0"/>
    <n v="0"/>
    <n v="0"/>
    <n v="0"/>
  </r>
  <r>
    <x v="105"/>
    <n v="2604000053"/>
    <m/>
    <n v="0"/>
    <n v="0"/>
    <n v="0"/>
    <n v="0"/>
  </r>
  <r>
    <x v="106"/>
    <n v="2604000050"/>
    <m/>
    <n v="0"/>
    <n v="0"/>
    <n v="0"/>
    <n v="0"/>
  </r>
  <r>
    <x v="107"/>
    <n v="2604000046"/>
    <m/>
    <n v="0"/>
    <n v="0"/>
    <n v="0"/>
    <n v="0"/>
  </r>
  <r>
    <x v="108"/>
    <n v="2604000051"/>
    <m/>
    <n v="0"/>
    <n v="0"/>
    <n v="0"/>
    <n v="0"/>
  </r>
  <r>
    <x v="107"/>
    <n v="2604000046"/>
    <m/>
    <n v="0"/>
    <n v="1"/>
    <n v="0"/>
    <n v="0.5"/>
  </r>
  <r>
    <x v="100"/>
    <n v="2604000047"/>
    <m/>
    <n v="0"/>
    <n v="1"/>
    <n v="0"/>
    <n v="1.66"/>
  </r>
  <r>
    <x v="109"/>
    <n v="2604000049"/>
    <m/>
    <n v="0"/>
    <n v="0"/>
    <n v="0"/>
    <n v="0"/>
  </r>
  <r>
    <x v="104"/>
    <n v="2604000055"/>
    <m/>
    <n v="0"/>
    <n v="1"/>
    <n v="0"/>
    <n v="0.36"/>
  </r>
  <r>
    <x v="101"/>
    <n v="2604000054"/>
    <m/>
    <n v="0"/>
    <n v="1"/>
    <n v="0"/>
    <n v="0.98"/>
  </r>
  <r>
    <x v="105"/>
    <n v="2604000053"/>
    <m/>
    <n v="0"/>
    <n v="1"/>
    <n v="0"/>
    <n v="0.5"/>
  </r>
  <r>
    <x v="102"/>
    <n v="2604000052"/>
    <m/>
    <n v="0"/>
    <n v="1"/>
    <n v="0"/>
    <n v="0.64"/>
  </r>
  <r>
    <x v="108"/>
    <n v="2604000051"/>
    <m/>
    <n v="0"/>
    <n v="1"/>
    <n v="0"/>
    <n v="2"/>
  </r>
  <r>
    <x v="106"/>
    <n v="2604000050"/>
    <m/>
    <n v="0"/>
    <n v="1"/>
    <n v="0"/>
    <n v="0.28000000000000003"/>
  </r>
  <r>
    <x v="103"/>
    <n v="2604000048"/>
    <m/>
    <n v="0"/>
    <n v="1"/>
    <n v="0"/>
    <n v="0.64"/>
  </r>
  <r>
    <x v="109"/>
    <n v="2604000049"/>
    <m/>
    <n v="0"/>
    <n v="1"/>
    <n v="0"/>
    <n v="4.3600000000000003"/>
  </r>
  <r>
    <x v="110"/>
    <n v="2604000056"/>
    <m/>
    <n v="0"/>
    <n v="0"/>
    <n v="0"/>
    <n v="0"/>
  </r>
  <r>
    <x v="111"/>
    <n v="2604000060"/>
    <m/>
    <n v="0"/>
    <n v="0"/>
    <n v="0"/>
    <n v="0"/>
  </r>
  <r>
    <x v="110"/>
    <n v="2604000056"/>
    <m/>
    <n v="0"/>
    <n v="1"/>
    <n v="0"/>
    <n v="0.48"/>
  </r>
  <r>
    <x v="112"/>
    <n v="2604000058"/>
    <m/>
    <n v="0"/>
    <n v="0"/>
    <n v="0"/>
    <n v="0"/>
  </r>
  <r>
    <x v="111"/>
    <n v="2604000060"/>
    <m/>
    <n v="0"/>
    <n v="1"/>
    <n v="0"/>
    <n v="0.22"/>
  </r>
  <r>
    <x v="113"/>
    <n v="2604000059"/>
    <m/>
    <n v="0"/>
    <n v="1"/>
    <n v="0"/>
    <n v="0.54"/>
  </r>
  <r>
    <x v="112"/>
    <n v="2604000058"/>
    <m/>
    <n v="0"/>
    <n v="1"/>
    <n v="0"/>
    <n v="0.56000000000000005"/>
  </r>
  <r>
    <x v="114"/>
    <n v="2604000057"/>
    <m/>
    <n v="0"/>
    <n v="1"/>
    <n v="0"/>
    <n v="3.1"/>
  </r>
  <r>
    <x v="115"/>
    <n v="6794049"/>
    <m/>
    <n v="0"/>
    <n v="0"/>
    <n v="0"/>
    <n v="0"/>
  </r>
  <r>
    <x v="114"/>
    <n v="2604000057"/>
    <m/>
    <n v="0"/>
    <n v="0"/>
    <n v="0"/>
    <n v="0"/>
  </r>
  <r>
    <x v="113"/>
    <n v="2604000059"/>
    <m/>
    <n v="0"/>
    <n v="0"/>
    <n v="0"/>
    <n v="0"/>
  </r>
  <r>
    <x v="115"/>
    <n v="6794049"/>
    <m/>
    <n v="0"/>
    <n v="1"/>
    <n v="0"/>
    <n v="2.39"/>
  </r>
  <r>
    <x v="116"/>
    <n v="6794259"/>
    <m/>
    <n v="0"/>
    <n v="1"/>
    <n v="0"/>
    <n v="2.92"/>
  </r>
  <r>
    <x v="117"/>
    <n v="2604000084"/>
    <m/>
    <n v="0"/>
    <n v="0"/>
    <n v="0"/>
    <n v="0"/>
  </r>
  <r>
    <x v="118"/>
    <n v="2604000083"/>
    <m/>
    <n v="0"/>
    <n v="0"/>
    <n v="0"/>
    <n v="0"/>
  </r>
  <r>
    <x v="119"/>
    <n v="2604000085"/>
    <m/>
    <n v="0"/>
    <n v="0"/>
    <n v="0"/>
    <n v="0"/>
  </r>
  <r>
    <x v="120"/>
    <n v="2604000082"/>
    <m/>
    <n v="0"/>
    <n v="0"/>
    <n v="0"/>
    <n v="0"/>
  </r>
  <r>
    <x v="119"/>
    <n v="2604000085"/>
    <m/>
    <n v="0"/>
    <n v="1"/>
    <n v="0"/>
    <n v="2"/>
  </r>
  <r>
    <x v="117"/>
    <n v="2604000084"/>
    <m/>
    <n v="0"/>
    <n v="1"/>
    <n v="0"/>
    <n v="3.2"/>
  </r>
  <r>
    <x v="118"/>
    <n v="2604000083"/>
    <m/>
    <n v="0"/>
    <n v="1"/>
    <n v="0"/>
    <n v="3.94"/>
  </r>
  <r>
    <x v="120"/>
    <n v="2604000082"/>
    <m/>
    <n v="0"/>
    <n v="1"/>
    <n v="0"/>
    <n v="1.66"/>
  </r>
  <r>
    <x v="115"/>
    <n v="6794049"/>
    <m/>
    <n v="0"/>
    <n v="0"/>
    <n v="0"/>
    <n v="0"/>
  </r>
  <r>
    <x v="116"/>
    <n v="6794259"/>
    <m/>
    <n v="0"/>
    <n v="0"/>
    <n v="0"/>
    <n v="0"/>
  </r>
  <r>
    <x v="121"/>
    <n v="2604000061"/>
    <m/>
    <n v="0"/>
    <n v="1"/>
    <n v="0"/>
    <n v="1.88"/>
  </r>
  <r>
    <x v="122"/>
    <n v="2604000062"/>
    <m/>
    <n v="0"/>
    <n v="1"/>
    <n v="0"/>
    <n v="0.52"/>
  </r>
  <r>
    <x v="123"/>
    <n v="2604000063"/>
    <m/>
    <n v="0"/>
    <n v="1"/>
    <n v="0"/>
    <n v="0.52"/>
  </r>
  <r>
    <x v="124"/>
    <n v="2604000064"/>
    <m/>
    <n v="0"/>
    <n v="1"/>
    <n v="0"/>
    <n v="0.8"/>
  </r>
  <r>
    <x v="125"/>
    <n v="2604000065"/>
    <m/>
    <n v="0"/>
    <n v="1"/>
    <n v="0"/>
    <n v="2"/>
  </r>
  <r>
    <x v="126"/>
    <n v="2604000086"/>
    <m/>
    <n v="0"/>
    <n v="0"/>
    <n v="0"/>
    <n v="0"/>
  </r>
  <r>
    <x v="126"/>
    <n v="2604000086"/>
    <m/>
    <n v="0"/>
    <n v="1"/>
    <n v="0"/>
    <n v="3.86"/>
  </r>
  <r>
    <x v="127"/>
    <n v="2604000066"/>
    <m/>
    <n v="0"/>
    <n v="1"/>
    <n v="0"/>
    <n v="0.54"/>
  </r>
  <r>
    <x v="122"/>
    <n v="2604000062"/>
    <m/>
    <n v="0"/>
    <n v="0"/>
    <n v="0"/>
    <n v="0"/>
  </r>
  <r>
    <x v="123"/>
    <n v="2604000063"/>
    <m/>
    <n v="0"/>
    <n v="0"/>
    <n v="0"/>
    <n v="0"/>
  </r>
  <r>
    <x v="127"/>
    <n v="2604000066"/>
    <m/>
    <n v="0"/>
    <n v="0"/>
    <n v="0"/>
    <n v="0"/>
  </r>
  <r>
    <x v="124"/>
    <n v="2604000064"/>
    <m/>
    <n v="0"/>
    <n v="0"/>
    <n v="0"/>
    <n v="0"/>
  </r>
  <r>
    <x v="121"/>
    <n v="2604000061"/>
    <m/>
    <n v="0"/>
    <n v="0"/>
    <n v="0"/>
    <n v="0"/>
  </r>
  <r>
    <x v="125"/>
    <n v="2604000065"/>
    <m/>
    <n v="0"/>
    <n v="0"/>
    <n v="0"/>
    <n v="0"/>
  </r>
  <r>
    <x v="128"/>
    <n v="2604000067"/>
    <m/>
    <n v="0"/>
    <n v="1"/>
    <n v="0"/>
    <n v="0.26"/>
  </r>
  <r>
    <x v="129"/>
    <n v="2604000068"/>
    <m/>
    <n v="0"/>
    <n v="1"/>
    <n v="0"/>
    <n v="0.3"/>
  </r>
  <r>
    <x v="130"/>
    <n v="2604000070"/>
    <m/>
    <n v="0"/>
    <n v="1"/>
    <n v="0"/>
    <n v="1"/>
  </r>
  <r>
    <x v="131"/>
    <n v="2604000071"/>
    <m/>
    <n v="0"/>
    <n v="1"/>
    <n v="0"/>
    <n v="0.28000000000000003"/>
  </r>
  <r>
    <x v="132"/>
    <n v="2604000069"/>
    <m/>
    <n v="0"/>
    <n v="1"/>
    <n v="0"/>
    <n v="2.88"/>
  </r>
  <r>
    <x v="128"/>
    <n v="2604000067"/>
    <m/>
    <n v="0"/>
    <n v="0"/>
    <n v="0"/>
    <n v="0"/>
  </r>
  <r>
    <x v="129"/>
    <n v="2604000068"/>
    <m/>
    <n v="0"/>
    <n v="0"/>
    <n v="0"/>
    <n v="0"/>
  </r>
  <r>
    <x v="131"/>
    <n v="2604000071"/>
    <m/>
    <n v="0"/>
    <n v="0"/>
    <n v="0"/>
    <n v="0"/>
  </r>
  <r>
    <x v="130"/>
    <n v="2604000070"/>
    <m/>
    <n v="0"/>
    <n v="0"/>
    <n v="0"/>
    <n v="0"/>
  </r>
  <r>
    <x v="132"/>
    <n v="2604000069"/>
    <m/>
    <n v="0"/>
    <n v="0"/>
    <n v="0"/>
    <n v="0"/>
  </r>
  <r>
    <x v="121"/>
    <n v="2604000061"/>
    <m/>
    <n v="0"/>
    <n v="0"/>
    <n v="0"/>
    <n v="0"/>
  </r>
  <r>
    <x v="121"/>
    <n v="2604000061"/>
    <m/>
    <n v="0"/>
    <n v="0"/>
    <n v="0"/>
    <n v="0"/>
  </r>
  <r>
    <x v="100"/>
    <n v="2604000047"/>
    <m/>
    <n v="0"/>
    <n v="0"/>
    <n v="0"/>
    <n v="0"/>
  </r>
  <r>
    <x v="133"/>
    <n v="2604000091"/>
    <m/>
    <n v="0"/>
    <n v="1"/>
    <n v="0"/>
    <n v="2.35"/>
  </r>
  <r>
    <x v="134"/>
    <n v="2604000090"/>
    <m/>
    <n v="0"/>
    <n v="1"/>
    <n v="0"/>
    <n v="2.48"/>
  </r>
  <r>
    <x v="135"/>
    <n v="2604000089"/>
    <m/>
    <n v="0"/>
    <n v="1"/>
    <n v="0"/>
    <n v="2.46"/>
  </r>
  <r>
    <x v="136"/>
    <n v="2604000088"/>
    <m/>
    <n v="0"/>
    <n v="0"/>
    <n v="0"/>
    <n v="0"/>
  </r>
  <r>
    <x v="137"/>
    <n v="2604000087"/>
    <m/>
    <n v="0"/>
    <n v="0"/>
    <n v="0"/>
    <n v="0"/>
  </r>
  <r>
    <x v="135"/>
    <n v="2604000089"/>
    <m/>
    <n v="0"/>
    <n v="0"/>
    <n v="0"/>
    <n v="0"/>
  </r>
  <r>
    <x v="134"/>
    <n v="2604000090"/>
    <m/>
    <n v="0"/>
    <n v="0"/>
    <n v="0"/>
    <n v="0"/>
  </r>
  <r>
    <x v="133"/>
    <n v="2604000091"/>
    <m/>
    <n v="0"/>
    <n v="0"/>
    <n v="0"/>
    <n v="0"/>
  </r>
  <r>
    <x v="136"/>
    <n v="2604000088"/>
    <m/>
    <n v="0"/>
    <n v="1"/>
    <n v="0"/>
    <n v="0.44"/>
  </r>
  <r>
    <x v="137"/>
    <n v="2604000087"/>
    <m/>
    <n v="0"/>
    <n v="1"/>
    <n v="0"/>
    <n v="2.52"/>
  </r>
  <r>
    <x v="38"/>
    <n v="2604000019"/>
    <m/>
    <n v="0"/>
    <n v="0"/>
    <n v="0"/>
    <n v="0"/>
  </r>
  <r>
    <x v="138"/>
    <n v="2604000072"/>
    <m/>
    <n v="0"/>
    <n v="0"/>
    <n v="0"/>
    <n v="0"/>
  </r>
  <r>
    <x v="139"/>
    <n v="2604000076"/>
    <m/>
    <n v="0"/>
    <n v="0"/>
    <n v="0"/>
    <n v="0"/>
  </r>
  <r>
    <x v="140"/>
    <n v="2604000075"/>
    <m/>
    <n v="0"/>
    <n v="0"/>
    <n v="0"/>
    <n v="0"/>
  </r>
  <r>
    <x v="141"/>
    <n v="2604000074"/>
    <m/>
    <n v="0"/>
    <n v="0"/>
    <n v="0"/>
    <n v="0"/>
  </r>
  <r>
    <x v="142"/>
    <n v="2604000073"/>
    <m/>
    <n v="0"/>
    <n v="0"/>
    <n v="0"/>
    <n v="0"/>
  </r>
  <r>
    <x v="139"/>
    <n v="2604000076"/>
    <m/>
    <n v="0"/>
    <n v="1"/>
    <n v="0"/>
    <n v="0.28000000000000003"/>
  </r>
  <r>
    <x v="140"/>
    <n v="2604000075"/>
    <m/>
    <n v="0"/>
    <n v="1"/>
    <n v="0"/>
    <n v="0.42"/>
  </r>
  <r>
    <x v="141"/>
    <n v="2604000074"/>
    <m/>
    <n v="0"/>
    <n v="1"/>
    <n v="0"/>
    <n v="0.32"/>
  </r>
  <r>
    <x v="142"/>
    <n v="2604000073"/>
    <m/>
    <n v="0"/>
    <n v="1"/>
    <n v="0"/>
    <n v="0.32"/>
  </r>
  <r>
    <x v="138"/>
    <n v="2604000072"/>
    <m/>
    <n v="0"/>
    <n v="1"/>
    <n v="0"/>
    <n v="1.02"/>
  </r>
  <r>
    <x v="143"/>
    <n v="6864367"/>
    <m/>
    <n v="0"/>
    <n v="1"/>
    <n v="0"/>
    <n v="2.34"/>
  </r>
  <r>
    <x v="144"/>
    <n v="6868295"/>
    <m/>
    <n v="0"/>
    <n v="1"/>
    <n v="0"/>
    <n v="3.96"/>
  </r>
  <r>
    <x v="145"/>
    <n v="2604000092"/>
    <m/>
    <n v="0"/>
    <n v="0"/>
    <n v="0"/>
    <n v="0"/>
  </r>
  <r>
    <x v="145"/>
    <n v="2604000092"/>
    <m/>
    <n v="0"/>
    <n v="1"/>
    <n v="0"/>
    <n v="0.44"/>
  </r>
  <r>
    <x v="143"/>
    <n v="6864367"/>
    <m/>
    <n v="0"/>
    <n v="0"/>
    <n v="0"/>
    <n v="0"/>
  </r>
  <r>
    <x v="144"/>
    <n v="6868295"/>
    <m/>
    <n v="0"/>
    <n v="0"/>
    <n v="0"/>
    <n v="0"/>
  </r>
  <r>
    <x v="146"/>
    <n v="2604000077"/>
    <m/>
    <n v="0"/>
    <n v="1"/>
    <n v="0"/>
    <n v="0.28000000000000003"/>
  </r>
  <r>
    <x v="146"/>
    <n v="2604000077"/>
    <m/>
    <n v="0"/>
    <n v="0"/>
    <n v="0"/>
    <n v="0"/>
  </r>
  <r>
    <x v="147"/>
    <n v="2604000083"/>
    <m/>
    <n v="0"/>
    <n v="1"/>
    <n v="0"/>
    <n v="1.04"/>
  </r>
  <r>
    <x v="148"/>
    <n v="2604000082"/>
    <m/>
    <n v="0"/>
    <n v="1"/>
    <n v="0"/>
    <n v="1.04"/>
  </r>
  <r>
    <x v="149"/>
    <n v="2604000081"/>
    <m/>
    <n v="0"/>
    <n v="1"/>
    <n v="0"/>
    <n v="1"/>
  </r>
  <r>
    <x v="150"/>
    <n v="2604000080"/>
    <m/>
    <n v="0"/>
    <n v="1"/>
    <n v="0"/>
    <n v="0.74"/>
  </r>
  <r>
    <x v="151"/>
    <n v="2604000079"/>
    <m/>
    <n v="0"/>
    <n v="1"/>
    <n v="0"/>
    <n v="0.44"/>
  </r>
  <r>
    <x v="152"/>
    <n v="2604000078"/>
    <m/>
    <n v="0"/>
    <n v="1"/>
    <n v="0"/>
    <n v="0.5"/>
  </r>
  <r>
    <x v="153"/>
    <n v="6879217"/>
    <m/>
    <n v="0"/>
    <n v="0"/>
    <n v="0"/>
    <n v="0"/>
  </r>
  <r>
    <x v="153"/>
    <n v="6879217"/>
    <m/>
    <n v="0"/>
    <n v="1"/>
    <n v="0"/>
    <n v="4.55"/>
  </r>
  <r>
    <x v="154"/>
    <n v="2604000084"/>
    <m/>
    <n v="0"/>
    <n v="1"/>
    <n v="0"/>
    <n v="1.76"/>
  </r>
  <r>
    <x v="155"/>
    <n v="2604000085"/>
    <m/>
    <n v="0"/>
    <n v="1"/>
    <n v="0"/>
    <n v="0.26"/>
  </r>
  <r>
    <x v="156"/>
    <n v="2604000086"/>
    <m/>
    <n v="0"/>
    <n v="1"/>
    <n v="0"/>
    <n v="0.28000000000000003"/>
  </r>
  <r>
    <x v="157"/>
    <n v="2604000087"/>
    <m/>
    <n v="0"/>
    <n v="1"/>
    <n v="0"/>
    <n v="2.44"/>
  </r>
  <r>
    <x v="158"/>
    <n v="2604000088"/>
    <m/>
    <n v="0"/>
    <n v="1"/>
    <n v="0"/>
    <n v="0.54"/>
  </r>
  <r>
    <x v="159"/>
    <n v="2604000089"/>
    <m/>
    <n v="0"/>
    <n v="1"/>
    <n v="0"/>
    <n v="1.88"/>
  </r>
  <r>
    <x v="160"/>
    <n v="2604000090"/>
    <m/>
    <n v="0"/>
    <n v="1"/>
    <n v="0"/>
    <n v="0.54"/>
  </r>
  <r>
    <x v="161"/>
    <n v="2604000093"/>
    <m/>
    <n v="0"/>
    <n v="0"/>
    <n v="0"/>
    <n v="0"/>
  </r>
  <r>
    <x v="162"/>
    <n v="2604000094"/>
    <m/>
    <n v="0"/>
    <n v="0"/>
    <n v="0"/>
    <n v="0"/>
  </r>
  <r>
    <x v="162"/>
    <n v="2604000094"/>
    <m/>
    <n v="0"/>
    <n v="1"/>
    <n v="0"/>
    <n v="2"/>
  </r>
  <r>
    <x v="161"/>
    <n v="2604000093"/>
    <m/>
    <n v="0"/>
    <n v="1"/>
    <n v="0"/>
    <n v="3.76"/>
  </r>
  <r>
    <x v="39"/>
    <n v="2604000020"/>
    <m/>
    <n v="0"/>
    <n v="0"/>
    <n v="0"/>
    <n v="0"/>
  </r>
  <r>
    <x v="163"/>
    <n v="2604000096"/>
    <m/>
    <n v="0"/>
    <n v="0"/>
    <n v="0"/>
    <n v="0"/>
  </r>
  <r>
    <x v="157"/>
    <n v="2604000087"/>
    <m/>
    <n v="0"/>
    <n v="0"/>
    <n v="0"/>
    <n v="0"/>
  </r>
  <r>
    <x v="159"/>
    <n v="2604000089"/>
    <m/>
    <n v="0"/>
    <n v="0"/>
    <n v="0"/>
    <n v="0"/>
  </r>
  <r>
    <x v="154"/>
    <n v="2604000084"/>
    <m/>
    <n v="0"/>
    <n v="0"/>
    <n v="0"/>
    <n v="0"/>
  </r>
  <r>
    <x v="147"/>
    <n v="2604000083"/>
    <m/>
    <n v="0"/>
    <n v="0"/>
    <n v="0"/>
    <n v="0"/>
  </r>
  <r>
    <x v="148"/>
    <n v="2604000082"/>
    <m/>
    <n v="0"/>
    <n v="0"/>
    <n v="0"/>
    <n v="0"/>
  </r>
  <r>
    <x v="149"/>
    <n v="2604000081"/>
    <m/>
    <n v="0"/>
    <n v="0"/>
    <n v="0"/>
    <n v="0"/>
  </r>
  <r>
    <x v="164"/>
    <n v="2604000098"/>
    <m/>
    <n v="0"/>
    <n v="0"/>
    <n v="0"/>
    <n v="0"/>
  </r>
  <r>
    <x v="165"/>
    <n v="2604000091"/>
    <m/>
    <n v="0"/>
    <n v="0"/>
    <n v="0"/>
    <n v="0"/>
  </r>
  <r>
    <x v="160"/>
    <n v="2604000090"/>
    <m/>
    <n v="0"/>
    <n v="0"/>
    <n v="0"/>
    <n v="0"/>
  </r>
  <r>
    <x v="158"/>
    <n v="2604000088"/>
    <m/>
    <n v="0"/>
    <n v="0"/>
    <n v="0"/>
    <n v="0"/>
  </r>
  <r>
    <x v="150"/>
    <n v="2604000080"/>
    <m/>
    <n v="0"/>
    <n v="0"/>
    <n v="0"/>
    <n v="0"/>
  </r>
  <r>
    <x v="166"/>
    <n v="2604000097"/>
    <m/>
    <n v="0"/>
    <n v="0"/>
    <n v="0"/>
    <n v="0"/>
  </r>
  <r>
    <x v="167"/>
    <n v="2604000095"/>
    <m/>
    <n v="0"/>
    <n v="0"/>
    <n v="0"/>
    <n v="0"/>
  </r>
  <r>
    <x v="168"/>
    <n v="2604000094"/>
    <m/>
    <n v="0"/>
    <n v="0"/>
    <n v="0"/>
    <n v="0"/>
  </r>
  <r>
    <x v="169"/>
    <n v="2604000093"/>
    <m/>
    <n v="0"/>
    <n v="0"/>
    <n v="0"/>
    <n v="0"/>
  </r>
  <r>
    <x v="156"/>
    <n v="2604000086"/>
    <m/>
    <n v="0"/>
    <n v="0"/>
    <n v="0"/>
    <n v="0"/>
  </r>
  <r>
    <x v="155"/>
    <n v="2604000085"/>
    <m/>
    <n v="0"/>
    <n v="0"/>
    <n v="0"/>
    <n v="0"/>
  </r>
  <r>
    <x v="151"/>
    <n v="2604000079"/>
    <m/>
    <n v="0"/>
    <n v="0"/>
    <n v="0"/>
    <n v="0"/>
  </r>
  <r>
    <x v="152"/>
    <n v="2604000078"/>
    <m/>
    <n v="0"/>
    <n v="0"/>
    <n v="0"/>
    <n v="0"/>
  </r>
  <r>
    <x v="170"/>
    <n v="2604000092"/>
    <m/>
    <n v="0"/>
    <n v="0"/>
    <n v="0"/>
    <n v="0"/>
  </r>
  <r>
    <x v="164"/>
    <n v="2604000098"/>
    <m/>
    <n v="0"/>
    <n v="1"/>
    <n v="0"/>
    <n v="0.55000000000000004"/>
  </r>
  <r>
    <x v="166"/>
    <n v="2604000097"/>
    <m/>
    <n v="0"/>
    <n v="1"/>
    <n v="0"/>
    <n v="0.35"/>
  </r>
  <r>
    <x v="163"/>
    <n v="2604000096"/>
    <m/>
    <n v="0"/>
    <n v="1"/>
    <n v="0"/>
    <n v="3.16"/>
  </r>
  <r>
    <x v="167"/>
    <n v="2604000095"/>
    <m/>
    <n v="0"/>
    <n v="1"/>
    <n v="0"/>
    <n v="0.3"/>
  </r>
  <r>
    <x v="168"/>
    <n v="2604000094"/>
    <m/>
    <n v="0"/>
    <n v="1"/>
    <n v="0"/>
    <n v="0.3"/>
  </r>
  <r>
    <x v="169"/>
    <n v="2604000093"/>
    <m/>
    <n v="0"/>
    <n v="1"/>
    <n v="0"/>
    <n v="0.28000000000000003"/>
  </r>
  <r>
    <x v="165"/>
    <n v="2604000091"/>
    <m/>
    <n v="0"/>
    <n v="1"/>
    <n v="0"/>
    <n v="0.54"/>
  </r>
  <r>
    <x v="170"/>
    <n v="2604000092"/>
    <m/>
    <n v="0"/>
    <n v="1"/>
    <n v="0"/>
    <n v="0.2"/>
  </r>
  <r>
    <x v="171"/>
    <n v="2604000099"/>
    <m/>
    <n v="0"/>
    <n v="1"/>
    <n v="0"/>
    <n v="0.38"/>
  </r>
  <r>
    <x v="172"/>
    <n v="2604000100"/>
    <m/>
    <n v="0"/>
    <n v="1"/>
    <n v="0"/>
    <n v="0.42"/>
  </r>
  <r>
    <x v="173"/>
    <n v="2604000101"/>
    <m/>
    <n v="0"/>
    <n v="1"/>
    <n v="0"/>
    <n v="0.34"/>
  </r>
  <r>
    <x v="174"/>
    <n v="2604000102"/>
    <m/>
    <n v="0"/>
    <n v="1"/>
    <n v="0"/>
    <n v="0.56000000000000005"/>
  </r>
  <r>
    <x v="175"/>
    <n v="2604000103"/>
    <m/>
    <n v="0"/>
    <n v="1"/>
    <n v="0"/>
    <n v="0.55000000000000004"/>
  </r>
  <r>
    <x v="176"/>
    <n v="2604000104"/>
    <m/>
    <n v="0"/>
    <n v="1"/>
    <n v="0"/>
    <n v="0.68"/>
  </r>
  <r>
    <x v="171"/>
    <n v="2604000099"/>
    <m/>
    <n v="0"/>
    <n v="0"/>
    <n v="0"/>
    <n v="0"/>
  </r>
  <r>
    <x v="172"/>
    <n v="2604000100"/>
    <m/>
    <n v="0"/>
    <n v="0"/>
    <n v="0"/>
    <n v="0"/>
  </r>
  <r>
    <x v="177"/>
    <n v="6906604"/>
    <m/>
    <n v="0"/>
    <n v="0"/>
    <n v="0"/>
    <n v="0"/>
  </r>
  <r>
    <x v="178"/>
    <n v="6906603"/>
    <m/>
    <n v="0"/>
    <n v="0"/>
    <n v="0"/>
    <n v="0"/>
  </r>
  <r>
    <x v="179"/>
    <n v="6908022"/>
    <m/>
    <n v="0"/>
    <n v="0"/>
    <n v="0"/>
    <n v="0"/>
  </r>
  <r>
    <x v="179"/>
    <n v="6908022"/>
    <m/>
    <n v="0"/>
    <n v="1"/>
    <n v="0"/>
    <n v="4.88"/>
  </r>
  <r>
    <x v="177"/>
    <n v="6906604"/>
    <m/>
    <n v="0"/>
    <n v="1"/>
    <n v="0"/>
    <n v="11.86"/>
  </r>
  <r>
    <x v="178"/>
    <n v="6906603"/>
    <m/>
    <n v="0"/>
    <n v="1"/>
    <n v="0"/>
    <n v="10.58"/>
  </r>
  <r>
    <x v="173"/>
    <n v="2604000101"/>
    <m/>
    <n v="0"/>
    <n v="0"/>
    <n v="0"/>
    <n v="0"/>
  </r>
  <r>
    <x v="174"/>
    <n v="2604000102"/>
    <m/>
    <n v="0"/>
    <n v="0"/>
    <n v="0"/>
    <n v="0"/>
  </r>
  <r>
    <x v="157"/>
    <n v="2604000087"/>
    <m/>
    <n v="0"/>
    <n v="0"/>
    <n v="0"/>
    <n v="0"/>
  </r>
  <r>
    <x v="157"/>
    <n v="2604000087"/>
    <m/>
    <n v="0"/>
    <n v="0"/>
    <n v="0"/>
    <n v="0"/>
  </r>
  <r>
    <x v="176"/>
    <n v="2604000104"/>
    <m/>
    <n v="0"/>
    <n v="0"/>
    <n v="0"/>
    <n v="0"/>
  </r>
  <r>
    <x v="175"/>
    <n v="2604000103"/>
    <m/>
    <n v="0"/>
    <n v="0"/>
    <n v="0"/>
    <n v="0"/>
  </r>
  <r>
    <x v="180"/>
    <n v="2604000097"/>
    <m/>
    <n v="0"/>
    <n v="1"/>
    <n v="0"/>
    <n v="1.68"/>
  </r>
  <r>
    <x v="181"/>
    <n v="2604000096"/>
    <m/>
    <n v="0"/>
    <n v="0"/>
    <n v="0"/>
    <n v="0"/>
  </r>
  <r>
    <x v="180"/>
    <n v="2604000097"/>
    <m/>
    <n v="0"/>
    <n v="0"/>
    <n v="0"/>
    <n v="0"/>
  </r>
  <r>
    <x v="182"/>
    <n v="2604000095"/>
    <m/>
    <n v="0"/>
    <n v="0"/>
    <n v="0"/>
    <n v="0"/>
  </r>
  <r>
    <x v="181"/>
    <n v="2604000096"/>
    <m/>
    <n v="0"/>
    <n v="1"/>
    <n v="0"/>
    <n v="0.54"/>
  </r>
  <r>
    <x v="182"/>
    <n v="2604000095"/>
    <m/>
    <n v="0"/>
    <n v="1"/>
    <n v="0"/>
    <n v="5.16"/>
  </r>
  <r>
    <x v="183"/>
    <n v="2604000106"/>
    <m/>
    <n v="0"/>
    <n v="0"/>
    <n v="0"/>
    <n v="0"/>
  </r>
  <r>
    <x v="184"/>
    <n v="2604000105"/>
    <m/>
    <n v="0"/>
    <n v="0"/>
    <n v="0"/>
    <n v="0"/>
  </r>
  <r>
    <x v="183"/>
    <n v="2604000106"/>
    <m/>
    <n v="0"/>
    <n v="1"/>
    <n v="0"/>
    <n v="0.32"/>
  </r>
  <r>
    <x v="184"/>
    <n v="2604000105"/>
    <m/>
    <n v="0"/>
    <n v="1"/>
    <n v="0"/>
    <n v="0.38"/>
  </r>
  <r>
    <x v="185"/>
    <n v="2604000111"/>
    <m/>
    <n v="0"/>
    <n v="0"/>
    <n v="0"/>
    <n v="0"/>
  </r>
  <r>
    <x v="186"/>
    <n v="2604000107"/>
    <m/>
    <n v="0"/>
    <n v="0"/>
    <n v="0"/>
    <n v="0"/>
  </r>
  <r>
    <x v="187"/>
    <n v="2604000108"/>
    <m/>
    <n v="0"/>
    <n v="0"/>
    <n v="0"/>
    <n v="0"/>
  </r>
  <r>
    <x v="188"/>
    <n v="2604000098"/>
    <m/>
    <n v="0"/>
    <n v="0"/>
    <n v="0"/>
    <n v="0"/>
  </r>
  <r>
    <x v="188"/>
    <n v="2604000098"/>
    <m/>
    <n v="0"/>
    <n v="1"/>
    <n v="0"/>
    <n v="3.45"/>
  </r>
  <r>
    <x v="189"/>
    <n v="6923122"/>
    <m/>
    <n v="0"/>
    <n v="0"/>
    <n v="0"/>
    <n v="0"/>
  </r>
  <r>
    <x v="189"/>
    <n v="6923122"/>
    <m/>
    <n v="0"/>
    <n v="1"/>
    <n v="0"/>
    <n v="1.71"/>
  </r>
  <r>
    <x v="190"/>
    <n v="2604000110"/>
    <m/>
    <n v="0"/>
    <n v="0"/>
    <n v="0"/>
    <n v="0"/>
  </r>
  <r>
    <x v="191"/>
    <n v="2604000109"/>
    <m/>
    <n v="0"/>
    <n v="0"/>
    <n v="0"/>
    <n v="0"/>
  </r>
  <r>
    <x v="185"/>
    <n v="2604000111"/>
    <m/>
    <n v="0"/>
    <n v="1"/>
    <n v="0"/>
    <n v="7.77"/>
  </r>
  <r>
    <x v="190"/>
    <n v="2604000110"/>
    <m/>
    <n v="0"/>
    <n v="1"/>
    <n v="0"/>
    <n v="0.27"/>
  </r>
  <r>
    <x v="191"/>
    <n v="2604000109"/>
    <m/>
    <n v="0"/>
    <n v="1"/>
    <n v="0"/>
    <n v="0.5"/>
  </r>
  <r>
    <x v="187"/>
    <n v="2604000108"/>
    <m/>
    <n v="0"/>
    <n v="1"/>
    <n v="0"/>
    <n v="1.04"/>
  </r>
  <r>
    <x v="186"/>
    <n v="2604000107"/>
    <m/>
    <n v="0"/>
    <n v="1"/>
    <n v="0"/>
    <n v="1.88"/>
  </r>
  <r>
    <x v="192"/>
    <n v="2604000131"/>
    <m/>
    <n v="0"/>
    <n v="1"/>
    <n v="0"/>
    <n v="0.84"/>
  </r>
  <r>
    <x v="193"/>
    <n v="2604000130"/>
    <m/>
    <n v="0"/>
    <n v="1"/>
    <n v="0"/>
    <n v="1.1100000000000001"/>
  </r>
  <r>
    <x v="194"/>
    <n v="2604000129"/>
    <m/>
    <n v="0"/>
    <n v="1"/>
    <n v="0"/>
    <n v="0.86"/>
  </r>
  <r>
    <x v="195"/>
    <n v="2604000112"/>
    <m/>
    <n v="0"/>
    <n v="1"/>
    <n v="0"/>
    <n v="0.22"/>
  </r>
  <r>
    <x v="196"/>
    <n v="2604000113"/>
    <m/>
    <n v="0"/>
    <n v="1"/>
    <n v="0"/>
    <n v="19.559999999999999"/>
  </r>
  <r>
    <x v="195"/>
    <n v="2604000112"/>
    <m/>
    <n v="0"/>
    <n v="0"/>
    <n v="0"/>
    <n v="0"/>
  </r>
  <r>
    <x v="196"/>
    <n v="2604000113"/>
    <m/>
    <n v="0"/>
    <n v="0"/>
    <n v="0"/>
    <n v="0"/>
  </r>
  <r>
    <x v="197"/>
    <n v="2604000128"/>
    <m/>
    <n v="0"/>
    <n v="1"/>
    <n v="0"/>
    <n v="0.46"/>
  </r>
  <r>
    <x v="198"/>
    <n v="2604000127"/>
    <m/>
    <n v="0"/>
    <n v="1"/>
    <n v="0"/>
    <n v="4.9000000000000004"/>
  </r>
  <r>
    <x v="199"/>
    <n v="2604000126"/>
    <m/>
    <n v="0"/>
    <n v="1"/>
    <n v="0"/>
    <n v="1.1499999999999999"/>
  </r>
  <r>
    <x v="200"/>
    <n v="2604000125"/>
    <m/>
    <n v="0"/>
    <n v="1"/>
    <n v="0"/>
    <n v="1.8"/>
  </r>
  <r>
    <x v="201"/>
    <n v="2604000124"/>
    <m/>
    <n v="0"/>
    <n v="1"/>
    <n v="0"/>
    <n v="2.35"/>
  </r>
  <r>
    <x v="202"/>
    <n v="2604000123"/>
    <m/>
    <n v="0"/>
    <n v="1"/>
    <n v="0"/>
    <n v="3.78"/>
  </r>
  <r>
    <x v="203"/>
    <n v="2604000122"/>
    <m/>
    <n v="0"/>
    <n v="1"/>
    <n v="0"/>
    <n v="1.1100000000000001"/>
  </r>
  <r>
    <x v="204"/>
    <n v="2604000121"/>
    <m/>
    <n v="0"/>
    <n v="1"/>
    <n v="0"/>
    <n v="1.86"/>
  </r>
  <r>
    <x v="205"/>
    <n v="2604000120"/>
    <m/>
    <n v="0"/>
    <n v="1"/>
    <n v="0"/>
    <n v="3.58"/>
  </r>
  <r>
    <x v="206"/>
    <n v="2604000119"/>
    <m/>
    <n v="0"/>
    <n v="1"/>
    <n v="0"/>
    <n v="5.0599999999999996"/>
  </r>
  <r>
    <x v="207"/>
    <n v="2604000099"/>
    <m/>
    <n v="0"/>
    <n v="1"/>
    <n v="0"/>
    <n v="0.42"/>
  </r>
  <r>
    <x v="208"/>
    <n v="2604000100"/>
    <m/>
    <n v="0"/>
    <n v="1"/>
    <n v="0"/>
    <n v="2.2200000000000002"/>
  </r>
  <r>
    <x v="209"/>
    <n v="2604000101"/>
    <m/>
    <n v="0"/>
    <n v="1"/>
    <n v="0"/>
    <n v="1.1599999999999999"/>
  </r>
  <r>
    <x v="210"/>
    <n v="2604000102"/>
    <m/>
    <n v="0"/>
    <n v="1"/>
    <n v="0"/>
    <n v="0.6"/>
  </r>
  <r>
    <x v="211"/>
    <n v="2604000103"/>
    <m/>
    <n v="0"/>
    <n v="1"/>
    <n v="0"/>
    <n v="0.57999999999999996"/>
  </r>
  <r>
    <x v="212"/>
    <n v="2604000104"/>
    <m/>
    <n v="0"/>
    <n v="1"/>
    <n v="0"/>
    <n v="1.26"/>
  </r>
  <r>
    <x v="213"/>
    <n v="2604000105"/>
    <m/>
    <n v="0"/>
    <n v="1"/>
    <n v="0"/>
    <n v="3.98"/>
  </r>
  <r>
    <x v="214"/>
    <n v="2604000106"/>
    <m/>
    <n v="0"/>
    <n v="1"/>
    <n v="0"/>
    <n v="0.44"/>
  </r>
  <r>
    <x v="215"/>
    <n v="2604000107"/>
    <m/>
    <n v="0"/>
    <n v="1"/>
    <n v="0"/>
    <n v="0.46"/>
  </r>
  <r>
    <x v="216"/>
    <n v="2604000108"/>
    <m/>
    <n v="0"/>
    <n v="1"/>
    <n v="0"/>
    <n v="0.84"/>
  </r>
  <r>
    <x v="217"/>
    <n v="2604000109"/>
    <m/>
    <n v="0"/>
    <n v="1"/>
    <n v="0"/>
    <n v="1.1599999999999999"/>
  </r>
  <r>
    <x v="218"/>
    <n v="2604000110"/>
    <m/>
    <n v="0"/>
    <n v="1"/>
    <n v="0"/>
    <n v="2.2999999999999998"/>
  </r>
  <r>
    <x v="219"/>
    <n v="2604000111"/>
    <m/>
    <n v="0"/>
    <n v="1"/>
    <n v="0"/>
    <n v="1.1200000000000001"/>
  </r>
  <r>
    <x v="220"/>
    <n v="2604000112"/>
    <m/>
    <n v="0"/>
    <n v="1"/>
    <n v="0"/>
    <n v="1.65"/>
  </r>
  <r>
    <x v="221"/>
    <n v="2604000113"/>
    <m/>
    <n v="0"/>
    <n v="1"/>
    <n v="0"/>
    <n v="1.98"/>
  </r>
  <r>
    <x v="222"/>
    <n v="2604000114"/>
    <m/>
    <n v="0"/>
    <n v="1"/>
    <n v="0"/>
    <n v="0.5"/>
  </r>
  <r>
    <x v="223"/>
    <n v="2604000115"/>
    <m/>
    <n v="0"/>
    <n v="1"/>
    <n v="0"/>
    <n v="3.98"/>
  </r>
  <r>
    <x v="224"/>
    <n v="2604000116"/>
    <m/>
    <n v="0"/>
    <n v="1"/>
    <n v="0"/>
    <n v="0.42"/>
  </r>
  <r>
    <x v="225"/>
    <n v="2604000117"/>
    <m/>
    <n v="0"/>
    <n v="1"/>
    <n v="0"/>
    <n v="1.1100000000000001"/>
  </r>
  <r>
    <x v="226"/>
    <n v="2604000118"/>
    <m/>
    <n v="0"/>
    <n v="1"/>
    <n v="0"/>
    <n v="3.56"/>
  </r>
  <r>
    <x v="198"/>
    <n v="2604000127"/>
    <m/>
    <n v="0"/>
    <n v="0"/>
    <n v="0"/>
    <n v="0"/>
  </r>
  <r>
    <x v="202"/>
    <n v="2604000123"/>
    <m/>
    <n v="0"/>
    <n v="0"/>
    <n v="0"/>
    <n v="0"/>
  </r>
  <r>
    <x v="205"/>
    <n v="2604000120"/>
    <m/>
    <n v="0"/>
    <n v="0"/>
    <n v="0"/>
    <n v="0"/>
  </r>
  <r>
    <x v="226"/>
    <n v="2604000118"/>
    <m/>
    <n v="0"/>
    <n v="0"/>
    <n v="0"/>
    <n v="0"/>
  </r>
  <r>
    <x v="223"/>
    <n v="2604000115"/>
    <m/>
    <n v="0"/>
    <n v="0"/>
    <n v="0"/>
    <n v="0"/>
  </r>
  <r>
    <x v="213"/>
    <n v="2604000105"/>
    <m/>
    <n v="0"/>
    <n v="0"/>
    <n v="0"/>
    <n v="0"/>
  </r>
  <r>
    <x v="201"/>
    <n v="2604000124"/>
    <m/>
    <n v="0"/>
    <n v="0"/>
    <n v="0"/>
    <n v="0"/>
  </r>
  <r>
    <x v="218"/>
    <n v="2604000110"/>
    <m/>
    <n v="0"/>
    <n v="0"/>
    <n v="0"/>
    <n v="0"/>
  </r>
  <r>
    <x v="208"/>
    <n v="2604000100"/>
    <m/>
    <n v="0"/>
    <n v="0"/>
    <n v="0"/>
    <n v="0"/>
  </r>
  <r>
    <x v="227"/>
    <n v="2604000134"/>
    <m/>
    <n v="0"/>
    <n v="0"/>
    <n v="0"/>
    <n v="0"/>
  </r>
  <r>
    <x v="200"/>
    <n v="2604000125"/>
    <m/>
    <n v="0"/>
    <n v="0"/>
    <n v="0"/>
    <n v="0"/>
  </r>
  <r>
    <x v="204"/>
    <n v="2604000121"/>
    <m/>
    <n v="0"/>
    <n v="0"/>
    <n v="0"/>
    <n v="0"/>
  </r>
  <r>
    <x v="221"/>
    <n v="2604000113"/>
    <m/>
    <n v="0"/>
    <n v="0"/>
    <n v="0"/>
    <n v="0"/>
  </r>
  <r>
    <x v="220"/>
    <n v="2604000112"/>
    <m/>
    <n v="0"/>
    <n v="0"/>
    <n v="0"/>
    <n v="0"/>
  </r>
  <r>
    <x v="206"/>
    <n v="2604000119"/>
    <m/>
    <n v="0"/>
    <n v="0"/>
    <n v="0"/>
    <n v="0"/>
  </r>
  <r>
    <x v="4"/>
    <n v="2604000031"/>
    <m/>
    <n v="0"/>
    <n v="0"/>
    <n v="0"/>
    <n v="0"/>
  </r>
  <r>
    <x v="228"/>
    <n v="2604000133"/>
    <m/>
    <n v="0"/>
    <n v="0"/>
    <n v="0"/>
    <n v="0"/>
  </r>
  <r>
    <x v="229"/>
    <n v="2604000132"/>
    <m/>
    <n v="0"/>
    <n v="0"/>
    <n v="0"/>
    <n v="0"/>
  </r>
  <r>
    <x v="193"/>
    <n v="2604000130"/>
    <m/>
    <n v="0"/>
    <n v="0"/>
    <n v="0"/>
    <n v="0"/>
  </r>
  <r>
    <x v="199"/>
    <n v="2604000126"/>
    <m/>
    <n v="0"/>
    <n v="0"/>
    <n v="0"/>
    <n v="0"/>
  </r>
  <r>
    <x v="229"/>
    <n v="2604000132"/>
    <m/>
    <n v="0"/>
    <n v="1"/>
    <n v="0"/>
    <n v="1.1399999999999999"/>
  </r>
  <r>
    <x v="228"/>
    <n v="2604000133"/>
    <m/>
    <n v="0"/>
    <n v="1"/>
    <n v="0"/>
    <n v="1.1399999999999999"/>
  </r>
  <r>
    <x v="227"/>
    <n v="2604000134"/>
    <m/>
    <n v="0"/>
    <n v="1"/>
    <n v="0"/>
    <n v="1.8"/>
  </r>
  <r>
    <x v="207"/>
    <n v="2604000099"/>
    <m/>
    <n v="0"/>
    <n v="0"/>
    <n v="0"/>
    <n v="0"/>
  </r>
  <r>
    <x v="214"/>
    <n v="2604000106"/>
    <m/>
    <n v="0"/>
    <n v="0"/>
    <n v="0"/>
    <n v="0"/>
  </r>
  <r>
    <x v="215"/>
    <n v="2604000107"/>
    <m/>
    <n v="0"/>
    <n v="0"/>
    <n v="0"/>
    <n v="0"/>
  </r>
  <r>
    <x v="222"/>
    <n v="2604000114"/>
    <m/>
    <n v="0"/>
    <n v="0"/>
    <n v="0"/>
    <n v="0"/>
  </r>
  <r>
    <x v="224"/>
    <n v="2604000116"/>
    <m/>
    <n v="0"/>
    <n v="0"/>
    <n v="0"/>
    <n v="0"/>
  </r>
  <r>
    <x v="197"/>
    <n v="2604000128"/>
    <m/>
    <n v="0"/>
    <n v="0"/>
    <n v="0"/>
    <n v="0"/>
  </r>
  <r>
    <x v="210"/>
    <n v="2604000102"/>
    <m/>
    <n v="0"/>
    <n v="0"/>
    <n v="0"/>
    <n v="0"/>
  </r>
  <r>
    <x v="211"/>
    <n v="2604000103"/>
    <m/>
    <n v="0"/>
    <n v="0"/>
    <n v="0"/>
    <n v="0"/>
  </r>
  <r>
    <x v="216"/>
    <n v="2604000108"/>
    <m/>
    <n v="0"/>
    <n v="0"/>
    <n v="0"/>
    <n v="0"/>
  </r>
  <r>
    <x v="194"/>
    <n v="2604000129"/>
    <m/>
    <n v="0"/>
    <n v="0"/>
    <n v="0"/>
    <n v="0"/>
  </r>
  <r>
    <x v="192"/>
    <n v="2604000131"/>
    <m/>
    <n v="0"/>
    <n v="0"/>
    <n v="0"/>
    <n v="0"/>
  </r>
  <r>
    <x v="209"/>
    <n v="2604000101"/>
    <m/>
    <n v="0"/>
    <n v="0"/>
    <n v="0"/>
    <n v="0"/>
  </r>
  <r>
    <x v="212"/>
    <n v="2604000104"/>
    <m/>
    <n v="0"/>
    <n v="0"/>
    <n v="0"/>
    <n v="0"/>
  </r>
  <r>
    <x v="217"/>
    <n v="2604000109"/>
    <m/>
    <n v="0"/>
    <n v="0"/>
    <n v="0"/>
    <n v="0"/>
  </r>
  <r>
    <x v="219"/>
    <n v="2604000111"/>
    <m/>
    <n v="0"/>
    <n v="0"/>
    <n v="0"/>
    <n v="0"/>
  </r>
  <r>
    <x v="225"/>
    <n v="2604000117"/>
    <m/>
    <n v="0"/>
    <n v="0"/>
    <n v="0"/>
    <n v="0"/>
  </r>
  <r>
    <x v="203"/>
    <n v="2604000122"/>
    <m/>
    <n v="0"/>
    <n v="0"/>
    <n v="0"/>
    <n v="0"/>
  </r>
  <r>
    <x v="230"/>
    <n v="2604000117"/>
    <m/>
    <n v="0"/>
    <n v="0"/>
    <n v="0"/>
    <n v="0"/>
  </r>
  <r>
    <x v="231"/>
    <n v="2604000118"/>
    <m/>
    <n v="0"/>
    <n v="1"/>
    <n v="0"/>
    <n v="0.44"/>
  </r>
  <r>
    <x v="232"/>
    <n v="2604000119"/>
    <m/>
    <n v="0"/>
    <n v="1"/>
    <n v="0"/>
    <n v="0.42"/>
  </r>
  <r>
    <x v="233"/>
    <n v="2604000120"/>
    <m/>
    <n v="0"/>
    <n v="1"/>
    <n v="0"/>
    <n v="0.56000000000000005"/>
  </r>
  <r>
    <x v="231"/>
    <n v="2604000118"/>
    <m/>
    <n v="0"/>
    <n v="0"/>
    <n v="0"/>
    <n v="0"/>
  </r>
  <r>
    <x v="232"/>
    <n v="2604000119"/>
    <m/>
    <n v="0"/>
    <n v="0"/>
    <n v="0"/>
    <n v="0"/>
  </r>
  <r>
    <x v="234"/>
    <n v="2604000121"/>
    <m/>
    <n v="0"/>
    <n v="0"/>
    <n v="0"/>
    <n v="0"/>
  </r>
  <r>
    <x v="235"/>
    <n v="2604000115"/>
    <m/>
    <n v="0"/>
    <n v="0"/>
    <n v="0"/>
    <n v="0"/>
  </r>
  <r>
    <x v="233"/>
    <n v="2604000120"/>
    <m/>
    <n v="0"/>
    <n v="0"/>
    <n v="0"/>
    <n v="0"/>
  </r>
  <r>
    <x v="236"/>
    <n v="2604000122"/>
    <m/>
    <n v="0"/>
    <n v="0"/>
    <n v="0"/>
    <n v="0"/>
  </r>
  <r>
    <x v="234"/>
    <n v="2604000121"/>
    <m/>
    <n v="0"/>
    <n v="1"/>
    <n v="0"/>
    <n v="0.34"/>
  </r>
  <r>
    <x v="236"/>
    <n v="2604000122"/>
    <m/>
    <n v="0"/>
    <n v="1"/>
    <n v="0"/>
    <n v="0.56000000000000005"/>
  </r>
  <r>
    <x v="237"/>
    <n v="2604000114"/>
    <m/>
    <n v="0"/>
    <n v="0"/>
    <n v="0"/>
    <n v="0"/>
  </r>
  <r>
    <x v="238"/>
    <n v="2604000116"/>
    <m/>
    <n v="0"/>
    <n v="0"/>
    <n v="0"/>
    <n v="0"/>
  </r>
  <r>
    <x v="230"/>
    <n v="2604000117"/>
    <m/>
    <n v="0"/>
    <n v="1"/>
    <n v="0"/>
    <n v="0.48"/>
  </r>
  <r>
    <x v="238"/>
    <n v="2604000116"/>
    <m/>
    <n v="0"/>
    <n v="1"/>
    <n v="0"/>
    <n v="0.34"/>
  </r>
  <r>
    <x v="235"/>
    <n v="2604000115"/>
    <m/>
    <n v="0"/>
    <n v="1"/>
    <n v="0"/>
    <n v="0.56000000000000005"/>
  </r>
  <r>
    <x v="237"/>
    <n v="2604000114"/>
    <m/>
    <n v="0"/>
    <n v="1"/>
    <n v="0"/>
    <n v="0.26"/>
  </r>
  <r>
    <x v="239"/>
    <n v="6981914"/>
    <m/>
    <n v="0"/>
    <n v="0"/>
    <n v="0"/>
    <n v="0"/>
  </r>
  <r>
    <x v="239"/>
    <n v="6981914"/>
    <m/>
    <n v="0"/>
    <n v="1"/>
    <n v="0"/>
    <n v="0.14000000000000001"/>
  </r>
  <r>
    <x v="240"/>
    <n v="2604000160"/>
    <m/>
    <n v="0"/>
    <n v="1"/>
    <n v="0"/>
    <n v="0.42"/>
  </r>
  <r>
    <x v="241"/>
    <n v="2604000161"/>
    <m/>
    <n v="0"/>
    <n v="1"/>
    <n v="0"/>
    <n v="0.83"/>
  </r>
  <r>
    <x v="242"/>
    <n v="2604000162"/>
    <m/>
    <n v="0"/>
    <n v="1"/>
    <n v="0"/>
    <n v="1.9"/>
  </r>
  <r>
    <x v="243"/>
    <n v="2604000163"/>
    <m/>
    <n v="0"/>
    <n v="1"/>
    <n v="0"/>
    <n v="0.57999999999999996"/>
  </r>
  <r>
    <x v="244"/>
    <n v="2604000164"/>
    <m/>
    <n v="0"/>
    <n v="1"/>
    <n v="0"/>
    <n v="3.01"/>
  </r>
  <r>
    <x v="245"/>
    <n v="2604000165"/>
    <m/>
    <n v="0"/>
    <n v="1"/>
    <n v="0"/>
    <n v="0.84"/>
  </r>
  <r>
    <x v="246"/>
    <n v="2604000166"/>
    <m/>
    <n v="0"/>
    <n v="1"/>
    <n v="0"/>
    <n v="0.42"/>
  </r>
  <r>
    <x v="247"/>
    <n v="2604000167"/>
    <m/>
    <n v="0"/>
    <n v="1"/>
    <n v="0"/>
    <n v="0.56000000000000005"/>
  </r>
  <r>
    <x v="248"/>
    <n v="2604000168"/>
    <m/>
    <n v="0"/>
    <n v="1"/>
    <n v="0"/>
    <n v="2.36"/>
  </r>
  <r>
    <x v="249"/>
    <n v="2604000169"/>
    <m/>
    <n v="0"/>
    <n v="1"/>
    <n v="0"/>
    <n v="2.62"/>
  </r>
  <r>
    <x v="250"/>
    <n v="2604000170"/>
    <m/>
    <n v="0"/>
    <n v="1"/>
    <n v="0"/>
    <n v="1.1599999999999999"/>
  </r>
  <r>
    <x v="251"/>
    <n v="2604000171"/>
    <m/>
    <n v="0"/>
    <n v="1"/>
    <n v="0"/>
    <n v="1.1100000000000001"/>
  </r>
  <r>
    <x v="252"/>
    <n v="2604000172"/>
    <m/>
    <n v="0"/>
    <n v="1"/>
    <n v="0"/>
    <n v="0.45"/>
  </r>
  <r>
    <x v="253"/>
    <n v="2604000173"/>
    <m/>
    <n v="0"/>
    <n v="1"/>
    <n v="0"/>
    <n v="0.44"/>
  </r>
  <r>
    <x v="254"/>
    <n v="2604000174"/>
    <m/>
    <n v="0"/>
    <n v="1"/>
    <n v="0"/>
    <n v="2.3199999999999998"/>
  </r>
  <r>
    <x v="255"/>
    <n v="2604000175"/>
    <m/>
    <n v="0"/>
    <n v="1"/>
    <n v="0"/>
    <n v="2.2999999999999998"/>
  </r>
  <r>
    <x v="256"/>
    <n v="2604000176"/>
    <m/>
    <n v="0"/>
    <n v="1"/>
    <n v="0"/>
    <n v="0.9"/>
  </r>
  <r>
    <x v="257"/>
    <n v="2604000177"/>
    <m/>
    <n v="0"/>
    <n v="1"/>
    <n v="0"/>
    <n v="2.62"/>
  </r>
  <r>
    <x v="258"/>
    <n v="2604000178"/>
    <m/>
    <n v="0"/>
    <n v="1"/>
    <n v="0"/>
    <n v="0.88"/>
  </r>
  <r>
    <x v="259"/>
    <n v="2604000179"/>
    <m/>
    <n v="0"/>
    <n v="1"/>
    <n v="0"/>
    <n v="2.56"/>
  </r>
  <r>
    <x v="260"/>
    <n v="2604000180"/>
    <m/>
    <n v="0"/>
    <n v="1"/>
    <n v="0"/>
    <n v="0.85"/>
  </r>
  <r>
    <x v="261"/>
    <n v="2604000181"/>
    <m/>
    <n v="0"/>
    <n v="1"/>
    <n v="0"/>
    <n v="1.1100000000000001"/>
  </r>
  <r>
    <x v="262"/>
    <n v="2604000182"/>
    <m/>
    <n v="0"/>
    <n v="1"/>
    <n v="0"/>
    <n v="2.58"/>
  </r>
  <r>
    <x v="263"/>
    <n v="2604000183"/>
    <m/>
    <n v="0"/>
    <n v="1"/>
    <n v="0"/>
    <n v="1.21"/>
  </r>
  <r>
    <x v="264"/>
    <n v="2604000136"/>
    <m/>
    <n v="0"/>
    <n v="0"/>
    <n v="0"/>
    <n v="0"/>
  </r>
  <r>
    <x v="265"/>
    <n v="2604000135"/>
    <m/>
    <n v="0"/>
    <n v="1"/>
    <n v="0"/>
    <n v="2.2400000000000002"/>
  </r>
  <r>
    <x v="264"/>
    <n v="2604000136"/>
    <m/>
    <n v="0"/>
    <n v="1"/>
    <n v="0"/>
    <n v="0.42"/>
  </r>
  <r>
    <x v="266"/>
    <n v="2604000137"/>
    <m/>
    <n v="0"/>
    <n v="1"/>
    <n v="0"/>
    <n v="1.56"/>
  </r>
  <r>
    <x v="267"/>
    <n v="2604000138"/>
    <m/>
    <n v="0"/>
    <n v="1"/>
    <n v="0"/>
    <n v="0.41"/>
  </r>
  <r>
    <x v="268"/>
    <n v="2604000139"/>
    <m/>
    <n v="0"/>
    <n v="1"/>
    <n v="0"/>
    <n v="0.42"/>
  </r>
  <r>
    <x v="269"/>
    <n v="2604000140"/>
    <m/>
    <n v="0"/>
    <n v="1"/>
    <n v="0"/>
    <n v="1.1200000000000001"/>
  </r>
  <r>
    <x v="270"/>
    <n v="2604000141"/>
    <m/>
    <n v="0"/>
    <n v="1"/>
    <n v="0"/>
    <n v="0.81"/>
  </r>
  <r>
    <x v="271"/>
    <n v="2604000142"/>
    <m/>
    <n v="0"/>
    <n v="1"/>
    <n v="0"/>
    <n v="1.1599999999999999"/>
  </r>
  <r>
    <x v="272"/>
    <n v="2604000143"/>
    <m/>
    <n v="0"/>
    <n v="1"/>
    <n v="0"/>
    <n v="1.21"/>
  </r>
  <r>
    <x v="273"/>
    <n v="2604000144"/>
    <m/>
    <n v="0"/>
    <n v="1"/>
    <n v="0"/>
    <n v="1.1599999999999999"/>
  </r>
  <r>
    <x v="274"/>
    <n v="2604000145"/>
    <m/>
    <n v="0"/>
    <n v="1"/>
    <n v="0"/>
    <n v="2.2599999999999998"/>
  </r>
  <r>
    <x v="275"/>
    <n v="2604000146"/>
    <m/>
    <n v="0"/>
    <n v="1"/>
    <n v="0"/>
    <n v="0.5"/>
  </r>
  <r>
    <x v="276"/>
    <n v="2604000147"/>
    <m/>
    <n v="0"/>
    <n v="1"/>
    <n v="0"/>
    <n v="0.54"/>
  </r>
  <r>
    <x v="277"/>
    <n v="2604000148"/>
    <m/>
    <n v="0"/>
    <n v="1"/>
    <n v="0"/>
    <n v="1.1100000000000001"/>
  </r>
  <r>
    <x v="278"/>
    <n v="2604000149"/>
    <m/>
    <n v="0"/>
    <n v="1"/>
    <n v="0"/>
    <n v="1.1599999999999999"/>
  </r>
  <r>
    <x v="279"/>
    <n v="2604000150"/>
    <m/>
    <n v="0"/>
    <n v="1"/>
    <n v="0"/>
    <n v="0.46"/>
  </r>
  <r>
    <x v="280"/>
    <n v="2604000151"/>
    <m/>
    <n v="0"/>
    <n v="1"/>
    <n v="0"/>
    <n v="6.08"/>
  </r>
  <r>
    <x v="281"/>
    <n v="2604000152"/>
    <m/>
    <n v="0"/>
    <n v="1"/>
    <n v="0"/>
    <n v="0.57999999999999996"/>
  </r>
  <r>
    <x v="282"/>
    <n v="2604000153"/>
    <m/>
    <n v="0"/>
    <n v="1"/>
    <n v="0"/>
    <n v="1.21"/>
  </r>
  <r>
    <x v="283"/>
    <n v="2604000154"/>
    <m/>
    <n v="0"/>
    <n v="1"/>
    <n v="0"/>
    <n v="1.1499999999999999"/>
  </r>
  <r>
    <x v="284"/>
    <n v="2604000155"/>
    <m/>
    <n v="0"/>
    <n v="1"/>
    <n v="0"/>
    <n v="0.82"/>
  </r>
  <r>
    <x v="285"/>
    <n v="2604000156"/>
    <m/>
    <n v="0"/>
    <n v="1"/>
    <n v="0"/>
    <n v="0.81"/>
  </r>
  <r>
    <x v="286"/>
    <n v="2604000157"/>
    <m/>
    <n v="0"/>
    <n v="1"/>
    <n v="0"/>
    <n v="0.83"/>
  </r>
  <r>
    <x v="287"/>
    <n v="2604000158"/>
    <m/>
    <n v="0"/>
    <n v="1"/>
    <n v="0"/>
    <n v="1.78"/>
  </r>
  <r>
    <x v="288"/>
    <n v="2604000159"/>
    <m/>
    <n v="0"/>
    <n v="1"/>
    <n v="0"/>
    <n v="1.1100000000000001"/>
  </r>
  <r>
    <x v="277"/>
    <n v="2604000148"/>
    <m/>
    <n v="0"/>
    <n v="0"/>
    <n v="0"/>
    <n v="0"/>
  </r>
  <r>
    <x v="278"/>
    <n v="2604000149"/>
    <m/>
    <n v="0"/>
    <n v="0"/>
    <n v="0"/>
    <n v="0"/>
  </r>
  <r>
    <x v="282"/>
    <n v="2604000153"/>
    <m/>
    <n v="0"/>
    <n v="0"/>
    <n v="0"/>
    <n v="0"/>
  </r>
  <r>
    <x v="283"/>
    <n v="2604000154"/>
    <m/>
    <n v="0"/>
    <n v="0"/>
    <n v="0"/>
    <n v="0"/>
  </r>
  <r>
    <x v="288"/>
    <n v="2604000159"/>
    <m/>
    <n v="0"/>
    <n v="0"/>
    <n v="0"/>
    <n v="0"/>
  </r>
  <r>
    <x v="250"/>
    <n v="2604000170"/>
    <m/>
    <n v="0"/>
    <n v="0"/>
    <n v="0"/>
    <n v="0"/>
  </r>
  <r>
    <x v="251"/>
    <n v="2604000171"/>
    <m/>
    <n v="0"/>
    <n v="0"/>
    <n v="0"/>
    <n v="0"/>
  </r>
  <r>
    <x v="261"/>
    <n v="2604000181"/>
    <m/>
    <n v="0"/>
    <n v="0"/>
    <n v="0"/>
    <n v="0"/>
  </r>
  <r>
    <x v="263"/>
    <n v="2604000183"/>
    <m/>
    <n v="0"/>
    <n v="0"/>
    <n v="0"/>
    <n v="0"/>
  </r>
  <r>
    <x v="266"/>
    <n v="2604000137"/>
    <m/>
    <n v="0"/>
    <n v="0"/>
    <n v="0"/>
    <n v="0"/>
  </r>
  <r>
    <x v="287"/>
    <n v="2604000158"/>
    <m/>
    <n v="0"/>
    <n v="0"/>
    <n v="0"/>
    <n v="0"/>
  </r>
  <r>
    <x v="242"/>
    <n v="2604000162"/>
    <m/>
    <n v="0"/>
    <n v="0"/>
    <n v="0"/>
    <n v="0"/>
  </r>
  <r>
    <x v="265"/>
    <n v="2604000135"/>
    <m/>
    <n v="0"/>
    <n v="0"/>
    <n v="0"/>
    <n v="0"/>
  </r>
  <r>
    <x v="274"/>
    <n v="2604000145"/>
    <m/>
    <n v="0"/>
    <n v="0"/>
    <n v="0"/>
    <n v="0"/>
  </r>
  <r>
    <x v="248"/>
    <n v="2604000168"/>
    <m/>
    <n v="0"/>
    <n v="0"/>
    <n v="0"/>
    <n v="0"/>
  </r>
  <r>
    <x v="249"/>
    <n v="2604000169"/>
    <m/>
    <n v="0"/>
    <n v="0"/>
    <n v="0"/>
    <n v="0"/>
  </r>
  <r>
    <x v="254"/>
    <n v="2604000174"/>
    <m/>
    <n v="0"/>
    <n v="0"/>
    <n v="0"/>
    <n v="0"/>
  </r>
  <r>
    <x v="255"/>
    <n v="2604000175"/>
    <m/>
    <n v="0"/>
    <n v="0"/>
    <n v="0"/>
    <n v="0"/>
  </r>
  <r>
    <x v="257"/>
    <n v="2604000177"/>
    <m/>
    <n v="0"/>
    <n v="0"/>
    <n v="0"/>
    <n v="0"/>
  </r>
  <r>
    <x v="259"/>
    <n v="2604000179"/>
    <m/>
    <n v="0"/>
    <n v="0"/>
    <n v="0"/>
    <n v="0"/>
  </r>
  <r>
    <x v="262"/>
    <n v="2604000182"/>
    <m/>
    <n v="0"/>
    <n v="0"/>
    <n v="0"/>
    <n v="0"/>
  </r>
  <r>
    <x v="244"/>
    <n v="2604000164"/>
    <m/>
    <n v="0"/>
    <n v="0"/>
    <n v="0"/>
    <n v="0"/>
  </r>
  <r>
    <x v="280"/>
    <n v="2604000151"/>
    <m/>
    <n v="0"/>
    <n v="0"/>
    <n v="0"/>
    <n v="0"/>
  </r>
  <r>
    <x v="289"/>
    <n v="6982537"/>
    <m/>
    <n v="0"/>
    <n v="1"/>
    <n v="0"/>
    <n v="3.2"/>
  </r>
  <r>
    <x v="289"/>
    <n v="6982537"/>
    <m/>
    <n v="0"/>
    <n v="0"/>
    <n v="0"/>
    <n v="0"/>
  </r>
  <r>
    <x v="267"/>
    <n v="2604000138"/>
    <m/>
    <n v="0"/>
    <n v="0"/>
    <n v="0"/>
    <n v="0"/>
  </r>
  <r>
    <x v="268"/>
    <n v="2604000139"/>
    <m/>
    <n v="0"/>
    <n v="0"/>
    <n v="0"/>
    <n v="0"/>
  </r>
  <r>
    <x v="275"/>
    <n v="2604000146"/>
    <m/>
    <n v="0"/>
    <n v="0"/>
    <n v="0"/>
    <n v="0"/>
  </r>
  <r>
    <x v="279"/>
    <n v="2604000150"/>
    <m/>
    <n v="0"/>
    <n v="0"/>
    <n v="0"/>
    <n v="0"/>
  </r>
  <r>
    <x v="240"/>
    <n v="2604000160"/>
    <m/>
    <n v="0"/>
    <n v="0"/>
    <n v="0"/>
    <n v="0"/>
  </r>
  <r>
    <x v="246"/>
    <n v="2604000166"/>
    <m/>
    <n v="0"/>
    <n v="0"/>
    <n v="0"/>
    <n v="0"/>
  </r>
  <r>
    <x v="252"/>
    <n v="2604000172"/>
    <m/>
    <n v="0"/>
    <n v="0"/>
    <n v="0"/>
    <n v="0"/>
  </r>
  <r>
    <x v="253"/>
    <n v="2604000173"/>
    <m/>
    <n v="0"/>
    <n v="0"/>
    <n v="0"/>
    <n v="0"/>
  </r>
  <r>
    <x v="276"/>
    <n v="2604000147"/>
    <m/>
    <n v="0"/>
    <n v="0"/>
    <n v="0"/>
    <n v="0"/>
  </r>
  <r>
    <x v="281"/>
    <n v="2604000152"/>
    <m/>
    <n v="0"/>
    <n v="0"/>
    <n v="0"/>
    <n v="0"/>
  </r>
  <r>
    <x v="243"/>
    <n v="2604000163"/>
    <m/>
    <n v="0"/>
    <n v="0"/>
    <n v="0"/>
    <n v="0"/>
  </r>
  <r>
    <x v="247"/>
    <n v="2604000167"/>
    <m/>
    <n v="0"/>
    <n v="0"/>
    <n v="0"/>
    <n v="0"/>
  </r>
  <r>
    <x v="270"/>
    <n v="2604000141"/>
    <m/>
    <n v="0"/>
    <n v="0"/>
    <n v="0"/>
    <n v="0"/>
  </r>
  <r>
    <x v="273"/>
    <n v="2604000144"/>
    <m/>
    <n v="0"/>
    <n v="0"/>
    <n v="0"/>
    <n v="0"/>
  </r>
  <r>
    <x v="272"/>
    <n v="2604000143"/>
    <m/>
    <n v="0"/>
    <n v="0"/>
    <n v="0"/>
    <n v="0"/>
  </r>
  <r>
    <x v="271"/>
    <n v="2604000142"/>
    <m/>
    <n v="0"/>
    <n v="0"/>
    <n v="0"/>
    <n v="0"/>
  </r>
  <r>
    <x v="269"/>
    <n v="2604000140"/>
    <m/>
    <n v="0"/>
    <n v="0"/>
    <n v="0"/>
    <n v="0"/>
  </r>
  <r>
    <x v="260"/>
    <n v="2604000180"/>
    <m/>
    <n v="0"/>
    <n v="0"/>
    <n v="0"/>
    <n v="0"/>
  </r>
  <r>
    <x v="258"/>
    <n v="2604000178"/>
    <m/>
    <n v="0"/>
    <n v="0"/>
    <n v="0"/>
    <n v="0"/>
  </r>
  <r>
    <x v="256"/>
    <n v="2604000176"/>
    <m/>
    <n v="0"/>
    <n v="0"/>
    <n v="0"/>
    <n v="0"/>
  </r>
  <r>
    <x v="245"/>
    <n v="2604000165"/>
    <m/>
    <n v="0"/>
    <n v="0"/>
    <n v="0"/>
    <n v="0"/>
  </r>
  <r>
    <x v="241"/>
    <n v="2604000161"/>
    <m/>
    <n v="0"/>
    <n v="0"/>
    <n v="0"/>
    <n v="0"/>
  </r>
  <r>
    <x v="286"/>
    <n v="2604000157"/>
    <m/>
    <n v="0"/>
    <n v="0"/>
    <n v="0"/>
    <n v="0"/>
  </r>
  <r>
    <x v="285"/>
    <n v="2604000156"/>
    <m/>
    <n v="0"/>
    <n v="0"/>
    <n v="0"/>
    <n v="0"/>
  </r>
  <r>
    <x v="284"/>
    <n v="2604000155"/>
    <m/>
    <n v="0"/>
    <n v="0"/>
    <n v="0"/>
    <n v="0"/>
  </r>
  <r>
    <x v="290"/>
    <n v="2604000211"/>
    <m/>
    <n v="0"/>
    <n v="0"/>
    <n v="0"/>
    <n v="0"/>
  </r>
  <r>
    <x v="291"/>
    <n v="2604000208"/>
    <m/>
    <n v="0"/>
    <n v="0"/>
    <n v="0"/>
    <n v="0"/>
  </r>
  <r>
    <x v="292"/>
    <n v="2604000203"/>
    <m/>
    <n v="0"/>
    <n v="0"/>
    <n v="0"/>
    <n v="0"/>
  </r>
  <r>
    <x v="293"/>
    <n v="2604000201"/>
    <m/>
    <n v="0"/>
    <n v="0"/>
    <n v="0"/>
    <n v="0"/>
  </r>
  <r>
    <x v="294"/>
    <n v="2604000200"/>
    <m/>
    <n v="0"/>
    <n v="0"/>
    <n v="0"/>
    <n v="0"/>
  </r>
  <r>
    <x v="295"/>
    <n v="2604000184"/>
    <m/>
    <n v="0"/>
    <n v="0"/>
    <n v="0"/>
    <n v="0"/>
  </r>
  <r>
    <x v="296"/>
    <n v="2604000213"/>
    <m/>
    <n v="0"/>
    <n v="0"/>
    <n v="0"/>
    <n v="0"/>
  </r>
  <r>
    <x v="297"/>
    <n v="2604000206"/>
    <m/>
    <n v="0"/>
    <n v="0"/>
    <n v="0"/>
    <n v="0"/>
  </r>
  <r>
    <x v="298"/>
    <n v="2604000204"/>
    <m/>
    <n v="0"/>
    <n v="0"/>
    <n v="0"/>
    <n v="0"/>
  </r>
  <r>
    <x v="299"/>
    <n v="2604000202"/>
    <m/>
    <n v="0"/>
    <n v="0"/>
    <n v="0"/>
    <n v="0"/>
  </r>
  <r>
    <x v="300"/>
    <n v="2604000197"/>
    <m/>
    <n v="0"/>
    <n v="0"/>
    <n v="0"/>
    <n v="0"/>
  </r>
  <r>
    <x v="301"/>
    <n v="2604000191"/>
    <m/>
    <n v="0"/>
    <n v="0"/>
    <n v="0"/>
    <n v="0"/>
  </r>
  <r>
    <x v="302"/>
    <n v="2604000214"/>
    <m/>
    <n v="0"/>
    <n v="0"/>
    <n v="0"/>
    <n v="0"/>
  </r>
  <r>
    <x v="303"/>
    <n v="2604000196"/>
    <m/>
    <n v="0"/>
    <n v="0"/>
    <n v="0"/>
    <n v="0"/>
  </r>
  <r>
    <x v="304"/>
    <n v="2604000195"/>
    <m/>
    <n v="0"/>
    <n v="0"/>
    <n v="0"/>
    <n v="0"/>
  </r>
  <r>
    <x v="305"/>
    <n v="2604000192"/>
    <m/>
    <n v="0"/>
    <n v="0"/>
    <n v="0"/>
    <n v="0"/>
  </r>
  <r>
    <x v="302"/>
    <n v="2604000214"/>
    <m/>
    <n v="0"/>
    <n v="1"/>
    <n v="0"/>
    <n v="0.56000000000000005"/>
  </r>
  <r>
    <x v="296"/>
    <n v="2604000213"/>
    <m/>
    <n v="0"/>
    <n v="1"/>
    <n v="0"/>
    <n v="0.84"/>
  </r>
  <r>
    <x v="306"/>
    <n v="2604000212"/>
    <m/>
    <n v="0"/>
    <n v="1"/>
    <n v="0"/>
    <n v="2.5"/>
  </r>
  <r>
    <x v="290"/>
    <n v="2604000211"/>
    <m/>
    <n v="0"/>
    <n v="1"/>
    <n v="0"/>
    <n v="1.1200000000000001"/>
  </r>
  <r>
    <x v="307"/>
    <n v="2604000210"/>
    <m/>
    <n v="0"/>
    <n v="1"/>
    <n v="0"/>
    <n v="3.6"/>
  </r>
  <r>
    <x v="308"/>
    <n v="2604000209"/>
    <m/>
    <n v="0"/>
    <n v="1"/>
    <n v="0"/>
    <n v="2.2200000000000002"/>
  </r>
  <r>
    <x v="276"/>
    <n v="2604000147"/>
    <m/>
    <n v="0"/>
    <n v="0"/>
    <n v="0"/>
    <n v="0"/>
  </r>
  <r>
    <x v="252"/>
    <n v="2604000172"/>
    <m/>
    <n v="0"/>
    <n v="0"/>
    <n v="0"/>
    <n v="0"/>
  </r>
  <r>
    <x v="263"/>
    <n v="2604000183"/>
    <m/>
    <n v="0"/>
    <n v="0"/>
    <n v="0"/>
    <n v="0"/>
  </r>
  <r>
    <x v="266"/>
    <n v="2604000137"/>
    <m/>
    <n v="0"/>
    <n v="0"/>
    <n v="0"/>
    <n v="0"/>
  </r>
  <r>
    <x v="276"/>
    <n v="2604000147"/>
    <m/>
    <n v="0"/>
    <n v="0"/>
    <n v="0"/>
    <n v="0"/>
  </r>
  <r>
    <x v="252"/>
    <n v="2604000172"/>
    <m/>
    <n v="0"/>
    <n v="0"/>
    <n v="0"/>
    <n v="0"/>
  </r>
  <r>
    <x v="263"/>
    <n v="2604000183"/>
    <m/>
    <n v="0"/>
    <n v="0"/>
    <n v="0"/>
    <n v="0"/>
  </r>
  <r>
    <x v="309"/>
    <n v="2604000194"/>
    <m/>
    <n v="0"/>
    <n v="0"/>
    <n v="0"/>
    <n v="0"/>
  </r>
  <r>
    <x v="307"/>
    <n v="2604000210"/>
    <m/>
    <n v="0"/>
    <n v="0"/>
    <n v="0"/>
    <n v="0"/>
  </r>
  <r>
    <x v="306"/>
    <n v="2604000212"/>
    <m/>
    <n v="0"/>
    <n v="0"/>
    <n v="0"/>
    <n v="0"/>
  </r>
  <r>
    <x v="308"/>
    <n v="2604000209"/>
    <m/>
    <n v="0"/>
    <n v="0"/>
    <n v="0"/>
    <n v="0"/>
  </r>
  <r>
    <x v="310"/>
    <n v="2604000198"/>
    <m/>
    <n v="0"/>
    <n v="0"/>
    <n v="0"/>
    <n v="0"/>
  </r>
  <r>
    <x v="311"/>
    <n v="2604000190"/>
    <m/>
    <n v="0"/>
    <n v="0"/>
    <n v="0"/>
    <n v="0"/>
  </r>
  <r>
    <x v="312"/>
    <n v="2604000186"/>
    <m/>
    <n v="0"/>
    <n v="0"/>
    <n v="0"/>
    <n v="0"/>
  </r>
  <r>
    <x v="313"/>
    <n v="2604000207"/>
    <m/>
    <n v="0"/>
    <n v="0"/>
    <n v="0"/>
    <n v="0"/>
  </r>
  <r>
    <x v="314"/>
    <n v="2604000205"/>
    <m/>
    <n v="0"/>
    <n v="0"/>
    <n v="0"/>
    <n v="0"/>
  </r>
  <r>
    <x v="315"/>
    <n v="2604000199"/>
    <m/>
    <n v="0"/>
    <n v="0"/>
    <n v="0"/>
    <n v="0"/>
  </r>
  <r>
    <x v="316"/>
    <n v="2604000193"/>
    <m/>
    <n v="0"/>
    <n v="0"/>
    <n v="0"/>
    <n v="0"/>
  </r>
  <r>
    <x v="317"/>
    <n v="2604000189"/>
    <m/>
    <n v="0"/>
    <n v="0"/>
    <n v="0"/>
    <n v="0"/>
  </r>
  <r>
    <x v="318"/>
    <n v="2604000188"/>
    <m/>
    <n v="0"/>
    <n v="0"/>
    <n v="0"/>
    <n v="0"/>
  </r>
  <r>
    <x v="319"/>
    <n v="2604000187"/>
    <m/>
    <n v="0"/>
    <n v="0"/>
    <n v="0"/>
    <n v="0"/>
  </r>
  <r>
    <x v="320"/>
    <n v="2604000185"/>
    <m/>
    <n v="0"/>
    <n v="0"/>
    <n v="0"/>
    <n v="0"/>
  </r>
  <r>
    <x v="321"/>
    <n v="2604000123"/>
    <m/>
    <n v="0"/>
    <n v="1"/>
    <n v="0"/>
    <n v="0.72"/>
  </r>
  <r>
    <x v="322"/>
    <n v="2604000124"/>
    <m/>
    <n v="0"/>
    <n v="1"/>
    <n v="0"/>
    <n v="0.32"/>
  </r>
  <r>
    <x v="323"/>
    <n v="2604000125"/>
    <m/>
    <n v="0"/>
    <n v="1"/>
    <n v="0"/>
    <n v="0.44"/>
  </r>
  <r>
    <x v="324"/>
    <n v="2604000126"/>
    <m/>
    <n v="0"/>
    <n v="1"/>
    <n v="0"/>
    <n v="0.22"/>
  </r>
  <r>
    <x v="325"/>
    <n v="2604000127"/>
    <m/>
    <n v="0"/>
    <n v="1"/>
    <n v="0"/>
    <n v="0.28000000000000003"/>
  </r>
  <r>
    <x v="326"/>
    <n v="2604000128"/>
    <m/>
    <n v="0"/>
    <n v="1"/>
    <n v="0"/>
    <n v="0.24"/>
  </r>
  <r>
    <x v="324"/>
    <n v="2604000126"/>
    <m/>
    <n v="0"/>
    <n v="0"/>
    <n v="0"/>
    <n v="0"/>
  </r>
  <r>
    <x v="326"/>
    <n v="2604000128"/>
    <m/>
    <n v="0"/>
    <n v="0"/>
    <n v="0"/>
    <n v="0"/>
  </r>
  <r>
    <x v="322"/>
    <n v="2604000124"/>
    <m/>
    <n v="0"/>
    <n v="0"/>
    <n v="0"/>
    <n v="0"/>
  </r>
  <r>
    <x v="323"/>
    <n v="2604000125"/>
    <m/>
    <n v="0"/>
    <n v="0"/>
    <n v="0"/>
    <n v="0"/>
  </r>
  <r>
    <x v="325"/>
    <n v="2604000127"/>
    <m/>
    <n v="0"/>
    <n v="0"/>
    <n v="0"/>
    <n v="0"/>
  </r>
  <r>
    <x v="321"/>
    <n v="2604000123"/>
    <m/>
    <n v="0"/>
    <n v="0"/>
    <n v="0"/>
    <n v="0"/>
  </r>
  <r>
    <x v="295"/>
    <n v="2604000184"/>
    <m/>
    <n v="0"/>
    <n v="1"/>
    <n v="0"/>
    <n v="1.1499999999999999"/>
  </r>
  <r>
    <x v="320"/>
    <n v="2604000185"/>
    <m/>
    <n v="0"/>
    <n v="1"/>
    <n v="0"/>
    <n v="1.56"/>
  </r>
  <r>
    <x v="312"/>
    <n v="2604000186"/>
    <m/>
    <n v="0"/>
    <n v="1"/>
    <n v="0"/>
    <n v="2.8"/>
  </r>
  <r>
    <x v="319"/>
    <n v="2604000187"/>
    <m/>
    <n v="0"/>
    <n v="1"/>
    <n v="0"/>
    <n v="1.96"/>
  </r>
  <r>
    <x v="318"/>
    <n v="2604000188"/>
    <m/>
    <n v="0"/>
    <n v="1"/>
    <n v="0"/>
    <n v="1.74"/>
  </r>
  <r>
    <x v="317"/>
    <n v="2604000189"/>
    <m/>
    <n v="0"/>
    <n v="1"/>
    <n v="0"/>
    <n v="1.66"/>
  </r>
  <r>
    <x v="311"/>
    <n v="2604000190"/>
    <m/>
    <n v="0"/>
    <n v="1"/>
    <n v="0"/>
    <n v="2.04"/>
  </r>
  <r>
    <x v="291"/>
    <n v="2604000208"/>
    <m/>
    <n v="0"/>
    <n v="1"/>
    <n v="0"/>
    <n v="1.1499999999999999"/>
  </r>
  <r>
    <x v="313"/>
    <n v="2604000207"/>
    <m/>
    <n v="0"/>
    <n v="1"/>
    <n v="0"/>
    <n v="1.64"/>
  </r>
  <r>
    <x v="297"/>
    <n v="2604000206"/>
    <m/>
    <n v="0"/>
    <n v="1"/>
    <n v="0"/>
    <n v="0.9"/>
  </r>
  <r>
    <x v="314"/>
    <n v="2604000205"/>
    <m/>
    <n v="0"/>
    <n v="1"/>
    <n v="0"/>
    <n v="1.68"/>
  </r>
  <r>
    <x v="298"/>
    <n v="2604000204"/>
    <m/>
    <n v="0"/>
    <n v="1"/>
    <n v="0"/>
    <n v="0.83"/>
  </r>
  <r>
    <x v="292"/>
    <n v="2604000203"/>
    <m/>
    <n v="0"/>
    <n v="1"/>
    <n v="0"/>
    <n v="1.1399999999999999"/>
  </r>
  <r>
    <x v="299"/>
    <n v="2604000202"/>
    <m/>
    <n v="0"/>
    <n v="1"/>
    <n v="0"/>
    <n v="0.9"/>
  </r>
  <r>
    <x v="293"/>
    <n v="2604000201"/>
    <m/>
    <n v="0"/>
    <n v="1"/>
    <n v="0"/>
    <n v="1.1200000000000001"/>
  </r>
  <r>
    <x v="294"/>
    <n v="2604000200"/>
    <m/>
    <n v="0"/>
    <n v="1"/>
    <n v="0"/>
    <n v="1.1599999999999999"/>
  </r>
  <r>
    <x v="315"/>
    <n v="2604000199"/>
    <m/>
    <n v="0"/>
    <n v="1"/>
    <n v="0"/>
    <n v="1.94"/>
  </r>
  <r>
    <x v="310"/>
    <n v="2604000198"/>
    <m/>
    <n v="0"/>
    <n v="1"/>
    <n v="0"/>
    <n v="2.68"/>
  </r>
  <r>
    <x v="300"/>
    <n v="2604000197"/>
    <m/>
    <n v="0"/>
    <n v="1"/>
    <n v="0"/>
    <n v="0.8"/>
  </r>
  <r>
    <x v="303"/>
    <n v="2604000196"/>
    <m/>
    <n v="0"/>
    <n v="1"/>
    <n v="0"/>
    <n v="0.46"/>
  </r>
  <r>
    <x v="304"/>
    <n v="2604000195"/>
    <m/>
    <n v="0"/>
    <n v="1"/>
    <n v="0"/>
    <n v="0.44"/>
  </r>
  <r>
    <x v="309"/>
    <n v="2604000194"/>
    <m/>
    <n v="0"/>
    <n v="1"/>
    <n v="0"/>
    <n v="6.12"/>
  </r>
  <r>
    <x v="316"/>
    <n v="2604000193"/>
    <m/>
    <n v="0"/>
    <n v="1"/>
    <n v="0"/>
    <n v="1.78"/>
  </r>
  <r>
    <x v="305"/>
    <n v="2604000192"/>
    <m/>
    <n v="0"/>
    <n v="1"/>
    <n v="0"/>
    <n v="0.46"/>
  </r>
  <r>
    <x v="301"/>
    <n v="2604000191"/>
    <m/>
    <n v="0"/>
    <n v="1"/>
    <n v="0"/>
    <n v="0.84"/>
  </r>
  <r>
    <x v="327"/>
    <n v="2604000228"/>
    <m/>
    <n v="0"/>
    <n v="1"/>
    <n v="0"/>
    <n v="1.1100000000000001"/>
  </r>
  <r>
    <x v="328"/>
    <n v="2604000227"/>
    <m/>
    <n v="0"/>
    <n v="1"/>
    <n v="0"/>
    <n v="4.4000000000000004"/>
  </r>
  <r>
    <x v="329"/>
    <n v="2604000226"/>
    <m/>
    <n v="0"/>
    <n v="1"/>
    <n v="0"/>
    <n v="2.34"/>
  </r>
  <r>
    <x v="330"/>
    <n v="2604000225"/>
    <m/>
    <n v="0"/>
    <n v="1"/>
    <n v="0"/>
    <n v="1.22"/>
  </r>
  <r>
    <x v="331"/>
    <n v="2604000224"/>
    <m/>
    <n v="0"/>
    <n v="1"/>
    <n v="0"/>
    <n v="1.24"/>
  </r>
  <r>
    <x v="332"/>
    <n v="2604000223"/>
    <m/>
    <n v="0"/>
    <n v="1"/>
    <n v="0"/>
    <n v="1.72"/>
  </r>
  <r>
    <x v="333"/>
    <n v="2604000222"/>
    <m/>
    <n v="0"/>
    <n v="1"/>
    <n v="0"/>
    <n v="1.22"/>
  </r>
  <r>
    <x v="334"/>
    <n v="2604000221"/>
    <m/>
    <n v="0"/>
    <n v="1"/>
    <n v="0"/>
    <n v="1.26"/>
  </r>
  <r>
    <x v="335"/>
    <n v="2604000220"/>
    <m/>
    <n v="0"/>
    <n v="1"/>
    <n v="0"/>
    <n v="1.1100000000000001"/>
  </r>
  <r>
    <x v="336"/>
    <n v="2604000219"/>
    <m/>
    <n v="0"/>
    <n v="1"/>
    <n v="0"/>
    <n v="2.36"/>
  </r>
  <r>
    <x v="337"/>
    <n v="2604000218"/>
    <m/>
    <n v="0"/>
    <n v="1"/>
    <n v="0"/>
    <n v="1.3"/>
  </r>
  <r>
    <x v="338"/>
    <n v="2604000217"/>
    <m/>
    <n v="0"/>
    <n v="1"/>
    <n v="0"/>
    <n v="1.1100000000000001"/>
  </r>
  <r>
    <x v="339"/>
    <n v="2604000216"/>
    <m/>
    <n v="0"/>
    <n v="1"/>
    <n v="0"/>
    <n v="0.52"/>
  </r>
  <r>
    <x v="340"/>
    <n v="2604000215"/>
    <m/>
    <n v="0"/>
    <n v="1"/>
    <n v="0"/>
    <n v="0.84"/>
  </r>
  <r>
    <x v="341"/>
    <n v="2604000236"/>
    <m/>
    <n v="0"/>
    <n v="0"/>
    <n v="0"/>
    <n v="0"/>
  </r>
  <r>
    <x v="328"/>
    <n v="2604000227"/>
    <m/>
    <n v="0"/>
    <n v="0"/>
    <n v="0"/>
    <n v="0"/>
  </r>
  <r>
    <x v="342"/>
    <n v="2604000229"/>
    <m/>
    <n v="0"/>
    <n v="1"/>
    <n v="0"/>
    <n v="1.18"/>
  </r>
  <r>
    <x v="343"/>
    <n v="2604000230"/>
    <m/>
    <n v="0"/>
    <n v="1"/>
    <n v="0"/>
    <n v="1.1599999999999999"/>
  </r>
  <r>
    <x v="344"/>
    <n v="2604000231"/>
    <m/>
    <n v="0"/>
    <n v="1"/>
    <n v="0"/>
    <n v="1.2"/>
  </r>
  <r>
    <x v="345"/>
    <n v="2604000232"/>
    <m/>
    <n v="0"/>
    <n v="1"/>
    <n v="0"/>
    <n v="0.62"/>
  </r>
  <r>
    <x v="346"/>
    <n v="2604000233"/>
    <m/>
    <n v="0"/>
    <n v="1"/>
    <n v="0"/>
    <n v="1.96"/>
  </r>
  <r>
    <x v="347"/>
    <n v="2604000234"/>
    <m/>
    <n v="0"/>
    <n v="1"/>
    <n v="0"/>
    <n v="2.66"/>
  </r>
  <r>
    <x v="348"/>
    <n v="2604000235"/>
    <m/>
    <n v="0"/>
    <n v="1"/>
    <n v="0"/>
    <n v="5"/>
  </r>
  <r>
    <x v="341"/>
    <n v="2604000236"/>
    <m/>
    <n v="0"/>
    <n v="1"/>
    <n v="0"/>
    <n v="2.48"/>
  </r>
  <r>
    <x v="349"/>
    <n v="2604000237"/>
    <m/>
    <n v="0"/>
    <n v="1"/>
    <n v="0"/>
    <n v="0.88"/>
  </r>
  <r>
    <x v="350"/>
    <n v="2604000238"/>
    <m/>
    <n v="0"/>
    <n v="1"/>
    <n v="0"/>
    <n v="1.86"/>
  </r>
  <r>
    <x v="339"/>
    <n v="2604000216"/>
    <m/>
    <n v="0"/>
    <n v="0"/>
    <n v="0"/>
    <n v="0"/>
  </r>
  <r>
    <x v="345"/>
    <n v="2604000232"/>
    <m/>
    <n v="0"/>
    <n v="0"/>
    <n v="0"/>
    <n v="0"/>
  </r>
  <r>
    <x v="340"/>
    <n v="2604000215"/>
    <m/>
    <n v="0"/>
    <n v="0"/>
    <n v="0"/>
    <n v="0"/>
  </r>
  <r>
    <x v="349"/>
    <n v="2604000237"/>
    <m/>
    <n v="0"/>
    <n v="0"/>
    <n v="0"/>
    <n v="0"/>
  </r>
  <r>
    <x v="338"/>
    <n v="2604000217"/>
    <m/>
    <n v="0"/>
    <n v="0"/>
    <n v="0"/>
    <n v="0"/>
  </r>
  <r>
    <x v="337"/>
    <n v="2604000218"/>
    <m/>
    <n v="0"/>
    <n v="0"/>
    <n v="0"/>
    <n v="0"/>
  </r>
  <r>
    <x v="335"/>
    <n v="2604000220"/>
    <m/>
    <n v="0"/>
    <n v="0"/>
    <n v="0"/>
    <n v="0"/>
  </r>
  <r>
    <x v="347"/>
    <n v="2604000234"/>
    <m/>
    <n v="0"/>
    <n v="0"/>
    <n v="0"/>
    <n v="0"/>
  </r>
  <r>
    <x v="329"/>
    <n v="2604000226"/>
    <m/>
    <n v="0"/>
    <n v="0"/>
    <n v="0"/>
    <n v="0"/>
  </r>
  <r>
    <x v="336"/>
    <n v="2604000219"/>
    <m/>
    <n v="0"/>
    <n v="0"/>
    <n v="0"/>
    <n v="0"/>
  </r>
  <r>
    <x v="350"/>
    <n v="2604000238"/>
    <m/>
    <n v="0"/>
    <n v="0"/>
    <n v="0"/>
    <n v="0"/>
  </r>
  <r>
    <x v="346"/>
    <n v="2604000233"/>
    <m/>
    <n v="0"/>
    <n v="0"/>
    <n v="0"/>
    <n v="0"/>
  </r>
  <r>
    <x v="332"/>
    <n v="2604000223"/>
    <m/>
    <n v="0"/>
    <n v="0"/>
    <n v="0"/>
    <n v="0"/>
  </r>
  <r>
    <x v="344"/>
    <n v="2604000231"/>
    <m/>
    <n v="0"/>
    <n v="0"/>
    <n v="0"/>
    <n v="0"/>
  </r>
  <r>
    <x v="351"/>
    <n v="2604000129"/>
    <m/>
    <n v="0"/>
    <n v="1"/>
    <n v="0"/>
    <n v="0.36"/>
  </r>
  <r>
    <x v="352"/>
    <n v="2604000130"/>
    <m/>
    <n v="0"/>
    <n v="1"/>
    <n v="0"/>
    <n v="0.5"/>
  </r>
  <r>
    <x v="353"/>
    <n v="2604000131"/>
    <m/>
    <n v="0"/>
    <n v="1"/>
    <n v="0"/>
    <n v="0.5"/>
  </r>
  <r>
    <x v="354"/>
    <n v="2604000132"/>
    <m/>
    <n v="0"/>
    <n v="1"/>
    <n v="0"/>
    <n v="0.3"/>
  </r>
  <r>
    <x v="355"/>
    <n v="2604000133"/>
    <m/>
    <n v="0"/>
    <n v="1"/>
    <n v="0"/>
    <n v="0.36"/>
  </r>
  <r>
    <x v="356"/>
    <n v="2604000134"/>
    <m/>
    <n v="0"/>
    <n v="1"/>
    <n v="0"/>
    <n v="1.19"/>
  </r>
  <r>
    <x v="357"/>
    <n v="2604000135"/>
    <m/>
    <n v="0"/>
    <n v="1"/>
    <n v="0"/>
    <n v="0.96"/>
  </r>
  <r>
    <x v="351"/>
    <n v="2604000129"/>
    <m/>
    <n v="0"/>
    <n v="0"/>
    <n v="0"/>
    <n v="0"/>
  </r>
  <r>
    <x v="352"/>
    <n v="2604000130"/>
    <m/>
    <n v="0"/>
    <n v="0"/>
    <n v="0"/>
    <n v="0"/>
  </r>
  <r>
    <x v="353"/>
    <n v="2604000131"/>
    <m/>
    <n v="0"/>
    <n v="0"/>
    <n v="0"/>
    <n v="0"/>
  </r>
  <r>
    <x v="354"/>
    <n v="2604000132"/>
    <m/>
    <n v="0"/>
    <n v="0"/>
    <n v="0"/>
    <n v="0"/>
  </r>
  <r>
    <x v="355"/>
    <n v="2604000133"/>
    <m/>
    <n v="0"/>
    <n v="0"/>
    <n v="0"/>
    <n v="0"/>
  </r>
  <r>
    <x v="357"/>
    <n v="2604000135"/>
    <m/>
    <n v="0"/>
    <n v="0"/>
    <n v="0"/>
    <n v="0"/>
  </r>
  <r>
    <x v="356"/>
    <n v="2604000134"/>
    <m/>
    <n v="0"/>
    <n v="0"/>
    <n v="0"/>
    <n v="0"/>
  </r>
  <r>
    <x v="343"/>
    <n v="2604000230"/>
    <m/>
    <n v="0"/>
    <n v="0"/>
    <n v="0"/>
    <n v="0"/>
  </r>
  <r>
    <x v="342"/>
    <n v="2604000229"/>
    <m/>
    <n v="0"/>
    <n v="0"/>
    <n v="0"/>
    <n v="0"/>
  </r>
  <r>
    <x v="327"/>
    <n v="2604000228"/>
    <m/>
    <n v="0"/>
    <n v="0"/>
    <n v="0"/>
    <n v="0"/>
  </r>
  <r>
    <x v="330"/>
    <n v="2604000225"/>
    <m/>
    <n v="0"/>
    <n v="0"/>
    <n v="0"/>
    <n v="0"/>
  </r>
  <r>
    <x v="331"/>
    <n v="2604000224"/>
    <m/>
    <n v="0"/>
    <n v="0"/>
    <n v="0"/>
    <n v="0"/>
  </r>
  <r>
    <x v="333"/>
    <n v="2604000222"/>
    <m/>
    <n v="0"/>
    <n v="0"/>
    <n v="0"/>
    <n v="0"/>
  </r>
  <r>
    <x v="334"/>
    <n v="2604000221"/>
    <m/>
    <n v="0"/>
    <n v="0"/>
    <n v="0"/>
    <n v="0"/>
  </r>
  <r>
    <x v="310"/>
    <n v="2604000198"/>
    <m/>
    <n v="0"/>
    <n v="0"/>
    <n v="0"/>
    <n v="0"/>
  </r>
  <r>
    <x v="271"/>
    <n v="2604000142"/>
    <m/>
    <n v="0"/>
    <n v="0"/>
    <n v="0"/>
    <n v="0"/>
  </r>
  <r>
    <x v="200"/>
    <n v="2604000125"/>
    <m/>
    <n v="0"/>
    <n v="0"/>
    <n v="0"/>
    <n v="0"/>
  </r>
  <r>
    <x v="310"/>
    <n v="2604000198"/>
    <m/>
    <n v="0"/>
    <n v="0"/>
    <n v="0"/>
    <n v="0"/>
  </r>
  <r>
    <x v="348"/>
    <n v="2604000235"/>
    <m/>
    <n v="0"/>
    <n v="0"/>
    <n v="0"/>
    <n v="0"/>
  </r>
  <r>
    <x v="358"/>
    <n v="2604000239"/>
    <m/>
    <n v="0"/>
    <n v="1"/>
    <n v="0"/>
    <n v="2.78"/>
  </r>
  <r>
    <x v="359"/>
    <n v="2604000240"/>
    <m/>
    <n v="0"/>
    <n v="1"/>
    <n v="0"/>
    <n v="1.1100000000000001"/>
  </r>
  <r>
    <x v="360"/>
    <n v="2604000241"/>
    <m/>
    <n v="0"/>
    <n v="1"/>
    <n v="0"/>
    <n v="1.65"/>
  </r>
  <r>
    <x v="361"/>
    <n v="2604000242"/>
    <m/>
    <n v="0"/>
    <n v="1"/>
    <n v="0"/>
    <n v="1.1100000000000001"/>
  </r>
  <r>
    <x v="362"/>
    <n v="2604000243"/>
    <m/>
    <n v="0"/>
    <n v="1"/>
    <n v="0"/>
    <n v="1.1200000000000001"/>
  </r>
  <r>
    <x v="363"/>
    <n v="2604000244"/>
    <m/>
    <n v="0"/>
    <n v="1"/>
    <n v="0"/>
    <n v="0.84"/>
  </r>
  <r>
    <x v="363"/>
    <n v="2604000244"/>
    <m/>
    <n v="0"/>
    <n v="0"/>
    <n v="0"/>
    <n v="0"/>
  </r>
  <r>
    <x v="359"/>
    <n v="2604000240"/>
    <m/>
    <n v="0"/>
    <n v="0"/>
    <n v="0"/>
    <n v="0"/>
  </r>
  <r>
    <x v="361"/>
    <n v="2604000242"/>
    <m/>
    <n v="0"/>
    <n v="0"/>
    <n v="0"/>
    <n v="0"/>
  </r>
  <r>
    <x v="362"/>
    <n v="2604000243"/>
    <m/>
    <n v="0"/>
    <n v="0"/>
    <n v="0"/>
    <n v="0"/>
  </r>
  <r>
    <x v="360"/>
    <n v="2604000241"/>
    <m/>
    <n v="0"/>
    <n v="0"/>
    <n v="0"/>
    <n v="0"/>
  </r>
  <r>
    <x v="358"/>
    <n v="2604000239"/>
    <m/>
    <n v="0"/>
    <n v="0"/>
    <n v="0"/>
    <n v="0"/>
  </r>
  <r>
    <x v="327"/>
    <n v="2604000228"/>
    <m/>
    <n v="0"/>
    <n v="0"/>
    <n v="0"/>
    <n v="0"/>
  </r>
  <r>
    <x v="327"/>
    <n v="2604000228"/>
    <m/>
    <n v="0"/>
    <n v="0"/>
    <n v="0"/>
    <n v="0"/>
  </r>
  <r>
    <x v="364"/>
    <n v="7042097"/>
    <m/>
    <n v="0"/>
    <n v="1"/>
    <n v="0"/>
    <n v="1.4"/>
  </r>
  <r>
    <x v="364"/>
    <n v="7042097"/>
    <m/>
    <n v="0"/>
    <n v="0"/>
    <n v="0"/>
    <n v="0"/>
  </r>
  <r>
    <x v="365"/>
    <n v="7013393"/>
    <m/>
    <n v="0"/>
    <n v="1"/>
    <n v="0"/>
    <n v="1.18"/>
  </r>
  <r>
    <x v="365"/>
    <n v="7013393"/>
    <m/>
    <n v="0"/>
    <n v="0"/>
    <n v="0"/>
    <n v="0"/>
  </r>
  <r>
    <x v="366"/>
    <n v="2604000136"/>
    <m/>
    <n v="0"/>
    <n v="1"/>
    <n v="0"/>
    <n v="0.3"/>
  </r>
  <r>
    <x v="367"/>
    <n v="2604000137"/>
    <m/>
    <n v="0"/>
    <n v="1"/>
    <n v="0"/>
    <n v="0.24"/>
  </r>
  <r>
    <x v="368"/>
    <n v="2604000138"/>
    <m/>
    <n v="0"/>
    <n v="1"/>
    <n v="0"/>
    <n v="0.34"/>
  </r>
  <r>
    <x v="367"/>
    <n v="2604000137"/>
    <m/>
    <n v="0"/>
    <n v="0"/>
    <n v="0"/>
    <n v="0"/>
  </r>
  <r>
    <x v="366"/>
    <n v="2604000136"/>
    <m/>
    <n v="0"/>
    <n v="0"/>
    <n v="0"/>
    <n v="0"/>
  </r>
  <r>
    <x v="368"/>
    <n v="2604000138"/>
    <m/>
    <n v="0"/>
    <n v="0"/>
    <n v="0"/>
    <n v="0"/>
  </r>
  <r>
    <x v="356"/>
    <n v="2604000134"/>
    <m/>
    <n v="0"/>
    <n v="0"/>
    <n v="0"/>
    <n v="0"/>
  </r>
  <r>
    <x v="356"/>
    <n v="2604000134"/>
    <m/>
    <n v="0"/>
    <n v="0"/>
    <n v="0"/>
    <n v="0"/>
  </r>
  <r>
    <x v="369"/>
    <n v="2604000269"/>
    <m/>
    <n v="0"/>
    <n v="0"/>
    <n v="0"/>
    <n v="0"/>
  </r>
  <r>
    <x v="370"/>
    <n v="2604000263"/>
    <m/>
    <n v="0"/>
    <n v="0"/>
    <n v="0"/>
    <n v="0"/>
  </r>
  <r>
    <x v="371"/>
    <n v="2604000260"/>
    <m/>
    <n v="0"/>
    <n v="0"/>
    <n v="0"/>
    <n v="0"/>
  </r>
  <r>
    <x v="372"/>
    <n v="2604000259"/>
    <m/>
    <n v="0"/>
    <n v="0"/>
    <n v="0"/>
    <n v="0"/>
  </r>
  <r>
    <x v="373"/>
    <n v="2604000258"/>
    <m/>
    <n v="0"/>
    <n v="0"/>
    <n v="0"/>
    <n v="0"/>
  </r>
  <r>
    <x v="374"/>
    <n v="2604000255"/>
    <m/>
    <n v="0"/>
    <n v="0"/>
    <n v="0"/>
    <n v="0"/>
  </r>
  <r>
    <x v="375"/>
    <n v="2604000251"/>
    <m/>
    <n v="0"/>
    <n v="0"/>
    <n v="0"/>
    <n v="0"/>
  </r>
  <r>
    <x v="376"/>
    <n v="2604000250"/>
    <m/>
    <n v="0"/>
    <n v="0"/>
    <n v="0"/>
    <n v="0"/>
  </r>
  <r>
    <x v="377"/>
    <n v="2604000248"/>
    <m/>
    <n v="0"/>
    <n v="0"/>
    <n v="0"/>
    <n v="0"/>
  </r>
  <r>
    <x v="378"/>
    <n v="2604000247"/>
    <m/>
    <n v="0"/>
    <n v="0"/>
    <n v="0"/>
    <n v="0"/>
  </r>
  <r>
    <x v="379"/>
    <n v="2604000246"/>
    <m/>
    <n v="0"/>
    <n v="0"/>
    <n v="0"/>
    <n v="0"/>
  </r>
  <r>
    <x v="380"/>
    <n v="2604000245"/>
    <m/>
    <n v="0"/>
    <n v="0"/>
    <n v="0"/>
    <n v="0"/>
  </r>
  <r>
    <x v="381"/>
    <n v="7056346"/>
    <m/>
    <n v="0"/>
    <n v="0"/>
    <n v="0"/>
    <n v="0"/>
  </r>
  <r>
    <x v="382"/>
    <n v="2604000268"/>
    <m/>
    <n v="0"/>
    <n v="0"/>
    <n v="0"/>
    <n v="0"/>
  </r>
  <r>
    <x v="383"/>
    <n v="2604000262"/>
    <m/>
    <n v="0"/>
    <n v="0"/>
    <n v="0"/>
    <n v="0"/>
  </r>
  <r>
    <x v="384"/>
    <n v="2604000256"/>
    <m/>
    <n v="0"/>
    <n v="0"/>
    <n v="0"/>
    <n v="0"/>
  </r>
  <r>
    <x v="385"/>
    <n v="2604000249"/>
    <m/>
    <n v="0"/>
    <n v="0"/>
    <n v="0"/>
    <n v="0"/>
  </r>
  <r>
    <x v="386"/>
    <n v="2604000265"/>
    <m/>
    <n v="0"/>
    <n v="0"/>
    <n v="0"/>
    <n v="0"/>
  </r>
  <r>
    <x v="387"/>
    <n v="2604000286"/>
    <m/>
    <n v="0"/>
    <n v="0"/>
    <n v="0"/>
    <n v="0"/>
  </r>
  <r>
    <x v="388"/>
    <n v="2604000275"/>
    <m/>
    <n v="0"/>
    <n v="0"/>
    <n v="0"/>
    <n v="0"/>
  </r>
  <r>
    <x v="389"/>
    <n v="2604000274"/>
    <m/>
    <n v="0"/>
    <n v="0"/>
    <n v="0"/>
    <n v="0"/>
  </r>
  <r>
    <x v="390"/>
    <n v="2604000273"/>
    <m/>
    <n v="0"/>
    <n v="0"/>
    <n v="0"/>
    <n v="0"/>
  </r>
  <r>
    <x v="391"/>
    <n v="2604000272"/>
    <m/>
    <n v="0"/>
    <n v="0"/>
    <n v="0"/>
    <n v="0"/>
  </r>
  <r>
    <x v="392"/>
    <n v="2604000267"/>
    <m/>
    <n v="0"/>
    <n v="0"/>
    <n v="0"/>
    <n v="0"/>
  </r>
  <r>
    <x v="393"/>
    <n v="2604000266"/>
    <m/>
    <n v="0"/>
    <n v="0"/>
    <n v="0"/>
    <n v="0"/>
  </r>
  <r>
    <x v="394"/>
    <n v="2604000264"/>
    <m/>
    <n v="0"/>
    <n v="0"/>
    <n v="0"/>
    <n v="0"/>
  </r>
  <r>
    <x v="395"/>
    <n v="2604000257"/>
    <m/>
    <n v="0"/>
    <n v="0"/>
    <n v="0"/>
    <n v="0"/>
  </r>
  <r>
    <x v="396"/>
    <n v="2604000254"/>
    <m/>
    <n v="0"/>
    <n v="0"/>
    <n v="0"/>
    <n v="0"/>
  </r>
  <r>
    <x v="397"/>
    <n v="2604000252"/>
    <m/>
    <n v="0"/>
    <n v="0"/>
    <n v="0"/>
    <n v="0"/>
  </r>
  <r>
    <x v="381"/>
    <n v="7056346"/>
    <m/>
    <n v="0"/>
    <n v="1"/>
    <n v="0"/>
    <n v="0.84"/>
  </r>
  <r>
    <x v="398"/>
    <n v="2604000299"/>
    <m/>
    <n v="0"/>
    <n v="1"/>
    <n v="0"/>
    <n v="1.65"/>
  </r>
  <r>
    <x v="399"/>
    <n v="2604000270"/>
    <m/>
    <n v="0"/>
    <n v="0"/>
    <n v="0"/>
    <n v="0"/>
  </r>
  <r>
    <x v="362"/>
    <n v="2604000243"/>
    <m/>
    <n v="0"/>
    <n v="0"/>
    <n v="0"/>
    <n v="0"/>
  </r>
  <r>
    <x v="361"/>
    <n v="2604000242"/>
    <m/>
    <n v="0"/>
    <n v="0"/>
    <n v="0"/>
    <n v="0"/>
  </r>
  <r>
    <x v="288"/>
    <n v="2604000159"/>
    <m/>
    <n v="0"/>
    <n v="0"/>
    <n v="0"/>
    <n v="0"/>
  </r>
  <r>
    <x v="362"/>
    <n v="2604000243"/>
    <m/>
    <n v="0"/>
    <n v="0"/>
    <n v="0"/>
    <n v="0"/>
  </r>
  <r>
    <x v="361"/>
    <n v="2604000242"/>
    <m/>
    <n v="0"/>
    <n v="0"/>
    <n v="0"/>
    <n v="0"/>
  </r>
  <r>
    <x v="400"/>
    <n v="2604000297"/>
    <m/>
    <n v="0"/>
    <n v="0"/>
    <n v="0"/>
    <n v="0"/>
  </r>
  <r>
    <x v="401"/>
    <n v="2604000295"/>
    <m/>
    <n v="0"/>
    <n v="0"/>
    <n v="0"/>
    <n v="0"/>
  </r>
  <r>
    <x v="402"/>
    <n v="2604000296"/>
    <m/>
    <n v="0"/>
    <n v="0"/>
    <n v="0"/>
    <n v="0"/>
  </r>
  <r>
    <x v="403"/>
    <n v="2604000298"/>
    <m/>
    <n v="0"/>
    <n v="0"/>
    <n v="0"/>
    <n v="0"/>
  </r>
  <r>
    <x v="404"/>
    <n v="2604000293"/>
    <m/>
    <n v="0"/>
    <n v="0"/>
    <n v="0"/>
    <n v="0"/>
  </r>
  <r>
    <x v="405"/>
    <n v="2604000289"/>
    <m/>
    <n v="0"/>
    <n v="0"/>
    <n v="0"/>
    <n v="0"/>
  </r>
  <r>
    <x v="398"/>
    <n v="2604000299"/>
    <m/>
    <n v="0"/>
    <n v="0"/>
    <n v="0"/>
    <n v="0"/>
  </r>
  <r>
    <x v="406"/>
    <n v="2604000294"/>
    <m/>
    <n v="0"/>
    <n v="0"/>
    <n v="0"/>
    <n v="0"/>
  </r>
  <r>
    <x v="407"/>
    <n v="2604000291"/>
    <m/>
    <n v="0"/>
    <n v="0"/>
    <n v="0"/>
    <n v="0"/>
  </r>
  <r>
    <x v="408"/>
    <n v="2604000290"/>
    <m/>
    <n v="0"/>
    <n v="0"/>
    <n v="0"/>
    <n v="0"/>
  </r>
  <r>
    <x v="409"/>
    <n v="2604000288"/>
    <m/>
    <n v="0"/>
    <n v="0"/>
    <n v="0"/>
    <n v="0"/>
  </r>
  <r>
    <x v="410"/>
    <n v="2604000285"/>
    <m/>
    <n v="0"/>
    <n v="0"/>
    <n v="0"/>
    <n v="0"/>
  </r>
  <r>
    <x v="411"/>
    <n v="2604000261"/>
    <m/>
    <n v="0"/>
    <n v="0"/>
    <n v="0"/>
    <n v="0"/>
  </r>
  <r>
    <x v="412"/>
    <n v="2604000253"/>
    <m/>
    <n v="0"/>
    <n v="0"/>
    <n v="0"/>
    <n v="0"/>
  </r>
  <r>
    <x v="413"/>
    <n v="2604000292"/>
    <m/>
    <n v="0"/>
    <n v="0"/>
    <n v="0"/>
    <n v="0"/>
  </r>
  <r>
    <x v="414"/>
    <n v="2604000287"/>
    <m/>
    <n v="0"/>
    <n v="0"/>
    <n v="0"/>
    <n v="0"/>
  </r>
  <r>
    <x v="415"/>
    <n v="2604000284"/>
    <m/>
    <n v="0"/>
    <n v="0"/>
    <n v="0"/>
    <n v="0"/>
  </r>
  <r>
    <x v="416"/>
    <n v="2604000283"/>
    <m/>
    <n v="0"/>
    <n v="0"/>
    <n v="0"/>
    <n v="0"/>
  </r>
  <r>
    <x v="417"/>
    <n v="2604000282"/>
    <m/>
    <n v="0"/>
    <n v="0"/>
    <n v="0"/>
    <n v="0"/>
  </r>
  <r>
    <x v="418"/>
    <n v="2604000281"/>
    <m/>
    <n v="0"/>
    <n v="0"/>
    <n v="0"/>
    <n v="0"/>
  </r>
  <r>
    <x v="419"/>
    <n v="2604000280"/>
    <m/>
    <n v="0"/>
    <n v="0"/>
    <n v="0"/>
    <n v="0"/>
  </r>
  <r>
    <x v="420"/>
    <n v="2604000279"/>
    <m/>
    <n v="0"/>
    <n v="0"/>
    <n v="0"/>
    <n v="0"/>
  </r>
  <r>
    <x v="421"/>
    <n v="2604000278"/>
    <m/>
    <n v="0"/>
    <n v="0"/>
    <n v="0"/>
    <n v="0"/>
  </r>
  <r>
    <x v="422"/>
    <n v="2604000277"/>
    <m/>
    <n v="0"/>
    <n v="0"/>
    <n v="0"/>
    <n v="0"/>
  </r>
  <r>
    <x v="423"/>
    <n v="2604000276"/>
    <m/>
    <n v="0"/>
    <n v="0"/>
    <n v="0"/>
    <n v="0"/>
  </r>
  <r>
    <x v="424"/>
    <n v="2604000271"/>
    <m/>
    <n v="0"/>
    <n v="0"/>
    <n v="0"/>
    <n v="0"/>
  </r>
  <r>
    <x v="393"/>
    <n v="2604000266"/>
    <m/>
    <n v="0"/>
    <n v="1"/>
    <n v="0"/>
    <n v="0.5"/>
  </r>
  <r>
    <x v="386"/>
    <n v="2604000265"/>
    <m/>
    <n v="0"/>
    <n v="1"/>
    <n v="0"/>
    <n v="0.57999999999999996"/>
  </r>
  <r>
    <x v="394"/>
    <n v="2604000264"/>
    <m/>
    <n v="0"/>
    <n v="1"/>
    <n v="0"/>
    <n v="0.5"/>
  </r>
  <r>
    <x v="370"/>
    <n v="2604000263"/>
    <m/>
    <n v="0"/>
    <n v="1"/>
    <n v="0"/>
    <n v="1.08"/>
  </r>
  <r>
    <x v="383"/>
    <n v="2604000262"/>
    <m/>
    <n v="0"/>
    <n v="1"/>
    <n v="0"/>
    <n v="1"/>
  </r>
  <r>
    <x v="411"/>
    <n v="2604000261"/>
    <m/>
    <n v="0"/>
    <n v="1"/>
    <n v="0"/>
    <n v="1.52"/>
  </r>
  <r>
    <x v="371"/>
    <n v="2604000260"/>
    <m/>
    <n v="0"/>
    <n v="1"/>
    <n v="0"/>
    <n v="1.08"/>
  </r>
  <r>
    <x v="372"/>
    <n v="2604000259"/>
    <m/>
    <n v="0"/>
    <n v="1"/>
    <n v="0"/>
    <n v="1.1000000000000001"/>
  </r>
  <r>
    <x v="373"/>
    <n v="2604000258"/>
    <m/>
    <n v="0"/>
    <n v="1"/>
    <n v="0"/>
    <n v="1.21"/>
  </r>
  <r>
    <x v="395"/>
    <n v="2604000257"/>
    <m/>
    <n v="0"/>
    <n v="1"/>
    <n v="0"/>
    <n v="0.35"/>
  </r>
  <r>
    <x v="384"/>
    <n v="2604000256"/>
    <m/>
    <n v="0"/>
    <n v="1"/>
    <n v="0"/>
    <n v="0.9"/>
  </r>
  <r>
    <x v="374"/>
    <n v="2604000255"/>
    <m/>
    <n v="0"/>
    <n v="1"/>
    <n v="0"/>
    <n v="1.24"/>
  </r>
  <r>
    <x v="396"/>
    <n v="2604000254"/>
    <m/>
    <n v="0"/>
    <n v="1"/>
    <n v="0"/>
    <n v="0.5"/>
  </r>
  <r>
    <x v="412"/>
    <n v="2604000253"/>
    <m/>
    <n v="0"/>
    <n v="1"/>
    <n v="0"/>
    <n v="1.96"/>
  </r>
  <r>
    <x v="397"/>
    <n v="2604000252"/>
    <m/>
    <n v="0"/>
    <n v="1"/>
    <n v="0"/>
    <n v="0.5"/>
  </r>
  <r>
    <x v="375"/>
    <n v="2604000251"/>
    <m/>
    <n v="0"/>
    <n v="1"/>
    <n v="0"/>
    <n v="1.1000000000000001"/>
  </r>
  <r>
    <x v="376"/>
    <n v="2604000250"/>
    <m/>
    <n v="0"/>
    <n v="1"/>
    <n v="0"/>
    <n v="1.1000000000000001"/>
  </r>
  <r>
    <x v="385"/>
    <n v="2604000249"/>
    <m/>
    <n v="0"/>
    <n v="1"/>
    <n v="0"/>
    <n v="0.88"/>
  </r>
  <r>
    <x v="377"/>
    <n v="2604000248"/>
    <m/>
    <n v="0"/>
    <n v="1"/>
    <n v="0"/>
    <n v="1.1399999999999999"/>
  </r>
  <r>
    <x v="378"/>
    <n v="2604000247"/>
    <m/>
    <n v="0"/>
    <n v="1"/>
    <n v="0"/>
    <n v="1.05"/>
  </r>
  <r>
    <x v="379"/>
    <n v="2604000246"/>
    <m/>
    <n v="0"/>
    <n v="1"/>
    <n v="0"/>
    <n v="1.1399999999999999"/>
  </r>
  <r>
    <x v="380"/>
    <n v="2604000245"/>
    <m/>
    <n v="0"/>
    <n v="1"/>
    <n v="0"/>
    <n v="1.1599999999999999"/>
  </r>
  <r>
    <x v="425"/>
    <m/>
    <m/>
    <n v="0"/>
    <n v="0"/>
    <n v="0"/>
    <n v="0"/>
  </r>
  <r>
    <x v="425"/>
    <m/>
    <m/>
    <n v="0"/>
    <n v="0"/>
    <n v="0"/>
    <n v="0"/>
  </r>
  <r>
    <x v="425"/>
    <m/>
    <m/>
    <n v="0"/>
    <n v="0"/>
    <n v="0"/>
    <n v="0"/>
  </r>
  <r>
    <x v="425"/>
    <m/>
    <m/>
    <n v="0"/>
    <n v="0"/>
    <n v="0"/>
    <n v="0"/>
  </r>
  <r>
    <x v="425"/>
    <m/>
    <m/>
    <n v="0"/>
    <n v="0"/>
    <n v="0"/>
    <n v="0"/>
  </r>
  <r>
    <x v="425"/>
    <m/>
    <m/>
    <n v="0"/>
    <n v="0"/>
    <n v="0"/>
    <n v="0"/>
  </r>
  <r>
    <x v="425"/>
    <m/>
    <m/>
    <n v="0"/>
    <n v="0"/>
    <n v="0"/>
    <n v="0"/>
  </r>
  <r>
    <x v="426"/>
    <n v="2604000139"/>
    <m/>
    <n v="0"/>
    <n v="1"/>
    <n v="0"/>
    <n v="0.42"/>
  </r>
  <r>
    <x v="426"/>
    <n v="2604000139"/>
    <m/>
    <n v="0"/>
    <n v="0"/>
    <n v="0"/>
    <n v="0"/>
  </r>
  <r>
    <x v="392"/>
    <n v="2604000267"/>
    <m/>
    <n v="0"/>
    <n v="1"/>
    <n v="0"/>
    <n v="0.42"/>
  </r>
  <r>
    <x v="403"/>
    <n v="2604000298"/>
    <m/>
    <n v="0"/>
    <n v="1"/>
    <n v="0"/>
    <n v="2.62"/>
  </r>
  <r>
    <x v="400"/>
    <n v="2604000297"/>
    <m/>
    <n v="0"/>
    <n v="1"/>
    <n v="0"/>
    <n v="5.82"/>
  </r>
  <r>
    <x v="402"/>
    <n v="2604000296"/>
    <m/>
    <n v="0"/>
    <n v="1"/>
    <n v="0"/>
    <n v="3.4"/>
  </r>
  <r>
    <x v="401"/>
    <n v="2604000295"/>
    <m/>
    <n v="0"/>
    <n v="1"/>
    <n v="0"/>
    <n v="6"/>
  </r>
  <r>
    <x v="406"/>
    <n v="2604000294"/>
    <m/>
    <n v="0"/>
    <n v="1"/>
    <n v="0"/>
    <n v="2"/>
  </r>
  <r>
    <x v="404"/>
    <n v="2604000293"/>
    <m/>
    <n v="0"/>
    <n v="1"/>
    <n v="0"/>
    <n v="2.34"/>
  </r>
  <r>
    <x v="413"/>
    <n v="2604000292"/>
    <m/>
    <n v="0"/>
    <n v="1"/>
    <n v="0"/>
    <n v="1.24"/>
  </r>
  <r>
    <x v="407"/>
    <n v="2604000291"/>
    <m/>
    <n v="0"/>
    <n v="1"/>
    <n v="0"/>
    <n v="1.7"/>
  </r>
  <r>
    <x v="408"/>
    <n v="2604000290"/>
    <m/>
    <n v="0"/>
    <n v="1"/>
    <n v="0"/>
    <n v="2"/>
  </r>
  <r>
    <x v="405"/>
    <n v="2604000289"/>
    <m/>
    <n v="0"/>
    <n v="1"/>
    <n v="0"/>
    <n v="2.2000000000000002"/>
  </r>
  <r>
    <x v="409"/>
    <n v="2604000288"/>
    <m/>
    <n v="0"/>
    <n v="1"/>
    <n v="0"/>
    <n v="1.86"/>
  </r>
  <r>
    <x v="414"/>
    <n v="2604000287"/>
    <m/>
    <n v="0"/>
    <n v="1"/>
    <n v="0"/>
    <n v="1.1599999999999999"/>
  </r>
  <r>
    <x v="387"/>
    <n v="2604000286"/>
    <m/>
    <n v="0"/>
    <n v="1"/>
    <n v="0"/>
    <n v="0.35"/>
  </r>
  <r>
    <x v="410"/>
    <n v="2604000285"/>
    <m/>
    <n v="0"/>
    <n v="1"/>
    <n v="0"/>
    <n v="1.58"/>
  </r>
  <r>
    <x v="415"/>
    <n v="2604000284"/>
    <m/>
    <n v="0"/>
    <n v="1"/>
    <n v="0"/>
    <n v="1.05"/>
  </r>
  <r>
    <x v="416"/>
    <n v="2604000283"/>
    <m/>
    <n v="0"/>
    <n v="1"/>
    <n v="0"/>
    <n v="1.05"/>
  </r>
  <r>
    <x v="417"/>
    <n v="2604000282"/>
    <m/>
    <n v="0"/>
    <n v="1"/>
    <n v="0"/>
    <n v="1.1399999999999999"/>
  </r>
  <r>
    <x v="418"/>
    <n v="2604000281"/>
    <m/>
    <n v="0"/>
    <n v="1"/>
    <n v="0"/>
    <n v="1.1399999999999999"/>
  </r>
  <r>
    <x v="419"/>
    <n v="2604000280"/>
    <m/>
    <n v="0"/>
    <n v="1"/>
    <n v="0"/>
    <n v="1.1499999999999999"/>
  </r>
  <r>
    <x v="420"/>
    <n v="2604000279"/>
    <m/>
    <n v="0"/>
    <n v="1"/>
    <n v="0"/>
    <n v="1.1399999999999999"/>
  </r>
  <r>
    <x v="421"/>
    <n v="2604000278"/>
    <m/>
    <n v="0"/>
    <n v="1"/>
    <n v="0"/>
    <n v="1.1399999999999999"/>
  </r>
  <r>
    <x v="422"/>
    <n v="2604000277"/>
    <m/>
    <n v="0"/>
    <n v="1"/>
    <n v="0"/>
    <n v="1.1499999999999999"/>
  </r>
  <r>
    <x v="423"/>
    <n v="2604000276"/>
    <m/>
    <n v="0"/>
    <n v="1"/>
    <n v="0"/>
    <n v="1.05"/>
  </r>
  <r>
    <x v="388"/>
    <n v="2604000275"/>
    <m/>
    <n v="0"/>
    <n v="1"/>
    <n v="0"/>
    <n v="0.42"/>
  </r>
  <r>
    <x v="389"/>
    <n v="2604000274"/>
    <m/>
    <n v="0"/>
    <n v="1"/>
    <n v="0"/>
    <n v="0.48"/>
  </r>
  <r>
    <x v="390"/>
    <n v="2604000273"/>
    <m/>
    <n v="0"/>
    <n v="1"/>
    <n v="0"/>
    <n v="0.4"/>
  </r>
  <r>
    <x v="391"/>
    <n v="2604000272"/>
    <m/>
    <n v="0"/>
    <n v="1"/>
    <n v="0"/>
    <n v="0.5"/>
  </r>
  <r>
    <x v="424"/>
    <n v="2604000271"/>
    <m/>
    <n v="0"/>
    <n v="1"/>
    <n v="0"/>
    <n v="1.1000000000000001"/>
  </r>
  <r>
    <x v="399"/>
    <n v="2604000270"/>
    <m/>
    <n v="0"/>
    <n v="1"/>
    <n v="0"/>
    <n v="1.1000000000000001"/>
  </r>
  <r>
    <x v="369"/>
    <n v="2604000269"/>
    <m/>
    <n v="0"/>
    <n v="1"/>
    <n v="0"/>
    <n v="1.1399999999999999"/>
  </r>
  <r>
    <x v="382"/>
    <n v="2604000268"/>
    <m/>
    <n v="0"/>
    <n v="1"/>
    <n v="0"/>
    <n v="0.84"/>
  </r>
  <r>
    <x v="425"/>
    <m/>
    <m/>
    <m/>
    <m/>
    <m/>
    <m/>
  </r>
  <r>
    <x v="425"/>
    <m/>
    <m/>
    <m/>
    <m/>
    <m/>
    <m/>
  </r>
  <r>
    <x v="425"/>
    <m/>
    <m/>
    <m/>
    <m/>
    <m/>
    <m/>
  </r>
  <r>
    <x v="425"/>
    <m/>
    <m/>
    <m/>
    <m/>
    <m/>
    <m/>
  </r>
  <r>
    <x v="425"/>
    <m/>
    <m/>
    <m/>
    <m/>
    <m/>
    <m/>
  </r>
  <r>
    <x v="425"/>
    <m/>
    <m/>
    <m/>
    <m/>
    <m/>
    <m/>
  </r>
  <r>
    <x v="425"/>
    <m/>
    <m/>
    <m/>
    <m/>
    <m/>
    <m/>
  </r>
  <r>
    <x v="425"/>
    <m/>
    <m/>
    <m/>
    <m/>
    <m/>
    <m/>
  </r>
  <r>
    <x v="425"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5">
  <r>
    <x v="0"/>
    <n v="7.4300000000000006"/>
    <n v="1.64"/>
    <n v="5.7900000000000009"/>
    <n v="3"/>
    <n v="2501382993"/>
    <n v="103023197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143"/>
    <s v="01.06.2026"/>
    <x v="0"/>
    <n v="2604000030"/>
    <m/>
    <n v="0"/>
    <n v="0"/>
    <n v="0"/>
    <n v="0"/>
    <s v="KG"/>
    <n v="4.74"/>
    <n v="0.9"/>
    <n v="0.15"/>
    <n v="29.1"/>
    <n v="1.64"/>
    <n v="0"/>
    <n v="0"/>
    <s v="EUR"/>
    <m/>
    <s v="EXP20260530-2770811-"/>
    <s v="EXP20260530-2770811-"/>
    <s v="00KZZJTF"/>
    <s v="BERIOT LOUISE"/>
    <s v="119 RUE DE LEGLISE"/>
    <m/>
    <m/>
    <n v="60140"/>
    <s v="LABRUYERE"/>
    <s v="FR"/>
    <s v="France"/>
    <m/>
  </r>
  <r>
    <x v="0"/>
    <n v="7.4300000000000006"/>
    <n v="1.64"/>
    <n v="5.7900000000000009"/>
    <n v="3"/>
    <n v="2501382993"/>
    <n v="103023197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143"/>
    <s v="01.06.2026"/>
    <x v="1"/>
    <n v="2604000028"/>
    <m/>
    <n v="0"/>
    <n v="0"/>
    <n v="0"/>
    <n v="0"/>
    <s v="KG"/>
    <n v="4.74"/>
    <n v="0.9"/>
    <n v="0.15"/>
    <n v="29.1"/>
    <n v="1.64"/>
    <n v="0"/>
    <n v="0"/>
    <s v="EUR"/>
    <m/>
    <s v="EXP20260529-2769727-"/>
    <s v="EXP20260529-2769727-"/>
    <s v="00KZZJTD"/>
    <s v="GENDRON CARINE"/>
    <s v="4 LOTISSEMENT PARK KOZH"/>
    <m/>
    <m/>
    <n v="29590"/>
    <s v="SAINT-SEGAL"/>
    <s v="FR"/>
    <s v="France"/>
    <m/>
  </r>
  <r>
    <x v="0"/>
    <n v="7.0100000000000007"/>
    <n v="1.54"/>
    <n v="5.4700000000000006"/>
    <n v="2"/>
    <n v="2501382993"/>
    <n v="103023197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142"/>
    <s v="01.06.2026"/>
    <x v="2"/>
    <n v="2604000032"/>
    <m/>
    <n v="0"/>
    <n v="0"/>
    <n v="0"/>
    <n v="0"/>
    <s v="KG"/>
    <n v="4.42"/>
    <n v="0.9"/>
    <n v="0.15"/>
    <n v="29.1"/>
    <n v="1.54"/>
    <n v="0"/>
    <n v="0"/>
    <s v="EUR"/>
    <m/>
    <s v="EXP20260529-2770182-"/>
    <s v="EXP20260529-2770182-"/>
    <s v="00KZZJTH"/>
    <s v="KORMAS CELINE"/>
    <s v="110 ROUTE DE THONES"/>
    <m/>
    <m/>
    <n v="74940"/>
    <s v="ANNECY"/>
    <s v="FR"/>
    <s v="France"/>
    <m/>
  </r>
  <r>
    <x v="0"/>
    <n v="7.0100000000000007"/>
    <n v="1.54"/>
    <n v="5.4700000000000006"/>
    <n v="2"/>
    <n v="2501382993"/>
    <n v="103023197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142"/>
    <s v="01.06.2026"/>
    <x v="3"/>
    <n v="2604000024"/>
    <m/>
    <n v="0"/>
    <n v="0"/>
    <n v="0"/>
    <n v="0"/>
    <s v="KG"/>
    <n v="4.42"/>
    <n v="0.9"/>
    <n v="0.15"/>
    <n v="29.1"/>
    <n v="1.54"/>
    <n v="0"/>
    <n v="0"/>
    <s v="EUR"/>
    <m/>
    <s v="EXP20260529-2769320-"/>
    <s v="EXP20260529-2769320-"/>
    <s v="00KZZJT9"/>
    <s v="COSTE DE BAGNEAUX JUSTINE"/>
    <s v="46 RUE LOUIS PETRI"/>
    <m/>
    <m/>
    <n v="35200"/>
    <s v="RENNES"/>
    <s v="FR"/>
    <s v="France"/>
    <m/>
  </r>
  <r>
    <x v="0"/>
    <n v="7.0100000000000007"/>
    <n v="1.54"/>
    <n v="5.4700000000000006"/>
    <n v="2"/>
    <n v="2501382993"/>
    <n v="103023197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141"/>
    <s v="01.06.2026"/>
    <x v="4"/>
    <n v="2604000031"/>
    <m/>
    <n v="0"/>
    <n v="0"/>
    <n v="0"/>
    <n v="0"/>
    <s v="KG"/>
    <n v="4.42"/>
    <n v="0.9"/>
    <n v="0.15"/>
    <n v="29.1"/>
    <n v="1.54"/>
    <n v="0"/>
    <n v="0"/>
    <s v="EUR"/>
    <m/>
    <s v="EXP20260530-2770970-"/>
    <s v="EXP20260530-2770970-"/>
    <s v="00KZZJTG"/>
    <s v="REAL CHARLES"/>
    <s v="8 RUE RUHMKORFF"/>
    <m/>
    <m/>
    <n v="75017"/>
    <s v="PARIS"/>
    <s v="FR"/>
    <s v="France"/>
    <m/>
  </r>
  <r>
    <x v="0"/>
    <n v="7.0100000000000007"/>
    <n v="1.54"/>
    <n v="5.4700000000000006"/>
    <n v="2"/>
    <n v="2501382993"/>
    <n v="103023197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141"/>
    <s v="01.06.2026"/>
    <x v="5"/>
    <n v="2604000025"/>
    <m/>
    <n v="0"/>
    <n v="0"/>
    <n v="0"/>
    <n v="0"/>
    <s v="KG"/>
    <n v="4.42"/>
    <n v="0.9"/>
    <n v="0.15"/>
    <n v="29.1"/>
    <n v="1.54"/>
    <n v="0"/>
    <n v="0"/>
    <s v="EUR"/>
    <m/>
    <s v="EXP20260529-2769726-"/>
    <s v="EXP20260529-2769726-"/>
    <s v="00KZZJTA"/>
    <s v="GABORIT CLARISSE"/>
    <s v="15 RUE DE LA LIBERTE"/>
    <m/>
    <m/>
    <n v="92150"/>
    <s v="SURESNES"/>
    <s v="FR"/>
    <s v="France"/>
    <m/>
  </r>
  <r>
    <x v="0"/>
    <n v="6.6000000000000005"/>
    <n v="1.45"/>
    <n v="5.15"/>
    <n v="1"/>
    <n v="2501382993"/>
    <n v="103023197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140"/>
    <s v="01.06.2026"/>
    <x v="6"/>
    <n v="2604000027"/>
    <m/>
    <n v="0"/>
    <n v="0"/>
    <n v="0"/>
    <n v="0"/>
    <s v="KG"/>
    <n v="4.0999999999999996"/>
    <n v="0.9"/>
    <n v="0.15"/>
    <n v="29.1"/>
    <n v="1.45"/>
    <n v="0"/>
    <n v="0"/>
    <s v="EUR"/>
    <m/>
    <s v="EXP20260529-2769287-"/>
    <s v="EXP20260529-2769287-"/>
    <s v="00KZZJTC"/>
    <s v="HEUBES CAROLINE"/>
    <s v="29 AVENUE FELIX FAURE"/>
    <m/>
    <m/>
    <n v="75015"/>
    <s v="PARIS"/>
    <s v="FR"/>
    <s v="France"/>
    <m/>
  </r>
  <r>
    <x v="0"/>
    <n v="6.6000000000000005"/>
    <n v="1.45"/>
    <n v="5.15"/>
    <n v="1"/>
    <n v="2501382993"/>
    <n v="103023197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140"/>
    <s v="01.06.2026"/>
    <x v="7"/>
    <n v="2604000026"/>
    <m/>
    <n v="0"/>
    <n v="0"/>
    <n v="0"/>
    <n v="0"/>
    <s v="KG"/>
    <n v="4.0999999999999996"/>
    <n v="0.9"/>
    <n v="0.15"/>
    <n v="29.1"/>
    <n v="1.45"/>
    <n v="0"/>
    <n v="0"/>
    <s v="EUR"/>
    <m/>
    <s v="EXP20260529-2769423-"/>
    <s v="EXP20260529-2769423-"/>
    <s v="00KZZJTB"/>
    <s v="HERVOUET DOMINIQUE"/>
    <s v="10 IMPASSE DE LA DOUETTEE"/>
    <m/>
    <m/>
    <n v="44120"/>
    <s v="VERTOU"/>
    <s v="FR"/>
    <s v="France"/>
    <m/>
  </r>
  <r>
    <x v="0"/>
    <n v="6.17"/>
    <n v="1.35"/>
    <n v="4.82"/>
    <n v="0.5"/>
    <n v="2501382993"/>
    <n v="103023197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139"/>
    <s v="01.06.2026"/>
    <x v="8"/>
    <n v="2604000029"/>
    <m/>
    <n v="0"/>
    <n v="0"/>
    <n v="0"/>
    <n v="0"/>
    <s v="KG"/>
    <n v="3.77"/>
    <n v="0.9"/>
    <n v="0.15"/>
    <n v="29.1"/>
    <n v="1.35"/>
    <n v="0"/>
    <n v="0"/>
    <s v="EUR"/>
    <m/>
    <s v="EXP20260529-2770183-"/>
    <s v="EXP20260529-2770183-"/>
    <s v="00KZZJTE"/>
    <s v="CALLENDRET TIFFANY"/>
    <s v="206 CHEMIN DE NARBAN"/>
    <m/>
    <m/>
    <n v="38510"/>
    <s v="ST VICTOR DE MORESTEL"/>
    <s v="FR"/>
    <s v="France"/>
    <m/>
  </r>
  <r>
    <x v="0"/>
    <n v="0"/>
    <n v="0"/>
    <n v="0"/>
    <n v="2"/>
    <n v="2501382993"/>
    <n v="103023197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38"/>
    <s v="01.06.2026"/>
    <x v="2"/>
    <n v="2604000032"/>
    <m/>
    <n v="0"/>
    <n v="1"/>
    <n v="0"/>
    <n v="1.7"/>
    <s v="KG"/>
    <n v="0"/>
    <n v="0"/>
    <n v="0"/>
    <n v="0"/>
    <n v="0"/>
    <n v="0"/>
    <n v="0"/>
    <s v="EUR"/>
    <m/>
    <s v="EXP20260529-2770182-"/>
    <s v="EXP20260529-2770182-"/>
    <s v="00KZZJTH"/>
    <s v="KORMAS CELINE"/>
    <s v="110 ROUTE DE THONES"/>
    <m/>
    <m/>
    <n v="74940"/>
    <s v="ANNECY"/>
    <s v="FR"/>
    <s v="France"/>
    <m/>
  </r>
  <r>
    <x v="0"/>
    <n v="0"/>
    <n v="0"/>
    <n v="0"/>
    <n v="2"/>
    <n v="2501382993"/>
    <n v="103023197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38"/>
    <s v="01.06.2026"/>
    <x v="4"/>
    <n v="2604000031"/>
    <m/>
    <n v="0"/>
    <n v="1"/>
    <n v="0"/>
    <n v="1.1499999999999999"/>
    <s v="KG"/>
    <n v="0"/>
    <n v="0"/>
    <n v="0"/>
    <n v="0"/>
    <n v="0"/>
    <n v="0"/>
    <n v="0"/>
    <s v="EUR"/>
    <m/>
    <s v="EXP20260530-2770970-"/>
    <s v="EXP20260530-2770970-"/>
    <s v="00KZZJTG"/>
    <s v="REAL CHARLES"/>
    <s v="8 RUE RUHMKORFF"/>
    <m/>
    <m/>
    <n v="75017"/>
    <s v="PARIS"/>
    <s v="FR"/>
    <s v="France"/>
    <m/>
  </r>
  <r>
    <x v="0"/>
    <n v="0"/>
    <n v="0"/>
    <n v="0"/>
    <n v="3"/>
    <n v="2501382993"/>
    <n v="103023197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38"/>
    <s v="01.06.2026"/>
    <x v="0"/>
    <n v="2604000030"/>
    <m/>
    <n v="0"/>
    <n v="1"/>
    <n v="0"/>
    <n v="2.42"/>
    <s v="KG"/>
    <n v="0"/>
    <n v="0"/>
    <n v="0"/>
    <n v="0"/>
    <n v="0"/>
    <n v="0"/>
    <n v="0"/>
    <s v="EUR"/>
    <m/>
    <s v="EXP20260530-2770811-"/>
    <s v="EXP20260530-2770811-"/>
    <s v="00KZZJTF"/>
    <s v="BERIOT LOUISE"/>
    <s v="119 RUE DE LEGLISE"/>
    <m/>
    <m/>
    <n v="60140"/>
    <s v="LABRUYERE"/>
    <s v="FR"/>
    <s v="France"/>
    <m/>
  </r>
  <r>
    <x v="0"/>
    <n v="0"/>
    <n v="0"/>
    <n v="0"/>
    <n v="1"/>
    <n v="2501382993"/>
    <n v="103023197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38"/>
    <s v="01.06.2026"/>
    <x v="8"/>
    <n v="2604000029"/>
    <m/>
    <n v="0"/>
    <n v="1"/>
    <n v="0"/>
    <n v="0.48"/>
    <s v="KG"/>
    <n v="0"/>
    <n v="0"/>
    <n v="0"/>
    <n v="0"/>
    <n v="0"/>
    <n v="0"/>
    <n v="0"/>
    <s v="EUR"/>
    <m/>
    <s v="EXP20260529-2770183-"/>
    <s v="EXP20260529-2770183-"/>
    <s v="00KZZJTE"/>
    <s v="CALLENDRET TIFFANY"/>
    <s v="206 CHEMIN DE NARBAN"/>
    <m/>
    <m/>
    <n v="38510"/>
    <s v="ST VICTOR DE MORESTEL"/>
    <s v="FR"/>
    <s v="France"/>
    <m/>
  </r>
  <r>
    <x v="0"/>
    <n v="0"/>
    <n v="0"/>
    <n v="0"/>
    <n v="3"/>
    <n v="2501382993"/>
    <n v="103023197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38"/>
    <s v="01.06.2026"/>
    <x v="1"/>
    <n v="2604000028"/>
    <m/>
    <n v="0"/>
    <n v="1"/>
    <n v="0"/>
    <n v="2.38"/>
    <s v="KG"/>
    <n v="0"/>
    <n v="0"/>
    <n v="0"/>
    <n v="0"/>
    <n v="0"/>
    <n v="0"/>
    <n v="0"/>
    <s v="EUR"/>
    <m/>
    <s v="EXP20260529-2769727-"/>
    <s v="EXP20260529-2769727-"/>
    <s v="00KZZJTD"/>
    <s v="GENDRON CARINE"/>
    <s v="4 LOTISSEMENT PARK KOZH"/>
    <m/>
    <m/>
    <n v="29590"/>
    <s v="SAINT-SEGAL"/>
    <s v="FR"/>
    <s v="France"/>
    <m/>
  </r>
  <r>
    <x v="0"/>
    <n v="0"/>
    <n v="0"/>
    <n v="0"/>
    <n v="1"/>
    <n v="2501382993"/>
    <n v="103023197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38"/>
    <s v="01.06.2026"/>
    <x v="6"/>
    <n v="2604000027"/>
    <m/>
    <n v="0"/>
    <n v="1"/>
    <n v="0"/>
    <n v="0.85"/>
    <s v="KG"/>
    <n v="0"/>
    <n v="0"/>
    <n v="0"/>
    <n v="0"/>
    <n v="0"/>
    <n v="0"/>
    <n v="0"/>
    <s v="EUR"/>
    <m/>
    <s v="EXP20260529-2769287-"/>
    <s v="EXP20260529-2769287-"/>
    <s v="00KZZJTC"/>
    <s v="HEUBES CAROLINE"/>
    <s v="29 AVENUE FELIX FAURE"/>
    <m/>
    <m/>
    <n v="75015"/>
    <s v="PARIS"/>
    <s v="FR"/>
    <s v="France"/>
    <m/>
  </r>
  <r>
    <x v="0"/>
    <n v="0"/>
    <n v="0"/>
    <n v="0"/>
    <n v="1"/>
    <n v="2501382993"/>
    <n v="103023197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38"/>
    <s v="01.06.2026"/>
    <x v="7"/>
    <n v="2604000026"/>
    <m/>
    <n v="0"/>
    <n v="1"/>
    <n v="0"/>
    <n v="0.86"/>
    <s v="KG"/>
    <n v="0"/>
    <n v="0"/>
    <n v="0"/>
    <n v="0"/>
    <n v="0"/>
    <n v="0"/>
    <n v="0"/>
    <s v="EUR"/>
    <m/>
    <s v="EXP20260529-2769423-"/>
    <s v="EXP20260529-2769423-"/>
    <s v="00KZZJTB"/>
    <s v="HERVOUET DOMINIQUE"/>
    <s v="10 IMPASSE DE LA DOUETTEE"/>
    <m/>
    <m/>
    <n v="44120"/>
    <s v="VERTOU"/>
    <s v="FR"/>
    <s v="France"/>
    <m/>
  </r>
  <r>
    <x v="0"/>
    <n v="0"/>
    <n v="0"/>
    <n v="0"/>
    <n v="2"/>
    <n v="2501382993"/>
    <n v="103023197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38"/>
    <s v="01.06.2026"/>
    <x v="5"/>
    <n v="2604000025"/>
    <m/>
    <n v="0"/>
    <n v="1"/>
    <n v="0"/>
    <n v="1.1499999999999999"/>
    <s v="KG"/>
    <n v="0"/>
    <n v="0"/>
    <n v="0"/>
    <n v="0"/>
    <n v="0"/>
    <n v="0"/>
    <n v="0"/>
    <s v="EUR"/>
    <m/>
    <s v="EXP20260529-2769726-"/>
    <s v="EXP20260529-2769726-"/>
    <s v="00KZZJTA"/>
    <s v="GABORIT CLARISSE"/>
    <s v="15 RUE DE LA LIBERTE"/>
    <m/>
    <m/>
    <n v="92150"/>
    <s v="SURESNES"/>
    <s v="FR"/>
    <s v="France"/>
    <m/>
  </r>
  <r>
    <x v="0"/>
    <n v="0"/>
    <n v="0"/>
    <n v="0"/>
    <n v="2"/>
    <n v="2501382993"/>
    <n v="103023197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38"/>
    <s v="01.06.2026"/>
    <x v="3"/>
    <n v="2604000024"/>
    <m/>
    <n v="0"/>
    <n v="1"/>
    <n v="0"/>
    <n v="1.53"/>
    <s v="KG"/>
    <n v="0"/>
    <n v="0"/>
    <n v="0"/>
    <n v="0"/>
    <n v="0"/>
    <n v="0"/>
    <n v="0"/>
    <s v="EUR"/>
    <m/>
    <s v="EXP20260529-2769320-"/>
    <s v="EXP20260529-2769320-"/>
    <s v="00KZZJT9"/>
    <s v="COSTE DE BAGNEAUX JUSTINE"/>
    <s v="46 RUE LOUIS PETRI"/>
    <m/>
    <m/>
    <n v="35200"/>
    <s v="RENNES"/>
    <s v="FR"/>
    <s v="France"/>
    <m/>
  </r>
  <r>
    <x v="0"/>
    <n v="0"/>
    <n v="0"/>
    <n v="0"/>
    <n v="1"/>
    <n v="2501382993"/>
    <n v="1030228091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01"/>
    <s v="01.06.2026"/>
    <x v="9"/>
    <n v="2604000015"/>
    <m/>
    <n v="0"/>
    <n v="1"/>
    <n v="0"/>
    <n v="0.25"/>
    <s v="KG"/>
    <n v="0"/>
    <n v="0"/>
    <n v="0"/>
    <n v="0"/>
    <n v="0"/>
    <n v="0"/>
    <n v="0"/>
    <s v="EUR"/>
    <m/>
    <s v="EXP20260529-2769457-"/>
    <s v="EXP20260529-2769457-"/>
    <s v="00KUR5TX"/>
    <s v="CMI FRANCE - MAGAZINE ELLE"/>
    <s v="92, AVENUE DE FRANCE"/>
    <m/>
    <m/>
    <n v="75013"/>
    <s v="PARIS"/>
    <s v="FR"/>
    <s v="France"/>
    <m/>
  </r>
  <r>
    <x v="0"/>
    <n v="0"/>
    <n v="0"/>
    <n v="0"/>
    <n v="1"/>
    <n v="2501382993"/>
    <n v="1030228091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01"/>
    <s v="01.06.2026"/>
    <x v="10"/>
    <n v="2604000016"/>
    <m/>
    <n v="0"/>
    <n v="1"/>
    <n v="0"/>
    <n v="0.28000000000000003"/>
    <s v="KG"/>
    <n v="0"/>
    <n v="0"/>
    <n v="0"/>
    <n v="0"/>
    <n v="0"/>
    <n v="0"/>
    <n v="0"/>
    <s v="EUR"/>
    <m/>
    <s v="EXP20260601-2773451-"/>
    <s v="EXP20260601-2773451-"/>
    <s v="00KUR5TY"/>
    <s v="HELENE MAZO"/>
    <s v="9 RUE DES CORDELIERES"/>
    <m/>
    <m/>
    <n v="75013"/>
    <s v="PARIS"/>
    <s v="FR"/>
    <s v="France"/>
    <m/>
  </r>
  <r>
    <x v="0"/>
    <n v="0"/>
    <n v="0"/>
    <n v="0"/>
    <n v="1"/>
    <n v="2501382993"/>
    <n v="1030228091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01"/>
    <s v="01.06.2026"/>
    <x v="11"/>
    <n v="2604000017"/>
    <m/>
    <n v="0"/>
    <n v="1"/>
    <n v="0"/>
    <n v="0.26"/>
    <s v="KG"/>
    <n v="0"/>
    <n v="0"/>
    <n v="0"/>
    <n v="0"/>
    <n v="0"/>
    <n v="0"/>
    <n v="0"/>
    <s v="EUR"/>
    <m/>
    <s v="EXP20260601-2773449-"/>
    <s v="EXP20260601-2773449-"/>
    <s v="00KUR5TZ"/>
    <s v="MANGHI HANAN"/>
    <s v="PAUL RIQUET 34 BIS ROUTE DE BA"/>
    <m/>
    <m/>
    <n v="34110"/>
    <s v="FRONTIGNAN"/>
    <s v="FR"/>
    <s v="France"/>
    <m/>
  </r>
  <r>
    <x v="0"/>
    <n v="6.17"/>
    <n v="1.35"/>
    <n v="4.82"/>
    <n v="0.5"/>
    <n v="2501382993"/>
    <n v="1030228091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1"/>
    <s v="Business Parcel - Dis. 01 - Size 01"/>
    <s v="PARCEDOMESSTANDARD"/>
    <m/>
    <n v="102"/>
    <s v="01.06.2026"/>
    <x v="9"/>
    <n v="2604000015"/>
    <m/>
    <n v="0"/>
    <n v="0"/>
    <n v="0"/>
    <n v="0"/>
    <s v="KG"/>
    <n v="3.77"/>
    <n v="0.9"/>
    <n v="0.15"/>
    <n v="29.1"/>
    <n v="1.35"/>
    <n v="0"/>
    <n v="0"/>
    <s v="EUR"/>
    <m/>
    <s v="EXP20260529-2769457-"/>
    <s v="EXP20260529-2769457-"/>
    <s v="00KUR5TX"/>
    <s v="CMI FRANCE - MAGAZINE ELLE"/>
    <s v="92, AVENUE DE FRANCE"/>
    <m/>
    <m/>
    <n v="75013"/>
    <s v="PARIS"/>
    <s v="FR"/>
    <s v="France"/>
    <m/>
  </r>
  <r>
    <x v="0"/>
    <n v="6.17"/>
    <n v="1.35"/>
    <n v="4.82"/>
    <n v="0.5"/>
    <n v="2501382993"/>
    <n v="1030228091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03"/>
    <s v="01.06.2026"/>
    <x v="10"/>
    <n v="2604000016"/>
    <m/>
    <n v="0"/>
    <n v="0"/>
    <n v="0"/>
    <n v="0"/>
    <s v="KG"/>
    <n v="3.77"/>
    <n v="0.9"/>
    <n v="0.15"/>
    <n v="29.1"/>
    <n v="1.35"/>
    <n v="0"/>
    <n v="0"/>
    <s v="EUR"/>
    <m/>
    <s v="EXP20260601-2773451-"/>
    <s v="EXP20260601-2773451-"/>
    <s v="00KUR5TY"/>
    <s v="HELENE MAZO"/>
    <s v="9 RUE DES CORDELIERES"/>
    <m/>
    <m/>
    <n v="75013"/>
    <s v="PARIS"/>
    <s v="FR"/>
    <s v="France"/>
    <m/>
  </r>
  <r>
    <x v="0"/>
    <n v="6.17"/>
    <n v="1.35"/>
    <n v="4.82"/>
    <n v="0.5"/>
    <n v="2501382993"/>
    <n v="1030228091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03"/>
    <s v="01.06.2026"/>
    <x v="11"/>
    <n v="2604000017"/>
    <m/>
    <n v="0"/>
    <n v="0"/>
    <n v="0"/>
    <n v="0"/>
    <s v="KG"/>
    <n v="3.77"/>
    <n v="0.9"/>
    <n v="0.15"/>
    <n v="29.1"/>
    <n v="1.35"/>
    <n v="0"/>
    <n v="0"/>
    <s v="EUR"/>
    <m/>
    <s v="EXP20260601-2773449-"/>
    <s v="EXP20260601-2773449-"/>
    <s v="00KUR5TZ"/>
    <s v="MANGHI HANAN"/>
    <s v="PAUL RIQUET 34 BIS ROUTE DE BA"/>
    <m/>
    <m/>
    <n v="34110"/>
    <s v="FRONTIGNAN"/>
    <s v="FR"/>
    <s v="France"/>
    <m/>
  </r>
  <r>
    <x v="1"/>
    <n v="0"/>
    <n v="0"/>
    <n v="0"/>
    <e v="#N/A"/>
    <n v="2501382993"/>
    <n v="1030228091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SUR_FS_AVIS_01"/>
    <s v="AvisÃ© FDS"/>
    <s v="SURCHALL"/>
    <m/>
    <n v="104"/>
    <s v="01.06.2026"/>
    <x v="12"/>
    <n v="2604000012"/>
    <m/>
    <n v="0"/>
    <n v="0"/>
    <n v="0"/>
    <n v="0"/>
    <s v="KG"/>
    <n v="0"/>
    <n v="0"/>
    <n v="0"/>
    <n v="0"/>
    <n v="0"/>
    <n v="0"/>
    <n v="0"/>
    <s v="EUR"/>
    <m/>
    <s v="EXP20260528-2768458-"/>
    <s v="EXP20260528-2768458-"/>
    <s v="00KUR5TU"/>
    <s v="CARBALLEDA ELENA"/>
    <s v="8 RUE ALFRED DE MUSSET"/>
    <m/>
    <m/>
    <n v="78330"/>
    <s v="FONTENAY-LE-FLEURY"/>
    <s v="FR"/>
    <s v="France"/>
    <m/>
  </r>
  <r>
    <x v="0"/>
    <n v="6.17"/>
    <n v="1.35"/>
    <n v="4.82"/>
    <n v="0.5"/>
    <n v="2501382993"/>
    <n v="1030230689"/>
    <s v="30.06.2026"/>
    <n v="2500034092"/>
    <s v="LA RUCHE LOGISTIQUE"/>
    <n v="9000009190"/>
    <n v="46946"/>
    <s v="LA RUCHE"/>
    <n v="9000079829"/>
    <x v="2"/>
    <m/>
    <m/>
    <m/>
    <n v="2507012387"/>
    <s v="LA RUCHE LOGISTIQUE"/>
    <s v="FDS"/>
    <s v="PARCEL_D01_S02"/>
    <s v="Business Parcel - Dis. 01 - Size 02"/>
    <s v="PARCEDOMESSTANDARD"/>
    <m/>
    <n v="110"/>
    <s v="02.06.2026"/>
    <x v="13"/>
    <n v="6699599"/>
    <m/>
    <n v="0"/>
    <n v="0"/>
    <n v="0"/>
    <n v="0"/>
    <s v="KG"/>
    <n v="3.77"/>
    <n v="0.9"/>
    <n v="0.15"/>
    <n v="29.1"/>
    <n v="1.35"/>
    <n v="0"/>
    <n v="0"/>
    <s v="EUR"/>
    <m/>
    <s v="EXP20260601-2774736"/>
    <m/>
    <s v="00L0EX46"/>
    <s v="LEROY FANNY"/>
    <s v="9 RUE EMILE DUBOIS"/>
    <m/>
    <m/>
    <n v="75014"/>
    <s v="PARIS"/>
    <s v="FR"/>
    <s v="France"/>
    <m/>
  </r>
  <r>
    <x v="0"/>
    <n v="0"/>
    <n v="0"/>
    <n v="0"/>
    <n v="1"/>
    <n v="2501382993"/>
    <n v="1030230689"/>
    <s v="30.06.2026"/>
    <n v="2500034092"/>
    <s v="LA RUCHE LOGISTIQUE"/>
    <n v="9000009190"/>
    <n v="46946"/>
    <s v="LA RUCHE"/>
    <n v="9000079829"/>
    <x v="2"/>
    <m/>
    <m/>
    <m/>
    <n v="2507012387"/>
    <s v="LA RUCHE LOGISTIQUE"/>
    <s v="FDS"/>
    <s v="FDS_D01_S01"/>
    <s v="BP FlexDelivery - Dis. 01 - Size 01"/>
    <s v="PARCEDOMESFDS"/>
    <m/>
    <n v="109"/>
    <s v="02.06.2026"/>
    <x v="14"/>
    <n v="6699902"/>
    <m/>
    <n v="0"/>
    <n v="1"/>
    <n v="0"/>
    <n v="0.4"/>
    <s v="KG"/>
    <n v="0"/>
    <n v="0"/>
    <n v="0"/>
    <n v="0"/>
    <n v="0"/>
    <n v="0"/>
    <n v="0"/>
    <s v="EUR"/>
    <m/>
    <s v="EXP20260601-2772297"/>
    <m/>
    <s v="00L0EXC0"/>
    <s v="GROSSEMY MARIE-LAURE"/>
    <s v="24, RUE DES ERABLES"/>
    <m/>
    <m/>
    <n v="71640"/>
    <s v="GIVRY"/>
    <s v="FR"/>
    <s v="France"/>
    <m/>
  </r>
  <r>
    <x v="0"/>
    <n v="0"/>
    <n v="0"/>
    <n v="0"/>
    <n v="1"/>
    <n v="2501382993"/>
    <n v="1030230689"/>
    <s v="30.06.2026"/>
    <n v="2500034092"/>
    <s v="LA RUCHE LOGISTIQUE"/>
    <n v="9000009190"/>
    <n v="46946"/>
    <s v="LA RUCHE"/>
    <n v="9000079829"/>
    <x v="2"/>
    <m/>
    <m/>
    <m/>
    <n v="2507012387"/>
    <s v="LA RUCHE LOGISTIQUE"/>
    <s v="FDS"/>
    <s v="FDS_D01_S01"/>
    <s v="BP FlexDelivery - Dis. 01 - Size 01"/>
    <s v="PARCEDOMESFDS"/>
    <m/>
    <n v="109"/>
    <s v="02.06.2026"/>
    <x v="13"/>
    <n v="6699599"/>
    <m/>
    <n v="0"/>
    <n v="1"/>
    <n v="0"/>
    <n v="0.38"/>
    <s v="KG"/>
    <n v="0"/>
    <n v="0"/>
    <n v="0"/>
    <n v="0"/>
    <n v="0"/>
    <n v="0"/>
    <n v="0"/>
    <s v="EUR"/>
    <m/>
    <s v="EXP20260601-2774736"/>
    <m/>
    <s v="00L0EX46"/>
    <s v="LEROY FANNY"/>
    <s v="9 RUE EMILE DUBOIS"/>
    <m/>
    <m/>
    <n v="75014"/>
    <s v="PARIS"/>
    <s v="FR"/>
    <s v="France"/>
    <m/>
  </r>
  <r>
    <x v="0"/>
    <n v="7.0100000000000007"/>
    <n v="1.54"/>
    <n v="5.4700000000000006"/>
    <n v="2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44"/>
    <s v="02.06.2026"/>
    <x v="15"/>
    <n v="2604000035"/>
    <m/>
    <n v="0"/>
    <n v="0"/>
    <n v="0"/>
    <n v="0"/>
    <s v="KG"/>
    <n v="4.42"/>
    <n v="0.9"/>
    <n v="0.15"/>
    <n v="29.1"/>
    <n v="1.54"/>
    <n v="0"/>
    <n v="0"/>
    <s v="EUR"/>
    <m/>
    <s v="EXP20260530-2771113-"/>
    <s v="EXP20260530-2771113-"/>
    <s v="00KZZJTK"/>
    <s v="BRAIZE FREDERIC"/>
    <s v="420 AVENUE DE LA FRUITIERE"/>
    <m/>
    <m/>
    <n v="74140"/>
    <s v="SCIEZ"/>
    <s v="FR"/>
    <s v="France"/>
    <m/>
  </r>
  <r>
    <x v="0"/>
    <n v="7.0100000000000007"/>
    <n v="1.54"/>
    <n v="5.4700000000000006"/>
    <n v="2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44"/>
    <s v="02.06.2026"/>
    <x v="16"/>
    <n v="2604000033"/>
    <m/>
    <n v="0"/>
    <n v="0"/>
    <n v="0"/>
    <n v="0"/>
    <s v="KG"/>
    <n v="4.42"/>
    <n v="0.9"/>
    <n v="0.15"/>
    <n v="29.1"/>
    <n v="1.54"/>
    <n v="0"/>
    <n v="0"/>
    <s v="EUR"/>
    <m/>
    <s v="EXP20260529-2769965-"/>
    <s v="EXP20260529-2769965-"/>
    <s v="00KZZJTI"/>
    <s v="FICHET MORGAN"/>
    <s v="9 RUE DU DOUET"/>
    <m/>
    <m/>
    <n v="35510"/>
    <s v="CESSON-SEVIGNE"/>
    <s v="FR"/>
    <s v="France"/>
    <m/>
  </r>
  <r>
    <x v="0"/>
    <n v="6.6000000000000005"/>
    <n v="1.45"/>
    <n v="5.15"/>
    <n v="1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43"/>
    <s v="02.06.2026"/>
    <x v="17"/>
    <n v="2604000053"/>
    <m/>
    <n v="0"/>
    <n v="0"/>
    <n v="0"/>
    <n v="0"/>
    <s v="KG"/>
    <n v="4.0999999999999996"/>
    <n v="0.9"/>
    <n v="0.15"/>
    <n v="29.1"/>
    <n v="1.45"/>
    <n v="0"/>
    <n v="0"/>
    <s v="EUR"/>
    <m/>
    <s v="EXP20260601-2774808-"/>
    <s v="EXP20260601-2774808-"/>
    <s v="00KZZJU2"/>
    <s v="AUDRAIN ESTELLE"/>
    <s v="305 RUE JEAN DAUSSET"/>
    <m/>
    <m/>
    <n v="13090"/>
    <s v="AIX-EN-PROVENCE"/>
    <s v="FR"/>
    <s v="France"/>
    <m/>
  </r>
  <r>
    <x v="0"/>
    <n v="6.6000000000000005"/>
    <n v="1.45"/>
    <n v="5.15"/>
    <n v="1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43"/>
    <s v="02.06.2026"/>
    <x v="18"/>
    <n v="2604000040"/>
    <m/>
    <n v="0"/>
    <n v="0"/>
    <n v="0"/>
    <n v="0"/>
    <s v="KG"/>
    <n v="4.0999999999999996"/>
    <n v="0.9"/>
    <n v="0.15"/>
    <n v="29.1"/>
    <n v="1.45"/>
    <n v="0"/>
    <n v="0"/>
    <s v="EUR"/>
    <m/>
    <s v="EXP20260530-2771224-"/>
    <s v="EXP20260530-2771224-"/>
    <s v="00KZZJTP"/>
    <s v="LAMY MEGANE"/>
    <s v="24 RUE DU CLOCHER"/>
    <m/>
    <m/>
    <n v="83990"/>
    <s v="SAINT-TROPEZ"/>
    <s v="FR"/>
    <s v="France"/>
    <m/>
  </r>
  <r>
    <x v="0"/>
    <n v="6.17"/>
    <n v="1.35"/>
    <n v="4.82"/>
    <n v="0.5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42"/>
    <s v="02.06.2026"/>
    <x v="19"/>
    <n v="2604000049"/>
    <m/>
    <n v="0"/>
    <n v="0"/>
    <n v="0"/>
    <n v="0"/>
    <s v="KG"/>
    <n v="3.77"/>
    <n v="0.9"/>
    <n v="0.15"/>
    <n v="29.1"/>
    <n v="1.35"/>
    <n v="0"/>
    <n v="0"/>
    <s v="EUR"/>
    <m/>
    <s v="EXP20260601-2772286-"/>
    <s v="EXP20260601-2772286-"/>
    <s v="00KZZJTY"/>
    <s v="ROBION MAEVA"/>
    <s v="140 IMPASSE DES CHARMES"/>
    <m/>
    <m/>
    <n v="85220"/>
    <s v="COMMEQUIERS"/>
    <s v="FR"/>
    <s v="France"/>
    <m/>
  </r>
  <r>
    <x v="0"/>
    <n v="6.17"/>
    <n v="1.35"/>
    <n v="4.82"/>
    <n v="0.5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42"/>
    <s v="02.06.2026"/>
    <x v="20"/>
    <n v="2604000048"/>
    <m/>
    <n v="0"/>
    <n v="0"/>
    <n v="0"/>
    <n v="0"/>
    <s v="KG"/>
    <n v="3.77"/>
    <n v="0.9"/>
    <n v="0.15"/>
    <n v="29.1"/>
    <n v="1.35"/>
    <n v="0"/>
    <n v="0"/>
    <s v="EUR"/>
    <m/>
    <s v="EXP20260601-2772275-"/>
    <s v="EXP20260601-2772275-"/>
    <s v="00KZZJTX"/>
    <s v="PERSICO CELINE"/>
    <s v="20 RUE DES MARES BATIMENT K AP"/>
    <m/>
    <m/>
    <n v="93230"/>
    <s v="ROMAINVILLE"/>
    <s v="FR"/>
    <s v="France"/>
    <m/>
  </r>
  <r>
    <x v="0"/>
    <n v="6.17"/>
    <n v="1.35"/>
    <n v="4.82"/>
    <n v="0.5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42"/>
    <s v="02.06.2026"/>
    <x v="21"/>
    <n v="2604000043"/>
    <m/>
    <n v="0"/>
    <n v="0"/>
    <n v="0"/>
    <n v="0"/>
    <s v="KG"/>
    <n v="3.77"/>
    <n v="0.9"/>
    <n v="0.15"/>
    <n v="29.1"/>
    <n v="1.35"/>
    <n v="0"/>
    <n v="0"/>
    <s v="EUR"/>
    <m/>
    <s v="EXP20260601-2772276-"/>
    <s v="EXP20260601-2772276-"/>
    <s v="00KZZJTS"/>
    <s v="PARIS VIRGINIE"/>
    <s v="12 RUE DES CERISIERS"/>
    <m/>
    <m/>
    <n v="8090"/>
    <s v="CLIRON"/>
    <s v="FR"/>
    <s v="France"/>
    <m/>
  </r>
  <r>
    <x v="0"/>
    <n v="8.870000000000001"/>
    <n v="1.96"/>
    <n v="6.910000000000001"/>
    <n v="5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9"/>
    <s v="Business Parcel - Dis. 01 - Size 09"/>
    <s v="PARCEDOMESSTANDARD"/>
    <m/>
    <n v="47"/>
    <s v="02.06.2026"/>
    <x v="22"/>
    <n v="2604000051"/>
    <m/>
    <n v="0"/>
    <n v="0"/>
    <n v="0"/>
    <n v="0"/>
    <s v="KG"/>
    <n v="5.86"/>
    <n v="0.9"/>
    <n v="0.15"/>
    <n v="29.1"/>
    <n v="1.96"/>
    <n v="0"/>
    <n v="0"/>
    <s v="EUR"/>
    <m/>
    <s v="EXP20260601-2772284-"/>
    <s v="EXP20260601-2772284-"/>
    <s v="00KZZJU0"/>
    <s v="MILVILLE JUSTINE"/>
    <s v="7 TER IMPASSE DE LA PAIX"/>
    <m/>
    <m/>
    <n v="51370"/>
    <s v="SAINT-BRICE-COURCELLES"/>
    <s v="FR"/>
    <s v="France"/>
    <m/>
  </r>
  <r>
    <x v="0"/>
    <n v="7.4300000000000006"/>
    <n v="1.64"/>
    <n v="5.7900000000000009"/>
    <n v="3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46"/>
    <s v="02.06.2026"/>
    <x v="23"/>
    <n v="2604000046"/>
    <m/>
    <n v="0"/>
    <n v="0"/>
    <n v="0"/>
    <n v="0"/>
    <s v="KG"/>
    <n v="4.74"/>
    <n v="0.9"/>
    <n v="0.15"/>
    <n v="29.1"/>
    <n v="1.64"/>
    <n v="0"/>
    <n v="0"/>
    <s v="EUR"/>
    <m/>
    <s v="EXP20260601-2772288-"/>
    <s v="EXP20260601-2772288-"/>
    <s v="00KZZJTV"/>
    <s v="JURET NOLWEN"/>
    <s v="19 PLACE DE L'HOTEL DE VILLE"/>
    <m/>
    <m/>
    <n v="49190"/>
    <s v="ROCHEFORT-SUR-LOIRE"/>
    <s v="FR"/>
    <s v="France"/>
    <m/>
  </r>
  <r>
    <x v="0"/>
    <n v="0"/>
    <n v="0"/>
    <n v="0"/>
    <n v="2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1"/>
    <s v="02.06.2026"/>
    <x v="16"/>
    <n v="2604000033"/>
    <m/>
    <n v="0"/>
    <n v="1"/>
    <n v="0"/>
    <n v="1.1100000000000001"/>
    <s v="KG"/>
    <n v="0"/>
    <n v="0"/>
    <n v="0"/>
    <n v="0"/>
    <n v="0"/>
    <n v="0"/>
    <n v="0"/>
    <s v="EUR"/>
    <m/>
    <s v="EXP20260529-2769965-"/>
    <s v="EXP20260529-2769965-"/>
    <s v="00KZZJTI"/>
    <s v="FICHET MORGAN"/>
    <s v="9 RUE DU DOUET"/>
    <m/>
    <m/>
    <n v="35510"/>
    <s v="CESSON-SEVIGNE"/>
    <s v="FR"/>
    <s v="France"/>
    <m/>
  </r>
  <r>
    <x v="0"/>
    <n v="0"/>
    <n v="0"/>
    <n v="0"/>
    <n v="3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1"/>
    <s v="02.06.2026"/>
    <x v="24"/>
    <n v="2604000034"/>
    <m/>
    <n v="0"/>
    <n v="1"/>
    <n v="0"/>
    <n v="2.06"/>
    <s v="KG"/>
    <n v="0"/>
    <n v="0"/>
    <n v="0"/>
    <n v="0"/>
    <n v="0"/>
    <n v="0"/>
    <n v="0"/>
    <s v="EUR"/>
    <m/>
    <s v="EXP20260529-2769861-"/>
    <s v="EXP20260529-2769861-"/>
    <s v="00KZZJTJ"/>
    <s v="FLAMMEN AURELIE"/>
    <s v="LE GRAND BOISSIGNAN"/>
    <m/>
    <m/>
    <n v="56190"/>
    <s v="NOYAL-MUZILLAC"/>
    <s v="FR"/>
    <s v="France"/>
    <m/>
  </r>
  <r>
    <x v="0"/>
    <n v="0"/>
    <n v="0"/>
    <n v="0"/>
    <n v="2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1"/>
    <s v="02.06.2026"/>
    <x v="15"/>
    <n v="2604000035"/>
    <m/>
    <n v="0"/>
    <n v="1"/>
    <n v="0"/>
    <n v="1.18"/>
    <s v="KG"/>
    <n v="0"/>
    <n v="0"/>
    <n v="0"/>
    <n v="0"/>
    <n v="0"/>
    <n v="0"/>
    <n v="0"/>
    <s v="EUR"/>
    <m/>
    <s v="EXP20260530-2771113-"/>
    <s v="EXP20260530-2771113-"/>
    <s v="00KZZJTK"/>
    <s v="BRAIZE FREDERIC"/>
    <s v="420 AVENUE DE LA FRUITIERE"/>
    <m/>
    <m/>
    <n v="74140"/>
    <s v="SCIEZ"/>
    <s v="FR"/>
    <s v="France"/>
    <m/>
  </r>
  <r>
    <x v="0"/>
    <n v="0"/>
    <n v="0"/>
    <n v="0"/>
    <n v="2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1"/>
    <s v="02.06.2026"/>
    <x v="25"/>
    <n v="2604000036"/>
    <m/>
    <n v="0"/>
    <n v="1"/>
    <n v="0"/>
    <n v="1.1499999999999999"/>
    <s v="KG"/>
    <n v="0"/>
    <n v="0"/>
    <n v="0"/>
    <n v="0"/>
    <n v="0"/>
    <n v="0"/>
    <n v="0"/>
    <s v="EUR"/>
    <m/>
    <s v="EXP20260530-2771365-"/>
    <s v="EXP20260530-2771365-"/>
    <s v="00KZZJTL"/>
    <s v="PERROT SIBYLLE"/>
    <s v="18 RUE PAUL BLONDEAU"/>
    <m/>
    <m/>
    <n v="59700"/>
    <s v="MARCQ-EN-BARUL"/>
    <s v="FR"/>
    <s v="France"/>
    <m/>
  </r>
  <r>
    <x v="0"/>
    <n v="0"/>
    <n v="0"/>
    <n v="0"/>
    <n v="2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1"/>
    <s v="02.06.2026"/>
    <x v="26"/>
    <n v="2604000037"/>
    <m/>
    <n v="0"/>
    <n v="1"/>
    <n v="0"/>
    <n v="1.92"/>
    <s v="KG"/>
    <n v="0"/>
    <n v="0"/>
    <n v="0"/>
    <n v="0"/>
    <n v="0"/>
    <n v="0"/>
    <n v="0"/>
    <s v="EUR"/>
    <m/>
    <s v="EXP20260530-2771657-"/>
    <s v="EXP20260530-2771657-"/>
    <s v="00KZZJTM"/>
    <s v="HARTMANN CHARLOTTE"/>
    <s v="222 CHEMIN DENTABOR"/>
    <m/>
    <m/>
    <n v="31450"/>
    <s v="BAZIEGE"/>
    <s v="FR"/>
    <s v="France"/>
    <m/>
  </r>
  <r>
    <x v="0"/>
    <n v="0"/>
    <n v="0"/>
    <n v="0"/>
    <n v="2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1"/>
    <s v="02.06.2026"/>
    <x v="27"/>
    <n v="2604000038"/>
    <m/>
    <n v="0"/>
    <n v="1"/>
    <n v="0"/>
    <n v="1.26"/>
    <s v="KG"/>
    <n v="0"/>
    <n v="0"/>
    <n v="0"/>
    <n v="0"/>
    <n v="0"/>
    <n v="0"/>
    <n v="0"/>
    <s v="EUR"/>
    <m/>
    <s v="EXP20260530-2771449-"/>
    <s v="EXP20260530-2771449-"/>
    <s v="00KZZJTN"/>
    <s v="LLOYD JULIETTE"/>
    <s v="11 AVENUE DES CIGALES"/>
    <m/>
    <m/>
    <n v="91190"/>
    <s v="GIF SUR YVETTE"/>
    <s v="FR"/>
    <s v="France"/>
    <m/>
  </r>
  <r>
    <x v="0"/>
    <n v="0"/>
    <n v="0"/>
    <n v="0"/>
    <n v="2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1"/>
    <s v="02.06.2026"/>
    <x v="28"/>
    <n v="2604000039"/>
    <m/>
    <n v="0"/>
    <n v="1"/>
    <n v="0"/>
    <n v="1.88"/>
    <s v="KG"/>
    <n v="0"/>
    <n v="0"/>
    <n v="0"/>
    <n v="0"/>
    <n v="0"/>
    <n v="0"/>
    <n v="0"/>
    <s v="EUR"/>
    <m/>
    <s v="EXP20260530-2771031-"/>
    <s v="EXP20260530-2771031-"/>
    <s v="00KZZJTO"/>
    <s v="SARTORIO ALICE"/>
    <s v="38 RUE DOCTEUR FRANCOIS MORUCC"/>
    <m/>
    <m/>
    <n v="13006"/>
    <s v="MARSEILLE"/>
    <s v="FR"/>
    <s v="France"/>
    <m/>
  </r>
  <r>
    <x v="0"/>
    <n v="0"/>
    <n v="0"/>
    <n v="0"/>
    <n v="1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1"/>
    <s v="02.06.2026"/>
    <x v="18"/>
    <n v="2604000040"/>
    <m/>
    <n v="0"/>
    <n v="1"/>
    <n v="0"/>
    <n v="0.86"/>
    <s v="KG"/>
    <n v="0"/>
    <n v="0"/>
    <n v="0"/>
    <n v="0"/>
    <n v="0"/>
    <n v="0"/>
    <n v="0"/>
    <s v="EUR"/>
    <m/>
    <s v="EXP20260530-2771224-"/>
    <s v="EXP20260530-2771224-"/>
    <s v="00KZZJTP"/>
    <s v="LAMY MEGANE"/>
    <s v="24 RUE DU CLOCHER"/>
    <m/>
    <m/>
    <n v="83990"/>
    <s v="SAINT-TROPEZ"/>
    <s v="FR"/>
    <s v="France"/>
    <m/>
  </r>
  <r>
    <x v="0"/>
    <n v="0"/>
    <n v="0"/>
    <n v="0"/>
    <n v="2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1"/>
    <s v="02.06.2026"/>
    <x v="29"/>
    <n v="2604000041"/>
    <m/>
    <n v="0"/>
    <n v="1"/>
    <n v="0"/>
    <n v="1.2"/>
    <s v="KG"/>
    <n v="0"/>
    <n v="0"/>
    <n v="0"/>
    <n v="0"/>
    <n v="0"/>
    <n v="0"/>
    <n v="0"/>
    <s v="EUR"/>
    <m/>
    <s v="EXP20260601-2772278-"/>
    <s v="EXP20260601-2772278-"/>
    <s v="00KZZJTQ"/>
    <s v="BOUZY CLAIRE"/>
    <s v="11 RUE LOUIS GAIN"/>
    <m/>
    <m/>
    <n v="49100"/>
    <s v="ANGERS"/>
    <s v="FR"/>
    <s v="France"/>
    <m/>
  </r>
  <r>
    <x v="0"/>
    <n v="0"/>
    <n v="0"/>
    <n v="0"/>
    <n v="2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1"/>
    <s v="02.06.2026"/>
    <x v="30"/>
    <n v="2604000042"/>
    <m/>
    <n v="0"/>
    <n v="1"/>
    <n v="0"/>
    <n v="1.91"/>
    <s v="KG"/>
    <n v="0"/>
    <n v="0"/>
    <n v="0"/>
    <n v="0"/>
    <n v="0"/>
    <n v="0"/>
    <n v="0"/>
    <s v="EUR"/>
    <m/>
    <s v="EXP20260601-2772279-"/>
    <s v="EXP20260601-2772279-"/>
    <s v="00KZZJTR"/>
    <s v="BIZOT MAUD"/>
    <s v="24 RUE DES MARAIS"/>
    <m/>
    <m/>
    <n v="51170"/>
    <s v="CHAMBRECY"/>
    <s v="FR"/>
    <s v="France"/>
    <m/>
  </r>
  <r>
    <x v="0"/>
    <n v="0"/>
    <n v="0"/>
    <n v="0"/>
    <n v="1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1"/>
    <s v="02.06.2026"/>
    <x v="21"/>
    <n v="2604000043"/>
    <m/>
    <n v="0"/>
    <n v="1"/>
    <n v="0"/>
    <n v="0.5"/>
    <s v="KG"/>
    <n v="0"/>
    <n v="0"/>
    <n v="0"/>
    <n v="0"/>
    <n v="0"/>
    <n v="0"/>
    <n v="0"/>
    <s v="EUR"/>
    <m/>
    <s v="EXP20260601-2772276-"/>
    <s v="EXP20260601-2772276-"/>
    <s v="00KZZJTS"/>
    <s v="PARIS VIRGINIE"/>
    <s v="12 RUE DES CERISIERS"/>
    <m/>
    <m/>
    <n v="8090"/>
    <s v="CLIRON"/>
    <s v="FR"/>
    <s v="France"/>
    <m/>
  </r>
  <r>
    <x v="0"/>
    <n v="0"/>
    <n v="0"/>
    <n v="0"/>
    <n v="2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1"/>
    <s v="02.06.2026"/>
    <x v="31"/>
    <n v="2604000044"/>
    <m/>
    <n v="0"/>
    <n v="1"/>
    <n v="0"/>
    <n v="1.52"/>
    <s v="KG"/>
    <n v="0"/>
    <n v="0"/>
    <n v="0"/>
    <n v="0"/>
    <n v="0"/>
    <n v="0"/>
    <n v="0"/>
    <s v="EUR"/>
    <m/>
    <s v="EXP20260601-2772285-"/>
    <s v="EXP20260601-2772285-"/>
    <s v="00KZZJTT"/>
    <s v="LACROIX CLEMENT"/>
    <s v="100 CHENIN DES 40 FONTS"/>
    <m/>
    <m/>
    <n v="26300"/>
    <s v="BARBIERES"/>
    <s v="FR"/>
    <s v="France"/>
    <m/>
  </r>
  <r>
    <x v="0"/>
    <n v="0"/>
    <n v="0"/>
    <n v="0"/>
    <n v="3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1"/>
    <s v="02.06.2026"/>
    <x v="32"/>
    <n v="2604000045"/>
    <m/>
    <n v="0"/>
    <n v="1"/>
    <n v="0"/>
    <n v="2.2400000000000002"/>
    <s v="KG"/>
    <n v="0"/>
    <n v="0"/>
    <n v="0"/>
    <n v="0"/>
    <n v="0"/>
    <n v="0"/>
    <n v="0"/>
    <s v="EUR"/>
    <m/>
    <s v="EXP20260601-2772289-"/>
    <s v="EXP20260601-2772289-"/>
    <s v="00KZZJTU"/>
    <s v="LOISEL JUSTINE"/>
    <s v="1 PASSAGE ROBIN"/>
    <m/>
    <m/>
    <n v="44000"/>
    <s v="NANTES"/>
    <s v="FR"/>
    <s v="France"/>
    <m/>
  </r>
  <r>
    <x v="0"/>
    <n v="0"/>
    <n v="0"/>
    <n v="0"/>
    <n v="3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1"/>
    <s v="02.06.2026"/>
    <x v="23"/>
    <n v="2604000046"/>
    <m/>
    <n v="0"/>
    <n v="1"/>
    <n v="0"/>
    <n v="2.2999999999999998"/>
    <s v="KG"/>
    <n v="0"/>
    <n v="0"/>
    <n v="0"/>
    <n v="0"/>
    <n v="0"/>
    <n v="0"/>
    <n v="0"/>
    <s v="EUR"/>
    <m/>
    <s v="EXP20260601-2772288-"/>
    <s v="EXP20260601-2772288-"/>
    <s v="00KZZJTV"/>
    <s v="JURET NOLWEN"/>
    <s v="19 PLACE DE L'HOTEL DE VILLE"/>
    <m/>
    <m/>
    <n v="49190"/>
    <s v="ROCHEFORT-SUR-LOIRE"/>
    <s v="FR"/>
    <s v="France"/>
    <m/>
  </r>
  <r>
    <x v="0"/>
    <n v="0"/>
    <n v="0"/>
    <n v="0"/>
    <n v="2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1"/>
    <s v="02.06.2026"/>
    <x v="33"/>
    <n v="2604000047"/>
    <m/>
    <n v="0"/>
    <n v="1"/>
    <n v="0"/>
    <n v="1.32"/>
    <s v="KG"/>
    <n v="0"/>
    <n v="0"/>
    <n v="0"/>
    <n v="0"/>
    <n v="0"/>
    <n v="0"/>
    <n v="0"/>
    <s v="EUR"/>
    <m/>
    <s v="EXP20260601-2772291-"/>
    <s v="EXP20260601-2772291-"/>
    <s v="00KZZJTW"/>
    <s v="BUISSON JESSICA"/>
    <s v="11 RUE DE L'ANCIEN LAVOIR"/>
    <m/>
    <m/>
    <n v="90110"/>
    <s v="ROUGEMONT-LE-CHATEAU"/>
    <s v="FR"/>
    <s v="France"/>
    <m/>
  </r>
  <r>
    <x v="0"/>
    <n v="0"/>
    <n v="0"/>
    <n v="0"/>
    <n v="1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1"/>
    <s v="02.06.2026"/>
    <x v="20"/>
    <n v="2604000048"/>
    <m/>
    <n v="0"/>
    <n v="1"/>
    <n v="0"/>
    <n v="0.45"/>
    <s v="KG"/>
    <n v="0"/>
    <n v="0"/>
    <n v="0"/>
    <n v="0"/>
    <n v="0"/>
    <n v="0"/>
    <n v="0"/>
    <s v="EUR"/>
    <m/>
    <s v="EXP20260601-2772275-"/>
    <s v="EXP20260601-2772275-"/>
    <s v="00KZZJTX"/>
    <s v="PERSICO CELINE"/>
    <s v="20 RUE DES MARES BATIMENT K AP"/>
    <m/>
    <m/>
    <n v="93230"/>
    <s v="ROMAINVILLE"/>
    <s v="FR"/>
    <s v="France"/>
    <m/>
  </r>
  <r>
    <x v="0"/>
    <n v="0"/>
    <n v="0"/>
    <n v="0"/>
    <n v="1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1"/>
    <s v="02.06.2026"/>
    <x v="19"/>
    <n v="2604000049"/>
    <m/>
    <n v="0"/>
    <n v="1"/>
    <n v="0"/>
    <n v="0.5"/>
    <s v="KG"/>
    <n v="0"/>
    <n v="0"/>
    <n v="0"/>
    <n v="0"/>
    <n v="0"/>
    <n v="0"/>
    <n v="0"/>
    <s v="EUR"/>
    <m/>
    <s v="EXP20260601-2772286-"/>
    <s v="EXP20260601-2772286-"/>
    <s v="00KZZJTY"/>
    <s v="ROBION MAEVA"/>
    <s v="140 IMPASSE DES CHARMES"/>
    <m/>
    <m/>
    <n v="85220"/>
    <s v="COMMEQUIERS"/>
    <s v="FR"/>
    <s v="France"/>
    <m/>
  </r>
  <r>
    <x v="0"/>
    <n v="0"/>
    <n v="0"/>
    <n v="0"/>
    <n v="2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1"/>
    <s v="02.06.2026"/>
    <x v="34"/>
    <n v="2604000050"/>
    <m/>
    <n v="0"/>
    <n v="1"/>
    <n v="0"/>
    <n v="1.1399999999999999"/>
    <s v="KG"/>
    <n v="0"/>
    <n v="0"/>
    <n v="0"/>
    <n v="0"/>
    <n v="0"/>
    <n v="0"/>
    <n v="0"/>
    <s v="EUR"/>
    <m/>
    <s v="EXP20260531-2771802-"/>
    <s v="EXP20260531-2771802-"/>
    <s v="00KZZJTZ"/>
    <s v="ROBINSON THOMAS"/>
    <s v="4 BOULEVARD GRIFFOUL DORVAL"/>
    <m/>
    <m/>
    <n v="31400"/>
    <s v="TOULOUSE"/>
    <s v="FR"/>
    <s v="France"/>
    <m/>
  </r>
  <r>
    <x v="0"/>
    <n v="0"/>
    <n v="0"/>
    <n v="0"/>
    <n v="5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1"/>
    <s v="02.06.2026"/>
    <x v="22"/>
    <n v="2604000051"/>
    <m/>
    <n v="0"/>
    <n v="1"/>
    <n v="0"/>
    <n v="4.8"/>
    <s v="KG"/>
    <n v="0"/>
    <n v="0"/>
    <n v="0"/>
    <n v="0"/>
    <n v="0"/>
    <n v="0"/>
    <n v="0"/>
    <s v="EUR"/>
    <m/>
    <s v="EXP20260601-2772284-"/>
    <s v="EXP20260601-2772284-"/>
    <s v="00KZZJU0"/>
    <s v="MILVILLE JUSTINE"/>
    <s v="7 TER IMPASSE DE LA PAIX"/>
    <m/>
    <m/>
    <n v="51370"/>
    <s v="SAINT-BRICE-COURCELLES"/>
    <s v="FR"/>
    <s v="France"/>
    <m/>
  </r>
  <r>
    <x v="0"/>
    <n v="0"/>
    <n v="0"/>
    <n v="0"/>
    <n v="2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1"/>
    <s v="02.06.2026"/>
    <x v="35"/>
    <n v="2604000052"/>
    <m/>
    <n v="0"/>
    <n v="1"/>
    <n v="0"/>
    <n v="1.2"/>
    <s v="KG"/>
    <n v="0"/>
    <n v="0"/>
    <n v="0"/>
    <n v="0"/>
    <n v="0"/>
    <n v="0"/>
    <n v="0"/>
    <s v="EUR"/>
    <m/>
    <s v="EXP20260601-2774809-"/>
    <s v="EXP20260601-2774809-"/>
    <s v="00KZZJU1"/>
    <s v="ROSET SOPHIE"/>
    <s v="10 RUE DU MOULIN"/>
    <m/>
    <m/>
    <n v="92170"/>
    <s v="VANVES"/>
    <s v="FR"/>
    <s v="France"/>
    <m/>
  </r>
  <r>
    <x v="0"/>
    <n v="0"/>
    <n v="0"/>
    <n v="0"/>
    <n v="1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1"/>
    <s v="02.06.2026"/>
    <x v="17"/>
    <n v="2604000053"/>
    <m/>
    <n v="0"/>
    <n v="1"/>
    <n v="0"/>
    <n v="0.84"/>
    <s v="KG"/>
    <n v="0"/>
    <n v="0"/>
    <n v="0"/>
    <n v="0"/>
    <n v="0"/>
    <n v="0"/>
    <n v="0"/>
    <s v="EUR"/>
    <m/>
    <s v="EXP20260601-2774808-"/>
    <s v="EXP20260601-2774808-"/>
    <s v="00KZZJU2"/>
    <s v="AUDRAIN ESTELLE"/>
    <s v="305 RUE JEAN DAUSSET"/>
    <m/>
    <m/>
    <n v="13090"/>
    <s v="AIX-EN-PROVENCE"/>
    <s v="FR"/>
    <s v="France"/>
    <m/>
  </r>
  <r>
    <x v="0"/>
    <n v="0"/>
    <n v="0"/>
    <n v="0"/>
    <n v="2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1"/>
    <s v="02.06.2026"/>
    <x v="36"/>
    <n v="2604000054"/>
    <m/>
    <n v="0"/>
    <n v="1"/>
    <n v="0"/>
    <n v="1.66"/>
    <s v="KG"/>
    <n v="0"/>
    <n v="0"/>
    <n v="0"/>
    <n v="0"/>
    <n v="0"/>
    <n v="0"/>
    <n v="0"/>
    <s v="EUR"/>
    <m/>
    <s v="EXP20260602-2775755-"/>
    <s v="EXP20260602-2775755-"/>
    <s v="00KZZJU3"/>
    <s v="FERHAT NATHALIE"/>
    <s v="14 RUE DUPHOT"/>
    <m/>
    <m/>
    <n v="75001"/>
    <s v="PARIS"/>
    <s v="FR"/>
    <s v="France"/>
    <m/>
  </r>
  <r>
    <x v="0"/>
    <n v="7.4300000000000006"/>
    <n v="1.64"/>
    <n v="5.7900000000000009"/>
    <n v="3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46"/>
    <s v="02.06.2026"/>
    <x v="32"/>
    <n v="2604000045"/>
    <m/>
    <n v="0"/>
    <n v="0"/>
    <n v="0"/>
    <n v="0"/>
    <s v="KG"/>
    <n v="4.74"/>
    <n v="0.9"/>
    <n v="0.15"/>
    <n v="29.1"/>
    <n v="1.64"/>
    <n v="0"/>
    <n v="0"/>
    <s v="EUR"/>
    <m/>
    <s v="EXP20260601-2772289-"/>
    <s v="EXP20260601-2772289-"/>
    <s v="00KZZJTU"/>
    <s v="LOISEL JUSTINE"/>
    <s v="1 PASSAGE ROBIN"/>
    <m/>
    <m/>
    <n v="44000"/>
    <s v="NANTES"/>
    <s v="FR"/>
    <s v="France"/>
    <m/>
  </r>
  <r>
    <x v="0"/>
    <n v="7.4300000000000006"/>
    <n v="1.64"/>
    <n v="5.7900000000000009"/>
    <n v="3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46"/>
    <s v="02.06.2026"/>
    <x v="24"/>
    <n v="2604000034"/>
    <m/>
    <n v="0"/>
    <n v="0"/>
    <n v="0"/>
    <n v="0"/>
    <s v="KG"/>
    <n v="4.74"/>
    <n v="0.9"/>
    <n v="0.15"/>
    <n v="29.1"/>
    <n v="1.64"/>
    <n v="0"/>
    <n v="0"/>
    <s v="EUR"/>
    <m/>
    <s v="EXP20260529-2769861-"/>
    <s v="EXP20260529-2769861-"/>
    <s v="00KZZJTJ"/>
    <s v="FLAMMEN AURELIE"/>
    <s v="LE GRAND BOISSIGNAN"/>
    <m/>
    <m/>
    <n v="56190"/>
    <s v="NOYAL-MUZILLAC"/>
    <s v="FR"/>
    <s v="France"/>
    <m/>
  </r>
  <r>
    <x v="0"/>
    <n v="7.0100000000000007"/>
    <n v="1.54"/>
    <n v="5.4700000000000006"/>
    <n v="2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45"/>
    <s v="02.06.2026"/>
    <x v="36"/>
    <n v="2604000054"/>
    <m/>
    <n v="0"/>
    <n v="0"/>
    <n v="0"/>
    <n v="0"/>
    <s v="KG"/>
    <n v="4.42"/>
    <n v="0.9"/>
    <n v="0.15"/>
    <n v="29.1"/>
    <n v="1.54"/>
    <n v="0"/>
    <n v="0"/>
    <s v="EUR"/>
    <m/>
    <s v="EXP20260602-2775755-"/>
    <s v="EXP20260602-2775755-"/>
    <s v="00KZZJU3"/>
    <s v="FERHAT NATHALIE"/>
    <s v="14 RUE DUPHOT"/>
    <m/>
    <m/>
    <n v="75001"/>
    <s v="PARIS"/>
    <s v="FR"/>
    <s v="France"/>
    <m/>
  </r>
  <r>
    <x v="0"/>
    <n v="7.0100000000000007"/>
    <n v="1.54"/>
    <n v="5.4700000000000006"/>
    <n v="2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45"/>
    <s v="02.06.2026"/>
    <x v="31"/>
    <n v="2604000044"/>
    <m/>
    <n v="0"/>
    <n v="0"/>
    <n v="0"/>
    <n v="0"/>
    <s v="KG"/>
    <n v="4.42"/>
    <n v="0.9"/>
    <n v="0.15"/>
    <n v="29.1"/>
    <n v="1.54"/>
    <n v="0"/>
    <n v="0"/>
    <s v="EUR"/>
    <m/>
    <s v="EXP20260601-2772285-"/>
    <s v="EXP20260601-2772285-"/>
    <s v="00KZZJTT"/>
    <s v="LACROIX CLEMENT"/>
    <s v="100 CHENIN DES 40 FONTS"/>
    <m/>
    <m/>
    <n v="26300"/>
    <s v="BARBIERES"/>
    <s v="FR"/>
    <s v="France"/>
    <m/>
  </r>
  <r>
    <x v="0"/>
    <n v="7.0100000000000007"/>
    <n v="1.54"/>
    <n v="5.4700000000000006"/>
    <n v="2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45"/>
    <s v="02.06.2026"/>
    <x v="30"/>
    <n v="2604000042"/>
    <m/>
    <n v="0"/>
    <n v="0"/>
    <n v="0"/>
    <n v="0"/>
    <s v="KG"/>
    <n v="4.42"/>
    <n v="0.9"/>
    <n v="0.15"/>
    <n v="29.1"/>
    <n v="1.54"/>
    <n v="0"/>
    <n v="0"/>
    <s v="EUR"/>
    <m/>
    <s v="EXP20260601-2772279-"/>
    <s v="EXP20260601-2772279-"/>
    <s v="00KZZJTR"/>
    <s v="BIZOT MAUD"/>
    <s v="24 RUE DES MARAIS"/>
    <m/>
    <m/>
    <n v="51170"/>
    <s v="CHAMBRECY"/>
    <s v="FR"/>
    <s v="France"/>
    <m/>
  </r>
  <r>
    <x v="0"/>
    <n v="7.0100000000000007"/>
    <n v="1.54"/>
    <n v="5.4700000000000006"/>
    <n v="2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45"/>
    <s v="02.06.2026"/>
    <x v="28"/>
    <n v="2604000039"/>
    <m/>
    <n v="0"/>
    <n v="0"/>
    <n v="0"/>
    <n v="0"/>
    <s v="KG"/>
    <n v="4.42"/>
    <n v="0.9"/>
    <n v="0.15"/>
    <n v="29.1"/>
    <n v="1.54"/>
    <n v="0"/>
    <n v="0"/>
    <s v="EUR"/>
    <m/>
    <s v="EXP20260530-2771031-"/>
    <s v="EXP20260530-2771031-"/>
    <s v="00KZZJTO"/>
    <s v="SARTORIO ALICE"/>
    <s v="38 RUE DOCTEUR FRANCOIS MORUCC"/>
    <m/>
    <m/>
    <n v="13006"/>
    <s v="MARSEILLE"/>
    <s v="FR"/>
    <s v="France"/>
    <m/>
  </r>
  <r>
    <x v="0"/>
    <n v="0"/>
    <n v="0"/>
    <n v="0"/>
    <n v="1"/>
    <n v="2501382993"/>
    <n v="103021200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8"/>
    <s v="02.06.2026"/>
    <x v="37"/>
    <n v="2604000018"/>
    <m/>
    <n v="0"/>
    <n v="1"/>
    <n v="0"/>
    <n v="0.28000000000000003"/>
    <s v="KG"/>
    <n v="0"/>
    <n v="0"/>
    <n v="0"/>
    <n v="0"/>
    <n v="0"/>
    <n v="0"/>
    <n v="0"/>
    <s v="EUR"/>
    <m/>
    <s v="EXP20260601-2773433-"/>
    <s v="EXP20260601-2773433-"/>
    <s v="00KUR5U0"/>
    <s v="MARTINOT STEPHANIE"/>
    <s v="6 RUE DU CHATEAU D'EAU"/>
    <m/>
    <m/>
    <n v="77320"/>
    <s v="SAINT BARTHELEMY"/>
    <s v="FR"/>
    <s v="France"/>
    <m/>
  </r>
  <r>
    <x v="0"/>
    <n v="0"/>
    <n v="0"/>
    <n v="0"/>
    <n v="1"/>
    <n v="2501382993"/>
    <n v="103021200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8"/>
    <s v="02.06.2026"/>
    <x v="38"/>
    <n v="2604000019"/>
    <m/>
    <n v="0"/>
    <n v="1"/>
    <n v="0"/>
    <n v="0.54"/>
    <s v="KG"/>
    <n v="0"/>
    <n v="0"/>
    <n v="0"/>
    <n v="0"/>
    <n v="0"/>
    <n v="0"/>
    <n v="0"/>
    <s v="EUR"/>
    <m/>
    <s v="EXP20260601-2773391-"/>
    <s v="EXP20260601-2773391-"/>
    <s v="00KUR5U1"/>
    <s v="DURAND MELANIE"/>
    <s v="57,PASSAGE DU MONT JOVET"/>
    <m/>
    <m/>
    <n v="73600"/>
    <s v="MOUTIERS"/>
    <s v="FR"/>
    <s v="France"/>
    <m/>
  </r>
  <r>
    <x v="0"/>
    <n v="0"/>
    <n v="0"/>
    <n v="0"/>
    <n v="1"/>
    <n v="2501382993"/>
    <n v="103021200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8"/>
    <s v="02.06.2026"/>
    <x v="39"/>
    <n v="2604000020"/>
    <m/>
    <n v="0"/>
    <n v="1"/>
    <n v="0"/>
    <n v="0.28000000000000003"/>
    <s v="KG"/>
    <n v="0"/>
    <n v="0"/>
    <n v="0"/>
    <n v="0"/>
    <n v="0"/>
    <n v="0"/>
    <n v="0"/>
    <s v="EUR"/>
    <m/>
    <s v="EXP20260529-2770258-"/>
    <s v="EXP20260529-2770258-"/>
    <s v="00KUR5U2"/>
    <s v="DOUCE CANDICE"/>
    <s v="475 RUE PARADIS"/>
    <m/>
    <m/>
    <n v="13008"/>
    <s v="MARSEILLE"/>
    <s v="FR"/>
    <s v="France"/>
    <m/>
  </r>
  <r>
    <x v="0"/>
    <n v="0"/>
    <n v="0"/>
    <n v="0"/>
    <n v="1"/>
    <n v="2501382993"/>
    <n v="103021200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8"/>
    <s v="02.06.2026"/>
    <x v="40"/>
    <n v="2604000021"/>
    <m/>
    <n v="0"/>
    <n v="1"/>
    <n v="0"/>
    <n v="0.3"/>
    <s v="KG"/>
    <n v="0"/>
    <n v="0"/>
    <n v="0"/>
    <n v="0"/>
    <n v="0"/>
    <n v="0"/>
    <n v="0"/>
    <s v="EUR"/>
    <m/>
    <s v="EXP20260601-2774328-"/>
    <s v="EXP20260601-2774328-"/>
    <s v="00KUR5U3"/>
    <s v="ANNE-SOPHIE DE GROER"/>
    <s v="7 AVENUE DU 8 MAI 1945 91120 P"/>
    <m/>
    <m/>
    <n v="91120"/>
    <s v="PALAISEAU"/>
    <s v="FR"/>
    <s v="France"/>
    <m/>
  </r>
  <r>
    <x v="0"/>
    <n v="0"/>
    <n v="0"/>
    <n v="0"/>
    <n v="1"/>
    <n v="2501382993"/>
    <n v="103021200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8"/>
    <s v="02.06.2026"/>
    <x v="41"/>
    <n v="2604000022"/>
    <m/>
    <n v="0"/>
    <n v="1"/>
    <n v="0"/>
    <n v="0.54"/>
    <s v="KG"/>
    <n v="0"/>
    <n v="0"/>
    <n v="0"/>
    <n v="0"/>
    <n v="0"/>
    <n v="0"/>
    <n v="0"/>
    <s v="EUR"/>
    <m/>
    <s v="EXP20260531-2771965-"/>
    <s v="EXP20260531-2771965-"/>
    <s v="00KUR5U4"/>
    <s v="HIS CAROLE"/>
    <s v="48BIS RUE RACINE"/>
    <m/>
    <m/>
    <n v="69100"/>
    <s v="VILLEURBANNE"/>
    <s v="FR"/>
    <s v="France"/>
    <m/>
  </r>
  <r>
    <x v="0"/>
    <n v="0"/>
    <n v="0"/>
    <n v="0"/>
    <n v="1"/>
    <n v="2501382993"/>
    <n v="103021200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8"/>
    <s v="02.06.2026"/>
    <x v="42"/>
    <n v="2604000023"/>
    <m/>
    <n v="0"/>
    <n v="1"/>
    <n v="0"/>
    <n v="0.56000000000000005"/>
    <s v="KG"/>
    <n v="0"/>
    <n v="0"/>
    <n v="0"/>
    <n v="0"/>
    <n v="0"/>
    <n v="0"/>
    <n v="0"/>
    <s v="EUR"/>
    <m/>
    <s v="EXP20260531-2771952-"/>
    <s v="EXP20260531-2771952-"/>
    <s v="00KUR5U5"/>
    <s v="ABDELLAH ANAELLE"/>
    <s v="40 RUE DE BENFELD"/>
    <m/>
    <m/>
    <n v="67100"/>
    <s v="STRASBOURG"/>
    <s v="FR"/>
    <s v="France"/>
    <m/>
  </r>
  <r>
    <x v="0"/>
    <n v="0"/>
    <n v="0"/>
    <n v="0"/>
    <n v="1"/>
    <n v="2501382993"/>
    <n v="103021200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8"/>
    <s v="02.06.2026"/>
    <x v="43"/>
    <n v="2604000024"/>
    <m/>
    <n v="0"/>
    <n v="1"/>
    <n v="0"/>
    <n v="0.72"/>
    <s v="KG"/>
    <n v="0"/>
    <n v="0"/>
    <n v="0"/>
    <n v="0"/>
    <n v="0"/>
    <n v="0"/>
    <n v="0"/>
    <s v="EUR"/>
    <m/>
    <s v="EXP20260602-2775672-"/>
    <s v="EXP20260602-2775672-"/>
    <s v="00KUR5U6"/>
    <s v="LEVEQUE GUILLAUME"/>
    <s v="1251 ROUTE DE LA TELECABINE"/>
    <m/>
    <m/>
    <n v="1170"/>
    <s v="CROZET"/>
    <s v="FR"/>
    <s v="France"/>
    <m/>
  </r>
  <r>
    <x v="0"/>
    <n v="6.17"/>
    <n v="1.35"/>
    <n v="4.82"/>
    <n v="0.5"/>
    <n v="2501382993"/>
    <n v="103021200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29"/>
    <s v="02.06.2026"/>
    <x v="37"/>
    <n v="2604000018"/>
    <m/>
    <n v="0"/>
    <n v="0"/>
    <n v="0"/>
    <n v="0"/>
    <s v="KG"/>
    <n v="3.77"/>
    <n v="0.9"/>
    <n v="0.15"/>
    <n v="29.1"/>
    <n v="1.35"/>
    <n v="0"/>
    <n v="0"/>
    <s v="EUR"/>
    <m/>
    <s v="EXP20260601-2773433-"/>
    <s v="EXP20260601-2773433-"/>
    <s v="00KUR5U0"/>
    <s v="MARTINOT STEPHANIE"/>
    <s v="6 RUE DU CHATEAU D'EAU"/>
    <m/>
    <m/>
    <n v="77320"/>
    <s v="SAINT BARTHELEMY"/>
    <s v="FR"/>
    <s v="France"/>
    <m/>
  </r>
  <r>
    <x v="0"/>
    <n v="6.17"/>
    <n v="1.35"/>
    <n v="4.82"/>
    <n v="0.5"/>
    <n v="2501382993"/>
    <n v="103021200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29"/>
    <s v="02.06.2026"/>
    <x v="39"/>
    <n v="2604000020"/>
    <m/>
    <n v="0"/>
    <n v="0"/>
    <n v="0"/>
    <n v="0"/>
    <s v="KG"/>
    <n v="3.77"/>
    <n v="0.9"/>
    <n v="0.15"/>
    <n v="29.1"/>
    <n v="1.35"/>
    <n v="0"/>
    <n v="0"/>
    <s v="EUR"/>
    <m/>
    <s v="EXP20260529-2770258-"/>
    <s v="EXP20260529-2770258-"/>
    <s v="00KUR5U2"/>
    <s v="DOUCE CANDICE"/>
    <s v="475 RUE PARADIS"/>
    <m/>
    <m/>
    <n v="13008"/>
    <s v="MARSEILLE"/>
    <s v="FR"/>
    <s v="France"/>
    <m/>
  </r>
  <r>
    <x v="0"/>
    <n v="6.17"/>
    <n v="1.35"/>
    <n v="4.82"/>
    <n v="0.5"/>
    <n v="2501382993"/>
    <n v="103021200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29"/>
    <s v="02.06.2026"/>
    <x v="40"/>
    <n v="2604000021"/>
    <m/>
    <n v="0"/>
    <n v="0"/>
    <n v="0"/>
    <n v="0"/>
    <s v="KG"/>
    <n v="3.77"/>
    <n v="0.9"/>
    <n v="0.15"/>
    <n v="29.1"/>
    <n v="1.35"/>
    <n v="0"/>
    <n v="0"/>
    <s v="EUR"/>
    <m/>
    <s v="EXP20260601-2774328-"/>
    <s v="EXP20260601-2774328-"/>
    <s v="00KUR5U3"/>
    <s v="ANNE-SOPHIE DE GROER"/>
    <s v="7 AVENUE DU 8 MAI 1945 91120 P"/>
    <m/>
    <m/>
    <n v="91120"/>
    <s v="PALAISEAU"/>
    <s v="FR"/>
    <s v="France"/>
    <m/>
  </r>
  <r>
    <x v="0"/>
    <n v="6.6000000000000005"/>
    <n v="1.45"/>
    <n v="5.15"/>
    <n v="1"/>
    <n v="2501382993"/>
    <n v="103021200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30"/>
    <s v="02.06.2026"/>
    <x v="38"/>
    <n v="2604000019"/>
    <m/>
    <n v="0"/>
    <n v="0"/>
    <n v="0"/>
    <n v="0"/>
    <s v="KG"/>
    <n v="4.0999999999999996"/>
    <n v="0.9"/>
    <n v="0.15"/>
    <n v="29.1"/>
    <n v="1.45"/>
    <n v="0"/>
    <n v="0"/>
    <s v="EUR"/>
    <m/>
    <s v="EXP20260601-2773391-"/>
    <s v="EXP20260601-2773391-"/>
    <s v="00KUR5U1"/>
    <s v="DURAND MELANIE"/>
    <s v="57,PASSAGE DU MONT JOVET"/>
    <m/>
    <m/>
    <n v="73600"/>
    <s v="MOUTIERS"/>
    <s v="FR"/>
    <s v="France"/>
    <m/>
  </r>
  <r>
    <x v="0"/>
    <n v="6.6000000000000005"/>
    <n v="1.45"/>
    <n v="5.15"/>
    <n v="1"/>
    <n v="2501382993"/>
    <n v="103021200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30"/>
    <s v="02.06.2026"/>
    <x v="41"/>
    <n v="2604000022"/>
    <m/>
    <n v="0"/>
    <n v="0"/>
    <n v="0"/>
    <n v="0"/>
    <s v="KG"/>
    <n v="4.0999999999999996"/>
    <n v="0.9"/>
    <n v="0.15"/>
    <n v="29.1"/>
    <n v="1.45"/>
    <n v="0"/>
    <n v="0"/>
    <s v="EUR"/>
    <m/>
    <s v="EXP20260531-2771965-"/>
    <s v="EXP20260531-2771965-"/>
    <s v="00KUR5U4"/>
    <s v="HIS CAROLE"/>
    <s v="48BIS RUE RACINE"/>
    <m/>
    <m/>
    <n v="69100"/>
    <s v="VILLEURBANNE"/>
    <s v="FR"/>
    <s v="France"/>
    <m/>
  </r>
  <r>
    <x v="0"/>
    <n v="6.6000000000000005"/>
    <n v="1.45"/>
    <n v="5.15"/>
    <n v="1"/>
    <n v="2501382993"/>
    <n v="103021200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30"/>
    <s v="02.06.2026"/>
    <x v="42"/>
    <n v="2604000023"/>
    <m/>
    <n v="0"/>
    <n v="0"/>
    <n v="0"/>
    <n v="0"/>
    <s v="KG"/>
    <n v="4.0999999999999996"/>
    <n v="0.9"/>
    <n v="0.15"/>
    <n v="29.1"/>
    <n v="1.45"/>
    <n v="0"/>
    <n v="0"/>
    <s v="EUR"/>
    <m/>
    <s v="EXP20260531-2771952-"/>
    <s v="EXP20260531-2771952-"/>
    <s v="00KUR5U5"/>
    <s v="ABDELLAH ANAELLE"/>
    <s v="40 RUE DE BENFELD"/>
    <m/>
    <m/>
    <n v="67100"/>
    <s v="STRASBOURG"/>
    <s v="FR"/>
    <s v="France"/>
    <m/>
  </r>
  <r>
    <x v="0"/>
    <n v="6.6000000000000005"/>
    <n v="1.45"/>
    <n v="5.15"/>
    <n v="1"/>
    <n v="2501382993"/>
    <n v="103021200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30"/>
    <s v="02.06.2026"/>
    <x v="43"/>
    <n v="2604000024"/>
    <m/>
    <n v="0"/>
    <n v="0"/>
    <n v="0"/>
    <n v="0"/>
    <s v="KG"/>
    <n v="4.0999999999999996"/>
    <n v="0.9"/>
    <n v="0.15"/>
    <n v="29.1"/>
    <n v="1.45"/>
    <n v="0"/>
    <n v="0"/>
    <s v="EUR"/>
    <m/>
    <s v="EXP20260602-2775672-"/>
    <s v="EXP20260602-2775672-"/>
    <s v="00KUR5U6"/>
    <s v="LEVEQUE GUILLAUME"/>
    <s v="1251 ROUTE DE LA TELECABINE"/>
    <m/>
    <m/>
    <n v="1170"/>
    <s v="CROZET"/>
    <s v="FR"/>
    <s v="France"/>
    <m/>
  </r>
  <r>
    <x v="0"/>
    <n v="0"/>
    <n v="0"/>
    <n v="0"/>
    <n v="1"/>
    <n v="2501382993"/>
    <n v="1030216444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FDS_D01_S01"/>
    <s v="BP FlexDelivery - Dis. 01 - Size 01"/>
    <s v="PARCEDOMESFDS"/>
    <m/>
    <n v="31"/>
    <s v="02.06.2026"/>
    <x v="44"/>
    <n v="6694240"/>
    <m/>
    <n v="0"/>
    <n v="1"/>
    <n v="0"/>
    <n v="0.2"/>
    <s v="KG"/>
    <n v="0"/>
    <n v="0"/>
    <n v="0"/>
    <n v="0"/>
    <n v="0"/>
    <n v="0"/>
    <n v="0"/>
    <s v="EUR"/>
    <m/>
    <s v="EXP20260601-2774231"/>
    <m/>
    <s v="00L0DR8P"/>
    <s v="AXEL TELECOM"/>
    <s v="64 RUE DE LA REPUBLIQUE"/>
    <s v="KRIMOVICH FABIENNE"/>
    <m/>
    <n v="76000"/>
    <s v="ROUEN"/>
    <s v="FR"/>
    <s v="France"/>
    <m/>
  </r>
  <r>
    <x v="0"/>
    <n v="0"/>
    <n v="0"/>
    <n v="0"/>
    <n v="3"/>
    <n v="2501382993"/>
    <n v="1030216444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FDS_D01_S01"/>
    <s v="BP FlexDelivery - Dis. 01 - Size 01"/>
    <s v="PARCEDOMESFDS"/>
    <m/>
    <n v="31"/>
    <s v="02.06.2026"/>
    <x v="45"/>
    <n v="6694523"/>
    <m/>
    <n v="0"/>
    <n v="1"/>
    <n v="0"/>
    <n v="2.7"/>
    <s v="KG"/>
    <n v="0"/>
    <n v="0"/>
    <n v="0"/>
    <n v="0"/>
    <n v="0"/>
    <n v="0"/>
    <n v="0"/>
    <s v="EUR"/>
    <m/>
    <s v="EXP20260601-2774558"/>
    <m/>
    <s v="00L0DT0Y"/>
    <s v="PHARMACIE TALENSAC"/>
    <s v="19 RUE BEL AIR"/>
    <s v="DENYS HELENE"/>
    <m/>
    <n v="44000"/>
    <s v="NANTES"/>
    <s v="FR"/>
    <s v="France"/>
    <m/>
  </r>
  <r>
    <x v="0"/>
    <n v="0"/>
    <n v="0"/>
    <n v="0"/>
    <n v="1"/>
    <n v="2501382993"/>
    <n v="1030216444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FDS_D01_S01"/>
    <s v="BP FlexDelivery - Dis. 01 - Size 01"/>
    <s v="PARCEDOMESFDS"/>
    <m/>
    <n v="31"/>
    <s v="02.06.2026"/>
    <x v="46"/>
    <n v="6694589"/>
    <m/>
    <n v="0"/>
    <n v="1"/>
    <n v="0"/>
    <n v="0.77"/>
    <s v="KG"/>
    <n v="0"/>
    <n v="0"/>
    <n v="0"/>
    <n v="0"/>
    <n v="0"/>
    <n v="0"/>
    <n v="0"/>
    <s v="EUR"/>
    <m/>
    <s v="EXP20260601-2774236"/>
    <m/>
    <s v="00L0DT2S"/>
    <s v="LES PLOMBIERS DU VERCORS"/>
    <s v="25 ALLEE DU LYONNAIS ZI NORD"/>
    <s v="RONDEL CATHERINE"/>
    <m/>
    <n v="26300"/>
    <s v="BOURG DE PEAGE"/>
    <s v="FR"/>
    <s v="France"/>
    <m/>
  </r>
  <r>
    <x v="0"/>
    <n v="6.17"/>
    <n v="1.35"/>
    <n v="4.82"/>
    <n v="0.5"/>
    <n v="2501382993"/>
    <n v="1030216444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PARCEL_D01_S01"/>
    <s v="Business Parcel - Dis. 01 - Size 01"/>
    <s v="PARCEDOMESSTANDARD"/>
    <m/>
    <n v="32"/>
    <s v="02.06.2026"/>
    <x v="44"/>
    <n v="6694240"/>
    <m/>
    <n v="0"/>
    <n v="0"/>
    <n v="0"/>
    <n v="0"/>
    <s v="KG"/>
    <n v="3.77"/>
    <n v="0.9"/>
    <n v="0.15"/>
    <n v="29.1"/>
    <n v="1.35"/>
    <n v="0"/>
    <n v="0"/>
    <s v="EUR"/>
    <m/>
    <s v="EXP20260601-2774231"/>
    <m/>
    <s v="00L0DR8P"/>
    <s v="AXEL TELECOM"/>
    <s v="64 RUE DE LA REPUBLIQUE"/>
    <s v="KRIMOVICH FABIENNE"/>
    <m/>
    <n v="76000"/>
    <s v="ROUEN"/>
    <s v="FR"/>
    <s v="France"/>
    <m/>
  </r>
  <r>
    <x v="0"/>
    <n v="6.6000000000000005"/>
    <n v="1.45"/>
    <n v="5.15"/>
    <n v="1"/>
    <n v="2501382993"/>
    <n v="1030216444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PARCEL_D01_S04"/>
    <s v="Business Parcel - Dis. 01 - Size 04"/>
    <s v="PARCEDOMESSTANDARD"/>
    <m/>
    <n v="33"/>
    <s v="02.06.2026"/>
    <x v="46"/>
    <n v="6694589"/>
    <m/>
    <n v="0"/>
    <n v="0"/>
    <n v="0"/>
    <n v="0"/>
    <s v="KG"/>
    <n v="4.0999999999999996"/>
    <n v="0.9"/>
    <n v="0.15"/>
    <n v="29.1"/>
    <n v="1.45"/>
    <n v="0"/>
    <n v="0"/>
    <s v="EUR"/>
    <m/>
    <s v="EXP20260601-2774236"/>
    <m/>
    <s v="00L0DT2S"/>
    <s v="LES PLOMBIERS DU VERCORS"/>
    <s v="25 ALLEE DU LYONNAIS ZI NORD"/>
    <s v="RONDEL CATHERINE"/>
    <m/>
    <n v="26300"/>
    <s v="BOURG DE PEAGE"/>
    <s v="FR"/>
    <s v="France"/>
    <m/>
  </r>
  <r>
    <x v="0"/>
    <n v="7.4300000000000006"/>
    <n v="1.64"/>
    <n v="5.7900000000000009"/>
    <n v="3"/>
    <n v="2501382993"/>
    <n v="1030216444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PARCEL_D01_S07"/>
    <s v="Business Parcel - Dis. 01 - Size 07"/>
    <s v="PARCEDOMESSTANDARD"/>
    <m/>
    <n v="34"/>
    <s v="02.06.2026"/>
    <x v="45"/>
    <n v="6694523"/>
    <m/>
    <n v="0"/>
    <n v="0"/>
    <n v="0"/>
    <n v="0"/>
    <s v="KG"/>
    <n v="4.74"/>
    <n v="0.9"/>
    <n v="0.15"/>
    <n v="29.1"/>
    <n v="1.64"/>
    <n v="0"/>
    <n v="0"/>
    <s v="EUR"/>
    <m/>
    <s v="EXP20260601-2774558"/>
    <m/>
    <s v="00L0DT0Y"/>
    <s v="PHARMACIE TALENSAC"/>
    <s v="19 RUE BEL AIR"/>
    <s v="DENYS HELENE"/>
    <m/>
    <n v="44000"/>
    <s v="NANTES"/>
    <s v="FR"/>
    <s v="France"/>
    <m/>
  </r>
  <r>
    <x v="0"/>
    <n v="7.0100000000000007"/>
    <n v="1.54"/>
    <n v="5.4700000000000006"/>
    <n v="2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45"/>
    <s v="02.06.2026"/>
    <x v="26"/>
    <n v="2604000037"/>
    <m/>
    <n v="0"/>
    <n v="0"/>
    <n v="0"/>
    <n v="0"/>
    <s v="KG"/>
    <n v="4.42"/>
    <n v="0.9"/>
    <n v="0.15"/>
    <n v="29.1"/>
    <n v="1.54"/>
    <n v="0"/>
    <n v="0"/>
    <s v="EUR"/>
    <m/>
    <s v="EXP20260530-2771657-"/>
    <s v="EXP20260530-2771657-"/>
    <s v="00KZZJTM"/>
    <s v="HARTMANN CHARLOTTE"/>
    <s v="222 CHEMIN DENTABOR"/>
    <m/>
    <m/>
    <n v="31450"/>
    <s v="BAZIEGE"/>
    <s v="FR"/>
    <s v="France"/>
    <m/>
  </r>
  <r>
    <x v="0"/>
    <n v="7.0100000000000007"/>
    <n v="1.54"/>
    <n v="5.4700000000000006"/>
    <n v="2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44"/>
    <s v="02.06.2026"/>
    <x v="35"/>
    <n v="2604000052"/>
    <m/>
    <n v="0"/>
    <n v="0"/>
    <n v="0"/>
    <n v="0"/>
    <s v="KG"/>
    <n v="4.42"/>
    <n v="0.9"/>
    <n v="0.15"/>
    <n v="29.1"/>
    <n v="1.54"/>
    <n v="0"/>
    <n v="0"/>
    <s v="EUR"/>
    <m/>
    <s v="EXP20260601-2774809-"/>
    <s v="EXP20260601-2774809-"/>
    <s v="00KZZJU1"/>
    <s v="ROSET SOPHIE"/>
    <s v="10 RUE DU MOULIN"/>
    <m/>
    <m/>
    <n v="92170"/>
    <s v="VANVES"/>
    <s v="FR"/>
    <s v="France"/>
    <m/>
  </r>
  <r>
    <x v="0"/>
    <n v="7.0100000000000007"/>
    <n v="1.54"/>
    <n v="5.4700000000000006"/>
    <n v="2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44"/>
    <s v="02.06.2026"/>
    <x v="34"/>
    <n v="2604000050"/>
    <m/>
    <n v="0"/>
    <n v="0"/>
    <n v="0"/>
    <n v="0"/>
    <s v="KG"/>
    <n v="4.42"/>
    <n v="0.9"/>
    <n v="0.15"/>
    <n v="29.1"/>
    <n v="1.54"/>
    <n v="0"/>
    <n v="0"/>
    <s v="EUR"/>
    <m/>
    <s v="EXP20260531-2771802-"/>
    <s v="EXP20260531-2771802-"/>
    <s v="00KZZJTZ"/>
    <s v="ROBINSON THOMAS"/>
    <s v="4 BOULEVARD GRIFFOUL DORVAL"/>
    <m/>
    <m/>
    <n v="31400"/>
    <s v="TOULOUSE"/>
    <s v="FR"/>
    <s v="France"/>
    <m/>
  </r>
  <r>
    <x v="0"/>
    <n v="7.0100000000000007"/>
    <n v="1.54"/>
    <n v="5.4700000000000006"/>
    <n v="2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44"/>
    <s v="02.06.2026"/>
    <x v="33"/>
    <n v="2604000047"/>
    <m/>
    <n v="0"/>
    <n v="0"/>
    <n v="0"/>
    <n v="0"/>
    <s v="KG"/>
    <n v="4.42"/>
    <n v="0.9"/>
    <n v="0.15"/>
    <n v="29.1"/>
    <n v="1.54"/>
    <n v="0"/>
    <n v="0"/>
    <s v="EUR"/>
    <m/>
    <s v="EXP20260601-2772291-"/>
    <s v="EXP20260601-2772291-"/>
    <s v="00KZZJTW"/>
    <s v="BUISSON JESSICA"/>
    <s v="11 RUE DE L'ANCIEN LAVOIR"/>
    <m/>
    <m/>
    <n v="90110"/>
    <s v="ROUGEMONT-LE-CHATEAU"/>
    <s v="FR"/>
    <s v="France"/>
    <m/>
  </r>
  <r>
    <x v="0"/>
    <n v="7.0100000000000007"/>
    <n v="1.54"/>
    <n v="5.4700000000000006"/>
    <n v="2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44"/>
    <s v="02.06.2026"/>
    <x v="29"/>
    <n v="2604000041"/>
    <m/>
    <n v="0"/>
    <n v="0"/>
    <n v="0"/>
    <n v="0"/>
    <s v="KG"/>
    <n v="4.42"/>
    <n v="0.9"/>
    <n v="0.15"/>
    <n v="29.1"/>
    <n v="1.54"/>
    <n v="0"/>
    <n v="0"/>
    <s v="EUR"/>
    <m/>
    <s v="EXP20260601-2772278-"/>
    <s v="EXP20260601-2772278-"/>
    <s v="00KZZJTQ"/>
    <s v="BOUZY CLAIRE"/>
    <s v="11 RUE LOUIS GAIN"/>
    <m/>
    <m/>
    <n v="49100"/>
    <s v="ANGERS"/>
    <s v="FR"/>
    <s v="France"/>
    <m/>
  </r>
  <r>
    <x v="0"/>
    <n v="7.0100000000000007"/>
    <n v="1.54"/>
    <n v="5.4700000000000006"/>
    <n v="2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44"/>
    <s v="02.06.2026"/>
    <x v="27"/>
    <n v="2604000038"/>
    <m/>
    <n v="0"/>
    <n v="0"/>
    <n v="0"/>
    <n v="0"/>
    <s v="KG"/>
    <n v="4.42"/>
    <n v="0.9"/>
    <n v="0.15"/>
    <n v="29.1"/>
    <n v="1.54"/>
    <n v="0"/>
    <n v="0"/>
    <s v="EUR"/>
    <m/>
    <s v="EXP20260530-2771449-"/>
    <s v="EXP20260530-2771449-"/>
    <s v="00KZZJTN"/>
    <s v="LLOYD JULIETTE"/>
    <s v="11 AVENUE DES CIGALES"/>
    <m/>
    <m/>
    <n v="91190"/>
    <s v="GIF SUR YVETTE"/>
    <s v="FR"/>
    <s v="France"/>
    <m/>
  </r>
  <r>
    <x v="0"/>
    <n v="7.0100000000000007"/>
    <n v="1.54"/>
    <n v="5.4700000000000006"/>
    <n v="2"/>
    <n v="2501382993"/>
    <n v="10302197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44"/>
    <s v="02.06.2026"/>
    <x v="25"/>
    <n v="2604000036"/>
    <m/>
    <n v="0"/>
    <n v="0"/>
    <n v="0"/>
    <n v="0"/>
    <s v="KG"/>
    <n v="4.42"/>
    <n v="0.9"/>
    <n v="0.15"/>
    <n v="29.1"/>
    <n v="1.54"/>
    <n v="0"/>
    <n v="0"/>
    <s v="EUR"/>
    <m/>
    <s v="EXP20260530-2771365-"/>
    <s v="EXP20260530-2771365-"/>
    <s v="00KZZJTL"/>
    <s v="PERROT SIBYLLE"/>
    <s v="18 RUE PAUL BLONDEAU"/>
    <m/>
    <m/>
    <n v="59700"/>
    <s v="MARCQ-EN-BARUL"/>
    <s v="FR"/>
    <s v="France"/>
    <m/>
  </r>
  <r>
    <x v="0"/>
    <n v="6.17"/>
    <n v="1.35"/>
    <n v="4.82"/>
    <n v="0.5"/>
    <n v="2501382993"/>
    <n v="1030230689"/>
    <s v="30.06.2026"/>
    <n v="2500034092"/>
    <s v="LA RUCHE LOGISTIQUE"/>
    <n v="9000009190"/>
    <n v="46946"/>
    <s v="LA RUCHE"/>
    <n v="9000079829"/>
    <x v="2"/>
    <m/>
    <m/>
    <m/>
    <n v="2507012387"/>
    <s v="LA RUCHE LOGISTIQUE"/>
    <s v="FDS"/>
    <s v="PARCEL_D01_S02"/>
    <s v="Business Parcel - Dis. 01 - Size 02"/>
    <s v="PARCEDOMESSTANDARD"/>
    <m/>
    <n v="110"/>
    <s v="02.06.2026"/>
    <x v="14"/>
    <n v="6699902"/>
    <m/>
    <n v="0"/>
    <n v="0"/>
    <n v="0"/>
    <n v="0"/>
    <s v="KG"/>
    <n v="3.77"/>
    <n v="0.9"/>
    <n v="0.15"/>
    <n v="29.1"/>
    <n v="1.35"/>
    <n v="0"/>
    <n v="0"/>
    <s v="EUR"/>
    <m/>
    <s v="EXP20260601-2772297"/>
    <m/>
    <s v="00L0EXC0"/>
    <s v="GROSSEMY MARIE-LAURE"/>
    <s v="24, RUE DES ERABLES"/>
    <m/>
    <m/>
    <n v="71640"/>
    <s v="GIVRY"/>
    <s v="FR"/>
    <s v="France"/>
    <m/>
  </r>
  <r>
    <x v="0"/>
    <n v="0"/>
    <n v="0"/>
    <n v="0"/>
    <n v="3"/>
    <n v="2501382993"/>
    <n v="103023387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83"/>
    <s v="03.06.2026"/>
    <x v="47"/>
    <n v="2604000032"/>
    <m/>
    <n v="0"/>
    <n v="1"/>
    <n v="0"/>
    <n v="2.88"/>
    <s v="KG"/>
    <n v="0"/>
    <n v="0"/>
    <n v="0"/>
    <n v="0"/>
    <n v="0"/>
    <n v="0"/>
    <n v="0"/>
    <s v="EUR"/>
    <m/>
    <s v="EXP20260602-2776795-"/>
    <s v="EXP20260602-2776795-"/>
    <s v="00KUR5UE"/>
    <s v="HAYER CECILIA"/>
    <s v="11 RUE DE L'EGLISE"/>
    <m/>
    <m/>
    <n v="68250"/>
    <s v="WESTHALTEN"/>
    <s v="FR"/>
    <s v="France"/>
    <m/>
  </r>
  <r>
    <x v="0"/>
    <n v="0"/>
    <n v="0"/>
    <n v="0"/>
    <n v="1"/>
    <n v="2501382993"/>
    <n v="103023387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83"/>
    <s v="03.06.2026"/>
    <x v="48"/>
    <n v="2604000033"/>
    <m/>
    <n v="0"/>
    <n v="1"/>
    <n v="0"/>
    <n v="0.45"/>
    <s v="KG"/>
    <n v="0"/>
    <n v="0"/>
    <n v="0"/>
    <n v="0"/>
    <n v="0"/>
    <n v="0"/>
    <n v="0"/>
    <s v="EUR"/>
    <m/>
    <s v="EXP20260603-2778695-"/>
    <s v="EXP20260603-2778695-"/>
    <s v="00KUR5UF"/>
    <s v="UN LIVRE ANASTASIA"/>
    <s v="6 AVENUE DE MESSINE"/>
    <m/>
    <m/>
    <n v="75008"/>
    <s v="PARIS"/>
    <s v="FR"/>
    <s v="France"/>
    <m/>
  </r>
  <r>
    <x v="0"/>
    <n v="6.17"/>
    <n v="1.35"/>
    <n v="4.82"/>
    <n v="0.5"/>
    <n v="2501382993"/>
    <n v="103023387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1"/>
    <s v="Business Parcel - Dis. 01 - Size 01"/>
    <s v="PARCEDOMESSTANDARD"/>
    <m/>
    <n v="184"/>
    <s v="03.06.2026"/>
    <x v="49"/>
    <n v="2604000031"/>
    <m/>
    <n v="0"/>
    <n v="0"/>
    <n v="0"/>
    <n v="0"/>
    <s v="KG"/>
    <n v="3.77"/>
    <n v="0.9"/>
    <n v="0.15"/>
    <n v="29.1"/>
    <n v="1.35"/>
    <n v="0"/>
    <n v="0"/>
    <s v="EUR"/>
    <m/>
    <s v="EXP20260602-2776136-"/>
    <s v="EXP20260602-2776136-"/>
    <s v="00KUR5UD"/>
    <s v="LEBORGNE MAXIME"/>
    <s v="77 QUATER ROUTE DE LA LOIRE"/>
    <m/>
    <m/>
    <n v="44450"/>
    <s v="DIVATTE SUR LOIRE"/>
    <s v="FR"/>
    <s v="France"/>
    <m/>
  </r>
  <r>
    <x v="0"/>
    <n v="6.17"/>
    <n v="1.35"/>
    <n v="4.82"/>
    <n v="0.5"/>
    <n v="2501382993"/>
    <n v="103023387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85"/>
    <s v="03.06.2026"/>
    <x v="50"/>
    <n v="2604000025"/>
    <m/>
    <n v="0"/>
    <n v="0"/>
    <n v="0"/>
    <n v="0"/>
    <s v="KG"/>
    <n v="3.77"/>
    <n v="0.9"/>
    <n v="0.15"/>
    <n v="29.1"/>
    <n v="1.35"/>
    <n v="0"/>
    <n v="0"/>
    <s v="EUR"/>
    <m/>
    <s v="EXP20260602-2776023-"/>
    <s v="EXP20260602-2776023-"/>
    <s v="00KUR5U7"/>
    <s v="CARBALLEDA ELENA"/>
    <s v="8 RUE ALFRED DE MUSSET"/>
    <m/>
    <m/>
    <n v="78330"/>
    <s v="FONTENAY-LE-FLEURY"/>
    <s v="FR"/>
    <s v="France"/>
    <m/>
  </r>
  <r>
    <x v="0"/>
    <n v="6.17"/>
    <n v="1.35"/>
    <n v="4.82"/>
    <n v="0.5"/>
    <n v="2501382993"/>
    <n v="103023387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85"/>
    <s v="03.06.2026"/>
    <x v="51"/>
    <n v="2604000027"/>
    <m/>
    <n v="0"/>
    <n v="0"/>
    <n v="0"/>
    <n v="0"/>
    <s v="KG"/>
    <n v="3.77"/>
    <n v="0.9"/>
    <n v="0.15"/>
    <n v="29.1"/>
    <n v="1.35"/>
    <n v="0"/>
    <n v="0"/>
    <s v="EUR"/>
    <m/>
    <s v="EXP20260602-2776040-"/>
    <s v="EXP20260602-2776040-"/>
    <s v="00KUR5U9"/>
    <s v="RAIMBAUD MARINE"/>
    <s v="6 RUE LOUIS CRISTAU"/>
    <m/>
    <m/>
    <n v="85800"/>
    <s v="SAINT GILLES CROIX DE VIE"/>
    <s v="FR"/>
    <s v="France"/>
    <m/>
  </r>
  <r>
    <x v="0"/>
    <n v="6.17"/>
    <n v="1.35"/>
    <n v="4.82"/>
    <n v="0.5"/>
    <n v="2501382993"/>
    <n v="103023387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85"/>
    <s v="03.06.2026"/>
    <x v="52"/>
    <n v="2604000030"/>
    <m/>
    <n v="0"/>
    <n v="0"/>
    <n v="0"/>
    <n v="0"/>
    <s v="KG"/>
    <n v="3.77"/>
    <n v="0.9"/>
    <n v="0.15"/>
    <n v="29.1"/>
    <n v="1.35"/>
    <n v="0"/>
    <n v="0"/>
    <s v="EUR"/>
    <m/>
    <s v="EXP20260602-2776918-"/>
    <s v="EXP20260602-2776918-"/>
    <s v="00KUR5UC"/>
    <s v="MANFREDI LUANA"/>
    <s v="261 CHEMIN DE LA COSTIERE"/>
    <m/>
    <m/>
    <n v="6000"/>
    <s v="NICE"/>
    <s v="FR"/>
    <s v="France"/>
    <m/>
  </r>
  <r>
    <x v="0"/>
    <n v="6.17"/>
    <n v="1.35"/>
    <n v="4.82"/>
    <n v="0.5"/>
    <n v="2501382993"/>
    <n v="103023387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85"/>
    <s v="03.06.2026"/>
    <x v="48"/>
    <n v="2604000033"/>
    <m/>
    <n v="0"/>
    <n v="0"/>
    <n v="0"/>
    <n v="0"/>
    <s v="KG"/>
    <n v="3.77"/>
    <n v="0.9"/>
    <n v="0.15"/>
    <n v="29.1"/>
    <n v="1.35"/>
    <n v="0"/>
    <n v="0"/>
    <s v="EUR"/>
    <m/>
    <s v="EXP20260603-2778695-"/>
    <s v="EXP20260603-2778695-"/>
    <s v="00KUR5UF"/>
    <s v="UN LIVRE ANASTASIA"/>
    <s v="6 AVENUE DE MESSINE"/>
    <m/>
    <m/>
    <n v="75008"/>
    <s v="PARIS"/>
    <s v="FR"/>
    <s v="France"/>
    <m/>
  </r>
  <r>
    <x v="0"/>
    <n v="0"/>
    <n v="0"/>
    <n v="0"/>
    <n v="1"/>
    <n v="2501382993"/>
    <n v="103023387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83"/>
    <s v="03.06.2026"/>
    <x v="50"/>
    <n v="2604000025"/>
    <m/>
    <n v="0"/>
    <n v="1"/>
    <n v="0"/>
    <n v="0.48"/>
    <s v="KG"/>
    <n v="0"/>
    <n v="0"/>
    <n v="0"/>
    <n v="0"/>
    <n v="0"/>
    <n v="0"/>
    <n v="0"/>
    <s v="EUR"/>
    <m/>
    <s v="EXP20260602-2776023-"/>
    <s v="EXP20260602-2776023-"/>
    <s v="00KUR5U7"/>
    <s v="CARBALLEDA ELENA"/>
    <s v="8 RUE ALFRED DE MUSSET"/>
    <m/>
    <m/>
    <n v="78330"/>
    <s v="FONTENAY-LE-FLEURY"/>
    <s v="FR"/>
    <s v="France"/>
    <m/>
  </r>
  <r>
    <x v="0"/>
    <n v="0"/>
    <n v="0"/>
    <n v="0"/>
    <n v="1"/>
    <n v="2501382993"/>
    <n v="103023387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83"/>
    <s v="03.06.2026"/>
    <x v="53"/>
    <n v="2604000026"/>
    <m/>
    <n v="0"/>
    <n v="1"/>
    <n v="0"/>
    <n v="0.57999999999999996"/>
    <s v="KG"/>
    <n v="0"/>
    <n v="0"/>
    <n v="0"/>
    <n v="0"/>
    <n v="0"/>
    <n v="0"/>
    <n v="0"/>
    <s v="EUR"/>
    <m/>
    <s v="EXP20260527-2766394-"/>
    <s v="EXP20260527-2766394-"/>
    <s v="00KUR5U8"/>
    <s v="DE COURCY CHRISTINE"/>
    <s v="4, AVENUE DE LA GARE LES PRAI"/>
    <m/>
    <m/>
    <n v="33138"/>
    <s v="LANTON"/>
    <s v="FR"/>
    <s v="France"/>
    <m/>
  </r>
  <r>
    <x v="0"/>
    <n v="0"/>
    <n v="0"/>
    <n v="0"/>
    <n v="1"/>
    <n v="2501382993"/>
    <n v="103023387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83"/>
    <s v="03.06.2026"/>
    <x v="51"/>
    <n v="2604000027"/>
    <m/>
    <n v="0"/>
    <n v="1"/>
    <n v="0"/>
    <n v="0.32"/>
    <s v="KG"/>
    <n v="0"/>
    <n v="0"/>
    <n v="0"/>
    <n v="0"/>
    <n v="0"/>
    <n v="0"/>
    <n v="0"/>
    <s v="EUR"/>
    <m/>
    <s v="EXP20260602-2776040-"/>
    <s v="EXP20260602-2776040-"/>
    <s v="00KUR5U9"/>
    <s v="RAIMBAUD MARINE"/>
    <s v="6 RUE LOUIS CRISTAU"/>
    <m/>
    <m/>
    <n v="85800"/>
    <s v="SAINT GILLES CROIX DE VIE"/>
    <s v="FR"/>
    <s v="France"/>
    <m/>
  </r>
  <r>
    <x v="0"/>
    <n v="0"/>
    <n v="0"/>
    <n v="0"/>
    <n v="1"/>
    <n v="2501382993"/>
    <n v="103023387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83"/>
    <s v="03.06.2026"/>
    <x v="54"/>
    <n v="2604000028"/>
    <m/>
    <n v="0"/>
    <n v="1"/>
    <n v="0"/>
    <n v="0.82"/>
    <s v="KG"/>
    <n v="0"/>
    <n v="0"/>
    <n v="0"/>
    <n v="0"/>
    <n v="0"/>
    <n v="0"/>
    <n v="0"/>
    <s v="EUR"/>
    <m/>
    <s v="EXP20260602-2777009-"/>
    <s v="EXP20260602-2777009-"/>
    <s v="00KUR5UA"/>
    <s v="DEVISME NOEMIE"/>
    <s v="2 RUE DU POISSON BLEU"/>
    <m/>
    <m/>
    <n v="92290"/>
    <s v="CHATENAY MALABRY"/>
    <s v="FR"/>
    <s v="France"/>
    <m/>
  </r>
  <r>
    <x v="0"/>
    <n v="0"/>
    <n v="0"/>
    <n v="0"/>
    <n v="1"/>
    <n v="2501382993"/>
    <n v="103023387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83"/>
    <s v="03.06.2026"/>
    <x v="55"/>
    <n v="2604000029"/>
    <m/>
    <n v="0"/>
    <n v="1"/>
    <n v="0"/>
    <n v="0.8"/>
    <s v="KG"/>
    <n v="0"/>
    <n v="0"/>
    <n v="0"/>
    <n v="0"/>
    <n v="0"/>
    <n v="0"/>
    <n v="0"/>
    <s v="EUR"/>
    <m/>
    <s v="EXP20260602-2776794-"/>
    <s v="EXP20260602-2776794-"/>
    <s v="00KUR5UB"/>
    <s v="DEVISME NOEMIE"/>
    <s v="2 RUE DU POISSON BLEU"/>
    <m/>
    <m/>
    <n v="92290"/>
    <s v="CHATENAY MALABRY"/>
    <s v="FR"/>
    <s v="France"/>
    <m/>
  </r>
  <r>
    <x v="0"/>
    <n v="0"/>
    <n v="0"/>
    <n v="0"/>
    <n v="1"/>
    <n v="2501382993"/>
    <n v="103023387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83"/>
    <s v="03.06.2026"/>
    <x v="52"/>
    <n v="2604000030"/>
    <m/>
    <n v="0"/>
    <n v="1"/>
    <n v="0"/>
    <n v="0.42"/>
    <s v="KG"/>
    <n v="0"/>
    <n v="0"/>
    <n v="0"/>
    <n v="0"/>
    <n v="0"/>
    <n v="0"/>
    <n v="0"/>
    <s v="EUR"/>
    <m/>
    <s v="EXP20260602-2776918-"/>
    <s v="EXP20260602-2776918-"/>
    <s v="00KUR5UC"/>
    <s v="MANFREDI LUANA"/>
    <s v="261 CHEMIN DE LA COSTIERE"/>
    <m/>
    <m/>
    <n v="6000"/>
    <s v="NICE"/>
    <s v="FR"/>
    <s v="France"/>
    <m/>
  </r>
  <r>
    <x v="0"/>
    <n v="0"/>
    <n v="0"/>
    <n v="0"/>
    <n v="1"/>
    <n v="2501382993"/>
    <n v="103023387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83"/>
    <s v="03.06.2026"/>
    <x v="49"/>
    <n v="2604000031"/>
    <m/>
    <n v="0"/>
    <n v="1"/>
    <n v="0"/>
    <n v="0.16"/>
    <s v="KG"/>
    <n v="0"/>
    <n v="0"/>
    <n v="0"/>
    <n v="0"/>
    <n v="0"/>
    <n v="0"/>
    <n v="0"/>
    <s v="EUR"/>
    <m/>
    <s v="EXP20260602-2776136-"/>
    <s v="EXP20260602-2776136-"/>
    <s v="00KUR5UD"/>
    <s v="LEBORGNE MAXIME"/>
    <s v="77 QUATER ROUTE DE LA LOIRE"/>
    <m/>
    <m/>
    <n v="44450"/>
    <s v="DIVATTE SUR LOIRE"/>
    <s v="FR"/>
    <s v="France"/>
    <m/>
  </r>
  <r>
    <x v="0"/>
    <n v="6.17"/>
    <n v="1.35"/>
    <n v="4.82"/>
    <n v="0.5"/>
    <n v="2501382993"/>
    <n v="1030234750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PARCEL_D01_S02"/>
    <s v="Business Parcel - Dis. 01 - Size 02"/>
    <s v="PARCEDOMESSTANDARD"/>
    <m/>
    <n v="210"/>
    <s v="03.06.2026"/>
    <x v="56"/>
    <n v="6708090"/>
    <m/>
    <n v="0"/>
    <n v="0"/>
    <n v="0"/>
    <n v="0"/>
    <s v="KG"/>
    <n v="3.77"/>
    <n v="0.9"/>
    <n v="0.15"/>
    <n v="29.1"/>
    <n v="1.35"/>
    <n v="0"/>
    <n v="0"/>
    <s v="EUR"/>
    <m/>
    <s v="EXP20260602-2777085"/>
    <m/>
    <s v="00L0GLJP"/>
    <s v="VEYSSADE SANDRA"/>
    <s v="149 RUE DES ERABLES"/>
    <m/>
    <m/>
    <n v="13760"/>
    <s v="SAINT CANNAT"/>
    <s v="FR"/>
    <s v="France"/>
    <m/>
  </r>
  <r>
    <x v="0"/>
    <n v="0"/>
    <n v="0"/>
    <n v="0"/>
    <n v="1"/>
    <n v="2501382993"/>
    <n v="1030234750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FDS_D01_S01"/>
    <s v="BP FlexDelivery - Dis. 01 - Size 01"/>
    <s v="PARCEDOMESFDS"/>
    <m/>
    <n v="209"/>
    <s v="03.06.2026"/>
    <x v="56"/>
    <n v="6708090"/>
    <m/>
    <n v="0"/>
    <n v="1"/>
    <n v="0"/>
    <n v="0.26"/>
    <s v="KG"/>
    <n v="0"/>
    <n v="0"/>
    <n v="0"/>
    <n v="0"/>
    <n v="0"/>
    <n v="0"/>
    <n v="0"/>
    <s v="EUR"/>
    <m/>
    <s v="EXP20260602-2777085"/>
    <m/>
    <s v="00L0GLJP"/>
    <s v="VEYSSADE SANDRA"/>
    <s v="149 RUE DES ERABLES"/>
    <m/>
    <m/>
    <n v="13760"/>
    <s v="SAINT CANNAT"/>
    <s v="FR"/>
    <s v="France"/>
    <m/>
  </r>
  <r>
    <x v="0"/>
    <n v="7.4300000000000006"/>
    <n v="1.64"/>
    <n v="5.7900000000000009"/>
    <n v="3"/>
    <n v="2501382993"/>
    <n v="103023387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7"/>
    <s v="Business Parcel - Dis. 01 - Size 07"/>
    <s v="PARCEDOMESSTANDARD"/>
    <m/>
    <n v="188"/>
    <s v="03.06.2026"/>
    <x v="47"/>
    <n v="2604000032"/>
    <m/>
    <n v="0"/>
    <n v="0"/>
    <n v="0"/>
    <n v="0"/>
    <s v="KG"/>
    <n v="4.74"/>
    <n v="0.9"/>
    <n v="0.15"/>
    <n v="29.1"/>
    <n v="1.64"/>
    <n v="0"/>
    <n v="0"/>
    <s v="EUR"/>
    <m/>
    <s v="EXP20260602-2776795-"/>
    <s v="EXP20260602-2776795-"/>
    <s v="00KUR5UE"/>
    <s v="HAYER CECILIA"/>
    <s v="11 RUE DE L'EGLISE"/>
    <m/>
    <m/>
    <n v="68250"/>
    <s v="WESTHALTEN"/>
    <s v="FR"/>
    <s v="France"/>
    <m/>
  </r>
  <r>
    <x v="0"/>
    <n v="6.6000000000000005"/>
    <n v="1.45"/>
    <n v="5.15"/>
    <n v="1"/>
    <n v="2501382993"/>
    <n v="103023387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4"/>
    <s v="Business Parcel - Dis. 01 - Size 04"/>
    <s v="PARCEDOMESSTANDARD"/>
    <m/>
    <n v="187"/>
    <s v="03.06.2026"/>
    <x v="55"/>
    <n v="2604000029"/>
    <m/>
    <n v="0"/>
    <n v="0"/>
    <n v="0"/>
    <n v="0"/>
    <s v="KG"/>
    <n v="4.0999999999999996"/>
    <n v="0.9"/>
    <n v="0.15"/>
    <n v="29.1"/>
    <n v="1.45"/>
    <n v="0"/>
    <n v="0"/>
    <s v="EUR"/>
    <m/>
    <s v="EXP20260602-2776794-"/>
    <s v="EXP20260602-2776794-"/>
    <s v="00KUR5UB"/>
    <s v="DEVISME NOEMIE"/>
    <s v="2 RUE DU POISSON BLEU"/>
    <m/>
    <m/>
    <n v="92290"/>
    <s v="CHATENAY MALABRY"/>
    <s v="FR"/>
    <s v="France"/>
    <m/>
  </r>
  <r>
    <x v="0"/>
    <n v="6.6000000000000005"/>
    <n v="1.45"/>
    <n v="5.15"/>
    <n v="1"/>
    <n v="2501382993"/>
    <n v="103023387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4"/>
    <s v="Business Parcel - Dis. 01 - Size 04"/>
    <s v="PARCEDOMESSTANDARD"/>
    <m/>
    <n v="187"/>
    <s v="03.06.2026"/>
    <x v="54"/>
    <n v="2604000028"/>
    <m/>
    <n v="0"/>
    <n v="0"/>
    <n v="0"/>
    <n v="0"/>
    <s v="KG"/>
    <n v="4.0999999999999996"/>
    <n v="0.9"/>
    <n v="0.15"/>
    <n v="29.1"/>
    <n v="1.45"/>
    <n v="0"/>
    <n v="0"/>
    <s v="EUR"/>
    <m/>
    <s v="EXP20260602-2777009-"/>
    <s v="EXP20260602-2777009-"/>
    <s v="00KUR5UA"/>
    <s v="DEVISME NOEMIE"/>
    <s v="2 RUE DU POISSON BLEU"/>
    <m/>
    <m/>
    <n v="92290"/>
    <s v="CHATENAY MALABRY"/>
    <s v="FR"/>
    <s v="France"/>
    <m/>
  </r>
  <r>
    <x v="0"/>
    <n v="6.6000000000000005"/>
    <n v="1.45"/>
    <n v="5.15"/>
    <n v="1"/>
    <n v="2501382993"/>
    <n v="103023387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186"/>
    <s v="03.06.2026"/>
    <x v="53"/>
    <n v="2604000026"/>
    <m/>
    <n v="0"/>
    <n v="0"/>
    <n v="0"/>
    <n v="0"/>
    <s v="KG"/>
    <n v="4.0999999999999996"/>
    <n v="0.9"/>
    <n v="0.15"/>
    <n v="29.1"/>
    <n v="1.45"/>
    <n v="0"/>
    <n v="0"/>
    <s v="EUR"/>
    <m/>
    <s v="EXP20260527-2766394-"/>
    <s v="EXP20260527-2766394-"/>
    <s v="00KUR5U8"/>
    <s v="DE COURCY CHRISTINE"/>
    <s v="4, AVENUE DE LA GARE LES PRAI"/>
    <m/>
    <m/>
    <n v="33138"/>
    <s v="LANTON"/>
    <s v="FR"/>
    <s v="France"/>
    <m/>
  </r>
  <r>
    <x v="0"/>
    <n v="0"/>
    <n v="0"/>
    <n v="0"/>
    <n v="2"/>
    <n v="2501382993"/>
    <n v="10301668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7"/>
    <s v="03.06.2026"/>
    <x v="57"/>
    <n v="2604000055"/>
    <m/>
    <n v="0"/>
    <n v="1"/>
    <n v="0"/>
    <n v="1.18"/>
    <s v="KG"/>
    <n v="0"/>
    <n v="0"/>
    <n v="0"/>
    <n v="0"/>
    <n v="0"/>
    <n v="0"/>
    <n v="0"/>
    <s v="EUR"/>
    <m/>
    <s v="EXP20260602-2776355-"/>
    <s v="EXP20260602-2776355-"/>
    <s v="00KZZJU4"/>
    <s v="DEWAELE HELENE"/>
    <s v="287 AVENUE DE LA GARE"/>
    <m/>
    <m/>
    <n v="74130"/>
    <s v="BONNEVILLE"/>
    <s v="FR"/>
    <s v="France"/>
    <m/>
  </r>
  <r>
    <x v="0"/>
    <n v="0"/>
    <n v="0"/>
    <n v="0"/>
    <n v="2"/>
    <n v="2501382993"/>
    <n v="10301668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7"/>
    <s v="03.06.2026"/>
    <x v="58"/>
    <n v="2604000056"/>
    <m/>
    <n v="0"/>
    <n v="1"/>
    <n v="0"/>
    <n v="1.6"/>
    <s v="KG"/>
    <n v="0"/>
    <n v="0"/>
    <n v="0"/>
    <n v="0"/>
    <n v="0"/>
    <n v="0"/>
    <n v="0"/>
    <s v="EUR"/>
    <m/>
    <s v="EXP20260601-2774807-"/>
    <s v="EXP20260601-2774807-"/>
    <s v="00KZZJU5"/>
    <s v="BROCHART NANS"/>
    <s v="8 RUE CLEMENT VIENOT"/>
    <m/>
    <m/>
    <n v="94300"/>
    <s v="VINCENNES"/>
    <s v="FR"/>
    <s v="France"/>
    <m/>
  </r>
  <r>
    <x v="0"/>
    <n v="0"/>
    <n v="0"/>
    <n v="0"/>
    <n v="2"/>
    <n v="2501382993"/>
    <n v="10301668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7"/>
    <s v="03.06.2026"/>
    <x v="59"/>
    <n v="2604000057"/>
    <m/>
    <n v="0"/>
    <n v="1"/>
    <n v="0"/>
    <n v="1.1100000000000001"/>
    <s v="KG"/>
    <n v="0"/>
    <n v="0"/>
    <n v="0"/>
    <n v="0"/>
    <n v="0"/>
    <n v="0"/>
    <n v="0"/>
    <s v="EUR"/>
    <m/>
    <s v="EXP20260602-2777082-"/>
    <s v="EXP20260602-2777082-"/>
    <s v="00KZZJU6"/>
    <s v="LEA LABROUSSE"/>
    <s v="86 AVENUE DE STALINGRAD"/>
    <m/>
    <m/>
    <n v="94120"/>
    <s v="FONTENAY-SOUS-BOIS"/>
    <s v="FR"/>
    <s v="France"/>
    <m/>
  </r>
  <r>
    <x v="0"/>
    <n v="0"/>
    <n v="0"/>
    <n v="0"/>
    <n v="2"/>
    <n v="2501382993"/>
    <n v="10301668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7"/>
    <s v="03.06.2026"/>
    <x v="60"/>
    <n v="2604000058"/>
    <m/>
    <n v="0"/>
    <n v="1"/>
    <n v="0"/>
    <n v="1.1100000000000001"/>
    <s v="KG"/>
    <n v="0"/>
    <n v="0"/>
    <n v="0"/>
    <n v="0"/>
    <n v="0"/>
    <n v="0"/>
    <n v="0"/>
    <s v="EUR"/>
    <m/>
    <s v="EXP20260603-2777637-"/>
    <s v="EXP20260603-2777637-"/>
    <s v="00KZZJU7"/>
    <s v="DROILLARD MAELIS"/>
    <s v="4 RUE DU REDUIT"/>
    <m/>
    <m/>
    <n v="33520"/>
    <s v="BRUGES"/>
    <s v="FR"/>
    <s v="France"/>
    <m/>
  </r>
  <r>
    <x v="0"/>
    <n v="0"/>
    <n v="0"/>
    <n v="0"/>
    <n v="2"/>
    <n v="2501382993"/>
    <n v="10301668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7"/>
    <s v="03.06.2026"/>
    <x v="61"/>
    <n v="2604000059"/>
    <m/>
    <n v="0"/>
    <n v="1"/>
    <n v="0"/>
    <n v="1.56"/>
    <s v="KG"/>
    <n v="0"/>
    <n v="0"/>
    <n v="0"/>
    <n v="0"/>
    <n v="0"/>
    <n v="0"/>
    <n v="0"/>
    <s v="EUR"/>
    <m/>
    <s v="EXP20260602-2777194-"/>
    <s v="EXP20260602-2777194-"/>
    <s v="00KZZJU8"/>
    <s v="SAINT BLANCAT MILENA"/>
    <s v="29 IMPASSE CHIMENE"/>
    <m/>
    <m/>
    <n v="34070"/>
    <s v="MONTPELLIER"/>
    <s v="FR"/>
    <s v="France"/>
    <m/>
  </r>
  <r>
    <x v="0"/>
    <n v="0"/>
    <n v="0"/>
    <n v="0"/>
    <n v="1"/>
    <n v="2501382993"/>
    <n v="10301668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7"/>
    <s v="03.06.2026"/>
    <x v="62"/>
    <n v="2604000060"/>
    <m/>
    <n v="0"/>
    <n v="1"/>
    <n v="0"/>
    <n v="0.48"/>
    <s v="KG"/>
    <n v="0"/>
    <n v="0"/>
    <n v="0"/>
    <n v="0"/>
    <n v="0"/>
    <n v="0"/>
    <n v="0"/>
    <s v="EUR"/>
    <m/>
    <s v="EXP20260602-2777192-"/>
    <s v="EXP20260602-2777192-"/>
    <s v="00KZZJU9"/>
    <s v="SERGENT AGATHE"/>
    <s v="9 RUE DU LOCH"/>
    <m/>
    <m/>
    <n v="29780"/>
    <s v="PLOUHINEC"/>
    <s v="FR"/>
    <s v="France"/>
    <m/>
  </r>
  <r>
    <x v="0"/>
    <n v="0"/>
    <n v="0"/>
    <n v="0"/>
    <n v="2"/>
    <n v="2501382993"/>
    <n v="10301668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7"/>
    <s v="03.06.2026"/>
    <x v="63"/>
    <n v="2604000061"/>
    <m/>
    <n v="0"/>
    <n v="1"/>
    <n v="0"/>
    <n v="1.56"/>
    <s v="KG"/>
    <n v="0"/>
    <n v="0"/>
    <n v="0"/>
    <n v="0"/>
    <n v="0"/>
    <n v="0"/>
    <n v="0"/>
    <s v="EUR"/>
    <m/>
    <s v="EXP20260602-2777358-"/>
    <s v="EXP20260602-2777358-"/>
    <s v="00KZZJUA"/>
    <s v="BAOUCHE FABIENNE"/>
    <s v="2 RUE CHOPIN"/>
    <m/>
    <m/>
    <n v="62590"/>
    <s v="OIGNIES"/>
    <s v="FR"/>
    <s v="France"/>
    <m/>
  </r>
  <r>
    <x v="0"/>
    <n v="0"/>
    <n v="0"/>
    <n v="0"/>
    <n v="3"/>
    <n v="2501382993"/>
    <n v="10301668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7"/>
    <s v="03.06.2026"/>
    <x v="64"/>
    <n v="2604000062"/>
    <m/>
    <n v="0"/>
    <n v="1"/>
    <n v="0"/>
    <n v="2.0499999999999998"/>
    <s v="KG"/>
    <n v="0"/>
    <n v="0"/>
    <n v="0"/>
    <n v="0"/>
    <n v="0"/>
    <n v="0"/>
    <n v="0"/>
    <s v="EUR"/>
    <m/>
    <s v="EXP20260602-2777018-"/>
    <s v="EXP20260602-2777018-"/>
    <s v="00KZZJUB"/>
    <s v="TADRIST MAURANE"/>
    <s v="5 RUE PASTEUR"/>
    <m/>
    <m/>
    <n v="91130"/>
    <s v="RIS-ORANGIS"/>
    <s v="FR"/>
    <s v="France"/>
    <m/>
  </r>
  <r>
    <x v="0"/>
    <n v="0"/>
    <n v="0"/>
    <n v="0"/>
    <n v="4"/>
    <n v="2501382993"/>
    <n v="10301668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7"/>
    <s v="03.06.2026"/>
    <x v="65"/>
    <n v="2604000063"/>
    <m/>
    <n v="0"/>
    <n v="1"/>
    <n v="0"/>
    <n v="3.88"/>
    <s v="KG"/>
    <n v="0"/>
    <n v="0"/>
    <n v="0"/>
    <n v="0"/>
    <n v="0"/>
    <n v="0"/>
    <n v="0"/>
    <s v="EUR"/>
    <m/>
    <s v="EXP20260603-2777940-"/>
    <s v="EXP20260603-2777940-"/>
    <s v="00KZZJUC"/>
    <s v="TOUTENU CAMILLE"/>
    <s v="CHEMIN DU PRE POULET"/>
    <m/>
    <m/>
    <n v="69700"/>
    <s v="MONTAGNY"/>
    <s v="FR"/>
    <s v="France"/>
    <m/>
  </r>
  <r>
    <x v="0"/>
    <n v="6.17"/>
    <n v="1.35"/>
    <n v="4.82"/>
    <n v="0.5"/>
    <n v="2501382993"/>
    <n v="10301668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18"/>
    <s v="03.06.2026"/>
    <x v="62"/>
    <n v="2604000060"/>
    <m/>
    <n v="0"/>
    <n v="0"/>
    <n v="0"/>
    <n v="0"/>
    <s v="KG"/>
    <n v="3.77"/>
    <n v="0.9"/>
    <n v="0.15"/>
    <n v="29.1"/>
    <n v="1.35"/>
    <n v="0"/>
    <n v="0"/>
    <s v="EUR"/>
    <m/>
    <s v="EXP20260602-2777192-"/>
    <s v="EXP20260602-2777192-"/>
    <s v="00KZZJU9"/>
    <s v="SERGENT AGATHE"/>
    <s v="9 RUE DU LOCH"/>
    <m/>
    <m/>
    <n v="29780"/>
    <s v="PLOUHINEC"/>
    <s v="FR"/>
    <s v="France"/>
    <m/>
  </r>
  <r>
    <x v="0"/>
    <n v="7.0100000000000007"/>
    <n v="1.54"/>
    <n v="5.4700000000000006"/>
    <n v="2"/>
    <n v="2501382993"/>
    <n v="10301668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19"/>
    <s v="03.06.2026"/>
    <x v="57"/>
    <n v="2604000055"/>
    <m/>
    <n v="0"/>
    <n v="0"/>
    <n v="0"/>
    <n v="0"/>
    <s v="KG"/>
    <n v="4.42"/>
    <n v="0.9"/>
    <n v="0.15"/>
    <n v="29.1"/>
    <n v="1.54"/>
    <n v="0"/>
    <n v="0"/>
    <s v="EUR"/>
    <m/>
    <s v="EXP20260602-2776355-"/>
    <s v="EXP20260602-2776355-"/>
    <s v="00KZZJU4"/>
    <s v="DEWAELE HELENE"/>
    <s v="287 AVENUE DE LA GARE"/>
    <m/>
    <m/>
    <n v="74130"/>
    <s v="BONNEVILLE"/>
    <s v="FR"/>
    <s v="France"/>
    <m/>
  </r>
  <r>
    <x v="0"/>
    <n v="7.0100000000000007"/>
    <n v="1.54"/>
    <n v="5.4700000000000006"/>
    <n v="2"/>
    <n v="2501382993"/>
    <n v="10301668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19"/>
    <s v="03.06.2026"/>
    <x v="59"/>
    <n v="2604000057"/>
    <m/>
    <n v="0"/>
    <n v="0"/>
    <n v="0"/>
    <n v="0"/>
    <s v="KG"/>
    <n v="4.42"/>
    <n v="0.9"/>
    <n v="0.15"/>
    <n v="29.1"/>
    <n v="1.54"/>
    <n v="0"/>
    <n v="0"/>
    <s v="EUR"/>
    <m/>
    <s v="EXP20260602-2777082-"/>
    <s v="EXP20260602-2777082-"/>
    <s v="00KZZJU6"/>
    <s v="LEA LABROUSSE"/>
    <s v="86 AVENUE DE STALINGRAD"/>
    <m/>
    <m/>
    <n v="94120"/>
    <s v="FONTENAY-SOUS-BOIS"/>
    <s v="FR"/>
    <s v="France"/>
    <m/>
  </r>
  <r>
    <x v="0"/>
    <n v="7.0100000000000007"/>
    <n v="1.54"/>
    <n v="5.4700000000000006"/>
    <n v="2"/>
    <n v="2501382993"/>
    <n v="10301668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19"/>
    <s v="03.06.2026"/>
    <x v="60"/>
    <n v="2604000058"/>
    <m/>
    <n v="0"/>
    <n v="0"/>
    <n v="0"/>
    <n v="0"/>
    <s v="KG"/>
    <n v="4.42"/>
    <n v="0.9"/>
    <n v="0.15"/>
    <n v="29.1"/>
    <n v="1.54"/>
    <n v="0"/>
    <n v="0"/>
    <s v="EUR"/>
    <m/>
    <s v="EXP20260603-2777637-"/>
    <s v="EXP20260603-2777637-"/>
    <s v="00KZZJU7"/>
    <s v="DROILLARD MAELIS"/>
    <s v="4 RUE DU REDUIT"/>
    <m/>
    <m/>
    <n v="33520"/>
    <s v="BRUGES"/>
    <s v="FR"/>
    <s v="France"/>
    <m/>
  </r>
  <r>
    <x v="0"/>
    <n v="7.0100000000000007"/>
    <n v="1.54"/>
    <n v="5.4700000000000006"/>
    <n v="2"/>
    <n v="2501382993"/>
    <n v="10301668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20"/>
    <s v="03.06.2026"/>
    <x v="58"/>
    <n v="2604000056"/>
    <m/>
    <n v="0"/>
    <n v="0"/>
    <n v="0"/>
    <n v="0"/>
    <s v="KG"/>
    <n v="4.42"/>
    <n v="0.9"/>
    <n v="0.15"/>
    <n v="29.1"/>
    <n v="1.54"/>
    <n v="0"/>
    <n v="0"/>
    <s v="EUR"/>
    <m/>
    <s v="EXP20260601-2774807-"/>
    <s v="EXP20260601-2774807-"/>
    <s v="00KZZJU5"/>
    <s v="BROCHART NANS"/>
    <s v="8 RUE CLEMENT VIENOT"/>
    <m/>
    <m/>
    <n v="94300"/>
    <s v="VINCENNES"/>
    <s v="FR"/>
    <s v="France"/>
    <m/>
  </r>
  <r>
    <x v="0"/>
    <n v="7.0100000000000007"/>
    <n v="1.54"/>
    <n v="5.4700000000000006"/>
    <n v="2"/>
    <n v="2501382993"/>
    <n v="10301668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20"/>
    <s v="03.06.2026"/>
    <x v="61"/>
    <n v="2604000059"/>
    <m/>
    <n v="0"/>
    <n v="0"/>
    <n v="0"/>
    <n v="0"/>
    <s v="KG"/>
    <n v="4.42"/>
    <n v="0.9"/>
    <n v="0.15"/>
    <n v="29.1"/>
    <n v="1.54"/>
    <n v="0"/>
    <n v="0"/>
    <s v="EUR"/>
    <m/>
    <s v="EXP20260602-2777194-"/>
    <s v="EXP20260602-2777194-"/>
    <s v="00KZZJU8"/>
    <s v="SAINT BLANCAT MILENA"/>
    <s v="29 IMPASSE CHIMENE"/>
    <m/>
    <m/>
    <n v="34070"/>
    <s v="MONTPELLIER"/>
    <s v="FR"/>
    <s v="France"/>
    <m/>
  </r>
  <r>
    <x v="0"/>
    <n v="7.0100000000000007"/>
    <n v="1.54"/>
    <n v="5.4700000000000006"/>
    <n v="2"/>
    <n v="2501382993"/>
    <n v="10301668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20"/>
    <s v="03.06.2026"/>
    <x v="63"/>
    <n v="2604000061"/>
    <m/>
    <n v="0"/>
    <n v="0"/>
    <n v="0"/>
    <n v="0"/>
    <s v="KG"/>
    <n v="4.42"/>
    <n v="0.9"/>
    <n v="0.15"/>
    <n v="29.1"/>
    <n v="1.54"/>
    <n v="0"/>
    <n v="0"/>
    <s v="EUR"/>
    <m/>
    <s v="EXP20260602-2777358-"/>
    <s v="EXP20260602-2777358-"/>
    <s v="00KZZJUA"/>
    <s v="BAOUCHE FABIENNE"/>
    <s v="2 RUE CHOPIN"/>
    <m/>
    <m/>
    <n v="62590"/>
    <s v="OIGNIES"/>
    <s v="FR"/>
    <s v="France"/>
    <m/>
  </r>
  <r>
    <x v="0"/>
    <n v="7.4300000000000006"/>
    <n v="1.64"/>
    <n v="5.7900000000000009"/>
    <n v="3"/>
    <n v="2501382993"/>
    <n v="10301668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21"/>
    <s v="03.06.2026"/>
    <x v="64"/>
    <n v="2604000062"/>
    <m/>
    <n v="0"/>
    <n v="0"/>
    <n v="0"/>
    <n v="0"/>
    <s v="KG"/>
    <n v="4.74"/>
    <n v="0.9"/>
    <n v="0.15"/>
    <n v="29.1"/>
    <n v="1.64"/>
    <n v="0"/>
    <n v="0"/>
    <s v="EUR"/>
    <m/>
    <s v="EXP20260602-2777018-"/>
    <s v="EXP20260602-2777018-"/>
    <s v="00KZZJUB"/>
    <s v="TADRIST MAURANE"/>
    <s v="5 RUE PASTEUR"/>
    <m/>
    <m/>
    <n v="91130"/>
    <s v="RIS-ORANGIS"/>
    <s v="FR"/>
    <s v="France"/>
    <m/>
  </r>
  <r>
    <x v="0"/>
    <n v="8.15"/>
    <n v="1.8"/>
    <n v="6.3500000000000005"/>
    <n v="4"/>
    <n v="2501382993"/>
    <n v="10301668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8"/>
    <s v="Business Parcel - Dis. 01 - Size 08"/>
    <s v="PARCEDOMESSTANDARD"/>
    <m/>
    <n v="22"/>
    <s v="03.06.2026"/>
    <x v="65"/>
    <n v="2604000063"/>
    <m/>
    <n v="0"/>
    <n v="0"/>
    <n v="0"/>
    <n v="0"/>
    <s v="KG"/>
    <n v="5.3"/>
    <n v="0.9"/>
    <n v="0.15"/>
    <n v="29.1"/>
    <n v="1.8"/>
    <n v="0"/>
    <n v="0"/>
    <s v="EUR"/>
    <m/>
    <s v="EXP20260603-2777940-"/>
    <s v="EXP20260603-2777940-"/>
    <s v="00KZZJUC"/>
    <s v="TOUTENU CAMILLE"/>
    <s v="CHEMIN DU PRE POULET"/>
    <m/>
    <m/>
    <n v="69700"/>
    <s v="MONTAGNY"/>
    <s v="FR"/>
    <s v="France"/>
    <m/>
  </r>
  <r>
    <x v="2"/>
    <n v="3.04"/>
    <n v="0.68"/>
    <n v="2.36"/>
    <e v="#N/A"/>
    <n v="2501382993"/>
    <n v="10301668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CARD_01"/>
    <s v="Majoration AvisÃ© sans TÃ©l ou mail"/>
    <s v="SURCHALL NTFCNCRD"/>
    <m/>
    <n v="23"/>
    <s v="03.06.2026"/>
    <x v="16"/>
    <n v="2604000033"/>
    <m/>
    <n v="0"/>
    <n v="0"/>
    <n v="0"/>
    <n v="0"/>
    <s v="KG"/>
    <n v="2.36"/>
    <n v="0"/>
    <n v="0"/>
    <n v="29.1"/>
    <n v="0.68"/>
    <n v="0"/>
    <n v="0"/>
    <s v="EUR"/>
    <m/>
    <s v="EXP20260529-2769965-"/>
    <s v="EXP20260529-2769965-"/>
    <s v="00KZZJTI"/>
    <s v="FICHET MORGAN"/>
    <s v="9 RUE DU DOUET"/>
    <m/>
    <m/>
    <n v="35510"/>
    <s v="CESSON-SEVIGNE"/>
    <s v="FR"/>
    <s v="France"/>
    <m/>
  </r>
  <r>
    <x v="1"/>
    <n v="0"/>
    <n v="0"/>
    <n v="0"/>
    <e v="#N/A"/>
    <n v="2501382993"/>
    <n v="103016688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FS_AVIS_01"/>
    <s v="AvisÃ© FDS"/>
    <s v="SURCHALL"/>
    <m/>
    <n v="24"/>
    <s v="03.06.2026"/>
    <x v="16"/>
    <n v="2604000033"/>
    <m/>
    <n v="0"/>
    <n v="0"/>
    <n v="0"/>
    <n v="0"/>
    <s v="KG"/>
    <n v="0"/>
    <n v="0"/>
    <n v="0"/>
    <n v="0"/>
    <n v="0"/>
    <n v="0"/>
    <n v="0"/>
    <s v="EUR"/>
    <m/>
    <s v="EXP20260529-2769965-"/>
    <s v="EXP20260529-2769965-"/>
    <s v="00KZZJTI"/>
    <s v="FICHET MORGAN"/>
    <s v="9 RUE DU DOUET"/>
    <m/>
    <m/>
    <n v="35510"/>
    <s v="CESSON-SEVIGNE"/>
    <s v="FR"/>
    <s v="France"/>
    <m/>
  </r>
  <r>
    <x v="0"/>
    <n v="0"/>
    <n v="0"/>
    <n v="0"/>
    <n v="1"/>
    <n v="2501382993"/>
    <n v="1030206923"/>
    <s v="30.06.2026"/>
    <n v="2500034092"/>
    <s v="LA RUCHE LOGISTIQUE"/>
    <n v="9000009190"/>
    <n v="46946"/>
    <s v="LA RUCHE"/>
    <n v="9000079829"/>
    <x v="2"/>
    <m/>
    <m/>
    <m/>
    <n v="2507012387"/>
    <s v="LA RUCHE LOGISTIQUE"/>
    <s v="FDS"/>
    <s v="FDS_D01_S01"/>
    <s v="BP FlexDelivery - Dis. 01 - Size 01"/>
    <s v="PARCEDOMESFDS"/>
    <m/>
    <n v="25"/>
    <s v="03.06.2026"/>
    <x v="66"/>
    <n v="6700045"/>
    <m/>
    <n v="0"/>
    <n v="1"/>
    <n v="0"/>
    <n v="0.22"/>
    <s v="KG"/>
    <n v="0"/>
    <n v="0"/>
    <n v="0"/>
    <n v="0"/>
    <n v="0"/>
    <n v="0"/>
    <n v="0"/>
    <s v="EUR"/>
    <m/>
    <s v="EXP20260601-2772294"/>
    <m/>
    <s v="00L0EXFW"/>
    <s v="ROBERT MURIEL"/>
    <s v="1 CHEMIN DU STADE"/>
    <m/>
    <m/>
    <n v="3210"/>
    <s v="GIPCY"/>
    <s v="FR"/>
    <s v="France"/>
    <m/>
  </r>
  <r>
    <x v="0"/>
    <n v="0"/>
    <n v="0"/>
    <n v="0"/>
    <n v="1"/>
    <n v="2501382993"/>
    <n v="1030206923"/>
    <s v="30.06.2026"/>
    <n v="2500034092"/>
    <s v="LA RUCHE LOGISTIQUE"/>
    <n v="9000009190"/>
    <n v="46946"/>
    <s v="LA RUCHE"/>
    <n v="9000079829"/>
    <x v="2"/>
    <m/>
    <m/>
    <m/>
    <n v="2507012387"/>
    <s v="LA RUCHE LOGISTIQUE"/>
    <s v="FDS"/>
    <s v="FDS_D01_S01"/>
    <s v="BP FlexDelivery - Dis. 01 - Size 01"/>
    <s v="PARCEDOMESFDS"/>
    <m/>
    <n v="25"/>
    <s v="03.06.2026"/>
    <x v="67"/>
    <n v="6703047"/>
    <m/>
    <n v="0"/>
    <n v="1"/>
    <n v="0"/>
    <n v="0.28000000000000003"/>
    <s v="KG"/>
    <n v="0"/>
    <n v="0"/>
    <n v="0"/>
    <n v="0"/>
    <n v="0"/>
    <n v="0"/>
    <n v="0"/>
    <s v="EUR"/>
    <m/>
    <s v="EXP20260602-2775957"/>
    <m/>
    <s v="00L0F7R5"/>
    <s v="BOISSIN CHANTAL"/>
    <s v="11 LOTISSEMENT LA SONATINE 263"/>
    <s v="INT MARCEL- LES-VALENCE"/>
    <s v="BOISSIN CHANTAL"/>
    <n v="26320"/>
    <s v="SAINT MARCEL LES VALENCES"/>
    <s v="FR"/>
    <s v="France"/>
    <m/>
  </r>
  <r>
    <x v="0"/>
    <n v="6.17"/>
    <n v="1.35"/>
    <n v="4.82"/>
    <n v="0.5"/>
    <n v="2501382993"/>
    <n v="1030206923"/>
    <s v="30.06.2026"/>
    <n v="2500034092"/>
    <s v="LA RUCHE LOGISTIQUE"/>
    <n v="9000009190"/>
    <n v="46946"/>
    <s v="LA RUCHE"/>
    <n v="9000079829"/>
    <x v="2"/>
    <m/>
    <m/>
    <m/>
    <n v="2507012387"/>
    <s v="LA RUCHE LOGISTIQUE"/>
    <s v="FDS"/>
    <s v="PARCEL_D01_S02"/>
    <s v="Business Parcel - Dis. 01 - Size 02"/>
    <s v="PARCEDOMESSTANDARD"/>
    <m/>
    <n v="27"/>
    <s v="03.06.2026"/>
    <x v="67"/>
    <n v="6703047"/>
    <m/>
    <n v="0"/>
    <n v="0"/>
    <n v="0"/>
    <n v="0"/>
    <s v="KG"/>
    <n v="3.77"/>
    <n v="0.9"/>
    <n v="0.15"/>
    <n v="29.1"/>
    <n v="1.35"/>
    <n v="0"/>
    <n v="0"/>
    <s v="EUR"/>
    <m/>
    <s v="EXP20260602-2775957"/>
    <m/>
    <s v="00L0F7R5"/>
    <s v="BOISSIN CHANTAL"/>
    <s v="11 LOTISSEMENT LA SONATINE 263"/>
    <s v="INT MARCEL- LES-VALENCE"/>
    <s v="BOISSIN CHANTAL"/>
    <n v="26320"/>
    <s v="SAINT MARCEL LES VALENCES"/>
    <s v="FR"/>
    <s v="France"/>
    <m/>
  </r>
  <r>
    <x v="0"/>
    <n v="6.17"/>
    <n v="1.35"/>
    <n v="4.82"/>
    <n v="0.5"/>
    <n v="2501382993"/>
    <n v="1030206923"/>
    <s v="30.06.2026"/>
    <n v="2500034092"/>
    <s v="LA RUCHE LOGISTIQUE"/>
    <n v="9000009190"/>
    <n v="46946"/>
    <s v="LA RUCHE"/>
    <n v="9000079829"/>
    <x v="2"/>
    <m/>
    <m/>
    <m/>
    <n v="2507012387"/>
    <s v="LA RUCHE LOGISTIQUE"/>
    <s v="FDS"/>
    <s v="PARCEL_D01_S01"/>
    <s v="Business Parcel - Dis. 01 - Size 01"/>
    <s v="PARCEDOMESSTANDARD"/>
    <m/>
    <n v="26"/>
    <s v="03.06.2026"/>
    <x v="66"/>
    <n v="6700045"/>
    <m/>
    <n v="0"/>
    <n v="0"/>
    <n v="0"/>
    <n v="0"/>
    <s v="KG"/>
    <n v="3.77"/>
    <n v="0.9"/>
    <n v="0.15"/>
    <n v="29.1"/>
    <n v="1.35"/>
    <n v="0"/>
    <n v="0"/>
    <s v="EUR"/>
    <m/>
    <s v="EXP20260601-2772294"/>
    <m/>
    <s v="00L0EXFW"/>
    <s v="ROBERT MURIEL"/>
    <s v="1 CHEMIN DU STADE"/>
    <m/>
    <m/>
    <n v="3210"/>
    <s v="GIPCY"/>
    <s v="FR"/>
    <s v="France"/>
    <m/>
  </r>
  <r>
    <x v="0"/>
    <n v="0"/>
    <n v="0"/>
    <n v="0"/>
    <n v="1"/>
    <n v="2501382993"/>
    <n v="103023069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11"/>
    <s v="04.06.2026"/>
    <x v="68"/>
    <n v="2604000065"/>
    <m/>
    <n v="0"/>
    <n v="1"/>
    <n v="0"/>
    <n v="0.81"/>
    <s v="KG"/>
    <n v="0"/>
    <n v="0"/>
    <n v="0"/>
    <n v="0"/>
    <n v="0"/>
    <n v="0"/>
    <n v="0"/>
    <s v="EUR"/>
    <m/>
    <s v="EXP20260603-2779671-"/>
    <s v="EXP20260603-2779671-"/>
    <s v="00KZZJUE"/>
    <s v="THOULOUZE ELODIE"/>
    <s v="RUE DES FARAYETTES"/>
    <m/>
    <m/>
    <n v="83136"/>
    <s v="GAREOULT"/>
    <s v="FR"/>
    <s v="France"/>
    <m/>
  </r>
  <r>
    <x v="0"/>
    <n v="0"/>
    <n v="0"/>
    <n v="0"/>
    <n v="4"/>
    <n v="2501382993"/>
    <n v="103023069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11"/>
    <s v="04.06.2026"/>
    <x v="69"/>
    <n v="2604000064"/>
    <m/>
    <n v="0"/>
    <n v="1"/>
    <n v="0"/>
    <n v="3.12"/>
    <s v="KG"/>
    <n v="0"/>
    <n v="0"/>
    <n v="0"/>
    <n v="0"/>
    <n v="0"/>
    <n v="0"/>
    <n v="0"/>
    <s v="EUR"/>
    <m/>
    <s v="EXP20260604-2779972-"/>
    <s v="EXP20260604-2779972-"/>
    <s v="00KZZJUD"/>
    <s v="DEVEVEY JULIA"/>
    <s v="42 ROUTE DE LAIVES"/>
    <m/>
    <m/>
    <n v="71240"/>
    <s v="LALHEUE"/>
    <s v="FR"/>
    <s v="France"/>
    <m/>
  </r>
  <r>
    <x v="3"/>
    <n v="5.2899999999999991"/>
    <n v="1.19"/>
    <n v="4.0999999999999996"/>
    <n v="1"/>
    <n v="2501382993"/>
    <n v="103023069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RET_BUP_D01"/>
    <s v="Retour Colis BUP - Classe 01"/>
    <s v="SURCHALL RETURN"/>
    <m/>
    <n v="119"/>
    <s v="04.06.2026"/>
    <x v="70"/>
    <n v="6579152"/>
    <m/>
    <n v="0"/>
    <n v="0"/>
    <n v="0"/>
    <n v="0"/>
    <s v="KG"/>
    <n v="4.0999999999999996"/>
    <n v="0"/>
    <n v="0"/>
    <n v="29.1"/>
    <n v="1.19"/>
    <n v="0"/>
    <n v="0"/>
    <s v="EUR"/>
    <m/>
    <s v="EXP20260522-2756836"/>
    <m/>
    <s v="00KZ5BVG"/>
    <s v="RINCK MARIE"/>
    <s v="191 RUE DE LA PRADELLE"/>
    <m/>
    <m/>
    <n v="63000"/>
    <s v="CLERMONT-FERRAND"/>
    <s v="FR"/>
    <s v="France"/>
    <m/>
  </r>
  <r>
    <x v="1"/>
    <n v="0"/>
    <n v="0"/>
    <n v="0"/>
    <e v="#N/A"/>
    <n v="2501382993"/>
    <n v="103023069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FS_AVIS_01"/>
    <s v="AvisÃ© FDS"/>
    <s v="SURCHALL"/>
    <m/>
    <n v="118"/>
    <s v="04.06.2026"/>
    <x v="65"/>
    <n v="2604000063"/>
    <m/>
    <n v="0"/>
    <n v="0"/>
    <n v="0"/>
    <n v="0"/>
    <s v="KG"/>
    <n v="0"/>
    <n v="0"/>
    <n v="0"/>
    <n v="0"/>
    <n v="0"/>
    <n v="0"/>
    <n v="0"/>
    <s v="EUR"/>
    <m/>
    <s v="EXP20260603-2777940-"/>
    <s v="EXP20260603-2777940-"/>
    <s v="00KZZJUC"/>
    <s v="TOUTENU CAMILLE"/>
    <s v="CHEMIN DU PRE POULET"/>
    <m/>
    <m/>
    <n v="69700"/>
    <s v="MONTAGNY"/>
    <s v="FR"/>
    <s v="France"/>
    <m/>
  </r>
  <r>
    <x v="2"/>
    <n v="3.04"/>
    <n v="0.68"/>
    <n v="2.36"/>
    <e v="#N/A"/>
    <n v="2501382993"/>
    <n v="103023069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CARD_01"/>
    <s v="Majoration AvisÃ© sans TÃ©l ou mail"/>
    <s v="SURCHALL NTFCNCRD"/>
    <m/>
    <n v="117"/>
    <s v="04.06.2026"/>
    <x v="65"/>
    <n v="2604000063"/>
    <m/>
    <n v="0"/>
    <n v="0"/>
    <n v="0"/>
    <n v="0"/>
    <s v="KG"/>
    <n v="2.36"/>
    <n v="0"/>
    <n v="0"/>
    <n v="29.1"/>
    <n v="0.68"/>
    <n v="0"/>
    <n v="0"/>
    <s v="EUR"/>
    <m/>
    <s v="EXP20260603-2777940-"/>
    <s v="EXP20260603-2777940-"/>
    <s v="00KZZJUC"/>
    <s v="TOUTENU CAMILLE"/>
    <s v="CHEMIN DU PRE POULET"/>
    <m/>
    <m/>
    <n v="69700"/>
    <s v="MONTAGNY"/>
    <s v="FR"/>
    <s v="France"/>
    <m/>
  </r>
  <r>
    <x v="0"/>
    <n v="8.15"/>
    <n v="1.8"/>
    <n v="6.3500000000000005"/>
    <n v="4"/>
    <n v="2501382993"/>
    <n v="103023069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8"/>
    <s v="Business Parcel - Dis. 01 - Size 08"/>
    <s v="PARCEDOMESSTANDARD"/>
    <m/>
    <n v="116"/>
    <s v="04.06.2026"/>
    <x v="69"/>
    <n v="2604000064"/>
    <m/>
    <n v="0"/>
    <n v="0"/>
    <n v="0"/>
    <n v="0"/>
    <s v="KG"/>
    <n v="5.3"/>
    <n v="0.9"/>
    <n v="0.15"/>
    <n v="29.1"/>
    <n v="1.8"/>
    <n v="0"/>
    <n v="0"/>
    <s v="EUR"/>
    <m/>
    <s v="EXP20260604-2779972-"/>
    <s v="EXP20260604-2779972-"/>
    <s v="00KZZJUD"/>
    <s v="DEVEVEY JULIA"/>
    <s v="42 ROUTE DE LAIVES"/>
    <m/>
    <m/>
    <n v="71240"/>
    <s v="LALHEUE"/>
    <s v="FR"/>
    <s v="France"/>
    <m/>
  </r>
  <r>
    <x v="0"/>
    <n v="7.0100000000000007"/>
    <n v="1.54"/>
    <n v="5.4700000000000006"/>
    <n v="2"/>
    <n v="2501382993"/>
    <n v="103023069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115"/>
    <s v="04.06.2026"/>
    <x v="71"/>
    <n v="2604000068"/>
    <m/>
    <n v="0"/>
    <n v="0"/>
    <n v="0"/>
    <n v="0"/>
    <s v="KG"/>
    <n v="4.42"/>
    <n v="0.9"/>
    <n v="0.15"/>
    <n v="29.1"/>
    <n v="1.54"/>
    <n v="0"/>
    <n v="0"/>
    <s v="EUR"/>
    <m/>
    <s v="EXP20260603-2779673-"/>
    <s v="EXP20260603-2779673-"/>
    <s v="00KZZJUH"/>
    <s v="TERNISIEN HELENE"/>
    <s v="13 RUE EMILE BATAILLE"/>
    <m/>
    <m/>
    <n v="93100"/>
    <s v="MONTREUIL"/>
    <s v="FR"/>
    <s v="France"/>
    <m/>
  </r>
  <r>
    <x v="0"/>
    <n v="0"/>
    <n v="0"/>
    <n v="0"/>
    <n v="1"/>
    <n v="2501382993"/>
    <n v="103023265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44"/>
    <s v="04.06.2026"/>
    <x v="72"/>
    <n v="2604000034"/>
    <m/>
    <n v="0"/>
    <n v="1"/>
    <n v="0"/>
    <n v="0.38"/>
    <s v="KG"/>
    <n v="0"/>
    <n v="0"/>
    <n v="0"/>
    <n v="0"/>
    <n v="0"/>
    <n v="0"/>
    <n v="0"/>
    <s v="EUR"/>
    <m/>
    <s v="EXP20260603-2778120-"/>
    <s v="EXP20260603-2778120-"/>
    <s v="00KUR5UG"/>
    <s v="MARTINE ABITBOL"/>
    <s v="4 RUE SAINT GILLES 75003 PARIS"/>
    <m/>
    <m/>
    <n v="75003"/>
    <s v="PARIS"/>
    <s v="FR"/>
    <s v="France"/>
    <m/>
  </r>
  <r>
    <x v="0"/>
    <n v="0"/>
    <n v="0"/>
    <n v="0"/>
    <n v="1"/>
    <n v="2501382993"/>
    <n v="103023265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44"/>
    <s v="04.06.2026"/>
    <x v="73"/>
    <n v="2604000035"/>
    <m/>
    <n v="0"/>
    <n v="1"/>
    <n v="0"/>
    <n v="0.64"/>
    <s v="KG"/>
    <n v="0"/>
    <n v="0"/>
    <n v="0"/>
    <n v="0"/>
    <n v="0"/>
    <n v="0"/>
    <n v="0"/>
    <s v="EUR"/>
    <m/>
    <s v="EXP20260603-2779498-"/>
    <s v="EXP20260603-2779498-"/>
    <s v="00KUR5UH"/>
    <s v="MESNARD RAYAN"/>
    <s v="6 RUE DE LA HOLLANDE"/>
    <m/>
    <m/>
    <n v="49300"/>
    <s v="CHOLET"/>
    <s v="FR"/>
    <s v="France"/>
    <m/>
  </r>
  <r>
    <x v="0"/>
    <n v="0"/>
    <n v="0"/>
    <n v="0"/>
    <n v="1"/>
    <n v="2501382993"/>
    <n v="103023265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44"/>
    <s v="04.06.2026"/>
    <x v="74"/>
    <n v="2604000036"/>
    <m/>
    <n v="0"/>
    <n v="1"/>
    <n v="0"/>
    <n v="0.28000000000000003"/>
    <s v="KG"/>
    <n v="0"/>
    <n v="0"/>
    <n v="0"/>
    <n v="0"/>
    <n v="0"/>
    <n v="0"/>
    <n v="0"/>
    <s v="EUR"/>
    <m/>
    <s v="EXP20260603-2779680-"/>
    <s v="EXP20260603-2779680-"/>
    <s v="00KUR5UI"/>
    <s v="OGEZ MAXIME"/>
    <s v="39, RUE DU LEVANT"/>
    <m/>
    <m/>
    <n v="34830"/>
    <s v="JACOU"/>
    <s v="FR"/>
    <s v="France"/>
    <m/>
  </r>
  <r>
    <x v="0"/>
    <n v="6.17"/>
    <n v="1.35"/>
    <n v="4.82"/>
    <n v="0.5"/>
    <n v="2501382993"/>
    <n v="103023265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45"/>
    <s v="04.06.2026"/>
    <x v="72"/>
    <n v="2604000034"/>
    <m/>
    <n v="0"/>
    <n v="0"/>
    <n v="0"/>
    <n v="0"/>
    <s v="KG"/>
    <n v="3.77"/>
    <n v="0.9"/>
    <n v="0.15"/>
    <n v="29.1"/>
    <n v="1.35"/>
    <n v="0"/>
    <n v="0"/>
    <s v="EUR"/>
    <m/>
    <s v="EXP20260603-2778120-"/>
    <s v="EXP20260603-2778120-"/>
    <s v="00KUR5UG"/>
    <s v="MARTINE ABITBOL"/>
    <s v="4 RUE SAINT GILLES 75003 PARIS"/>
    <m/>
    <m/>
    <n v="75003"/>
    <s v="PARIS"/>
    <s v="FR"/>
    <s v="France"/>
    <m/>
  </r>
  <r>
    <x v="0"/>
    <n v="6.17"/>
    <n v="1.35"/>
    <n v="4.82"/>
    <n v="0.5"/>
    <n v="2501382993"/>
    <n v="103023265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45"/>
    <s v="04.06.2026"/>
    <x v="74"/>
    <n v="2604000036"/>
    <m/>
    <n v="0"/>
    <n v="0"/>
    <n v="0"/>
    <n v="0"/>
    <s v="KG"/>
    <n v="3.77"/>
    <n v="0.9"/>
    <n v="0.15"/>
    <n v="29.1"/>
    <n v="1.35"/>
    <n v="0"/>
    <n v="0"/>
    <s v="EUR"/>
    <m/>
    <s v="EXP20260603-2779680-"/>
    <s v="EXP20260603-2779680-"/>
    <s v="00KUR5UI"/>
    <s v="OGEZ MAXIME"/>
    <s v="39, RUE DU LEVANT"/>
    <m/>
    <m/>
    <n v="34830"/>
    <s v="JACOU"/>
    <s v="FR"/>
    <s v="France"/>
    <m/>
  </r>
  <r>
    <x v="0"/>
    <n v="6.6000000000000005"/>
    <n v="1.45"/>
    <n v="5.15"/>
    <n v="1"/>
    <n v="2501382993"/>
    <n v="103023265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146"/>
    <s v="04.06.2026"/>
    <x v="73"/>
    <n v="2604000035"/>
    <m/>
    <n v="0"/>
    <n v="0"/>
    <n v="0"/>
    <n v="0"/>
    <s v="KG"/>
    <n v="4.0999999999999996"/>
    <n v="0.9"/>
    <n v="0.15"/>
    <n v="29.1"/>
    <n v="1.45"/>
    <n v="0"/>
    <n v="0"/>
    <s v="EUR"/>
    <m/>
    <s v="EXP20260603-2779498-"/>
    <s v="EXP20260603-2779498-"/>
    <s v="00KUR5UH"/>
    <s v="MESNARD RAYAN"/>
    <s v="6 RUE DE LA HOLLANDE"/>
    <m/>
    <m/>
    <n v="49300"/>
    <s v="CHOLET"/>
    <s v="FR"/>
    <s v="France"/>
    <m/>
  </r>
  <r>
    <x v="1"/>
    <n v="0"/>
    <n v="0"/>
    <n v="0"/>
    <e v="#N/A"/>
    <n v="2501382993"/>
    <n v="103023265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SUR_FS_AVIS_01"/>
    <s v="AvisÃ© FDS"/>
    <s v="SURCHALL"/>
    <m/>
    <n v="147"/>
    <s v="04.06.2026"/>
    <x v="39"/>
    <n v="2604000020"/>
    <m/>
    <n v="0"/>
    <n v="0"/>
    <n v="0"/>
    <n v="0"/>
    <s v="KG"/>
    <n v="0"/>
    <n v="0"/>
    <n v="0"/>
    <n v="0"/>
    <n v="0"/>
    <n v="0"/>
    <n v="0"/>
    <s v="EUR"/>
    <m/>
    <s v="EXP20260529-2770258-"/>
    <s v="EXP20260529-2770258-"/>
    <s v="00KUR5U2"/>
    <s v="DOUCE CANDICE"/>
    <s v="475 RUE PARADIS"/>
    <m/>
    <m/>
    <n v="13008"/>
    <s v="MARSEILLE"/>
    <s v="FR"/>
    <s v="France"/>
    <m/>
  </r>
  <r>
    <x v="0"/>
    <n v="7.0100000000000007"/>
    <n v="1.54"/>
    <n v="5.4700000000000006"/>
    <n v="2"/>
    <n v="2501382993"/>
    <n v="103023069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115"/>
    <s v="04.06.2026"/>
    <x v="75"/>
    <n v="2604000066"/>
    <m/>
    <n v="0"/>
    <n v="0"/>
    <n v="0"/>
    <n v="0"/>
    <s v="KG"/>
    <n v="4.42"/>
    <n v="0.9"/>
    <n v="0.15"/>
    <n v="29.1"/>
    <n v="1.54"/>
    <n v="0"/>
    <n v="0"/>
    <s v="EUR"/>
    <m/>
    <s v="EXP20260604-2779957-"/>
    <s v="EXP20260604-2779957-"/>
    <s v="00KZZJUF"/>
    <s v="BENCHEIKH NAJAT"/>
    <s v="33 RUE DES BERGERES"/>
    <m/>
    <m/>
    <n v="91940"/>
    <s v="LES ULIS"/>
    <s v="FR"/>
    <s v="France"/>
    <m/>
  </r>
  <r>
    <x v="0"/>
    <n v="7.0100000000000007"/>
    <n v="1.54"/>
    <n v="5.4700000000000006"/>
    <n v="2"/>
    <n v="2501382993"/>
    <n v="103023069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114"/>
    <s v="04.06.2026"/>
    <x v="76"/>
    <n v="2604000067"/>
    <m/>
    <n v="0"/>
    <n v="0"/>
    <n v="0"/>
    <n v="0"/>
    <s v="KG"/>
    <n v="4.42"/>
    <n v="0.9"/>
    <n v="0.15"/>
    <n v="29.1"/>
    <n v="1.54"/>
    <n v="0"/>
    <n v="0"/>
    <s v="EUR"/>
    <m/>
    <s v="EXP20260603-2779472-"/>
    <s v="EXP20260603-2779472-"/>
    <s v="00KZZJUG"/>
    <s v="TRETON ALEXIS"/>
    <s v="14 SQUARE JEAN MONNET"/>
    <m/>
    <m/>
    <n v="78140"/>
    <s v="VELIZY VILLACOUBLAY"/>
    <s v="FR"/>
    <s v="France"/>
    <m/>
  </r>
  <r>
    <x v="0"/>
    <n v="6.6000000000000005"/>
    <n v="1.45"/>
    <n v="5.15"/>
    <n v="1"/>
    <n v="2501382993"/>
    <n v="103023069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113"/>
    <s v="04.06.2026"/>
    <x v="68"/>
    <n v="2604000065"/>
    <m/>
    <n v="0"/>
    <n v="0"/>
    <n v="0"/>
    <n v="0"/>
    <s v="KG"/>
    <n v="4.0999999999999996"/>
    <n v="0.9"/>
    <n v="0.15"/>
    <n v="29.1"/>
    <n v="1.45"/>
    <n v="0"/>
    <n v="0"/>
    <s v="EUR"/>
    <m/>
    <s v="EXP20260603-2779671-"/>
    <s v="EXP20260603-2779671-"/>
    <s v="00KZZJUE"/>
    <s v="THOULOUZE ELODIE"/>
    <s v="RUE DES FARAYETTES"/>
    <m/>
    <m/>
    <n v="83136"/>
    <s v="GAREOULT"/>
    <s v="FR"/>
    <s v="France"/>
    <m/>
  </r>
  <r>
    <x v="0"/>
    <n v="6.17"/>
    <n v="1.35"/>
    <n v="4.82"/>
    <n v="0.5"/>
    <n v="2501382993"/>
    <n v="103023069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112"/>
    <s v="04.06.2026"/>
    <x v="77"/>
    <n v="2604000069"/>
    <m/>
    <n v="0"/>
    <n v="0"/>
    <n v="0"/>
    <n v="0"/>
    <s v="KG"/>
    <n v="3.77"/>
    <n v="0.9"/>
    <n v="0.15"/>
    <n v="29.1"/>
    <n v="1.35"/>
    <n v="0"/>
    <n v="0"/>
    <s v="EUR"/>
    <m/>
    <s v="EXP20260603-2779605-"/>
    <s v="EXP20260603-2779605-"/>
    <s v="00KZZJUI"/>
    <s v="MOIGNIER MANON"/>
    <s v="31 RUE DES ORMES"/>
    <m/>
    <m/>
    <n v="78860"/>
    <s v="SAINT-NOM-LA-BRETECHE"/>
    <s v="FR"/>
    <s v="France"/>
    <m/>
  </r>
  <r>
    <x v="0"/>
    <n v="0"/>
    <n v="0"/>
    <n v="0"/>
    <n v="1"/>
    <n v="2501382993"/>
    <n v="103023069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11"/>
    <s v="04.06.2026"/>
    <x v="77"/>
    <n v="2604000069"/>
    <m/>
    <n v="0"/>
    <n v="1"/>
    <n v="0"/>
    <n v="0.45"/>
    <s v="KG"/>
    <n v="0"/>
    <n v="0"/>
    <n v="0"/>
    <n v="0"/>
    <n v="0"/>
    <n v="0"/>
    <n v="0"/>
    <s v="EUR"/>
    <m/>
    <s v="EXP20260603-2779605-"/>
    <s v="EXP20260603-2779605-"/>
    <s v="00KZZJUI"/>
    <s v="MOIGNIER MANON"/>
    <s v="31 RUE DES ORMES"/>
    <m/>
    <m/>
    <n v="78860"/>
    <s v="SAINT-NOM-LA-BRETECHE"/>
    <s v="FR"/>
    <s v="France"/>
    <m/>
  </r>
  <r>
    <x v="0"/>
    <n v="0"/>
    <n v="0"/>
    <n v="0"/>
    <n v="2"/>
    <n v="2501382993"/>
    <n v="103023069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11"/>
    <s v="04.06.2026"/>
    <x v="71"/>
    <n v="2604000068"/>
    <m/>
    <n v="0"/>
    <n v="1"/>
    <n v="0"/>
    <n v="2"/>
    <s v="KG"/>
    <n v="0"/>
    <n v="0"/>
    <n v="0"/>
    <n v="0"/>
    <n v="0"/>
    <n v="0"/>
    <n v="0"/>
    <s v="EUR"/>
    <m/>
    <s v="EXP20260603-2779673-"/>
    <s v="EXP20260603-2779673-"/>
    <s v="00KZZJUH"/>
    <s v="TERNISIEN HELENE"/>
    <s v="13 RUE EMILE BATAILLE"/>
    <m/>
    <m/>
    <n v="93100"/>
    <s v="MONTREUIL"/>
    <s v="FR"/>
    <s v="France"/>
    <m/>
  </r>
  <r>
    <x v="0"/>
    <n v="0"/>
    <n v="0"/>
    <n v="0"/>
    <n v="2"/>
    <n v="2501382993"/>
    <n v="103023069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11"/>
    <s v="04.06.2026"/>
    <x v="75"/>
    <n v="2604000066"/>
    <m/>
    <n v="0"/>
    <n v="1"/>
    <n v="0"/>
    <n v="1.95"/>
    <s v="KG"/>
    <n v="0"/>
    <n v="0"/>
    <n v="0"/>
    <n v="0"/>
    <n v="0"/>
    <n v="0"/>
    <n v="0"/>
    <s v="EUR"/>
    <m/>
    <s v="EXP20260604-2779957-"/>
    <s v="EXP20260604-2779957-"/>
    <s v="00KZZJUF"/>
    <s v="BENCHEIKH NAJAT"/>
    <s v="33 RUE DES BERGERES"/>
    <m/>
    <m/>
    <n v="91940"/>
    <s v="LES ULIS"/>
    <s v="FR"/>
    <s v="France"/>
    <m/>
  </r>
  <r>
    <x v="0"/>
    <n v="0"/>
    <n v="0"/>
    <n v="0"/>
    <n v="2"/>
    <n v="2501382993"/>
    <n v="103023069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11"/>
    <s v="04.06.2026"/>
    <x v="76"/>
    <n v="2604000067"/>
    <m/>
    <n v="0"/>
    <n v="1"/>
    <n v="0"/>
    <n v="1.1599999999999999"/>
    <s v="KG"/>
    <n v="0"/>
    <n v="0"/>
    <n v="0"/>
    <n v="0"/>
    <n v="0"/>
    <n v="0"/>
    <n v="0"/>
    <s v="EUR"/>
    <m/>
    <s v="EXP20260603-2779472-"/>
    <s v="EXP20260603-2779472-"/>
    <s v="00KZZJUG"/>
    <s v="TRETON ALEXIS"/>
    <s v="14 SQUARE JEAN MONNET"/>
    <m/>
    <m/>
    <n v="78140"/>
    <s v="VELIZY VILLACOUBLAY"/>
    <s v="FR"/>
    <s v="France"/>
    <m/>
  </r>
  <r>
    <x v="0"/>
    <n v="7.0100000000000007"/>
    <n v="1.54"/>
    <n v="5.4700000000000006"/>
    <n v="2"/>
    <n v="2501382993"/>
    <n v="103023338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5"/>
    <s v="Business Parcel - Dis. 01 - Size 05"/>
    <s v="PARCEDOMESSTANDARD"/>
    <m/>
    <n v="170"/>
    <s v="05.06.2026"/>
    <x v="78"/>
    <n v="2604000042"/>
    <m/>
    <n v="0"/>
    <n v="0"/>
    <n v="0"/>
    <n v="0"/>
    <s v="KG"/>
    <n v="4.42"/>
    <n v="0.9"/>
    <n v="0.15"/>
    <n v="29.1"/>
    <n v="1.54"/>
    <n v="0"/>
    <n v="0"/>
    <s v="EUR"/>
    <m/>
    <s v="EXP20260604-2781631-"/>
    <s v="EXP20260604-2781631-"/>
    <s v="00KUR5UO"/>
    <s v="DEVISME NOEMIE"/>
    <s v="2 RUE DU POISSON BLEU"/>
    <m/>
    <m/>
    <n v="92290"/>
    <s v="CHATENAY MALABRY"/>
    <s v="FR"/>
    <s v="France"/>
    <m/>
  </r>
  <r>
    <x v="0"/>
    <n v="6.6000000000000005"/>
    <n v="1.45"/>
    <n v="5.15"/>
    <n v="1"/>
    <n v="2501382993"/>
    <n v="103023338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4"/>
    <s v="Business Parcel - Dis. 01 - Size 04"/>
    <s v="PARCEDOMESSTANDARD"/>
    <m/>
    <n v="169"/>
    <s v="05.06.2026"/>
    <x v="79"/>
    <n v="2604000043"/>
    <m/>
    <n v="0"/>
    <n v="0"/>
    <n v="0"/>
    <n v="0"/>
    <s v="KG"/>
    <n v="4.0999999999999996"/>
    <n v="0.9"/>
    <n v="0.15"/>
    <n v="29.1"/>
    <n v="1.45"/>
    <n v="0"/>
    <n v="0"/>
    <s v="EUR"/>
    <m/>
    <s v="EXP20260604-2781710-"/>
    <s v="EXP20260604-2781710-"/>
    <s v="00KUR5UP"/>
    <s v="COUDRAY MARINE"/>
    <s v="81 ANCIEN CHEMIN DU TRIADOU"/>
    <m/>
    <m/>
    <n v="34270"/>
    <s v="SAINT-JEAN-DE-CUCULLES"/>
    <s v="FR"/>
    <s v="France"/>
    <m/>
  </r>
  <r>
    <x v="0"/>
    <n v="6.6000000000000005"/>
    <n v="1.45"/>
    <n v="5.15"/>
    <n v="1"/>
    <n v="2501382993"/>
    <n v="103023338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4"/>
    <s v="Business Parcel - Dis. 01 - Size 04"/>
    <s v="PARCEDOMESSTANDARD"/>
    <m/>
    <n v="169"/>
    <s v="05.06.2026"/>
    <x v="80"/>
    <n v="2604000037"/>
    <m/>
    <n v="0"/>
    <n v="0"/>
    <n v="0"/>
    <n v="0"/>
    <s v="KG"/>
    <n v="4.0999999999999996"/>
    <n v="0.9"/>
    <n v="0.15"/>
    <n v="29.1"/>
    <n v="1.45"/>
    <n v="0"/>
    <n v="0"/>
    <s v="EUR"/>
    <m/>
    <s v="EXP20260604-2780111-"/>
    <s v="EXP20260604-2780111-"/>
    <s v="00KUR5UJ"/>
    <s v="MARTINI MAXIME"/>
    <s v="4 AVENUE ALPHONSE MOREL"/>
    <m/>
    <m/>
    <n v="6130"/>
    <s v="GRASSE"/>
    <s v="FR"/>
    <s v="France"/>
    <m/>
  </r>
  <r>
    <x v="0"/>
    <n v="6.6000000000000005"/>
    <n v="1.45"/>
    <n v="5.15"/>
    <n v="1"/>
    <n v="2501382993"/>
    <n v="103023338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168"/>
    <s v="05.06.2026"/>
    <x v="81"/>
    <n v="2604000038"/>
    <m/>
    <n v="0"/>
    <n v="0"/>
    <n v="0"/>
    <n v="0"/>
    <s v="KG"/>
    <n v="4.0999999999999996"/>
    <n v="0.9"/>
    <n v="0.15"/>
    <n v="29.1"/>
    <n v="1.45"/>
    <n v="0"/>
    <n v="0"/>
    <s v="EUR"/>
    <m/>
    <s v="EXP20260604-2780173-"/>
    <s v="EXP20260604-2780173-"/>
    <s v="00KUR5UK"/>
    <s v="MARTINI MAXIME"/>
    <s v="4 AVENUE ALPHONSE MOREL"/>
    <m/>
    <m/>
    <n v="6130"/>
    <s v="GRASSE"/>
    <s v="FR"/>
    <s v="France"/>
    <m/>
  </r>
  <r>
    <x v="0"/>
    <n v="6.17"/>
    <n v="1.35"/>
    <n v="4.82"/>
    <n v="0.5"/>
    <n v="2501382993"/>
    <n v="103023338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67"/>
    <s v="05.06.2026"/>
    <x v="82"/>
    <n v="2604000041"/>
    <m/>
    <n v="0"/>
    <n v="0"/>
    <n v="0"/>
    <n v="0"/>
    <s v="KG"/>
    <n v="3.77"/>
    <n v="0.9"/>
    <n v="0.15"/>
    <n v="29.1"/>
    <n v="1.35"/>
    <n v="0"/>
    <n v="0"/>
    <s v="EUR"/>
    <m/>
    <s v="EXP20260604-2781583-"/>
    <s v="EXP20260604-2781583-"/>
    <s v="00KUR5UN"/>
    <s v="MARTINI MAXIME"/>
    <s v="4 AVENUE ALPHONSE MOREL"/>
    <m/>
    <m/>
    <n v="6130"/>
    <s v="GRASSE"/>
    <s v="FR"/>
    <s v="France"/>
    <m/>
  </r>
  <r>
    <x v="0"/>
    <n v="6.17"/>
    <n v="1.35"/>
    <n v="4.82"/>
    <n v="0.5"/>
    <n v="2501382993"/>
    <n v="103023338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67"/>
    <s v="05.06.2026"/>
    <x v="83"/>
    <n v="2604000040"/>
    <m/>
    <n v="0"/>
    <n v="0"/>
    <n v="0"/>
    <n v="0"/>
    <s v="KG"/>
    <n v="3.77"/>
    <n v="0.9"/>
    <n v="0.15"/>
    <n v="29.1"/>
    <n v="1.35"/>
    <n v="0"/>
    <n v="0"/>
    <s v="EUR"/>
    <m/>
    <s v="EXP20260604-2781064-"/>
    <s v="EXP20260604-2781064-"/>
    <s v="00KUR5UM"/>
    <s v="LOPEZ VINCENT"/>
    <s v="340 CHEMIN DE BOUSSAZ"/>
    <m/>
    <m/>
    <n v="74700"/>
    <s v="SALLANCHES"/>
    <s v="FR"/>
    <s v="France"/>
    <m/>
  </r>
  <r>
    <x v="0"/>
    <n v="6.17"/>
    <n v="1.35"/>
    <n v="4.82"/>
    <n v="0.5"/>
    <n v="2501382993"/>
    <n v="103023338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67"/>
    <s v="05.06.2026"/>
    <x v="84"/>
    <n v="2604000039"/>
    <m/>
    <n v="0"/>
    <n v="0"/>
    <n v="0"/>
    <n v="0"/>
    <s v="KG"/>
    <n v="3.77"/>
    <n v="0.9"/>
    <n v="0.15"/>
    <n v="29.1"/>
    <n v="1.35"/>
    <n v="0"/>
    <n v="0"/>
    <s v="EUR"/>
    <m/>
    <s v="EXP20260604-2780773-"/>
    <s v="EXP20260604-2780773-"/>
    <s v="00KUR5UL"/>
    <s v="ANAIS NATAF"/>
    <s v="30 RUE MARIE LOUISE 13008 MARS"/>
    <m/>
    <m/>
    <n v="13008"/>
    <s v="MARSEILLE"/>
    <s v="FR"/>
    <s v="France"/>
    <m/>
  </r>
  <r>
    <x v="0"/>
    <n v="0"/>
    <n v="0"/>
    <n v="0"/>
    <n v="1"/>
    <n v="2501382993"/>
    <n v="103023338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66"/>
    <s v="05.06.2026"/>
    <x v="79"/>
    <n v="2604000043"/>
    <m/>
    <n v="0"/>
    <n v="1"/>
    <n v="0"/>
    <n v="0.8"/>
    <s v="KG"/>
    <n v="0"/>
    <n v="0"/>
    <n v="0"/>
    <n v="0"/>
    <n v="0"/>
    <n v="0"/>
    <n v="0"/>
    <s v="EUR"/>
    <m/>
    <s v="EXP20260604-2781710-"/>
    <s v="EXP20260604-2781710-"/>
    <s v="00KUR5UP"/>
    <s v="COUDRAY MARINE"/>
    <s v="81 ANCIEN CHEMIN DU TRIADOU"/>
    <m/>
    <m/>
    <n v="34270"/>
    <s v="SAINT-JEAN-DE-CUCULLES"/>
    <s v="FR"/>
    <s v="France"/>
    <m/>
  </r>
  <r>
    <x v="0"/>
    <n v="0"/>
    <n v="0"/>
    <n v="0"/>
    <n v="2"/>
    <n v="2501382993"/>
    <n v="103023338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66"/>
    <s v="05.06.2026"/>
    <x v="78"/>
    <n v="2604000042"/>
    <m/>
    <n v="0"/>
    <n v="1"/>
    <n v="0"/>
    <n v="1.04"/>
    <s v="KG"/>
    <n v="0"/>
    <n v="0"/>
    <n v="0"/>
    <n v="0"/>
    <n v="0"/>
    <n v="0"/>
    <n v="0"/>
    <s v="EUR"/>
    <m/>
    <s v="EXP20260604-2781631-"/>
    <s v="EXP20260604-2781631-"/>
    <s v="00KUR5UO"/>
    <s v="DEVISME NOEMIE"/>
    <s v="2 RUE DU POISSON BLEU"/>
    <m/>
    <m/>
    <n v="92290"/>
    <s v="CHATENAY MALABRY"/>
    <s v="FR"/>
    <s v="France"/>
    <m/>
  </r>
  <r>
    <x v="0"/>
    <n v="0"/>
    <n v="0"/>
    <n v="0"/>
    <n v="1"/>
    <n v="2501382993"/>
    <n v="103023338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66"/>
    <s v="05.06.2026"/>
    <x v="82"/>
    <n v="2604000041"/>
    <m/>
    <n v="0"/>
    <n v="1"/>
    <n v="0"/>
    <n v="0.48"/>
    <s v="KG"/>
    <n v="0"/>
    <n v="0"/>
    <n v="0"/>
    <n v="0"/>
    <n v="0"/>
    <n v="0"/>
    <n v="0"/>
    <s v="EUR"/>
    <m/>
    <s v="EXP20260604-2781583-"/>
    <s v="EXP20260604-2781583-"/>
    <s v="00KUR5UN"/>
    <s v="MARTINI MAXIME"/>
    <s v="4 AVENUE ALPHONSE MOREL"/>
    <m/>
    <m/>
    <n v="6130"/>
    <s v="GRASSE"/>
    <s v="FR"/>
    <s v="France"/>
    <m/>
  </r>
  <r>
    <x v="2"/>
    <n v="3.04"/>
    <n v="0.68"/>
    <n v="2.36"/>
    <e v="#N/A"/>
    <n v="2501382993"/>
    <n v="103022322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CARD_01"/>
    <s v="Majoration AvisÃ© sans TÃ©l ou mail"/>
    <s v="SURCHALL NTFCNCRD"/>
    <m/>
    <n v="95"/>
    <s v="05.06.2026"/>
    <x v="75"/>
    <n v="2604000066"/>
    <m/>
    <n v="0"/>
    <n v="0"/>
    <n v="0"/>
    <n v="0"/>
    <s v="KG"/>
    <n v="2.36"/>
    <n v="0"/>
    <n v="0"/>
    <n v="29.1"/>
    <n v="0.68"/>
    <n v="0"/>
    <n v="0"/>
    <s v="EUR"/>
    <m/>
    <s v="EXP20260604-2779957-"/>
    <s v="EXP20260604-2779957-"/>
    <s v="00KZZJUF"/>
    <s v="BENCHEIKH NAJAT"/>
    <s v="33 RUE DES BERGERES"/>
    <m/>
    <m/>
    <n v="91940"/>
    <s v="LES ULIS"/>
    <s v="FR"/>
    <s v="France"/>
    <m/>
  </r>
  <r>
    <x v="0"/>
    <n v="7.0100000000000007"/>
    <n v="1.54"/>
    <n v="5.4700000000000006"/>
    <n v="2"/>
    <n v="2501382993"/>
    <n v="103022322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92"/>
    <s v="05.06.2026"/>
    <x v="85"/>
    <n v="2604000075"/>
    <m/>
    <n v="0"/>
    <n v="0"/>
    <n v="0"/>
    <n v="0"/>
    <s v="KG"/>
    <n v="4.42"/>
    <n v="0.9"/>
    <n v="0.15"/>
    <n v="29.1"/>
    <n v="1.54"/>
    <n v="0"/>
    <n v="0"/>
    <s v="EUR"/>
    <m/>
    <s v="EXP20260605-2782630-"/>
    <s v="EXP20260605-2782630-"/>
    <s v="00KZZJUO"/>
    <s v="FRUHAUF CATHERINE"/>
    <s v="2 RUE DES MACONS"/>
    <m/>
    <m/>
    <n v="57720"/>
    <s v="HOTTVILLER"/>
    <s v="FR"/>
    <s v="France"/>
    <m/>
  </r>
  <r>
    <x v="0"/>
    <n v="7.0100000000000007"/>
    <n v="1.54"/>
    <n v="5.4700000000000006"/>
    <n v="2"/>
    <n v="2501382993"/>
    <n v="103022322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92"/>
    <s v="05.06.2026"/>
    <x v="86"/>
    <n v="2604000074"/>
    <m/>
    <n v="0"/>
    <n v="0"/>
    <n v="0"/>
    <n v="0"/>
    <s v="KG"/>
    <n v="4.42"/>
    <n v="0.9"/>
    <n v="0.15"/>
    <n v="29.1"/>
    <n v="1.54"/>
    <n v="0"/>
    <n v="0"/>
    <s v="EUR"/>
    <m/>
    <s v="EXP20260604-2781474-"/>
    <s v="EXP20260604-2781474-"/>
    <s v="00KZZJUN"/>
    <s v="DALLENBACH LAURIE"/>
    <s v="380 CHEM. DES PONCHONS"/>
    <m/>
    <m/>
    <n v="6610"/>
    <s v="LA GAUDE"/>
    <s v="FR"/>
    <s v="France"/>
    <m/>
  </r>
  <r>
    <x v="0"/>
    <n v="7.0100000000000007"/>
    <n v="1.54"/>
    <n v="5.4700000000000006"/>
    <n v="2"/>
    <n v="2501382993"/>
    <n v="103022322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92"/>
    <s v="05.06.2026"/>
    <x v="87"/>
    <n v="2604000072"/>
    <m/>
    <n v="0"/>
    <n v="0"/>
    <n v="0"/>
    <n v="0"/>
    <s v="KG"/>
    <n v="4.42"/>
    <n v="0.9"/>
    <n v="0.15"/>
    <n v="29.1"/>
    <n v="1.54"/>
    <n v="0"/>
    <n v="0"/>
    <s v="EUR"/>
    <m/>
    <s v="EXP20260604-2781475-"/>
    <s v="EXP20260604-2781475-"/>
    <s v="00KZZJUL"/>
    <s v="TRETON ALEXIS"/>
    <s v="14 SQUARE JEAN MONNET"/>
    <m/>
    <m/>
    <n v="78140"/>
    <s v="VELIZY VILLACOUBLAY"/>
    <s v="FR"/>
    <s v="France"/>
    <m/>
  </r>
  <r>
    <x v="0"/>
    <n v="7.0100000000000007"/>
    <n v="1.54"/>
    <n v="5.4700000000000006"/>
    <n v="2"/>
    <n v="2501382993"/>
    <n v="103022322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91"/>
    <s v="05.06.2026"/>
    <x v="88"/>
    <n v="2604000073"/>
    <m/>
    <n v="0"/>
    <n v="0"/>
    <n v="0"/>
    <n v="0"/>
    <s v="KG"/>
    <n v="4.42"/>
    <n v="0.9"/>
    <n v="0.15"/>
    <n v="29.1"/>
    <n v="1.54"/>
    <n v="0"/>
    <n v="0"/>
    <s v="EUR"/>
    <m/>
    <s v="EXP20260605-2782181-"/>
    <s v="EXP20260605-2782181-"/>
    <s v="00KZZJUM"/>
    <s v="FRANCOIS HELOISE"/>
    <s v="9 PLACE D'AUSTERLITZ (PHARMACI"/>
    <m/>
    <m/>
    <n v="51800"/>
    <s v="SAINTE-MENEHOULD"/>
    <s v="FR"/>
    <s v="France"/>
    <m/>
  </r>
  <r>
    <x v="0"/>
    <n v="0"/>
    <n v="0"/>
    <n v="0"/>
    <n v="2"/>
    <n v="2501382993"/>
    <n v="103022322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90"/>
    <s v="05.06.2026"/>
    <x v="89"/>
    <n v="2604000076"/>
    <m/>
    <n v="0"/>
    <n v="1"/>
    <n v="0"/>
    <n v="1.62"/>
    <s v="KG"/>
    <n v="0"/>
    <n v="0"/>
    <n v="0"/>
    <n v="0"/>
    <n v="0"/>
    <n v="0"/>
    <n v="0"/>
    <s v="EUR"/>
    <m/>
    <s v="EXP20260605-2782367-"/>
    <s v="EXP20260605-2782367-"/>
    <s v="00KZZJUP"/>
    <s v="BUFFET GILLES"/>
    <s v="90 CHEMIN DES VALLIERES"/>
    <m/>
    <m/>
    <n v="74200"/>
    <s v="LYAUD"/>
    <s v="FR"/>
    <s v="France"/>
    <m/>
  </r>
  <r>
    <x v="0"/>
    <n v="0"/>
    <n v="0"/>
    <n v="0"/>
    <n v="2"/>
    <n v="2501382993"/>
    <n v="103022322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90"/>
    <s v="05.06.2026"/>
    <x v="85"/>
    <n v="2604000075"/>
    <m/>
    <n v="0"/>
    <n v="1"/>
    <n v="0"/>
    <n v="1.92"/>
    <s v="KG"/>
    <n v="0"/>
    <n v="0"/>
    <n v="0"/>
    <n v="0"/>
    <n v="0"/>
    <n v="0"/>
    <n v="0"/>
    <s v="EUR"/>
    <m/>
    <s v="EXP20260605-2782630-"/>
    <s v="EXP20260605-2782630-"/>
    <s v="00KZZJUO"/>
    <s v="FRUHAUF CATHERINE"/>
    <s v="2 RUE DES MACONS"/>
    <m/>
    <m/>
    <n v="57720"/>
    <s v="HOTTVILLER"/>
    <s v="FR"/>
    <s v="France"/>
    <m/>
  </r>
  <r>
    <x v="0"/>
    <n v="0"/>
    <n v="0"/>
    <n v="0"/>
    <n v="2"/>
    <n v="2501382993"/>
    <n v="103022322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90"/>
    <s v="05.06.2026"/>
    <x v="86"/>
    <n v="2604000074"/>
    <m/>
    <n v="0"/>
    <n v="1"/>
    <n v="0"/>
    <n v="1.66"/>
    <s v="KG"/>
    <n v="0"/>
    <n v="0"/>
    <n v="0"/>
    <n v="0"/>
    <n v="0"/>
    <n v="0"/>
    <n v="0"/>
    <s v="EUR"/>
    <m/>
    <s v="EXP20260604-2781474-"/>
    <s v="EXP20260604-2781474-"/>
    <s v="00KZZJUN"/>
    <s v="DALLENBACH LAURIE"/>
    <s v="380 CHEM. DES PONCHONS"/>
    <m/>
    <m/>
    <n v="6610"/>
    <s v="LA GAUDE"/>
    <s v="FR"/>
    <s v="France"/>
    <m/>
  </r>
  <r>
    <x v="0"/>
    <n v="8.15"/>
    <n v="1.8"/>
    <n v="6.3500000000000005"/>
    <n v="4"/>
    <n v="2501382993"/>
    <n v="103022322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8"/>
    <s v="Business Parcel - Dis. 01 - Size 08"/>
    <s v="PARCEDOMESSTANDARD"/>
    <m/>
    <n v="94"/>
    <s v="05.06.2026"/>
    <x v="90"/>
    <n v="2604000071"/>
    <m/>
    <n v="0"/>
    <n v="0"/>
    <n v="0"/>
    <n v="0"/>
    <s v="KG"/>
    <n v="5.3"/>
    <n v="0.9"/>
    <n v="0.15"/>
    <n v="29.1"/>
    <n v="1.8"/>
    <n v="0"/>
    <n v="0"/>
    <s v="EUR"/>
    <m/>
    <s v="EXP20260604-2781388-"/>
    <s v="EXP20260604-2781388-"/>
    <s v="00KZZJUK"/>
    <s v="COUDRAY SOPHIE"/>
    <s v="9 AVENUE FLORIAN"/>
    <m/>
    <m/>
    <n v="92350"/>
    <s v="LE PLESSIS ROBINSON"/>
    <s v="FR"/>
    <s v="France"/>
    <m/>
  </r>
  <r>
    <x v="0"/>
    <n v="7.4300000000000006"/>
    <n v="1.64"/>
    <n v="5.7900000000000009"/>
    <n v="3"/>
    <n v="2501382993"/>
    <n v="103022322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93"/>
    <s v="05.06.2026"/>
    <x v="91"/>
    <n v="2604000070"/>
    <m/>
    <n v="0"/>
    <n v="0"/>
    <n v="0"/>
    <n v="0"/>
    <s v="KG"/>
    <n v="4.74"/>
    <n v="0.9"/>
    <n v="0.15"/>
    <n v="29.1"/>
    <n v="1.64"/>
    <n v="0"/>
    <n v="0"/>
    <s v="EUR"/>
    <m/>
    <s v="EXP20260604-2780721-"/>
    <s v="EXP20260604-2780721-"/>
    <s v="00KZZJUJ"/>
    <s v="DEFFRENNES HELENE"/>
    <s v="1 IMPASSE JOAN MIRO"/>
    <m/>
    <m/>
    <n v="42530"/>
    <s v="SAINT-GENEST-LERPT"/>
    <s v="FR"/>
    <s v="France"/>
    <m/>
  </r>
  <r>
    <x v="0"/>
    <n v="7.0100000000000007"/>
    <n v="1.54"/>
    <n v="5.4700000000000006"/>
    <n v="2"/>
    <n v="2501382993"/>
    <n v="103022322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92"/>
    <s v="05.06.2026"/>
    <x v="89"/>
    <n v="2604000076"/>
    <m/>
    <n v="0"/>
    <n v="0"/>
    <n v="0"/>
    <n v="0"/>
    <s v="KG"/>
    <n v="4.42"/>
    <n v="0.9"/>
    <n v="0.15"/>
    <n v="29.1"/>
    <n v="1.54"/>
    <n v="0"/>
    <n v="0"/>
    <s v="EUR"/>
    <m/>
    <s v="EXP20260605-2782367-"/>
    <s v="EXP20260605-2782367-"/>
    <s v="00KZZJUP"/>
    <s v="BUFFET GILLES"/>
    <s v="90 CHEMIN DES VALLIERES"/>
    <m/>
    <m/>
    <n v="74200"/>
    <s v="LYAUD"/>
    <s v="FR"/>
    <s v="France"/>
    <m/>
  </r>
  <r>
    <x v="0"/>
    <n v="0"/>
    <n v="0"/>
    <n v="0"/>
    <n v="2"/>
    <n v="2501382993"/>
    <n v="103022322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90"/>
    <s v="05.06.2026"/>
    <x v="88"/>
    <n v="2604000073"/>
    <m/>
    <n v="0"/>
    <n v="1"/>
    <n v="0"/>
    <n v="1.18"/>
    <s v="KG"/>
    <n v="0"/>
    <n v="0"/>
    <n v="0"/>
    <n v="0"/>
    <n v="0"/>
    <n v="0"/>
    <n v="0"/>
    <s v="EUR"/>
    <m/>
    <s v="EXP20260605-2782181-"/>
    <s v="EXP20260605-2782181-"/>
    <s v="00KZZJUM"/>
    <s v="FRANCOIS HELOISE"/>
    <s v="9 PLACE D'AUSTERLITZ (PHARMACI"/>
    <m/>
    <m/>
    <n v="51800"/>
    <s v="SAINTE-MENEHOULD"/>
    <s v="FR"/>
    <s v="France"/>
    <m/>
  </r>
  <r>
    <x v="0"/>
    <n v="0"/>
    <n v="0"/>
    <n v="0"/>
    <n v="2"/>
    <n v="2501382993"/>
    <n v="103022322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90"/>
    <s v="05.06.2026"/>
    <x v="87"/>
    <n v="2604000072"/>
    <m/>
    <n v="0"/>
    <n v="1"/>
    <n v="0"/>
    <n v="1.7"/>
    <s v="KG"/>
    <n v="0"/>
    <n v="0"/>
    <n v="0"/>
    <n v="0"/>
    <n v="0"/>
    <n v="0"/>
    <n v="0"/>
    <s v="EUR"/>
    <m/>
    <s v="EXP20260604-2781475-"/>
    <s v="EXP20260604-2781475-"/>
    <s v="00KZZJUL"/>
    <s v="TRETON ALEXIS"/>
    <s v="14 SQUARE JEAN MONNET"/>
    <m/>
    <m/>
    <n v="78140"/>
    <s v="VELIZY VILLACOUBLAY"/>
    <s v="FR"/>
    <s v="France"/>
    <m/>
  </r>
  <r>
    <x v="1"/>
    <n v="0"/>
    <n v="0"/>
    <n v="0"/>
    <e v="#N/A"/>
    <n v="2501382993"/>
    <n v="103022322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FS_AVIS_01"/>
    <s v="AvisÃ© FDS"/>
    <s v="SURCHALL"/>
    <m/>
    <n v="96"/>
    <s v="05.06.2026"/>
    <x v="26"/>
    <n v="2604000037"/>
    <m/>
    <n v="0"/>
    <n v="0"/>
    <n v="0"/>
    <n v="0"/>
    <s v="KG"/>
    <n v="0"/>
    <n v="0"/>
    <n v="0"/>
    <n v="0"/>
    <n v="0"/>
    <n v="0"/>
    <n v="0"/>
    <s v="EUR"/>
    <m/>
    <s v="EXP20260530-2771657-"/>
    <s v="EXP20260530-2771657-"/>
    <s v="00KZZJTM"/>
    <s v="HARTMANN CHARLOTTE"/>
    <s v="222 CHEMIN DENTABOR"/>
    <m/>
    <m/>
    <n v="31450"/>
    <s v="BAZIEGE"/>
    <s v="FR"/>
    <s v="France"/>
    <m/>
  </r>
  <r>
    <x v="1"/>
    <n v="0"/>
    <n v="0"/>
    <n v="0"/>
    <e v="#N/A"/>
    <n v="2501382993"/>
    <n v="103022322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FS_AVIS_01"/>
    <s v="AvisÃ© FDS"/>
    <s v="SURCHALL"/>
    <m/>
    <n v="96"/>
    <s v="05.06.2026"/>
    <x v="75"/>
    <n v="2604000066"/>
    <m/>
    <n v="0"/>
    <n v="0"/>
    <n v="0"/>
    <n v="0"/>
    <s v="KG"/>
    <n v="0"/>
    <n v="0"/>
    <n v="0"/>
    <n v="0"/>
    <n v="0"/>
    <n v="0"/>
    <n v="0"/>
    <s v="EUR"/>
    <m/>
    <s v="EXP20260604-2779957-"/>
    <s v="EXP20260604-2779957-"/>
    <s v="00KZZJUF"/>
    <s v="BENCHEIKH NAJAT"/>
    <s v="33 RUE DES BERGERES"/>
    <m/>
    <m/>
    <n v="91940"/>
    <s v="LES ULIS"/>
    <s v="FR"/>
    <s v="France"/>
    <m/>
  </r>
  <r>
    <x v="1"/>
    <n v="0"/>
    <n v="0"/>
    <n v="0"/>
    <e v="#N/A"/>
    <n v="2501382993"/>
    <n v="103022322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FS_AVIS_02"/>
    <s v="AvisÃ© FDS 2eme passage"/>
    <s v="SURCHALL"/>
    <m/>
    <n v="97"/>
    <s v="05.06.2026"/>
    <x v="16"/>
    <n v="2604000033"/>
    <m/>
    <n v="0"/>
    <n v="0"/>
    <n v="0"/>
    <n v="0"/>
    <s v="KG"/>
    <n v="0"/>
    <n v="0"/>
    <n v="0"/>
    <n v="0"/>
    <n v="0"/>
    <n v="0"/>
    <n v="0"/>
    <s v="EUR"/>
    <m/>
    <s v="EXP20260529-2769965-"/>
    <s v="EXP20260529-2769965-"/>
    <s v="00KZZJTI"/>
    <s v="FICHET MORGAN"/>
    <s v="9 RUE DU DOUET"/>
    <m/>
    <m/>
    <n v="35510"/>
    <s v="CESSON-SEVIGNE"/>
    <s v="FR"/>
    <s v="France"/>
    <m/>
  </r>
  <r>
    <x v="0"/>
    <n v="0"/>
    <n v="0"/>
    <n v="0"/>
    <n v="4"/>
    <n v="2501382993"/>
    <n v="103022322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90"/>
    <s v="05.06.2026"/>
    <x v="90"/>
    <n v="2604000071"/>
    <m/>
    <n v="0"/>
    <n v="1"/>
    <n v="0"/>
    <n v="3.05"/>
    <s v="KG"/>
    <n v="0"/>
    <n v="0"/>
    <n v="0"/>
    <n v="0"/>
    <n v="0"/>
    <n v="0"/>
    <n v="0"/>
    <s v="EUR"/>
    <m/>
    <s v="EXP20260604-2781388-"/>
    <s v="EXP20260604-2781388-"/>
    <s v="00KZZJUK"/>
    <s v="COUDRAY SOPHIE"/>
    <s v="9 AVENUE FLORIAN"/>
    <m/>
    <m/>
    <n v="92350"/>
    <s v="LE PLESSIS ROBINSON"/>
    <s v="FR"/>
    <s v="France"/>
    <m/>
  </r>
  <r>
    <x v="0"/>
    <n v="0"/>
    <n v="0"/>
    <n v="0"/>
    <n v="3"/>
    <n v="2501382993"/>
    <n v="103022322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90"/>
    <s v="05.06.2026"/>
    <x v="91"/>
    <n v="2604000070"/>
    <m/>
    <n v="0"/>
    <n v="1"/>
    <n v="0"/>
    <n v="2.46"/>
    <s v="KG"/>
    <n v="0"/>
    <n v="0"/>
    <n v="0"/>
    <n v="0"/>
    <n v="0"/>
    <n v="0"/>
    <n v="0"/>
    <s v="EUR"/>
    <m/>
    <s v="EXP20260604-2780721-"/>
    <s v="EXP20260604-2780721-"/>
    <s v="00KZZJUJ"/>
    <s v="DEFFRENNES HELENE"/>
    <s v="1 IMPASSE JOAN MIRO"/>
    <m/>
    <m/>
    <n v="42530"/>
    <s v="SAINT-GENEST-LERPT"/>
    <s v="FR"/>
    <s v="France"/>
    <m/>
  </r>
  <r>
    <x v="0"/>
    <n v="0"/>
    <n v="0"/>
    <n v="0"/>
    <n v="1"/>
    <n v="2501382993"/>
    <n v="103023338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66"/>
    <s v="05.06.2026"/>
    <x v="80"/>
    <n v="2604000037"/>
    <m/>
    <n v="0"/>
    <n v="1"/>
    <n v="0"/>
    <n v="0.78"/>
    <s v="KG"/>
    <n v="0"/>
    <n v="0"/>
    <n v="0"/>
    <n v="0"/>
    <n v="0"/>
    <n v="0"/>
    <n v="0"/>
    <s v="EUR"/>
    <m/>
    <s v="EXP20260604-2780111-"/>
    <s v="EXP20260604-2780111-"/>
    <s v="00KUR5UJ"/>
    <s v="MARTINI MAXIME"/>
    <s v="4 AVENUE ALPHONSE MOREL"/>
    <m/>
    <m/>
    <n v="6130"/>
    <s v="GRASSE"/>
    <s v="FR"/>
    <s v="France"/>
    <m/>
  </r>
  <r>
    <x v="0"/>
    <n v="0"/>
    <n v="0"/>
    <n v="0"/>
    <n v="1"/>
    <n v="2501382993"/>
    <n v="103023338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66"/>
    <s v="05.06.2026"/>
    <x v="81"/>
    <n v="2604000038"/>
    <m/>
    <n v="0"/>
    <n v="1"/>
    <n v="0"/>
    <n v="0.61"/>
    <s v="KG"/>
    <n v="0"/>
    <n v="0"/>
    <n v="0"/>
    <n v="0"/>
    <n v="0"/>
    <n v="0"/>
    <n v="0"/>
    <s v="EUR"/>
    <m/>
    <s v="EXP20260604-2780173-"/>
    <s v="EXP20260604-2780173-"/>
    <s v="00KUR5UK"/>
    <s v="MARTINI MAXIME"/>
    <s v="4 AVENUE ALPHONSE MOREL"/>
    <m/>
    <m/>
    <n v="6130"/>
    <s v="GRASSE"/>
    <s v="FR"/>
    <s v="France"/>
    <m/>
  </r>
  <r>
    <x v="0"/>
    <n v="0"/>
    <n v="0"/>
    <n v="0"/>
    <n v="1"/>
    <n v="2501382993"/>
    <n v="103023338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66"/>
    <s v="05.06.2026"/>
    <x v="84"/>
    <n v="2604000039"/>
    <m/>
    <n v="0"/>
    <n v="1"/>
    <n v="0"/>
    <n v="0.3"/>
    <s v="KG"/>
    <n v="0"/>
    <n v="0"/>
    <n v="0"/>
    <n v="0"/>
    <n v="0"/>
    <n v="0"/>
    <n v="0"/>
    <s v="EUR"/>
    <m/>
    <s v="EXP20260604-2780773-"/>
    <s v="EXP20260604-2780773-"/>
    <s v="00KUR5UL"/>
    <s v="ANAIS NATAF"/>
    <s v="30 RUE MARIE LOUISE 13008 MARS"/>
    <m/>
    <m/>
    <n v="13008"/>
    <s v="MARSEILLE"/>
    <s v="FR"/>
    <s v="France"/>
    <m/>
  </r>
  <r>
    <x v="0"/>
    <n v="0"/>
    <n v="0"/>
    <n v="0"/>
    <n v="1"/>
    <n v="2501382993"/>
    <n v="103023338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66"/>
    <s v="05.06.2026"/>
    <x v="83"/>
    <n v="2604000040"/>
    <m/>
    <n v="0"/>
    <n v="1"/>
    <n v="0"/>
    <n v="0.3"/>
    <s v="KG"/>
    <n v="0"/>
    <n v="0"/>
    <n v="0"/>
    <n v="0"/>
    <n v="0"/>
    <n v="0"/>
    <n v="0"/>
    <s v="EUR"/>
    <m/>
    <s v="EXP20260604-2781064-"/>
    <s v="EXP20260604-2781064-"/>
    <s v="00KUR5UM"/>
    <s v="LOPEZ VINCENT"/>
    <s v="340 CHEMIN DE BOUSSAZ"/>
    <m/>
    <m/>
    <n v="74700"/>
    <s v="SALLANCHES"/>
    <s v="FR"/>
    <s v="France"/>
    <m/>
  </r>
  <r>
    <x v="1"/>
    <n v="0"/>
    <n v="0"/>
    <n v="0"/>
    <e v="#N/A"/>
    <n v="2501382993"/>
    <n v="103023435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FS_AVIS_02"/>
    <s v="AvisÃ© FDS 2eme passage"/>
    <s v="SURCHALL"/>
    <m/>
    <n v="197"/>
    <s v="08.06.2026"/>
    <x v="26"/>
    <n v="2604000037"/>
    <m/>
    <n v="0"/>
    <n v="0"/>
    <n v="0"/>
    <n v="0"/>
    <s v="KG"/>
    <n v="0"/>
    <n v="0"/>
    <n v="0"/>
    <n v="0"/>
    <n v="0"/>
    <n v="0"/>
    <n v="0"/>
    <s v="EUR"/>
    <m/>
    <s v="EXP20260530-2771657-"/>
    <s v="EXP20260530-2771657-"/>
    <s v="00KZZJTM"/>
    <s v="HARTMANN CHARLOTTE"/>
    <s v="222 CHEMIN DENTABOR"/>
    <m/>
    <m/>
    <n v="31450"/>
    <s v="BAZIEGE"/>
    <s v="FR"/>
    <s v="France"/>
    <m/>
  </r>
  <r>
    <x v="0"/>
    <n v="0"/>
    <n v="0"/>
    <n v="0"/>
    <n v="2"/>
    <n v="2501382993"/>
    <n v="1030234552"/>
    <s v="30.06.2026"/>
    <n v="2500034092"/>
    <s v="LA RUCHE LOGISTIQUE"/>
    <n v="9000009190"/>
    <n v="46946"/>
    <s v="LA RUCHE"/>
    <n v="9000084611"/>
    <x v="4"/>
    <m/>
    <m/>
    <m/>
    <n v="2507012387"/>
    <s v="LA RUCHE LOGISTIQUE"/>
    <s v="FDS"/>
    <s v="FDS_D01_S01"/>
    <s v="BP FlexDelivery - Dis. 01 - Size 01"/>
    <s v="PARCEDOMESFDS"/>
    <m/>
    <n v="198"/>
    <s v="08.06.2026"/>
    <x v="92"/>
    <n v="6761431"/>
    <m/>
    <n v="0"/>
    <n v="1"/>
    <n v="0"/>
    <n v="1.02"/>
    <s v="KG"/>
    <n v="0"/>
    <n v="0"/>
    <n v="0"/>
    <n v="0"/>
    <n v="0"/>
    <n v="0"/>
    <n v="0"/>
    <s v="EUR"/>
    <m/>
    <s v="EXP20260607-2784982"/>
    <m/>
    <s v="00L0SRL4"/>
    <s v="MAZZOLENI SANDRA"/>
    <s v="354 ROUTE DES PRES COMMUNAUX"/>
    <m/>
    <m/>
    <n v="73110"/>
    <s v="ROTHERENS"/>
    <s v="FR"/>
    <s v="France"/>
    <m/>
  </r>
  <r>
    <x v="0"/>
    <n v="7.0100000000000007"/>
    <n v="1.54"/>
    <n v="5.4700000000000006"/>
    <n v="2"/>
    <n v="2501382993"/>
    <n v="1030234552"/>
    <s v="30.06.2026"/>
    <n v="2500034092"/>
    <s v="LA RUCHE LOGISTIQUE"/>
    <n v="9000009190"/>
    <n v="46946"/>
    <s v="LA RUCHE"/>
    <n v="9000084611"/>
    <x v="4"/>
    <m/>
    <m/>
    <m/>
    <n v="2507012387"/>
    <s v="LA RUCHE LOGISTIQUE"/>
    <s v="FDS"/>
    <s v="PARCEL_D01_S05"/>
    <s v="Business Parcel - Dis. 01 - Size 05"/>
    <s v="PARCEDOMESSTANDARD"/>
    <m/>
    <n v="199"/>
    <s v="08.06.2026"/>
    <x v="92"/>
    <n v="6761431"/>
    <m/>
    <n v="0"/>
    <n v="0"/>
    <n v="0"/>
    <n v="0"/>
    <s v="KG"/>
    <n v="4.42"/>
    <n v="0.9"/>
    <n v="0.15"/>
    <n v="29.1"/>
    <n v="1.54"/>
    <n v="0"/>
    <n v="0"/>
    <s v="EUR"/>
    <m/>
    <s v="EXP20260607-2784982"/>
    <m/>
    <s v="00L0SRL4"/>
    <s v="MAZZOLENI SANDRA"/>
    <s v="354 ROUTE DES PRES COMMUNAUX"/>
    <m/>
    <m/>
    <n v="73110"/>
    <s v="ROTHERENS"/>
    <s v="FR"/>
    <s v="France"/>
    <m/>
  </r>
  <r>
    <x v="0"/>
    <n v="9.6000000000000014"/>
    <n v="2.13"/>
    <n v="7.4700000000000015"/>
    <n v="6"/>
    <n v="2501382993"/>
    <n v="103023435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10"/>
    <s v="Business Parcel - Dis. 01 - Size 10"/>
    <s v="PARCEDOMESSTANDARD"/>
    <m/>
    <n v="196"/>
    <s v="08.06.2026"/>
    <x v="93"/>
    <n v="2604000077"/>
    <m/>
    <n v="0"/>
    <n v="0"/>
    <n v="0"/>
    <n v="0"/>
    <s v="KG"/>
    <n v="6.42"/>
    <n v="0.9"/>
    <n v="0.15"/>
    <n v="29.1"/>
    <n v="2.13"/>
    <n v="0"/>
    <n v="0"/>
    <s v="EUR"/>
    <m/>
    <s v="EXP20260606-2783929-"/>
    <s v="EXP20260606-2783929-"/>
    <s v="00KZZJUQ"/>
    <s v="DRAY CANDICE"/>
    <s v="4 RUE DE LA COURONNE"/>
    <m/>
    <m/>
    <n v="30000"/>
    <s v="NIMES"/>
    <s v="FR"/>
    <s v="France"/>
    <m/>
  </r>
  <r>
    <x v="0"/>
    <n v="0"/>
    <n v="0"/>
    <n v="0"/>
    <n v="6"/>
    <n v="2501382993"/>
    <n v="103023435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95"/>
    <s v="08.06.2026"/>
    <x v="93"/>
    <n v="2604000077"/>
    <m/>
    <n v="0"/>
    <n v="1"/>
    <n v="0"/>
    <n v="5.44"/>
    <s v="KG"/>
    <n v="0"/>
    <n v="0"/>
    <n v="0"/>
    <n v="0"/>
    <n v="0"/>
    <n v="0"/>
    <n v="0"/>
    <s v="EUR"/>
    <m/>
    <s v="EXP20260606-2783929-"/>
    <s v="EXP20260606-2783929-"/>
    <s v="00KZZJUQ"/>
    <s v="DRAY CANDICE"/>
    <s v="4 RUE DE LA COURONNE"/>
    <m/>
    <m/>
    <n v="30000"/>
    <s v="NIMES"/>
    <s v="FR"/>
    <s v="France"/>
    <m/>
  </r>
  <r>
    <x v="0"/>
    <n v="6.6000000000000005"/>
    <n v="1.45"/>
    <n v="5.15"/>
    <n v="1"/>
    <n v="2501382993"/>
    <n v="103023396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191"/>
    <s v="08.06.2026"/>
    <x v="94"/>
    <n v="2604000044"/>
    <m/>
    <n v="0"/>
    <n v="0"/>
    <n v="0"/>
    <n v="0"/>
    <s v="KG"/>
    <n v="4.0999999999999996"/>
    <n v="0.9"/>
    <n v="0.15"/>
    <n v="29.1"/>
    <n v="1.45"/>
    <n v="0"/>
    <n v="0"/>
    <s v="EUR"/>
    <m/>
    <s v="EXP20260605-2783071-"/>
    <s v="EXP20260605-2783071-"/>
    <s v="00KUR5UQ"/>
    <s v="CONGI MELISSA"/>
    <s v="12 RUE TRUFFAUT"/>
    <m/>
    <m/>
    <n v="75017"/>
    <s v="PARIS"/>
    <s v="FR"/>
    <s v="France"/>
    <m/>
  </r>
  <r>
    <x v="0"/>
    <n v="6.17"/>
    <n v="1.35"/>
    <n v="4.82"/>
    <n v="0.5"/>
    <n v="2501382993"/>
    <n v="103023396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90"/>
    <s v="08.06.2026"/>
    <x v="95"/>
    <n v="2604000045"/>
    <m/>
    <n v="0"/>
    <n v="0"/>
    <n v="0"/>
    <n v="0"/>
    <s v="KG"/>
    <n v="3.77"/>
    <n v="0.9"/>
    <n v="0.15"/>
    <n v="29.1"/>
    <n v="1.35"/>
    <n v="0"/>
    <n v="0"/>
    <s v="EUR"/>
    <m/>
    <s v="EXP20260605-2783070-"/>
    <s v="EXP20260605-2783070-"/>
    <s v="00KUR5UR"/>
    <s v="COIGNARD JADE"/>
    <s v="21 RUE REAUMUR"/>
    <m/>
    <m/>
    <n v="75003"/>
    <s v="PARIS"/>
    <s v="FR"/>
    <s v="France"/>
    <m/>
  </r>
  <r>
    <x v="0"/>
    <n v="0"/>
    <n v="0"/>
    <n v="0"/>
    <n v="1"/>
    <n v="2501382993"/>
    <n v="103023396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89"/>
    <s v="08.06.2026"/>
    <x v="95"/>
    <n v="2604000045"/>
    <m/>
    <n v="0"/>
    <n v="1"/>
    <n v="0"/>
    <n v="0.3"/>
    <s v="KG"/>
    <n v="0"/>
    <n v="0"/>
    <n v="0"/>
    <n v="0"/>
    <n v="0"/>
    <n v="0"/>
    <n v="0"/>
    <s v="EUR"/>
    <m/>
    <s v="EXP20260605-2783070-"/>
    <s v="EXP20260605-2783070-"/>
    <s v="00KUR5UR"/>
    <s v="COIGNARD JADE"/>
    <s v="21 RUE REAUMUR"/>
    <m/>
    <m/>
    <n v="75003"/>
    <s v="PARIS"/>
    <s v="FR"/>
    <s v="France"/>
    <m/>
  </r>
  <r>
    <x v="0"/>
    <n v="0"/>
    <n v="0"/>
    <n v="0"/>
    <n v="1"/>
    <n v="2501382993"/>
    <n v="103023396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89"/>
    <s v="08.06.2026"/>
    <x v="94"/>
    <n v="2604000044"/>
    <m/>
    <n v="0"/>
    <n v="1"/>
    <n v="0"/>
    <n v="0.52"/>
    <s v="KG"/>
    <n v="0"/>
    <n v="0"/>
    <n v="0"/>
    <n v="0"/>
    <n v="0"/>
    <n v="0"/>
    <n v="0"/>
    <s v="EUR"/>
    <m/>
    <s v="EXP20260605-2783071-"/>
    <s v="EXP20260605-2783071-"/>
    <s v="00KUR5UQ"/>
    <s v="CONGI MELISSA"/>
    <s v="12 RUE TRUFFAUT"/>
    <m/>
    <m/>
    <n v="75017"/>
    <s v="PARIS"/>
    <s v="FR"/>
    <s v="France"/>
    <m/>
  </r>
  <r>
    <x v="0"/>
    <n v="0"/>
    <n v="0"/>
    <n v="0"/>
    <n v="2"/>
    <n v="2501382993"/>
    <n v="103022309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85"/>
    <s v="09.06.2026"/>
    <x v="96"/>
    <n v="2604000080"/>
    <m/>
    <n v="0"/>
    <n v="1"/>
    <n v="0"/>
    <n v="1.72"/>
    <s v="KG"/>
    <n v="0"/>
    <n v="0"/>
    <n v="0"/>
    <n v="0"/>
    <n v="0"/>
    <n v="0"/>
    <n v="0"/>
    <s v="EUR"/>
    <m/>
    <s v="EXP20260608-2786027-"/>
    <s v="EXP20260608-2786027-"/>
    <s v="00KZZJUT"/>
    <s v="MAISONNEUVE CAROLE"/>
    <s v="2 RUE DE LA VALLEE"/>
    <m/>
    <m/>
    <n v="69290"/>
    <s v="SAINT-GENIS-LES-OLLIERES"/>
    <s v="FR"/>
    <s v="France"/>
    <m/>
  </r>
  <r>
    <x v="0"/>
    <n v="0"/>
    <n v="0"/>
    <n v="0"/>
    <n v="1"/>
    <n v="2501382993"/>
    <n v="103022309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85"/>
    <s v="09.06.2026"/>
    <x v="97"/>
    <n v="2604000081"/>
    <m/>
    <n v="0"/>
    <n v="1"/>
    <n v="0"/>
    <n v="0.52"/>
    <s v="KG"/>
    <n v="0"/>
    <n v="0"/>
    <n v="0"/>
    <n v="0"/>
    <n v="0"/>
    <n v="0"/>
    <n v="0"/>
    <s v="EUR"/>
    <m/>
    <s v="EXP20260608-2787171-"/>
    <s v="EXP20260608-2787171-"/>
    <s v="00KZZJUU"/>
    <s v="ALLIX CHRISTINE"/>
    <s v="120 RUE DE SILLY"/>
    <m/>
    <m/>
    <n v="92100"/>
    <s v="BOULOGNE-BILLANCOURT"/>
    <s v="FR"/>
    <s v="France"/>
    <m/>
  </r>
  <r>
    <x v="0"/>
    <n v="6.17"/>
    <n v="1.35"/>
    <n v="4.82"/>
    <n v="0.5"/>
    <n v="2501382993"/>
    <n v="103022309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86"/>
    <s v="09.06.2026"/>
    <x v="98"/>
    <n v="2604000078"/>
    <m/>
    <n v="0"/>
    <n v="0"/>
    <n v="0"/>
    <n v="0"/>
    <s v="KG"/>
    <n v="3.77"/>
    <n v="0.9"/>
    <n v="0.15"/>
    <n v="29.1"/>
    <n v="1.35"/>
    <n v="0"/>
    <n v="0"/>
    <s v="EUR"/>
    <m/>
    <s v="EXP20260605-2783167-"/>
    <s v="EXP20260605-2783167-"/>
    <s v="00KZZJUR"/>
    <s v="SAINT MARTIN EMMA"/>
    <s v="29 RUE HENRI PAUQUET"/>
    <m/>
    <m/>
    <n v="60100"/>
    <s v="CREIL"/>
    <s v="FR"/>
    <s v="France"/>
    <m/>
  </r>
  <r>
    <x v="0"/>
    <n v="0"/>
    <n v="0"/>
    <n v="0"/>
    <n v="3"/>
    <n v="2501382993"/>
    <n v="103022309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85"/>
    <s v="09.06.2026"/>
    <x v="99"/>
    <n v="2604000079"/>
    <m/>
    <n v="0"/>
    <n v="1"/>
    <n v="0"/>
    <n v="2.2799999999999998"/>
    <s v="KG"/>
    <n v="0"/>
    <n v="0"/>
    <n v="0"/>
    <n v="0"/>
    <n v="0"/>
    <n v="0"/>
    <n v="0"/>
    <s v="EUR"/>
    <m/>
    <s v="EXP20260606-2783698-"/>
    <s v="EXP20260606-2783698-"/>
    <s v="00KZZJUS"/>
    <s v="GUICHARD DANIELE"/>
    <s v="44 AVENUE DE LA MARCHE"/>
    <m/>
    <m/>
    <n v="23230"/>
    <s v="GOUZON"/>
    <s v="FR"/>
    <s v="France"/>
    <m/>
  </r>
  <r>
    <x v="0"/>
    <n v="0"/>
    <n v="0"/>
    <n v="0"/>
    <n v="1"/>
    <n v="2501382993"/>
    <n v="103022309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85"/>
    <s v="09.06.2026"/>
    <x v="98"/>
    <n v="2604000078"/>
    <m/>
    <n v="0"/>
    <n v="1"/>
    <n v="0"/>
    <n v="0.44"/>
    <s v="KG"/>
    <n v="0"/>
    <n v="0"/>
    <n v="0"/>
    <n v="0"/>
    <n v="0"/>
    <n v="0"/>
    <n v="0"/>
    <s v="EUR"/>
    <m/>
    <s v="EXP20260605-2783167-"/>
    <s v="EXP20260605-2783167-"/>
    <s v="00KZZJUR"/>
    <s v="SAINT MARTIN EMMA"/>
    <s v="29 RUE HENRI PAUQUET"/>
    <m/>
    <m/>
    <n v="60100"/>
    <s v="CREIL"/>
    <s v="FR"/>
    <s v="France"/>
    <m/>
  </r>
  <r>
    <x v="0"/>
    <n v="6.6000000000000005"/>
    <n v="1.45"/>
    <n v="5.15"/>
    <n v="1"/>
    <n v="2501382993"/>
    <n v="103022309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3"/>
    <s v="Business Parcel - Dis. 01 - Size 03"/>
    <s v="PARCEDOMESSTANDARD"/>
    <m/>
    <n v="87"/>
    <s v="09.06.2026"/>
    <x v="97"/>
    <n v="2604000081"/>
    <m/>
    <n v="0"/>
    <n v="0"/>
    <n v="0"/>
    <n v="0"/>
    <s v="KG"/>
    <n v="4.0999999999999996"/>
    <n v="0.9"/>
    <n v="0.15"/>
    <n v="29.1"/>
    <n v="1.45"/>
    <n v="0"/>
    <n v="0"/>
    <s v="EUR"/>
    <m/>
    <s v="EXP20260608-2787171-"/>
    <s v="EXP20260608-2787171-"/>
    <s v="00KZZJUU"/>
    <s v="ALLIX CHRISTINE"/>
    <s v="120 RUE DE SILLY"/>
    <m/>
    <m/>
    <n v="92100"/>
    <s v="BOULOGNE-BILLANCOURT"/>
    <s v="FR"/>
    <s v="France"/>
    <m/>
  </r>
  <r>
    <x v="0"/>
    <n v="7.0100000000000007"/>
    <n v="1.54"/>
    <n v="5.4700000000000006"/>
    <n v="2"/>
    <n v="2501382993"/>
    <n v="103022309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88"/>
    <s v="09.06.2026"/>
    <x v="96"/>
    <n v="2604000080"/>
    <m/>
    <n v="0"/>
    <n v="0"/>
    <n v="0"/>
    <n v="0"/>
    <s v="KG"/>
    <n v="4.42"/>
    <n v="0.9"/>
    <n v="0.15"/>
    <n v="29.1"/>
    <n v="1.54"/>
    <n v="0"/>
    <n v="0"/>
    <s v="EUR"/>
    <m/>
    <s v="EXP20260608-2786027-"/>
    <s v="EXP20260608-2786027-"/>
    <s v="00KZZJUT"/>
    <s v="MAISONNEUVE CAROLE"/>
    <s v="2 RUE DE LA VALLEE"/>
    <m/>
    <m/>
    <n v="69290"/>
    <s v="SAINT-GENIS-LES-OLLIERES"/>
    <s v="FR"/>
    <s v="France"/>
    <m/>
  </r>
  <r>
    <x v="0"/>
    <n v="7.4300000000000006"/>
    <n v="1.64"/>
    <n v="5.7900000000000009"/>
    <n v="3"/>
    <n v="2501382993"/>
    <n v="1030223098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89"/>
    <s v="09.06.2026"/>
    <x v="99"/>
    <n v="2604000079"/>
    <m/>
    <n v="0"/>
    <n v="0"/>
    <n v="0"/>
    <n v="0"/>
    <s v="KG"/>
    <n v="4.74"/>
    <n v="0.9"/>
    <n v="0.15"/>
    <n v="29.1"/>
    <n v="1.64"/>
    <n v="0"/>
    <n v="0"/>
    <s v="EUR"/>
    <m/>
    <s v="EXP20260606-2783698-"/>
    <s v="EXP20260606-2783698-"/>
    <s v="00KZZJUS"/>
    <s v="GUICHARD DANIELE"/>
    <s v="44 AVENUE DE LA MARCHE"/>
    <m/>
    <m/>
    <n v="23230"/>
    <s v="GOUZON"/>
    <s v="FR"/>
    <s v="France"/>
    <m/>
  </r>
  <r>
    <x v="0"/>
    <n v="7.0100000000000007"/>
    <n v="1.54"/>
    <n v="5.4700000000000006"/>
    <n v="2"/>
    <n v="2501382993"/>
    <n v="103021644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6"/>
    <s v="Business Parcel - Dis. 01 - Size 06"/>
    <s v="PARCEDOMESSTANDARD"/>
    <m/>
    <n v="39"/>
    <s v="09.06.2026"/>
    <x v="100"/>
    <n v="2604000047"/>
    <m/>
    <n v="0"/>
    <n v="0"/>
    <n v="0"/>
    <n v="0"/>
    <s v="KG"/>
    <n v="4.42"/>
    <n v="0.9"/>
    <n v="0.15"/>
    <n v="29.1"/>
    <n v="1.54"/>
    <n v="0"/>
    <n v="0"/>
    <s v="EUR"/>
    <m/>
    <s v="EXP20260606-2783600-"/>
    <s v="EXP20260606-2783600-"/>
    <s v="00KUR5UT"/>
    <s v="CHACHA EMNA"/>
    <s v="134 RUE PEYSSONNEL"/>
    <m/>
    <m/>
    <n v="13002"/>
    <s v="MARSEILLE"/>
    <s v="FR"/>
    <s v="France"/>
    <m/>
  </r>
  <r>
    <x v="0"/>
    <n v="6.6000000000000005"/>
    <n v="1.45"/>
    <n v="5.15"/>
    <n v="1"/>
    <n v="2501382993"/>
    <n v="103021644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4"/>
    <s v="Business Parcel - Dis. 01 - Size 04"/>
    <s v="PARCEDOMESSTANDARD"/>
    <m/>
    <n v="38"/>
    <s v="09.06.2026"/>
    <x v="101"/>
    <n v="2604000054"/>
    <m/>
    <n v="0"/>
    <n v="0"/>
    <n v="0"/>
    <n v="0"/>
    <s v="KG"/>
    <n v="4.0999999999999996"/>
    <n v="0.9"/>
    <n v="0.15"/>
    <n v="29.1"/>
    <n v="1.45"/>
    <n v="0"/>
    <n v="0"/>
    <s v="EUR"/>
    <m/>
    <s v="EXP20260608-2785587-"/>
    <s v="EXP20260608-2785587-"/>
    <s v="00KUR5V0"/>
    <s v="BORDARIES YOANN"/>
    <s v="52 ROUTE DE VERTOU"/>
    <m/>
    <m/>
    <n v="44120"/>
    <s v="NANTES"/>
    <s v="FR"/>
    <s v="France"/>
    <m/>
  </r>
  <r>
    <x v="0"/>
    <n v="6.6000000000000005"/>
    <n v="1.45"/>
    <n v="5.15"/>
    <n v="1"/>
    <n v="2501382993"/>
    <n v="103021644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37"/>
    <s v="09.06.2026"/>
    <x v="102"/>
    <n v="2604000052"/>
    <m/>
    <n v="0"/>
    <n v="0"/>
    <n v="0"/>
    <n v="0"/>
    <s v="KG"/>
    <n v="4.0999999999999996"/>
    <n v="0.9"/>
    <n v="0.15"/>
    <n v="29.1"/>
    <n v="1.45"/>
    <n v="0"/>
    <n v="0"/>
    <s v="EUR"/>
    <m/>
    <s v="EXP20260607-2784685-"/>
    <s v="EXP20260607-2784685-"/>
    <s v="00KUR5UY"/>
    <s v="RIVOIRE GENEVIEVE"/>
    <s v="74 BD DES BROTTEAUX"/>
    <m/>
    <m/>
    <n v="69006"/>
    <s v="LYON"/>
    <s v="FR"/>
    <s v="France"/>
    <m/>
  </r>
  <r>
    <x v="0"/>
    <n v="6.6000000000000005"/>
    <n v="1.45"/>
    <n v="5.15"/>
    <n v="1"/>
    <n v="2501382993"/>
    <n v="103021644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37"/>
    <s v="09.06.2026"/>
    <x v="103"/>
    <n v="2604000048"/>
    <m/>
    <n v="0"/>
    <n v="0"/>
    <n v="0"/>
    <n v="0"/>
    <s v="KG"/>
    <n v="4.0999999999999996"/>
    <n v="0.9"/>
    <n v="0.15"/>
    <n v="29.1"/>
    <n v="1.45"/>
    <n v="0"/>
    <n v="0"/>
    <s v="EUR"/>
    <m/>
    <s v="EXP20260606-2783694-"/>
    <s v="EXP20260606-2783694-"/>
    <s v="00KUR5UU"/>
    <s v="DUBRULLE HUGO"/>
    <s v="62 AVENUE DU GENERAL DE GAULLE"/>
    <m/>
    <m/>
    <n v="49400"/>
    <s v="SAUMUR"/>
    <s v="FR"/>
    <s v="France"/>
    <m/>
  </r>
  <r>
    <x v="0"/>
    <n v="6.17"/>
    <n v="1.35"/>
    <n v="4.82"/>
    <n v="0.5"/>
    <n v="2501382993"/>
    <n v="103021644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36"/>
    <s v="09.06.2026"/>
    <x v="104"/>
    <n v="2604000055"/>
    <m/>
    <n v="0"/>
    <n v="0"/>
    <n v="0"/>
    <n v="0"/>
    <s v="KG"/>
    <n v="3.77"/>
    <n v="0.9"/>
    <n v="0.15"/>
    <n v="29.1"/>
    <n v="1.35"/>
    <n v="0"/>
    <n v="0"/>
    <s v="EUR"/>
    <m/>
    <s v="EXP20260608-2787020-"/>
    <s v="EXP20260608-2787020-"/>
    <s v="00KUR5V1"/>
    <s v="LAFOND HANNA"/>
    <s v="22 RUE DES BELLES FEUILLES"/>
    <m/>
    <m/>
    <n v="75016"/>
    <s v="PARIS"/>
    <s v="FR"/>
    <s v="France"/>
    <m/>
  </r>
  <r>
    <x v="0"/>
    <n v="6.17"/>
    <n v="1.35"/>
    <n v="4.82"/>
    <n v="0.5"/>
    <n v="2501382993"/>
    <n v="103021644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36"/>
    <s v="09.06.2026"/>
    <x v="105"/>
    <n v="2604000053"/>
    <m/>
    <n v="0"/>
    <n v="0"/>
    <n v="0"/>
    <n v="0"/>
    <s v="KG"/>
    <n v="3.77"/>
    <n v="0.9"/>
    <n v="0.15"/>
    <n v="29.1"/>
    <n v="1.35"/>
    <n v="0"/>
    <n v="0"/>
    <s v="EUR"/>
    <m/>
    <s v="EXP20260605-2783483-"/>
    <s v="EXP20260605-2783483-"/>
    <s v="00KUR5UZ"/>
    <s v="MAKHLOUF MELANIE"/>
    <s v="17 RUE DES BATELIERS"/>
    <m/>
    <m/>
    <n v="93400"/>
    <s v="SAINT OUEN"/>
    <s v="FR"/>
    <s v="France"/>
    <m/>
  </r>
  <r>
    <x v="0"/>
    <n v="6.17"/>
    <n v="1.35"/>
    <n v="4.82"/>
    <n v="0.5"/>
    <n v="2501382993"/>
    <n v="103021644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36"/>
    <s v="09.06.2026"/>
    <x v="106"/>
    <n v="2604000050"/>
    <m/>
    <n v="0"/>
    <n v="0"/>
    <n v="0"/>
    <n v="0"/>
    <s v="KG"/>
    <n v="3.77"/>
    <n v="0.9"/>
    <n v="0.15"/>
    <n v="29.1"/>
    <n v="1.35"/>
    <n v="0"/>
    <n v="0"/>
    <s v="EUR"/>
    <m/>
    <s v="EXP20260606-2783588-"/>
    <s v="EXP20260606-2783588-"/>
    <s v="00KUR5UW"/>
    <s v="GUILBAUD MICHEL"/>
    <s v="34 RUE DES FLANDRES, 76290 MON"/>
    <m/>
    <m/>
    <n v="76290"/>
    <s v="MONTIVILLIERS"/>
    <s v="FR"/>
    <s v="France"/>
    <m/>
  </r>
  <r>
    <x v="0"/>
    <n v="6.17"/>
    <n v="1.35"/>
    <n v="4.82"/>
    <n v="0.5"/>
    <n v="2501382993"/>
    <n v="103021644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36"/>
    <s v="09.06.2026"/>
    <x v="107"/>
    <n v="2604000046"/>
    <m/>
    <n v="0"/>
    <n v="0"/>
    <n v="0"/>
    <n v="0"/>
    <s v="KG"/>
    <n v="3.77"/>
    <n v="0.9"/>
    <n v="0.15"/>
    <n v="29.1"/>
    <n v="1.35"/>
    <n v="0"/>
    <n v="0"/>
    <s v="EUR"/>
    <m/>
    <s v="EXP20260607-2784926-"/>
    <s v="EXP20260607-2784926-"/>
    <s v="00KUR5US"/>
    <s v="VEZIGNOL CHARLINE"/>
    <s v="16 RUE PIERRE LHOMME"/>
    <m/>
    <m/>
    <n v="92400"/>
    <s v="COURBEVOIE"/>
    <s v="FR"/>
    <s v="France"/>
    <m/>
  </r>
  <r>
    <x v="0"/>
    <n v="7.0100000000000007"/>
    <n v="1.54"/>
    <n v="5.4700000000000006"/>
    <n v="2"/>
    <n v="2501382993"/>
    <n v="103021644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6"/>
    <s v="Business Parcel - Dis. 01 - Size 06"/>
    <s v="PARCEDOMESSTANDARD"/>
    <m/>
    <n v="39"/>
    <s v="09.06.2026"/>
    <x v="108"/>
    <n v="2604000051"/>
    <m/>
    <n v="0"/>
    <n v="0"/>
    <n v="0"/>
    <n v="0"/>
    <s v="KG"/>
    <n v="4.42"/>
    <n v="0.9"/>
    <n v="0.15"/>
    <n v="29.1"/>
    <n v="1.54"/>
    <n v="0"/>
    <n v="0"/>
    <s v="EUR"/>
    <m/>
    <s v="EXP20260607-2784612-"/>
    <s v="EXP20260607-2784612-"/>
    <s v="00KUR5UX"/>
    <s v="LAHALLE JEREMY"/>
    <s v="66 RUE DU GENERAL LECLERC"/>
    <m/>
    <m/>
    <n v="93110"/>
    <s v="ROSNY SOUS BOIS"/>
    <s v="FR"/>
    <s v="France"/>
    <m/>
  </r>
  <r>
    <x v="0"/>
    <n v="0"/>
    <n v="0"/>
    <n v="0"/>
    <n v="1"/>
    <n v="2501382993"/>
    <n v="103021644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35"/>
    <s v="09.06.2026"/>
    <x v="107"/>
    <n v="2604000046"/>
    <m/>
    <n v="0"/>
    <n v="1"/>
    <n v="0"/>
    <n v="0.5"/>
    <s v="KG"/>
    <n v="0"/>
    <n v="0"/>
    <n v="0"/>
    <n v="0"/>
    <n v="0"/>
    <n v="0"/>
    <n v="0"/>
    <s v="EUR"/>
    <m/>
    <s v="EXP20260607-2784926-"/>
    <s v="EXP20260607-2784926-"/>
    <s v="00KUR5US"/>
    <s v="VEZIGNOL CHARLINE"/>
    <s v="16 RUE PIERRE LHOMME"/>
    <m/>
    <m/>
    <n v="92400"/>
    <s v="COURBEVOIE"/>
    <s v="FR"/>
    <s v="France"/>
    <m/>
  </r>
  <r>
    <x v="0"/>
    <n v="0"/>
    <n v="0"/>
    <n v="0"/>
    <n v="2"/>
    <n v="2501382993"/>
    <n v="103021644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35"/>
    <s v="09.06.2026"/>
    <x v="100"/>
    <n v="2604000047"/>
    <m/>
    <n v="0"/>
    <n v="1"/>
    <n v="0"/>
    <n v="1.66"/>
    <s v="KG"/>
    <n v="0"/>
    <n v="0"/>
    <n v="0"/>
    <n v="0"/>
    <n v="0"/>
    <n v="0"/>
    <n v="0"/>
    <s v="EUR"/>
    <m/>
    <s v="EXP20260606-2783600-"/>
    <s v="EXP20260606-2783600-"/>
    <s v="00KUR5UT"/>
    <s v="CHACHA EMNA"/>
    <s v="134 RUE PEYSSONNEL"/>
    <m/>
    <m/>
    <n v="13002"/>
    <s v="MARSEILLE"/>
    <s v="FR"/>
    <s v="France"/>
    <m/>
  </r>
  <r>
    <x v="0"/>
    <n v="8.870000000000001"/>
    <n v="1.96"/>
    <n v="6.910000000000001"/>
    <n v="5"/>
    <n v="2501382993"/>
    <n v="103021644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9"/>
    <s v="Business Parcel - Dis. 01 - Size 09"/>
    <s v="PARCEDOMESSTANDARD"/>
    <m/>
    <n v="40"/>
    <s v="09.06.2026"/>
    <x v="109"/>
    <n v="2604000049"/>
    <m/>
    <n v="0"/>
    <n v="0"/>
    <n v="0"/>
    <n v="0"/>
    <s v="KG"/>
    <n v="5.86"/>
    <n v="0.9"/>
    <n v="0.15"/>
    <n v="29.1"/>
    <n v="1.96"/>
    <n v="0"/>
    <n v="0"/>
    <s v="EUR"/>
    <m/>
    <s v="EXP20260606-2783885-"/>
    <s v="EXP20260606-2783885-"/>
    <s v="00KUR5UV"/>
    <s v="LASTRA-DAME PAULA"/>
    <s v="3, CHEMIN DES CHATAIGNIERS"/>
    <m/>
    <m/>
    <n v="28230"/>
    <s v="DROUE-SUR-DROUETTE"/>
    <s v="FR"/>
    <s v="France"/>
    <m/>
  </r>
  <r>
    <x v="0"/>
    <n v="0"/>
    <n v="0"/>
    <n v="0"/>
    <n v="1"/>
    <n v="2501382993"/>
    <n v="103021644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35"/>
    <s v="09.06.2026"/>
    <x v="104"/>
    <n v="2604000055"/>
    <m/>
    <n v="0"/>
    <n v="1"/>
    <n v="0"/>
    <n v="0.36"/>
    <s v="KG"/>
    <n v="0"/>
    <n v="0"/>
    <n v="0"/>
    <n v="0"/>
    <n v="0"/>
    <n v="0"/>
    <n v="0"/>
    <s v="EUR"/>
    <m/>
    <s v="EXP20260608-2787020-"/>
    <s v="EXP20260608-2787020-"/>
    <s v="00KUR5V1"/>
    <s v="LAFOND HANNA"/>
    <s v="22 RUE DES BELLES FEUILLES"/>
    <m/>
    <m/>
    <n v="75016"/>
    <s v="PARIS"/>
    <s v="FR"/>
    <s v="France"/>
    <m/>
  </r>
  <r>
    <x v="0"/>
    <n v="0"/>
    <n v="0"/>
    <n v="0"/>
    <n v="1"/>
    <n v="2501382993"/>
    <n v="103021644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35"/>
    <s v="09.06.2026"/>
    <x v="101"/>
    <n v="2604000054"/>
    <m/>
    <n v="0"/>
    <n v="1"/>
    <n v="0"/>
    <n v="0.98"/>
    <s v="KG"/>
    <n v="0"/>
    <n v="0"/>
    <n v="0"/>
    <n v="0"/>
    <n v="0"/>
    <n v="0"/>
    <n v="0"/>
    <s v="EUR"/>
    <m/>
    <s v="EXP20260608-2785587-"/>
    <s v="EXP20260608-2785587-"/>
    <s v="00KUR5V0"/>
    <s v="BORDARIES YOANN"/>
    <s v="52 ROUTE DE VERTOU"/>
    <m/>
    <m/>
    <n v="44120"/>
    <s v="NANTES"/>
    <s v="FR"/>
    <s v="France"/>
    <m/>
  </r>
  <r>
    <x v="0"/>
    <n v="0"/>
    <n v="0"/>
    <n v="0"/>
    <n v="1"/>
    <n v="2501382993"/>
    <n v="103021644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35"/>
    <s v="09.06.2026"/>
    <x v="105"/>
    <n v="2604000053"/>
    <m/>
    <n v="0"/>
    <n v="1"/>
    <n v="0"/>
    <n v="0.5"/>
    <s v="KG"/>
    <n v="0"/>
    <n v="0"/>
    <n v="0"/>
    <n v="0"/>
    <n v="0"/>
    <n v="0"/>
    <n v="0"/>
    <s v="EUR"/>
    <m/>
    <s v="EXP20260605-2783483-"/>
    <s v="EXP20260605-2783483-"/>
    <s v="00KUR5UZ"/>
    <s v="MAKHLOUF MELANIE"/>
    <s v="17 RUE DES BATELIERS"/>
    <m/>
    <m/>
    <n v="93400"/>
    <s v="SAINT OUEN"/>
    <s v="FR"/>
    <s v="France"/>
    <m/>
  </r>
  <r>
    <x v="0"/>
    <n v="0"/>
    <n v="0"/>
    <n v="0"/>
    <n v="1"/>
    <n v="2501382993"/>
    <n v="103021644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35"/>
    <s v="09.06.2026"/>
    <x v="102"/>
    <n v="2604000052"/>
    <m/>
    <n v="0"/>
    <n v="1"/>
    <n v="0"/>
    <n v="0.64"/>
    <s v="KG"/>
    <n v="0"/>
    <n v="0"/>
    <n v="0"/>
    <n v="0"/>
    <n v="0"/>
    <n v="0"/>
    <n v="0"/>
    <s v="EUR"/>
    <m/>
    <s v="EXP20260607-2784685-"/>
    <s v="EXP20260607-2784685-"/>
    <s v="00KUR5UY"/>
    <s v="RIVOIRE GENEVIEVE"/>
    <s v="74 BD DES BROTTEAUX"/>
    <m/>
    <m/>
    <n v="69006"/>
    <s v="LYON"/>
    <s v="FR"/>
    <s v="France"/>
    <m/>
  </r>
  <r>
    <x v="0"/>
    <n v="0"/>
    <n v="0"/>
    <n v="0"/>
    <n v="2"/>
    <n v="2501382993"/>
    <n v="103021644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35"/>
    <s v="09.06.2026"/>
    <x v="108"/>
    <n v="2604000051"/>
    <m/>
    <n v="0"/>
    <n v="1"/>
    <n v="0"/>
    <n v="2"/>
    <s v="KG"/>
    <n v="0"/>
    <n v="0"/>
    <n v="0"/>
    <n v="0"/>
    <n v="0"/>
    <n v="0"/>
    <n v="0"/>
    <s v="EUR"/>
    <m/>
    <s v="EXP20260607-2784612-"/>
    <s v="EXP20260607-2784612-"/>
    <s v="00KUR5UX"/>
    <s v="LAHALLE JEREMY"/>
    <s v="66 RUE DU GENERAL LECLERC"/>
    <m/>
    <m/>
    <n v="93110"/>
    <s v="ROSNY SOUS BOIS"/>
    <s v="FR"/>
    <s v="France"/>
    <m/>
  </r>
  <r>
    <x v="0"/>
    <n v="0"/>
    <n v="0"/>
    <n v="0"/>
    <n v="1"/>
    <n v="2501382993"/>
    <n v="103021644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35"/>
    <s v="09.06.2026"/>
    <x v="106"/>
    <n v="2604000050"/>
    <m/>
    <n v="0"/>
    <n v="1"/>
    <n v="0"/>
    <n v="0.28000000000000003"/>
    <s v="KG"/>
    <n v="0"/>
    <n v="0"/>
    <n v="0"/>
    <n v="0"/>
    <n v="0"/>
    <n v="0"/>
    <n v="0"/>
    <s v="EUR"/>
    <m/>
    <s v="EXP20260606-2783588-"/>
    <s v="EXP20260606-2783588-"/>
    <s v="00KUR5UW"/>
    <s v="GUILBAUD MICHEL"/>
    <s v="34 RUE DES FLANDRES, 76290 MON"/>
    <m/>
    <m/>
    <n v="76290"/>
    <s v="MONTIVILLIERS"/>
    <s v="FR"/>
    <s v="France"/>
    <m/>
  </r>
  <r>
    <x v="0"/>
    <n v="0"/>
    <n v="0"/>
    <n v="0"/>
    <n v="1"/>
    <n v="2501382993"/>
    <n v="103021644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35"/>
    <s v="09.06.2026"/>
    <x v="103"/>
    <n v="2604000048"/>
    <m/>
    <n v="0"/>
    <n v="1"/>
    <n v="0"/>
    <n v="0.64"/>
    <s v="KG"/>
    <n v="0"/>
    <n v="0"/>
    <n v="0"/>
    <n v="0"/>
    <n v="0"/>
    <n v="0"/>
    <n v="0"/>
    <s v="EUR"/>
    <m/>
    <s v="EXP20260606-2783694-"/>
    <s v="EXP20260606-2783694-"/>
    <s v="00KUR5UU"/>
    <s v="DUBRULLE HUGO"/>
    <s v="62 AVENUE DU GENERAL DE GAULLE"/>
    <m/>
    <m/>
    <n v="49400"/>
    <s v="SAUMUR"/>
    <s v="FR"/>
    <s v="France"/>
    <m/>
  </r>
  <r>
    <x v="0"/>
    <n v="0"/>
    <n v="0"/>
    <n v="0"/>
    <n v="5"/>
    <n v="2501382993"/>
    <n v="103021644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35"/>
    <s v="09.06.2026"/>
    <x v="109"/>
    <n v="2604000049"/>
    <m/>
    <n v="0"/>
    <n v="1"/>
    <n v="0"/>
    <n v="4.3600000000000003"/>
    <s v="KG"/>
    <n v="0"/>
    <n v="0"/>
    <n v="0"/>
    <n v="0"/>
    <n v="0"/>
    <n v="0"/>
    <n v="0"/>
    <s v="EUR"/>
    <m/>
    <s v="EXP20260606-2783885-"/>
    <s v="EXP20260606-2783885-"/>
    <s v="00KUR5UV"/>
    <s v="LASTRA-DAME PAULA"/>
    <s v="3, CHEMIN DES CHATAIGNIERS"/>
    <m/>
    <m/>
    <n v="28230"/>
    <s v="DROUE-SUR-DROUETTE"/>
    <s v="FR"/>
    <s v="France"/>
    <m/>
  </r>
  <r>
    <x v="0"/>
    <n v="6.17"/>
    <n v="1.35"/>
    <n v="4.82"/>
    <n v="0.5"/>
    <n v="2501382993"/>
    <n v="103023293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54"/>
    <s v="10.06.2026"/>
    <x v="110"/>
    <n v="2604000056"/>
    <m/>
    <n v="0"/>
    <n v="0"/>
    <n v="0"/>
    <n v="0"/>
    <s v="KG"/>
    <n v="3.77"/>
    <n v="0.9"/>
    <n v="0.15"/>
    <n v="29.1"/>
    <n v="1.35"/>
    <n v="0"/>
    <n v="0"/>
    <s v="EUR"/>
    <m/>
    <s v="EXP20260609-2788797-"/>
    <s v="EXP20260609-2788797-"/>
    <s v="00KUR5V2"/>
    <s v="GIROLD SYLVIE"/>
    <s v="1 ALLEE AIME CESAIRE"/>
    <m/>
    <m/>
    <n v="33600"/>
    <s v="PESSAC"/>
    <s v="FR"/>
    <s v="France"/>
    <m/>
  </r>
  <r>
    <x v="0"/>
    <n v="6.17"/>
    <n v="1.35"/>
    <n v="4.82"/>
    <n v="0.5"/>
    <n v="2501382993"/>
    <n v="103023293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1"/>
    <s v="Business Parcel - Dis. 01 - Size 01"/>
    <s v="PARCEDOMESSTANDARD"/>
    <m/>
    <n v="153"/>
    <s v="10.06.2026"/>
    <x v="111"/>
    <n v="2604000060"/>
    <m/>
    <n v="0"/>
    <n v="0"/>
    <n v="0"/>
    <n v="0"/>
    <s v="KG"/>
    <n v="3.77"/>
    <n v="0.9"/>
    <n v="0.15"/>
    <n v="29.1"/>
    <n v="1.35"/>
    <n v="0"/>
    <n v="0"/>
    <s v="EUR"/>
    <m/>
    <s v="EXP20260610-2789865-"/>
    <s v="EXP20260610-2789865-"/>
    <s v="00KUR5V6"/>
    <s v="LEDARD (SAVARD) MARIANNE"/>
    <s v="18 BOULEVARD ANDRE DETOLLE"/>
    <m/>
    <m/>
    <n v="14000"/>
    <s v="CAEN"/>
    <s v="FR"/>
    <s v="France"/>
    <m/>
  </r>
  <r>
    <x v="0"/>
    <n v="0"/>
    <n v="0"/>
    <n v="0"/>
    <n v="1"/>
    <n v="2501382993"/>
    <n v="103023293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52"/>
    <s v="10.06.2026"/>
    <x v="110"/>
    <n v="2604000056"/>
    <m/>
    <n v="0"/>
    <n v="1"/>
    <n v="0"/>
    <n v="0.48"/>
    <s v="KG"/>
    <n v="0"/>
    <n v="0"/>
    <n v="0"/>
    <n v="0"/>
    <n v="0"/>
    <n v="0"/>
    <n v="0"/>
    <s v="EUR"/>
    <m/>
    <s v="EXP20260609-2788797-"/>
    <s v="EXP20260609-2788797-"/>
    <s v="00KUR5V2"/>
    <s v="GIROLD SYLVIE"/>
    <s v="1 ALLEE AIME CESAIRE"/>
    <m/>
    <m/>
    <n v="33600"/>
    <s v="PESSAC"/>
    <s v="FR"/>
    <s v="France"/>
    <m/>
  </r>
  <r>
    <x v="0"/>
    <n v="6.6000000000000005"/>
    <n v="1.45"/>
    <n v="5.15"/>
    <n v="1"/>
    <n v="2501382993"/>
    <n v="103023293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155"/>
    <s v="10.06.2026"/>
    <x v="112"/>
    <n v="2604000058"/>
    <m/>
    <n v="0"/>
    <n v="0"/>
    <n v="0"/>
    <n v="0"/>
    <s v="KG"/>
    <n v="4.0999999999999996"/>
    <n v="0.9"/>
    <n v="0.15"/>
    <n v="29.1"/>
    <n v="1.45"/>
    <n v="0"/>
    <n v="0"/>
    <s v="EUR"/>
    <m/>
    <s v="EXP20260609-2789355-"/>
    <s v="EXP20260609-2789355-"/>
    <s v="00KUR5V4"/>
    <s v="MESNARD RAYAN"/>
    <s v="6 RUE DE LA HOLLANDE"/>
    <m/>
    <m/>
    <n v="49300"/>
    <s v="CHOLET"/>
    <s v="FR"/>
    <s v="France"/>
    <m/>
  </r>
  <r>
    <x v="0"/>
    <n v="0"/>
    <n v="0"/>
    <n v="0"/>
    <n v="1"/>
    <n v="2501382993"/>
    <n v="103023293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52"/>
    <s v="10.06.2026"/>
    <x v="111"/>
    <n v="2604000060"/>
    <m/>
    <n v="0"/>
    <n v="1"/>
    <n v="0"/>
    <n v="0.22"/>
    <s v="KG"/>
    <n v="0"/>
    <n v="0"/>
    <n v="0"/>
    <n v="0"/>
    <n v="0"/>
    <n v="0"/>
    <n v="0"/>
    <s v="EUR"/>
    <m/>
    <s v="EXP20260610-2789865-"/>
    <s v="EXP20260610-2789865-"/>
    <s v="00KUR5V6"/>
    <s v="LEDARD (SAVARD) MARIANNE"/>
    <s v="18 BOULEVARD ANDRE DETOLLE"/>
    <m/>
    <m/>
    <n v="14000"/>
    <s v="CAEN"/>
    <s v="FR"/>
    <s v="France"/>
    <m/>
  </r>
  <r>
    <x v="0"/>
    <n v="0"/>
    <n v="0"/>
    <n v="0"/>
    <n v="1"/>
    <n v="2501382993"/>
    <n v="103023293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52"/>
    <s v="10.06.2026"/>
    <x v="113"/>
    <n v="2604000059"/>
    <m/>
    <n v="0"/>
    <n v="1"/>
    <n v="0"/>
    <n v="0.54"/>
    <s v="KG"/>
    <n v="0"/>
    <n v="0"/>
    <n v="0"/>
    <n v="0"/>
    <n v="0"/>
    <n v="0"/>
    <n v="0"/>
    <s v="EUR"/>
    <m/>
    <s v="EXP20260609-2789644-"/>
    <s v="EXP20260609-2789644-"/>
    <s v="00KUR5V5"/>
    <s v="BURTIN MME CELINE"/>
    <s v="55 IMPASSE DE PIE BOUQUET"/>
    <m/>
    <m/>
    <n v="34160"/>
    <s v="BOISSERON"/>
    <s v="FR"/>
    <s v="France"/>
    <m/>
  </r>
  <r>
    <x v="0"/>
    <n v="0"/>
    <n v="0"/>
    <n v="0"/>
    <n v="1"/>
    <n v="2501382993"/>
    <n v="103023293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52"/>
    <s v="10.06.2026"/>
    <x v="112"/>
    <n v="2604000058"/>
    <m/>
    <n v="0"/>
    <n v="1"/>
    <n v="0"/>
    <n v="0.56000000000000005"/>
    <s v="KG"/>
    <n v="0"/>
    <n v="0"/>
    <n v="0"/>
    <n v="0"/>
    <n v="0"/>
    <n v="0"/>
    <n v="0"/>
    <s v="EUR"/>
    <m/>
    <s v="EXP20260609-2789355-"/>
    <s v="EXP20260609-2789355-"/>
    <s v="00KUR5V4"/>
    <s v="MESNARD RAYAN"/>
    <s v="6 RUE DE LA HOLLANDE"/>
    <m/>
    <m/>
    <n v="49300"/>
    <s v="CHOLET"/>
    <s v="FR"/>
    <s v="France"/>
    <m/>
  </r>
  <r>
    <x v="0"/>
    <n v="0"/>
    <n v="0"/>
    <n v="0"/>
    <n v="4"/>
    <n v="2501382993"/>
    <n v="103023293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52"/>
    <s v="10.06.2026"/>
    <x v="114"/>
    <n v="2604000057"/>
    <m/>
    <n v="0"/>
    <n v="1"/>
    <n v="0"/>
    <n v="3.1"/>
    <s v="KG"/>
    <n v="0"/>
    <n v="0"/>
    <n v="0"/>
    <n v="0"/>
    <n v="0"/>
    <n v="0"/>
    <n v="0"/>
    <s v="EUR"/>
    <m/>
    <s v="EXP20260604-2780157-"/>
    <s v="EXP20260604-2780157-"/>
    <s v="00KUR5V3"/>
    <s v="HYDRATIS"/>
    <s v="11 BD DE SEBASTOPOL"/>
    <m/>
    <m/>
    <n v="75001"/>
    <s v="PARIS 1ER ARRONDISSEMENT"/>
    <s v="FR"/>
    <s v="France"/>
    <m/>
  </r>
  <r>
    <x v="4"/>
    <n v="6.5299999999999994"/>
    <n v="1.47"/>
    <n v="5.0599999999999996"/>
    <e v="#N/A"/>
    <n v="2501382993"/>
    <n v="1030230832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SUR_MNT_D01"/>
    <s v="Zone Montagne - Classe 01"/>
    <s v="SURCHALL GEO"/>
    <m/>
    <n v="122"/>
    <s v="10.06.2026"/>
    <x v="115"/>
    <n v="6794049"/>
    <m/>
    <n v="0"/>
    <n v="0"/>
    <n v="0"/>
    <n v="0"/>
    <s v="KG"/>
    <n v="5.0599999999999996"/>
    <n v="0"/>
    <n v="0"/>
    <n v="29.1"/>
    <n v="1.47"/>
    <n v="0"/>
    <n v="0"/>
    <s v="EUR"/>
    <m/>
    <s v="EXP20260609-2788660"/>
    <m/>
    <s v="00L29F9X"/>
    <s v="PHARMACIE LA CENTAUREE"/>
    <s v="53 GRANDE RUE S ALLENDE"/>
    <s v="LEONARD ALEXANDRA"/>
    <m/>
    <n v="74190"/>
    <s v="PASSY"/>
    <s v="FR"/>
    <s v="France"/>
    <m/>
  </r>
  <r>
    <x v="0"/>
    <n v="8.15"/>
    <n v="1.8"/>
    <n v="6.3500000000000005"/>
    <n v="4"/>
    <n v="2501382993"/>
    <n v="103023293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8"/>
    <s v="Business Parcel - Dis. 01 - Size 08"/>
    <s v="PARCEDOMESSTANDARD"/>
    <m/>
    <n v="156"/>
    <s v="10.06.2026"/>
    <x v="114"/>
    <n v="2604000057"/>
    <m/>
    <n v="0"/>
    <n v="0"/>
    <n v="0"/>
    <n v="0"/>
    <s v="KG"/>
    <n v="5.3"/>
    <n v="0.9"/>
    <n v="0.15"/>
    <n v="29.1"/>
    <n v="1.8"/>
    <n v="0"/>
    <n v="0"/>
    <s v="EUR"/>
    <m/>
    <s v="EXP20260604-2780157-"/>
    <s v="EXP20260604-2780157-"/>
    <s v="00KUR5V3"/>
    <s v="HYDRATIS"/>
    <s v="11 BD DE SEBASTOPOL"/>
    <m/>
    <m/>
    <n v="75001"/>
    <s v="PARIS 1ER ARRONDISSEMENT"/>
    <s v="FR"/>
    <s v="France"/>
    <m/>
  </r>
  <r>
    <x v="0"/>
    <n v="6.6000000000000005"/>
    <n v="1.45"/>
    <n v="5.15"/>
    <n v="1"/>
    <n v="2501382993"/>
    <n v="103023293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155"/>
    <s v="10.06.2026"/>
    <x v="113"/>
    <n v="2604000059"/>
    <m/>
    <n v="0"/>
    <n v="0"/>
    <n v="0"/>
    <n v="0"/>
    <s v="KG"/>
    <n v="4.0999999999999996"/>
    <n v="0.9"/>
    <n v="0.15"/>
    <n v="29.1"/>
    <n v="1.45"/>
    <n v="0"/>
    <n v="0"/>
    <s v="EUR"/>
    <m/>
    <s v="EXP20260609-2789644-"/>
    <s v="EXP20260609-2789644-"/>
    <s v="00KUR5V5"/>
    <s v="BURTIN MME CELINE"/>
    <s v="55 IMPASSE DE PIE BOUQUET"/>
    <m/>
    <m/>
    <n v="34160"/>
    <s v="BOISSERON"/>
    <s v="FR"/>
    <s v="France"/>
    <m/>
  </r>
  <r>
    <x v="0"/>
    <n v="0"/>
    <n v="0"/>
    <n v="0"/>
    <n v="3"/>
    <n v="2501382993"/>
    <n v="1030230832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FDS_D01_S01"/>
    <s v="BP FlexDelivery - Dis. 01 - Size 01"/>
    <s v="PARCEDOMESFDS"/>
    <m/>
    <n v="120"/>
    <s v="10.06.2026"/>
    <x v="115"/>
    <n v="6794049"/>
    <m/>
    <n v="0"/>
    <n v="1"/>
    <n v="0"/>
    <n v="2.39"/>
    <s v="KG"/>
    <n v="0"/>
    <n v="0"/>
    <n v="0"/>
    <n v="0"/>
    <n v="0"/>
    <n v="0"/>
    <n v="0"/>
    <s v="EUR"/>
    <m/>
    <s v="EXP20260609-2788660"/>
    <m/>
    <s v="00L29F9X"/>
    <s v="PHARMACIE LA CENTAUREE"/>
    <s v="53 GRANDE RUE S ALLENDE"/>
    <s v="LEONARD ALEXANDRA"/>
    <m/>
    <n v="74190"/>
    <s v="PASSY"/>
    <s v="FR"/>
    <s v="France"/>
    <m/>
  </r>
  <r>
    <x v="0"/>
    <n v="0"/>
    <n v="0"/>
    <n v="0"/>
    <n v="3"/>
    <n v="2501382993"/>
    <n v="1030230832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FDS_D01_S01"/>
    <s v="BP FlexDelivery - Dis. 01 - Size 01"/>
    <s v="PARCEDOMESFDS"/>
    <m/>
    <n v="120"/>
    <s v="10.06.2026"/>
    <x v="116"/>
    <n v="6794259"/>
    <m/>
    <n v="0"/>
    <n v="1"/>
    <n v="0"/>
    <n v="2.92"/>
    <s v="KG"/>
    <n v="0"/>
    <n v="0"/>
    <n v="0"/>
    <n v="0"/>
    <n v="0"/>
    <n v="0"/>
    <n v="0"/>
    <s v="EUR"/>
    <m/>
    <s v="EXP20260609-2788659"/>
    <m/>
    <s v="00L29FI2"/>
    <s v="SAS MIRAMAR"/>
    <s v="PORT CROUESTY"/>
    <s v="DUCAUD CORINNE"/>
    <m/>
    <n v="56640"/>
    <s v="ARZON"/>
    <s v="FR"/>
    <s v="France"/>
    <m/>
  </r>
  <r>
    <x v="0"/>
    <n v="8.15"/>
    <n v="1.8"/>
    <n v="6.3500000000000005"/>
    <n v="4"/>
    <n v="2501382993"/>
    <n v="103023421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8"/>
    <s v="Business Parcel - Dis. 01 - Size 08"/>
    <s v="PARCEDOMESSTANDARD"/>
    <m/>
    <n v="194"/>
    <s v="10.06.2026"/>
    <x v="117"/>
    <n v="2604000084"/>
    <m/>
    <n v="0"/>
    <n v="0"/>
    <n v="0"/>
    <n v="0"/>
    <s v="KG"/>
    <n v="5.3"/>
    <n v="0.9"/>
    <n v="0.15"/>
    <n v="29.1"/>
    <n v="1.8"/>
    <n v="0"/>
    <n v="0"/>
    <s v="EUR"/>
    <m/>
    <s v="EXP20260609-2789388-"/>
    <s v="EXP20260609-2789388-"/>
    <s v="00KZZJUX"/>
    <s v="SAINT OLIVE CHARLOTTE"/>
    <s v="2 RUE TRONCHET"/>
    <m/>
    <m/>
    <n v="69006"/>
    <s v="LYON"/>
    <s v="FR"/>
    <s v="France"/>
    <m/>
  </r>
  <r>
    <x v="0"/>
    <n v="8.15"/>
    <n v="1.8"/>
    <n v="6.3500000000000005"/>
    <n v="4"/>
    <n v="2501382993"/>
    <n v="103023421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8"/>
    <s v="Business Parcel - Dis. 01 - Size 08"/>
    <s v="PARCEDOMESSTANDARD"/>
    <m/>
    <n v="194"/>
    <s v="10.06.2026"/>
    <x v="118"/>
    <n v="2604000083"/>
    <m/>
    <n v="0"/>
    <n v="0"/>
    <n v="0"/>
    <n v="0"/>
    <s v="KG"/>
    <n v="5.3"/>
    <n v="0.9"/>
    <n v="0.15"/>
    <n v="29.1"/>
    <n v="1.8"/>
    <n v="0"/>
    <n v="0"/>
    <s v="EUR"/>
    <m/>
    <s v="EXP20260610-2789857-"/>
    <s v="EXP20260610-2789857-"/>
    <s v="00KZZJUW"/>
    <s v="GOUJON JEAN FRANCOIS"/>
    <s v="8 RUE DE LA BROT"/>
    <m/>
    <m/>
    <n v="21000"/>
    <s v="DIJON"/>
    <s v="FR"/>
    <s v="France"/>
    <m/>
  </r>
  <r>
    <x v="0"/>
    <n v="7.0100000000000007"/>
    <n v="1.54"/>
    <n v="5.4700000000000006"/>
    <n v="2"/>
    <n v="2501382993"/>
    <n v="103023421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193"/>
    <s v="10.06.2026"/>
    <x v="119"/>
    <n v="2604000085"/>
    <m/>
    <n v="0"/>
    <n v="0"/>
    <n v="0"/>
    <n v="0"/>
    <s v="KG"/>
    <n v="4.42"/>
    <n v="0.9"/>
    <n v="0.15"/>
    <n v="29.1"/>
    <n v="1.54"/>
    <n v="0"/>
    <n v="0"/>
    <s v="EUR"/>
    <m/>
    <s v="EXP20260609-2789243-"/>
    <s v="EXP20260609-2789243-"/>
    <s v="00KZZJUY"/>
    <s v="PETROVER BENJAMIN"/>
    <s v="1 PL. RODIN"/>
    <m/>
    <m/>
    <n v="75016"/>
    <s v="PARIS"/>
    <s v="FR"/>
    <s v="France"/>
    <m/>
  </r>
  <r>
    <x v="0"/>
    <n v="7.0100000000000007"/>
    <n v="1.54"/>
    <n v="5.4700000000000006"/>
    <n v="2"/>
    <n v="2501382993"/>
    <n v="103023421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193"/>
    <s v="10.06.2026"/>
    <x v="120"/>
    <n v="2604000082"/>
    <m/>
    <n v="0"/>
    <n v="0"/>
    <n v="0"/>
    <n v="0"/>
    <s v="KG"/>
    <n v="4.42"/>
    <n v="0.9"/>
    <n v="0.15"/>
    <n v="29.1"/>
    <n v="1.54"/>
    <n v="0"/>
    <n v="0"/>
    <s v="EUR"/>
    <m/>
    <s v="EXP20260609-2788943-"/>
    <s v="EXP20260609-2788943-"/>
    <s v="00KZZJUV"/>
    <s v="JONAT PATRICE"/>
    <s v="12 RUE DE L'EGLISE"/>
    <m/>
    <m/>
    <n v="68480"/>
    <s v="WINKEL"/>
    <s v="FR"/>
    <s v="France"/>
    <m/>
  </r>
  <r>
    <x v="0"/>
    <n v="0"/>
    <n v="0"/>
    <n v="0"/>
    <n v="2"/>
    <n v="2501382993"/>
    <n v="103023421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92"/>
    <s v="10.06.2026"/>
    <x v="119"/>
    <n v="2604000085"/>
    <m/>
    <n v="0"/>
    <n v="1"/>
    <n v="0"/>
    <n v="2"/>
    <s v="KG"/>
    <n v="0"/>
    <n v="0"/>
    <n v="0"/>
    <n v="0"/>
    <n v="0"/>
    <n v="0"/>
    <n v="0"/>
    <s v="EUR"/>
    <m/>
    <s v="EXP20260609-2789243-"/>
    <s v="EXP20260609-2789243-"/>
    <s v="00KZZJUY"/>
    <s v="PETROVER BENJAMIN"/>
    <s v="1 PL. RODIN"/>
    <m/>
    <m/>
    <n v="75016"/>
    <s v="PARIS"/>
    <s v="FR"/>
    <s v="France"/>
    <m/>
  </r>
  <r>
    <x v="0"/>
    <n v="0"/>
    <n v="0"/>
    <n v="0"/>
    <n v="4"/>
    <n v="2501382993"/>
    <n v="103023421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92"/>
    <s v="10.06.2026"/>
    <x v="117"/>
    <n v="2604000084"/>
    <m/>
    <n v="0"/>
    <n v="1"/>
    <n v="0"/>
    <n v="3.2"/>
    <s v="KG"/>
    <n v="0"/>
    <n v="0"/>
    <n v="0"/>
    <n v="0"/>
    <n v="0"/>
    <n v="0"/>
    <n v="0"/>
    <s v="EUR"/>
    <m/>
    <s v="EXP20260609-2789388-"/>
    <s v="EXP20260609-2789388-"/>
    <s v="00KZZJUX"/>
    <s v="SAINT OLIVE CHARLOTTE"/>
    <s v="2 RUE TRONCHET"/>
    <m/>
    <m/>
    <n v="69006"/>
    <s v="LYON"/>
    <s v="FR"/>
    <s v="France"/>
    <m/>
  </r>
  <r>
    <x v="0"/>
    <n v="0"/>
    <n v="0"/>
    <n v="0"/>
    <n v="4"/>
    <n v="2501382993"/>
    <n v="103023421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92"/>
    <s v="10.06.2026"/>
    <x v="118"/>
    <n v="2604000083"/>
    <m/>
    <n v="0"/>
    <n v="1"/>
    <n v="0"/>
    <n v="3.94"/>
    <s v="KG"/>
    <n v="0"/>
    <n v="0"/>
    <n v="0"/>
    <n v="0"/>
    <n v="0"/>
    <n v="0"/>
    <n v="0"/>
    <s v="EUR"/>
    <m/>
    <s v="EXP20260610-2789857-"/>
    <s v="EXP20260610-2789857-"/>
    <s v="00KZZJUW"/>
    <s v="GOUJON JEAN FRANCOIS"/>
    <s v="8 RUE DE LA BROT"/>
    <m/>
    <m/>
    <n v="21000"/>
    <s v="DIJON"/>
    <s v="FR"/>
    <s v="France"/>
    <m/>
  </r>
  <r>
    <x v="0"/>
    <n v="0"/>
    <n v="0"/>
    <n v="0"/>
    <n v="2"/>
    <n v="2501382993"/>
    <n v="103023421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92"/>
    <s v="10.06.2026"/>
    <x v="120"/>
    <n v="2604000082"/>
    <m/>
    <n v="0"/>
    <n v="1"/>
    <n v="0"/>
    <n v="1.66"/>
    <s v="KG"/>
    <n v="0"/>
    <n v="0"/>
    <n v="0"/>
    <n v="0"/>
    <n v="0"/>
    <n v="0"/>
    <n v="0"/>
    <s v="EUR"/>
    <m/>
    <s v="EXP20260609-2788943-"/>
    <s v="EXP20260609-2788943-"/>
    <s v="00KZZJUV"/>
    <s v="JONAT PATRICE"/>
    <s v="12 RUE DE L'EGLISE"/>
    <m/>
    <m/>
    <n v="68480"/>
    <s v="WINKEL"/>
    <s v="FR"/>
    <s v="France"/>
    <m/>
  </r>
  <r>
    <x v="0"/>
    <n v="7.4300000000000006"/>
    <n v="1.64"/>
    <n v="5.7900000000000009"/>
    <n v="3"/>
    <n v="2501382993"/>
    <n v="1030230832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PARCEL_D01_S07"/>
    <s v="Business Parcel - Dis. 01 - Size 07"/>
    <s v="PARCEDOMESSTANDARD"/>
    <m/>
    <n v="121"/>
    <s v="10.06.2026"/>
    <x v="115"/>
    <n v="6794049"/>
    <m/>
    <n v="0"/>
    <n v="0"/>
    <n v="0"/>
    <n v="0"/>
    <s v="KG"/>
    <n v="4.74"/>
    <n v="0.9"/>
    <n v="0.15"/>
    <n v="29.1"/>
    <n v="1.64"/>
    <n v="0"/>
    <n v="0"/>
    <s v="EUR"/>
    <m/>
    <s v="EXP20260609-2788660"/>
    <m/>
    <s v="00L29F9X"/>
    <s v="PHARMACIE LA CENTAUREE"/>
    <s v="53 GRANDE RUE S ALLENDE"/>
    <s v="LEONARD ALEXANDRA"/>
    <m/>
    <n v="74190"/>
    <s v="PASSY"/>
    <s v="FR"/>
    <s v="France"/>
    <m/>
  </r>
  <r>
    <x v="0"/>
    <n v="7.4300000000000006"/>
    <n v="1.64"/>
    <n v="5.7900000000000009"/>
    <n v="3"/>
    <n v="2501382993"/>
    <n v="1030230832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PARCEL_D01_S07"/>
    <s v="Business Parcel - Dis. 01 - Size 07"/>
    <s v="PARCEDOMESSTANDARD"/>
    <m/>
    <n v="121"/>
    <s v="10.06.2026"/>
    <x v="116"/>
    <n v="6794259"/>
    <m/>
    <n v="0"/>
    <n v="0"/>
    <n v="0"/>
    <n v="0"/>
    <s v="KG"/>
    <n v="4.74"/>
    <n v="0.9"/>
    <n v="0.15"/>
    <n v="29.1"/>
    <n v="1.64"/>
    <n v="0"/>
    <n v="0"/>
    <s v="EUR"/>
    <m/>
    <s v="EXP20260609-2788659"/>
    <m/>
    <s v="00L29FI2"/>
    <s v="SAS MIRAMAR"/>
    <s v="PORT CROUESTY"/>
    <s v="DUCAUD CORINNE"/>
    <m/>
    <n v="56640"/>
    <s v="ARZON"/>
    <s v="FR"/>
    <s v="France"/>
    <m/>
  </r>
  <r>
    <x v="0"/>
    <n v="0"/>
    <n v="0"/>
    <n v="0"/>
    <n v="2"/>
    <n v="2501382993"/>
    <n v="103023455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00"/>
    <s v="11.06.2026"/>
    <x v="121"/>
    <n v="2604000061"/>
    <m/>
    <n v="0"/>
    <n v="1"/>
    <n v="0"/>
    <n v="1.88"/>
    <s v="KG"/>
    <n v="0"/>
    <n v="0"/>
    <n v="0"/>
    <n v="0"/>
    <n v="0"/>
    <n v="0"/>
    <n v="0"/>
    <s v="EUR"/>
    <m/>
    <s v="EXP20260610-2790001-"/>
    <s v="EXP20260610-2790001-"/>
    <s v="00KUR5V7"/>
    <s v="TOZZI MARGAUX"/>
    <s v="14 RUE DU GAZ"/>
    <m/>
    <m/>
    <n v="13500"/>
    <s v="MARTIGUES"/>
    <s v="FR"/>
    <s v="France"/>
    <m/>
  </r>
  <r>
    <x v="0"/>
    <n v="0"/>
    <n v="0"/>
    <n v="0"/>
    <n v="1"/>
    <n v="2501382993"/>
    <n v="103023455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00"/>
    <s v="11.06.2026"/>
    <x v="122"/>
    <n v="2604000062"/>
    <m/>
    <n v="0"/>
    <n v="1"/>
    <n v="0"/>
    <n v="0.52"/>
    <s v="KG"/>
    <n v="0"/>
    <n v="0"/>
    <n v="0"/>
    <n v="0"/>
    <n v="0"/>
    <n v="0"/>
    <n v="0"/>
    <s v="EUR"/>
    <m/>
    <s v="EXP20260610-2791235-"/>
    <s v="EXP20260610-2791235-"/>
    <s v="00KUR5V8"/>
    <s v="BERNE RACHEL"/>
    <s v="6 RUE DES REMPARTS"/>
    <m/>
    <m/>
    <n v="34130"/>
    <s v="MUDAISON"/>
    <s v="FR"/>
    <s v="France"/>
    <m/>
  </r>
  <r>
    <x v="0"/>
    <n v="0"/>
    <n v="0"/>
    <n v="0"/>
    <n v="1"/>
    <n v="2501382993"/>
    <n v="103023455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00"/>
    <s v="11.06.2026"/>
    <x v="123"/>
    <n v="2604000063"/>
    <m/>
    <n v="0"/>
    <n v="1"/>
    <n v="0"/>
    <n v="0.52"/>
    <s v="KG"/>
    <n v="0"/>
    <n v="0"/>
    <n v="0"/>
    <n v="0"/>
    <n v="0"/>
    <n v="0"/>
    <n v="0"/>
    <s v="EUR"/>
    <m/>
    <s v="EXP20260611-2791577-"/>
    <s v="EXP20260611-2791577-"/>
    <s v="00KUR5V9"/>
    <s v="PERSO"/>
    <s v="45 RUE MADELEINE ODRU"/>
    <m/>
    <m/>
    <n v="93230"/>
    <s v="ROMAINVILLE"/>
    <s v="FR"/>
    <s v="France"/>
    <m/>
  </r>
  <r>
    <x v="0"/>
    <n v="0"/>
    <n v="0"/>
    <n v="0"/>
    <n v="1"/>
    <n v="2501382993"/>
    <n v="103023455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00"/>
    <s v="11.06.2026"/>
    <x v="124"/>
    <n v="2604000064"/>
    <m/>
    <n v="0"/>
    <n v="1"/>
    <n v="0"/>
    <n v="0.8"/>
    <s v="KG"/>
    <n v="0"/>
    <n v="0"/>
    <n v="0"/>
    <n v="0"/>
    <n v="0"/>
    <n v="0"/>
    <n v="0"/>
    <s v="EUR"/>
    <m/>
    <s v="EXP20260611-2791528-"/>
    <s v="EXP20260611-2791528-"/>
    <s v="00KUR5VA"/>
    <s v="ABDELLAH ANAELLE"/>
    <s v="40 RUE DE BENFELD"/>
    <m/>
    <m/>
    <n v="67100"/>
    <s v="STRASBOURG"/>
    <s v="FR"/>
    <s v="France"/>
    <m/>
  </r>
  <r>
    <x v="0"/>
    <n v="0"/>
    <n v="0"/>
    <n v="0"/>
    <n v="2"/>
    <n v="2501382993"/>
    <n v="103023455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00"/>
    <s v="11.06.2026"/>
    <x v="125"/>
    <n v="2604000065"/>
    <m/>
    <n v="0"/>
    <n v="1"/>
    <n v="0"/>
    <n v="2"/>
    <s v="KG"/>
    <n v="0"/>
    <n v="0"/>
    <n v="0"/>
    <n v="0"/>
    <n v="0"/>
    <n v="0"/>
    <n v="0"/>
    <s v="EUR"/>
    <m/>
    <s v="EXP20260610-2791192-"/>
    <s v="EXP20260610-2791192-"/>
    <s v="00KUR5VB"/>
    <s v="ALTENAIJI TALEB"/>
    <s v="GL - NET 7 RUE DU MEUNIER (SNS"/>
    <m/>
    <m/>
    <n v="95700"/>
    <s v="ROISSY-EN-FRANCE"/>
    <s v="FR"/>
    <s v="France"/>
    <m/>
  </r>
  <r>
    <x v="0"/>
    <n v="8.15"/>
    <n v="1.8"/>
    <n v="6.3500000000000005"/>
    <n v="4"/>
    <n v="2501382993"/>
    <n v="103023387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8"/>
    <s v="Business Parcel - Dis. 01 - Size 08"/>
    <s v="PARCEDOMESSTANDARD"/>
    <m/>
    <n v="182"/>
    <s v="11.06.2026"/>
    <x v="126"/>
    <n v="2604000086"/>
    <m/>
    <n v="0"/>
    <n v="0"/>
    <n v="0"/>
    <n v="0"/>
    <s v="KG"/>
    <n v="5.3"/>
    <n v="0.9"/>
    <n v="0.15"/>
    <n v="29.1"/>
    <n v="1.8"/>
    <n v="0"/>
    <n v="0"/>
    <s v="EUR"/>
    <m/>
    <s v="EXP20260610-2790120-"/>
    <s v="EXP20260610-2790120-"/>
    <s v="00KZZJUZ"/>
    <s v="SAINSARD MONIQUE"/>
    <s v="3 IMPASSE SAINT-PIERRE"/>
    <m/>
    <m/>
    <n v="34410"/>
    <s v="SAUVIAN"/>
    <s v="FR"/>
    <s v="France"/>
    <m/>
  </r>
  <r>
    <x v="0"/>
    <n v="0"/>
    <n v="0"/>
    <n v="0"/>
    <n v="4"/>
    <n v="2501382993"/>
    <n v="103023387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181"/>
    <s v="11.06.2026"/>
    <x v="126"/>
    <n v="2604000086"/>
    <m/>
    <n v="0"/>
    <n v="1"/>
    <n v="0"/>
    <n v="3.86"/>
    <s v="KG"/>
    <n v="0"/>
    <n v="0"/>
    <n v="0"/>
    <n v="0"/>
    <n v="0"/>
    <n v="0"/>
    <n v="0"/>
    <s v="EUR"/>
    <m/>
    <s v="EXP20260610-2790120-"/>
    <s v="EXP20260610-2790120-"/>
    <s v="00KZZJUZ"/>
    <s v="SAINSARD MONIQUE"/>
    <s v="3 IMPASSE SAINT-PIERRE"/>
    <m/>
    <m/>
    <n v="34410"/>
    <s v="SAUVIAN"/>
    <s v="FR"/>
    <s v="France"/>
    <m/>
  </r>
  <r>
    <x v="0"/>
    <n v="0"/>
    <n v="0"/>
    <n v="0"/>
    <n v="1"/>
    <n v="2501382993"/>
    <n v="103023455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00"/>
    <s v="11.06.2026"/>
    <x v="127"/>
    <n v="2604000066"/>
    <m/>
    <n v="0"/>
    <n v="1"/>
    <n v="0"/>
    <n v="0.54"/>
    <s v="KG"/>
    <n v="0"/>
    <n v="0"/>
    <n v="0"/>
    <n v="0"/>
    <n v="0"/>
    <n v="0"/>
    <n v="0"/>
    <s v="EUR"/>
    <m/>
    <s v="EXP20260611-2792195-"/>
    <s v="EXP20260611-2792195-"/>
    <s v="00KUR5VC"/>
    <s v="JOUTARD CAMILLE"/>
    <s v="159 RUE PELLEPORT"/>
    <m/>
    <m/>
    <n v="75020"/>
    <s v="PARIS"/>
    <s v="FR"/>
    <s v="France"/>
    <m/>
  </r>
  <r>
    <x v="0"/>
    <n v="6.6000000000000005"/>
    <n v="1.45"/>
    <n v="5.15"/>
    <n v="1"/>
    <n v="2501382993"/>
    <n v="103023455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201"/>
    <s v="11.06.2026"/>
    <x v="122"/>
    <n v="2604000062"/>
    <m/>
    <n v="0"/>
    <n v="0"/>
    <n v="0"/>
    <n v="0"/>
    <s v="KG"/>
    <n v="4.0999999999999996"/>
    <n v="0.9"/>
    <n v="0.15"/>
    <n v="29.1"/>
    <n v="1.45"/>
    <n v="0"/>
    <n v="0"/>
    <s v="EUR"/>
    <m/>
    <s v="EXP20260610-2791235-"/>
    <s v="EXP20260610-2791235-"/>
    <s v="00KUR5V8"/>
    <s v="BERNE RACHEL"/>
    <s v="6 RUE DES REMPARTS"/>
    <m/>
    <m/>
    <n v="34130"/>
    <s v="MUDAISON"/>
    <s v="FR"/>
    <s v="France"/>
    <m/>
  </r>
  <r>
    <x v="0"/>
    <n v="6.6000000000000005"/>
    <n v="1.45"/>
    <n v="5.15"/>
    <n v="1"/>
    <n v="2501382993"/>
    <n v="103023455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201"/>
    <s v="11.06.2026"/>
    <x v="123"/>
    <n v="2604000063"/>
    <m/>
    <n v="0"/>
    <n v="0"/>
    <n v="0"/>
    <n v="0"/>
    <s v="KG"/>
    <n v="4.0999999999999996"/>
    <n v="0.9"/>
    <n v="0.15"/>
    <n v="29.1"/>
    <n v="1.45"/>
    <n v="0"/>
    <n v="0"/>
    <s v="EUR"/>
    <m/>
    <s v="EXP20260611-2791577-"/>
    <s v="EXP20260611-2791577-"/>
    <s v="00KUR5V9"/>
    <s v="PERSO"/>
    <s v="45 RUE MADELEINE ODRU"/>
    <m/>
    <m/>
    <n v="93230"/>
    <s v="ROMAINVILLE"/>
    <s v="FR"/>
    <s v="France"/>
    <m/>
  </r>
  <r>
    <x v="0"/>
    <n v="6.6000000000000005"/>
    <n v="1.45"/>
    <n v="5.15"/>
    <n v="1"/>
    <n v="2501382993"/>
    <n v="103023455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201"/>
    <s v="11.06.2026"/>
    <x v="127"/>
    <n v="2604000066"/>
    <m/>
    <n v="0"/>
    <n v="0"/>
    <n v="0"/>
    <n v="0"/>
    <s v="KG"/>
    <n v="4.0999999999999996"/>
    <n v="0.9"/>
    <n v="0.15"/>
    <n v="29.1"/>
    <n v="1.45"/>
    <n v="0"/>
    <n v="0"/>
    <s v="EUR"/>
    <m/>
    <s v="EXP20260611-2792195-"/>
    <s v="EXP20260611-2792195-"/>
    <s v="00KUR5VC"/>
    <s v="JOUTARD CAMILLE"/>
    <s v="159 RUE PELLEPORT"/>
    <m/>
    <m/>
    <n v="75020"/>
    <s v="PARIS"/>
    <s v="FR"/>
    <s v="France"/>
    <m/>
  </r>
  <r>
    <x v="0"/>
    <n v="6.6000000000000005"/>
    <n v="1.45"/>
    <n v="5.15"/>
    <n v="1"/>
    <n v="2501382993"/>
    <n v="103023455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4"/>
    <s v="Business Parcel - Dis. 01 - Size 04"/>
    <s v="PARCEDOMESSTANDARD"/>
    <m/>
    <n v="202"/>
    <s v="11.06.2026"/>
    <x v="124"/>
    <n v="2604000064"/>
    <m/>
    <n v="0"/>
    <n v="0"/>
    <n v="0"/>
    <n v="0"/>
    <s v="KG"/>
    <n v="4.0999999999999996"/>
    <n v="0.9"/>
    <n v="0.15"/>
    <n v="29.1"/>
    <n v="1.45"/>
    <n v="0"/>
    <n v="0"/>
    <s v="EUR"/>
    <m/>
    <s v="EXP20260611-2791528-"/>
    <s v="EXP20260611-2791528-"/>
    <s v="00KUR5VA"/>
    <s v="ABDELLAH ANAELLE"/>
    <s v="40 RUE DE BENFELD"/>
    <m/>
    <m/>
    <n v="67100"/>
    <s v="STRASBOURG"/>
    <s v="FR"/>
    <s v="France"/>
    <m/>
  </r>
  <r>
    <x v="0"/>
    <n v="7.0100000000000007"/>
    <n v="1.54"/>
    <n v="5.4700000000000006"/>
    <n v="2"/>
    <n v="2501382993"/>
    <n v="103023455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6"/>
    <s v="Business Parcel - Dis. 01 - Size 06"/>
    <s v="PARCEDOMESSTANDARD"/>
    <m/>
    <n v="203"/>
    <s v="11.06.2026"/>
    <x v="121"/>
    <n v="2604000061"/>
    <m/>
    <n v="0"/>
    <n v="0"/>
    <n v="0"/>
    <n v="0"/>
    <s v="KG"/>
    <n v="4.42"/>
    <n v="0.9"/>
    <n v="0.15"/>
    <n v="29.1"/>
    <n v="1.54"/>
    <n v="0"/>
    <n v="0"/>
    <s v="EUR"/>
    <m/>
    <s v="EXP20260610-2790001-"/>
    <s v="EXP20260610-2790001-"/>
    <s v="00KUR5V7"/>
    <s v="TOZZI MARGAUX"/>
    <s v="14 RUE DU GAZ"/>
    <m/>
    <m/>
    <n v="13500"/>
    <s v="MARTIGUES"/>
    <s v="FR"/>
    <s v="France"/>
    <m/>
  </r>
  <r>
    <x v="0"/>
    <n v="7.0100000000000007"/>
    <n v="1.54"/>
    <n v="5.4700000000000006"/>
    <n v="2"/>
    <n v="2501382993"/>
    <n v="103023455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6"/>
    <s v="Business Parcel - Dis. 01 - Size 06"/>
    <s v="PARCEDOMESSTANDARD"/>
    <m/>
    <n v="203"/>
    <s v="11.06.2026"/>
    <x v="125"/>
    <n v="2604000065"/>
    <m/>
    <n v="0"/>
    <n v="0"/>
    <n v="0"/>
    <n v="0"/>
    <s v="KG"/>
    <n v="4.42"/>
    <n v="0.9"/>
    <n v="0.15"/>
    <n v="29.1"/>
    <n v="1.54"/>
    <n v="0"/>
    <n v="0"/>
    <s v="EUR"/>
    <m/>
    <s v="EXP20260610-2791192-"/>
    <s v="EXP20260610-2791192-"/>
    <s v="00KUR5VB"/>
    <s v="ALTENAIJI TALEB"/>
    <s v="GL - NET 7 RUE DU MEUNIER (SNS"/>
    <m/>
    <m/>
    <n v="95700"/>
    <s v="ROISSY-EN-FRANCE"/>
    <s v="FR"/>
    <s v="France"/>
    <m/>
  </r>
  <r>
    <x v="0"/>
    <n v="0"/>
    <n v="0"/>
    <n v="0"/>
    <n v="1"/>
    <n v="2501382993"/>
    <n v="103023104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23"/>
    <s v="12.06.2026"/>
    <x v="128"/>
    <n v="2604000067"/>
    <m/>
    <n v="0"/>
    <n v="1"/>
    <n v="0"/>
    <n v="0.26"/>
    <s v="KG"/>
    <n v="0"/>
    <n v="0"/>
    <n v="0"/>
    <n v="0"/>
    <n v="0"/>
    <n v="0"/>
    <n v="0"/>
    <s v="EUR"/>
    <m/>
    <s v="EXP20260611-2792449-"/>
    <s v="EXP20260611-2792449-"/>
    <s v="00KUR5VD"/>
    <s v="AMARGIER ARNAUD"/>
    <s v="50 CHEMIN DU ROULON"/>
    <m/>
    <m/>
    <n v="43370"/>
    <s v="LE BRIGNON"/>
    <s v="FR"/>
    <s v="France"/>
    <m/>
  </r>
  <r>
    <x v="0"/>
    <n v="0"/>
    <n v="0"/>
    <n v="0"/>
    <n v="1"/>
    <n v="2501382993"/>
    <n v="103023104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23"/>
    <s v="12.06.2026"/>
    <x v="129"/>
    <n v="2604000068"/>
    <m/>
    <n v="0"/>
    <n v="1"/>
    <n v="0"/>
    <n v="0.3"/>
    <s v="KG"/>
    <n v="0"/>
    <n v="0"/>
    <n v="0"/>
    <n v="0"/>
    <n v="0"/>
    <n v="0"/>
    <n v="0"/>
    <s v="EUR"/>
    <m/>
    <s v="EXP20260611-2792450-"/>
    <s v="EXP20260611-2792450-"/>
    <s v="00KUR5VE"/>
    <s v="COSNIER FRANCIS"/>
    <s v="156 AVENUE DE LA"/>
    <m/>
    <m/>
    <n v="73600"/>
    <s v="MOUTIERS"/>
    <s v="FR"/>
    <s v="France"/>
    <m/>
  </r>
  <r>
    <x v="0"/>
    <n v="0"/>
    <n v="0"/>
    <n v="0"/>
    <n v="1"/>
    <n v="2501382993"/>
    <n v="103023104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23"/>
    <s v="12.06.2026"/>
    <x v="130"/>
    <n v="2604000070"/>
    <m/>
    <n v="0"/>
    <n v="1"/>
    <n v="0"/>
    <n v="1"/>
    <s v="KG"/>
    <n v="0"/>
    <n v="0"/>
    <n v="0"/>
    <n v="0"/>
    <n v="0"/>
    <n v="0"/>
    <n v="0"/>
    <s v="EUR"/>
    <m/>
    <s v="EXP20260611-2792503-"/>
    <s v="EXP20260611-2792503-"/>
    <s v="00KUR5VF"/>
    <s v="TAKASAGO"/>
    <s v="12 RUE TORRICELLI"/>
    <m/>
    <m/>
    <n v="75017"/>
    <s v="TAKASAGO"/>
    <s v="FR"/>
    <s v="France"/>
    <m/>
  </r>
  <r>
    <x v="0"/>
    <n v="0"/>
    <n v="0"/>
    <n v="0"/>
    <n v="1"/>
    <n v="2501382993"/>
    <n v="103023104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23"/>
    <s v="12.06.2026"/>
    <x v="131"/>
    <n v="2604000071"/>
    <m/>
    <n v="0"/>
    <n v="1"/>
    <n v="0"/>
    <n v="0.28000000000000003"/>
    <s v="KG"/>
    <n v="0"/>
    <n v="0"/>
    <n v="0"/>
    <n v="0"/>
    <n v="0"/>
    <n v="0"/>
    <n v="0"/>
    <s v="EUR"/>
    <m/>
    <s v="EXP20260611-2792567-"/>
    <s v="EXP20260611-2792567-"/>
    <s v="00KUR5VG"/>
    <s v="DOUCE CANDICE"/>
    <s v="475 RUE PARADIS"/>
    <m/>
    <m/>
    <n v="13008"/>
    <s v="MARSEILLE"/>
    <s v="FR"/>
    <s v="France"/>
    <m/>
  </r>
  <r>
    <x v="0"/>
    <n v="0"/>
    <n v="0"/>
    <n v="0"/>
    <n v="3"/>
    <n v="2501382993"/>
    <n v="103023104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EFDS"/>
    <s v="FDS_D11_S01"/>
    <s v="Euro FlexDelivery - Dis. 11 - Size 01"/>
    <s v="PARCEEUROPFDS"/>
    <m/>
    <n v="124"/>
    <s v="12.06.2026"/>
    <x v="132"/>
    <n v="2604000069"/>
    <m/>
    <n v="0"/>
    <n v="1"/>
    <n v="0"/>
    <n v="2.88"/>
    <s v="KG"/>
    <n v="0"/>
    <n v="0"/>
    <n v="0"/>
    <n v="0"/>
    <n v="0"/>
    <n v="0"/>
    <n v="0"/>
    <s v="EUR"/>
    <m/>
    <s v="EXP20260611-2792334-"/>
    <s v="EXP20260611-2792334-"/>
    <s v="ZWLMMM8V"/>
    <s v="OPA EN AN"/>
    <s v="VOORSTRAAT 306"/>
    <m/>
    <m/>
    <s v="3311 CW"/>
    <s v="DORDRECHT"/>
    <s v="NL"/>
    <s v="Pays-Bas"/>
    <m/>
  </r>
  <r>
    <x v="0"/>
    <n v="6.17"/>
    <n v="1.35"/>
    <n v="4.82"/>
    <n v="0.5"/>
    <n v="2501382993"/>
    <n v="103023104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25"/>
    <s v="12.06.2026"/>
    <x v="128"/>
    <n v="2604000067"/>
    <m/>
    <n v="0"/>
    <n v="0"/>
    <n v="0"/>
    <n v="0"/>
    <s v="KG"/>
    <n v="3.77"/>
    <n v="0.9"/>
    <n v="0.15"/>
    <n v="29.1"/>
    <n v="1.35"/>
    <n v="0"/>
    <n v="0"/>
    <s v="EUR"/>
    <m/>
    <s v="EXP20260611-2792449-"/>
    <s v="EXP20260611-2792449-"/>
    <s v="00KUR5VD"/>
    <s v="AMARGIER ARNAUD"/>
    <s v="50 CHEMIN DU ROULON"/>
    <m/>
    <m/>
    <n v="43370"/>
    <s v="LE BRIGNON"/>
    <s v="FR"/>
    <s v="France"/>
    <m/>
  </r>
  <r>
    <x v="0"/>
    <n v="6.17"/>
    <n v="1.35"/>
    <n v="4.82"/>
    <n v="0.5"/>
    <n v="2501382993"/>
    <n v="103023104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25"/>
    <s v="12.06.2026"/>
    <x v="129"/>
    <n v="2604000068"/>
    <m/>
    <n v="0"/>
    <n v="0"/>
    <n v="0"/>
    <n v="0"/>
    <s v="KG"/>
    <n v="3.77"/>
    <n v="0.9"/>
    <n v="0.15"/>
    <n v="29.1"/>
    <n v="1.35"/>
    <n v="0"/>
    <n v="0"/>
    <s v="EUR"/>
    <m/>
    <s v="EXP20260611-2792450-"/>
    <s v="EXP20260611-2792450-"/>
    <s v="00KUR5VE"/>
    <s v="COSNIER FRANCIS"/>
    <s v="156 AVENUE DE LA"/>
    <m/>
    <m/>
    <n v="73600"/>
    <s v="MOUTIERS"/>
    <s v="FR"/>
    <s v="France"/>
    <m/>
  </r>
  <r>
    <x v="0"/>
    <n v="6.17"/>
    <n v="1.35"/>
    <n v="4.82"/>
    <n v="0.5"/>
    <n v="2501382993"/>
    <n v="103023104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25"/>
    <s v="12.06.2026"/>
    <x v="131"/>
    <n v="2604000071"/>
    <m/>
    <n v="0"/>
    <n v="0"/>
    <n v="0"/>
    <n v="0"/>
    <s v="KG"/>
    <n v="3.77"/>
    <n v="0.9"/>
    <n v="0.15"/>
    <n v="29.1"/>
    <n v="1.35"/>
    <n v="0"/>
    <n v="0"/>
    <s v="EUR"/>
    <m/>
    <s v="EXP20260611-2792567-"/>
    <s v="EXP20260611-2792567-"/>
    <s v="00KUR5VG"/>
    <s v="DOUCE CANDICE"/>
    <s v="475 RUE PARADIS"/>
    <m/>
    <m/>
    <n v="13008"/>
    <s v="MARSEILLE"/>
    <s v="FR"/>
    <s v="France"/>
    <m/>
  </r>
  <r>
    <x v="0"/>
    <n v="6.6000000000000005"/>
    <n v="1.45"/>
    <n v="5.15"/>
    <n v="1"/>
    <n v="2501382993"/>
    <n v="103023104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4"/>
    <s v="Business Parcel - Dis. 01 - Size 04"/>
    <s v="PARCEDOMESSTANDARD"/>
    <m/>
    <n v="126"/>
    <s v="12.06.2026"/>
    <x v="130"/>
    <n v="2604000070"/>
    <m/>
    <n v="0"/>
    <n v="0"/>
    <n v="0"/>
    <n v="0"/>
    <s v="KG"/>
    <n v="4.0999999999999996"/>
    <n v="0.9"/>
    <n v="0.15"/>
    <n v="29.1"/>
    <n v="1.45"/>
    <n v="0"/>
    <n v="0"/>
    <s v="EUR"/>
    <m/>
    <s v="EXP20260611-2792503-"/>
    <s v="EXP20260611-2792503-"/>
    <s v="00KUR5VF"/>
    <s v="TAKASAGO"/>
    <s v="12 RUE TORRICELLI"/>
    <m/>
    <m/>
    <n v="75017"/>
    <s v="TAKASAGO"/>
    <s v="FR"/>
    <s v="France"/>
    <m/>
  </r>
  <r>
    <x v="0"/>
    <n v="13.95"/>
    <n v="3.11"/>
    <n v="10.84"/>
    <s v="hors France"/>
    <n v="2501382993"/>
    <n v="103023104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EFDS"/>
    <s v="PARCEL_D11_S07"/>
    <s v="EuroBusiness Parcel - Dis. 11 - S. 07"/>
    <s v="PARCEEUROPSTANDARD"/>
    <m/>
    <n v="127"/>
    <s v="12.06.2026"/>
    <x v="132"/>
    <n v="2604000069"/>
    <m/>
    <n v="0"/>
    <n v="0"/>
    <n v="0"/>
    <n v="0"/>
    <s v="KG"/>
    <n v="9.7899999999999991"/>
    <n v="0.9"/>
    <n v="0.15"/>
    <n v="29.1"/>
    <n v="3.11"/>
    <n v="0"/>
    <n v="0"/>
    <s v="EUR"/>
    <m/>
    <s v="EXP20260611-2792334-"/>
    <s v="EXP20260611-2792334-"/>
    <s v="ZWLMMM8V"/>
    <s v="OPA EN AN"/>
    <s v="VOORSTRAAT 306"/>
    <m/>
    <m/>
    <s v="3311 CW"/>
    <s v="DORDRECHT"/>
    <s v="NL"/>
    <s v="Pays-Bas"/>
    <m/>
  </r>
  <r>
    <x v="2"/>
    <n v="3.04"/>
    <n v="0.68"/>
    <n v="2.36"/>
    <e v="#N/A"/>
    <n v="2501382993"/>
    <n v="103023104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SUR_CARD_01"/>
    <s v="Majoration AvisÃ© sans TÃ©l ou mail"/>
    <s v="SURCHALL NTFCNCRD"/>
    <m/>
    <n v="128"/>
    <s v="12.06.2026"/>
    <x v="121"/>
    <n v="2604000061"/>
    <m/>
    <n v="0"/>
    <n v="0"/>
    <n v="0"/>
    <n v="0"/>
    <s v="KG"/>
    <n v="2.36"/>
    <n v="0"/>
    <n v="0"/>
    <n v="29.1"/>
    <n v="0.68"/>
    <n v="0"/>
    <n v="0"/>
    <s v="EUR"/>
    <m/>
    <s v="EXP20260610-2790001-"/>
    <s v="EXP20260610-2790001-"/>
    <s v="00KUR5V7"/>
    <s v="TOZZI MARGAUX"/>
    <s v="14 RUE DU GAZ"/>
    <m/>
    <m/>
    <n v="13500"/>
    <s v="MARTIGUES"/>
    <s v="FR"/>
    <s v="France"/>
    <m/>
  </r>
  <r>
    <x v="1"/>
    <n v="0"/>
    <n v="0"/>
    <n v="0"/>
    <e v="#N/A"/>
    <n v="2501382993"/>
    <n v="103023104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SUR_FS_AVIS_01"/>
    <s v="AvisÃ© FDS"/>
    <s v="SURCHALL"/>
    <m/>
    <n v="129"/>
    <s v="12.06.2026"/>
    <x v="121"/>
    <n v="2604000061"/>
    <m/>
    <n v="0"/>
    <n v="0"/>
    <n v="0"/>
    <n v="0"/>
    <s v="KG"/>
    <n v="0"/>
    <n v="0"/>
    <n v="0"/>
    <n v="0"/>
    <n v="0"/>
    <n v="0"/>
    <n v="0"/>
    <s v="EUR"/>
    <m/>
    <s v="EXP20260610-2790001-"/>
    <s v="EXP20260610-2790001-"/>
    <s v="00KUR5V7"/>
    <s v="TOZZI MARGAUX"/>
    <s v="14 RUE DU GAZ"/>
    <m/>
    <m/>
    <n v="13500"/>
    <s v="MARTIGUES"/>
    <s v="FR"/>
    <s v="France"/>
    <m/>
  </r>
  <r>
    <x v="3"/>
    <n v="5.7"/>
    <n v="1.28"/>
    <n v="4.42"/>
    <n v="2"/>
    <n v="2501382993"/>
    <n v="103023104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SUR_RET_BUP_D01"/>
    <s v="Retour Colis BUP - Classe 01"/>
    <s v="SURCHALL RETURN"/>
    <m/>
    <n v="130"/>
    <s v="12.06.2026"/>
    <x v="100"/>
    <n v="2604000047"/>
    <m/>
    <n v="0"/>
    <n v="0"/>
    <n v="0"/>
    <n v="0"/>
    <s v="KG"/>
    <n v="4.42"/>
    <n v="0"/>
    <n v="0"/>
    <n v="29.1"/>
    <n v="1.28"/>
    <n v="0"/>
    <n v="0"/>
    <s v="EUR"/>
    <m/>
    <s v="EXP20260606-2783600-"/>
    <s v="EXP20260606-2783600-"/>
    <s v="00KUR5UT"/>
    <s v="CHACHA EMNA"/>
    <s v="134 RUE PEYSSONNEL"/>
    <m/>
    <m/>
    <n v="13002"/>
    <s v="MARSEILLE"/>
    <s v="FR"/>
    <s v="France"/>
    <m/>
  </r>
  <r>
    <x v="0"/>
    <n v="0"/>
    <n v="0"/>
    <n v="0"/>
    <n v="3"/>
    <n v="2501382993"/>
    <n v="103022022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72"/>
    <s v="15.06.2026"/>
    <x v="133"/>
    <n v="2604000091"/>
    <m/>
    <n v="0"/>
    <n v="1"/>
    <n v="0"/>
    <n v="2.35"/>
    <s v="KG"/>
    <n v="0"/>
    <n v="0"/>
    <n v="0"/>
    <n v="0"/>
    <n v="0"/>
    <n v="0"/>
    <n v="0"/>
    <s v="EUR"/>
    <m/>
    <s v="EXP20260614-2797124-"/>
    <s v="EXP20260614-2797124-"/>
    <s v="00KZZJV4"/>
    <s v="MALMEJEAN LORENE"/>
    <s v="9 RUE FAUVEAU"/>
    <m/>
    <m/>
    <n v="95600"/>
    <s v="EAUBONNE"/>
    <s v="FR"/>
    <s v="France"/>
    <m/>
  </r>
  <r>
    <x v="0"/>
    <n v="0"/>
    <n v="0"/>
    <n v="0"/>
    <n v="3"/>
    <n v="2501382993"/>
    <n v="103022022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72"/>
    <s v="15.06.2026"/>
    <x v="134"/>
    <n v="2604000090"/>
    <m/>
    <n v="0"/>
    <n v="1"/>
    <n v="0"/>
    <n v="2.48"/>
    <s v="KG"/>
    <n v="0"/>
    <n v="0"/>
    <n v="0"/>
    <n v="0"/>
    <n v="0"/>
    <n v="0"/>
    <n v="0"/>
    <s v="EUR"/>
    <m/>
    <s v="EXP20260614-2797480-"/>
    <s v="EXP20260614-2797480-"/>
    <s v="00KZZJV3"/>
    <s v="LE BIHAN ALEXANDRA"/>
    <s v="390 ROUTE DE LA ROCHE"/>
    <m/>
    <m/>
    <n v="69250"/>
    <s v="POLEYMIEUX-AU-MONT-D'OR"/>
    <s v="FR"/>
    <s v="France"/>
    <m/>
  </r>
  <r>
    <x v="0"/>
    <n v="0"/>
    <n v="0"/>
    <n v="0"/>
    <n v="3"/>
    <n v="2501382993"/>
    <n v="103022022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72"/>
    <s v="15.06.2026"/>
    <x v="135"/>
    <n v="2604000089"/>
    <m/>
    <n v="0"/>
    <n v="1"/>
    <n v="0"/>
    <n v="2.46"/>
    <s v="KG"/>
    <n v="0"/>
    <n v="0"/>
    <n v="0"/>
    <n v="0"/>
    <n v="0"/>
    <n v="0"/>
    <n v="0"/>
    <s v="EUR"/>
    <m/>
    <s v="EXP20260613-2796658-"/>
    <s v="EXP20260613-2796658-"/>
    <s v="00KZZJV2"/>
    <s v="CROZAFON PHILIPPE"/>
    <s v="170 AVENUE DE GAIRAUT"/>
    <m/>
    <m/>
    <n v="6100"/>
    <s v="NICE"/>
    <s v="FR"/>
    <s v="France"/>
    <m/>
  </r>
  <r>
    <x v="0"/>
    <n v="6.17"/>
    <n v="1.35"/>
    <n v="4.82"/>
    <n v="0.5"/>
    <n v="2501382993"/>
    <n v="103022022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73"/>
    <s v="15.06.2026"/>
    <x v="136"/>
    <n v="2604000088"/>
    <m/>
    <n v="0"/>
    <n v="0"/>
    <n v="0"/>
    <n v="0"/>
    <s v="KG"/>
    <n v="3.77"/>
    <n v="0.9"/>
    <n v="0.15"/>
    <n v="29.1"/>
    <n v="1.35"/>
    <n v="0"/>
    <n v="0"/>
    <s v="EUR"/>
    <m/>
    <s v="EXP20260614-2797854-"/>
    <s v="EXP20260614-2797854-"/>
    <s v="00KZZJV1"/>
    <s v="RAMBAUD EMILIE"/>
    <s v="6 RUE DU PRE LONGE"/>
    <m/>
    <m/>
    <n v="74940"/>
    <s v="ANNECY"/>
    <s v="FR"/>
    <s v="France"/>
    <m/>
  </r>
  <r>
    <x v="0"/>
    <n v="7.4300000000000006"/>
    <n v="1.64"/>
    <n v="5.7900000000000009"/>
    <n v="3"/>
    <n v="2501382993"/>
    <n v="103022022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74"/>
    <s v="15.06.2026"/>
    <x v="137"/>
    <n v="2604000087"/>
    <m/>
    <n v="0"/>
    <n v="0"/>
    <n v="0"/>
    <n v="0"/>
    <s v="KG"/>
    <n v="4.74"/>
    <n v="0.9"/>
    <n v="0.15"/>
    <n v="29.1"/>
    <n v="1.64"/>
    <n v="0"/>
    <n v="0"/>
    <s v="EUR"/>
    <m/>
    <s v="EXP20260612-2793404-"/>
    <s v="EXP20260612-2793404-"/>
    <s v="00KZZJV0"/>
    <s v="MARDON JUSTINE"/>
    <s v="70 RESIDENCE LE CLOS DES PINS"/>
    <m/>
    <m/>
    <n v="13320"/>
    <s v="BOUC-BEL-AIR"/>
    <s v="FR"/>
    <s v="France"/>
    <m/>
  </r>
  <r>
    <x v="0"/>
    <n v="7.4300000000000006"/>
    <n v="1.64"/>
    <n v="5.7900000000000009"/>
    <n v="3"/>
    <n v="2501382993"/>
    <n v="103022022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74"/>
    <s v="15.06.2026"/>
    <x v="135"/>
    <n v="2604000089"/>
    <m/>
    <n v="0"/>
    <n v="0"/>
    <n v="0"/>
    <n v="0"/>
    <s v="KG"/>
    <n v="4.74"/>
    <n v="0.9"/>
    <n v="0.15"/>
    <n v="29.1"/>
    <n v="1.64"/>
    <n v="0"/>
    <n v="0"/>
    <s v="EUR"/>
    <m/>
    <s v="EXP20260613-2796658-"/>
    <s v="EXP20260613-2796658-"/>
    <s v="00KZZJV2"/>
    <s v="CROZAFON PHILIPPE"/>
    <s v="170 AVENUE DE GAIRAUT"/>
    <m/>
    <m/>
    <n v="6100"/>
    <s v="NICE"/>
    <s v="FR"/>
    <s v="France"/>
    <m/>
  </r>
  <r>
    <x v="0"/>
    <n v="7.4300000000000006"/>
    <n v="1.64"/>
    <n v="5.7900000000000009"/>
    <n v="3"/>
    <n v="2501382993"/>
    <n v="103022022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74"/>
    <s v="15.06.2026"/>
    <x v="134"/>
    <n v="2604000090"/>
    <m/>
    <n v="0"/>
    <n v="0"/>
    <n v="0"/>
    <n v="0"/>
    <s v="KG"/>
    <n v="4.74"/>
    <n v="0.9"/>
    <n v="0.15"/>
    <n v="29.1"/>
    <n v="1.64"/>
    <n v="0"/>
    <n v="0"/>
    <s v="EUR"/>
    <m/>
    <s v="EXP20260614-2797480-"/>
    <s v="EXP20260614-2797480-"/>
    <s v="00KZZJV3"/>
    <s v="LE BIHAN ALEXANDRA"/>
    <s v="390 ROUTE DE LA ROCHE"/>
    <m/>
    <m/>
    <n v="69250"/>
    <s v="POLEYMIEUX-AU-MONT-D'OR"/>
    <s v="FR"/>
    <s v="France"/>
    <m/>
  </r>
  <r>
    <x v="0"/>
    <n v="7.4300000000000006"/>
    <n v="1.64"/>
    <n v="5.7900000000000009"/>
    <n v="3"/>
    <n v="2501382993"/>
    <n v="103022022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74"/>
    <s v="15.06.2026"/>
    <x v="133"/>
    <n v="2604000091"/>
    <m/>
    <n v="0"/>
    <n v="0"/>
    <n v="0"/>
    <n v="0"/>
    <s v="KG"/>
    <n v="4.74"/>
    <n v="0.9"/>
    <n v="0.15"/>
    <n v="29.1"/>
    <n v="1.64"/>
    <n v="0"/>
    <n v="0"/>
    <s v="EUR"/>
    <m/>
    <s v="EXP20260614-2797124-"/>
    <s v="EXP20260614-2797124-"/>
    <s v="00KZZJV4"/>
    <s v="MALMEJEAN LORENE"/>
    <s v="9 RUE FAUVEAU"/>
    <m/>
    <m/>
    <n v="95600"/>
    <s v="EAUBONNE"/>
    <s v="FR"/>
    <s v="France"/>
    <m/>
  </r>
  <r>
    <x v="0"/>
    <n v="0"/>
    <n v="0"/>
    <n v="0"/>
    <n v="1"/>
    <n v="2501382993"/>
    <n v="103022022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72"/>
    <s v="15.06.2026"/>
    <x v="136"/>
    <n v="2604000088"/>
    <m/>
    <n v="0"/>
    <n v="1"/>
    <n v="0"/>
    <n v="0.44"/>
    <s v="KG"/>
    <n v="0"/>
    <n v="0"/>
    <n v="0"/>
    <n v="0"/>
    <n v="0"/>
    <n v="0"/>
    <n v="0"/>
    <s v="EUR"/>
    <m/>
    <s v="EXP20260614-2797854-"/>
    <s v="EXP20260614-2797854-"/>
    <s v="00KZZJV1"/>
    <s v="RAMBAUD EMILIE"/>
    <s v="6 RUE DU PRE LONGE"/>
    <m/>
    <m/>
    <n v="74940"/>
    <s v="ANNECY"/>
    <s v="FR"/>
    <s v="France"/>
    <m/>
  </r>
  <r>
    <x v="0"/>
    <n v="0"/>
    <n v="0"/>
    <n v="0"/>
    <n v="3"/>
    <n v="2501382993"/>
    <n v="103022022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72"/>
    <s v="15.06.2026"/>
    <x v="137"/>
    <n v="2604000087"/>
    <m/>
    <n v="0"/>
    <n v="1"/>
    <n v="0"/>
    <n v="2.52"/>
    <s v="KG"/>
    <n v="0"/>
    <n v="0"/>
    <n v="0"/>
    <n v="0"/>
    <n v="0"/>
    <n v="0"/>
    <n v="0"/>
    <s v="EUR"/>
    <m/>
    <s v="EXP20260612-2793404-"/>
    <s v="EXP20260612-2793404-"/>
    <s v="00KZZJV0"/>
    <s v="MARDON JUSTINE"/>
    <s v="70 RESIDENCE LE CLOS DES PINS"/>
    <m/>
    <m/>
    <n v="13320"/>
    <s v="BOUC-BEL-AIR"/>
    <s v="FR"/>
    <s v="France"/>
    <m/>
  </r>
  <r>
    <x v="3"/>
    <n v="5.2899999999999991"/>
    <n v="1.19"/>
    <n v="4.0999999999999996"/>
    <n v="1"/>
    <n v="2501382993"/>
    <n v="1030220153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SUR_RET_BUP_D01"/>
    <s v="Retour Colis BUP - Classe 01"/>
    <s v="SURCHALL RETURN"/>
    <m/>
    <n v="71"/>
    <s v="15.06.2026"/>
    <x v="38"/>
    <n v="2604000019"/>
    <m/>
    <n v="0"/>
    <n v="0"/>
    <n v="0"/>
    <n v="0"/>
    <s v="KG"/>
    <n v="4.0999999999999996"/>
    <n v="0"/>
    <n v="0"/>
    <n v="29.1"/>
    <n v="1.19"/>
    <n v="0"/>
    <n v="0"/>
    <s v="EUR"/>
    <m/>
    <s v="EXP20260601-2773391-"/>
    <s v="EXP20260601-2773391-"/>
    <s v="00KUR5U1"/>
    <s v="DURAND MELANIE"/>
    <s v="57,PASSAGE DU MONT JOVET"/>
    <m/>
    <m/>
    <n v="73600"/>
    <s v="MOUTIERS"/>
    <s v="FR"/>
    <s v="France"/>
    <m/>
  </r>
  <r>
    <x v="0"/>
    <n v="7.0100000000000007"/>
    <n v="1.54"/>
    <n v="5.4700000000000006"/>
    <n v="2"/>
    <n v="2501382993"/>
    <n v="1030220153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5"/>
    <s v="Business Parcel - Dis. 01 - Size 05"/>
    <s v="PARCEDOMESSTANDARD"/>
    <m/>
    <n v="70"/>
    <s v="15.06.2026"/>
    <x v="138"/>
    <n v="2604000072"/>
    <m/>
    <n v="0"/>
    <n v="0"/>
    <n v="0"/>
    <n v="0"/>
    <s v="KG"/>
    <n v="4.42"/>
    <n v="0.9"/>
    <n v="0.15"/>
    <n v="29.1"/>
    <n v="1.54"/>
    <n v="0"/>
    <n v="0"/>
    <s v="EUR"/>
    <m/>
    <s v="EXP20260613-2796151-"/>
    <s v="EXP20260613-2796151-"/>
    <s v="00KUR5VH"/>
    <s v="IRINA GONCHAROVA"/>
    <s v="1 AVENUE DU GENERAL LECLERC"/>
    <m/>
    <m/>
    <n v="93250"/>
    <s v="VILLEMOMBLE"/>
    <s v="FR"/>
    <s v="France"/>
    <m/>
  </r>
  <r>
    <x v="0"/>
    <n v="6.17"/>
    <n v="1.35"/>
    <n v="4.82"/>
    <n v="0.5"/>
    <n v="2501382993"/>
    <n v="1030220153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69"/>
    <s v="15.06.2026"/>
    <x v="139"/>
    <n v="2604000076"/>
    <m/>
    <n v="0"/>
    <n v="0"/>
    <n v="0"/>
    <n v="0"/>
    <s v="KG"/>
    <n v="3.77"/>
    <n v="0.9"/>
    <n v="0.15"/>
    <n v="29.1"/>
    <n v="1.35"/>
    <n v="0"/>
    <n v="0"/>
    <s v="EUR"/>
    <m/>
    <s v="EXP20260612-2795888-"/>
    <s v="EXP20260612-2795888-"/>
    <s v="00KUR5VL"/>
    <s v="RAFFIN MATHILDE"/>
    <s v="6 ALLEE DU GRAND CEDRE"/>
    <m/>
    <m/>
    <n v="92140"/>
    <s v="CLAMART"/>
    <s v="FR"/>
    <s v="France"/>
    <m/>
  </r>
  <r>
    <x v="0"/>
    <n v="6.17"/>
    <n v="1.35"/>
    <n v="4.82"/>
    <n v="0.5"/>
    <n v="2501382993"/>
    <n v="1030220153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69"/>
    <s v="15.06.2026"/>
    <x v="140"/>
    <n v="2604000075"/>
    <m/>
    <n v="0"/>
    <n v="0"/>
    <n v="0"/>
    <n v="0"/>
    <s v="KG"/>
    <n v="3.77"/>
    <n v="0.9"/>
    <n v="0.15"/>
    <n v="29.1"/>
    <n v="1.35"/>
    <n v="0"/>
    <n v="0"/>
    <s v="EUR"/>
    <m/>
    <s v="EXP20260612-2795886-"/>
    <s v="EXP20260612-2795886-"/>
    <s v="00KUR5VK"/>
    <s v="BIAYS VERONIQUE"/>
    <s v="217 RUE MARCOZ"/>
    <m/>
    <m/>
    <n v="73000"/>
    <s v="CHAMBERY"/>
    <s v="FR"/>
    <s v="France"/>
    <m/>
  </r>
  <r>
    <x v="0"/>
    <n v="6.17"/>
    <n v="1.35"/>
    <n v="4.82"/>
    <n v="0.5"/>
    <n v="2501382993"/>
    <n v="1030220153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69"/>
    <s v="15.06.2026"/>
    <x v="141"/>
    <n v="2604000074"/>
    <m/>
    <n v="0"/>
    <n v="0"/>
    <n v="0"/>
    <n v="0"/>
    <s v="KG"/>
    <n v="3.77"/>
    <n v="0.9"/>
    <n v="0.15"/>
    <n v="29.1"/>
    <n v="1.35"/>
    <n v="0"/>
    <n v="0"/>
    <s v="EUR"/>
    <m/>
    <s v="EXP20260614-2798056-"/>
    <s v="EXP20260614-2798056-"/>
    <s v="00KUR5VJ"/>
    <s v="CHERINE LACHHAB"/>
    <s v="27 RUE JULES FERRY"/>
    <m/>
    <m/>
    <n v="92400"/>
    <s v="COURBEVOIE"/>
    <s v="FR"/>
    <s v="France"/>
    <m/>
  </r>
  <r>
    <x v="0"/>
    <n v="6.17"/>
    <n v="1.35"/>
    <n v="4.82"/>
    <n v="0.5"/>
    <n v="2501382993"/>
    <n v="1030220153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69"/>
    <s v="15.06.2026"/>
    <x v="142"/>
    <n v="2604000073"/>
    <m/>
    <n v="0"/>
    <n v="0"/>
    <n v="0"/>
    <n v="0"/>
    <s v="KG"/>
    <n v="3.77"/>
    <n v="0.9"/>
    <n v="0.15"/>
    <n v="29.1"/>
    <n v="1.35"/>
    <n v="0"/>
    <n v="0"/>
    <s v="EUR"/>
    <m/>
    <s v="EXP20260614-2797542-"/>
    <s v="EXP20260614-2797542-"/>
    <s v="00KUR5VI"/>
    <s v="DAHMANI KAMEL"/>
    <s v="13 RUE ZACHARIE NICOLAY"/>
    <m/>
    <m/>
    <n v="84000"/>
    <s v="AVIGNON"/>
    <s v="FR"/>
    <s v="France"/>
    <m/>
  </r>
  <r>
    <x v="0"/>
    <n v="0"/>
    <n v="0"/>
    <n v="0"/>
    <n v="1"/>
    <n v="2501382993"/>
    <n v="1030220153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68"/>
    <s v="15.06.2026"/>
    <x v="139"/>
    <n v="2604000076"/>
    <m/>
    <n v="0"/>
    <n v="1"/>
    <n v="0"/>
    <n v="0.28000000000000003"/>
    <s v="KG"/>
    <n v="0"/>
    <n v="0"/>
    <n v="0"/>
    <n v="0"/>
    <n v="0"/>
    <n v="0"/>
    <n v="0"/>
    <s v="EUR"/>
    <m/>
    <s v="EXP20260612-2795888-"/>
    <s v="EXP20260612-2795888-"/>
    <s v="00KUR5VL"/>
    <s v="RAFFIN MATHILDE"/>
    <s v="6 ALLEE DU GRAND CEDRE"/>
    <m/>
    <m/>
    <n v="92140"/>
    <s v="CLAMART"/>
    <s v="FR"/>
    <s v="France"/>
    <m/>
  </r>
  <r>
    <x v="0"/>
    <n v="0"/>
    <n v="0"/>
    <n v="0"/>
    <n v="1"/>
    <n v="2501382993"/>
    <n v="1030220153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68"/>
    <s v="15.06.2026"/>
    <x v="140"/>
    <n v="2604000075"/>
    <m/>
    <n v="0"/>
    <n v="1"/>
    <n v="0"/>
    <n v="0.42"/>
    <s v="KG"/>
    <n v="0"/>
    <n v="0"/>
    <n v="0"/>
    <n v="0"/>
    <n v="0"/>
    <n v="0"/>
    <n v="0"/>
    <s v="EUR"/>
    <m/>
    <s v="EXP20260612-2795886-"/>
    <s v="EXP20260612-2795886-"/>
    <s v="00KUR5VK"/>
    <s v="BIAYS VERONIQUE"/>
    <s v="217 RUE MARCOZ"/>
    <m/>
    <m/>
    <n v="73000"/>
    <s v="CHAMBERY"/>
    <s v="FR"/>
    <s v="France"/>
    <m/>
  </r>
  <r>
    <x v="0"/>
    <n v="0"/>
    <n v="0"/>
    <n v="0"/>
    <n v="1"/>
    <n v="2501382993"/>
    <n v="1030220153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68"/>
    <s v="15.06.2026"/>
    <x v="141"/>
    <n v="2604000074"/>
    <m/>
    <n v="0"/>
    <n v="1"/>
    <n v="0"/>
    <n v="0.32"/>
    <s v="KG"/>
    <n v="0"/>
    <n v="0"/>
    <n v="0"/>
    <n v="0"/>
    <n v="0"/>
    <n v="0"/>
    <n v="0"/>
    <s v="EUR"/>
    <m/>
    <s v="EXP20260614-2798056-"/>
    <s v="EXP20260614-2798056-"/>
    <s v="00KUR5VJ"/>
    <s v="CHERINE LACHHAB"/>
    <s v="27 RUE JULES FERRY"/>
    <m/>
    <m/>
    <n v="92400"/>
    <s v="COURBEVOIE"/>
    <s v="FR"/>
    <s v="France"/>
    <m/>
  </r>
  <r>
    <x v="0"/>
    <n v="0"/>
    <n v="0"/>
    <n v="0"/>
    <n v="1"/>
    <n v="2501382993"/>
    <n v="1030220153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68"/>
    <s v="15.06.2026"/>
    <x v="142"/>
    <n v="2604000073"/>
    <m/>
    <n v="0"/>
    <n v="1"/>
    <n v="0"/>
    <n v="0.32"/>
    <s v="KG"/>
    <n v="0"/>
    <n v="0"/>
    <n v="0"/>
    <n v="0"/>
    <n v="0"/>
    <n v="0"/>
    <n v="0"/>
    <s v="EUR"/>
    <m/>
    <s v="EXP20260614-2797542-"/>
    <s v="EXP20260614-2797542-"/>
    <s v="00KUR5VI"/>
    <s v="DAHMANI KAMEL"/>
    <s v="13 RUE ZACHARIE NICOLAY"/>
    <m/>
    <m/>
    <n v="84000"/>
    <s v="AVIGNON"/>
    <s v="FR"/>
    <s v="France"/>
    <m/>
  </r>
  <r>
    <x v="0"/>
    <n v="0"/>
    <n v="0"/>
    <n v="0"/>
    <n v="2"/>
    <n v="2501382993"/>
    <n v="1030220153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68"/>
    <s v="15.06.2026"/>
    <x v="138"/>
    <n v="2604000072"/>
    <m/>
    <n v="0"/>
    <n v="1"/>
    <n v="0"/>
    <n v="1.02"/>
    <s v="KG"/>
    <n v="0"/>
    <n v="0"/>
    <n v="0"/>
    <n v="0"/>
    <n v="0"/>
    <n v="0"/>
    <n v="0"/>
    <s v="EUR"/>
    <m/>
    <s v="EXP20260613-2796151-"/>
    <s v="EXP20260613-2796151-"/>
    <s v="00KUR5VH"/>
    <s v="IRINA GONCHAROVA"/>
    <s v="1 AVENUE DU GENERAL LECLERC"/>
    <m/>
    <m/>
    <n v="93250"/>
    <s v="VILLEMOMBLE"/>
    <s v="FR"/>
    <s v="France"/>
    <m/>
  </r>
  <r>
    <x v="0"/>
    <n v="0"/>
    <n v="0"/>
    <n v="0"/>
    <n v="3"/>
    <n v="2501382993"/>
    <n v="1030234702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FDS_D01_S01"/>
    <s v="BP FlexDelivery - Dis. 01 - Size 01"/>
    <s v="PARCEDOMESFDS"/>
    <m/>
    <n v="206"/>
    <s v="16.06.2026"/>
    <x v="143"/>
    <n v="6864367"/>
    <m/>
    <n v="0"/>
    <n v="1"/>
    <n v="0"/>
    <n v="2.34"/>
    <s v="KG"/>
    <n v="0"/>
    <n v="0"/>
    <n v="0"/>
    <n v="0"/>
    <n v="0"/>
    <n v="0"/>
    <n v="0"/>
    <s v="EUR"/>
    <m/>
    <s v="EXP20260615-2799667"/>
    <m/>
    <s v="00L2R9O3"/>
    <s v="HANNE ELISABETH"/>
    <s v="78 CHEMIN DES POISSONNIERS"/>
    <s v="RES ST CLAUDE BAT 2 ESC 1"/>
    <s v="HANNE ELISABETH"/>
    <n v="6130"/>
    <s v="GRASSE"/>
    <s v="FR"/>
    <s v="France"/>
    <m/>
  </r>
  <r>
    <x v="0"/>
    <n v="0"/>
    <n v="0"/>
    <n v="0"/>
    <n v="4"/>
    <n v="2501382993"/>
    <n v="1030234702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FDS_D01_S01"/>
    <s v="BP FlexDelivery - Dis. 01 - Size 01"/>
    <s v="PARCEDOMESFDS"/>
    <m/>
    <n v="206"/>
    <s v="16.06.2026"/>
    <x v="144"/>
    <n v="6868295"/>
    <m/>
    <n v="0"/>
    <n v="1"/>
    <n v="0"/>
    <n v="3.96"/>
    <s v="KG"/>
    <n v="0"/>
    <n v="0"/>
    <n v="0"/>
    <n v="0"/>
    <n v="0"/>
    <n v="0"/>
    <n v="0"/>
    <s v="EUR"/>
    <m/>
    <s v="EXP20260615-2799792"/>
    <m/>
    <s v="00L2RVK3"/>
    <s v="TRINQUET CATHERINE"/>
    <s v="22 AVENUE DE LA TUILIERE"/>
    <m/>
    <m/>
    <n v="13620"/>
    <s v="CARRY-LE-ROUET"/>
    <s v="FR"/>
    <s v="France"/>
    <m/>
  </r>
  <r>
    <x v="0"/>
    <n v="6.17"/>
    <n v="1.35"/>
    <n v="4.82"/>
    <n v="0.5"/>
    <n v="2501382993"/>
    <n v="103022075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82"/>
    <s v="16.06.2026"/>
    <x v="145"/>
    <n v="2604000092"/>
    <m/>
    <n v="0"/>
    <n v="0"/>
    <n v="0"/>
    <n v="0"/>
    <s v="KG"/>
    <n v="3.77"/>
    <n v="0.9"/>
    <n v="0.15"/>
    <n v="29.1"/>
    <n v="1.35"/>
    <n v="0"/>
    <n v="0"/>
    <s v="EUR"/>
    <m/>
    <s v="EXP20260615-2800217-"/>
    <s v="EXP20260615-2800217-"/>
    <s v="00KZZJV5"/>
    <s v="DELSALLE LUC"/>
    <s v="41 LOTISSEMENT DE LA CHARTEUSE"/>
    <m/>
    <m/>
    <n v="56400"/>
    <s v="BRECH"/>
    <s v="FR"/>
    <s v="France"/>
    <m/>
  </r>
  <r>
    <x v="0"/>
    <n v="0"/>
    <n v="0"/>
    <n v="0"/>
    <n v="1"/>
    <n v="2501382993"/>
    <n v="103022075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81"/>
    <s v="16.06.2026"/>
    <x v="145"/>
    <n v="2604000092"/>
    <m/>
    <n v="0"/>
    <n v="1"/>
    <n v="0"/>
    <n v="0.44"/>
    <s v="KG"/>
    <n v="0"/>
    <n v="0"/>
    <n v="0"/>
    <n v="0"/>
    <n v="0"/>
    <n v="0"/>
    <n v="0"/>
    <s v="EUR"/>
    <m/>
    <s v="EXP20260615-2800217-"/>
    <s v="EXP20260615-2800217-"/>
    <s v="00KZZJV5"/>
    <s v="DELSALLE LUC"/>
    <s v="41 LOTISSEMENT DE LA CHARTEUSE"/>
    <m/>
    <m/>
    <n v="56400"/>
    <s v="BRECH"/>
    <s v="FR"/>
    <s v="France"/>
    <m/>
  </r>
  <r>
    <x v="0"/>
    <n v="7.4300000000000006"/>
    <n v="1.64"/>
    <n v="5.7900000000000009"/>
    <n v="3"/>
    <n v="2501382993"/>
    <n v="1030234702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PARCEL_D01_S07"/>
    <s v="Business Parcel - Dis. 01 - Size 07"/>
    <s v="PARCEDOMESSTANDARD"/>
    <m/>
    <n v="207"/>
    <s v="16.06.2026"/>
    <x v="143"/>
    <n v="6864367"/>
    <m/>
    <n v="0"/>
    <n v="0"/>
    <n v="0"/>
    <n v="0"/>
    <s v="KG"/>
    <n v="4.74"/>
    <n v="0.9"/>
    <n v="0.15"/>
    <n v="29.1"/>
    <n v="1.64"/>
    <n v="0"/>
    <n v="0"/>
    <s v="EUR"/>
    <m/>
    <s v="EXP20260615-2799667"/>
    <m/>
    <s v="00L2R9O3"/>
    <s v="HANNE ELISABETH"/>
    <s v="78 CHEMIN DES POISSONNIERS"/>
    <s v="RES ST CLAUDE BAT 2 ESC 1"/>
    <s v="HANNE ELISABETH"/>
    <n v="6130"/>
    <s v="GRASSE"/>
    <s v="FR"/>
    <s v="France"/>
    <m/>
  </r>
  <r>
    <x v="0"/>
    <n v="8.15"/>
    <n v="1.8"/>
    <n v="6.3500000000000005"/>
    <n v="4"/>
    <n v="2501382993"/>
    <n v="1030234702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PARCEL_D01_S08"/>
    <s v="Business Parcel - Dis. 01 - Size 08"/>
    <s v="PARCEDOMESSTANDARD"/>
    <m/>
    <n v="208"/>
    <s v="16.06.2026"/>
    <x v="144"/>
    <n v="6868295"/>
    <m/>
    <n v="0"/>
    <n v="0"/>
    <n v="0"/>
    <n v="0"/>
    <s v="KG"/>
    <n v="5.3"/>
    <n v="0.9"/>
    <n v="0.15"/>
    <n v="29.1"/>
    <n v="1.8"/>
    <n v="0"/>
    <n v="0"/>
    <s v="EUR"/>
    <m/>
    <s v="EXP20260615-2799792"/>
    <m/>
    <s v="00L2RVK3"/>
    <s v="TRINQUET CATHERINE"/>
    <s v="22 AVENUE DE LA TUILIERE"/>
    <m/>
    <m/>
    <n v="13620"/>
    <s v="CARRY-LE-ROUET"/>
    <s v="FR"/>
    <s v="France"/>
    <m/>
  </r>
  <r>
    <x v="0"/>
    <n v="0"/>
    <n v="0"/>
    <n v="0"/>
    <n v="1"/>
    <n v="2501382993"/>
    <n v="1030231841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36"/>
    <s v="16.06.2026"/>
    <x v="146"/>
    <n v="2604000077"/>
    <m/>
    <n v="0"/>
    <n v="1"/>
    <n v="0"/>
    <n v="0.28000000000000003"/>
    <s v="KG"/>
    <n v="0"/>
    <n v="0"/>
    <n v="0"/>
    <n v="0"/>
    <n v="0"/>
    <n v="0"/>
    <n v="0"/>
    <s v="EUR"/>
    <m/>
    <s v="EXP20260615-2799145-"/>
    <s v="EXP20260615-2799145-"/>
    <s v="00KUR5VM"/>
    <s v="VIRGINIE CONGE"/>
    <s v="11 RUE JEAN VALMY BAYSSE"/>
    <m/>
    <m/>
    <n v="33160"/>
    <s v="SAINT-MEDARD-EN-JALLES"/>
    <s v="FR"/>
    <s v="France"/>
    <m/>
  </r>
  <r>
    <x v="0"/>
    <n v="6.17"/>
    <n v="1.35"/>
    <n v="4.82"/>
    <n v="0.5"/>
    <n v="2501382993"/>
    <n v="1030231841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37"/>
    <s v="16.06.2026"/>
    <x v="146"/>
    <n v="2604000077"/>
    <m/>
    <n v="0"/>
    <n v="0"/>
    <n v="0"/>
    <n v="0"/>
    <s v="KG"/>
    <n v="3.77"/>
    <n v="0.9"/>
    <n v="0.15"/>
    <n v="29.1"/>
    <n v="1.35"/>
    <n v="0"/>
    <n v="0"/>
    <s v="EUR"/>
    <m/>
    <s v="EXP20260615-2799145-"/>
    <s v="EXP20260615-2799145-"/>
    <s v="00KUR5VM"/>
    <s v="VIRGINIE CONGE"/>
    <s v="11 RUE JEAN VALMY BAYSSE"/>
    <m/>
    <m/>
    <n v="33160"/>
    <s v="SAINT-MEDARD-EN-JALLES"/>
    <s v="FR"/>
    <s v="France"/>
    <m/>
  </r>
  <r>
    <x v="0"/>
    <n v="0"/>
    <n v="0"/>
    <n v="0"/>
    <n v="2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71"/>
    <s v="17.06.2026"/>
    <x v="147"/>
    <n v="2604000083"/>
    <m/>
    <n v="0"/>
    <n v="1"/>
    <n v="0"/>
    <n v="1.04"/>
    <s v="KG"/>
    <n v="0"/>
    <n v="0"/>
    <n v="0"/>
    <n v="0"/>
    <n v="0"/>
    <n v="0"/>
    <n v="0"/>
    <s v="EUR"/>
    <m/>
    <s v="EXP20260616-2801725-"/>
    <s v="EXP20260616-2801725-"/>
    <s v="00KUR5VS"/>
    <s v="TOZZI MARGAUX"/>
    <s v="14 RUE DU GAZ"/>
    <m/>
    <m/>
    <n v="13500"/>
    <s v="MARTIGUES"/>
    <s v="FR"/>
    <s v="France"/>
    <m/>
  </r>
  <r>
    <x v="0"/>
    <n v="0"/>
    <n v="0"/>
    <n v="0"/>
    <n v="2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71"/>
    <s v="17.06.2026"/>
    <x v="148"/>
    <n v="2604000082"/>
    <m/>
    <n v="0"/>
    <n v="1"/>
    <n v="0"/>
    <n v="1.04"/>
    <s v="KG"/>
    <n v="0"/>
    <n v="0"/>
    <n v="0"/>
    <n v="0"/>
    <n v="0"/>
    <n v="0"/>
    <n v="0"/>
    <s v="EUR"/>
    <m/>
    <s v="EXP20260616-2801723-"/>
    <s v="EXP20260616-2801723-"/>
    <s v="00KUR5VR"/>
    <s v="SALESSE ROLAND"/>
    <s v="23 RUE DU VERSOIR"/>
    <m/>
    <m/>
    <n v="91430"/>
    <s v="IGNY"/>
    <s v="FR"/>
    <s v="France"/>
    <m/>
  </r>
  <r>
    <x v="0"/>
    <n v="0"/>
    <n v="0"/>
    <n v="0"/>
    <n v="1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71"/>
    <s v="17.06.2026"/>
    <x v="149"/>
    <n v="2604000081"/>
    <m/>
    <n v="0"/>
    <n v="1"/>
    <n v="0"/>
    <n v="1"/>
    <s v="KG"/>
    <n v="0"/>
    <n v="0"/>
    <n v="0"/>
    <n v="0"/>
    <n v="0"/>
    <n v="0"/>
    <n v="0"/>
    <s v="EUR"/>
    <m/>
    <s v="EXP20260616-2801724-"/>
    <s v="EXP20260616-2801724-"/>
    <s v="00KUR5VQ"/>
    <s v="MESNARD RAYAN"/>
    <s v="6 RUE DE LA HOLLANDE"/>
    <m/>
    <m/>
    <n v="49300"/>
    <s v="CHOLET"/>
    <s v="FR"/>
    <s v="France"/>
    <m/>
  </r>
  <r>
    <x v="0"/>
    <n v="0"/>
    <n v="0"/>
    <n v="0"/>
    <n v="1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71"/>
    <s v="17.06.2026"/>
    <x v="150"/>
    <n v="2604000080"/>
    <m/>
    <n v="0"/>
    <n v="1"/>
    <n v="0"/>
    <n v="0.74"/>
    <s v="KG"/>
    <n v="0"/>
    <n v="0"/>
    <n v="0"/>
    <n v="0"/>
    <n v="0"/>
    <n v="0"/>
    <n v="0"/>
    <s v="EUR"/>
    <m/>
    <s v="EXP20260616-2801488-"/>
    <s v="EXP20260616-2801488-"/>
    <s v="00KUR5VP"/>
    <s v="GUEZENNEC EMMANUELLE"/>
    <s v="12 RUE MONGENOT"/>
    <m/>
    <m/>
    <n v="75012"/>
    <s v="PARIS"/>
    <s v="FR"/>
    <s v="France"/>
    <m/>
  </r>
  <r>
    <x v="0"/>
    <n v="0"/>
    <n v="0"/>
    <n v="0"/>
    <n v="1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71"/>
    <s v="17.06.2026"/>
    <x v="151"/>
    <n v="2604000079"/>
    <m/>
    <n v="0"/>
    <n v="1"/>
    <n v="0"/>
    <n v="0.44"/>
    <s v="KG"/>
    <n v="0"/>
    <n v="0"/>
    <n v="0"/>
    <n v="0"/>
    <n v="0"/>
    <n v="0"/>
    <n v="0"/>
    <s v="EUR"/>
    <m/>
    <s v="EXP20260615-2799814-"/>
    <s v="EXP20260615-2799814-"/>
    <s v="00KUR5VO"/>
    <s v="NATHALIE CLIDASSOU"/>
    <s v="3 PLACE DE LA DUCHESSE ANNE 56"/>
    <m/>
    <m/>
    <n v="56170"/>
    <s v="QUIBERON"/>
    <s v="FR"/>
    <s v="France"/>
    <m/>
  </r>
  <r>
    <x v="0"/>
    <n v="0"/>
    <n v="0"/>
    <n v="0"/>
    <n v="1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71"/>
    <s v="17.06.2026"/>
    <x v="152"/>
    <n v="2604000078"/>
    <m/>
    <n v="0"/>
    <n v="1"/>
    <n v="0"/>
    <n v="0.5"/>
    <s v="KG"/>
    <n v="0"/>
    <n v="0"/>
    <n v="0"/>
    <n v="0"/>
    <n v="0"/>
    <n v="0"/>
    <n v="0"/>
    <s v="EUR"/>
    <m/>
    <s v="EXP20260615-2799813-"/>
    <s v="EXP20260615-2799813-"/>
    <s v="00KUR5VN"/>
    <s v="CHARLENE GAUCHER"/>
    <s v="81 BIS BEL ABORD"/>
    <m/>
    <m/>
    <n v="49260"/>
    <s v="ARTANNES-SUR-THOUET"/>
    <s v="FR"/>
    <s v="France"/>
    <m/>
  </r>
  <r>
    <x v="0"/>
    <n v="8.870000000000001"/>
    <n v="1.96"/>
    <n v="6.910000000000001"/>
    <n v="5"/>
    <n v="2501382993"/>
    <n v="1030230070"/>
    <s v="30.06.2026"/>
    <n v="2500034092"/>
    <s v="LA RUCHE LOGISTIQUE"/>
    <n v="9000009190"/>
    <n v="46946"/>
    <s v="LA RUCHE"/>
    <n v="9000082814"/>
    <x v="5"/>
    <m/>
    <m/>
    <m/>
    <n v="2507012387"/>
    <s v="LA RUCHE LOGISTIQUE"/>
    <s v="FDS"/>
    <s v="PARCEL_D01_S09"/>
    <s v="Business Parcel - Dis. 01 - Size 09"/>
    <s v="PARCEDOMESSTANDARD"/>
    <m/>
    <n v="108"/>
    <s v="17.06.2026"/>
    <x v="153"/>
    <n v="6879217"/>
    <m/>
    <n v="0"/>
    <n v="0"/>
    <n v="0"/>
    <n v="0"/>
    <s v="KG"/>
    <n v="5.86"/>
    <n v="0.9"/>
    <n v="0.15"/>
    <n v="29.1"/>
    <n v="1.96"/>
    <n v="0"/>
    <n v="0"/>
    <s v="EUR"/>
    <m/>
    <s v="EXP20260615-2800649"/>
    <m/>
    <s v="00L2X6VJ"/>
    <s v="AMAZON-CDG7"/>
    <s v="PA DES PORTES DE SENLIS"/>
    <s v="1 AVENUE ALAIN BOUCHER"/>
    <s v="AMAZON-CDG7"/>
    <n v="60452"/>
    <s v="SENLIS CEDEX"/>
    <s v="FR"/>
    <s v="France"/>
    <m/>
  </r>
  <r>
    <x v="0"/>
    <n v="0"/>
    <n v="0"/>
    <n v="0"/>
    <n v="5"/>
    <n v="2501382993"/>
    <n v="1030230070"/>
    <s v="30.06.2026"/>
    <n v="2500034092"/>
    <s v="LA RUCHE LOGISTIQUE"/>
    <n v="9000009190"/>
    <n v="46946"/>
    <s v="LA RUCHE"/>
    <n v="9000082814"/>
    <x v="5"/>
    <m/>
    <m/>
    <m/>
    <n v="2507012387"/>
    <s v="LA RUCHE LOGISTIQUE"/>
    <s v="FDS"/>
    <s v="FDS_D01_S01"/>
    <s v="BP FlexDelivery - Dis. 01 - Size 01"/>
    <s v="PARCEDOMESFDS"/>
    <m/>
    <n v="107"/>
    <s v="17.06.2026"/>
    <x v="153"/>
    <n v="6879217"/>
    <m/>
    <n v="0"/>
    <n v="1"/>
    <n v="0"/>
    <n v="4.55"/>
    <s v="KG"/>
    <n v="0"/>
    <n v="0"/>
    <n v="0"/>
    <n v="0"/>
    <n v="0"/>
    <n v="0"/>
    <n v="0"/>
    <s v="EUR"/>
    <m/>
    <s v="EXP20260615-2800649"/>
    <m/>
    <s v="00L2X6VJ"/>
    <s v="AMAZON-CDG7"/>
    <s v="PA DES PORTES DE SENLIS"/>
    <s v="1 AVENUE ALAIN BOUCHER"/>
    <s v="AMAZON-CDG7"/>
    <n v="60452"/>
    <s v="SENLIS CEDEX"/>
    <s v="FR"/>
    <s v="France"/>
    <m/>
  </r>
  <r>
    <x v="0"/>
    <n v="0"/>
    <n v="0"/>
    <n v="0"/>
    <n v="2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71"/>
    <s v="17.06.2026"/>
    <x v="154"/>
    <n v="2604000084"/>
    <m/>
    <n v="0"/>
    <n v="1"/>
    <n v="0"/>
    <n v="1.76"/>
    <s v="KG"/>
    <n v="0"/>
    <n v="0"/>
    <n v="0"/>
    <n v="0"/>
    <n v="0"/>
    <n v="0"/>
    <n v="0"/>
    <s v="EUR"/>
    <m/>
    <s v="EXP20260616-2801719-"/>
    <s v="EXP20260616-2801719-"/>
    <s v="00KUR5VT"/>
    <s v="NIETO NICOLAS"/>
    <s v="9 COURS LAFAYETTE"/>
    <m/>
    <m/>
    <n v="69006"/>
    <s v="LYON"/>
    <s v="FR"/>
    <s v="France"/>
    <m/>
  </r>
  <r>
    <x v="0"/>
    <n v="0"/>
    <n v="0"/>
    <n v="0"/>
    <n v="1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71"/>
    <s v="17.06.2026"/>
    <x v="155"/>
    <n v="2604000085"/>
    <m/>
    <n v="0"/>
    <n v="1"/>
    <n v="0"/>
    <n v="0.26"/>
    <s v="KG"/>
    <n v="0"/>
    <n v="0"/>
    <n v="0"/>
    <n v="0"/>
    <n v="0"/>
    <n v="0"/>
    <n v="0"/>
    <s v="EUR"/>
    <m/>
    <s v="EXP20260616-2801607-"/>
    <s v="EXP20260616-2801607-"/>
    <s v="00KUR5VU"/>
    <s v="BONNEAU MARLENE"/>
    <s v="3 RUE ALEXANDRE DUMAS"/>
    <m/>
    <m/>
    <n v="93400"/>
    <s v="SAINT-OUEN-SUR-SEINE"/>
    <s v="FR"/>
    <s v="France"/>
    <m/>
  </r>
  <r>
    <x v="0"/>
    <n v="0"/>
    <n v="0"/>
    <n v="0"/>
    <n v="1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71"/>
    <s v="17.06.2026"/>
    <x v="156"/>
    <n v="2604000086"/>
    <m/>
    <n v="0"/>
    <n v="1"/>
    <n v="0"/>
    <n v="0.28000000000000003"/>
    <s v="KG"/>
    <n v="0"/>
    <n v="0"/>
    <n v="0"/>
    <n v="0"/>
    <n v="0"/>
    <n v="0"/>
    <n v="0"/>
    <s v="EUR"/>
    <m/>
    <s v="EXP20260616-2801606-"/>
    <s v="EXP20260616-2801606-"/>
    <s v="00KUR5VV"/>
    <s v="SEVIN MANON"/>
    <s v="112 AVENUE VICTOR HUGO"/>
    <m/>
    <m/>
    <n v="92100"/>
    <s v="BOULOGNE-BILLANCOURT"/>
    <s v="FR"/>
    <s v="France"/>
    <m/>
  </r>
  <r>
    <x v="0"/>
    <n v="0"/>
    <n v="0"/>
    <n v="0"/>
    <n v="3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71"/>
    <s v="17.06.2026"/>
    <x v="157"/>
    <n v="2604000087"/>
    <m/>
    <n v="0"/>
    <n v="1"/>
    <n v="0"/>
    <n v="2.44"/>
    <s v="KG"/>
    <n v="0"/>
    <n v="0"/>
    <n v="0"/>
    <n v="0"/>
    <n v="0"/>
    <n v="0"/>
    <n v="0"/>
    <s v="EUR"/>
    <m/>
    <s v="EXP20260616-2801726-"/>
    <s v="EXP20260616-2801726-"/>
    <s v="00KUR5VW"/>
    <s v="ROBIN ANAELLE"/>
    <s v="3 RUE DU DOCTEUR ET MADAME COC"/>
    <m/>
    <m/>
    <n v="35260"/>
    <s v="CANCALE"/>
    <s v="FR"/>
    <s v="France"/>
    <m/>
  </r>
  <r>
    <x v="0"/>
    <n v="0"/>
    <n v="0"/>
    <n v="0"/>
    <n v="1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71"/>
    <s v="17.06.2026"/>
    <x v="158"/>
    <n v="2604000088"/>
    <m/>
    <n v="0"/>
    <n v="1"/>
    <n v="0"/>
    <n v="0.54"/>
    <s v="KG"/>
    <n v="0"/>
    <n v="0"/>
    <n v="0"/>
    <n v="0"/>
    <n v="0"/>
    <n v="0"/>
    <n v="0"/>
    <s v="EUR"/>
    <m/>
    <s v="EXP20260616-2801814-"/>
    <s v="EXP20260616-2801814-"/>
    <s v="00KUR5VX"/>
    <s v="1000 FLOWERS ACADEMY"/>
    <s v="4 PLACE AUX AIRES,"/>
    <m/>
    <m/>
    <n v="6130"/>
    <s v="GRASSE"/>
    <s v="FR"/>
    <s v="France"/>
    <m/>
  </r>
  <r>
    <x v="0"/>
    <n v="0"/>
    <n v="0"/>
    <n v="0"/>
    <n v="2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71"/>
    <s v="17.06.2026"/>
    <x v="159"/>
    <n v="2604000089"/>
    <m/>
    <n v="0"/>
    <n v="1"/>
    <n v="0"/>
    <n v="1.88"/>
    <s v="KG"/>
    <n v="0"/>
    <n v="0"/>
    <n v="0"/>
    <n v="0"/>
    <n v="0"/>
    <n v="0"/>
    <n v="0"/>
    <s v="EUR"/>
    <m/>
    <s v="EXP20260616-2801722-"/>
    <s v="EXP20260616-2801722-"/>
    <s v="00KUR5VY"/>
    <s v="BACHALA VALERIE"/>
    <s v="115, RUE DU SEGALA"/>
    <m/>
    <m/>
    <n v="46130"/>
    <s v="GLANES"/>
    <s v="FR"/>
    <s v="France"/>
    <m/>
  </r>
  <r>
    <x v="0"/>
    <n v="0"/>
    <n v="0"/>
    <n v="0"/>
    <n v="1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71"/>
    <s v="17.06.2026"/>
    <x v="160"/>
    <n v="2604000090"/>
    <m/>
    <n v="0"/>
    <n v="1"/>
    <n v="0"/>
    <n v="0.54"/>
    <s v="KG"/>
    <n v="0"/>
    <n v="0"/>
    <n v="0"/>
    <n v="0"/>
    <n v="0"/>
    <n v="0"/>
    <n v="0"/>
    <s v="EUR"/>
    <m/>
    <s v="EXP20260616-2801817-"/>
    <s v="EXP20260616-2801817-"/>
    <s v="00KUR5VZ"/>
    <s v="GARANCE CREATIVE"/>
    <s v="29, BOULEVARD MALESHERBES,"/>
    <m/>
    <m/>
    <n v="75008"/>
    <s v="PARIS"/>
    <s v="FR"/>
    <s v="France"/>
    <m/>
  </r>
  <r>
    <x v="0"/>
    <n v="8.15"/>
    <n v="1.8"/>
    <n v="6.3500000000000005"/>
    <n v="4"/>
    <n v="2501382993"/>
    <n v="1030223434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8"/>
    <s v="Business Parcel - Dis. 01 - Size 08"/>
    <s v="PARCEDOMESSTANDARD"/>
    <m/>
    <n v="100"/>
    <s v="17.06.2026"/>
    <x v="161"/>
    <n v="2604000093"/>
    <m/>
    <n v="0"/>
    <n v="0"/>
    <n v="0"/>
    <n v="0"/>
    <s v="KG"/>
    <n v="5.3"/>
    <n v="0.9"/>
    <n v="0.15"/>
    <n v="29.1"/>
    <n v="1.8"/>
    <n v="0"/>
    <n v="0"/>
    <s v="EUR"/>
    <m/>
    <s v="EXP20260616-2802245-"/>
    <s v="EXP20260616-2802245-"/>
    <s v="00KZZJV6"/>
    <s v="REY-SALETES EMMANUELLE"/>
    <s v="42 RUE DES FILATIERS"/>
    <m/>
    <m/>
    <n v="31000"/>
    <s v="TOULOUSE"/>
    <s v="FR"/>
    <s v="France"/>
    <m/>
  </r>
  <r>
    <x v="0"/>
    <n v="7.0100000000000007"/>
    <n v="1.54"/>
    <n v="5.4700000000000006"/>
    <n v="2"/>
    <n v="2501382993"/>
    <n v="1030223434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99"/>
    <s v="17.06.2026"/>
    <x v="162"/>
    <n v="2604000094"/>
    <m/>
    <n v="0"/>
    <n v="0"/>
    <n v="0"/>
    <n v="0"/>
    <s v="KG"/>
    <n v="4.42"/>
    <n v="0.9"/>
    <n v="0.15"/>
    <n v="29.1"/>
    <n v="1.54"/>
    <n v="0"/>
    <n v="0"/>
    <s v="EUR"/>
    <m/>
    <s v="EXP20260616-2802443-"/>
    <s v="EXP20260616-2802443-"/>
    <s v="00KZZJV7"/>
    <s v="LOUVET SYLVAIN"/>
    <s v="22 RUE MASSEZ"/>
    <m/>
    <m/>
    <n v="51460"/>
    <s v="COURTISOLS"/>
    <s v="FR"/>
    <s v="France"/>
    <m/>
  </r>
  <r>
    <x v="0"/>
    <n v="0"/>
    <n v="0"/>
    <n v="0"/>
    <n v="2"/>
    <n v="2501382993"/>
    <n v="1030223434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98"/>
    <s v="17.06.2026"/>
    <x v="162"/>
    <n v="2604000094"/>
    <m/>
    <n v="0"/>
    <n v="1"/>
    <n v="0"/>
    <n v="2"/>
    <s v="KG"/>
    <n v="0"/>
    <n v="0"/>
    <n v="0"/>
    <n v="0"/>
    <n v="0"/>
    <n v="0"/>
    <n v="0"/>
    <s v="EUR"/>
    <m/>
    <s v="EXP20260616-2802443-"/>
    <s v="EXP20260616-2802443-"/>
    <s v="00KZZJV7"/>
    <s v="LOUVET SYLVAIN"/>
    <s v="22 RUE MASSEZ"/>
    <m/>
    <m/>
    <n v="51460"/>
    <s v="COURTISOLS"/>
    <s v="FR"/>
    <s v="France"/>
    <m/>
  </r>
  <r>
    <x v="0"/>
    <n v="0"/>
    <n v="0"/>
    <n v="0"/>
    <n v="4"/>
    <n v="2501382993"/>
    <n v="1030223434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98"/>
    <s v="17.06.2026"/>
    <x v="161"/>
    <n v="2604000093"/>
    <m/>
    <n v="0"/>
    <n v="1"/>
    <n v="0"/>
    <n v="3.76"/>
    <s v="KG"/>
    <n v="0"/>
    <n v="0"/>
    <n v="0"/>
    <n v="0"/>
    <n v="0"/>
    <n v="0"/>
    <n v="0"/>
    <s v="EUR"/>
    <m/>
    <s v="EXP20260616-2802245-"/>
    <s v="EXP20260616-2802245-"/>
    <s v="00KZZJV6"/>
    <s v="REY-SALETES EMMANUELLE"/>
    <s v="42 RUE DES FILATIERS"/>
    <m/>
    <m/>
    <n v="31000"/>
    <s v="TOULOUSE"/>
    <s v="FR"/>
    <s v="France"/>
    <m/>
  </r>
  <r>
    <x v="3"/>
    <n v="4.8600000000000003"/>
    <n v="1.0900000000000001"/>
    <n v="3.7700000000000005"/>
    <n v="0.5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SUR_RET_BUP_D01"/>
    <s v="Retour Colis BUP - Classe 01"/>
    <s v="SURCHALL RETURN"/>
    <m/>
    <n v="180"/>
    <s v="17.06.2026"/>
    <x v="39"/>
    <n v="2604000020"/>
    <m/>
    <n v="0"/>
    <n v="0"/>
    <n v="0"/>
    <n v="0"/>
    <s v="KG"/>
    <n v="3.77"/>
    <n v="0"/>
    <n v="0"/>
    <n v="29.1"/>
    <n v="1.0900000000000001"/>
    <n v="0"/>
    <n v="0"/>
    <s v="EUR"/>
    <m/>
    <s v="EXP20260529-2770258-"/>
    <s v="EXP20260529-2770258-"/>
    <s v="00KUR5U2"/>
    <s v="DOUCE CANDICE"/>
    <s v="475 RUE PARADIS"/>
    <m/>
    <m/>
    <n v="13008"/>
    <s v="MARSEILLE"/>
    <s v="FR"/>
    <s v="France"/>
    <m/>
  </r>
  <r>
    <x v="0"/>
    <n v="8.15"/>
    <n v="1.8"/>
    <n v="6.3500000000000005"/>
    <n v="4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8"/>
    <s v="Business Parcel - Dis. 01 - Size 08"/>
    <s v="PARCEDOMESSTANDARD"/>
    <m/>
    <n v="179"/>
    <s v="17.06.2026"/>
    <x v="163"/>
    <n v="2604000096"/>
    <m/>
    <n v="0"/>
    <n v="0"/>
    <n v="0"/>
    <n v="0"/>
    <s v="KG"/>
    <n v="5.3"/>
    <n v="0.9"/>
    <n v="0.15"/>
    <n v="29.1"/>
    <n v="1.8"/>
    <n v="0"/>
    <n v="0"/>
    <s v="EUR"/>
    <m/>
    <s v="EXP20260616-2802542-"/>
    <s v="EXP20260616-2802542-"/>
    <s v="00KUR5W5"/>
    <s v="RAILLON ANAIS"/>
    <s v="42 AVENUE DE LA REPUBLIQUE"/>
    <m/>
    <m/>
    <n v="33380"/>
    <s v="MIOS"/>
    <s v="FR"/>
    <s v="France"/>
    <m/>
  </r>
  <r>
    <x v="0"/>
    <n v="7.4300000000000006"/>
    <n v="1.64"/>
    <n v="5.7900000000000009"/>
    <n v="3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7"/>
    <s v="Business Parcel - Dis. 01 - Size 07"/>
    <s v="PARCEDOMESSTANDARD"/>
    <m/>
    <n v="178"/>
    <s v="17.06.2026"/>
    <x v="157"/>
    <n v="2604000087"/>
    <m/>
    <n v="0"/>
    <n v="0"/>
    <n v="0"/>
    <n v="0"/>
    <s v="KG"/>
    <n v="4.74"/>
    <n v="0.9"/>
    <n v="0.15"/>
    <n v="29.1"/>
    <n v="1.64"/>
    <n v="0"/>
    <n v="0"/>
    <s v="EUR"/>
    <m/>
    <s v="EXP20260616-2801726-"/>
    <s v="EXP20260616-2801726-"/>
    <s v="00KUR5VW"/>
    <s v="ROBIN ANAELLE"/>
    <s v="3 RUE DU DOCTEUR ET MADAME COC"/>
    <m/>
    <m/>
    <n v="35260"/>
    <s v="CANCALE"/>
    <s v="FR"/>
    <s v="France"/>
    <m/>
  </r>
  <r>
    <x v="0"/>
    <n v="7.0100000000000007"/>
    <n v="1.54"/>
    <n v="5.4700000000000006"/>
    <n v="2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6"/>
    <s v="Business Parcel - Dis. 01 - Size 06"/>
    <s v="PARCEDOMESSTANDARD"/>
    <m/>
    <n v="177"/>
    <s v="17.06.2026"/>
    <x v="159"/>
    <n v="2604000089"/>
    <m/>
    <n v="0"/>
    <n v="0"/>
    <n v="0"/>
    <n v="0"/>
    <s v="KG"/>
    <n v="4.42"/>
    <n v="0.9"/>
    <n v="0.15"/>
    <n v="29.1"/>
    <n v="1.54"/>
    <n v="0"/>
    <n v="0"/>
    <s v="EUR"/>
    <m/>
    <s v="EXP20260616-2801722-"/>
    <s v="EXP20260616-2801722-"/>
    <s v="00KUR5VY"/>
    <s v="BACHALA VALERIE"/>
    <s v="115, RUE DU SEGALA"/>
    <m/>
    <m/>
    <n v="46130"/>
    <s v="GLANES"/>
    <s v="FR"/>
    <s v="France"/>
    <m/>
  </r>
  <r>
    <x v="0"/>
    <n v="7.0100000000000007"/>
    <n v="1.54"/>
    <n v="5.4700000000000006"/>
    <n v="2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6"/>
    <s v="Business Parcel - Dis. 01 - Size 06"/>
    <s v="PARCEDOMESSTANDARD"/>
    <m/>
    <n v="177"/>
    <s v="17.06.2026"/>
    <x v="154"/>
    <n v="2604000084"/>
    <m/>
    <n v="0"/>
    <n v="0"/>
    <n v="0"/>
    <n v="0"/>
    <s v="KG"/>
    <n v="4.42"/>
    <n v="0.9"/>
    <n v="0.15"/>
    <n v="29.1"/>
    <n v="1.54"/>
    <n v="0"/>
    <n v="0"/>
    <s v="EUR"/>
    <m/>
    <s v="EXP20260616-2801719-"/>
    <s v="EXP20260616-2801719-"/>
    <s v="00KUR5VT"/>
    <s v="NIETO NICOLAS"/>
    <s v="9 COURS LAFAYETTE"/>
    <m/>
    <m/>
    <n v="69006"/>
    <s v="LYON"/>
    <s v="FR"/>
    <s v="France"/>
    <m/>
  </r>
  <r>
    <x v="0"/>
    <n v="7.0100000000000007"/>
    <n v="1.54"/>
    <n v="5.4700000000000006"/>
    <n v="2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5"/>
    <s v="Business Parcel - Dis. 01 - Size 05"/>
    <s v="PARCEDOMESSTANDARD"/>
    <m/>
    <n v="176"/>
    <s v="17.06.2026"/>
    <x v="147"/>
    <n v="2604000083"/>
    <m/>
    <n v="0"/>
    <n v="0"/>
    <n v="0"/>
    <n v="0"/>
    <s v="KG"/>
    <n v="4.42"/>
    <n v="0.9"/>
    <n v="0.15"/>
    <n v="29.1"/>
    <n v="1.54"/>
    <n v="0"/>
    <n v="0"/>
    <s v="EUR"/>
    <m/>
    <s v="EXP20260616-2801725-"/>
    <s v="EXP20260616-2801725-"/>
    <s v="00KUR5VS"/>
    <s v="TOZZI MARGAUX"/>
    <s v="14 RUE DU GAZ"/>
    <m/>
    <m/>
    <n v="13500"/>
    <s v="MARTIGUES"/>
    <s v="FR"/>
    <s v="France"/>
    <m/>
  </r>
  <r>
    <x v="0"/>
    <n v="7.0100000000000007"/>
    <n v="1.54"/>
    <n v="5.4700000000000006"/>
    <n v="2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5"/>
    <s v="Business Parcel - Dis. 01 - Size 05"/>
    <s v="PARCEDOMESSTANDARD"/>
    <m/>
    <n v="176"/>
    <s v="17.06.2026"/>
    <x v="148"/>
    <n v="2604000082"/>
    <m/>
    <n v="0"/>
    <n v="0"/>
    <n v="0"/>
    <n v="0"/>
    <s v="KG"/>
    <n v="4.42"/>
    <n v="0.9"/>
    <n v="0.15"/>
    <n v="29.1"/>
    <n v="1.54"/>
    <n v="0"/>
    <n v="0"/>
    <s v="EUR"/>
    <m/>
    <s v="EXP20260616-2801723-"/>
    <s v="EXP20260616-2801723-"/>
    <s v="00KUR5VR"/>
    <s v="SALESSE ROLAND"/>
    <s v="23 RUE DU VERSOIR"/>
    <m/>
    <m/>
    <n v="91430"/>
    <s v="IGNY"/>
    <s v="FR"/>
    <s v="France"/>
    <m/>
  </r>
  <r>
    <x v="0"/>
    <n v="6.6000000000000005"/>
    <n v="1.45"/>
    <n v="5.15"/>
    <n v="1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4"/>
    <s v="Business Parcel - Dis. 01 - Size 04"/>
    <s v="PARCEDOMESSTANDARD"/>
    <m/>
    <n v="175"/>
    <s v="17.06.2026"/>
    <x v="149"/>
    <n v="2604000081"/>
    <m/>
    <n v="0"/>
    <n v="0"/>
    <n v="0"/>
    <n v="0"/>
    <s v="KG"/>
    <n v="4.0999999999999996"/>
    <n v="0.9"/>
    <n v="0.15"/>
    <n v="29.1"/>
    <n v="1.45"/>
    <n v="0"/>
    <n v="0"/>
    <s v="EUR"/>
    <m/>
    <s v="EXP20260616-2801724-"/>
    <s v="EXP20260616-2801724-"/>
    <s v="00KUR5VQ"/>
    <s v="MESNARD RAYAN"/>
    <s v="6 RUE DE LA HOLLANDE"/>
    <m/>
    <m/>
    <n v="49300"/>
    <s v="CHOLET"/>
    <s v="FR"/>
    <s v="France"/>
    <m/>
  </r>
  <r>
    <x v="0"/>
    <n v="6.6000000000000005"/>
    <n v="1.45"/>
    <n v="5.15"/>
    <n v="1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174"/>
    <s v="17.06.2026"/>
    <x v="164"/>
    <n v="2604000098"/>
    <m/>
    <n v="0"/>
    <n v="0"/>
    <n v="0"/>
    <n v="0"/>
    <s v="KG"/>
    <n v="4.0999999999999996"/>
    <n v="0.9"/>
    <n v="0.15"/>
    <n v="29.1"/>
    <n v="1.45"/>
    <n v="0"/>
    <n v="0"/>
    <s v="EUR"/>
    <m/>
    <s v="EXP20260617-2803400-"/>
    <s v="EXP20260617-2803400-"/>
    <s v="00KUR5W7"/>
    <s v="BENAYOUN JENNA DAHAN"/>
    <s v="31 AVENUE CHARLES DE GAULLE"/>
    <m/>
    <m/>
    <n v="92200"/>
    <s v="NEUILLY-SUR-SEINE"/>
    <s v="FR"/>
    <s v="France"/>
    <m/>
  </r>
  <r>
    <x v="0"/>
    <n v="6.6000000000000005"/>
    <n v="1.45"/>
    <n v="5.15"/>
    <n v="1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174"/>
    <s v="17.06.2026"/>
    <x v="165"/>
    <n v="2604000091"/>
    <m/>
    <n v="0"/>
    <n v="0"/>
    <n v="0"/>
    <n v="0"/>
    <s v="KG"/>
    <n v="4.0999999999999996"/>
    <n v="0.9"/>
    <n v="0.15"/>
    <n v="29.1"/>
    <n v="1.45"/>
    <n v="0"/>
    <n v="0"/>
    <s v="EUR"/>
    <m/>
    <s v="EXP20260616-2801720-"/>
    <s v="EXP20260616-2801720-"/>
    <s v="00KUR5W0"/>
    <s v="LAIGNELET LUDOVIC"/>
    <s v="55 IMPASSE DE PIE BOUQUET"/>
    <m/>
    <m/>
    <n v="34160"/>
    <s v="BOISSERON"/>
    <s v="FR"/>
    <s v="France"/>
    <m/>
  </r>
  <r>
    <x v="0"/>
    <n v="6.6000000000000005"/>
    <n v="1.45"/>
    <n v="5.15"/>
    <n v="1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174"/>
    <s v="17.06.2026"/>
    <x v="160"/>
    <n v="2604000090"/>
    <m/>
    <n v="0"/>
    <n v="0"/>
    <n v="0"/>
    <n v="0"/>
    <s v="KG"/>
    <n v="4.0999999999999996"/>
    <n v="0.9"/>
    <n v="0.15"/>
    <n v="29.1"/>
    <n v="1.45"/>
    <n v="0"/>
    <n v="0"/>
    <s v="EUR"/>
    <m/>
    <s v="EXP20260616-2801817-"/>
    <s v="EXP20260616-2801817-"/>
    <s v="00KUR5VZ"/>
    <s v="GARANCE CREATIVE"/>
    <s v="29, BOULEVARD MALESHERBES,"/>
    <m/>
    <m/>
    <n v="75008"/>
    <s v="PARIS"/>
    <s v="FR"/>
    <s v="France"/>
    <m/>
  </r>
  <r>
    <x v="0"/>
    <n v="6.6000000000000005"/>
    <n v="1.45"/>
    <n v="5.15"/>
    <n v="1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174"/>
    <s v="17.06.2026"/>
    <x v="158"/>
    <n v="2604000088"/>
    <m/>
    <n v="0"/>
    <n v="0"/>
    <n v="0"/>
    <n v="0"/>
    <s v="KG"/>
    <n v="4.0999999999999996"/>
    <n v="0.9"/>
    <n v="0.15"/>
    <n v="29.1"/>
    <n v="1.45"/>
    <n v="0"/>
    <n v="0"/>
    <s v="EUR"/>
    <m/>
    <s v="EXP20260616-2801814-"/>
    <s v="EXP20260616-2801814-"/>
    <s v="00KUR5VX"/>
    <s v="1000 FLOWERS ACADEMY"/>
    <s v="4 PLACE AUX AIRES,"/>
    <m/>
    <m/>
    <n v="6130"/>
    <s v="GRASSE"/>
    <s v="FR"/>
    <s v="France"/>
    <m/>
  </r>
  <r>
    <x v="0"/>
    <n v="6.6000000000000005"/>
    <n v="1.45"/>
    <n v="5.15"/>
    <n v="1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174"/>
    <s v="17.06.2026"/>
    <x v="150"/>
    <n v="2604000080"/>
    <m/>
    <n v="0"/>
    <n v="0"/>
    <n v="0"/>
    <n v="0"/>
    <s v="KG"/>
    <n v="4.0999999999999996"/>
    <n v="0.9"/>
    <n v="0.15"/>
    <n v="29.1"/>
    <n v="1.45"/>
    <n v="0"/>
    <n v="0"/>
    <s v="EUR"/>
    <m/>
    <s v="EXP20260616-2801488-"/>
    <s v="EXP20260616-2801488-"/>
    <s v="00KUR5VP"/>
    <s v="GUEZENNEC EMMANUELLE"/>
    <s v="12 RUE MONGENOT"/>
    <m/>
    <m/>
    <n v="75012"/>
    <s v="PARIS"/>
    <s v="FR"/>
    <s v="France"/>
    <m/>
  </r>
  <r>
    <x v="0"/>
    <n v="6.17"/>
    <n v="1.35"/>
    <n v="4.82"/>
    <n v="0.5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73"/>
    <s v="17.06.2026"/>
    <x v="166"/>
    <n v="2604000097"/>
    <m/>
    <n v="0"/>
    <n v="0"/>
    <n v="0"/>
    <n v="0"/>
    <s v="KG"/>
    <n v="3.77"/>
    <n v="0.9"/>
    <n v="0.15"/>
    <n v="29.1"/>
    <n v="1.35"/>
    <n v="0"/>
    <n v="0"/>
    <s v="EUR"/>
    <m/>
    <s v="EXP20260617-2802971-"/>
    <s v="EXP20260617-2802971-"/>
    <s v="00KUR5W6"/>
    <s v="LIBES GAUTHIER"/>
    <s v="17 RUE MONGE APPARTEMENT 931"/>
    <m/>
    <m/>
    <n v="34070"/>
    <s v="MONTPELLIER"/>
    <s v="FR"/>
    <s v="France"/>
    <m/>
  </r>
  <r>
    <x v="0"/>
    <n v="6.17"/>
    <n v="1.35"/>
    <n v="4.82"/>
    <n v="0.5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73"/>
    <s v="17.06.2026"/>
    <x v="167"/>
    <n v="2604000095"/>
    <m/>
    <n v="0"/>
    <n v="0"/>
    <n v="0"/>
    <n v="0"/>
    <s v="KG"/>
    <n v="3.77"/>
    <n v="0.9"/>
    <n v="0.15"/>
    <n v="29.1"/>
    <n v="1.35"/>
    <n v="0"/>
    <n v="0"/>
    <s v="EUR"/>
    <m/>
    <s v="EXP20260616-2801429-"/>
    <s v="EXP20260616-2801429-"/>
    <s v="00KUR5W4"/>
    <s v="DUPRIX JULIE"/>
    <s v="9 RUE BULOT"/>
    <m/>
    <m/>
    <n v="77320"/>
    <s v="CHOISY-EN-BRIE"/>
    <s v="FR"/>
    <s v="France"/>
    <m/>
  </r>
  <r>
    <x v="0"/>
    <n v="6.17"/>
    <n v="1.35"/>
    <n v="4.82"/>
    <n v="0.5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73"/>
    <s v="17.06.2026"/>
    <x v="168"/>
    <n v="2604000094"/>
    <m/>
    <n v="0"/>
    <n v="0"/>
    <n v="0"/>
    <n v="0"/>
    <s v="KG"/>
    <n v="3.77"/>
    <n v="0.9"/>
    <n v="0.15"/>
    <n v="29.1"/>
    <n v="1.35"/>
    <n v="0"/>
    <n v="0"/>
    <s v="EUR"/>
    <m/>
    <s v="EXP20260616-2801697-"/>
    <s v="EXP20260616-2801697-"/>
    <s v="00KUR5W3"/>
    <s v="SCHOOSE TAMARA"/>
    <s v="56 RUE TER DU CHEMIN VERT"/>
    <m/>
    <m/>
    <n v="92100"/>
    <s v="BOULOGNE-BILLANCOURT"/>
    <s v="FR"/>
    <s v="France"/>
    <m/>
  </r>
  <r>
    <x v="0"/>
    <n v="6.17"/>
    <n v="1.35"/>
    <n v="4.82"/>
    <n v="0.5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73"/>
    <s v="17.06.2026"/>
    <x v="169"/>
    <n v="2604000093"/>
    <m/>
    <n v="0"/>
    <n v="0"/>
    <n v="0"/>
    <n v="0"/>
    <s v="KG"/>
    <n v="3.77"/>
    <n v="0.9"/>
    <n v="0.15"/>
    <n v="29.1"/>
    <n v="1.35"/>
    <n v="0"/>
    <n v="0"/>
    <s v="EUR"/>
    <m/>
    <s v="EXP20260616-2801695-"/>
    <s v="EXP20260616-2801695-"/>
    <s v="00KUR5W2"/>
    <s v="DELPONTE CLARA"/>
    <s v="75 RUE DU PRE-PIGEON"/>
    <m/>
    <m/>
    <n v="49100"/>
    <s v="ANGERS"/>
    <s v="FR"/>
    <s v="France"/>
    <m/>
  </r>
  <r>
    <x v="0"/>
    <n v="6.17"/>
    <n v="1.35"/>
    <n v="4.82"/>
    <n v="0.5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73"/>
    <s v="17.06.2026"/>
    <x v="156"/>
    <n v="2604000086"/>
    <m/>
    <n v="0"/>
    <n v="0"/>
    <n v="0"/>
    <n v="0"/>
    <s v="KG"/>
    <n v="3.77"/>
    <n v="0.9"/>
    <n v="0.15"/>
    <n v="29.1"/>
    <n v="1.35"/>
    <n v="0"/>
    <n v="0"/>
    <s v="EUR"/>
    <m/>
    <s v="EXP20260616-2801606-"/>
    <s v="EXP20260616-2801606-"/>
    <s v="00KUR5VV"/>
    <s v="SEVIN MANON"/>
    <s v="112 AVENUE VICTOR HUGO"/>
    <m/>
    <m/>
    <n v="92100"/>
    <s v="BOULOGNE-BILLANCOURT"/>
    <s v="FR"/>
    <s v="France"/>
    <m/>
  </r>
  <r>
    <x v="0"/>
    <n v="6.17"/>
    <n v="1.35"/>
    <n v="4.82"/>
    <n v="0.5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73"/>
    <s v="17.06.2026"/>
    <x v="155"/>
    <n v="2604000085"/>
    <m/>
    <n v="0"/>
    <n v="0"/>
    <n v="0"/>
    <n v="0"/>
    <s v="KG"/>
    <n v="3.77"/>
    <n v="0.9"/>
    <n v="0.15"/>
    <n v="29.1"/>
    <n v="1.35"/>
    <n v="0"/>
    <n v="0"/>
    <s v="EUR"/>
    <m/>
    <s v="EXP20260616-2801607-"/>
    <s v="EXP20260616-2801607-"/>
    <s v="00KUR5VU"/>
    <s v="BONNEAU MARLENE"/>
    <s v="3 RUE ALEXANDRE DUMAS"/>
    <m/>
    <m/>
    <n v="93400"/>
    <s v="SAINT-OUEN-SUR-SEINE"/>
    <s v="FR"/>
    <s v="France"/>
    <m/>
  </r>
  <r>
    <x v="0"/>
    <n v="6.17"/>
    <n v="1.35"/>
    <n v="4.82"/>
    <n v="0.5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73"/>
    <s v="17.06.2026"/>
    <x v="151"/>
    <n v="2604000079"/>
    <m/>
    <n v="0"/>
    <n v="0"/>
    <n v="0"/>
    <n v="0"/>
    <s v="KG"/>
    <n v="3.77"/>
    <n v="0.9"/>
    <n v="0.15"/>
    <n v="29.1"/>
    <n v="1.35"/>
    <n v="0"/>
    <n v="0"/>
    <s v="EUR"/>
    <m/>
    <s v="EXP20260615-2799814-"/>
    <s v="EXP20260615-2799814-"/>
    <s v="00KUR5VO"/>
    <s v="NATHALIE CLIDASSOU"/>
    <s v="3 PLACE DE LA DUCHESSE ANNE 56"/>
    <m/>
    <m/>
    <n v="56170"/>
    <s v="QUIBERON"/>
    <s v="FR"/>
    <s v="France"/>
    <m/>
  </r>
  <r>
    <x v="0"/>
    <n v="6.17"/>
    <n v="1.35"/>
    <n v="4.82"/>
    <n v="0.5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73"/>
    <s v="17.06.2026"/>
    <x v="152"/>
    <n v="2604000078"/>
    <m/>
    <n v="0"/>
    <n v="0"/>
    <n v="0"/>
    <n v="0"/>
    <s v="KG"/>
    <n v="3.77"/>
    <n v="0.9"/>
    <n v="0.15"/>
    <n v="29.1"/>
    <n v="1.35"/>
    <n v="0"/>
    <n v="0"/>
    <s v="EUR"/>
    <m/>
    <s v="EXP20260615-2799813-"/>
    <s v="EXP20260615-2799813-"/>
    <s v="00KUR5VN"/>
    <s v="CHARLENE GAUCHER"/>
    <s v="81 BIS BEL ABORD"/>
    <m/>
    <m/>
    <n v="49260"/>
    <s v="ARTANNES-SUR-THOUET"/>
    <s v="FR"/>
    <s v="France"/>
    <m/>
  </r>
  <r>
    <x v="0"/>
    <n v="6.17"/>
    <n v="1.35"/>
    <n v="4.82"/>
    <n v="0.5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1"/>
    <s v="Business Parcel - Dis. 01 - Size 01"/>
    <s v="PARCEDOMESSTANDARD"/>
    <m/>
    <n v="172"/>
    <s v="17.06.2026"/>
    <x v="170"/>
    <n v="2604000092"/>
    <m/>
    <n v="0"/>
    <n v="0"/>
    <n v="0"/>
    <n v="0"/>
    <s v="KG"/>
    <n v="3.77"/>
    <n v="0.9"/>
    <n v="0.15"/>
    <n v="29.1"/>
    <n v="1.35"/>
    <n v="0"/>
    <n v="0"/>
    <s v="EUR"/>
    <m/>
    <s v="EXP20260617-2802793-"/>
    <s v="EXP20260617-2802793-"/>
    <s v="00KUR5W1"/>
    <s v="CAMIN VIRGINIE"/>
    <s v="1032 CHEMIN DES REVOIRES"/>
    <m/>
    <m/>
    <n v="6320"/>
    <s v="LA TURBIE"/>
    <s v="FR"/>
    <s v="France"/>
    <m/>
  </r>
  <r>
    <x v="0"/>
    <n v="0"/>
    <n v="0"/>
    <n v="0"/>
    <n v="1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71"/>
    <s v="17.06.2026"/>
    <x v="164"/>
    <n v="2604000098"/>
    <m/>
    <n v="0"/>
    <n v="1"/>
    <n v="0"/>
    <n v="0.55000000000000004"/>
    <s v="KG"/>
    <n v="0"/>
    <n v="0"/>
    <n v="0"/>
    <n v="0"/>
    <n v="0"/>
    <n v="0"/>
    <n v="0"/>
    <s v="EUR"/>
    <m/>
    <s v="EXP20260617-2803400-"/>
    <s v="EXP20260617-2803400-"/>
    <s v="00KUR5W7"/>
    <s v="BENAYOUN JENNA DAHAN"/>
    <s v="31 AVENUE CHARLES DE GAULLE"/>
    <m/>
    <m/>
    <n v="92200"/>
    <s v="NEUILLY-SUR-SEINE"/>
    <s v="FR"/>
    <s v="France"/>
    <m/>
  </r>
  <r>
    <x v="0"/>
    <n v="0"/>
    <n v="0"/>
    <n v="0"/>
    <n v="1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71"/>
    <s v="17.06.2026"/>
    <x v="166"/>
    <n v="2604000097"/>
    <m/>
    <n v="0"/>
    <n v="1"/>
    <n v="0"/>
    <n v="0.35"/>
    <s v="KG"/>
    <n v="0"/>
    <n v="0"/>
    <n v="0"/>
    <n v="0"/>
    <n v="0"/>
    <n v="0"/>
    <n v="0"/>
    <s v="EUR"/>
    <m/>
    <s v="EXP20260617-2802971-"/>
    <s v="EXP20260617-2802971-"/>
    <s v="00KUR5W6"/>
    <s v="LIBES GAUTHIER"/>
    <s v="17 RUE MONGE APPARTEMENT 931"/>
    <m/>
    <m/>
    <n v="34070"/>
    <s v="MONTPELLIER"/>
    <s v="FR"/>
    <s v="France"/>
    <m/>
  </r>
  <r>
    <x v="0"/>
    <n v="0"/>
    <n v="0"/>
    <n v="0"/>
    <n v="4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71"/>
    <s v="17.06.2026"/>
    <x v="163"/>
    <n v="2604000096"/>
    <m/>
    <n v="0"/>
    <n v="1"/>
    <n v="0"/>
    <n v="3.16"/>
    <s v="KG"/>
    <n v="0"/>
    <n v="0"/>
    <n v="0"/>
    <n v="0"/>
    <n v="0"/>
    <n v="0"/>
    <n v="0"/>
    <s v="EUR"/>
    <m/>
    <s v="EXP20260616-2802542-"/>
    <s v="EXP20260616-2802542-"/>
    <s v="00KUR5W5"/>
    <s v="RAILLON ANAIS"/>
    <s v="42 AVENUE DE LA REPUBLIQUE"/>
    <m/>
    <m/>
    <n v="33380"/>
    <s v="MIOS"/>
    <s v="FR"/>
    <s v="France"/>
    <m/>
  </r>
  <r>
    <x v="0"/>
    <n v="0"/>
    <n v="0"/>
    <n v="0"/>
    <n v="1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71"/>
    <s v="17.06.2026"/>
    <x v="167"/>
    <n v="2604000095"/>
    <m/>
    <n v="0"/>
    <n v="1"/>
    <n v="0"/>
    <n v="0.3"/>
    <s v="KG"/>
    <n v="0"/>
    <n v="0"/>
    <n v="0"/>
    <n v="0"/>
    <n v="0"/>
    <n v="0"/>
    <n v="0"/>
    <s v="EUR"/>
    <m/>
    <s v="EXP20260616-2801429-"/>
    <s v="EXP20260616-2801429-"/>
    <s v="00KUR5W4"/>
    <s v="DUPRIX JULIE"/>
    <s v="9 RUE BULOT"/>
    <m/>
    <m/>
    <n v="77320"/>
    <s v="CHOISY-EN-BRIE"/>
    <s v="FR"/>
    <s v="France"/>
    <m/>
  </r>
  <r>
    <x v="0"/>
    <n v="0"/>
    <n v="0"/>
    <n v="0"/>
    <n v="1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71"/>
    <s v="17.06.2026"/>
    <x v="168"/>
    <n v="2604000094"/>
    <m/>
    <n v="0"/>
    <n v="1"/>
    <n v="0"/>
    <n v="0.3"/>
    <s v="KG"/>
    <n v="0"/>
    <n v="0"/>
    <n v="0"/>
    <n v="0"/>
    <n v="0"/>
    <n v="0"/>
    <n v="0"/>
    <s v="EUR"/>
    <m/>
    <s v="EXP20260616-2801697-"/>
    <s v="EXP20260616-2801697-"/>
    <s v="00KUR5W3"/>
    <s v="SCHOOSE TAMARA"/>
    <s v="56 RUE TER DU CHEMIN VERT"/>
    <m/>
    <m/>
    <n v="92100"/>
    <s v="BOULOGNE-BILLANCOURT"/>
    <s v="FR"/>
    <s v="France"/>
    <m/>
  </r>
  <r>
    <x v="0"/>
    <n v="0"/>
    <n v="0"/>
    <n v="0"/>
    <n v="1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71"/>
    <s v="17.06.2026"/>
    <x v="169"/>
    <n v="2604000093"/>
    <m/>
    <n v="0"/>
    <n v="1"/>
    <n v="0"/>
    <n v="0.28000000000000003"/>
    <s v="KG"/>
    <n v="0"/>
    <n v="0"/>
    <n v="0"/>
    <n v="0"/>
    <n v="0"/>
    <n v="0"/>
    <n v="0"/>
    <s v="EUR"/>
    <m/>
    <s v="EXP20260616-2801695-"/>
    <s v="EXP20260616-2801695-"/>
    <s v="00KUR5W2"/>
    <s v="DELPONTE CLARA"/>
    <s v="75 RUE DU PRE-PIGEON"/>
    <m/>
    <m/>
    <n v="49100"/>
    <s v="ANGERS"/>
    <s v="FR"/>
    <s v="France"/>
    <m/>
  </r>
  <r>
    <x v="0"/>
    <n v="0"/>
    <n v="0"/>
    <n v="0"/>
    <n v="1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71"/>
    <s v="17.06.2026"/>
    <x v="165"/>
    <n v="2604000091"/>
    <m/>
    <n v="0"/>
    <n v="1"/>
    <n v="0"/>
    <n v="0.54"/>
    <s v="KG"/>
    <n v="0"/>
    <n v="0"/>
    <n v="0"/>
    <n v="0"/>
    <n v="0"/>
    <n v="0"/>
    <n v="0"/>
    <s v="EUR"/>
    <m/>
    <s v="EXP20260616-2801720-"/>
    <s v="EXP20260616-2801720-"/>
    <s v="00KUR5W0"/>
    <s v="LAIGNELET LUDOVIC"/>
    <s v="55 IMPASSE DE PIE BOUQUET"/>
    <m/>
    <m/>
    <n v="34160"/>
    <s v="BOISSERON"/>
    <s v="FR"/>
    <s v="France"/>
    <m/>
  </r>
  <r>
    <x v="0"/>
    <n v="0"/>
    <n v="0"/>
    <n v="0"/>
    <n v="1"/>
    <n v="2501382993"/>
    <n v="103023378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71"/>
    <s v="17.06.2026"/>
    <x v="170"/>
    <n v="2604000092"/>
    <m/>
    <n v="0"/>
    <n v="1"/>
    <n v="0"/>
    <n v="0.2"/>
    <s v="KG"/>
    <n v="0"/>
    <n v="0"/>
    <n v="0"/>
    <n v="0"/>
    <n v="0"/>
    <n v="0"/>
    <n v="0"/>
    <s v="EUR"/>
    <m/>
    <s v="EXP20260617-2802793-"/>
    <s v="EXP20260617-2802793-"/>
    <s v="00KUR5W1"/>
    <s v="CAMIN VIRGINIE"/>
    <s v="1032 CHEMIN DES REVOIRES"/>
    <m/>
    <m/>
    <n v="6320"/>
    <s v="LA TURBIE"/>
    <s v="FR"/>
    <s v="France"/>
    <m/>
  </r>
  <r>
    <x v="0"/>
    <n v="0"/>
    <n v="0"/>
    <n v="0"/>
    <n v="1"/>
    <n v="2501382993"/>
    <n v="103023126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31"/>
    <s v="18.06.2026"/>
    <x v="171"/>
    <n v="2604000099"/>
    <m/>
    <n v="0"/>
    <n v="1"/>
    <n v="0"/>
    <n v="0.38"/>
    <s v="KG"/>
    <n v="0"/>
    <n v="0"/>
    <n v="0"/>
    <n v="0"/>
    <n v="0"/>
    <n v="0"/>
    <n v="0"/>
    <s v="EUR"/>
    <m/>
    <s v="EXP20260617-2803415-"/>
    <s v="EXP20260617-2803415-"/>
    <s v="00KUR5W8"/>
    <s v="RACHEL FAY"/>
    <s v="LIEU DIT L ETOILE DES CHENES"/>
    <m/>
    <m/>
    <n v="49070"/>
    <s v="BEAUCOUZE FRANCE"/>
    <s v="FR"/>
    <s v="France"/>
    <m/>
  </r>
  <r>
    <x v="0"/>
    <n v="0"/>
    <n v="0"/>
    <n v="0"/>
    <n v="1"/>
    <n v="2501382993"/>
    <n v="103023126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31"/>
    <s v="18.06.2026"/>
    <x v="172"/>
    <n v="2604000100"/>
    <m/>
    <n v="0"/>
    <n v="1"/>
    <n v="0"/>
    <n v="0.42"/>
    <s v="KG"/>
    <n v="0"/>
    <n v="0"/>
    <n v="0"/>
    <n v="0"/>
    <n v="0"/>
    <n v="0"/>
    <n v="0"/>
    <s v="EUR"/>
    <m/>
    <s v="EXP20260617-2803479-"/>
    <s v="EXP20260617-2803479-"/>
    <s v="00KUR5W9"/>
    <s v="ANNE GALEY"/>
    <s v="2 RUE RIGAUD"/>
    <m/>
    <m/>
    <n v="92200"/>
    <s v="NEUILLY-SUR-SEINE"/>
    <s v="FR"/>
    <s v="France"/>
    <m/>
  </r>
  <r>
    <x v="0"/>
    <n v="0"/>
    <n v="0"/>
    <n v="0"/>
    <n v="1"/>
    <n v="2501382993"/>
    <n v="103023126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31"/>
    <s v="18.06.2026"/>
    <x v="173"/>
    <n v="2604000101"/>
    <m/>
    <n v="0"/>
    <n v="1"/>
    <n v="0"/>
    <n v="0.34"/>
    <s v="KG"/>
    <n v="0"/>
    <n v="0"/>
    <n v="0"/>
    <n v="0"/>
    <n v="0"/>
    <n v="0"/>
    <n v="0"/>
    <s v="EUR"/>
    <m/>
    <s v="EXP20260608-2786092-"/>
    <s v="EXP20260608-2786092-"/>
    <s v="00KUR5WA"/>
    <s v="RACHEL MAAREK"/>
    <s v="RUE DU GENERAL LARGEAU"/>
    <m/>
    <m/>
    <n v="75016"/>
    <s v="PARIS"/>
    <s v="FR"/>
    <s v="France"/>
    <m/>
  </r>
  <r>
    <x v="0"/>
    <n v="0"/>
    <n v="0"/>
    <n v="0"/>
    <n v="1"/>
    <n v="2501382993"/>
    <n v="103023126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31"/>
    <s v="18.06.2026"/>
    <x v="174"/>
    <n v="2604000102"/>
    <m/>
    <n v="0"/>
    <n v="1"/>
    <n v="0"/>
    <n v="0.56000000000000005"/>
    <s v="KG"/>
    <n v="0"/>
    <n v="0"/>
    <n v="0"/>
    <n v="0"/>
    <n v="0"/>
    <n v="0"/>
    <n v="0"/>
    <s v="EUR"/>
    <m/>
    <s v="EXP20260617-2803819-"/>
    <s v="EXP20260617-2803819-"/>
    <s v="00KUR5WB"/>
    <s v="HARNIE MICHELE"/>
    <s v="2 LA TONDRIE"/>
    <m/>
    <m/>
    <n v="44810"/>
    <s v="HERIC"/>
    <s v="FR"/>
    <s v="France"/>
    <m/>
  </r>
  <r>
    <x v="0"/>
    <n v="0"/>
    <n v="0"/>
    <n v="0"/>
    <n v="1"/>
    <n v="2501382993"/>
    <n v="103023126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31"/>
    <s v="18.06.2026"/>
    <x v="175"/>
    <n v="2604000103"/>
    <m/>
    <n v="0"/>
    <n v="1"/>
    <n v="0"/>
    <n v="0.55000000000000004"/>
    <s v="KG"/>
    <n v="0"/>
    <n v="0"/>
    <n v="0"/>
    <n v="0"/>
    <n v="0"/>
    <n v="0"/>
    <n v="0"/>
    <s v="EUR"/>
    <m/>
    <s v="EXP20260617-2804523-"/>
    <s v="EXP20260617-2804523-"/>
    <s v="00KUR5WC"/>
    <s v="THIBAULT LEFEVRE"/>
    <s v="110 RUE DES BUSSYS"/>
    <m/>
    <m/>
    <n v="95600"/>
    <s v="EAUBONNE"/>
    <s v="FR"/>
    <s v="France"/>
    <m/>
  </r>
  <r>
    <x v="0"/>
    <n v="0"/>
    <n v="0"/>
    <n v="0"/>
    <n v="1"/>
    <n v="2501382993"/>
    <n v="103023126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31"/>
    <s v="18.06.2026"/>
    <x v="176"/>
    <n v="2604000104"/>
    <m/>
    <n v="0"/>
    <n v="1"/>
    <n v="0"/>
    <n v="0.68"/>
    <s v="KG"/>
    <n v="0"/>
    <n v="0"/>
    <n v="0"/>
    <n v="0"/>
    <n v="0"/>
    <n v="0"/>
    <n v="0"/>
    <s v="EUR"/>
    <m/>
    <s v="EXP20260617-2804196-"/>
    <s v="EXP20260617-2804196-"/>
    <s v="00KUR5WD"/>
    <s v="BISMUTH HANNAH"/>
    <s v="5 BOULEVARD DES FILLES DU CALV"/>
    <m/>
    <m/>
    <n v="75003"/>
    <s v="PARIS"/>
    <s v="FR"/>
    <s v="France"/>
    <m/>
  </r>
  <r>
    <x v="0"/>
    <n v="6.17"/>
    <n v="1.35"/>
    <n v="4.82"/>
    <n v="0.5"/>
    <n v="2501382993"/>
    <n v="103023126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32"/>
    <s v="18.06.2026"/>
    <x v="171"/>
    <n v="2604000099"/>
    <m/>
    <n v="0"/>
    <n v="0"/>
    <n v="0"/>
    <n v="0"/>
    <s v="KG"/>
    <n v="3.77"/>
    <n v="0.9"/>
    <n v="0.15"/>
    <n v="29.1"/>
    <n v="1.35"/>
    <n v="0"/>
    <n v="0"/>
    <s v="EUR"/>
    <m/>
    <s v="EXP20260617-2803415-"/>
    <s v="EXP20260617-2803415-"/>
    <s v="00KUR5W8"/>
    <s v="RACHEL FAY"/>
    <s v="LIEU DIT L ETOILE DES CHENES"/>
    <m/>
    <m/>
    <n v="49070"/>
    <s v="BEAUCOUZE FRANCE"/>
    <s v="FR"/>
    <s v="France"/>
    <m/>
  </r>
  <r>
    <x v="0"/>
    <n v="6.17"/>
    <n v="1.35"/>
    <n v="4.82"/>
    <n v="0.5"/>
    <n v="2501382993"/>
    <n v="103023126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32"/>
    <s v="18.06.2026"/>
    <x v="172"/>
    <n v="2604000100"/>
    <m/>
    <n v="0"/>
    <n v="0"/>
    <n v="0"/>
    <n v="0"/>
    <s v="KG"/>
    <n v="3.77"/>
    <n v="0.9"/>
    <n v="0.15"/>
    <n v="29.1"/>
    <n v="1.35"/>
    <n v="0"/>
    <n v="0"/>
    <s v="EUR"/>
    <m/>
    <s v="EXP20260617-2803479-"/>
    <s v="EXP20260617-2803479-"/>
    <s v="00KUR5W9"/>
    <s v="ANNE GALEY"/>
    <s v="2 RUE RIGAUD"/>
    <m/>
    <m/>
    <n v="92200"/>
    <s v="NEUILLY-SUR-SEINE"/>
    <s v="FR"/>
    <s v="France"/>
    <m/>
  </r>
  <r>
    <x v="0"/>
    <n v="14.420000000000002"/>
    <n v="3.21"/>
    <n v="11.21"/>
    <n v="12"/>
    <n v="2501382993"/>
    <n v="1030233320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PARCEL_D01_S16"/>
    <s v="Business Parcel - Dis. 01 - Size 16"/>
    <s v="PARCEDOMESSTANDARD"/>
    <m/>
    <n v="165"/>
    <s v="18.06.2026"/>
    <x v="177"/>
    <n v="6906604"/>
    <m/>
    <n v="0"/>
    <n v="0"/>
    <n v="0"/>
    <n v="0"/>
    <s v="KG"/>
    <n v="10.16"/>
    <n v="0.9"/>
    <n v="0.15"/>
    <n v="29.1"/>
    <n v="3.21"/>
    <n v="0"/>
    <n v="0"/>
    <s v="EUR"/>
    <m/>
    <s v="EXP20260617-2803247"/>
    <m/>
    <s v="00L3602L"/>
    <s v="INTER-LOGISTIQUE POUR COEUR DE"/>
    <s v="ZI AEROPARC"/>
    <s v="COEUR DE SANTE CLAUDINE"/>
    <m/>
    <n v="90150"/>
    <s v="FONTAINE"/>
    <s v="FR"/>
    <s v="France"/>
    <m/>
  </r>
  <r>
    <x v="0"/>
    <n v="13.61"/>
    <n v="3.03"/>
    <n v="10.58"/>
    <n v="11"/>
    <n v="2501382993"/>
    <n v="1030233320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PARCEL_D01_S15"/>
    <s v="Business Parcel - Dis. 01 - Size 15"/>
    <s v="PARCEDOMESSTANDARD"/>
    <m/>
    <n v="164"/>
    <s v="18.06.2026"/>
    <x v="178"/>
    <n v="6906603"/>
    <m/>
    <n v="0"/>
    <n v="0"/>
    <n v="0"/>
    <n v="0"/>
    <s v="KG"/>
    <n v="9.5299999999999994"/>
    <n v="0.9"/>
    <n v="0.15"/>
    <n v="29.1"/>
    <n v="3.03"/>
    <n v="0"/>
    <n v="0"/>
    <s v="EUR"/>
    <m/>
    <s v="EXP20260617-2803247"/>
    <m/>
    <s v="00L3602K"/>
    <s v="INTER-LOGISTIQUE POUR COEUR DE"/>
    <s v="ZI AEROPARC"/>
    <s v="COEUR DE SANTE CLAUDINE"/>
    <m/>
    <n v="90150"/>
    <s v="FONTAINE"/>
    <s v="FR"/>
    <s v="France"/>
    <m/>
  </r>
  <r>
    <x v="0"/>
    <n v="8.870000000000001"/>
    <n v="1.96"/>
    <n v="6.910000000000001"/>
    <n v="5"/>
    <n v="2501382993"/>
    <n v="1030233320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PARCEL_D01_S09"/>
    <s v="Business Parcel - Dis. 01 - Size 09"/>
    <s v="PARCEDOMESSTANDARD"/>
    <m/>
    <n v="163"/>
    <s v="18.06.2026"/>
    <x v="179"/>
    <n v="6908022"/>
    <m/>
    <n v="0"/>
    <n v="0"/>
    <n v="0"/>
    <n v="0"/>
    <s v="KG"/>
    <n v="5.86"/>
    <n v="0.9"/>
    <n v="0.15"/>
    <n v="29.1"/>
    <n v="1.96"/>
    <n v="0"/>
    <n v="0"/>
    <s v="EUR"/>
    <m/>
    <s v="EXP20260617-2803245"/>
    <m/>
    <s v="00L363N4"/>
    <s v="PHARMACIE TALENSAC"/>
    <s v="19 RUE BEL AIR"/>
    <s v="DENYS HELENE"/>
    <m/>
    <n v="44000"/>
    <s v="NANTES"/>
    <s v="FR"/>
    <s v="France"/>
    <m/>
  </r>
  <r>
    <x v="0"/>
    <n v="0"/>
    <n v="0"/>
    <n v="0"/>
    <n v="5"/>
    <n v="2501382993"/>
    <n v="1030233320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FDS_D01_S01"/>
    <s v="BP FlexDelivery - Dis. 01 - Size 01"/>
    <s v="PARCEDOMESFDS"/>
    <m/>
    <n v="162"/>
    <s v="18.06.2026"/>
    <x v="179"/>
    <n v="6908022"/>
    <m/>
    <n v="0"/>
    <n v="1"/>
    <n v="0"/>
    <n v="4.88"/>
    <s v="KG"/>
    <n v="0"/>
    <n v="0"/>
    <n v="0"/>
    <n v="0"/>
    <n v="0"/>
    <n v="0"/>
    <n v="0"/>
    <s v="EUR"/>
    <m/>
    <s v="EXP20260617-2803245"/>
    <m/>
    <s v="00L363N4"/>
    <s v="PHARMACIE TALENSAC"/>
    <s v="19 RUE BEL AIR"/>
    <s v="DENYS HELENE"/>
    <m/>
    <n v="44000"/>
    <s v="NANTES"/>
    <s v="FR"/>
    <s v="France"/>
    <m/>
  </r>
  <r>
    <x v="0"/>
    <n v="0"/>
    <n v="0"/>
    <n v="0"/>
    <n v="12"/>
    <n v="2501382993"/>
    <n v="1030233320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FDS_D01_S01"/>
    <s v="BP FlexDelivery - Dis. 01 - Size 01"/>
    <s v="PARCEDOMESFDS"/>
    <m/>
    <n v="162"/>
    <s v="18.06.2026"/>
    <x v="177"/>
    <n v="6906604"/>
    <m/>
    <n v="0"/>
    <n v="1"/>
    <n v="0"/>
    <n v="11.86"/>
    <s v="KG"/>
    <n v="0"/>
    <n v="0"/>
    <n v="0"/>
    <n v="0"/>
    <n v="0"/>
    <n v="0"/>
    <n v="0"/>
    <s v="EUR"/>
    <m/>
    <s v="EXP20260617-2803247"/>
    <m/>
    <s v="00L3602L"/>
    <s v="INTER-LOGISTIQUE POUR COEUR DE"/>
    <s v="ZI AEROPARC"/>
    <s v="COEUR DE SANTE CLAUDINE"/>
    <m/>
    <n v="90150"/>
    <s v="FONTAINE"/>
    <s v="FR"/>
    <s v="France"/>
    <m/>
  </r>
  <r>
    <x v="0"/>
    <n v="0"/>
    <n v="0"/>
    <n v="0"/>
    <n v="11"/>
    <n v="2501382993"/>
    <n v="1030233320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FDS_D01_S01"/>
    <s v="BP FlexDelivery - Dis. 01 - Size 01"/>
    <s v="PARCEDOMESFDS"/>
    <m/>
    <n v="162"/>
    <s v="18.06.2026"/>
    <x v="178"/>
    <n v="6906603"/>
    <m/>
    <n v="0"/>
    <n v="1"/>
    <n v="0"/>
    <n v="10.58"/>
    <s v="KG"/>
    <n v="0"/>
    <n v="0"/>
    <n v="0"/>
    <n v="0"/>
    <n v="0"/>
    <n v="0"/>
    <n v="0"/>
    <s v="EUR"/>
    <m/>
    <s v="EXP20260617-2803247"/>
    <m/>
    <s v="00L3602K"/>
    <s v="INTER-LOGISTIQUE POUR COEUR DE"/>
    <s v="ZI AEROPARC"/>
    <s v="COEUR DE SANTE CLAUDINE"/>
    <m/>
    <n v="90150"/>
    <s v="FONTAINE"/>
    <s v="FR"/>
    <s v="France"/>
    <m/>
  </r>
  <r>
    <x v="0"/>
    <n v="6.17"/>
    <n v="1.35"/>
    <n v="4.82"/>
    <n v="0.5"/>
    <n v="2501382993"/>
    <n v="103023126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32"/>
    <s v="18.06.2026"/>
    <x v="173"/>
    <n v="2604000101"/>
    <m/>
    <n v="0"/>
    <n v="0"/>
    <n v="0"/>
    <n v="0"/>
    <s v="KG"/>
    <n v="3.77"/>
    <n v="0.9"/>
    <n v="0.15"/>
    <n v="29.1"/>
    <n v="1.35"/>
    <n v="0"/>
    <n v="0"/>
    <s v="EUR"/>
    <m/>
    <s v="EXP20260608-2786092-"/>
    <s v="EXP20260608-2786092-"/>
    <s v="00KUR5WA"/>
    <s v="RACHEL MAAREK"/>
    <s v="RUE DU GENERAL LARGEAU"/>
    <m/>
    <m/>
    <n v="75016"/>
    <s v="PARIS"/>
    <s v="FR"/>
    <s v="France"/>
    <m/>
  </r>
  <r>
    <x v="0"/>
    <n v="6.6000000000000005"/>
    <n v="1.45"/>
    <n v="5.15"/>
    <n v="1"/>
    <n v="2501382993"/>
    <n v="103023126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133"/>
    <s v="18.06.2026"/>
    <x v="174"/>
    <n v="2604000102"/>
    <m/>
    <n v="0"/>
    <n v="0"/>
    <n v="0"/>
    <n v="0"/>
    <s v="KG"/>
    <n v="4.0999999999999996"/>
    <n v="0.9"/>
    <n v="0.15"/>
    <n v="29.1"/>
    <n v="1.45"/>
    <n v="0"/>
    <n v="0"/>
    <s v="EUR"/>
    <m/>
    <s v="EXP20260617-2803819-"/>
    <s v="EXP20260617-2803819-"/>
    <s v="00KUR5WB"/>
    <s v="HARNIE MICHELE"/>
    <s v="2 LA TONDRIE"/>
    <m/>
    <m/>
    <n v="44810"/>
    <s v="HERIC"/>
    <s v="FR"/>
    <s v="France"/>
    <m/>
  </r>
  <r>
    <x v="1"/>
    <n v="0"/>
    <n v="0"/>
    <n v="0"/>
    <e v="#N/A"/>
    <n v="2501382993"/>
    <n v="103023126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SUR_FS_AVIS_01"/>
    <s v="AvisÃ© FDS"/>
    <s v="SURCHALL"/>
    <m/>
    <n v="135"/>
    <s v="18.06.2026"/>
    <x v="157"/>
    <n v="2604000087"/>
    <m/>
    <n v="0"/>
    <n v="0"/>
    <n v="0"/>
    <n v="0"/>
    <s v="KG"/>
    <n v="0"/>
    <n v="0"/>
    <n v="0"/>
    <n v="0"/>
    <n v="0"/>
    <n v="0"/>
    <n v="0"/>
    <s v="EUR"/>
    <m/>
    <s v="EXP20260616-2801726-"/>
    <s v="EXP20260616-2801726-"/>
    <s v="00KUR5VW"/>
    <s v="ROBIN ANAELLE"/>
    <s v="3 RUE DU DOCTEUR ET MADAME COC"/>
    <m/>
    <m/>
    <n v="35260"/>
    <s v="CANCALE"/>
    <s v="FR"/>
    <s v="France"/>
    <m/>
  </r>
  <r>
    <x v="2"/>
    <n v="3.04"/>
    <n v="0.68"/>
    <n v="2.36"/>
    <e v="#N/A"/>
    <n v="2501382993"/>
    <n v="103023126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SUR_CARD_01"/>
    <s v="Majoration AvisÃ© sans TÃ©l ou mail"/>
    <s v="SURCHALL NTFCNCRD"/>
    <m/>
    <n v="134"/>
    <s v="18.06.2026"/>
    <x v="157"/>
    <n v="2604000087"/>
    <m/>
    <n v="0"/>
    <n v="0"/>
    <n v="0"/>
    <n v="0"/>
    <s v="KG"/>
    <n v="2.36"/>
    <n v="0"/>
    <n v="0"/>
    <n v="29.1"/>
    <n v="0.68"/>
    <n v="0"/>
    <n v="0"/>
    <s v="EUR"/>
    <m/>
    <s v="EXP20260616-2801726-"/>
    <s v="EXP20260616-2801726-"/>
    <s v="00KUR5VW"/>
    <s v="ROBIN ANAELLE"/>
    <s v="3 RUE DU DOCTEUR ET MADAME COC"/>
    <m/>
    <m/>
    <n v="35260"/>
    <s v="CANCALE"/>
    <s v="FR"/>
    <s v="France"/>
    <m/>
  </r>
  <r>
    <x v="0"/>
    <n v="6.6000000000000005"/>
    <n v="1.45"/>
    <n v="5.15"/>
    <n v="1"/>
    <n v="2501382993"/>
    <n v="103023126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133"/>
    <s v="18.06.2026"/>
    <x v="176"/>
    <n v="2604000104"/>
    <m/>
    <n v="0"/>
    <n v="0"/>
    <n v="0"/>
    <n v="0"/>
    <s v="KG"/>
    <n v="4.0999999999999996"/>
    <n v="0.9"/>
    <n v="0.15"/>
    <n v="29.1"/>
    <n v="1.45"/>
    <n v="0"/>
    <n v="0"/>
    <s v="EUR"/>
    <m/>
    <s v="EXP20260617-2804196-"/>
    <s v="EXP20260617-2804196-"/>
    <s v="00KUR5WD"/>
    <s v="BISMUTH HANNAH"/>
    <s v="5 BOULEVARD DES FILLES DU CALV"/>
    <m/>
    <m/>
    <n v="75003"/>
    <s v="PARIS"/>
    <s v="FR"/>
    <s v="France"/>
    <m/>
  </r>
  <r>
    <x v="0"/>
    <n v="6.6000000000000005"/>
    <n v="1.45"/>
    <n v="5.15"/>
    <n v="1"/>
    <n v="2501382993"/>
    <n v="1030231264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133"/>
    <s v="18.06.2026"/>
    <x v="175"/>
    <n v="2604000103"/>
    <m/>
    <n v="0"/>
    <n v="0"/>
    <n v="0"/>
    <n v="0"/>
    <s v="KG"/>
    <n v="4.0999999999999996"/>
    <n v="0.9"/>
    <n v="0.15"/>
    <n v="29.1"/>
    <n v="1.45"/>
    <n v="0"/>
    <n v="0"/>
    <s v="EUR"/>
    <m/>
    <s v="EXP20260617-2804523-"/>
    <s v="EXP20260617-2804523-"/>
    <s v="00KUR5WC"/>
    <s v="THIBAULT LEFEVRE"/>
    <s v="110 RUE DES BUSSYS"/>
    <m/>
    <m/>
    <n v="95600"/>
    <s v="EAUBONNE"/>
    <s v="FR"/>
    <s v="France"/>
    <m/>
  </r>
  <r>
    <x v="0"/>
    <n v="0"/>
    <n v="0"/>
    <n v="0"/>
    <n v="2"/>
    <n v="2501382993"/>
    <n v="103022046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77"/>
    <s v="18.06.2026"/>
    <x v="180"/>
    <n v="2604000097"/>
    <m/>
    <n v="0"/>
    <n v="1"/>
    <n v="0"/>
    <n v="1.68"/>
    <s v="KG"/>
    <n v="0"/>
    <n v="0"/>
    <n v="0"/>
    <n v="0"/>
    <n v="0"/>
    <n v="0"/>
    <n v="0"/>
    <s v="EUR"/>
    <m/>
    <s v="EXP20260617-2804464-"/>
    <s v="EXP20260617-2804464-"/>
    <s v="00KZZJVA"/>
    <s v="VIOLIER KKO MARION"/>
    <s v="2855 ROUTE DE LA FENERIE"/>
    <m/>
    <m/>
    <n v="6580"/>
    <s v="PEGOMAS"/>
    <s v="FR"/>
    <s v="France"/>
    <m/>
  </r>
  <r>
    <x v="0"/>
    <n v="6.6000000000000005"/>
    <n v="1.45"/>
    <n v="5.15"/>
    <n v="1"/>
    <n v="2501382993"/>
    <n v="103022046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3"/>
    <s v="Business Parcel - Dis. 01 - Size 03"/>
    <s v="PARCEDOMESSTANDARD"/>
    <m/>
    <n v="78"/>
    <s v="18.06.2026"/>
    <x v="181"/>
    <n v="2604000096"/>
    <m/>
    <n v="0"/>
    <n v="0"/>
    <n v="0"/>
    <n v="0"/>
    <s v="KG"/>
    <n v="4.0999999999999996"/>
    <n v="0.9"/>
    <n v="0.15"/>
    <n v="29.1"/>
    <n v="1.45"/>
    <n v="0"/>
    <n v="0"/>
    <s v="EUR"/>
    <m/>
    <s v="EXP20260617-2804271-"/>
    <s v="EXP20260617-2804271-"/>
    <s v="00KZZJV9"/>
    <s v="HAZIZA JULIA"/>
    <s v="8 AVENUE DE LA GRANDE ARMEE"/>
    <m/>
    <m/>
    <n v="75017"/>
    <s v="PARIS"/>
    <s v="FR"/>
    <s v="France"/>
    <m/>
  </r>
  <r>
    <x v="0"/>
    <n v="7.0100000000000007"/>
    <n v="1.54"/>
    <n v="5.4700000000000006"/>
    <n v="2"/>
    <n v="2501382993"/>
    <n v="103022046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79"/>
    <s v="18.06.2026"/>
    <x v="180"/>
    <n v="2604000097"/>
    <m/>
    <n v="0"/>
    <n v="0"/>
    <n v="0"/>
    <n v="0"/>
    <s v="KG"/>
    <n v="4.42"/>
    <n v="0.9"/>
    <n v="0.15"/>
    <n v="29.1"/>
    <n v="1.54"/>
    <n v="0"/>
    <n v="0"/>
    <s v="EUR"/>
    <m/>
    <s v="EXP20260617-2804464-"/>
    <s v="EXP20260617-2804464-"/>
    <s v="00KZZJVA"/>
    <s v="VIOLIER KKO MARION"/>
    <s v="2855 ROUTE DE LA FENERIE"/>
    <m/>
    <m/>
    <n v="6580"/>
    <s v="PEGOMAS"/>
    <s v="FR"/>
    <s v="France"/>
    <m/>
  </r>
  <r>
    <x v="0"/>
    <n v="9.6000000000000014"/>
    <n v="2.13"/>
    <n v="7.4700000000000015"/>
    <n v="6"/>
    <n v="2501382993"/>
    <n v="103022046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10"/>
    <s v="Business Parcel - Dis. 01 - Size 10"/>
    <s v="PARCEDOMESSTANDARD"/>
    <m/>
    <n v="80"/>
    <s v="18.06.2026"/>
    <x v="182"/>
    <n v="2604000095"/>
    <m/>
    <n v="0"/>
    <n v="0"/>
    <n v="0"/>
    <n v="0"/>
    <s v="KG"/>
    <n v="6.42"/>
    <n v="0.9"/>
    <n v="0.15"/>
    <n v="29.1"/>
    <n v="2.13"/>
    <n v="0"/>
    <n v="0"/>
    <s v="EUR"/>
    <m/>
    <s v="EXP20260616-2801837-"/>
    <s v="EXP20260616-2801837-"/>
    <s v="00KZZJV8"/>
    <s v="MASSE CHANTAL"/>
    <s v="57 RUE DE L'ARMANDEL"/>
    <m/>
    <m/>
    <n v="17590"/>
    <s v="SAINT-CLEMENT-DES-BALEINES"/>
    <s v="FR"/>
    <s v="France"/>
    <m/>
  </r>
  <r>
    <x v="0"/>
    <n v="0"/>
    <n v="0"/>
    <n v="0"/>
    <n v="1"/>
    <n v="2501382993"/>
    <n v="103022046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77"/>
    <s v="18.06.2026"/>
    <x v="181"/>
    <n v="2604000096"/>
    <m/>
    <n v="0"/>
    <n v="1"/>
    <n v="0"/>
    <n v="0.54"/>
    <s v="KG"/>
    <n v="0"/>
    <n v="0"/>
    <n v="0"/>
    <n v="0"/>
    <n v="0"/>
    <n v="0"/>
    <n v="0"/>
    <s v="EUR"/>
    <m/>
    <s v="EXP20260617-2804271-"/>
    <s v="EXP20260617-2804271-"/>
    <s v="00KZZJV9"/>
    <s v="HAZIZA JULIA"/>
    <s v="8 AVENUE DE LA GRANDE ARMEE"/>
    <m/>
    <m/>
    <n v="75017"/>
    <s v="PARIS"/>
    <s v="FR"/>
    <s v="France"/>
    <m/>
  </r>
  <r>
    <x v="0"/>
    <n v="0"/>
    <n v="0"/>
    <n v="0"/>
    <n v="6"/>
    <n v="2501382993"/>
    <n v="103022046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77"/>
    <s v="18.06.2026"/>
    <x v="182"/>
    <n v="2604000095"/>
    <m/>
    <n v="0"/>
    <n v="1"/>
    <n v="0"/>
    <n v="5.16"/>
    <s v="KG"/>
    <n v="0"/>
    <n v="0"/>
    <n v="0"/>
    <n v="0"/>
    <n v="0"/>
    <n v="0"/>
    <n v="0"/>
    <s v="EUR"/>
    <m/>
    <s v="EXP20260616-2801837-"/>
    <s v="EXP20260616-2801837-"/>
    <s v="00KZZJV8"/>
    <s v="MASSE CHANTAL"/>
    <s v="57 RUE DE L'ARMANDEL"/>
    <m/>
    <m/>
    <n v="17590"/>
    <s v="SAINT-CLEMENT-DES-BALEINES"/>
    <s v="FR"/>
    <s v="France"/>
    <m/>
  </r>
  <r>
    <x v="0"/>
    <n v="6.17"/>
    <n v="1.35"/>
    <n v="4.82"/>
    <n v="0.5"/>
    <n v="2501382993"/>
    <n v="1030220461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76"/>
    <s v="19.06.2026"/>
    <x v="183"/>
    <n v="2604000106"/>
    <m/>
    <n v="0"/>
    <n v="0"/>
    <n v="0"/>
    <n v="0"/>
    <s v="KG"/>
    <n v="3.77"/>
    <n v="0.9"/>
    <n v="0.15"/>
    <n v="29.1"/>
    <n v="1.35"/>
    <n v="0"/>
    <n v="0"/>
    <s v="EUR"/>
    <m/>
    <s v="EXP20260618-2805042-"/>
    <s v="EXP20260618-2805042-"/>
    <s v="00KUR5WF"/>
    <s v="EVA MIZELE"/>
    <s v="67 RUE REAUMUR"/>
    <m/>
    <m/>
    <n v="75002"/>
    <s v="PARIS"/>
    <s v="FR"/>
    <s v="France"/>
    <m/>
  </r>
  <r>
    <x v="0"/>
    <n v="6.17"/>
    <n v="1.35"/>
    <n v="4.82"/>
    <n v="0.5"/>
    <n v="2501382993"/>
    <n v="1030220461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76"/>
    <s v="19.06.2026"/>
    <x v="184"/>
    <n v="2604000105"/>
    <m/>
    <n v="0"/>
    <n v="0"/>
    <n v="0"/>
    <n v="0"/>
    <s v="KG"/>
    <n v="3.77"/>
    <n v="0.9"/>
    <n v="0.15"/>
    <n v="29.1"/>
    <n v="1.35"/>
    <n v="0"/>
    <n v="0"/>
    <s v="EUR"/>
    <m/>
    <s v="EXP20260618-2804939-"/>
    <s v="EXP20260618-2804939-"/>
    <s v="00KUR5WE"/>
    <s v="GELIN SARAH"/>
    <s v="3 ROUTE DE BOUXIERES AUX CHENE"/>
    <m/>
    <m/>
    <n v="54770"/>
    <s v="AMANCE"/>
    <s v="FR"/>
    <s v="France"/>
    <m/>
  </r>
  <r>
    <x v="0"/>
    <n v="0"/>
    <n v="0"/>
    <n v="0"/>
    <n v="1"/>
    <n v="2501382993"/>
    <n v="1030220461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75"/>
    <s v="19.06.2026"/>
    <x v="183"/>
    <n v="2604000106"/>
    <m/>
    <n v="0"/>
    <n v="1"/>
    <n v="0"/>
    <n v="0.32"/>
    <s v="KG"/>
    <n v="0"/>
    <n v="0"/>
    <n v="0"/>
    <n v="0"/>
    <n v="0"/>
    <n v="0"/>
    <n v="0"/>
    <s v="EUR"/>
    <m/>
    <s v="EXP20260618-2805042-"/>
    <s v="EXP20260618-2805042-"/>
    <s v="00KUR5WF"/>
    <s v="EVA MIZELE"/>
    <s v="67 RUE REAUMUR"/>
    <m/>
    <m/>
    <n v="75002"/>
    <s v="PARIS"/>
    <s v="FR"/>
    <s v="France"/>
    <m/>
  </r>
  <r>
    <x v="0"/>
    <n v="0"/>
    <n v="0"/>
    <n v="0"/>
    <n v="1"/>
    <n v="2501382993"/>
    <n v="1030220461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75"/>
    <s v="19.06.2026"/>
    <x v="184"/>
    <n v="2604000105"/>
    <m/>
    <n v="0"/>
    <n v="1"/>
    <n v="0"/>
    <n v="0.38"/>
    <s v="KG"/>
    <n v="0"/>
    <n v="0"/>
    <n v="0"/>
    <n v="0"/>
    <n v="0"/>
    <n v="0"/>
    <n v="0"/>
    <s v="EUR"/>
    <m/>
    <s v="EXP20260618-2804939-"/>
    <s v="EXP20260618-2804939-"/>
    <s v="00KUR5WE"/>
    <s v="GELIN SARAH"/>
    <s v="3 ROUTE DE BOUXIERES AUX CHENE"/>
    <m/>
    <m/>
    <n v="54770"/>
    <s v="AMANCE"/>
    <s v="FR"/>
    <s v="France"/>
    <m/>
  </r>
  <r>
    <x v="0"/>
    <n v="11.13"/>
    <n v="2.4700000000000002"/>
    <n v="8.66"/>
    <n v="8"/>
    <n v="2501382993"/>
    <n v="1030232957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12"/>
    <s v="Business Parcel - Dis. 01 - Size 12"/>
    <s v="PARCEDOMESSTANDARD"/>
    <m/>
    <n v="161"/>
    <s v="22.06.2026"/>
    <x v="185"/>
    <n v="2604000111"/>
    <m/>
    <n v="0"/>
    <n v="0"/>
    <n v="0"/>
    <n v="0"/>
    <s v="KG"/>
    <n v="7.61"/>
    <n v="0.9"/>
    <n v="0.15"/>
    <n v="29.1"/>
    <n v="2.4700000000000002"/>
    <n v="0"/>
    <n v="0"/>
    <s v="EUR"/>
    <m/>
    <s v="EXP20260619-2806972-"/>
    <s v="EXP20260619-2806972-"/>
    <s v="00KUR5WK"/>
    <s v="LE FLOCON SAS NOMISS 2"/>
    <s v="18 BOULEVARD DU PIC DU MIDI"/>
    <m/>
    <m/>
    <n v="65200"/>
    <s v="LA MONGIE"/>
    <s v="FR"/>
    <s v="France"/>
    <m/>
  </r>
  <r>
    <x v="0"/>
    <n v="7.0100000000000007"/>
    <n v="1.54"/>
    <n v="5.4700000000000006"/>
    <n v="2"/>
    <n v="2501382993"/>
    <n v="1030232957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6"/>
    <s v="Business Parcel - Dis. 01 - Size 06"/>
    <s v="PARCEDOMESSTANDARD"/>
    <m/>
    <n v="160"/>
    <s v="22.06.2026"/>
    <x v="186"/>
    <n v="2604000107"/>
    <m/>
    <n v="0"/>
    <n v="0"/>
    <n v="0"/>
    <n v="0"/>
    <s v="KG"/>
    <n v="4.42"/>
    <n v="0.9"/>
    <n v="0.15"/>
    <n v="29.1"/>
    <n v="1.54"/>
    <n v="0"/>
    <n v="0"/>
    <s v="EUR"/>
    <m/>
    <s v="EXP20260618-2805158-"/>
    <s v="EXP20260618-2805158-"/>
    <s v="00KUR5WG"/>
    <s v="ARGEVILLE"/>
    <s v="1198 AVENUE DU DR MAURICE DONA"/>
    <m/>
    <m/>
    <n v="6250"/>
    <s v="MOUGINS"/>
    <s v="FR"/>
    <s v="France"/>
    <m/>
  </r>
  <r>
    <x v="0"/>
    <n v="7.0100000000000007"/>
    <n v="1.54"/>
    <n v="5.4700000000000006"/>
    <n v="2"/>
    <n v="2501382993"/>
    <n v="1030232957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5"/>
    <s v="Business Parcel - Dis. 01 - Size 05"/>
    <s v="PARCEDOMESSTANDARD"/>
    <m/>
    <n v="159"/>
    <s v="22.06.2026"/>
    <x v="187"/>
    <n v="2604000108"/>
    <m/>
    <n v="0"/>
    <n v="0"/>
    <n v="0"/>
    <n v="0"/>
    <s v="KG"/>
    <n v="4.42"/>
    <n v="0.9"/>
    <n v="0.15"/>
    <n v="29.1"/>
    <n v="1.54"/>
    <n v="0"/>
    <n v="0"/>
    <s v="EUR"/>
    <m/>
    <s v="EXP20260618-2805968-"/>
    <s v="EXP20260618-2805968-"/>
    <s v="00KUR5WH"/>
    <s v="VAUCHIER MICHEL"/>
    <s v="22 RUE DU GOHLER"/>
    <m/>
    <m/>
    <n v="56400"/>
    <s v="AURAY"/>
    <s v="FR"/>
    <s v="France"/>
    <m/>
  </r>
  <r>
    <x v="0"/>
    <n v="8.15"/>
    <n v="1.8"/>
    <n v="6.3500000000000005"/>
    <n v="4"/>
    <n v="2501382993"/>
    <n v="103023470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8"/>
    <s v="Business Parcel - Dis. 01 - Size 08"/>
    <s v="PARCEDOMESSTANDARD"/>
    <m/>
    <n v="205"/>
    <s v="22.06.2026"/>
    <x v="188"/>
    <n v="2604000098"/>
    <m/>
    <n v="0"/>
    <n v="0"/>
    <n v="0"/>
    <n v="0"/>
    <s v="KG"/>
    <n v="5.3"/>
    <n v="0.9"/>
    <n v="0.15"/>
    <n v="29.1"/>
    <n v="1.8"/>
    <n v="0"/>
    <n v="0"/>
    <s v="EUR"/>
    <m/>
    <s v="EXP20260619-2806957-"/>
    <s v="EXP20260619-2806957-"/>
    <s v="00KZZJVB"/>
    <s v="DIZ CIDALINE"/>
    <s v="5 CHEMIN DE LA ECOLE"/>
    <m/>
    <m/>
    <n v="78510"/>
    <s v="TRIEL-SUR-SEINE"/>
    <s v="FR"/>
    <s v="France"/>
    <m/>
  </r>
  <r>
    <x v="0"/>
    <n v="0"/>
    <n v="0"/>
    <n v="0"/>
    <n v="4"/>
    <n v="2501382993"/>
    <n v="1030234701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04"/>
    <s v="22.06.2026"/>
    <x v="188"/>
    <n v="2604000098"/>
    <m/>
    <n v="0"/>
    <n v="1"/>
    <n v="0"/>
    <n v="3.45"/>
    <s v="KG"/>
    <n v="0"/>
    <n v="0"/>
    <n v="0"/>
    <n v="0"/>
    <n v="0"/>
    <n v="0"/>
    <n v="0"/>
    <s v="EUR"/>
    <m/>
    <s v="EXP20260619-2806957-"/>
    <s v="EXP20260619-2806957-"/>
    <s v="00KZZJVB"/>
    <s v="DIZ CIDALINE"/>
    <s v="5 CHEMIN DE LA ECOLE"/>
    <m/>
    <m/>
    <n v="78510"/>
    <s v="TRIEL-SUR-SEINE"/>
    <s v="FR"/>
    <s v="France"/>
    <m/>
  </r>
  <r>
    <x v="0"/>
    <n v="7.0100000000000007"/>
    <n v="1.54"/>
    <n v="5.4700000000000006"/>
    <n v="2"/>
    <n v="2501382993"/>
    <n v="1030229835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PARCEL_D01_S06"/>
    <s v="Business Parcel - Dis. 01 - Size 06"/>
    <s v="PARCEDOMESSTANDARD"/>
    <m/>
    <n v="106"/>
    <s v="22.06.2026"/>
    <x v="189"/>
    <n v="6923122"/>
    <m/>
    <n v="0"/>
    <n v="0"/>
    <n v="0"/>
    <n v="0"/>
    <s v="KG"/>
    <n v="4.42"/>
    <n v="0.9"/>
    <n v="0.15"/>
    <n v="29.1"/>
    <n v="1.54"/>
    <n v="0"/>
    <n v="0"/>
    <s v="EUR"/>
    <m/>
    <s v="EXP20260619-2807073"/>
    <m/>
    <s v="00L38JTQ"/>
    <s v="BAUDRIERE NICOLE"/>
    <s v="2190 CHEMIN DE FENESTRELLE"/>
    <m/>
    <m/>
    <n v="13400"/>
    <s v="AUBAGNE"/>
    <s v="FR"/>
    <s v="France"/>
    <m/>
  </r>
  <r>
    <x v="0"/>
    <n v="0"/>
    <n v="0"/>
    <n v="0"/>
    <n v="2"/>
    <n v="2501382993"/>
    <n v="1030229835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FDS_D01_S01"/>
    <s v="BP FlexDelivery - Dis. 01 - Size 01"/>
    <s v="PARCEDOMESFDS"/>
    <m/>
    <n v="105"/>
    <s v="22.06.2026"/>
    <x v="189"/>
    <n v="6923122"/>
    <m/>
    <n v="0"/>
    <n v="1"/>
    <n v="0"/>
    <n v="1.71"/>
    <s v="KG"/>
    <n v="0"/>
    <n v="0"/>
    <n v="0"/>
    <n v="0"/>
    <n v="0"/>
    <n v="0"/>
    <n v="0"/>
    <s v="EUR"/>
    <m/>
    <s v="EXP20260619-2807073"/>
    <m/>
    <s v="00L38JTQ"/>
    <s v="BAUDRIERE NICOLE"/>
    <s v="2190 CHEMIN DE FENESTRELLE"/>
    <m/>
    <m/>
    <n v="13400"/>
    <s v="AUBAGNE"/>
    <s v="FR"/>
    <s v="France"/>
    <m/>
  </r>
  <r>
    <x v="0"/>
    <n v="6.17"/>
    <n v="1.35"/>
    <n v="4.82"/>
    <n v="0.5"/>
    <n v="2501382993"/>
    <n v="1030232957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58"/>
    <s v="22.06.2026"/>
    <x v="190"/>
    <n v="2604000110"/>
    <m/>
    <n v="0"/>
    <n v="0"/>
    <n v="0"/>
    <n v="0"/>
    <s v="KG"/>
    <n v="3.77"/>
    <n v="0.9"/>
    <n v="0.15"/>
    <n v="29.1"/>
    <n v="1.35"/>
    <n v="0"/>
    <n v="0"/>
    <s v="EUR"/>
    <m/>
    <s v="EXP20260618-2806435-"/>
    <s v="EXP20260618-2806435-"/>
    <s v="00KUR5WJ"/>
    <s v="BELLIZZI LAETITIA"/>
    <s v="496 RUE DE LA FRUITIERE"/>
    <m/>
    <m/>
    <n v="1170"/>
    <s v="CESSY"/>
    <s v="FR"/>
    <s v="France"/>
    <m/>
  </r>
  <r>
    <x v="0"/>
    <n v="6.17"/>
    <n v="1.35"/>
    <n v="4.82"/>
    <n v="0.5"/>
    <n v="2501382993"/>
    <n v="1030232957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158"/>
    <s v="22.06.2026"/>
    <x v="191"/>
    <n v="2604000109"/>
    <m/>
    <n v="0"/>
    <n v="0"/>
    <n v="0"/>
    <n v="0"/>
    <s v="KG"/>
    <n v="3.77"/>
    <n v="0.9"/>
    <n v="0.15"/>
    <n v="29.1"/>
    <n v="1.35"/>
    <n v="0"/>
    <n v="0"/>
    <s v="EUR"/>
    <m/>
    <s v="EXP20260618-2805758-"/>
    <s v="EXP20260618-2805758-"/>
    <s v="00KUR5WI"/>
    <s v="HELENA RAJCHMAN"/>
    <s v="11 RUE ROQUEPINE"/>
    <m/>
    <m/>
    <n v="75008"/>
    <s v="PARIS"/>
    <s v="FR"/>
    <s v="France"/>
    <m/>
  </r>
  <r>
    <x v="0"/>
    <n v="0"/>
    <n v="0"/>
    <n v="0"/>
    <n v="8"/>
    <n v="2501382993"/>
    <n v="1030232957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57"/>
    <s v="22.06.2026"/>
    <x v="185"/>
    <n v="2604000111"/>
    <m/>
    <n v="0"/>
    <n v="1"/>
    <n v="0"/>
    <n v="7.77"/>
    <s v="KG"/>
    <n v="0"/>
    <n v="0"/>
    <n v="0"/>
    <n v="0"/>
    <n v="0"/>
    <n v="0"/>
    <n v="0"/>
    <s v="EUR"/>
    <m/>
    <s v="EXP20260619-2806972-"/>
    <s v="EXP20260619-2806972-"/>
    <s v="00KUR5WK"/>
    <s v="LE FLOCON SAS NOMISS 2"/>
    <s v="18 BOULEVARD DU PIC DU MIDI"/>
    <m/>
    <m/>
    <n v="65200"/>
    <s v="LA MONGIE"/>
    <s v="FR"/>
    <s v="France"/>
    <m/>
  </r>
  <r>
    <x v="0"/>
    <n v="0"/>
    <n v="0"/>
    <n v="0"/>
    <n v="1"/>
    <n v="2501382993"/>
    <n v="1030232957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57"/>
    <s v="22.06.2026"/>
    <x v="190"/>
    <n v="2604000110"/>
    <m/>
    <n v="0"/>
    <n v="1"/>
    <n v="0"/>
    <n v="0.27"/>
    <s v="KG"/>
    <n v="0"/>
    <n v="0"/>
    <n v="0"/>
    <n v="0"/>
    <n v="0"/>
    <n v="0"/>
    <n v="0"/>
    <s v="EUR"/>
    <m/>
    <s v="EXP20260618-2806435-"/>
    <s v="EXP20260618-2806435-"/>
    <s v="00KUR5WJ"/>
    <s v="BELLIZZI LAETITIA"/>
    <s v="496 RUE DE LA FRUITIERE"/>
    <m/>
    <m/>
    <n v="1170"/>
    <s v="CESSY"/>
    <s v="FR"/>
    <s v="France"/>
    <m/>
  </r>
  <r>
    <x v="0"/>
    <n v="0"/>
    <n v="0"/>
    <n v="0"/>
    <n v="1"/>
    <n v="2501382993"/>
    <n v="1030232957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57"/>
    <s v="22.06.2026"/>
    <x v="191"/>
    <n v="2604000109"/>
    <m/>
    <n v="0"/>
    <n v="1"/>
    <n v="0"/>
    <n v="0.5"/>
    <s v="KG"/>
    <n v="0"/>
    <n v="0"/>
    <n v="0"/>
    <n v="0"/>
    <n v="0"/>
    <n v="0"/>
    <n v="0"/>
    <s v="EUR"/>
    <m/>
    <s v="EXP20260618-2805758-"/>
    <s v="EXP20260618-2805758-"/>
    <s v="00KUR5WI"/>
    <s v="HELENA RAJCHMAN"/>
    <s v="11 RUE ROQUEPINE"/>
    <m/>
    <m/>
    <n v="75008"/>
    <s v="PARIS"/>
    <s v="FR"/>
    <s v="France"/>
    <m/>
  </r>
  <r>
    <x v="0"/>
    <n v="0"/>
    <n v="0"/>
    <n v="0"/>
    <n v="2"/>
    <n v="2501382993"/>
    <n v="1030232957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57"/>
    <s v="22.06.2026"/>
    <x v="187"/>
    <n v="2604000108"/>
    <m/>
    <n v="0"/>
    <n v="1"/>
    <n v="0"/>
    <n v="1.04"/>
    <s v="KG"/>
    <n v="0"/>
    <n v="0"/>
    <n v="0"/>
    <n v="0"/>
    <n v="0"/>
    <n v="0"/>
    <n v="0"/>
    <s v="EUR"/>
    <m/>
    <s v="EXP20260618-2805968-"/>
    <s v="EXP20260618-2805968-"/>
    <s v="00KUR5WH"/>
    <s v="VAUCHIER MICHEL"/>
    <s v="22 RUE DU GOHLER"/>
    <m/>
    <m/>
    <n v="56400"/>
    <s v="AURAY"/>
    <s v="FR"/>
    <s v="France"/>
    <m/>
  </r>
  <r>
    <x v="0"/>
    <n v="0"/>
    <n v="0"/>
    <n v="0"/>
    <n v="2"/>
    <n v="2501382993"/>
    <n v="1030232957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57"/>
    <s v="22.06.2026"/>
    <x v="186"/>
    <n v="2604000107"/>
    <m/>
    <n v="0"/>
    <n v="1"/>
    <n v="0"/>
    <n v="1.88"/>
    <s v="KG"/>
    <n v="0"/>
    <n v="0"/>
    <n v="0"/>
    <n v="0"/>
    <n v="0"/>
    <n v="0"/>
    <n v="0"/>
    <s v="EUR"/>
    <m/>
    <s v="EXP20260618-2805158-"/>
    <s v="EXP20260618-2805158-"/>
    <s v="00KUR5WG"/>
    <s v="ARGEVILLE"/>
    <s v="1198 AVENUE DU DR MAURICE DONA"/>
    <m/>
    <m/>
    <n v="6250"/>
    <s v="MOUGINS"/>
    <s v="FR"/>
    <s v="France"/>
    <m/>
  </r>
  <r>
    <x v="0"/>
    <n v="0"/>
    <n v="0"/>
    <n v="0"/>
    <n v="1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192"/>
    <n v="2604000131"/>
    <m/>
    <n v="0"/>
    <n v="1"/>
    <n v="0"/>
    <n v="0.84"/>
    <s v="KG"/>
    <n v="0"/>
    <n v="0"/>
    <n v="0"/>
    <n v="0"/>
    <n v="0"/>
    <n v="0"/>
    <n v="0"/>
    <s v="EUR"/>
    <m/>
    <s v="EXP20260621-2809954-"/>
    <s v="EXP20260621-2809954-"/>
    <s v="00L0NDX4"/>
    <s v="SASSOLAT LESLIE"/>
    <s v="259 CHEM. DES SANSOUIRES, 3413"/>
    <m/>
    <m/>
    <n v="34130"/>
    <s v="MAUGUIO"/>
    <s v="FR"/>
    <s v="France"/>
    <m/>
  </r>
  <r>
    <x v="0"/>
    <n v="0"/>
    <n v="0"/>
    <n v="0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193"/>
    <n v="2604000130"/>
    <m/>
    <n v="0"/>
    <n v="1"/>
    <n v="0"/>
    <n v="1.1100000000000001"/>
    <s v="KG"/>
    <n v="0"/>
    <n v="0"/>
    <n v="0"/>
    <n v="0"/>
    <n v="0"/>
    <n v="0"/>
    <n v="0"/>
    <s v="EUR"/>
    <m/>
    <s v="EXP20260621-2810445-"/>
    <s v="EXP20260621-2810445-"/>
    <s v="00L0NDX3"/>
    <s v="HOTTEKIET--BEAUCOURT FLORE"/>
    <s v="7 ALL. DES SORBIERS, 77420 CHA"/>
    <m/>
    <m/>
    <n v="77420"/>
    <s v="CHAMPS-SUR-MARNE"/>
    <s v="FR"/>
    <s v="France"/>
    <m/>
  </r>
  <r>
    <x v="0"/>
    <n v="0"/>
    <n v="0"/>
    <n v="0"/>
    <n v="1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194"/>
    <n v="2604000129"/>
    <m/>
    <n v="0"/>
    <n v="1"/>
    <n v="0"/>
    <n v="0.86"/>
    <s v="KG"/>
    <n v="0"/>
    <n v="0"/>
    <n v="0"/>
    <n v="0"/>
    <n v="0"/>
    <n v="0"/>
    <n v="0"/>
    <s v="EUR"/>
    <m/>
    <s v="EXP20260621-2810178-"/>
    <s v="EXP20260621-2810178-"/>
    <s v="00L0NDX2"/>
    <s v="MANOND ANGELIQUE"/>
    <s v="76 RUE DE STRASBOURG"/>
    <m/>
    <m/>
    <n v="79000"/>
    <s v="NIORT"/>
    <s v="FR"/>
    <s v="France"/>
    <m/>
  </r>
  <r>
    <x v="0"/>
    <n v="0"/>
    <n v="0"/>
    <n v="0"/>
    <n v="1"/>
    <n v="2501382993"/>
    <n v="1030232937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148"/>
    <s v="23.06.2026"/>
    <x v="195"/>
    <n v="2604000112"/>
    <m/>
    <n v="0"/>
    <n v="1"/>
    <n v="0"/>
    <n v="0.22"/>
    <s v="KG"/>
    <n v="0"/>
    <n v="0"/>
    <n v="0"/>
    <n v="0"/>
    <n v="0"/>
    <n v="0"/>
    <n v="0"/>
    <s v="EUR"/>
    <m/>
    <s v="EXP20260620-2808727-"/>
    <s v="EXP20260620-2808727-"/>
    <s v="00KUR5WL"/>
    <s v="GAULIER MICHELE"/>
    <s v="6 RUE TAL AL LENN"/>
    <m/>
    <m/>
    <n v="29350"/>
    <s v="MOELAN-SUR-MER"/>
    <s v="FR"/>
    <s v="France"/>
    <m/>
  </r>
  <r>
    <x v="0"/>
    <n v="0"/>
    <n v="0"/>
    <n v="0"/>
    <n v="20"/>
    <n v="2501382993"/>
    <n v="1030232937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EFDS"/>
    <s v="FDS_D11_S01"/>
    <s v="Euro FlexDelivery - Dis. 11 - Size 01"/>
    <s v="PARCEEUROPFDS"/>
    <m/>
    <n v="149"/>
    <s v="23.06.2026"/>
    <x v="196"/>
    <n v="2604000113"/>
    <m/>
    <n v="0"/>
    <n v="1"/>
    <n v="0"/>
    <n v="19.559999999999999"/>
    <s v="KG"/>
    <n v="0"/>
    <n v="0"/>
    <n v="0"/>
    <n v="0"/>
    <n v="0"/>
    <n v="0"/>
    <n v="0"/>
    <s v="EUR"/>
    <m/>
    <s v="EXP20260616-2802112-"/>
    <s v="EXP20260616-2802112-"/>
    <s v="ZWLMMM8W"/>
    <s v="ART M CAPTAIN CARD"/>
    <s v="GUTENBERGSTRASE 97"/>
    <m/>
    <m/>
    <n v="14467"/>
    <s v="POTSDAM"/>
    <s v="DE"/>
    <s v="Allemagne"/>
    <m/>
  </r>
  <r>
    <x v="0"/>
    <n v="6.17"/>
    <n v="1.35"/>
    <n v="4.82"/>
    <n v="0.5"/>
    <n v="2501382993"/>
    <n v="1030232937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1"/>
    <s v="Business Parcel - Dis. 01 - Size 01"/>
    <s v="PARCEDOMESSTANDARD"/>
    <m/>
    <n v="150"/>
    <s v="23.06.2026"/>
    <x v="195"/>
    <n v="2604000112"/>
    <m/>
    <n v="0"/>
    <n v="0"/>
    <n v="0"/>
    <n v="0"/>
    <s v="KG"/>
    <n v="3.77"/>
    <n v="0.9"/>
    <n v="0.15"/>
    <n v="29.1"/>
    <n v="1.35"/>
    <n v="0"/>
    <n v="0"/>
    <s v="EUR"/>
    <m/>
    <s v="EXP20260620-2808727-"/>
    <s v="EXP20260620-2808727-"/>
    <s v="00KUR5WL"/>
    <s v="GAULIER MICHELE"/>
    <s v="6 RUE TAL AL LENN"/>
    <m/>
    <m/>
    <n v="29350"/>
    <s v="MOELAN-SUR-MER"/>
    <s v="FR"/>
    <s v="France"/>
    <m/>
  </r>
  <r>
    <x v="0"/>
    <n v="23.619999999999997"/>
    <n v="5.29"/>
    <n v="18.329999999999998"/>
    <s v="hors France"/>
    <n v="2501382993"/>
    <n v="1030232937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EFDS"/>
    <s v="PARCEL_D11_S24"/>
    <s v="EuroBusiness Parcel - Dis. 11 - S. 24"/>
    <s v="PARCEEUROPSTANDARD"/>
    <m/>
    <n v="151"/>
    <s v="23.06.2026"/>
    <x v="196"/>
    <n v="2604000113"/>
    <m/>
    <n v="0"/>
    <n v="0"/>
    <n v="0"/>
    <n v="0"/>
    <s v="KG"/>
    <n v="17.28"/>
    <n v="0.9"/>
    <n v="0.15"/>
    <n v="29.1"/>
    <n v="5.29"/>
    <n v="0"/>
    <n v="0"/>
    <s v="EUR"/>
    <m/>
    <s v="EXP20260616-2802112-"/>
    <s v="EXP20260616-2802112-"/>
    <s v="ZWLMMM8W"/>
    <s v="ART M CAPTAIN CARD"/>
    <s v="GUTENBERGSTRASE 97"/>
    <m/>
    <m/>
    <n v="14467"/>
    <s v="POTSDAM"/>
    <s v="DE"/>
    <s v="Allemagne"/>
    <m/>
  </r>
  <r>
    <x v="0"/>
    <n v="0"/>
    <n v="0"/>
    <n v="0"/>
    <n v="1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197"/>
    <n v="2604000128"/>
    <m/>
    <n v="0"/>
    <n v="1"/>
    <n v="0"/>
    <n v="0.46"/>
    <s v="KG"/>
    <n v="0"/>
    <n v="0"/>
    <n v="0"/>
    <n v="0"/>
    <n v="0"/>
    <n v="0"/>
    <n v="0"/>
    <s v="EUR"/>
    <m/>
    <s v="EXP20260621-2810522-"/>
    <s v="EXP20260621-2810522-"/>
    <s v="00L0NDX1"/>
    <s v="SUFFYS AURORE"/>
    <s v="33 RUE BASTION SAINT-ANDRE, 59"/>
    <m/>
    <m/>
    <n v="59800"/>
    <s v="LILLE"/>
    <s v="FR"/>
    <s v="France"/>
    <m/>
  </r>
  <r>
    <x v="0"/>
    <n v="0"/>
    <n v="0"/>
    <n v="0"/>
    <n v="5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198"/>
    <n v="2604000127"/>
    <m/>
    <n v="0"/>
    <n v="1"/>
    <n v="0"/>
    <n v="4.9000000000000004"/>
    <s v="KG"/>
    <n v="0"/>
    <n v="0"/>
    <n v="0"/>
    <n v="0"/>
    <n v="0"/>
    <n v="0"/>
    <n v="0"/>
    <s v="EUR"/>
    <m/>
    <s v="EXP20260621-2810081-"/>
    <s v="EXP20260621-2810081-"/>
    <s v="00L0NDX0"/>
    <s v="GRIENTI MARMORATO SEVERINE"/>
    <s v="432 ROUTE DE MONTSOLEIL"/>
    <m/>
    <m/>
    <n v="84500"/>
    <s v="BOLLENE"/>
    <s v="FR"/>
    <s v="France"/>
    <m/>
  </r>
  <r>
    <x v="0"/>
    <n v="0"/>
    <n v="0"/>
    <n v="0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199"/>
    <n v="2604000126"/>
    <m/>
    <n v="0"/>
    <n v="1"/>
    <n v="0"/>
    <n v="1.1499999999999999"/>
    <s v="KG"/>
    <n v="0"/>
    <n v="0"/>
    <n v="0"/>
    <n v="0"/>
    <n v="0"/>
    <n v="0"/>
    <n v="0"/>
    <s v="EUR"/>
    <m/>
    <s v="EXP20260621-2810521-"/>
    <s v="EXP20260621-2810521-"/>
    <s v="00L0NDWZ"/>
    <s v="LOISON SYLVAIN"/>
    <s v="26 RUE DES SABLONS"/>
    <m/>
    <m/>
    <n v="95360"/>
    <s v="MONTMAGNY"/>
    <s v="FR"/>
    <s v="France"/>
    <m/>
  </r>
  <r>
    <x v="0"/>
    <n v="0"/>
    <n v="0"/>
    <n v="0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00"/>
    <n v="2604000125"/>
    <m/>
    <n v="0"/>
    <n v="1"/>
    <n v="0"/>
    <n v="1.8"/>
    <s v="KG"/>
    <n v="0"/>
    <n v="0"/>
    <n v="0"/>
    <n v="0"/>
    <n v="0"/>
    <n v="0"/>
    <n v="0"/>
    <s v="EUR"/>
    <m/>
    <s v="EXP20260621-2810446-"/>
    <s v="EXP20260621-2810446-"/>
    <s v="00L0NDWY"/>
    <s v="BERNAUD MATHIEU"/>
    <s v="7 IMP. JACQUES BRUGNON, 56000"/>
    <m/>
    <m/>
    <n v="56000"/>
    <s v="VANNES"/>
    <s v="FR"/>
    <s v="France"/>
    <m/>
  </r>
  <r>
    <x v="0"/>
    <n v="0"/>
    <n v="0"/>
    <n v="0"/>
    <n v="3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01"/>
    <n v="2604000124"/>
    <m/>
    <n v="0"/>
    <n v="1"/>
    <n v="0"/>
    <n v="2.35"/>
    <s v="KG"/>
    <n v="0"/>
    <n v="0"/>
    <n v="0"/>
    <n v="0"/>
    <n v="0"/>
    <n v="0"/>
    <n v="0"/>
    <s v="EUR"/>
    <m/>
    <s v="EXP20260621-2810080-"/>
    <s v="EXP20260621-2810080-"/>
    <s v="00L0NDWX"/>
    <s v="GWENAEL LE QUELLEC"/>
    <s v="38 RUE SAULNIER"/>
    <m/>
    <m/>
    <n v="92800"/>
    <s v="PUTEAUX"/>
    <s v="FR"/>
    <s v="France"/>
    <m/>
  </r>
  <r>
    <x v="0"/>
    <n v="0"/>
    <n v="0"/>
    <n v="0"/>
    <n v="4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02"/>
    <n v="2604000123"/>
    <m/>
    <n v="0"/>
    <n v="1"/>
    <n v="0"/>
    <n v="3.78"/>
    <s v="KG"/>
    <n v="0"/>
    <n v="0"/>
    <n v="0"/>
    <n v="0"/>
    <n v="0"/>
    <n v="0"/>
    <n v="0"/>
    <s v="EUR"/>
    <m/>
    <s v="EXP20260621-2810078-"/>
    <s v="EXP20260621-2810078-"/>
    <s v="00L0NDWW"/>
    <s v="BECHU-LEVEQUE ESTELLE"/>
    <s v="77 RUE DE BOURGNEUF"/>
    <m/>
    <m/>
    <n v="49300"/>
    <s v="CHOLET"/>
    <s v="FR"/>
    <s v="France"/>
    <m/>
  </r>
  <r>
    <x v="0"/>
    <n v="0"/>
    <n v="0"/>
    <n v="0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03"/>
    <n v="2604000122"/>
    <m/>
    <n v="0"/>
    <n v="1"/>
    <n v="0"/>
    <n v="1.1100000000000001"/>
    <s v="KG"/>
    <n v="0"/>
    <n v="0"/>
    <n v="0"/>
    <n v="0"/>
    <n v="0"/>
    <n v="0"/>
    <n v="0"/>
    <s v="EUR"/>
    <m/>
    <s v="EXP20260621-2810183-"/>
    <s v="EXP20260621-2810183-"/>
    <s v="00L0NDWV"/>
    <s v="BENDAHMANE ELSA"/>
    <s v="22 RUE SAINT-LAURENT, 33000 BO"/>
    <m/>
    <m/>
    <n v="33000"/>
    <s v="BORDEAUX"/>
    <s v="FR"/>
    <s v="France"/>
    <m/>
  </r>
  <r>
    <x v="0"/>
    <n v="0"/>
    <n v="0"/>
    <n v="0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04"/>
    <n v="2604000121"/>
    <m/>
    <n v="0"/>
    <n v="1"/>
    <n v="0"/>
    <n v="1.86"/>
    <s v="KG"/>
    <n v="0"/>
    <n v="0"/>
    <n v="0"/>
    <n v="0"/>
    <n v="0"/>
    <n v="0"/>
    <n v="0"/>
    <s v="EUR"/>
    <m/>
    <s v="EXP20260621-2810292-"/>
    <s v="EXP20260621-2810292-"/>
    <s v="00L0NDWU"/>
    <s v="BROUZES MURIEL"/>
    <s v="12 IMPASSE COLETTE"/>
    <m/>
    <m/>
    <n v="30290"/>
    <s v="LAUDUN"/>
    <s v="FR"/>
    <s v="France"/>
    <m/>
  </r>
  <r>
    <x v="0"/>
    <n v="0"/>
    <n v="0"/>
    <n v="0"/>
    <n v="4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05"/>
    <n v="2604000120"/>
    <m/>
    <n v="0"/>
    <n v="1"/>
    <n v="0"/>
    <n v="3.58"/>
    <s v="KG"/>
    <n v="0"/>
    <n v="0"/>
    <n v="0"/>
    <n v="0"/>
    <n v="0"/>
    <n v="0"/>
    <n v="0"/>
    <s v="EUR"/>
    <m/>
    <s v="EXP20260622-2812030-"/>
    <s v="EXP20260622-2812030-"/>
    <s v="00L0NDWT"/>
    <s v="SOUBRET STEPHANIE"/>
    <s v="28 IMPASSE DE LA FUTAIE"/>
    <m/>
    <m/>
    <n v="74960"/>
    <s v="ANNECY"/>
    <s v="FR"/>
    <s v="France"/>
    <m/>
  </r>
  <r>
    <x v="0"/>
    <n v="0"/>
    <n v="0"/>
    <n v="0"/>
    <n v="6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06"/>
    <n v="2604000119"/>
    <m/>
    <n v="0"/>
    <n v="1"/>
    <n v="0"/>
    <n v="5.0599999999999996"/>
    <s v="KG"/>
    <n v="0"/>
    <n v="0"/>
    <n v="0"/>
    <n v="0"/>
    <n v="0"/>
    <n v="0"/>
    <n v="0"/>
    <s v="EUR"/>
    <m/>
    <s v="EXP20260622-2812841-"/>
    <s v="EXP20260622-2812841-"/>
    <s v="00L0NDWS"/>
    <s v="LORCHEL ISABELLE"/>
    <s v="9 CHEMIN SAINTE MARIE"/>
    <m/>
    <m/>
    <n v="69160"/>
    <s v="TASSIN-LA-DEMI-LUNE"/>
    <s v="FR"/>
    <s v="France"/>
    <m/>
  </r>
  <r>
    <x v="0"/>
    <n v="0"/>
    <n v="0"/>
    <n v="0"/>
    <n v="1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07"/>
    <n v="2604000099"/>
    <m/>
    <n v="0"/>
    <n v="1"/>
    <n v="0"/>
    <n v="0.42"/>
    <s v="KG"/>
    <n v="0"/>
    <n v="0"/>
    <n v="0"/>
    <n v="0"/>
    <n v="0"/>
    <n v="0"/>
    <n v="0"/>
    <s v="EUR"/>
    <m/>
    <s v="EXP20260621-2809845-"/>
    <s v="EXP20260621-2809845-"/>
    <s v="00KZZJVC"/>
    <s v="GARDEUR VALERIE"/>
    <s v="73 RUE DE LA PLAGE"/>
    <m/>
    <m/>
    <n v="29560"/>
    <s v="TELGRUC-SUR-MER"/>
    <s v="FR"/>
    <s v="France"/>
    <m/>
  </r>
  <r>
    <x v="0"/>
    <n v="0"/>
    <n v="0"/>
    <n v="0"/>
    <n v="3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08"/>
    <n v="2604000100"/>
    <m/>
    <n v="0"/>
    <n v="1"/>
    <n v="0"/>
    <n v="2.2200000000000002"/>
    <s v="KG"/>
    <n v="0"/>
    <n v="0"/>
    <n v="0"/>
    <n v="0"/>
    <n v="0"/>
    <n v="0"/>
    <n v="0"/>
    <s v="EUR"/>
    <m/>
    <s v="EXP20260621-2809329-"/>
    <s v="EXP20260621-2809329-"/>
    <s v="00KZZJVD"/>
    <s v="GAGNE CELINE"/>
    <s v="860 ROUTE DE MALAUCENE"/>
    <m/>
    <m/>
    <n v="84330"/>
    <s v="LE BARROUX"/>
    <s v="FR"/>
    <s v="France"/>
    <m/>
  </r>
  <r>
    <x v="0"/>
    <n v="0"/>
    <n v="0"/>
    <n v="0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09"/>
    <n v="2604000101"/>
    <m/>
    <n v="0"/>
    <n v="1"/>
    <n v="0"/>
    <n v="1.1599999999999999"/>
    <s v="KG"/>
    <n v="0"/>
    <n v="0"/>
    <n v="0"/>
    <n v="0"/>
    <n v="0"/>
    <n v="0"/>
    <n v="0"/>
    <s v="EUR"/>
    <m/>
    <s v="EXP20260621-2809846-"/>
    <s v="EXP20260621-2809846-"/>
    <s v="00L0NDWA"/>
    <s v="MICHEL CLARA"/>
    <s v="291 RTE DES FORGETTES, 76750 B"/>
    <m/>
    <m/>
    <n v="76750"/>
    <s v="BOSC-BORDEL"/>
    <s v="FR"/>
    <s v="France"/>
    <m/>
  </r>
  <r>
    <x v="0"/>
    <n v="0"/>
    <n v="0"/>
    <n v="0"/>
    <n v="1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10"/>
    <n v="2604000102"/>
    <m/>
    <n v="0"/>
    <n v="1"/>
    <n v="0"/>
    <n v="0.6"/>
    <s v="KG"/>
    <n v="0"/>
    <n v="0"/>
    <n v="0"/>
    <n v="0"/>
    <n v="0"/>
    <n v="0"/>
    <n v="0"/>
    <s v="EUR"/>
    <m/>
    <s v="EXP20260621-2809489-"/>
    <s v="EXP20260621-2809489-"/>
    <s v="00L0NDWB"/>
    <s v="QUIGNON RAPHAEL"/>
    <s v="40 ALL. DES 2 CEDRES, 91210 DR"/>
    <m/>
    <m/>
    <n v="91210"/>
    <s v="DRAVEIL"/>
    <s v="FR"/>
    <s v="France"/>
    <m/>
  </r>
  <r>
    <x v="0"/>
    <n v="0"/>
    <n v="0"/>
    <n v="0"/>
    <n v="1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11"/>
    <n v="2604000103"/>
    <m/>
    <n v="0"/>
    <n v="1"/>
    <n v="0"/>
    <n v="0.57999999999999996"/>
    <s v="KG"/>
    <n v="0"/>
    <n v="0"/>
    <n v="0"/>
    <n v="0"/>
    <n v="0"/>
    <n v="0"/>
    <n v="0"/>
    <s v="EUR"/>
    <m/>
    <s v="EXP20260621-2809676-"/>
    <s v="EXP20260621-2809676-"/>
    <s v="00L0NDWC"/>
    <s v="ROHAN ANNE"/>
    <s v="12 RUE DES BUTTES"/>
    <m/>
    <m/>
    <n v="94000"/>
    <s v="CRETEIL"/>
    <s v="FR"/>
    <s v="France"/>
    <m/>
  </r>
  <r>
    <x v="0"/>
    <n v="0"/>
    <n v="0"/>
    <n v="0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12"/>
    <n v="2604000104"/>
    <m/>
    <n v="0"/>
    <n v="1"/>
    <n v="0"/>
    <n v="1.26"/>
    <s v="KG"/>
    <n v="0"/>
    <n v="0"/>
    <n v="0"/>
    <n v="0"/>
    <n v="0"/>
    <n v="0"/>
    <n v="0"/>
    <s v="EUR"/>
    <m/>
    <s v="EXP20260621-2809288-"/>
    <s v="EXP20260621-2809288-"/>
    <s v="00L0NDWD"/>
    <s v="LEBEAU LAETITIA"/>
    <s v="11 KERNIVINEN"/>
    <m/>
    <m/>
    <n v="56310"/>
    <s v="MELRAND"/>
    <s v="FR"/>
    <s v="France"/>
    <m/>
  </r>
  <r>
    <x v="0"/>
    <n v="0"/>
    <n v="0"/>
    <n v="0"/>
    <n v="4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13"/>
    <n v="2604000105"/>
    <m/>
    <n v="0"/>
    <n v="1"/>
    <n v="0"/>
    <n v="3.98"/>
    <s v="KG"/>
    <n v="0"/>
    <n v="0"/>
    <n v="0"/>
    <n v="0"/>
    <n v="0"/>
    <n v="0"/>
    <n v="0"/>
    <s v="EUR"/>
    <m/>
    <s v="EXP20260621-2809486-"/>
    <s v="EXP20260621-2809486-"/>
    <s v="00L0NDWE"/>
    <s v="GISBERT ROUSSERIE ANNE"/>
    <s v="116 IMPASSE DE CHEZ PALLUD"/>
    <m/>
    <m/>
    <n v="74380"/>
    <s v="LUCINGES"/>
    <s v="FR"/>
    <s v="France"/>
    <m/>
  </r>
  <r>
    <x v="0"/>
    <n v="0"/>
    <n v="0"/>
    <n v="0"/>
    <n v="1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14"/>
    <n v="2604000106"/>
    <m/>
    <n v="0"/>
    <n v="1"/>
    <n v="0"/>
    <n v="0.44"/>
    <s v="KG"/>
    <n v="0"/>
    <n v="0"/>
    <n v="0"/>
    <n v="0"/>
    <n v="0"/>
    <n v="0"/>
    <n v="0"/>
    <s v="EUR"/>
    <m/>
    <s v="EXP20260621-2809767-"/>
    <s v="EXP20260621-2809767-"/>
    <s v="00L0NDWF"/>
    <s v="AKOUH NADIA"/>
    <s v="170 RUE GUSTAVE DUBLED, 59170"/>
    <m/>
    <m/>
    <n v="59170"/>
    <s v="CROIX"/>
    <s v="FR"/>
    <s v="France"/>
    <m/>
  </r>
  <r>
    <x v="0"/>
    <n v="0"/>
    <n v="0"/>
    <n v="0"/>
    <n v="1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15"/>
    <n v="2604000107"/>
    <m/>
    <n v="0"/>
    <n v="1"/>
    <n v="0"/>
    <n v="0.46"/>
    <s v="KG"/>
    <n v="0"/>
    <n v="0"/>
    <n v="0"/>
    <n v="0"/>
    <n v="0"/>
    <n v="0"/>
    <n v="0"/>
    <s v="EUR"/>
    <m/>
    <s v="EXP20260621-2809570-"/>
    <s v="EXP20260621-2809570-"/>
    <s v="00L0NDWG"/>
    <s v="THEROND PAULINE"/>
    <s v="84 RUE DE PESSAC, 33000 BORDEA"/>
    <m/>
    <m/>
    <n v="33000"/>
    <s v="BORDEAUX"/>
    <s v="FR"/>
    <s v="France"/>
    <m/>
  </r>
  <r>
    <x v="0"/>
    <n v="0"/>
    <n v="0"/>
    <n v="0"/>
    <n v="1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16"/>
    <n v="2604000108"/>
    <m/>
    <n v="0"/>
    <n v="1"/>
    <n v="0"/>
    <n v="0.84"/>
    <s v="KG"/>
    <n v="0"/>
    <n v="0"/>
    <n v="0"/>
    <n v="0"/>
    <n v="0"/>
    <n v="0"/>
    <n v="0"/>
    <s v="EUR"/>
    <m/>
    <s v="EXP20260621-2809487-"/>
    <s v="EXP20260621-2809487-"/>
    <s v="00L0NDWH"/>
    <s v="LALLEMENT-PUCHOIS AURELIE"/>
    <s v="3 RUE CAGNON"/>
    <m/>
    <m/>
    <n v="80600"/>
    <s v="BEAUQUESNE"/>
    <s v="FR"/>
    <s v="France"/>
    <m/>
  </r>
  <r>
    <x v="0"/>
    <n v="0"/>
    <n v="0"/>
    <n v="0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17"/>
    <n v="2604000109"/>
    <m/>
    <n v="0"/>
    <n v="1"/>
    <n v="0"/>
    <n v="1.1599999999999999"/>
    <s v="KG"/>
    <n v="0"/>
    <n v="0"/>
    <n v="0"/>
    <n v="0"/>
    <n v="0"/>
    <n v="0"/>
    <n v="0"/>
    <s v="EUR"/>
    <m/>
    <s v="EXP20260621-2809285-"/>
    <s v="EXP20260621-2809285-"/>
    <s v="00L0NDWI"/>
    <s v="DE JUST SANDRINE"/>
    <s v="140 IMPASSE DES NOISETIERS"/>
    <m/>
    <m/>
    <n v="31600"/>
    <s v="SAINT-CLAR-DE-RIVIERE"/>
    <s v="FR"/>
    <s v="France"/>
    <m/>
  </r>
  <r>
    <x v="0"/>
    <n v="0"/>
    <n v="0"/>
    <n v="0"/>
    <n v="3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18"/>
    <n v="2604000110"/>
    <m/>
    <n v="0"/>
    <n v="1"/>
    <n v="0"/>
    <n v="2.2999999999999998"/>
    <s v="KG"/>
    <n v="0"/>
    <n v="0"/>
    <n v="0"/>
    <n v="0"/>
    <n v="0"/>
    <n v="0"/>
    <n v="0"/>
    <s v="EUR"/>
    <m/>
    <s v="EXP20260621-2809485-"/>
    <s v="EXP20260621-2809485-"/>
    <s v="00L0NDWJ"/>
    <s v="ETIENNE PATRICIA"/>
    <s v="30 RUE DES TILLEULS"/>
    <m/>
    <m/>
    <n v="26210"/>
    <s v="SAINT SORLIN EN VALLOIRE"/>
    <s v="FR"/>
    <s v="France"/>
    <m/>
  </r>
  <r>
    <x v="0"/>
    <n v="0"/>
    <n v="0"/>
    <n v="0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19"/>
    <n v="2604000111"/>
    <m/>
    <n v="0"/>
    <n v="1"/>
    <n v="0"/>
    <n v="1.1200000000000001"/>
    <s v="KG"/>
    <n v="0"/>
    <n v="0"/>
    <n v="0"/>
    <n v="0"/>
    <n v="0"/>
    <n v="0"/>
    <n v="0"/>
    <s v="EUR"/>
    <m/>
    <s v="EXP20260621-2809286-"/>
    <s v="EXP20260621-2809286-"/>
    <s v="00L0NDWK"/>
    <s v="MAROTTE CLEMENCE"/>
    <s v="79 RUE DE L'OFFRANDE, APPT 21"/>
    <m/>
    <m/>
    <n v="80000"/>
    <s v="AMIENS"/>
    <s v="FR"/>
    <s v="France"/>
    <m/>
  </r>
  <r>
    <x v="0"/>
    <n v="0"/>
    <n v="0"/>
    <n v="0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20"/>
    <n v="2604000112"/>
    <m/>
    <n v="0"/>
    <n v="1"/>
    <n v="0"/>
    <n v="1.65"/>
    <s v="KG"/>
    <n v="0"/>
    <n v="0"/>
    <n v="0"/>
    <n v="0"/>
    <n v="0"/>
    <n v="0"/>
    <n v="0"/>
    <s v="EUR"/>
    <m/>
    <s v="EXP20260621-2809675-"/>
    <s v="EXP20260621-2809675-"/>
    <s v="00L0NDWL"/>
    <s v="GARCIA MATTHIEU"/>
    <s v="166 AVENUE DU MARECHAL DE LATT"/>
    <m/>
    <m/>
    <n v="94120"/>
    <s v="FONTENAY-SOUS-BOIS"/>
    <s v="FR"/>
    <s v="France"/>
    <m/>
  </r>
  <r>
    <x v="0"/>
    <n v="0"/>
    <n v="0"/>
    <n v="0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21"/>
    <n v="2604000113"/>
    <m/>
    <n v="0"/>
    <n v="1"/>
    <n v="0"/>
    <n v="1.98"/>
    <s v="KG"/>
    <n v="0"/>
    <n v="0"/>
    <n v="0"/>
    <n v="0"/>
    <n v="0"/>
    <n v="0"/>
    <n v="0"/>
    <s v="EUR"/>
    <m/>
    <s v="EXP20260619-2808067-"/>
    <s v="EXP20260619-2808067-"/>
    <s v="00L0NDWM"/>
    <s v="DIGARD AMANDINE"/>
    <s v="136 CHEMIN DES 2 FRERES"/>
    <m/>
    <m/>
    <n v="83190"/>
    <s v="OLLIOULES"/>
    <s v="FR"/>
    <s v="France"/>
    <m/>
  </r>
  <r>
    <x v="0"/>
    <n v="0"/>
    <n v="0"/>
    <n v="0"/>
    <n v="1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22"/>
    <n v="2604000114"/>
    <m/>
    <n v="0"/>
    <n v="1"/>
    <n v="0"/>
    <n v="0.5"/>
    <s v="KG"/>
    <n v="0"/>
    <n v="0"/>
    <n v="0"/>
    <n v="0"/>
    <n v="0"/>
    <n v="0"/>
    <n v="0"/>
    <s v="EUR"/>
    <m/>
    <s v="EXP20260621-2809844-"/>
    <s v="EXP20260621-2809844-"/>
    <s v="00L0NDWN"/>
    <s v="N'GUESSAN ELENA"/>
    <s v="27A CHEMIN DE CLAIREFONTAINE"/>
    <m/>
    <m/>
    <n v="78580"/>
    <s v="MAULE"/>
    <s v="FR"/>
    <s v="France"/>
    <m/>
  </r>
  <r>
    <x v="0"/>
    <n v="0"/>
    <n v="0"/>
    <n v="0"/>
    <n v="4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23"/>
    <n v="2604000115"/>
    <m/>
    <n v="0"/>
    <n v="1"/>
    <n v="0"/>
    <n v="3.98"/>
    <s v="KG"/>
    <n v="0"/>
    <n v="0"/>
    <n v="0"/>
    <n v="0"/>
    <n v="0"/>
    <n v="0"/>
    <n v="0"/>
    <s v="EUR"/>
    <m/>
    <s v="EXP20260621-2809571-"/>
    <s v="EXP20260621-2809571-"/>
    <s v="00L0NDWO"/>
    <s v="LEMAIRE CHRISTELLE"/>
    <s v="16 RUE DU TUMULUS ER GRIGEN, 5"/>
    <m/>
    <m/>
    <n v="56680"/>
    <s v="PLOUHINEC"/>
    <s v="FR"/>
    <s v="France"/>
    <m/>
  </r>
  <r>
    <x v="0"/>
    <n v="0"/>
    <n v="0"/>
    <n v="0"/>
    <n v="1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24"/>
    <n v="2604000116"/>
    <m/>
    <n v="0"/>
    <n v="1"/>
    <n v="0"/>
    <n v="0.42"/>
    <s v="KG"/>
    <n v="0"/>
    <n v="0"/>
    <n v="0"/>
    <n v="0"/>
    <n v="0"/>
    <n v="0"/>
    <n v="0"/>
    <s v="EUR"/>
    <m/>
    <s v="EXP20260621-2809490-"/>
    <s v="EXP20260621-2809490-"/>
    <s v="00L0NDWP"/>
    <s v="MARTINEZ JOANA"/>
    <s v="13 RUE DE BELFORT"/>
    <m/>
    <m/>
    <n v="77340"/>
    <s v="PONTAULT-COMBAULT"/>
    <s v="FR"/>
    <s v="France"/>
    <m/>
  </r>
  <r>
    <x v="0"/>
    <n v="0"/>
    <n v="0"/>
    <n v="0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25"/>
    <n v="2604000117"/>
    <m/>
    <n v="0"/>
    <n v="1"/>
    <n v="0"/>
    <n v="1.1100000000000001"/>
    <s v="KG"/>
    <n v="0"/>
    <n v="0"/>
    <n v="0"/>
    <n v="0"/>
    <n v="0"/>
    <n v="0"/>
    <n v="0"/>
    <s v="EUR"/>
    <m/>
    <s v="EXP20260621-2809287-"/>
    <s v="EXP20260621-2809287-"/>
    <s v="00L0NDWQ"/>
    <s v="MULLER VICTORIA"/>
    <s v="9 RUE DES CERISIERS"/>
    <m/>
    <m/>
    <n v="68640"/>
    <s v="WALDIGHOFFEN"/>
    <s v="FR"/>
    <s v="France"/>
    <m/>
  </r>
  <r>
    <x v="0"/>
    <n v="0"/>
    <n v="0"/>
    <n v="0"/>
    <n v="4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26"/>
    <n v="2604000118"/>
    <m/>
    <n v="0"/>
    <n v="1"/>
    <n v="0"/>
    <n v="3.56"/>
    <s v="KG"/>
    <n v="0"/>
    <n v="0"/>
    <n v="0"/>
    <n v="0"/>
    <n v="0"/>
    <n v="0"/>
    <n v="0"/>
    <s v="EUR"/>
    <m/>
    <s v="EXP20260622-2811504-"/>
    <s v="EXP20260622-2811504-"/>
    <s v="00L0NDWR"/>
    <s v="REY-SALETES EMMANUELLE"/>
    <s v="42 RUE DES FILATIERS"/>
    <m/>
    <m/>
    <n v="31000"/>
    <s v="TOULOUSE"/>
    <s v="FR"/>
    <s v="France"/>
    <m/>
  </r>
  <r>
    <x v="0"/>
    <n v="8.870000000000001"/>
    <n v="1.96"/>
    <n v="6.910000000000001"/>
    <n v="5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9"/>
    <s v="Business Parcel - Dis. 01 - Size 09"/>
    <s v="PARCEDOMESSTANDARD"/>
    <m/>
    <n v="56"/>
    <s v="23.06.2026"/>
    <x v="198"/>
    <n v="2604000127"/>
    <m/>
    <n v="0"/>
    <n v="0"/>
    <n v="0"/>
    <n v="0"/>
    <s v="KG"/>
    <n v="5.86"/>
    <n v="0.9"/>
    <n v="0.15"/>
    <n v="29.1"/>
    <n v="1.96"/>
    <n v="0"/>
    <n v="0"/>
    <s v="EUR"/>
    <m/>
    <s v="EXP20260621-2810081-"/>
    <s v="EXP20260621-2810081-"/>
    <s v="00L0NDX0"/>
    <s v="GRIENTI MARMORATO SEVERINE"/>
    <s v="432 ROUTE DE MONTSOLEIL"/>
    <m/>
    <m/>
    <n v="84500"/>
    <s v="BOLLENE"/>
    <s v="FR"/>
    <s v="France"/>
    <m/>
  </r>
  <r>
    <x v="0"/>
    <n v="8.15"/>
    <n v="1.8"/>
    <n v="6.3500000000000005"/>
    <n v="4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8"/>
    <s v="Business Parcel - Dis. 01 - Size 08"/>
    <s v="PARCEDOMESSTANDARD"/>
    <m/>
    <n v="55"/>
    <s v="23.06.2026"/>
    <x v="202"/>
    <n v="2604000123"/>
    <m/>
    <n v="0"/>
    <n v="0"/>
    <n v="0"/>
    <n v="0"/>
    <s v="KG"/>
    <n v="5.3"/>
    <n v="0.9"/>
    <n v="0.15"/>
    <n v="29.1"/>
    <n v="1.8"/>
    <n v="0"/>
    <n v="0"/>
    <s v="EUR"/>
    <m/>
    <s v="EXP20260621-2810078-"/>
    <s v="EXP20260621-2810078-"/>
    <s v="00L0NDWW"/>
    <s v="BECHU-LEVEQUE ESTELLE"/>
    <s v="77 RUE DE BOURGNEUF"/>
    <m/>
    <m/>
    <n v="49300"/>
    <s v="CHOLET"/>
    <s v="FR"/>
    <s v="France"/>
    <m/>
  </r>
  <r>
    <x v="0"/>
    <n v="8.15"/>
    <n v="1.8"/>
    <n v="6.3500000000000005"/>
    <n v="4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8"/>
    <s v="Business Parcel - Dis. 01 - Size 08"/>
    <s v="PARCEDOMESSTANDARD"/>
    <m/>
    <n v="55"/>
    <s v="23.06.2026"/>
    <x v="205"/>
    <n v="2604000120"/>
    <m/>
    <n v="0"/>
    <n v="0"/>
    <n v="0"/>
    <n v="0"/>
    <s v="KG"/>
    <n v="5.3"/>
    <n v="0.9"/>
    <n v="0.15"/>
    <n v="29.1"/>
    <n v="1.8"/>
    <n v="0"/>
    <n v="0"/>
    <s v="EUR"/>
    <m/>
    <s v="EXP20260622-2812030-"/>
    <s v="EXP20260622-2812030-"/>
    <s v="00L0NDWT"/>
    <s v="SOUBRET STEPHANIE"/>
    <s v="28 IMPASSE DE LA FUTAIE"/>
    <m/>
    <m/>
    <n v="74960"/>
    <s v="ANNECY"/>
    <s v="FR"/>
    <s v="France"/>
    <m/>
  </r>
  <r>
    <x v="0"/>
    <n v="8.15"/>
    <n v="1.8"/>
    <n v="6.3500000000000005"/>
    <n v="4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8"/>
    <s v="Business Parcel - Dis. 01 - Size 08"/>
    <s v="PARCEDOMESSTANDARD"/>
    <m/>
    <n v="55"/>
    <s v="23.06.2026"/>
    <x v="226"/>
    <n v="2604000118"/>
    <m/>
    <n v="0"/>
    <n v="0"/>
    <n v="0"/>
    <n v="0"/>
    <s v="KG"/>
    <n v="5.3"/>
    <n v="0.9"/>
    <n v="0.15"/>
    <n v="29.1"/>
    <n v="1.8"/>
    <n v="0"/>
    <n v="0"/>
    <s v="EUR"/>
    <m/>
    <s v="EXP20260622-2811504-"/>
    <s v="EXP20260622-2811504-"/>
    <s v="00L0NDWR"/>
    <s v="REY-SALETES EMMANUELLE"/>
    <s v="42 RUE DES FILATIERS"/>
    <m/>
    <m/>
    <n v="31000"/>
    <s v="TOULOUSE"/>
    <s v="FR"/>
    <s v="France"/>
    <m/>
  </r>
  <r>
    <x v="0"/>
    <n v="8.15"/>
    <n v="1.8"/>
    <n v="6.3500000000000005"/>
    <n v="4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8"/>
    <s v="Business Parcel - Dis. 01 - Size 08"/>
    <s v="PARCEDOMESSTANDARD"/>
    <m/>
    <n v="55"/>
    <s v="23.06.2026"/>
    <x v="223"/>
    <n v="2604000115"/>
    <m/>
    <n v="0"/>
    <n v="0"/>
    <n v="0"/>
    <n v="0"/>
    <s v="KG"/>
    <n v="5.3"/>
    <n v="0.9"/>
    <n v="0.15"/>
    <n v="29.1"/>
    <n v="1.8"/>
    <n v="0"/>
    <n v="0"/>
    <s v="EUR"/>
    <m/>
    <s v="EXP20260621-2809571-"/>
    <s v="EXP20260621-2809571-"/>
    <s v="00L0NDWO"/>
    <s v="LEMAIRE CHRISTELLE"/>
    <s v="16 RUE DU TUMULUS ER GRIGEN, 5"/>
    <m/>
    <m/>
    <n v="56680"/>
    <s v="PLOUHINEC"/>
    <s v="FR"/>
    <s v="France"/>
    <m/>
  </r>
  <r>
    <x v="0"/>
    <n v="8.15"/>
    <n v="1.8"/>
    <n v="6.3500000000000005"/>
    <n v="4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8"/>
    <s v="Business Parcel - Dis. 01 - Size 08"/>
    <s v="PARCEDOMESSTANDARD"/>
    <m/>
    <n v="55"/>
    <s v="23.06.2026"/>
    <x v="213"/>
    <n v="2604000105"/>
    <m/>
    <n v="0"/>
    <n v="0"/>
    <n v="0"/>
    <n v="0"/>
    <s v="KG"/>
    <n v="5.3"/>
    <n v="0.9"/>
    <n v="0.15"/>
    <n v="29.1"/>
    <n v="1.8"/>
    <n v="0"/>
    <n v="0"/>
    <s v="EUR"/>
    <m/>
    <s v="EXP20260621-2809486-"/>
    <s v="EXP20260621-2809486-"/>
    <s v="00L0NDWE"/>
    <s v="GISBERT ROUSSERIE ANNE"/>
    <s v="116 IMPASSE DE CHEZ PALLUD"/>
    <m/>
    <m/>
    <n v="74380"/>
    <s v="LUCINGES"/>
    <s v="FR"/>
    <s v="France"/>
    <m/>
  </r>
  <r>
    <x v="0"/>
    <n v="7.4300000000000006"/>
    <n v="1.64"/>
    <n v="5.7900000000000009"/>
    <n v="3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54"/>
    <s v="23.06.2026"/>
    <x v="201"/>
    <n v="2604000124"/>
    <m/>
    <n v="0"/>
    <n v="0"/>
    <n v="0"/>
    <n v="0"/>
    <s v="KG"/>
    <n v="4.74"/>
    <n v="0.9"/>
    <n v="0.15"/>
    <n v="29.1"/>
    <n v="1.64"/>
    <n v="0"/>
    <n v="0"/>
    <s v="EUR"/>
    <m/>
    <s v="EXP20260621-2810080-"/>
    <s v="EXP20260621-2810080-"/>
    <s v="00L0NDWX"/>
    <s v="GWENAEL LE QUELLEC"/>
    <s v="38 RUE SAULNIER"/>
    <m/>
    <m/>
    <n v="92800"/>
    <s v="PUTEAUX"/>
    <s v="FR"/>
    <s v="France"/>
    <m/>
  </r>
  <r>
    <x v="0"/>
    <n v="7.4300000000000006"/>
    <n v="1.64"/>
    <n v="5.7900000000000009"/>
    <n v="3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54"/>
    <s v="23.06.2026"/>
    <x v="218"/>
    <n v="2604000110"/>
    <m/>
    <n v="0"/>
    <n v="0"/>
    <n v="0"/>
    <n v="0"/>
    <s v="KG"/>
    <n v="4.74"/>
    <n v="0.9"/>
    <n v="0.15"/>
    <n v="29.1"/>
    <n v="1.64"/>
    <n v="0"/>
    <n v="0"/>
    <s v="EUR"/>
    <m/>
    <s v="EXP20260621-2809485-"/>
    <s v="EXP20260621-2809485-"/>
    <s v="00L0NDWJ"/>
    <s v="ETIENNE PATRICIA"/>
    <s v="30 RUE DES TILLEULS"/>
    <m/>
    <m/>
    <n v="26210"/>
    <s v="SAINT SORLIN EN VALLOIRE"/>
    <s v="FR"/>
    <s v="France"/>
    <m/>
  </r>
  <r>
    <x v="0"/>
    <n v="7.4300000000000006"/>
    <n v="1.64"/>
    <n v="5.7900000000000009"/>
    <n v="3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54"/>
    <s v="23.06.2026"/>
    <x v="208"/>
    <n v="2604000100"/>
    <m/>
    <n v="0"/>
    <n v="0"/>
    <n v="0"/>
    <n v="0"/>
    <s v="KG"/>
    <n v="4.74"/>
    <n v="0.9"/>
    <n v="0.15"/>
    <n v="29.1"/>
    <n v="1.64"/>
    <n v="0"/>
    <n v="0"/>
    <s v="EUR"/>
    <m/>
    <s v="EXP20260621-2809329-"/>
    <s v="EXP20260621-2809329-"/>
    <s v="00KZZJVD"/>
    <s v="GAGNE CELINE"/>
    <s v="860 ROUTE DE MALAUCENE"/>
    <m/>
    <m/>
    <n v="84330"/>
    <s v="LE BARROUX"/>
    <s v="FR"/>
    <s v="France"/>
    <m/>
  </r>
  <r>
    <x v="0"/>
    <n v="7.0100000000000007"/>
    <n v="1.54"/>
    <n v="5.4700000000000006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53"/>
    <s v="23.06.2026"/>
    <x v="227"/>
    <n v="2604000134"/>
    <m/>
    <n v="0"/>
    <n v="0"/>
    <n v="0"/>
    <n v="0"/>
    <s v="KG"/>
    <n v="4.42"/>
    <n v="0.9"/>
    <n v="0.15"/>
    <n v="29.1"/>
    <n v="1.54"/>
    <n v="0"/>
    <n v="0"/>
    <s v="EUR"/>
    <m/>
    <s v="EXP20260621-2809847-"/>
    <s v="EXP20260621-2809847-"/>
    <s v="00L0NDX7"/>
    <s v="LEFEUVRE CHRISTELLE"/>
    <s v="10 ALL. PAUL NIZAN, 37320 ESVR"/>
    <m/>
    <m/>
    <n v="37320"/>
    <s v="ESVRES"/>
    <s v="FR"/>
    <s v="France"/>
    <m/>
  </r>
  <r>
    <x v="0"/>
    <n v="7.0100000000000007"/>
    <n v="1.54"/>
    <n v="5.4700000000000006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53"/>
    <s v="23.06.2026"/>
    <x v="200"/>
    <n v="2604000125"/>
    <m/>
    <n v="0"/>
    <n v="0"/>
    <n v="0"/>
    <n v="0"/>
    <s v="KG"/>
    <n v="4.42"/>
    <n v="0.9"/>
    <n v="0.15"/>
    <n v="29.1"/>
    <n v="1.54"/>
    <n v="0"/>
    <n v="0"/>
    <s v="EUR"/>
    <m/>
    <s v="EXP20260621-2810446-"/>
    <s v="EXP20260621-2810446-"/>
    <s v="00L0NDWY"/>
    <s v="BERNAUD MATHIEU"/>
    <s v="7 IMP. JACQUES BRUGNON, 56000"/>
    <m/>
    <m/>
    <n v="56000"/>
    <s v="VANNES"/>
    <s v="FR"/>
    <s v="France"/>
    <m/>
  </r>
  <r>
    <x v="0"/>
    <n v="7.0100000000000007"/>
    <n v="1.54"/>
    <n v="5.4700000000000006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53"/>
    <s v="23.06.2026"/>
    <x v="204"/>
    <n v="2604000121"/>
    <m/>
    <n v="0"/>
    <n v="0"/>
    <n v="0"/>
    <n v="0"/>
    <s v="KG"/>
    <n v="4.42"/>
    <n v="0.9"/>
    <n v="0.15"/>
    <n v="29.1"/>
    <n v="1.54"/>
    <n v="0"/>
    <n v="0"/>
    <s v="EUR"/>
    <m/>
    <s v="EXP20260621-2810292-"/>
    <s v="EXP20260621-2810292-"/>
    <s v="00L0NDWU"/>
    <s v="BROUZES MURIEL"/>
    <s v="12 IMPASSE COLETTE"/>
    <m/>
    <m/>
    <n v="30290"/>
    <s v="LAUDUN"/>
    <s v="FR"/>
    <s v="France"/>
    <m/>
  </r>
  <r>
    <x v="0"/>
    <n v="7.0100000000000007"/>
    <n v="1.54"/>
    <n v="5.4700000000000006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53"/>
    <s v="23.06.2026"/>
    <x v="221"/>
    <n v="2604000113"/>
    <m/>
    <n v="0"/>
    <n v="0"/>
    <n v="0"/>
    <n v="0"/>
    <s v="KG"/>
    <n v="4.42"/>
    <n v="0.9"/>
    <n v="0.15"/>
    <n v="29.1"/>
    <n v="1.54"/>
    <n v="0"/>
    <n v="0"/>
    <s v="EUR"/>
    <m/>
    <s v="EXP20260619-2808067-"/>
    <s v="EXP20260619-2808067-"/>
    <s v="00L0NDWM"/>
    <s v="DIGARD AMANDINE"/>
    <s v="136 CHEMIN DES 2 FRERES"/>
    <m/>
    <m/>
    <n v="83190"/>
    <s v="OLLIOULES"/>
    <s v="FR"/>
    <s v="France"/>
    <m/>
  </r>
  <r>
    <x v="0"/>
    <n v="7.0100000000000007"/>
    <n v="1.54"/>
    <n v="5.4700000000000006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53"/>
    <s v="23.06.2026"/>
    <x v="220"/>
    <n v="2604000112"/>
    <m/>
    <n v="0"/>
    <n v="0"/>
    <n v="0"/>
    <n v="0"/>
    <s v="KG"/>
    <n v="4.42"/>
    <n v="0.9"/>
    <n v="0.15"/>
    <n v="29.1"/>
    <n v="1.54"/>
    <n v="0"/>
    <n v="0"/>
    <s v="EUR"/>
    <m/>
    <s v="EXP20260621-2809675-"/>
    <s v="EXP20260621-2809675-"/>
    <s v="00L0NDWL"/>
    <s v="GARCIA MATTHIEU"/>
    <s v="166 AVENUE DU MARECHAL DE LATT"/>
    <m/>
    <m/>
    <n v="94120"/>
    <s v="FONTENAY-SOUS-BOIS"/>
    <s v="FR"/>
    <s v="France"/>
    <m/>
  </r>
  <r>
    <x v="0"/>
    <n v="9.6000000000000014"/>
    <n v="2.13"/>
    <n v="7.4700000000000015"/>
    <n v="6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10"/>
    <s v="Business Parcel - Dis. 01 - Size 10"/>
    <s v="PARCEDOMESSTANDARD"/>
    <m/>
    <n v="57"/>
    <s v="23.06.2026"/>
    <x v="206"/>
    <n v="2604000119"/>
    <m/>
    <n v="0"/>
    <n v="0"/>
    <n v="0"/>
    <n v="0"/>
    <s v="KG"/>
    <n v="6.42"/>
    <n v="0.9"/>
    <n v="0.15"/>
    <n v="29.1"/>
    <n v="2.13"/>
    <n v="0"/>
    <n v="0"/>
    <s v="EUR"/>
    <m/>
    <s v="EXP20260622-2812841-"/>
    <s v="EXP20260622-2812841-"/>
    <s v="00L0NDWS"/>
    <s v="LORCHEL ISABELLE"/>
    <s v="9 CHEMIN SAINTE MARIE"/>
    <m/>
    <m/>
    <n v="69160"/>
    <s v="TASSIN-LA-DEMI-LUNE"/>
    <s v="FR"/>
    <s v="France"/>
    <m/>
  </r>
  <r>
    <x v="3"/>
    <n v="5.7"/>
    <n v="1.28"/>
    <n v="4.42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RET_BUP_D01"/>
    <s v="Retour Colis BUP - Classe 01"/>
    <s v="SURCHALL RETURN"/>
    <m/>
    <n v="58"/>
    <s v="23.06.2026"/>
    <x v="4"/>
    <n v="2604000031"/>
    <m/>
    <n v="0"/>
    <n v="0"/>
    <n v="0"/>
    <n v="0"/>
    <s v="KG"/>
    <n v="4.42"/>
    <n v="0"/>
    <n v="0"/>
    <n v="29.1"/>
    <n v="1.28"/>
    <n v="0"/>
    <n v="0"/>
    <s v="EUR"/>
    <m/>
    <s v="EXP20260530-2770970-"/>
    <s v="EXP20260530-2770970-"/>
    <s v="00KZZJTG"/>
    <s v="REAL CHARLES"/>
    <s v="8 RUE RUHMKORFF"/>
    <m/>
    <m/>
    <n v="75017"/>
    <s v="PARIS"/>
    <s v="FR"/>
    <s v="France"/>
    <m/>
  </r>
  <r>
    <x v="0"/>
    <n v="7.0100000000000007"/>
    <n v="1.54"/>
    <n v="5.4700000000000006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52"/>
    <s v="23.06.2026"/>
    <x v="228"/>
    <n v="2604000133"/>
    <m/>
    <n v="0"/>
    <n v="0"/>
    <n v="0"/>
    <n v="0"/>
    <s v="KG"/>
    <n v="4.42"/>
    <n v="0.9"/>
    <n v="0.15"/>
    <n v="29.1"/>
    <n v="1.54"/>
    <n v="0"/>
    <n v="0"/>
    <s v="EUR"/>
    <m/>
    <s v="EXP20260621-2810377-"/>
    <s v="EXP20260621-2810377-"/>
    <s v="00L0NDX6"/>
    <s v="LECOINTRE MANON"/>
    <s v="3 IMPASSE DES DAHLIAS"/>
    <m/>
    <m/>
    <n v="44119"/>
    <s v="TREILLIERES"/>
    <s v="FR"/>
    <s v="France"/>
    <m/>
  </r>
  <r>
    <x v="0"/>
    <n v="7.0100000000000007"/>
    <n v="1.54"/>
    <n v="5.4700000000000006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52"/>
    <s v="23.06.2026"/>
    <x v="229"/>
    <n v="2604000132"/>
    <m/>
    <n v="0"/>
    <n v="0"/>
    <n v="0"/>
    <n v="0"/>
    <s v="KG"/>
    <n v="4.42"/>
    <n v="0.9"/>
    <n v="0.15"/>
    <n v="29.1"/>
    <n v="1.54"/>
    <n v="0"/>
    <n v="0"/>
    <s v="EUR"/>
    <m/>
    <s v="EXP20260621-2810079-"/>
    <s v="EXP20260621-2810079-"/>
    <s v="00L0NDX5"/>
    <s v="PEROT ANNE"/>
    <s v="6 RUE DE LA CHAPELLE, 68118 HI"/>
    <m/>
    <m/>
    <n v="68118"/>
    <s v="HIRTZBACH"/>
    <s v="FR"/>
    <s v="France"/>
    <m/>
  </r>
  <r>
    <x v="0"/>
    <n v="7.0100000000000007"/>
    <n v="1.54"/>
    <n v="5.4700000000000006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52"/>
    <s v="23.06.2026"/>
    <x v="193"/>
    <n v="2604000130"/>
    <m/>
    <n v="0"/>
    <n v="0"/>
    <n v="0"/>
    <n v="0"/>
    <s v="KG"/>
    <n v="4.42"/>
    <n v="0.9"/>
    <n v="0.15"/>
    <n v="29.1"/>
    <n v="1.54"/>
    <n v="0"/>
    <n v="0"/>
    <s v="EUR"/>
    <m/>
    <s v="EXP20260621-2810445-"/>
    <s v="EXP20260621-2810445-"/>
    <s v="00L0NDX3"/>
    <s v="HOTTEKIET--BEAUCOURT FLORE"/>
    <s v="7 ALL. DES SORBIERS, 77420 CHA"/>
    <m/>
    <m/>
    <n v="77420"/>
    <s v="CHAMPS-SUR-MARNE"/>
    <s v="FR"/>
    <s v="France"/>
    <m/>
  </r>
  <r>
    <x v="0"/>
    <n v="7.0100000000000007"/>
    <n v="1.54"/>
    <n v="5.4700000000000006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52"/>
    <s v="23.06.2026"/>
    <x v="199"/>
    <n v="2604000126"/>
    <m/>
    <n v="0"/>
    <n v="0"/>
    <n v="0"/>
    <n v="0"/>
    <s v="KG"/>
    <n v="4.42"/>
    <n v="0.9"/>
    <n v="0.15"/>
    <n v="29.1"/>
    <n v="1.54"/>
    <n v="0"/>
    <n v="0"/>
    <s v="EUR"/>
    <m/>
    <s v="EXP20260621-2810521-"/>
    <s v="EXP20260621-2810521-"/>
    <s v="00L0NDWZ"/>
    <s v="LOISON SYLVAIN"/>
    <s v="26 RUE DES SABLONS"/>
    <m/>
    <m/>
    <n v="95360"/>
    <s v="MONTMAGNY"/>
    <s v="FR"/>
    <s v="France"/>
    <m/>
  </r>
  <r>
    <x v="0"/>
    <n v="0"/>
    <n v="0"/>
    <n v="0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29"/>
    <n v="2604000132"/>
    <m/>
    <n v="0"/>
    <n v="1"/>
    <n v="0"/>
    <n v="1.1399999999999999"/>
    <s v="KG"/>
    <n v="0"/>
    <n v="0"/>
    <n v="0"/>
    <n v="0"/>
    <n v="0"/>
    <n v="0"/>
    <n v="0"/>
    <s v="EUR"/>
    <m/>
    <s v="EXP20260621-2810079-"/>
    <s v="EXP20260621-2810079-"/>
    <s v="00L0NDX5"/>
    <s v="PEROT ANNE"/>
    <s v="6 RUE DE LA CHAPELLE, 68118 HI"/>
    <m/>
    <m/>
    <n v="68118"/>
    <s v="HIRTZBACH"/>
    <s v="FR"/>
    <s v="France"/>
    <m/>
  </r>
  <r>
    <x v="0"/>
    <n v="0"/>
    <n v="0"/>
    <n v="0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28"/>
    <n v="2604000133"/>
    <m/>
    <n v="0"/>
    <n v="1"/>
    <n v="0"/>
    <n v="1.1399999999999999"/>
    <s v="KG"/>
    <n v="0"/>
    <n v="0"/>
    <n v="0"/>
    <n v="0"/>
    <n v="0"/>
    <n v="0"/>
    <n v="0"/>
    <s v="EUR"/>
    <m/>
    <s v="EXP20260621-2810377-"/>
    <s v="EXP20260621-2810377-"/>
    <s v="00L0NDX6"/>
    <s v="LECOINTRE MANON"/>
    <s v="3 IMPASSE DES DAHLIAS"/>
    <m/>
    <m/>
    <n v="44119"/>
    <s v="TREILLIERES"/>
    <s v="FR"/>
    <s v="France"/>
    <m/>
  </r>
  <r>
    <x v="0"/>
    <n v="0"/>
    <n v="0"/>
    <n v="0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48"/>
    <s v="23.06.2026"/>
    <x v="227"/>
    <n v="2604000134"/>
    <m/>
    <n v="0"/>
    <n v="1"/>
    <n v="0"/>
    <n v="1.8"/>
    <s v="KG"/>
    <n v="0"/>
    <n v="0"/>
    <n v="0"/>
    <n v="0"/>
    <n v="0"/>
    <n v="0"/>
    <n v="0"/>
    <s v="EUR"/>
    <m/>
    <s v="EXP20260621-2809847-"/>
    <s v="EXP20260621-2809847-"/>
    <s v="00L0NDX7"/>
    <s v="LEFEUVRE CHRISTELLE"/>
    <s v="10 ALL. PAUL NIZAN, 37320 ESVR"/>
    <m/>
    <m/>
    <n v="37320"/>
    <s v="ESVRES"/>
    <s v="FR"/>
    <s v="France"/>
    <m/>
  </r>
  <r>
    <x v="0"/>
    <n v="6.17"/>
    <n v="1.35"/>
    <n v="4.82"/>
    <n v="0.5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49"/>
    <s v="23.06.2026"/>
    <x v="207"/>
    <n v="2604000099"/>
    <m/>
    <n v="0"/>
    <n v="0"/>
    <n v="0"/>
    <n v="0"/>
    <s v="KG"/>
    <n v="3.77"/>
    <n v="0.9"/>
    <n v="0.15"/>
    <n v="29.1"/>
    <n v="1.35"/>
    <n v="0"/>
    <n v="0"/>
    <s v="EUR"/>
    <m/>
    <s v="EXP20260621-2809845-"/>
    <s v="EXP20260621-2809845-"/>
    <s v="00KZZJVC"/>
    <s v="GARDEUR VALERIE"/>
    <s v="73 RUE DE LA PLAGE"/>
    <m/>
    <m/>
    <n v="29560"/>
    <s v="TELGRUC-SUR-MER"/>
    <s v="FR"/>
    <s v="France"/>
    <m/>
  </r>
  <r>
    <x v="0"/>
    <n v="6.17"/>
    <n v="1.35"/>
    <n v="4.82"/>
    <n v="0.5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49"/>
    <s v="23.06.2026"/>
    <x v="214"/>
    <n v="2604000106"/>
    <m/>
    <n v="0"/>
    <n v="0"/>
    <n v="0"/>
    <n v="0"/>
    <s v="KG"/>
    <n v="3.77"/>
    <n v="0.9"/>
    <n v="0.15"/>
    <n v="29.1"/>
    <n v="1.35"/>
    <n v="0"/>
    <n v="0"/>
    <s v="EUR"/>
    <m/>
    <s v="EXP20260621-2809767-"/>
    <s v="EXP20260621-2809767-"/>
    <s v="00L0NDWF"/>
    <s v="AKOUH NADIA"/>
    <s v="170 RUE GUSTAVE DUBLED, 59170"/>
    <m/>
    <m/>
    <n v="59170"/>
    <s v="CROIX"/>
    <s v="FR"/>
    <s v="France"/>
    <m/>
  </r>
  <r>
    <x v="0"/>
    <n v="6.17"/>
    <n v="1.35"/>
    <n v="4.82"/>
    <n v="0.5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49"/>
    <s v="23.06.2026"/>
    <x v="215"/>
    <n v="2604000107"/>
    <m/>
    <n v="0"/>
    <n v="0"/>
    <n v="0"/>
    <n v="0"/>
    <s v="KG"/>
    <n v="3.77"/>
    <n v="0.9"/>
    <n v="0.15"/>
    <n v="29.1"/>
    <n v="1.35"/>
    <n v="0"/>
    <n v="0"/>
    <s v="EUR"/>
    <m/>
    <s v="EXP20260621-2809570-"/>
    <s v="EXP20260621-2809570-"/>
    <s v="00L0NDWG"/>
    <s v="THEROND PAULINE"/>
    <s v="84 RUE DE PESSAC, 33000 BORDEA"/>
    <m/>
    <m/>
    <n v="33000"/>
    <s v="BORDEAUX"/>
    <s v="FR"/>
    <s v="France"/>
    <m/>
  </r>
  <r>
    <x v="0"/>
    <n v="6.17"/>
    <n v="1.35"/>
    <n v="4.82"/>
    <n v="0.5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49"/>
    <s v="23.06.2026"/>
    <x v="222"/>
    <n v="2604000114"/>
    <m/>
    <n v="0"/>
    <n v="0"/>
    <n v="0"/>
    <n v="0"/>
    <s v="KG"/>
    <n v="3.77"/>
    <n v="0.9"/>
    <n v="0.15"/>
    <n v="29.1"/>
    <n v="1.35"/>
    <n v="0"/>
    <n v="0"/>
    <s v="EUR"/>
    <m/>
    <s v="EXP20260621-2809844-"/>
    <s v="EXP20260621-2809844-"/>
    <s v="00L0NDWN"/>
    <s v="N'GUESSAN ELENA"/>
    <s v="27A CHEMIN DE CLAIREFONTAINE"/>
    <m/>
    <m/>
    <n v="78580"/>
    <s v="MAULE"/>
    <s v="FR"/>
    <s v="France"/>
    <m/>
  </r>
  <r>
    <x v="0"/>
    <n v="6.17"/>
    <n v="1.35"/>
    <n v="4.82"/>
    <n v="0.5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49"/>
    <s v="23.06.2026"/>
    <x v="224"/>
    <n v="2604000116"/>
    <m/>
    <n v="0"/>
    <n v="0"/>
    <n v="0"/>
    <n v="0"/>
    <s v="KG"/>
    <n v="3.77"/>
    <n v="0.9"/>
    <n v="0.15"/>
    <n v="29.1"/>
    <n v="1.35"/>
    <n v="0"/>
    <n v="0"/>
    <s v="EUR"/>
    <m/>
    <s v="EXP20260621-2809490-"/>
    <s v="EXP20260621-2809490-"/>
    <s v="00L0NDWP"/>
    <s v="MARTINEZ JOANA"/>
    <s v="13 RUE DE BELFORT"/>
    <m/>
    <m/>
    <n v="77340"/>
    <s v="PONTAULT-COMBAULT"/>
    <s v="FR"/>
    <s v="France"/>
    <m/>
  </r>
  <r>
    <x v="0"/>
    <n v="6.17"/>
    <n v="1.35"/>
    <n v="4.82"/>
    <n v="0.5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49"/>
    <s v="23.06.2026"/>
    <x v="197"/>
    <n v="2604000128"/>
    <m/>
    <n v="0"/>
    <n v="0"/>
    <n v="0"/>
    <n v="0"/>
    <s v="KG"/>
    <n v="3.77"/>
    <n v="0.9"/>
    <n v="0.15"/>
    <n v="29.1"/>
    <n v="1.35"/>
    <n v="0"/>
    <n v="0"/>
    <s v="EUR"/>
    <m/>
    <s v="EXP20260621-2810522-"/>
    <s v="EXP20260621-2810522-"/>
    <s v="00L0NDX1"/>
    <s v="SUFFYS AURORE"/>
    <s v="33 RUE BASTION SAINT-ANDRE, 59"/>
    <m/>
    <m/>
    <n v="59800"/>
    <s v="LILLE"/>
    <s v="FR"/>
    <s v="France"/>
    <m/>
  </r>
  <r>
    <x v="0"/>
    <n v="6.6000000000000005"/>
    <n v="1.45"/>
    <n v="5.15"/>
    <n v="1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3"/>
    <s v="Business Parcel - Dis. 01 - Size 03"/>
    <s v="PARCEDOMESSTANDARD"/>
    <m/>
    <n v="50"/>
    <s v="23.06.2026"/>
    <x v="210"/>
    <n v="2604000102"/>
    <m/>
    <n v="0"/>
    <n v="0"/>
    <n v="0"/>
    <n v="0"/>
    <s v="KG"/>
    <n v="4.0999999999999996"/>
    <n v="0.9"/>
    <n v="0.15"/>
    <n v="29.1"/>
    <n v="1.45"/>
    <n v="0"/>
    <n v="0"/>
    <s v="EUR"/>
    <m/>
    <s v="EXP20260621-2809489-"/>
    <s v="EXP20260621-2809489-"/>
    <s v="00L0NDWB"/>
    <s v="QUIGNON RAPHAEL"/>
    <s v="40 ALL. DES 2 CEDRES, 91210 DR"/>
    <m/>
    <m/>
    <n v="91210"/>
    <s v="DRAVEIL"/>
    <s v="FR"/>
    <s v="France"/>
    <m/>
  </r>
  <r>
    <x v="0"/>
    <n v="6.6000000000000005"/>
    <n v="1.45"/>
    <n v="5.15"/>
    <n v="1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3"/>
    <s v="Business Parcel - Dis. 01 - Size 03"/>
    <s v="PARCEDOMESSTANDARD"/>
    <m/>
    <n v="50"/>
    <s v="23.06.2026"/>
    <x v="211"/>
    <n v="2604000103"/>
    <m/>
    <n v="0"/>
    <n v="0"/>
    <n v="0"/>
    <n v="0"/>
    <s v="KG"/>
    <n v="4.0999999999999996"/>
    <n v="0.9"/>
    <n v="0.15"/>
    <n v="29.1"/>
    <n v="1.45"/>
    <n v="0"/>
    <n v="0"/>
    <s v="EUR"/>
    <m/>
    <s v="EXP20260621-2809676-"/>
    <s v="EXP20260621-2809676-"/>
    <s v="00L0NDWC"/>
    <s v="ROHAN ANNE"/>
    <s v="12 RUE DES BUTTES"/>
    <m/>
    <m/>
    <n v="94000"/>
    <s v="CRETEIL"/>
    <s v="FR"/>
    <s v="France"/>
    <m/>
  </r>
  <r>
    <x v="0"/>
    <n v="6.6000000000000005"/>
    <n v="1.45"/>
    <n v="5.15"/>
    <n v="1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51"/>
    <s v="23.06.2026"/>
    <x v="216"/>
    <n v="2604000108"/>
    <m/>
    <n v="0"/>
    <n v="0"/>
    <n v="0"/>
    <n v="0"/>
    <s v="KG"/>
    <n v="4.0999999999999996"/>
    <n v="0.9"/>
    <n v="0.15"/>
    <n v="29.1"/>
    <n v="1.45"/>
    <n v="0"/>
    <n v="0"/>
    <s v="EUR"/>
    <m/>
    <s v="EXP20260621-2809487-"/>
    <s v="EXP20260621-2809487-"/>
    <s v="00L0NDWH"/>
    <s v="LALLEMENT-PUCHOIS AURELIE"/>
    <s v="3 RUE CAGNON"/>
    <m/>
    <m/>
    <n v="80600"/>
    <s v="BEAUQUESNE"/>
    <s v="FR"/>
    <s v="France"/>
    <m/>
  </r>
  <r>
    <x v="0"/>
    <n v="6.6000000000000005"/>
    <n v="1.45"/>
    <n v="5.15"/>
    <n v="1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51"/>
    <s v="23.06.2026"/>
    <x v="194"/>
    <n v="2604000129"/>
    <m/>
    <n v="0"/>
    <n v="0"/>
    <n v="0"/>
    <n v="0"/>
    <s v="KG"/>
    <n v="4.0999999999999996"/>
    <n v="0.9"/>
    <n v="0.15"/>
    <n v="29.1"/>
    <n v="1.45"/>
    <n v="0"/>
    <n v="0"/>
    <s v="EUR"/>
    <m/>
    <s v="EXP20260621-2810178-"/>
    <s v="EXP20260621-2810178-"/>
    <s v="00L0NDX2"/>
    <s v="MANOND ANGELIQUE"/>
    <s v="76 RUE DE STRASBOURG"/>
    <m/>
    <m/>
    <n v="79000"/>
    <s v="NIORT"/>
    <s v="FR"/>
    <s v="France"/>
    <m/>
  </r>
  <r>
    <x v="0"/>
    <n v="6.6000000000000005"/>
    <n v="1.45"/>
    <n v="5.15"/>
    <n v="1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51"/>
    <s v="23.06.2026"/>
    <x v="192"/>
    <n v="2604000131"/>
    <m/>
    <n v="0"/>
    <n v="0"/>
    <n v="0"/>
    <n v="0"/>
    <s v="KG"/>
    <n v="4.0999999999999996"/>
    <n v="0.9"/>
    <n v="0.15"/>
    <n v="29.1"/>
    <n v="1.45"/>
    <n v="0"/>
    <n v="0"/>
    <s v="EUR"/>
    <m/>
    <s v="EXP20260621-2809954-"/>
    <s v="EXP20260621-2809954-"/>
    <s v="00L0NDX4"/>
    <s v="SASSOLAT LESLIE"/>
    <s v="259 CHEM. DES SANSOUIRES, 3413"/>
    <m/>
    <m/>
    <n v="34130"/>
    <s v="MAUGUIO"/>
    <s v="FR"/>
    <s v="France"/>
    <m/>
  </r>
  <r>
    <x v="0"/>
    <n v="7.0100000000000007"/>
    <n v="1.54"/>
    <n v="5.4700000000000006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52"/>
    <s v="23.06.2026"/>
    <x v="209"/>
    <n v="2604000101"/>
    <m/>
    <n v="0"/>
    <n v="0"/>
    <n v="0"/>
    <n v="0"/>
    <s v="KG"/>
    <n v="4.42"/>
    <n v="0.9"/>
    <n v="0.15"/>
    <n v="29.1"/>
    <n v="1.54"/>
    <n v="0"/>
    <n v="0"/>
    <s v="EUR"/>
    <m/>
    <s v="EXP20260621-2809846-"/>
    <s v="EXP20260621-2809846-"/>
    <s v="00L0NDWA"/>
    <s v="MICHEL CLARA"/>
    <s v="291 RTE DES FORGETTES, 76750 B"/>
    <m/>
    <m/>
    <n v="76750"/>
    <s v="BOSC-BORDEL"/>
    <s v="FR"/>
    <s v="France"/>
    <m/>
  </r>
  <r>
    <x v="0"/>
    <n v="7.0100000000000007"/>
    <n v="1.54"/>
    <n v="5.4700000000000006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52"/>
    <s v="23.06.2026"/>
    <x v="212"/>
    <n v="2604000104"/>
    <m/>
    <n v="0"/>
    <n v="0"/>
    <n v="0"/>
    <n v="0"/>
    <s v="KG"/>
    <n v="4.42"/>
    <n v="0.9"/>
    <n v="0.15"/>
    <n v="29.1"/>
    <n v="1.54"/>
    <n v="0"/>
    <n v="0"/>
    <s v="EUR"/>
    <m/>
    <s v="EXP20260621-2809288-"/>
    <s v="EXP20260621-2809288-"/>
    <s v="00L0NDWD"/>
    <s v="LEBEAU LAETITIA"/>
    <s v="11 KERNIVINEN"/>
    <m/>
    <m/>
    <n v="56310"/>
    <s v="MELRAND"/>
    <s v="FR"/>
    <s v="France"/>
    <m/>
  </r>
  <r>
    <x v="0"/>
    <n v="7.0100000000000007"/>
    <n v="1.54"/>
    <n v="5.4700000000000006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52"/>
    <s v="23.06.2026"/>
    <x v="217"/>
    <n v="2604000109"/>
    <m/>
    <n v="0"/>
    <n v="0"/>
    <n v="0"/>
    <n v="0"/>
    <s v="KG"/>
    <n v="4.42"/>
    <n v="0.9"/>
    <n v="0.15"/>
    <n v="29.1"/>
    <n v="1.54"/>
    <n v="0"/>
    <n v="0"/>
    <s v="EUR"/>
    <m/>
    <s v="EXP20260621-2809285-"/>
    <s v="EXP20260621-2809285-"/>
    <s v="00L0NDWI"/>
    <s v="DE JUST SANDRINE"/>
    <s v="140 IMPASSE DES NOISETIERS"/>
    <m/>
    <m/>
    <n v="31600"/>
    <s v="SAINT-CLAR-DE-RIVIERE"/>
    <s v="FR"/>
    <s v="France"/>
    <m/>
  </r>
  <r>
    <x v="0"/>
    <n v="7.0100000000000007"/>
    <n v="1.54"/>
    <n v="5.4700000000000006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52"/>
    <s v="23.06.2026"/>
    <x v="219"/>
    <n v="2604000111"/>
    <m/>
    <n v="0"/>
    <n v="0"/>
    <n v="0"/>
    <n v="0"/>
    <s v="KG"/>
    <n v="4.42"/>
    <n v="0.9"/>
    <n v="0.15"/>
    <n v="29.1"/>
    <n v="1.54"/>
    <n v="0"/>
    <n v="0"/>
    <s v="EUR"/>
    <m/>
    <s v="EXP20260621-2809286-"/>
    <s v="EXP20260621-2809286-"/>
    <s v="00L0NDWK"/>
    <s v="MAROTTE CLEMENCE"/>
    <s v="79 RUE DE L'OFFRANDE, APPT 21"/>
    <m/>
    <m/>
    <n v="80000"/>
    <s v="AMIENS"/>
    <s v="FR"/>
    <s v="France"/>
    <m/>
  </r>
  <r>
    <x v="0"/>
    <n v="7.0100000000000007"/>
    <n v="1.54"/>
    <n v="5.4700000000000006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52"/>
    <s v="23.06.2026"/>
    <x v="225"/>
    <n v="2604000117"/>
    <m/>
    <n v="0"/>
    <n v="0"/>
    <n v="0"/>
    <n v="0"/>
    <s v="KG"/>
    <n v="4.42"/>
    <n v="0.9"/>
    <n v="0.15"/>
    <n v="29.1"/>
    <n v="1.54"/>
    <n v="0"/>
    <n v="0"/>
    <s v="EUR"/>
    <m/>
    <s v="EXP20260621-2809287-"/>
    <s v="EXP20260621-2809287-"/>
    <s v="00L0NDWQ"/>
    <s v="MULLER VICTORIA"/>
    <s v="9 RUE DES CERISIERS"/>
    <m/>
    <m/>
    <n v="68640"/>
    <s v="WALDIGHOFFEN"/>
    <s v="FR"/>
    <s v="France"/>
    <m/>
  </r>
  <r>
    <x v="0"/>
    <n v="7.0100000000000007"/>
    <n v="1.54"/>
    <n v="5.4700000000000006"/>
    <n v="2"/>
    <n v="2501382993"/>
    <n v="1030219782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52"/>
    <s v="23.06.2026"/>
    <x v="203"/>
    <n v="2604000122"/>
    <m/>
    <n v="0"/>
    <n v="0"/>
    <n v="0"/>
    <n v="0"/>
    <s v="KG"/>
    <n v="4.42"/>
    <n v="0.9"/>
    <n v="0.15"/>
    <n v="29.1"/>
    <n v="1.54"/>
    <n v="0"/>
    <n v="0"/>
    <s v="EUR"/>
    <m/>
    <s v="EXP20260621-2810183-"/>
    <s v="EXP20260621-2810183-"/>
    <s v="00L0NDWV"/>
    <s v="BENDAHMANE ELSA"/>
    <s v="22 RUE SAINT-LAURENT, 33000 BO"/>
    <m/>
    <m/>
    <n v="33000"/>
    <s v="BORDEAUX"/>
    <s v="FR"/>
    <s v="France"/>
    <m/>
  </r>
  <r>
    <x v="0"/>
    <n v="6.17"/>
    <n v="1.35"/>
    <n v="4.82"/>
    <n v="0.5"/>
    <n v="2501382993"/>
    <n v="103024031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214"/>
    <s v="24.06.2026"/>
    <x v="230"/>
    <n v="2604000117"/>
    <m/>
    <n v="0"/>
    <n v="0"/>
    <n v="0"/>
    <n v="0"/>
    <s v="KG"/>
    <n v="3.77"/>
    <n v="0.9"/>
    <n v="0.15"/>
    <n v="29.1"/>
    <n v="1.35"/>
    <n v="0"/>
    <n v="0"/>
    <s v="EUR"/>
    <m/>
    <s v="EXP20260621-2810267-"/>
    <s v="EXP20260621-2810267-"/>
    <s v="00KUR5WP"/>
    <s v="LEVAILLANT ANNE-CATHERINE"/>
    <s v="50 RUE PIERRE BUTIN"/>
    <m/>
    <m/>
    <n v="95300"/>
    <s v="PONTOISE"/>
    <s v="FR"/>
    <s v="France"/>
    <m/>
  </r>
  <r>
    <x v="0"/>
    <n v="0"/>
    <n v="0"/>
    <n v="0"/>
    <n v="1"/>
    <n v="2501382993"/>
    <n v="103024031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13"/>
    <s v="24.06.2026"/>
    <x v="231"/>
    <n v="2604000118"/>
    <m/>
    <n v="0"/>
    <n v="1"/>
    <n v="0"/>
    <n v="0.44"/>
    <s v="KG"/>
    <n v="0"/>
    <n v="0"/>
    <n v="0"/>
    <n v="0"/>
    <n v="0"/>
    <n v="0"/>
    <n v="0"/>
    <s v="EUR"/>
    <m/>
    <s v="EXP20260623-2813787-"/>
    <s v="EXP20260623-2813787-"/>
    <s v="00KUR5WQ"/>
    <s v="BEAURAIN ESTELLE"/>
    <s v="773 AVENUE EDOUARD HERRIOT"/>
    <m/>
    <m/>
    <n v="46000"/>
    <s v="CAHORS"/>
    <s v="FR"/>
    <s v="France"/>
    <m/>
  </r>
  <r>
    <x v="0"/>
    <n v="0"/>
    <n v="0"/>
    <n v="0"/>
    <n v="1"/>
    <n v="2501382993"/>
    <n v="103024031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13"/>
    <s v="24.06.2026"/>
    <x v="232"/>
    <n v="2604000119"/>
    <m/>
    <n v="0"/>
    <n v="1"/>
    <n v="0"/>
    <n v="0.42"/>
    <s v="KG"/>
    <n v="0"/>
    <n v="0"/>
    <n v="0"/>
    <n v="0"/>
    <n v="0"/>
    <n v="0"/>
    <n v="0"/>
    <s v="EUR"/>
    <m/>
    <s v="EXP20260623-2813640-"/>
    <s v="EXP20260623-2813640-"/>
    <s v="00KUR5WR"/>
    <s v="TURNER EMILY"/>
    <s v="21 RUE TOMBE L'OLY"/>
    <m/>
    <m/>
    <n v="33000"/>
    <s v="BORDEAUX"/>
    <s v="FR"/>
    <s v="France"/>
    <m/>
  </r>
  <r>
    <x v="0"/>
    <n v="0"/>
    <n v="0"/>
    <n v="0"/>
    <n v="1"/>
    <n v="2501382993"/>
    <n v="103024031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13"/>
    <s v="24.06.2026"/>
    <x v="233"/>
    <n v="2604000120"/>
    <m/>
    <n v="0"/>
    <n v="1"/>
    <n v="0"/>
    <n v="0.56000000000000005"/>
    <s v="KG"/>
    <n v="0"/>
    <n v="0"/>
    <n v="0"/>
    <n v="0"/>
    <n v="0"/>
    <n v="0"/>
    <n v="0"/>
    <s v="EUR"/>
    <m/>
    <s v="EXP20260623-2813730-"/>
    <s v="EXP20260623-2813730-"/>
    <s v="00KUR5WS"/>
    <s v="MONVERT-COMBE HELENE"/>
    <s v="47 AV DU DOCTEUR ARNOLD NETTER"/>
    <m/>
    <m/>
    <n v="75012"/>
    <s v="PARIS"/>
    <s v="FR"/>
    <s v="France"/>
    <m/>
  </r>
  <r>
    <x v="0"/>
    <n v="6.17"/>
    <n v="1.35"/>
    <n v="4.82"/>
    <n v="0.5"/>
    <n v="2501382993"/>
    <n v="103024031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214"/>
    <s v="24.06.2026"/>
    <x v="231"/>
    <n v="2604000118"/>
    <m/>
    <n v="0"/>
    <n v="0"/>
    <n v="0"/>
    <n v="0"/>
    <s v="KG"/>
    <n v="3.77"/>
    <n v="0.9"/>
    <n v="0.15"/>
    <n v="29.1"/>
    <n v="1.35"/>
    <n v="0"/>
    <n v="0"/>
    <s v="EUR"/>
    <m/>
    <s v="EXP20260623-2813787-"/>
    <s v="EXP20260623-2813787-"/>
    <s v="00KUR5WQ"/>
    <s v="BEAURAIN ESTELLE"/>
    <s v="773 AVENUE EDOUARD HERRIOT"/>
    <m/>
    <m/>
    <n v="46000"/>
    <s v="CAHORS"/>
    <s v="FR"/>
    <s v="France"/>
    <m/>
  </r>
  <r>
    <x v="0"/>
    <n v="6.17"/>
    <n v="1.35"/>
    <n v="4.82"/>
    <n v="0.5"/>
    <n v="2501382993"/>
    <n v="103024031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214"/>
    <s v="24.06.2026"/>
    <x v="232"/>
    <n v="2604000119"/>
    <m/>
    <n v="0"/>
    <n v="0"/>
    <n v="0"/>
    <n v="0"/>
    <s v="KG"/>
    <n v="3.77"/>
    <n v="0.9"/>
    <n v="0.15"/>
    <n v="29.1"/>
    <n v="1.35"/>
    <n v="0"/>
    <n v="0"/>
    <s v="EUR"/>
    <m/>
    <s v="EXP20260623-2813640-"/>
    <s v="EXP20260623-2813640-"/>
    <s v="00KUR5WR"/>
    <s v="TURNER EMILY"/>
    <s v="21 RUE TOMBE L'OLY"/>
    <m/>
    <m/>
    <n v="33000"/>
    <s v="BORDEAUX"/>
    <s v="FR"/>
    <s v="France"/>
    <m/>
  </r>
  <r>
    <x v="0"/>
    <n v="6.17"/>
    <n v="1.35"/>
    <n v="4.82"/>
    <n v="0.5"/>
    <n v="2501382993"/>
    <n v="103024031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214"/>
    <s v="24.06.2026"/>
    <x v="234"/>
    <n v="2604000121"/>
    <m/>
    <n v="0"/>
    <n v="0"/>
    <n v="0"/>
    <n v="0"/>
    <s v="KG"/>
    <n v="3.77"/>
    <n v="0.9"/>
    <n v="0.15"/>
    <n v="29.1"/>
    <n v="1.35"/>
    <n v="0"/>
    <n v="0"/>
    <s v="EUR"/>
    <m/>
    <s v="EXP20260623-2814142-"/>
    <s v="EXP20260623-2814142-"/>
    <s v="00KUR5WT"/>
    <s v="NELLY DHESSE"/>
    <s v="17 RUE DE PARIS 94000 CRETEIL"/>
    <m/>
    <m/>
    <n v="94000"/>
    <s v="CRETEIL"/>
    <s v="FR"/>
    <s v="France"/>
    <m/>
  </r>
  <r>
    <x v="0"/>
    <n v="6.6000000000000005"/>
    <n v="1.45"/>
    <n v="5.15"/>
    <n v="1"/>
    <n v="2501382993"/>
    <n v="103024031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215"/>
    <s v="24.06.2026"/>
    <x v="235"/>
    <n v="2604000115"/>
    <m/>
    <n v="0"/>
    <n v="0"/>
    <n v="0"/>
    <n v="0"/>
    <s v="KG"/>
    <n v="4.0999999999999996"/>
    <n v="0.9"/>
    <n v="0.15"/>
    <n v="29.1"/>
    <n v="1.45"/>
    <n v="0"/>
    <n v="0"/>
    <s v="EUR"/>
    <m/>
    <s v="EXP20260620-2808363-"/>
    <s v="EXP20260620-2808363-"/>
    <s v="00KUR5WN"/>
    <s v="GAYMARD MARIE"/>
    <s v="103 ROUTE DE SAINTE GEMME"/>
    <m/>
    <m/>
    <n v="78860"/>
    <s v="SAINT-NOM-LA-BRETECHE"/>
    <s v="FR"/>
    <s v="France"/>
    <m/>
  </r>
  <r>
    <x v="0"/>
    <n v="6.6000000000000005"/>
    <n v="1.45"/>
    <n v="5.15"/>
    <n v="1"/>
    <n v="2501382993"/>
    <n v="103024031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215"/>
    <s v="24.06.2026"/>
    <x v="233"/>
    <n v="2604000120"/>
    <m/>
    <n v="0"/>
    <n v="0"/>
    <n v="0"/>
    <n v="0"/>
    <s v="KG"/>
    <n v="4.0999999999999996"/>
    <n v="0.9"/>
    <n v="0.15"/>
    <n v="29.1"/>
    <n v="1.45"/>
    <n v="0"/>
    <n v="0"/>
    <s v="EUR"/>
    <m/>
    <s v="EXP20260623-2813730-"/>
    <s v="EXP20260623-2813730-"/>
    <s v="00KUR5WS"/>
    <s v="MONVERT-COMBE HELENE"/>
    <s v="47 AV DU DOCTEUR ARNOLD NETTER"/>
    <m/>
    <m/>
    <n v="75012"/>
    <s v="PARIS"/>
    <s v="FR"/>
    <s v="France"/>
    <m/>
  </r>
  <r>
    <x v="0"/>
    <n v="6.6000000000000005"/>
    <n v="1.45"/>
    <n v="5.15"/>
    <n v="1"/>
    <n v="2501382993"/>
    <n v="103024031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215"/>
    <s v="24.06.2026"/>
    <x v="236"/>
    <n v="2604000122"/>
    <m/>
    <n v="0"/>
    <n v="0"/>
    <n v="0"/>
    <n v="0"/>
    <s v="KG"/>
    <n v="4.0999999999999996"/>
    <n v="0.9"/>
    <n v="0.15"/>
    <n v="29.1"/>
    <n v="1.45"/>
    <n v="0"/>
    <n v="0"/>
    <s v="EUR"/>
    <m/>
    <s v="EXP20260623-2814520-"/>
    <s v="EXP20260623-2814520-"/>
    <s v="00KUR5WU"/>
    <s v="CHOLLET PIERRE"/>
    <s v="11 SQUARE ALBIN CACHOT"/>
    <m/>
    <m/>
    <n v="75013"/>
    <s v="PARIS"/>
    <s v="FR"/>
    <s v="France"/>
    <m/>
  </r>
  <r>
    <x v="0"/>
    <n v="0"/>
    <n v="0"/>
    <n v="0"/>
    <n v="1"/>
    <n v="2501382993"/>
    <n v="103024031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13"/>
    <s v="24.06.2026"/>
    <x v="234"/>
    <n v="2604000121"/>
    <m/>
    <n v="0"/>
    <n v="1"/>
    <n v="0"/>
    <n v="0.34"/>
    <s v="KG"/>
    <n v="0"/>
    <n v="0"/>
    <n v="0"/>
    <n v="0"/>
    <n v="0"/>
    <n v="0"/>
    <n v="0"/>
    <s v="EUR"/>
    <m/>
    <s v="EXP20260623-2814142-"/>
    <s v="EXP20260623-2814142-"/>
    <s v="00KUR5WT"/>
    <s v="NELLY DHESSE"/>
    <s v="17 RUE DE PARIS 94000 CRETEIL"/>
    <m/>
    <m/>
    <n v="94000"/>
    <s v="CRETEIL"/>
    <s v="FR"/>
    <s v="France"/>
    <m/>
  </r>
  <r>
    <x v="0"/>
    <n v="0"/>
    <n v="0"/>
    <n v="0"/>
    <n v="1"/>
    <n v="2501382993"/>
    <n v="103024031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13"/>
    <s v="24.06.2026"/>
    <x v="236"/>
    <n v="2604000122"/>
    <m/>
    <n v="0"/>
    <n v="1"/>
    <n v="0"/>
    <n v="0.56000000000000005"/>
    <s v="KG"/>
    <n v="0"/>
    <n v="0"/>
    <n v="0"/>
    <n v="0"/>
    <n v="0"/>
    <n v="0"/>
    <n v="0"/>
    <s v="EUR"/>
    <m/>
    <s v="EXP20260623-2814520-"/>
    <s v="EXP20260623-2814520-"/>
    <s v="00KUR5WU"/>
    <s v="CHOLLET PIERRE"/>
    <s v="11 SQUARE ALBIN CACHOT"/>
    <m/>
    <m/>
    <n v="75013"/>
    <s v="PARIS"/>
    <s v="FR"/>
    <s v="France"/>
    <m/>
  </r>
  <r>
    <x v="0"/>
    <n v="6.17"/>
    <n v="1.35"/>
    <n v="4.82"/>
    <n v="0.5"/>
    <n v="2501382993"/>
    <n v="103024031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214"/>
    <s v="24.06.2026"/>
    <x v="237"/>
    <n v="2604000114"/>
    <m/>
    <n v="0"/>
    <n v="0"/>
    <n v="0"/>
    <n v="0"/>
    <s v="KG"/>
    <n v="3.77"/>
    <n v="0.9"/>
    <n v="0.15"/>
    <n v="29.1"/>
    <n v="1.35"/>
    <n v="0"/>
    <n v="0"/>
    <s v="EUR"/>
    <m/>
    <s v="EXP20260622-2811402-"/>
    <s v="EXP20260622-2811402-"/>
    <s v="00KUR5WM"/>
    <s v="BETITO LAURENE"/>
    <s v="15 RUE LOUIS-PHILIPPE"/>
    <m/>
    <m/>
    <n v="92200"/>
    <s v="NEUILLY-SUR-SEINE"/>
    <s v="FR"/>
    <s v="France"/>
    <m/>
  </r>
  <r>
    <x v="0"/>
    <n v="6.17"/>
    <n v="1.35"/>
    <n v="4.82"/>
    <n v="0.5"/>
    <n v="2501382993"/>
    <n v="103024031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214"/>
    <s v="24.06.2026"/>
    <x v="238"/>
    <n v="2604000116"/>
    <m/>
    <n v="0"/>
    <n v="0"/>
    <n v="0"/>
    <n v="0"/>
    <s v="KG"/>
    <n v="3.77"/>
    <n v="0.9"/>
    <n v="0.15"/>
    <n v="29.1"/>
    <n v="1.35"/>
    <n v="0"/>
    <n v="0"/>
    <s v="EUR"/>
    <m/>
    <s v="EXP20260622-2811594-"/>
    <s v="EXP20260622-2811594-"/>
    <s v="00KUR5WO"/>
    <s v="CHLOE KADOUCHE"/>
    <s v="50 AVENUE D'IVRY"/>
    <m/>
    <m/>
    <n v="75013"/>
    <s v="PARIS"/>
    <s v="FR"/>
    <s v="France"/>
    <m/>
  </r>
  <r>
    <x v="0"/>
    <n v="0"/>
    <n v="0"/>
    <n v="0"/>
    <n v="1"/>
    <n v="2501382993"/>
    <n v="103024031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13"/>
    <s v="24.06.2026"/>
    <x v="230"/>
    <n v="2604000117"/>
    <m/>
    <n v="0"/>
    <n v="1"/>
    <n v="0"/>
    <n v="0.48"/>
    <s v="KG"/>
    <n v="0"/>
    <n v="0"/>
    <n v="0"/>
    <n v="0"/>
    <n v="0"/>
    <n v="0"/>
    <n v="0"/>
    <s v="EUR"/>
    <m/>
    <s v="EXP20260621-2810267-"/>
    <s v="EXP20260621-2810267-"/>
    <s v="00KUR5WP"/>
    <s v="LEVAILLANT ANNE-CATHERINE"/>
    <s v="50 RUE PIERRE BUTIN"/>
    <m/>
    <m/>
    <n v="95300"/>
    <s v="PONTOISE"/>
    <s v="FR"/>
    <s v="France"/>
    <m/>
  </r>
  <r>
    <x v="0"/>
    <n v="0"/>
    <n v="0"/>
    <n v="0"/>
    <n v="1"/>
    <n v="2501382993"/>
    <n v="103024031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13"/>
    <s v="24.06.2026"/>
    <x v="238"/>
    <n v="2604000116"/>
    <m/>
    <n v="0"/>
    <n v="1"/>
    <n v="0"/>
    <n v="0.34"/>
    <s v="KG"/>
    <n v="0"/>
    <n v="0"/>
    <n v="0"/>
    <n v="0"/>
    <n v="0"/>
    <n v="0"/>
    <n v="0"/>
    <s v="EUR"/>
    <m/>
    <s v="EXP20260622-2811594-"/>
    <s v="EXP20260622-2811594-"/>
    <s v="00KUR5WO"/>
    <s v="CHLOE KADOUCHE"/>
    <s v="50 AVENUE D'IVRY"/>
    <m/>
    <m/>
    <n v="75013"/>
    <s v="PARIS"/>
    <s v="FR"/>
    <s v="France"/>
    <m/>
  </r>
  <r>
    <x v="0"/>
    <n v="0"/>
    <n v="0"/>
    <n v="0"/>
    <n v="1"/>
    <n v="2501382993"/>
    <n v="103024031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13"/>
    <s v="24.06.2026"/>
    <x v="235"/>
    <n v="2604000115"/>
    <m/>
    <n v="0"/>
    <n v="1"/>
    <n v="0"/>
    <n v="0.56000000000000005"/>
    <s v="KG"/>
    <n v="0"/>
    <n v="0"/>
    <n v="0"/>
    <n v="0"/>
    <n v="0"/>
    <n v="0"/>
    <n v="0"/>
    <s v="EUR"/>
    <m/>
    <s v="EXP20260620-2808363-"/>
    <s v="EXP20260620-2808363-"/>
    <s v="00KUR5WN"/>
    <s v="GAYMARD MARIE"/>
    <s v="103 ROUTE DE SAINTE GEMME"/>
    <m/>
    <m/>
    <n v="78860"/>
    <s v="SAINT-NOM-LA-BRETECHE"/>
    <s v="FR"/>
    <s v="France"/>
    <m/>
  </r>
  <r>
    <x v="0"/>
    <n v="0"/>
    <n v="0"/>
    <n v="0"/>
    <n v="1"/>
    <n v="2501382993"/>
    <n v="1030240312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13"/>
    <s v="24.06.2026"/>
    <x v="237"/>
    <n v="2604000114"/>
    <m/>
    <n v="0"/>
    <n v="1"/>
    <n v="0"/>
    <n v="0.26"/>
    <s v="KG"/>
    <n v="0"/>
    <n v="0"/>
    <n v="0"/>
    <n v="0"/>
    <n v="0"/>
    <n v="0"/>
    <n v="0"/>
    <s v="EUR"/>
    <m/>
    <s v="EXP20260622-2811402-"/>
    <s v="EXP20260622-2811402-"/>
    <s v="00KUR5WM"/>
    <s v="BETITO LAURENE"/>
    <s v="15 RUE LOUIS-PHILIPPE"/>
    <m/>
    <m/>
    <n v="92200"/>
    <s v="NEUILLY-SUR-SEINE"/>
    <s v="FR"/>
    <s v="France"/>
    <m/>
  </r>
  <r>
    <x v="0"/>
    <n v="6.17"/>
    <n v="1.35"/>
    <n v="4.82"/>
    <n v="0.5"/>
    <n v="2501382993"/>
    <n v="1030234833"/>
    <s v="30.06.2026"/>
    <n v="2500034092"/>
    <s v="LA RUCHE LOGISTIQUE"/>
    <n v="9000009190"/>
    <n v="46946"/>
    <s v="LA RUCHE"/>
    <n v="9000079829"/>
    <x v="2"/>
    <m/>
    <m/>
    <m/>
    <n v="2507012387"/>
    <s v="LA RUCHE LOGISTIQUE"/>
    <s v="FDS"/>
    <s v="PARCEL_D01_S01"/>
    <s v="Business Parcel - Dis. 01 - Size 01"/>
    <s v="PARCEDOMESSTANDARD"/>
    <m/>
    <n v="212"/>
    <s v="24.06.2026"/>
    <x v="239"/>
    <n v="6981914"/>
    <m/>
    <n v="0"/>
    <n v="0"/>
    <n v="0"/>
    <n v="0"/>
    <s v="KG"/>
    <n v="3.77"/>
    <n v="0.9"/>
    <n v="0.15"/>
    <n v="29.1"/>
    <n v="1.35"/>
    <n v="0"/>
    <n v="0"/>
    <s v="EUR"/>
    <m/>
    <s v="EXP20260623-2813699"/>
    <m/>
    <s v="00L3KSUN"/>
    <s v="MENARD SYLVIE"/>
    <s v="24 RUE DES CHATAIGNIERS"/>
    <m/>
    <m/>
    <n v="2720"/>
    <s v="HOMBLIERES"/>
    <s v="FR"/>
    <s v="France"/>
    <m/>
  </r>
  <r>
    <x v="0"/>
    <n v="0"/>
    <n v="0"/>
    <n v="0"/>
    <n v="1"/>
    <n v="2501382993"/>
    <n v="1030234833"/>
    <s v="30.06.2026"/>
    <n v="2500034092"/>
    <s v="LA RUCHE LOGISTIQUE"/>
    <n v="9000009190"/>
    <n v="46946"/>
    <s v="LA RUCHE"/>
    <n v="9000079829"/>
    <x v="2"/>
    <m/>
    <m/>
    <m/>
    <n v="2507012387"/>
    <s v="LA RUCHE LOGISTIQUE"/>
    <s v="FDS"/>
    <s v="FDS_D01_S01"/>
    <s v="BP FlexDelivery - Dis. 01 - Size 01"/>
    <s v="PARCEDOMESFDS"/>
    <m/>
    <n v="211"/>
    <s v="24.06.2026"/>
    <x v="239"/>
    <n v="6981914"/>
    <m/>
    <n v="0"/>
    <n v="1"/>
    <n v="0"/>
    <n v="0.14000000000000001"/>
    <s v="KG"/>
    <n v="0"/>
    <n v="0"/>
    <n v="0"/>
    <n v="0"/>
    <n v="0"/>
    <n v="0"/>
    <n v="0"/>
    <s v="EUR"/>
    <m/>
    <s v="EXP20260623-2813699"/>
    <m/>
    <s v="00L3KSUN"/>
    <s v="MENARD SYLVIE"/>
    <s v="24 RUE DES CHATAIGNIERS"/>
    <m/>
    <m/>
    <n v="2720"/>
    <s v="HOMBLIERES"/>
    <s v="FR"/>
    <s v="France"/>
    <m/>
  </r>
  <r>
    <x v="0"/>
    <n v="0"/>
    <n v="0"/>
    <n v="0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40"/>
    <n v="2604000160"/>
    <m/>
    <n v="0"/>
    <n v="1"/>
    <n v="0"/>
    <n v="0.42"/>
    <s v="KG"/>
    <n v="0"/>
    <n v="0"/>
    <n v="0"/>
    <n v="0"/>
    <n v="0"/>
    <n v="0"/>
    <n v="0"/>
    <s v="EUR"/>
    <m/>
    <s v="EXP20260623-2815048-"/>
    <s v="EXP20260623-2815048-"/>
    <s v="00L0NDXX"/>
    <s v="TURINES CECILE"/>
    <s v="11 IMPASSE JEAN DE FRANCES"/>
    <m/>
    <m/>
    <n v="9700"/>
    <s v="TREMOULET"/>
    <s v="FR"/>
    <s v="France"/>
    <m/>
  </r>
  <r>
    <x v="0"/>
    <n v="0"/>
    <n v="0"/>
    <n v="0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41"/>
    <n v="2604000161"/>
    <m/>
    <n v="0"/>
    <n v="1"/>
    <n v="0"/>
    <n v="0.83"/>
    <s v="KG"/>
    <n v="0"/>
    <n v="0"/>
    <n v="0"/>
    <n v="0"/>
    <n v="0"/>
    <n v="0"/>
    <n v="0"/>
    <s v="EUR"/>
    <m/>
    <s v="EXP20260624-2815775-"/>
    <s v="EXP20260624-2815775-"/>
    <s v="00L0NDXY"/>
    <s v="BELLAALA MOUNIA"/>
    <s v="18 RUE ROGER LABBE, 71100 CHAL"/>
    <m/>
    <m/>
    <n v="71100"/>
    <s v="CHALON-SUR-SAONE"/>
    <s v="FR"/>
    <s v="France"/>
    <m/>
  </r>
  <r>
    <x v="0"/>
    <n v="0"/>
    <n v="0"/>
    <n v="0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42"/>
    <n v="2604000162"/>
    <m/>
    <n v="0"/>
    <n v="1"/>
    <n v="0"/>
    <n v="1.9"/>
    <s v="KG"/>
    <n v="0"/>
    <n v="0"/>
    <n v="0"/>
    <n v="0"/>
    <n v="0"/>
    <n v="0"/>
    <n v="0"/>
    <s v="EUR"/>
    <m/>
    <s v="EXP20260624-2815781-"/>
    <s v="EXP20260624-2815781-"/>
    <s v="00L0NDXZ"/>
    <s v="HOLZINGER LOUISE"/>
    <s v="47 AVENUE DE LA LIBERTE"/>
    <m/>
    <m/>
    <n v="85800"/>
    <s v="SAINT-GILLES-CROIX-DE-VIE"/>
    <s v="FR"/>
    <s v="France"/>
    <m/>
  </r>
  <r>
    <x v="0"/>
    <n v="0"/>
    <n v="0"/>
    <n v="0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43"/>
    <n v="2604000163"/>
    <m/>
    <n v="0"/>
    <n v="1"/>
    <n v="0"/>
    <n v="0.57999999999999996"/>
    <s v="KG"/>
    <n v="0"/>
    <n v="0"/>
    <n v="0"/>
    <n v="0"/>
    <n v="0"/>
    <n v="0"/>
    <n v="0"/>
    <s v="EUR"/>
    <m/>
    <s v="EXP20260624-2815783-"/>
    <s v="EXP20260624-2815783-"/>
    <s v="00L0NDY0"/>
    <s v="PIERRE OMBELINE"/>
    <s v="29 COURS VITTON"/>
    <m/>
    <m/>
    <n v="69006"/>
    <s v="LYON"/>
    <s v="FR"/>
    <s v="France"/>
    <m/>
  </r>
  <r>
    <x v="0"/>
    <n v="0"/>
    <n v="0"/>
    <n v="0"/>
    <n v="4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44"/>
    <n v="2604000164"/>
    <m/>
    <n v="0"/>
    <n v="1"/>
    <n v="0"/>
    <n v="3.01"/>
    <s v="KG"/>
    <n v="0"/>
    <n v="0"/>
    <n v="0"/>
    <n v="0"/>
    <n v="0"/>
    <n v="0"/>
    <n v="0"/>
    <s v="EUR"/>
    <m/>
    <s v="EXP20260624-2815249-"/>
    <s v="EXP20260624-2815249-"/>
    <s v="00L0NDY1"/>
    <s v="CHAUVEAU FRDERIQUE"/>
    <s v="21 RUE DES CHENES"/>
    <m/>
    <m/>
    <n v="41500"/>
    <s v="MUIDES-SUR-LOIRE"/>
    <s v="FR"/>
    <s v="France"/>
    <m/>
  </r>
  <r>
    <x v="0"/>
    <n v="0"/>
    <n v="0"/>
    <n v="0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45"/>
    <n v="2604000165"/>
    <m/>
    <n v="0"/>
    <n v="1"/>
    <n v="0"/>
    <n v="0.84"/>
    <s v="KG"/>
    <n v="0"/>
    <n v="0"/>
    <n v="0"/>
    <n v="0"/>
    <n v="0"/>
    <n v="0"/>
    <n v="0"/>
    <s v="EUR"/>
    <m/>
    <s v="EXP20260624-2815780-"/>
    <s v="EXP20260624-2815780-"/>
    <s v="00L0NDY2"/>
    <s v="MASMONT AGNES"/>
    <s v="16 RUE CAMENA D'ALMEIDA"/>
    <m/>
    <m/>
    <n v="33000"/>
    <s v="BORDEAUX"/>
    <s v="FR"/>
    <s v="France"/>
    <m/>
  </r>
  <r>
    <x v="0"/>
    <n v="0"/>
    <n v="0"/>
    <n v="0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46"/>
    <n v="2604000166"/>
    <m/>
    <n v="0"/>
    <n v="1"/>
    <n v="0"/>
    <n v="0.42"/>
    <s v="KG"/>
    <n v="0"/>
    <n v="0"/>
    <n v="0"/>
    <n v="0"/>
    <n v="0"/>
    <n v="0"/>
    <n v="0"/>
    <s v="EUR"/>
    <m/>
    <s v="EXP20260624-2815547-"/>
    <s v="EXP20260624-2815547-"/>
    <s v="00L0NDY3"/>
    <s v="TROALIC EMMA"/>
    <s v="14 RUE DE CASTELLANE, 75008 PA"/>
    <m/>
    <m/>
    <n v="75008"/>
    <s v="PARIS"/>
    <s v="FR"/>
    <s v="France"/>
    <m/>
  </r>
  <r>
    <x v="0"/>
    <n v="0"/>
    <n v="0"/>
    <n v="0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47"/>
    <n v="2604000167"/>
    <m/>
    <n v="0"/>
    <n v="1"/>
    <n v="0"/>
    <n v="0.56000000000000005"/>
    <s v="KG"/>
    <n v="0"/>
    <n v="0"/>
    <n v="0"/>
    <n v="0"/>
    <n v="0"/>
    <n v="0"/>
    <n v="0"/>
    <s v="EUR"/>
    <m/>
    <s v="EXP20260624-2815544-"/>
    <s v="EXP20260624-2815544-"/>
    <s v="00L0NDY4"/>
    <s v="GONCALVES OLIVIA"/>
    <s v="328 ROUTE DE CHARNEUSE"/>
    <m/>
    <m/>
    <n v="74330"/>
    <s v="POISY"/>
    <s v="FR"/>
    <s v="France"/>
    <m/>
  </r>
  <r>
    <x v="0"/>
    <n v="0"/>
    <n v="0"/>
    <n v="0"/>
    <n v="3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48"/>
    <n v="2604000168"/>
    <m/>
    <n v="0"/>
    <n v="1"/>
    <n v="0"/>
    <n v="2.36"/>
    <s v="KG"/>
    <n v="0"/>
    <n v="0"/>
    <n v="0"/>
    <n v="0"/>
    <n v="0"/>
    <n v="0"/>
    <n v="0"/>
    <s v="EUR"/>
    <m/>
    <s v="EXP20260624-2815351-"/>
    <s v="EXP20260624-2815351-"/>
    <s v="00L0NDY5"/>
    <s v="BARRE AMANDINE"/>
    <s v="1 L LOULERIE"/>
    <m/>
    <m/>
    <n v="85610"/>
    <s v="CUGAND-LA-BERNARDIERE"/>
    <s v="FR"/>
    <s v="France"/>
    <m/>
  </r>
  <r>
    <x v="0"/>
    <n v="0"/>
    <n v="0"/>
    <n v="0"/>
    <n v="3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49"/>
    <n v="2604000169"/>
    <m/>
    <n v="0"/>
    <n v="1"/>
    <n v="0"/>
    <n v="2.62"/>
    <s v="KG"/>
    <n v="0"/>
    <n v="0"/>
    <n v="0"/>
    <n v="0"/>
    <n v="0"/>
    <n v="0"/>
    <n v="0"/>
    <s v="EUR"/>
    <m/>
    <s v="EXP20260624-2815779-"/>
    <s v="EXP20260624-2815779-"/>
    <s v="00L0NDY6"/>
    <s v="RONCIN CAROLINE"/>
    <s v="1 RUE DES IRIS"/>
    <m/>
    <m/>
    <n v="44980"/>
    <s v="SAINTE LUCE SUR LOIRE"/>
    <s v="FR"/>
    <s v="France"/>
    <m/>
  </r>
  <r>
    <x v="0"/>
    <n v="0"/>
    <n v="0"/>
    <n v="0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50"/>
    <n v="2604000170"/>
    <m/>
    <n v="0"/>
    <n v="1"/>
    <n v="0"/>
    <n v="1.1599999999999999"/>
    <s v="KG"/>
    <n v="0"/>
    <n v="0"/>
    <n v="0"/>
    <n v="0"/>
    <n v="0"/>
    <n v="0"/>
    <n v="0"/>
    <s v="EUR"/>
    <m/>
    <s v="EXP20260624-2815776-"/>
    <s v="EXP20260624-2815776-"/>
    <s v="00L0NDY7"/>
    <s v="LIEF AGATHE"/>
    <s v="165 BOULEVARD DU PRESIDENT WIL"/>
    <m/>
    <m/>
    <n v="33000"/>
    <s v="BORDEAUX"/>
    <s v="FR"/>
    <s v="France"/>
    <m/>
  </r>
  <r>
    <x v="0"/>
    <n v="0"/>
    <n v="0"/>
    <n v="0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51"/>
    <n v="2604000171"/>
    <m/>
    <n v="0"/>
    <n v="1"/>
    <n v="0"/>
    <n v="1.1100000000000001"/>
    <s v="KG"/>
    <n v="0"/>
    <n v="0"/>
    <n v="0"/>
    <n v="0"/>
    <n v="0"/>
    <n v="0"/>
    <n v="0"/>
    <s v="EUR"/>
    <m/>
    <s v="EXP20260624-2815782-"/>
    <s v="EXP20260624-2815782-"/>
    <s v="00L0NDY8"/>
    <s v="PIRONTE"/>
    <s v="201 VOIE DES ACTIVITES"/>
    <m/>
    <m/>
    <n v="19330"/>
    <s v="FAVARS"/>
    <s v="FR"/>
    <s v="France"/>
    <m/>
  </r>
  <r>
    <x v="0"/>
    <n v="0"/>
    <n v="0"/>
    <n v="0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52"/>
    <n v="2604000172"/>
    <m/>
    <n v="0"/>
    <n v="1"/>
    <n v="0"/>
    <n v="0.45"/>
    <s v="KG"/>
    <n v="0"/>
    <n v="0"/>
    <n v="0"/>
    <n v="0"/>
    <n v="0"/>
    <n v="0"/>
    <n v="0"/>
    <s v="EUR"/>
    <m/>
    <s v="EXP20260624-2815353-"/>
    <s v="EXP20260624-2815353-"/>
    <s v="00L0NDY9"/>
    <s v="GALIEN JULIETTE"/>
    <s v="1 RUE ANDRE DEL SARTE"/>
    <m/>
    <m/>
    <n v="75018"/>
    <s v="PARIS"/>
    <s v="FR"/>
    <s v="France"/>
    <m/>
  </r>
  <r>
    <x v="0"/>
    <n v="0"/>
    <n v="0"/>
    <n v="0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53"/>
    <n v="2604000173"/>
    <m/>
    <n v="0"/>
    <n v="1"/>
    <n v="0"/>
    <n v="0.44"/>
    <s v="KG"/>
    <n v="0"/>
    <n v="0"/>
    <n v="0"/>
    <n v="0"/>
    <n v="0"/>
    <n v="0"/>
    <n v="0"/>
    <s v="EUR"/>
    <m/>
    <s v="EXP20260624-2815356-"/>
    <s v="EXP20260624-2815356-"/>
    <s v="00L0NDYA"/>
    <s v="BA FLORENCE"/>
    <s v="45 AVENUE DE VERDUN"/>
    <m/>
    <m/>
    <n v="69630"/>
    <s v="CHAPONOST"/>
    <s v="FR"/>
    <s v="France"/>
    <m/>
  </r>
  <r>
    <x v="0"/>
    <n v="0"/>
    <n v="0"/>
    <n v="0"/>
    <n v="3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54"/>
    <n v="2604000174"/>
    <m/>
    <n v="0"/>
    <n v="1"/>
    <n v="0"/>
    <n v="2.3199999999999998"/>
    <s v="KG"/>
    <n v="0"/>
    <n v="0"/>
    <n v="0"/>
    <n v="0"/>
    <n v="0"/>
    <n v="0"/>
    <n v="0"/>
    <s v="EUR"/>
    <m/>
    <s v="EXP20260624-2815443-"/>
    <s v="EXP20260624-2815443-"/>
    <s v="00L0NDYB"/>
    <s v="LABADIE PIERRE"/>
    <s v="44 AVENUE LEON BLUM"/>
    <m/>
    <m/>
    <n v="31500"/>
    <s v="TOULOUSE"/>
    <s v="FR"/>
    <s v="France"/>
    <m/>
  </r>
  <r>
    <x v="0"/>
    <n v="0"/>
    <n v="0"/>
    <n v="0"/>
    <n v="3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55"/>
    <n v="2604000175"/>
    <m/>
    <n v="0"/>
    <n v="1"/>
    <n v="0"/>
    <n v="2.2999999999999998"/>
    <s v="KG"/>
    <n v="0"/>
    <n v="0"/>
    <n v="0"/>
    <n v="0"/>
    <n v="0"/>
    <n v="0"/>
    <n v="0"/>
    <s v="EUR"/>
    <m/>
    <s v="EXP20260624-2815546-"/>
    <s v="EXP20260624-2815546-"/>
    <s v="00L0NDYC"/>
    <s v="CALLAMARD ANTHONY"/>
    <s v="59 COURS GAMBETTA"/>
    <m/>
    <m/>
    <n v="69003"/>
    <s v="LYON"/>
    <s v="FR"/>
    <s v="France"/>
    <m/>
  </r>
  <r>
    <x v="0"/>
    <n v="0"/>
    <n v="0"/>
    <n v="0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56"/>
    <n v="2604000176"/>
    <m/>
    <n v="0"/>
    <n v="1"/>
    <n v="0"/>
    <n v="0.9"/>
    <s v="KG"/>
    <n v="0"/>
    <n v="0"/>
    <n v="0"/>
    <n v="0"/>
    <n v="0"/>
    <n v="0"/>
    <n v="0"/>
    <s v="EUR"/>
    <m/>
    <s v="EXP20260624-2815354-"/>
    <s v="EXP20260624-2815354-"/>
    <s v="00L0NDYD"/>
    <s v="AMBROSINI PAULINE"/>
    <s v="40 BIS AVENUE SAINT LAZARE"/>
    <m/>
    <m/>
    <n v="34000"/>
    <s v="MONTPELLIER"/>
    <s v="FR"/>
    <s v="France"/>
    <m/>
  </r>
  <r>
    <x v="0"/>
    <n v="0"/>
    <n v="0"/>
    <n v="0"/>
    <n v="3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57"/>
    <n v="2604000177"/>
    <m/>
    <n v="0"/>
    <n v="1"/>
    <n v="0"/>
    <n v="2.62"/>
    <s v="KG"/>
    <n v="0"/>
    <n v="0"/>
    <n v="0"/>
    <n v="0"/>
    <n v="0"/>
    <n v="0"/>
    <n v="0"/>
    <s v="EUR"/>
    <m/>
    <s v="EXP20260624-2815447-"/>
    <s v="EXP20260624-2815447-"/>
    <s v="00L0NDYE"/>
    <s v="VAISSELLET SOPHIE"/>
    <s v="69 RUE MONTGOLFIER"/>
    <m/>
    <m/>
    <n v="69006"/>
    <s v="LYON"/>
    <s v="FR"/>
    <s v="France"/>
    <m/>
  </r>
  <r>
    <x v="0"/>
    <n v="0"/>
    <n v="0"/>
    <n v="0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58"/>
    <n v="2604000178"/>
    <m/>
    <n v="0"/>
    <n v="1"/>
    <n v="0"/>
    <n v="0.88"/>
    <s v="KG"/>
    <n v="0"/>
    <n v="0"/>
    <n v="0"/>
    <n v="0"/>
    <n v="0"/>
    <n v="0"/>
    <n v="0"/>
    <s v="EUR"/>
    <m/>
    <s v="EXP20260624-2815448-"/>
    <s v="EXP20260624-2815448-"/>
    <s v="00L0NDYF"/>
    <s v="ARNOLD VIRGINIE"/>
    <s v="23 RUE VICTOR TERTRAIS"/>
    <m/>
    <m/>
    <n v="44120"/>
    <s v="VERTOU"/>
    <s v="FR"/>
    <s v="France"/>
    <m/>
  </r>
  <r>
    <x v="0"/>
    <n v="0"/>
    <n v="0"/>
    <n v="0"/>
    <n v="3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59"/>
    <n v="2604000179"/>
    <m/>
    <n v="0"/>
    <n v="1"/>
    <n v="0"/>
    <n v="2.56"/>
    <s v="KG"/>
    <n v="0"/>
    <n v="0"/>
    <n v="0"/>
    <n v="0"/>
    <n v="0"/>
    <n v="0"/>
    <n v="0"/>
    <s v="EUR"/>
    <m/>
    <s v="EXP20260624-2815450-"/>
    <s v="EXP20260624-2815450-"/>
    <s v="00L0NDYG"/>
    <s v="TOSELLI MARIANNE"/>
    <s v="22 ALLEE DES GRANDS BOIS"/>
    <m/>
    <m/>
    <n v="33170"/>
    <s v="GRADIGNAN"/>
    <s v="FR"/>
    <s v="France"/>
    <m/>
  </r>
  <r>
    <x v="0"/>
    <n v="0"/>
    <n v="0"/>
    <n v="0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60"/>
    <n v="2604000180"/>
    <m/>
    <n v="0"/>
    <n v="1"/>
    <n v="0"/>
    <n v="0.85"/>
    <s v="KG"/>
    <n v="0"/>
    <n v="0"/>
    <n v="0"/>
    <n v="0"/>
    <n v="0"/>
    <n v="0"/>
    <n v="0"/>
    <s v="EUR"/>
    <m/>
    <s v="EXP20260624-2815355-"/>
    <s v="EXP20260624-2815355-"/>
    <s v="00L0NDYH"/>
    <s v="ASTRIE NINA"/>
    <s v="38 RUE DU COMMANDANT RENE MOUC"/>
    <m/>
    <m/>
    <n v="94160"/>
    <s v="SAINT-MANDE"/>
    <s v="FR"/>
    <s v="France"/>
    <m/>
  </r>
  <r>
    <x v="0"/>
    <n v="0"/>
    <n v="0"/>
    <n v="0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61"/>
    <n v="2604000181"/>
    <m/>
    <n v="0"/>
    <n v="1"/>
    <n v="0"/>
    <n v="1.1100000000000001"/>
    <s v="KG"/>
    <n v="0"/>
    <n v="0"/>
    <n v="0"/>
    <n v="0"/>
    <n v="0"/>
    <n v="0"/>
    <n v="0"/>
    <s v="EUR"/>
    <m/>
    <s v="EXP20260624-2815449-"/>
    <s v="EXP20260624-2815449-"/>
    <s v="00L0NDYI"/>
    <s v="MORIZOT PHILIPPINE"/>
    <s v="5 RUE CORNAC"/>
    <m/>
    <m/>
    <n v="33000"/>
    <s v="BORDEAUX"/>
    <s v="FR"/>
    <s v="France"/>
    <m/>
  </r>
  <r>
    <x v="0"/>
    <n v="0"/>
    <n v="0"/>
    <n v="0"/>
    <n v="3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62"/>
    <n v="2604000182"/>
    <m/>
    <n v="0"/>
    <n v="1"/>
    <n v="0"/>
    <n v="2.58"/>
    <s v="KG"/>
    <n v="0"/>
    <n v="0"/>
    <n v="0"/>
    <n v="0"/>
    <n v="0"/>
    <n v="0"/>
    <n v="0"/>
    <s v="EUR"/>
    <m/>
    <s v="EXP20260624-2815444-"/>
    <s v="EXP20260624-2815444-"/>
    <s v="00L0NDYJ"/>
    <s v="GRAUL MURIEL"/>
    <s v="17 RUE DES TREMBLES"/>
    <m/>
    <m/>
    <n v="85000"/>
    <s v="MOUILLERON LE CAPTIF"/>
    <s v="FR"/>
    <s v="France"/>
    <m/>
  </r>
  <r>
    <x v="0"/>
    <n v="0"/>
    <n v="0"/>
    <n v="0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63"/>
    <n v="2604000183"/>
    <m/>
    <n v="0"/>
    <n v="1"/>
    <n v="0"/>
    <n v="1.21"/>
    <s v="KG"/>
    <n v="0"/>
    <n v="0"/>
    <n v="0"/>
    <n v="0"/>
    <n v="0"/>
    <n v="0"/>
    <n v="0"/>
    <s v="EUR"/>
    <m/>
    <s v="EXP20260624-2815352-"/>
    <s v="EXP20260624-2815352-"/>
    <s v="00L0NDYK"/>
    <s v="BRIANT VICTORIA"/>
    <s v="40 RUE PAUL BERT"/>
    <m/>
    <m/>
    <n v="69003"/>
    <s v="LYON"/>
    <s v="FR"/>
    <s v="France"/>
    <m/>
  </r>
  <r>
    <x v="0"/>
    <n v="6.17"/>
    <n v="1.35"/>
    <n v="4.82"/>
    <n v="0.5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60"/>
    <s v="24.06.2026"/>
    <x v="264"/>
    <n v="2604000136"/>
    <m/>
    <n v="0"/>
    <n v="0"/>
    <n v="0"/>
    <n v="0"/>
    <s v="KG"/>
    <n v="3.77"/>
    <n v="0.9"/>
    <n v="0.15"/>
    <n v="29.1"/>
    <n v="1.35"/>
    <n v="0"/>
    <n v="0"/>
    <s v="EUR"/>
    <m/>
    <s v="EXP20260622-2812460-"/>
    <s v="EXP20260622-2812460-"/>
    <s v="00L0NDX9"/>
    <s v="KERBAUL ANAIS"/>
    <s v="26 A RUE SAINT CHARLES"/>
    <m/>
    <m/>
    <n v="67300"/>
    <s v="SCHILTIGHEIM"/>
    <s v="FR"/>
    <s v="France"/>
    <m/>
  </r>
  <r>
    <x v="0"/>
    <n v="0"/>
    <n v="0"/>
    <n v="0"/>
    <n v="3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65"/>
    <n v="2604000135"/>
    <m/>
    <n v="0"/>
    <n v="1"/>
    <n v="0"/>
    <n v="2.2400000000000002"/>
    <s v="KG"/>
    <n v="0"/>
    <n v="0"/>
    <n v="0"/>
    <n v="0"/>
    <n v="0"/>
    <n v="0"/>
    <n v="0"/>
    <s v="EUR"/>
    <m/>
    <s v="EXP20260621-2810444-"/>
    <s v="EXP20260621-2810444-"/>
    <s v="00L0NDX8"/>
    <s v="THEILLAC AGNES"/>
    <s v="4 AVENUE FRANKLIN ROOSEVELT"/>
    <m/>
    <m/>
    <n v="69130"/>
    <s v="ECULLY"/>
    <s v="FR"/>
    <s v="France"/>
    <m/>
  </r>
  <r>
    <x v="0"/>
    <n v="0"/>
    <n v="0"/>
    <n v="0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64"/>
    <n v="2604000136"/>
    <m/>
    <n v="0"/>
    <n v="1"/>
    <n v="0"/>
    <n v="0.42"/>
    <s v="KG"/>
    <n v="0"/>
    <n v="0"/>
    <n v="0"/>
    <n v="0"/>
    <n v="0"/>
    <n v="0"/>
    <n v="0"/>
    <s v="EUR"/>
    <m/>
    <s v="EXP20260622-2812460-"/>
    <s v="EXP20260622-2812460-"/>
    <s v="00L0NDX9"/>
    <s v="KERBAUL ANAIS"/>
    <s v="26 A RUE SAINT CHARLES"/>
    <m/>
    <m/>
    <n v="67300"/>
    <s v="SCHILTIGHEIM"/>
    <s v="FR"/>
    <s v="France"/>
    <m/>
  </r>
  <r>
    <x v="0"/>
    <n v="0"/>
    <n v="0"/>
    <n v="0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66"/>
    <n v="2604000137"/>
    <m/>
    <n v="0"/>
    <n v="1"/>
    <n v="0"/>
    <n v="1.56"/>
    <s v="KG"/>
    <n v="0"/>
    <n v="0"/>
    <n v="0"/>
    <n v="0"/>
    <n v="0"/>
    <n v="0"/>
    <n v="0"/>
    <s v="EUR"/>
    <m/>
    <s v="EXP20260622-2811347-"/>
    <s v="EXP20260622-2811347-"/>
    <s v="00L0NDXA"/>
    <s v="GUICHARD MATHIEU"/>
    <s v="73 RUE ACHILLE VIADIEU"/>
    <m/>
    <m/>
    <n v="31400"/>
    <s v="TOULOUSE"/>
    <s v="FR"/>
    <s v="France"/>
    <m/>
  </r>
  <r>
    <x v="0"/>
    <n v="0"/>
    <n v="0"/>
    <n v="0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67"/>
    <n v="2604000138"/>
    <m/>
    <n v="0"/>
    <n v="1"/>
    <n v="0"/>
    <n v="0.41"/>
    <s v="KG"/>
    <n v="0"/>
    <n v="0"/>
    <n v="0"/>
    <n v="0"/>
    <n v="0"/>
    <n v="0"/>
    <n v="0"/>
    <s v="EUR"/>
    <m/>
    <s v="EXP20260622-2812998-"/>
    <s v="EXP20260622-2812998-"/>
    <s v="00L0NDXB"/>
    <s v="LAHAYE ADAM"/>
    <s v="12 GRANDE RUE, 91150 BRIERES-L"/>
    <m/>
    <m/>
    <n v="91150"/>
    <s v="BRIERES-LES-SCELLES"/>
    <s v="FR"/>
    <s v="France"/>
    <m/>
  </r>
  <r>
    <x v="0"/>
    <n v="0"/>
    <n v="0"/>
    <n v="0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68"/>
    <n v="2604000139"/>
    <m/>
    <n v="0"/>
    <n v="1"/>
    <n v="0"/>
    <n v="0.42"/>
    <s v="KG"/>
    <n v="0"/>
    <n v="0"/>
    <n v="0"/>
    <n v="0"/>
    <n v="0"/>
    <n v="0"/>
    <n v="0"/>
    <s v="EUR"/>
    <m/>
    <s v="EXP20260622-2812461-"/>
    <s v="EXP20260622-2812461-"/>
    <s v="00L0NDXC"/>
    <s v="TEIXEIRA SIMON"/>
    <s v="16 RUE JEAN DE MALET, 33800 BO"/>
    <m/>
    <m/>
    <n v="33800"/>
    <s v="BORDEAUX"/>
    <s v="FR"/>
    <s v="France"/>
    <m/>
  </r>
  <r>
    <x v="0"/>
    <n v="0"/>
    <n v="0"/>
    <n v="0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69"/>
    <n v="2604000140"/>
    <m/>
    <n v="0"/>
    <n v="1"/>
    <n v="0"/>
    <n v="1.1200000000000001"/>
    <s v="KG"/>
    <n v="0"/>
    <n v="0"/>
    <n v="0"/>
    <n v="0"/>
    <n v="0"/>
    <n v="0"/>
    <n v="0"/>
    <s v="EUR"/>
    <m/>
    <s v="EXP20260622-2812917-"/>
    <s v="EXP20260622-2812917-"/>
    <s v="00L0NDXD"/>
    <s v="PERNEZ TATIANA"/>
    <s v="8 CHEM. DE BARIOT, 16210 RIOUX"/>
    <m/>
    <m/>
    <n v="16210"/>
    <s v="RIOUX-MARTIN"/>
    <s v="FR"/>
    <s v="France"/>
    <m/>
  </r>
  <r>
    <x v="0"/>
    <n v="0"/>
    <n v="0"/>
    <n v="0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70"/>
    <n v="2604000141"/>
    <m/>
    <n v="0"/>
    <n v="1"/>
    <n v="0"/>
    <n v="0.81"/>
    <s v="KG"/>
    <n v="0"/>
    <n v="0"/>
    <n v="0"/>
    <n v="0"/>
    <n v="0"/>
    <n v="0"/>
    <n v="0"/>
    <s v="EUR"/>
    <m/>
    <s v="EXP20260622-2811886-"/>
    <s v="EXP20260622-2811886-"/>
    <s v="00L0NDXE"/>
    <s v="DOUILLET RAPHAELLE"/>
    <s v="105 RUE LE MATTRE, 80000 AMIEN"/>
    <m/>
    <m/>
    <n v="80000"/>
    <s v="AMIENS"/>
    <s v="FR"/>
    <s v="France"/>
    <m/>
  </r>
  <r>
    <x v="0"/>
    <n v="0"/>
    <n v="0"/>
    <n v="0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71"/>
    <n v="2604000142"/>
    <m/>
    <n v="0"/>
    <n v="1"/>
    <n v="0"/>
    <n v="1.1599999999999999"/>
    <s v="KG"/>
    <n v="0"/>
    <n v="0"/>
    <n v="0"/>
    <n v="0"/>
    <n v="0"/>
    <n v="0"/>
    <n v="0"/>
    <s v="EUR"/>
    <m/>
    <s v="EXP20260622-2812916-"/>
    <s v="EXP20260622-2812916-"/>
    <s v="00L0NDXF"/>
    <s v="BOUVET MARGAUX"/>
    <s v="26 TER AVENUE DU CALVADOS (BAT"/>
    <m/>
    <m/>
    <n v="14000"/>
    <s v="CAEN"/>
    <s v="FR"/>
    <s v="France"/>
    <m/>
  </r>
  <r>
    <x v="0"/>
    <n v="0"/>
    <n v="0"/>
    <n v="0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72"/>
    <n v="2604000143"/>
    <m/>
    <n v="0"/>
    <n v="1"/>
    <n v="0"/>
    <n v="1.21"/>
    <s v="KG"/>
    <n v="0"/>
    <n v="0"/>
    <n v="0"/>
    <n v="0"/>
    <n v="0"/>
    <n v="0"/>
    <n v="0"/>
    <s v="EUR"/>
    <m/>
    <s v="EXP20260622-2812650-"/>
    <s v="EXP20260622-2812650-"/>
    <s v="00L0NDXG"/>
    <s v="QUERE ELISE"/>
    <s v="8 IMPASSE DE COAT MENGUY"/>
    <m/>
    <m/>
    <n v="29600"/>
    <s v="MORLAIX"/>
    <s v="FR"/>
    <s v="France"/>
    <m/>
  </r>
  <r>
    <x v="0"/>
    <n v="0"/>
    <n v="0"/>
    <n v="0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73"/>
    <n v="2604000144"/>
    <m/>
    <n v="0"/>
    <n v="1"/>
    <n v="0"/>
    <n v="1.1599999999999999"/>
    <s v="KG"/>
    <n v="0"/>
    <n v="0"/>
    <n v="0"/>
    <n v="0"/>
    <n v="0"/>
    <n v="0"/>
    <n v="0"/>
    <s v="EUR"/>
    <m/>
    <s v="EXP20260622-2812999-"/>
    <s v="EXP20260622-2812999-"/>
    <s v="00L0NDXH"/>
    <s v="KRUMM JONATHAN"/>
    <s v="9 RUE DE LA SEINE, 57700 HAYAN"/>
    <m/>
    <m/>
    <n v="57700"/>
    <s v="HAYANGE"/>
    <s v="FR"/>
    <s v="France"/>
    <m/>
  </r>
  <r>
    <x v="0"/>
    <n v="0"/>
    <n v="0"/>
    <n v="0"/>
    <n v="3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74"/>
    <n v="2604000145"/>
    <m/>
    <n v="0"/>
    <n v="1"/>
    <n v="0"/>
    <n v="2.2599999999999998"/>
    <s v="KG"/>
    <n v="0"/>
    <n v="0"/>
    <n v="0"/>
    <n v="0"/>
    <n v="0"/>
    <n v="0"/>
    <n v="0"/>
    <s v="EUR"/>
    <m/>
    <s v="EXP20260622-2810882-"/>
    <s v="EXP20260622-2810882-"/>
    <s v="00L0NDXI"/>
    <s v="GRAVELLE BRICE"/>
    <s v="17 BD BERTRAND DUGUESCLIN, 345"/>
    <m/>
    <m/>
    <n v="34500"/>
    <s v="BEZIERS"/>
    <s v="FR"/>
    <s v="France"/>
    <m/>
  </r>
  <r>
    <x v="0"/>
    <n v="0"/>
    <n v="0"/>
    <n v="0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75"/>
    <n v="2604000146"/>
    <m/>
    <n v="0"/>
    <n v="1"/>
    <n v="0"/>
    <n v="0.5"/>
    <s v="KG"/>
    <n v="0"/>
    <n v="0"/>
    <n v="0"/>
    <n v="0"/>
    <n v="0"/>
    <n v="0"/>
    <n v="0"/>
    <s v="EUR"/>
    <m/>
    <s v="EXP20260623-2813632-"/>
    <s v="EXP20260623-2813632-"/>
    <s v="00L0NDXJ"/>
    <s v="MALAPERT LEA"/>
    <s v="32 RUE LEYTEIRE"/>
    <m/>
    <m/>
    <n v="33000"/>
    <s v="BORDEAUX"/>
    <s v="FR"/>
    <s v="France"/>
    <m/>
  </r>
  <r>
    <x v="0"/>
    <n v="0"/>
    <n v="0"/>
    <n v="0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76"/>
    <n v="2604000147"/>
    <m/>
    <n v="0"/>
    <n v="1"/>
    <n v="0"/>
    <n v="0.54"/>
    <s v="KG"/>
    <n v="0"/>
    <n v="0"/>
    <n v="0"/>
    <n v="0"/>
    <n v="0"/>
    <n v="0"/>
    <n v="0"/>
    <s v="EUR"/>
    <m/>
    <s v="EXP20260623-2813942-"/>
    <s v="EXP20260623-2813942-"/>
    <s v="00L0NDXK"/>
    <s v="GUILLOT SOPHIE"/>
    <s v="270 AVENUE AUGUSTIN FRESNEL, B"/>
    <m/>
    <m/>
    <n v="13290"/>
    <s v="AIX-EN-PROVENCE"/>
    <s v="FR"/>
    <s v="France"/>
    <m/>
  </r>
  <r>
    <x v="0"/>
    <n v="0"/>
    <n v="0"/>
    <n v="0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77"/>
    <n v="2604000148"/>
    <m/>
    <n v="0"/>
    <n v="1"/>
    <n v="0"/>
    <n v="1.1100000000000001"/>
    <s v="KG"/>
    <n v="0"/>
    <n v="0"/>
    <n v="0"/>
    <n v="0"/>
    <n v="0"/>
    <n v="0"/>
    <n v="0"/>
    <s v="EUR"/>
    <m/>
    <s v="EXP20260623-2813941-"/>
    <s v="EXP20260623-2813941-"/>
    <s v="00L0NDXL"/>
    <s v="SAMSON CHLOE"/>
    <s v="18 RUE VILLEBOIS MAREUIL"/>
    <m/>
    <m/>
    <n v="94300"/>
    <s v="VINCENNES"/>
    <s v="FR"/>
    <s v="France"/>
    <m/>
  </r>
  <r>
    <x v="0"/>
    <n v="0"/>
    <n v="0"/>
    <n v="0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78"/>
    <n v="2604000149"/>
    <m/>
    <n v="0"/>
    <n v="1"/>
    <n v="0"/>
    <n v="1.1599999999999999"/>
    <s v="KG"/>
    <n v="0"/>
    <n v="0"/>
    <n v="0"/>
    <n v="0"/>
    <n v="0"/>
    <n v="0"/>
    <n v="0"/>
    <s v="EUR"/>
    <m/>
    <s v="EXP20260623-2813596-"/>
    <s v="EXP20260623-2813596-"/>
    <s v="00L0NDXM"/>
    <s v="ANDRIEU MARGAUX"/>
    <s v="89 AV. JEAN JAURES, 08000 VILL"/>
    <m/>
    <m/>
    <n v="8000"/>
    <s v="VILLERS-SEMEUSE"/>
    <s v="FR"/>
    <s v="France"/>
    <m/>
  </r>
  <r>
    <x v="0"/>
    <n v="0"/>
    <n v="0"/>
    <n v="0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79"/>
    <n v="2604000150"/>
    <m/>
    <n v="0"/>
    <n v="1"/>
    <n v="0"/>
    <n v="0.46"/>
    <s v="KG"/>
    <n v="0"/>
    <n v="0"/>
    <n v="0"/>
    <n v="0"/>
    <n v="0"/>
    <n v="0"/>
    <n v="0"/>
    <s v="EUR"/>
    <m/>
    <s v="EXP20260623-2814693-"/>
    <s v="EXP20260623-2814693-"/>
    <s v="00L0NDXN"/>
    <s v="RESMINI CHIARA"/>
    <s v="95 BD BAILLE, 13005 MARSEILLE,"/>
    <m/>
    <m/>
    <n v="13005"/>
    <s v="MARSEILLE"/>
    <s v="FR"/>
    <s v="France"/>
    <m/>
  </r>
  <r>
    <x v="0"/>
    <n v="0"/>
    <n v="0"/>
    <n v="0"/>
    <n v="7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80"/>
    <n v="2604000151"/>
    <m/>
    <n v="0"/>
    <n v="1"/>
    <n v="0"/>
    <n v="6.08"/>
    <s v="KG"/>
    <n v="0"/>
    <n v="0"/>
    <n v="0"/>
    <n v="0"/>
    <n v="0"/>
    <n v="0"/>
    <n v="0"/>
    <s v="EUR"/>
    <m/>
    <s v="EXP20260623-2814694-"/>
    <s v="EXP20260623-2814694-"/>
    <s v="00L0NDXO"/>
    <s v="LEBRET-BARBIER ASTRID"/>
    <s v="32 ROUTE DE SAINT-LEGER"/>
    <m/>
    <m/>
    <n v="78125"/>
    <s v="POIGNY-LA-FORET"/>
    <s v="FR"/>
    <s v="France"/>
    <m/>
  </r>
  <r>
    <x v="0"/>
    <n v="0"/>
    <n v="0"/>
    <n v="0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81"/>
    <n v="2604000152"/>
    <m/>
    <n v="0"/>
    <n v="1"/>
    <n v="0"/>
    <n v="0.57999999999999996"/>
    <s v="KG"/>
    <n v="0"/>
    <n v="0"/>
    <n v="0"/>
    <n v="0"/>
    <n v="0"/>
    <n v="0"/>
    <n v="0"/>
    <s v="EUR"/>
    <m/>
    <s v="EXP20260623-2814368-"/>
    <s v="EXP20260623-2814368-"/>
    <s v="00L0NDXP"/>
    <s v="LAMBERT PASCAL"/>
    <s v="20 LA TRONIERE DU GUINEAU, 444"/>
    <m/>
    <m/>
    <n v="44450"/>
    <s v="DIVATTE-SUR-LOIRE"/>
    <s v="FR"/>
    <s v="France"/>
    <m/>
  </r>
  <r>
    <x v="0"/>
    <n v="0"/>
    <n v="0"/>
    <n v="0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82"/>
    <n v="2604000153"/>
    <m/>
    <n v="0"/>
    <n v="1"/>
    <n v="0"/>
    <n v="1.21"/>
    <s v="KG"/>
    <n v="0"/>
    <n v="0"/>
    <n v="0"/>
    <n v="0"/>
    <n v="0"/>
    <n v="0"/>
    <n v="0"/>
    <s v="EUR"/>
    <m/>
    <s v="EXP20260623-2814482-"/>
    <s v="EXP20260623-2814482-"/>
    <s v="00L0NDXQ"/>
    <s v="FOYER JESSICA"/>
    <s v="211 RUE DU GENERAL DE GAULLE,"/>
    <m/>
    <m/>
    <n v="76770"/>
    <s v="LE HOULME"/>
    <s v="FR"/>
    <s v="France"/>
    <m/>
  </r>
  <r>
    <x v="0"/>
    <n v="0"/>
    <n v="0"/>
    <n v="0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83"/>
    <n v="2604000154"/>
    <m/>
    <n v="0"/>
    <n v="1"/>
    <n v="0"/>
    <n v="1.1499999999999999"/>
    <s v="KG"/>
    <n v="0"/>
    <n v="0"/>
    <n v="0"/>
    <n v="0"/>
    <n v="0"/>
    <n v="0"/>
    <n v="0"/>
    <s v="EUR"/>
    <m/>
    <s v="EXP20260623-2814947-"/>
    <s v="EXP20260623-2814947-"/>
    <s v="00L0NDXR"/>
    <s v="BELLARABI ASSIA"/>
    <s v="4 RUE NELATON"/>
    <m/>
    <m/>
    <n v="92800"/>
    <s v="PUTEAUX"/>
    <s v="FR"/>
    <s v="France"/>
    <m/>
  </r>
  <r>
    <x v="0"/>
    <n v="0"/>
    <n v="0"/>
    <n v="0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84"/>
    <n v="2604000155"/>
    <m/>
    <n v="0"/>
    <n v="1"/>
    <n v="0"/>
    <n v="0.82"/>
    <s v="KG"/>
    <n v="0"/>
    <n v="0"/>
    <n v="0"/>
    <n v="0"/>
    <n v="0"/>
    <n v="0"/>
    <n v="0"/>
    <s v="EUR"/>
    <m/>
    <s v="EXP20260623-2814092-"/>
    <s v="EXP20260623-2814092-"/>
    <s v="00L0NDXS"/>
    <s v="FORMONT-MAROIS MELANIE"/>
    <s v="5 SQ. DU GENERAL CHARLES DELES"/>
    <m/>
    <m/>
    <n v="35200"/>
    <s v="RENNES"/>
    <s v="FR"/>
    <s v="France"/>
    <m/>
  </r>
  <r>
    <x v="0"/>
    <n v="0"/>
    <n v="0"/>
    <n v="0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85"/>
    <n v="2604000156"/>
    <m/>
    <n v="0"/>
    <n v="1"/>
    <n v="0"/>
    <n v="0.81"/>
    <s v="KG"/>
    <n v="0"/>
    <n v="0"/>
    <n v="0"/>
    <n v="0"/>
    <n v="0"/>
    <n v="0"/>
    <n v="0"/>
    <s v="EUR"/>
    <m/>
    <s v="EXP20260623-2814811-"/>
    <s v="EXP20260623-2814811-"/>
    <s v="00L0NDXT"/>
    <s v="TORT ANTHONY"/>
    <s v="20 RUE MAXIME LEBRUN"/>
    <m/>
    <m/>
    <n v="18230"/>
    <s v="SAINT-DOULCHARD"/>
    <s v="FR"/>
    <s v="France"/>
    <m/>
  </r>
  <r>
    <x v="0"/>
    <n v="0"/>
    <n v="0"/>
    <n v="0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86"/>
    <n v="2604000157"/>
    <m/>
    <n v="0"/>
    <n v="1"/>
    <n v="0"/>
    <n v="0.83"/>
    <s v="KG"/>
    <n v="0"/>
    <n v="0"/>
    <n v="0"/>
    <n v="0"/>
    <n v="0"/>
    <n v="0"/>
    <n v="0"/>
    <s v="EUR"/>
    <m/>
    <s v="EXP20260624-2815548-"/>
    <s v="EXP20260624-2815548-"/>
    <s v="00L0NDXU"/>
    <s v="BARA LEONORE"/>
    <s v="52, AVENUE DE SAINT-MEDARD"/>
    <m/>
    <m/>
    <n v="33700"/>
    <s v="MERIGNAC"/>
    <s v="FR"/>
    <s v="France"/>
    <m/>
  </r>
  <r>
    <x v="0"/>
    <n v="0"/>
    <n v="0"/>
    <n v="0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87"/>
    <n v="2604000158"/>
    <m/>
    <n v="0"/>
    <n v="1"/>
    <n v="0"/>
    <n v="1.78"/>
    <s v="KG"/>
    <n v="0"/>
    <n v="0"/>
    <n v="0"/>
    <n v="0"/>
    <n v="0"/>
    <n v="0"/>
    <n v="0"/>
    <s v="EUR"/>
    <m/>
    <s v="EXP20260624-2815550-"/>
    <s v="EXP20260624-2815550-"/>
    <s v="00L0NDXV"/>
    <s v="BAILLEUL JULIE"/>
    <s v="7 LES CORNILLONS (CHAMPTOCEAUX"/>
    <m/>
    <m/>
    <n v="49270"/>
    <s v="OREE D'ANJOU"/>
    <s v="FR"/>
    <s v="France"/>
    <m/>
  </r>
  <r>
    <x v="0"/>
    <n v="0"/>
    <n v="0"/>
    <n v="0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59"/>
    <s v="24.06.2026"/>
    <x v="288"/>
    <n v="2604000159"/>
    <m/>
    <n v="0"/>
    <n v="1"/>
    <n v="0"/>
    <n v="1.1100000000000001"/>
    <s v="KG"/>
    <n v="0"/>
    <n v="0"/>
    <n v="0"/>
    <n v="0"/>
    <n v="0"/>
    <n v="0"/>
    <n v="0"/>
    <s v="EUR"/>
    <m/>
    <s v="EXP20260624-2815777-"/>
    <s v="EXP20260624-2815777-"/>
    <s v="00L0NDXW"/>
    <s v="TURLURE PAUL"/>
    <s v="46 RUE DE LA TOUR D'AUVERGNE"/>
    <m/>
    <m/>
    <n v="75009"/>
    <s v="PARIS"/>
    <s v="FR"/>
    <s v="France"/>
    <m/>
  </r>
  <r>
    <x v="0"/>
    <n v="7.0100000000000007"/>
    <n v="1.54"/>
    <n v="5.4700000000000006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63"/>
    <s v="24.06.2026"/>
    <x v="277"/>
    <n v="2604000148"/>
    <m/>
    <n v="0"/>
    <n v="0"/>
    <n v="0"/>
    <n v="0"/>
    <s v="KG"/>
    <n v="4.42"/>
    <n v="0.9"/>
    <n v="0.15"/>
    <n v="29.1"/>
    <n v="1.54"/>
    <n v="0"/>
    <n v="0"/>
    <s v="EUR"/>
    <m/>
    <s v="EXP20260623-2813941-"/>
    <s v="EXP20260623-2813941-"/>
    <s v="00L0NDXL"/>
    <s v="SAMSON CHLOE"/>
    <s v="18 RUE VILLEBOIS MAREUIL"/>
    <m/>
    <m/>
    <n v="94300"/>
    <s v="VINCENNES"/>
    <s v="FR"/>
    <s v="France"/>
    <m/>
  </r>
  <r>
    <x v="0"/>
    <n v="7.0100000000000007"/>
    <n v="1.54"/>
    <n v="5.4700000000000006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63"/>
    <s v="24.06.2026"/>
    <x v="278"/>
    <n v="2604000149"/>
    <m/>
    <n v="0"/>
    <n v="0"/>
    <n v="0"/>
    <n v="0"/>
    <s v="KG"/>
    <n v="4.42"/>
    <n v="0.9"/>
    <n v="0.15"/>
    <n v="29.1"/>
    <n v="1.54"/>
    <n v="0"/>
    <n v="0"/>
    <s v="EUR"/>
    <m/>
    <s v="EXP20260623-2813596-"/>
    <s v="EXP20260623-2813596-"/>
    <s v="00L0NDXM"/>
    <s v="ANDRIEU MARGAUX"/>
    <s v="89 AV. JEAN JAURES, 08000 VILL"/>
    <m/>
    <m/>
    <n v="8000"/>
    <s v="VILLERS-SEMEUSE"/>
    <s v="FR"/>
    <s v="France"/>
    <m/>
  </r>
  <r>
    <x v="0"/>
    <n v="7.0100000000000007"/>
    <n v="1.54"/>
    <n v="5.4700000000000006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63"/>
    <s v="24.06.2026"/>
    <x v="282"/>
    <n v="2604000153"/>
    <m/>
    <n v="0"/>
    <n v="0"/>
    <n v="0"/>
    <n v="0"/>
    <s v="KG"/>
    <n v="4.42"/>
    <n v="0.9"/>
    <n v="0.15"/>
    <n v="29.1"/>
    <n v="1.54"/>
    <n v="0"/>
    <n v="0"/>
    <s v="EUR"/>
    <m/>
    <s v="EXP20260623-2814482-"/>
    <s v="EXP20260623-2814482-"/>
    <s v="00L0NDXQ"/>
    <s v="FOYER JESSICA"/>
    <s v="211 RUE DU GENERAL DE GAULLE,"/>
    <m/>
    <m/>
    <n v="76770"/>
    <s v="LE HOULME"/>
    <s v="FR"/>
    <s v="France"/>
    <m/>
  </r>
  <r>
    <x v="0"/>
    <n v="7.0100000000000007"/>
    <n v="1.54"/>
    <n v="5.4700000000000006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63"/>
    <s v="24.06.2026"/>
    <x v="283"/>
    <n v="2604000154"/>
    <m/>
    <n v="0"/>
    <n v="0"/>
    <n v="0"/>
    <n v="0"/>
    <s v="KG"/>
    <n v="4.42"/>
    <n v="0.9"/>
    <n v="0.15"/>
    <n v="29.1"/>
    <n v="1.54"/>
    <n v="0"/>
    <n v="0"/>
    <s v="EUR"/>
    <m/>
    <s v="EXP20260623-2814947-"/>
    <s v="EXP20260623-2814947-"/>
    <s v="00L0NDXR"/>
    <s v="BELLARABI ASSIA"/>
    <s v="4 RUE NELATON"/>
    <m/>
    <m/>
    <n v="92800"/>
    <s v="PUTEAUX"/>
    <s v="FR"/>
    <s v="France"/>
    <m/>
  </r>
  <r>
    <x v="0"/>
    <n v="7.0100000000000007"/>
    <n v="1.54"/>
    <n v="5.4700000000000006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63"/>
    <s v="24.06.2026"/>
    <x v="288"/>
    <n v="2604000159"/>
    <m/>
    <n v="0"/>
    <n v="0"/>
    <n v="0"/>
    <n v="0"/>
    <s v="KG"/>
    <n v="4.42"/>
    <n v="0.9"/>
    <n v="0.15"/>
    <n v="29.1"/>
    <n v="1.54"/>
    <n v="0"/>
    <n v="0"/>
    <s v="EUR"/>
    <m/>
    <s v="EXP20260624-2815777-"/>
    <s v="EXP20260624-2815777-"/>
    <s v="00L0NDXW"/>
    <s v="TURLURE PAUL"/>
    <s v="46 RUE DE LA TOUR D'AUVERGNE"/>
    <m/>
    <m/>
    <n v="75009"/>
    <s v="PARIS"/>
    <s v="FR"/>
    <s v="France"/>
    <m/>
  </r>
  <r>
    <x v="0"/>
    <n v="7.0100000000000007"/>
    <n v="1.54"/>
    <n v="5.4700000000000006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63"/>
    <s v="24.06.2026"/>
    <x v="250"/>
    <n v="2604000170"/>
    <m/>
    <n v="0"/>
    <n v="0"/>
    <n v="0"/>
    <n v="0"/>
    <s v="KG"/>
    <n v="4.42"/>
    <n v="0.9"/>
    <n v="0.15"/>
    <n v="29.1"/>
    <n v="1.54"/>
    <n v="0"/>
    <n v="0"/>
    <s v="EUR"/>
    <m/>
    <s v="EXP20260624-2815776-"/>
    <s v="EXP20260624-2815776-"/>
    <s v="00L0NDY7"/>
    <s v="LIEF AGATHE"/>
    <s v="165 BOULEVARD DU PRESIDENT WIL"/>
    <m/>
    <m/>
    <n v="33000"/>
    <s v="BORDEAUX"/>
    <s v="FR"/>
    <s v="France"/>
    <m/>
  </r>
  <r>
    <x v="0"/>
    <n v="7.0100000000000007"/>
    <n v="1.54"/>
    <n v="5.4700000000000006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63"/>
    <s v="24.06.2026"/>
    <x v="251"/>
    <n v="2604000171"/>
    <m/>
    <n v="0"/>
    <n v="0"/>
    <n v="0"/>
    <n v="0"/>
    <s v="KG"/>
    <n v="4.42"/>
    <n v="0.9"/>
    <n v="0.15"/>
    <n v="29.1"/>
    <n v="1.54"/>
    <n v="0"/>
    <n v="0"/>
    <s v="EUR"/>
    <m/>
    <s v="EXP20260624-2815782-"/>
    <s v="EXP20260624-2815782-"/>
    <s v="00L0NDY8"/>
    <s v="PIRONTE"/>
    <s v="201 VOIE DES ACTIVITES"/>
    <m/>
    <m/>
    <n v="19330"/>
    <s v="FAVARS"/>
    <s v="FR"/>
    <s v="France"/>
    <m/>
  </r>
  <r>
    <x v="0"/>
    <n v="7.0100000000000007"/>
    <n v="1.54"/>
    <n v="5.4700000000000006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63"/>
    <s v="24.06.2026"/>
    <x v="261"/>
    <n v="2604000181"/>
    <m/>
    <n v="0"/>
    <n v="0"/>
    <n v="0"/>
    <n v="0"/>
    <s v="KG"/>
    <n v="4.42"/>
    <n v="0.9"/>
    <n v="0.15"/>
    <n v="29.1"/>
    <n v="1.54"/>
    <n v="0"/>
    <n v="0"/>
    <s v="EUR"/>
    <m/>
    <s v="EXP20260624-2815449-"/>
    <s v="EXP20260624-2815449-"/>
    <s v="00L0NDYI"/>
    <s v="MORIZOT PHILIPPINE"/>
    <s v="5 RUE CORNAC"/>
    <m/>
    <m/>
    <n v="33000"/>
    <s v="BORDEAUX"/>
    <s v="FR"/>
    <s v="France"/>
    <m/>
  </r>
  <r>
    <x v="0"/>
    <n v="7.0100000000000007"/>
    <n v="1.54"/>
    <n v="5.4700000000000006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63"/>
    <s v="24.06.2026"/>
    <x v="263"/>
    <n v="2604000183"/>
    <m/>
    <n v="0"/>
    <n v="0"/>
    <n v="0"/>
    <n v="0"/>
    <s v="KG"/>
    <n v="4.42"/>
    <n v="0.9"/>
    <n v="0.15"/>
    <n v="29.1"/>
    <n v="1.54"/>
    <n v="0"/>
    <n v="0"/>
    <s v="EUR"/>
    <m/>
    <s v="EXP20260624-2815352-"/>
    <s v="EXP20260624-2815352-"/>
    <s v="00L0NDYK"/>
    <s v="BRIANT VICTORIA"/>
    <s v="40 RUE PAUL BERT"/>
    <m/>
    <m/>
    <n v="69003"/>
    <s v="LYON"/>
    <s v="FR"/>
    <s v="France"/>
    <m/>
  </r>
  <r>
    <x v="0"/>
    <n v="7.0100000000000007"/>
    <n v="1.54"/>
    <n v="5.4700000000000006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64"/>
    <s v="24.06.2026"/>
    <x v="266"/>
    <n v="2604000137"/>
    <m/>
    <n v="0"/>
    <n v="0"/>
    <n v="0"/>
    <n v="0"/>
    <s v="KG"/>
    <n v="4.42"/>
    <n v="0.9"/>
    <n v="0.15"/>
    <n v="29.1"/>
    <n v="1.54"/>
    <n v="0"/>
    <n v="0"/>
    <s v="EUR"/>
    <m/>
    <s v="EXP20260622-2811347-"/>
    <s v="EXP20260622-2811347-"/>
    <s v="00L0NDXA"/>
    <s v="GUICHARD MATHIEU"/>
    <s v="73 RUE ACHILLE VIADIEU"/>
    <m/>
    <m/>
    <n v="31400"/>
    <s v="TOULOUSE"/>
    <s v="FR"/>
    <s v="France"/>
    <m/>
  </r>
  <r>
    <x v="0"/>
    <n v="7.0100000000000007"/>
    <n v="1.54"/>
    <n v="5.4700000000000006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64"/>
    <s v="24.06.2026"/>
    <x v="287"/>
    <n v="2604000158"/>
    <m/>
    <n v="0"/>
    <n v="0"/>
    <n v="0"/>
    <n v="0"/>
    <s v="KG"/>
    <n v="4.42"/>
    <n v="0.9"/>
    <n v="0.15"/>
    <n v="29.1"/>
    <n v="1.54"/>
    <n v="0"/>
    <n v="0"/>
    <s v="EUR"/>
    <m/>
    <s v="EXP20260624-2815550-"/>
    <s v="EXP20260624-2815550-"/>
    <s v="00L0NDXV"/>
    <s v="BAILLEUL JULIE"/>
    <s v="7 LES CORNILLONS (CHAMPTOCEAUX"/>
    <m/>
    <m/>
    <n v="49270"/>
    <s v="OREE D'ANJOU"/>
    <s v="FR"/>
    <s v="France"/>
    <m/>
  </r>
  <r>
    <x v="0"/>
    <n v="7.0100000000000007"/>
    <n v="1.54"/>
    <n v="5.4700000000000006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64"/>
    <s v="24.06.2026"/>
    <x v="242"/>
    <n v="2604000162"/>
    <m/>
    <n v="0"/>
    <n v="0"/>
    <n v="0"/>
    <n v="0"/>
    <s v="KG"/>
    <n v="4.42"/>
    <n v="0.9"/>
    <n v="0.15"/>
    <n v="29.1"/>
    <n v="1.54"/>
    <n v="0"/>
    <n v="0"/>
    <s v="EUR"/>
    <m/>
    <s v="EXP20260624-2815781-"/>
    <s v="EXP20260624-2815781-"/>
    <s v="00L0NDXZ"/>
    <s v="HOLZINGER LOUISE"/>
    <s v="47 AVENUE DE LA LIBERTE"/>
    <m/>
    <m/>
    <n v="85800"/>
    <s v="SAINT-GILLES-CROIX-DE-VIE"/>
    <s v="FR"/>
    <s v="France"/>
    <m/>
  </r>
  <r>
    <x v="0"/>
    <n v="7.4300000000000006"/>
    <n v="1.64"/>
    <n v="5.7900000000000009"/>
    <n v="3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65"/>
    <s v="24.06.2026"/>
    <x v="265"/>
    <n v="2604000135"/>
    <m/>
    <n v="0"/>
    <n v="0"/>
    <n v="0"/>
    <n v="0"/>
    <s v="KG"/>
    <n v="4.74"/>
    <n v="0.9"/>
    <n v="0.15"/>
    <n v="29.1"/>
    <n v="1.64"/>
    <n v="0"/>
    <n v="0"/>
    <s v="EUR"/>
    <m/>
    <s v="EXP20260621-2810444-"/>
    <s v="EXP20260621-2810444-"/>
    <s v="00L0NDX8"/>
    <s v="THEILLAC AGNES"/>
    <s v="4 AVENUE FRANKLIN ROOSEVELT"/>
    <m/>
    <m/>
    <n v="69130"/>
    <s v="ECULLY"/>
    <s v="FR"/>
    <s v="France"/>
    <m/>
  </r>
  <r>
    <x v="0"/>
    <n v="7.4300000000000006"/>
    <n v="1.64"/>
    <n v="5.7900000000000009"/>
    <n v="3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65"/>
    <s v="24.06.2026"/>
    <x v="274"/>
    <n v="2604000145"/>
    <m/>
    <n v="0"/>
    <n v="0"/>
    <n v="0"/>
    <n v="0"/>
    <s v="KG"/>
    <n v="4.74"/>
    <n v="0.9"/>
    <n v="0.15"/>
    <n v="29.1"/>
    <n v="1.64"/>
    <n v="0"/>
    <n v="0"/>
    <s v="EUR"/>
    <m/>
    <s v="EXP20260622-2810882-"/>
    <s v="EXP20260622-2810882-"/>
    <s v="00L0NDXI"/>
    <s v="GRAVELLE BRICE"/>
    <s v="17 BD BERTRAND DUGUESCLIN, 345"/>
    <m/>
    <m/>
    <n v="34500"/>
    <s v="BEZIERS"/>
    <s v="FR"/>
    <s v="France"/>
    <m/>
  </r>
  <r>
    <x v="0"/>
    <n v="7.4300000000000006"/>
    <n v="1.64"/>
    <n v="5.7900000000000009"/>
    <n v="3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65"/>
    <s v="24.06.2026"/>
    <x v="248"/>
    <n v="2604000168"/>
    <m/>
    <n v="0"/>
    <n v="0"/>
    <n v="0"/>
    <n v="0"/>
    <s v="KG"/>
    <n v="4.74"/>
    <n v="0.9"/>
    <n v="0.15"/>
    <n v="29.1"/>
    <n v="1.64"/>
    <n v="0"/>
    <n v="0"/>
    <s v="EUR"/>
    <m/>
    <s v="EXP20260624-2815351-"/>
    <s v="EXP20260624-2815351-"/>
    <s v="00L0NDY5"/>
    <s v="BARRE AMANDINE"/>
    <s v="1 L LOULERIE"/>
    <m/>
    <m/>
    <n v="85610"/>
    <s v="CUGAND-LA-BERNARDIERE"/>
    <s v="FR"/>
    <s v="France"/>
    <m/>
  </r>
  <r>
    <x v="0"/>
    <n v="7.4300000000000006"/>
    <n v="1.64"/>
    <n v="5.7900000000000009"/>
    <n v="3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65"/>
    <s v="24.06.2026"/>
    <x v="249"/>
    <n v="2604000169"/>
    <m/>
    <n v="0"/>
    <n v="0"/>
    <n v="0"/>
    <n v="0"/>
    <s v="KG"/>
    <n v="4.74"/>
    <n v="0.9"/>
    <n v="0.15"/>
    <n v="29.1"/>
    <n v="1.64"/>
    <n v="0"/>
    <n v="0"/>
    <s v="EUR"/>
    <m/>
    <s v="EXP20260624-2815779-"/>
    <s v="EXP20260624-2815779-"/>
    <s v="00L0NDY6"/>
    <s v="RONCIN CAROLINE"/>
    <s v="1 RUE DES IRIS"/>
    <m/>
    <m/>
    <n v="44980"/>
    <s v="SAINTE LUCE SUR LOIRE"/>
    <s v="FR"/>
    <s v="France"/>
    <m/>
  </r>
  <r>
    <x v="0"/>
    <n v="7.4300000000000006"/>
    <n v="1.64"/>
    <n v="5.7900000000000009"/>
    <n v="3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65"/>
    <s v="24.06.2026"/>
    <x v="254"/>
    <n v="2604000174"/>
    <m/>
    <n v="0"/>
    <n v="0"/>
    <n v="0"/>
    <n v="0"/>
    <s v="KG"/>
    <n v="4.74"/>
    <n v="0.9"/>
    <n v="0.15"/>
    <n v="29.1"/>
    <n v="1.64"/>
    <n v="0"/>
    <n v="0"/>
    <s v="EUR"/>
    <m/>
    <s v="EXP20260624-2815443-"/>
    <s v="EXP20260624-2815443-"/>
    <s v="00L0NDYB"/>
    <s v="LABADIE PIERRE"/>
    <s v="44 AVENUE LEON BLUM"/>
    <m/>
    <m/>
    <n v="31500"/>
    <s v="TOULOUSE"/>
    <s v="FR"/>
    <s v="France"/>
    <m/>
  </r>
  <r>
    <x v="0"/>
    <n v="7.4300000000000006"/>
    <n v="1.64"/>
    <n v="5.7900000000000009"/>
    <n v="3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65"/>
    <s v="24.06.2026"/>
    <x v="255"/>
    <n v="2604000175"/>
    <m/>
    <n v="0"/>
    <n v="0"/>
    <n v="0"/>
    <n v="0"/>
    <s v="KG"/>
    <n v="4.74"/>
    <n v="0.9"/>
    <n v="0.15"/>
    <n v="29.1"/>
    <n v="1.64"/>
    <n v="0"/>
    <n v="0"/>
    <s v="EUR"/>
    <m/>
    <s v="EXP20260624-2815546-"/>
    <s v="EXP20260624-2815546-"/>
    <s v="00L0NDYC"/>
    <s v="CALLAMARD ANTHONY"/>
    <s v="59 COURS GAMBETTA"/>
    <m/>
    <m/>
    <n v="69003"/>
    <s v="LYON"/>
    <s v="FR"/>
    <s v="France"/>
    <m/>
  </r>
  <r>
    <x v="0"/>
    <n v="7.4300000000000006"/>
    <n v="1.64"/>
    <n v="5.7900000000000009"/>
    <n v="3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65"/>
    <s v="24.06.2026"/>
    <x v="257"/>
    <n v="2604000177"/>
    <m/>
    <n v="0"/>
    <n v="0"/>
    <n v="0"/>
    <n v="0"/>
    <s v="KG"/>
    <n v="4.74"/>
    <n v="0.9"/>
    <n v="0.15"/>
    <n v="29.1"/>
    <n v="1.64"/>
    <n v="0"/>
    <n v="0"/>
    <s v="EUR"/>
    <m/>
    <s v="EXP20260624-2815447-"/>
    <s v="EXP20260624-2815447-"/>
    <s v="00L0NDYE"/>
    <s v="VAISSELLET SOPHIE"/>
    <s v="69 RUE MONTGOLFIER"/>
    <m/>
    <m/>
    <n v="69006"/>
    <s v="LYON"/>
    <s v="FR"/>
    <s v="France"/>
    <m/>
  </r>
  <r>
    <x v="0"/>
    <n v="7.4300000000000006"/>
    <n v="1.64"/>
    <n v="5.7900000000000009"/>
    <n v="3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65"/>
    <s v="24.06.2026"/>
    <x v="259"/>
    <n v="2604000179"/>
    <m/>
    <n v="0"/>
    <n v="0"/>
    <n v="0"/>
    <n v="0"/>
    <s v="KG"/>
    <n v="4.74"/>
    <n v="0.9"/>
    <n v="0.15"/>
    <n v="29.1"/>
    <n v="1.64"/>
    <n v="0"/>
    <n v="0"/>
    <s v="EUR"/>
    <m/>
    <s v="EXP20260624-2815450-"/>
    <s v="EXP20260624-2815450-"/>
    <s v="00L0NDYG"/>
    <s v="TOSELLI MARIANNE"/>
    <s v="22 ALLEE DES GRANDS BOIS"/>
    <m/>
    <m/>
    <n v="33170"/>
    <s v="GRADIGNAN"/>
    <s v="FR"/>
    <s v="France"/>
    <m/>
  </r>
  <r>
    <x v="0"/>
    <n v="7.4300000000000006"/>
    <n v="1.64"/>
    <n v="5.7900000000000009"/>
    <n v="3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65"/>
    <s v="24.06.2026"/>
    <x v="262"/>
    <n v="2604000182"/>
    <m/>
    <n v="0"/>
    <n v="0"/>
    <n v="0"/>
    <n v="0"/>
    <s v="KG"/>
    <n v="4.74"/>
    <n v="0.9"/>
    <n v="0.15"/>
    <n v="29.1"/>
    <n v="1.64"/>
    <n v="0"/>
    <n v="0"/>
    <s v="EUR"/>
    <m/>
    <s v="EXP20260624-2815444-"/>
    <s v="EXP20260624-2815444-"/>
    <s v="00L0NDYJ"/>
    <s v="GRAUL MURIEL"/>
    <s v="17 RUE DES TREMBLES"/>
    <m/>
    <m/>
    <n v="85000"/>
    <s v="MOUILLERON LE CAPTIF"/>
    <s v="FR"/>
    <s v="France"/>
    <m/>
  </r>
  <r>
    <x v="0"/>
    <n v="8.15"/>
    <n v="1.8"/>
    <n v="6.3500000000000005"/>
    <n v="4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8"/>
    <s v="Business Parcel - Dis. 01 - Size 08"/>
    <s v="PARCEDOMESSTANDARD"/>
    <m/>
    <n v="66"/>
    <s v="24.06.2026"/>
    <x v="244"/>
    <n v="2604000164"/>
    <m/>
    <n v="0"/>
    <n v="0"/>
    <n v="0"/>
    <n v="0"/>
    <s v="KG"/>
    <n v="5.3"/>
    <n v="0.9"/>
    <n v="0.15"/>
    <n v="29.1"/>
    <n v="1.8"/>
    <n v="0"/>
    <n v="0"/>
    <s v="EUR"/>
    <m/>
    <s v="EXP20260624-2815249-"/>
    <s v="EXP20260624-2815249-"/>
    <s v="00L0NDY1"/>
    <s v="CHAUVEAU FRDERIQUE"/>
    <s v="21 RUE DES CHENES"/>
    <m/>
    <m/>
    <n v="41500"/>
    <s v="MUIDES-SUR-LOIRE"/>
    <s v="FR"/>
    <s v="France"/>
    <m/>
  </r>
  <r>
    <x v="0"/>
    <n v="10.32"/>
    <n v="2.29"/>
    <n v="8.0300000000000011"/>
    <n v="7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11"/>
    <s v="Business Parcel - Dis. 01 - Size 11"/>
    <s v="PARCEDOMESSTANDARD"/>
    <m/>
    <n v="67"/>
    <s v="24.06.2026"/>
    <x v="280"/>
    <n v="2604000151"/>
    <m/>
    <n v="0"/>
    <n v="0"/>
    <n v="0"/>
    <n v="0"/>
    <s v="KG"/>
    <n v="6.98"/>
    <n v="0.9"/>
    <n v="0.15"/>
    <n v="29.1"/>
    <n v="2.29"/>
    <n v="0"/>
    <n v="0"/>
    <s v="EUR"/>
    <m/>
    <s v="EXP20260623-2814694-"/>
    <s v="EXP20260623-2814694-"/>
    <s v="00L0NDXO"/>
    <s v="LEBRET-BARBIER ASTRID"/>
    <s v="32 ROUTE DE SAINT-LEGER"/>
    <m/>
    <m/>
    <n v="78125"/>
    <s v="POIGNY-LA-FORET"/>
    <s v="FR"/>
    <s v="France"/>
    <m/>
  </r>
  <r>
    <x v="0"/>
    <n v="0"/>
    <n v="0"/>
    <n v="0"/>
    <n v="4"/>
    <n v="2501382993"/>
    <n v="1030222388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FDS_D01_S01"/>
    <s v="BP FlexDelivery - Dis. 01 - Size 01"/>
    <s v="PARCEDOMESFDS"/>
    <m/>
    <n v="83"/>
    <s v="24.06.2026"/>
    <x v="289"/>
    <n v="6982537"/>
    <m/>
    <n v="0"/>
    <n v="1"/>
    <n v="0"/>
    <n v="3.2"/>
    <s v="KG"/>
    <n v="0"/>
    <n v="0"/>
    <n v="0"/>
    <n v="0"/>
    <n v="0"/>
    <n v="0"/>
    <n v="0"/>
    <s v="EUR"/>
    <m/>
    <s v="EXP20260624-2815849"/>
    <m/>
    <s v="00L3KZME"/>
    <s v="LES PLOMBIERS DU VERCORS"/>
    <s v="25 ALLEE DU LYONNAIS ZI NORD"/>
    <s v="RONDEL CATHERINE"/>
    <m/>
    <n v="26300"/>
    <s v="BOURG DE PEAGE"/>
    <s v="FR"/>
    <s v="France"/>
    <m/>
  </r>
  <r>
    <x v="0"/>
    <n v="8.15"/>
    <n v="1.8"/>
    <n v="6.3500000000000005"/>
    <n v="4"/>
    <n v="2501382993"/>
    <n v="1030222388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PARCEL_D01_S08"/>
    <s v="Business Parcel - Dis. 01 - Size 08"/>
    <s v="PARCEDOMESSTANDARD"/>
    <m/>
    <n v="84"/>
    <s v="24.06.2026"/>
    <x v="289"/>
    <n v="6982537"/>
    <m/>
    <n v="0"/>
    <n v="0"/>
    <n v="0"/>
    <n v="0"/>
    <s v="KG"/>
    <n v="5.3"/>
    <n v="0.9"/>
    <n v="0.15"/>
    <n v="29.1"/>
    <n v="1.8"/>
    <n v="0"/>
    <n v="0"/>
    <s v="EUR"/>
    <m/>
    <s v="EXP20260624-2815849"/>
    <m/>
    <s v="00L3KZME"/>
    <s v="LES PLOMBIERS DU VERCORS"/>
    <s v="25 ALLEE DU LYONNAIS ZI NORD"/>
    <s v="RONDEL CATHERINE"/>
    <m/>
    <n v="26300"/>
    <s v="BOURG DE PEAGE"/>
    <s v="FR"/>
    <s v="France"/>
    <m/>
  </r>
  <r>
    <x v="0"/>
    <n v="6.17"/>
    <n v="1.35"/>
    <n v="4.82"/>
    <n v="0.5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60"/>
    <s v="24.06.2026"/>
    <x v="267"/>
    <n v="2604000138"/>
    <m/>
    <n v="0"/>
    <n v="0"/>
    <n v="0"/>
    <n v="0"/>
    <s v="KG"/>
    <n v="3.77"/>
    <n v="0.9"/>
    <n v="0.15"/>
    <n v="29.1"/>
    <n v="1.35"/>
    <n v="0"/>
    <n v="0"/>
    <s v="EUR"/>
    <m/>
    <s v="EXP20260622-2812998-"/>
    <s v="EXP20260622-2812998-"/>
    <s v="00L0NDXB"/>
    <s v="LAHAYE ADAM"/>
    <s v="12 GRANDE RUE, 91150 BRIERES-L"/>
    <m/>
    <m/>
    <n v="91150"/>
    <s v="BRIERES-LES-SCELLES"/>
    <s v="FR"/>
    <s v="France"/>
    <m/>
  </r>
  <r>
    <x v="0"/>
    <n v="6.17"/>
    <n v="1.35"/>
    <n v="4.82"/>
    <n v="0.5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60"/>
    <s v="24.06.2026"/>
    <x v="268"/>
    <n v="2604000139"/>
    <m/>
    <n v="0"/>
    <n v="0"/>
    <n v="0"/>
    <n v="0"/>
    <s v="KG"/>
    <n v="3.77"/>
    <n v="0.9"/>
    <n v="0.15"/>
    <n v="29.1"/>
    <n v="1.35"/>
    <n v="0"/>
    <n v="0"/>
    <s v="EUR"/>
    <m/>
    <s v="EXP20260622-2812461-"/>
    <s v="EXP20260622-2812461-"/>
    <s v="00L0NDXC"/>
    <s v="TEIXEIRA SIMON"/>
    <s v="16 RUE JEAN DE MALET, 33800 BO"/>
    <m/>
    <m/>
    <n v="33800"/>
    <s v="BORDEAUX"/>
    <s v="FR"/>
    <s v="France"/>
    <m/>
  </r>
  <r>
    <x v="0"/>
    <n v="6.17"/>
    <n v="1.35"/>
    <n v="4.82"/>
    <n v="0.5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60"/>
    <s v="24.06.2026"/>
    <x v="275"/>
    <n v="2604000146"/>
    <m/>
    <n v="0"/>
    <n v="0"/>
    <n v="0"/>
    <n v="0"/>
    <s v="KG"/>
    <n v="3.77"/>
    <n v="0.9"/>
    <n v="0.15"/>
    <n v="29.1"/>
    <n v="1.35"/>
    <n v="0"/>
    <n v="0"/>
    <s v="EUR"/>
    <m/>
    <s v="EXP20260623-2813632-"/>
    <s v="EXP20260623-2813632-"/>
    <s v="00L0NDXJ"/>
    <s v="MALAPERT LEA"/>
    <s v="32 RUE LEYTEIRE"/>
    <m/>
    <m/>
    <n v="33000"/>
    <s v="BORDEAUX"/>
    <s v="FR"/>
    <s v="France"/>
    <m/>
  </r>
  <r>
    <x v="0"/>
    <n v="6.17"/>
    <n v="1.35"/>
    <n v="4.82"/>
    <n v="0.5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60"/>
    <s v="24.06.2026"/>
    <x v="279"/>
    <n v="2604000150"/>
    <m/>
    <n v="0"/>
    <n v="0"/>
    <n v="0"/>
    <n v="0"/>
    <s v="KG"/>
    <n v="3.77"/>
    <n v="0.9"/>
    <n v="0.15"/>
    <n v="29.1"/>
    <n v="1.35"/>
    <n v="0"/>
    <n v="0"/>
    <s v="EUR"/>
    <m/>
    <s v="EXP20260623-2814693-"/>
    <s v="EXP20260623-2814693-"/>
    <s v="00L0NDXN"/>
    <s v="RESMINI CHIARA"/>
    <s v="95 BD BAILLE, 13005 MARSEILLE,"/>
    <m/>
    <m/>
    <n v="13005"/>
    <s v="MARSEILLE"/>
    <s v="FR"/>
    <s v="France"/>
    <m/>
  </r>
  <r>
    <x v="0"/>
    <n v="6.17"/>
    <n v="1.35"/>
    <n v="4.82"/>
    <n v="0.5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60"/>
    <s v="24.06.2026"/>
    <x v="240"/>
    <n v="2604000160"/>
    <m/>
    <n v="0"/>
    <n v="0"/>
    <n v="0"/>
    <n v="0"/>
    <s v="KG"/>
    <n v="3.77"/>
    <n v="0.9"/>
    <n v="0.15"/>
    <n v="29.1"/>
    <n v="1.35"/>
    <n v="0"/>
    <n v="0"/>
    <s v="EUR"/>
    <m/>
    <s v="EXP20260623-2815048-"/>
    <s v="EXP20260623-2815048-"/>
    <s v="00L0NDXX"/>
    <s v="TURINES CECILE"/>
    <s v="11 IMPASSE JEAN DE FRANCES"/>
    <m/>
    <m/>
    <n v="9700"/>
    <s v="TREMOULET"/>
    <s v="FR"/>
    <s v="France"/>
    <m/>
  </r>
  <r>
    <x v="0"/>
    <n v="6.17"/>
    <n v="1.35"/>
    <n v="4.82"/>
    <n v="0.5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60"/>
    <s v="24.06.2026"/>
    <x v="246"/>
    <n v="2604000166"/>
    <m/>
    <n v="0"/>
    <n v="0"/>
    <n v="0"/>
    <n v="0"/>
    <s v="KG"/>
    <n v="3.77"/>
    <n v="0.9"/>
    <n v="0.15"/>
    <n v="29.1"/>
    <n v="1.35"/>
    <n v="0"/>
    <n v="0"/>
    <s v="EUR"/>
    <m/>
    <s v="EXP20260624-2815547-"/>
    <s v="EXP20260624-2815547-"/>
    <s v="00L0NDY3"/>
    <s v="TROALIC EMMA"/>
    <s v="14 RUE DE CASTELLANE, 75008 PA"/>
    <m/>
    <m/>
    <n v="75008"/>
    <s v="PARIS"/>
    <s v="FR"/>
    <s v="France"/>
    <m/>
  </r>
  <r>
    <x v="0"/>
    <n v="6.17"/>
    <n v="1.35"/>
    <n v="4.82"/>
    <n v="0.5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60"/>
    <s v="24.06.2026"/>
    <x v="252"/>
    <n v="2604000172"/>
    <m/>
    <n v="0"/>
    <n v="0"/>
    <n v="0"/>
    <n v="0"/>
    <s v="KG"/>
    <n v="3.77"/>
    <n v="0.9"/>
    <n v="0.15"/>
    <n v="29.1"/>
    <n v="1.35"/>
    <n v="0"/>
    <n v="0"/>
    <s v="EUR"/>
    <m/>
    <s v="EXP20260624-2815353-"/>
    <s v="EXP20260624-2815353-"/>
    <s v="00L0NDY9"/>
    <s v="GALIEN JULIETTE"/>
    <s v="1 RUE ANDRE DEL SARTE"/>
    <m/>
    <m/>
    <n v="75018"/>
    <s v="PARIS"/>
    <s v="FR"/>
    <s v="France"/>
    <m/>
  </r>
  <r>
    <x v="0"/>
    <n v="6.17"/>
    <n v="1.35"/>
    <n v="4.82"/>
    <n v="0.5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60"/>
    <s v="24.06.2026"/>
    <x v="253"/>
    <n v="2604000173"/>
    <m/>
    <n v="0"/>
    <n v="0"/>
    <n v="0"/>
    <n v="0"/>
    <s v="KG"/>
    <n v="3.77"/>
    <n v="0.9"/>
    <n v="0.15"/>
    <n v="29.1"/>
    <n v="1.35"/>
    <n v="0"/>
    <n v="0"/>
    <s v="EUR"/>
    <m/>
    <s v="EXP20260624-2815356-"/>
    <s v="EXP20260624-2815356-"/>
    <s v="00L0NDYA"/>
    <s v="BA FLORENCE"/>
    <s v="45 AVENUE DE VERDUN"/>
    <m/>
    <m/>
    <n v="69630"/>
    <s v="CHAPONOST"/>
    <s v="FR"/>
    <s v="France"/>
    <m/>
  </r>
  <r>
    <x v="0"/>
    <n v="6.6000000000000005"/>
    <n v="1.45"/>
    <n v="5.15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3"/>
    <s v="Business Parcel - Dis. 01 - Size 03"/>
    <s v="PARCEDOMESSTANDARD"/>
    <m/>
    <n v="61"/>
    <s v="24.06.2026"/>
    <x v="276"/>
    <n v="2604000147"/>
    <m/>
    <n v="0"/>
    <n v="0"/>
    <n v="0"/>
    <n v="0"/>
    <s v="KG"/>
    <n v="4.0999999999999996"/>
    <n v="0.9"/>
    <n v="0.15"/>
    <n v="29.1"/>
    <n v="1.45"/>
    <n v="0"/>
    <n v="0"/>
    <s v="EUR"/>
    <m/>
    <s v="EXP20260623-2813942-"/>
    <s v="EXP20260623-2813942-"/>
    <s v="00L0NDXK"/>
    <s v="GUILLOT SOPHIE"/>
    <s v="270 AVENUE AUGUSTIN FRESNEL, B"/>
    <m/>
    <m/>
    <n v="13290"/>
    <s v="AIX-EN-PROVENCE"/>
    <s v="FR"/>
    <s v="France"/>
    <m/>
  </r>
  <r>
    <x v="0"/>
    <n v="6.6000000000000005"/>
    <n v="1.45"/>
    <n v="5.15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3"/>
    <s v="Business Parcel - Dis. 01 - Size 03"/>
    <s v="PARCEDOMESSTANDARD"/>
    <m/>
    <n v="61"/>
    <s v="24.06.2026"/>
    <x v="281"/>
    <n v="2604000152"/>
    <m/>
    <n v="0"/>
    <n v="0"/>
    <n v="0"/>
    <n v="0"/>
    <s v="KG"/>
    <n v="4.0999999999999996"/>
    <n v="0.9"/>
    <n v="0.15"/>
    <n v="29.1"/>
    <n v="1.45"/>
    <n v="0"/>
    <n v="0"/>
    <s v="EUR"/>
    <m/>
    <s v="EXP20260623-2814368-"/>
    <s v="EXP20260623-2814368-"/>
    <s v="00L0NDXP"/>
    <s v="LAMBERT PASCAL"/>
    <s v="20 LA TRONIERE DU GUINEAU, 444"/>
    <m/>
    <m/>
    <n v="44450"/>
    <s v="DIVATTE-SUR-LOIRE"/>
    <s v="FR"/>
    <s v="France"/>
    <m/>
  </r>
  <r>
    <x v="0"/>
    <n v="6.6000000000000005"/>
    <n v="1.45"/>
    <n v="5.15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3"/>
    <s v="Business Parcel - Dis. 01 - Size 03"/>
    <s v="PARCEDOMESSTANDARD"/>
    <m/>
    <n v="61"/>
    <s v="24.06.2026"/>
    <x v="243"/>
    <n v="2604000163"/>
    <m/>
    <n v="0"/>
    <n v="0"/>
    <n v="0"/>
    <n v="0"/>
    <s v="KG"/>
    <n v="4.0999999999999996"/>
    <n v="0.9"/>
    <n v="0.15"/>
    <n v="29.1"/>
    <n v="1.45"/>
    <n v="0"/>
    <n v="0"/>
    <s v="EUR"/>
    <m/>
    <s v="EXP20260624-2815783-"/>
    <s v="EXP20260624-2815783-"/>
    <s v="00L0NDY0"/>
    <s v="PIERRE OMBELINE"/>
    <s v="29 COURS VITTON"/>
    <m/>
    <m/>
    <n v="69006"/>
    <s v="LYON"/>
    <s v="FR"/>
    <s v="France"/>
    <m/>
  </r>
  <r>
    <x v="0"/>
    <n v="6.6000000000000005"/>
    <n v="1.45"/>
    <n v="5.15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3"/>
    <s v="Business Parcel - Dis. 01 - Size 03"/>
    <s v="PARCEDOMESSTANDARD"/>
    <m/>
    <n v="61"/>
    <s v="24.06.2026"/>
    <x v="247"/>
    <n v="2604000167"/>
    <m/>
    <n v="0"/>
    <n v="0"/>
    <n v="0"/>
    <n v="0"/>
    <s v="KG"/>
    <n v="4.0999999999999996"/>
    <n v="0.9"/>
    <n v="0.15"/>
    <n v="29.1"/>
    <n v="1.45"/>
    <n v="0"/>
    <n v="0"/>
    <s v="EUR"/>
    <m/>
    <s v="EXP20260624-2815544-"/>
    <s v="EXP20260624-2815544-"/>
    <s v="00L0NDY4"/>
    <s v="GONCALVES OLIVIA"/>
    <s v="328 ROUTE DE CHARNEUSE"/>
    <m/>
    <m/>
    <n v="74330"/>
    <s v="POISY"/>
    <s v="FR"/>
    <s v="France"/>
    <m/>
  </r>
  <r>
    <x v="0"/>
    <n v="6.6000000000000005"/>
    <n v="1.45"/>
    <n v="5.15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62"/>
    <s v="24.06.2026"/>
    <x v="270"/>
    <n v="2604000141"/>
    <m/>
    <n v="0"/>
    <n v="0"/>
    <n v="0"/>
    <n v="0"/>
    <s v="KG"/>
    <n v="4.0999999999999996"/>
    <n v="0.9"/>
    <n v="0.15"/>
    <n v="29.1"/>
    <n v="1.45"/>
    <n v="0"/>
    <n v="0"/>
    <s v="EUR"/>
    <m/>
    <s v="EXP20260622-2811886-"/>
    <s v="EXP20260622-2811886-"/>
    <s v="00L0NDXE"/>
    <s v="DOUILLET RAPHAELLE"/>
    <s v="105 RUE LE MATTRE, 80000 AMIEN"/>
    <m/>
    <m/>
    <n v="80000"/>
    <s v="AMIENS"/>
    <s v="FR"/>
    <s v="France"/>
    <m/>
  </r>
  <r>
    <x v="0"/>
    <n v="7.0100000000000007"/>
    <n v="1.54"/>
    <n v="5.4700000000000006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63"/>
    <s v="24.06.2026"/>
    <x v="273"/>
    <n v="2604000144"/>
    <m/>
    <n v="0"/>
    <n v="0"/>
    <n v="0"/>
    <n v="0"/>
    <s v="KG"/>
    <n v="4.42"/>
    <n v="0.9"/>
    <n v="0.15"/>
    <n v="29.1"/>
    <n v="1.54"/>
    <n v="0"/>
    <n v="0"/>
    <s v="EUR"/>
    <m/>
    <s v="EXP20260622-2812999-"/>
    <s v="EXP20260622-2812999-"/>
    <s v="00L0NDXH"/>
    <s v="KRUMM JONATHAN"/>
    <s v="9 RUE DE LA SEINE, 57700 HAYAN"/>
    <m/>
    <m/>
    <n v="57700"/>
    <s v="HAYANGE"/>
    <s v="FR"/>
    <s v="France"/>
    <m/>
  </r>
  <r>
    <x v="0"/>
    <n v="7.0100000000000007"/>
    <n v="1.54"/>
    <n v="5.4700000000000006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63"/>
    <s v="24.06.2026"/>
    <x v="272"/>
    <n v="2604000143"/>
    <m/>
    <n v="0"/>
    <n v="0"/>
    <n v="0"/>
    <n v="0"/>
    <s v="KG"/>
    <n v="4.42"/>
    <n v="0.9"/>
    <n v="0.15"/>
    <n v="29.1"/>
    <n v="1.54"/>
    <n v="0"/>
    <n v="0"/>
    <s v="EUR"/>
    <m/>
    <s v="EXP20260622-2812650-"/>
    <s v="EXP20260622-2812650-"/>
    <s v="00L0NDXG"/>
    <s v="QUERE ELISE"/>
    <s v="8 IMPASSE DE COAT MENGUY"/>
    <m/>
    <m/>
    <n v="29600"/>
    <s v="MORLAIX"/>
    <s v="FR"/>
    <s v="France"/>
    <m/>
  </r>
  <r>
    <x v="0"/>
    <n v="7.0100000000000007"/>
    <n v="1.54"/>
    <n v="5.4700000000000006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63"/>
    <s v="24.06.2026"/>
    <x v="271"/>
    <n v="2604000142"/>
    <m/>
    <n v="0"/>
    <n v="0"/>
    <n v="0"/>
    <n v="0"/>
    <s v="KG"/>
    <n v="4.42"/>
    <n v="0.9"/>
    <n v="0.15"/>
    <n v="29.1"/>
    <n v="1.54"/>
    <n v="0"/>
    <n v="0"/>
    <s v="EUR"/>
    <m/>
    <s v="EXP20260622-2812916-"/>
    <s v="EXP20260622-2812916-"/>
    <s v="00L0NDXF"/>
    <s v="BOUVET MARGAUX"/>
    <s v="26 TER AVENUE DU CALVADOS (BAT"/>
    <m/>
    <m/>
    <n v="14000"/>
    <s v="CAEN"/>
    <s v="FR"/>
    <s v="France"/>
    <m/>
  </r>
  <r>
    <x v="0"/>
    <n v="7.0100000000000007"/>
    <n v="1.54"/>
    <n v="5.4700000000000006"/>
    <n v="2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63"/>
    <s v="24.06.2026"/>
    <x v="269"/>
    <n v="2604000140"/>
    <m/>
    <n v="0"/>
    <n v="0"/>
    <n v="0"/>
    <n v="0"/>
    <s v="KG"/>
    <n v="4.42"/>
    <n v="0.9"/>
    <n v="0.15"/>
    <n v="29.1"/>
    <n v="1.54"/>
    <n v="0"/>
    <n v="0"/>
    <s v="EUR"/>
    <m/>
    <s v="EXP20260622-2812917-"/>
    <s v="EXP20260622-2812917-"/>
    <s v="00L0NDXD"/>
    <s v="PERNEZ TATIANA"/>
    <s v="8 CHEM. DE BARIOT, 16210 RIOUX"/>
    <m/>
    <m/>
    <n v="16210"/>
    <s v="RIOUX-MARTIN"/>
    <s v="FR"/>
    <s v="France"/>
    <m/>
  </r>
  <r>
    <x v="0"/>
    <n v="6.6000000000000005"/>
    <n v="1.45"/>
    <n v="5.15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62"/>
    <s v="24.06.2026"/>
    <x v="260"/>
    <n v="2604000180"/>
    <m/>
    <n v="0"/>
    <n v="0"/>
    <n v="0"/>
    <n v="0"/>
    <s v="KG"/>
    <n v="4.0999999999999996"/>
    <n v="0.9"/>
    <n v="0.15"/>
    <n v="29.1"/>
    <n v="1.45"/>
    <n v="0"/>
    <n v="0"/>
    <s v="EUR"/>
    <m/>
    <s v="EXP20260624-2815355-"/>
    <s v="EXP20260624-2815355-"/>
    <s v="00L0NDYH"/>
    <s v="ASTRIE NINA"/>
    <s v="38 RUE DU COMMANDANT RENE MOUC"/>
    <m/>
    <m/>
    <n v="94160"/>
    <s v="SAINT-MANDE"/>
    <s v="FR"/>
    <s v="France"/>
    <m/>
  </r>
  <r>
    <x v="0"/>
    <n v="6.6000000000000005"/>
    <n v="1.45"/>
    <n v="5.15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62"/>
    <s v="24.06.2026"/>
    <x v="258"/>
    <n v="2604000178"/>
    <m/>
    <n v="0"/>
    <n v="0"/>
    <n v="0"/>
    <n v="0"/>
    <s v="KG"/>
    <n v="4.0999999999999996"/>
    <n v="0.9"/>
    <n v="0.15"/>
    <n v="29.1"/>
    <n v="1.45"/>
    <n v="0"/>
    <n v="0"/>
    <s v="EUR"/>
    <m/>
    <s v="EXP20260624-2815448-"/>
    <s v="EXP20260624-2815448-"/>
    <s v="00L0NDYF"/>
    <s v="ARNOLD VIRGINIE"/>
    <s v="23 RUE VICTOR TERTRAIS"/>
    <m/>
    <m/>
    <n v="44120"/>
    <s v="VERTOU"/>
    <s v="FR"/>
    <s v="France"/>
    <m/>
  </r>
  <r>
    <x v="0"/>
    <n v="6.6000000000000005"/>
    <n v="1.45"/>
    <n v="5.15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62"/>
    <s v="24.06.2026"/>
    <x v="256"/>
    <n v="2604000176"/>
    <m/>
    <n v="0"/>
    <n v="0"/>
    <n v="0"/>
    <n v="0"/>
    <s v="KG"/>
    <n v="4.0999999999999996"/>
    <n v="0.9"/>
    <n v="0.15"/>
    <n v="29.1"/>
    <n v="1.45"/>
    <n v="0"/>
    <n v="0"/>
    <s v="EUR"/>
    <m/>
    <s v="EXP20260624-2815354-"/>
    <s v="EXP20260624-2815354-"/>
    <s v="00L0NDYD"/>
    <s v="AMBROSINI PAULINE"/>
    <s v="40 BIS AVENUE SAINT LAZARE"/>
    <m/>
    <m/>
    <n v="34000"/>
    <s v="MONTPELLIER"/>
    <s v="FR"/>
    <s v="France"/>
    <m/>
  </r>
  <r>
    <x v="0"/>
    <n v="6.6000000000000005"/>
    <n v="1.45"/>
    <n v="5.15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62"/>
    <s v="24.06.2026"/>
    <x v="245"/>
    <n v="2604000165"/>
    <m/>
    <n v="0"/>
    <n v="0"/>
    <n v="0"/>
    <n v="0"/>
    <s v="KG"/>
    <n v="4.0999999999999996"/>
    <n v="0.9"/>
    <n v="0.15"/>
    <n v="29.1"/>
    <n v="1.45"/>
    <n v="0"/>
    <n v="0"/>
    <s v="EUR"/>
    <m/>
    <s v="EXP20260624-2815780-"/>
    <s v="EXP20260624-2815780-"/>
    <s v="00L0NDY2"/>
    <s v="MASMONT AGNES"/>
    <s v="16 RUE CAMENA D'ALMEIDA"/>
    <m/>
    <m/>
    <n v="33000"/>
    <s v="BORDEAUX"/>
    <s v="FR"/>
    <s v="France"/>
    <m/>
  </r>
  <r>
    <x v="0"/>
    <n v="6.6000000000000005"/>
    <n v="1.45"/>
    <n v="5.15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62"/>
    <s v="24.06.2026"/>
    <x v="241"/>
    <n v="2604000161"/>
    <m/>
    <n v="0"/>
    <n v="0"/>
    <n v="0"/>
    <n v="0"/>
    <s v="KG"/>
    <n v="4.0999999999999996"/>
    <n v="0.9"/>
    <n v="0.15"/>
    <n v="29.1"/>
    <n v="1.45"/>
    <n v="0"/>
    <n v="0"/>
    <s v="EUR"/>
    <m/>
    <s v="EXP20260624-2815775-"/>
    <s v="EXP20260624-2815775-"/>
    <s v="00L0NDXY"/>
    <s v="BELLAALA MOUNIA"/>
    <s v="18 RUE ROGER LABBE, 71100 CHAL"/>
    <m/>
    <m/>
    <n v="71100"/>
    <s v="CHALON-SUR-SAONE"/>
    <s v="FR"/>
    <s v="France"/>
    <m/>
  </r>
  <r>
    <x v="0"/>
    <n v="6.6000000000000005"/>
    <n v="1.45"/>
    <n v="5.15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62"/>
    <s v="24.06.2026"/>
    <x v="286"/>
    <n v="2604000157"/>
    <m/>
    <n v="0"/>
    <n v="0"/>
    <n v="0"/>
    <n v="0"/>
    <s v="KG"/>
    <n v="4.0999999999999996"/>
    <n v="0.9"/>
    <n v="0.15"/>
    <n v="29.1"/>
    <n v="1.45"/>
    <n v="0"/>
    <n v="0"/>
    <s v="EUR"/>
    <m/>
    <s v="EXP20260624-2815548-"/>
    <s v="EXP20260624-2815548-"/>
    <s v="00L0NDXU"/>
    <s v="BARA LEONORE"/>
    <s v="52, AVENUE DE SAINT-MEDARD"/>
    <m/>
    <m/>
    <n v="33700"/>
    <s v="MERIGNAC"/>
    <s v="FR"/>
    <s v="France"/>
    <m/>
  </r>
  <r>
    <x v="0"/>
    <n v="6.6000000000000005"/>
    <n v="1.45"/>
    <n v="5.15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62"/>
    <s v="24.06.2026"/>
    <x v="285"/>
    <n v="2604000156"/>
    <m/>
    <n v="0"/>
    <n v="0"/>
    <n v="0"/>
    <n v="0"/>
    <s v="KG"/>
    <n v="4.0999999999999996"/>
    <n v="0.9"/>
    <n v="0.15"/>
    <n v="29.1"/>
    <n v="1.45"/>
    <n v="0"/>
    <n v="0"/>
    <s v="EUR"/>
    <m/>
    <s v="EXP20260623-2814811-"/>
    <s v="EXP20260623-2814811-"/>
    <s v="00L0NDXT"/>
    <s v="TORT ANTHONY"/>
    <s v="20 RUE MAXIME LEBRUN"/>
    <m/>
    <m/>
    <n v="18230"/>
    <s v="SAINT-DOULCHARD"/>
    <s v="FR"/>
    <s v="France"/>
    <m/>
  </r>
  <r>
    <x v="0"/>
    <n v="6.6000000000000005"/>
    <n v="1.45"/>
    <n v="5.15"/>
    <n v="1"/>
    <n v="2501382993"/>
    <n v="1030220043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62"/>
    <s v="24.06.2026"/>
    <x v="284"/>
    <n v="2604000155"/>
    <m/>
    <n v="0"/>
    <n v="0"/>
    <n v="0"/>
    <n v="0"/>
    <s v="KG"/>
    <n v="4.0999999999999996"/>
    <n v="0.9"/>
    <n v="0.15"/>
    <n v="29.1"/>
    <n v="1.45"/>
    <n v="0"/>
    <n v="0"/>
    <s v="EUR"/>
    <m/>
    <s v="EXP20260623-2814092-"/>
    <s v="EXP20260623-2814092-"/>
    <s v="00L0NDXS"/>
    <s v="FORMONT-MAROIS MELANIE"/>
    <s v="5 SQ. DU GENERAL CHARLES DELES"/>
    <m/>
    <m/>
    <n v="35200"/>
    <s v="RENNES"/>
    <s v="FR"/>
    <s v="France"/>
    <m/>
  </r>
  <r>
    <x v="0"/>
    <n v="7.0100000000000007"/>
    <n v="1.54"/>
    <n v="5.4700000000000006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24"/>
    <s v="25.06.2026"/>
    <x v="290"/>
    <n v="2604000211"/>
    <m/>
    <n v="0"/>
    <n v="0"/>
    <n v="0"/>
    <n v="0"/>
    <s v="KG"/>
    <n v="4.42"/>
    <n v="0.9"/>
    <n v="0.15"/>
    <n v="29.1"/>
    <n v="1.54"/>
    <n v="0"/>
    <n v="0"/>
    <s v="EUR"/>
    <m/>
    <s v="EXP20260624-2815995-"/>
    <s v="EXP20260624-2815995-"/>
    <s v="00L0NDZC"/>
    <s v="PORGROULT ELISA"/>
    <s v="5 RUE JANUS"/>
    <m/>
    <m/>
    <n v="34170"/>
    <s v="CASTELNAU LE LEZ"/>
    <s v="FR"/>
    <s v="France"/>
    <m/>
  </r>
  <r>
    <x v="0"/>
    <n v="7.0100000000000007"/>
    <n v="1.54"/>
    <n v="5.4700000000000006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24"/>
    <s v="25.06.2026"/>
    <x v="291"/>
    <n v="2604000208"/>
    <m/>
    <n v="0"/>
    <n v="0"/>
    <n v="0"/>
    <n v="0"/>
    <s v="KG"/>
    <n v="4.42"/>
    <n v="0.9"/>
    <n v="0.15"/>
    <n v="29.1"/>
    <n v="1.54"/>
    <n v="0"/>
    <n v="0"/>
    <s v="EUR"/>
    <m/>
    <s v="EXP20260624-2817375-"/>
    <s v="EXP20260624-2817375-"/>
    <s v="00L0NDZ9"/>
    <s v="BOUCAUD CHRISTELLE"/>
    <s v="228 RUE LECOURBE"/>
    <m/>
    <m/>
    <n v="75015"/>
    <s v="PARIS"/>
    <s v="FR"/>
    <s v="France"/>
    <m/>
  </r>
  <r>
    <x v="0"/>
    <n v="7.0100000000000007"/>
    <n v="1.54"/>
    <n v="5.4700000000000006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24"/>
    <s v="25.06.2026"/>
    <x v="292"/>
    <n v="2604000203"/>
    <m/>
    <n v="0"/>
    <n v="0"/>
    <n v="0"/>
    <n v="0"/>
    <s v="KG"/>
    <n v="4.42"/>
    <n v="0.9"/>
    <n v="0.15"/>
    <n v="29.1"/>
    <n v="1.54"/>
    <n v="0"/>
    <n v="0"/>
    <s v="EUR"/>
    <m/>
    <s v="EXP20260624-2817574-"/>
    <s v="EXP20260624-2817574-"/>
    <s v="00L0NDZ4"/>
    <s v="GUILLOIS CLEMENTINE"/>
    <s v="19 RUE DE SAINT MALO"/>
    <m/>
    <m/>
    <n v="35000"/>
    <s v="RENNES"/>
    <s v="FR"/>
    <s v="France"/>
    <m/>
  </r>
  <r>
    <x v="0"/>
    <n v="7.0100000000000007"/>
    <n v="1.54"/>
    <n v="5.4700000000000006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24"/>
    <s v="25.06.2026"/>
    <x v="293"/>
    <n v="2604000201"/>
    <m/>
    <n v="0"/>
    <n v="0"/>
    <n v="0"/>
    <n v="0"/>
    <s v="KG"/>
    <n v="4.42"/>
    <n v="0.9"/>
    <n v="0.15"/>
    <n v="29.1"/>
    <n v="1.54"/>
    <n v="0"/>
    <n v="0"/>
    <s v="EUR"/>
    <m/>
    <s v="EXP20260624-2816171-"/>
    <s v="EXP20260624-2816171-"/>
    <s v="00L0NDZ2"/>
    <s v="CHEZ MARTIN PHILIPPE"/>
    <s v="1 RUE DU MARAIS"/>
    <m/>
    <m/>
    <n v="25210"/>
    <s v="LE RUSSEY"/>
    <s v="FR"/>
    <s v="France"/>
    <m/>
  </r>
  <r>
    <x v="0"/>
    <n v="7.0100000000000007"/>
    <n v="1.54"/>
    <n v="5.4700000000000006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24"/>
    <s v="25.06.2026"/>
    <x v="294"/>
    <n v="2604000200"/>
    <m/>
    <n v="0"/>
    <n v="0"/>
    <n v="0"/>
    <n v="0"/>
    <s v="KG"/>
    <n v="4.42"/>
    <n v="0.9"/>
    <n v="0.15"/>
    <n v="29.1"/>
    <n v="1.54"/>
    <n v="0"/>
    <n v="0"/>
    <s v="EUR"/>
    <m/>
    <s v="EXP20260624-2816923-"/>
    <s v="EXP20260624-2816923-"/>
    <s v="00L0NDZ1"/>
    <s v="KOPFF-MAES GASPARD"/>
    <s v="19 AVENUE DUQUESNE"/>
    <m/>
    <m/>
    <n v="75007"/>
    <s v="PARIS"/>
    <s v="FR"/>
    <s v="France"/>
    <m/>
  </r>
  <r>
    <x v="0"/>
    <n v="7.0100000000000007"/>
    <n v="1.54"/>
    <n v="5.4700000000000006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24"/>
    <s v="25.06.2026"/>
    <x v="295"/>
    <n v="2604000184"/>
    <m/>
    <n v="0"/>
    <n v="0"/>
    <n v="0"/>
    <n v="0"/>
    <s v="KG"/>
    <n v="4.42"/>
    <n v="0.9"/>
    <n v="0.15"/>
    <n v="29.1"/>
    <n v="1.54"/>
    <n v="0"/>
    <n v="0"/>
    <s v="EUR"/>
    <m/>
    <s v="EXP20260624-2815446-"/>
    <s v="EXP20260624-2815446-"/>
    <s v="00L0NDYL"/>
    <s v="DAVOUT D'AUERSTAEDT FLEUR"/>
    <s v="19 RUE DU COLISEE"/>
    <m/>
    <m/>
    <n v="75008"/>
    <s v="PARIS"/>
    <s v="FR"/>
    <s v="France"/>
    <m/>
  </r>
  <r>
    <x v="0"/>
    <n v="6.6000000000000005"/>
    <n v="1.45"/>
    <n v="5.15"/>
    <n v="1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223"/>
    <s v="25.06.2026"/>
    <x v="296"/>
    <n v="2604000213"/>
    <m/>
    <n v="0"/>
    <n v="0"/>
    <n v="0"/>
    <n v="0"/>
    <s v="KG"/>
    <n v="4.0999999999999996"/>
    <n v="0.9"/>
    <n v="0.15"/>
    <n v="29.1"/>
    <n v="1.45"/>
    <n v="0"/>
    <n v="0"/>
    <s v="EUR"/>
    <m/>
    <s v="EXP20260624-2817476-"/>
    <s v="EXP20260624-2817476-"/>
    <s v="00L0NDZE"/>
    <s v="SAYKALY ELINA"/>
    <s v="35 AVENUE FELIX FAURE"/>
    <m/>
    <m/>
    <n v="69003"/>
    <s v="LYON"/>
    <s v="FR"/>
    <s v="France"/>
    <m/>
  </r>
  <r>
    <x v="0"/>
    <n v="6.6000000000000005"/>
    <n v="1.45"/>
    <n v="5.15"/>
    <n v="1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223"/>
    <s v="25.06.2026"/>
    <x v="297"/>
    <n v="2604000206"/>
    <m/>
    <n v="0"/>
    <n v="0"/>
    <n v="0"/>
    <n v="0"/>
    <s v="KG"/>
    <n v="4.0999999999999996"/>
    <n v="0.9"/>
    <n v="0.15"/>
    <n v="29.1"/>
    <n v="1.45"/>
    <n v="0"/>
    <n v="0"/>
    <s v="EUR"/>
    <m/>
    <s v="EXP20260624-2817232-"/>
    <s v="EXP20260624-2817232-"/>
    <s v="00L0NDZ7"/>
    <s v="NGUYEN SHONY"/>
    <s v="14 RUE JUSTIN LARREBAT"/>
    <m/>
    <m/>
    <n v="64600"/>
    <s v="ANGLET"/>
    <s v="FR"/>
    <s v="France"/>
    <m/>
  </r>
  <r>
    <x v="0"/>
    <n v="6.6000000000000005"/>
    <n v="1.45"/>
    <n v="5.15"/>
    <n v="1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223"/>
    <s v="25.06.2026"/>
    <x v="298"/>
    <n v="2604000204"/>
    <m/>
    <n v="0"/>
    <n v="0"/>
    <n v="0"/>
    <n v="0"/>
    <s v="KG"/>
    <n v="4.0999999999999996"/>
    <n v="0.9"/>
    <n v="0.15"/>
    <n v="29.1"/>
    <n v="1.45"/>
    <n v="0"/>
    <n v="0"/>
    <s v="EUR"/>
    <m/>
    <s v="EXP20260624-2817698-"/>
    <s v="EXP20260624-2817698-"/>
    <s v="00L0NDZ5"/>
    <s v="SAVVA SONIA"/>
    <s v="45 AVENUE SIMON BOLIVAR"/>
    <m/>
    <m/>
    <n v="75019"/>
    <s v="PARIS"/>
    <s v="FR"/>
    <s v="France"/>
    <m/>
  </r>
  <r>
    <x v="0"/>
    <n v="6.6000000000000005"/>
    <n v="1.45"/>
    <n v="5.15"/>
    <n v="1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223"/>
    <s v="25.06.2026"/>
    <x v="299"/>
    <n v="2604000202"/>
    <m/>
    <n v="0"/>
    <n v="0"/>
    <n v="0"/>
    <n v="0"/>
    <s v="KG"/>
    <n v="4.0999999999999996"/>
    <n v="0.9"/>
    <n v="0.15"/>
    <n v="29.1"/>
    <n v="1.45"/>
    <n v="0"/>
    <n v="0"/>
    <s v="EUR"/>
    <m/>
    <s v="EXP20260624-2816310-"/>
    <s v="EXP20260624-2816310-"/>
    <s v="00L0NDZ3"/>
    <s v="BOUVIER KAREEN"/>
    <s v="251 CHEMIN DE SAINTE CLAIRE"/>
    <m/>
    <m/>
    <n v="6570"/>
    <s v="SAINT-PAUL-DE-VENCE"/>
    <s v="FR"/>
    <s v="France"/>
    <m/>
  </r>
  <r>
    <x v="0"/>
    <n v="6.6000000000000005"/>
    <n v="1.45"/>
    <n v="5.15"/>
    <n v="1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223"/>
    <s v="25.06.2026"/>
    <x v="300"/>
    <n v="2604000197"/>
    <m/>
    <n v="0"/>
    <n v="0"/>
    <n v="0"/>
    <n v="0"/>
    <s v="KG"/>
    <n v="4.0999999999999996"/>
    <n v="0.9"/>
    <n v="0.15"/>
    <n v="29.1"/>
    <n v="1.45"/>
    <n v="0"/>
    <n v="0"/>
    <s v="EUR"/>
    <m/>
    <s v="EXP20260624-2816457-"/>
    <s v="EXP20260624-2816457-"/>
    <s v="00L0NDYY"/>
    <s v="PLANTIER PASCALE"/>
    <s v="11 PLACE GABRIEL PERI"/>
    <m/>
    <m/>
    <n v="69007"/>
    <s v="LYON"/>
    <s v="FR"/>
    <s v="France"/>
    <m/>
  </r>
  <r>
    <x v="0"/>
    <n v="6.6000000000000005"/>
    <n v="1.45"/>
    <n v="5.15"/>
    <n v="1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223"/>
    <s v="25.06.2026"/>
    <x v="301"/>
    <n v="2604000191"/>
    <m/>
    <n v="0"/>
    <n v="0"/>
    <n v="0"/>
    <n v="0"/>
    <s v="KG"/>
    <n v="4.0999999999999996"/>
    <n v="0.9"/>
    <n v="0.15"/>
    <n v="29.1"/>
    <n v="1.45"/>
    <n v="0"/>
    <n v="0"/>
    <s v="EUR"/>
    <m/>
    <s v="EXP20260624-2816313-"/>
    <s v="EXP20260624-2816313-"/>
    <s v="00L0NDYS"/>
    <s v="MARTINENGO AUDREY"/>
    <s v="185 ALLEE DES CYPRES"/>
    <m/>
    <m/>
    <n v="69760"/>
    <s v="LIMONEST"/>
    <s v="FR"/>
    <s v="France"/>
    <m/>
  </r>
  <r>
    <x v="0"/>
    <n v="6.6000000000000005"/>
    <n v="1.45"/>
    <n v="5.15"/>
    <n v="1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3"/>
    <s v="Business Parcel - Dis. 01 - Size 03"/>
    <s v="PARCEDOMESSTANDARD"/>
    <m/>
    <n v="222"/>
    <s v="25.06.2026"/>
    <x v="302"/>
    <n v="2604000214"/>
    <m/>
    <n v="0"/>
    <n v="0"/>
    <n v="0"/>
    <n v="0"/>
    <s v="KG"/>
    <n v="4.0999999999999996"/>
    <n v="0.9"/>
    <n v="0.15"/>
    <n v="29.1"/>
    <n v="1.45"/>
    <n v="0"/>
    <n v="0"/>
    <s v="EUR"/>
    <m/>
    <s v="EXP20260624-2817104-"/>
    <s v="EXP20260624-2817104-"/>
    <s v="00L0NDZF"/>
    <s v="RICHARD ELLIOT"/>
    <s v="69 RUE SAINT-FARGEAU"/>
    <m/>
    <m/>
    <n v="75020"/>
    <s v="PARIS"/>
    <s v="FR"/>
    <s v="France"/>
    <m/>
  </r>
  <r>
    <x v="0"/>
    <n v="6.17"/>
    <n v="1.35"/>
    <n v="4.82"/>
    <n v="0.5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221"/>
    <s v="25.06.2026"/>
    <x v="303"/>
    <n v="2604000196"/>
    <m/>
    <n v="0"/>
    <n v="0"/>
    <n v="0"/>
    <n v="0"/>
    <s v="KG"/>
    <n v="3.77"/>
    <n v="0.9"/>
    <n v="0.15"/>
    <n v="29.1"/>
    <n v="1.35"/>
    <n v="0"/>
    <n v="0"/>
    <s v="EUR"/>
    <m/>
    <s v="EXP20260624-2816713-"/>
    <s v="EXP20260624-2816713-"/>
    <s v="00L0NDYX"/>
    <s v="HAYERE LOLA"/>
    <s v="10 RUE CARDINAL PAUL GOUYON"/>
    <m/>
    <m/>
    <n v="35000"/>
    <s v="RENNES"/>
    <s v="FR"/>
    <s v="France"/>
    <m/>
  </r>
  <r>
    <x v="0"/>
    <n v="6.17"/>
    <n v="1.35"/>
    <n v="4.82"/>
    <n v="0.5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221"/>
    <s v="25.06.2026"/>
    <x v="304"/>
    <n v="2604000195"/>
    <m/>
    <n v="0"/>
    <n v="0"/>
    <n v="0"/>
    <n v="0"/>
    <s v="KG"/>
    <n v="3.77"/>
    <n v="0.9"/>
    <n v="0.15"/>
    <n v="29.1"/>
    <n v="1.35"/>
    <n v="0"/>
    <n v="0"/>
    <s v="EUR"/>
    <m/>
    <s v="EXP20260624-2816925-"/>
    <s v="EXP20260624-2816925-"/>
    <s v="00L0NDYW"/>
    <s v="FOREST BOITEAU LAURA"/>
    <s v="10 RUE DU GRENACHE, 34130 LANS"/>
    <m/>
    <m/>
    <n v="34130"/>
    <s v="LANSARGUES"/>
    <s v="FR"/>
    <s v="France"/>
    <m/>
  </r>
  <r>
    <x v="0"/>
    <n v="6.17"/>
    <n v="1.35"/>
    <n v="4.82"/>
    <n v="0.5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221"/>
    <s v="25.06.2026"/>
    <x v="305"/>
    <n v="2604000192"/>
    <m/>
    <n v="0"/>
    <n v="0"/>
    <n v="0"/>
    <n v="0"/>
    <s v="KG"/>
    <n v="3.77"/>
    <n v="0.9"/>
    <n v="0.15"/>
    <n v="29.1"/>
    <n v="1.35"/>
    <n v="0"/>
    <n v="0"/>
    <s v="EUR"/>
    <m/>
    <s v="EXP20260624-2816311-"/>
    <s v="EXP20260624-2816311-"/>
    <s v="00L0NDYT"/>
    <s v="MARTIN ELISE"/>
    <s v="10 RUE DES COURTISANES"/>
    <m/>
    <m/>
    <n v="37100"/>
    <s v="TOURS"/>
    <s v="FR"/>
    <s v="France"/>
    <m/>
  </r>
  <r>
    <x v="0"/>
    <n v="0"/>
    <n v="0"/>
    <n v="0"/>
    <n v="1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302"/>
    <n v="2604000214"/>
    <m/>
    <n v="0"/>
    <n v="1"/>
    <n v="0"/>
    <n v="0.56000000000000005"/>
    <s v="KG"/>
    <n v="0"/>
    <n v="0"/>
    <n v="0"/>
    <n v="0"/>
    <n v="0"/>
    <n v="0"/>
    <n v="0"/>
    <s v="EUR"/>
    <m/>
    <s v="EXP20260624-2817104-"/>
    <s v="EXP20260624-2817104-"/>
    <s v="00L0NDZF"/>
    <s v="RICHARD ELLIOT"/>
    <s v="69 RUE SAINT-FARGEAU"/>
    <m/>
    <m/>
    <n v="75020"/>
    <s v="PARIS"/>
    <s v="FR"/>
    <s v="France"/>
    <m/>
  </r>
  <r>
    <x v="0"/>
    <n v="0"/>
    <n v="0"/>
    <n v="0"/>
    <n v="1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296"/>
    <n v="2604000213"/>
    <m/>
    <n v="0"/>
    <n v="1"/>
    <n v="0"/>
    <n v="0.84"/>
    <s v="KG"/>
    <n v="0"/>
    <n v="0"/>
    <n v="0"/>
    <n v="0"/>
    <n v="0"/>
    <n v="0"/>
    <n v="0"/>
    <s v="EUR"/>
    <m/>
    <s v="EXP20260624-2817476-"/>
    <s v="EXP20260624-2817476-"/>
    <s v="00L0NDZE"/>
    <s v="SAYKALY ELINA"/>
    <s v="35 AVENUE FELIX FAURE"/>
    <m/>
    <m/>
    <n v="69003"/>
    <s v="LYON"/>
    <s v="FR"/>
    <s v="France"/>
    <m/>
  </r>
  <r>
    <x v="0"/>
    <n v="0"/>
    <n v="0"/>
    <n v="0"/>
    <n v="3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306"/>
    <n v="2604000212"/>
    <m/>
    <n v="0"/>
    <n v="1"/>
    <n v="0"/>
    <n v="2.5"/>
    <s v="KG"/>
    <n v="0"/>
    <n v="0"/>
    <n v="0"/>
    <n v="0"/>
    <n v="0"/>
    <n v="0"/>
    <n v="0"/>
    <s v="EUR"/>
    <m/>
    <s v="EXP20260624-2817475-"/>
    <s v="EXP20260624-2817475-"/>
    <s v="00L0NDZD"/>
    <s v="DE BUYER ISAURE"/>
    <s v="55 RUE CHARLES LAFFITTE"/>
    <m/>
    <m/>
    <n v="92200"/>
    <s v="NEUILLY SUR SEINE"/>
    <s v="FR"/>
    <s v="France"/>
    <m/>
  </r>
  <r>
    <x v="0"/>
    <n v="0"/>
    <n v="0"/>
    <n v="0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290"/>
    <n v="2604000211"/>
    <m/>
    <n v="0"/>
    <n v="1"/>
    <n v="0"/>
    <n v="1.1200000000000001"/>
    <s v="KG"/>
    <n v="0"/>
    <n v="0"/>
    <n v="0"/>
    <n v="0"/>
    <n v="0"/>
    <n v="0"/>
    <n v="0"/>
    <s v="EUR"/>
    <m/>
    <s v="EXP20260624-2815995-"/>
    <s v="EXP20260624-2815995-"/>
    <s v="00L0NDZC"/>
    <s v="PORGROULT ELISA"/>
    <s v="5 RUE JANUS"/>
    <m/>
    <m/>
    <n v="34170"/>
    <s v="CASTELNAU LE LEZ"/>
    <s v="FR"/>
    <s v="France"/>
    <m/>
  </r>
  <r>
    <x v="0"/>
    <n v="0"/>
    <n v="0"/>
    <n v="0"/>
    <n v="4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307"/>
    <n v="2604000210"/>
    <m/>
    <n v="0"/>
    <n v="1"/>
    <n v="0"/>
    <n v="3.6"/>
    <s v="KG"/>
    <n v="0"/>
    <n v="0"/>
    <n v="0"/>
    <n v="0"/>
    <n v="0"/>
    <n v="0"/>
    <n v="0"/>
    <s v="EUR"/>
    <m/>
    <s v="EXP20260624-2817699-"/>
    <s v="EXP20260624-2817699-"/>
    <s v="00L0NDZB"/>
    <s v="DESFORGES SOLENE"/>
    <s v="2 BOULEVARD DE LA COTE D ARGEN"/>
    <m/>
    <m/>
    <n v="33120"/>
    <s v="ARCACHON"/>
    <s v="FR"/>
    <s v="France"/>
    <m/>
  </r>
  <r>
    <x v="0"/>
    <n v="0"/>
    <n v="0"/>
    <n v="0"/>
    <n v="3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308"/>
    <n v="2604000209"/>
    <m/>
    <n v="0"/>
    <n v="1"/>
    <n v="0"/>
    <n v="2.2200000000000002"/>
    <s v="KG"/>
    <n v="0"/>
    <n v="0"/>
    <n v="0"/>
    <n v="0"/>
    <n v="0"/>
    <n v="0"/>
    <n v="0"/>
    <s v="EUR"/>
    <m/>
    <s v="EXP20260624-2817103-"/>
    <s v="EXP20260624-2817103-"/>
    <s v="00L0NDZA"/>
    <s v="COLONNA DA ISTRIA LEOPOLDINE"/>
    <s v="71 RUE DU GENERAL DE GAULLE"/>
    <m/>
    <m/>
    <n v="91240"/>
    <s v="SAINT-MICHEL-SUR-ORGE"/>
    <s v="FR"/>
    <s v="France"/>
    <m/>
  </r>
  <r>
    <x v="2"/>
    <n v="3.04"/>
    <n v="0.68"/>
    <n v="2.36"/>
    <e v="#N/A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CARD_01"/>
    <s v="Majoration AvisÃ© sans TÃ©l ou mail"/>
    <s v="SURCHALL NTFCNCRD"/>
    <m/>
    <n v="229"/>
    <s v="25.06.2026"/>
    <x v="276"/>
    <n v="2604000147"/>
    <m/>
    <n v="0"/>
    <n v="0"/>
    <n v="0"/>
    <n v="0"/>
    <s v="KG"/>
    <n v="2.36"/>
    <n v="0"/>
    <n v="0"/>
    <n v="29.1"/>
    <n v="0.68"/>
    <n v="0"/>
    <n v="0"/>
    <s v="EUR"/>
    <m/>
    <s v="EXP20260623-2813942-"/>
    <s v="EXP20260623-2813942-"/>
    <s v="00L0NDXK"/>
    <s v="GUILLOT SOPHIE"/>
    <s v="270 AVENUE AUGUSTIN FRESNEL, B"/>
    <m/>
    <m/>
    <n v="13290"/>
    <s v="AIX-EN-PROVENCE"/>
    <s v="FR"/>
    <s v="France"/>
    <m/>
  </r>
  <r>
    <x v="2"/>
    <n v="3.04"/>
    <n v="0.68"/>
    <n v="2.36"/>
    <e v="#N/A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CARD_01"/>
    <s v="Majoration AvisÃ© sans TÃ©l ou mail"/>
    <s v="SURCHALL NTFCNCRD"/>
    <m/>
    <n v="229"/>
    <s v="25.06.2026"/>
    <x v="252"/>
    <n v="2604000172"/>
    <m/>
    <n v="0"/>
    <n v="0"/>
    <n v="0"/>
    <n v="0"/>
    <s v="KG"/>
    <n v="2.36"/>
    <n v="0"/>
    <n v="0"/>
    <n v="29.1"/>
    <n v="0.68"/>
    <n v="0"/>
    <n v="0"/>
    <s v="EUR"/>
    <m/>
    <s v="EXP20260624-2815353-"/>
    <s v="EXP20260624-2815353-"/>
    <s v="00L0NDY9"/>
    <s v="GALIEN JULIETTE"/>
    <s v="1 RUE ANDRE DEL SARTE"/>
    <m/>
    <m/>
    <n v="75018"/>
    <s v="PARIS"/>
    <s v="FR"/>
    <s v="France"/>
    <m/>
  </r>
  <r>
    <x v="2"/>
    <n v="3.04"/>
    <n v="0.68"/>
    <n v="2.36"/>
    <e v="#N/A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CARD_01"/>
    <s v="Majoration AvisÃ© sans TÃ©l ou mail"/>
    <s v="SURCHALL NTFCNCRD"/>
    <m/>
    <n v="229"/>
    <s v="25.06.2026"/>
    <x v="263"/>
    <n v="2604000183"/>
    <m/>
    <n v="0"/>
    <n v="0"/>
    <n v="0"/>
    <n v="0"/>
    <s v="KG"/>
    <n v="2.36"/>
    <n v="0"/>
    <n v="0"/>
    <n v="29.1"/>
    <n v="0.68"/>
    <n v="0"/>
    <n v="0"/>
    <s v="EUR"/>
    <m/>
    <s v="EXP20260624-2815352-"/>
    <s v="EXP20260624-2815352-"/>
    <s v="00L0NDYK"/>
    <s v="BRIANT VICTORIA"/>
    <s v="40 RUE PAUL BERT"/>
    <m/>
    <m/>
    <n v="69003"/>
    <s v="LYON"/>
    <s v="FR"/>
    <s v="France"/>
    <m/>
  </r>
  <r>
    <x v="1"/>
    <n v="0"/>
    <n v="0"/>
    <n v="0"/>
    <e v="#N/A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FS_AVIS_01"/>
    <s v="AvisÃ© FDS"/>
    <s v="SURCHALL"/>
    <m/>
    <n v="230"/>
    <s v="25.06.2026"/>
    <x v="266"/>
    <n v="2604000137"/>
    <m/>
    <n v="0"/>
    <n v="0"/>
    <n v="0"/>
    <n v="0"/>
    <s v="KG"/>
    <n v="0"/>
    <n v="0"/>
    <n v="0"/>
    <n v="0"/>
    <n v="0"/>
    <n v="0"/>
    <n v="0"/>
    <s v="EUR"/>
    <m/>
    <s v="EXP20260622-2811347-"/>
    <s v="EXP20260622-2811347-"/>
    <s v="00L0NDXA"/>
    <s v="GUICHARD MATHIEU"/>
    <s v="73 RUE ACHILLE VIADIEU"/>
    <m/>
    <m/>
    <n v="31400"/>
    <s v="TOULOUSE"/>
    <s v="FR"/>
    <s v="France"/>
    <m/>
  </r>
  <r>
    <x v="1"/>
    <n v="0"/>
    <n v="0"/>
    <n v="0"/>
    <e v="#N/A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FS_AVIS_01"/>
    <s v="AvisÃ© FDS"/>
    <s v="SURCHALL"/>
    <m/>
    <n v="230"/>
    <s v="25.06.2026"/>
    <x v="276"/>
    <n v="2604000147"/>
    <m/>
    <n v="0"/>
    <n v="0"/>
    <n v="0"/>
    <n v="0"/>
    <s v="KG"/>
    <n v="0"/>
    <n v="0"/>
    <n v="0"/>
    <n v="0"/>
    <n v="0"/>
    <n v="0"/>
    <n v="0"/>
    <s v="EUR"/>
    <m/>
    <s v="EXP20260623-2813942-"/>
    <s v="EXP20260623-2813942-"/>
    <s v="00L0NDXK"/>
    <s v="GUILLOT SOPHIE"/>
    <s v="270 AVENUE AUGUSTIN FRESNEL, B"/>
    <m/>
    <m/>
    <n v="13290"/>
    <s v="AIX-EN-PROVENCE"/>
    <s v="FR"/>
    <s v="France"/>
    <m/>
  </r>
  <r>
    <x v="1"/>
    <n v="0"/>
    <n v="0"/>
    <n v="0"/>
    <e v="#N/A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FS_AVIS_01"/>
    <s v="AvisÃ© FDS"/>
    <s v="SURCHALL"/>
    <m/>
    <n v="230"/>
    <s v="25.06.2026"/>
    <x v="252"/>
    <n v="2604000172"/>
    <m/>
    <n v="0"/>
    <n v="0"/>
    <n v="0"/>
    <n v="0"/>
    <s v="KG"/>
    <n v="0"/>
    <n v="0"/>
    <n v="0"/>
    <n v="0"/>
    <n v="0"/>
    <n v="0"/>
    <n v="0"/>
    <s v="EUR"/>
    <m/>
    <s v="EXP20260624-2815353-"/>
    <s v="EXP20260624-2815353-"/>
    <s v="00L0NDY9"/>
    <s v="GALIEN JULIETTE"/>
    <s v="1 RUE ANDRE DEL SARTE"/>
    <m/>
    <m/>
    <n v="75018"/>
    <s v="PARIS"/>
    <s v="FR"/>
    <s v="France"/>
    <m/>
  </r>
  <r>
    <x v="1"/>
    <n v="0"/>
    <n v="0"/>
    <n v="0"/>
    <e v="#N/A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FS_AVIS_01"/>
    <s v="AvisÃ© FDS"/>
    <s v="SURCHALL"/>
    <m/>
    <n v="230"/>
    <s v="25.06.2026"/>
    <x v="263"/>
    <n v="2604000183"/>
    <m/>
    <n v="0"/>
    <n v="0"/>
    <n v="0"/>
    <n v="0"/>
    <s v="KG"/>
    <n v="0"/>
    <n v="0"/>
    <n v="0"/>
    <n v="0"/>
    <n v="0"/>
    <n v="0"/>
    <n v="0"/>
    <s v="EUR"/>
    <m/>
    <s v="EXP20260624-2815352-"/>
    <s v="EXP20260624-2815352-"/>
    <s v="00L0NDYK"/>
    <s v="BRIANT VICTORIA"/>
    <s v="40 RUE PAUL BERT"/>
    <m/>
    <m/>
    <n v="69003"/>
    <s v="LYON"/>
    <s v="FR"/>
    <s v="France"/>
    <m/>
  </r>
  <r>
    <x v="0"/>
    <n v="10.32"/>
    <n v="2.29"/>
    <n v="8.0300000000000011"/>
    <n v="7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11"/>
    <s v="Business Parcel - Dis. 01 - Size 11"/>
    <s v="PARCEDOMESSTANDARD"/>
    <m/>
    <n v="228"/>
    <s v="25.06.2026"/>
    <x v="309"/>
    <n v="2604000194"/>
    <m/>
    <n v="0"/>
    <n v="0"/>
    <n v="0"/>
    <n v="0"/>
    <s v="KG"/>
    <n v="6.98"/>
    <n v="0.9"/>
    <n v="0.15"/>
    <n v="29.1"/>
    <n v="2.29"/>
    <n v="0"/>
    <n v="0"/>
    <s v="EUR"/>
    <m/>
    <s v="EXP20260624-2816924-"/>
    <s v="EXP20260624-2816924-"/>
    <s v="00L0NDYV"/>
    <s v="BUON PEGGY"/>
    <s v="1644 CHEMIN DE DAUBOEUF"/>
    <m/>
    <m/>
    <n v="14800"/>
    <s v="TOUQUES"/>
    <s v="FR"/>
    <s v="France"/>
    <m/>
  </r>
  <r>
    <x v="0"/>
    <n v="8.15"/>
    <n v="1.8"/>
    <n v="6.3500000000000005"/>
    <n v="4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8"/>
    <s v="Business Parcel - Dis. 01 - Size 08"/>
    <s v="PARCEDOMESSTANDARD"/>
    <m/>
    <n v="227"/>
    <s v="25.06.2026"/>
    <x v="307"/>
    <n v="2604000210"/>
    <m/>
    <n v="0"/>
    <n v="0"/>
    <n v="0"/>
    <n v="0"/>
    <s v="KG"/>
    <n v="5.3"/>
    <n v="0.9"/>
    <n v="0.15"/>
    <n v="29.1"/>
    <n v="1.8"/>
    <n v="0"/>
    <n v="0"/>
    <s v="EUR"/>
    <m/>
    <s v="EXP20260624-2817699-"/>
    <s v="EXP20260624-2817699-"/>
    <s v="00L0NDZB"/>
    <s v="DESFORGES SOLENE"/>
    <s v="2 BOULEVARD DE LA COTE D ARGEN"/>
    <m/>
    <m/>
    <n v="33120"/>
    <s v="ARCACHON"/>
    <s v="FR"/>
    <s v="France"/>
    <m/>
  </r>
  <r>
    <x v="0"/>
    <n v="7.4300000000000006"/>
    <n v="1.64"/>
    <n v="5.7900000000000009"/>
    <n v="3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226"/>
    <s v="25.06.2026"/>
    <x v="306"/>
    <n v="2604000212"/>
    <m/>
    <n v="0"/>
    <n v="0"/>
    <n v="0"/>
    <n v="0"/>
    <s v="KG"/>
    <n v="4.74"/>
    <n v="0.9"/>
    <n v="0.15"/>
    <n v="29.1"/>
    <n v="1.64"/>
    <n v="0"/>
    <n v="0"/>
    <s v="EUR"/>
    <m/>
    <s v="EXP20260624-2817475-"/>
    <s v="EXP20260624-2817475-"/>
    <s v="00L0NDZD"/>
    <s v="DE BUYER ISAURE"/>
    <s v="55 RUE CHARLES LAFFITTE"/>
    <m/>
    <m/>
    <n v="92200"/>
    <s v="NEUILLY SUR SEINE"/>
    <s v="FR"/>
    <s v="France"/>
    <m/>
  </r>
  <r>
    <x v="0"/>
    <n v="7.4300000000000006"/>
    <n v="1.64"/>
    <n v="5.7900000000000009"/>
    <n v="3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226"/>
    <s v="25.06.2026"/>
    <x v="308"/>
    <n v="2604000209"/>
    <m/>
    <n v="0"/>
    <n v="0"/>
    <n v="0"/>
    <n v="0"/>
    <s v="KG"/>
    <n v="4.74"/>
    <n v="0.9"/>
    <n v="0.15"/>
    <n v="29.1"/>
    <n v="1.64"/>
    <n v="0"/>
    <n v="0"/>
    <s v="EUR"/>
    <m/>
    <s v="EXP20260624-2817103-"/>
    <s v="EXP20260624-2817103-"/>
    <s v="00L0NDZA"/>
    <s v="COLONNA DA ISTRIA LEOPOLDINE"/>
    <s v="71 RUE DU GENERAL DE GAULLE"/>
    <m/>
    <m/>
    <n v="91240"/>
    <s v="SAINT-MICHEL-SUR-ORGE"/>
    <s v="FR"/>
    <s v="France"/>
    <m/>
  </r>
  <r>
    <x v="0"/>
    <n v="7.4300000000000006"/>
    <n v="1.64"/>
    <n v="5.7900000000000009"/>
    <n v="3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226"/>
    <s v="25.06.2026"/>
    <x v="310"/>
    <n v="2604000198"/>
    <m/>
    <n v="0"/>
    <n v="0"/>
    <n v="0"/>
    <n v="0"/>
    <s v="KG"/>
    <n v="4.74"/>
    <n v="0.9"/>
    <n v="0.15"/>
    <n v="29.1"/>
    <n v="1.64"/>
    <n v="0"/>
    <n v="0"/>
    <s v="EUR"/>
    <m/>
    <s v="EXP20260624-2816711-"/>
    <s v="EXP20260624-2816711-"/>
    <s v="00L0NDYZ"/>
    <s v="FORMOSA GERALDINE"/>
    <s v="34 CHEMIN DES BASTIDES"/>
    <m/>
    <m/>
    <n v="13960"/>
    <s v="SAUSSET-LES-PINS"/>
    <s v="FR"/>
    <s v="France"/>
    <m/>
  </r>
  <r>
    <x v="0"/>
    <n v="7.4300000000000006"/>
    <n v="1.64"/>
    <n v="5.7900000000000009"/>
    <n v="3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226"/>
    <s v="25.06.2026"/>
    <x v="311"/>
    <n v="2604000190"/>
    <m/>
    <n v="0"/>
    <n v="0"/>
    <n v="0"/>
    <n v="0"/>
    <s v="KG"/>
    <n v="4.74"/>
    <n v="0.9"/>
    <n v="0.15"/>
    <n v="29.1"/>
    <n v="1.64"/>
    <n v="0"/>
    <n v="0"/>
    <s v="EUR"/>
    <m/>
    <s v="EXP20260624-2816712-"/>
    <s v="EXP20260624-2816712-"/>
    <s v="00L0NDYR"/>
    <s v="RICQUEBOURG BEATRICE"/>
    <s v="4 CHEMIN D'OLIVEAU"/>
    <m/>
    <m/>
    <n v="58240"/>
    <s v="MARS-SUR-ALLIER"/>
    <s v="FR"/>
    <s v="France"/>
    <m/>
  </r>
  <r>
    <x v="0"/>
    <n v="7.4300000000000006"/>
    <n v="1.64"/>
    <n v="5.7900000000000009"/>
    <n v="3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226"/>
    <s v="25.06.2026"/>
    <x v="312"/>
    <n v="2604000186"/>
    <m/>
    <n v="0"/>
    <n v="0"/>
    <n v="0"/>
    <n v="0"/>
    <s v="KG"/>
    <n v="4.74"/>
    <n v="0.9"/>
    <n v="0.15"/>
    <n v="29.1"/>
    <n v="1.64"/>
    <n v="0"/>
    <n v="0"/>
    <s v="EUR"/>
    <m/>
    <s v="EXP20260624-2817102-"/>
    <s v="EXP20260624-2817102-"/>
    <s v="00L0NDYN"/>
    <s v="PARFAIT CLEMENTINE"/>
    <s v="125 BOULEVARD VOLTAIRE"/>
    <m/>
    <m/>
    <n v="75011"/>
    <s v="PARIS"/>
    <s v="FR"/>
    <s v="France"/>
    <m/>
  </r>
  <r>
    <x v="0"/>
    <n v="7.0100000000000007"/>
    <n v="1.54"/>
    <n v="5.4700000000000006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225"/>
    <s v="25.06.2026"/>
    <x v="313"/>
    <n v="2604000207"/>
    <m/>
    <n v="0"/>
    <n v="0"/>
    <n v="0"/>
    <n v="0"/>
    <s v="KG"/>
    <n v="4.42"/>
    <n v="0.9"/>
    <n v="0.15"/>
    <n v="29.1"/>
    <n v="1.54"/>
    <n v="0"/>
    <n v="0"/>
    <s v="EUR"/>
    <m/>
    <s v="EXP20260625-2817901-"/>
    <s v="EXP20260625-2817901-"/>
    <s v="00L0NDZ8"/>
    <s v="AYCARD JULIE"/>
    <s v="AVENUE DU 8 MAI 1945"/>
    <m/>
    <m/>
    <n v="83210"/>
    <s v="BELGENTIER"/>
    <s v="FR"/>
    <s v="France"/>
    <m/>
  </r>
  <r>
    <x v="0"/>
    <n v="7.0100000000000007"/>
    <n v="1.54"/>
    <n v="5.4700000000000006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225"/>
    <s v="25.06.2026"/>
    <x v="314"/>
    <n v="2604000205"/>
    <m/>
    <n v="0"/>
    <n v="0"/>
    <n v="0"/>
    <n v="0"/>
    <s v="KG"/>
    <n v="4.42"/>
    <n v="0.9"/>
    <n v="0.15"/>
    <n v="29.1"/>
    <n v="1.54"/>
    <n v="0"/>
    <n v="0"/>
    <s v="EUR"/>
    <m/>
    <s v="EXP20260625-2817983-"/>
    <s v="EXP20260625-2817983-"/>
    <s v="00L0NDZ6"/>
    <s v="JEANNOL AURELIE"/>
    <s v="4 RUE DE LA TOUR"/>
    <m/>
    <m/>
    <n v="56170"/>
    <s v="QUIBERON"/>
    <s v="FR"/>
    <s v="France"/>
    <m/>
  </r>
  <r>
    <x v="0"/>
    <n v="7.0100000000000007"/>
    <n v="1.54"/>
    <n v="5.4700000000000006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225"/>
    <s v="25.06.2026"/>
    <x v="315"/>
    <n v="2604000199"/>
    <m/>
    <n v="0"/>
    <n v="0"/>
    <n v="0"/>
    <n v="0"/>
    <s v="KG"/>
    <n v="4.42"/>
    <n v="0.9"/>
    <n v="0.15"/>
    <n v="29.1"/>
    <n v="1.54"/>
    <n v="0"/>
    <n v="0"/>
    <s v="EUR"/>
    <m/>
    <s v="EXP20260624-2816312-"/>
    <s v="EXP20260624-2816312-"/>
    <s v="00L0NDZ0"/>
    <s v="HERBOMEL GAETAN"/>
    <s v="242 BIS ROUTE D'EAUNES"/>
    <m/>
    <m/>
    <n v="31600"/>
    <s v="MURET"/>
    <s v="FR"/>
    <s v="France"/>
    <m/>
  </r>
  <r>
    <x v="0"/>
    <n v="7.0100000000000007"/>
    <n v="1.54"/>
    <n v="5.4700000000000006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225"/>
    <s v="25.06.2026"/>
    <x v="316"/>
    <n v="2604000193"/>
    <m/>
    <n v="0"/>
    <n v="0"/>
    <n v="0"/>
    <n v="0"/>
    <s v="KG"/>
    <n v="4.42"/>
    <n v="0.9"/>
    <n v="0.15"/>
    <n v="29.1"/>
    <n v="1.54"/>
    <n v="0"/>
    <n v="0"/>
    <s v="EUR"/>
    <m/>
    <s v="EXP20260624-2816926-"/>
    <s v="EXP20260624-2816926-"/>
    <s v="00L0NDYU"/>
    <s v="MIRAMOND CAMILLE"/>
    <s v="83 ALLEE DES GOELANDS"/>
    <m/>
    <m/>
    <n v="34280"/>
    <s v="LA GRANDE MOTTE"/>
    <s v="FR"/>
    <s v="France"/>
    <m/>
  </r>
  <r>
    <x v="0"/>
    <n v="7.0100000000000007"/>
    <n v="1.54"/>
    <n v="5.4700000000000006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225"/>
    <s v="25.06.2026"/>
    <x v="317"/>
    <n v="2604000189"/>
    <m/>
    <n v="0"/>
    <n v="0"/>
    <n v="0"/>
    <n v="0"/>
    <s v="KG"/>
    <n v="4.42"/>
    <n v="0.9"/>
    <n v="0.15"/>
    <n v="29.1"/>
    <n v="1.54"/>
    <n v="0"/>
    <n v="0"/>
    <s v="EUR"/>
    <m/>
    <s v="EXP20260624-2816456-"/>
    <s v="EXP20260624-2816456-"/>
    <s v="00L0NDYQ"/>
    <s v="GINDRE GWENOLA"/>
    <s v="60 RUE VAUBAN"/>
    <m/>
    <m/>
    <n v="69006"/>
    <s v="69006 LYON"/>
    <s v="FR"/>
    <s v="France"/>
    <m/>
  </r>
  <r>
    <x v="0"/>
    <n v="7.0100000000000007"/>
    <n v="1.54"/>
    <n v="5.4700000000000006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225"/>
    <s v="25.06.2026"/>
    <x v="318"/>
    <n v="2604000188"/>
    <m/>
    <n v="0"/>
    <n v="0"/>
    <n v="0"/>
    <n v="0"/>
    <s v="KG"/>
    <n v="4.42"/>
    <n v="0.9"/>
    <n v="0.15"/>
    <n v="29.1"/>
    <n v="1.54"/>
    <n v="0"/>
    <n v="0"/>
    <s v="EUR"/>
    <m/>
    <s v="EXP20260624-2816458-"/>
    <s v="EXP20260624-2816458-"/>
    <s v="00L0NDYP"/>
    <s v="LIETTE EVA"/>
    <s v="30 RUE DE COMET"/>
    <m/>
    <m/>
    <n v="33450"/>
    <s v="SAINT-LOUBES"/>
    <s v="FR"/>
    <s v="France"/>
    <m/>
  </r>
  <r>
    <x v="0"/>
    <n v="7.0100000000000007"/>
    <n v="1.54"/>
    <n v="5.4700000000000006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225"/>
    <s v="25.06.2026"/>
    <x v="319"/>
    <n v="2604000187"/>
    <m/>
    <n v="0"/>
    <n v="0"/>
    <n v="0"/>
    <n v="0"/>
    <s v="KG"/>
    <n v="4.42"/>
    <n v="0.9"/>
    <n v="0.15"/>
    <n v="29.1"/>
    <n v="1.54"/>
    <n v="0"/>
    <n v="0"/>
    <s v="EUR"/>
    <m/>
    <s v="EXP20260624-2816710-"/>
    <s v="EXP20260624-2816710-"/>
    <s v="00L0NDYO"/>
    <s v="BOUTROT SOPHIE"/>
    <s v="11 AVENUE DE ROHAN"/>
    <m/>
    <m/>
    <n v="17640"/>
    <s v="VAUX-SUR-MER"/>
    <s v="FR"/>
    <s v="France"/>
    <m/>
  </r>
  <r>
    <x v="0"/>
    <n v="7.0100000000000007"/>
    <n v="1.54"/>
    <n v="5.4700000000000006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225"/>
    <s v="25.06.2026"/>
    <x v="320"/>
    <n v="2604000185"/>
    <m/>
    <n v="0"/>
    <n v="0"/>
    <n v="0"/>
    <n v="0"/>
    <s v="KG"/>
    <n v="4.42"/>
    <n v="0.9"/>
    <n v="0.15"/>
    <n v="29.1"/>
    <n v="1.54"/>
    <n v="0"/>
    <n v="0"/>
    <s v="EUR"/>
    <m/>
    <s v="EXP20260624-2815451-"/>
    <s v="EXP20260624-2815451-"/>
    <s v="00L0NDYM"/>
    <s v="WITTENZELLNER CAROLINE"/>
    <s v="129 LE CLOS DE LA GREE"/>
    <m/>
    <m/>
    <n v="35580"/>
    <s v="SAINT-SENOUX"/>
    <s v="FR"/>
    <s v="France"/>
    <m/>
  </r>
  <r>
    <x v="0"/>
    <n v="0"/>
    <n v="0"/>
    <n v="0"/>
    <n v="1"/>
    <n v="2501382993"/>
    <n v="103026313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16"/>
    <s v="25.06.2026"/>
    <x v="321"/>
    <n v="2604000123"/>
    <m/>
    <n v="0"/>
    <n v="1"/>
    <n v="0"/>
    <n v="0.72"/>
    <s v="KG"/>
    <n v="0"/>
    <n v="0"/>
    <n v="0"/>
    <n v="0"/>
    <n v="0"/>
    <n v="0"/>
    <n v="0"/>
    <s v="EUR"/>
    <m/>
    <s v="EXP20260624-2815944-"/>
    <s v="EXP20260624-2815944-"/>
    <s v="00KUR5WV"/>
    <s v="EL KHANTOUTI IMANE"/>
    <s v="12 RUE TEMPONIERES"/>
    <m/>
    <m/>
    <n v="31000"/>
    <s v="TOULOUSE"/>
    <s v="FR"/>
    <s v="France"/>
    <m/>
  </r>
  <r>
    <x v="0"/>
    <n v="0"/>
    <n v="0"/>
    <n v="0"/>
    <n v="1"/>
    <n v="2501382993"/>
    <n v="103026313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16"/>
    <s v="25.06.2026"/>
    <x v="322"/>
    <n v="2604000124"/>
    <m/>
    <n v="0"/>
    <n v="1"/>
    <n v="0"/>
    <n v="0.32"/>
    <s v="KG"/>
    <n v="0"/>
    <n v="0"/>
    <n v="0"/>
    <n v="0"/>
    <n v="0"/>
    <n v="0"/>
    <n v="0"/>
    <s v="EUR"/>
    <m/>
    <s v="EXP20260624-2816321-"/>
    <s v="EXP20260624-2816321-"/>
    <s v="00KUR5WW"/>
    <s v="NADEGE JULLIOT"/>
    <s v="80 RUE DU PANORAMA"/>
    <m/>
    <m/>
    <n v="77500"/>
    <s v="CHELLES"/>
    <s v="FR"/>
    <s v="France"/>
    <m/>
  </r>
  <r>
    <x v="0"/>
    <n v="0"/>
    <n v="0"/>
    <n v="0"/>
    <n v="1"/>
    <n v="2501382993"/>
    <n v="103026313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16"/>
    <s v="25.06.2026"/>
    <x v="323"/>
    <n v="2604000125"/>
    <m/>
    <n v="0"/>
    <n v="1"/>
    <n v="0"/>
    <n v="0.44"/>
    <s v="KG"/>
    <n v="0"/>
    <n v="0"/>
    <n v="0"/>
    <n v="0"/>
    <n v="0"/>
    <n v="0"/>
    <n v="0"/>
    <s v="EUR"/>
    <m/>
    <s v="EXP20260624-2816241-"/>
    <s v="EXP20260624-2816241-"/>
    <s v="00KUR5WX"/>
    <s v="VERONIQUE POLLEDRI"/>
    <s v="21 RUE DE LA VANNE"/>
    <m/>
    <m/>
    <n v="92120"/>
    <s v="MONTROUGE"/>
    <s v="FR"/>
    <s v="France"/>
    <m/>
  </r>
  <r>
    <x v="0"/>
    <n v="0"/>
    <n v="0"/>
    <n v="0"/>
    <n v="1"/>
    <n v="2501382993"/>
    <n v="103026313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16"/>
    <s v="25.06.2026"/>
    <x v="324"/>
    <n v="2604000126"/>
    <m/>
    <n v="0"/>
    <n v="1"/>
    <n v="0"/>
    <n v="0.22"/>
    <s v="KG"/>
    <n v="0"/>
    <n v="0"/>
    <n v="0"/>
    <n v="0"/>
    <n v="0"/>
    <n v="0"/>
    <n v="0"/>
    <s v="EUR"/>
    <m/>
    <s v="EXP20260624-2816803-"/>
    <s v="EXP20260624-2816803-"/>
    <s v="00KUR5WY"/>
    <s v="GUIRAUD BENJAMIN"/>
    <s v="10 RUE VITAL-MAREILLE"/>
    <m/>
    <m/>
    <n v="33300"/>
    <s v="BORDEAUX"/>
    <s v="FR"/>
    <s v="France"/>
    <m/>
  </r>
  <r>
    <x v="0"/>
    <n v="0"/>
    <n v="0"/>
    <n v="0"/>
    <n v="1"/>
    <n v="2501382993"/>
    <n v="103026313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16"/>
    <s v="25.06.2026"/>
    <x v="325"/>
    <n v="2604000127"/>
    <m/>
    <n v="0"/>
    <n v="1"/>
    <n v="0"/>
    <n v="0.28000000000000003"/>
    <s v="KG"/>
    <n v="0"/>
    <n v="0"/>
    <n v="0"/>
    <n v="0"/>
    <n v="0"/>
    <n v="0"/>
    <n v="0"/>
    <s v="EUR"/>
    <m/>
    <s v="EXP20260624-2817653-"/>
    <s v="EXP20260624-2817653-"/>
    <s v="00KUR5WZ"/>
    <s v="TRANSMANUCENTRE"/>
    <s v="20 RUE EMILE LECONTE"/>
    <m/>
    <m/>
    <n v="45140"/>
    <s v="INGRE"/>
    <s v="FR"/>
    <s v="France"/>
    <m/>
  </r>
  <r>
    <x v="0"/>
    <n v="0"/>
    <n v="0"/>
    <n v="0"/>
    <n v="1"/>
    <n v="2501382993"/>
    <n v="103026313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16"/>
    <s v="25.06.2026"/>
    <x v="326"/>
    <n v="2604000128"/>
    <m/>
    <n v="0"/>
    <n v="1"/>
    <n v="0"/>
    <n v="0.24"/>
    <s v="KG"/>
    <n v="0"/>
    <n v="0"/>
    <n v="0"/>
    <n v="0"/>
    <n v="0"/>
    <n v="0"/>
    <n v="0"/>
    <s v="EUR"/>
    <m/>
    <s v="EXP20260624-2816320-"/>
    <s v="EXP20260624-2816320-"/>
    <s v="00KUR5X0"/>
    <s v="BACCI EVA"/>
    <s v="29 BOULEVARD DE LA FONTAINE"/>
    <m/>
    <m/>
    <n v="13009"/>
    <s v="MARSEILLE"/>
    <s v="FR"/>
    <s v="France"/>
    <m/>
  </r>
  <r>
    <x v="0"/>
    <n v="6.17"/>
    <n v="1.35"/>
    <n v="4.82"/>
    <n v="0.5"/>
    <n v="2501382993"/>
    <n v="103026313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1"/>
    <s v="Business Parcel - Dis. 01 - Size 01"/>
    <s v="PARCEDOMESSTANDARD"/>
    <m/>
    <n v="217"/>
    <s v="25.06.2026"/>
    <x v="324"/>
    <n v="2604000126"/>
    <m/>
    <n v="0"/>
    <n v="0"/>
    <n v="0"/>
    <n v="0"/>
    <s v="KG"/>
    <n v="3.77"/>
    <n v="0.9"/>
    <n v="0.15"/>
    <n v="29.1"/>
    <n v="1.35"/>
    <n v="0"/>
    <n v="0"/>
    <s v="EUR"/>
    <m/>
    <s v="EXP20260624-2816803-"/>
    <s v="EXP20260624-2816803-"/>
    <s v="00KUR5WY"/>
    <s v="GUIRAUD BENJAMIN"/>
    <s v="10 RUE VITAL-MAREILLE"/>
    <m/>
    <m/>
    <n v="33300"/>
    <s v="BORDEAUX"/>
    <s v="FR"/>
    <s v="France"/>
    <m/>
  </r>
  <r>
    <x v="0"/>
    <n v="6.17"/>
    <n v="1.35"/>
    <n v="4.82"/>
    <n v="0.5"/>
    <n v="2501382993"/>
    <n v="103026313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1"/>
    <s v="Business Parcel - Dis. 01 - Size 01"/>
    <s v="PARCEDOMESSTANDARD"/>
    <m/>
    <n v="217"/>
    <s v="25.06.2026"/>
    <x v="326"/>
    <n v="2604000128"/>
    <m/>
    <n v="0"/>
    <n v="0"/>
    <n v="0"/>
    <n v="0"/>
    <s v="KG"/>
    <n v="3.77"/>
    <n v="0.9"/>
    <n v="0.15"/>
    <n v="29.1"/>
    <n v="1.35"/>
    <n v="0"/>
    <n v="0"/>
    <s v="EUR"/>
    <m/>
    <s v="EXP20260624-2816320-"/>
    <s v="EXP20260624-2816320-"/>
    <s v="00KUR5X0"/>
    <s v="BACCI EVA"/>
    <s v="29 BOULEVARD DE LA FONTAINE"/>
    <m/>
    <m/>
    <n v="13009"/>
    <s v="MARSEILLE"/>
    <s v="FR"/>
    <s v="France"/>
    <m/>
  </r>
  <r>
    <x v="0"/>
    <n v="6.17"/>
    <n v="1.35"/>
    <n v="4.82"/>
    <n v="0.5"/>
    <n v="2501382993"/>
    <n v="103026313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218"/>
    <s v="25.06.2026"/>
    <x v="322"/>
    <n v="2604000124"/>
    <m/>
    <n v="0"/>
    <n v="0"/>
    <n v="0"/>
    <n v="0"/>
    <s v="KG"/>
    <n v="3.77"/>
    <n v="0.9"/>
    <n v="0.15"/>
    <n v="29.1"/>
    <n v="1.35"/>
    <n v="0"/>
    <n v="0"/>
    <s v="EUR"/>
    <m/>
    <s v="EXP20260624-2816321-"/>
    <s v="EXP20260624-2816321-"/>
    <s v="00KUR5WW"/>
    <s v="NADEGE JULLIOT"/>
    <s v="80 RUE DU PANORAMA"/>
    <m/>
    <m/>
    <n v="77500"/>
    <s v="CHELLES"/>
    <s v="FR"/>
    <s v="France"/>
    <m/>
  </r>
  <r>
    <x v="0"/>
    <n v="6.17"/>
    <n v="1.35"/>
    <n v="4.82"/>
    <n v="0.5"/>
    <n v="2501382993"/>
    <n v="103026313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218"/>
    <s v="25.06.2026"/>
    <x v="323"/>
    <n v="2604000125"/>
    <m/>
    <n v="0"/>
    <n v="0"/>
    <n v="0"/>
    <n v="0"/>
    <s v="KG"/>
    <n v="3.77"/>
    <n v="0.9"/>
    <n v="0.15"/>
    <n v="29.1"/>
    <n v="1.35"/>
    <n v="0"/>
    <n v="0"/>
    <s v="EUR"/>
    <m/>
    <s v="EXP20260624-2816241-"/>
    <s v="EXP20260624-2816241-"/>
    <s v="00KUR5WX"/>
    <s v="VERONIQUE POLLEDRI"/>
    <s v="21 RUE DE LA VANNE"/>
    <m/>
    <m/>
    <n v="92120"/>
    <s v="MONTROUGE"/>
    <s v="FR"/>
    <s v="France"/>
    <m/>
  </r>
  <r>
    <x v="0"/>
    <n v="6.17"/>
    <n v="1.35"/>
    <n v="4.82"/>
    <n v="0.5"/>
    <n v="2501382993"/>
    <n v="103026313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218"/>
    <s v="25.06.2026"/>
    <x v="325"/>
    <n v="2604000127"/>
    <m/>
    <n v="0"/>
    <n v="0"/>
    <n v="0"/>
    <n v="0"/>
    <s v="KG"/>
    <n v="3.77"/>
    <n v="0.9"/>
    <n v="0.15"/>
    <n v="29.1"/>
    <n v="1.35"/>
    <n v="0"/>
    <n v="0"/>
    <s v="EUR"/>
    <m/>
    <s v="EXP20260624-2817653-"/>
    <s v="EXP20260624-2817653-"/>
    <s v="00KUR5WZ"/>
    <s v="TRANSMANUCENTRE"/>
    <s v="20 RUE EMILE LECONTE"/>
    <m/>
    <m/>
    <n v="45140"/>
    <s v="INGRE"/>
    <s v="FR"/>
    <s v="France"/>
    <m/>
  </r>
  <r>
    <x v="0"/>
    <n v="6.6000000000000005"/>
    <n v="1.45"/>
    <n v="5.15"/>
    <n v="1"/>
    <n v="2501382993"/>
    <n v="1030263136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3"/>
    <s v="Business Parcel - Dis. 01 - Size 03"/>
    <s v="PARCEDOMESSTANDARD"/>
    <m/>
    <n v="219"/>
    <s v="25.06.2026"/>
    <x v="321"/>
    <n v="2604000123"/>
    <m/>
    <n v="0"/>
    <n v="0"/>
    <n v="0"/>
    <n v="0"/>
    <s v="KG"/>
    <n v="4.0999999999999996"/>
    <n v="0.9"/>
    <n v="0.15"/>
    <n v="29.1"/>
    <n v="1.45"/>
    <n v="0"/>
    <n v="0"/>
    <s v="EUR"/>
    <m/>
    <s v="EXP20260624-2815944-"/>
    <s v="EXP20260624-2815944-"/>
    <s v="00KUR5WV"/>
    <s v="EL KHANTOUTI IMANE"/>
    <s v="12 RUE TEMPONIERES"/>
    <m/>
    <m/>
    <n v="31000"/>
    <s v="TOULOUSE"/>
    <s v="FR"/>
    <s v="France"/>
    <m/>
  </r>
  <r>
    <x v="0"/>
    <n v="0"/>
    <n v="0"/>
    <n v="0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295"/>
    <n v="2604000184"/>
    <m/>
    <n v="0"/>
    <n v="1"/>
    <n v="0"/>
    <n v="1.1499999999999999"/>
    <s v="KG"/>
    <n v="0"/>
    <n v="0"/>
    <n v="0"/>
    <n v="0"/>
    <n v="0"/>
    <n v="0"/>
    <n v="0"/>
    <s v="EUR"/>
    <m/>
    <s v="EXP20260624-2815446-"/>
    <s v="EXP20260624-2815446-"/>
    <s v="00L0NDYL"/>
    <s v="DAVOUT D'AUERSTAEDT FLEUR"/>
    <s v="19 RUE DU COLISEE"/>
    <m/>
    <m/>
    <n v="75008"/>
    <s v="PARIS"/>
    <s v="FR"/>
    <s v="France"/>
    <m/>
  </r>
  <r>
    <x v="0"/>
    <n v="0"/>
    <n v="0"/>
    <n v="0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320"/>
    <n v="2604000185"/>
    <m/>
    <n v="0"/>
    <n v="1"/>
    <n v="0"/>
    <n v="1.56"/>
    <s v="KG"/>
    <n v="0"/>
    <n v="0"/>
    <n v="0"/>
    <n v="0"/>
    <n v="0"/>
    <n v="0"/>
    <n v="0"/>
    <s v="EUR"/>
    <m/>
    <s v="EXP20260624-2815451-"/>
    <s v="EXP20260624-2815451-"/>
    <s v="00L0NDYM"/>
    <s v="WITTENZELLNER CAROLINE"/>
    <s v="129 LE CLOS DE LA GREE"/>
    <m/>
    <m/>
    <n v="35580"/>
    <s v="SAINT-SENOUX"/>
    <s v="FR"/>
    <s v="France"/>
    <m/>
  </r>
  <r>
    <x v="0"/>
    <n v="0"/>
    <n v="0"/>
    <n v="0"/>
    <n v="3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312"/>
    <n v="2604000186"/>
    <m/>
    <n v="0"/>
    <n v="1"/>
    <n v="0"/>
    <n v="2.8"/>
    <s v="KG"/>
    <n v="0"/>
    <n v="0"/>
    <n v="0"/>
    <n v="0"/>
    <n v="0"/>
    <n v="0"/>
    <n v="0"/>
    <s v="EUR"/>
    <m/>
    <s v="EXP20260624-2817102-"/>
    <s v="EXP20260624-2817102-"/>
    <s v="00L0NDYN"/>
    <s v="PARFAIT CLEMENTINE"/>
    <s v="125 BOULEVARD VOLTAIRE"/>
    <m/>
    <m/>
    <n v="75011"/>
    <s v="PARIS"/>
    <s v="FR"/>
    <s v="France"/>
    <m/>
  </r>
  <r>
    <x v="0"/>
    <n v="0"/>
    <n v="0"/>
    <n v="0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319"/>
    <n v="2604000187"/>
    <m/>
    <n v="0"/>
    <n v="1"/>
    <n v="0"/>
    <n v="1.96"/>
    <s v="KG"/>
    <n v="0"/>
    <n v="0"/>
    <n v="0"/>
    <n v="0"/>
    <n v="0"/>
    <n v="0"/>
    <n v="0"/>
    <s v="EUR"/>
    <m/>
    <s v="EXP20260624-2816710-"/>
    <s v="EXP20260624-2816710-"/>
    <s v="00L0NDYO"/>
    <s v="BOUTROT SOPHIE"/>
    <s v="11 AVENUE DE ROHAN"/>
    <m/>
    <m/>
    <n v="17640"/>
    <s v="VAUX-SUR-MER"/>
    <s v="FR"/>
    <s v="France"/>
    <m/>
  </r>
  <r>
    <x v="0"/>
    <n v="0"/>
    <n v="0"/>
    <n v="0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318"/>
    <n v="2604000188"/>
    <m/>
    <n v="0"/>
    <n v="1"/>
    <n v="0"/>
    <n v="1.74"/>
    <s v="KG"/>
    <n v="0"/>
    <n v="0"/>
    <n v="0"/>
    <n v="0"/>
    <n v="0"/>
    <n v="0"/>
    <n v="0"/>
    <s v="EUR"/>
    <m/>
    <s v="EXP20260624-2816458-"/>
    <s v="EXP20260624-2816458-"/>
    <s v="00L0NDYP"/>
    <s v="LIETTE EVA"/>
    <s v="30 RUE DE COMET"/>
    <m/>
    <m/>
    <n v="33450"/>
    <s v="SAINT-LOUBES"/>
    <s v="FR"/>
    <s v="France"/>
    <m/>
  </r>
  <r>
    <x v="0"/>
    <n v="0"/>
    <n v="0"/>
    <n v="0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317"/>
    <n v="2604000189"/>
    <m/>
    <n v="0"/>
    <n v="1"/>
    <n v="0"/>
    <n v="1.66"/>
    <s v="KG"/>
    <n v="0"/>
    <n v="0"/>
    <n v="0"/>
    <n v="0"/>
    <n v="0"/>
    <n v="0"/>
    <n v="0"/>
    <s v="EUR"/>
    <m/>
    <s v="EXP20260624-2816456-"/>
    <s v="EXP20260624-2816456-"/>
    <s v="00L0NDYQ"/>
    <s v="GINDRE GWENOLA"/>
    <s v="60 RUE VAUBAN"/>
    <m/>
    <m/>
    <n v="69006"/>
    <s v="69006 LYON"/>
    <s v="FR"/>
    <s v="France"/>
    <m/>
  </r>
  <r>
    <x v="0"/>
    <n v="0"/>
    <n v="0"/>
    <n v="0"/>
    <n v="3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311"/>
    <n v="2604000190"/>
    <m/>
    <n v="0"/>
    <n v="1"/>
    <n v="0"/>
    <n v="2.04"/>
    <s v="KG"/>
    <n v="0"/>
    <n v="0"/>
    <n v="0"/>
    <n v="0"/>
    <n v="0"/>
    <n v="0"/>
    <n v="0"/>
    <s v="EUR"/>
    <m/>
    <s v="EXP20260624-2816712-"/>
    <s v="EXP20260624-2816712-"/>
    <s v="00L0NDYR"/>
    <s v="RICQUEBOURG BEATRICE"/>
    <s v="4 CHEMIN D'OLIVEAU"/>
    <m/>
    <m/>
    <n v="58240"/>
    <s v="MARS-SUR-ALLIER"/>
    <s v="FR"/>
    <s v="France"/>
    <m/>
  </r>
  <r>
    <x v="0"/>
    <n v="0"/>
    <n v="0"/>
    <n v="0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291"/>
    <n v="2604000208"/>
    <m/>
    <n v="0"/>
    <n v="1"/>
    <n v="0"/>
    <n v="1.1499999999999999"/>
    <s v="KG"/>
    <n v="0"/>
    <n v="0"/>
    <n v="0"/>
    <n v="0"/>
    <n v="0"/>
    <n v="0"/>
    <n v="0"/>
    <s v="EUR"/>
    <m/>
    <s v="EXP20260624-2817375-"/>
    <s v="EXP20260624-2817375-"/>
    <s v="00L0NDZ9"/>
    <s v="BOUCAUD CHRISTELLE"/>
    <s v="228 RUE LECOURBE"/>
    <m/>
    <m/>
    <n v="75015"/>
    <s v="PARIS"/>
    <s v="FR"/>
    <s v="France"/>
    <m/>
  </r>
  <r>
    <x v="0"/>
    <n v="0"/>
    <n v="0"/>
    <n v="0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313"/>
    <n v="2604000207"/>
    <m/>
    <n v="0"/>
    <n v="1"/>
    <n v="0"/>
    <n v="1.64"/>
    <s v="KG"/>
    <n v="0"/>
    <n v="0"/>
    <n v="0"/>
    <n v="0"/>
    <n v="0"/>
    <n v="0"/>
    <n v="0"/>
    <s v="EUR"/>
    <m/>
    <s v="EXP20260625-2817901-"/>
    <s v="EXP20260625-2817901-"/>
    <s v="00L0NDZ8"/>
    <s v="AYCARD JULIE"/>
    <s v="AVENUE DU 8 MAI 1945"/>
    <m/>
    <m/>
    <n v="83210"/>
    <s v="BELGENTIER"/>
    <s v="FR"/>
    <s v="France"/>
    <m/>
  </r>
  <r>
    <x v="0"/>
    <n v="0"/>
    <n v="0"/>
    <n v="0"/>
    <n v="1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297"/>
    <n v="2604000206"/>
    <m/>
    <n v="0"/>
    <n v="1"/>
    <n v="0"/>
    <n v="0.9"/>
    <s v="KG"/>
    <n v="0"/>
    <n v="0"/>
    <n v="0"/>
    <n v="0"/>
    <n v="0"/>
    <n v="0"/>
    <n v="0"/>
    <s v="EUR"/>
    <m/>
    <s v="EXP20260624-2817232-"/>
    <s v="EXP20260624-2817232-"/>
    <s v="00L0NDZ7"/>
    <s v="NGUYEN SHONY"/>
    <s v="14 RUE JUSTIN LARREBAT"/>
    <m/>
    <m/>
    <n v="64600"/>
    <s v="ANGLET"/>
    <s v="FR"/>
    <s v="France"/>
    <m/>
  </r>
  <r>
    <x v="0"/>
    <n v="0"/>
    <n v="0"/>
    <n v="0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314"/>
    <n v="2604000205"/>
    <m/>
    <n v="0"/>
    <n v="1"/>
    <n v="0"/>
    <n v="1.68"/>
    <s v="KG"/>
    <n v="0"/>
    <n v="0"/>
    <n v="0"/>
    <n v="0"/>
    <n v="0"/>
    <n v="0"/>
    <n v="0"/>
    <s v="EUR"/>
    <m/>
    <s v="EXP20260625-2817983-"/>
    <s v="EXP20260625-2817983-"/>
    <s v="00L0NDZ6"/>
    <s v="JEANNOL AURELIE"/>
    <s v="4 RUE DE LA TOUR"/>
    <m/>
    <m/>
    <n v="56170"/>
    <s v="QUIBERON"/>
    <s v="FR"/>
    <s v="France"/>
    <m/>
  </r>
  <r>
    <x v="0"/>
    <n v="0"/>
    <n v="0"/>
    <n v="0"/>
    <n v="1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298"/>
    <n v="2604000204"/>
    <m/>
    <n v="0"/>
    <n v="1"/>
    <n v="0"/>
    <n v="0.83"/>
    <s v="KG"/>
    <n v="0"/>
    <n v="0"/>
    <n v="0"/>
    <n v="0"/>
    <n v="0"/>
    <n v="0"/>
    <n v="0"/>
    <s v="EUR"/>
    <m/>
    <s v="EXP20260624-2817698-"/>
    <s v="EXP20260624-2817698-"/>
    <s v="00L0NDZ5"/>
    <s v="SAVVA SONIA"/>
    <s v="45 AVENUE SIMON BOLIVAR"/>
    <m/>
    <m/>
    <n v="75019"/>
    <s v="PARIS"/>
    <s v="FR"/>
    <s v="France"/>
    <m/>
  </r>
  <r>
    <x v="0"/>
    <n v="0"/>
    <n v="0"/>
    <n v="0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292"/>
    <n v="2604000203"/>
    <m/>
    <n v="0"/>
    <n v="1"/>
    <n v="0"/>
    <n v="1.1399999999999999"/>
    <s v="KG"/>
    <n v="0"/>
    <n v="0"/>
    <n v="0"/>
    <n v="0"/>
    <n v="0"/>
    <n v="0"/>
    <n v="0"/>
    <s v="EUR"/>
    <m/>
    <s v="EXP20260624-2817574-"/>
    <s v="EXP20260624-2817574-"/>
    <s v="00L0NDZ4"/>
    <s v="GUILLOIS CLEMENTINE"/>
    <s v="19 RUE DE SAINT MALO"/>
    <m/>
    <m/>
    <n v="35000"/>
    <s v="RENNES"/>
    <s v="FR"/>
    <s v="France"/>
    <m/>
  </r>
  <r>
    <x v="0"/>
    <n v="0"/>
    <n v="0"/>
    <n v="0"/>
    <n v="1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299"/>
    <n v="2604000202"/>
    <m/>
    <n v="0"/>
    <n v="1"/>
    <n v="0"/>
    <n v="0.9"/>
    <s v="KG"/>
    <n v="0"/>
    <n v="0"/>
    <n v="0"/>
    <n v="0"/>
    <n v="0"/>
    <n v="0"/>
    <n v="0"/>
    <s v="EUR"/>
    <m/>
    <s v="EXP20260624-2816310-"/>
    <s v="EXP20260624-2816310-"/>
    <s v="00L0NDZ3"/>
    <s v="BOUVIER KAREEN"/>
    <s v="251 CHEMIN DE SAINTE CLAIRE"/>
    <m/>
    <m/>
    <n v="6570"/>
    <s v="SAINT-PAUL-DE-VENCE"/>
    <s v="FR"/>
    <s v="France"/>
    <m/>
  </r>
  <r>
    <x v="0"/>
    <n v="0"/>
    <n v="0"/>
    <n v="0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293"/>
    <n v="2604000201"/>
    <m/>
    <n v="0"/>
    <n v="1"/>
    <n v="0"/>
    <n v="1.1200000000000001"/>
    <s v="KG"/>
    <n v="0"/>
    <n v="0"/>
    <n v="0"/>
    <n v="0"/>
    <n v="0"/>
    <n v="0"/>
    <n v="0"/>
    <s v="EUR"/>
    <m/>
    <s v="EXP20260624-2816171-"/>
    <s v="EXP20260624-2816171-"/>
    <s v="00L0NDZ2"/>
    <s v="CHEZ MARTIN PHILIPPE"/>
    <s v="1 RUE DU MARAIS"/>
    <m/>
    <m/>
    <n v="25210"/>
    <s v="LE RUSSEY"/>
    <s v="FR"/>
    <s v="France"/>
    <m/>
  </r>
  <r>
    <x v="0"/>
    <n v="0"/>
    <n v="0"/>
    <n v="0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294"/>
    <n v="2604000200"/>
    <m/>
    <n v="0"/>
    <n v="1"/>
    <n v="0"/>
    <n v="1.1599999999999999"/>
    <s v="KG"/>
    <n v="0"/>
    <n v="0"/>
    <n v="0"/>
    <n v="0"/>
    <n v="0"/>
    <n v="0"/>
    <n v="0"/>
    <s v="EUR"/>
    <m/>
    <s v="EXP20260624-2816923-"/>
    <s v="EXP20260624-2816923-"/>
    <s v="00L0NDZ1"/>
    <s v="KOPFF-MAES GASPARD"/>
    <s v="19 AVENUE DUQUESNE"/>
    <m/>
    <m/>
    <n v="75007"/>
    <s v="PARIS"/>
    <s v="FR"/>
    <s v="France"/>
    <m/>
  </r>
  <r>
    <x v="0"/>
    <n v="0"/>
    <n v="0"/>
    <n v="0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315"/>
    <n v="2604000199"/>
    <m/>
    <n v="0"/>
    <n v="1"/>
    <n v="0"/>
    <n v="1.94"/>
    <s v="KG"/>
    <n v="0"/>
    <n v="0"/>
    <n v="0"/>
    <n v="0"/>
    <n v="0"/>
    <n v="0"/>
    <n v="0"/>
    <s v="EUR"/>
    <m/>
    <s v="EXP20260624-2816312-"/>
    <s v="EXP20260624-2816312-"/>
    <s v="00L0NDZ0"/>
    <s v="HERBOMEL GAETAN"/>
    <s v="242 BIS ROUTE D'EAUNES"/>
    <m/>
    <m/>
    <n v="31600"/>
    <s v="MURET"/>
    <s v="FR"/>
    <s v="France"/>
    <m/>
  </r>
  <r>
    <x v="0"/>
    <n v="0"/>
    <n v="0"/>
    <n v="0"/>
    <n v="3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310"/>
    <n v="2604000198"/>
    <m/>
    <n v="0"/>
    <n v="1"/>
    <n v="0"/>
    <n v="2.68"/>
    <s v="KG"/>
    <n v="0"/>
    <n v="0"/>
    <n v="0"/>
    <n v="0"/>
    <n v="0"/>
    <n v="0"/>
    <n v="0"/>
    <s v="EUR"/>
    <m/>
    <s v="EXP20260624-2816711-"/>
    <s v="EXP20260624-2816711-"/>
    <s v="00L0NDYZ"/>
    <s v="FORMOSA GERALDINE"/>
    <s v="34 CHEMIN DES BASTIDES"/>
    <m/>
    <m/>
    <n v="13960"/>
    <s v="SAUSSET-LES-PINS"/>
    <s v="FR"/>
    <s v="France"/>
    <m/>
  </r>
  <r>
    <x v="0"/>
    <n v="0"/>
    <n v="0"/>
    <n v="0"/>
    <n v="1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300"/>
    <n v="2604000197"/>
    <m/>
    <n v="0"/>
    <n v="1"/>
    <n v="0"/>
    <n v="0.8"/>
    <s v="KG"/>
    <n v="0"/>
    <n v="0"/>
    <n v="0"/>
    <n v="0"/>
    <n v="0"/>
    <n v="0"/>
    <n v="0"/>
    <s v="EUR"/>
    <m/>
    <s v="EXP20260624-2816457-"/>
    <s v="EXP20260624-2816457-"/>
    <s v="00L0NDYY"/>
    <s v="PLANTIER PASCALE"/>
    <s v="11 PLACE GABRIEL PERI"/>
    <m/>
    <m/>
    <n v="69007"/>
    <s v="LYON"/>
    <s v="FR"/>
    <s v="France"/>
    <m/>
  </r>
  <r>
    <x v="0"/>
    <n v="0"/>
    <n v="0"/>
    <n v="0"/>
    <n v="1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303"/>
    <n v="2604000196"/>
    <m/>
    <n v="0"/>
    <n v="1"/>
    <n v="0"/>
    <n v="0.46"/>
    <s v="KG"/>
    <n v="0"/>
    <n v="0"/>
    <n v="0"/>
    <n v="0"/>
    <n v="0"/>
    <n v="0"/>
    <n v="0"/>
    <s v="EUR"/>
    <m/>
    <s v="EXP20260624-2816713-"/>
    <s v="EXP20260624-2816713-"/>
    <s v="00L0NDYX"/>
    <s v="HAYERE LOLA"/>
    <s v="10 RUE CARDINAL PAUL GOUYON"/>
    <m/>
    <m/>
    <n v="35000"/>
    <s v="RENNES"/>
    <s v="FR"/>
    <s v="France"/>
    <m/>
  </r>
  <r>
    <x v="0"/>
    <n v="0"/>
    <n v="0"/>
    <n v="0"/>
    <n v="1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304"/>
    <n v="2604000195"/>
    <m/>
    <n v="0"/>
    <n v="1"/>
    <n v="0"/>
    <n v="0.44"/>
    <s v="KG"/>
    <n v="0"/>
    <n v="0"/>
    <n v="0"/>
    <n v="0"/>
    <n v="0"/>
    <n v="0"/>
    <n v="0"/>
    <s v="EUR"/>
    <m/>
    <s v="EXP20260624-2816925-"/>
    <s v="EXP20260624-2816925-"/>
    <s v="00L0NDYW"/>
    <s v="FOREST BOITEAU LAURA"/>
    <s v="10 RUE DU GRENACHE, 34130 LANS"/>
    <m/>
    <m/>
    <n v="34130"/>
    <s v="LANSARGUES"/>
    <s v="FR"/>
    <s v="France"/>
    <m/>
  </r>
  <r>
    <x v="0"/>
    <n v="0"/>
    <n v="0"/>
    <n v="0"/>
    <n v="7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309"/>
    <n v="2604000194"/>
    <m/>
    <n v="0"/>
    <n v="1"/>
    <n v="0"/>
    <n v="6.12"/>
    <s v="KG"/>
    <n v="0"/>
    <n v="0"/>
    <n v="0"/>
    <n v="0"/>
    <n v="0"/>
    <n v="0"/>
    <n v="0"/>
    <s v="EUR"/>
    <m/>
    <s v="EXP20260624-2816924-"/>
    <s v="EXP20260624-2816924-"/>
    <s v="00L0NDYV"/>
    <s v="BUON PEGGY"/>
    <s v="1644 CHEMIN DE DAUBOEUF"/>
    <m/>
    <m/>
    <n v="14800"/>
    <s v="TOUQUES"/>
    <s v="FR"/>
    <s v="France"/>
    <m/>
  </r>
  <r>
    <x v="0"/>
    <n v="0"/>
    <n v="0"/>
    <n v="0"/>
    <n v="2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316"/>
    <n v="2604000193"/>
    <m/>
    <n v="0"/>
    <n v="1"/>
    <n v="0"/>
    <n v="1.78"/>
    <s v="KG"/>
    <n v="0"/>
    <n v="0"/>
    <n v="0"/>
    <n v="0"/>
    <n v="0"/>
    <n v="0"/>
    <n v="0"/>
    <s v="EUR"/>
    <m/>
    <s v="EXP20260624-2816926-"/>
    <s v="EXP20260624-2816926-"/>
    <s v="00L0NDYU"/>
    <s v="MIRAMOND CAMILLE"/>
    <s v="83 ALLEE DES GOELANDS"/>
    <m/>
    <m/>
    <n v="34280"/>
    <s v="LA GRANDE MOTTE"/>
    <s v="FR"/>
    <s v="France"/>
    <m/>
  </r>
  <r>
    <x v="0"/>
    <n v="0"/>
    <n v="0"/>
    <n v="0"/>
    <n v="1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305"/>
    <n v="2604000192"/>
    <m/>
    <n v="0"/>
    <n v="1"/>
    <n v="0"/>
    <n v="0.46"/>
    <s v="KG"/>
    <n v="0"/>
    <n v="0"/>
    <n v="0"/>
    <n v="0"/>
    <n v="0"/>
    <n v="0"/>
    <n v="0"/>
    <s v="EUR"/>
    <m/>
    <s v="EXP20260624-2816311-"/>
    <s v="EXP20260624-2816311-"/>
    <s v="00L0NDYT"/>
    <s v="MARTIN ELISE"/>
    <s v="10 RUE DES COURTISANES"/>
    <m/>
    <m/>
    <n v="37100"/>
    <s v="TOURS"/>
    <s v="FR"/>
    <s v="France"/>
    <m/>
  </r>
  <r>
    <x v="0"/>
    <n v="0"/>
    <n v="0"/>
    <n v="0"/>
    <n v="1"/>
    <n v="2501382993"/>
    <n v="103026473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20"/>
    <s v="25.06.2026"/>
    <x v="301"/>
    <n v="2604000191"/>
    <m/>
    <n v="0"/>
    <n v="1"/>
    <n v="0"/>
    <n v="0.84"/>
    <s v="KG"/>
    <n v="0"/>
    <n v="0"/>
    <n v="0"/>
    <n v="0"/>
    <n v="0"/>
    <n v="0"/>
    <n v="0"/>
    <s v="EUR"/>
    <m/>
    <s v="EXP20260624-2816313-"/>
    <s v="EXP20260624-2816313-"/>
    <s v="00L0NDYS"/>
    <s v="MARTINENGO AUDREY"/>
    <s v="185 ALLEE DES CYPRES"/>
    <m/>
    <m/>
    <n v="69760"/>
    <s v="LIMONEST"/>
    <s v="FR"/>
    <s v="France"/>
    <m/>
  </r>
  <r>
    <x v="0"/>
    <n v="0"/>
    <n v="0"/>
    <n v="0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46"/>
    <s v="26.06.2026"/>
    <x v="327"/>
    <n v="2604000228"/>
    <m/>
    <n v="0"/>
    <n v="1"/>
    <n v="0"/>
    <n v="1.1100000000000001"/>
    <s v="KG"/>
    <n v="0"/>
    <n v="0"/>
    <n v="0"/>
    <n v="0"/>
    <n v="0"/>
    <n v="0"/>
    <n v="0"/>
    <s v="EUR"/>
    <m/>
    <s v="EXP20260625-2820004-"/>
    <s v="EXP20260625-2820004-"/>
    <s v="00L0NDZT"/>
    <s v="PORRECA CLAIRE"/>
    <s v="17 RUE DES FETES"/>
    <m/>
    <m/>
    <n v="75019"/>
    <s v="PARIS"/>
    <s v="FR"/>
    <s v="France"/>
    <m/>
  </r>
  <r>
    <x v="0"/>
    <n v="0"/>
    <n v="0"/>
    <n v="0"/>
    <n v="5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46"/>
    <s v="26.06.2026"/>
    <x v="328"/>
    <n v="2604000227"/>
    <m/>
    <n v="0"/>
    <n v="1"/>
    <n v="0"/>
    <n v="4.4000000000000004"/>
    <s v="KG"/>
    <n v="0"/>
    <n v="0"/>
    <n v="0"/>
    <n v="0"/>
    <n v="0"/>
    <n v="0"/>
    <n v="0"/>
    <s v="EUR"/>
    <m/>
    <s v="EXP20260625-2819204-"/>
    <s v="EXP20260625-2819204-"/>
    <s v="00L0NDZS"/>
    <s v="DESAINT DOROTHEE"/>
    <s v="586 BOIS D'ACHELLES"/>
    <m/>
    <m/>
    <n v="59910"/>
    <s v="BONDUES"/>
    <s v="FR"/>
    <s v="France"/>
    <m/>
  </r>
  <r>
    <x v="0"/>
    <n v="0"/>
    <n v="0"/>
    <n v="0"/>
    <n v="3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46"/>
    <s v="26.06.2026"/>
    <x v="329"/>
    <n v="2604000226"/>
    <m/>
    <n v="0"/>
    <n v="1"/>
    <n v="0"/>
    <n v="2.34"/>
    <s v="KG"/>
    <n v="0"/>
    <n v="0"/>
    <n v="0"/>
    <n v="0"/>
    <n v="0"/>
    <n v="0"/>
    <n v="0"/>
    <s v="EUR"/>
    <m/>
    <s v="EXP20260625-2819884-"/>
    <s v="EXP20260625-2819884-"/>
    <s v="00L0NDZR"/>
    <s v="BOULANGER ADELINE"/>
    <s v="12 RUE DE LA FOULERIE, 28000 C"/>
    <m/>
    <m/>
    <n v="28000"/>
    <s v="CHARTRES"/>
    <s v="FR"/>
    <s v="France"/>
    <m/>
  </r>
  <r>
    <x v="0"/>
    <n v="0"/>
    <n v="0"/>
    <n v="0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46"/>
    <s v="26.06.2026"/>
    <x v="330"/>
    <n v="2604000225"/>
    <m/>
    <n v="0"/>
    <n v="1"/>
    <n v="0"/>
    <n v="1.22"/>
    <s v="KG"/>
    <n v="0"/>
    <n v="0"/>
    <n v="0"/>
    <n v="0"/>
    <n v="0"/>
    <n v="0"/>
    <n v="0"/>
    <s v="EUR"/>
    <m/>
    <s v="EXP20260625-2818054-"/>
    <s v="EXP20260625-2818054-"/>
    <s v="00L0NDZQ"/>
    <s v="TRUONG CECILE"/>
    <s v="5 RUE ANTOINE BOISSON, 70200 L"/>
    <m/>
    <m/>
    <n v="70200"/>
    <s v="LURE"/>
    <s v="FR"/>
    <s v="France"/>
    <m/>
  </r>
  <r>
    <x v="0"/>
    <n v="0"/>
    <n v="0"/>
    <n v="0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46"/>
    <s v="26.06.2026"/>
    <x v="331"/>
    <n v="2604000224"/>
    <m/>
    <n v="0"/>
    <n v="1"/>
    <n v="0"/>
    <n v="1.24"/>
    <s v="KG"/>
    <n v="0"/>
    <n v="0"/>
    <n v="0"/>
    <n v="0"/>
    <n v="0"/>
    <n v="0"/>
    <n v="0"/>
    <s v="EUR"/>
    <m/>
    <s v="EXP20260625-2818481-"/>
    <s v="EXP20260625-2818481-"/>
    <s v="00L0NDZP"/>
    <s v="GIZARD CLAIRE"/>
    <s v="7 BOULEVARD DOUVILLE"/>
    <m/>
    <m/>
    <n v="35400"/>
    <s v="SAINT-MALO"/>
    <s v="FR"/>
    <s v="France"/>
    <m/>
  </r>
  <r>
    <x v="0"/>
    <n v="0"/>
    <n v="0"/>
    <n v="0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46"/>
    <s v="26.06.2026"/>
    <x v="332"/>
    <n v="2604000223"/>
    <m/>
    <n v="0"/>
    <n v="1"/>
    <n v="0"/>
    <n v="1.72"/>
    <s v="KG"/>
    <n v="0"/>
    <n v="0"/>
    <n v="0"/>
    <n v="0"/>
    <n v="0"/>
    <n v="0"/>
    <n v="0"/>
    <s v="EUR"/>
    <m/>
    <s v="EXP20260625-2818478-"/>
    <s v="EXP20260625-2818478-"/>
    <s v="00L0NDZO"/>
    <s v="LE HELIAS LAURENCE"/>
    <s v="18 BRUE DE LA CROIX"/>
    <m/>
    <m/>
    <n v="44120"/>
    <s v="VERTOU"/>
    <s v="FR"/>
    <s v="France"/>
    <m/>
  </r>
  <r>
    <x v="0"/>
    <n v="0"/>
    <n v="0"/>
    <n v="0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46"/>
    <s v="26.06.2026"/>
    <x v="333"/>
    <n v="2604000222"/>
    <m/>
    <n v="0"/>
    <n v="1"/>
    <n v="0"/>
    <n v="1.22"/>
    <s v="KG"/>
    <n v="0"/>
    <n v="0"/>
    <n v="0"/>
    <n v="0"/>
    <n v="0"/>
    <n v="0"/>
    <n v="0"/>
    <s v="EUR"/>
    <m/>
    <s v="EXP20260625-2818055-"/>
    <s v="EXP20260625-2818055-"/>
    <s v="00L0NDZN"/>
    <s v="CHARROIN FANNY"/>
    <s v="10 COURSIERE DES VIGNES"/>
    <m/>
    <m/>
    <n v="42480"/>
    <s v="LA FOUILLOUSE"/>
    <s v="FR"/>
    <s v="France"/>
    <m/>
  </r>
  <r>
    <x v="0"/>
    <n v="0"/>
    <n v="0"/>
    <n v="0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46"/>
    <s v="26.06.2026"/>
    <x v="334"/>
    <n v="2604000221"/>
    <m/>
    <n v="0"/>
    <n v="1"/>
    <n v="0"/>
    <n v="1.26"/>
    <s v="KG"/>
    <n v="0"/>
    <n v="0"/>
    <n v="0"/>
    <n v="0"/>
    <n v="0"/>
    <n v="0"/>
    <n v="0"/>
    <s v="EUR"/>
    <m/>
    <s v="EXP20260625-2818479-"/>
    <s v="EXP20260625-2818479-"/>
    <s v="00L0NDZM"/>
    <s v="RAMOS ELOISE"/>
    <s v="744 ROUTE DU BADET"/>
    <m/>
    <m/>
    <n v="40230"/>
    <s v="ST JEAN DE MARSACQ"/>
    <s v="FR"/>
    <s v="France"/>
    <m/>
  </r>
  <r>
    <x v="0"/>
    <n v="0"/>
    <n v="0"/>
    <n v="0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46"/>
    <s v="26.06.2026"/>
    <x v="335"/>
    <n v="2604000220"/>
    <m/>
    <n v="0"/>
    <n v="1"/>
    <n v="0"/>
    <n v="1.1100000000000001"/>
    <s v="KG"/>
    <n v="0"/>
    <n v="0"/>
    <n v="0"/>
    <n v="0"/>
    <n v="0"/>
    <n v="0"/>
    <n v="0"/>
    <s v="EUR"/>
    <m/>
    <s v="EXP20260625-2818480-"/>
    <s v="EXP20260625-2818480-"/>
    <s v="00L0NDZL"/>
    <s v="GUEUGNIER MARIE"/>
    <s v="70 RUE DE PARIS"/>
    <m/>
    <m/>
    <n v="92100"/>
    <s v="BOULOGNE BILLANCOURT"/>
    <s v="FR"/>
    <s v="France"/>
    <m/>
  </r>
  <r>
    <x v="0"/>
    <n v="0"/>
    <n v="0"/>
    <n v="0"/>
    <n v="3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46"/>
    <s v="26.06.2026"/>
    <x v="336"/>
    <n v="2604000219"/>
    <m/>
    <n v="0"/>
    <n v="1"/>
    <n v="0"/>
    <n v="2.36"/>
    <s v="KG"/>
    <n v="0"/>
    <n v="0"/>
    <n v="0"/>
    <n v="0"/>
    <n v="0"/>
    <n v="0"/>
    <n v="0"/>
    <s v="EUR"/>
    <m/>
    <s v="EXP20260625-2818256-"/>
    <s v="EXP20260625-2818256-"/>
    <s v="00L0NDZK"/>
    <s v="POIROT SOPHIE"/>
    <s v="7 BIS RUE DU GENERAL DE GAULLE"/>
    <m/>
    <m/>
    <n v="24400"/>
    <s v="MUSSIDAN"/>
    <s v="FR"/>
    <s v="France"/>
    <m/>
  </r>
  <r>
    <x v="0"/>
    <n v="0"/>
    <n v="0"/>
    <n v="0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46"/>
    <s v="26.06.2026"/>
    <x v="337"/>
    <n v="2604000218"/>
    <m/>
    <n v="0"/>
    <n v="1"/>
    <n v="0"/>
    <n v="1.3"/>
    <s v="KG"/>
    <n v="0"/>
    <n v="0"/>
    <n v="0"/>
    <n v="0"/>
    <n v="0"/>
    <n v="0"/>
    <n v="0"/>
    <s v="EUR"/>
    <m/>
    <s v="EXP20260625-2818131-"/>
    <s v="EXP20260625-2818131-"/>
    <s v="00L0NDZJ"/>
    <s v="BOUTROT SOPHIE"/>
    <s v="11 AVENUE DE ROHAN"/>
    <m/>
    <m/>
    <n v="17640"/>
    <s v="VAUX-SUR-MER"/>
    <s v="FR"/>
    <s v="France"/>
    <m/>
  </r>
  <r>
    <x v="0"/>
    <n v="0"/>
    <n v="0"/>
    <n v="0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46"/>
    <s v="26.06.2026"/>
    <x v="338"/>
    <n v="2604000217"/>
    <m/>
    <n v="0"/>
    <n v="1"/>
    <n v="0"/>
    <n v="1.1100000000000001"/>
    <s v="KG"/>
    <n v="0"/>
    <n v="0"/>
    <n v="0"/>
    <n v="0"/>
    <n v="0"/>
    <n v="0"/>
    <n v="0"/>
    <s v="EUR"/>
    <m/>
    <s v="EXP20260625-2818130-"/>
    <s v="EXP20260625-2818130-"/>
    <s v="00L0NDZI"/>
    <s v="MEYER AGATHE"/>
    <s v="13 RUE RAYMOND POINCARE, 77400"/>
    <m/>
    <m/>
    <n v="77400"/>
    <s v="THORIGNY-SUR-MARNE"/>
    <s v="FR"/>
    <s v="France"/>
    <m/>
  </r>
  <r>
    <x v="0"/>
    <n v="0"/>
    <n v="0"/>
    <n v="0"/>
    <n v="1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46"/>
    <s v="26.06.2026"/>
    <x v="339"/>
    <n v="2604000216"/>
    <m/>
    <n v="0"/>
    <n v="1"/>
    <n v="0"/>
    <n v="0.52"/>
    <s v="KG"/>
    <n v="0"/>
    <n v="0"/>
    <n v="0"/>
    <n v="0"/>
    <n v="0"/>
    <n v="0"/>
    <n v="0"/>
    <s v="EUR"/>
    <m/>
    <s v="EXP20260625-2818685-"/>
    <s v="EXP20260625-2818685-"/>
    <s v="00L0NDZH"/>
    <s v="BRONET COSETTE"/>
    <s v="10 CHEMIN DE CALES"/>
    <m/>
    <m/>
    <n v="31250"/>
    <s v="REVEL"/>
    <s v="FR"/>
    <s v="France"/>
    <m/>
  </r>
  <r>
    <x v="0"/>
    <n v="0"/>
    <n v="0"/>
    <n v="0"/>
    <n v="1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46"/>
    <s v="26.06.2026"/>
    <x v="340"/>
    <n v="2604000215"/>
    <m/>
    <n v="0"/>
    <n v="1"/>
    <n v="0"/>
    <n v="0.84"/>
    <s v="KG"/>
    <n v="0"/>
    <n v="0"/>
    <n v="0"/>
    <n v="0"/>
    <n v="0"/>
    <n v="0"/>
    <n v="0"/>
    <s v="EUR"/>
    <m/>
    <s v="EXP20260625-2818684-"/>
    <s v="EXP20260625-2818684-"/>
    <s v="00L0NDZG"/>
    <s v="LACHEVRE MELANIE"/>
    <s v="23 RUE ESCARPEE"/>
    <m/>
    <m/>
    <n v="76600"/>
    <s v="LE HAVRE"/>
    <s v="FR"/>
    <s v="France"/>
    <m/>
  </r>
  <r>
    <x v="0"/>
    <n v="7.4300000000000006"/>
    <n v="1.64"/>
    <n v="5.7900000000000009"/>
    <n v="3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251"/>
    <s v="26.06.2026"/>
    <x v="341"/>
    <n v="2604000236"/>
    <m/>
    <n v="0"/>
    <n v="0"/>
    <n v="0"/>
    <n v="0"/>
    <s v="KG"/>
    <n v="4.74"/>
    <n v="0.9"/>
    <n v="0.15"/>
    <n v="29.1"/>
    <n v="1.64"/>
    <n v="0"/>
    <n v="0"/>
    <s v="EUR"/>
    <m/>
    <s v="EXP20260625-2819886-"/>
    <s v="EXP20260625-2819886-"/>
    <s v="00L0NE01"/>
    <s v="LA MASTRA MARION"/>
    <s v="6 RUE DE LA VILLAGEOISE"/>
    <m/>
    <m/>
    <n v="94110"/>
    <s v="ARCUEIL"/>
    <s v="FR"/>
    <s v="France"/>
    <m/>
  </r>
  <r>
    <x v="0"/>
    <n v="8.870000000000001"/>
    <n v="1.96"/>
    <n v="6.910000000000001"/>
    <n v="5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9"/>
    <s v="Business Parcel - Dis. 01 - Size 09"/>
    <s v="PARCEDOMESSTANDARD"/>
    <m/>
    <n v="252"/>
    <s v="26.06.2026"/>
    <x v="328"/>
    <n v="2604000227"/>
    <m/>
    <n v="0"/>
    <n v="0"/>
    <n v="0"/>
    <n v="0"/>
    <s v="KG"/>
    <n v="5.86"/>
    <n v="0.9"/>
    <n v="0.15"/>
    <n v="29.1"/>
    <n v="1.96"/>
    <n v="0"/>
    <n v="0"/>
    <s v="EUR"/>
    <m/>
    <s v="EXP20260625-2819204-"/>
    <s v="EXP20260625-2819204-"/>
    <s v="00L0NDZS"/>
    <s v="DESAINT DOROTHEE"/>
    <s v="586 BOIS D'ACHELLES"/>
    <m/>
    <m/>
    <n v="59910"/>
    <s v="BONDUES"/>
    <s v="FR"/>
    <s v="France"/>
    <m/>
  </r>
  <r>
    <x v="0"/>
    <n v="0"/>
    <n v="0"/>
    <n v="0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46"/>
    <s v="26.06.2026"/>
    <x v="342"/>
    <n v="2604000229"/>
    <m/>
    <n v="0"/>
    <n v="1"/>
    <n v="0"/>
    <n v="1.18"/>
    <s v="KG"/>
    <n v="0"/>
    <n v="0"/>
    <n v="0"/>
    <n v="0"/>
    <n v="0"/>
    <n v="0"/>
    <n v="0"/>
    <s v="EUR"/>
    <m/>
    <s v="EXP20260625-2819276-"/>
    <s v="EXP20260625-2819276-"/>
    <s v="00L0NDZU"/>
    <s v="LE HINGRAT JUSTINE"/>
    <s v="6 LA VILLE RICHARD, 22240 PLUR"/>
    <m/>
    <m/>
    <n v="22240"/>
    <s v="PLURIEN"/>
    <s v="FR"/>
    <s v="France"/>
    <m/>
  </r>
  <r>
    <x v="0"/>
    <n v="0"/>
    <n v="0"/>
    <n v="0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46"/>
    <s v="26.06.2026"/>
    <x v="343"/>
    <n v="2604000230"/>
    <m/>
    <n v="0"/>
    <n v="1"/>
    <n v="0"/>
    <n v="1.1599999999999999"/>
    <s v="KG"/>
    <n v="0"/>
    <n v="0"/>
    <n v="0"/>
    <n v="0"/>
    <n v="0"/>
    <n v="0"/>
    <n v="0"/>
    <s v="EUR"/>
    <m/>
    <s v="EXP20260625-2819121-"/>
    <s v="EXP20260625-2819121-"/>
    <s v="00L0NDZV"/>
    <s v="KERHOAS ELSA"/>
    <s v="1 IMPASSE DE KERLEREC"/>
    <m/>
    <m/>
    <n v="29000"/>
    <s v="QUIMPER"/>
    <s v="FR"/>
    <s v="France"/>
    <m/>
  </r>
  <r>
    <x v="0"/>
    <n v="0"/>
    <n v="0"/>
    <n v="0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46"/>
    <s v="26.06.2026"/>
    <x v="344"/>
    <n v="2604000231"/>
    <m/>
    <n v="0"/>
    <n v="1"/>
    <n v="0"/>
    <n v="1.2"/>
    <s v="KG"/>
    <n v="0"/>
    <n v="0"/>
    <n v="0"/>
    <n v="0"/>
    <n v="0"/>
    <n v="0"/>
    <n v="0"/>
    <s v="EUR"/>
    <m/>
    <s v="EXP20260625-2819275-"/>
    <s v="EXP20260625-2819275-"/>
    <s v="00L0NDZW"/>
    <s v="SONIA LEPVRAUD"/>
    <s v="25 RUE BOULBONNE"/>
    <m/>
    <m/>
    <n v="31000"/>
    <s v="TOULOUSE"/>
    <s v="FR"/>
    <s v="France"/>
    <m/>
  </r>
  <r>
    <x v="0"/>
    <n v="0"/>
    <n v="0"/>
    <n v="0"/>
    <n v="1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46"/>
    <s v="26.06.2026"/>
    <x v="345"/>
    <n v="2604000232"/>
    <m/>
    <n v="0"/>
    <n v="1"/>
    <n v="0"/>
    <n v="0.62"/>
    <s v="KG"/>
    <n v="0"/>
    <n v="0"/>
    <n v="0"/>
    <n v="0"/>
    <n v="0"/>
    <n v="0"/>
    <n v="0"/>
    <s v="EUR"/>
    <m/>
    <s v="EXP20260625-2819885-"/>
    <s v="EXP20260625-2819885-"/>
    <s v="00L0NDZX"/>
    <s v="MARVILLE LYVIA"/>
    <s v="15 MAIL PABLO PICASSO"/>
    <m/>
    <m/>
    <n v="44000"/>
    <s v="NANTES"/>
    <s v="FR"/>
    <s v="France"/>
    <m/>
  </r>
  <r>
    <x v="0"/>
    <n v="0"/>
    <n v="0"/>
    <n v="0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46"/>
    <s v="26.06.2026"/>
    <x v="346"/>
    <n v="2604000233"/>
    <m/>
    <n v="0"/>
    <n v="1"/>
    <n v="0"/>
    <n v="1.96"/>
    <s v="KG"/>
    <n v="0"/>
    <n v="0"/>
    <n v="0"/>
    <n v="0"/>
    <n v="0"/>
    <n v="0"/>
    <n v="0"/>
    <s v="EUR"/>
    <m/>
    <s v="EXP20260625-2819120-"/>
    <s v="EXP20260625-2819120-"/>
    <s v="00L0NDZY"/>
    <s v="GILET AGATHE"/>
    <s v="8 RUE BERTHE SAVERY"/>
    <m/>
    <m/>
    <n v="35000"/>
    <s v="RENNES"/>
    <s v="FR"/>
    <s v="France"/>
    <m/>
  </r>
  <r>
    <x v="0"/>
    <n v="0"/>
    <n v="0"/>
    <n v="0"/>
    <n v="3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46"/>
    <s v="26.06.2026"/>
    <x v="347"/>
    <n v="2604000234"/>
    <m/>
    <n v="0"/>
    <n v="1"/>
    <n v="0"/>
    <n v="2.66"/>
    <s v="KG"/>
    <n v="0"/>
    <n v="0"/>
    <n v="0"/>
    <n v="0"/>
    <n v="0"/>
    <n v="0"/>
    <n v="0"/>
    <s v="EUR"/>
    <m/>
    <s v="EXP20260625-2820002-"/>
    <s v="EXP20260625-2820002-"/>
    <s v="00L0NDZZ"/>
    <s v="ADELINE PORCHERIE"/>
    <s v="25 ROUTE DE LA COMBETTE LOT LE"/>
    <m/>
    <m/>
    <n v="1170"/>
    <s v="VESANCY"/>
    <s v="FR"/>
    <s v="France"/>
    <m/>
  </r>
  <r>
    <x v="0"/>
    <n v="0"/>
    <n v="0"/>
    <n v="0"/>
    <n v="5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46"/>
    <s v="26.06.2026"/>
    <x v="348"/>
    <n v="2604000235"/>
    <m/>
    <n v="0"/>
    <n v="1"/>
    <n v="0"/>
    <n v="5"/>
    <s v="KG"/>
    <n v="0"/>
    <n v="0"/>
    <n v="0"/>
    <n v="0"/>
    <n v="0"/>
    <n v="0"/>
    <n v="0"/>
    <s v="EUR"/>
    <m/>
    <s v="EXP20260625-2819710-"/>
    <s v="EXP20260625-2819710-"/>
    <s v="00L0NE00"/>
    <s v="BONNIN PATRICK"/>
    <s v="5 ALLEE DES CHARMES"/>
    <m/>
    <m/>
    <n v="33500"/>
    <s v="LIBOURNE"/>
    <s v="FR"/>
    <s v="France"/>
    <m/>
  </r>
  <r>
    <x v="0"/>
    <n v="0"/>
    <n v="0"/>
    <n v="0"/>
    <n v="3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46"/>
    <s v="26.06.2026"/>
    <x v="341"/>
    <n v="2604000236"/>
    <m/>
    <n v="0"/>
    <n v="1"/>
    <n v="0"/>
    <n v="2.48"/>
    <s v="KG"/>
    <n v="0"/>
    <n v="0"/>
    <n v="0"/>
    <n v="0"/>
    <n v="0"/>
    <n v="0"/>
    <n v="0"/>
    <s v="EUR"/>
    <m/>
    <s v="EXP20260625-2819886-"/>
    <s v="EXP20260625-2819886-"/>
    <s v="00L0NE01"/>
    <s v="LA MASTRA MARION"/>
    <s v="6 RUE DE LA VILLAGEOISE"/>
    <m/>
    <m/>
    <n v="94110"/>
    <s v="ARCUEIL"/>
    <s v="FR"/>
    <s v="France"/>
    <m/>
  </r>
  <r>
    <x v="0"/>
    <n v="0"/>
    <n v="0"/>
    <n v="0"/>
    <n v="1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46"/>
    <s v="26.06.2026"/>
    <x v="349"/>
    <n v="2604000237"/>
    <m/>
    <n v="0"/>
    <n v="1"/>
    <n v="0"/>
    <n v="0.88"/>
    <s v="KG"/>
    <n v="0"/>
    <n v="0"/>
    <n v="0"/>
    <n v="0"/>
    <n v="0"/>
    <n v="0"/>
    <n v="0"/>
    <s v="EUR"/>
    <m/>
    <s v="EXP20260625-2819635-"/>
    <s v="EXP20260625-2819635-"/>
    <s v="00L0NE02"/>
    <s v="DUCHESNE MATHILDE"/>
    <s v="8 RUE FERDINAND BUISSON"/>
    <m/>
    <m/>
    <n v="87000"/>
    <s v="LIMOGES"/>
    <s v="FR"/>
    <s v="France"/>
    <m/>
  </r>
  <r>
    <x v="0"/>
    <n v="0"/>
    <n v="0"/>
    <n v="0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46"/>
    <s v="26.06.2026"/>
    <x v="350"/>
    <n v="2604000238"/>
    <m/>
    <n v="0"/>
    <n v="1"/>
    <n v="0"/>
    <n v="1.86"/>
    <s v="KG"/>
    <n v="0"/>
    <n v="0"/>
    <n v="0"/>
    <n v="0"/>
    <n v="0"/>
    <n v="0"/>
    <n v="0"/>
    <s v="EUR"/>
    <m/>
    <s v="EXP20260626-2820286-"/>
    <s v="EXP20260626-2820286-"/>
    <s v="00L0NE03"/>
    <s v="GALINDO ANTONIO"/>
    <s v="6 RUE DE VASSIEUX EN VERCORS"/>
    <m/>
    <m/>
    <n v="38000"/>
    <s v="GRENOBLE"/>
    <s v="FR"/>
    <s v="France"/>
    <m/>
  </r>
  <r>
    <x v="0"/>
    <n v="6.6000000000000005"/>
    <n v="1.45"/>
    <n v="5.15"/>
    <n v="1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3"/>
    <s v="Business Parcel - Dis. 01 - Size 03"/>
    <s v="PARCEDOMESSTANDARD"/>
    <m/>
    <n v="247"/>
    <s v="26.06.2026"/>
    <x v="339"/>
    <n v="2604000216"/>
    <m/>
    <n v="0"/>
    <n v="0"/>
    <n v="0"/>
    <n v="0"/>
    <s v="KG"/>
    <n v="4.0999999999999996"/>
    <n v="0.9"/>
    <n v="0.15"/>
    <n v="29.1"/>
    <n v="1.45"/>
    <n v="0"/>
    <n v="0"/>
    <s v="EUR"/>
    <m/>
    <s v="EXP20260625-2818685-"/>
    <s v="EXP20260625-2818685-"/>
    <s v="00L0NDZH"/>
    <s v="BRONET COSETTE"/>
    <s v="10 CHEMIN DE CALES"/>
    <m/>
    <m/>
    <n v="31250"/>
    <s v="REVEL"/>
    <s v="FR"/>
    <s v="France"/>
    <m/>
  </r>
  <r>
    <x v="0"/>
    <n v="6.6000000000000005"/>
    <n v="1.45"/>
    <n v="5.15"/>
    <n v="1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3"/>
    <s v="Business Parcel - Dis. 01 - Size 03"/>
    <s v="PARCEDOMESSTANDARD"/>
    <m/>
    <n v="247"/>
    <s v="26.06.2026"/>
    <x v="345"/>
    <n v="2604000232"/>
    <m/>
    <n v="0"/>
    <n v="0"/>
    <n v="0"/>
    <n v="0"/>
    <s v="KG"/>
    <n v="4.0999999999999996"/>
    <n v="0.9"/>
    <n v="0.15"/>
    <n v="29.1"/>
    <n v="1.45"/>
    <n v="0"/>
    <n v="0"/>
    <s v="EUR"/>
    <m/>
    <s v="EXP20260625-2819885-"/>
    <s v="EXP20260625-2819885-"/>
    <s v="00L0NDZX"/>
    <s v="MARVILLE LYVIA"/>
    <s v="15 MAIL PABLO PICASSO"/>
    <m/>
    <m/>
    <n v="44000"/>
    <s v="NANTES"/>
    <s v="FR"/>
    <s v="France"/>
    <m/>
  </r>
  <r>
    <x v="0"/>
    <n v="6.6000000000000005"/>
    <n v="1.45"/>
    <n v="5.15"/>
    <n v="1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248"/>
    <s v="26.06.2026"/>
    <x v="340"/>
    <n v="2604000215"/>
    <m/>
    <n v="0"/>
    <n v="0"/>
    <n v="0"/>
    <n v="0"/>
    <s v="KG"/>
    <n v="4.0999999999999996"/>
    <n v="0.9"/>
    <n v="0.15"/>
    <n v="29.1"/>
    <n v="1.45"/>
    <n v="0"/>
    <n v="0"/>
    <s v="EUR"/>
    <m/>
    <s v="EXP20260625-2818684-"/>
    <s v="EXP20260625-2818684-"/>
    <s v="00L0NDZG"/>
    <s v="LACHEVRE MELANIE"/>
    <s v="23 RUE ESCARPEE"/>
    <m/>
    <m/>
    <n v="76600"/>
    <s v="LE HAVRE"/>
    <s v="FR"/>
    <s v="France"/>
    <m/>
  </r>
  <r>
    <x v="0"/>
    <n v="6.6000000000000005"/>
    <n v="1.45"/>
    <n v="5.15"/>
    <n v="1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248"/>
    <s v="26.06.2026"/>
    <x v="349"/>
    <n v="2604000237"/>
    <m/>
    <n v="0"/>
    <n v="0"/>
    <n v="0"/>
    <n v="0"/>
    <s v="KG"/>
    <n v="4.0999999999999996"/>
    <n v="0.9"/>
    <n v="0.15"/>
    <n v="29.1"/>
    <n v="1.45"/>
    <n v="0"/>
    <n v="0"/>
    <s v="EUR"/>
    <m/>
    <s v="EXP20260625-2819635-"/>
    <s v="EXP20260625-2819635-"/>
    <s v="00L0NE02"/>
    <s v="DUCHESNE MATHILDE"/>
    <s v="8 RUE FERDINAND BUISSON"/>
    <m/>
    <m/>
    <n v="87000"/>
    <s v="LIMOGES"/>
    <s v="FR"/>
    <s v="France"/>
    <m/>
  </r>
  <r>
    <x v="0"/>
    <n v="7.0100000000000007"/>
    <n v="1.54"/>
    <n v="5.4700000000000006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49"/>
    <s v="26.06.2026"/>
    <x v="338"/>
    <n v="2604000217"/>
    <m/>
    <n v="0"/>
    <n v="0"/>
    <n v="0"/>
    <n v="0"/>
    <s v="KG"/>
    <n v="4.42"/>
    <n v="0.9"/>
    <n v="0.15"/>
    <n v="29.1"/>
    <n v="1.54"/>
    <n v="0"/>
    <n v="0"/>
    <s v="EUR"/>
    <m/>
    <s v="EXP20260625-2818130-"/>
    <s v="EXP20260625-2818130-"/>
    <s v="00L0NDZI"/>
    <s v="MEYER AGATHE"/>
    <s v="13 RUE RAYMOND POINCARE, 77400"/>
    <m/>
    <m/>
    <n v="77400"/>
    <s v="THORIGNY-SUR-MARNE"/>
    <s v="FR"/>
    <s v="France"/>
    <m/>
  </r>
  <r>
    <x v="0"/>
    <n v="7.0100000000000007"/>
    <n v="1.54"/>
    <n v="5.4700000000000006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49"/>
    <s v="26.06.2026"/>
    <x v="337"/>
    <n v="2604000218"/>
    <m/>
    <n v="0"/>
    <n v="0"/>
    <n v="0"/>
    <n v="0"/>
    <s v="KG"/>
    <n v="4.42"/>
    <n v="0.9"/>
    <n v="0.15"/>
    <n v="29.1"/>
    <n v="1.54"/>
    <n v="0"/>
    <n v="0"/>
    <s v="EUR"/>
    <m/>
    <s v="EXP20260625-2818131-"/>
    <s v="EXP20260625-2818131-"/>
    <s v="00L0NDZJ"/>
    <s v="BOUTROT SOPHIE"/>
    <s v="11 AVENUE DE ROHAN"/>
    <m/>
    <m/>
    <n v="17640"/>
    <s v="VAUX-SUR-MER"/>
    <s v="FR"/>
    <s v="France"/>
    <m/>
  </r>
  <r>
    <x v="0"/>
    <n v="7.0100000000000007"/>
    <n v="1.54"/>
    <n v="5.4700000000000006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49"/>
    <s v="26.06.2026"/>
    <x v="335"/>
    <n v="2604000220"/>
    <m/>
    <n v="0"/>
    <n v="0"/>
    <n v="0"/>
    <n v="0"/>
    <s v="KG"/>
    <n v="4.42"/>
    <n v="0.9"/>
    <n v="0.15"/>
    <n v="29.1"/>
    <n v="1.54"/>
    <n v="0"/>
    <n v="0"/>
    <s v="EUR"/>
    <m/>
    <s v="EXP20260625-2818480-"/>
    <s v="EXP20260625-2818480-"/>
    <s v="00L0NDZL"/>
    <s v="GUEUGNIER MARIE"/>
    <s v="70 RUE DE PARIS"/>
    <m/>
    <m/>
    <n v="92100"/>
    <s v="BOULOGNE BILLANCOURT"/>
    <s v="FR"/>
    <s v="France"/>
    <m/>
  </r>
  <r>
    <x v="0"/>
    <n v="7.4300000000000006"/>
    <n v="1.64"/>
    <n v="5.7900000000000009"/>
    <n v="3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251"/>
    <s v="26.06.2026"/>
    <x v="347"/>
    <n v="2604000234"/>
    <m/>
    <n v="0"/>
    <n v="0"/>
    <n v="0"/>
    <n v="0"/>
    <s v="KG"/>
    <n v="4.74"/>
    <n v="0.9"/>
    <n v="0.15"/>
    <n v="29.1"/>
    <n v="1.64"/>
    <n v="0"/>
    <n v="0"/>
    <s v="EUR"/>
    <m/>
    <s v="EXP20260625-2820002-"/>
    <s v="EXP20260625-2820002-"/>
    <s v="00L0NDZZ"/>
    <s v="ADELINE PORCHERIE"/>
    <s v="25 ROUTE DE LA COMBETTE LOT LE"/>
    <m/>
    <m/>
    <n v="1170"/>
    <s v="VESANCY"/>
    <s v="FR"/>
    <s v="France"/>
    <m/>
  </r>
  <r>
    <x v="0"/>
    <n v="7.4300000000000006"/>
    <n v="1.64"/>
    <n v="5.7900000000000009"/>
    <n v="3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251"/>
    <s v="26.06.2026"/>
    <x v="329"/>
    <n v="2604000226"/>
    <m/>
    <n v="0"/>
    <n v="0"/>
    <n v="0"/>
    <n v="0"/>
    <s v="KG"/>
    <n v="4.74"/>
    <n v="0.9"/>
    <n v="0.15"/>
    <n v="29.1"/>
    <n v="1.64"/>
    <n v="0"/>
    <n v="0"/>
    <s v="EUR"/>
    <m/>
    <s v="EXP20260625-2819884-"/>
    <s v="EXP20260625-2819884-"/>
    <s v="00L0NDZR"/>
    <s v="BOULANGER ADELINE"/>
    <s v="12 RUE DE LA FOULERIE, 28000 C"/>
    <m/>
    <m/>
    <n v="28000"/>
    <s v="CHARTRES"/>
    <s v="FR"/>
    <s v="France"/>
    <m/>
  </r>
  <r>
    <x v="0"/>
    <n v="7.4300000000000006"/>
    <n v="1.64"/>
    <n v="5.7900000000000009"/>
    <n v="3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251"/>
    <s v="26.06.2026"/>
    <x v="336"/>
    <n v="2604000219"/>
    <m/>
    <n v="0"/>
    <n v="0"/>
    <n v="0"/>
    <n v="0"/>
    <s v="KG"/>
    <n v="4.74"/>
    <n v="0.9"/>
    <n v="0.15"/>
    <n v="29.1"/>
    <n v="1.64"/>
    <n v="0"/>
    <n v="0"/>
    <s v="EUR"/>
    <m/>
    <s v="EXP20260625-2818256-"/>
    <s v="EXP20260625-2818256-"/>
    <s v="00L0NDZK"/>
    <s v="POIROT SOPHIE"/>
    <s v="7 BIS RUE DU GENERAL DE GAULLE"/>
    <m/>
    <m/>
    <n v="24400"/>
    <s v="MUSSIDAN"/>
    <s v="FR"/>
    <s v="France"/>
    <m/>
  </r>
  <r>
    <x v="0"/>
    <n v="7.0100000000000007"/>
    <n v="1.54"/>
    <n v="5.4700000000000006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250"/>
    <s v="26.06.2026"/>
    <x v="350"/>
    <n v="2604000238"/>
    <m/>
    <n v="0"/>
    <n v="0"/>
    <n v="0"/>
    <n v="0"/>
    <s v="KG"/>
    <n v="4.42"/>
    <n v="0.9"/>
    <n v="0.15"/>
    <n v="29.1"/>
    <n v="1.54"/>
    <n v="0"/>
    <n v="0"/>
    <s v="EUR"/>
    <m/>
    <s v="EXP20260626-2820286-"/>
    <s v="EXP20260626-2820286-"/>
    <s v="00L0NE03"/>
    <s v="GALINDO ANTONIO"/>
    <s v="6 RUE DE VASSIEUX EN VERCORS"/>
    <m/>
    <m/>
    <n v="38000"/>
    <s v="GRENOBLE"/>
    <s v="FR"/>
    <s v="France"/>
    <m/>
  </r>
  <r>
    <x v="0"/>
    <n v="7.0100000000000007"/>
    <n v="1.54"/>
    <n v="5.4700000000000006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250"/>
    <s v="26.06.2026"/>
    <x v="346"/>
    <n v="2604000233"/>
    <m/>
    <n v="0"/>
    <n v="0"/>
    <n v="0"/>
    <n v="0"/>
    <s v="KG"/>
    <n v="4.42"/>
    <n v="0.9"/>
    <n v="0.15"/>
    <n v="29.1"/>
    <n v="1.54"/>
    <n v="0"/>
    <n v="0"/>
    <s v="EUR"/>
    <m/>
    <s v="EXP20260625-2819120-"/>
    <s v="EXP20260625-2819120-"/>
    <s v="00L0NDZY"/>
    <s v="GILET AGATHE"/>
    <s v="8 RUE BERTHE SAVERY"/>
    <m/>
    <m/>
    <n v="35000"/>
    <s v="RENNES"/>
    <s v="FR"/>
    <s v="France"/>
    <m/>
  </r>
  <r>
    <x v="0"/>
    <n v="7.0100000000000007"/>
    <n v="1.54"/>
    <n v="5.4700000000000006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250"/>
    <s v="26.06.2026"/>
    <x v="332"/>
    <n v="2604000223"/>
    <m/>
    <n v="0"/>
    <n v="0"/>
    <n v="0"/>
    <n v="0"/>
    <s v="KG"/>
    <n v="4.42"/>
    <n v="0.9"/>
    <n v="0.15"/>
    <n v="29.1"/>
    <n v="1.54"/>
    <n v="0"/>
    <n v="0"/>
    <s v="EUR"/>
    <m/>
    <s v="EXP20260625-2818478-"/>
    <s v="EXP20260625-2818478-"/>
    <s v="00L0NDZO"/>
    <s v="LE HELIAS LAURENCE"/>
    <s v="18 BRUE DE LA CROIX"/>
    <m/>
    <m/>
    <n v="44120"/>
    <s v="VERTOU"/>
    <s v="FR"/>
    <s v="France"/>
    <m/>
  </r>
  <r>
    <x v="0"/>
    <n v="7.0100000000000007"/>
    <n v="1.54"/>
    <n v="5.4700000000000006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49"/>
    <s v="26.06.2026"/>
    <x v="344"/>
    <n v="2604000231"/>
    <m/>
    <n v="0"/>
    <n v="0"/>
    <n v="0"/>
    <n v="0"/>
    <s v="KG"/>
    <n v="4.42"/>
    <n v="0.9"/>
    <n v="0.15"/>
    <n v="29.1"/>
    <n v="1.54"/>
    <n v="0"/>
    <n v="0"/>
    <s v="EUR"/>
    <m/>
    <s v="EXP20260625-2819275-"/>
    <s v="EXP20260625-2819275-"/>
    <s v="00L0NDZW"/>
    <s v="SONIA LEPVRAUD"/>
    <s v="25 RUE BOULBONNE"/>
    <m/>
    <m/>
    <n v="31000"/>
    <s v="TOULOUSE"/>
    <s v="FR"/>
    <s v="France"/>
    <m/>
  </r>
  <r>
    <x v="0"/>
    <n v="0"/>
    <n v="0"/>
    <n v="0"/>
    <n v="1"/>
    <n v="2501382993"/>
    <n v="103026818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31"/>
    <s v="26.06.2026"/>
    <x v="351"/>
    <n v="2604000129"/>
    <m/>
    <n v="0"/>
    <n v="1"/>
    <n v="0"/>
    <n v="0.36"/>
    <s v="KG"/>
    <n v="0"/>
    <n v="0"/>
    <n v="0"/>
    <n v="0"/>
    <n v="0"/>
    <n v="0"/>
    <n v="0"/>
    <s v="EUR"/>
    <m/>
    <s v="EXP20260625-2818331-"/>
    <s v="EXP20260625-2818331-"/>
    <s v="00KUR5X1"/>
    <s v="TERRIEN AMANDINE"/>
    <s v="22 RUE DE LA BONNEAU"/>
    <m/>
    <m/>
    <n v="53200"/>
    <s v="PREE-D'ANJOU"/>
    <s v="FR"/>
    <s v="France"/>
    <m/>
  </r>
  <r>
    <x v="0"/>
    <n v="0"/>
    <n v="0"/>
    <n v="0"/>
    <n v="1"/>
    <n v="2501382993"/>
    <n v="103026818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31"/>
    <s v="26.06.2026"/>
    <x v="352"/>
    <n v="2604000130"/>
    <m/>
    <n v="0"/>
    <n v="1"/>
    <n v="0"/>
    <n v="0.5"/>
    <s v="KG"/>
    <n v="0"/>
    <n v="0"/>
    <n v="0"/>
    <n v="0"/>
    <n v="0"/>
    <n v="0"/>
    <n v="0"/>
    <s v="EUR"/>
    <m/>
    <s v="EXP20260625-2818120-"/>
    <s v="EXP20260625-2818120-"/>
    <s v="00KUR5X2"/>
    <s v="TOPAL HUSEYIN"/>
    <s v="2 RUE DE LA OBERHARTH"/>
    <m/>
    <m/>
    <n v="68000"/>
    <s v="COLMAR"/>
    <s v="FR"/>
    <s v="France"/>
    <m/>
  </r>
  <r>
    <x v="0"/>
    <n v="0"/>
    <n v="0"/>
    <n v="0"/>
    <n v="1"/>
    <n v="2501382993"/>
    <n v="103026818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31"/>
    <s v="26.06.2026"/>
    <x v="353"/>
    <n v="2604000131"/>
    <m/>
    <n v="0"/>
    <n v="1"/>
    <n v="0"/>
    <n v="0.5"/>
    <s v="KG"/>
    <n v="0"/>
    <n v="0"/>
    <n v="0"/>
    <n v="0"/>
    <n v="0"/>
    <n v="0"/>
    <n v="0"/>
    <s v="EUR"/>
    <m/>
    <s v="EXP20260625-2818541-"/>
    <s v="EXP20260625-2818541-"/>
    <s v="00KUR5X3"/>
    <s v="CHARLINE BERARD"/>
    <s v="CHEMIN SAINTE-PETRONILLE"/>
    <m/>
    <m/>
    <n v="6610"/>
    <s v="LA GAUDE"/>
    <s v="FR"/>
    <s v="France"/>
    <m/>
  </r>
  <r>
    <x v="0"/>
    <n v="0"/>
    <n v="0"/>
    <n v="0"/>
    <n v="1"/>
    <n v="2501382993"/>
    <n v="103026818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31"/>
    <s v="26.06.2026"/>
    <x v="354"/>
    <n v="2604000132"/>
    <m/>
    <n v="0"/>
    <n v="1"/>
    <n v="0"/>
    <n v="0.3"/>
    <s v="KG"/>
    <n v="0"/>
    <n v="0"/>
    <n v="0"/>
    <n v="0"/>
    <n v="0"/>
    <n v="0"/>
    <n v="0"/>
    <s v="EUR"/>
    <m/>
    <s v="EXP20260625-2818542-"/>
    <s v="EXP20260625-2818542-"/>
    <s v="00KUR5X4"/>
    <s v="MARION HUPPE GUARINO"/>
    <s v="12 SQUARE HENRY PATE"/>
    <m/>
    <m/>
    <n v="75016"/>
    <s v="PARIS"/>
    <s v="FR"/>
    <s v="France"/>
    <m/>
  </r>
  <r>
    <x v="0"/>
    <n v="0"/>
    <n v="0"/>
    <n v="0"/>
    <n v="1"/>
    <n v="2501382993"/>
    <n v="103026818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31"/>
    <s v="26.06.2026"/>
    <x v="355"/>
    <n v="2604000133"/>
    <m/>
    <n v="0"/>
    <n v="1"/>
    <n v="0"/>
    <n v="0.36"/>
    <s v="KG"/>
    <n v="0"/>
    <n v="0"/>
    <n v="0"/>
    <n v="0"/>
    <n v="0"/>
    <n v="0"/>
    <n v="0"/>
    <s v="EUR"/>
    <m/>
    <s v="EXP20260626-2820349-"/>
    <s v="EXP20260626-2820349-"/>
    <s v="00KUR5X5"/>
    <s v="WORBE FLORA"/>
    <s v="57 RUE SAINT LOUIS EN L ILE"/>
    <m/>
    <m/>
    <n v="75004"/>
    <s v="PARIS"/>
    <s v="FR"/>
    <s v="France"/>
    <m/>
  </r>
  <r>
    <x v="0"/>
    <n v="0"/>
    <n v="0"/>
    <n v="0"/>
    <n v="2"/>
    <n v="2501382993"/>
    <n v="103026818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31"/>
    <s v="26.06.2026"/>
    <x v="356"/>
    <n v="2604000134"/>
    <m/>
    <n v="0"/>
    <n v="1"/>
    <n v="0"/>
    <n v="1.19"/>
    <s v="KG"/>
    <n v="0"/>
    <n v="0"/>
    <n v="0"/>
    <n v="0"/>
    <n v="0"/>
    <n v="0"/>
    <n v="0"/>
    <s v="EUR"/>
    <m/>
    <s v="EXP20260625-2819847-"/>
    <s v="EXP20260625-2819847-"/>
    <s v="00KUR5X6"/>
    <s v="RAIN CASSANDRE"/>
    <s v="73, BOULEVARD DE LA MARNE"/>
    <m/>
    <m/>
    <n v="94210"/>
    <s v="SAINT-MAUR-DES-FOSSES"/>
    <s v="FR"/>
    <s v="France"/>
    <m/>
  </r>
  <r>
    <x v="0"/>
    <n v="0"/>
    <n v="0"/>
    <n v="0"/>
    <n v="1"/>
    <n v="2501382993"/>
    <n v="103026818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31"/>
    <s v="26.06.2026"/>
    <x v="357"/>
    <n v="2604000135"/>
    <m/>
    <n v="0"/>
    <n v="1"/>
    <n v="0"/>
    <n v="0.96"/>
    <s v="KG"/>
    <n v="0"/>
    <n v="0"/>
    <n v="0"/>
    <n v="0"/>
    <n v="0"/>
    <n v="0"/>
    <n v="0"/>
    <s v="EUR"/>
    <m/>
    <s v="EXP20260626-2820380-"/>
    <s v="EXP20260626-2820380-"/>
    <s v="00KUR5X7"/>
    <s v="KOCHETKOV 193507 ANTON"/>
    <s v="11 RUE DE LA PAIX"/>
    <m/>
    <m/>
    <n v="68300"/>
    <s v="ST LOUIS"/>
    <s v="FR"/>
    <s v="France"/>
    <m/>
  </r>
  <r>
    <x v="0"/>
    <n v="6.17"/>
    <n v="1.35"/>
    <n v="4.82"/>
    <n v="0.5"/>
    <n v="2501382993"/>
    <n v="103026818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232"/>
    <s v="26.06.2026"/>
    <x v="351"/>
    <n v="2604000129"/>
    <m/>
    <n v="0"/>
    <n v="0"/>
    <n v="0"/>
    <n v="0"/>
    <s v="KG"/>
    <n v="3.77"/>
    <n v="0.9"/>
    <n v="0.15"/>
    <n v="29.1"/>
    <n v="1.35"/>
    <n v="0"/>
    <n v="0"/>
    <s v="EUR"/>
    <m/>
    <s v="EXP20260625-2818331-"/>
    <s v="EXP20260625-2818331-"/>
    <s v="00KUR5X1"/>
    <s v="TERRIEN AMANDINE"/>
    <s v="22 RUE DE LA BONNEAU"/>
    <m/>
    <m/>
    <n v="53200"/>
    <s v="PREE-D'ANJOU"/>
    <s v="FR"/>
    <s v="France"/>
    <m/>
  </r>
  <r>
    <x v="0"/>
    <n v="6.17"/>
    <n v="1.35"/>
    <n v="4.82"/>
    <n v="0.5"/>
    <n v="2501382993"/>
    <n v="103026818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232"/>
    <s v="26.06.2026"/>
    <x v="352"/>
    <n v="2604000130"/>
    <m/>
    <n v="0"/>
    <n v="0"/>
    <n v="0"/>
    <n v="0"/>
    <s v="KG"/>
    <n v="3.77"/>
    <n v="0.9"/>
    <n v="0.15"/>
    <n v="29.1"/>
    <n v="1.35"/>
    <n v="0"/>
    <n v="0"/>
    <s v="EUR"/>
    <m/>
    <s v="EXP20260625-2818120-"/>
    <s v="EXP20260625-2818120-"/>
    <s v="00KUR5X2"/>
    <s v="TOPAL HUSEYIN"/>
    <s v="2 RUE DE LA OBERHARTH"/>
    <m/>
    <m/>
    <n v="68000"/>
    <s v="COLMAR"/>
    <s v="FR"/>
    <s v="France"/>
    <m/>
  </r>
  <r>
    <x v="0"/>
    <n v="6.17"/>
    <n v="1.35"/>
    <n v="4.82"/>
    <n v="0.5"/>
    <n v="2501382993"/>
    <n v="103026818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232"/>
    <s v="26.06.2026"/>
    <x v="353"/>
    <n v="2604000131"/>
    <m/>
    <n v="0"/>
    <n v="0"/>
    <n v="0"/>
    <n v="0"/>
    <s v="KG"/>
    <n v="3.77"/>
    <n v="0.9"/>
    <n v="0.15"/>
    <n v="29.1"/>
    <n v="1.35"/>
    <n v="0"/>
    <n v="0"/>
    <s v="EUR"/>
    <m/>
    <s v="EXP20260625-2818541-"/>
    <s v="EXP20260625-2818541-"/>
    <s v="00KUR5X3"/>
    <s v="CHARLINE BERARD"/>
    <s v="CHEMIN SAINTE-PETRONILLE"/>
    <m/>
    <m/>
    <n v="6610"/>
    <s v="LA GAUDE"/>
    <s v="FR"/>
    <s v="France"/>
    <m/>
  </r>
  <r>
    <x v="0"/>
    <n v="6.17"/>
    <n v="1.35"/>
    <n v="4.82"/>
    <n v="0.5"/>
    <n v="2501382993"/>
    <n v="103026818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232"/>
    <s v="26.06.2026"/>
    <x v="354"/>
    <n v="2604000132"/>
    <m/>
    <n v="0"/>
    <n v="0"/>
    <n v="0"/>
    <n v="0"/>
    <s v="KG"/>
    <n v="3.77"/>
    <n v="0.9"/>
    <n v="0.15"/>
    <n v="29.1"/>
    <n v="1.35"/>
    <n v="0"/>
    <n v="0"/>
    <s v="EUR"/>
    <m/>
    <s v="EXP20260625-2818542-"/>
    <s v="EXP20260625-2818542-"/>
    <s v="00KUR5X4"/>
    <s v="MARION HUPPE GUARINO"/>
    <s v="12 SQUARE HENRY PATE"/>
    <m/>
    <m/>
    <n v="75016"/>
    <s v="PARIS"/>
    <s v="FR"/>
    <s v="France"/>
    <m/>
  </r>
  <r>
    <x v="0"/>
    <n v="6.17"/>
    <n v="1.35"/>
    <n v="4.82"/>
    <n v="0.5"/>
    <n v="2501382993"/>
    <n v="103026818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232"/>
    <s v="26.06.2026"/>
    <x v="355"/>
    <n v="2604000133"/>
    <m/>
    <n v="0"/>
    <n v="0"/>
    <n v="0"/>
    <n v="0"/>
    <s v="KG"/>
    <n v="3.77"/>
    <n v="0.9"/>
    <n v="0.15"/>
    <n v="29.1"/>
    <n v="1.35"/>
    <n v="0"/>
    <n v="0"/>
    <s v="EUR"/>
    <m/>
    <s v="EXP20260626-2820349-"/>
    <s v="EXP20260626-2820349-"/>
    <s v="00KUR5X5"/>
    <s v="WORBE FLORA"/>
    <s v="57 RUE SAINT LOUIS EN L ILE"/>
    <m/>
    <m/>
    <n v="75004"/>
    <s v="PARIS"/>
    <s v="FR"/>
    <s v="France"/>
    <m/>
  </r>
  <r>
    <x v="0"/>
    <n v="6.6000000000000005"/>
    <n v="1.45"/>
    <n v="5.15"/>
    <n v="1"/>
    <n v="2501382993"/>
    <n v="103026818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4"/>
    <s v="Business Parcel - Dis. 01 - Size 04"/>
    <s v="PARCEDOMESSTANDARD"/>
    <m/>
    <n v="233"/>
    <s v="26.06.2026"/>
    <x v="357"/>
    <n v="2604000135"/>
    <m/>
    <n v="0"/>
    <n v="0"/>
    <n v="0"/>
    <n v="0"/>
    <s v="KG"/>
    <n v="4.0999999999999996"/>
    <n v="0.9"/>
    <n v="0.15"/>
    <n v="29.1"/>
    <n v="1.45"/>
    <n v="0"/>
    <n v="0"/>
    <s v="EUR"/>
    <m/>
    <s v="EXP20260626-2820380-"/>
    <s v="EXP20260626-2820380-"/>
    <s v="00KUR5X7"/>
    <s v="KOCHETKOV 193507 ANTON"/>
    <s v="11 RUE DE LA PAIX"/>
    <m/>
    <m/>
    <n v="68300"/>
    <s v="ST LOUIS"/>
    <s v="FR"/>
    <s v="France"/>
    <m/>
  </r>
  <r>
    <x v="0"/>
    <n v="7.0100000000000007"/>
    <n v="1.54"/>
    <n v="5.4700000000000006"/>
    <n v="2"/>
    <n v="2501382993"/>
    <n v="103026818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5"/>
    <s v="Business Parcel - Dis. 01 - Size 05"/>
    <s v="PARCEDOMESSTANDARD"/>
    <m/>
    <n v="234"/>
    <s v="26.06.2026"/>
    <x v="356"/>
    <n v="2604000134"/>
    <m/>
    <n v="0"/>
    <n v="0"/>
    <n v="0"/>
    <n v="0"/>
    <s v="KG"/>
    <n v="4.42"/>
    <n v="0.9"/>
    <n v="0.15"/>
    <n v="29.1"/>
    <n v="1.54"/>
    <n v="0"/>
    <n v="0"/>
    <s v="EUR"/>
    <m/>
    <s v="EXP20260625-2819847-"/>
    <s v="EXP20260625-2819847-"/>
    <s v="00KUR5X6"/>
    <s v="RAIN CASSANDRE"/>
    <s v="73, BOULEVARD DE LA MARNE"/>
    <m/>
    <m/>
    <n v="94210"/>
    <s v="SAINT-MAUR-DES-FOSSES"/>
    <s v="FR"/>
    <s v="France"/>
    <m/>
  </r>
  <r>
    <x v="0"/>
    <n v="7.0100000000000007"/>
    <n v="1.54"/>
    <n v="5.4700000000000006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49"/>
    <s v="26.06.2026"/>
    <x v="343"/>
    <n v="2604000230"/>
    <m/>
    <n v="0"/>
    <n v="0"/>
    <n v="0"/>
    <n v="0"/>
    <s v="KG"/>
    <n v="4.42"/>
    <n v="0.9"/>
    <n v="0.15"/>
    <n v="29.1"/>
    <n v="1.54"/>
    <n v="0"/>
    <n v="0"/>
    <s v="EUR"/>
    <m/>
    <s v="EXP20260625-2819121-"/>
    <s v="EXP20260625-2819121-"/>
    <s v="00L0NDZV"/>
    <s v="KERHOAS ELSA"/>
    <s v="1 IMPASSE DE KERLEREC"/>
    <m/>
    <m/>
    <n v="29000"/>
    <s v="QUIMPER"/>
    <s v="FR"/>
    <s v="France"/>
    <m/>
  </r>
  <r>
    <x v="0"/>
    <n v="7.0100000000000007"/>
    <n v="1.54"/>
    <n v="5.4700000000000006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49"/>
    <s v="26.06.2026"/>
    <x v="342"/>
    <n v="2604000229"/>
    <m/>
    <n v="0"/>
    <n v="0"/>
    <n v="0"/>
    <n v="0"/>
    <s v="KG"/>
    <n v="4.42"/>
    <n v="0.9"/>
    <n v="0.15"/>
    <n v="29.1"/>
    <n v="1.54"/>
    <n v="0"/>
    <n v="0"/>
    <s v="EUR"/>
    <m/>
    <s v="EXP20260625-2819276-"/>
    <s v="EXP20260625-2819276-"/>
    <s v="00L0NDZU"/>
    <s v="LE HINGRAT JUSTINE"/>
    <s v="6 LA VILLE RICHARD, 22240 PLUR"/>
    <m/>
    <m/>
    <n v="22240"/>
    <s v="PLURIEN"/>
    <s v="FR"/>
    <s v="France"/>
    <m/>
  </r>
  <r>
    <x v="0"/>
    <n v="7.0100000000000007"/>
    <n v="1.54"/>
    <n v="5.4700000000000006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49"/>
    <s v="26.06.2026"/>
    <x v="327"/>
    <n v="2604000228"/>
    <m/>
    <n v="0"/>
    <n v="0"/>
    <n v="0"/>
    <n v="0"/>
    <s v="KG"/>
    <n v="4.42"/>
    <n v="0.9"/>
    <n v="0.15"/>
    <n v="29.1"/>
    <n v="1.54"/>
    <n v="0"/>
    <n v="0"/>
    <s v="EUR"/>
    <m/>
    <s v="EXP20260625-2820004-"/>
    <s v="EXP20260625-2820004-"/>
    <s v="00L0NDZT"/>
    <s v="PORRECA CLAIRE"/>
    <s v="17 RUE DES FETES"/>
    <m/>
    <m/>
    <n v="75019"/>
    <s v="PARIS"/>
    <s v="FR"/>
    <s v="France"/>
    <m/>
  </r>
  <r>
    <x v="0"/>
    <n v="7.0100000000000007"/>
    <n v="1.54"/>
    <n v="5.4700000000000006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49"/>
    <s v="26.06.2026"/>
    <x v="330"/>
    <n v="2604000225"/>
    <m/>
    <n v="0"/>
    <n v="0"/>
    <n v="0"/>
    <n v="0"/>
    <s v="KG"/>
    <n v="4.42"/>
    <n v="0.9"/>
    <n v="0.15"/>
    <n v="29.1"/>
    <n v="1.54"/>
    <n v="0"/>
    <n v="0"/>
    <s v="EUR"/>
    <m/>
    <s v="EXP20260625-2818054-"/>
    <s v="EXP20260625-2818054-"/>
    <s v="00L0NDZQ"/>
    <s v="TRUONG CECILE"/>
    <s v="5 RUE ANTOINE BOISSON, 70200 L"/>
    <m/>
    <m/>
    <n v="70200"/>
    <s v="LURE"/>
    <s v="FR"/>
    <s v="France"/>
    <m/>
  </r>
  <r>
    <x v="0"/>
    <n v="7.0100000000000007"/>
    <n v="1.54"/>
    <n v="5.4700000000000006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49"/>
    <s v="26.06.2026"/>
    <x v="331"/>
    <n v="2604000224"/>
    <m/>
    <n v="0"/>
    <n v="0"/>
    <n v="0"/>
    <n v="0"/>
    <s v="KG"/>
    <n v="4.42"/>
    <n v="0.9"/>
    <n v="0.15"/>
    <n v="29.1"/>
    <n v="1.54"/>
    <n v="0"/>
    <n v="0"/>
    <s v="EUR"/>
    <m/>
    <s v="EXP20260625-2818481-"/>
    <s v="EXP20260625-2818481-"/>
    <s v="00L0NDZP"/>
    <s v="GIZARD CLAIRE"/>
    <s v="7 BOULEVARD DOUVILLE"/>
    <m/>
    <m/>
    <n v="35400"/>
    <s v="SAINT-MALO"/>
    <s v="FR"/>
    <s v="France"/>
    <m/>
  </r>
  <r>
    <x v="0"/>
    <n v="7.0100000000000007"/>
    <n v="1.54"/>
    <n v="5.4700000000000006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49"/>
    <s v="26.06.2026"/>
    <x v="333"/>
    <n v="2604000222"/>
    <m/>
    <n v="0"/>
    <n v="0"/>
    <n v="0"/>
    <n v="0"/>
    <s v="KG"/>
    <n v="4.42"/>
    <n v="0.9"/>
    <n v="0.15"/>
    <n v="29.1"/>
    <n v="1.54"/>
    <n v="0"/>
    <n v="0"/>
    <s v="EUR"/>
    <m/>
    <s v="EXP20260625-2818055-"/>
    <s v="EXP20260625-2818055-"/>
    <s v="00L0NDZN"/>
    <s v="CHARROIN FANNY"/>
    <s v="10 COURSIERE DES VIGNES"/>
    <m/>
    <m/>
    <n v="42480"/>
    <s v="LA FOUILLOUSE"/>
    <s v="FR"/>
    <s v="France"/>
    <m/>
  </r>
  <r>
    <x v="0"/>
    <n v="7.0100000000000007"/>
    <n v="1.54"/>
    <n v="5.4700000000000006"/>
    <n v="2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49"/>
    <s v="26.06.2026"/>
    <x v="334"/>
    <n v="2604000221"/>
    <m/>
    <n v="0"/>
    <n v="0"/>
    <n v="0"/>
    <n v="0"/>
    <s v="KG"/>
    <n v="4.42"/>
    <n v="0.9"/>
    <n v="0.15"/>
    <n v="29.1"/>
    <n v="1.54"/>
    <n v="0"/>
    <n v="0"/>
    <s v="EUR"/>
    <m/>
    <s v="EXP20260625-2818479-"/>
    <s v="EXP20260625-2818479-"/>
    <s v="00L0NDZM"/>
    <s v="RAMOS ELOISE"/>
    <s v="744 ROUTE DU BADET"/>
    <m/>
    <m/>
    <n v="40230"/>
    <s v="ST JEAN DE MARSACQ"/>
    <s v="FR"/>
    <s v="France"/>
    <m/>
  </r>
  <r>
    <x v="1"/>
    <n v="0"/>
    <n v="0"/>
    <n v="0"/>
    <e v="#N/A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FS_AVIS_01"/>
    <s v="AvisÃ© FDS"/>
    <s v="SURCHALL"/>
    <m/>
    <n v="254"/>
    <s v="26.06.2026"/>
    <x v="310"/>
    <n v="2604000198"/>
    <m/>
    <n v="0"/>
    <n v="0"/>
    <n v="0"/>
    <n v="0"/>
    <s v="KG"/>
    <n v="0"/>
    <n v="0"/>
    <n v="0"/>
    <n v="0"/>
    <n v="0"/>
    <n v="0"/>
    <n v="0"/>
    <s v="EUR"/>
    <m/>
    <s v="EXP20260624-2816711-"/>
    <s v="EXP20260624-2816711-"/>
    <s v="00L0NDYZ"/>
    <s v="FORMOSA GERALDINE"/>
    <s v="34 CHEMIN DES BASTIDES"/>
    <m/>
    <m/>
    <n v="13960"/>
    <s v="SAUSSET-LES-PINS"/>
    <s v="FR"/>
    <s v="France"/>
    <m/>
  </r>
  <r>
    <x v="1"/>
    <n v="0"/>
    <n v="0"/>
    <n v="0"/>
    <e v="#N/A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FS_AVIS_01"/>
    <s v="AvisÃ© FDS"/>
    <s v="SURCHALL"/>
    <m/>
    <n v="254"/>
    <s v="26.06.2026"/>
    <x v="271"/>
    <n v="2604000142"/>
    <m/>
    <n v="0"/>
    <n v="0"/>
    <n v="0"/>
    <n v="0"/>
    <s v="KG"/>
    <n v="0"/>
    <n v="0"/>
    <n v="0"/>
    <n v="0"/>
    <n v="0"/>
    <n v="0"/>
    <n v="0"/>
    <s v="EUR"/>
    <m/>
    <s v="EXP20260622-2812916-"/>
    <s v="EXP20260622-2812916-"/>
    <s v="00L0NDXF"/>
    <s v="BOUVET MARGAUX"/>
    <s v="26 TER AVENUE DU CALVADOS (BAT"/>
    <m/>
    <m/>
    <n v="14000"/>
    <s v="CAEN"/>
    <s v="FR"/>
    <s v="France"/>
    <m/>
  </r>
  <r>
    <x v="1"/>
    <n v="0"/>
    <n v="0"/>
    <n v="0"/>
    <e v="#N/A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FS_AVIS_01"/>
    <s v="AvisÃ© FDS"/>
    <s v="SURCHALL"/>
    <m/>
    <n v="254"/>
    <s v="26.06.2026"/>
    <x v="200"/>
    <n v="2604000125"/>
    <m/>
    <n v="0"/>
    <n v="0"/>
    <n v="0"/>
    <n v="0"/>
    <s v="KG"/>
    <n v="0"/>
    <n v="0"/>
    <n v="0"/>
    <n v="0"/>
    <n v="0"/>
    <n v="0"/>
    <n v="0"/>
    <s v="EUR"/>
    <m/>
    <s v="EXP20260621-2810446-"/>
    <s v="EXP20260621-2810446-"/>
    <s v="00L0NDWY"/>
    <s v="BERNAUD MATHIEU"/>
    <s v="7 IMP. JACQUES BRUGNON, 56000"/>
    <m/>
    <m/>
    <n v="56000"/>
    <s v="VANNES"/>
    <s v="FR"/>
    <s v="France"/>
    <m/>
  </r>
  <r>
    <x v="2"/>
    <n v="3.04"/>
    <n v="0.68"/>
    <n v="2.36"/>
    <e v="#N/A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CARD_01"/>
    <s v="Majoration AvisÃ© sans TÃ©l ou mail"/>
    <s v="SURCHALL NTFCNCRD"/>
    <m/>
    <n v="253"/>
    <s v="26.06.2026"/>
    <x v="310"/>
    <n v="2604000198"/>
    <m/>
    <n v="0"/>
    <n v="0"/>
    <n v="0"/>
    <n v="0"/>
    <s v="KG"/>
    <n v="2.36"/>
    <n v="0"/>
    <n v="0"/>
    <n v="29.1"/>
    <n v="0.68"/>
    <n v="0"/>
    <n v="0"/>
    <s v="EUR"/>
    <m/>
    <s v="EXP20260624-2816711-"/>
    <s v="EXP20260624-2816711-"/>
    <s v="00L0NDYZ"/>
    <s v="FORMOSA GERALDINE"/>
    <s v="34 CHEMIN DES BASTIDES"/>
    <m/>
    <m/>
    <n v="13960"/>
    <s v="SAUSSET-LES-PINS"/>
    <s v="FR"/>
    <s v="France"/>
    <m/>
  </r>
  <r>
    <x v="0"/>
    <n v="8.870000000000001"/>
    <n v="1.96"/>
    <n v="6.910000000000001"/>
    <n v="5"/>
    <n v="2501382993"/>
    <n v="1030316536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9"/>
    <s v="Business Parcel - Dis. 01 - Size 09"/>
    <s v="PARCEDOMESSTANDARD"/>
    <m/>
    <n v="252"/>
    <s v="26.06.2026"/>
    <x v="348"/>
    <n v="2604000235"/>
    <m/>
    <n v="0"/>
    <n v="0"/>
    <n v="0"/>
    <n v="0"/>
    <s v="KG"/>
    <n v="5.86"/>
    <n v="0.9"/>
    <n v="0.15"/>
    <n v="29.1"/>
    <n v="1.96"/>
    <n v="0"/>
    <n v="0"/>
    <s v="EUR"/>
    <m/>
    <s v="EXP20260625-2819710-"/>
    <s v="EXP20260625-2819710-"/>
    <s v="00L0NE00"/>
    <s v="BONNIN PATRICK"/>
    <s v="5 ALLEE DES CHARMES"/>
    <m/>
    <m/>
    <n v="33500"/>
    <s v="LIBOURNE"/>
    <s v="FR"/>
    <s v="France"/>
    <m/>
  </r>
  <r>
    <x v="0"/>
    <n v="0"/>
    <n v="0"/>
    <n v="0"/>
    <n v="3"/>
    <n v="2501382993"/>
    <n v="1030316574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55"/>
    <s v="29.06.2026"/>
    <x v="358"/>
    <n v="2604000239"/>
    <m/>
    <n v="0"/>
    <n v="1"/>
    <n v="0"/>
    <n v="2.78"/>
    <s v="KG"/>
    <n v="0"/>
    <n v="0"/>
    <n v="0"/>
    <n v="0"/>
    <n v="0"/>
    <n v="0"/>
    <n v="0"/>
    <s v="EUR"/>
    <m/>
    <s v="EXP20260626-2821036-"/>
    <s v="EXP20260626-2821036-"/>
    <s v="00L0NE04"/>
    <s v="RICHARD ROMAIN"/>
    <s v="68 AVENUE ROUGET DE LISLE"/>
    <m/>
    <m/>
    <n v="94400"/>
    <s v="VITRY-SUR-SEINE"/>
    <s v="FR"/>
    <s v="France"/>
    <m/>
  </r>
  <r>
    <x v="0"/>
    <n v="0"/>
    <n v="0"/>
    <n v="0"/>
    <n v="2"/>
    <n v="2501382993"/>
    <n v="1030316574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55"/>
    <s v="29.06.2026"/>
    <x v="359"/>
    <n v="2604000240"/>
    <m/>
    <n v="0"/>
    <n v="1"/>
    <n v="0"/>
    <n v="1.1100000000000001"/>
    <s v="KG"/>
    <n v="0"/>
    <n v="0"/>
    <n v="0"/>
    <n v="0"/>
    <n v="0"/>
    <n v="0"/>
    <n v="0"/>
    <s v="EUR"/>
    <m/>
    <s v="EXP20260626-2820851-"/>
    <s v="EXP20260626-2820851-"/>
    <s v="00L0NE05"/>
    <s v="SAUVAGE RACHEL"/>
    <s v="316 CHEMIN DE LA SAULAIE"/>
    <m/>
    <m/>
    <n v="74380"/>
    <s v="CRANVES-SALES"/>
    <s v="FR"/>
    <s v="France"/>
    <m/>
  </r>
  <r>
    <x v="0"/>
    <n v="0"/>
    <n v="0"/>
    <n v="0"/>
    <n v="2"/>
    <n v="2501382993"/>
    <n v="1030316574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55"/>
    <s v="29.06.2026"/>
    <x v="360"/>
    <n v="2604000241"/>
    <m/>
    <n v="0"/>
    <n v="1"/>
    <n v="0"/>
    <n v="1.65"/>
    <s v="KG"/>
    <n v="0"/>
    <n v="0"/>
    <n v="0"/>
    <n v="0"/>
    <n v="0"/>
    <n v="0"/>
    <n v="0"/>
    <s v="EUR"/>
    <m/>
    <s v="EXP20260626-2820679-"/>
    <s v="EXP20260626-2820679-"/>
    <s v="00L0NE06"/>
    <s v="BOULO MARIE"/>
    <s v="3 RUE CHARLES FOREST - RESIDEN"/>
    <m/>
    <m/>
    <n v="78800"/>
    <s v="HOUILLES"/>
    <s v="FR"/>
    <s v="France"/>
    <m/>
  </r>
  <r>
    <x v="0"/>
    <n v="0"/>
    <n v="0"/>
    <n v="0"/>
    <n v="2"/>
    <n v="2501382993"/>
    <n v="1030316574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55"/>
    <s v="29.06.2026"/>
    <x v="361"/>
    <n v="2604000242"/>
    <m/>
    <n v="0"/>
    <n v="1"/>
    <n v="0"/>
    <n v="1.1100000000000001"/>
    <s v="KG"/>
    <n v="0"/>
    <n v="0"/>
    <n v="0"/>
    <n v="0"/>
    <n v="0"/>
    <n v="0"/>
    <n v="0"/>
    <s v="EUR"/>
    <m/>
    <s v="EXP20260626-2820678-"/>
    <s v="EXP20260626-2820678-"/>
    <s v="00L0NE07"/>
    <s v="LE GONIDEC FAUSTINE"/>
    <s v="70 QUAI DE LA LOIRE"/>
    <m/>
    <m/>
    <n v="75019"/>
    <s v="PARIS"/>
    <s v="FR"/>
    <s v="France"/>
    <m/>
  </r>
  <r>
    <x v="0"/>
    <n v="0"/>
    <n v="0"/>
    <n v="0"/>
    <n v="2"/>
    <n v="2501382993"/>
    <n v="1030316574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55"/>
    <s v="29.06.2026"/>
    <x v="362"/>
    <n v="2604000243"/>
    <m/>
    <n v="0"/>
    <n v="1"/>
    <n v="0"/>
    <n v="1.1200000000000001"/>
    <s v="KG"/>
    <n v="0"/>
    <n v="0"/>
    <n v="0"/>
    <n v="0"/>
    <n v="0"/>
    <n v="0"/>
    <n v="0"/>
    <s v="EUR"/>
    <m/>
    <s v="EXP20260626-2820852-"/>
    <s v="EXP20260626-2820852-"/>
    <s v="00L0NE08"/>
    <s v="VELLAS LAVAYSSIERE CAMILLE"/>
    <s v="2 AVENUE FRIZAC"/>
    <m/>
    <m/>
    <n v="31400"/>
    <s v="TOULOUSE"/>
    <s v="FR"/>
    <s v="France"/>
    <m/>
  </r>
  <r>
    <x v="0"/>
    <n v="0"/>
    <n v="0"/>
    <n v="0"/>
    <n v="1"/>
    <n v="2501382993"/>
    <n v="1030316574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55"/>
    <s v="29.06.2026"/>
    <x v="363"/>
    <n v="2604000244"/>
    <m/>
    <n v="0"/>
    <n v="1"/>
    <n v="0"/>
    <n v="0.84"/>
    <s v="KG"/>
    <n v="0"/>
    <n v="0"/>
    <n v="0"/>
    <n v="0"/>
    <n v="0"/>
    <n v="0"/>
    <n v="0"/>
    <s v="EUR"/>
    <m/>
    <s v="EXP20260626-2821035-"/>
    <s v="EXP20260626-2821035-"/>
    <s v="00L0NE09"/>
    <s v="DA SILVA BRIGITTE"/>
    <s v="66 CHEMIN DE VAULONGUE"/>
    <m/>
    <m/>
    <n v="6480"/>
    <s v="LA COLLE SUR LOUP"/>
    <s v="FR"/>
    <s v="France"/>
    <m/>
  </r>
  <r>
    <x v="0"/>
    <n v="6.6000000000000005"/>
    <n v="1.45"/>
    <n v="5.15"/>
    <n v="1"/>
    <n v="2501382993"/>
    <n v="1030316574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256"/>
    <s v="29.06.2026"/>
    <x v="363"/>
    <n v="2604000244"/>
    <m/>
    <n v="0"/>
    <n v="0"/>
    <n v="0"/>
    <n v="0"/>
    <s v="KG"/>
    <n v="4.0999999999999996"/>
    <n v="0.9"/>
    <n v="0.15"/>
    <n v="29.1"/>
    <n v="1.45"/>
    <n v="0"/>
    <n v="0"/>
    <s v="EUR"/>
    <m/>
    <s v="EXP20260626-2821035-"/>
    <s v="EXP20260626-2821035-"/>
    <s v="00L0NE09"/>
    <s v="DA SILVA BRIGITTE"/>
    <s v="66 CHEMIN DE VAULONGUE"/>
    <m/>
    <m/>
    <n v="6480"/>
    <s v="LA COLLE SUR LOUP"/>
    <s v="FR"/>
    <s v="France"/>
    <m/>
  </r>
  <r>
    <x v="0"/>
    <n v="7.0100000000000007"/>
    <n v="1.54"/>
    <n v="5.4700000000000006"/>
    <n v="2"/>
    <n v="2501382993"/>
    <n v="1030316574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57"/>
    <s v="29.06.2026"/>
    <x v="359"/>
    <n v="2604000240"/>
    <m/>
    <n v="0"/>
    <n v="0"/>
    <n v="0"/>
    <n v="0"/>
    <s v="KG"/>
    <n v="4.42"/>
    <n v="0.9"/>
    <n v="0.15"/>
    <n v="29.1"/>
    <n v="1.54"/>
    <n v="0"/>
    <n v="0"/>
    <s v="EUR"/>
    <m/>
    <s v="EXP20260626-2820851-"/>
    <s v="EXP20260626-2820851-"/>
    <s v="00L0NE05"/>
    <s v="SAUVAGE RACHEL"/>
    <s v="316 CHEMIN DE LA SAULAIE"/>
    <m/>
    <m/>
    <n v="74380"/>
    <s v="CRANVES-SALES"/>
    <s v="FR"/>
    <s v="France"/>
    <m/>
  </r>
  <r>
    <x v="0"/>
    <n v="7.0100000000000007"/>
    <n v="1.54"/>
    <n v="5.4700000000000006"/>
    <n v="2"/>
    <n v="2501382993"/>
    <n v="1030316574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57"/>
    <s v="29.06.2026"/>
    <x v="361"/>
    <n v="2604000242"/>
    <m/>
    <n v="0"/>
    <n v="0"/>
    <n v="0"/>
    <n v="0"/>
    <s v="KG"/>
    <n v="4.42"/>
    <n v="0.9"/>
    <n v="0.15"/>
    <n v="29.1"/>
    <n v="1.54"/>
    <n v="0"/>
    <n v="0"/>
    <s v="EUR"/>
    <m/>
    <s v="EXP20260626-2820678-"/>
    <s v="EXP20260626-2820678-"/>
    <s v="00L0NE07"/>
    <s v="LE GONIDEC FAUSTINE"/>
    <s v="70 QUAI DE LA LOIRE"/>
    <m/>
    <m/>
    <n v="75019"/>
    <s v="PARIS"/>
    <s v="FR"/>
    <s v="France"/>
    <m/>
  </r>
  <r>
    <x v="0"/>
    <n v="7.0100000000000007"/>
    <n v="1.54"/>
    <n v="5.4700000000000006"/>
    <n v="2"/>
    <n v="2501382993"/>
    <n v="1030316574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57"/>
    <s v="29.06.2026"/>
    <x v="362"/>
    <n v="2604000243"/>
    <m/>
    <n v="0"/>
    <n v="0"/>
    <n v="0"/>
    <n v="0"/>
    <s v="KG"/>
    <n v="4.42"/>
    <n v="0.9"/>
    <n v="0.15"/>
    <n v="29.1"/>
    <n v="1.54"/>
    <n v="0"/>
    <n v="0"/>
    <s v="EUR"/>
    <m/>
    <s v="EXP20260626-2820852-"/>
    <s v="EXP20260626-2820852-"/>
    <s v="00L0NE08"/>
    <s v="VELLAS LAVAYSSIERE CAMILLE"/>
    <s v="2 AVENUE FRIZAC"/>
    <m/>
    <m/>
    <n v="31400"/>
    <s v="TOULOUSE"/>
    <s v="FR"/>
    <s v="France"/>
    <m/>
  </r>
  <r>
    <x v="0"/>
    <n v="7.0100000000000007"/>
    <n v="1.54"/>
    <n v="5.4700000000000006"/>
    <n v="2"/>
    <n v="2501382993"/>
    <n v="1030316574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258"/>
    <s v="29.06.2026"/>
    <x v="360"/>
    <n v="2604000241"/>
    <m/>
    <n v="0"/>
    <n v="0"/>
    <n v="0"/>
    <n v="0"/>
    <s v="KG"/>
    <n v="4.42"/>
    <n v="0.9"/>
    <n v="0.15"/>
    <n v="29.1"/>
    <n v="1.54"/>
    <n v="0"/>
    <n v="0"/>
    <s v="EUR"/>
    <m/>
    <s v="EXP20260626-2820679-"/>
    <s v="EXP20260626-2820679-"/>
    <s v="00L0NE06"/>
    <s v="BOULO MARIE"/>
    <s v="3 RUE CHARLES FOREST - RESIDEN"/>
    <m/>
    <m/>
    <n v="78800"/>
    <s v="HOUILLES"/>
    <s v="FR"/>
    <s v="France"/>
    <m/>
  </r>
  <r>
    <x v="0"/>
    <n v="7.4300000000000006"/>
    <n v="1.64"/>
    <n v="5.7900000000000009"/>
    <n v="3"/>
    <n v="2501382993"/>
    <n v="1030316574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259"/>
    <s v="29.06.2026"/>
    <x v="358"/>
    <n v="2604000239"/>
    <m/>
    <n v="0"/>
    <n v="0"/>
    <n v="0"/>
    <n v="0"/>
    <s v="KG"/>
    <n v="4.74"/>
    <n v="0.9"/>
    <n v="0.15"/>
    <n v="29.1"/>
    <n v="1.64"/>
    <n v="0"/>
    <n v="0"/>
    <s v="EUR"/>
    <m/>
    <s v="EXP20260626-2821036-"/>
    <s v="EXP20260626-2821036-"/>
    <s v="00L0NE04"/>
    <s v="RICHARD ROMAIN"/>
    <s v="68 AVENUE ROUGET DE LISLE"/>
    <m/>
    <m/>
    <n v="94400"/>
    <s v="VITRY-SUR-SEINE"/>
    <s v="FR"/>
    <s v="France"/>
    <m/>
  </r>
  <r>
    <x v="2"/>
    <n v="3.04"/>
    <n v="0.68"/>
    <n v="2.36"/>
    <e v="#N/A"/>
    <n v="2501382993"/>
    <n v="1030316574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CARD_01"/>
    <s v="Majoration AvisÃ© sans TÃ©l ou mail"/>
    <s v="SURCHALL NTFCNCRD"/>
    <m/>
    <n v="260"/>
    <s v="29.06.2026"/>
    <x v="327"/>
    <n v="2604000228"/>
    <m/>
    <n v="0"/>
    <n v="0"/>
    <n v="0"/>
    <n v="0"/>
    <s v="KG"/>
    <n v="2.36"/>
    <n v="0"/>
    <n v="0"/>
    <n v="29.1"/>
    <n v="0.68"/>
    <n v="0"/>
    <n v="0"/>
    <s v="EUR"/>
    <m/>
    <s v="EXP20260625-2820004-"/>
    <s v="EXP20260625-2820004-"/>
    <s v="00L0NDZT"/>
    <s v="PORRECA CLAIRE"/>
    <s v="17 RUE DES FETES"/>
    <m/>
    <m/>
    <n v="75019"/>
    <s v="PARIS"/>
    <s v="FR"/>
    <s v="France"/>
    <m/>
  </r>
  <r>
    <x v="1"/>
    <n v="0"/>
    <n v="0"/>
    <n v="0"/>
    <e v="#N/A"/>
    <n v="2501382993"/>
    <n v="1030316574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FS_AVIS_01"/>
    <s v="AvisÃ© FDS"/>
    <s v="SURCHALL"/>
    <m/>
    <n v="261"/>
    <s v="29.06.2026"/>
    <x v="327"/>
    <n v="2604000228"/>
    <m/>
    <n v="0"/>
    <n v="0"/>
    <n v="0"/>
    <n v="0"/>
    <s v="KG"/>
    <n v="0"/>
    <n v="0"/>
    <n v="0"/>
    <n v="0"/>
    <n v="0"/>
    <n v="0"/>
    <n v="0"/>
    <s v="EUR"/>
    <m/>
    <s v="EXP20260625-2820004-"/>
    <s v="EXP20260625-2820004-"/>
    <s v="00L0NDZT"/>
    <s v="PORRECA CLAIRE"/>
    <s v="17 RUE DES FETES"/>
    <m/>
    <m/>
    <n v="75019"/>
    <s v="PARIS"/>
    <s v="FR"/>
    <s v="France"/>
    <m/>
  </r>
  <r>
    <x v="0"/>
    <n v="0"/>
    <n v="0"/>
    <n v="0"/>
    <n v="2"/>
    <n v="2501382993"/>
    <n v="1030310872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FDS_D01_S01"/>
    <s v="BP FlexDelivery - Dis. 01 - Size 01"/>
    <s v="PARCEDOMESFDS"/>
    <m/>
    <n v="235"/>
    <s v="29.06.2026"/>
    <x v="364"/>
    <n v="7042097"/>
    <m/>
    <n v="0"/>
    <n v="1"/>
    <n v="0"/>
    <n v="1.4"/>
    <s v="KG"/>
    <n v="0"/>
    <n v="0"/>
    <n v="0"/>
    <n v="0"/>
    <n v="0"/>
    <n v="0"/>
    <n v="0"/>
    <s v="EUR"/>
    <m/>
    <s v="EXP20260626-2821993"/>
    <m/>
    <s v="00L3Y32D"/>
    <s v="BIO COOP"/>
    <s v="174 AVENUE DE SAINT MENET"/>
    <s v="CALZADA ROSELYNE"/>
    <m/>
    <n v="13011"/>
    <s v="MARSEILLE"/>
    <s v="FR"/>
    <s v="France"/>
    <m/>
  </r>
  <r>
    <x v="0"/>
    <n v="7.0100000000000007"/>
    <n v="1.54"/>
    <n v="5.4700000000000006"/>
    <n v="2"/>
    <n v="2501382993"/>
    <n v="1030310872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"/>
    <s v="PARCEL_D01_S05"/>
    <s v="Business Parcel - Dis. 01 - Size 05"/>
    <s v="PARCEDOMESSTANDARD"/>
    <m/>
    <n v="236"/>
    <s v="29.06.2026"/>
    <x v="364"/>
    <n v="7042097"/>
    <m/>
    <n v="0"/>
    <n v="0"/>
    <n v="0"/>
    <n v="0"/>
    <s v="KG"/>
    <n v="4.42"/>
    <n v="0.9"/>
    <n v="0.15"/>
    <n v="29.1"/>
    <n v="1.54"/>
    <n v="0"/>
    <n v="0"/>
    <s v="EUR"/>
    <m/>
    <s v="EXP20260626-2821993"/>
    <m/>
    <s v="00L3Y32D"/>
    <s v="BIO COOP"/>
    <s v="174 AVENUE DE SAINT MENET"/>
    <s v="CALZADA ROSELYNE"/>
    <m/>
    <n v="13011"/>
    <s v="MARSEILLE"/>
    <s v="FR"/>
    <s v="France"/>
    <m/>
  </r>
  <r>
    <x v="0"/>
    <n v="0"/>
    <n v="0"/>
    <n v="0"/>
    <n v="2"/>
    <n v="2501382993"/>
    <n v="1030314650"/>
    <s v="30.06.2026"/>
    <n v="2500034092"/>
    <s v="LA RUCHE LOGISTIQUE"/>
    <n v="9000009190"/>
    <n v="46946"/>
    <s v="LA RUCHE"/>
    <n v="9000082814"/>
    <x v="5"/>
    <m/>
    <m/>
    <m/>
    <n v="2507012387"/>
    <s v="LA RUCHE LOGISTIQUE"/>
    <s v="FDS"/>
    <s v="FDS_D01_S01"/>
    <s v="BP FlexDelivery - Dis. 01 - Size 01"/>
    <s v="PARCEDOMESFDS"/>
    <m/>
    <n v="239"/>
    <s v="29.06.2026"/>
    <x v="365"/>
    <n v="7013393"/>
    <m/>
    <n v="0"/>
    <n v="1"/>
    <n v="0"/>
    <n v="1.18"/>
    <s v="KG"/>
    <n v="0"/>
    <n v="0"/>
    <n v="0"/>
    <n v="0"/>
    <n v="0"/>
    <n v="0"/>
    <n v="0"/>
    <s v="EUR"/>
    <m/>
    <s v="EXP20260625-2818916"/>
    <m/>
    <s v="00L3QE5G"/>
    <s v="AMAZON-CDG7"/>
    <s v="PA DES PORTES DE SENLIS"/>
    <s v="1 AVENUE ALAIN BOUCHER"/>
    <s v="AMAZON-CDG7"/>
    <n v="60452"/>
    <s v="SENLIS CEDEX"/>
    <s v="FR"/>
    <s v="France"/>
    <m/>
  </r>
  <r>
    <x v="0"/>
    <n v="7.0100000000000007"/>
    <n v="1.54"/>
    <n v="5.4700000000000006"/>
    <n v="2"/>
    <n v="2501382993"/>
    <n v="1030314650"/>
    <s v="30.06.2026"/>
    <n v="2500034092"/>
    <s v="LA RUCHE LOGISTIQUE"/>
    <n v="9000009190"/>
    <n v="46946"/>
    <s v="LA RUCHE"/>
    <n v="9000082814"/>
    <x v="5"/>
    <m/>
    <m/>
    <m/>
    <n v="2507012387"/>
    <s v="LA RUCHE LOGISTIQUE"/>
    <s v="FDS"/>
    <s v="PARCEL_D01_S05"/>
    <s v="Business Parcel - Dis. 01 - Size 05"/>
    <s v="PARCEDOMESSTANDARD"/>
    <m/>
    <n v="240"/>
    <s v="29.06.2026"/>
    <x v="365"/>
    <n v="7013393"/>
    <m/>
    <n v="0"/>
    <n v="0"/>
    <n v="0"/>
    <n v="0"/>
    <s v="KG"/>
    <n v="4.42"/>
    <n v="0.9"/>
    <n v="0.15"/>
    <n v="29.1"/>
    <n v="1.54"/>
    <n v="0"/>
    <n v="0"/>
    <s v="EUR"/>
    <m/>
    <s v="EXP20260625-2818916"/>
    <m/>
    <s v="00L3QE5G"/>
    <s v="AMAZON-CDG7"/>
    <s v="PA DES PORTES DE SENLIS"/>
    <s v="1 AVENUE ALAIN BOUCHER"/>
    <s v="AMAZON-CDG7"/>
    <n v="60452"/>
    <s v="SENLIS CEDEX"/>
    <s v="FR"/>
    <s v="France"/>
    <m/>
  </r>
  <r>
    <x v="0"/>
    <n v="0"/>
    <n v="0"/>
    <n v="0"/>
    <n v="1"/>
    <n v="2501382993"/>
    <n v="103031615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41"/>
    <s v="29.06.2026"/>
    <x v="366"/>
    <n v="2604000136"/>
    <m/>
    <n v="0"/>
    <n v="1"/>
    <n v="0"/>
    <n v="0.3"/>
    <s v="KG"/>
    <n v="0"/>
    <n v="0"/>
    <n v="0"/>
    <n v="0"/>
    <n v="0"/>
    <n v="0"/>
    <n v="0"/>
    <s v="EUR"/>
    <m/>
    <s v="EXP20260626-2820387-"/>
    <s v="EXP20260626-2820387-"/>
    <s v="00KUR5X8"/>
    <s v="PAULINE CHAMP"/>
    <s v="3B. RUE SYLVESTRE CHAUVELOT"/>
    <m/>
    <m/>
    <n v="21200"/>
    <s v="BEAUNE"/>
    <s v="FR"/>
    <s v="France"/>
    <m/>
  </r>
  <r>
    <x v="0"/>
    <n v="0"/>
    <n v="0"/>
    <n v="0"/>
    <n v="1"/>
    <n v="2501382993"/>
    <n v="103031615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41"/>
    <s v="29.06.2026"/>
    <x v="367"/>
    <n v="2604000137"/>
    <m/>
    <n v="0"/>
    <n v="1"/>
    <n v="0"/>
    <n v="0.24"/>
    <s v="KG"/>
    <n v="0"/>
    <n v="0"/>
    <n v="0"/>
    <n v="0"/>
    <n v="0"/>
    <n v="0"/>
    <n v="0"/>
    <s v="EUR"/>
    <m/>
    <s v="EXP20260626-2820573-"/>
    <s v="EXP20260626-2820573-"/>
    <s v="00KUR5X9"/>
    <s v="FAKHRI DELPHINE"/>
    <s v="41 VOIE DE CHATENAY"/>
    <m/>
    <m/>
    <n v="91370"/>
    <s v="VERRIERES-LE-BUISSON"/>
    <s v="FR"/>
    <s v="France"/>
    <m/>
  </r>
  <r>
    <x v="0"/>
    <n v="0"/>
    <n v="0"/>
    <n v="0"/>
    <n v="1"/>
    <n v="2501382993"/>
    <n v="103031615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41"/>
    <s v="29.06.2026"/>
    <x v="368"/>
    <n v="2604000138"/>
    <m/>
    <n v="0"/>
    <n v="1"/>
    <n v="0"/>
    <n v="0.34"/>
    <s v="KG"/>
    <n v="0"/>
    <n v="0"/>
    <n v="0"/>
    <n v="0"/>
    <n v="0"/>
    <n v="0"/>
    <n v="0"/>
    <s v="EUR"/>
    <m/>
    <s v="EXP20260625-2819026-"/>
    <s v="EXP20260625-2819026-"/>
    <s v="00KUR5XA"/>
    <s v="LICCIARDI ALEX"/>
    <s v="1095 CHEMIN DE JYLLOUE"/>
    <m/>
    <m/>
    <n v="6250"/>
    <s v="MOUGINS"/>
    <s v="FR"/>
    <s v="France"/>
    <m/>
  </r>
  <r>
    <x v="0"/>
    <n v="6.17"/>
    <n v="1.35"/>
    <n v="4.82"/>
    <n v="0.5"/>
    <n v="2501382993"/>
    <n v="103031615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1"/>
    <s v="Business Parcel - Dis. 01 - Size 01"/>
    <s v="PARCEDOMESSTANDARD"/>
    <m/>
    <n v="242"/>
    <s v="29.06.2026"/>
    <x v="367"/>
    <n v="2604000137"/>
    <m/>
    <n v="0"/>
    <n v="0"/>
    <n v="0"/>
    <n v="0"/>
    <s v="KG"/>
    <n v="3.77"/>
    <n v="0.9"/>
    <n v="0.15"/>
    <n v="29.1"/>
    <n v="1.35"/>
    <n v="0"/>
    <n v="0"/>
    <s v="EUR"/>
    <m/>
    <s v="EXP20260626-2820573-"/>
    <s v="EXP20260626-2820573-"/>
    <s v="00KUR5X9"/>
    <s v="FAKHRI DELPHINE"/>
    <s v="41 VOIE DE CHATENAY"/>
    <m/>
    <m/>
    <n v="91370"/>
    <s v="VERRIERES-LE-BUISSON"/>
    <s v="FR"/>
    <s v="France"/>
    <m/>
  </r>
  <r>
    <x v="0"/>
    <n v="6.17"/>
    <n v="1.35"/>
    <n v="4.82"/>
    <n v="0.5"/>
    <n v="2501382993"/>
    <n v="103031615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243"/>
    <s v="29.06.2026"/>
    <x v="366"/>
    <n v="2604000136"/>
    <m/>
    <n v="0"/>
    <n v="0"/>
    <n v="0"/>
    <n v="0"/>
    <s v="KG"/>
    <n v="3.77"/>
    <n v="0.9"/>
    <n v="0.15"/>
    <n v="29.1"/>
    <n v="1.35"/>
    <n v="0"/>
    <n v="0"/>
    <s v="EUR"/>
    <m/>
    <s v="EXP20260626-2820387-"/>
    <s v="EXP20260626-2820387-"/>
    <s v="00KUR5X8"/>
    <s v="PAULINE CHAMP"/>
    <s v="3B. RUE SYLVESTRE CHAUVELOT"/>
    <m/>
    <m/>
    <n v="21200"/>
    <s v="BEAUNE"/>
    <s v="FR"/>
    <s v="France"/>
    <m/>
  </r>
  <r>
    <x v="0"/>
    <n v="6.17"/>
    <n v="1.35"/>
    <n v="4.82"/>
    <n v="0.5"/>
    <n v="2501382993"/>
    <n v="103031615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243"/>
    <s v="29.06.2026"/>
    <x v="368"/>
    <n v="2604000138"/>
    <m/>
    <n v="0"/>
    <n v="0"/>
    <n v="0"/>
    <n v="0"/>
    <s v="KG"/>
    <n v="3.77"/>
    <n v="0.9"/>
    <n v="0.15"/>
    <n v="29.1"/>
    <n v="1.35"/>
    <n v="0"/>
    <n v="0"/>
    <s v="EUR"/>
    <m/>
    <s v="EXP20260625-2819026-"/>
    <s v="EXP20260625-2819026-"/>
    <s v="00KUR5XA"/>
    <s v="LICCIARDI ALEX"/>
    <s v="1095 CHEMIN DE JYLLOUE"/>
    <m/>
    <m/>
    <n v="6250"/>
    <s v="MOUGINS"/>
    <s v="FR"/>
    <s v="France"/>
    <m/>
  </r>
  <r>
    <x v="2"/>
    <n v="3.04"/>
    <n v="0.68"/>
    <n v="2.36"/>
    <e v="#N/A"/>
    <n v="2501382993"/>
    <n v="103031615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SUR_CARD_01"/>
    <s v="Majoration AvisÃ© sans TÃ©l ou mail"/>
    <s v="SURCHALL NTFCNCRD"/>
    <m/>
    <n v="244"/>
    <s v="29.06.2026"/>
    <x v="356"/>
    <n v="2604000134"/>
    <m/>
    <n v="0"/>
    <n v="0"/>
    <n v="0"/>
    <n v="0"/>
    <s v="KG"/>
    <n v="2.36"/>
    <n v="0"/>
    <n v="0"/>
    <n v="29.1"/>
    <n v="0.68"/>
    <n v="0"/>
    <n v="0"/>
    <s v="EUR"/>
    <m/>
    <s v="EXP20260625-2819847-"/>
    <s v="EXP20260625-2819847-"/>
    <s v="00KUR5X6"/>
    <s v="RAIN CASSANDRE"/>
    <s v="73, BOULEVARD DE LA MARNE"/>
    <m/>
    <m/>
    <n v="94210"/>
    <s v="SAINT-MAUR-DES-FOSSES"/>
    <s v="FR"/>
    <s v="France"/>
    <m/>
  </r>
  <r>
    <x v="1"/>
    <n v="0"/>
    <n v="0"/>
    <n v="0"/>
    <e v="#N/A"/>
    <n v="2501382993"/>
    <n v="1030316159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SUR_FS_AVIS_01"/>
    <s v="AvisÃ© FDS"/>
    <s v="SURCHALL"/>
    <m/>
    <n v="245"/>
    <s v="29.06.2026"/>
    <x v="356"/>
    <n v="2604000134"/>
    <m/>
    <n v="0"/>
    <n v="0"/>
    <n v="0"/>
    <n v="0"/>
    <s v="KG"/>
    <n v="0"/>
    <n v="0"/>
    <n v="0"/>
    <n v="0"/>
    <n v="0"/>
    <n v="0"/>
    <n v="0"/>
    <s v="EUR"/>
    <m/>
    <s v="EXP20260625-2819847-"/>
    <s v="EXP20260625-2819847-"/>
    <s v="00KUR5X6"/>
    <s v="RAIN CASSANDRE"/>
    <s v="73, BOULEVARD DE LA MARNE"/>
    <m/>
    <m/>
    <n v="94210"/>
    <s v="SAINT-MAUR-DES-FOSSES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66"/>
    <s v="30.06.2026"/>
    <x v="369"/>
    <n v="2604000269"/>
    <m/>
    <n v="0"/>
    <n v="0"/>
    <n v="0"/>
    <n v="0"/>
    <s v="KG"/>
    <n v="4.42"/>
    <n v="0.9"/>
    <n v="0.15"/>
    <n v="29.1"/>
    <n v="1.54"/>
    <n v="0"/>
    <n v="0"/>
    <s v="EUR"/>
    <m/>
    <s v="EXP20260629-2828011-"/>
    <s v="EXP20260629-2828011-"/>
    <s v="00L0NE0Y"/>
    <s v="THEPAUT IGGY"/>
    <s v="95 RUE TORPILLEUR FOUDROYANT"/>
    <m/>
    <m/>
    <n v="29200"/>
    <s v="BREST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66"/>
    <s v="30.06.2026"/>
    <x v="370"/>
    <n v="2604000263"/>
    <m/>
    <n v="0"/>
    <n v="0"/>
    <n v="0"/>
    <n v="0"/>
    <s v="KG"/>
    <n v="4.42"/>
    <n v="0.9"/>
    <n v="0.15"/>
    <n v="29.1"/>
    <n v="1.54"/>
    <n v="0"/>
    <n v="0"/>
    <s v="EUR"/>
    <m/>
    <s v="EXP20260630-2828422-"/>
    <s v="EXP20260630-2828422-"/>
    <s v="00L0NE0S"/>
    <s v="SOLER VERONICA"/>
    <s v="10 RUE VICTOR HUGO"/>
    <m/>
    <m/>
    <n v="6110"/>
    <s v="LE CANNET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66"/>
    <s v="30.06.2026"/>
    <x v="371"/>
    <n v="2604000260"/>
    <m/>
    <n v="0"/>
    <n v="0"/>
    <n v="0"/>
    <n v="0"/>
    <s v="KG"/>
    <n v="4.42"/>
    <n v="0.9"/>
    <n v="0.15"/>
    <n v="29.1"/>
    <n v="1.54"/>
    <n v="0"/>
    <n v="0"/>
    <s v="EUR"/>
    <m/>
    <s v="EXP20260626-2821726-"/>
    <s v="EXP20260626-2821726-"/>
    <s v="00L0NE0P"/>
    <s v="ZYBERAJ ULYSSE"/>
    <s v="12 RUE DU POIRIER DE FER"/>
    <m/>
    <m/>
    <n v="94440"/>
    <s v="VILLECRESNES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66"/>
    <s v="30.06.2026"/>
    <x v="372"/>
    <n v="2604000259"/>
    <m/>
    <n v="0"/>
    <n v="0"/>
    <n v="0"/>
    <n v="0"/>
    <s v="KG"/>
    <n v="4.42"/>
    <n v="0.9"/>
    <n v="0.15"/>
    <n v="29.1"/>
    <n v="1.54"/>
    <n v="0"/>
    <n v="0"/>
    <s v="EUR"/>
    <m/>
    <s v="EXP20260629-2825681-"/>
    <s v="EXP20260629-2825681-"/>
    <s v="00L0NE0O"/>
    <s v="SESSA GIULIO"/>
    <s v="229 AVENUE FRANCOIS NARDI"/>
    <m/>
    <m/>
    <n v="83000"/>
    <s v="TOULON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66"/>
    <s v="30.06.2026"/>
    <x v="373"/>
    <n v="2604000258"/>
    <m/>
    <n v="0"/>
    <n v="0"/>
    <n v="0"/>
    <n v="0"/>
    <s v="KG"/>
    <n v="4.42"/>
    <n v="0.9"/>
    <n v="0.15"/>
    <n v="29.1"/>
    <n v="1.54"/>
    <n v="0"/>
    <n v="0"/>
    <s v="EUR"/>
    <m/>
    <s v="EXP20260628-2824036-"/>
    <s v="EXP20260628-2824036-"/>
    <s v="00L0NE0N"/>
    <s v="GIRARD PAULINE"/>
    <s v="21 RUE DE L'ETOILE"/>
    <m/>
    <m/>
    <n v="49280"/>
    <s v="SAINT-LEGER-SOUS-CHOLET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66"/>
    <s v="30.06.2026"/>
    <x v="374"/>
    <n v="2604000255"/>
    <m/>
    <n v="0"/>
    <n v="0"/>
    <n v="0"/>
    <n v="0"/>
    <s v="KG"/>
    <n v="4.42"/>
    <n v="0.9"/>
    <n v="0.15"/>
    <n v="29.1"/>
    <n v="1.54"/>
    <n v="0"/>
    <n v="0"/>
    <s v="EUR"/>
    <m/>
    <s v="EXP20260628-2824652-"/>
    <s v="EXP20260628-2824652-"/>
    <s v="00L0NE0K"/>
    <s v="MACRAIGNE ANNICK"/>
    <s v="5 ESP. DES PROVINS, 71120 CHAR"/>
    <m/>
    <m/>
    <n v="71120"/>
    <s v="CHAROLLES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66"/>
    <s v="30.06.2026"/>
    <x v="375"/>
    <n v="2604000251"/>
    <m/>
    <n v="0"/>
    <n v="0"/>
    <n v="0"/>
    <n v="0"/>
    <s v="KG"/>
    <n v="4.42"/>
    <n v="0.9"/>
    <n v="0.15"/>
    <n v="29.1"/>
    <n v="1.54"/>
    <n v="0"/>
    <n v="0"/>
    <s v="EUR"/>
    <m/>
    <s v="EXP20260628-2825117-"/>
    <s v="EXP20260628-2825117-"/>
    <s v="00L0NE0G"/>
    <s v="AUBERT VANESSA"/>
    <s v="5 RUE DE LA BORNE AUX DAMES"/>
    <m/>
    <m/>
    <n v="95610"/>
    <s v="ERAGNY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66"/>
    <s v="30.06.2026"/>
    <x v="376"/>
    <n v="2604000250"/>
    <m/>
    <n v="0"/>
    <n v="0"/>
    <n v="0"/>
    <n v="0"/>
    <s v="KG"/>
    <n v="4.42"/>
    <n v="0.9"/>
    <n v="0.15"/>
    <n v="29.1"/>
    <n v="1.54"/>
    <n v="0"/>
    <n v="0"/>
    <s v="EUR"/>
    <m/>
    <s v="EXP20260627-2822579-"/>
    <s v="EXP20260627-2822579-"/>
    <s v="00L0NE0F"/>
    <s v="AIWALA KARIN"/>
    <s v="30A RUE DU MOUTIER"/>
    <m/>
    <m/>
    <n v="95300"/>
    <s v="ENNERY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66"/>
    <s v="30.06.2026"/>
    <x v="377"/>
    <n v="2604000248"/>
    <m/>
    <n v="0"/>
    <n v="0"/>
    <n v="0"/>
    <n v="0"/>
    <s v="KG"/>
    <n v="4.42"/>
    <n v="0.9"/>
    <n v="0.15"/>
    <n v="29.1"/>
    <n v="1.54"/>
    <n v="0"/>
    <n v="0"/>
    <s v="EUR"/>
    <m/>
    <s v="EXP20260629-2827938-"/>
    <s v="EXP20260629-2827938-"/>
    <s v="00L0NE0D"/>
    <s v="DELAROQUE CHRISTOPHE"/>
    <s v="37 RUE NELSON MANDELA"/>
    <m/>
    <m/>
    <n v="14850"/>
    <s v="HEROUVILLETTE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66"/>
    <s v="30.06.2026"/>
    <x v="378"/>
    <n v="2604000247"/>
    <m/>
    <n v="0"/>
    <n v="0"/>
    <n v="0"/>
    <n v="0"/>
    <s v="KG"/>
    <n v="4.42"/>
    <n v="0.9"/>
    <n v="0.15"/>
    <n v="29.1"/>
    <n v="1.54"/>
    <n v="0"/>
    <n v="0"/>
    <s v="EUR"/>
    <m/>
    <s v="EXP20260628-2825216-"/>
    <s v="EXP20260628-2825216-"/>
    <s v="00L0NE0C"/>
    <s v="PAUL LEGOFF"/>
    <s v="25 BOULEVARD DE BELLEVILLE"/>
    <m/>
    <m/>
    <n v="75011"/>
    <s v="PARIS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66"/>
    <s v="30.06.2026"/>
    <x v="379"/>
    <n v="2604000246"/>
    <m/>
    <n v="0"/>
    <n v="0"/>
    <n v="0"/>
    <n v="0"/>
    <s v="KG"/>
    <n v="4.42"/>
    <n v="0.9"/>
    <n v="0.15"/>
    <n v="29.1"/>
    <n v="1.54"/>
    <n v="0"/>
    <n v="0"/>
    <s v="EUR"/>
    <m/>
    <s v="EXP20260628-2824469-"/>
    <s v="EXP20260628-2824469-"/>
    <s v="00L0NE0B"/>
    <s v="GALLE VERONIQUE"/>
    <s v="778E CHEMIN DES GARRIGUES"/>
    <m/>
    <m/>
    <n v="84210"/>
    <s v="VENASQUE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66"/>
    <s v="30.06.2026"/>
    <x v="380"/>
    <n v="2604000245"/>
    <m/>
    <n v="0"/>
    <n v="0"/>
    <n v="0"/>
    <n v="0"/>
    <s v="KG"/>
    <n v="4.42"/>
    <n v="0.9"/>
    <n v="0.15"/>
    <n v="29.1"/>
    <n v="1.54"/>
    <n v="0"/>
    <n v="0"/>
    <s v="EUR"/>
    <m/>
    <s v="EXP20260628-2824360-"/>
    <s v="EXP20260628-2824360-"/>
    <s v="00L0NE0A"/>
    <s v="BD AVOCATES"/>
    <s v="23 RUE MARC BLOCH"/>
    <m/>
    <m/>
    <n v="69007"/>
    <s v="LYON 7EME ARRONDISSEMENT"/>
    <s v="FR"/>
    <s v="France"/>
    <m/>
  </r>
  <r>
    <x v="0"/>
    <n v="6.6000000000000005"/>
    <n v="1.45"/>
    <n v="5.15"/>
    <n v="1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265"/>
    <s v="30.06.2026"/>
    <x v="381"/>
    <n v="7056346"/>
    <m/>
    <n v="0"/>
    <n v="0"/>
    <n v="0"/>
    <n v="0"/>
    <s v="KG"/>
    <n v="4.0999999999999996"/>
    <n v="0.9"/>
    <n v="0.15"/>
    <n v="29.1"/>
    <n v="1.45"/>
    <n v="0"/>
    <n v="0"/>
    <s v="EUR"/>
    <n v="26784"/>
    <n v="26784"/>
    <m/>
    <s v="00L40S0N"/>
    <s v="CARDETTI CLEMENCE"/>
    <s v="20 RUE FRANCOIS CAMEL"/>
    <m/>
    <m/>
    <n v="9400"/>
    <s v="TARASCON SUR ARIEGE"/>
    <s v="FR"/>
    <s v="France"/>
    <m/>
  </r>
  <r>
    <x v="0"/>
    <n v="6.6000000000000005"/>
    <n v="1.45"/>
    <n v="5.15"/>
    <n v="1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265"/>
    <s v="30.06.2026"/>
    <x v="382"/>
    <n v="2604000268"/>
    <m/>
    <n v="0"/>
    <n v="0"/>
    <n v="0"/>
    <n v="0"/>
    <s v="KG"/>
    <n v="4.0999999999999996"/>
    <n v="0.9"/>
    <n v="0.15"/>
    <n v="29.1"/>
    <n v="1.45"/>
    <n v="0"/>
    <n v="0"/>
    <s v="EUR"/>
    <m/>
    <s v="EXP20260628-2824879-"/>
    <s v="EXP20260628-2824879-"/>
    <s v="00L0NE0X"/>
    <s v="LECHEVALLIER MADELEINE"/>
    <s v="235 ROUTE DE COUTANCES"/>
    <m/>
    <m/>
    <n v="50350"/>
    <s v="DONVILLE-LES-BAINS"/>
    <s v="FR"/>
    <s v="France"/>
    <m/>
  </r>
  <r>
    <x v="0"/>
    <n v="6.6000000000000005"/>
    <n v="1.45"/>
    <n v="5.15"/>
    <n v="1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265"/>
    <s v="30.06.2026"/>
    <x v="383"/>
    <n v="2604000262"/>
    <m/>
    <n v="0"/>
    <n v="0"/>
    <n v="0"/>
    <n v="0"/>
    <s v="KG"/>
    <n v="4.0999999999999996"/>
    <n v="0.9"/>
    <n v="0.15"/>
    <n v="29.1"/>
    <n v="1.45"/>
    <n v="0"/>
    <n v="0"/>
    <s v="EUR"/>
    <m/>
    <s v="EXP20260628-2824653-"/>
    <s v="EXP20260628-2824653-"/>
    <s v="00L0NE0R"/>
    <s v="GAYRARD ISABELLE"/>
    <s v="26 RUE DE LA RONCE, 92410 VILL"/>
    <m/>
    <m/>
    <n v="92410"/>
    <s v="VILLE-D'AVRAY"/>
    <s v="FR"/>
    <s v="France"/>
    <m/>
  </r>
  <r>
    <x v="0"/>
    <n v="6.6000000000000005"/>
    <n v="1.45"/>
    <n v="5.15"/>
    <n v="1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265"/>
    <s v="30.06.2026"/>
    <x v="384"/>
    <n v="2604000256"/>
    <m/>
    <n v="0"/>
    <n v="0"/>
    <n v="0"/>
    <n v="0"/>
    <s v="KG"/>
    <n v="4.0999999999999996"/>
    <n v="0.9"/>
    <n v="0.15"/>
    <n v="29.1"/>
    <n v="1.45"/>
    <n v="0"/>
    <n v="0"/>
    <s v="EUR"/>
    <m/>
    <s v="EXP20260629-2828094-"/>
    <s v="EXP20260629-2828094-"/>
    <s v="00L0NE0L"/>
    <s v="OJEDA ALICIA"/>
    <s v="51 BIS RUE HERMITE"/>
    <m/>
    <m/>
    <n v="54000"/>
    <s v="NANCY"/>
    <s v="FR"/>
    <s v="France"/>
    <m/>
  </r>
  <r>
    <x v="0"/>
    <n v="6.6000000000000005"/>
    <n v="1.45"/>
    <n v="5.15"/>
    <n v="1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4"/>
    <s v="Business Parcel - Dis. 01 - Size 04"/>
    <s v="PARCEDOMESSTANDARD"/>
    <m/>
    <n v="265"/>
    <s v="30.06.2026"/>
    <x v="385"/>
    <n v="2604000249"/>
    <m/>
    <n v="0"/>
    <n v="0"/>
    <n v="0"/>
    <n v="0"/>
    <s v="KG"/>
    <n v="4.0999999999999996"/>
    <n v="0.9"/>
    <n v="0.15"/>
    <n v="29.1"/>
    <n v="1.45"/>
    <n v="0"/>
    <n v="0"/>
    <s v="EUR"/>
    <m/>
    <s v="EXP20260628-2824359-"/>
    <s v="EXP20260628-2824359-"/>
    <s v="00L0NE0E"/>
    <s v="QUINET TRISTAN"/>
    <s v="109 AV. DE LODEVE, 34070 MONTP"/>
    <m/>
    <m/>
    <n v="34070"/>
    <s v="MONTPELLIER"/>
    <s v="FR"/>
    <s v="France"/>
    <m/>
  </r>
  <r>
    <x v="0"/>
    <n v="6.6000000000000005"/>
    <n v="1.45"/>
    <n v="5.15"/>
    <n v="1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3"/>
    <s v="Business Parcel - Dis. 01 - Size 03"/>
    <s v="PARCEDOMESSTANDARD"/>
    <m/>
    <n v="264"/>
    <s v="30.06.2026"/>
    <x v="386"/>
    <n v="2604000265"/>
    <m/>
    <n v="0"/>
    <n v="0"/>
    <n v="0"/>
    <n v="0"/>
    <s v="KG"/>
    <n v="4.0999999999999996"/>
    <n v="0.9"/>
    <n v="0.15"/>
    <n v="29.1"/>
    <n v="1.45"/>
    <n v="0"/>
    <n v="0"/>
    <s v="EUR"/>
    <m/>
    <s v="EXP20260628-2825014-"/>
    <s v="EXP20260628-2825014-"/>
    <s v="00L0NE0U"/>
    <s v="TOSTEN CAROLINE"/>
    <s v="76 RUE JULES GUESDE"/>
    <m/>
    <m/>
    <n v="92300"/>
    <s v="LEVALLOIS-PERRET"/>
    <s v="FR"/>
    <s v="France"/>
    <m/>
  </r>
  <r>
    <x v="0"/>
    <n v="6.17"/>
    <n v="1.35"/>
    <n v="4.82"/>
    <n v="0.5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263"/>
    <s v="30.06.2026"/>
    <x v="387"/>
    <n v="2604000286"/>
    <m/>
    <n v="0"/>
    <n v="0"/>
    <n v="0"/>
    <n v="0"/>
    <s v="KG"/>
    <n v="3.77"/>
    <n v="0.9"/>
    <n v="0.15"/>
    <n v="29.1"/>
    <n v="1.35"/>
    <n v="0"/>
    <n v="0"/>
    <s v="EUR"/>
    <m/>
    <s v="EXP20260627-2823527-"/>
    <s v="EXP20260627-2823527-"/>
    <s v="00L0NE1F"/>
    <s v="BRETAULT EVE"/>
    <s v="107 RUE RAYMOND LOSSERAND, PAR"/>
    <m/>
    <m/>
    <n v="75014"/>
    <s v="PARIS"/>
    <s v="FR"/>
    <s v="France"/>
    <m/>
  </r>
  <r>
    <x v="0"/>
    <n v="6.17"/>
    <n v="1.35"/>
    <n v="4.82"/>
    <n v="0.5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263"/>
    <s v="30.06.2026"/>
    <x v="388"/>
    <n v="2604000275"/>
    <m/>
    <n v="0"/>
    <n v="0"/>
    <n v="0"/>
    <n v="0"/>
    <s v="KG"/>
    <n v="3.77"/>
    <n v="0.9"/>
    <n v="0.15"/>
    <n v="29.1"/>
    <n v="1.35"/>
    <n v="0"/>
    <n v="0"/>
    <s v="EUR"/>
    <m/>
    <s v="EXP20260629-2827269-"/>
    <s v="EXP20260629-2827269-"/>
    <s v="00L0NE14"/>
    <s v="BLOT ETIENNE"/>
    <s v="2 RUE DE LA AUNIS"/>
    <m/>
    <m/>
    <n v="17440"/>
    <s v="AYTRE"/>
    <s v="FR"/>
    <s v="France"/>
    <m/>
  </r>
  <r>
    <x v="0"/>
    <n v="6.17"/>
    <n v="1.35"/>
    <n v="4.82"/>
    <n v="0.5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263"/>
    <s v="30.06.2026"/>
    <x v="389"/>
    <n v="2604000274"/>
    <m/>
    <n v="0"/>
    <n v="0"/>
    <n v="0"/>
    <n v="0"/>
    <s v="KG"/>
    <n v="3.77"/>
    <n v="0.9"/>
    <n v="0.15"/>
    <n v="29.1"/>
    <n v="1.35"/>
    <n v="0"/>
    <n v="0"/>
    <s v="EUR"/>
    <m/>
    <s v="EXP20260627-2822397-"/>
    <s v="EXP20260627-2822397-"/>
    <s v="00L0NE13"/>
    <s v="GOURNEL HELENE"/>
    <s v="14 RUE DU CLOS FILLATRE, 27910"/>
    <m/>
    <m/>
    <n v="27910"/>
    <s v="LES HOGUES"/>
    <s v="FR"/>
    <s v="France"/>
    <m/>
  </r>
  <r>
    <x v="0"/>
    <n v="6.17"/>
    <n v="1.35"/>
    <n v="4.82"/>
    <n v="0.5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263"/>
    <s v="30.06.2026"/>
    <x v="390"/>
    <n v="2604000273"/>
    <m/>
    <n v="0"/>
    <n v="0"/>
    <n v="0"/>
    <n v="0"/>
    <s v="KG"/>
    <n v="3.77"/>
    <n v="0.9"/>
    <n v="0.15"/>
    <n v="29.1"/>
    <n v="1.35"/>
    <n v="0"/>
    <n v="0"/>
    <s v="EUR"/>
    <m/>
    <s v="EXP20260629-2825679-"/>
    <s v="EXP20260629-2825679-"/>
    <s v="00L0NE12"/>
    <s v="BROCHERAY RIVAS MARINA"/>
    <s v="17 LES BOUTONS D OR"/>
    <m/>
    <m/>
    <n v="27180"/>
    <s v="LES BAUX STE CROIX"/>
    <s v="FR"/>
    <s v="France"/>
    <m/>
  </r>
  <r>
    <x v="0"/>
    <n v="6.17"/>
    <n v="1.35"/>
    <n v="4.82"/>
    <n v="0.5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263"/>
    <s v="30.06.2026"/>
    <x v="391"/>
    <n v="2604000272"/>
    <m/>
    <n v="0"/>
    <n v="0"/>
    <n v="0"/>
    <n v="0"/>
    <s v="KG"/>
    <n v="3.77"/>
    <n v="0.9"/>
    <n v="0.15"/>
    <n v="29.1"/>
    <n v="1.35"/>
    <n v="0"/>
    <n v="0"/>
    <s v="EUR"/>
    <m/>
    <s v="EXP20260627-2823791-"/>
    <s v="EXP20260627-2823791-"/>
    <s v="00L0NE11"/>
    <s v="RECHDAN LEA"/>
    <s v="2 RUE DU PLATEAU"/>
    <m/>
    <m/>
    <n v="92500"/>
    <s v="RUEIL MALMAISON"/>
    <s v="FR"/>
    <s v="France"/>
    <m/>
  </r>
  <r>
    <x v="0"/>
    <n v="6.17"/>
    <n v="1.35"/>
    <n v="4.82"/>
    <n v="0.5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263"/>
    <s v="30.06.2026"/>
    <x v="392"/>
    <n v="2604000267"/>
    <m/>
    <n v="0"/>
    <n v="0"/>
    <n v="0"/>
    <n v="0"/>
    <s v="KG"/>
    <n v="3.77"/>
    <n v="0.9"/>
    <n v="0.15"/>
    <n v="29.1"/>
    <n v="1.35"/>
    <n v="0"/>
    <n v="0"/>
    <s v="EUR"/>
    <m/>
    <s v="EXP20260627-2822513-"/>
    <s v="EXP20260627-2822513-"/>
    <s v="00L0NE0W"/>
    <s v="MARLANGUE ANNE"/>
    <s v="71 RUE SAINT-BLAISE"/>
    <m/>
    <m/>
    <n v="75020"/>
    <s v="PARIS"/>
    <s v="FR"/>
    <s v="France"/>
    <m/>
  </r>
  <r>
    <x v="0"/>
    <n v="6.17"/>
    <n v="1.35"/>
    <n v="4.82"/>
    <n v="0.5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263"/>
    <s v="30.06.2026"/>
    <x v="393"/>
    <n v="2604000266"/>
    <m/>
    <n v="0"/>
    <n v="0"/>
    <n v="0"/>
    <n v="0"/>
    <s v="KG"/>
    <n v="3.77"/>
    <n v="0.9"/>
    <n v="0.15"/>
    <n v="29.1"/>
    <n v="1.35"/>
    <n v="0"/>
    <n v="0"/>
    <s v="EUR"/>
    <m/>
    <s v="EXP20260629-2827553-"/>
    <s v="EXP20260629-2827553-"/>
    <s v="00L0NE0V"/>
    <s v="SU XINYUE"/>
    <s v="52 RUE VASCO DE GAMA"/>
    <m/>
    <m/>
    <n v="75015"/>
    <s v="PARIS"/>
    <s v="FR"/>
    <s v="France"/>
    <m/>
  </r>
  <r>
    <x v="0"/>
    <n v="6.17"/>
    <n v="1.35"/>
    <n v="4.82"/>
    <n v="0.5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263"/>
    <s v="30.06.2026"/>
    <x v="394"/>
    <n v="2604000264"/>
    <m/>
    <n v="0"/>
    <n v="0"/>
    <n v="0"/>
    <n v="0"/>
    <s v="KG"/>
    <n v="3.77"/>
    <n v="0.9"/>
    <n v="0.15"/>
    <n v="29.1"/>
    <n v="1.35"/>
    <n v="0"/>
    <n v="0"/>
    <s v="EUR"/>
    <m/>
    <s v="EXP20260626-2821384-"/>
    <s v="EXP20260626-2821384-"/>
    <s v="00L0NE0T"/>
    <s v="CHEE CHRISTIANA"/>
    <s v="9G BOULEVARD JOURDAN"/>
    <m/>
    <m/>
    <n v="75014"/>
    <s v="PARIS"/>
    <s v="FR"/>
    <s v="France"/>
    <m/>
  </r>
  <r>
    <x v="0"/>
    <n v="6.17"/>
    <n v="1.35"/>
    <n v="4.82"/>
    <n v="0.5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263"/>
    <s v="30.06.2026"/>
    <x v="395"/>
    <n v="2604000257"/>
    <m/>
    <n v="0"/>
    <n v="0"/>
    <n v="0"/>
    <n v="0"/>
    <s v="KG"/>
    <n v="3.77"/>
    <n v="0.9"/>
    <n v="0.15"/>
    <n v="29.1"/>
    <n v="1.35"/>
    <n v="0"/>
    <n v="0"/>
    <s v="EUR"/>
    <m/>
    <s v="EXP20260628-2825016-"/>
    <s v="EXP20260628-2825016-"/>
    <s v="00L0NE0M"/>
    <s v="THOMAS GENEVIEVE"/>
    <s v="38 RUE BENARD"/>
    <m/>
    <m/>
    <n v="75014"/>
    <s v="PARIS"/>
    <s v="FR"/>
    <s v="France"/>
    <m/>
  </r>
  <r>
    <x v="0"/>
    <n v="6.17"/>
    <n v="1.35"/>
    <n v="4.82"/>
    <n v="0.5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263"/>
    <s v="30.06.2026"/>
    <x v="396"/>
    <n v="2604000254"/>
    <m/>
    <n v="0"/>
    <n v="0"/>
    <n v="0"/>
    <n v="0"/>
    <s v="KG"/>
    <n v="3.77"/>
    <n v="0.9"/>
    <n v="0.15"/>
    <n v="29.1"/>
    <n v="1.35"/>
    <n v="0"/>
    <n v="0"/>
    <s v="EUR"/>
    <m/>
    <s v="EXP20260630-2828367-"/>
    <s v="EXP20260630-2828367-"/>
    <s v="00L0NE0J"/>
    <s v="ROCHEFORT ANNE"/>
    <s v="65 AVENUE PIERRE LEFAUCHEUX"/>
    <m/>
    <m/>
    <n v="92100"/>
    <s v="BOULOGNE-BILLANCOURT"/>
    <s v="FR"/>
    <s v="France"/>
    <m/>
  </r>
  <r>
    <x v="0"/>
    <n v="6.17"/>
    <n v="1.35"/>
    <n v="4.82"/>
    <n v="0.5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2"/>
    <s v="Business Parcel - Dis. 01 - Size 02"/>
    <s v="PARCEDOMESSTANDARD"/>
    <m/>
    <n v="263"/>
    <s v="30.06.2026"/>
    <x v="397"/>
    <n v="2604000252"/>
    <m/>
    <n v="0"/>
    <n v="0"/>
    <n v="0"/>
    <n v="0"/>
    <s v="KG"/>
    <n v="3.77"/>
    <n v="0.9"/>
    <n v="0.15"/>
    <n v="29.1"/>
    <n v="1.35"/>
    <n v="0"/>
    <n v="0"/>
    <s v="EUR"/>
    <m/>
    <s v="EXP20260627-2823291-"/>
    <s v="EXP20260627-2823291-"/>
    <s v="00L0NE0H"/>
    <s v="DESGRIPPES MARIE"/>
    <s v="253 RUE LECOURBE"/>
    <m/>
    <m/>
    <n v="75015"/>
    <s v="PARIS"/>
    <s v="FR"/>
    <s v="France"/>
    <m/>
  </r>
  <r>
    <x v="0"/>
    <n v="0"/>
    <n v="0"/>
    <n v="0"/>
    <n v="1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81"/>
    <n v="7056346"/>
    <m/>
    <n v="0"/>
    <n v="1"/>
    <n v="0"/>
    <n v="0.84"/>
    <s v="KG"/>
    <n v="0"/>
    <n v="0"/>
    <n v="0"/>
    <n v="0"/>
    <n v="0"/>
    <n v="0"/>
    <n v="0"/>
    <s v="EUR"/>
    <n v="26784"/>
    <n v="26784"/>
    <m/>
    <s v="00L40S0N"/>
    <s v="CARDETTI CLEMENCE"/>
    <s v="20 RUE FRANCOIS CAMEL"/>
    <m/>
    <m/>
    <n v="9400"/>
    <s v="TARASCON SUR ARIEGE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98"/>
    <n v="2604000299"/>
    <m/>
    <n v="0"/>
    <n v="1"/>
    <n v="0"/>
    <n v="1.65"/>
    <s v="KG"/>
    <n v="0"/>
    <n v="0"/>
    <n v="0"/>
    <n v="0"/>
    <n v="0"/>
    <n v="0"/>
    <n v="0"/>
    <s v="EUR"/>
    <m/>
    <s v="EXP20260628-2824471-"/>
    <s v="EXP20260628-2824471-"/>
    <s v="00L0NE1S"/>
    <s v="BA FLORENCE"/>
    <s v="45 AVENUE DE VERDUN"/>
    <m/>
    <m/>
    <n v="69630"/>
    <s v="CHAPONOST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66"/>
    <s v="30.06.2026"/>
    <x v="399"/>
    <n v="2604000270"/>
    <m/>
    <n v="0"/>
    <n v="0"/>
    <n v="0"/>
    <n v="0"/>
    <s v="KG"/>
    <n v="4.42"/>
    <n v="0.9"/>
    <n v="0.15"/>
    <n v="29.1"/>
    <n v="1.54"/>
    <n v="0"/>
    <n v="0"/>
    <s v="EUR"/>
    <m/>
    <s v="EXP20260627-2823733-"/>
    <s v="EXP20260627-2823733-"/>
    <s v="00L0NE0Z"/>
    <s v="NGUYEN GAELLE"/>
    <s v="87 ROUTE DE SAINT-DENIS"/>
    <m/>
    <m/>
    <n v="95170"/>
    <s v="DEUIL-LA-BARRE"/>
    <s v="FR"/>
    <s v="France"/>
    <m/>
  </r>
  <r>
    <x v="1"/>
    <n v="0"/>
    <n v="0"/>
    <n v="0"/>
    <e v="#N/A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FS_AVIS_01"/>
    <s v="AvisÃ© FDS"/>
    <s v="SURCHALL"/>
    <m/>
    <n v="272"/>
    <s v="30.06.2026"/>
    <x v="362"/>
    <n v="2604000243"/>
    <m/>
    <n v="0"/>
    <n v="0"/>
    <n v="0"/>
    <n v="0"/>
    <s v="KG"/>
    <n v="0"/>
    <n v="0"/>
    <n v="0"/>
    <n v="0"/>
    <n v="0"/>
    <n v="0"/>
    <n v="0"/>
    <s v="EUR"/>
    <m/>
    <s v="EXP20260626-2820852-"/>
    <s v="EXP20260626-2820852-"/>
    <s v="00L0NE08"/>
    <s v="VELLAS LAVAYSSIERE CAMILLE"/>
    <s v="2 AVENUE FRIZAC"/>
    <m/>
    <m/>
    <n v="31400"/>
    <s v="TOULOUSE"/>
    <s v="FR"/>
    <s v="France"/>
    <m/>
  </r>
  <r>
    <x v="1"/>
    <n v="0"/>
    <n v="0"/>
    <n v="0"/>
    <e v="#N/A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FS_AVIS_01"/>
    <s v="AvisÃ© FDS"/>
    <s v="SURCHALL"/>
    <m/>
    <n v="272"/>
    <s v="30.06.2026"/>
    <x v="361"/>
    <n v="2604000242"/>
    <m/>
    <n v="0"/>
    <n v="0"/>
    <n v="0"/>
    <n v="0"/>
    <s v="KG"/>
    <n v="0"/>
    <n v="0"/>
    <n v="0"/>
    <n v="0"/>
    <n v="0"/>
    <n v="0"/>
    <n v="0"/>
    <s v="EUR"/>
    <m/>
    <s v="EXP20260626-2820678-"/>
    <s v="EXP20260626-2820678-"/>
    <s v="00L0NE07"/>
    <s v="LE GONIDEC FAUSTINE"/>
    <s v="70 QUAI DE LA LOIRE"/>
    <m/>
    <m/>
    <n v="75019"/>
    <s v="PARIS"/>
    <s v="FR"/>
    <s v="France"/>
    <m/>
  </r>
  <r>
    <x v="1"/>
    <n v="0"/>
    <n v="0"/>
    <n v="0"/>
    <e v="#N/A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FS_AVIS_01"/>
    <s v="AvisÃ© FDS"/>
    <s v="SURCHALL"/>
    <m/>
    <n v="272"/>
    <s v="30.06.2026"/>
    <x v="288"/>
    <n v="2604000159"/>
    <m/>
    <n v="0"/>
    <n v="0"/>
    <n v="0"/>
    <n v="0"/>
    <s v="KG"/>
    <n v="0"/>
    <n v="0"/>
    <n v="0"/>
    <n v="0"/>
    <n v="0"/>
    <n v="0"/>
    <n v="0"/>
    <s v="EUR"/>
    <m/>
    <s v="EXP20260624-2815777-"/>
    <s v="EXP20260624-2815777-"/>
    <s v="00L0NDXW"/>
    <s v="TURLURE PAUL"/>
    <s v="46 RUE DE LA TOUR D'AUVERGNE"/>
    <m/>
    <m/>
    <n v="75009"/>
    <s v="PARIS"/>
    <s v="FR"/>
    <s v="France"/>
    <m/>
  </r>
  <r>
    <x v="2"/>
    <n v="3.04"/>
    <n v="0.68"/>
    <n v="2.36"/>
    <e v="#N/A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CARD_01"/>
    <s v="Majoration AvisÃ© sans TÃ©l ou mail"/>
    <s v="SURCHALL NTFCNCRD"/>
    <m/>
    <n v="271"/>
    <s v="30.06.2026"/>
    <x v="362"/>
    <n v="2604000243"/>
    <m/>
    <n v="0"/>
    <n v="0"/>
    <n v="0"/>
    <n v="0"/>
    <s v="KG"/>
    <n v="2.36"/>
    <n v="0"/>
    <n v="0"/>
    <n v="29.1"/>
    <n v="0.68"/>
    <n v="0"/>
    <n v="0"/>
    <s v="EUR"/>
    <m/>
    <s v="EXP20260626-2820852-"/>
    <s v="EXP20260626-2820852-"/>
    <s v="00L0NE08"/>
    <s v="VELLAS LAVAYSSIERE CAMILLE"/>
    <s v="2 AVENUE FRIZAC"/>
    <m/>
    <m/>
    <n v="31400"/>
    <s v="TOULOUSE"/>
    <s v="FR"/>
    <s v="France"/>
    <m/>
  </r>
  <r>
    <x v="2"/>
    <n v="3.04"/>
    <n v="0.68"/>
    <n v="2.36"/>
    <e v="#N/A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SUR_CARD_01"/>
    <s v="Majoration AvisÃ© sans TÃ©l ou mail"/>
    <s v="SURCHALL NTFCNCRD"/>
    <m/>
    <n v="271"/>
    <s v="30.06.2026"/>
    <x v="361"/>
    <n v="2604000242"/>
    <m/>
    <n v="0"/>
    <n v="0"/>
    <n v="0"/>
    <n v="0"/>
    <s v="KG"/>
    <n v="2.36"/>
    <n v="0"/>
    <n v="0"/>
    <n v="29.1"/>
    <n v="0.68"/>
    <n v="0"/>
    <n v="0"/>
    <s v="EUR"/>
    <m/>
    <s v="EXP20260626-2820678-"/>
    <s v="EXP20260626-2820678-"/>
    <s v="00L0NE07"/>
    <s v="LE GONIDEC FAUSTINE"/>
    <s v="70 QUAI DE LA LOIRE"/>
    <m/>
    <m/>
    <n v="75019"/>
    <s v="PARIS"/>
    <s v="FR"/>
    <s v="France"/>
    <m/>
  </r>
  <r>
    <x v="0"/>
    <n v="9.6000000000000014"/>
    <n v="2.13"/>
    <n v="7.4700000000000015"/>
    <n v="6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10"/>
    <s v="Business Parcel - Dis. 01 - Size 10"/>
    <s v="PARCEDOMESSTANDARD"/>
    <m/>
    <n v="270"/>
    <s v="30.06.2026"/>
    <x v="400"/>
    <n v="2604000297"/>
    <m/>
    <n v="0"/>
    <n v="0"/>
    <n v="0"/>
    <n v="0"/>
    <s v="KG"/>
    <n v="6.42"/>
    <n v="0.9"/>
    <n v="0.15"/>
    <n v="29.1"/>
    <n v="2.13"/>
    <n v="0"/>
    <n v="0"/>
    <s v="EUR"/>
    <m/>
    <s v="EXP20260627-2823406-"/>
    <s v="EXP20260627-2823406-"/>
    <s v="00L0NE1Q"/>
    <s v="VOULTOURY ELIZABETH"/>
    <s v="1 RUE JEAN GIONO"/>
    <m/>
    <m/>
    <n v="87170"/>
    <s v="ISLE"/>
    <s v="FR"/>
    <s v="France"/>
    <m/>
  </r>
  <r>
    <x v="0"/>
    <n v="9.6000000000000014"/>
    <n v="2.13"/>
    <n v="7.4700000000000015"/>
    <n v="6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10"/>
    <s v="Business Parcel - Dis. 01 - Size 10"/>
    <s v="PARCEDOMESSTANDARD"/>
    <m/>
    <n v="270"/>
    <s v="30.06.2026"/>
    <x v="401"/>
    <n v="2604000295"/>
    <m/>
    <n v="0"/>
    <n v="0"/>
    <n v="0"/>
    <n v="0"/>
    <s v="KG"/>
    <n v="6.42"/>
    <n v="0.9"/>
    <n v="0.15"/>
    <n v="29.1"/>
    <n v="2.13"/>
    <n v="0"/>
    <n v="0"/>
    <s v="EUR"/>
    <m/>
    <s v="EXP20260627-2823734-"/>
    <s v="EXP20260627-2823734-"/>
    <s v="00L0NE1O"/>
    <s v="LANGE MURIELLE"/>
    <s v="35 AVENUE KLEBER"/>
    <m/>
    <m/>
    <n v="59240"/>
    <s v="DUNKERQUE"/>
    <s v="FR"/>
    <s v="France"/>
    <m/>
  </r>
  <r>
    <x v="0"/>
    <n v="8.15"/>
    <n v="1.8"/>
    <n v="6.3500000000000005"/>
    <n v="4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8"/>
    <s v="Business Parcel - Dis. 01 - Size 08"/>
    <s v="PARCEDOMESSTANDARD"/>
    <m/>
    <n v="269"/>
    <s v="30.06.2026"/>
    <x v="402"/>
    <n v="2604000296"/>
    <m/>
    <n v="0"/>
    <n v="0"/>
    <n v="0"/>
    <n v="0"/>
    <s v="KG"/>
    <n v="5.3"/>
    <n v="0.9"/>
    <n v="0.15"/>
    <n v="29.1"/>
    <n v="1.8"/>
    <n v="0"/>
    <n v="0"/>
    <s v="EUR"/>
    <m/>
    <s v="EXP20260627-2823525-"/>
    <s v="EXP20260627-2823525-"/>
    <s v="00L0NE1P"/>
    <s v="DE LENCQUESAING PHILIPPINE"/>
    <s v="4 RUE DE TOCQUEVILLE"/>
    <m/>
    <m/>
    <n v="75017"/>
    <s v="PARIS"/>
    <s v="FR"/>
    <s v="France"/>
    <m/>
  </r>
  <r>
    <x v="0"/>
    <n v="7.4300000000000006"/>
    <n v="1.64"/>
    <n v="5.7900000000000009"/>
    <n v="3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268"/>
    <s v="30.06.2026"/>
    <x v="403"/>
    <n v="2604000298"/>
    <m/>
    <n v="0"/>
    <n v="0"/>
    <n v="0"/>
    <n v="0"/>
    <s v="KG"/>
    <n v="4.74"/>
    <n v="0.9"/>
    <n v="0.15"/>
    <n v="29.1"/>
    <n v="1.64"/>
    <n v="0"/>
    <n v="0"/>
    <s v="EUR"/>
    <m/>
    <s v="EXP20260628-2825401-"/>
    <s v="EXP20260628-2825401-"/>
    <s v="00L0NE1R"/>
    <s v="BOUFFLET CELINE"/>
    <s v="45 RUE COQUEREL"/>
    <m/>
    <m/>
    <n v="80000"/>
    <s v="AMIENS"/>
    <s v="FR"/>
    <s v="France"/>
    <m/>
  </r>
  <r>
    <x v="0"/>
    <n v="7.4300000000000006"/>
    <n v="1.64"/>
    <n v="5.7900000000000009"/>
    <n v="3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268"/>
    <s v="30.06.2026"/>
    <x v="404"/>
    <n v="2604000293"/>
    <m/>
    <n v="0"/>
    <n v="0"/>
    <n v="0"/>
    <n v="0"/>
    <s v="KG"/>
    <n v="4.74"/>
    <n v="0.9"/>
    <n v="0.15"/>
    <n v="29.1"/>
    <n v="1.64"/>
    <n v="0"/>
    <n v="0"/>
    <s v="EUR"/>
    <m/>
    <s v="EXP20260627-2822398-"/>
    <s v="EXP20260627-2822398-"/>
    <s v="00L0NE1M"/>
    <s v="ANGELI CHRISTELLE"/>
    <s v="11BIS CHEMIN DE LA BERRETTE ES"/>
    <m/>
    <m/>
    <n v="30210"/>
    <s v="CASTILLON-DU-GARD"/>
    <s v="FR"/>
    <s v="France"/>
    <m/>
  </r>
  <r>
    <x v="0"/>
    <n v="7.4300000000000006"/>
    <n v="1.64"/>
    <n v="5.7900000000000009"/>
    <n v="3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7"/>
    <s v="Business Parcel - Dis. 01 - Size 07"/>
    <s v="PARCEDOMESSTANDARD"/>
    <m/>
    <n v="268"/>
    <s v="30.06.2026"/>
    <x v="405"/>
    <n v="2604000289"/>
    <m/>
    <n v="0"/>
    <n v="0"/>
    <n v="0"/>
    <n v="0"/>
    <s v="KG"/>
    <n v="4.74"/>
    <n v="0.9"/>
    <n v="0.15"/>
    <n v="29.1"/>
    <n v="1.64"/>
    <n v="0"/>
    <n v="0"/>
    <s v="EUR"/>
    <m/>
    <s v="EXP20260629-2825680-"/>
    <s v="EXP20260629-2825680-"/>
    <s v="00L0NE1I"/>
    <s v="SORIN LAURENT"/>
    <s v="1 LES AGRIONS"/>
    <m/>
    <m/>
    <n v="29800"/>
    <s v="TREMAOUEZAN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267"/>
    <s v="30.06.2026"/>
    <x v="398"/>
    <n v="2604000299"/>
    <m/>
    <n v="0"/>
    <n v="0"/>
    <n v="0"/>
    <n v="0"/>
    <s v="KG"/>
    <n v="4.42"/>
    <n v="0.9"/>
    <n v="0.15"/>
    <n v="29.1"/>
    <n v="1.54"/>
    <n v="0"/>
    <n v="0"/>
    <s v="EUR"/>
    <m/>
    <s v="EXP20260628-2824471-"/>
    <s v="EXP20260628-2824471-"/>
    <s v="00L0NE1S"/>
    <s v="BA FLORENCE"/>
    <s v="45 AVENUE DE VERDUN"/>
    <m/>
    <m/>
    <n v="69630"/>
    <s v="CHAPONOST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267"/>
    <s v="30.06.2026"/>
    <x v="406"/>
    <n v="2604000294"/>
    <m/>
    <n v="0"/>
    <n v="0"/>
    <n v="0"/>
    <n v="0"/>
    <s v="KG"/>
    <n v="4.42"/>
    <n v="0.9"/>
    <n v="0.15"/>
    <n v="29.1"/>
    <n v="1.54"/>
    <n v="0"/>
    <n v="0"/>
    <s v="EUR"/>
    <m/>
    <s v="EXP20260627-2823528-"/>
    <s v="EXP20260627-2823528-"/>
    <s v="00L0NE1N"/>
    <s v="CORMEE CAMILLE"/>
    <s v="25 BIS RUE LEON MENU"/>
    <m/>
    <m/>
    <n v="94360"/>
    <s v="BRY SUR MARNE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267"/>
    <s v="30.06.2026"/>
    <x v="407"/>
    <n v="2604000291"/>
    <m/>
    <n v="0"/>
    <n v="0"/>
    <n v="0"/>
    <n v="0"/>
    <s v="KG"/>
    <n v="4.42"/>
    <n v="0.9"/>
    <n v="0.15"/>
    <n v="29.1"/>
    <n v="1.54"/>
    <n v="0"/>
    <n v="0"/>
    <s v="EUR"/>
    <m/>
    <s v="EXP20260627-2822783-"/>
    <s v="EXP20260627-2822783-"/>
    <s v="00L0NE1K"/>
    <s v="OSSOLA DELPHINE"/>
    <s v="9 MAS DE GUERREVIEILLE"/>
    <m/>
    <m/>
    <n v="83120"/>
    <s v="SAINTE-MAXIME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267"/>
    <s v="30.06.2026"/>
    <x v="408"/>
    <n v="2604000290"/>
    <m/>
    <n v="0"/>
    <n v="0"/>
    <n v="0"/>
    <n v="0"/>
    <s v="KG"/>
    <n v="4.42"/>
    <n v="0.9"/>
    <n v="0.15"/>
    <n v="29.1"/>
    <n v="1.54"/>
    <n v="0"/>
    <n v="0"/>
    <s v="EUR"/>
    <m/>
    <s v="EXP20260627-2823616-"/>
    <s v="EXP20260627-2823616-"/>
    <s v="00L0NE1J"/>
    <s v="CORMEE CAMILLE"/>
    <s v="25 BIS RUE LEON MENU"/>
    <m/>
    <m/>
    <n v="94360"/>
    <s v="BRY SUR MARNE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267"/>
    <s v="30.06.2026"/>
    <x v="409"/>
    <n v="2604000288"/>
    <m/>
    <n v="0"/>
    <n v="0"/>
    <n v="0"/>
    <n v="0"/>
    <s v="KG"/>
    <n v="4.42"/>
    <n v="0.9"/>
    <n v="0.15"/>
    <n v="29.1"/>
    <n v="1.54"/>
    <n v="0"/>
    <n v="0"/>
    <s v="EUR"/>
    <m/>
    <s v="EXP20260626-2821812-"/>
    <s v="EXP20260626-2821812-"/>
    <s v="00L0NE1H"/>
    <s v="LEJEUNE ENORA"/>
    <s v="18 TER RUE DU 7 JUIN 1944"/>
    <m/>
    <m/>
    <n v="44120"/>
    <s v="VERTOU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267"/>
    <s v="30.06.2026"/>
    <x v="410"/>
    <n v="2604000285"/>
    <m/>
    <n v="0"/>
    <n v="0"/>
    <n v="0"/>
    <n v="0"/>
    <s v="KG"/>
    <n v="4.42"/>
    <n v="0.9"/>
    <n v="0.15"/>
    <n v="29.1"/>
    <n v="1.54"/>
    <n v="0"/>
    <n v="0"/>
    <s v="EUR"/>
    <m/>
    <s v="EXP20260627-2823408-"/>
    <s v="EXP20260627-2823408-"/>
    <s v="00L0NE1E"/>
    <s v="MONNIER ELISE"/>
    <s v="4 RUE DE LA AIRE"/>
    <m/>
    <m/>
    <n v="34230"/>
    <s v="PLAISSAN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267"/>
    <s v="30.06.2026"/>
    <x v="411"/>
    <n v="2604000261"/>
    <m/>
    <n v="0"/>
    <n v="0"/>
    <n v="0"/>
    <n v="0"/>
    <s v="KG"/>
    <n v="4.42"/>
    <n v="0.9"/>
    <n v="0.15"/>
    <n v="29.1"/>
    <n v="1.54"/>
    <n v="0"/>
    <n v="0"/>
    <s v="EUR"/>
    <m/>
    <s v="EXP20260627-2822784-"/>
    <s v="EXP20260627-2822784-"/>
    <s v="00L0NE0Q"/>
    <s v="LAURENCON CHLOE"/>
    <s v="90 RUE BLOMET"/>
    <m/>
    <m/>
    <n v="75015"/>
    <s v="PARIS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6"/>
    <s v="Business Parcel - Dis. 01 - Size 06"/>
    <s v="PARCEDOMESSTANDARD"/>
    <m/>
    <n v="267"/>
    <s v="30.06.2026"/>
    <x v="412"/>
    <n v="2604000253"/>
    <m/>
    <n v="0"/>
    <n v="0"/>
    <n v="0"/>
    <n v="0"/>
    <s v="KG"/>
    <n v="4.42"/>
    <n v="0.9"/>
    <n v="0.15"/>
    <n v="29.1"/>
    <n v="1.54"/>
    <n v="0"/>
    <n v="0"/>
    <s v="EUR"/>
    <m/>
    <s v="EXP20260629-2827408-"/>
    <s v="EXP20260629-2827408-"/>
    <s v="00L0NE0I"/>
    <s v="METAIREAU EDWIGE"/>
    <s v="2 RUE AMEDEE MENARD, 44300 NAN"/>
    <m/>
    <m/>
    <n v="44300"/>
    <s v="NANTES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66"/>
    <s v="30.06.2026"/>
    <x v="413"/>
    <n v="2604000292"/>
    <m/>
    <n v="0"/>
    <n v="0"/>
    <n v="0"/>
    <n v="0"/>
    <s v="KG"/>
    <n v="4.42"/>
    <n v="0.9"/>
    <n v="0.15"/>
    <n v="29.1"/>
    <n v="1.54"/>
    <n v="0"/>
    <n v="0"/>
    <s v="EUR"/>
    <m/>
    <s v="EXP20260627-2822490-"/>
    <s v="EXP20260627-2822490-"/>
    <s v="00L0NE1L"/>
    <s v="KRUST AURELIE"/>
    <s v="31 RUE JEAN GUEHENNO"/>
    <m/>
    <m/>
    <n v="35700"/>
    <s v="RENNES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66"/>
    <s v="30.06.2026"/>
    <x v="414"/>
    <n v="2604000287"/>
    <m/>
    <n v="0"/>
    <n v="0"/>
    <n v="0"/>
    <n v="0"/>
    <s v="KG"/>
    <n v="4.42"/>
    <n v="0.9"/>
    <n v="0.15"/>
    <n v="29.1"/>
    <n v="1.54"/>
    <n v="0"/>
    <n v="0"/>
    <s v="EUR"/>
    <m/>
    <s v="EXP20260626-2822174-"/>
    <s v="EXP20260626-2822174-"/>
    <s v="00L0NE1G"/>
    <s v="SEELEUTHNER JULIE"/>
    <s v="6 RUE ADOLPHE MAGNIN, 74100 AN"/>
    <m/>
    <m/>
    <n v="74100"/>
    <s v="ANNEMASSE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66"/>
    <s v="30.06.2026"/>
    <x v="415"/>
    <n v="2604000284"/>
    <m/>
    <n v="0"/>
    <n v="0"/>
    <n v="0"/>
    <n v="0"/>
    <s v="KG"/>
    <n v="4.42"/>
    <n v="0.9"/>
    <n v="0.15"/>
    <n v="29.1"/>
    <n v="1.54"/>
    <n v="0"/>
    <n v="0"/>
    <s v="EUR"/>
    <m/>
    <s v="EXP20260628-2825015-"/>
    <s v="EXP20260628-2825015-"/>
    <s v="00L0NE1D"/>
    <s v="ROQUES MORGANE"/>
    <s v="56 BD PAUL VAILLANT COUTURIER"/>
    <m/>
    <m/>
    <n v="93100"/>
    <s v="MONTREUIL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66"/>
    <s v="30.06.2026"/>
    <x v="416"/>
    <n v="2604000283"/>
    <m/>
    <n v="0"/>
    <n v="0"/>
    <n v="0"/>
    <n v="0"/>
    <s v="KG"/>
    <n v="4.42"/>
    <n v="0.9"/>
    <n v="0.15"/>
    <n v="29.1"/>
    <n v="1.54"/>
    <n v="0"/>
    <n v="0"/>
    <s v="EUR"/>
    <m/>
    <s v="EXP20260629-2827552-"/>
    <s v="EXP20260629-2827552-"/>
    <s v="00L0NE1C"/>
    <s v="KERMONY OFFICE"/>
    <s v="24 AVENUE HUBERT GERMAIN"/>
    <m/>
    <m/>
    <n v="75116"/>
    <s v="PARIS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66"/>
    <s v="30.06.2026"/>
    <x v="417"/>
    <n v="2604000282"/>
    <m/>
    <n v="0"/>
    <n v="0"/>
    <n v="0"/>
    <n v="0"/>
    <s v="KG"/>
    <n v="4.42"/>
    <n v="0.9"/>
    <n v="0.15"/>
    <n v="29.1"/>
    <n v="1.54"/>
    <n v="0"/>
    <n v="0"/>
    <s v="EUR"/>
    <m/>
    <s v="EXP20260627-2823091-"/>
    <s v="EXP20260627-2823091-"/>
    <s v="00L0NE1B"/>
    <s v="SCP MARTEAU NOTAIRES"/>
    <s v="54 AVENUE DU MARECHAL FOCH"/>
    <m/>
    <m/>
    <n v="78400"/>
    <s v="CHATOU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66"/>
    <s v="30.06.2026"/>
    <x v="418"/>
    <n v="2604000281"/>
    <m/>
    <n v="0"/>
    <n v="0"/>
    <n v="0"/>
    <n v="0"/>
    <s v="KG"/>
    <n v="4.42"/>
    <n v="0.9"/>
    <n v="0.15"/>
    <n v="29.1"/>
    <n v="1.54"/>
    <n v="0"/>
    <n v="0"/>
    <s v="EUR"/>
    <m/>
    <s v="EXP20260626-2822175-"/>
    <s v="EXP20260626-2822175-"/>
    <s v="00L0NE1A"/>
    <s v="VIDACAK LISA"/>
    <s v="22 RUE DE LA BANNIERE"/>
    <m/>
    <m/>
    <n v="69003"/>
    <s v="LYON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66"/>
    <s v="30.06.2026"/>
    <x v="419"/>
    <n v="2604000280"/>
    <m/>
    <n v="0"/>
    <n v="0"/>
    <n v="0"/>
    <n v="0"/>
    <s v="KG"/>
    <n v="4.42"/>
    <n v="0.9"/>
    <n v="0.15"/>
    <n v="29.1"/>
    <n v="1.54"/>
    <n v="0"/>
    <n v="0"/>
    <s v="EUR"/>
    <m/>
    <s v="EXP20260626-2821218-"/>
    <s v="EXP20260626-2821218-"/>
    <s v="00L0NE19"/>
    <s v="BELLANGER ELISE"/>
    <s v="53 RUE KANT"/>
    <m/>
    <m/>
    <n v="59000"/>
    <s v="LILLE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66"/>
    <s v="30.06.2026"/>
    <x v="420"/>
    <n v="2604000279"/>
    <m/>
    <n v="0"/>
    <n v="0"/>
    <n v="0"/>
    <n v="0"/>
    <s v="KG"/>
    <n v="4.42"/>
    <n v="0.9"/>
    <n v="0.15"/>
    <n v="29.1"/>
    <n v="1.54"/>
    <n v="0"/>
    <n v="0"/>
    <s v="EUR"/>
    <m/>
    <s v="EXP20260628-2823860-"/>
    <s v="EXP20260628-2823860-"/>
    <s v="00L0NE18"/>
    <s v="AUDI ROYAN"/>
    <s v="28 RUE GUSTAVE EIFFEL"/>
    <m/>
    <m/>
    <n v="17200"/>
    <s v="SAINT-SULPICE-DE-ROYAN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66"/>
    <s v="30.06.2026"/>
    <x v="421"/>
    <n v="2604000278"/>
    <m/>
    <n v="0"/>
    <n v="0"/>
    <n v="0"/>
    <n v="0"/>
    <s v="KG"/>
    <n v="4.42"/>
    <n v="0.9"/>
    <n v="0.15"/>
    <n v="29.1"/>
    <n v="1.54"/>
    <n v="0"/>
    <n v="0"/>
    <s v="EUR"/>
    <m/>
    <s v="EXP20260628-2824765-"/>
    <s v="EXP20260628-2824765-"/>
    <s v="00L0NE17"/>
    <s v="PASCAL STEPHANIE"/>
    <s v="106 RUE MAC CARTHY"/>
    <m/>
    <m/>
    <n v="33200"/>
    <s v="BORDEAUX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66"/>
    <s v="30.06.2026"/>
    <x v="422"/>
    <n v="2604000277"/>
    <m/>
    <n v="0"/>
    <n v="0"/>
    <n v="0"/>
    <n v="0"/>
    <s v="KG"/>
    <n v="4.42"/>
    <n v="0.9"/>
    <n v="0.15"/>
    <n v="29.1"/>
    <n v="1.54"/>
    <n v="0"/>
    <n v="0"/>
    <s v="EUR"/>
    <m/>
    <s v="EXP20260628-2824117-"/>
    <s v="EXP20260628-2824117-"/>
    <s v="00L0NE16"/>
    <s v="PARCELLIER AMELIE"/>
    <s v="5 ALL. DU RIEZ, 59110 LA MADEL"/>
    <m/>
    <m/>
    <n v="59110"/>
    <s v="LA MADELEINE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66"/>
    <s v="30.06.2026"/>
    <x v="423"/>
    <n v="2604000276"/>
    <m/>
    <n v="0"/>
    <n v="0"/>
    <n v="0"/>
    <n v="0"/>
    <s v="KG"/>
    <n v="4.42"/>
    <n v="0.9"/>
    <n v="0.15"/>
    <n v="29.1"/>
    <n v="1.54"/>
    <n v="0"/>
    <n v="0"/>
    <s v="EUR"/>
    <m/>
    <s v="EXP20260627-2823732-"/>
    <s v="EXP20260627-2823732-"/>
    <s v="00L0NE15"/>
    <s v="HINGREZ ANAIS"/>
    <s v="22 RUE DES COQUELICOTS"/>
    <m/>
    <m/>
    <n v="76860"/>
    <s v="QUIBERVILLE-SUR-MER"/>
    <s v="FR"/>
    <s v="France"/>
    <m/>
  </r>
  <r>
    <x v="0"/>
    <n v="7.0100000000000007"/>
    <n v="1.54"/>
    <n v="5.4700000000000006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PARCEL_D01_S05"/>
    <s v="Business Parcel - Dis. 01 - Size 05"/>
    <s v="PARCEDOMESSTANDARD"/>
    <m/>
    <n v="266"/>
    <s v="30.06.2026"/>
    <x v="424"/>
    <n v="2604000271"/>
    <m/>
    <n v="0"/>
    <n v="0"/>
    <n v="0"/>
    <n v="0"/>
    <s v="KG"/>
    <n v="4.42"/>
    <n v="0.9"/>
    <n v="0.15"/>
    <n v="29.1"/>
    <n v="1.54"/>
    <n v="0"/>
    <n v="0"/>
    <s v="EUR"/>
    <m/>
    <s v="EXP20260628-2824561-"/>
    <s v="EXP20260628-2824561-"/>
    <s v="00L0NE10"/>
    <s v="PONDI SEPHORA"/>
    <s v="198 RUE DE NOISY LE SEC"/>
    <m/>
    <m/>
    <n v="93170"/>
    <s v="BAGNOLET"/>
    <s v="FR"/>
    <s v="France"/>
    <m/>
  </r>
  <r>
    <x v="0"/>
    <n v="0"/>
    <n v="0"/>
    <n v="0"/>
    <n v="1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93"/>
    <n v="2604000266"/>
    <m/>
    <n v="0"/>
    <n v="1"/>
    <n v="0"/>
    <n v="0.5"/>
    <s v="KG"/>
    <n v="0"/>
    <n v="0"/>
    <n v="0"/>
    <n v="0"/>
    <n v="0"/>
    <n v="0"/>
    <n v="0"/>
    <s v="EUR"/>
    <m/>
    <s v="EXP20260629-2827553-"/>
    <s v="EXP20260629-2827553-"/>
    <s v="00L0NE0V"/>
    <s v="SU XINYUE"/>
    <s v="52 RUE VASCO DE GAMA"/>
    <m/>
    <m/>
    <n v="75015"/>
    <s v="PARIS"/>
    <s v="FR"/>
    <s v="France"/>
    <m/>
  </r>
  <r>
    <x v="0"/>
    <n v="0"/>
    <n v="0"/>
    <n v="0"/>
    <n v="1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86"/>
    <n v="2604000265"/>
    <m/>
    <n v="0"/>
    <n v="1"/>
    <n v="0"/>
    <n v="0.57999999999999996"/>
    <s v="KG"/>
    <n v="0"/>
    <n v="0"/>
    <n v="0"/>
    <n v="0"/>
    <n v="0"/>
    <n v="0"/>
    <n v="0"/>
    <s v="EUR"/>
    <m/>
    <s v="EXP20260628-2825014-"/>
    <s v="EXP20260628-2825014-"/>
    <s v="00L0NE0U"/>
    <s v="TOSTEN CAROLINE"/>
    <s v="76 RUE JULES GUESDE"/>
    <m/>
    <m/>
    <n v="92300"/>
    <s v="LEVALLOIS-PERRET"/>
    <s v="FR"/>
    <s v="France"/>
    <m/>
  </r>
  <r>
    <x v="0"/>
    <n v="0"/>
    <n v="0"/>
    <n v="0"/>
    <n v="1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94"/>
    <n v="2604000264"/>
    <m/>
    <n v="0"/>
    <n v="1"/>
    <n v="0"/>
    <n v="0.5"/>
    <s v="KG"/>
    <n v="0"/>
    <n v="0"/>
    <n v="0"/>
    <n v="0"/>
    <n v="0"/>
    <n v="0"/>
    <n v="0"/>
    <s v="EUR"/>
    <m/>
    <s v="EXP20260626-2821384-"/>
    <s v="EXP20260626-2821384-"/>
    <s v="00L0NE0T"/>
    <s v="CHEE CHRISTIANA"/>
    <s v="9G BOULEVARD JOURDAN"/>
    <m/>
    <m/>
    <n v="75014"/>
    <s v="PARIS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70"/>
    <n v="2604000263"/>
    <m/>
    <n v="0"/>
    <n v="1"/>
    <n v="0"/>
    <n v="1.08"/>
    <s v="KG"/>
    <n v="0"/>
    <n v="0"/>
    <n v="0"/>
    <n v="0"/>
    <n v="0"/>
    <n v="0"/>
    <n v="0"/>
    <s v="EUR"/>
    <m/>
    <s v="EXP20260630-2828422-"/>
    <s v="EXP20260630-2828422-"/>
    <s v="00L0NE0S"/>
    <s v="SOLER VERONICA"/>
    <s v="10 RUE VICTOR HUGO"/>
    <m/>
    <m/>
    <n v="6110"/>
    <s v="LE CANNET"/>
    <s v="FR"/>
    <s v="France"/>
    <m/>
  </r>
  <r>
    <x v="0"/>
    <n v="0"/>
    <n v="0"/>
    <n v="0"/>
    <n v="1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83"/>
    <n v="2604000262"/>
    <m/>
    <n v="0"/>
    <n v="1"/>
    <n v="0"/>
    <n v="1"/>
    <s v="KG"/>
    <n v="0"/>
    <n v="0"/>
    <n v="0"/>
    <n v="0"/>
    <n v="0"/>
    <n v="0"/>
    <n v="0"/>
    <s v="EUR"/>
    <m/>
    <s v="EXP20260628-2824653-"/>
    <s v="EXP20260628-2824653-"/>
    <s v="00L0NE0R"/>
    <s v="GAYRARD ISABELLE"/>
    <s v="26 RUE DE LA RONCE, 92410 VILL"/>
    <m/>
    <m/>
    <n v="92410"/>
    <s v="VILLE-D'AVRAY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411"/>
    <n v="2604000261"/>
    <m/>
    <n v="0"/>
    <n v="1"/>
    <n v="0"/>
    <n v="1.52"/>
    <s v="KG"/>
    <n v="0"/>
    <n v="0"/>
    <n v="0"/>
    <n v="0"/>
    <n v="0"/>
    <n v="0"/>
    <n v="0"/>
    <s v="EUR"/>
    <m/>
    <s v="EXP20260627-2822784-"/>
    <s v="EXP20260627-2822784-"/>
    <s v="00L0NE0Q"/>
    <s v="LAURENCON CHLOE"/>
    <s v="90 RUE BLOMET"/>
    <m/>
    <m/>
    <n v="75015"/>
    <s v="PARIS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71"/>
    <n v="2604000260"/>
    <m/>
    <n v="0"/>
    <n v="1"/>
    <n v="0"/>
    <n v="1.08"/>
    <s v="KG"/>
    <n v="0"/>
    <n v="0"/>
    <n v="0"/>
    <n v="0"/>
    <n v="0"/>
    <n v="0"/>
    <n v="0"/>
    <s v="EUR"/>
    <m/>
    <s v="EXP20260626-2821726-"/>
    <s v="EXP20260626-2821726-"/>
    <s v="00L0NE0P"/>
    <s v="ZYBERAJ ULYSSE"/>
    <s v="12 RUE DU POIRIER DE FER"/>
    <m/>
    <m/>
    <n v="94440"/>
    <s v="VILLECRESNES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72"/>
    <n v="2604000259"/>
    <m/>
    <n v="0"/>
    <n v="1"/>
    <n v="0"/>
    <n v="1.1000000000000001"/>
    <s v="KG"/>
    <n v="0"/>
    <n v="0"/>
    <n v="0"/>
    <n v="0"/>
    <n v="0"/>
    <n v="0"/>
    <n v="0"/>
    <s v="EUR"/>
    <m/>
    <s v="EXP20260629-2825681-"/>
    <s v="EXP20260629-2825681-"/>
    <s v="00L0NE0O"/>
    <s v="SESSA GIULIO"/>
    <s v="229 AVENUE FRANCOIS NARDI"/>
    <m/>
    <m/>
    <n v="83000"/>
    <s v="TOULON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73"/>
    <n v="2604000258"/>
    <m/>
    <n v="0"/>
    <n v="1"/>
    <n v="0"/>
    <n v="1.21"/>
    <s v="KG"/>
    <n v="0"/>
    <n v="0"/>
    <n v="0"/>
    <n v="0"/>
    <n v="0"/>
    <n v="0"/>
    <n v="0"/>
    <s v="EUR"/>
    <m/>
    <s v="EXP20260628-2824036-"/>
    <s v="EXP20260628-2824036-"/>
    <s v="00L0NE0N"/>
    <s v="GIRARD PAULINE"/>
    <s v="21 RUE DE L'ETOILE"/>
    <m/>
    <m/>
    <n v="49280"/>
    <s v="SAINT-LEGER-SOUS-CHOLET"/>
    <s v="FR"/>
    <s v="France"/>
    <m/>
  </r>
  <r>
    <x v="0"/>
    <n v="0"/>
    <n v="0"/>
    <n v="0"/>
    <n v="1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95"/>
    <n v="2604000257"/>
    <m/>
    <n v="0"/>
    <n v="1"/>
    <n v="0"/>
    <n v="0.35"/>
    <s v="KG"/>
    <n v="0"/>
    <n v="0"/>
    <n v="0"/>
    <n v="0"/>
    <n v="0"/>
    <n v="0"/>
    <n v="0"/>
    <s v="EUR"/>
    <m/>
    <s v="EXP20260628-2825016-"/>
    <s v="EXP20260628-2825016-"/>
    <s v="00L0NE0M"/>
    <s v="THOMAS GENEVIEVE"/>
    <s v="38 RUE BENARD"/>
    <m/>
    <m/>
    <n v="75014"/>
    <s v="PARIS"/>
    <s v="FR"/>
    <s v="France"/>
    <m/>
  </r>
  <r>
    <x v="0"/>
    <n v="0"/>
    <n v="0"/>
    <n v="0"/>
    <n v="1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84"/>
    <n v="2604000256"/>
    <m/>
    <n v="0"/>
    <n v="1"/>
    <n v="0"/>
    <n v="0.9"/>
    <s v="KG"/>
    <n v="0"/>
    <n v="0"/>
    <n v="0"/>
    <n v="0"/>
    <n v="0"/>
    <n v="0"/>
    <n v="0"/>
    <s v="EUR"/>
    <m/>
    <s v="EXP20260629-2828094-"/>
    <s v="EXP20260629-2828094-"/>
    <s v="00L0NE0L"/>
    <s v="OJEDA ALICIA"/>
    <s v="51 BIS RUE HERMITE"/>
    <m/>
    <m/>
    <n v="54000"/>
    <s v="NANCY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74"/>
    <n v="2604000255"/>
    <m/>
    <n v="0"/>
    <n v="1"/>
    <n v="0"/>
    <n v="1.24"/>
    <s v="KG"/>
    <n v="0"/>
    <n v="0"/>
    <n v="0"/>
    <n v="0"/>
    <n v="0"/>
    <n v="0"/>
    <n v="0"/>
    <s v="EUR"/>
    <m/>
    <s v="EXP20260628-2824652-"/>
    <s v="EXP20260628-2824652-"/>
    <s v="00L0NE0K"/>
    <s v="MACRAIGNE ANNICK"/>
    <s v="5 ESP. DES PROVINS, 71120 CHAR"/>
    <m/>
    <m/>
    <n v="71120"/>
    <s v="CHAROLLES"/>
    <s v="FR"/>
    <s v="France"/>
    <m/>
  </r>
  <r>
    <x v="0"/>
    <n v="0"/>
    <n v="0"/>
    <n v="0"/>
    <n v="1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96"/>
    <n v="2604000254"/>
    <m/>
    <n v="0"/>
    <n v="1"/>
    <n v="0"/>
    <n v="0.5"/>
    <s v="KG"/>
    <n v="0"/>
    <n v="0"/>
    <n v="0"/>
    <n v="0"/>
    <n v="0"/>
    <n v="0"/>
    <n v="0"/>
    <s v="EUR"/>
    <m/>
    <s v="EXP20260630-2828367-"/>
    <s v="EXP20260630-2828367-"/>
    <s v="00L0NE0J"/>
    <s v="ROCHEFORT ANNE"/>
    <s v="65 AVENUE PIERRE LEFAUCHEUX"/>
    <m/>
    <m/>
    <n v="92100"/>
    <s v="BOULOGNE-BILLANCOURT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412"/>
    <n v="2604000253"/>
    <m/>
    <n v="0"/>
    <n v="1"/>
    <n v="0"/>
    <n v="1.96"/>
    <s v="KG"/>
    <n v="0"/>
    <n v="0"/>
    <n v="0"/>
    <n v="0"/>
    <n v="0"/>
    <n v="0"/>
    <n v="0"/>
    <s v="EUR"/>
    <m/>
    <s v="EXP20260629-2827408-"/>
    <s v="EXP20260629-2827408-"/>
    <s v="00L0NE0I"/>
    <s v="METAIREAU EDWIGE"/>
    <s v="2 RUE AMEDEE MENARD, 44300 NAN"/>
    <m/>
    <m/>
    <n v="44300"/>
    <s v="NANTES"/>
    <s v="FR"/>
    <s v="France"/>
    <m/>
  </r>
  <r>
    <x v="0"/>
    <n v="0"/>
    <n v="0"/>
    <n v="0"/>
    <n v="1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97"/>
    <n v="2604000252"/>
    <m/>
    <n v="0"/>
    <n v="1"/>
    <n v="0"/>
    <n v="0.5"/>
    <s v="KG"/>
    <n v="0"/>
    <n v="0"/>
    <n v="0"/>
    <n v="0"/>
    <n v="0"/>
    <n v="0"/>
    <n v="0"/>
    <s v="EUR"/>
    <m/>
    <s v="EXP20260627-2823291-"/>
    <s v="EXP20260627-2823291-"/>
    <s v="00L0NE0H"/>
    <s v="DESGRIPPES MARIE"/>
    <s v="253 RUE LECOURBE"/>
    <m/>
    <m/>
    <n v="75015"/>
    <s v="PARIS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75"/>
    <n v="2604000251"/>
    <m/>
    <n v="0"/>
    <n v="1"/>
    <n v="0"/>
    <n v="1.1000000000000001"/>
    <s v="KG"/>
    <n v="0"/>
    <n v="0"/>
    <n v="0"/>
    <n v="0"/>
    <n v="0"/>
    <n v="0"/>
    <n v="0"/>
    <s v="EUR"/>
    <m/>
    <s v="EXP20260628-2825117-"/>
    <s v="EXP20260628-2825117-"/>
    <s v="00L0NE0G"/>
    <s v="AUBERT VANESSA"/>
    <s v="5 RUE DE LA BORNE AUX DAMES"/>
    <m/>
    <m/>
    <n v="95610"/>
    <s v="ERAGNY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76"/>
    <n v="2604000250"/>
    <m/>
    <n v="0"/>
    <n v="1"/>
    <n v="0"/>
    <n v="1.1000000000000001"/>
    <s v="KG"/>
    <n v="0"/>
    <n v="0"/>
    <n v="0"/>
    <n v="0"/>
    <n v="0"/>
    <n v="0"/>
    <n v="0"/>
    <s v="EUR"/>
    <m/>
    <s v="EXP20260627-2822579-"/>
    <s v="EXP20260627-2822579-"/>
    <s v="00L0NE0F"/>
    <s v="AIWALA KARIN"/>
    <s v="30A RUE DU MOUTIER"/>
    <m/>
    <m/>
    <n v="95300"/>
    <s v="ENNERY"/>
    <s v="FR"/>
    <s v="France"/>
    <m/>
  </r>
  <r>
    <x v="0"/>
    <n v="0"/>
    <n v="0"/>
    <n v="0"/>
    <n v="1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85"/>
    <n v="2604000249"/>
    <m/>
    <n v="0"/>
    <n v="1"/>
    <n v="0"/>
    <n v="0.88"/>
    <s v="KG"/>
    <n v="0"/>
    <n v="0"/>
    <n v="0"/>
    <n v="0"/>
    <n v="0"/>
    <n v="0"/>
    <n v="0"/>
    <s v="EUR"/>
    <m/>
    <s v="EXP20260628-2824359-"/>
    <s v="EXP20260628-2824359-"/>
    <s v="00L0NE0E"/>
    <s v="QUINET TRISTAN"/>
    <s v="109 AV. DE LODEVE, 34070 MONTP"/>
    <m/>
    <m/>
    <n v="34070"/>
    <s v="MONTPELLIER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77"/>
    <n v="2604000248"/>
    <m/>
    <n v="0"/>
    <n v="1"/>
    <n v="0"/>
    <n v="1.1399999999999999"/>
    <s v="KG"/>
    <n v="0"/>
    <n v="0"/>
    <n v="0"/>
    <n v="0"/>
    <n v="0"/>
    <n v="0"/>
    <n v="0"/>
    <s v="EUR"/>
    <m/>
    <s v="EXP20260629-2827938-"/>
    <s v="EXP20260629-2827938-"/>
    <s v="00L0NE0D"/>
    <s v="DELAROQUE CHRISTOPHE"/>
    <s v="37 RUE NELSON MANDELA"/>
    <m/>
    <m/>
    <n v="14850"/>
    <s v="HEROUVILLETTE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78"/>
    <n v="2604000247"/>
    <m/>
    <n v="0"/>
    <n v="1"/>
    <n v="0"/>
    <n v="1.05"/>
    <s v="KG"/>
    <n v="0"/>
    <n v="0"/>
    <n v="0"/>
    <n v="0"/>
    <n v="0"/>
    <n v="0"/>
    <n v="0"/>
    <s v="EUR"/>
    <m/>
    <s v="EXP20260628-2825216-"/>
    <s v="EXP20260628-2825216-"/>
    <s v="00L0NE0C"/>
    <s v="PAUL LEGOFF"/>
    <s v="25 BOULEVARD DE BELLEVILLE"/>
    <m/>
    <m/>
    <n v="75011"/>
    <s v="PARIS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79"/>
    <n v="2604000246"/>
    <m/>
    <n v="0"/>
    <n v="1"/>
    <n v="0"/>
    <n v="1.1399999999999999"/>
    <s v="KG"/>
    <n v="0"/>
    <n v="0"/>
    <n v="0"/>
    <n v="0"/>
    <n v="0"/>
    <n v="0"/>
    <n v="0"/>
    <s v="EUR"/>
    <m/>
    <s v="EXP20260628-2824469-"/>
    <s v="EXP20260628-2824469-"/>
    <s v="00L0NE0B"/>
    <s v="GALLE VERONIQUE"/>
    <s v="778E CHEMIN DES GARRIGUES"/>
    <m/>
    <m/>
    <n v="84210"/>
    <s v="VENASQUE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80"/>
    <n v="2604000245"/>
    <m/>
    <n v="0"/>
    <n v="1"/>
    <n v="0"/>
    <n v="1.1599999999999999"/>
    <s v="KG"/>
    <n v="0"/>
    <n v="0"/>
    <n v="0"/>
    <n v="0"/>
    <n v="0"/>
    <n v="0"/>
    <n v="0"/>
    <s v="EUR"/>
    <m/>
    <s v="EXP20260628-2824360-"/>
    <s v="EXP20260628-2824360-"/>
    <s v="00L0NE0A"/>
    <s v="BD AVOCATES"/>
    <s v="23 RUE MARC BLOCH"/>
    <m/>
    <m/>
    <n v="69007"/>
    <s v="LYON 7EME ARRONDISSEMENT"/>
    <s v="FR"/>
    <s v="France"/>
    <m/>
  </r>
  <r>
    <x v="5"/>
    <n v="33.71"/>
    <n v="0"/>
    <n v="33.71"/>
    <s v="hors France"/>
    <n v="2501382993"/>
    <n v="70664637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SURCHARGE"/>
    <s v="SUR_ADM_01"/>
    <s v="Frais de Gestion"/>
    <s v="SURCHALL ADM"/>
    <m/>
    <n v="16"/>
    <s v="30.06.2026"/>
    <x v="425"/>
    <m/>
    <m/>
    <n v="0"/>
    <n v="0"/>
    <n v="0"/>
    <n v="0"/>
    <s v="KG"/>
    <n v="0"/>
    <n v="0"/>
    <n v="0"/>
    <n v="0"/>
    <n v="0"/>
    <n v="0"/>
    <n v="33.71"/>
    <s v="EUR"/>
    <m/>
    <m/>
    <m/>
    <m/>
    <m/>
    <m/>
    <m/>
    <m/>
    <m/>
    <m/>
    <m/>
    <m/>
    <m/>
  </r>
  <r>
    <x v="0"/>
    <n v="0"/>
    <n v="0"/>
    <n v="0"/>
    <s v="hors France"/>
    <n v="2501382993"/>
    <n v="60224830"/>
    <s v="30.06.2026"/>
    <n v="2500034092"/>
    <s v="LA RUCHE LOGISTIQUE"/>
    <n v="9000009190"/>
    <n v="46946"/>
    <s v="LA RUCHE"/>
    <n v="9000082814"/>
    <x v="5"/>
    <m/>
    <m/>
    <m/>
    <n v="2507012387"/>
    <s v="LA RUCHE LOGISTIQUE"/>
    <s v="FDSDISC"/>
    <s v="SERV_FDS_REBATE"/>
    <s v="Service - FDS - Remise"/>
    <s v="SERVIALL FDS"/>
    <m/>
    <n v="15"/>
    <s v="30.06.2026"/>
    <x v="425"/>
    <m/>
    <m/>
    <n v="0"/>
    <n v="0"/>
    <n v="0"/>
    <n v="0"/>
    <s v="KG"/>
    <n v="0"/>
    <n v="0"/>
    <n v="0"/>
    <n v="0"/>
    <n v="0"/>
    <n v="0"/>
    <n v="0"/>
    <s v="EUR"/>
    <m/>
    <m/>
    <m/>
    <m/>
    <m/>
    <m/>
    <m/>
    <m/>
    <m/>
    <m/>
    <m/>
    <m/>
    <m/>
  </r>
  <r>
    <x v="0"/>
    <n v="0"/>
    <n v="0"/>
    <n v="0"/>
    <s v="hors France"/>
    <n v="2501382993"/>
    <n v="60224829"/>
    <s v="30.06.2026"/>
    <n v="2500034092"/>
    <s v="LA RUCHE LOGISTIQUE"/>
    <n v="9000009190"/>
    <n v="46946"/>
    <s v="LA RUCHE"/>
    <n v="9000084611"/>
    <x v="4"/>
    <m/>
    <m/>
    <m/>
    <n v="2507012387"/>
    <s v="LA RUCHE LOGISTIQUE"/>
    <s v="FDSDISC"/>
    <s v="SERV_FDS_REBATE"/>
    <s v="Service - FDS - Remise"/>
    <s v="SERVIALL FDS"/>
    <m/>
    <n v="14"/>
    <s v="30.06.2026"/>
    <x v="425"/>
    <m/>
    <m/>
    <n v="0"/>
    <n v="0"/>
    <n v="0"/>
    <n v="0"/>
    <s v="KG"/>
    <n v="0"/>
    <n v="0"/>
    <n v="0"/>
    <n v="0"/>
    <n v="0"/>
    <n v="0"/>
    <n v="0"/>
    <s v="EUR"/>
    <m/>
    <m/>
    <m/>
    <m/>
    <m/>
    <m/>
    <m/>
    <m/>
    <m/>
    <m/>
    <m/>
    <m/>
    <m/>
  </r>
  <r>
    <x v="0"/>
    <n v="0"/>
    <n v="0"/>
    <n v="0"/>
    <s v="hors France"/>
    <n v="2501382993"/>
    <n v="60224828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DISC"/>
    <s v="SERV_FDS_REBATE"/>
    <s v="Service - FDS - Remise"/>
    <s v="SERVIALL FDS"/>
    <m/>
    <n v="13"/>
    <s v="30.06.2026"/>
    <x v="425"/>
    <m/>
    <m/>
    <n v="0"/>
    <n v="0"/>
    <n v="0"/>
    <n v="0"/>
    <s v="KG"/>
    <n v="0"/>
    <n v="0"/>
    <n v="0"/>
    <n v="0"/>
    <n v="0"/>
    <n v="0"/>
    <n v="0"/>
    <s v="EUR"/>
    <m/>
    <m/>
    <m/>
    <m/>
    <m/>
    <m/>
    <m/>
    <m/>
    <m/>
    <m/>
    <m/>
    <m/>
    <m/>
  </r>
  <r>
    <x v="0"/>
    <n v="0"/>
    <n v="0"/>
    <n v="0"/>
    <s v="hors France"/>
    <n v="2501382993"/>
    <n v="60224827"/>
    <s v="30.06.2026"/>
    <n v="2500034092"/>
    <s v="LA RUCHE LOGISTIQUE"/>
    <n v="9000009190"/>
    <n v="46946"/>
    <s v="LA RUCHE"/>
    <n v="9000079829"/>
    <x v="2"/>
    <m/>
    <m/>
    <m/>
    <n v="2507012387"/>
    <s v="LA RUCHE LOGISTIQUE"/>
    <s v="FDSDISC"/>
    <s v="SERV_FDS_REBATE"/>
    <s v="Service - FDS - Remise"/>
    <s v="SERVIALL FDS"/>
    <m/>
    <n v="12"/>
    <s v="30.06.2026"/>
    <x v="425"/>
    <m/>
    <m/>
    <n v="0"/>
    <n v="0"/>
    <n v="0"/>
    <n v="0"/>
    <s v="KG"/>
    <n v="0"/>
    <n v="0"/>
    <n v="0"/>
    <n v="0"/>
    <n v="0"/>
    <n v="0"/>
    <n v="0"/>
    <s v="EUR"/>
    <m/>
    <m/>
    <m/>
    <m/>
    <m/>
    <m/>
    <m/>
    <m/>
    <m/>
    <m/>
    <m/>
    <m/>
    <m/>
  </r>
  <r>
    <x v="0"/>
    <n v="0"/>
    <n v="0"/>
    <n v="0"/>
    <s v="hors France"/>
    <n v="2501382993"/>
    <n v="60224826"/>
    <s v="30.06.2026"/>
    <n v="2500034092"/>
    <s v="LA RUCHE LOGISTIQUE"/>
    <n v="9000009190"/>
    <n v="46946"/>
    <s v="LA RUCHE"/>
    <n v="9000082822"/>
    <x v="3"/>
    <m/>
    <m/>
    <m/>
    <n v="2507012387"/>
    <s v="LA RUCHE LOGISTIQUE"/>
    <s v="FDSDISC"/>
    <s v="SERV_FDS_REBATE"/>
    <s v="Service - FDS - Remise"/>
    <s v="SERVIALL FDS"/>
    <m/>
    <n v="11"/>
    <s v="30.06.2026"/>
    <x v="425"/>
    <m/>
    <m/>
    <n v="0"/>
    <n v="0"/>
    <n v="0"/>
    <n v="0"/>
    <s v="KG"/>
    <n v="0"/>
    <n v="0"/>
    <n v="0"/>
    <n v="0"/>
    <n v="0"/>
    <n v="0"/>
    <n v="0"/>
    <s v="EUR"/>
    <m/>
    <m/>
    <m/>
    <m/>
    <m/>
    <m/>
    <m/>
    <m/>
    <m/>
    <m/>
    <m/>
    <m/>
    <m/>
  </r>
  <r>
    <x v="0"/>
    <n v="0"/>
    <n v="0"/>
    <n v="0"/>
    <s v="hors France"/>
    <n v="2501382993"/>
    <n v="60224825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DISC"/>
    <s v="SERV_FDS_REBATE"/>
    <s v="Service - FDS - Remise"/>
    <s v="SERVIALL FDS"/>
    <m/>
    <n v="10"/>
    <s v="30.06.2026"/>
    <x v="425"/>
    <m/>
    <m/>
    <n v="0"/>
    <n v="0"/>
    <n v="0"/>
    <n v="0"/>
    <s v="KG"/>
    <n v="0"/>
    <n v="0"/>
    <n v="0"/>
    <n v="0"/>
    <n v="0"/>
    <n v="0"/>
    <n v="0"/>
    <s v="EUR"/>
    <m/>
    <m/>
    <m/>
    <m/>
    <m/>
    <m/>
    <m/>
    <m/>
    <m/>
    <m/>
    <m/>
    <m/>
    <m/>
  </r>
  <r>
    <x v="0"/>
    <n v="0"/>
    <n v="0"/>
    <n v="0"/>
    <n v="1"/>
    <n v="2501382993"/>
    <n v="103031422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FDS_D01_S01"/>
    <s v="BP FlexDelivery - Dis. 01 - Size 01"/>
    <s v="PARCEDOMESFDS"/>
    <m/>
    <n v="237"/>
    <s v="30.06.2026"/>
    <x v="426"/>
    <n v="2604000139"/>
    <m/>
    <n v="0"/>
    <n v="1"/>
    <n v="0"/>
    <n v="0.42"/>
    <s v="KG"/>
    <n v="0"/>
    <n v="0"/>
    <n v="0"/>
    <n v="0"/>
    <n v="0"/>
    <n v="0"/>
    <n v="0"/>
    <s v="EUR"/>
    <m/>
    <s v="EXP20260628-2824197-"/>
    <s v="EXP20260628-2824197-"/>
    <s v="00KUR5XB"/>
    <s v="BOUGES ROSYNE"/>
    <s v="49 PLACE DE LA HERMITAGE"/>
    <m/>
    <m/>
    <n v="62520"/>
    <s v="LE TOUQUET"/>
    <s v="FR"/>
    <s v="France"/>
    <m/>
  </r>
  <r>
    <x v="0"/>
    <n v="9.120000000000001"/>
    <n v="4.3"/>
    <n v="4.8200000000000012"/>
    <n v="0.5"/>
    <n v="2501382993"/>
    <n v="1030314225"/>
    <s v="30.06.2026"/>
    <n v="2500034092"/>
    <s v="LA RUCHE LOGISTIQUE"/>
    <n v="9000009190"/>
    <n v="46946"/>
    <s v="LA RUCHE"/>
    <n v="9000037814"/>
    <x v="1"/>
    <m/>
    <m/>
    <m/>
    <n v="2507012387"/>
    <s v="LA RUCHE LOGISTIQUE"/>
    <s v="FDS"/>
    <s v="PARCEL_D01_S02"/>
    <s v="Business Parcel - Dis. 01 - Size 02"/>
    <s v="PARCEDOMESSTANDARD"/>
    <m/>
    <n v="238"/>
    <s v="30.06.2026"/>
    <x v="426"/>
    <n v="2604000139"/>
    <m/>
    <n v="0"/>
    <n v="0"/>
    <n v="0"/>
    <n v="0"/>
    <s v="KG"/>
    <n v="3.77"/>
    <n v="0.9"/>
    <n v="0.15"/>
    <n v="29.1"/>
    <n v="4.3"/>
    <n v="0"/>
    <n v="0"/>
    <s v="EUR"/>
    <m/>
    <s v="EXP20260628-2824197-"/>
    <s v="EXP20260628-2824197-"/>
    <s v="00KUR5XB"/>
    <s v="BOUGES ROSYNE"/>
    <s v="49 PLACE DE LA HERMITAGE"/>
    <m/>
    <m/>
    <n v="62520"/>
    <s v="LE TOUQUET"/>
    <s v="FR"/>
    <s v="France"/>
    <m/>
  </r>
  <r>
    <x v="0"/>
    <n v="0"/>
    <n v="0"/>
    <n v="0"/>
    <n v="1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92"/>
    <n v="2604000267"/>
    <m/>
    <n v="0"/>
    <n v="1"/>
    <n v="0"/>
    <n v="0.42"/>
    <s v="KG"/>
    <n v="0"/>
    <n v="0"/>
    <n v="0"/>
    <n v="0"/>
    <n v="0"/>
    <n v="0"/>
    <n v="0"/>
    <s v="EUR"/>
    <m/>
    <s v="EXP20260627-2822513-"/>
    <s v="EXP20260627-2822513-"/>
    <s v="00L0NE0W"/>
    <s v="MARLANGUE ANNE"/>
    <s v="71 RUE SAINT-BLAISE"/>
    <m/>
    <m/>
    <n v="75020"/>
    <s v="PARIS"/>
    <s v="FR"/>
    <s v="France"/>
    <m/>
  </r>
  <r>
    <x v="0"/>
    <n v="0"/>
    <n v="0"/>
    <n v="0"/>
    <n v="3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403"/>
    <n v="2604000298"/>
    <m/>
    <n v="0"/>
    <n v="1"/>
    <n v="0"/>
    <n v="2.62"/>
    <s v="KG"/>
    <n v="0"/>
    <n v="0"/>
    <n v="0"/>
    <n v="0"/>
    <n v="0"/>
    <n v="0"/>
    <n v="0"/>
    <s v="EUR"/>
    <m/>
    <s v="EXP20260628-2825401-"/>
    <s v="EXP20260628-2825401-"/>
    <s v="00L0NE1R"/>
    <s v="BOUFFLET CELINE"/>
    <s v="45 RUE COQUEREL"/>
    <m/>
    <m/>
    <n v="80000"/>
    <s v="AMIENS"/>
    <s v="FR"/>
    <s v="France"/>
    <m/>
  </r>
  <r>
    <x v="0"/>
    <n v="0"/>
    <n v="0"/>
    <n v="0"/>
    <n v="6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400"/>
    <n v="2604000297"/>
    <m/>
    <n v="0"/>
    <n v="1"/>
    <n v="0"/>
    <n v="5.82"/>
    <s v="KG"/>
    <n v="0"/>
    <n v="0"/>
    <n v="0"/>
    <n v="0"/>
    <n v="0"/>
    <n v="0"/>
    <n v="0"/>
    <s v="EUR"/>
    <m/>
    <s v="EXP20260627-2823406-"/>
    <s v="EXP20260627-2823406-"/>
    <s v="00L0NE1Q"/>
    <s v="VOULTOURY ELIZABETH"/>
    <s v="1 RUE JEAN GIONO"/>
    <m/>
    <m/>
    <n v="87170"/>
    <s v="ISLE"/>
    <s v="FR"/>
    <s v="France"/>
    <m/>
  </r>
  <r>
    <x v="0"/>
    <n v="0"/>
    <n v="0"/>
    <n v="0"/>
    <n v="4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402"/>
    <n v="2604000296"/>
    <m/>
    <n v="0"/>
    <n v="1"/>
    <n v="0"/>
    <n v="3.4"/>
    <s v="KG"/>
    <n v="0"/>
    <n v="0"/>
    <n v="0"/>
    <n v="0"/>
    <n v="0"/>
    <n v="0"/>
    <n v="0"/>
    <s v="EUR"/>
    <m/>
    <s v="EXP20260627-2823525-"/>
    <s v="EXP20260627-2823525-"/>
    <s v="00L0NE1P"/>
    <s v="DE LENCQUESAING PHILIPPINE"/>
    <s v="4 RUE DE TOCQUEVILLE"/>
    <m/>
    <m/>
    <n v="75017"/>
    <s v="PARIS"/>
    <s v="FR"/>
    <s v="France"/>
    <m/>
  </r>
  <r>
    <x v="0"/>
    <n v="0"/>
    <n v="0"/>
    <n v="0"/>
    <n v="6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401"/>
    <n v="2604000295"/>
    <m/>
    <n v="0"/>
    <n v="1"/>
    <n v="0"/>
    <n v="6"/>
    <s v="KG"/>
    <n v="0"/>
    <n v="0"/>
    <n v="0"/>
    <n v="0"/>
    <n v="0"/>
    <n v="0"/>
    <n v="0"/>
    <s v="EUR"/>
    <m/>
    <s v="EXP20260627-2823734-"/>
    <s v="EXP20260627-2823734-"/>
    <s v="00L0NE1O"/>
    <s v="LANGE MURIELLE"/>
    <s v="35 AVENUE KLEBER"/>
    <m/>
    <m/>
    <n v="59240"/>
    <s v="DUNKERQUE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406"/>
    <n v="2604000294"/>
    <m/>
    <n v="0"/>
    <n v="1"/>
    <n v="0"/>
    <n v="2"/>
    <s v="KG"/>
    <n v="0"/>
    <n v="0"/>
    <n v="0"/>
    <n v="0"/>
    <n v="0"/>
    <n v="0"/>
    <n v="0"/>
    <s v="EUR"/>
    <m/>
    <s v="EXP20260627-2823528-"/>
    <s v="EXP20260627-2823528-"/>
    <s v="00L0NE1N"/>
    <s v="CORMEE CAMILLE"/>
    <s v="25 BIS RUE LEON MENU"/>
    <m/>
    <m/>
    <n v="94360"/>
    <s v="BRY SUR MARNE"/>
    <s v="FR"/>
    <s v="France"/>
    <m/>
  </r>
  <r>
    <x v="0"/>
    <n v="0"/>
    <n v="0"/>
    <n v="0"/>
    <n v="3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404"/>
    <n v="2604000293"/>
    <m/>
    <n v="0"/>
    <n v="1"/>
    <n v="0"/>
    <n v="2.34"/>
    <s v="KG"/>
    <n v="0"/>
    <n v="0"/>
    <n v="0"/>
    <n v="0"/>
    <n v="0"/>
    <n v="0"/>
    <n v="0"/>
    <s v="EUR"/>
    <m/>
    <s v="EXP20260627-2822398-"/>
    <s v="EXP20260627-2822398-"/>
    <s v="00L0NE1M"/>
    <s v="ANGELI CHRISTELLE"/>
    <s v="11BIS CHEMIN DE LA BERRETTE ES"/>
    <m/>
    <m/>
    <n v="30210"/>
    <s v="CASTILLON-DU-GARD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413"/>
    <n v="2604000292"/>
    <m/>
    <n v="0"/>
    <n v="1"/>
    <n v="0"/>
    <n v="1.24"/>
    <s v="KG"/>
    <n v="0"/>
    <n v="0"/>
    <n v="0"/>
    <n v="0"/>
    <n v="0"/>
    <n v="0"/>
    <n v="0"/>
    <s v="EUR"/>
    <m/>
    <s v="EXP20260627-2822490-"/>
    <s v="EXP20260627-2822490-"/>
    <s v="00L0NE1L"/>
    <s v="KRUST AURELIE"/>
    <s v="31 RUE JEAN GUEHENNO"/>
    <m/>
    <m/>
    <n v="35700"/>
    <s v="RENNES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407"/>
    <n v="2604000291"/>
    <m/>
    <n v="0"/>
    <n v="1"/>
    <n v="0"/>
    <n v="1.7"/>
    <s v="KG"/>
    <n v="0"/>
    <n v="0"/>
    <n v="0"/>
    <n v="0"/>
    <n v="0"/>
    <n v="0"/>
    <n v="0"/>
    <s v="EUR"/>
    <m/>
    <s v="EXP20260627-2822783-"/>
    <s v="EXP20260627-2822783-"/>
    <s v="00L0NE1K"/>
    <s v="OSSOLA DELPHINE"/>
    <s v="9 MAS DE GUERREVIEILLE"/>
    <m/>
    <m/>
    <n v="83120"/>
    <s v="SAINTE-MAXIME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408"/>
    <n v="2604000290"/>
    <m/>
    <n v="0"/>
    <n v="1"/>
    <n v="0"/>
    <n v="2"/>
    <s v="KG"/>
    <n v="0"/>
    <n v="0"/>
    <n v="0"/>
    <n v="0"/>
    <n v="0"/>
    <n v="0"/>
    <n v="0"/>
    <s v="EUR"/>
    <m/>
    <s v="EXP20260627-2823616-"/>
    <s v="EXP20260627-2823616-"/>
    <s v="00L0NE1J"/>
    <s v="CORMEE CAMILLE"/>
    <s v="25 BIS RUE LEON MENU"/>
    <m/>
    <m/>
    <n v="94360"/>
    <s v="BRY SUR MARNE"/>
    <s v="FR"/>
    <s v="France"/>
    <m/>
  </r>
  <r>
    <x v="0"/>
    <n v="0"/>
    <n v="0"/>
    <n v="0"/>
    <n v="3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405"/>
    <n v="2604000289"/>
    <m/>
    <n v="0"/>
    <n v="1"/>
    <n v="0"/>
    <n v="2.2000000000000002"/>
    <s v="KG"/>
    <n v="0"/>
    <n v="0"/>
    <n v="0"/>
    <n v="0"/>
    <n v="0"/>
    <n v="0"/>
    <n v="0"/>
    <s v="EUR"/>
    <m/>
    <s v="EXP20260629-2825680-"/>
    <s v="EXP20260629-2825680-"/>
    <s v="00L0NE1I"/>
    <s v="SORIN LAURENT"/>
    <s v="1 LES AGRIONS"/>
    <m/>
    <m/>
    <n v="29800"/>
    <s v="TREMAOUEZAN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409"/>
    <n v="2604000288"/>
    <m/>
    <n v="0"/>
    <n v="1"/>
    <n v="0"/>
    <n v="1.86"/>
    <s v="KG"/>
    <n v="0"/>
    <n v="0"/>
    <n v="0"/>
    <n v="0"/>
    <n v="0"/>
    <n v="0"/>
    <n v="0"/>
    <s v="EUR"/>
    <m/>
    <s v="EXP20260626-2821812-"/>
    <s v="EXP20260626-2821812-"/>
    <s v="00L0NE1H"/>
    <s v="LEJEUNE ENORA"/>
    <s v="18 TER RUE DU 7 JUIN 1944"/>
    <m/>
    <m/>
    <n v="44120"/>
    <s v="VERTOU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414"/>
    <n v="2604000287"/>
    <m/>
    <n v="0"/>
    <n v="1"/>
    <n v="0"/>
    <n v="1.1599999999999999"/>
    <s v="KG"/>
    <n v="0"/>
    <n v="0"/>
    <n v="0"/>
    <n v="0"/>
    <n v="0"/>
    <n v="0"/>
    <n v="0"/>
    <s v="EUR"/>
    <m/>
    <s v="EXP20260626-2822174-"/>
    <s v="EXP20260626-2822174-"/>
    <s v="00L0NE1G"/>
    <s v="SEELEUTHNER JULIE"/>
    <s v="6 RUE ADOLPHE MAGNIN, 74100 AN"/>
    <m/>
    <m/>
    <n v="74100"/>
    <s v="ANNEMASSE"/>
    <s v="FR"/>
    <s v="France"/>
    <m/>
  </r>
  <r>
    <x v="0"/>
    <n v="0"/>
    <n v="0"/>
    <n v="0"/>
    <n v="1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87"/>
    <n v="2604000286"/>
    <m/>
    <n v="0"/>
    <n v="1"/>
    <n v="0"/>
    <n v="0.35"/>
    <s v="KG"/>
    <n v="0"/>
    <n v="0"/>
    <n v="0"/>
    <n v="0"/>
    <n v="0"/>
    <n v="0"/>
    <n v="0"/>
    <s v="EUR"/>
    <m/>
    <s v="EXP20260627-2823527-"/>
    <s v="EXP20260627-2823527-"/>
    <s v="00L0NE1F"/>
    <s v="BRETAULT EVE"/>
    <s v="107 RUE RAYMOND LOSSERAND, PAR"/>
    <m/>
    <m/>
    <n v="75014"/>
    <s v="PARIS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410"/>
    <n v="2604000285"/>
    <m/>
    <n v="0"/>
    <n v="1"/>
    <n v="0"/>
    <n v="1.58"/>
    <s v="KG"/>
    <n v="0"/>
    <n v="0"/>
    <n v="0"/>
    <n v="0"/>
    <n v="0"/>
    <n v="0"/>
    <n v="0"/>
    <s v="EUR"/>
    <m/>
    <s v="EXP20260627-2823408-"/>
    <s v="EXP20260627-2823408-"/>
    <s v="00L0NE1E"/>
    <s v="MONNIER ELISE"/>
    <s v="4 RUE DE LA AIRE"/>
    <m/>
    <m/>
    <n v="34230"/>
    <s v="PLAISSAN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415"/>
    <n v="2604000284"/>
    <m/>
    <n v="0"/>
    <n v="1"/>
    <n v="0"/>
    <n v="1.05"/>
    <s v="KG"/>
    <n v="0"/>
    <n v="0"/>
    <n v="0"/>
    <n v="0"/>
    <n v="0"/>
    <n v="0"/>
    <n v="0"/>
    <s v="EUR"/>
    <m/>
    <s v="EXP20260628-2825015-"/>
    <s v="EXP20260628-2825015-"/>
    <s v="00L0NE1D"/>
    <s v="ROQUES MORGANE"/>
    <s v="56 BD PAUL VAILLANT COUTURIER"/>
    <m/>
    <m/>
    <n v="93100"/>
    <s v="MONTREUIL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416"/>
    <n v="2604000283"/>
    <m/>
    <n v="0"/>
    <n v="1"/>
    <n v="0"/>
    <n v="1.05"/>
    <s v="KG"/>
    <n v="0"/>
    <n v="0"/>
    <n v="0"/>
    <n v="0"/>
    <n v="0"/>
    <n v="0"/>
    <n v="0"/>
    <s v="EUR"/>
    <m/>
    <s v="EXP20260629-2827552-"/>
    <s v="EXP20260629-2827552-"/>
    <s v="00L0NE1C"/>
    <s v="KERMONY OFFICE"/>
    <s v="24 AVENUE HUBERT GERMAIN"/>
    <m/>
    <m/>
    <n v="75116"/>
    <s v="PARIS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417"/>
    <n v="2604000282"/>
    <m/>
    <n v="0"/>
    <n v="1"/>
    <n v="0"/>
    <n v="1.1399999999999999"/>
    <s v="KG"/>
    <n v="0"/>
    <n v="0"/>
    <n v="0"/>
    <n v="0"/>
    <n v="0"/>
    <n v="0"/>
    <n v="0"/>
    <s v="EUR"/>
    <m/>
    <s v="EXP20260627-2823091-"/>
    <s v="EXP20260627-2823091-"/>
    <s v="00L0NE1B"/>
    <s v="SCP MARTEAU NOTAIRES"/>
    <s v="54 AVENUE DU MARECHAL FOCH"/>
    <m/>
    <m/>
    <n v="78400"/>
    <s v="CHATOU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418"/>
    <n v="2604000281"/>
    <m/>
    <n v="0"/>
    <n v="1"/>
    <n v="0"/>
    <n v="1.1399999999999999"/>
    <s v="KG"/>
    <n v="0"/>
    <n v="0"/>
    <n v="0"/>
    <n v="0"/>
    <n v="0"/>
    <n v="0"/>
    <n v="0"/>
    <s v="EUR"/>
    <m/>
    <s v="EXP20260626-2822175-"/>
    <s v="EXP20260626-2822175-"/>
    <s v="00L0NE1A"/>
    <s v="VIDACAK LISA"/>
    <s v="22 RUE DE LA BANNIERE"/>
    <m/>
    <m/>
    <n v="69003"/>
    <s v="LYON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419"/>
    <n v="2604000280"/>
    <m/>
    <n v="0"/>
    <n v="1"/>
    <n v="0"/>
    <n v="1.1499999999999999"/>
    <s v="KG"/>
    <n v="0"/>
    <n v="0"/>
    <n v="0"/>
    <n v="0"/>
    <n v="0"/>
    <n v="0"/>
    <n v="0"/>
    <s v="EUR"/>
    <m/>
    <s v="EXP20260626-2821218-"/>
    <s v="EXP20260626-2821218-"/>
    <s v="00L0NE19"/>
    <s v="BELLANGER ELISE"/>
    <s v="53 RUE KANT"/>
    <m/>
    <m/>
    <n v="59000"/>
    <s v="LILLE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420"/>
    <n v="2604000279"/>
    <m/>
    <n v="0"/>
    <n v="1"/>
    <n v="0"/>
    <n v="1.1399999999999999"/>
    <s v="KG"/>
    <n v="0"/>
    <n v="0"/>
    <n v="0"/>
    <n v="0"/>
    <n v="0"/>
    <n v="0"/>
    <n v="0"/>
    <s v="EUR"/>
    <m/>
    <s v="EXP20260628-2823860-"/>
    <s v="EXP20260628-2823860-"/>
    <s v="00L0NE18"/>
    <s v="AUDI ROYAN"/>
    <s v="28 RUE GUSTAVE EIFFEL"/>
    <m/>
    <m/>
    <n v="17200"/>
    <s v="SAINT-SULPICE-DE-ROYAN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421"/>
    <n v="2604000278"/>
    <m/>
    <n v="0"/>
    <n v="1"/>
    <n v="0"/>
    <n v="1.1399999999999999"/>
    <s v="KG"/>
    <n v="0"/>
    <n v="0"/>
    <n v="0"/>
    <n v="0"/>
    <n v="0"/>
    <n v="0"/>
    <n v="0"/>
    <s v="EUR"/>
    <m/>
    <s v="EXP20260628-2824765-"/>
    <s v="EXP20260628-2824765-"/>
    <s v="00L0NE17"/>
    <s v="PASCAL STEPHANIE"/>
    <s v="106 RUE MAC CARTHY"/>
    <m/>
    <m/>
    <n v="33200"/>
    <s v="BORDEAUX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422"/>
    <n v="2604000277"/>
    <m/>
    <n v="0"/>
    <n v="1"/>
    <n v="0"/>
    <n v="1.1499999999999999"/>
    <s v="KG"/>
    <n v="0"/>
    <n v="0"/>
    <n v="0"/>
    <n v="0"/>
    <n v="0"/>
    <n v="0"/>
    <n v="0"/>
    <s v="EUR"/>
    <m/>
    <s v="EXP20260628-2824117-"/>
    <s v="EXP20260628-2824117-"/>
    <s v="00L0NE16"/>
    <s v="PARCELLIER AMELIE"/>
    <s v="5 ALL. DU RIEZ, 59110 LA MADEL"/>
    <m/>
    <m/>
    <n v="59110"/>
    <s v="LA MADELEINE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423"/>
    <n v="2604000276"/>
    <m/>
    <n v="0"/>
    <n v="1"/>
    <n v="0"/>
    <n v="1.05"/>
    <s v="KG"/>
    <n v="0"/>
    <n v="0"/>
    <n v="0"/>
    <n v="0"/>
    <n v="0"/>
    <n v="0"/>
    <n v="0"/>
    <s v="EUR"/>
    <m/>
    <s v="EXP20260627-2823732-"/>
    <s v="EXP20260627-2823732-"/>
    <s v="00L0NE15"/>
    <s v="HINGREZ ANAIS"/>
    <s v="22 RUE DES COQUELICOTS"/>
    <m/>
    <m/>
    <n v="76860"/>
    <s v="QUIBERVILLE-SUR-MER"/>
    <s v="FR"/>
    <s v="France"/>
    <m/>
  </r>
  <r>
    <x v="0"/>
    <n v="0"/>
    <n v="0"/>
    <n v="0"/>
    <n v="1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88"/>
    <n v="2604000275"/>
    <m/>
    <n v="0"/>
    <n v="1"/>
    <n v="0"/>
    <n v="0.42"/>
    <s v="KG"/>
    <n v="0"/>
    <n v="0"/>
    <n v="0"/>
    <n v="0"/>
    <n v="0"/>
    <n v="0"/>
    <n v="0"/>
    <s v="EUR"/>
    <m/>
    <s v="EXP20260629-2827269-"/>
    <s v="EXP20260629-2827269-"/>
    <s v="00L0NE14"/>
    <s v="BLOT ETIENNE"/>
    <s v="2 RUE DE LA AUNIS"/>
    <m/>
    <m/>
    <n v="17440"/>
    <s v="AYTRE"/>
    <s v="FR"/>
    <s v="France"/>
    <m/>
  </r>
  <r>
    <x v="0"/>
    <n v="0"/>
    <n v="0"/>
    <n v="0"/>
    <n v="1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89"/>
    <n v="2604000274"/>
    <m/>
    <n v="0"/>
    <n v="1"/>
    <n v="0"/>
    <n v="0.48"/>
    <s v="KG"/>
    <n v="0"/>
    <n v="0"/>
    <n v="0"/>
    <n v="0"/>
    <n v="0"/>
    <n v="0"/>
    <n v="0"/>
    <s v="EUR"/>
    <m/>
    <s v="EXP20260627-2822397-"/>
    <s v="EXP20260627-2822397-"/>
    <s v="00L0NE13"/>
    <s v="GOURNEL HELENE"/>
    <s v="14 RUE DU CLOS FILLATRE, 27910"/>
    <m/>
    <m/>
    <n v="27910"/>
    <s v="LES HOGUES"/>
    <s v="FR"/>
    <s v="France"/>
    <m/>
  </r>
  <r>
    <x v="0"/>
    <n v="0"/>
    <n v="0"/>
    <n v="0"/>
    <n v="1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90"/>
    <n v="2604000273"/>
    <m/>
    <n v="0"/>
    <n v="1"/>
    <n v="0"/>
    <n v="0.4"/>
    <s v="KG"/>
    <n v="0"/>
    <n v="0"/>
    <n v="0"/>
    <n v="0"/>
    <n v="0"/>
    <n v="0"/>
    <n v="0"/>
    <s v="EUR"/>
    <m/>
    <s v="EXP20260629-2825679-"/>
    <s v="EXP20260629-2825679-"/>
    <s v="00L0NE12"/>
    <s v="BROCHERAY RIVAS MARINA"/>
    <s v="17 LES BOUTONS D OR"/>
    <m/>
    <m/>
    <n v="27180"/>
    <s v="LES BAUX STE CROIX"/>
    <s v="FR"/>
    <s v="France"/>
    <m/>
  </r>
  <r>
    <x v="0"/>
    <n v="0"/>
    <n v="0"/>
    <n v="0"/>
    <n v="1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91"/>
    <n v="2604000272"/>
    <m/>
    <n v="0"/>
    <n v="1"/>
    <n v="0"/>
    <n v="0.5"/>
    <s v="KG"/>
    <n v="0"/>
    <n v="0"/>
    <n v="0"/>
    <n v="0"/>
    <n v="0"/>
    <n v="0"/>
    <n v="0"/>
    <s v="EUR"/>
    <m/>
    <s v="EXP20260627-2823791-"/>
    <s v="EXP20260627-2823791-"/>
    <s v="00L0NE11"/>
    <s v="RECHDAN LEA"/>
    <s v="2 RUE DU PLATEAU"/>
    <m/>
    <m/>
    <n v="92500"/>
    <s v="RUEIL MALMAISON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424"/>
    <n v="2604000271"/>
    <m/>
    <n v="0"/>
    <n v="1"/>
    <n v="0"/>
    <n v="1.1000000000000001"/>
    <s v="KG"/>
    <n v="0"/>
    <n v="0"/>
    <n v="0"/>
    <n v="0"/>
    <n v="0"/>
    <n v="0"/>
    <n v="0"/>
    <s v="EUR"/>
    <m/>
    <s v="EXP20260628-2824561-"/>
    <s v="EXP20260628-2824561-"/>
    <s v="00L0NE10"/>
    <s v="PONDI SEPHORA"/>
    <s v="198 RUE DE NOISY LE SEC"/>
    <m/>
    <m/>
    <n v="93170"/>
    <s v="BAGNOLET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99"/>
    <n v="2604000270"/>
    <m/>
    <n v="0"/>
    <n v="1"/>
    <n v="0"/>
    <n v="1.1000000000000001"/>
    <s v="KG"/>
    <n v="0"/>
    <n v="0"/>
    <n v="0"/>
    <n v="0"/>
    <n v="0"/>
    <n v="0"/>
    <n v="0"/>
    <s v="EUR"/>
    <m/>
    <s v="EXP20260627-2823733-"/>
    <s v="EXP20260627-2823733-"/>
    <s v="00L0NE0Z"/>
    <s v="NGUYEN GAELLE"/>
    <s v="87 ROUTE DE SAINT-DENIS"/>
    <m/>
    <m/>
    <n v="95170"/>
    <s v="DEUIL-LA-BARRE"/>
    <s v="FR"/>
    <s v="France"/>
    <m/>
  </r>
  <r>
    <x v="0"/>
    <n v="0"/>
    <n v="0"/>
    <n v="0"/>
    <n v="2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69"/>
    <n v="2604000269"/>
    <m/>
    <n v="0"/>
    <n v="1"/>
    <n v="0"/>
    <n v="1.1399999999999999"/>
    <s v="KG"/>
    <n v="0"/>
    <n v="0"/>
    <n v="0"/>
    <n v="0"/>
    <n v="0"/>
    <n v="0"/>
    <n v="0"/>
    <s v="EUR"/>
    <m/>
    <s v="EXP20260629-2828011-"/>
    <s v="EXP20260629-2828011-"/>
    <s v="00L0NE0Y"/>
    <s v="THEPAUT IGGY"/>
    <s v="95 RUE TORPILLEUR FOUDROYANT"/>
    <m/>
    <m/>
    <n v="29200"/>
    <s v="BREST"/>
    <s v="FR"/>
    <s v="France"/>
    <m/>
  </r>
  <r>
    <x v="0"/>
    <n v="0"/>
    <n v="0"/>
    <n v="0"/>
    <n v="1"/>
    <n v="2501382993"/>
    <n v="1030350167"/>
    <s v="30.06.2026"/>
    <n v="2500034092"/>
    <s v="LA RUCHE LOGISTIQUE"/>
    <n v="9000009190"/>
    <n v="46946"/>
    <s v="LA RUCHE"/>
    <n v="9000079830"/>
    <x v="0"/>
    <m/>
    <m/>
    <m/>
    <n v="2507012387"/>
    <s v="LA RUCHE LOGISTIQUE"/>
    <s v="FDS"/>
    <s v="FDS_D01_S01"/>
    <s v="BP FlexDelivery - Dis. 01 - Size 01"/>
    <s v="PARCEDOMESFDS"/>
    <m/>
    <n v="262"/>
    <s v="30.06.2026"/>
    <x v="382"/>
    <n v="2604000268"/>
    <m/>
    <n v="0"/>
    <n v="1"/>
    <n v="0"/>
    <n v="0.84"/>
    <s v="KG"/>
    <n v="0"/>
    <n v="0"/>
    <n v="0"/>
    <n v="0"/>
    <n v="0"/>
    <n v="0"/>
    <n v="0"/>
    <s v="EUR"/>
    <m/>
    <s v="EXP20260628-2824879-"/>
    <s v="EXP20260628-2824879-"/>
    <s v="00L0NE0X"/>
    <s v="LECHEVALLIER MADELEINE"/>
    <s v="235 ROUTE DE COUTANCES"/>
    <m/>
    <m/>
    <n v="50350"/>
    <s v="DONVILLE-LES-BAINS"/>
    <s v="FR"/>
    <s v="France"/>
    <m/>
  </r>
  <r>
    <x v="2"/>
    <m/>
    <m/>
    <m/>
    <m/>
    <m/>
    <m/>
    <m/>
    <m/>
    <m/>
    <m/>
    <m/>
    <m/>
    <m/>
    <x v="6"/>
    <m/>
    <m/>
    <m/>
    <m/>
    <m/>
    <m/>
    <m/>
    <m/>
    <m/>
    <m/>
    <m/>
    <m/>
    <x v="425"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x v="6"/>
    <m/>
    <m/>
    <m/>
    <m/>
    <m/>
    <m/>
    <m/>
    <m/>
    <m/>
    <m/>
    <m/>
    <m/>
    <x v="425"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x v="6"/>
    <m/>
    <m/>
    <m/>
    <m/>
    <m/>
    <m/>
    <m/>
    <m/>
    <m/>
    <m/>
    <m/>
    <m/>
    <x v="425"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m/>
    <m/>
    <m/>
    <m/>
    <m/>
    <m/>
    <m/>
    <m/>
    <m/>
    <m/>
    <m/>
    <m/>
    <m/>
    <x v="6"/>
    <m/>
    <m/>
    <m/>
    <m/>
    <m/>
    <m/>
    <m/>
    <m/>
    <m/>
    <m/>
    <m/>
    <m/>
    <x v="425"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m/>
    <x v="6"/>
    <m/>
    <m/>
    <m/>
    <m/>
    <m/>
    <m/>
    <m/>
    <m/>
    <m/>
    <m/>
    <m/>
    <m/>
    <x v="425"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m/>
    <m/>
    <m/>
    <m/>
    <m/>
    <m/>
    <m/>
    <m/>
    <x v="6"/>
    <m/>
    <m/>
    <m/>
    <m/>
    <m/>
    <m/>
    <m/>
    <m/>
    <m/>
    <m/>
    <m/>
    <m/>
    <x v="425"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m/>
    <m/>
    <m/>
    <m/>
    <m/>
    <m/>
    <m/>
    <m/>
    <m/>
    <m/>
    <m/>
    <m/>
    <m/>
    <x v="6"/>
    <m/>
    <m/>
    <m/>
    <m/>
    <m/>
    <m/>
    <m/>
    <m/>
    <m/>
    <m/>
    <m/>
    <m/>
    <x v="425"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m/>
    <m/>
    <m/>
    <m/>
    <m/>
    <m/>
    <m/>
    <m/>
    <x v="6"/>
    <m/>
    <m/>
    <m/>
    <m/>
    <m/>
    <m/>
    <m/>
    <m/>
    <m/>
    <m/>
    <m/>
    <m/>
    <x v="425"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m/>
    <m/>
    <m/>
    <m/>
    <m/>
    <m/>
    <m/>
    <m/>
    <x v="6"/>
    <m/>
    <m/>
    <m/>
    <m/>
    <m/>
    <m/>
    <m/>
    <m/>
    <m/>
    <m/>
    <m/>
    <m/>
    <x v="425"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5">
  <r>
    <n v="7.4300000000000006"/>
    <n v="1.64"/>
    <n v="5.7900000000000009"/>
    <n v="3"/>
    <x v="0"/>
  </r>
  <r>
    <n v="7.4300000000000006"/>
    <n v="1.64"/>
    <n v="5.7900000000000009"/>
    <n v="3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6.6000000000000005"/>
    <n v="1.45"/>
    <n v="5.15"/>
    <n v="1"/>
    <x v="0"/>
  </r>
  <r>
    <n v="6.6000000000000005"/>
    <n v="1.45"/>
    <n v="5.15"/>
    <n v="1"/>
    <x v="0"/>
  </r>
  <r>
    <n v="6.17"/>
    <n v="1.35"/>
    <n v="4.82"/>
    <n v="0.5"/>
    <x v="0"/>
  </r>
  <r>
    <n v="0"/>
    <n v="0"/>
    <n v="0"/>
    <n v="2"/>
    <x v="0"/>
  </r>
  <r>
    <n v="0"/>
    <n v="0"/>
    <n v="0"/>
    <n v="2"/>
    <x v="0"/>
  </r>
  <r>
    <n v="0"/>
    <n v="0"/>
    <n v="0"/>
    <n v="3"/>
    <x v="0"/>
  </r>
  <r>
    <n v="0"/>
    <n v="0"/>
    <n v="0"/>
    <n v="1"/>
    <x v="0"/>
  </r>
  <r>
    <n v="0"/>
    <n v="0"/>
    <n v="0"/>
    <n v="3"/>
    <x v="0"/>
  </r>
  <r>
    <n v="0"/>
    <n v="0"/>
    <n v="0"/>
    <n v="1"/>
    <x v="0"/>
  </r>
  <r>
    <n v="0"/>
    <n v="0"/>
    <n v="0"/>
    <n v="1"/>
    <x v="0"/>
  </r>
  <r>
    <n v="0"/>
    <n v="0"/>
    <n v="0"/>
    <n v="2"/>
    <x v="0"/>
  </r>
  <r>
    <n v="0"/>
    <n v="0"/>
    <n v="0"/>
    <n v="2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0"/>
    <n v="0"/>
    <n v="0"/>
    <e v="#N/A"/>
    <x v="0"/>
  </r>
  <r>
    <n v="6.17"/>
    <n v="1.35"/>
    <n v="4.82"/>
    <n v="0.5"/>
    <x v="0"/>
  </r>
  <r>
    <n v="0"/>
    <n v="0"/>
    <n v="0"/>
    <n v="1"/>
    <x v="0"/>
  </r>
  <r>
    <n v="0"/>
    <n v="0"/>
    <n v="0"/>
    <n v="1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6.6000000000000005"/>
    <n v="1.45"/>
    <n v="5.15"/>
    <n v="1"/>
    <x v="0"/>
  </r>
  <r>
    <n v="6.6000000000000005"/>
    <n v="1.45"/>
    <n v="5.15"/>
    <n v="1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8.870000000000001"/>
    <n v="1.96"/>
    <n v="6.910000000000001"/>
    <n v="5"/>
    <x v="0"/>
  </r>
  <r>
    <n v="7.4300000000000006"/>
    <n v="1.64"/>
    <n v="5.7900000000000009"/>
    <n v="3"/>
    <x v="0"/>
  </r>
  <r>
    <n v="0"/>
    <n v="0"/>
    <n v="0"/>
    <n v="2"/>
    <x v="0"/>
  </r>
  <r>
    <n v="0"/>
    <n v="0"/>
    <n v="0"/>
    <n v="3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1"/>
    <x v="0"/>
  </r>
  <r>
    <n v="0"/>
    <n v="0"/>
    <n v="0"/>
    <n v="2"/>
    <x v="0"/>
  </r>
  <r>
    <n v="0"/>
    <n v="0"/>
    <n v="0"/>
    <n v="2"/>
    <x v="0"/>
  </r>
  <r>
    <n v="0"/>
    <n v="0"/>
    <n v="0"/>
    <n v="1"/>
    <x v="0"/>
  </r>
  <r>
    <n v="0"/>
    <n v="0"/>
    <n v="0"/>
    <n v="2"/>
    <x v="0"/>
  </r>
  <r>
    <n v="0"/>
    <n v="0"/>
    <n v="0"/>
    <n v="3"/>
    <x v="0"/>
  </r>
  <r>
    <n v="0"/>
    <n v="0"/>
    <n v="0"/>
    <n v="3"/>
    <x v="0"/>
  </r>
  <r>
    <n v="0"/>
    <n v="0"/>
    <n v="0"/>
    <n v="2"/>
    <x v="0"/>
  </r>
  <r>
    <n v="0"/>
    <n v="0"/>
    <n v="0"/>
    <n v="1"/>
    <x v="0"/>
  </r>
  <r>
    <n v="0"/>
    <n v="0"/>
    <n v="0"/>
    <n v="1"/>
    <x v="0"/>
  </r>
  <r>
    <n v="0"/>
    <n v="0"/>
    <n v="0"/>
    <n v="2"/>
    <x v="0"/>
  </r>
  <r>
    <n v="0"/>
    <n v="0"/>
    <n v="0"/>
    <n v="5"/>
    <x v="0"/>
  </r>
  <r>
    <n v="0"/>
    <n v="0"/>
    <n v="0"/>
    <n v="2"/>
    <x v="0"/>
  </r>
  <r>
    <n v="0"/>
    <n v="0"/>
    <n v="0"/>
    <n v="1"/>
    <x v="0"/>
  </r>
  <r>
    <n v="0"/>
    <n v="0"/>
    <n v="0"/>
    <n v="2"/>
    <x v="0"/>
  </r>
  <r>
    <n v="7.4300000000000006"/>
    <n v="1.64"/>
    <n v="5.7900000000000009"/>
    <n v="3"/>
    <x v="0"/>
  </r>
  <r>
    <n v="7.4300000000000006"/>
    <n v="1.64"/>
    <n v="5.7900000000000009"/>
    <n v="3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0"/>
    <n v="0"/>
    <n v="0"/>
    <n v="1"/>
    <x v="0"/>
  </r>
  <r>
    <n v="0"/>
    <n v="0"/>
    <n v="0"/>
    <n v="3"/>
    <x v="0"/>
  </r>
  <r>
    <n v="0"/>
    <n v="0"/>
    <n v="0"/>
    <n v="1"/>
    <x v="0"/>
  </r>
  <r>
    <n v="6.17"/>
    <n v="1.35"/>
    <n v="4.82"/>
    <n v="0.5"/>
    <x v="0"/>
  </r>
  <r>
    <n v="6.6000000000000005"/>
    <n v="1.45"/>
    <n v="5.15"/>
    <n v="1"/>
    <x v="0"/>
  </r>
  <r>
    <n v="7.4300000000000006"/>
    <n v="1.64"/>
    <n v="5.7900000000000009"/>
    <n v="3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6.17"/>
    <n v="1.35"/>
    <n v="4.82"/>
    <n v="0.5"/>
    <x v="0"/>
  </r>
  <r>
    <n v="0"/>
    <n v="0"/>
    <n v="0"/>
    <n v="3"/>
    <x v="0"/>
  </r>
  <r>
    <n v="0"/>
    <n v="0"/>
    <n v="0"/>
    <n v="1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6.17"/>
    <n v="1.35"/>
    <n v="4.82"/>
    <n v="0.5"/>
    <x v="0"/>
  </r>
  <r>
    <n v="0"/>
    <n v="0"/>
    <n v="0"/>
    <n v="1"/>
    <x v="0"/>
  </r>
  <r>
    <n v="7.4300000000000006"/>
    <n v="1.64"/>
    <n v="5.7900000000000009"/>
    <n v="3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1"/>
    <x v="0"/>
  </r>
  <r>
    <n v="0"/>
    <n v="0"/>
    <n v="0"/>
    <n v="2"/>
    <x v="0"/>
  </r>
  <r>
    <n v="0"/>
    <n v="0"/>
    <n v="0"/>
    <n v="3"/>
    <x v="0"/>
  </r>
  <r>
    <n v="0"/>
    <n v="0"/>
    <n v="0"/>
    <n v="4"/>
    <x v="0"/>
  </r>
  <r>
    <n v="6.17"/>
    <n v="1.35"/>
    <n v="4.82"/>
    <n v="0.5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4300000000000006"/>
    <n v="1.64"/>
    <n v="5.7900000000000009"/>
    <n v="3"/>
    <x v="0"/>
  </r>
  <r>
    <n v="8.15"/>
    <n v="1.8"/>
    <n v="6.3500000000000005"/>
    <n v="4"/>
    <x v="0"/>
  </r>
  <r>
    <n v="3.04"/>
    <n v="0.68"/>
    <n v="2.36"/>
    <e v="#N/A"/>
    <x v="0"/>
  </r>
  <r>
    <n v="0"/>
    <n v="0"/>
    <n v="0"/>
    <e v="#N/A"/>
    <x v="0"/>
  </r>
  <r>
    <n v="0"/>
    <n v="0"/>
    <n v="0"/>
    <n v="1"/>
    <x v="0"/>
  </r>
  <r>
    <n v="0"/>
    <n v="0"/>
    <n v="0"/>
    <n v="1"/>
    <x v="0"/>
  </r>
  <r>
    <n v="6.17"/>
    <n v="1.35"/>
    <n v="4.82"/>
    <n v="0.5"/>
    <x v="0"/>
  </r>
  <r>
    <n v="6.17"/>
    <n v="1.35"/>
    <n v="4.82"/>
    <n v="0.5"/>
    <x v="0"/>
  </r>
  <r>
    <n v="0"/>
    <n v="0"/>
    <n v="0"/>
    <n v="1"/>
    <x v="0"/>
  </r>
  <r>
    <n v="0"/>
    <n v="0"/>
    <n v="0"/>
    <n v="4"/>
    <x v="0"/>
  </r>
  <r>
    <n v="5.2899999999999991"/>
    <n v="1.19"/>
    <n v="4.0999999999999996"/>
    <n v="1"/>
    <x v="0"/>
  </r>
  <r>
    <n v="0"/>
    <n v="0"/>
    <n v="0"/>
    <e v="#N/A"/>
    <x v="0"/>
  </r>
  <r>
    <n v="3.04"/>
    <n v="0.68"/>
    <n v="2.36"/>
    <e v="#N/A"/>
    <x v="0"/>
  </r>
  <r>
    <n v="8.15"/>
    <n v="1.8"/>
    <n v="6.3500000000000005"/>
    <n v="4"/>
    <x v="0"/>
  </r>
  <r>
    <n v="7.0100000000000007"/>
    <n v="1.54"/>
    <n v="5.4700000000000006"/>
    <n v="2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6.17"/>
    <n v="1.35"/>
    <n v="4.82"/>
    <n v="0.5"/>
    <x v="0"/>
  </r>
  <r>
    <n v="6.17"/>
    <n v="1.35"/>
    <n v="4.82"/>
    <n v="0.5"/>
    <x v="0"/>
  </r>
  <r>
    <n v="6.6000000000000005"/>
    <n v="1.45"/>
    <n v="5.15"/>
    <n v="1"/>
    <x v="0"/>
  </r>
  <r>
    <n v="0"/>
    <n v="0"/>
    <n v="0"/>
    <e v="#N/A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6.6000000000000005"/>
    <n v="1.45"/>
    <n v="5.15"/>
    <n v="1"/>
    <x v="0"/>
  </r>
  <r>
    <n v="6.17"/>
    <n v="1.35"/>
    <n v="4.82"/>
    <n v="0.5"/>
    <x v="0"/>
  </r>
  <r>
    <n v="0"/>
    <n v="0"/>
    <n v="0"/>
    <n v="1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7.0100000000000007"/>
    <n v="1.54"/>
    <n v="5.4700000000000006"/>
    <n v="2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0"/>
    <n v="0"/>
    <n v="0"/>
    <n v="1"/>
    <x v="0"/>
  </r>
  <r>
    <n v="0"/>
    <n v="0"/>
    <n v="0"/>
    <n v="2"/>
    <x v="0"/>
  </r>
  <r>
    <n v="0"/>
    <n v="0"/>
    <n v="0"/>
    <n v="1"/>
    <x v="0"/>
  </r>
  <r>
    <n v="3.04"/>
    <n v="0.68"/>
    <n v="2.36"/>
    <e v="#N/A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8.15"/>
    <n v="1.8"/>
    <n v="6.3500000000000005"/>
    <n v="4"/>
    <x v="0"/>
  </r>
  <r>
    <n v="7.4300000000000006"/>
    <n v="1.64"/>
    <n v="5.7900000000000009"/>
    <n v="3"/>
    <x v="0"/>
  </r>
  <r>
    <n v="7.0100000000000007"/>
    <n v="1.54"/>
    <n v="5.4700000000000006"/>
    <n v="2"/>
    <x v="0"/>
  </r>
  <r>
    <n v="0"/>
    <n v="0"/>
    <n v="0"/>
    <n v="2"/>
    <x v="0"/>
  </r>
  <r>
    <n v="0"/>
    <n v="0"/>
    <n v="0"/>
    <n v="2"/>
    <x v="0"/>
  </r>
  <r>
    <n v="0"/>
    <n v="0"/>
    <n v="0"/>
    <e v="#N/A"/>
    <x v="0"/>
  </r>
  <r>
    <n v="0"/>
    <n v="0"/>
    <n v="0"/>
    <e v="#N/A"/>
    <x v="0"/>
  </r>
  <r>
    <n v="0"/>
    <n v="0"/>
    <n v="0"/>
    <e v="#N/A"/>
    <x v="0"/>
  </r>
  <r>
    <n v="0"/>
    <n v="0"/>
    <n v="0"/>
    <n v="4"/>
    <x v="0"/>
  </r>
  <r>
    <n v="0"/>
    <n v="0"/>
    <n v="0"/>
    <n v="3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e v="#N/A"/>
    <x v="0"/>
  </r>
  <r>
    <n v="0"/>
    <n v="0"/>
    <n v="0"/>
    <n v="2"/>
    <x v="0"/>
  </r>
  <r>
    <n v="7.0100000000000007"/>
    <n v="1.54"/>
    <n v="5.4700000000000006"/>
    <n v="2"/>
    <x v="0"/>
  </r>
  <r>
    <n v="9.6000000000000014"/>
    <n v="2.13"/>
    <n v="7.4700000000000015"/>
    <n v="6"/>
    <x v="0"/>
  </r>
  <r>
    <n v="0"/>
    <n v="0"/>
    <n v="0"/>
    <n v="6"/>
    <x v="0"/>
  </r>
  <r>
    <n v="6.6000000000000005"/>
    <n v="1.45"/>
    <n v="5.15"/>
    <n v="1"/>
    <x v="0"/>
  </r>
  <r>
    <n v="6.17"/>
    <n v="1.35"/>
    <n v="4.82"/>
    <n v="0.5"/>
    <x v="0"/>
  </r>
  <r>
    <n v="0"/>
    <n v="0"/>
    <n v="0"/>
    <n v="1"/>
    <x v="0"/>
  </r>
  <r>
    <n v="0"/>
    <n v="0"/>
    <n v="0"/>
    <n v="1"/>
    <x v="0"/>
  </r>
  <r>
    <n v="0"/>
    <n v="0"/>
    <n v="0"/>
    <n v="2"/>
    <x v="0"/>
  </r>
  <r>
    <n v="0"/>
    <n v="0"/>
    <n v="0"/>
    <n v="1"/>
    <x v="0"/>
  </r>
  <r>
    <n v="6.17"/>
    <n v="1.35"/>
    <n v="4.82"/>
    <n v="0.5"/>
    <x v="0"/>
  </r>
  <r>
    <n v="0"/>
    <n v="0"/>
    <n v="0"/>
    <n v="3"/>
    <x v="0"/>
  </r>
  <r>
    <n v="0"/>
    <n v="0"/>
    <n v="0"/>
    <n v="1"/>
    <x v="0"/>
  </r>
  <r>
    <n v="6.6000000000000005"/>
    <n v="1.45"/>
    <n v="5.15"/>
    <n v="1"/>
    <x v="0"/>
  </r>
  <r>
    <n v="7.0100000000000007"/>
    <n v="1.54"/>
    <n v="5.4700000000000006"/>
    <n v="2"/>
    <x v="0"/>
  </r>
  <r>
    <n v="7.4300000000000006"/>
    <n v="1.64"/>
    <n v="5.7900000000000009"/>
    <n v="3"/>
    <x v="0"/>
  </r>
  <r>
    <n v="7.0100000000000007"/>
    <n v="1.54"/>
    <n v="5.4700000000000006"/>
    <n v="2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7.0100000000000007"/>
    <n v="1.54"/>
    <n v="5.4700000000000006"/>
    <n v="2"/>
    <x v="0"/>
  </r>
  <r>
    <n v="0"/>
    <n v="0"/>
    <n v="0"/>
    <n v="1"/>
    <x v="0"/>
  </r>
  <r>
    <n v="0"/>
    <n v="0"/>
    <n v="0"/>
    <n v="2"/>
    <x v="0"/>
  </r>
  <r>
    <n v="8.870000000000001"/>
    <n v="1.96"/>
    <n v="6.910000000000001"/>
    <n v="5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2"/>
    <x v="0"/>
  </r>
  <r>
    <n v="0"/>
    <n v="0"/>
    <n v="0"/>
    <n v="1"/>
    <x v="0"/>
  </r>
  <r>
    <n v="0"/>
    <n v="0"/>
    <n v="0"/>
    <n v="1"/>
    <x v="0"/>
  </r>
  <r>
    <n v="0"/>
    <n v="0"/>
    <n v="0"/>
    <n v="5"/>
    <x v="0"/>
  </r>
  <r>
    <n v="6.17"/>
    <n v="1.35"/>
    <n v="4.82"/>
    <n v="0.5"/>
    <x v="0"/>
  </r>
  <r>
    <n v="6.17"/>
    <n v="1.35"/>
    <n v="4.82"/>
    <n v="0.5"/>
    <x v="0"/>
  </r>
  <r>
    <n v="0"/>
    <n v="0"/>
    <n v="0"/>
    <n v="1"/>
    <x v="0"/>
  </r>
  <r>
    <n v="6.6000000000000005"/>
    <n v="1.45"/>
    <n v="5.15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4"/>
    <x v="0"/>
  </r>
  <r>
    <n v="6.5299999999999994"/>
    <n v="1.47"/>
    <n v="5.0599999999999996"/>
    <e v="#N/A"/>
    <x v="0"/>
  </r>
  <r>
    <n v="8.15"/>
    <n v="1.8"/>
    <n v="6.3500000000000005"/>
    <n v="4"/>
    <x v="0"/>
  </r>
  <r>
    <n v="6.6000000000000005"/>
    <n v="1.45"/>
    <n v="5.15"/>
    <n v="1"/>
    <x v="0"/>
  </r>
  <r>
    <n v="0"/>
    <n v="0"/>
    <n v="0"/>
    <n v="3"/>
    <x v="0"/>
  </r>
  <r>
    <n v="0"/>
    <n v="0"/>
    <n v="0"/>
    <n v="3"/>
    <x v="0"/>
  </r>
  <r>
    <n v="8.15"/>
    <n v="1.8"/>
    <n v="6.3500000000000005"/>
    <n v="4"/>
    <x v="0"/>
  </r>
  <r>
    <n v="8.15"/>
    <n v="1.8"/>
    <n v="6.3500000000000005"/>
    <n v="4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0"/>
    <n v="0"/>
    <n v="0"/>
    <n v="2"/>
    <x v="0"/>
  </r>
  <r>
    <n v="0"/>
    <n v="0"/>
    <n v="0"/>
    <n v="4"/>
    <x v="0"/>
  </r>
  <r>
    <n v="0"/>
    <n v="0"/>
    <n v="0"/>
    <n v="4"/>
    <x v="0"/>
  </r>
  <r>
    <n v="0"/>
    <n v="0"/>
    <n v="0"/>
    <n v="2"/>
    <x v="0"/>
  </r>
  <r>
    <n v="7.4300000000000006"/>
    <n v="1.64"/>
    <n v="5.7900000000000009"/>
    <n v="3"/>
    <x v="0"/>
  </r>
  <r>
    <n v="7.4300000000000006"/>
    <n v="1.64"/>
    <n v="5.7900000000000009"/>
    <n v="3"/>
    <x v="0"/>
  </r>
  <r>
    <n v="0"/>
    <n v="0"/>
    <n v="0"/>
    <n v="2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2"/>
    <x v="0"/>
  </r>
  <r>
    <n v="8.15"/>
    <n v="1.8"/>
    <n v="6.3500000000000005"/>
    <n v="4"/>
    <x v="0"/>
  </r>
  <r>
    <n v="0"/>
    <n v="0"/>
    <n v="0"/>
    <n v="4"/>
    <x v="0"/>
  </r>
  <r>
    <n v="0"/>
    <n v="0"/>
    <n v="0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3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6000000000000005"/>
    <n v="1.45"/>
    <n v="5.15"/>
    <n v="1"/>
    <x v="0"/>
  </r>
  <r>
    <n v="13.95"/>
    <n v="3.11"/>
    <n v="10.84"/>
    <s v="hors France"/>
    <x v="0"/>
  </r>
  <r>
    <n v="3.04"/>
    <n v="0.68"/>
    <n v="2.36"/>
    <e v="#N/A"/>
    <x v="0"/>
  </r>
  <r>
    <n v="0"/>
    <n v="0"/>
    <n v="0"/>
    <e v="#N/A"/>
    <x v="0"/>
  </r>
  <r>
    <n v="5.7"/>
    <n v="1.28"/>
    <n v="4.42"/>
    <n v="2"/>
    <x v="0"/>
  </r>
  <r>
    <n v="0"/>
    <n v="0"/>
    <n v="0"/>
    <n v="3"/>
    <x v="0"/>
  </r>
  <r>
    <n v="0"/>
    <n v="0"/>
    <n v="0"/>
    <n v="3"/>
    <x v="0"/>
  </r>
  <r>
    <n v="0"/>
    <n v="0"/>
    <n v="0"/>
    <n v="3"/>
    <x v="0"/>
  </r>
  <r>
    <n v="6.17"/>
    <n v="1.35"/>
    <n v="4.82"/>
    <n v="0.5"/>
    <x v="0"/>
  </r>
  <r>
    <n v="7.4300000000000006"/>
    <n v="1.64"/>
    <n v="5.7900000000000009"/>
    <n v="3"/>
    <x v="0"/>
  </r>
  <r>
    <n v="7.4300000000000006"/>
    <n v="1.64"/>
    <n v="5.7900000000000009"/>
    <n v="3"/>
    <x v="0"/>
  </r>
  <r>
    <n v="7.4300000000000006"/>
    <n v="1.64"/>
    <n v="5.7900000000000009"/>
    <n v="3"/>
    <x v="0"/>
  </r>
  <r>
    <n v="7.4300000000000006"/>
    <n v="1.64"/>
    <n v="5.7900000000000009"/>
    <n v="3"/>
    <x v="0"/>
  </r>
  <r>
    <n v="0"/>
    <n v="0"/>
    <n v="0"/>
    <n v="1"/>
    <x v="0"/>
  </r>
  <r>
    <n v="0"/>
    <n v="0"/>
    <n v="0"/>
    <n v="3"/>
    <x v="0"/>
  </r>
  <r>
    <n v="5.2899999999999991"/>
    <n v="1.19"/>
    <n v="4.0999999999999996"/>
    <n v="1"/>
    <x v="0"/>
  </r>
  <r>
    <n v="7.0100000000000007"/>
    <n v="1.54"/>
    <n v="5.4700000000000006"/>
    <n v="2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2"/>
    <x v="0"/>
  </r>
  <r>
    <n v="0"/>
    <n v="0"/>
    <n v="0"/>
    <n v="3"/>
    <x v="0"/>
  </r>
  <r>
    <n v="0"/>
    <n v="0"/>
    <n v="0"/>
    <n v="4"/>
    <x v="0"/>
  </r>
  <r>
    <n v="6.17"/>
    <n v="1.35"/>
    <n v="4.82"/>
    <n v="0.5"/>
    <x v="0"/>
  </r>
  <r>
    <n v="0"/>
    <n v="0"/>
    <n v="0"/>
    <n v="1"/>
    <x v="0"/>
  </r>
  <r>
    <n v="7.4300000000000006"/>
    <n v="1.64"/>
    <n v="5.7900000000000009"/>
    <n v="3"/>
    <x v="0"/>
  </r>
  <r>
    <n v="8.15"/>
    <n v="1.8"/>
    <n v="6.3500000000000005"/>
    <n v="4"/>
    <x v="0"/>
  </r>
  <r>
    <n v="0"/>
    <n v="0"/>
    <n v="0"/>
    <n v="1"/>
    <x v="0"/>
  </r>
  <r>
    <n v="6.17"/>
    <n v="1.35"/>
    <n v="4.82"/>
    <n v="0.5"/>
    <x v="0"/>
  </r>
  <r>
    <n v="0"/>
    <n v="0"/>
    <n v="0"/>
    <n v="2"/>
    <x v="0"/>
  </r>
  <r>
    <n v="0"/>
    <n v="0"/>
    <n v="0"/>
    <n v="2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8.870000000000001"/>
    <n v="1.96"/>
    <n v="6.910000000000001"/>
    <n v="5"/>
    <x v="0"/>
  </r>
  <r>
    <n v="0"/>
    <n v="0"/>
    <n v="0"/>
    <n v="5"/>
    <x v="0"/>
  </r>
  <r>
    <n v="0"/>
    <n v="0"/>
    <n v="0"/>
    <n v="2"/>
    <x v="0"/>
  </r>
  <r>
    <n v="0"/>
    <n v="0"/>
    <n v="0"/>
    <n v="1"/>
    <x v="0"/>
  </r>
  <r>
    <n v="0"/>
    <n v="0"/>
    <n v="0"/>
    <n v="1"/>
    <x v="0"/>
  </r>
  <r>
    <n v="0"/>
    <n v="0"/>
    <n v="0"/>
    <n v="3"/>
    <x v="0"/>
  </r>
  <r>
    <n v="0"/>
    <n v="0"/>
    <n v="0"/>
    <n v="1"/>
    <x v="0"/>
  </r>
  <r>
    <n v="0"/>
    <n v="0"/>
    <n v="0"/>
    <n v="2"/>
    <x v="0"/>
  </r>
  <r>
    <n v="0"/>
    <n v="0"/>
    <n v="0"/>
    <n v="1"/>
    <x v="0"/>
  </r>
  <r>
    <n v="8.15"/>
    <n v="1.8"/>
    <n v="6.3500000000000005"/>
    <n v="4"/>
    <x v="0"/>
  </r>
  <r>
    <n v="7.0100000000000007"/>
    <n v="1.54"/>
    <n v="5.4700000000000006"/>
    <n v="2"/>
    <x v="0"/>
  </r>
  <r>
    <n v="0"/>
    <n v="0"/>
    <n v="0"/>
    <n v="2"/>
    <x v="0"/>
  </r>
  <r>
    <n v="0"/>
    <n v="0"/>
    <n v="0"/>
    <n v="4"/>
    <x v="0"/>
  </r>
  <r>
    <n v="4.8600000000000003"/>
    <n v="1.0900000000000001"/>
    <n v="3.7700000000000005"/>
    <n v="0.5"/>
    <x v="0"/>
  </r>
  <r>
    <n v="8.15"/>
    <n v="1.8"/>
    <n v="6.3500000000000005"/>
    <n v="4"/>
    <x v="0"/>
  </r>
  <r>
    <n v="7.4300000000000006"/>
    <n v="1.64"/>
    <n v="5.7900000000000009"/>
    <n v="3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0"/>
    <n v="0"/>
    <n v="0"/>
    <n v="1"/>
    <x v="0"/>
  </r>
  <r>
    <n v="0"/>
    <n v="0"/>
    <n v="0"/>
    <n v="1"/>
    <x v="0"/>
  </r>
  <r>
    <n v="0"/>
    <n v="0"/>
    <n v="0"/>
    <n v="4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6.17"/>
    <n v="1.35"/>
    <n v="4.82"/>
    <n v="0.5"/>
    <x v="0"/>
  </r>
  <r>
    <n v="6.17"/>
    <n v="1.35"/>
    <n v="4.82"/>
    <n v="0.5"/>
    <x v="0"/>
  </r>
  <r>
    <n v="14.420000000000002"/>
    <n v="3.21"/>
    <n v="11.21"/>
    <n v="12"/>
    <x v="0"/>
  </r>
  <r>
    <n v="13.61"/>
    <n v="3.03"/>
    <n v="10.58"/>
    <n v="11"/>
    <x v="0"/>
  </r>
  <r>
    <n v="8.870000000000001"/>
    <n v="1.96"/>
    <n v="6.910000000000001"/>
    <n v="5"/>
    <x v="0"/>
  </r>
  <r>
    <n v="0"/>
    <n v="0"/>
    <n v="0"/>
    <n v="5"/>
    <x v="0"/>
  </r>
  <r>
    <n v="0"/>
    <n v="0"/>
    <n v="0"/>
    <n v="12"/>
    <x v="0"/>
  </r>
  <r>
    <n v="0"/>
    <n v="0"/>
    <n v="0"/>
    <n v="11"/>
    <x v="0"/>
  </r>
  <r>
    <n v="6.17"/>
    <n v="1.35"/>
    <n v="4.82"/>
    <n v="0.5"/>
    <x v="0"/>
  </r>
  <r>
    <n v="6.6000000000000005"/>
    <n v="1.45"/>
    <n v="5.15"/>
    <n v="1"/>
    <x v="0"/>
  </r>
  <r>
    <n v="0"/>
    <n v="0"/>
    <n v="0"/>
    <e v="#N/A"/>
    <x v="0"/>
  </r>
  <r>
    <n v="3.04"/>
    <n v="0.68"/>
    <n v="2.36"/>
    <e v="#N/A"/>
    <x v="0"/>
  </r>
  <r>
    <n v="6.6000000000000005"/>
    <n v="1.45"/>
    <n v="5.15"/>
    <n v="1"/>
    <x v="0"/>
  </r>
  <r>
    <n v="6.6000000000000005"/>
    <n v="1.45"/>
    <n v="5.15"/>
    <n v="1"/>
    <x v="0"/>
  </r>
  <r>
    <n v="0"/>
    <n v="0"/>
    <n v="0"/>
    <n v="2"/>
    <x v="0"/>
  </r>
  <r>
    <n v="6.6000000000000005"/>
    <n v="1.45"/>
    <n v="5.15"/>
    <n v="1"/>
    <x v="0"/>
  </r>
  <r>
    <n v="7.0100000000000007"/>
    <n v="1.54"/>
    <n v="5.4700000000000006"/>
    <n v="2"/>
    <x v="0"/>
  </r>
  <r>
    <n v="9.6000000000000014"/>
    <n v="2.13"/>
    <n v="7.4700000000000015"/>
    <n v="6"/>
    <x v="0"/>
  </r>
  <r>
    <n v="0"/>
    <n v="0"/>
    <n v="0"/>
    <n v="1"/>
    <x v="0"/>
  </r>
  <r>
    <n v="0"/>
    <n v="0"/>
    <n v="0"/>
    <n v="6"/>
    <x v="0"/>
  </r>
  <r>
    <n v="6.17"/>
    <n v="1.35"/>
    <n v="4.82"/>
    <n v="0.5"/>
    <x v="0"/>
  </r>
  <r>
    <n v="6.17"/>
    <n v="1.35"/>
    <n v="4.82"/>
    <n v="0.5"/>
    <x v="0"/>
  </r>
  <r>
    <n v="0"/>
    <n v="0"/>
    <n v="0"/>
    <n v="1"/>
    <x v="0"/>
  </r>
  <r>
    <n v="0"/>
    <n v="0"/>
    <n v="0"/>
    <n v="1"/>
    <x v="0"/>
  </r>
  <r>
    <n v="11.13"/>
    <n v="2.4700000000000002"/>
    <n v="8.66"/>
    <n v="8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8.15"/>
    <n v="1.8"/>
    <n v="6.3500000000000005"/>
    <n v="4"/>
    <x v="0"/>
  </r>
  <r>
    <n v="0"/>
    <n v="0"/>
    <n v="0"/>
    <n v="4"/>
    <x v="0"/>
  </r>
  <r>
    <n v="7.0100000000000007"/>
    <n v="1.54"/>
    <n v="5.4700000000000006"/>
    <n v="2"/>
    <x v="0"/>
  </r>
  <r>
    <n v="0"/>
    <n v="0"/>
    <n v="0"/>
    <n v="2"/>
    <x v="0"/>
  </r>
  <r>
    <n v="6.17"/>
    <n v="1.35"/>
    <n v="4.82"/>
    <n v="0.5"/>
    <x v="0"/>
  </r>
  <r>
    <n v="6.17"/>
    <n v="1.35"/>
    <n v="4.82"/>
    <n v="0.5"/>
    <x v="0"/>
  </r>
  <r>
    <n v="0"/>
    <n v="0"/>
    <n v="0"/>
    <n v="8"/>
    <x v="0"/>
  </r>
  <r>
    <n v="0"/>
    <n v="0"/>
    <n v="0"/>
    <n v="1"/>
    <x v="0"/>
  </r>
  <r>
    <n v="0"/>
    <n v="0"/>
    <n v="0"/>
    <n v="1"/>
    <x v="0"/>
  </r>
  <r>
    <n v="0"/>
    <n v="0"/>
    <n v="0"/>
    <n v="2"/>
    <x v="0"/>
  </r>
  <r>
    <n v="0"/>
    <n v="0"/>
    <n v="0"/>
    <n v="2"/>
    <x v="0"/>
  </r>
  <r>
    <n v="0"/>
    <n v="0"/>
    <n v="0"/>
    <n v="1"/>
    <x v="0"/>
  </r>
  <r>
    <n v="0"/>
    <n v="0"/>
    <n v="0"/>
    <n v="2"/>
    <x v="0"/>
  </r>
  <r>
    <n v="0"/>
    <n v="0"/>
    <n v="0"/>
    <n v="1"/>
    <x v="0"/>
  </r>
  <r>
    <n v="0"/>
    <n v="0"/>
    <n v="0"/>
    <n v="1"/>
    <x v="0"/>
  </r>
  <r>
    <n v="0"/>
    <n v="0"/>
    <n v="0"/>
    <n v="20"/>
    <x v="0"/>
  </r>
  <r>
    <n v="6.17"/>
    <n v="1.35"/>
    <n v="4.82"/>
    <n v="0.5"/>
    <x v="0"/>
  </r>
  <r>
    <n v="23.619999999999997"/>
    <n v="5.29"/>
    <n v="18.329999999999998"/>
    <s v="hors France"/>
    <x v="0"/>
  </r>
  <r>
    <n v="0"/>
    <n v="0"/>
    <n v="0"/>
    <n v="1"/>
    <x v="0"/>
  </r>
  <r>
    <n v="0"/>
    <n v="0"/>
    <n v="0"/>
    <n v="5"/>
    <x v="0"/>
  </r>
  <r>
    <n v="0"/>
    <n v="0"/>
    <n v="0"/>
    <n v="2"/>
    <x v="0"/>
  </r>
  <r>
    <n v="0"/>
    <n v="0"/>
    <n v="0"/>
    <n v="2"/>
    <x v="0"/>
  </r>
  <r>
    <n v="0"/>
    <n v="0"/>
    <n v="0"/>
    <n v="3"/>
    <x v="0"/>
  </r>
  <r>
    <n v="0"/>
    <n v="0"/>
    <n v="0"/>
    <n v="4"/>
    <x v="0"/>
  </r>
  <r>
    <n v="0"/>
    <n v="0"/>
    <n v="0"/>
    <n v="2"/>
    <x v="0"/>
  </r>
  <r>
    <n v="0"/>
    <n v="0"/>
    <n v="0"/>
    <n v="2"/>
    <x v="0"/>
  </r>
  <r>
    <n v="0"/>
    <n v="0"/>
    <n v="0"/>
    <n v="4"/>
    <x v="0"/>
  </r>
  <r>
    <n v="0"/>
    <n v="0"/>
    <n v="0"/>
    <n v="6"/>
    <x v="0"/>
  </r>
  <r>
    <n v="0"/>
    <n v="0"/>
    <n v="0"/>
    <n v="1"/>
    <x v="0"/>
  </r>
  <r>
    <n v="0"/>
    <n v="0"/>
    <n v="0"/>
    <n v="3"/>
    <x v="0"/>
  </r>
  <r>
    <n v="0"/>
    <n v="0"/>
    <n v="0"/>
    <n v="2"/>
    <x v="0"/>
  </r>
  <r>
    <n v="0"/>
    <n v="0"/>
    <n v="0"/>
    <n v="1"/>
    <x v="0"/>
  </r>
  <r>
    <n v="0"/>
    <n v="0"/>
    <n v="0"/>
    <n v="1"/>
    <x v="0"/>
  </r>
  <r>
    <n v="0"/>
    <n v="0"/>
    <n v="0"/>
    <n v="2"/>
    <x v="0"/>
  </r>
  <r>
    <n v="0"/>
    <n v="0"/>
    <n v="0"/>
    <n v="4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2"/>
    <x v="0"/>
  </r>
  <r>
    <n v="0"/>
    <n v="0"/>
    <n v="0"/>
    <n v="3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1"/>
    <x v="0"/>
  </r>
  <r>
    <n v="0"/>
    <n v="0"/>
    <n v="0"/>
    <n v="4"/>
    <x v="0"/>
  </r>
  <r>
    <n v="0"/>
    <n v="0"/>
    <n v="0"/>
    <n v="1"/>
    <x v="0"/>
  </r>
  <r>
    <n v="0"/>
    <n v="0"/>
    <n v="0"/>
    <n v="2"/>
    <x v="0"/>
  </r>
  <r>
    <n v="0"/>
    <n v="0"/>
    <n v="0"/>
    <n v="4"/>
    <x v="0"/>
  </r>
  <r>
    <n v="8.870000000000001"/>
    <n v="1.96"/>
    <n v="6.910000000000001"/>
    <n v="5"/>
    <x v="0"/>
  </r>
  <r>
    <n v="8.15"/>
    <n v="1.8"/>
    <n v="6.3500000000000005"/>
    <n v="4"/>
    <x v="0"/>
  </r>
  <r>
    <n v="8.15"/>
    <n v="1.8"/>
    <n v="6.3500000000000005"/>
    <n v="4"/>
    <x v="0"/>
  </r>
  <r>
    <n v="8.15"/>
    <n v="1.8"/>
    <n v="6.3500000000000005"/>
    <n v="4"/>
    <x v="0"/>
  </r>
  <r>
    <n v="8.15"/>
    <n v="1.8"/>
    <n v="6.3500000000000005"/>
    <n v="4"/>
    <x v="0"/>
  </r>
  <r>
    <n v="8.15"/>
    <n v="1.8"/>
    <n v="6.3500000000000005"/>
    <n v="4"/>
    <x v="0"/>
  </r>
  <r>
    <n v="7.4300000000000006"/>
    <n v="1.64"/>
    <n v="5.7900000000000009"/>
    <n v="3"/>
    <x v="0"/>
  </r>
  <r>
    <n v="7.4300000000000006"/>
    <n v="1.64"/>
    <n v="5.7900000000000009"/>
    <n v="3"/>
    <x v="0"/>
  </r>
  <r>
    <n v="7.4300000000000006"/>
    <n v="1.64"/>
    <n v="5.7900000000000009"/>
    <n v="3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9.6000000000000014"/>
    <n v="2.13"/>
    <n v="7.4700000000000015"/>
    <n v="6"/>
    <x v="0"/>
  </r>
  <r>
    <n v="5.7"/>
    <n v="1.28"/>
    <n v="4.42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6.17"/>
    <n v="1.35"/>
    <n v="4.82"/>
    <n v="0.5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0"/>
    <n v="0"/>
    <n v="0"/>
    <n v="1"/>
    <x v="0"/>
  </r>
  <r>
    <n v="0"/>
    <n v="0"/>
    <n v="0"/>
    <n v="1"/>
    <x v="0"/>
  </r>
  <r>
    <n v="6.17"/>
    <n v="1.35"/>
    <n v="4.82"/>
    <n v="0.5"/>
    <x v="0"/>
  </r>
  <r>
    <n v="6.17"/>
    <n v="1.35"/>
    <n v="4.82"/>
    <n v="0.5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6.17"/>
    <n v="1.35"/>
    <n v="4.82"/>
    <n v="0.5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2"/>
    <x v="0"/>
  </r>
  <r>
    <n v="0"/>
    <n v="0"/>
    <n v="0"/>
    <n v="1"/>
    <x v="0"/>
  </r>
  <r>
    <n v="0"/>
    <n v="0"/>
    <n v="0"/>
    <n v="4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3"/>
    <x v="0"/>
  </r>
  <r>
    <n v="0"/>
    <n v="0"/>
    <n v="0"/>
    <n v="3"/>
    <x v="0"/>
  </r>
  <r>
    <n v="0"/>
    <n v="0"/>
    <n v="0"/>
    <n v="2"/>
    <x v="0"/>
  </r>
  <r>
    <n v="0"/>
    <n v="0"/>
    <n v="0"/>
    <n v="2"/>
    <x v="0"/>
  </r>
  <r>
    <n v="0"/>
    <n v="0"/>
    <n v="0"/>
    <n v="1"/>
    <x v="0"/>
  </r>
  <r>
    <n v="0"/>
    <n v="0"/>
    <n v="0"/>
    <n v="1"/>
    <x v="0"/>
  </r>
  <r>
    <n v="0"/>
    <n v="0"/>
    <n v="0"/>
    <n v="3"/>
    <x v="0"/>
  </r>
  <r>
    <n v="0"/>
    <n v="0"/>
    <n v="0"/>
    <n v="3"/>
    <x v="0"/>
  </r>
  <r>
    <n v="0"/>
    <n v="0"/>
    <n v="0"/>
    <n v="1"/>
    <x v="0"/>
  </r>
  <r>
    <n v="0"/>
    <n v="0"/>
    <n v="0"/>
    <n v="3"/>
    <x v="0"/>
  </r>
  <r>
    <n v="0"/>
    <n v="0"/>
    <n v="0"/>
    <n v="1"/>
    <x v="0"/>
  </r>
  <r>
    <n v="0"/>
    <n v="0"/>
    <n v="0"/>
    <n v="3"/>
    <x v="0"/>
  </r>
  <r>
    <n v="0"/>
    <n v="0"/>
    <n v="0"/>
    <n v="1"/>
    <x v="0"/>
  </r>
  <r>
    <n v="0"/>
    <n v="0"/>
    <n v="0"/>
    <n v="2"/>
    <x v="0"/>
  </r>
  <r>
    <n v="0"/>
    <n v="0"/>
    <n v="0"/>
    <n v="3"/>
    <x v="0"/>
  </r>
  <r>
    <n v="0"/>
    <n v="0"/>
    <n v="0"/>
    <n v="2"/>
    <x v="0"/>
  </r>
  <r>
    <n v="6.17"/>
    <n v="1.35"/>
    <n v="4.82"/>
    <n v="0.5"/>
    <x v="0"/>
  </r>
  <r>
    <n v="0"/>
    <n v="0"/>
    <n v="0"/>
    <n v="3"/>
    <x v="0"/>
  </r>
  <r>
    <n v="0"/>
    <n v="0"/>
    <n v="0"/>
    <n v="1"/>
    <x v="0"/>
  </r>
  <r>
    <n v="0"/>
    <n v="0"/>
    <n v="0"/>
    <n v="2"/>
    <x v="0"/>
  </r>
  <r>
    <n v="0"/>
    <n v="0"/>
    <n v="0"/>
    <n v="1"/>
    <x v="0"/>
  </r>
  <r>
    <n v="0"/>
    <n v="0"/>
    <n v="0"/>
    <n v="1"/>
    <x v="0"/>
  </r>
  <r>
    <n v="0"/>
    <n v="0"/>
    <n v="0"/>
    <n v="2"/>
    <x v="0"/>
  </r>
  <r>
    <n v="0"/>
    <n v="0"/>
    <n v="0"/>
    <n v="1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3"/>
    <x v="0"/>
  </r>
  <r>
    <n v="0"/>
    <n v="0"/>
    <n v="0"/>
    <n v="1"/>
    <x v="0"/>
  </r>
  <r>
    <n v="0"/>
    <n v="0"/>
    <n v="0"/>
    <n v="1"/>
    <x v="0"/>
  </r>
  <r>
    <n v="0"/>
    <n v="0"/>
    <n v="0"/>
    <n v="2"/>
    <x v="0"/>
  </r>
  <r>
    <n v="0"/>
    <n v="0"/>
    <n v="0"/>
    <n v="2"/>
    <x v="0"/>
  </r>
  <r>
    <n v="0"/>
    <n v="0"/>
    <n v="0"/>
    <n v="1"/>
    <x v="0"/>
  </r>
  <r>
    <n v="0"/>
    <n v="0"/>
    <n v="0"/>
    <n v="7"/>
    <x v="0"/>
  </r>
  <r>
    <n v="0"/>
    <n v="0"/>
    <n v="0"/>
    <n v="1"/>
    <x v="0"/>
  </r>
  <r>
    <n v="0"/>
    <n v="0"/>
    <n v="0"/>
    <n v="2"/>
    <x v="0"/>
  </r>
  <r>
    <n v="0"/>
    <n v="0"/>
    <n v="0"/>
    <n v="2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2"/>
    <x v="0"/>
  </r>
  <r>
    <n v="0"/>
    <n v="0"/>
    <n v="0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4300000000000006"/>
    <n v="1.64"/>
    <n v="5.7900000000000009"/>
    <n v="3"/>
    <x v="0"/>
  </r>
  <r>
    <n v="7.4300000000000006"/>
    <n v="1.64"/>
    <n v="5.7900000000000009"/>
    <n v="3"/>
    <x v="0"/>
  </r>
  <r>
    <n v="7.4300000000000006"/>
    <n v="1.64"/>
    <n v="5.7900000000000009"/>
    <n v="3"/>
    <x v="0"/>
  </r>
  <r>
    <n v="7.4300000000000006"/>
    <n v="1.64"/>
    <n v="5.7900000000000009"/>
    <n v="3"/>
    <x v="0"/>
  </r>
  <r>
    <n v="7.4300000000000006"/>
    <n v="1.64"/>
    <n v="5.7900000000000009"/>
    <n v="3"/>
    <x v="0"/>
  </r>
  <r>
    <n v="7.4300000000000006"/>
    <n v="1.64"/>
    <n v="5.7900000000000009"/>
    <n v="3"/>
    <x v="0"/>
  </r>
  <r>
    <n v="7.4300000000000006"/>
    <n v="1.64"/>
    <n v="5.7900000000000009"/>
    <n v="3"/>
    <x v="0"/>
  </r>
  <r>
    <n v="7.4300000000000006"/>
    <n v="1.64"/>
    <n v="5.7900000000000009"/>
    <n v="3"/>
    <x v="0"/>
  </r>
  <r>
    <n v="7.4300000000000006"/>
    <n v="1.64"/>
    <n v="5.7900000000000009"/>
    <n v="3"/>
    <x v="0"/>
  </r>
  <r>
    <n v="8.15"/>
    <n v="1.8"/>
    <n v="6.3500000000000005"/>
    <n v="4"/>
    <x v="0"/>
  </r>
  <r>
    <n v="10.32"/>
    <n v="2.29"/>
    <n v="8.0300000000000011"/>
    <n v="7"/>
    <x v="0"/>
  </r>
  <r>
    <n v="0"/>
    <n v="0"/>
    <n v="0"/>
    <n v="4"/>
    <x v="0"/>
  </r>
  <r>
    <n v="8.15"/>
    <n v="1.8"/>
    <n v="6.3500000000000005"/>
    <n v="4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0"/>
    <n v="0"/>
    <n v="0"/>
    <n v="1"/>
    <x v="0"/>
  </r>
  <r>
    <n v="0"/>
    <n v="0"/>
    <n v="0"/>
    <n v="1"/>
    <x v="0"/>
  </r>
  <r>
    <n v="0"/>
    <n v="0"/>
    <n v="0"/>
    <n v="3"/>
    <x v="0"/>
  </r>
  <r>
    <n v="0"/>
    <n v="0"/>
    <n v="0"/>
    <n v="2"/>
    <x v="0"/>
  </r>
  <r>
    <n v="0"/>
    <n v="0"/>
    <n v="0"/>
    <n v="4"/>
    <x v="0"/>
  </r>
  <r>
    <n v="0"/>
    <n v="0"/>
    <n v="0"/>
    <n v="3"/>
    <x v="0"/>
  </r>
  <r>
    <n v="3.04"/>
    <n v="0.68"/>
    <n v="2.36"/>
    <e v="#N/A"/>
    <x v="0"/>
  </r>
  <r>
    <n v="3.04"/>
    <n v="0.68"/>
    <n v="2.36"/>
    <e v="#N/A"/>
    <x v="0"/>
  </r>
  <r>
    <n v="3.04"/>
    <n v="0.68"/>
    <n v="2.36"/>
    <e v="#N/A"/>
    <x v="0"/>
  </r>
  <r>
    <n v="0"/>
    <n v="0"/>
    <n v="0"/>
    <e v="#N/A"/>
    <x v="0"/>
  </r>
  <r>
    <n v="0"/>
    <n v="0"/>
    <n v="0"/>
    <e v="#N/A"/>
    <x v="0"/>
  </r>
  <r>
    <n v="0"/>
    <n v="0"/>
    <n v="0"/>
    <e v="#N/A"/>
    <x v="0"/>
  </r>
  <r>
    <n v="0"/>
    <n v="0"/>
    <n v="0"/>
    <e v="#N/A"/>
    <x v="0"/>
  </r>
  <r>
    <n v="10.32"/>
    <n v="2.29"/>
    <n v="8.0300000000000011"/>
    <n v="7"/>
    <x v="0"/>
  </r>
  <r>
    <n v="8.15"/>
    <n v="1.8"/>
    <n v="6.3500000000000005"/>
    <n v="4"/>
    <x v="0"/>
  </r>
  <r>
    <n v="7.4300000000000006"/>
    <n v="1.64"/>
    <n v="5.7900000000000009"/>
    <n v="3"/>
    <x v="0"/>
  </r>
  <r>
    <n v="7.4300000000000006"/>
    <n v="1.64"/>
    <n v="5.7900000000000009"/>
    <n v="3"/>
    <x v="0"/>
  </r>
  <r>
    <n v="7.4300000000000006"/>
    <n v="1.64"/>
    <n v="5.7900000000000009"/>
    <n v="3"/>
    <x v="0"/>
  </r>
  <r>
    <n v="7.4300000000000006"/>
    <n v="1.64"/>
    <n v="5.7900000000000009"/>
    <n v="3"/>
    <x v="0"/>
  </r>
  <r>
    <n v="7.4300000000000006"/>
    <n v="1.64"/>
    <n v="5.7900000000000009"/>
    <n v="3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6000000000000005"/>
    <n v="1.45"/>
    <n v="5.15"/>
    <n v="1"/>
    <x v="0"/>
  </r>
  <r>
    <n v="0"/>
    <n v="0"/>
    <n v="0"/>
    <n v="2"/>
    <x v="0"/>
  </r>
  <r>
    <n v="0"/>
    <n v="0"/>
    <n v="0"/>
    <n v="2"/>
    <x v="0"/>
  </r>
  <r>
    <n v="0"/>
    <n v="0"/>
    <n v="0"/>
    <n v="3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3"/>
    <x v="0"/>
  </r>
  <r>
    <n v="0"/>
    <n v="0"/>
    <n v="0"/>
    <n v="2"/>
    <x v="0"/>
  </r>
  <r>
    <n v="0"/>
    <n v="0"/>
    <n v="0"/>
    <n v="2"/>
    <x v="0"/>
  </r>
  <r>
    <n v="0"/>
    <n v="0"/>
    <n v="0"/>
    <n v="1"/>
    <x v="0"/>
  </r>
  <r>
    <n v="0"/>
    <n v="0"/>
    <n v="0"/>
    <n v="2"/>
    <x v="0"/>
  </r>
  <r>
    <n v="0"/>
    <n v="0"/>
    <n v="0"/>
    <n v="1"/>
    <x v="0"/>
  </r>
  <r>
    <n v="0"/>
    <n v="0"/>
    <n v="0"/>
    <n v="2"/>
    <x v="0"/>
  </r>
  <r>
    <n v="0"/>
    <n v="0"/>
    <n v="0"/>
    <n v="1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3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7"/>
    <x v="0"/>
  </r>
  <r>
    <n v="0"/>
    <n v="0"/>
    <n v="0"/>
    <n v="2"/>
    <x v="0"/>
  </r>
  <r>
    <n v="0"/>
    <n v="0"/>
    <n v="0"/>
    <n v="1"/>
    <x v="0"/>
  </r>
  <r>
    <n v="0"/>
    <n v="0"/>
    <n v="0"/>
    <n v="1"/>
    <x v="0"/>
  </r>
  <r>
    <n v="0"/>
    <n v="0"/>
    <n v="0"/>
    <n v="2"/>
    <x v="0"/>
  </r>
  <r>
    <n v="0"/>
    <n v="0"/>
    <n v="0"/>
    <n v="5"/>
    <x v="0"/>
  </r>
  <r>
    <n v="0"/>
    <n v="0"/>
    <n v="0"/>
    <n v="3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3"/>
    <x v="0"/>
  </r>
  <r>
    <n v="0"/>
    <n v="0"/>
    <n v="0"/>
    <n v="2"/>
    <x v="0"/>
  </r>
  <r>
    <n v="0"/>
    <n v="0"/>
    <n v="0"/>
    <n v="2"/>
    <x v="0"/>
  </r>
  <r>
    <n v="0"/>
    <n v="0"/>
    <n v="0"/>
    <n v="1"/>
    <x v="0"/>
  </r>
  <r>
    <n v="0"/>
    <n v="0"/>
    <n v="0"/>
    <n v="1"/>
    <x v="0"/>
  </r>
  <r>
    <n v="7.4300000000000006"/>
    <n v="1.64"/>
    <n v="5.7900000000000009"/>
    <n v="3"/>
    <x v="0"/>
  </r>
  <r>
    <n v="8.870000000000001"/>
    <n v="1.96"/>
    <n v="6.910000000000001"/>
    <n v="5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1"/>
    <x v="0"/>
  </r>
  <r>
    <n v="0"/>
    <n v="0"/>
    <n v="0"/>
    <n v="2"/>
    <x v="0"/>
  </r>
  <r>
    <n v="0"/>
    <n v="0"/>
    <n v="0"/>
    <n v="3"/>
    <x v="0"/>
  </r>
  <r>
    <n v="0"/>
    <n v="0"/>
    <n v="0"/>
    <n v="5"/>
    <x v="0"/>
  </r>
  <r>
    <n v="0"/>
    <n v="0"/>
    <n v="0"/>
    <n v="3"/>
    <x v="0"/>
  </r>
  <r>
    <n v="0"/>
    <n v="0"/>
    <n v="0"/>
    <n v="1"/>
    <x v="0"/>
  </r>
  <r>
    <n v="0"/>
    <n v="0"/>
    <n v="0"/>
    <n v="2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4300000000000006"/>
    <n v="1.64"/>
    <n v="5.7900000000000009"/>
    <n v="3"/>
    <x v="0"/>
  </r>
  <r>
    <n v="7.4300000000000006"/>
    <n v="1.64"/>
    <n v="5.7900000000000009"/>
    <n v="3"/>
    <x v="0"/>
  </r>
  <r>
    <n v="7.4300000000000006"/>
    <n v="1.64"/>
    <n v="5.7900000000000009"/>
    <n v="3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2"/>
    <x v="0"/>
  </r>
  <r>
    <n v="0"/>
    <n v="0"/>
    <n v="0"/>
    <n v="1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6000000000000005"/>
    <n v="1.45"/>
    <n v="5.15"/>
    <n v="1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0"/>
    <n v="0"/>
    <n v="0"/>
    <e v="#N/A"/>
    <x v="0"/>
  </r>
  <r>
    <n v="0"/>
    <n v="0"/>
    <n v="0"/>
    <e v="#N/A"/>
    <x v="0"/>
  </r>
  <r>
    <n v="0"/>
    <n v="0"/>
    <n v="0"/>
    <e v="#N/A"/>
    <x v="0"/>
  </r>
  <r>
    <n v="3.04"/>
    <n v="0.68"/>
    <n v="2.36"/>
    <e v="#N/A"/>
    <x v="0"/>
  </r>
  <r>
    <n v="8.870000000000001"/>
    <n v="1.96"/>
    <n v="6.910000000000001"/>
    <n v="5"/>
    <x v="0"/>
  </r>
  <r>
    <n v="0"/>
    <n v="0"/>
    <n v="0"/>
    <n v="3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1"/>
    <x v="0"/>
  </r>
  <r>
    <n v="6.6000000000000005"/>
    <n v="1.45"/>
    <n v="5.15"/>
    <n v="1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4300000000000006"/>
    <n v="1.64"/>
    <n v="5.7900000000000009"/>
    <n v="3"/>
    <x v="0"/>
  </r>
  <r>
    <n v="3.04"/>
    <n v="0.68"/>
    <n v="2.36"/>
    <e v="#N/A"/>
    <x v="0"/>
  </r>
  <r>
    <n v="0"/>
    <n v="0"/>
    <n v="0"/>
    <e v="#N/A"/>
    <x v="0"/>
  </r>
  <r>
    <n v="0"/>
    <n v="0"/>
    <n v="0"/>
    <n v="2"/>
    <x v="0"/>
  </r>
  <r>
    <n v="7.0100000000000007"/>
    <n v="1.54"/>
    <n v="5.4700000000000006"/>
    <n v="2"/>
    <x v="0"/>
  </r>
  <r>
    <n v="0"/>
    <n v="0"/>
    <n v="0"/>
    <n v="2"/>
    <x v="0"/>
  </r>
  <r>
    <n v="7.0100000000000007"/>
    <n v="1.54"/>
    <n v="5.4700000000000006"/>
    <n v="2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3.04"/>
    <n v="0.68"/>
    <n v="2.36"/>
    <e v="#N/A"/>
    <x v="0"/>
  </r>
  <r>
    <n v="0"/>
    <n v="0"/>
    <n v="0"/>
    <e v="#N/A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6000000000000005"/>
    <n v="1.45"/>
    <n v="5.15"/>
    <n v="1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6.17"/>
    <n v="1.35"/>
    <n v="4.82"/>
    <n v="0.5"/>
    <x v="0"/>
  </r>
  <r>
    <n v="0"/>
    <n v="0"/>
    <n v="0"/>
    <n v="1"/>
    <x v="0"/>
  </r>
  <r>
    <n v="0"/>
    <n v="0"/>
    <n v="0"/>
    <n v="2"/>
    <x v="0"/>
  </r>
  <r>
    <n v="7.0100000000000007"/>
    <n v="1.54"/>
    <n v="5.4700000000000006"/>
    <n v="2"/>
    <x v="0"/>
  </r>
  <r>
    <n v="0"/>
    <n v="0"/>
    <n v="0"/>
    <e v="#N/A"/>
    <x v="0"/>
  </r>
  <r>
    <n v="0"/>
    <n v="0"/>
    <n v="0"/>
    <e v="#N/A"/>
    <x v="0"/>
  </r>
  <r>
    <n v="0"/>
    <n v="0"/>
    <n v="0"/>
    <e v="#N/A"/>
    <x v="0"/>
  </r>
  <r>
    <n v="3.04"/>
    <n v="0.68"/>
    <n v="2.36"/>
    <e v="#N/A"/>
    <x v="0"/>
  </r>
  <r>
    <n v="3.04"/>
    <n v="0.68"/>
    <n v="2.36"/>
    <e v="#N/A"/>
    <x v="0"/>
  </r>
  <r>
    <n v="9.6000000000000014"/>
    <n v="2.13"/>
    <n v="7.4700000000000015"/>
    <n v="6"/>
    <x v="0"/>
  </r>
  <r>
    <n v="9.6000000000000014"/>
    <n v="2.13"/>
    <n v="7.4700000000000015"/>
    <n v="6"/>
    <x v="0"/>
  </r>
  <r>
    <n v="8.15"/>
    <n v="1.8"/>
    <n v="6.3500000000000005"/>
    <n v="4"/>
    <x v="0"/>
  </r>
  <r>
    <n v="7.4300000000000006"/>
    <n v="1.64"/>
    <n v="5.7900000000000009"/>
    <n v="3"/>
    <x v="0"/>
  </r>
  <r>
    <n v="7.4300000000000006"/>
    <n v="1.64"/>
    <n v="5.7900000000000009"/>
    <n v="3"/>
    <x v="0"/>
  </r>
  <r>
    <n v="7.4300000000000006"/>
    <n v="1.64"/>
    <n v="5.7900000000000009"/>
    <n v="3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7.0100000000000007"/>
    <n v="1.54"/>
    <n v="5.4700000000000006"/>
    <n v="2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2"/>
    <x v="0"/>
  </r>
  <r>
    <n v="0"/>
    <n v="0"/>
    <n v="0"/>
    <n v="1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1"/>
    <x v="0"/>
  </r>
  <r>
    <n v="0"/>
    <n v="0"/>
    <n v="0"/>
    <n v="1"/>
    <x v="0"/>
  </r>
  <r>
    <n v="0"/>
    <n v="0"/>
    <n v="0"/>
    <n v="2"/>
    <x v="0"/>
  </r>
  <r>
    <n v="0"/>
    <n v="0"/>
    <n v="0"/>
    <n v="1"/>
    <x v="0"/>
  </r>
  <r>
    <n v="0"/>
    <n v="0"/>
    <n v="0"/>
    <n v="2"/>
    <x v="0"/>
  </r>
  <r>
    <n v="0"/>
    <n v="0"/>
    <n v="0"/>
    <n v="1"/>
    <x v="0"/>
  </r>
  <r>
    <n v="0"/>
    <n v="0"/>
    <n v="0"/>
    <n v="2"/>
    <x v="0"/>
  </r>
  <r>
    <n v="0"/>
    <n v="0"/>
    <n v="0"/>
    <n v="2"/>
    <x v="0"/>
  </r>
  <r>
    <n v="0"/>
    <n v="0"/>
    <n v="0"/>
    <n v="1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33.71"/>
    <n v="0"/>
    <n v="33.71"/>
    <s v="hors France"/>
    <x v="0"/>
  </r>
  <r>
    <n v="0"/>
    <n v="0"/>
    <n v="0"/>
    <s v="hors France"/>
    <x v="0"/>
  </r>
  <r>
    <n v="0"/>
    <n v="0"/>
    <n v="0"/>
    <s v="hors France"/>
    <x v="0"/>
  </r>
  <r>
    <n v="0"/>
    <n v="0"/>
    <n v="0"/>
    <s v="hors France"/>
    <x v="0"/>
  </r>
  <r>
    <n v="0"/>
    <n v="0"/>
    <n v="0"/>
    <s v="hors France"/>
    <x v="0"/>
  </r>
  <r>
    <n v="0"/>
    <n v="0"/>
    <n v="0"/>
    <s v="hors France"/>
    <x v="0"/>
  </r>
  <r>
    <n v="0"/>
    <n v="0"/>
    <n v="0"/>
    <s v="hors France"/>
    <x v="0"/>
  </r>
  <r>
    <n v="0"/>
    <n v="0"/>
    <n v="0"/>
    <n v="1"/>
    <x v="0"/>
  </r>
  <r>
    <n v="9.120000000000001"/>
    <n v="4.3"/>
    <n v="4.8200000000000012"/>
    <n v="0.5"/>
    <x v="0"/>
  </r>
  <r>
    <n v="0"/>
    <n v="0"/>
    <n v="0"/>
    <n v="1"/>
    <x v="0"/>
  </r>
  <r>
    <n v="0"/>
    <n v="0"/>
    <n v="0"/>
    <n v="3"/>
    <x v="0"/>
  </r>
  <r>
    <n v="0"/>
    <n v="0"/>
    <n v="0"/>
    <n v="6"/>
    <x v="0"/>
  </r>
  <r>
    <n v="0"/>
    <n v="0"/>
    <n v="0"/>
    <n v="4"/>
    <x v="0"/>
  </r>
  <r>
    <n v="0"/>
    <n v="0"/>
    <n v="0"/>
    <n v="6"/>
    <x v="0"/>
  </r>
  <r>
    <n v="0"/>
    <n v="0"/>
    <n v="0"/>
    <n v="2"/>
    <x v="0"/>
  </r>
  <r>
    <n v="0"/>
    <n v="0"/>
    <n v="0"/>
    <n v="3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3"/>
    <x v="0"/>
  </r>
  <r>
    <n v="0"/>
    <n v="0"/>
    <n v="0"/>
    <n v="2"/>
    <x v="0"/>
  </r>
  <r>
    <n v="0"/>
    <n v="0"/>
    <n v="0"/>
    <n v="2"/>
    <x v="0"/>
  </r>
  <r>
    <n v="0"/>
    <n v="0"/>
    <n v="0"/>
    <n v="1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1"/>
    <x v="0"/>
  </r>
  <r>
    <n v="0"/>
    <n v="0"/>
    <n v="0"/>
    <n v="2"/>
    <x v="0"/>
  </r>
  <r>
    <n v="0"/>
    <n v="0"/>
    <n v="0"/>
    <n v="2"/>
    <x v="0"/>
  </r>
  <r>
    <n v="0"/>
    <n v="0"/>
    <n v="0"/>
    <n v="2"/>
    <x v="0"/>
  </r>
  <r>
    <n v="0"/>
    <n v="0"/>
    <n v="0"/>
    <n v="1"/>
    <x v="0"/>
  </r>
  <r>
    <m/>
    <m/>
    <m/>
    <m/>
    <x v="1"/>
  </r>
  <r>
    <m/>
    <m/>
    <m/>
    <m/>
    <x v="1"/>
  </r>
  <r>
    <m/>
    <m/>
    <m/>
    <m/>
    <x v="1"/>
  </r>
  <r>
    <m/>
    <m/>
    <m/>
    <m/>
    <x v="1"/>
  </r>
  <r>
    <m/>
    <m/>
    <m/>
    <m/>
    <x v="1"/>
  </r>
  <r>
    <m/>
    <m/>
    <m/>
    <m/>
    <x v="1"/>
  </r>
  <r>
    <m/>
    <m/>
    <m/>
    <m/>
    <x v="1"/>
  </r>
  <r>
    <m/>
    <m/>
    <m/>
    <m/>
    <x v="1"/>
  </r>
  <r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eau croisé dynamique2" cacheId="2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>
  <location ref="A1:B428" firstHeaderRow="1" firstDataRow="1" firstDataCol="1"/>
  <pivotFields count="7">
    <pivotField axis="axisRow" showAll="0" sortType="ascending" defaultSubtotal="0">
      <items count="8000">
        <item m="1" x="7922"/>
        <item m="1" x="7891"/>
        <item m="1" x="7881"/>
        <item m="1" x="7882"/>
        <item m="1" x="7878"/>
        <item m="1" x="7860"/>
        <item m="1" x="7861"/>
        <item m="1" x="7862"/>
        <item m="1" x="7863"/>
        <item m="1" x="7879"/>
        <item m="1" x="7864"/>
        <item m="1" x="7865"/>
        <item m="1" x="7866"/>
        <item m="1" x="7867"/>
        <item m="1" x="7880"/>
        <item m="1" x="7868"/>
        <item m="1" x="7869"/>
        <item m="1" x="7870"/>
        <item m="1" x="7871"/>
        <item m="1" x="7872"/>
        <item m="1" x="7873"/>
        <item m="1" x="7884"/>
        <item m="1" x="7883"/>
        <item m="1" x="7874"/>
        <item m="1" x="7885"/>
        <item m="1" x="7890"/>
        <item m="1" x="7887"/>
        <item m="1" x="7889"/>
        <item m="1" x="7888"/>
        <item m="1" x="7875"/>
        <item m="1" x="7876"/>
        <item m="1" x="7877"/>
        <item m="1" x="7886"/>
        <item m="1" x="7947"/>
        <item m="1" x="7907"/>
        <item m="1" x="7943"/>
        <item m="1" x="7895"/>
        <item m="1" x="7892"/>
        <item m="1" x="7893"/>
        <item m="1" x="7894"/>
        <item m="1" x="7899"/>
        <item m="1" x="7946"/>
        <item m="1" x="7900"/>
        <item m="1" x="7901"/>
        <item m="1" x="7945"/>
        <item m="1" x="7902"/>
        <item m="1" x="7903"/>
        <item m="1" x="7904"/>
        <item m="1" x="7905"/>
        <item m="1" x="7906"/>
        <item m="1" x="7921"/>
        <item m="1" x="7938"/>
        <item m="1" x="7937"/>
        <item m="1" x="7936"/>
        <item m="1" x="7935"/>
        <item m="1" x="7924"/>
        <item m="1" x="7934"/>
        <item m="1" x="7933"/>
        <item m="1" x="7898"/>
        <item m="1" x="7940"/>
        <item m="1" x="7939"/>
        <item m="1" x="7932"/>
        <item m="1" x="7931"/>
        <item m="1" x="7897"/>
        <item m="1" x="7930"/>
        <item m="1" x="7929"/>
        <item m="1" x="7928"/>
        <item m="1" x="7927"/>
        <item m="1" x="7923"/>
        <item m="1" x="7944"/>
        <item m="1" x="7926"/>
        <item m="1" x="7925"/>
        <item m="1" x="7896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41"/>
        <item m="1" x="7910"/>
        <item m="1" x="7909"/>
        <item m="1" x="7973"/>
        <item m="1" x="7942"/>
        <item m="1" x="7908"/>
        <item m="1" x="7949"/>
        <item m="1" x="7948"/>
        <item m="1" x="7966"/>
        <item m="1" x="7960"/>
        <item m="1" x="7963"/>
        <item m="1" x="7964"/>
        <item m="1" x="7965"/>
        <item m="1" x="7951"/>
        <item m="1" x="7980"/>
        <item m="1" x="7961"/>
        <item m="1" x="7950"/>
        <item m="1" x="7959"/>
        <item m="1" x="7958"/>
        <item m="1" x="7957"/>
        <item m="1" x="7956"/>
        <item m="1" x="7962"/>
        <item m="1" x="7955"/>
        <item m="1" x="7954"/>
        <item m="1" x="7953"/>
        <item m="1" x="7952"/>
        <item m="1" x="7979"/>
        <item m="1" x="7974"/>
        <item m="1" x="7975"/>
        <item m="1" x="7976"/>
        <item m="1" x="7977"/>
        <item m="1" x="7978"/>
        <item m="1" x="7967"/>
        <item m="1" x="7968"/>
        <item m="1" x="7969"/>
        <item m="1" x="7985"/>
        <item m="1" x="7970"/>
        <item m="1" x="7971"/>
        <item m="1" x="7984"/>
        <item m="1" x="7972"/>
        <item m="1" x="7983"/>
        <item m="1" x="7982"/>
        <item m="1" x="7981"/>
        <item m="1" x="7999"/>
        <item m="1" x="7998"/>
        <item m="1" x="7997"/>
        <item m="1" x="7996"/>
        <item m="1" x="7995"/>
        <item m="1" x="7994"/>
        <item m="1" x="7993"/>
        <item m="1" x="7992"/>
        <item m="1" x="7991"/>
        <item m="1" x="7990"/>
        <item m="1" x="7989"/>
        <item m="1" x="7988"/>
        <item m="1" x="7987"/>
        <item m="1" x="798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6113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6514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6125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6121"/>
        <item m="1" x="6115"/>
        <item m="1" x="6120"/>
        <item m="1" x="6118"/>
        <item m="1" x="6119"/>
        <item m="1" x="6122"/>
        <item m="1" x="6116"/>
        <item m="1" x="6117"/>
        <item m="1" x="6114"/>
        <item m="1" x="6124"/>
        <item m="1" x="6123"/>
        <item m="1" x="6292"/>
        <item m="1" x="6291"/>
        <item m="1" x="6351"/>
        <item m="1" x="6359"/>
        <item m="1" x="6218"/>
        <item m="1" x="6350"/>
        <item m="1" x="6349"/>
        <item m="1" x="6348"/>
        <item m="1" x="6249"/>
        <item m="1" x="6248"/>
        <item m="1" x="6217"/>
        <item m="1" x="6269"/>
        <item m="1" x="6247"/>
        <item m="1" x="6246"/>
        <item m="1" x="6216"/>
        <item m="1" x="6361"/>
        <item m="1" x="6347"/>
        <item m="1" x="6268"/>
        <item m="1" x="6267"/>
        <item m="1" x="6245"/>
        <item m="1" x="6244"/>
        <item m="1" x="6243"/>
        <item m="1" x="6266"/>
        <item m="1" x="6362"/>
        <item m="1" x="6242"/>
        <item m="1" x="6241"/>
        <item m="1" x="6240"/>
        <item m="1" x="6346"/>
        <item m="1" x="6345"/>
        <item m="1" x="6239"/>
        <item m="1" x="6344"/>
        <item m="1" x="6238"/>
        <item m="1" x="6237"/>
        <item m="1" x="6290"/>
        <item m="1" x="6265"/>
        <item m="1" x="6343"/>
        <item m="1" x="6215"/>
        <item m="1" x="6342"/>
        <item m="1" x="6236"/>
        <item m="1" x="6235"/>
        <item m="1" x="6234"/>
        <item m="1" x="6293"/>
        <item m="1" x="6264"/>
        <item m="1" x="6233"/>
        <item m="1" x="6232"/>
        <item m="1" x="6341"/>
        <item m="1" x="6279"/>
        <item m="1" x="6263"/>
        <item m="1" x="6231"/>
        <item m="1" x="6230"/>
        <item m="1" x="6340"/>
        <item m="1" x="6229"/>
        <item m="1" x="6228"/>
        <item m="1" x="6262"/>
        <item m="1" x="6227"/>
        <item m="1" x="6261"/>
        <item m="1" x="6226"/>
        <item m="1" x="6339"/>
        <item m="1" x="6260"/>
        <item m="1" x="6225"/>
        <item m="1" x="6224"/>
        <item m="1" x="6214"/>
        <item m="1" x="6223"/>
        <item m="1" x="6222"/>
        <item m="1" x="6338"/>
        <item m="1" x="6259"/>
        <item m="1" x="6221"/>
        <item m="1" x="6220"/>
        <item m="1" x="6219"/>
        <item m="1" x="6187"/>
        <item m="1" x="6155"/>
        <item m="1" x="6154"/>
        <item m="1" x="6294"/>
        <item m="1" x="6153"/>
        <item m="1" x="6152"/>
        <item m="1" x="6151"/>
        <item m="1" x="6150"/>
        <item m="1" x="6149"/>
        <item m="1" x="6148"/>
        <item m="1" x="6147"/>
        <item m="1" x="6146"/>
        <item m="1" x="6200"/>
        <item m="1" x="6145"/>
        <item m="1" x="6144"/>
        <item m="1" x="6143"/>
        <item m="1" x="6199"/>
        <item m="1" x="6142"/>
        <item m="1" x="6141"/>
        <item m="1" x="6132"/>
        <item m="1" x="6337"/>
        <item m="1" x="6213"/>
        <item m="1" x="6131"/>
        <item m="1" x="6130"/>
        <item m="1" x="6129"/>
        <item m="1" x="6140"/>
        <item m="1" x="6139"/>
        <item m="1" x="6138"/>
        <item m="1" x="6137"/>
        <item m="1" x="6136"/>
        <item m="1" x="6135"/>
        <item m="1" x="6134"/>
        <item m="1" x="6212"/>
        <item m="1" x="6360"/>
        <item m="1" x="6258"/>
        <item m="1" x="6211"/>
        <item m="1" x="6133"/>
        <item m="1" x="6128"/>
        <item m="1" x="6127"/>
        <item m="1" x="6126"/>
        <item m="1" x="6156"/>
        <item m="1" x="6336"/>
        <item m="1" x="6335"/>
        <item m="1" x="6186"/>
        <item m="1" x="6257"/>
        <item m="1" x="6256"/>
        <item m="1" x="6185"/>
        <item m="1" x="6334"/>
        <item m="1" x="6184"/>
        <item m="1" x="6296"/>
        <item m="1" x="6333"/>
        <item m="1" x="6183"/>
        <item m="1" x="6295"/>
        <item m="1" x="6210"/>
        <item m="1" x="6182"/>
        <item m="1" x="6255"/>
        <item m="1" x="6332"/>
        <item m="1" x="6363"/>
        <item m="1" x="6198"/>
        <item m="1" x="6181"/>
        <item m="1" x="6180"/>
        <item m="1" x="6209"/>
        <item m="1" x="6179"/>
        <item m="1" x="6178"/>
        <item m="1" x="6331"/>
        <item m="1" x="6330"/>
        <item m="1" x="6177"/>
        <item m="1" x="6254"/>
        <item m="1" x="6329"/>
        <item m="1" x="6253"/>
        <item m="1" x="6289"/>
        <item m="1" x="6288"/>
        <item m="1" x="6287"/>
        <item m="1" x="6176"/>
        <item m="1" x="6197"/>
        <item m="1" x="6175"/>
        <item m="1" x="6174"/>
        <item m="1" x="6173"/>
        <item m="1" x="6172"/>
        <item m="1" x="6171"/>
        <item m="1" x="6170"/>
        <item m="1" x="6169"/>
        <item m="1" x="6168"/>
        <item m="1" x="6196"/>
        <item m="1" x="6367"/>
        <item m="1" x="6167"/>
        <item m="1" x="6166"/>
        <item m="1" x="6165"/>
        <item m="1" x="6195"/>
        <item m="1" x="6164"/>
        <item m="1" x="6163"/>
        <item m="1" x="6162"/>
        <item m="1" x="6161"/>
        <item m="1" x="6160"/>
        <item m="1" x="6159"/>
        <item m="1" x="6194"/>
        <item m="1" x="6158"/>
        <item m="1" x="6157"/>
        <item m="1" x="6366"/>
        <item m="1" x="6327"/>
        <item m="1" x="6283"/>
        <item m="1" x="6326"/>
        <item m="1" x="6325"/>
        <item m="1" x="6324"/>
        <item m="1" x="6323"/>
        <item m="1" x="6193"/>
        <item m="1" x="6208"/>
        <item m="1" x="6322"/>
        <item m="1" x="6321"/>
        <item m="1" x="6365"/>
        <item m="1" x="6320"/>
        <item m="1" x="6207"/>
        <item m="1" x="6206"/>
        <item m="1" x="6319"/>
        <item m="1" x="6205"/>
        <item m="1" x="6204"/>
        <item m="1" x="6297"/>
        <item m="1" x="6278"/>
        <item m="1" x="6203"/>
        <item m="1" x="6277"/>
        <item m="1" x="6318"/>
        <item m="1" x="6317"/>
        <item m="1" x="6192"/>
        <item m="1" x="6276"/>
        <item m="1" x="6252"/>
        <item m="1" x="6316"/>
        <item m="1" x="6251"/>
        <item m="1" x="6282"/>
        <item m="1" x="6281"/>
        <item m="1" x="6286"/>
        <item m="1" x="6285"/>
        <item m="1" x="6284"/>
        <item m="1" x="6191"/>
        <item m="1" x="6315"/>
        <item m="1" x="6314"/>
        <item m="1" x="6313"/>
        <item m="1" x="6312"/>
        <item m="1" x="6280"/>
        <item m="1" x="6311"/>
        <item m="1" x="6250"/>
        <item m="1" x="6310"/>
        <item m="1" x="6309"/>
        <item m="1" x="6202"/>
        <item m="1" x="6308"/>
        <item m="1" x="6307"/>
        <item m="1" x="6190"/>
        <item m="1" x="6306"/>
        <item m="1" x="6305"/>
        <item m="1" x="6275"/>
        <item m="1" x="6189"/>
        <item m="1" x="6304"/>
        <item m="1" x="6303"/>
        <item m="1" x="6302"/>
        <item m="1" x="6301"/>
        <item m="1" x="6300"/>
        <item m="1" x="6299"/>
        <item m="1" x="6298"/>
        <item m="1" x="6328"/>
        <item m="1" x="6188"/>
        <item m="1" x="6358"/>
        <item m="1" x="6357"/>
        <item m="1" x="6356"/>
        <item m="1" x="6274"/>
        <item m="1" x="6355"/>
        <item m="1" x="6354"/>
        <item m="1" x="6353"/>
        <item m="1" x="6273"/>
        <item m="1" x="6352"/>
        <item m="1" x="6272"/>
        <item m="1" x="6271"/>
        <item m="1" x="6201"/>
        <item m="1" x="6270"/>
        <item m="1" x="6364"/>
        <item m="1" x="6388"/>
        <item m="1" x="6398"/>
        <item m="1" x="6399"/>
        <item m="1" x="6389"/>
        <item m="1" x="6438"/>
        <item m="1" x="6390"/>
        <item m="1" x="6439"/>
        <item m="1" x="6391"/>
        <item m="1" x="6392"/>
        <item m="1" x="6459"/>
        <item m="1" x="6400"/>
        <item m="1" x="6393"/>
        <item m="1" x="6440"/>
        <item m="1" x="6432"/>
        <item m="1" x="6401"/>
        <item m="1" x="6441"/>
        <item m="1" x="6442"/>
        <item m="1" x="6443"/>
        <item m="1" x="6444"/>
        <item m="1" x="6402"/>
        <item m="1" x="6403"/>
        <item m="1" x="6404"/>
        <item m="1" x="6405"/>
        <item m="1" x="6433"/>
        <item m="1" x="6423"/>
        <item m="1" x="6429"/>
        <item m="1" x="6428"/>
        <item m="1" x="6422"/>
        <item m="1" x="6431"/>
        <item m="1" x="6427"/>
        <item m="1" x="6456"/>
        <item m="1" x="6406"/>
        <item m="1" x="6407"/>
        <item m="1" x="6460"/>
        <item m="1" x="6426"/>
        <item m="1" x="6408"/>
        <item m="1" x="6409"/>
        <item m="1" x="6457"/>
        <item m="1" x="6421"/>
        <item m="1" x="6410"/>
        <item m="1" x="6458"/>
        <item m="1" x="6455"/>
        <item m="1" x="6411"/>
        <item m="1" x="6412"/>
        <item m="1" x="6413"/>
        <item m="1" x="6414"/>
        <item m="1" x="6415"/>
        <item m="1" x="6416"/>
        <item m="1" x="6417"/>
        <item m="1" x="6418"/>
        <item m="1" x="6434"/>
        <item m="1" x="6419"/>
        <item m="1" x="6435"/>
        <item m="1" x="6430"/>
        <item m="1" x="6420"/>
        <item m="1" x="6394"/>
        <item m="1" x="6463"/>
        <item m="1" x="6380"/>
        <item m="1" x="6379"/>
        <item m="1" x="6378"/>
        <item m="1" x="6377"/>
        <item m="1" x="6445"/>
        <item m="1" x="6376"/>
        <item m="1" x="6375"/>
        <item m="1" x="6374"/>
        <item m="1" x="6395"/>
        <item m="1" x="6370"/>
        <item m="1" x="6464"/>
        <item m="1" x="6465"/>
        <item m="1" x="6369"/>
        <item m="1" x="6446"/>
        <item m="1" x="6368"/>
        <item m="1" x="6447"/>
        <item m="1" x="6448"/>
        <item m="1" x="6449"/>
        <item m="1" x="6450"/>
        <item m="1" x="6396"/>
        <item m="1" x="6371"/>
        <item m="1" x="6462"/>
        <item m="1" x="6372"/>
        <item m="1" x="6373"/>
        <item m="1" x="6451"/>
        <item m="1" x="6381"/>
        <item m="1" x="6382"/>
        <item m="1" x="6383"/>
        <item m="1" x="6384"/>
        <item m="1" x="6454"/>
        <item m="1" x="6385"/>
        <item m="1" x="6386"/>
        <item m="1" x="6387"/>
        <item m="1" x="6397"/>
        <item m="1" x="6436"/>
        <item m="1" x="6452"/>
        <item m="1" x="6534"/>
        <item m="1" x="6425"/>
        <item m="1" x="6461"/>
        <item m="1" x="6535"/>
        <item m="1" x="6536"/>
        <item m="1" x="6513"/>
        <item m="1" x="6537"/>
        <item m="1" x="6538"/>
        <item m="1" x="6437"/>
        <item m="1" x="6453"/>
        <item m="1" x="6539"/>
        <item m="1" x="6540"/>
        <item m="1" x="6424"/>
        <item m="1" x="6502"/>
        <item m="1" x="6501"/>
        <item m="1" x="6532"/>
        <item m="1" x="6512"/>
        <item m="1" x="6511"/>
        <item m="1" x="6533"/>
        <item m="1" x="6510"/>
        <item m="1" x="6506"/>
        <item m="1" x="6505"/>
        <item m="1" x="6504"/>
        <item m="1" x="6541"/>
        <item m="1" x="6500"/>
        <item m="1" x="6499"/>
        <item m="1" x="6542"/>
        <item m="1" x="6529"/>
        <item m="1" x="6498"/>
        <item m="1" x="6497"/>
        <item m="1" x="6496"/>
        <item m="1" x="6495"/>
        <item m="1" x="6494"/>
        <item m="1" x="6493"/>
        <item m="1" x="6492"/>
        <item m="1" x="6520"/>
        <item m="1" x="6491"/>
        <item m="1" x="6490"/>
        <item m="1" x="6530"/>
        <item m="1" x="6503"/>
        <item m="1" x="6528"/>
        <item m="1" x="6489"/>
        <item m="1" x="6515"/>
        <item m="1" x="6527"/>
        <item m="1" x="6519"/>
        <item m="1" x="6518"/>
        <item m="1" x="6488"/>
        <item m="1" x="6487"/>
        <item m="1" x="6517"/>
        <item m="1" x="6526"/>
        <item m="1" x="6486"/>
        <item m="1" x="6516"/>
        <item m="1" x="6485"/>
        <item m="1" x="6484"/>
        <item m="1" x="6470"/>
        <item m="1" x="6525"/>
        <item m="1" x="6469"/>
        <item m="1" x="6468"/>
        <item m="1" x="6547"/>
        <item m="1" x="6524"/>
        <item m="1" x="6523"/>
        <item m="1" x="6522"/>
        <item m="1" x="6467"/>
        <item m="1" x="6466"/>
        <item m="1" x="6471"/>
        <item m="1" x="6472"/>
        <item m="1" x="6473"/>
        <item m="1" x="6545"/>
        <item m="1" x="6474"/>
        <item m="1" x="6509"/>
        <item m="1" x="6475"/>
        <item m="1" x="6521"/>
        <item m="1" x="6508"/>
        <item m="1" x="6546"/>
        <item m="1" x="6476"/>
        <item m="1" x="6477"/>
        <item m="1" x="6478"/>
        <item m="1" x="6543"/>
        <item m="1" x="6479"/>
        <item m="1" x="6480"/>
        <item m="1" x="6481"/>
        <item m="1" x="6507"/>
        <item m="1" x="6589"/>
        <item m="1" x="6544"/>
        <item m="1" x="6482"/>
        <item m="1" x="6531"/>
        <item m="1" x="6483"/>
        <item m="1" x="6579"/>
        <item m="1" x="6580"/>
        <item m="1" x="6581"/>
        <item m="1" x="6548"/>
        <item m="1" x="6555"/>
        <item m="1" x="6570"/>
        <item m="1" x="6556"/>
        <item m="1" x="6569"/>
        <item m="1" x="6554"/>
        <item m="1" x="6572"/>
        <item m="1" x="6578"/>
        <item m="1" x="6577"/>
        <item m="1" x="6576"/>
        <item m="1" x="6575"/>
        <item m="1" x="6549"/>
        <item m="1" x="6553"/>
        <item m="1" x="6571"/>
        <item m="1" x="6574"/>
        <item m="1" x="6573"/>
        <item m="1" x="6568"/>
        <item m="1" x="6567"/>
        <item m="1" x="6566"/>
        <item m="1" x="6565"/>
        <item m="1" x="6564"/>
        <item m="1" x="6563"/>
        <item m="1" x="6562"/>
        <item m="1" x="6582"/>
        <item m="1" x="6583"/>
        <item m="1" x="6561"/>
        <item m="1" x="6560"/>
        <item m="1" x="6559"/>
        <item m="1" x="6558"/>
        <item m="1" x="6557"/>
        <item m="1" x="6584"/>
        <item m="1" x="6588"/>
        <item m="1" x="6585"/>
        <item m="1" x="6552"/>
        <item m="1" x="6551"/>
        <item m="1" x="6586"/>
        <item m="1" x="6550"/>
        <item m="1" x="6587"/>
        <item m="1" x="6722"/>
        <item m="1" x="6729"/>
        <item m="1" x="6719"/>
        <item m="1" x="6721"/>
        <item m="1" x="6714"/>
        <item m="1" x="6715"/>
        <item m="1" x="6709"/>
        <item m="1" x="6720"/>
        <item m="1" x="6716"/>
        <item m="1" x="6710"/>
        <item m="1" x="6619"/>
        <item m="1" x="6700"/>
        <item m="1" x="6699"/>
        <item m="1" x="6698"/>
        <item m="1" x="6697"/>
        <item m="1" x="6623"/>
        <item m="1" x="6618"/>
        <item m="1" x="6617"/>
        <item m="1" x="6675"/>
        <item m="1" x="6674"/>
        <item m="1" x="6696"/>
        <item m="1" x="6673"/>
        <item m="1" x="6695"/>
        <item m="1" x="6694"/>
        <item m="1" x="6693"/>
        <item m="1" x="6692"/>
        <item m="1" x="6691"/>
        <item m="1" x="6711"/>
        <item m="1" x="6690"/>
        <item m="1" x="6622"/>
        <item m="1" x="6689"/>
        <item m="1" x="6688"/>
        <item m="1" x="6687"/>
        <item m="1" x="6686"/>
        <item m="1" x="6685"/>
        <item m="1" x="6684"/>
        <item m="1" x="6633"/>
        <item m="1" x="6728"/>
        <item m="1" x="6683"/>
        <item m="1" x="6678"/>
        <item m="1" x="6672"/>
        <item m="1" x="6632"/>
        <item m="1" x="6682"/>
        <item m="1" x="6681"/>
        <item m="1" x="6616"/>
        <item m="1" x="6680"/>
        <item m="1" x="6631"/>
        <item m="1" x="6677"/>
        <item m="1" x="6676"/>
        <item m="1" x="6630"/>
        <item m="1" x="6679"/>
        <item m="1" x="6629"/>
        <item m="1" x="6647"/>
        <item m="1" x="6615"/>
        <item m="1" x="6648"/>
        <item m="1" x="6649"/>
        <item m="1" x="6650"/>
        <item m="1" x="6614"/>
        <item m="1" x="6651"/>
        <item m="1" x="6652"/>
        <item m="1" x="6613"/>
        <item m="1" x="6646"/>
        <item m="1" x="6628"/>
        <item m="1" x="6645"/>
        <item m="1" x="6644"/>
        <item m="1" x="6627"/>
        <item m="1" x="6643"/>
        <item m="1" x="6642"/>
        <item m="1" x="6717"/>
        <item m="1" x="6712"/>
        <item m="1" x="6641"/>
        <item m="1" x="6723"/>
        <item m="1" x="6640"/>
        <item m="1" x="6621"/>
        <item m="1" x="6639"/>
        <item m="1" x="6638"/>
        <item m="1" x="6637"/>
        <item m="1" x="6671"/>
        <item m="1" x="6670"/>
        <item m="1" x="6669"/>
        <item m="1" x="6668"/>
        <item m="1" x="6667"/>
        <item m="1" x="6666"/>
        <item m="1" x="6665"/>
        <item m="1" x="6626"/>
        <item m="1" x="6664"/>
        <item m="1" x="6663"/>
        <item m="1" x="6662"/>
        <item m="1" x="6661"/>
        <item m="1" x="6660"/>
        <item m="1" x="6659"/>
        <item m="1" x="6658"/>
        <item m="1" x="6657"/>
        <item m="1" x="6656"/>
        <item m="1" x="6655"/>
        <item m="1" x="6620"/>
        <item m="1" x="6654"/>
        <item m="1" x="6625"/>
        <item m="1" x="6624"/>
        <item m="1" x="6724"/>
        <item m="1" x="6653"/>
        <item m="1" x="6636"/>
        <item m="1" x="6612"/>
        <item m="1" x="6611"/>
        <item m="1" x="6610"/>
        <item m="1" x="6609"/>
        <item m="1" x="6608"/>
        <item m="1" x="6713"/>
        <item m="1" x="6718"/>
        <item m="1" x="6701"/>
        <item m="1" x="6702"/>
        <item m="1" x="6703"/>
        <item m="1" x="6704"/>
        <item m="1" x="6705"/>
        <item m="1" x="6706"/>
        <item m="1" x="6707"/>
        <item m="1" x="6708"/>
        <item m="1" x="6607"/>
        <item m="1" x="6606"/>
        <item m="1" x="6605"/>
        <item m="1" x="6604"/>
        <item m="1" x="6603"/>
        <item m="1" x="6602"/>
        <item m="1" x="6601"/>
        <item m="1" x="6600"/>
        <item m="1" x="6599"/>
        <item m="1" x="6598"/>
        <item m="1" x="6597"/>
        <item m="1" x="6596"/>
        <item m="1" x="6730"/>
        <item m="1" x="6725"/>
        <item m="1" x="6595"/>
        <item m="1" x="6726"/>
        <item m="1" x="6594"/>
        <item m="1" x="6727"/>
        <item m="1" x="6593"/>
        <item m="1" x="6592"/>
        <item m="1" x="6591"/>
        <item m="1" x="6590"/>
        <item m="1" x="6635"/>
        <item m="1" x="6634"/>
        <item m="1" x="6750"/>
        <item m="1" x="6751"/>
        <item m="1" x="6744"/>
        <item m="1" x="6749"/>
        <item m="1" x="5190"/>
        <item m="1" x="6745"/>
        <item m="1" x="6756"/>
        <item m="1" x="6746"/>
        <item m="1" x="6747"/>
        <item m="1" x="6748"/>
        <item m="1" x="6752"/>
        <item m="1" x="6753"/>
        <item m="1" x="6732"/>
        <item m="1" x="6755"/>
        <item m="1" x="6761"/>
        <item m="1" x="6760"/>
        <item m="1" x="6758"/>
        <item m="1" x="6754"/>
        <item m="1" x="6765"/>
        <item m="1" x="6759"/>
        <item m="1" x="6743"/>
        <item m="1" x="6742"/>
        <item m="1" x="6741"/>
        <item m="1" x="6740"/>
        <item m="1" x="6731"/>
        <item m="1" x="6739"/>
        <item m="1" x="6738"/>
        <item m="1" x="6737"/>
        <item m="1" x="6766"/>
        <item m="1" x="6767"/>
        <item m="1" x="6764"/>
        <item m="1" x="6763"/>
        <item m="1" x="6736"/>
        <item m="1" x="6735"/>
        <item m="1" x="6734"/>
        <item m="1" x="6733"/>
        <item m="1" x="6757"/>
        <item m="1" x="6762"/>
        <item m="1" x="6787"/>
        <item m="1" x="6778"/>
        <item m="1" x="6783"/>
        <item m="1" x="6784"/>
        <item m="1" x="6785"/>
        <item m="1" x="6786"/>
        <item m="1" x="6770"/>
        <item m="1" x="6769"/>
        <item m="1" x="6768"/>
        <item m="1" x="6775"/>
        <item m="1" x="6771"/>
        <item m="1" x="6774"/>
        <item m="1" x="6772"/>
        <item m="1" x="6782"/>
        <item m="1" x="6777"/>
        <item m="1" x="6773"/>
        <item m="1" x="6780"/>
        <item m="1" x="6776"/>
        <item m="1" x="6781"/>
        <item m="1" x="6779"/>
        <item m="1" x="6797"/>
        <item m="1" x="6798"/>
        <item m="1" x="6799"/>
        <item m="1" x="6800"/>
        <item m="1" x="6801"/>
        <item m="1" x="6788"/>
        <item m="1" x="6789"/>
        <item m="1" x="6794"/>
        <item m="1" x="6790"/>
        <item m="1" x="6791"/>
        <item m="1" x="6792"/>
        <item m="1" x="6793"/>
        <item m="1" x="6795"/>
        <item m="1" x="6804"/>
        <item m="1" x="6796"/>
        <item m="1" x="6803"/>
        <item m="1" x="6802"/>
        <item m="1" x="6819"/>
        <item m="1" x="6827"/>
        <item m="1" x="6828"/>
        <item m="1" x="6820"/>
        <item m="1" x="6829"/>
        <item m="1" x="6826"/>
        <item m="1" x="6821"/>
        <item m="1" x="6809"/>
        <item m="1" x="6822"/>
        <item m="1" x="6830"/>
        <item m="1" x="6813"/>
        <item m="1" x="6806"/>
        <item m="1" x="6823"/>
        <item m="1" x="6831"/>
        <item m="1" x="6815"/>
        <item m="1" x="6812"/>
        <item m="1" x="6814"/>
        <item m="1" x="6811"/>
        <item m="1" x="6818"/>
        <item m="1" x="6808"/>
        <item m="1" x="6810"/>
        <item m="1" x="6817"/>
        <item m="1" x="6805"/>
        <item m="1" x="6816"/>
        <item m="1" x="6807"/>
        <item m="1" x="6824"/>
        <item m="1" x="6825"/>
        <item m="1" x="6907"/>
        <item m="1" x="6906"/>
        <item m="1" x="6909"/>
        <item m="1" x="6860"/>
        <item m="1" x="6836"/>
        <item m="1" x="6903"/>
        <item m="1" x="6837"/>
        <item m="1" x="6850"/>
        <item m="1" x="6902"/>
        <item m="1" x="6851"/>
        <item m="1" x="6901"/>
        <item m="1" x="6881"/>
        <item m="1" x="6905"/>
        <item m="1" x="6838"/>
        <item m="1" x="6844"/>
        <item m="1" x="6859"/>
        <item m="1" x="6858"/>
        <item m="1" x="6867"/>
        <item m="1" x="6880"/>
        <item m="1" x="6900"/>
        <item m="1" x="6899"/>
        <item m="1" x="6845"/>
        <item m="1" x="6898"/>
        <item m="1" x="6857"/>
        <item m="1" x="6856"/>
        <item m="1" x="6897"/>
        <item m="1" x="6846"/>
        <item m="1" x="6896"/>
        <item m="1" x="6895"/>
        <item m="1" x="6894"/>
        <item m="1" x="6855"/>
        <item m="1" x="6839"/>
        <item m="1" x="6893"/>
        <item m="1" x="6840"/>
        <item m="1" x="6854"/>
        <item m="1" x="6853"/>
        <item m="1" x="6852"/>
        <item m="1" x="6879"/>
        <item m="1" x="6832"/>
        <item m="1" x="6878"/>
        <item m="1" x="6892"/>
        <item m="1" x="6891"/>
        <item m="1" x="6890"/>
        <item m="1" x="6889"/>
        <item m="1" x="6877"/>
        <item m="1" x="6888"/>
        <item m="1" x="6887"/>
        <item m="1" x="6833"/>
        <item m="1" x="6869"/>
        <item m="1" x="6876"/>
        <item m="1" x="6875"/>
        <item m="1" x="6874"/>
        <item m="1" x="6870"/>
        <item m="1" x="6871"/>
        <item m="1" x="6886"/>
        <item m="1" x="6885"/>
        <item m="1" x="6873"/>
        <item m="1" x="6868"/>
        <item m="1" x="6884"/>
        <item m="1" x="6872"/>
        <item m="1" x="6834"/>
        <item m="1" x="6841"/>
        <item m="1" x="6883"/>
        <item m="1" x="6882"/>
        <item m="1" x="6866"/>
        <item m="1" x="6842"/>
        <item m="1" x="6847"/>
        <item m="1" x="6843"/>
        <item m="1" x="6865"/>
        <item m="1" x="6864"/>
        <item m="1" x="6863"/>
        <item m="1" x="6862"/>
        <item m="1" x="6861"/>
        <item m="1" x="6848"/>
        <item m="1" x="6835"/>
        <item m="1" x="6849"/>
        <item m="1" x="6908"/>
        <item m="1" x="6904"/>
        <item m="1" x="6942"/>
        <item m="1" x="6941"/>
        <item m="1" x="6940"/>
        <item m="1" x="6939"/>
        <item m="1" x="6966"/>
        <item m="1" x="6938"/>
        <item m="1" x="6965"/>
        <item m="1" x="6937"/>
        <item m="1" x="6964"/>
        <item m="1" x="6963"/>
        <item m="1" x="6967"/>
        <item m="1" x="6962"/>
        <item m="1" x="6961"/>
        <item m="1" x="6960"/>
        <item m="1" x="6959"/>
        <item m="1" x="6958"/>
        <item m="1" x="6957"/>
        <item m="1" x="6956"/>
        <item m="1" x="6955"/>
        <item m="1" x="6954"/>
        <item m="1" x="6953"/>
        <item m="1" x="5221"/>
        <item m="1" x="6952"/>
        <item m="1" x="6951"/>
        <item m="1" x="6950"/>
        <item m="1" x="6936"/>
        <item m="1" x="6935"/>
        <item m="1" x="6934"/>
        <item m="1" x="6933"/>
        <item m="1" x="6932"/>
        <item m="1" x="6931"/>
        <item m="1" x="6930"/>
        <item m="1" x="6929"/>
        <item m="1" x="6928"/>
        <item m="1" x="6927"/>
        <item m="1" x="6917"/>
        <item m="1" x="6916"/>
        <item m="1" x="6915"/>
        <item m="1" x="6914"/>
        <item m="1" x="6911"/>
        <item m="1" x="6910"/>
        <item m="1" x="6912"/>
        <item m="1" x="6913"/>
        <item m="1" x="6918"/>
        <item m="1" x="6919"/>
        <item m="1" x="6920"/>
        <item m="1" x="6949"/>
        <item m="1" x="6921"/>
        <item m="1" x="6922"/>
        <item m="1" x="6948"/>
        <item m="1" x="6947"/>
        <item m="1" x="6946"/>
        <item m="1" x="6923"/>
        <item m="1" x="6924"/>
        <item m="1" x="6925"/>
        <item m="1" x="6926"/>
        <item m="1" x="6945"/>
        <item m="1" x="6944"/>
        <item m="1" x="6943"/>
        <item m="1" x="6969"/>
        <item m="1" x="6970"/>
        <item m="1" x="6968"/>
        <item m="1" x="6980"/>
        <item m="1" x="6981"/>
        <item m="1" x="6985"/>
        <item m="1" x="6982"/>
        <item m="1" x="6984"/>
        <item m="1" x="6983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93"/>
        <item m="1" x="6987"/>
        <item m="1" x="6986"/>
        <item m="1" x="6990"/>
        <item m="1" x="6988"/>
        <item m="1" x="6989"/>
        <item m="1" x="6992"/>
        <item m="1" x="6994"/>
        <item m="1" x="6995"/>
        <item m="1" x="6997"/>
        <item m="1" x="6996"/>
        <item m="1" x="6998"/>
        <item m="1" x="7005"/>
        <item m="1" x="7007"/>
        <item m="1" x="7004"/>
        <item m="1" x="7000"/>
        <item m="1" x="7001"/>
        <item m="1" x="7002"/>
        <item m="1" x="7014"/>
        <item m="1" x="7003"/>
        <item m="1" x="7013"/>
        <item m="1" x="7015"/>
        <item m="1" x="7016"/>
        <item m="1" x="6999"/>
        <item m="1" x="7017"/>
        <item m="1" x="7008"/>
        <item m="1" x="7009"/>
        <item m="1" x="7011"/>
        <item m="1" x="7010"/>
        <item m="1" x="7012"/>
        <item m="1" x="7006"/>
        <item m="1" x="7022"/>
        <item m="1" x="7021"/>
        <item m="1" x="7020"/>
        <item m="1" x="7038"/>
        <item m="1" x="7032"/>
        <item m="1" x="7026"/>
        <item m="1" x="7025"/>
        <item m="1" x="7024"/>
        <item m="1" x="7039"/>
        <item m="1" x="7031"/>
        <item m="1" x="7030"/>
        <item m="1" x="7019"/>
        <item m="1" x="7040"/>
        <item m="1" x="7018"/>
        <item m="1" x="7033"/>
        <item m="1" x="7041"/>
        <item m="1" x="7029"/>
        <item m="1" x="7042"/>
        <item m="1" x="7023"/>
        <item m="1" x="7028"/>
        <item m="1" x="7043"/>
        <item m="1" x="7027"/>
        <item m="1" x="7034"/>
        <item m="1" x="7035"/>
        <item m="1" x="7036"/>
        <item m="1" x="7037"/>
        <item m="1" x="7061"/>
        <item m="1" x="5321"/>
        <item m="1" x="7062"/>
        <item m="1" x="7060"/>
        <item m="1" x="7063"/>
        <item m="1" x="7055"/>
        <item m="1" x="7051"/>
        <item m="1" x="7050"/>
        <item m="1" x="7054"/>
        <item m="1" x="7053"/>
        <item m="1" x="7047"/>
        <item m="1" x="7049"/>
        <item m="1" x="7046"/>
        <item m="1" x="7048"/>
        <item m="1" x="7045"/>
        <item m="1" x="7044"/>
        <item m="1" x="7056"/>
        <item m="1" x="7057"/>
        <item m="1" x="7052"/>
        <item m="1" x="7058"/>
        <item m="1" x="7059"/>
        <item m="1" x="7067"/>
        <item m="1" x="7068"/>
        <item m="1" x="7066"/>
        <item m="1" x="7070"/>
        <item m="1" x="7069"/>
        <item m="1" x="7064"/>
        <item m="1" x="7065"/>
        <item m="1" x="7071"/>
        <item m="1" x="7072"/>
        <item m="1" x="7103"/>
        <item m="1" x="7105"/>
        <item m="1" x="7104"/>
        <item m="1" x="7088"/>
        <item m="1" x="7079"/>
        <item m="1" x="7085"/>
        <item m="1" x="7095"/>
        <item m="1" x="7078"/>
        <item m="1" x="7077"/>
        <item m="1" x="7076"/>
        <item m="1" x="7075"/>
        <item m="1" x="7084"/>
        <item m="1" x="7074"/>
        <item m="1" x="7083"/>
        <item m="1" x="7090"/>
        <item m="1" x="7097"/>
        <item m="1" x="7098"/>
        <item m="1" x="7096"/>
        <item m="1" x="7099"/>
        <item m="1" x="7100"/>
        <item m="1" x="7102"/>
        <item m="1" x="7101"/>
        <item m="1" x="7087"/>
        <item m="1" x="7073"/>
        <item m="1" x="7086"/>
        <item m="1" x="7092"/>
        <item m="1" x="7093"/>
        <item m="1" x="7094"/>
        <item m="1" x="7106"/>
        <item m="1" x="7082"/>
        <item m="1" x="7091"/>
        <item m="1" x="7081"/>
        <item m="1" x="7080"/>
        <item m="1" x="7089"/>
        <item m="1" x="5200"/>
        <item m="1" x="5201"/>
        <item m="1" x="5202"/>
        <item m="1" x="5203"/>
        <item m="1" x="5191"/>
        <item m="1" x="5199"/>
        <item m="1" x="5198"/>
        <item m="1" x="5204"/>
        <item m="1" x="5197"/>
        <item m="1" x="5192"/>
        <item m="1" x="5194"/>
        <item m="1" x="5196"/>
        <item m="1" x="5195"/>
        <item m="1" x="5193"/>
        <item m="1" x="5206"/>
        <item m="1" x="5209"/>
        <item m="1" x="5210"/>
        <item m="1" x="5211"/>
        <item m="1" x="5212"/>
        <item m="1" x="5219"/>
        <item m="1" x="5218"/>
        <item m="1" x="5217"/>
        <item m="1" x="5225"/>
        <item m="1" x="5230"/>
        <item m="1" x="5229"/>
        <item m="1" x="5227"/>
        <item m="1" x="5214"/>
        <item m="1" x="5213"/>
        <item m="1" x="5216"/>
        <item m="1" x="5220"/>
        <item m="1" x="5215"/>
        <item m="1" x="5205"/>
        <item m="1" x="5207"/>
        <item m="1" x="5208"/>
        <item m="1" x="5224"/>
        <item m="1" x="5228"/>
        <item m="1" x="5226"/>
        <item m="1" x="5223"/>
        <item m="1" x="5222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35"/>
        <item m="1" x="5250"/>
        <item m="1" x="5251"/>
        <item m="1" x="5252"/>
        <item m="1" x="5232"/>
        <item m="1" x="5234"/>
        <item m="1" x="5237"/>
        <item m="1" x="5236"/>
        <item m="1" x="5233"/>
        <item m="1" x="5231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9"/>
        <item m="1" x="5294"/>
        <item m="1" x="5291"/>
        <item m="1" x="5264"/>
        <item m="1" x="5288"/>
        <item m="1" x="5263"/>
        <item m="1" x="5279"/>
        <item m="1" x="5268"/>
        <item m="1" x="5280"/>
        <item m="1" x="5292"/>
        <item m="1" x="5278"/>
        <item m="1" x="5277"/>
        <item m="1" x="5281"/>
        <item m="1" x="5289"/>
        <item m="1" x="5293"/>
        <item m="1" x="5276"/>
        <item m="1" x="5267"/>
        <item m="1" x="5275"/>
        <item m="1" x="5274"/>
        <item m="1" x="5282"/>
        <item m="1" x="5283"/>
        <item m="1" x="5284"/>
        <item m="1" x="5273"/>
        <item m="1" x="5272"/>
        <item m="1" x="5271"/>
        <item m="1" x="5270"/>
        <item m="1" x="5290"/>
        <item m="1" x="5285"/>
        <item m="1" x="5265"/>
        <item m="1" x="5286"/>
        <item m="1" x="5287"/>
        <item m="1" x="5266"/>
        <item m="1" x="5297"/>
        <item m="1" x="5299"/>
        <item m="1" x="5296"/>
        <item m="1" x="5295"/>
        <item m="1" x="5298"/>
        <item m="1" x="5300"/>
        <item m="1" x="5308"/>
        <item m="1" x="5304"/>
        <item m="1" x="5305"/>
        <item m="1" x="5306"/>
        <item m="1" x="5322"/>
        <item m="1" x="5323"/>
        <item m="1" x="5324"/>
        <item m="1" x="5325"/>
        <item m="1" x="5326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03"/>
        <item m="1" x="5301"/>
        <item m="1" x="5307"/>
        <item m="1" x="5327"/>
        <item m="1" x="5328"/>
        <item m="1" x="5320"/>
        <item m="1" x="5329"/>
        <item m="1" x="5330"/>
        <item m="1" x="5331"/>
        <item m="1" x="5332"/>
        <item m="1" x="5333"/>
        <item m="1" x="5334"/>
        <item m="1" x="5302"/>
        <item m="1" x="5349"/>
        <item m="1" x="5351"/>
        <item m="1" x="5336"/>
        <item m="1" x="5335"/>
        <item m="1" x="5342"/>
        <item m="1" x="5343"/>
        <item m="1" x="5350"/>
        <item m="1" x="5344"/>
        <item m="1" x="5345"/>
        <item m="1" x="5348"/>
        <item m="1" x="5347"/>
        <item m="1" x="5341"/>
        <item m="1" x="5340"/>
        <item m="1" x="5339"/>
        <item m="1" x="5338"/>
        <item m="1" x="5337"/>
        <item m="1" x="5346"/>
        <item m="1" x="5358"/>
        <item m="1" x="5366"/>
        <item m="1" x="5361"/>
        <item m="1" x="5368"/>
        <item m="1" x="5369"/>
        <item m="1" x="5357"/>
        <item m="1" x="5370"/>
        <item m="1" x="5371"/>
        <item m="1" x="5367"/>
        <item m="1" x="5356"/>
        <item m="1" x="5355"/>
        <item m="1" x="5354"/>
        <item m="1" x="5353"/>
        <item m="1" x="5352"/>
        <item m="1" x="5362"/>
        <item m="1" x="5359"/>
        <item m="1" x="5363"/>
        <item m="1" x="5386"/>
        <item m="1" x="5372"/>
        <item m="1" x="5373"/>
        <item m="1" x="5374"/>
        <item m="1" x="5364"/>
        <item m="1" x="5375"/>
        <item m="1" x="5365"/>
        <item m="1" x="5360"/>
        <item m="1" x="5381"/>
        <item m="1" x="5383"/>
        <item m="1" x="5376"/>
        <item m="1" x="5377"/>
        <item m="1" x="5378"/>
        <item m="1" x="5379"/>
        <item m="1" x="5380"/>
        <item m="1" x="5382"/>
        <item m="1" x="5391"/>
        <item m="1" x="5394"/>
        <item m="1" x="5392"/>
        <item m="1" x="5388"/>
        <item m="1" x="5393"/>
        <item m="1" x="5389"/>
        <item m="1" x="5390"/>
        <item m="1" x="5407"/>
        <item m="1" x="5395"/>
        <item m="1" x="5387"/>
        <item m="1" x="5384"/>
        <item m="1" x="538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23"/>
        <item m="1" x="5422"/>
        <item m="1" x="5428"/>
        <item m="1" x="5427"/>
        <item m="1" x="5421"/>
        <item m="1" x="5420"/>
        <item m="1" x="5419"/>
        <item m="1" x="5418"/>
        <item m="1" x="5417"/>
        <item m="1" x="5416"/>
        <item m="1" x="5415"/>
        <item m="1" x="5414"/>
        <item m="1" x="5413"/>
        <item m="1" x="5412"/>
        <item m="1" x="5411"/>
        <item m="1" x="5410"/>
        <item m="1" x="5409"/>
        <item m="1" x="5408"/>
        <item m="1" x="5424"/>
        <item m="1" x="5425"/>
        <item m="1" x="5431"/>
        <item m="1" x="5432"/>
        <item m="1" x="5433"/>
        <item m="1" x="5429"/>
        <item m="1" x="5434"/>
        <item m="1" x="5426"/>
        <item m="1" x="5435"/>
        <item m="1" x="5436"/>
        <item m="1" x="5430"/>
        <item m="1" x="5437"/>
        <item m="1" x="5470"/>
        <item m="1" x="5438"/>
        <item m="1" x="5439"/>
        <item m="1" x="5440"/>
        <item m="1" x="5469"/>
        <item m="1" x="5441"/>
        <item m="1" x="5442"/>
        <item m="1" x="5443"/>
        <item m="1" x="5444"/>
        <item m="1" x="5457"/>
        <item m="1" x="5508"/>
        <item m="1" x="5454"/>
        <item m="1" x="5453"/>
        <item m="1" x="5447"/>
        <item m="1" x="5446"/>
        <item m="1" x="5458"/>
        <item m="1" x="5459"/>
        <item m="1" x="5460"/>
        <item m="1" x="5461"/>
        <item m="1" x="5462"/>
        <item m="1" x="5579"/>
        <item m="1" x="5452"/>
        <item m="1" x="5445"/>
        <item m="1" x="5451"/>
        <item m="1" x="5450"/>
        <item m="1" x="5449"/>
        <item m="1" x="5448"/>
        <item m="1" x="5463"/>
        <item m="1" x="5464"/>
        <item m="1" x="5465"/>
        <item m="1" x="5466"/>
        <item m="1" x="5467"/>
        <item m="1" x="5468"/>
        <item m="1" x="5509"/>
        <item m="1" x="5492"/>
        <item m="1" x="5510"/>
        <item m="1" x="5455"/>
        <item m="1" x="5456"/>
        <item m="1" x="5506"/>
        <item m="1" x="5504"/>
        <item m="1" x="5503"/>
        <item m="1" x="5502"/>
        <item m="1" x="5476"/>
        <item m="1" x="5507"/>
        <item m="1" x="5477"/>
        <item m="1" x="5511"/>
        <item m="1" x="5512"/>
        <item m="1" x="5513"/>
        <item m="1" x="5514"/>
        <item m="1" x="5494"/>
        <item m="1" x="5474"/>
        <item m="1" x="5496"/>
        <item m="1" x="5501"/>
        <item m="1" x="5495"/>
        <item m="1" x="5500"/>
        <item m="1" x="5505"/>
        <item m="1" x="5499"/>
        <item m="1" x="5478"/>
        <item m="1" x="5515"/>
        <item m="1" x="5498"/>
        <item m="1" x="5479"/>
        <item m="1" x="5497"/>
        <item m="1" x="5493"/>
        <item m="1" x="5485"/>
        <item m="1" x="5475"/>
        <item m="1" x="5486"/>
        <item m="1" x="5487"/>
        <item m="1" x="5488"/>
        <item m="1" x="5489"/>
        <item m="1" x="5490"/>
        <item m="1" x="5491"/>
        <item m="1" x="5480"/>
        <item m="1" x="5473"/>
        <item m="1" x="5516"/>
        <item m="1" x="5521"/>
        <item m="1" x="5484"/>
        <item m="1" x="5481"/>
        <item m="1" x="5483"/>
        <item m="1" x="5482"/>
        <item m="1" x="5471"/>
        <item m="1" x="5472"/>
        <item m="1" x="5573"/>
        <item m="1" x="5572"/>
        <item m="1" x="5537"/>
        <item m="1" x="5571"/>
        <item m="1" x="5530"/>
        <item m="1" x="5569"/>
        <item m="1" x="5578"/>
        <item m="1" x="5577"/>
        <item m="1" x="5576"/>
        <item m="1" x="5548"/>
        <item m="1" x="5547"/>
        <item m="1" x="5570"/>
        <item m="1" x="5575"/>
        <item m="1" x="5574"/>
        <item m="1" x="5568"/>
        <item m="1" x="5536"/>
        <item m="1" x="5567"/>
        <item m="1" x="5566"/>
        <item m="1" x="5535"/>
        <item m="1" x="5522"/>
        <item m="1" x="5523"/>
        <item m="1" x="5524"/>
        <item m="1" x="5552"/>
        <item m="1" x="5551"/>
        <item m="1" x="5549"/>
        <item m="1" x="5525"/>
        <item m="1" x="5565"/>
        <item m="1" x="5564"/>
        <item m="1" x="5563"/>
        <item m="1" x="5534"/>
        <item m="1" x="5526"/>
        <item m="1" x="5531"/>
        <item m="1" x="5562"/>
        <item m="1" x="5527"/>
        <item m="1" x="5532"/>
        <item m="1" x="5561"/>
        <item m="1" x="5560"/>
        <item m="1" x="5517"/>
        <item m="1" x="5559"/>
        <item m="1" x="5558"/>
        <item m="1" x="5557"/>
        <item m="1" x="5556"/>
        <item m="1" x="5518"/>
        <item m="1" x="5555"/>
        <item m="1" x="5554"/>
        <item m="1" x="5519"/>
        <item m="1" x="5550"/>
        <item m="1" x="5553"/>
        <item m="1" x="5528"/>
        <item m="1" x="5533"/>
        <item m="1" x="5529"/>
        <item m="1" x="5546"/>
        <item m="1" x="5520"/>
        <item m="1" x="5545"/>
        <item m="1" x="5544"/>
        <item m="1" x="5543"/>
        <item m="1" x="5542"/>
        <item m="1" x="5541"/>
        <item m="1" x="5540"/>
        <item m="1" x="5539"/>
        <item m="1" x="5538"/>
        <item m="1" x="5620"/>
        <item m="1" x="5625"/>
        <item m="1" x="5619"/>
        <item m="1" x="5641"/>
        <item m="1" x="5640"/>
        <item m="1" x="5624"/>
        <item m="1" x="5639"/>
        <item m="1" x="5638"/>
        <item m="1" x="5637"/>
        <item m="1" x="5636"/>
        <item m="1" x="5623"/>
        <item m="1" x="5635"/>
        <item m="1" x="5634"/>
        <item m="1" x="5633"/>
        <item m="1" x="5632"/>
        <item m="1" x="5622"/>
        <item m="1" x="5590"/>
        <item m="1" x="5621"/>
        <item m="1" x="5611"/>
        <item m="1" x="5591"/>
        <item m="1" x="5618"/>
        <item m="1" x="5645"/>
        <item m="1" x="5615"/>
        <item m="1" x="5614"/>
        <item m="1" x="5617"/>
        <item m="1" x="5613"/>
        <item m="1" x="5612"/>
        <item m="1" x="5616"/>
        <item m="1" x="5595"/>
        <item m="1" x="5610"/>
        <item m="1" x="5592"/>
        <item m="1" x="5609"/>
        <item m="1" x="5608"/>
        <item m="1" x="5631"/>
        <item m="1" x="5607"/>
        <item m="1" x="5630"/>
        <item m="1" x="5629"/>
        <item m="1" x="5628"/>
        <item m="1" x="5627"/>
        <item m="1" x="5606"/>
        <item m="1" x="5605"/>
        <item m="1" x="5604"/>
        <item m="1" x="5644"/>
        <item m="1" x="5642"/>
        <item m="1" x="5643"/>
        <item m="1" x="5626"/>
        <item m="1" x="5603"/>
        <item m="1" x="5602"/>
        <item m="1" x="5601"/>
        <item m="1" x="5600"/>
        <item m="1" x="5599"/>
        <item m="1" x="5593"/>
        <item m="1" x="5598"/>
        <item m="1" x="5597"/>
        <item m="1" x="5594"/>
        <item m="1" x="5596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689"/>
        <item m="1" x="5688"/>
        <item m="1" x="5722"/>
        <item m="1" x="5714"/>
        <item m="1" x="5800"/>
        <item m="1" x="5687"/>
        <item m="1" x="5686"/>
        <item m="1" x="5685"/>
        <item m="1" x="5713"/>
        <item m="1" x="5712"/>
        <item m="1" x="5786"/>
        <item m="1" x="5729"/>
        <item m="1" x="5785"/>
        <item m="1" x="5784"/>
        <item m="1" x="5684"/>
        <item m="1" x="5783"/>
        <item m="1" x="5711"/>
        <item m="1" x="5683"/>
        <item m="1" x="5782"/>
        <item m="1" x="5757"/>
        <item m="1" x="5781"/>
        <item m="1" x="5758"/>
        <item m="1" x="5746"/>
        <item m="1" x="5682"/>
        <item m="1" x="5747"/>
        <item m="1" x="5721"/>
        <item m="1" x="5756"/>
        <item m="1" x="5681"/>
        <item m="1" x="5745"/>
        <item m="1" x="5680"/>
        <item m="1" x="5801"/>
        <item m="1" x="5748"/>
        <item m="1" x="5657"/>
        <item m="1" x="5710"/>
        <item m="1" x="5802"/>
        <item m="1" x="5803"/>
        <item m="1" x="5749"/>
        <item m="1" x="5794"/>
        <item m="1" x="5744"/>
        <item m="1" x="5679"/>
        <item m="1" x="5804"/>
        <item m="1" x="5678"/>
        <item m="1" x="5677"/>
        <item m="1" x="5755"/>
        <item m="1" x="5750"/>
        <item m="1" x="5743"/>
        <item m="1" x="5676"/>
        <item m="1" x="5709"/>
        <item m="1" x="5656"/>
        <item m="1" x="5655"/>
        <item m="1" x="5742"/>
        <item m="1" x="5741"/>
        <item m="1" x="5740"/>
        <item m="1" x="5805"/>
        <item m="1" x="5675"/>
        <item m="1" x="5674"/>
        <item m="1" x="5673"/>
        <item m="1" x="5754"/>
        <item m="1" x="5672"/>
        <item m="1" x="5654"/>
        <item m="1" x="5671"/>
        <item m="1" x="5708"/>
        <item m="1" x="5739"/>
        <item m="1" x="5670"/>
        <item m="1" x="5753"/>
        <item m="1" x="5806"/>
        <item m="1" x="5738"/>
        <item m="1" x="5807"/>
        <item m="1" x="5690"/>
        <item m="1" x="5667"/>
        <item m="1" x="5669"/>
        <item m="1" x="5668"/>
        <item m="1" x="5780"/>
        <item m="1" x="5752"/>
        <item m="1" x="5779"/>
        <item m="1" x="5737"/>
        <item m="1" x="5808"/>
        <item m="1" x="5799"/>
        <item m="1" x="5793"/>
        <item m="1" x="5797"/>
        <item m="1" x="5795"/>
        <item m="1" x="5720"/>
        <item m="1" x="5666"/>
        <item m="1" x="5778"/>
        <item m="1" x="5777"/>
        <item m="1" x="5665"/>
        <item m="1" x="5664"/>
        <item m="1" x="5776"/>
        <item m="1" x="5775"/>
        <item m="1" x="5774"/>
        <item m="1" x="5773"/>
        <item m="1" x="5736"/>
        <item m="1" x="5663"/>
        <item m="1" x="5772"/>
        <item m="1" x="5653"/>
        <item m="1" x="5662"/>
        <item m="1" x="5719"/>
        <item m="1" x="5735"/>
        <item m="1" x="5771"/>
        <item m="1" x="5770"/>
        <item m="1" x="5769"/>
        <item m="1" x="5768"/>
        <item m="1" x="5767"/>
        <item m="1" x="5766"/>
        <item m="1" x="5765"/>
        <item m="1" x="5764"/>
        <item m="1" x="5718"/>
        <item m="1" x="5652"/>
        <item m="1" x="5763"/>
        <item m="1" x="5762"/>
        <item m="1" x="5761"/>
        <item m="1" x="5661"/>
        <item m="1" x="5734"/>
        <item m="1" x="5717"/>
        <item m="1" x="5660"/>
        <item m="1" x="5733"/>
        <item m="1" x="5760"/>
        <item m="1" x="5732"/>
        <item m="1" x="5759"/>
        <item m="1" x="5651"/>
        <item m="1" x="5659"/>
        <item m="1" x="5716"/>
        <item m="1" x="5792"/>
        <item m="1" x="5791"/>
        <item m="1" x="5790"/>
        <item m="1" x="5650"/>
        <item m="1" x="5798"/>
        <item m="1" x="5731"/>
        <item m="1" x="5796"/>
        <item m="1" x="5751"/>
        <item m="1" x="5715"/>
        <item m="1" x="5730"/>
        <item m="1" x="5789"/>
        <item m="1" x="5788"/>
        <item m="1" x="5787"/>
        <item m="1" x="5707"/>
        <item m="1" x="5706"/>
        <item m="1" x="5649"/>
        <item m="1" x="5658"/>
        <item m="1" x="5705"/>
        <item m="1" x="5704"/>
        <item m="1" x="5703"/>
        <item m="1" x="5648"/>
        <item m="1" x="5702"/>
        <item m="1" x="5701"/>
        <item m="1" x="5700"/>
        <item m="1" x="5809"/>
        <item m="1" x="5810"/>
        <item m="1" x="5811"/>
        <item m="1" x="5812"/>
        <item m="1" x="5813"/>
        <item m="1" x="5814"/>
        <item m="1" x="5815"/>
        <item m="1" x="5816"/>
        <item m="1" x="5699"/>
        <item m="1" x="5698"/>
        <item m="1" x="5697"/>
        <item m="1" x="5696"/>
        <item m="1" x="5695"/>
        <item m="1" x="5694"/>
        <item m="1" x="5646"/>
        <item m="1" x="5693"/>
        <item m="1" x="5647"/>
        <item m="1" x="5692"/>
        <item m="1" x="5691"/>
        <item m="1" x="5728"/>
        <item m="1" x="5727"/>
        <item m="1" x="5726"/>
        <item m="1" x="5725"/>
        <item m="1" x="5832"/>
        <item m="1" x="5724"/>
        <item m="1" x="5844"/>
        <item m="1" x="5723"/>
        <item m="1" x="5853"/>
        <item m="1" x="5855"/>
        <item m="1" x="5819"/>
        <item m="1" x="5831"/>
        <item m="1" x="5830"/>
        <item m="1" x="5829"/>
        <item m="1" x="5823"/>
        <item m="1" x="5824"/>
        <item m="1" x="5848"/>
        <item m="1" x="5821"/>
        <item m="1" x="5847"/>
        <item m="1" x="5822"/>
        <item m="1" x="5843"/>
        <item m="1" x="5825"/>
        <item m="1" x="5820"/>
        <item m="1" x="5852"/>
        <item m="1" x="5851"/>
        <item m="1" x="5846"/>
        <item m="1" x="5856"/>
        <item m="1" x="5857"/>
        <item m="1" x="5854"/>
        <item m="1" x="5841"/>
        <item m="1" x="5840"/>
        <item m="1" x="5845"/>
        <item m="1" x="5850"/>
        <item m="1" x="5858"/>
        <item m="1" x="5826"/>
        <item m="1" x="5842"/>
        <item m="1" x="5849"/>
        <item m="1" x="5827"/>
        <item m="1" x="5828"/>
        <item m="1" x="5838"/>
        <item m="1" x="5839"/>
        <item m="1" x="5837"/>
        <item m="1" x="5836"/>
        <item m="1" x="5835"/>
        <item m="1" x="5817"/>
        <item m="1" x="5818"/>
        <item m="1" x="5859"/>
        <item m="1" x="5834"/>
        <item m="1" x="5833"/>
        <item m="1" x="5906"/>
        <item m="1" x="5881"/>
        <item m="1" x="5880"/>
        <item m="1" x="5902"/>
        <item m="1" x="4740"/>
        <item m="1" x="5901"/>
        <item m="1" x="5900"/>
        <item m="1" x="5899"/>
        <item m="1" x="5898"/>
        <item m="1" x="5915"/>
        <item m="1" x="5909"/>
        <item m="1" x="5897"/>
        <item m="1" x="5912"/>
        <item m="1" x="5913"/>
        <item m="1" x="5896"/>
        <item m="1" x="5895"/>
        <item m="1" x="5894"/>
        <item m="1" x="5893"/>
        <item m="1" x="5910"/>
        <item m="1" x="5892"/>
        <item m="1" x="5891"/>
        <item m="1" x="5911"/>
        <item m="1" x="5890"/>
        <item m="1" x="5889"/>
        <item m="1" x="5888"/>
        <item m="1" x="5887"/>
        <item m="1" x="5886"/>
        <item m="1" x="5885"/>
        <item m="1" x="5884"/>
        <item m="1" x="5914"/>
        <item m="1" x="5883"/>
        <item m="1" x="5907"/>
        <item m="1" x="5908"/>
        <item m="1" x="5879"/>
        <item m="1" x="5878"/>
        <item m="1" x="5877"/>
        <item m="1" x="5876"/>
        <item m="1" x="5875"/>
        <item m="1" x="5874"/>
        <item m="1" x="5904"/>
        <item m="1" x="5882"/>
        <item m="1" x="5905"/>
        <item m="1" x="5873"/>
        <item m="1" x="5872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903"/>
        <item m="1" x="5963"/>
        <item m="1" x="5938"/>
        <item m="1" x="5964"/>
        <item m="1" x="5970"/>
        <item m="1" x="5965"/>
        <item m="1" x="5966"/>
        <item m="1" x="5994"/>
        <item m="1" x="5971"/>
        <item m="1" x="5926"/>
        <item m="1" x="5972"/>
        <item m="1" x="5973"/>
        <item m="1" x="5995"/>
        <item m="1" x="5999"/>
        <item m="1" x="5998"/>
        <item m="1" x="5927"/>
        <item m="1" x="5993"/>
        <item m="1" x="5928"/>
        <item m="1" x="5942"/>
        <item m="1" x="5929"/>
        <item m="1" x="5974"/>
        <item m="1" x="6002"/>
        <item m="1" x="6001"/>
        <item m="1" x="5997"/>
        <item m="1" x="6000"/>
        <item m="1" x="5941"/>
        <item m="1" x="5940"/>
        <item m="1" x="5939"/>
        <item m="1" x="5952"/>
        <item m="1" x="5953"/>
        <item m="1" x="5975"/>
        <item m="1" x="5976"/>
        <item m="1" x="6015"/>
        <item m="1" x="5977"/>
        <item m="1" x="5930"/>
        <item m="1" x="5978"/>
        <item m="1" x="5954"/>
        <item m="1" x="5934"/>
        <item m="1" x="5955"/>
        <item m="1" x="5956"/>
        <item m="1" x="5916"/>
        <item m="1" x="5917"/>
        <item m="1" x="5935"/>
        <item m="1" x="5918"/>
        <item m="1" x="5979"/>
        <item m="1" x="5980"/>
        <item m="1" x="5981"/>
        <item m="1" x="5982"/>
        <item m="1" x="5967"/>
        <item m="1" x="5931"/>
        <item m="1" x="5983"/>
        <item m="1" x="5919"/>
        <item m="1" x="5984"/>
        <item m="1" x="5985"/>
        <item m="1" x="5986"/>
        <item m="1" x="5987"/>
        <item m="1" x="5932"/>
        <item m="1" x="5988"/>
        <item m="1" x="5920"/>
        <item m="1" x="5989"/>
        <item m="1" x="5990"/>
        <item m="1" x="5991"/>
        <item m="1" x="5921"/>
        <item m="1" x="5968"/>
        <item m="1" x="5992"/>
        <item m="1" x="5957"/>
        <item m="1" x="5958"/>
        <item m="1" x="5959"/>
        <item m="1" x="5960"/>
        <item m="1" x="5961"/>
        <item m="1" x="5969"/>
        <item m="1" x="5936"/>
        <item m="1" x="5922"/>
        <item m="1" x="5962"/>
        <item m="1" x="5996"/>
        <item m="1" x="5951"/>
        <item m="1" x="5933"/>
        <item m="1" x="5923"/>
        <item m="1" x="5950"/>
        <item m="1" x="5949"/>
        <item m="1" x="5948"/>
        <item m="1" x="5947"/>
        <item m="1" x="5924"/>
        <item m="1" x="5946"/>
        <item m="1" x="5945"/>
        <item m="1" x="5944"/>
        <item m="1" x="5937"/>
        <item m="1" x="5925"/>
        <item m="1" x="5943"/>
        <item m="1" x="6021"/>
        <item m="1" x="6022"/>
        <item m="1" x="6023"/>
        <item m="1" x="6024"/>
        <item m="1" x="6025"/>
        <item m="1" x="6026"/>
        <item m="1" x="6027"/>
        <item m="1" x="6050"/>
        <item m="1" x="6028"/>
        <item m="1" x="6029"/>
        <item m="1" x="6020"/>
        <item m="1" x="6019"/>
        <item m="1" x="6018"/>
        <item m="1" x="6017"/>
        <item m="1" x="6049"/>
        <item m="1" x="6048"/>
        <item m="1" x="6047"/>
        <item m="1" x="6046"/>
        <item m="1" x="6045"/>
        <item m="1" x="6044"/>
        <item m="1" x="6030"/>
        <item m="1" x="6043"/>
        <item m="1" x="6051"/>
        <item m="1" x="6042"/>
        <item m="1" x="6041"/>
        <item m="1" x="6040"/>
        <item m="1" x="6039"/>
        <item m="1" x="6038"/>
        <item m="1" x="6037"/>
        <item m="1" x="6036"/>
        <item m="1" x="6016"/>
        <item m="1" x="6035"/>
        <item m="1" x="6034"/>
        <item m="1" x="6007"/>
        <item m="1" x="6006"/>
        <item m="1" x="6005"/>
        <item m="1" x="6033"/>
        <item m="1" x="6004"/>
        <item m="1" x="6003"/>
        <item m="1" x="6008"/>
        <item m="1" x="6009"/>
        <item m="1" x="6010"/>
        <item m="1" x="6011"/>
        <item m="1" x="6012"/>
        <item m="1" x="6013"/>
        <item m="1" x="6014"/>
        <item m="1" x="6032"/>
        <item m="1" x="6031"/>
        <item m="1" x="6091"/>
        <item m="1" x="6074"/>
        <item m="1" x="6054"/>
        <item m="1" x="6065"/>
        <item m="1" x="6073"/>
        <item m="1" x="6059"/>
        <item m="1" x="4741"/>
        <item m="1" x="6089"/>
        <item m="1" x="6055"/>
        <item m="1" x="6080"/>
        <item m="1" x="6072"/>
        <item m="1" x="6056"/>
        <item m="1" x="6057"/>
        <item m="1" x="6071"/>
        <item m="1" x="6088"/>
        <item m="1" x="6087"/>
        <item m="1" x="6064"/>
        <item m="1" x="6070"/>
        <item m="1" x="6085"/>
        <item m="1" x="6069"/>
        <item m="1" x="6052"/>
        <item m="1" x="6060"/>
        <item m="1" x="6083"/>
        <item m="1" x="6079"/>
        <item m="1" x="6053"/>
        <item m="1" x="6078"/>
        <item m="1" x="6082"/>
        <item m="1" x="6092"/>
        <item m="1" x="6093"/>
        <item m="1" x="6068"/>
        <item m="1" x="6084"/>
        <item m="1" x="6081"/>
        <item m="1" x="6061"/>
        <item m="1" x="6067"/>
        <item m="1" x="6095"/>
        <item m="1" x="6062"/>
        <item m="1" x="6063"/>
        <item m="1" x="6075"/>
        <item m="1" x="6094"/>
        <item m="1" x="6086"/>
        <item m="1" x="6077"/>
        <item m="1" x="6090"/>
        <item m="1" x="6076"/>
        <item m="1" x="6058"/>
        <item m="1" x="6108"/>
        <item m="1" x="6066"/>
        <item m="1" x="4742"/>
        <item m="1" x="6109"/>
        <item m="1" x="6105"/>
        <item m="1" x="4743"/>
        <item m="1" x="4744"/>
        <item m="1" x="6104"/>
        <item m="1" x="6103"/>
        <item m="1" x="6111"/>
        <item m="1" x="6102"/>
        <item m="1" x="6101"/>
        <item m="1" x="6100"/>
        <item m="1" x="6099"/>
        <item m="1" x="6098"/>
        <item m="1" x="6097"/>
        <item m="1" x="6096"/>
        <item m="1" x="6106"/>
        <item m="1" x="6107"/>
        <item m="1" x="6110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166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3648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366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3584"/>
        <item m="1" x="4476"/>
        <item m="1" x="3552"/>
        <item m="1" x="4477"/>
        <item m="1" x="3539"/>
        <item m="1" x="3540"/>
        <item m="1" x="3544"/>
        <item m="1" x="3545"/>
        <item m="1" x="3536"/>
        <item m="1" x="3537"/>
        <item m="1" x="3546"/>
        <item m="1" x="3538"/>
        <item m="1" x="3547"/>
        <item m="1" x="3548"/>
        <item m="1" x="3541"/>
        <item m="1" x="3542"/>
        <item m="1" x="3549"/>
        <item m="1" x="3550"/>
        <item m="1" x="3551"/>
        <item m="1" x="3543"/>
        <item m="1" x="3530"/>
        <item m="1" x="3531"/>
        <item m="1" x="3532"/>
        <item m="1" x="3533"/>
        <item m="1" x="3553"/>
        <item m="1" x="3554"/>
        <item m="1" x="3534"/>
        <item m="1" x="3535"/>
        <item m="1" x="3585"/>
        <item m="1" x="3559"/>
        <item m="1" x="3581"/>
        <item m="1" x="3575"/>
        <item m="1" x="3560"/>
        <item m="1" x="3588"/>
        <item m="1" x="3576"/>
        <item m="1" x="3561"/>
        <item m="1" x="3577"/>
        <item m="1" x="3583"/>
        <item m="1" x="3578"/>
        <item m="1" x="3579"/>
        <item m="1" x="3572"/>
        <item m="1" x="3562"/>
        <item m="1" x="3564"/>
        <item m="1" x="3563"/>
        <item m="1" x="3582"/>
        <item m="1" x="3558"/>
        <item m="1" x="3557"/>
        <item m="1" x="3555"/>
        <item m="1" x="3586"/>
        <item m="1" x="3587"/>
        <item m="1" x="3580"/>
        <item m="1" x="3573"/>
        <item m="1" x="3574"/>
        <item m="1" x="3565"/>
        <item m="1" x="3566"/>
        <item m="1" x="3567"/>
        <item m="1" x="3568"/>
        <item m="1" x="3556"/>
        <item m="1" x="3569"/>
        <item m="1" x="3595"/>
        <item m="1" x="3592"/>
        <item m="1" x="3593"/>
        <item m="1" x="3612"/>
        <item m="1" x="3594"/>
        <item m="1" x="3615"/>
        <item m="1" x="3591"/>
        <item m="1" x="3611"/>
        <item m="1" x="3589"/>
        <item m="1" x="3590"/>
        <item m="1" x="3610"/>
        <item m="1" x="3609"/>
        <item m="1" x="3608"/>
        <item m="1" x="3607"/>
        <item m="1" x="3606"/>
        <item m="1" x="3605"/>
        <item m="1" x="3616"/>
        <item m="1" x="3631"/>
        <item m="1" x="3619"/>
        <item m="1" x="3620"/>
        <item m="1" x="3621"/>
        <item m="1" x="3622"/>
        <item m="1" x="3624"/>
        <item m="1" x="3625"/>
        <item m="1" x="3628"/>
        <item m="1" x="3626"/>
        <item m="1" x="3627"/>
        <item m="1" x="3623"/>
        <item m="1" x="3617"/>
        <item m="1" x="3632"/>
        <item m="1" x="3618"/>
        <item m="1" x="3604"/>
        <item m="1" x="3603"/>
        <item m="1" x="3629"/>
        <item m="1" x="3602"/>
        <item m="1" x="3601"/>
        <item m="1" x="3600"/>
        <item m="1" x="3599"/>
        <item m="1" x="3598"/>
        <item m="1" x="3597"/>
        <item m="1" x="3596"/>
        <item m="1" x="3614"/>
        <item m="1" x="3633"/>
        <item m="1" x="3613"/>
        <item m="1" x="3630"/>
        <item m="1" x="3645"/>
        <item m="1" x="3646"/>
        <item m="1" x="3652"/>
        <item m="1" x="3647"/>
        <item m="1" x="3634"/>
        <item m="1" x="3635"/>
        <item m="1" x="3649"/>
        <item m="1" x="3636"/>
        <item m="1" x="3637"/>
        <item m="1" x="3650"/>
        <item m="1" x="3638"/>
        <item m="1" x="3639"/>
        <item m="1" x="3640"/>
        <item m="1" x="3641"/>
        <item m="1" x="3642"/>
        <item m="1" x="3643"/>
        <item m="1" x="3651"/>
        <item m="1" x="3644"/>
        <item m="1" x="3661"/>
        <item m="1" x="3662"/>
        <item m="1" x="3666"/>
        <item m="1" x="3668"/>
        <item m="1" x="3667"/>
        <item m="1" x="3663"/>
        <item m="1" x="3664"/>
        <item m="1" x="3656"/>
        <item m="1" x="3671"/>
        <item m="1" x="3669"/>
        <item m="1" x="3655"/>
        <item m="1" x="3654"/>
        <item m="1" x="3670"/>
        <item m="1" x="3653"/>
        <item m="1" x="3657"/>
        <item m="1" x="3672"/>
        <item m="1" x="3673"/>
        <item m="1" x="3658"/>
        <item m="1" x="3659"/>
        <item m="1" x="3660"/>
        <item m="1" x="3674"/>
        <item m="1" x="3675"/>
        <item m="1" x="3676"/>
        <item m="1" x="3677"/>
        <item m="1" x="3678"/>
        <item m="1" x="3680"/>
        <item m="1" x="3681"/>
        <item m="1" x="3682"/>
        <item m="1" x="3679"/>
        <item m="1" x="3690"/>
        <item m="1" x="3712"/>
        <item m="1" x="3689"/>
        <item m="1" x="3688"/>
        <item m="1" x="3687"/>
        <item m="1" x="3711"/>
        <item m="1" x="3686"/>
        <item m="1" x="3685"/>
        <item m="1" x="3684"/>
        <item m="1" x="3683"/>
        <item m="1" x="3707"/>
        <item m="1" x="3710"/>
        <item m="1" x="3708"/>
        <item m="1" x="3715"/>
        <item m="1" x="3714"/>
        <item m="1" x="3713"/>
        <item m="1" x="3709"/>
        <item m="1" x="3717"/>
        <item m="1" x="3718"/>
        <item m="1" x="3719"/>
        <item m="1" x="3720"/>
        <item m="1" x="3721"/>
        <item m="1" x="3725"/>
        <item m="1" x="3726"/>
        <item m="1" x="3727"/>
        <item m="1" x="3724"/>
        <item m="1" x="3706"/>
        <item m="1" x="3705"/>
        <item m="1" x="3704"/>
        <item m="1" x="3703"/>
        <item m="1" x="3702"/>
        <item m="1" x="3701"/>
        <item m="1" x="3700"/>
        <item m="1" x="3699"/>
        <item m="1" x="3716"/>
        <item m="1" x="3698"/>
        <item m="1" x="3697"/>
        <item m="1" x="3696"/>
        <item m="1" x="3723"/>
        <item m="1" x="3695"/>
        <item m="1" x="3694"/>
        <item m="1" x="3693"/>
        <item m="1" x="3692"/>
        <item m="1" x="3691"/>
        <item m="1" x="3753"/>
        <item m="1" x="3776"/>
        <item m="1" x="3722"/>
        <item m="1" x="3758"/>
        <item m="1" x="3759"/>
        <item m="1" x="3767"/>
        <item m="1" x="3775"/>
        <item m="1" x="3766"/>
        <item m="1" x="3752"/>
        <item m="1" x="3761"/>
        <item m="1" x="3744"/>
        <item m="1" x="3743"/>
        <item m="1" x="3751"/>
        <item m="1" x="3740"/>
        <item m="1" x="3742"/>
        <item m="1" x="3774"/>
        <item m="1" x="3750"/>
        <item m="1" x="3760"/>
        <item m="1" x="3741"/>
        <item m="1" x="3728"/>
        <item m="1" x="3729"/>
        <item m="1" x="3730"/>
        <item m="1" x="3731"/>
        <item m="1" x="3732"/>
        <item m="1" x="3733"/>
        <item m="1" x="3749"/>
        <item m="1" x="3734"/>
        <item m="1" x="3748"/>
        <item m="1" x="3773"/>
        <item m="1" x="3747"/>
        <item m="1" x="3765"/>
        <item m="1" x="3756"/>
        <item m="1" x="3757"/>
        <item m="1" x="3746"/>
        <item m="1" x="3735"/>
        <item m="1" x="3745"/>
        <item m="1" x="3736"/>
        <item m="1" x="3737"/>
        <item m="1" x="3738"/>
        <item m="1" x="3772"/>
        <item m="1" x="3755"/>
        <item m="1" x="3771"/>
        <item m="1" x="3770"/>
        <item m="1" x="3764"/>
        <item m="1" x="3763"/>
        <item m="1" x="3739"/>
        <item m="1" x="3769"/>
        <item m="1" x="3778"/>
        <item m="1" x="3768"/>
        <item m="1" x="3762"/>
        <item m="1" x="3786"/>
        <item m="1" x="3787"/>
        <item m="1" x="3807"/>
        <item m="1" x="3754"/>
        <item m="1" x="3779"/>
        <item m="1" x="3780"/>
        <item m="1" x="3788"/>
        <item m="1" x="3809"/>
        <item m="1" x="3811"/>
        <item m="1" x="3806"/>
        <item m="1" x="3808"/>
        <item m="1" x="3799"/>
        <item m="1" x="3814"/>
        <item m="1" x="3815"/>
        <item m="1" x="3805"/>
        <item m="1" x="3804"/>
        <item m="1" x="3803"/>
        <item m="1" x="3802"/>
        <item m="1" x="3801"/>
        <item m="1" x="3800"/>
        <item m="1" x="3816"/>
        <item m="1" x="3781"/>
        <item m="1" x="3782"/>
        <item m="1" x="3798"/>
        <item m="1" x="3797"/>
        <item m="1" x="3812"/>
        <item m="1" x="3813"/>
        <item m="1" x="3796"/>
        <item m="1" x="3795"/>
        <item m="1" x="3783"/>
        <item m="1" x="3794"/>
        <item m="1" x="3784"/>
        <item m="1" x="3810"/>
        <item m="1" x="3793"/>
        <item m="1" x="3785"/>
        <item m="1" x="3792"/>
        <item m="1" x="3791"/>
        <item m="1" x="3790"/>
        <item m="1" x="3789"/>
        <item m="1" x="3777"/>
        <item m="1" x="3817"/>
        <item m="1" x="3818"/>
        <item m="1" x="3819"/>
        <item m="1" x="3841"/>
        <item m="1" x="3832"/>
        <item m="1" x="3842"/>
        <item m="1" x="3840"/>
        <item m="1" x="3833"/>
        <item m="1" x="3834"/>
        <item m="1" x="3824"/>
        <item m="1" x="3835"/>
        <item m="1" x="3836"/>
        <item m="1" x="3838"/>
        <item m="1" x="3839"/>
        <item m="1" x="3823"/>
        <item m="1" x="3822"/>
        <item m="1" x="3837"/>
        <item m="1" x="3831"/>
        <item m="1" x="3830"/>
        <item m="1" x="3829"/>
        <item m="1" x="3828"/>
        <item m="1" x="3821"/>
        <item m="1" x="3827"/>
        <item m="1" x="3820"/>
        <item m="1" x="3826"/>
        <item m="1" x="3825"/>
        <item m="1" x="3853"/>
        <item m="1" x="3850"/>
        <item m="1" x="3855"/>
        <item m="1" x="3856"/>
        <item m="1" x="3854"/>
        <item m="1" x="3851"/>
        <item m="1" x="3852"/>
        <item m="1" x="3849"/>
        <item m="1" x="3843"/>
        <item m="1" x="3844"/>
        <item m="1" x="3845"/>
        <item m="1" x="3846"/>
        <item m="1" x="3847"/>
        <item m="1" x="3848"/>
        <item m="1" x="3860"/>
        <item m="1" x="3861"/>
        <item m="1" x="3857"/>
        <item m="1" x="3862"/>
        <item m="1" x="3864"/>
        <item m="1" x="3858"/>
        <item m="1" x="3863"/>
        <item m="1" x="3859"/>
        <item m="1" x="3868"/>
        <item m="1" x="3867"/>
        <item m="1" x="3866"/>
        <item m="1" x="3865"/>
        <item m="1" x="3902"/>
        <item m="1" x="3899"/>
        <item m="1" x="3901"/>
        <item m="1" x="3893"/>
        <item m="1" x="3909"/>
        <item m="1" x="3894"/>
        <item m="1" x="3908"/>
        <item m="1" x="3895"/>
        <item m="1" x="3876"/>
        <item m="1" x="3875"/>
        <item m="1" x="3874"/>
        <item m="1" x="3873"/>
        <item m="1" x="3900"/>
        <item m="1" x="3441"/>
        <item m="1" x="3896"/>
        <item m="1" x="3872"/>
        <item m="1" x="3871"/>
        <item m="1" x="3870"/>
        <item m="1" x="3897"/>
        <item m="1" x="3898"/>
        <item m="1" x="3869"/>
        <item m="1" x="3892"/>
        <item m="1" x="3882"/>
        <item m="1" x="3907"/>
        <item m="1" x="3881"/>
        <item m="1" x="3906"/>
        <item m="1" x="3905"/>
        <item m="1" x="3880"/>
        <item m="1" x="3879"/>
        <item m="1" x="3904"/>
        <item m="1" x="3878"/>
        <item m="1" x="3903"/>
        <item m="1" x="3884"/>
        <item m="1" x="3885"/>
        <item m="1" x="3886"/>
        <item m="1" x="3887"/>
        <item m="1" x="3877"/>
        <item m="1" x="3888"/>
        <item m="1" x="3889"/>
        <item m="1" x="3890"/>
        <item m="1" x="3891"/>
        <item m="1" x="3883"/>
        <item m="1" x="3931"/>
        <item m="1" x="3930"/>
        <item m="1" x="3910"/>
        <item m="1" x="3968"/>
        <item m="1" x="3911"/>
        <item m="1" x="3912"/>
        <item m="1" x="3913"/>
        <item m="1" x="3914"/>
        <item m="1" x="3915"/>
        <item m="1" x="3916"/>
        <item m="1" x="3917"/>
        <item m="1" x="3967"/>
        <item m="1" x="3940"/>
        <item m="1" x="3918"/>
        <item m="1" x="3919"/>
        <item m="1" x="3920"/>
        <item m="1" x="3966"/>
        <item m="1" x="3921"/>
        <item m="1" x="3922"/>
        <item m="1" x="3954"/>
        <item m="1" x="3923"/>
        <item m="1" x="3928"/>
        <item m="1" x="3982"/>
        <item m="1" x="3965"/>
        <item m="1" x="3929"/>
        <item m="1" x="3927"/>
        <item m="1" x="3952"/>
        <item m="1" x="3926"/>
        <item m="1" x="3983"/>
        <item m="1" x="3951"/>
        <item m="1" x="3925"/>
        <item m="1" x="3957"/>
        <item m="1" x="3924"/>
        <item m="1" x="3953"/>
        <item m="1" x="3964"/>
        <item m="1" x="3979"/>
        <item m="1" x="3939"/>
        <item m="1" x="3963"/>
        <item m="1" x="3962"/>
        <item m="1" x="3938"/>
        <item m="1" x="3937"/>
        <item m="1" x="3978"/>
        <item m="1" x="3961"/>
        <item m="1" x="3977"/>
        <item m="1" x="3956"/>
        <item m="1" x="3976"/>
        <item m="1" x="3975"/>
        <item m="1" x="3936"/>
        <item m="1" x="3974"/>
        <item m="1" x="3973"/>
        <item m="1" x="3960"/>
        <item m="1" x="3972"/>
        <item m="1" x="3980"/>
        <item m="1" x="3984"/>
        <item m="1" x="3959"/>
        <item m="1" x="3971"/>
        <item m="1" x="3970"/>
        <item m="1" x="3935"/>
        <item m="1" x="3934"/>
        <item m="1" x="4011"/>
        <item m="1" x="4010"/>
        <item m="1" x="3985"/>
        <item m="1" x="3958"/>
        <item m="1" x="3955"/>
        <item m="1" x="3933"/>
        <item m="1" x="3969"/>
        <item m="1" x="3932"/>
        <item m="1" x="3950"/>
        <item m="1" x="3949"/>
        <item m="1" x="3948"/>
        <item m="1" x="3947"/>
        <item m="1" x="3946"/>
        <item m="1" x="3945"/>
        <item m="1" x="3997"/>
        <item m="1" x="3944"/>
        <item m="1" x="4009"/>
        <item m="1" x="3943"/>
        <item m="1" x="3981"/>
        <item m="1" x="3942"/>
        <item m="1" x="3941"/>
        <item m="1" x="4008"/>
        <item m="1" x="4007"/>
        <item m="1" x="4006"/>
        <item m="1" x="4013"/>
        <item m="1" x="4005"/>
        <item m="1" x="4004"/>
        <item m="1" x="4003"/>
        <item m="1" x="4002"/>
        <item m="1" x="4001"/>
        <item m="1" x="4000"/>
        <item m="1" x="3999"/>
        <item m="1" x="3998"/>
        <item m="1" x="3989"/>
        <item m="1" x="3986"/>
        <item m="1" x="4012"/>
        <item m="1" x="3987"/>
        <item m="1" x="3988"/>
        <item m="1" x="3990"/>
        <item m="1" x="3991"/>
        <item m="1" x="3992"/>
        <item m="1" x="3993"/>
        <item m="1" x="3994"/>
        <item m="1" x="3995"/>
        <item m="1" x="3996"/>
        <item m="1" x="4031"/>
        <item m="1" x="4030"/>
        <item m="1" x="4029"/>
        <item m="1" x="4028"/>
        <item m="1" x="4027"/>
        <item m="1" x="4026"/>
        <item m="1" x="4025"/>
        <item m="1" x="4024"/>
        <item m="1" x="4023"/>
        <item m="1" x="4022"/>
        <item m="1" x="4021"/>
        <item m="1" x="4020"/>
        <item m="1" x="4019"/>
        <item m="1" x="4018"/>
        <item m="1" x="4017"/>
        <item m="1" x="4016"/>
        <item m="1" x="4070"/>
        <item m="1" x="4071"/>
        <item m="1" x="4036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35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69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15"/>
        <item m="1" x="4014"/>
        <item m="1" x="4041"/>
        <item m="1" x="4033"/>
        <item m="1" x="4055"/>
        <item m="1" x="4043"/>
        <item m="1" x="4056"/>
        <item m="1" x="4040"/>
        <item m="1" x="4032"/>
        <item m="1" x="4042"/>
        <item m="1" x="4057"/>
        <item m="1" x="4058"/>
        <item m="1" x="4059"/>
        <item m="1" x="4060"/>
        <item m="1" x="4061"/>
        <item m="1" x="4062"/>
        <item m="1" x="4162"/>
        <item m="1" x="4063"/>
        <item m="1" x="4161"/>
        <item m="1" x="4064"/>
        <item m="1" x="4160"/>
        <item m="1" x="4065"/>
        <item m="1" x="4159"/>
        <item m="1" x="4066"/>
        <item m="1" x="4067"/>
        <item m="1" x="4045"/>
        <item m="1" x="4039"/>
        <item m="1" x="4044"/>
        <item m="1" x="4068"/>
        <item m="1" x="4158"/>
        <item m="1" x="4157"/>
        <item m="1" x="4038"/>
        <item m="1" x="4037"/>
        <item m="1" x="4093"/>
        <item m="1" x="4034"/>
        <item m="1" x="4156"/>
        <item m="1" x="4123"/>
        <item m="1" x="4155"/>
        <item m="1" x="4154"/>
        <item m="1" x="4122"/>
        <item m="1" x="4153"/>
        <item m="1" x="4152"/>
        <item m="1" x="4151"/>
        <item m="1" x="4150"/>
        <item m="1" x="4149"/>
        <item m="1" x="4148"/>
        <item m="1" x="4147"/>
        <item m="1" x="4121"/>
        <item m="1" x="4146"/>
        <item m="1" x="4145"/>
        <item m="1" x="4120"/>
        <item m="1" x="4124"/>
        <item m="1" x="4119"/>
        <item m="1" x="4144"/>
        <item m="1" x="4143"/>
        <item m="1" x="4142"/>
        <item m="1" x="4118"/>
        <item m="1" x="4141"/>
        <item m="1" x="4117"/>
        <item m="1" x="4140"/>
        <item m="1" x="4139"/>
        <item m="1" x="4138"/>
        <item m="1" x="4137"/>
        <item m="1" x="4134"/>
        <item m="1" x="4116"/>
        <item m="1" x="4129"/>
        <item m="1" x="4136"/>
        <item m="1" x="4135"/>
        <item m="1" x="4128"/>
        <item m="1" x="4165"/>
        <item m="1" x="4127"/>
        <item m="1" x="4126"/>
        <item m="1" x="4164"/>
        <item m="1" x="4125"/>
        <item m="1" x="4115"/>
        <item m="1" x="4114"/>
        <item m="1" x="4113"/>
        <item m="1" x="4112"/>
        <item m="1" x="4102"/>
        <item m="1" x="4101"/>
        <item m="1" x="4100"/>
        <item m="1" x="4099"/>
        <item m="1" x="4098"/>
        <item m="1" x="4095"/>
        <item m="1" x="4094"/>
        <item m="1" x="4096"/>
        <item m="1" x="4097"/>
        <item m="1" x="4103"/>
        <item m="1" x="4104"/>
        <item m="1" x="4105"/>
        <item m="1" x="4106"/>
        <item m="1" x="4163"/>
        <item m="1" x="4107"/>
        <item m="1" x="4108"/>
        <item m="1" x="4109"/>
        <item m="1" x="2844"/>
        <item m="1" x="4110"/>
        <item m="1" x="4111"/>
        <item m="1" x="4131"/>
        <item m="1" x="4133"/>
        <item m="1" x="4132"/>
        <item m="1" x="4130"/>
        <item m="1" x="2636"/>
        <item m="1" x="2735"/>
        <item m="1" x="2637"/>
        <item m="1" x="2638"/>
        <item m="1" x="2639"/>
        <item m="1" x="2673"/>
        <item m="1" x="2640"/>
        <item m="1" x="2641"/>
        <item m="1" x="2684"/>
        <item m="1" x="2688"/>
        <item m="1" x="2642"/>
        <item m="1" x="2643"/>
        <item m="1" x="2644"/>
        <item m="1" x="2645"/>
        <item m="1" x="2646"/>
        <item m="1" x="2647"/>
        <item m="1" x="2648"/>
        <item m="1" x="2722"/>
        <item m="1" x="2649"/>
        <item m="1" x="2650"/>
        <item m="1" x="2689"/>
        <item m="1" x="2651"/>
        <item m="1" x="2652"/>
        <item m="1" x="2653"/>
        <item m="1" x="2654"/>
        <item m="1" x="2655"/>
        <item m="1" x="2690"/>
        <item m="1" x="2656"/>
        <item m="1" x="2657"/>
        <item m="1" x="2670"/>
        <item m="1" x="2658"/>
        <item m="1" x="2659"/>
        <item m="1" x="2736"/>
        <item m="1" x="2660"/>
        <item m="1" x="2661"/>
        <item m="1" x="2662"/>
        <item m="1" x="2663"/>
        <item m="1" x="2664"/>
        <item m="1" x="2665"/>
        <item m="1" x="2671"/>
        <item m="1" x="2723"/>
        <item m="1" x="2666"/>
        <item m="1" x="2629"/>
        <item m="1" x="2730"/>
        <item m="1" x="2592"/>
        <item m="1" x="2691"/>
        <item m="1" x="2724"/>
        <item m="1" x="2725"/>
        <item m="1" x="2685"/>
        <item m="1" x="2674"/>
        <item m="1" x="2726"/>
        <item m="1" x="2675"/>
        <item m="1" x="2727"/>
        <item m="1" x="2593"/>
        <item m="1" x="2731"/>
        <item m="1" x="2594"/>
        <item m="1" x="2732"/>
        <item m="1" x="2595"/>
        <item m="1" x="2733"/>
        <item m="1" x="2734"/>
        <item m="1" x="2630"/>
        <item m="1" x="2631"/>
        <item m="1" x="2632"/>
        <item m="1" x="2633"/>
        <item m="1" x="2596"/>
        <item m="1" x="2597"/>
        <item m="1" x="2681"/>
        <item m="1" x="2686"/>
        <item m="1" x="2682"/>
        <item m="1" x="2683"/>
        <item m="1" x="2687"/>
        <item m="1" x="2728"/>
        <item m="1" x="2598"/>
        <item m="1" x="2599"/>
        <item m="1" x="2600"/>
        <item m="1" x="2601"/>
        <item m="1" x="2729"/>
        <item m="1" x="2602"/>
        <item m="1" x="2603"/>
        <item m="1" x="2604"/>
        <item m="1" x="2672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78"/>
        <item m="1" x="2621"/>
        <item m="1" x="2692"/>
        <item m="1" x="2622"/>
        <item m="1" x="2623"/>
        <item m="1" x="2624"/>
        <item m="1" x="2625"/>
        <item m="1" x="2626"/>
        <item m="1" x="2627"/>
        <item m="1" x="2628"/>
        <item m="1" x="2693"/>
        <item m="1" x="2694"/>
        <item m="1" x="2695"/>
        <item m="1" x="2696"/>
        <item m="1" x="2667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668"/>
        <item m="1" x="2708"/>
        <item m="1" x="2709"/>
        <item m="1" x="2710"/>
        <item m="1" x="2634"/>
        <item m="1" x="2676"/>
        <item m="1" x="2711"/>
        <item m="1" x="2635"/>
        <item m="1" x="2712"/>
        <item m="1" x="2669"/>
        <item m="1" x="2713"/>
        <item m="1" x="2714"/>
        <item m="1" x="2799"/>
        <item m="1" x="2715"/>
        <item m="1" x="2679"/>
        <item m="1" x="2800"/>
        <item m="1" x="2677"/>
        <item m="1" x="2716"/>
        <item m="1" x="2801"/>
        <item m="1" x="2680"/>
        <item m="1" x="2815"/>
        <item m="1" x="2717"/>
        <item m="1" x="2718"/>
        <item m="1" x="2719"/>
        <item m="1" x="2720"/>
        <item m="1" x="2816"/>
        <item m="1" x="2721"/>
        <item m="1" x="2817"/>
        <item m="1" x="2818"/>
        <item m="1" x="2802"/>
        <item m="1" x="2803"/>
        <item m="1" x="2804"/>
        <item m="1" x="2805"/>
        <item m="1" x="2806"/>
        <item m="1" x="2819"/>
        <item m="1" x="2820"/>
        <item m="1" x="2821"/>
        <item m="1" x="2822"/>
        <item m="1" x="2807"/>
        <item m="1" x="2808"/>
        <item m="1" x="2809"/>
        <item m="1" x="2810"/>
        <item m="1" x="2811"/>
        <item m="1" x="2812"/>
        <item m="1" x="2813"/>
        <item m="1" x="2775"/>
        <item m="1" x="2755"/>
        <item m="1" x="2823"/>
        <item m="1" x="2754"/>
        <item m="1" x="2753"/>
        <item m="1" x="2824"/>
        <item m="1" x="2825"/>
        <item m="1" x="2752"/>
        <item m="1" x="2751"/>
        <item m="1" x="2750"/>
        <item m="1" x="2749"/>
        <item m="1" x="2826"/>
        <item m="1" x="2827"/>
        <item m="1" x="2748"/>
        <item m="1" x="2747"/>
        <item m="1" x="2828"/>
        <item m="1" x="2746"/>
        <item m="1" x="2740"/>
        <item m="1" x="2739"/>
        <item m="1" x="2829"/>
        <item m="1" x="2737"/>
        <item m="1" x="2830"/>
        <item m="1" x="2738"/>
        <item m="1" x="2791"/>
        <item m="1" x="2741"/>
        <item m="1" x="2876"/>
        <item m="1" x="2742"/>
        <item m="1" x="2792"/>
        <item m="1" x="2743"/>
        <item m="1" x="2838"/>
        <item m="1" x="2831"/>
        <item m="1" x="2793"/>
        <item m="1" x="2744"/>
        <item m="1" x="2745"/>
        <item m="1" x="2832"/>
        <item m="1" x="2833"/>
        <item m="1" x="2834"/>
        <item m="1" x="2835"/>
        <item m="1" x="2794"/>
        <item m="1" x="2839"/>
        <item m="1" x="2756"/>
        <item m="1" x="2757"/>
        <item m="1" x="2840"/>
        <item m="1" x="2758"/>
        <item m="1" x="2759"/>
        <item m="1" x="2760"/>
        <item m="1" x="2761"/>
        <item m="1" x="2762"/>
        <item m="1" x="2795"/>
        <item m="1" x="2763"/>
        <item m="1" x="2764"/>
        <item m="1" x="2836"/>
        <item m="1" x="2765"/>
        <item m="1" x="2766"/>
        <item m="1" x="2767"/>
        <item m="1" x="2768"/>
        <item m="1" x="2769"/>
        <item m="1" x="2770"/>
        <item m="1" x="2771"/>
        <item m="1" x="2796"/>
        <item m="1" x="2772"/>
        <item m="1" x="2773"/>
        <item m="1" x="2774"/>
        <item m="1" x="2814"/>
        <item m="1" x="2845"/>
        <item m="1" x="2879"/>
        <item m="1" x="2846"/>
        <item m="1" x="2847"/>
        <item m="1" x="2848"/>
        <item m="1" x="2841"/>
        <item m="1" x="2849"/>
        <item m="1" x="2850"/>
        <item m="1" x="2851"/>
        <item m="1" x="2797"/>
        <item m="1" x="2843"/>
        <item m="1" x="2837"/>
        <item m="1" x="2852"/>
        <item m="1" x="2853"/>
        <item m="1" x="2854"/>
        <item m="1" x="2855"/>
        <item m="1" x="2856"/>
        <item m="1" x="2857"/>
        <item m="1" x="2842"/>
        <item m="1" x="2858"/>
        <item m="1" x="2859"/>
        <item m="1" x="2860"/>
        <item m="1" x="2861"/>
        <item m="1" x="2862"/>
        <item m="1" x="2863"/>
        <item m="1" x="2864"/>
        <item m="1" x="2865"/>
        <item m="1" x="2874"/>
        <item m="1" x="2866"/>
        <item m="1" x="2875"/>
        <item m="1" x="2867"/>
        <item m="1" x="2868"/>
        <item m="1" x="2869"/>
        <item m="1" x="2870"/>
        <item m="1" x="2798"/>
        <item m="1" x="2871"/>
        <item m="1" x="2872"/>
        <item m="1" x="2873"/>
        <item m="1" x="2784"/>
        <item m="1" x="2783"/>
        <item m="1" x="2782"/>
        <item m="1" x="2781"/>
        <item m="1" x="2780"/>
        <item m="1" x="2779"/>
        <item m="1" x="2778"/>
        <item m="1" x="2777"/>
        <item m="1" x="2776"/>
        <item m="1" x="2785"/>
        <item m="1" x="2786"/>
        <item m="1" x="2787"/>
        <item m="1" x="2788"/>
        <item m="1" x="2789"/>
        <item m="1" x="2877"/>
        <item m="1" x="2790"/>
        <item m="1" x="2878"/>
        <item m="1" x="2887"/>
        <item m="1" x="2936"/>
        <item m="1" x="2937"/>
        <item m="1" x="2938"/>
        <item m="1" x="2894"/>
        <item m="1" x="2888"/>
        <item m="1" x="2889"/>
        <item m="1" x="2890"/>
        <item m="1" x="2891"/>
        <item m="1" x="2895"/>
        <item m="1" x="2917"/>
        <item m="1" x="2939"/>
        <item m="1" x="2892"/>
        <item m="1" x="2896"/>
        <item m="1" x="2923"/>
        <item m="1" x="2893"/>
        <item m="1" x="2916"/>
        <item m="1" x="2922"/>
        <item m="1" x="2921"/>
        <item m="1" x="2920"/>
        <item m="1" x="2941"/>
        <item m="1" x="2919"/>
        <item m="1" x="2934"/>
        <item m="1" x="2933"/>
        <item m="1" x="2940"/>
        <item m="1" x="2932"/>
        <item m="1" x="2915"/>
        <item m="1" x="2931"/>
        <item m="1" x="2930"/>
        <item m="1" x="2918"/>
        <item m="1" x="2914"/>
        <item m="1" x="2913"/>
        <item m="1" x="2912"/>
        <item m="1" x="2911"/>
        <item m="1" x="2910"/>
        <item m="1" x="2909"/>
        <item m="1" x="2908"/>
        <item m="1" x="2935"/>
        <item m="1" x="2907"/>
        <item m="1" x="2906"/>
        <item m="1" x="2905"/>
        <item m="1" x="2904"/>
        <item m="1" x="2903"/>
        <item m="1" x="2929"/>
        <item m="1" x="2902"/>
        <item m="1" x="2928"/>
        <item m="1" x="2901"/>
        <item m="1" x="2927"/>
        <item m="1" x="2445"/>
        <item m="1" x="2926"/>
        <item m="1" x="2925"/>
        <item m="1" x="2924"/>
        <item m="1" x="2900"/>
        <item m="1" x="2899"/>
        <item m="1" x="2944"/>
        <item m="1" x="2945"/>
        <item m="1" x="2898"/>
        <item m="1" x="3022"/>
        <item m="1" x="2897"/>
        <item m="1" x="3023"/>
        <item m="1" x="2883"/>
        <item m="1" x="3024"/>
        <item m="1" x="2882"/>
        <item m="1" x="2946"/>
        <item m="1" x="2881"/>
        <item m="1" x="2880"/>
        <item m="1" x="2884"/>
        <item m="1" x="2942"/>
        <item m="1" x="3009"/>
        <item m="1" x="2987"/>
        <item m="1" x="2885"/>
        <item m="1" x="2947"/>
        <item m="1" x="2886"/>
        <item m="1" x="2943"/>
        <item m="1" x="2948"/>
        <item m="1" x="2988"/>
        <item m="1" x="2989"/>
        <item m="1" x="2990"/>
        <item m="1" x="2991"/>
        <item m="1" x="2992"/>
        <item m="1" x="2993"/>
        <item m="1" x="2994"/>
        <item m="1" x="2995"/>
        <item m="1" x="3018"/>
        <item m="1" x="2996"/>
        <item m="1" x="2997"/>
        <item m="1" x="2998"/>
        <item m="1" x="2985"/>
        <item m="1" x="2980"/>
        <item m="1" x="2999"/>
        <item m="1" x="3000"/>
        <item m="1" x="3001"/>
        <item m="1" x="3016"/>
        <item m="1" x="3002"/>
        <item m="1" x="3003"/>
        <item m="1" x="3004"/>
        <item m="1" x="3017"/>
        <item m="1" x="3005"/>
        <item m="1" x="3010"/>
        <item m="1" x="3015"/>
        <item m="1" x="3014"/>
        <item m="1" x="3006"/>
        <item m="1" x="3007"/>
        <item m="1" x="3008"/>
        <item m="1" x="2967"/>
        <item m="1" x="3020"/>
        <item m="1" x="3021"/>
        <item m="1" x="3013"/>
        <item m="1" x="2966"/>
        <item m="1" x="2965"/>
        <item m="1" x="3012"/>
        <item m="1" x="2964"/>
        <item m="1" x="2963"/>
        <item m="1" x="2962"/>
        <item m="1" x="2961"/>
        <item m="1" x="2960"/>
        <item m="1" x="2959"/>
        <item m="1" x="2958"/>
        <item m="1" x="2957"/>
        <item m="1" x="2956"/>
        <item m="1" x="2955"/>
        <item m="1" x="2954"/>
        <item m="1" x="2953"/>
        <item m="1" x="2952"/>
        <item m="1" x="2951"/>
        <item m="1" x="2950"/>
        <item m="1" x="2949"/>
        <item m="1" x="2968"/>
        <item m="1" x="2969"/>
        <item m="1" x="2970"/>
        <item m="1" x="3025"/>
        <item m="1" x="3011"/>
        <item m="1" x="2983"/>
        <item m="1" x="2986"/>
        <item m="1" x="2981"/>
        <item m="1" x="2984"/>
        <item m="1" x="2971"/>
        <item m="1" x="2972"/>
        <item m="1" x="2973"/>
        <item m="1" x="2982"/>
        <item m="1" x="2974"/>
        <item m="1" x="2975"/>
        <item m="1" x="2976"/>
        <item m="1" x="2977"/>
        <item m="1" x="3081"/>
        <item m="1" x="2978"/>
        <item m="1" x="3019"/>
        <item m="1" x="3056"/>
        <item m="1" x="3055"/>
        <item m="1" x="2979"/>
        <item m="1" x="3054"/>
        <item m="1" x="3082"/>
        <item m="1" x="3053"/>
        <item m="1" x="3052"/>
        <item m="1" x="3051"/>
        <item m="1" x="3050"/>
        <item m="1" x="3049"/>
        <item m="1" x="3048"/>
        <item m="1" x="3047"/>
        <item m="1" x="3046"/>
        <item m="1" x="3045"/>
        <item m="1" x="3044"/>
        <item m="1" x="3043"/>
        <item m="1" x="3033"/>
        <item m="1" x="3032"/>
        <item m="1" x="3031"/>
        <item m="1" x="3030"/>
        <item m="1" x="3027"/>
        <item m="1" x="3026"/>
        <item m="1" x="3028"/>
        <item m="1" x="3029"/>
        <item m="1" x="3034"/>
        <item m="1" x="3035"/>
        <item m="1" x="3036"/>
        <item m="1" x="3037"/>
        <item m="1" x="3038"/>
        <item m="1" x="3039"/>
        <item m="1" x="3040"/>
        <item m="1" x="3041"/>
        <item m="1" x="3058"/>
        <item m="1" x="3057"/>
        <item m="1" x="3162"/>
        <item m="1" x="3042"/>
        <item m="1" x="3163"/>
        <item m="1" x="3134"/>
        <item m="1" x="3116"/>
        <item m="1" x="3135"/>
        <item m="1" x="3136"/>
        <item m="1" x="3137"/>
        <item m="1" x="3138"/>
        <item m="1" x="3139"/>
        <item m="1" x="3140"/>
        <item m="1" x="3141"/>
        <item m="1" x="3142"/>
        <item m="1" x="3117"/>
        <item m="1" x="3143"/>
        <item m="1" x="3118"/>
        <item m="1" x="3119"/>
        <item m="1" x="3120"/>
        <item m="1" x="3121"/>
        <item m="1" x="3122"/>
        <item m="1" x="3144"/>
        <item m="1" x="3123"/>
        <item m="1" x="2504"/>
        <item m="1" x="3145"/>
        <item m="1" x="3146"/>
        <item m="1" x="3124"/>
        <item m="1" x="3125"/>
        <item m="1" x="3126"/>
        <item m="1" x="3109"/>
        <item m="1" x="3110"/>
        <item m="1" x="3111"/>
        <item m="1" x="3112"/>
        <item m="1" x="3147"/>
        <item m="1" x="3148"/>
        <item m="1" x="3160"/>
        <item m="1" x="3161"/>
        <item m="1" x="3149"/>
        <item m="1" x="3150"/>
        <item m="1" x="3151"/>
        <item m="1" x="3113"/>
        <item m="1" x="3152"/>
        <item m="1" x="3114"/>
        <item m="1" x="3115"/>
        <item m="1" x="3107"/>
        <item m="1" x="3153"/>
        <item m="1" x="3074"/>
        <item m="1" x="3154"/>
        <item m="1" x="3155"/>
        <item m="1" x="3181"/>
        <item m="1" x="3182"/>
        <item m="1" x="3183"/>
        <item m="1" x="3108"/>
        <item m="1" x="3184"/>
        <item m="1" x="3127"/>
        <item m="1" x="3128"/>
        <item m="1" x="3185"/>
        <item m="1" x="3186"/>
        <item m="1" x="3059"/>
        <item m="1" x="3187"/>
        <item m="1" x="3188"/>
        <item m="1" x="3189"/>
        <item m="1" x="3190"/>
        <item m="1" x="3129"/>
        <item m="1" x="3191"/>
        <item m="1" x="3130"/>
        <item m="1" x="3192"/>
        <item m="1" x="3193"/>
        <item m="1" x="3194"/>
        <item m="1" x="3195"/>
        <item m="1" x="3196"/>
        <item m="1" x="3131"/>
        <item m="1" x="3197"/>
        <item m="1" x="3132"/>
        <item m="1" x="3060"/>
        <item m="1" x="3061"/>
        <item m="1" x="3062"/>
        <item m="1" x="3198"/>
        <item m="1" x="3063"/>
        <item m="1" x="3164"/>
        <item m="1" x="3165"/>
        <item m="1" x="3166"/>
        <item m="1" x="3167"/>
        <item m="1" x="3168"/>
        <item m="1" x="3169"/>
        <item m="1" x="3170"/>
        <item m="1" x="3171"/>
        <item m="1" x="3157"/>
        <item m="1" x="3172"/>
        <item m="1" x="3158"/>
        <item m="1" x="3173"/>
        <item m="1" x="3174"/>
        <item m="1" x="3175"/>
        <item m="1" x="3176"/>
        <item m="1" x="3177"/>
        <item m="1" x="3178"/>
        <item m="1" x="3179"/>
        <item m="1" x="3083"/>
        <item m="1" x="3084"/>
        <item m="1" x="3085"/>
        <item m="1" x="3180"/>
        <item m="1" x="3064"/>
        <item m="1" x="3086"/>
        <item m="1" x="3065"/>
        <item m="1" x="3087"/>
        <item m="1" x="3088"/>
        <item m="1" x="3075"/>
        <item m="1" x="3076"/>
        <item m="1" x="3156"/>
        <item m="1" x="3066"/>
        <item m="1" x="3089"/>
        <item m="1" x="3067"/>
        <item m="1" x="3090"/>
        <item m="1" x="3068"/>
        <item m="1" x="3077"/>
        <item m="1" x="3069"/>
        <item m="1" x="3091"/>
        <item m="1" x="3092"/>
        <item m="1" x="3093"/>
        <item m="1" x="3094"/>
        <item m="1" x="3095"/>
        <item m="1" x="3202"/>
        <item m="1" x="3096"/>
        <item m="1" x="3097"/>
        <item m="1" x="3201"/>
        <item m="1" x="3200"/>
        <item m="1" x="3199"/>
        <item m="1" x="3098"/>
        <item m="1" x="3099"/>
        <item m="1" x="3100"/>
        <item m="1" x="3101"/>
        <item m="1" x="3102"/>
        <item m="1" x="3103"/>
        <item m="1" x="3104"/>
        <item m="1" x="3078"/>
        <item m="1" x="3070"/>
        <item m="1" x="3079"/>
        <item m="1" x="3080"/>
        <item m="1" x="3245"/>
        <item m="1" x="3133"/>
        <item m="1" x="3071"/>
        <item m="1" x="3072"/>
        <item m="1" x="3159"/>
        <item m="1" x="3262"/>
        <item m="1" x="3073"/>
        <item m="1" x="3105"/>
        <item m="1" x="3106"/>
        <item m="1" x="3214"/>
        <item m="1" x="3215"/>
        <item m="1" x="3253"/>
        <item m="1" x="3216"/>
        <item m="1" x="3246"/>
        <item m="1" x="3260"/>
        <item m="1" x="3259"/>
        <item m="1" x="3258"/>
        <item m="1" x="3257"/>
        <item m="1" x="3217"/>
        <item m="1" x="3247"/>
        <item m="1" x="3243"/>
        <item m="1" x="3244"/>
        <item m="1" x="3256"/>
        <item m="1" x="3248"/>
        <item m="1" x="3249"/>
        <item m="1" x="3255"/>
        <item m="1" x="3239"/>
        <item m="1" x="3238"/>
        <item m="1" x="3237"/>
        <item m="1" x="3261"/>
        <item m="1" x="3218"/>
        <item m="1" x="3219"/>
        <item m="1" x="3236"/>
        <item m="1" x="3222"/>
        <item m="1" x="3263"/>
        <item m="1" x="3235"/>
        <item m="1" x="3234"/>
        <item m="1" x="3233"/>
        <item m="1" x="3220"/>
        <item m="1" x="3232"/>
        <item m="1" x="3231"/>
        <item m="1" x="3230"/>
        <item m="1" x="3212"/>
        <item m="1" x="3211"/>
        <item m="1" x="3210"/>
        <item m="1" x="3254"/>
        <item m="1" x="3229"/>
        <item m="1" x="3228"/>
        <item m="1" x="3227"/>
        <item m="1" x="3226"/>
        <item m="1" x="3209"/>
        <item m="1" x="3225"/>
        <item m="1" x="3208"/>
        <item m="1" x="3224"/>
        <item m="1" x="3204"/>
        <item m="1" x="3223"/>
        <item m="1" x="3240"/>
        <item m="1" x="3252"/>
        <item m="1" x="3251"/>
        <item m="1" x="3203"/>
        <item m="1" x="3221"/>
        <item m="1" x="3291"/>
        <item m="1" x="3205"/>
        <item m="1" x="3206"/>
        <item m="1" x="3276"/>
        <item m="1" x="3277"/>
        <item m="1" x="3250"/>
        <item m="1" x="3207"/>
        <item m="1" x="3241"/>
        <item m="1" x="3213"/>
        <item m="1" x="3242"/>
        <item m="1" x="3278"/>
        <item m="1" x="3279"/>
        <item m="1" x="3265"/>
        <item m="1" x="3280"/>
        <item m="1" x="3300"/>
        <item m="1" x="3292"/>
        <item m="1" x="3293"/>
        <item m="1" x="3294"/>
        <item m="1" x="3281"/>
        <item m="1" x="3282"/>
        <item m="1" x="3266"/>
        <item m="1" x="3283"/>
        <item m="1" x="3267"/>
        <item m="1" x="3299"/>
        <item m="1" x="3295"/>
        <item m="1" x="3264"/>
        <item m="1" x="3284"/>
        <item m="1" x="3268"/>
        <item m="1" x="3269"/>
        <item m="1" x="3297"/>
        <item m="1" x="3270"/>
        <item m="1" x="3296"/>
        <item m="1" x="3271"/>
        <item m="1" x="3285"/>
        <item m="1" x="3272"/>
        <item m="1" x="3286"/>
        <item m="1" x="3287"/>
        <item m="1" x="3288"/>
        <item m="1" x="3273"/>
        <item m="1" x="3274"/>
        <item m="1" x="3275"/>
        <item m="1" x="3289"/>
        <item m="1" x="3290"/>
        <item m="1" x="3313"/>
        <item m="1" x="3298"/>
        <item m="1" x="3314"/>
        <item m="1" x="3307"/>
        <item m="1" x="3308"/>
        <item m="1" x="3315"/>
        <item m="1" x="3309"/>
        <item m="1" x="3310"/>
        <item m="1" x="3316"/>
        <item m="1" x="3317"/>
        <item m="1" x="3331"/>
        <item m="1" x="3318"/>
        <item m="1" x="3332"/>
        <item m="1" x="3337"/>
        <item m="1" x="3319"/>
        <item m="1" x="3320"/>
        <item m="1" x="3321"/>
        <item m="1" x="3336"/>
        <item m="1" x="3322"/>
        <item m="1" x="3323"/>
        <item m="1" x="3324"/>
        <item m="1" x="3335"/>
        <item m="1" x="3325"/>
        <item m="1" x="3334"/>
        <item m="1" x="3333"/>
        <item m="1" x="3326"/>
        <item m="1" x="3327"/>
        <item m="1" x="3328"/>
        <item m="1" x="3329"/>
        <item m="1" x="3338"/>
        <item m="1" x="3301"/>
        <item m="1" x="3330"/>
        <item m="1" x="3311"/>
        <item m="1" x="3312"/>
        <item m="1" x="3302"/>
        <item m="1" x="3303"/>
        <item m="1" x="3304"/>
        <item m="1" x="3340"/>
        <item m="1" x="3305"/>
        <item m="1" x="3306"/>
        <item m="1" x="3339"/>
        <item m="1" x="3345"/>
        <item m="1" x="3347"/>
        <item m="1" x="3342"/>
        <item m="1" x="3341"/>
        <item m="1" x="3343"/>
        <item m="1" x="3346"/>
        <item m="1" x="3344"/>
        <item m="1" x="3357"/>
        <item m="1" x="3358"/>
        <item m="1" x="3364"/>
        <item m="1" x="3377"/>
        <item m="1" x="3376"/>
        <item m="1" x="3359"/>
        <item m="1" x="3360"/>
        <item m="1" x="3375"/>
        <item m="1" x="3365"/>
        <item m="1" x="3351"/>
        <item m="1" x="3350"/>
        <item m="1" x="3349"/>
        <item m="1" x="3366"/>
        <item m="1" x="3367"/>
        <item m="1" x="3361"/>
        <item m="1" x="3362"/>
        <item m="1" x="3368"/>
        <item m="1" x="3369"/>
        <item m="1" x="3370"/>
        <item m="1" x="3371"/>
        <item m="1" x="3372"/>
        <item m="1" x="3373"/>
        <item m="1" x="3363"/>
        <item m="1" x="3356"/>
        <item m="1" x="3348"/>
        <item m="1" x="3353"/>
        <item m="1" x="3355"/>
        <item m="1" x="3352"/>
        <item m="1" x="3374"/>
        <item m="1" x="3354"/>
        <item m="1" x="3388"/>
        <item m="1" x="3392"/>
        <item m="1" x="3393"/>
        <item m="1" x="3398"/>
        <item m="1" x="3394"/>
        <item m="1" x="3395"/>
        <item m="1" x="3396"/>
        <item m="1" x="3397"/>
        <item m="1" x="3401"/>
        <item m="1" x="3402"/>
        <item m="1" x="3403"/>
        <item m="1" x="3404"/>
        <item m="1" x="3405"/>
        <item m="1" x="3406"/>
        <item m="1" x="3407"/>
        <item m="1" x="3389"/>
        <item m="1" x="3408"/>
        <item m="1" x="3390"/>
        <item m="1" x="3399"/>
        <item m="1" x="3391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400"/>
        <item m="1" x="3412"/>
        <item m="1" x="3411"/>
        <item m="1" x="3410"/>
        <item m="1" x="3409"/>
        <item m="1" x="3414"/>
        <item m="1" x="3415"/>
        <item m="1" x="3423"/>
        <item m="1" x="3416"/>
        <item m="1" x="3413"/>
        <item m="1" x="3417"/>
        <item m="1" x="3424"/>
        <item m="1" x="3421"/>
        <item m="1" x="3418"/>
        <item m="1" x="3419"/>
        <item m="1" x="3422"/>
        <item m="1" x="3420"/>
        <item m="1" x="3427"/>
        <item m="1" x="3428"/>
        <item m="1" x="3430"/>
        <item m="1" x="3429"/>
        <item m="1" x="3425"/>
        <item m="1" x="3431"/>
        <item m="1" x="3432"/>
        <item m="1" x="3433"/>
        <item m="1" x="3434"/>
        <item m="1" x="3435"/>
        <item m="1" x="3436"/>
        <item m="1" x="3437"/>
        <item m="1" x="3426"/>
        <item m="1" x="3444"/>
        <item m="1" x="3438"/>
        <item m="1" x="3439"/>
        <item m="1" x="3442"/>
        <item m="1" x="3443"/>
        <item m="1" x="3440"/>
        <item m="1" x="3461"/>
        <item m="1" x="3460"/>
        <item m="1" x="3445"/>
        <item m="1" x="3459"/>
        <item m="1" x="3462"/>
        <item m="1" x="3454"/>
        <item m="1" x="3453"/>
        <item m="1" x="3452"/>
        <item m="1" x="3458"/>
        <item m="1" x="3451"/>
        <item m="1" x="3450"/>
        <item m="1" x="3449"/>
        <item m="1" x="3448"/>
        <item m="1" x="3447"/>
        <item m="1" x="3446"/>
        <item m="1" x="3457"/>
        <item m="1" x="3456"/>
        <item m="1" x="3469"/>
        <item m="1" x="3455"/>
        <item m="1" x="3465"/>
        <item m="1" x="3468"/>
        <item m="1" x="3466"/>
        <item m="1" x="3470"/>
        <item m="1" x="3471"/>
        <item m="1" x="3472"/>
        <item m="1" x="3463"/>
        <item m="1" x="3467"/>
        <item m="1" x="3464"/>
        <item m="1" x="3474"/>
        <item m="1" x="3475"/>
        <item m="1" x="3476"/>
        <item m="1" x="3477"/>
        <item m="1" x="3478"/>
        <item m="1" x="3479"/>
        <item m="1" x="3493"/>
        <item m="1" x="3483"/>
        <item m="1" x="3484"/>
        <item m="1" x="3485"/>
        <item m="1" x="3504"/>
        <item m="1" x="3505"/>
        <item m="1" x="3486"/>
        <item m="1" x="3480"/>
        <item m="1" x="3487"/>
        <item m="1" x="3481"/>
        <item m="1" x="3488"/>
        <item m="1" x="3494"/>
        <item m="1" x="3489"/>
        <item m="1" x="3495"/>
        <item m="1" x="3482"/>
        <item m="1" x="3496"/>
        <item m="1" x="3497"/>
        <item m="1" x="3498"/>
        <item m="1" x="3500"/>
        <item m="1" x="2404"/>
        <item m="1" x="3490"/>
        <item m="1" x="3491"/>
        <item m="1" x="3508"/>
        <item m="1" x="3509"/>
        <item m="1" x="3499"/>
        <item m="1" x="3492"/>
        <item m="1" x="3514"/>
        <item m="1" x="3473"/>
        <item m="1" x="3501"/>
        <item m="1" x="3502"/>
        <item m="1" x="3503"/>
        <item m="1" x="3515"/>
        <item m="1" x="3510"/>
        <item m="1" x="3522"/>
        <item m="1" x="3516"/>
        <item m="1" x="3523"/>
        <item m="1" x="3529"/>
        <item m="1" x="3517"/>
        <item m="1" x="3526"/>
        <item m="1" x="3518"/>
        <item m="1" x="3511"/>
        <item m="1" x="3527"/>
        <item m="1" x="3519"/>
        <item m="1" x="3512"/>
        <item m="1" x="3524"/>
        <item m="1" x="3520"/>
        <item m="1" x="3513"/>
        <item m="1" x="3528"/>
        <item m="1" x="3525"/>
        <item m="1" x="3521"/>
        <item m="1" x="3506"/>
        <item m="1" x="3507"/>
        <item m="1" x="2372"/>
        <item m="1" x="2351"/>
        <item m="1" x="2350"/>
        <item m="1" x="2349"/>
        <item m="1" x="2348"/>
        <item m="1" x="2368"/>
        <item m="1" x="2369"/>
        <item m="1" x="2370"/>
        <item m="1" x="2347"/>
        <item m="1" x="2346"/>
        <item m="1" x="2345"/>
        <item m="1" x="2344"/>
        <item m="1" x="2343"/>
        <item m="1" x="2342"/>
        <item m="1" x="2336"/>
        <item m="1" x="2335"/>
        <item m="1" x="2334"/>
        <item m="1" x="2332"/>
        <item m="1" x="2333"/>
        <item m="1" x="2337"/>
        <item m="1" x="2338"/>
        <item m="1" x="2339"/>
        <item m="1" x="2340"/>
        <item m="1" x="2341"/>
        <item m="1" x="2352"/>
        <item m="1" x="2353"/>
        <item m="1" x="2354"/>
        <item m="1" x="2371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4"/>
        <item m="1" x="2399"/>
        <item m="1" x="2400"/>
        <item m="1" x="2401"/>
        <item m="1" x="2402"/>
        <item m="1" x="2397"/>
        <item m="1" x="2398"/>
        <item m="1" x="2396"/>
        <item m="1" x="2393"/>
        <item m="1" x="2395"/>
        <item m="1" x="2403"/>
        <item m="1" x="2418"/>
        <item m="1" x="2406"/>
        <item m="1" x="2405"/>
        <item m="1" x="2416"/>
        <item m="1" x="2422"/>
        <item m="1" x="2407"/>
        <item m="1" x="2417"/>
        <item m="1" x="2415"/>
        <item m="1" x="2419"/>
        <item m="1" x="2420"/>
        <item m="1" x="2414"/>
        <item m="1" x="2413"/>
        <item m="1" x="2412"/>
        <item m="1" x="2411"/>
        <item m="1" x="2410"/>
        <item m="1" x="2409"/>
        <item m="1" x="2428"/>
        <item m="1" x="2429"/>
        <item m="1" x="2434"/>
        <item m="1" x="2435"/>
        <item m="1" x="2433"/>
        <item m="1" x="2421"/>
        <item m="1" x="2432"/>
        <item m="1" x="2431"/>
        <item m="1" x="2436"/>
        <item m="1" x="2430"/>
        <item m="1" x="2427"/>
        <item m="1" x="2423"/>
        <item m="1" x="2424"/>
        <item m="1" x="2425"/>
        <item m="1" x="2426"/>
        <item m="1" x="2441"/>
        <item m="1" x="2440"/>
        <item m="1" x="2439"/>
        <item m="1" x="2443"/>
        <item m="1" x="2437"/>
        <item m="1" x="2442"/>
        <item m="1" x="2438"/>
        <item m="1" x="2455"/>
        <item m="1" x="2448"/>
        <item m="1" x="2444"/>
        <item m="1" x="2447"/>
        <item m="1" x="2454"/>
        <item m="1" x="2451"/>
        <item m="1" x="2453"/>
        <item m="1" x="2452"/>
        <item m="1" x="2450"/>
        <item m="1" x="2446"/>
        <item m="1" x="2449"/>
        <item m="1" x="1830"/>
        <item m="1" x="2458"/>
        <item m="1" x="2461"/>
        <item m="1" x="2457"/>
        <item m="1" x="2460"/>
        <item m="1" x="2456"/>
        <item m="1" x="2459"/>
        <item m="1" x="2474"/>
        <item m="1" x="2469"/>
        <item m="1" x="2470"/>
        <item m="1" x="2468"/>
        <item m="1" x="2471"/>
        <item m="1" x="2473"/>
        <item m="1" x="2472"/>
        <item m="1" x="1816"/>
        <item m="1" x="2462"/>
        <item m="1" x="2463"/>
        <item m="1" x="2464"/>
        <item m="1" x="2465"/>
        <item m="1" x="2475"/>
        <item m="1" x="2476"/>
        <item m="1" x="2466"/>
        <item m="1" x="2467"/>
        <item m="1" x="2491"/>
        <item m="1" x="2487"/>
        <item m="1" x="2485"/>
        <item m="1" x="2483"/>
        <item m="1" x="2486"/>
        <item m="1" x="2484"/>
        <item m="1" x="2489"/>
        <item m="1" x="2488"/>
        <item m="1" x="2477"/>
        <item m="1" x="2490"/>
        <item m="1" x="2478"/>
        <item m="1" x="2479"/>
        <item m="1" x="2480"/>
        <item m="1" x="2481"/>
        <item m="1" x="2482"/>
        <item m="1" x="2492"/>
        <item m="1" x="2501"/>
        <item m="1" x="2499"/>
        <item m="1" x="2497"/>
        <item m="1" x="2503"/>
        <item m="1" x="2500"/>
        <item m="1" x="2498"/>
        <item m="1" x="2502"/>
        <item m="1" x="2526"/>
        <item m="1" x="2493"/>
        <item m="1" x="2494"/>
        <item m="1" x="2495"/>
        <item m="1" x="2496"/>
        <item m="1" x="2523"/>
        <item m="1" x="2522"/>
        <item m="1" x="2525"/>
        <item m="1" x="2521"/>
        <item m="1" x="2520"/>
        <item m="1" x="2519"/>
        <item m="1" x="2518"/>
        <item m="1" x="2517"/>
        <item m="1" x="2516"/>
        <item m="1" x="2515"/>
        <item m="1" x="2514"/>
        <item m="1" x="2513"/>
        <item m="1" x="2512"/>
        <item m="1" x="2511"/>
        <item m="1" x="2510"/>
        <item m="1" x="2509"/>
        <item m="1" x="2508"/>
        <item m="1" x="2507"/>
        <item m="1" x="2506"/>
        <item m="1" x="2505"/>
        <item m="1" x="2524"/>
        <item m="1" x="2527"/>
        <item m="1" x="2529"/>
        <item m="1" x="2528"/>
        <item m="1" x="2530"/>
        <item m="1" x="2543"/>
        <item m="1" x="2540"/>
        <item m="1" x="2545"/>
        <item m="1" x="2542"/>
        <item m="1" x="2541"/>
        <item m="1" x="2531"/>
        <item m="1" x="2532"/>
        <item m="1" x="2533"/>
        <item m="1" x="2534"/>
        <item m="1" x="2535"/>
        <item m="1" x="2544"/>
        <item m="1" x="2536"/>
        <item m="1" x="2537"/>
        <item m="1" x="2538"/>
        <item m="1" x="2539"/>
        <item m="1" x="2554"/>
        <item m="1" x="2547"/>
        <item m="1" x="2553"/>
        <item m="1" x="2552"/>
        <item m="1" x="2551"/>
        <item m="1" x="2550"/>
        <item m="1" x="2549"/>
        <item m="1" x="2548"/>
        <item m="1" x="2546"/>
        <item m="1" x="2556"/>
        <item m="1" x="2555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7"/>
        <item m="1" x="2574"/>
        <item m="1" x="2575"/>
        <item m="1" x="2573"/>
        <item m="1" x="2571"/>
        <item m="1" x="2580"/>
        <item m="1" x="2579"/>
        <item m="1" x="2572"/>
        <item m="1" x="2578"/>
        <item m="1" x="2570"/>
        <item m="1" x="2576"/>
        <item m="1" x="2581"/>
        <item m="1" x="2590"/>
        <item m="1" x="2591"/>
        <item m="1" x="2584"/>
        <item m="1" x="2585"/>
        <item m="1" x="2586"/>
        <item m="1" x="2587"/>
        <item m="1" x="2588"/>
        <item m="1" x="2583"/>
        <item m="1" x="2589"/>
        <item m="1" x="2582"/>
        <item m="1" x="1798"/>
        <item m="1" x="1799"/>
        <item m="1" x="1819"/>
        <item m="1" x="1800"/>
        <item m="1" x="1810"/>
        <item m="1" x="1801"/>
        <item m="1" x="1802"/>
        <item m="1" x="1803"/>
        <item m="1" x="1811"/>
        <item m="1" x="1804"/>
        <item m="1" x="1812"/>
        <item m="1" x="1805"/>
        <item m="1" x="1813"/>
        <item m="1" x="1806"/>
        <item m="1" x="1807"/>
        <item m="1" x="1817"/>
        <item m="1" x="1808"/>
        <item m="1" x="1814"/>
        <item m="1" x="1818"/>
        <item m="1" x="1815"/>
        <item m="1" x="1809"/>
        <item m="1" x="1821"/>
        <item m="1" x="1820"/>
        <item m="1" x="1834"/>
        <item m="1" x="1832"/>
        <item m="1" x="1823"/>
        <item m="1" x="1831"/>
        <item m="1" x="1822"/>
        <item m="1" x="1824"/>
        <item m="1" x="1826"/>
        <item m="1" x="1829"/>
        <item m="1" x="1833"/>
        <item m="1" x="1828"/>
        <item m="1" x="1825"/>
        <item m="1" x="1827"/>
        <item m="1" x="1836"/>
        <item m="1" x="1837"/>
        <item m="1" x="1838"/>
        <item m="1" x="1839"/>
        <item m="1" x="1842"/>
        <item m="1" x="1841"/>
        <item m="1" x="1843"/>
        <item m="1" x="1835"/>
        <item m="1" x="1840"/>
        <item m="1" x="1847"/>
        <item m="1" x="1846"/>
        <item m="1" x="1849"/>
        <item m="1" x="1848"/>
        <item m="1" x="1845"/>
        <item m="1" x="1844"/>
        <item m="1" x="1851"/>
        <item m="1" x="1852"/>
        <item m="1" x="1853"/>
        <item m="1" x="1850"/>
        <item m="1" x="1854"/>
        <item m="1" x="1857"/>
        <item m="1" x="1855"/>
        <item m="1" x="1870"/>
        <item m="1" x="1869"/>
        <item m="1" x="1856"/>
        <item m="1" x="1863"/>
        <item m="1" x="1862"/>
        <item m="1" x="1871"/>
        <item m="1" x="1868"/>
        <item m="1" x="1867"/>
        <item m="1" x="1861"/>
        <item m="1" x="1860"/>
        <item m="1" x="1858"/>
        <item m="1" x="1866"/>
        <item m="1" x="1865"/>
        <item m="1" x="1859"/>
        <item m="1" x="1864"/>
        <item m="1" x="1877"/>
        <item m="1" x="1878"/>
        <item m="1" x="1882"/>
        <item m="1" x="1880"/>
        <item m="1" x="1881"/>
        <item m="1" x="1876"/>
        <item m="1" x="1879"/>
        <item m="1" x="1872"/>
        <item m="1" x="1873"/>
        <item m="1" x="1874"/>
        <item m="1" x="1875"/>
        <item m="1" x="1891"/>
        <item m="1" x="1889"/>
        <item m="1" x="1887"/>
        <item m="1" x="1888"/>
        <item m="1" x="1892"/>
        <item m="1" x="1890"/>
        <item m="1" x="1883"/>
        <item m="1" x="1884"/>
        <item m="1" x="1885"/>
        <item m="1" x="1886"/>
        <item m="1" x="1893"/>
        <item m="1" x="1896"/>
        <item m="1" x="1895"/>
        <item m="1" x="1894"/>
        <item m="1" x="1898"/>
        <item m="1" x="1897"/>
        <item m="1" x="1902"/>
        <item m="1" x="1901"/>
        <item m="1" x="1906"/>
        <item m="1" x="1899"/>
        <item m="1" x="1903"/>
        <item m="1" x="1904"/>
        <item m="1" x="1905"/>
        <item m="1" x="1900"/>
        <item m="1" x="1912"/>
        <item m="1" x="1917"/>
        <item m="1" x="1913"/>
        <item m="1" x="1918"/>
        <item m="1" x="1919"/>
        <item m="1" x="1914"/>
        <item m="1" x="1268"/>
        <item m="1" x="1922"/>
        <item m="1" x="1915"/>
        <item m="1" x="1923"/>
        <item m="1" x="1920"/>
        <item m="1" x="1924"/>
        <item m="1" x="1916"/>
        <item m="1" x="1921"/>
        <item m="1" x="1907"/>
        <item m="1" x="1908"/>
        <item m="1" x="1909"/>
        <item m="1" x="1910"/>
        <item m="1" x="1911"/>
        <item m="1" x="1939"/>
        <item m="1" x="1938"/>
        <item m="1" x="1936"/>
        <item m="1" x="1935"/>
        <item m="1" x="1934"/>
        <item m="1" x="1933"/>
        <item m="1" x="1932"/>
        <item m="1" x="1931"/>
        <item m="1" x="1930"/>
        <item m="1" x="1929"/>
        <item m="1" x="1928"/>
        <item m="1" x="1927"/>
        <item m="1" x="1926"/>
        <item m="1" x="1937"/>
        <item m="1" x="1925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42"/>
        <item m="1" x="1941"/>
        <item m="1" x="1940"/>
        <item m="1" x="2063"/>
        <item m="1" x="2058"/>
        <item m="1" x="2057"/>
        <item m="1" x="2056"/>
        <item m="1" x="2055"/>
        <item m="1" x="2054"/>
        <item m="1" x="2053"/>
        <item m="1" x="2052"/>
        <item m="1" x="2051"/>
        <item m="1" x="2050"/>
        <item m="1" x="2049"/>
        <item m="1" x="2048"/>
        <item m="1" x="2047"/>
        <item m="1" x="2046"/>
        <item m="1" x="2045"/>
        <item m="1" x="2044"/>
        <item m="1" x="2043"/>
        <item m="1" x="2042"/>
        <item m="1" x="2041"/>
        <item m="1" x="2040"/>
        <item m="1" x="2039"/>
        <item m="1" x="2038"/>
        <item m="1" x="2037"/>
        <item m="1" x="2036"/>
        <item m="1" x="2035"/>
        <item m="1" x="2034"/>
        <item m="1" x="2033"/>
        <item m="1" x="2032"/>
        <item m="1" x="2031"/>
        <item m="1" x="2067"/>
        <item m="1" x="2103"/>
        <item m="1" x="2102"/>
        <item m="1" x="2101"/>
        <item m="1" x="2100"/>
        <item m="1" x="2099"/>
        <item m="1" x="2098"/>
        <item m="1" x="2097"/>
        <item m="1" x="2096"/>
        <item m="1" x="2095"/>
        <item m="1" x="2094"/>
        <item m="1" x="2093"/>
        <item m="1" x="2092"/>
        <item m="1" x="2091"/>
        <item m="1" x="2090"/>
        <item m="1" x="2089"/>
        <item m="1" x="2062"/>
        <item m="1" x="2088"/>
        <item m="1" x="2087"/>
        <item m="1" x="2086"/>
        <item m="1" x="2085"/>
        <item m="1" x="2084"/>
        <item m="1" x="2083"/>
        <item m="1" x="2082"/>
        <item m="1" x="2081"/>
        <item m="1" x="2080"/>
        <item m="1" x="2079"/>
        <item m="1" x="2078"/>
        <item m="1" x="2077"/>
        <item m="1" x="2076"/>
        <item m="1" x="2075"/>
        <item m="1" x="2074"/>
        <item m="1" x="2073"/>
        <item m="1" x="2072"/>
        <item m="1" x="2071"/>
        <item m="1" x="2070"/>
        <item m="1" x="2069"/>
        <item m="1" x="2068"/>
        <item m="1" x="1993"/>
        <item m="1" x="1992"/>
        <item m="1" x="1991"/>
        <item m="1" x="1990"/>
        <item m="1" x="1989"/>
        <item m="1" x="1988"/>
        <item m="1" x="1987"/>
        <item m="1" x="1986"/>
        <item m="1" x="1985"/>
        <item m="1" x="1984"/>
        <item m="1" x="1983"/>
        <item m="1" x="1982"/>
        <item m="1" x="1981"/>
        <item m="1" x="1980"/>
        <item m="1" x="1979"/>
        <item m="1" x="1978"/>
        <item m="1" x="1977"/>
        <item m="1" x="1976"/>
        <item m="1" x="1958"/>
        <item m="1" x="1959"/>
        <item m="1" x="1960"/>
        <item m="1" x="1961"/>
        <item m="1" x="2142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94"/>
        <item m="1" x="2030"/>
        <item m="1" x="2029"/>
        <item m="1" x="2028"/>
        <item m="1" x="2027"/>
        <item m="1" x="2026"/>
        <item m="1" x="2025"/>
        <item m="1" x="2024"/>
        <item m="1" x="2023"/>
        <item m="1" x="2022"/>
        <item m="1" x="2021"/>
        <item m="1" x="2020"/>
        <item m="1" x="2019"/>
        <item m="1" x="2018"/>
        <item m="1" x="2017"/>
        <item m="1" x="2061"/>
        <item m="1" x="2016"/>
        <item m="1" x="2015"/>
        <item m="1" x="2014"/>
        <item m="1" x="2013"/>
        <item m="1" x="2012"/>
        <item m="1" x="2011"/>
        <item m="1" x="2010"/>
        <item m="1" x="2009"/>
        <item m="1" x="2008"/>
        <item m="1" x="2007"/>
        <item m="1" x="2006"/>
        <item m="1" x="2005"/>
        <item m="1" x="2247"/>
        <item m="1" x="2004"/>
        <item m="1" x="2003"/>
        <item m="1" x="2002"/>
        <item m="1" x="1995"/>
        <item m="1" x="1996"/>
        <item m="1" x="1997"/>
        <item m="1" x="1998"/>
        <item m="1" x="1999"/>
        <item m="1" x="2000"/>
        <item m="1" x="2001"/>
        <item m="1" x="2209"/>
        <item m="1" x="2208"/>
        <item m="1" x="2207"/>
        <item m="1" x="2206"/>
        <item m="1" x="2205"/>
        <item m="1" x="2204"/>
        <item m="1" x="2203"/>
        <item m="1" x="2202"/>
        <item m="1" x="2201"/>
        <item m="1" x="2200"/>
        <item m="1" x="2199"/>
        <item m="1" x="2198"/>
        <item m="1" x="2197"/>
        <item m="1" x="2196"/>
        <item m="1" x="2195"/>
        <item m="1" x="2194"/>
        <item m="1" x="2193"/>
        <item m="1" x="2192"/>
        <item m="1" x="2191"/>
        <item m="1" x="2190"/>
        <item m="1" x="2189"/>
        <item m="1" x="2188"/>
        <item m="1" x="2187"/>
        <item m="1" x="2186"/>
        <item m="1" x="2185"/>
        <item m="1" x="2184"/>
        <item m="1" x="2183"/>
        <item m="1" x="2182"/>
        <item m="1" x="2181"/>
        <item m="1" x="2180"/>
        <item m="1" x="2179"/>
        <item m="1" x="2178"/>
        <item m="1" x="2177"/>
        <item m="1" x="2176"/>
        <item m="1" x="2175"/>
        <item m="1" x="2174"/>
        <item m="1" x="2210"/>
        <item m="1" x="2246"/>
        <item m="1" x="2245"/>
        <item m="1" x="2244"/>
        <item m="1" x="2243"/>
        <item m="1" x="2242"/>
        <item m="1" x="2241"/>
        <item m="1" x="2240"/>
        <item m="1" x="2239"/>
        <item m="1" x="2238"/>
        <item m="1" x="2237"/>
        <item m="1" x="2236"/>
        <item m="1" x="2235"/>
        <item m="1" x="2234"/>
        <item m="1" x="2233"/>
        <item m="1" x="2232"/>
        <item m="1" x="2231"/>
        <item m="1" x="2230"/>
        <item m="1" x="2229"/>
        <item m="1" x="2228"/>
        <item m="1" x="2227"/>
        <item m="1" x="2226"/>
        <item m="1" x="2225"/>
        <item m="1" x="2224"/>
        <item m="1" x="2223"/>
        <item m="1" x="2222"/>
        <item m="1" x="2221"/>
        <item m="1" x="2220"/>
        <item m="1" x="2219"/>
        <item m="1" x="2218"/>
        <item m="1" x="2217"/>
        <item m="1" x="2216"/>
        <item m="1" x="2215"/>
        <item m="1" x="2214"/>
        <item m="1" x="2213"/>
        <item m="1" x="2212"/>
        <item m="1" x="2211"/>
        <item m="1" x="2139"/>
        <item m="1" x="2138"/>
        <item m="1" x="2137"/>
        <item m="1" x="2136"/>
        <item m="1" x="2135"/>
        <item m="1" x="2134"/>
        <item m="1" x="2060"/>
        <item m="1" x="2133"/>
        <item m="1" x="2132"/>
        <item m="1" x="2059"/>
        <item m="1" x="2131"/>
        <item m="1" x="2130"/>
        <item m="1" x="2129"/>
        <item m="1" x="2128"/>
        <item m="1" x="2127"/>
        <item m="1" x="2126"/>
        <item m="1" x="2125"/>
        <item m="1" x="2124"/>
        <item m="1" x="2123"/>
        <item m="1" x="2122"/>
        <item m="1" x="2121"/>
        <item m="1" x="2120"/>
        <item m="1" x="2119"/>
        <item m="1" x="2118"/>
        <item m="1" x="2117"/>
        <item m="1" x="2116"/>
        <item m="1" x="2115"/>
        <item m="1" x="2114"/>
        <item m="1" x="2113"/>
        <item m="1" x="2112"/>
        <item m="1" x="2111"/>
        <item m="1" x="2110"/>
        <item m="1" x="2109"/>
        <item m="1" x="2108"/>
        <item m="1" x="2107"/>
        <item m="1" x="2106"/>
        <item m="1" x="2105"/>
        <item m="1" x="2104"/>
        <item m="1" x="2141"/>
        <item m="1" x="2140"/>
        <item m="1" x="2173"/>
        <item m="1" x="2172"/>
        <item m="1" x="2171"/>
        <item m="1" x="2170"/>
        <item m="1" x="2169"/>
        <item m="1" x="2168"/>
        <item m="1" x="2167"/>
        <item m="1" x="2166"/>
        <item m="1" x="2165"/>
        <item m="1" x="2164"/>
        <item m="1" x="2163"/>
        <item m="1" x="2162"/>
        <item m="1" x="2161"/>
        <item m="1" x="2160"/>
        <item m="1" x="2159"/>
        <item m="1" x="2158"/>
        <item m="1" x="2157"/>
        <item m="1" x="2156"/>
        <item m="1" x="2155"/>
        <item m="1" x="2154"/>
        <item m="1" x="2153"/>
        <item m="1" x="2152"/>
        <item m="1" x="2151"/>
        <item m="1" x="2150"/>
        <item m="1" x="2149"/>
        <item m="1" x="2148"/>
        <item m="1" x="2147"/>
        <item m="1" x="2146"/>
        <item m="1" x="2145"/>
        <item m="1" x="2144"/>
        <item m="1" x="2143"/>
        <item m="1" x="2066"/>
        <item m="1" x="2065"/>
        <item m="1" x="2064"/>
        <item m="1" x="2248"/>
        <item m="1" x="2249"/>
        <item m="1" x="2254"/>
        <item m="1" x="2255"/>
        <item m="1" x="2256"/>
        <item m="1" x="2257"/>
        <item m="1" x="2258"/>
        <item m="1" x="2259"/>
        <item m="1" x="2260"/>
        <item m="1" x="2274"/>
        <item m="1" x="2287"/>
        <item m="1" x="2286"/>
        <item m="1" x="2285"/>
        <item m="1" x="2251"/>
        <item m="1" x="2284"/>
        <item m="1" x="2283"/>
        <item m="1" x="2282"/>
        <item m="1" x="2281"/>
        <item m="1" x="2280"/>
        <item m="1" x="2279"/>
        <item m="1" x="2278"/>
        <item m="1" x="2277"/>
        <item m="1" x="2276"/>
        <item m="1" x="2275"/>
        <item m="1" x="2273"/>
        <item m="1" x="2272"/>
        <item m="1" x="2271"/>
        <item m="1" x="2270"/>
        <item m="1" x="2269"/>
        <item m="1" x="2268"/>
        <item m="1" x="2267"/>
        <item m="1" x="2266"/>
        <item m="1" x="2265"/>
        <item m="1" x="2264"/>
        <item m="1" x="2263"/>
        <item m="1" x="2262"/>
        <item m="1" x="2261"/>
        <item m="1" x="2288"/>
        <item m="1" x="2250"/>
        <item m="1" x="2253"/>
        <item m="1" x="2252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11"/>
        <item m="1" x="2313"/>
        <item m="1" x="2306"/>
        <item m="1" x="2307"/>
        <item m="1" x="2308"/>
        <item m="1" x="2309"/>
        <item m="1" x="2312"/>
        <item m="1" x="2310"/>
        <item m="1" x="2301"/>
        <item m="1" x="2302"/>
        <item m="1" x="2303"/>
        <item m="1" x="2304"/>
        <item m="1" x="2305"/>
        <item m="1" x="2316"/>
        <item m="1" x="2315"/>
        <item m="1" x="2321"/>
        <item m="1" x="2320"/>
        <item m="1" x="2314"/>
        <item m="1" x="2317"/>
        <item m="1" x="2318"/>
        <item m="1" x="2319"/>
        <item m="1" x="2328"/>
        <item m="1" x="2324"/>
        <item m="1" x="2326"/>
        <item m="1" x="2327"/>
        <item m="1" x="2322"/>
        <item m="1" x="2325"/>
        <item m="1" x="2329"/>
        <item m="1" x="2323"/>
        <item m="1" x="2330"/>
        <item m="1" x="1269"/>
        <item m="1" x="2331"/>
        <item m="1" x="1263"/>
        <item m="1" x="1262"/>
        <item m="1" x="1261"/>
        <item m="1" x="1260"/>
        <item m="1" x="1259"/>
        <item m="1" x="1258"/>
        <item m="1" x="1257"/>
        <item m="1" x="1256"/>
        <item m="1" x="1255"/>
        <item m="1" x="1254"/>
        <item m="1" x="1253"/>
        <item m="1" x="1252"/>
        <item m="1" x="1251"/>
        <item m="1" x="1250"/>
        <item m="1" x="1249"/>
        <item m="1" x="1248"/>
        <item m="1" x="1247"/>
        <item m="1" x="1246"/>
        <item m="1" x="1245"/>
        <item m="1" x="1244"/>
        <item m="1" x="1243"/>
        <item m="1" x="1242"/>
        <item m="1" x="1241"/>
        <item m="1" x="1240"/>
        <item m="1" x="1239"/>
        <item m="1" x="1238"/>
        <item m="1" x="1237"/>
        <item m="1" x="1236"/>
        <item m="1" x="1235"/>
        <item m="1" x="1234"/>
        <item m="1" x="1267"/>
        <item m="1" x="1300"/>
        <item m="1" x="1299"/>
        <item m="1" x="1298"/>
        <item m="1" x="1297"/>
        <item m="1" x="1296"/>
        <item m="1" x="1295"/>
        <item m="1" x="1294"/>
        <item m="1" x="1293"/>
        <item m="1" x="1292"/>
        <item m="1" x="1291"/>
        <item m="1" x="1290"/>
        <item m="1" x="1272"/>
        <item m="1" x="1289"/>
        <item m="1" x="1288"/>
        <item m="1" x="1287"/>
        <item m="1" x="1271"/>
        <item m="1" x="1286"/>
        <item m="1" x="1285"/>
        <item m="1" x="1284"/>
        <item m="1" x="1270"/>
        <item m="1" x="1283"/>
        <item m="1" x="1282"/>
        <item m="1" x="1281"/>
        <item m="1" x="1280"/>
        <item m="1" x="1279"/>
        <item m="1" x="1278"/>
        <item m="1" x="1277"/>
        <item m="1" x="1276"/>
        <item m="1" x="1275"/>
        <item m="1" x="1274"/>
        <item m="1" x="1273"/>
        <item m="1" x="1265"/>
        <item m="1" x="1264"/>
        <item m="1" x="1315"/>
        <item m="1" x="1314"/>
        <item m="1" x="1331"/>
        <item m="1" x="1313"/>
        <item m="1" x="1312"/>
        <item m="1" x="1305"/>
        <item m="1" x="1304"/>
        <item m="1" x="1303"/>
        <item m="1" x="1330"/>
        <item m="1" x="1301"/>
        <item m="1" x="1329"/>
        <item m="1" x="1302"/>
        <item m="1" x="1306"/>
        <item m="1" x="1328"/>
        <item m="1" x="1327"/>
        <item m="1" x="1307"/>
        <item m="1" x="1308"/>
        <item m="1" x="1309"/>
        <item m="1" x="1326"/>
        <item m="1" x="1310"/>
        <item m="1" x="1311"/>
        <item m="1" x="1339"/>
        <item m="1" x="1318"/>
        <item m="1" x="1324"/>
        <item m="1" x="1338"/>
        <item m="1" x="1340"/>
        <item m="1" x="1337"/>
        <item m="1" x="1336"/>
        <item m="1" x="1325"/>
        <item m="1" x="1317"/>
        <item m="1" x="1316"/>
        <item m="1" x="1335"/>
        <item m="1" x="1334"/>
        <item m="1" x="1333"/>
        <item m="1" x="1341"/>
        <item m="1" x="1342"/>
        <item m="1" x="1332"/>
        <item m="1" x="1358"/>
        <item m="1" x="1323"/>
        <item m="1" x="1322"/>
        <item m="1" x="1356"/>
        <item m="1" x="1378"/>
        <item m="1" x="1382"/>
        <item m="1" x="1321"/>
        <item m="1" x="1320"/>
        <item m="1" x="1319"/>
        <item m="1" x="1381"/>
        <item m="1" x="1380"/>
        <item m="1" x="1357"/>
        <item m="1" x="1379"/>
        <item m="1" x="1377"/>
        <item m="1" x="1376"/>
        <item m="1" x="1383"/>
        <item m="1" x="1375"/>
        <item m="1" x="1374"/>
        <item m="1" x="1373"/>
        <item m="1" x="1372"/>
        <item m="1" x="1371"/>
        <item m="1" x="1370"/>
        <item m="1" x="1369"/>
        <item m="1" x="1368"/>
        <item m="1" x="1367"/>
        <item m="1" x="1366"/>
        <item m="1" x="1365"/>
        <item m="1" x="1364"/>
        <item m="1" x="1363"/>
        <item m="1" x="1362"/>
        <item m="1" x="1361"/>
        <item m="1" x="1360"/>
        <item m="1" x="1359"/>
        <item m="1" x="1343"/>
        <item m="1" x="1344"/>
        <item m="1" x="1345"/>
        <item m="1" x="1346"/>
        <item m="1" x="1347"/>
        <item m="1" x="1348"/>
        <item m="1" x="1349"/>
        <item m="1" x="1384"/>
        <item m="1" x="1350"/>
        <item m="1" x="1351"/>
        <item m="1" x="1352"/>
        <item m="1" x="1353"/>
        <item m="1" x="1354"/>
        <item m="1" x="1355"/>
        <item m="1" x="1411"/>
        <item m="1" x="1410"/>
        <item m="1" x="1409"/>
        <item m="1" x="1408"/>
        <item m="1" x="1407"/>
        <item m="1" x="1406"/>
        <item m="1" x="1412"/>
        <item m="1" x="1405"/>
        <item m="1" x="1404"/>
        <item m="1" x="1403"/>
        <item m="1" x="1402"/>
        <item m="1" x="1401"/>
        <item m="1" x="1400"/>
        <item m="1" x="1399"/>
        <item m="1" x="1398"/>
        <item m="1" x="1397"/>
        <item m="1" x="1396"/>
        <item m="1" x="1395"/>
        <item m="1" x="1386"/>
        <item m="1" x="1394"/>
        <item m="1" x="1393"/>
        <item m="1" x="1392"/>
        <item m="1" x="1391"/>
        <item m="1" x="1390"/>
        <item m="1" x="1389"/>
        <item m="1" x="1388"/>
        <item m="1" x="1385"/>
        <item m="1" x="1387"/>
        <item m="1" x="1420"/>
        <item m="1" x="1421"/>
        <item m="1" x="1419"/>
        <item m="1" x="1418"/>
        <item m="1" x="1417"/>
        <item m="1" x="1416"/>
        <item m="1" x="1415"/>
        <item m="1" x="1437"/>
        <item m="1" x="1414"/>
        <item m="1" x="1438"/>
        <item m="1" x="1439"/>
        <item m="1" x="1427"/>
        <item m="1" x="1428"/>
        <item m="1" x="1426"/>
        <item m="1" x="1443"/>
        <item m="1" x="1429"/>
        <item m="1" x="1430"/>
        <item m="1" x="1431"/>
        <item m="1" x="1432"/>
        <item m="1" x="1440"/>
        <item m="1" x="1441"/>
        <item m="1" x="1433"/>
        <item m="1" x="1434"/>
        <item m="1" x="1435"/>
        <item m="1" x="1442"/>
        <item m="1" x="1436"/>
        <item m="1" x="1471"/>
        <item m="1" x="1470"/>
        <item m="1" x="1422"/>
        <item m="1" x="1423"/>
        <item m="1" x="1469"/>
        <item m="1" x="1424"/>
        <item m="1" x="1425"/>
        <item m="1" x="1468"/>
        <item m="1" x="1467"/>
        <item m="1" x="1466"/>
        <item m="1" x="1465"/>
        <item m="1" x="1464"/>
        <item m="1" x="1463"/>
        <item m="1" x="1462"/>
        <item m="1" x="1461"/>
        <item m="1" x="1460"/>
        <item m="1" x="1459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503"/>
        <item m="1" x="1455"/>
        <item m="1" x="1506"/>
        <item m="1" x="1456"/>
        <item m="1" x="1457"/>
        <item m="1" x="1458"/>
        <item m="1" x="1473"/>
        <item m="1" x="1502"/>
        <item m="1" x="1472"/>
        <item m="1" x="1501"/>
        <item m="1" x="1500"/>
        <item m="1" x="1499"/>
        <item m="1" x="1498"/>
        <item m="1" x="1497"/>
        <item m="1" x="1496"/>
        <item m="1" x="1505"/>
        <item m="1" x="1495"/>
        <item m="1" x="1494"/>
        <item m="1" x="1504"/>
        <item m="1" x="1493"/>
        <item m="1" x="1492"/>
        <item m="1" x="1491"/>
        <item m="1" x="1490"/>
        <item m="1" x="1489"/>
        <item m="1" x="1488"/>
        <item m="1" x="1487"/>
        <item m="1" x="1486"/>
        <item m="1" x="1485"/>
        <item m="1" x="1484"/>
        <item m="1" x="1483"/>
        <item m="1" x="1482"/>
        <item m="1" x="1481"/>
        <item m="1" x="1480"/>
        <item m="1" x="1479"/>
        <item m="1" x="1478"/>
        <item m="1" x="1477"/>
        <item m="1" x="1476"/>
        <item m="1" x="1475"/>
        <item m="1" x="1474"/>
        <item m="1" x="1530"/>
        <item m="1" x="1529"/>
        <item m="1" x="1528"/>
        <item m="1" x="1527"/>
        <item m="1" x="1526"/>
        <item m="1" x="1525"/>
        <item m="1" x="1524"/>
        <item m="1" x="1523"/>
        <item m="1" x="1522"/>
        <item m="1" x="1521"/>
        <item m="1" x="1520"/>
        <item m="1" x="1519"/>
        <item m="1" x="1518"/>
        <item m="1" x="1517"/>
        <item m="1" x="1516"/>
        <item m="1" x="1515"/>
        <item m="1" x="1514"/>
        <item m="1" x="1513"/>
        <item m="1" x="1512"/>
        <item m="1" x="1511"/>
        <item m="1" x="1510"/>
        <item m="1" x="1509"/>
        <item m="1" x="1508"/>
        <item m="1" x="1507"/>
        <item m="1" x="1531"/>
        <item m="1" x="1532"/>
        <item m="1" x="1555"/>
        <item m="1" x="1554"/>
        <item m="1" x="1553"/>
        <item m="1" x="1552"/>
        <item m="1" x="1551"/>
        <item m="1" x="1550"/>
        <item m="1" x="1549"/>
        <item m="1" x="1548"/>
        <item m="1" x="1547"/>
        <item m="1" x="1546"/>
        <item m="1" x="1545"/>
        <item m="1" x="1544"/>
        <item m="1" x="1543"/>
        <item m="1" x="1542"/>
        <item m="1" x="1541"/>
        <item m="1" x="1540"/>
        <item m="1" x="1539"/>
        <item m="1" x="1538"/>
        <item m="1" x="1537"/>
        <item m="1" x="1536"/>
        <item m="1" x="1535"/>
        <item m="1" x="1534"/>
        <item m="1" x="1533"/>
        <item m="1" x="1577"/>
        <item m="1" x="1576"/>
        <item m="1" x="1575"/>
        <item m="1" x="1556"/>
        <item m="1" x="1574"/>
        <item m="1" x="1573"/>
        <item m="1" x="1572"/>
        <item m="1" x="1578"/>
        <item m="1" x="1571"/>
        <item m="1" x="1570"/>
        <item m="1" x="1569"/>
        <item m="1" x="1568"/>
        <item m="1" x="1567"/>
        <item m="1" x="1566"/>
        <item m="1" x="1565"/>
        <item m="1" x="1564"/>
        <item m="1" x="1563"/>
        <item m="1" x="1562"/>
        <item m="1" x="1561"/>
        <item m="1" x="1560"/>
        <item m="1" x="1559"/>
        <item m="1" x="1579"/>
        <item m="1" x="1558"/>
        <item m="1" x="1557"/>
        <item m="1" x="1588"/>
        <item m="1" x="1587"/>
        <item m="1" x="1586"/>
        <item m="1" x="1585"/>
        <item m="1" x="1584"/>
        <item m="1" x="1591"/>
        <item m="1" x="1583"/>
        <item m="1" x="1582"/>
        <item m="1" x="1581"/>
        <item m="1" x="1610"/>
        <item m="1" x="1611"/>
        <item m="1" x="1602"/>
        <item m="1" x="1580"/>
        <item m="1" x="1609"/>
        <item m="1" x="1603"/>
        <item m="1" x="1598"/>
        <item m="1" x="1604"/>
        <item m="1" x="1605"/>
        <item m="1" x="1599"/>
        <item m="1" x="1612"/>
        <item m="1" x="1606"/>
        <item m="1" x="1590"/>
        <item m="1" x="1600"/>
        <item m="1" x="1589"/>
        <item m="1" x="1607"/>
        <item m="1" x="1608"/>
        <item m="1" x="1601"/>
        <item m="1" x="1597"/>
        <item m="1" x="1596"/>
        <item m="1" x="1595"/>
        <item m="1" x="1594"/>
        <item m="1" x="1593"/>
        <item m="1" x="1592"/>
        <item m="1" x="1619"/>
        <item m="1" x="1620"/>
        <item m="1" x="1621"/>
        <item m="1" x="1622"/>
        <item m="1" x="1623"/>
        <item m="1" x="1624"/>
        <item m="1" x="1635"/>
        <item m="1" x="1617"/>
        <item m="1" x="1631"/>
        <item m="1" x="1625"/>
        <item m="1" x="1626"/>
        <item m="1" x="1627"/>
        <item m="1" x="1636"/>
        <item m="1" x="1618"/>
        <item m="1" x="1628"/>
        <item m="1" x="1632"/>
        <item m="1" x="1633"/>
        <item m="1" x="1629"/>
        <item m="1" x="1630"/>
        <item m="1" x="1634"/>
        <item m="1" x="1613"/>
        <item m="1" x="1614"/>
        <item m="1" x="1615"/>
        <item m="1" x="1616"/>
        <item m="1" x="1646"/>
        <item m="1" x="1648"/>
        <item m="1" x="1649"/>
        <item m="1" x="1656"/>
        <item m="1" x="1650"/>
        <item m="1" x="1644"/>
        <item m="1" x="1660"/>
        <item m="1" x="1643"/>
        <item m="1" x="1642"/>
        <item m="1" x="1641"/>
        <item m="1" x="1651"/>
        <item m="1" x="1645"/>
        <item m="1" x="1652"/>
        <item m="1" x="1653"/>
        <item m="1" x="1640"/>
        <item m="1" x="1654"/>
        <item m="1" x="1655"/>
        <item m="1" x="1639"/>
        <item m="1" x="1638"/>
        <item m="1" x="1637"/>
        <item m="1" x="1647"/>
        <item m="1" x="1661"/>
        <item m="1" x="1662"/>
        <item m="1" x="1663"/>
        <item m="1" x="1664"/>
        <item m="1" x="1669"/>
        <item m="1" x="1670"/>
        <item m="1" x="1671"/>
        <item m="1" x="1667"/>
        <item m="1" x="1665"/>
        <item m="1" x="1666"/>
        <item m="1" x="1668"/>
        <item m="1" x="1657"/>
        <item m="1" x="1658"/>
        <item m="1" x="1659"/>
        <item m="1" x="1680"/>
        <item m="1" x="1194"/>
        <item m="1" x="1674"/>
        <item m="1" x="1678"/>
        <item m="1" x="1722"/>
        <item m="1" x="1721"/>
        <item m="1" x="1720"/>
        <item m="1" x="1719"/>
        <item m="1" x="1718"/>
        <item m="1" x="1717"/>
        <item m="1" x="1679"/>
        <item m="1" x="1682"/>
        <item m="1" x="1677"/>
        <item m="1" x="1676"/>
        <item m="1" x="1675"/>
        <item m="1" x="1681"/>
        <item m="1" x="1673"/>
        <item m="1" x="1672"/>
        <item m="1" x="1686"/>
        <item m="1" x="1706"/>
        <item m="1" x="1707"/>
        <item m="1" x="1685"/>
        <item m="1" x="1689"/>
        <item m="1" x="1688"/>
        <item m="1" x="1684"/>
        <item m="1" x="1705"/>
        <item m="1" x="1683"/>
        <item m="1" x="1698"/>
        <item m="1" x="1699"/>
        <item m="1" x="1704"/>
        <item m="1" x="1700"/>
        <item m="1" x="1701"/>
        <item m="1" x="1702"/>
        <item m="1" x="1703"/>
        <item m="1" x="1693"/>
        <item m="1" x="1694"/>
        <item m="1" x="1695"/>
        <item m="1" x="1696"/>
        <item m="1" x="1708"/>
        <item m="1" x="1697"/>
        <item m="1" x="1709"/>
        <item m="1" x="1687"/>
        <item m="1" x="1692"/>
        <item m="1" x="1691"/>
        <item m="1" x="1690"/>
        <item m="1" x="1710"/>
        <item m="1" x="1711"/>
        <item m="1" x="1716"/>
        <item m="1" x="1715"/>
        <item m="1" x="1714"/>
        <item m="1" x="1713"/>
        <item m="1" x="1736"/>
        <item m="1" x="1735"/>
        <item m="1" x="1732"/>
        <item m="1" x="1712"/>
        <item m="1" x="1726"/>
        <item m="1" x="1733"/>
        <item m="1" x="1734"/>
        <item m="1" x="1724"/>
        <item m="1" x="1737"/>
        <item m="1" x="1727"/>
        <item m="1" x="1728"/>
        <item m="1" x="1729"/>
        <item m="1" x="1723"/>
        <item m="1" x="1730"/>
        <item m="1" x="1731"/>
        <item m="1" x="1725"/>
        <item m="1" x="1746"/>
        <item m="1" x="1747"/>
        <item m="1" x="1745"/>
        <item m="1" x="1738"/>
        <item m="1" x="1739"/>
        <item m="1" x="1740"/>
        <item m="1" x="1750"/>
        <item m="1" x="1749"/>
        <item m="1" x="1741"/>
        <item m="1" x="1748"/>
        <item m="1" x="1742"/>
        <item m="1" x="1743"/>
        <item m="1" x="1744"/>
        <item m="1" x="1751"/>
        <item m="1" x="900"/>
        <item m="1" x="1752"/>
        <item m="1" x="1753"/>
        <item m="1" x="1758"/>
        <item m="1" x="1757"/>
        <item m="1" x="1768"/>
        <item m="1" x="1766"/>
        <item m="1" x="1767"/>
        <item m="1" x="1756"/>
        <item m="1" x="1755"/>
        <item m="1" x="1754"/>
        <item m="1" x="1759"/>
        <item m="1" x="1762"/>
        <item m="1" x="1760"/>
        <item m="1" x="1761"/>
        <item m="1" x="1763"/>
        <item m="1" x="1764"/>
        <item m="1" x="1765"/>
        <item m="1" x="1779"/>
        <item m="1" x="1787"/>
        <item m="1" x="1781"/>
        <item m="1" x="1782"/>
        <item m="1" x="1783"/>
        <item m="1" x="1784"/>
        <item m="1" x="1785"/>
        <item m="1" x="1780"/>
        <item m="1" x="1786"/>
        <item m="1" x="1772"/>
        <item m="1" x="1771"/>
        <item m="1" x="875"/>
        <item m="1" x="874"/>
        <item m="1" x="1790"/>
        <item m="1" x="1791"/>
        <item m="1" x="1792"/>
        <item m="1" x="1770"/>
        <item m="1" x="1769"/>
        <item m="1" x="1773"/>
        <item m="1" x="1774"/>
        <item m="1" x="1788"/>
        <item m="1" x="1789"/>
        <item m="1" x="1775"/>
        <item m="1" x="1776"/>
        <item m="1" x="1777"/>
        <item m="1" x="1778"/>
        <item m="1" x="1793"/>
        <item m="1" x="1794"/>
        <item m="1" x="1795"/>
        <item m="1" x="1796"/>
        <item m="1" x="867"/>
        <item m="1" x="872"/>
        <item m="1" x="860"/>
        <item m="1" x="873"/>
        <item m="1" x="865"/>
        <item m="1" x="866"/>
        <item m="1" x="871"/>
        <item m="1" x="864"/>
        <item m="1" x="859"/>
        <item m="1" x="863"/>
        <item m="1" x="870"/>
        <item m="1" x="861"/>
        <item m="1" x="858"/>
        <item m="1" x="869"/>
        <item m="1" x="868"/>
        <item m="1" x="862"/>
        <item m="1" x="878"/>
        <item m="1" x="879"/>
        <item m="1" x="881"/>
        <item m="1" x="880"/>
        <item m="1" x="876"/>
        <item m="1" x="877"/>
        <item m="1" x="895"/>
        <item m="1" x="886"/>
        <item m="1" x="885"/>
        <item m="1" x="892"/>
        <item m="1" x="890"/>
        <item m="1" x="889"/>
        <item m="1" x="894"/>
        <item m="1" x="888"/>
        <item m="1" x="882"/>
        <item m="1" x="883"/>
        <item m="1" x="884"/>
        <item m="1" x="893"/>
        <item m="1" x="891"/>
        <item m="1" x="887"/>
        <item m="1" x="899"/>
        <item m="1" x="897"/>
        <item m="1" x="898"/>
        <item m="1" x="896"/>
        <item m="1" x="901"/>
        <item m="1" x="904"/>
        <item m="1" x="926"/>
        <item m="1" x="927"/>
        <item m="1" x="919"/>
        <item m="1" x="931"/>
        <item m="1" x="905"/>
        <item m="1" x="914"/>
        <item m="1" x="930"/>
        <item m="1" x="906"/>
        <item m="1" x="929"/>
        <item m="1" x="928"/>
        <item m="1" x="932"/>
        <item m="1" x="924"/>
        <item m="1" x="907"/>
        <item m="1" x="915"/>
        <item m="1" x="920"/>
        <item m="1" x="908"/>
        <item m="1" x="916"/>
        <item m="1" x="917"/>
        <item m="1" x="909"/>
        <item m="1" x="923"/>
        <item m="1" x="918"/>
        <item m="1" x="935"/>
        <item m="1" x="934"/>
        <item m="1" x="910"/>
        <item m="1" x="911"/>
        <item m="1" x="912"/>
        <item m="1" x="925"/>
        <item m="1" x="913"/>
        <item m="1" x="947"/>
        <item m="1" x="946"/>
        <item m="1" x="921"/>
        <item m="1" x="933"/>
        <item m="1" x="937"/>
        <item m="1" x="945"/>
        <item m="1" x="944"/>
        <item m="1" x="943"/>
        <item m="1" x="948"/>
        <item m="1" x="939"/>
        <item m="1" x="938"/>
        <item m="1" x="941"/>
        <item m="1" x="940"/>
        <item m="1" x="936"/>
        <item m="1" x="942"/>
        <item m="1" x="951"/>
        <item m="1" x="952"/>
        <item m="1" x="953"/>
        <item m="1" x="949"/>
        <item m="1" x="950"/>
        <item m="1" x="833"/>
        <item m="1" x="834"/>
        <item m="1" x="822"/>
        <item m="1" x="835"/>
        <item m="1" x="836"/>
        <item m="1" x="837"/>
        <item m="1" x="838"/>
        <item m="1" x="839"/>
        <item m="1" x="854"/>
        <item m="1" x="855"/>
        <item x="12"/>
        <item m="1" x="856"/>
        <item m="1" x="857"/>
        <item x="9"/>
        <item x="10"/>
        <item x="11"/>
        <item x="37"/>
        <item x="38"/>
        <item x="39"/>
        <item x="40"/>
        <item x="41"/>
        <item x="42"/>
        <item x="43"/>
        <item x="50"/>
        <item x="53"/>
        <item x="51"/>
        <item x="54"/>
        <item x="55"/>
        <item x="52"/>
        <item x="49"/>
        <item x="47"/>
        <item x="48"/>
        <item x="72"/>
        <item x="73"/>
        <item x="74"/>
        <item x="80"/>
        <item x="81"/>
        <item x="84"/>
        <item x="83"/>
        <item x="82"/>
        <item x="78"/>
        <item x="79"/>
        <item x="94"/>
        <item x="95"/>
        <item x="107"/>
        <item x="100"/>
        <item x="103"/>
        <item x="109"/>
        <item x="106"/>
        <item x="108"/>
        <item x="102"/>
        <item x="105"/>
        <item x="101"/>
        <item x="104"/>
        <item x="110"/>
        <item x="114"/>
        <item x="112"/>
        <item x="113"/>
        <item x="111"/>
        <item x="121"/>
        <item x="122"/>
        <item x="123"/>
        <item x="124"/>
        <item x="125"/>
        <item x="127"/>
        <item x="128"/>
        <item x="129"/>
        <item x="130"/>
        <item x="131"/>
        <item x="138"/>
        <item x="142"/>
        <item x="141"/>
        <item x="140"/>
        <item x="139"/>
        <item x="146"/>
        <item x="152"/>
        <item x="151"/>
        <item x="150"/>
        <item x="149"/>
        <item x="148"/>
        <item x="147"/>
        <item x="154"/>
        <item x="155"/>
        <item x="156"/>
        <item x="157"/>
        <item x="158"/>
        <item x="159"/>
        <item x="160"/>
        <item x="165"/>
        <item x="170"/>
        <item x="169"/>
        <item x="168"/>
        <item x="167"/>
        <item x="163"/>
        <item x="166"/>
        <item x="164"/>
        <item x="171"/>
        <item x="172"/>
        <item x="173"/>
        <item x="174"/>
        <item x="175"/>
        <item x="176"/>
        <item x="184"/>
        <item x="183"/>
        <item x="186"/>
        <item x="187"/>
        <item x="191"/>
        <item x="190"/>
        <item x="185"/>
        <item x="195"/>
        <item x="237"/>
        <item x="235"/>
        <item x="238"/>
        <item x="230"/>
        <item x="231"/>
        <item x="232"/>
        <item x="233"/>
        <item x="234"/>
        <item x="236"/>
        <item x="321"/>
        <item x="322"/>
        <item x="323"/>
        <item x="324"/>
        <item x="325"/>
        <item x="326"/>
        <item x="351"/>
        <item x="352"/>
        <item x="353"/>
        <item x="354"/>
        <item x="355"/>
        <item x="356"/>
        <item x="357"/>
        <item x="366"/>
        <item x="367"/>
        <item x="368"/>
        <item x="426"/>
        <item m="1" x="954"/>
        <item m="1" x="955"/>
        <item m="1" x="956"/>
        <item m="1" x="958"/>
        <item m="1" x="959"/>
        <item m="1" x="960"/>
        <item m="1" x="961"/>
        <item m="1" x="962"/>
        <item m="1" x="963"/>
        <item m="1" x="964"/>
        <item m="1" x="967"/>
        <item m="1" x="968"/>
        <item m="1" x="965"/>
        <item m="1" x="957"/>
        <item m="1" x="966"/>
        <item m="1" x="973"/>
        <item m="1" x="976"/>
        <item m="1" x="974"/>
        <item m="1" x="980"/>
        <item m="1" x="975"/>
        <item m="1" x="977"/>
        <item m="1" x="978"/>
        <item m="1" x="979"/>
        <item m="1" x="969"/>
        <item m="1" x="970"/>
        <item m="1" x="971"/>
        <item m="1" x="972"/>
        <item m="1" x="981"/>
        <item m="1" x="990"/>
        <item m="1" x="986"/>
        <item m="1" x="987"/>
        <item m="1" x="988"/>
        <item m="1" x="989"/>
        <item m="1" x="982"/>
        <item m="1" x="983"/>
        <item m="1" x="984"/>
        <item m="1" x="985"/>
        <item m="1" x="991"/>
        <item m="1" x="994"/>
        <item m="1" x="1001"/>
        <item m="1" x="999"/>
        <item m="1" x="998"/>
        <item m="1" x="992"/>
        <item m="1" x="995"/>
        <item m="1" x="996"/>
        <item m="1" x="1000"/>
        <item m="1" x="993"/>
        <item m="1" x="1006"/>
        <item m="1" x="1004"/>
        <item m="1" x="1005"/>
        <item m="1" x="1007"/>
        <item m="1" x="1002"/>
        <item m="1" x="1003"/>
        <item m="1" x="1042"/>
        <item m="1" x="1041"/>
        <item m="1" x="1040"/>
        <item m="1" x="1039"/>
        <item m="1" x="1038"/>
        <item m="1" x="1037"/>
        <item m="1" x="1086"/>
        <item m="1" x="1036"/>
        <item m="1" x="1043"/>
        <item m="1" x="1035"/>
        <item m="1" x="1034"/>
        <item m="1" x="1116"/>
        <item m="1" x="1033"/>
        <item m="1" x="1032"/>
        <item m="1" x="1031"/>
        <item m="1" x="1030"/>
        <item m="1" x="1029"/>
        <item m="1" x="1028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52"/>
        <item m="1" x="1019"/>
        <item m="1" x="1020"/>
        <item m="1" x="1027"/>
        <item m="1" x="1026"/>
        <item m="1" x="1050"/>
        <item m="1" x="1025"/>
        <item m="1" x="1024"/>
        <item m="1" x="1023"/>
        <item m="1" x="1022"/>
        <item m="1" x="1021"/>
        <item m="1" x="1087"/>
        <item m="1" x="1049"/>
        <item m="1" x="1085"/>
        <item m="1" x="1084"/>
        <item m="1" x="1083"/>
        <item m="1" x="1082"/>
        <item m="1" x="1081"/>
        <item m="1" x="1080"/>
        <item m="1" x="1079"/>
        <item m="1" x="1078"/>
        <item m="1" x="1077"/>
        <item m="1" x="1053"/>
        <item m="1" x="1076"/>
        <item m="1" x="1054"/>
        <item m="1" x="1075"/>
        <item m="1" x="1074"/>
        <item m="1" x="1073"/>
        <item m="1" x="1072"/>
        <item m="1" x="1071"/>
        <item m="1" x="1070"/>
        <item m="1" x="1069"/>
        <item m="1" x="1068"/>
        <item m="1" x="1067"/>
        <item m="1" x="1066"/>
        <item m="1" x="1065"/>
        <item m="1" x="1064"/>
        <item m="1" x="1063"/>
        <item m="1" x="1062"/>
        <item m="1" x="1061"/>
        <item m="1" x="1060"/>
        <item m="1" x="1059"/>
        <item m="1" x="1051"/>
        <item m="1" x="1058"/>
        <item m="1" x="1057"/>
        <item m="1" x="1056"/>
        <item m="1" x="1055"/>
        <item m="1" x="1048"/>
        <item m="1" x="1047"/>
        <item m="1" x="1046"/>
        <item m="1" x="1045"/>
        <item m="1" x="1044"/>
        <item m="1" x="1097"/>
        <item m="1" x="1096"/>
        <item m="1" x="1095"/>
        <item m="1" x="1115"/>
        <item m="1" x="1094"/>
        <item m="1" x="1093"/>
        <item m="1" x="1117"/>
        <item m="1" x="1092"/>
        <item m="1" x="1091"/>
        <item m="1" x="1090"/>
        <item m="1" x="1089"/>
        <item m="1" x="1088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03"/>
        <item m="1" x="1098"/>
        <item m="1" x="1102"/>
        <item m="1" x="1101"/>
        <item m="1" x="1100"/>
        <item m="1" x="1099"/>
        <item m="1" x="1119"/>
        <item m="1" x="1118"/>
        <item m="1" x="1125"/>
        <item m="1" x="1124"/>
        <item m="1" x="1123"/>
        <item m="1" x="1122"/>
        <item m="1" x="1121"/>
        <item m="1" x="1120"/>
        <item m="1" x="1135"/>
        <item m="1" x="1134"/>
        <item m="1" x="1128"/>
        <item m="1" x="1137"/>
        <item m="1" x="1127"/>
        <item m="1" x="1136"/>
        <item m="1" x="1126"/>
        <item m="1" x="1133"/>
        <item m="1" x="1132"/>
        <item m="1" x="1131"/>
        <item m="1" x="1158"/>
        <item m="1" x="1130"/>
        <item m="1" x="1138"/>
        <item m="1" x="1129"/>
        <item m="1" x="1157"/>
        <item m="1" x="1186"/>
        <item m="1" x="1156"/>
        <item m="1" x="1155"/>
        <item m="1" x="1154"/>
        <item m="1" x="1153"/>
        <item m="1" x="1139"/>
        <item m="1" x="1140"/>
        <item m="1" x="1141"/>
        <item m="1" x="119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67"/>
        <item m="1" x="1185"/>
        <item m="1" x="1184"/>
        <item m="1" x="1183"/>
        <item m="1" x="1182"/>
        <item m="1" x="1181"/>
        <item m="1" x="1180"/>
        <item m="1" x="1179"/>
        <item m="1" x="1178"/>
        <item m="1" x="1177"/>
        <item m="1" x="1176"/>
        <item m="1" x="1175"/>
        <item m="1" x="1174"/>
        <item m="1" x="1173"/>
        <item m="1" x="1172"/>
        <item m="1" x="1171"/>
        <item m="1" x="1170"/>
        <item m="1" x="1169"/>
        <item m="1" x="1168"/>
        <item m="1" x="1166"/>
        <item m="1" x="1165"/>
        <item m="1" x="1164"/>
        <item m="1" x="1163"/>
        <item m="1" x="1162"/>
        <item m="1" x="1161"/>
        <item m="1" x="1160"/>
        <item m="1" x="1190"/>
        <item m="1" x="1189"/>
        <item m="1" x="1159"/>
        <item m="1" x="1188"/>
        <item m="1" x="1187"/>
        <item m="1" x="1193"/>
        <item m="1" x="1192"/>
        <item m="1" x="1203"/>
        <item m="1" x="1202"/>
        <item m="1" x="1201"/>
        <item m="1" x="1206"/>
        <item m="1" x="1204"/>
        <item m="1" x="1200"/>
        <item m="1" x="1199"/>
        <item m="1" x="1198"/>
        <item m="1" x="1197"/>
        <item m="1" x="1196"/>
        <item m="1" x="668"/>
        <item m="1" x="1205"/>
        <item m="1" x="1212"/>
        <item m="1" x="1213"/>
        <item m="1" x="1214"/>
        <item m="1" x="1215"/>
        <item m="1" x="1216"/>
        <item m="1" x="1217"/>
        <item m="1" x="1195"/>
        <item m="1" x="1218"/>
        <item m="1" x="1219"/>
        <item m="1" x="1220"/>
        <item m="1" x="1207"/>
        <item m="1" x="1221"/>
        <item m="1" x="1211"/>
        <item m="1" x="1208"/>
        <item m="1" x="1210"/>
        <item m="1" x="1209"/>
        <item m="1" x="1233"/>
        <item m="1" x="1225"/>
        <item m="1" x="1226"/>
        <item m="1" x="1227"/>
        <item m="1" x="1232"/>
        <item m="1" x="1228"/>
        <item m="1" x="1229"/>
        <item m="1" x="1230"/>
        <item m="1" x="1231"/>
        <item m="1" x="1224"/>
        <item m="1" x="1222"/>
        <item m="1" x="1223"/>
        <item m="1" x="427"/>
        <item m="1" x="429"/>
        <item m="1" x="428"/>
        <item m="1" x="431"/>
        <item m="1" x="443"/>
        <item m="1" x="432"/>
        <item m="1" x="430"/>
        <item m="1" x="470"/>
        <item m="1" x="471"/>
        <item m="1" x="442"/>
        <item m="1" x="472"/>
        <item m="1" x="441"/>
        <item m="1" x="473"/>
        <item m="1" x="466"/>
        <item m="1" x="456"/>
        <item m="1" x="461"/>
        <item m="1" x="455"/>
        <item m="1" x="457"/>
        <item m="1" x="440"/>
        <item m="1" x="439"/>
        <item m="1" x="460"/>
        <item m="1" x="438"/>
        <item m="1" x="437"/>
        <item m="1" x="436"/>
        <item m="1" x="435"/>
        <item m="1" x="434"/>
        <item m="1" x="459"/>
        <item m="1" x="433"/>
        <item m="1" x="465"/>
        <item m="1" x="464"/>
        <item m="1" x="458"/>
        <item m="1" x="463"/>
        <item m="1" x="462"/>
        <item m="1" x="446"/>
        <item m="1" x="447"/>
        <item m="1" x="448"/>
        <item m="1" x="449"/>
        <item m="1" x="450"/>
        <item m="1" x="451"/>
        <item m="1" x="452"/>
        <item m="1" x="468"/>
        <item m="1" x="469"/>
        <item m="1" x="467"/>
        <item m="1" x="474"/>
        <item m="1" x="477"/>
        <item m="1" x="478"/>
        <item m="1" x="479"/>
        <item m="1" x="453"/>
        <item m="1" x="454"/>
        <item m="1" x="487"/>
        <item m="1" x="445"/>
        <item m="1" x="444"/>
        <item m="1" x="494"/>
        <item m="1" x="492"/>
        <item m="1" x="482"/>
        <item m="1" x="488"/>
        <item m="1" x="489"/>
        <item m="1" x="493"/>
        <item m="1" x="495"/>
        <item m="1" x="481"/>
        <item m="1" x="490"/>
        <item m="1" x="480"/>
        <item m="1" x="497"/>
        <item m="1" x="491"/>
        <item m="1" x="476"/>
        <item m="1" x="496"/>
        <item m="1" x="475"/>
        <item m="1" x="486"/>
        <item m="1" x="485"/>
        <item m="1" x="484"/>
        <item m="1" x="483"/>
        <item m="1" x="498"/>
        <item m="1" x="525"/>
        <item m="1" x="524"/>
        <item m="1" x="504"/>
        <item m="1" x="529"/>
        <item m="1" x="523"/>
        <item m="1" x="503"/>
        <item m="1" x="533"/>
        <item m="1" x="522"/>
        <item m="1" x="535"/>
        <item m="1" x="521"/>
        <item m="1" x="550"/>
        <item m="1" x="520"/>
        <item m="1" x="519"/>
        <item m="1" x="546"/>
        <item m="1" x="518"/>
        <item m="1" x="517"/>
        <item m="1" x="545"/>
        <item m="1" x="539"/>
        <item m="1" x="502"/>
        <item m="1" x="542"/>
        <item m="1" x="516"/>
        <item m="1" x="515"/>
        <item m="1" x="501"/>
        <item m="1" x="514"/>
        <item m="1" x="500"/>
        <item m="1" x="532"/>
        <item m="1" x="513"/>
        <item m="1" x="512"/>
        <item m="1" x="544"/>
        <item m="1" x="541"/>
        <item m="1" x="561"/>
        <item m="1" x="547"/>
        <item m="1" x="511"/>
        <item m="1" x="510"/>
        <item m="1" x="534"/>
        <item m="1" x="567"/>
        <item m="1" x="509"/>
        <item m="1" x="530"/>
        <item m="1" x="508"/>
        <item m="1" x="538"/>
        <item m="1" x="549"/>
        <item m="1" x="531"/>
        <item m="1" x="548"/>
        <item m="1" x="580"/>
        <item m="1" x="540"/>
        <item m="1" x="560"/>
        <item m="1" x="528"/>
        <item m="1" x="507"/>
        <item m="1" x="527"/>
        <item m="1" x="559"/>
        <item m="1" x="581"/>
        <item m="1" x="506"/>
        <item m="1" x="558"/>
        <item m="1" x="557"/>
        <item m="1" x="556"/>
        <item m="1" x="555"/>
        <item m="1" x="554"/>
        <item m="1" x="526"/>
        <item m="1" x="553"/>
        <item m="1" x="552"/>
        <item m="1" x="505"/>
        <item m="1" x="543"/>
        <item m="1" x="570"/>
        <item m="1" x="551"/>
        <item m="1" x="571"/>
        <item m="1" x="572"/>
        <item m="1" x="573"/>
        <item m="1" x="574"/>
        <item m="1" x="579"/>
        <item m="1" x="578"/>
        <item m="1" x="577"/>
        <item m="1" x="568"/>
        <item m="1" x="566"/>
        <item m="1" x="569"/>
        <item m="1" x="575"/>
        <item m="1" x="576"/>
        <item m="1" x="562"/>
        <item m="1" x="563"/>
        <item m="1" x="564"/>
        <item m="1" x="565"/>
        <item m="1" x="595"/>
        <item m="1" x="590"/>
        <item m="1" x="588"/>
        <item m="1" x="594"/>
        <item m="1" x="591"/>
        <item m="1" x="589"/>
        <item m="1" x="593"/>
        <item m="1" x="620"/>
        <item m="1" x="632"/>
        <item m="1" x="592"/>
        <item m="1" x="582"/>
        <item m="1" x="644"/>
        <item m="1" x="583"/>
        <item m="1" x="617"/>
        <item m="1" x="584"/>
        <item m="1" x="585"/>
        <item m="1" x="643"/>
        <item m="1" x="642"/>
        <item m="1" x="586"/>
        <item m="1" x="610"/>
        <item m="1" x="641"/>
        <item m="1" x="596"/>
        <item m="1" x="640"/>
        <item m="1" x="646"/>
        <item m="1" x="597"/>
        <item m="1" x="630"/>
        <item m="1" x="598"/>
        <item m="1" x="639"/>
        <item m="1" x="599"/>
        <item m="1" x="626"/>
        <item m="1" x="600"/>
        <item m="1" x="625"/>
        <item m="1" x="638"/>
        <item m="1" x="601"/>
        <item m="1" x="637"/>
        <item m="1" x="629"/>
        <item m="1" x="636"/>
        <item m="1" x="602"/>
        <item m="1" x="624"/>
        <item m="1" x="603"/>
        <item m="1" x="628"/>
        <item m="1" x="649"/>
        <item m="1" x="623"/>
        <item m="1" x="635"/>
        <item m="1" x="627"/>
        <item m="1" x="621"/>
        <item m="1" x="622"/>
        <item m="1" x="648"/>
        <item m="1" x="647"/>
        <item m="1" x="604"/>
        <item m="1" x="605"/>
        <item m="1" x="634"/>
        <item m="1" x="606"/>
        <item m="1" x="607"/>
        <item m="1" x="616"/>
        <item m="1" x="615"/>
        <item m="1" x="633"/>
        <item m="1" x="631"/>
        <item m="1" x="614"/>
        <item m="1" x="613"/>
        <item m="1" x="612"/>
        <item m="1" x="611"/>
        <item m="1" x="608"/>
        <item m="1" x="619"/>
        <item m="1" x="609"/>
        <item m="1" x="618"/>
        <item m="1" x="645"/>
        <item m="1" x="663"/>
        <item m="1" x="656"/>
        <item m="1" x="661"/>
        <item m="1" x="657"/>
        <item m="1" x="662"/>
        <item m="1" x="658"/>
        <item m="1" x="659"/>
        <item m="1" x="660"/>
        <item m="1" x="650"/>
        <item m="1" x="651"/>
        <item m="1" x="652"/>
        <item m="1" x="653"/>
        <item m="1" x="654"/>
        <item m="1" x="655"/>
        <item m="1" x="667"/>
        <item m="1" x="672"/>
        <item m="1" x="671"/>
        <item m="1" x="670"/>
        <item m="1" x="669"/>
        <item m="1" x="665"/>
        <item m="1" x="666"/>
        <item m="1" x="677"/>
        <item m="1" x="681"/>
        <item m="1" x="674"/>
        <item m="1" x="680"/>
        <item m="1" x="676"/>
        <item m="1" x="673"/>
        <item m="1" x="675"/>
        <item m="1" x="679"/>
        <item m="1" x="682"/>
        <item m="1" x="683"/>
        <item m="1" x="678"/>
        <item m="1" x="699"/>
        <item m="1" x="700"/>
        <item m="1" x="698"/>
        <item m="1" x="687"/>
        <item m="1" x="688"/>
        <item m="1" x="689"/>
        <item m="1" x="690"/>
        <item m="1" x="691"/>
        <item x="70"/>
        <item m="1" x="692"/>
        <item m="1" x="693"/>
        <item m="1" x="694"/>
        <item m="1" x="695"/>
        <item m="1" x="696"/>
        <item m="1" x="685"/>
        <item m="1" x="684"/>
        <item m="1" x="701"/>
        <item m="1" x="697"/>
        <item m="1" x="702"/>
        <item m="1" x="703"/>
        <item m="1" x="704"/>
        <item m="1" x="750"/>
        <item m="1" x="751"/>
        <item m="1" x="777"/>
        <item m="1" x="745"/>
        <item m="1" x="731"/>
        <item m="1" x="793"/>
        <item m="1" x="759"/>
        <item m="1" x="778"/>
        <item m="1" x="760"/>
        <item m="1" x="752"/>
        <item m="1" x="753"/>
        <item m="1" x="779"/>
        <item m="1" x="746"/>
        <item m="1" x="795"/>
        <item m="1" x="796"/>
        <item m="1" x="797"/>
        <item m="1" x="705"/>
        <item m="1" x="706"/>
        <item m="1" x="707"/>
        <item m="1" x="708"/>
        <item m="1" x="709"/>
        <item m="1" x="730"/>
        <item m="1" x="740"/>
        <item m="1" x="710"/>
        <item m="1" x="711"/>
        <item m="1" x="712"/>
        <item m="1" x="713"/>
        <item m="1" x="741"/>
        <item m="1" x="742"/>
        <item m="1" x="729"/>
        <item m="1" x="714"/>
        <item m="1" x="715"/>
        <item m="1" x="743"/>
        <item m="1" x="716"/>
        <item m="1" x="736"/>
        <item m="1" x="717"/>
        <item m="1" x="718"/>
        <item m="1" x="780"/>
        <item m="1" x="781"/>
        <item m="1" x="719"/>
        <item m="1" x="737"/>
        <item m="1" x="720"/>
        <item m="1" x="782"/>
        <item m="1" x="721"/>
        <item m="1" x="783"/>
        <item m="1" x="722"/>
        <item m="1" x="723"/>
        <item m="1" x="747"/>
        <item m="1" x="724"/>
        <item m="1" x="725"/>
        <item m="1" x="784"/>
        <item m="1" x="754"/>
        <item m="1" x="755"/>
        <item m="1" x="785"/>
        <item m="1" x="726"/>
        <item m="1" x="786"/>
        <item m="1" x="727"/>
        <item m="1" x="748"/>
        <item m="1" x="787"/>
        <item m="1" x="788"/>
        <item m="1" x="789"/>
        <item m="1" x="728"/>
        <item m="1" x="772"/>
        <item m="1" x="773"/>
        <item m="1" x="749"/>
        <item m="1" x="770"/>
        <item m="1" x="769"/>
        <item m="1" x="790"/>
        <item m="1" x="768"/>
        <item m="1" x="761"/>
        <item m="1" x="774"/>
        <item m="1" x="756"/>
        <item m="1" x="775"/>
        <item m="1" x="762"/>
        <item m="1" x="763"/>
        <item m="1" x="738"/>
        <item m="1" x="757"/>
        <item m="1" x="776"/>
        <item m="1" x="758"/>
        <item m="1" x="794"/>
        <item m="1" x="767"/>
        <item m="1" x="791"/>
        <item m="1" x="771"/>
        <item m="1" x="764"/>
        <item m="1" x="766"/>
        <item m="1" x="765"/>
        <item m="1" x="744"/>
        <item m="1" x="739"/>
        <item m="1" x="792"/>
        <item m="1" x="735"/>
        <item m="1" x="734"/>
        <item m="1" x="733"/>
        <item m="1" x="732"/>
        <item m="1" x="809"/>
        <item m="1" x="807"/>
        <item m="1" x="815"/>
        <item m="1" x="806"/>
        <item m="1" x="816"/>
        <item m="1" x="805"/>
        <item m="1" x="811"/>
        <item m="1" x="810"/>
        <item m="1" x="808"/>
        <item m="1" x="817"/>
        <item m="1" x="818"/>
        <item m="1" x="819"/>
        <item m="1" x="820"/>
        <item m="1" x="821"/>
        <item m="1" x="804"/>
        <item m="1" x="803"/>
        <item m="1" x="802"/>
        <item m="1" x="801"/>
        <item m="1" x="800"/>
        <item m="1" x="799"/>
        <item m="1" x="798"/>
        <item m="1" x="812"/>
        <item m="1" x="813"/>
        <item m="1" x="814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51"/>
        <item m="1" x="853"/>
        <item m="1" x="849"/>
        <item m="1" x="850"/>
        <item m="1" x="848"/>
        <item m="1" x="852"/>
        <item m="1" x="840"/>
        <item m="1" x="841"/>
        <item m="1" x="842"/>
        <item m="1" x="843"/>
        <item m="1" x="844"/>
        <item m="1" x="845"/>
        <item m="1" x="846"/>
        <item m="1" x="847"/>
        <item x="3"/>
        <item x="5"/>
        <item x="7"/>
        <item x="6"/>
        <item x="1"/>
        <item x="8"/>
        <item x="0"/>
        <item x="4"/>
        <item x="2"/>
        <item x="16"/>
        <item x="24"/>
        <item x="15"/>
        <item x="25"/>
        <item x="26"/>
        <item x="27"/>
        <item x="28"/>
        <item x="18"/>
        <item x="29"/>
        <item x="30"/>
        <item x="21"/>
        <item x="31"/>
        <item x="32"/>
        <item x="23"/>
        <item x="33"/>
        <item x="20"/>
        <item x="19"/>
        <item x="34"/>
        <item x="22"/>
        <item x="35"/>
        <item x="17"/>
        <item x="36"/>
        <item x="57"/>
        <item x="58"/>
        <item x="59"/>
        <item x="60"/>
        <item x="61"/>
        <item x="62"/>
        <item x="63"/>
        <item x="64"/>
        <item x="65"/>
        <item x="69"/>
        <item x="68"/>
        <item x="75"/>
        <item x="76"/>
        <item x="71"/>
        <item x="77"/>
        <item x="91"/>
        <item x="90"/>
        <item x="87"/>
        <item x="88"/>
        <item x="86"/>
        <item x="85"/>
        <item x="89"/>
        <item x="93"/>
        <item x="98"/>
        <item x="99"/>
        <item x="96"/>
        <item x="97"/>
        <item x="120"/>
        <item x="118"/>
        <item x="117"/>
        <item x="119"/>
        <item x="126"/>
        <item x="137"/>
        <item x="136"/>
        <item x="135"/>
        <item x="134"/>
        <item x="133"/>
        <item x="145"/>
        <item x="161"/>
        <item x="162"/>
        <item x="182"/>
        <item x="181"/>
        <item x="180"/>
        <item x="188"/>
        <item x="207"/>
        <item x="208"/>
        <item x="44"/>
        <item x="45"/>
        <item x="46"/>
        <item x="13"/>
        <item x="14"/>
        <item x="66"/>
        <item x="67"/>
        <item x="56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06"/>
        <item x="205"/>
        <item x="204"/>
        <item x="203"/>
        <item x="202"/>
        <item x="201"/>
        <item x="200"/>
        <item x="199"/>
        <item x="198"/>
        <item x="197"/>
        <item x="194"/>
        <item x="193"/>
        <item x="192"/>
        <item x="229"/>
        <item x="228"/>
        <item x="227"/>
        <item x="265"/>
        <item x="264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95"/>
        <item x="320"/>
        <item x="312"/>
        <item x="319"/>
        <item x="318"/>
        <item x="317"/>
        <item x="311"/>
        <item x="301"/>
        <item x="305"/>
        <item x="316"/>
        <item x="309"/>
        <item x="304"/>
        <item x="303"/>
        <item x="300"/>
        <item x="310"/>
        <item x="315"/>
        <item x="294"/>
        <item x="293"/>
        <item x="299"/>
        <item x="292"/>
        <item x="298"/>
        <item x="314"/>
        <item x="297"/>
        <item x="313"/>
        <item x="291"/>
        <item x="308"/>
        <item x="307"/>
        <item x="290"/>
        <item x="306"/>
        <item x="296"/>
        <item x="302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42"/>
        <item x="343"/>
        <item x="344"/>
        <item x="345"/>
        <item x="346"/>
        <item x="347"/>
        <item x="348"/>
        <item x="341"/>
        <item x="349"/>
        <item x="350"/>
        <item x="358"/>
        <item x="359"/>
        <item x="360"/>
        <item x="361"/>
        <item x="362"/>
        <item x="363"/>
        <item x="380"/>
        <item x="379"/>
        <item x="378"/>
        <item x="377"/>
        <item x="385"/>
        <item x="376"/>
        <item x="375"/>
        <item x="397"/>
        <item x="412"/>
        <item x="396"/>
        <item x="374"/>
        <item x="384"/>
        <item x="395"/>
        <item x="373"/>
        <item x="372"/>
        <item x="371"/>
        <item x="411"/>
        <item x="383"/>
        <item x="370"/>
        <item x="394"/>
        <item x="386"/>
        <item x="393"/>
        <item x="392"/>
        <item x="382"/>
        <item x="369"/>
        <item x="399"/>
        <item x="424"/>
        <item x="391"/>
        <item x="390"/>
        <item x="389"/>
        <item x="388"/>
        <item x="423"/>
        <item x="422"/>
        <item x="421"/>
        <item x="420"/>
        <item x="419"/>
        <item x="418"/>
        <item x="417"/>
        <item x="416"/>
        <item x="415"/>
        <item x="410"/>
        <item x="387"/>
        <item x="414"/>
        <item x="409"/>
        <item x="405"/>
        <item x="408"/>
        <item x="407"/>
        <item x="413"/>
        <item x="404"/>
        <item x="406"/>
        <item x="401"/>
        <item x="402"/>
        <item x="400"/>
        <item x="403"/>
        <item x="398"/>
        <item x="92"/>
        <item x="115"/>
        <item x="116"/>
        <item x="143"/>
        <item x="144"/>
        <item x="153"/>
        <item x="178"/>
        <item x="177"/>
        <item x="179"/>
        <item x="189"/>
        <item x="239"/>
        <item x="289"/>
        <item x="365"/>
        <item x="364"/>
        <item x="381"/>
        <item m="1" x="7858"/>
        <item m="1" x="7859"/>
        <item m="1" x="6991"/>
        <item m="1" x="6112"/>
        <item m="1" x="4739"/>
        <item m="1" x="3570"/>
        <item m="1" x="3571"/>
        <item m="1" x="2408"/>
        <item m="1" x="1266"/>
        <item m="1" x="1413"/>
        <item m="1" x="1797"/>
        <item m="1" x="903"/>
        <item m="1" x="902"/>
        <item m="1" x="922"/>
        <item m="1" x="997"/>
        <item m="1" x="499"/>
        <item m="1" x="537"/>
        <item m="1" x="536"/>
        <item m="1" x="587"/>
        <item m="1" x="664"/>
        <item m="1" x="686"/>
        <item x="132"/>
        <item x="196"/>
        <item x="425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</pivotFields>
  <rowFields count="1">
    <field x="0"/>
  </rowFields>
  <rowItems count="427">
    <i>
      <x v="6859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7523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97"/>
    </i>
    <i>
      <x v="7998"/>
    </i>
    <i>
      <x v="7999"/>
    </i>
  </rowItems>
  <colItems count="1">
    <i/>
  </colItems>
  <dataFields count="1">
    <dataField name="Max. de Poids pour le traitement commande vente" fld="6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58BB8-8776-42ED-93F4-063BB625EF6E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compact="0" compactData="0" multipleFieldFilters="0">
  <location ref="B1:C7" firstHeaderRow="1" firstDataRow="1" firstDataCol="2"/>
  <pivotFields count="2">
    <pivotField axis="axisRow" compact="0" outline="0" showAll="0" sortType="ascending" defaultSubtotal="0">
      <items count="26">
        <item x="0"/>
        <item m="1" x="10"/>
        <item x="3"/>
        <item x="2"/>
        <item m="1" x="9"/>
        <item m="1" x="17"/>
        <item m="1" x="25"/>
        <item m="1" x="12"/>
        <item m="1" x="24"/>
        <item m="1" x="23"/>
        <item m="1" x="22"/>
        <item m="1" x="11"/>
        <item m="1" x="7"/>
        <item m="1" x="16"/>
        <item m="1" x="14"/>
        <item x="1"/>
        <item m="1" x="15"/>
        <item m="1" x="21"/>
        <item m="1" x="8"/>
        <item m="1" x="18"/>
        <item m="1" x="13"/>
        <item m="1" x="6"/>
        <item x="4"/>
        <item m="1" x="19"/>
        <item m="1" x="2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9">
        <item m="1" x="12"/>
        <item m="1" x="13"/>
        <item x="3"/>
        <item m="1" x="27"/>
        <item m="1" x="17"/>
        <item m="1" x="26"/>
        <item m="1" x="25"/>
        <item m="1" x="15"/>
        <item x="0"/>
        <item x="1"/>
        <item m="1" x="18"/>
        <item m="1" x="28"/>
        <item m="1" x="11"/>
        <item m="1" x="16"/>
        <item x="5"/>
        <item m="1" x="7"/>
        <item m="1" x="14"/>
        <item x="2"/>
        <item m="1" x="19"/>
        <item m="1" x="8"/>
        <item m="1" x="23"/>
        <item x="4"/>
        <item m="1" x="24"/>
        <item m="1" x="22"/>
        <item m="1" x="20"/>
        <item m="1" x="21"/>
        <item m="1" x="6"/>
        <item m="1" x="9"/>
        <item m="1" x="1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6">
    <i>
      <x/>
      <x v="8"/>
    </i>
    <i>
      <x v="2"/>
      <x v="2"/>
    </i>
    <i>
      <x v="3"/>
      <x v="17"/>
    </i>
    <i>
      <x v="15"/>
      <x v="9"/>
    </i>
    <i>
      <x v="22"/>
      <x v="21"/>
    </i>
    <i>
      <x v="25"/>
      <x v="14"/>
    </i>
  </rowItems>
  <colItems count="1">
    <i/>
  </colItems>
  <formats count="23">
    <format dxfId="22">
      <pivotArea type="all" dataOnly="0" outline="0" fieldPosition="0"/>
    </format>
    <format dxfId="21">
      <pivotArea field="0" type="button" dataOnly="0" labelOnly="1" outline="0" axis="axisRow" fieldPosition="0"/>
    </format>
    <format dxfId="20">
      <pivotArea field="1" type="button" dataOnly="0" labelOnly="1" outline="0" axis="axisRow" fieldPosition="1"/>
    </format>
    <format dxfId="19">
      <pivotArea dataOnly="0" labelOnly="1" outline="0" fieldPosition="0">
        <references count="1">
          <reference field="0" count="0"/>
        </references>
      </pivotArea>
    </format>
    <format dxfId="18">
      <pivotArea dataOnly="0" labelOnly="1" outline="0" fieldPosition="0">
        <references count="2">
          <reference field="0" count="1" selected="0">
            <x v="0"/>
          </reference>
          <reference field="1" count="1">
            <x v="8"/>
          </reference>
        </references>
      </pivotArea>
    </format>
    <format dxfId="17">
      <pivotArea dataOnly="0" labelOnly="1" outline="0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16">
      <pivotArea dataOnly="0" labelOnly="1" outline="0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15">
      <pivotArea dataOnly="0" labelOnly="1" outline="0" fieldPosition="0">
        <references count="2">
          <reference field="0" count="1" selected="0">
            <x v="3"/>
          </reference>
          <reference field="1" count="1">
            <x v="17"/>
          </reference>
        </references>
      </pivotArea>
    </format>
    <format dxfId="14">
      <pivotArea dataOnly="0" labelOnly="1" outline="0" fieldPosition="0">
        <references count="2">
          <reference field="0" count="1" selected="0">
            <x v="5"/>
          </reference>
          <reference field="1" count="1">
            <x v="10"/>
          </reference>
        </references>
      </pivotArea>
    </format>
    <format dxfId="13">
      <pivotArea dataOnly="0" labelOnly="1" outline="0" fieldPosition="0">
        <references count="2">
          <reference field="0" count="1" selected="0">
            <x v="7"/>
          </reference>
          <reference field="1" count="1">
            <x v="0"/>
          </reference>
        </references>
      </pivotArea>
    </format>
    <format dxfId="12">
      <pivotArea dataOnly="0" labelOnly="1" outline="0" fieldPosition="0">
        <references count="2">
          <reference field="0" count="1" selected="0">
            <x v="10"/>
          </reference>
          <reference field="1" count="1">
            <x v="6"/>
          </reference>
        </references>
      </pivotArea>
    </format>
    <format dxfId="11">
      <pivotArea dataOnly="0" labelOnly="1" outline="0" fieldPosition="0">
        <references count="2">
          <reference field="0" count="1" selected="0">
            <x v="11"/>
          </reference>
          <reference field="1" count="1">
            <x v="12"/>
          </reference>
        </references>
      </pivotArea>
    </format>
    <format dxfId="10">
      <pivotArea dataOnly="0" labelOnly="1" outline="0" fieldPosition="0">
        <references count="2">
          <reference field="0" count="1" selected="0">
            <x v="12"/>
          </reference>
          <reference field="1" count="1">
            <x v="15"/>
          </reference>
        </references>
      </pivotArea>
    </format>
    <format dxfId="9">
      <pivotArea dataOnly="0" labelOnly="1" outline="0" fieldPosition="0">
        <references count="2">
          <reference field="0" count="1" selected="0">
            <x v="14"/>
          </reference>
          <reference field="1" count="1">
            <x v="7"/>
          </reference>
        </references>
      </pivotArea>
    </format>
    <format dxfId="8">
      <pivotArea dataOnly="0" labelOnly="1" outline="0" fieldPosition="0">
        <references count="2">
          <reference field="0" count="1" selected="0">
            <x v="15"/>
          </reference>
          <reference field="1" count="1">
            <x v="9"/>
          </reference>
        </references>
      </pivotArea>
    </format>
    <format dxfId="7">
      <pivotArea dataOnly="0" labelOnly="1" outline="0" fieldPosition="0">
        <references count="2">
          <reference field="0" count="1" selected="0">
            <x v="16"/>
          </reference>
          <reference field="1" count="1">
            <x v="13"/>
          </reference>
        </references>
      </pivotArea>
    </format>
    <format dxfId="6">
      <pivotArea dataOnly="0" labelOnly="1" outline="0" fieldPosition="0">
        <references count="2">
          <reference field="0" count="1" selected="0">
            <x v="17"/>
          </reference>
          <reference field="1" count="1">
            <x v="20"/>
          </reference>
        </references>
      </pivotArea>
    </format>
    <format dxfId="5">
      <pivotArea dataOnly="0" labelOnly="1" outline="0" fieldPosition="0">
        <references count="2">
          <reference field="0" count="1" selected="0">
            <x v="18"/>
          </reference>
          <reference field="1" count="1">
            <x v="19"/>
          </reference>
        </references>
      </pivotArea>
    </format>
    <format dxfId="4">
      <pivotArea dataOnly="0" labelOnly="1" outline="0" fieldPosition="0">
        <references count="2">
          <reference field="0" count="1" selected="0">
            <x v="19"/>
          </reference>
          <reference field="1" count="1">
            <x v="18"/>
          </reference>
        </references>
      </pivotArea>
    </format>
    <format dxfId="3">
      <pivotArea dataOnly="0" labelOnly="1" outline="0" fieldPosition="0">
        <references count="2">
          <reference field="0" count="1" selected="0">
            <x v="20"/>
          </reference>
          <reference field="1" count="1">
            <x v="16"/>
          </reference>
        </references>
      </pivotArea>
    </format>
    <format dxfId="2">
      <pivotArea dataOnly="0" labelOnly="1" outline="0" fieldPosition="0">
        <references count="2">
          <reference field="0" count="1" selected="0">
            <x v="21"/>
          </reference>
          <reference field="1" count="1">
            <x v="22"/>
          </reference>
        </references>
      </pivotArea>
    </format>
    <format dxfId="1">
      <pivotArea dataOnly="0" labelOnly="1" outline="0" fieldPosition="0">
        <references count="2">
          <reference field="0" count="1" selected="0">
            <x v="22"/>
          </reference>
          <reference field="1" count="1">
            <x v="21"/>
          </reference>
        </references>
      </pivotArea>
    </format>
    <format dxfId="0">
      <pivotArea dataOnly="0" labelOnly="1" outline="0" fieldPosition="0">
        <references count="2">
          <reference field="0" count="1" selected="0">
            <x v="25"/>
          </reference>
          <reference field="1" count="1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eau croisé dynamique1" cacheId="3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compact="0" compactData="0" multipleFieldFilters="0">
  <location ref="D3:M431" firstHeaderRow="1" firstDataRow="2" firstDataCol="1" rowPageCount="1" colPageCount="1"/>
  <pivotFields count="56">
    <pivotField axis="axisCol" compact="0" outline="0" showAll="0" sortType="ascending" defaultSubtotal="0">
      <items count="14">
        <item x="2"/>
        <item m="1" x="11"/>
        <item x="6"/>
        <item x="5"/>
        <item x="0"/>
        <item x="1"/>
        <item m="1" x="9"/>
        <item x="3"/>
        <item m="1" x="10"/>
        <item m="1" x="12"/>
        <item x="4"/>
        <item m="1" x="13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28">
        <item m="1" x="12"/>
        <item m="1" x="13"/>
        <item m="1" x="14"/>
        <item x="2"/>
        <item x="0"/>
        <item m="1" x="17"/>
        <item x="5"/>
        <item m="1" x="15"/>
        <item x="1"/>
        <item x="3"/>
        <item m="1" x="18"/>
        <item m="1" x="27"/>
        <item m="1" x="11"/>
        <item m="1" x="16"/>
        <item m="1" x="26"/>
        <item m="1" x="24"/>
        <item m="1" x="8"/>
        <item m="1" x="19"/>
        <item x="6"/>
        <item m="1" x="7"/>
        <item m="1" x="23"/>
        <item m="1" x="25"/>
        <item m="1" x="20"/>
        <item m="1" x="22"/>
        <item x="4"/>
        <item m="1" x="21"/>
        <item m="1" x="9"/>
        <item m="1"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8000">
        <item m="1" x="7922"/>
        <item m="1" x="7891"/>
        <item m="1" x="7881"/>
        <item m="1" x="7882"/>
        <item m="1" x="7878"/>
        <item m="1" x="7860"/>
        <item m="1" x="7861"/>
        <item m="1" x="7862"/>
        <item m="1" x="7863"/>
        <item m="1" x="7879"/>
        <item m="1" x="7864"/>
        <item m="1" x="7865"/>
        <item m="1" x="7866"/>
        <item m="1" x="7867"/>
        <item m="1" x="7880"/>
        <item m="1" x="7868"/>
        <item m="1" x="7869"/>
        <item m="1" x="7870"/>
        <item m="1" x="7871"/>
        <item m="1" x="7872"/>
        <item m="1" x="7873"/>
        <item m="1" x="7884"/>
        <item m="1" x="7883"/>
        <item m="1" x="7874"/>
        <item m="1" x="7885"/>
        <item m="1" x="7890"/>
        <item m="1" x="7887"/>
        <item m="1" x="7889"/>
        <item m="1" x="7888"/>
        <item m="1" x="7875"/>
        <item m="1" x="7876"/>
        <item m="1" x="7877"/>
        <item m="1" x="7886"/>
        <item m="1" x="7947"/>
        <item m="1" x="7907"/>
        <item m="1" x="7943"/>
        <item m="1" x="7895"/>
        <item m="1" x="7892"/>
        <item m="1" x="7893"/>
        <item m="1" x="7894"/>
        <item m="1" x="7899"/>
        <item m="1" x="7946"/>
        <item m="1" x="7900"/>
        <item m="1" x="7901"/>
        <item m="1" x="7945"/>
        <item m="1" x="7902"/>
        <item m="1" x="7903"/>
        <item m="1" x="7904"/>
        <item m="1" x="7905"/>
        <item m="1" x="7906"/>
        <item m="1" x="7921"/>
        <item m="1" x="7938"/>
        <item m="1" x="7937"/>
        <item m="1" x="7936"/>
        <item m="1" x="7935"/>
        <item m="1" x="7924"/>
        <item m="1" x="7934"/>
        <item m="1" x="7933"/>
        <item m="1" x="7898"/>
        <item m="1" x="7940"/>
        <item m="1" x="7939"/>
        <item m="1" x="7932"/>
        <item m="1" x="7931"/>
        <item m="1" x="7897"/>
        <item m="1" x="7930"/>
        <item m="1" x="7929"/>
        <item m="1" x="7928"/>
        <item m="1" x="7927"/>
        <item m="1" x="7923"/>
        <item m="1" x="7944"/>
        <item m="1" x="7926"/>
        <item m="1" x="7925"/>
        <item m="1" x="7896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41"/>
        <item m="1" x="7910"/>
        <item m="1" x="7909"/>
        <item m="1" x="7973"/>
        <item m="1" x="7942"/>
        <item m="1" x="7908"/>
        <item m="1" x="7949"/>
        <item m="1" x="7948"/>
        <item m="1" x="7966"/>
        <item m="1" x="7960"/>
        <item m="1" x="7963"/>
        <item m="1" x="7964"/>
        <item m="1" x="7965"/>
        <item m="1" x="7951"/>
        <item m="1" x="7980"/>
        <item m="1" x="7961"/>
        <item m="1" x="7950"/>
        <item m="1" x="7959"/>
        <item m="1" x="7958"/>
        <item m="1" x="7957"/>
        <item m="1" x="7956"/>
        <item m="1" x="7962"/>
        <item m="1" x="7955"/>
        <item m="1" x="7954"/>
        <item m="1" x="7953"/>
        <item m="1" x="7952"/>
        <item m="1" x="7979"/>
        <item m="1" x="7974"/>
        <item m="1" x="7975"/>
        <item m="1" x="7976"/>
        <item m="1" x="7977"/>
        <item m="1" x="7978"/>
        <item m="1" x="7967"/>
        <item m="1" x="7968"/>
        <item m="1" x="7969"/>
        <item m="1" x="7985"/>
        <item m="1" x="7970"/>
        <item m="1" x="7971"/>
        <item m="1" x="7984"/>
        <item m="1" x="7972"/>
        <item m="1" x="7983"/>
        <item m="1" x="7982"/>
        <item m="1" x="7981"/>
        <item m="1" x="7999"/>
        <item m="1" x="7998"/>
        <item m="1" x="7997"/>
        <item m="1" x="7996"/>
        <item m="1" x="7995"/>
        <item m="1" x="7994"/>
        <item m="1" x="7993"/>
        <item m="1" x="7992"/>
        <item m="1" x="7991"/>
        <item m="1" x="7990"/>
        <item m="1" x="7989"/>
        <item m="1" x="7988"/>
        <item m="1" x="7987"/>
        <item m="1" x="798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6113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6514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6125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6121"/>
        <item m="1" x="6115"/>
        <item m="1" x="6120"/>
        <item m="1" x="6118"/>
        <item m="1" x="6119"/>
        <item m="1" x="6122"/>
        <item m="1" x="6116"/>
        <item m="1" x="6117"/>
        <item m="1" x="6114"/>
        <item m="1" x="6124"/>
        <item m="1" x="6123"/>
        <item m="1" x="6292"/>
        <item m="1" x="6291"/>
        <item m="1" x="6351"/>
        <item m="1" x="6359"/>
        <item m="1" x="6218"/>
        <item m="1" x="6350"/>
        <item m="1" x="6349"/>
        <item m="1" x="6348"/>
        <item m="1" x="6249"/>
        <item m="1" x="6248"/>
        <item m="1" x="6217"/>
        <item m="1" x="6269"/>
        <item m="1" x="6247"/>
        <item m="1" x="6246"/>
        <item m="1" x="6216"/>
        <item m="1" x="6361"/>
        <item m="1" x="6347"/>
        <item m="1" x="6268"/>
        <item m="1" x="6267"/>
        <item m="1" x="6245"/>
        <item m="1" x="6244"/>
        <item m="1" x="6243"/>
        <item m="1" x="6266"/>
        <item m="1" x="6362"/>
        <item m="1" x="6242"/>
        <item m="1" x="6241"/>
        <item m="1" x="6240"/>
        <item m="1" x="6346"/>
        <item m="1" x="6345"/>
        <item m="1" x="6239"/>
        <item m="1" x="6344"/>
        <item m="1" x="6238"/>
        <item m="1" x="6237"/>
        <item m="1" x="6290"/>
        <item m="1" x="6265"/>
        <item m="1" x="6343"/>
        <item m="1" x="6215"/>
        <item m="1" x="6342"/>
        <item m="1" x="6236"/>
        <item m="1" x="6235"/>
        <item m="1" x="6234"/>
        <item m="1" x="6293"/>
        <item m="1" x="6264"/>
        <item m="1" x="6233"/>
        <item m="1" x="6232"/>
        <item m="1" x="6341"/>
        <item m="1" x="6279"/>
        <item m="1" x="6263"/>
        <item m="1" x="6231"/>
        <item m="1" x="6230"/>
        <item m="1" x="6340"/>
        <item m="1" x="6229"/>
        <item m="1" x="6228"/>
        <item m="1" x="6262"/>
        <item m="1" x="6227"/>
        <item m="1" x="6261"/>
        <item m="1" x="6226"/>
        <item m="1" x="6339"/>
        <item m="1" x="6260"/>
        <item m="1" x="6225"/>
        <item m="1" x="6224"/>
        <item m="1" x="6214"/>
        <item m="1" x="6223"/>
        <item m="1" x="6222"/>
        <item m="1" x="6338"/>
        <item m="1" x="6259"/>
        <item m="1" x="6221"/>
        <item m="1" x="6220"/>
        <item m="1" x="6219"/>
        <item m="1" x="6187"/>
        <item m="1" x="6155"/>
        <item m="1" x="6154"/>
        <item m="1" x="6294"/>
        <item m="1" x="6153"/>
        <item m="1" x="6152"/>
        <item m="1" x="6151"/>
        <item m="1" x="6150"/>
        <item m="1" x="6149"/>
        <item m="1" x="6148"/>
        <item m="1" x="6147"/>
        <item m="1" x="6146"/>
        <item m="1" x="6200"/>
        <item m="1" x="6145"/>
        <item m="1" x="6144"/>
        <item m="1" x="6143"/>
        <item m="1" x="6199"/>
        <item m="1" x="6142"/>
        <item m="1" x="6141"/>
        <item m="1" x="6132"/>
        <item m="1" x="6337"/>
        <item m="1" x="6213"/>
        <item m="1" x="6131"/>
        <item m="1" x="6130"/>
        <item m="1" x="6129"/>
        <item m="1" x="6140"/>
        <item m="1" x="6139"/>
        <item m="1" x="6138"/>
        <item m="1" x="6137"/>
        <item m="1" x="6136"/>
        <item m="1" x="6135"/>
        <item m="1" x="6134"/>
        <item m="1" x="6212"/>
        <item m="1" x="6360"/>
        <item m="1" x="6258"/>
        <item m="1" x="6211"/>
        <item m="1" x="6133"/>
        <item m="1" x="6128"/>
        <item m="1" x="6127"/>
        <item m="1" x="6126"/>
        <item m="1" x="6156"/>
        <item m="1" x="6336"/>
        <item m="1" x="6335"/>
        <item m="1" x="6186"/>
        <item m="1" x="6257"/>
        <item m="1" x="6256"/>
        <item m="1" x="6185"/>
        <item m="1" x="6334"/>
        <item m="1" x="6184"/>
        <item m="1" x="6296"/>
        <item m="1" x="6333"/>
        <item m="1" x="6183"/>
        <item m="1" x="6295"/>
        <item m="1" x="6210"/>
        <item m="1" x="6182"/>
        <item m="1" x="6255"/>
        <item m="1" x="6332"/>
        <item m="1" x="6363"/>
        <item m="1" x="6198"/>
        <item m="1" x="6181"/>
        <item m="1" x="6180"/>
        <item m="1" x="6209"/>
        <item m="1" x="6179"/>
        <item m="1" x="6178"/>
        <item m="1" x="6331"/>
        <item m="1" x="6330"/>
        <item m="1" x="6177"/>
        <item m="1" x="6254"/>
        <item m="1" x="6329"/>
        <item m="1" x="6253"/>
        <item m="1" x="6289"/>
        <item m="1" x="6288"/>
        <item m="1" x="6287"/>
        <item m="1" x="6176"/>
        <item m="1" x="6197"/>
        <item m="1" x="6175"/>
        <item m="1" x="6174"/>
        <item m="1" x="6173"/>
        <item m="1" x="6172"/>
        <item m="1" x="6171"/>
        <item m="1" x="6170"/>
        <item m="1" x="6169"/>
        <item m="1" x="6168"/>
        <item m="1" x="6196"/>
        <item m="1" x="6367"/>
        <item m="1" x="6167"/>
        <item m="1" x="6166"/>
        <item m="1" x="6165"/>
        <item m="1" x="6195"/>
        <item m="1" x="6164"/>
        <item m="1" x="6163"/>
        <item m="1" x="6162"/>
        <item m="1" x="6161"/>
        <item m="1" x="6160"/>
        <item m="1" x="6159"/>
        <item m="1" x="6194"/>
        <item m="1" x="6158"/>
        <item m="1" x="6157"/>
        <item m="1" x="6366"/>
        <item m="1" x="6327"/>
        <item m="1" x="6283"/>
        <item m="1" x="6326"/>
        <item m="1" x="6325"/>
        <item m="1" x="6324"/>
        <item m="1" x="6323"/>
        <item m="1" x="6193"/>
        <item m="1" x="6208"/>
        <item m="1" x="6322"/>
        <item m="1" x="6321"/>
        <item m="1" x="6365"/>
        <item m="1" x="6320"/>
        <item m="1" x="6207"/>
        <item m="1" x="6206"/>
        <item m="1" x="6319"/>
        <item m="1" x="6205"/>
        <item m="1" x="6204"/>
        <item m="1" x="6297"/>
        <item m="1" x="6278"/>
        <item m="1" x="6203"/>
        <item m="1" x="6277"/>
        <item m="1" x="6318"/>
        <item m="1" x="6317"/>
        <item m="1" x="6192"/>
        <item m="1" x="6276"/>
        <item m="1" x="6252"/>
        <item m="1" x="6316"/>
        <item m="1" x="6251"/>
        <item m="1" x="6282"/>
        <item m="1" x="6281"/>
        <item m="1" x="6286"/>
        <item m="1" x="6285"/>
        <item m="1" x="6284"/>
        <item m="1" x="6191"/>
        <item m="1" x="6315"/>
        <item m="1" x="6314"/>
        <item m="1" x="6313"/>
        <item m="1" x="6312"/>
        <item m="1" x="6280"/>
        <item m="1" x="6311"/>
        <item m="1" x="6250"/>
        <item m="1" x="6310"/>
        <item m="1" x="6309"/>
        <item m="1" x="6202"/>
        <item m="1" x="6308"/>
        <item m="1" x="6307"/>
        <item m="1" x="6190"/>
        <item m="1" x="6306"/>
        <item m="1" x="6305"/>
        <item m="1" x="6275"/>
        <item m="1" x="6189"/>
        <item m="1" x="6304"/>
        <item m="1" x="6303"/>
        <item m="1" x="6302"/>
        <item m="1" x="6301"/>
        <item m="1" x="6300"/>
        <item m="1" x="6299"/>
        <item m="1" x="6298"/>
        <item m="1" x="6328"/>
        <item m="1" x="6188"/>
        <item m="1" x="6358"/>
        <item m="1" x="6357"/>
        <item m="1" x="6356"/>
        <item m="1" x="6274"/>
        <item m="1" x="6355"/>
        <item m="1" x="6354"/>
        <item m="1" x="6353"/>
        <item m="1" x="6273"/>
        <item m="1" x="6352"/>
        <item m="1" x="6272"/>
        <item m="1" x="6271"/>
        <item m="1" x="6201"/>
        <item m="1" x="6270"/>
        <item m="1" x="6364"/>
        <item m="1" x="6388"/>
        <item m="1" x="6398"/>
        <item m="1" x="6399"/>
        <item m="1" x="6389"/>
        <item m="1" x="6438"/>
        <item m="1" x="6390"/>
        <item m="1" x="6439"/>
        <item m="1" x="6391"/>
        <item m="1" x="6392"/>
        <item m="1" x="6459"/>
        <item m="1" x="6400"/>
        <item m="1" x="6393"/>
        <item m="1" x="6440"/>
        <item m="1" x="6432"/>
        <item m="1" x="6401"/>
        <item m="1" x="6441"/>
        <item m="1" x="6442"/>
        <item m="1" x="6443"/>
        <item m="1" x="6444"/>
        <item m="1" x="6402"/>
        <item m="1" x="6403"/>
        <item m="1" x="6404"/>
        <item m="1" x="6405"/>
        <item m="1" x="6433"/>
        <item m="1" x="6423"/>
        <item m="1" x="6429"/>
        <item m="1" x="6428"/>
        <item m="1" x="6422"/>
        <item m="1" x="6431"/>
        <item m="1" x="6427"/>
        <item m="1" x="6456"/>
        <item m="1" x="6406"/>
        <item m="1" x="6407"/>
        <item m="1" x="6460"/>
        <item m="1" x="6426"/>
        <item m="1" x="6408"/>
        <item m="1" x="6409"/>
        <item m="1" x="6457"/>
        <item m="1" x="6421"/>
        <item m="1" x="6410"/>
        <item m="1" x="6458"/>
        <item m="1" x="6455"/>
        <item m="1" x="6411"/>
        <item m="1" x="6412"/>
        <item m="1" x="6413"/>
        <item m="1" x="6414"/>
        <item m="1" x="6415"/>
        <item m="1" x="6416"/>
        <item m="1" x="6417"/>
        <item m="1" x="6418"/>
        <item m="1" x="6434"/>
        <item m="1" x="6419"/>
        <item m="1" x="6435"/>
        <item m="1" x="6430"/>
        <item m="1" x="6420"/>
        <item m="1" x="6394"/>
        <item m="1" x="6463"/>
        <item m="1" x="6380"/>
        <item m="1" x="6379"/>
        <item m="1" x="6378"/>
        <item m="1" x="6377"/>
        <item m="1" x="6445"/>
        <item m="1" x="6376"/>
        <item m="1" x="6375"/>
        <item m="1" x="6374"/>
        <item m="1" x="6395"/>
        <item m="1" x="6370"/>
        <item m="1" x="6464"/>
        <item m="1" x="6465"/>
        <item m="1" x="6369"/>
        <item m="1" x="6446"/>
        <item m="1" x="6368"/>
        <item m="1" x="6447"/>
        <item m="1" x="6448"/>
        <item m="1" x="6449"/>
        <item m="1" x="6450"/>
        <item m="1" x="6396"/>
        <item m="1" x="6371"/>
        <item m="1" x="6462"/>
        <item m="1" x="6372"/>
        <item m="1" x="6373"/>
        <item m="1" x="6451"/>
        <item m="1" x="6381"/>
        <item m="1" x="6382"/>
        <item m="1" x="6383"/>
        <item m="1" x="6384"/>
        <item m="1" x="6454"/>
        <item m="1" x="6385"/>
        <item m="1" x="6386"/>
        <item m="1" x="6387"/>
        <item m="1" x="6397"/>
        <item m="1" x="6436"/>
        <item m="1" x="6452"/>
        <item m="1" x="6534"/>
        <item m="1" x="6425"/>
        <item m="1" x="6461"/>
        <item m="1" x="6535"/>
        <item m="1" x="6536"/>
        <item m="1" x="6513"/>
        <item m="1" x="6537"/>
        <item m="1" x="6538"/>
        <item m="1" x="6437"/>
        <item m="1" x="6453"/>
        <item m="1" x="6539"/>
        <item m="1" x="6540"/>
        <item m="1" x="6424"/>
        <item m="1" x="6502"/>
        <item m="1" x="6501"/>
        <item m="1" x="6532"/>
        <item m="1" x="6512"/>
        <item m="1" x="6511"/>
        <item m="1" x="6533"/>
        <item m="1" x="6510"/>
        <item m="1" x="6506"/>
        <item m="1" x="6505"/>
        <item m="1" x="6504"/>
        <item m="1" x="6541"/>
        <item m="1" x="6500"/>
        <item m="1" x="6499"/>
        <item m="1" x="6542"/>
        <item m="1" x="6529"/>
        <item m="1" x="6498"/>
        <item m="1" x="6497"/>
        <item m="1" x="6496"/>
        <item m="1" x="6495"/>
        <item m="1" x="6494"/>
        <item m="1" x="6493"/>
        <item m="1" x="6492"/>
        <item m="1" x="6520"/>
        <item m="1" x="6491"/>
        <item m="1" x="6490"/>
        <item m="1" x="6530"/>
        <item m="1" x="6503"/>
        <item m="1" x="6528"/>
        <item m="1" x="6489"/>
        <item m="1" x="6515"/>
        <item m="1" x="6527"/>
        <item m="1" x="6519"/>
        <item m="1" x="6518"/>
        <item m="1" x="6488"/>
        <item m="1" x="6487"/>
        <item m="1" x="6517"/>
        <item m="1" x="6526"/>
        <item m="1" x="6486"/>
        <item m="1" x="6516"/>
        <item m="1" x="6485"/>
        <item m="1" x="6484"/>
        <item m="1" x="6470"/>
        <item m="1" x="6525"/>
        <item m="1" x="6469"/>
        <item m="1" x="6468"/>
        <item m="1" x="6547"/>
        <item m="1" x="6524"/>
        <item m="1" x="6523"/>
        <item m="1" x="6522"/>
        <item m="1" x="6467"/>
        <item m="1" x="6466"/>
        <item m="1" x="6471"/>
        <item m="1" x="6472"/>
        <item m="1" x="6473"/>
        <item m="1" x="6545"/>
        <item m="1" x="6474"/>
        <item m="1" x="6509"/>
        <item m="1" x="6475"/>
        <item m="1" x="6521"/>
        <item m="1" x="6508"/>
        <item m="1" x="6546"/>
        <item m="1" x="6476"/>
        <item m="1" x="6477"/>
        <item m="1" x="6478"/>
        <item m="1" x="6543"/>
        <item m="1" x="6479"/>
        <item m="1" x="6480"/>
        <item m="1" x="6481"/>
        <item m="1" x="6507"/>
        <item m="1" x="6589"/>
        <item m="1" x="6544"/>
        <item m="1" x="6482"/>
        <item m="1" x="6531"/>
        <item m="1" x="6483"/>
        <item m="1" x="6579"/>
        <item m="1" x="6580"/>
        <item m="1" x="6581"/>
        <item m="1" x="6548"/>
        <item m="1" x="6555"/>
        <item m="1" x="6570"/>
        <item m="1" x="6556"/>
        <item m="1" x="6569"/>
        <item m="1" x="6554"/>
        <item m="1" x="6572"/>
        <item m="1" x="6578"/>
        <item m="1" x="6577"/>
        <item m="1" x="6576"/>
        <item m="1" x="6575"/>
        <item m="1" x="6549"/>
        <item m="1" x="6553"/>
        <item m="1" x="6571"/>
        <item m="1" x="6574"/>
        <item m="1" x="6573"/>
        <item m="1" x="6568"/>
        <item m="1" x="6567"/>
        <item m="1" x="6566"/>
        <item m="1" x="6565"/>
        <item m="1" x="6564"/>
        <item m="1" x="6563"/>
        <item m="1" x="6562"/>
        <item m="1" x="6582"/>
        <item m="1" x="6583"/>
        <item m="1" x="6561"/>
        <item m="1" x="6560"/>
        <item m="1" x="6559"/>
        <item m="1" x="6558"/>
        <item m="1" x="6557"/>
        <item m="1" x="6584"/>
        <item m="1" x="6588"/>
        <item m="1" x="6585"/>
        <item m="1" x="6552"/>
        <item m="1" x="6551"/>
        <item m="1" x="6586"/>
        <item m="1" x="6550"/>
        <item m="1" x="6587"/>
        <item m="1" x="6722"/>
        <item m="1" x="6729"/>
        <item m="1" x="6719"/>
        <item m="1" x="6721"/>
        <item m="1" x="6714"/>
        <item m="1" x="6715"/>
        <item m="1" x="6709"/>
        <item m="1" x="6720"/>
        <item m="1" x="6716"/>
        <item m="1" x="6710"/>
        <item m="1" x="6619"/>
        <item m="1" x="6700"/>
        <item m="1" x="6699"/>
        <item m="1" x="6698"/>
        <item m="1" x="6697"/>
        <item m="1" x="6623"/>
        <item m="1" x="6618"/>
        <item m="1" x="6617"/>
        <item m="1" x="6675"/>
        <item m="1" x="6674"/>
        <item m="1" x="6696"/>
        <item m="1" x="6673"/>
        <item m="1" x="6695"/>
        <item m="1" x="6694"/>
        <item m="1" x="6693"/>
        <item m="1" x="6692"/>
        <item m="1" x="6691"/>
        <item m="1" x="6711"/>
        <item m="1" x="6690"/>
        <item m="1" x="6622"/>
        <item m="1" x="6689"/>
        <item m="1" x="6688"/>
        <item m="1" x="6687"/>
        <item m="1" x="6686"/>
        <item m="1" x="6685"/>
        <item m="1" x="6684"/>
        <item m="1" x="6633"/>
        <item m="1" x="6728"/>
        <item m="1" x="6683"/>
        <item m="1" x="6678"/>
        <item m="1" x="6672"/>
        <item m="1" x="6632"/>
        <item m="1" x="6682"/>
        <item m="1" x="6681"/>
        <item m="1" x="6616"/>
        <item m="1" x="6680"/>
        <item m="1" x="6631"/>
        <item m="1" x="6677"/>
        <item m="1" x="6676"/>
        <item m="1" x="6630"/>
        <item m="1" x="6679"/>
        <item m="1" x="6629"/>
        <item m="1" x="6647"/>
        <item m="1" x="6615"/>
        <item m="1" x="6648"/>
        <item m="1" x="6649"/>
        <item m="1" x="6650"/>
        <item m="1" x="6614"/>
        <item m="1" x="6651"/>
        <item m="1" x="6652"/>
        <item m="1" x="6613"/>
        <item m="1" x="6646"/>
        <item m="1" x="6628"/>
        <item m="1" x="6645"/>
        <item m="1" x="6644"/>
        <item m="1" x="6627"/>
        <item m="1" x="6643"/>
        <item m="1" x="6642"/>
        <item m="1" x="6717"/>
        <item m="1" x="6712"/>
        <item m="1" x="6641"/>
        <item m="1" x="6723"/>
        <item m="1" x="6640"/>
        <item m="1" x="6621"/>
        <item m="1" x="6639"/>
        <item m="1" x="6638"/>
        <item m="1" x="6637"/>
        <item m="1" x="6671"/>
        <item m="1" x="6670"/>
        <item m="1" x="6669"/>
        <item m="1" x="6668"/>
        <item m="1" x="6667"/>
        <item m="1" x="6666"/>
        <item m="1" x="6665"/>
        <item m="1" x="6626"/>
        <item m="1" x="6664"/>
        <item m="1" x="6663"/>
        <item m="1" x="6662"/>
        <item m="1" x="6661"/>
        <item m="1" x="6660"/>
        <item m="1" x="6659"/>
        <item m="1" x="6658"/>
        <item m="1" x="6657"/>
        <item m="1" x="6656"/>
        <item m="1" x="6655"/>
        <item m="1" x="6620"/>
        <item m="1" x="6654"/>
        <item m="1" x="6625"/>
        <item m="1" x="6624"/>
        <item m="1" x="6724"/>
        <item m="1" x="6653"/>
        <item m="1" x="6636"/>
        <item m="1" x="6612"/>
        <item m="1" x="6611"/>
        <item m="1" x="6610"/>
        <item m="1" x="6609"/>
        <item m="1" x="6608"/>
        <item m="1" x="6713"/>
        <item m="1" x="6718"/>
        <item m="1" x="6701"/>
        <item m="1" x="6702"/>
        <item m="1" x="6703"/>
        <item m="1" x="6704"/>
        <item m="1" x="6705"/>
        <item m="1" x="6706"/>
        <item m="1" x="6707"/>
        <item m="1" x="6708"/>
        <item m="1" x="6607"/>
        <item m="1" x="6606"/>
        <item m="1" x="6605"/>
        <item m="1" x="6604"/>
        <item m="1" x="6603"/>
        <item m="1" x="6602"/>
        <item m="1" x="6601"/>
        <item m="1" x="6600"/>
        <item m="1" x="6599"/>
        <item m="1" x="6598"/>
        <item m="1" x="6597"/>
        <item m="1" x="6596"/>
        <item m="1" x="6730"/>
        <item m="1" x="6725"/>
        <item m="1" x="6595"/>
        <item m="1" x="6726"/>
        <item m="1" x="6594"/>
        <item m="1" x="6727"/>
        <item m="1" x="6593"/>
        <item m="1" x="6592"/>
        <item m="1" x="6591"/>
        <item m="1" x="6590"/>
        <item m="1" x="6635"/>
        <item m="1" x="6634"/>
        <item m="1" x="6750"/>
        <item m="1" x="6751"/>
        <item m="1" x="6744"/>
        <item m="1" x="6749"/>
        <item m="1" x="5190"/>
        <item m="1" x="6745"/>
        <item m="1" x="6756"/>
        <item m="1" x="6746"/>
        <item m="1" x="6747"/>
        <item m="1" x="6748"/>
        <item m="1" x="6752"/>
        <item m="1" x="6753"/>
        <item m="1" x="6732"/>
        <item m="1" x="6755"/>
        <item m="1" x="6761"/>
        <item m="1" x="6760"/>
        <item m="1" x="6758"/>
        <item m="1" x="6754"/>
        <item m="1" x="6765"/>
        <item m="1" x="6759"/>
        <item m="1" x="6743"/>
        <item m="1" x="6742"/>
        <item m="1" x="6741"/>
        <item m="1" x="6740"/>
        <item m="1" x="6731"/>
        <item m="1" x="6739"/>
        <item m="1" x="6738"/>
        <item m="1" x="6737"/>
        <item m="1" x="6766"/>
        <item m="1" x="6767"/>
        <item m="1" x="6764"/>
        <item m="1" x="6763"/>
        <item m="1" x="6736"/>
        <item m="1" x="6735"/>
        <item m="1" x="6734"/>
        <item m="1" x="6733"/>
        <item m="1" x="6757"/>
        <item m="1" x="6762"/>
        <item m="1" x="6787"/>
        <item m="1" x="6778"/>
        <item m="1" x="6783"/>
        <item m="1" x="6784"/>
        <item m="1" x="6785"/>
        <item m="1" x="6786"/>
        <item m="1" x="6770"/>
        <item m="1" x="6769"/>
        <item m="1" x="6768"/>
        <item m="1" x="6775"/>
        <item m="1" x="6771"/>
        <item m="1" x="6774"/>
        <item m="1" x="6772"/>
        <item m="1" x="6782"/>
        <item m="1" x="6777"/>
        <item m="1" x="6773"/>
        <item m="1" x="6780"/>
        <item m="1" x="6776"/>
        <item m="1" x="6781"/>
        <item m="1" x="6779"/>
        <item m="1" x="6797"/>
        <item m="1" x="6798"/>
        <item m="1" x="6799"/>
        <item m="1" x="6800"/>
        <item m="1" x="6801"/>
        <item m="1" x="6788"/>
        <item m="1" x="6789"/>
        <item m="1" x="6794"/>
        <item m="1" x="6790"/>
        <item m="1" x="6791"/>
        <item m="1" x="6792"/>
        <item m="1" x="6793"/>
        <item m="1" x="6795"/>
        <item m="1" x="6804"/>
        <item m="1" x="6796"/>
        <item m="1" x="6803"/>
        <item m="1" x="6802"/>
        <item m="1" x="6819"/>
        <item m="1" x="6827"/>
        <item m="1" x="6828"/>
        <item m="1" x="6820"/>
        <item m="1" x="6829"/>
        <item m="1" x="6826"/>
        <item m="1" x="6821"/>
        <item m="1" x="6809"/>
        <item m="1" x="6822"/>
        <item m="1" x="6830"/>
        <item m="1" x="6813"/>
        <item m="1" x="6806"/>
        <item m="1" x="6823"/>
        <item m="1" x="6831"/>
        <item m="1" x="6815"/>
        <item m="1" x="6812"/>
        <item m="1" x="6814"/>
        <item m="1" x="6811"/>
        <item m="1" x="6818"/>
        <item m="1" x="6808"/>
        <item m="1" x="6810"/>
        <item m="1" x="6817"/>
        <item m="1" x="6805"/>
        <item m="1" x="6816"/>
        <item m="1" x="6807"/>
        <item m="1" x="6824"/>
        <item m="1" x="6825"/>
        <item m="1" x="6907"/>
        <item m="1" x="6906"/>
        <item m="1" x="6909"/>
        <item m="1" x="6860"/>
        <item m="1" x="6836"/>
        <item m="1" x="6903"/>
        <item m="1" x="6837"/>
        <item m="1" x="6850"/>
        <item m="1" x="6902"/>
        <item m="1" x="6851"/>
        <item m="1" x="6901"/>
        <item m="1" x="6881"/>
        <item m="1" x="6905"/>
        <item m="1" x="6838"/>
        <item m="1" x="6844"/>
        <item m="1" x="6859"/>
        <item m="1" x="6858"/>
        <item m="1" x="6867"/>
        <item m="1" x="6880"/>
        <item m="1" x="6900"/>
        <item m="1" x="6899"/>
        <item m="1" x="6845"/>
        <item m="1" x="6898"/>
        <item m="1" x="6857"/>
        <item m="1" x="6856"/>
        <item m="1" x="6897"/>
        <item m="1" x="6846"/>
        <item m="1" x="6896"/>
        <item m="1" x="6895"/>
        <item m="1" x="6894"/>
        <item m="1" x="6855"/>
        <item m="1" x="6839"/>
        <item m="1" x="6893"/>
        <item m="1" x="6840"/>
        <item m="1" x="6854"/>
        <item m="1" x="6853"/>
        <item m="1" x="6852"/>
        <item m="1" x="6879"/>
        <item m="1" x="6832"/>
        <item m="1" x="6878"/>
        <item m="1" x="6892"/>
        <item m="1" x="6891"/>
        <item m="1" x="6890"/>
        <item m="1" x="6889"/>
        <item m="1" x="6877"/>
        <item m="1" x="6888"/>
        <item m="1" x="6887"/>
        <item m="1" x="6833"/>
        <item m="1" x="6869"/>
        <item m="1" x="6876"/>
        <item m="1" x="6875"/>
        <item m="1" x="6874"/>
        <item m="1" x="6870"/>
        <item m="1" x="6871"/>
        <item m="1" x="6886"/>
        <item m="1" x="6885"/>
        <item m="1" x="6873"/>
        <item m="1" x="6868"/>
        <item m="1" x="6884"/>
        <item m="1" x="6872"/>
        <item m="1" x="6834"/>
        <item m="1" x="6841"/>
        <item m="1" x="6883"/>
        <item m="1" x="6882"/>
        <item m="1" x="6866"/>
        <item m="1" x="6842"/>
        <item m="1" x="6847"/>
        <item m="1" x="6843"/>
        <item m="1" x="6865"/>
        <item m="1" x="6864"/>
        <item m="1" x="6863"/>
        <item m="1" x="6862"/>
        <item m="1" x="6861"/>
        <item m="1" x="6848"/>
        <item m="1" x="6835"/>
        <item m="1" x="6849"/>
        <item m="1" x="6908"/>
        <item m="1" x="6904"/>
        <item m="1" x="6942"/>
        <item m="1" x="6941"/>
        <item m="1" x="6940"/>
        <item m="1" x="6939"/>
        <item m="1" x="6966"/>
        <item m="1" x="6938"/>
        <item m="1" x="6965"/>
        <item m="1" x="6937"/>
        <item m="1" x="6964"/>
        <item m="1" x="6963"/>
        <item m="1" x="6967"/>
        <item m="1" x="6962"/>
        <item m="1" x="6961"/>
        <item m="1" x="6960"/>
        <item m="1" x="6959"/>
        <item m="1" x="6958"/>
        <item m="1" x="6957"/>
        <item m="1" x="6956"/>
        <item m="1" x="6955"/>
        <item m="1" x="6954"/>
        <item m="1" x="6953"/>
        <item m="1" x="5221"/>
        <item m="1" x="6952"/>
        <item m="1" x="6951"/>
        <item m="1" x="6950"/>
        <item m="1" x="6936"/>
        <item m="1" x="6935"/>
        <item m="1" x="6934"/>
        <item m="1" x="6933"/>
        <item m="1" x="6932"/>
        <item m="1" x="6931"/>
        <item m="1" x="6930"/>
        <item m="1" x="6929"/>
        <item m="1" x="6928"/>
        <item m="1" x="6927"/>
        <item m="1" x="6917"/>
        <item m="1" x="6916"/>
        <item m="1" x="6915"/>
        <item m="1" x="6914"/>
        <item m="1" x="6911"/>
        <item m="1" x="6910"/>
        <item m="1" x="6912"/>
        <item m="1" x="6913"/>
        <item m="1" x="6918"/>
        <item m="1" x="6919"/>
        <item m="1" x="6920"/>
        <item m="1" x="6949"/>
        <item m="1" x="6921"/>
        <item m="1" x="6922"/>
        <item m="1" x="6948"/>
        <item m="1" x="6947"/>
        <item m="1" x="6946"/>
        <item m="1" x="6923"/>
        <item m="1" x="6924"/>
        <item m="1" x="6925"/>
        <item m="1" x="6926"/>
        <item m="1" x="6945"/>
        <item m="1" x="6944"/>
        <item m="1" x="6943"/>
        <item m="1" x="6969"/>
        <item m="1" x="6970"/>
        <item m="1" x="6968"/>
        <item m="1" x="6980"/>
        <item m="1" x="6981"/>
        <item m="1" x="6985"/>
        <item m="1" x="6982"/>
        <item m="1" x="6984"/>
        <item m="1" x="6983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93"/>
        <item m="1" x="6987"/>
        <item m="1" x="6986"/>
        <item m="1" x="6990"/>
        <item m="1" x="6988"/>
        <item m="1" x="6989"/>
        <item m="1" x="6992"/>
        <item m="1" x="6994"/>
        <item m="1" x="6995"/>
        <item m="1" x="6997"/>
        <item m="1" x="6996"/>
        <item m="1" x="6998"/>
        <item m="1" x="7005"/>
        <item m="1" x="7007"/>
        <item m="1" x="7004"/>
        <item m="1" x="7000"/>
        <item m="1" x="7001"/>
        <item m="1" x="7002"/>
        <item m="1" x="7014"/>
        <item m="1" x="7003"/>
        <item m="1" x="7013"/>
        <item m="1" x="7015"/>
        <item m="1" x="7016"/>
        <item m="1" x="6999"/>
        <item m="1" x="7017"/>
        <item m="1" x="7008"/>
        <item m="1" x="7009"/>
        <item m="1" x="7011"/>
        <item m="1" x="7010"/>
        <item m="1" x="7012"/>
        <item m="1" x="7006"/>
        <item m="1" x="7022"/>
        <item m="1" x="7021"/>
        <item m="1" x="7020"/>
        <item m="1" x="7038"/>
        <item m="1" x="7032"/>
        <item m="1" x="7026"/>
        <item m="1" x="7025"/>
        <item m="1" x="7024"/>
        <item m="1" x="7039"/>
        <item m="1" x="7031"/>
        <item m="1" x="7030"/>
        <item m="1" x="7019"/>
        <item m="1" x="7040"/>
        <item m="1" x="7018"/>
        <item m="1" x="7033"/>
        <item m="1" x="7041"/>
        <item m="1" x="7029"/>
        <item m="1" x="7042"/>
        <item m="1" x="7023"/>
        <item m="1" x="7028"/>
        <item m="1" x="7043"/>
        <item m="1" x="7027"/>
        <item m="1" x="7034"/>
        <item m="1" x="7035"/>
        <item m="1" x="7036"/>
        <item m="1" x="7037"/>
        <item m="1" x="7061"/>
        <item m="1" x="5321"/>
        <item m="1" x="7062"/>
        <item m="1" x="7060"/>
        <item m="1" x="7063"/>
        <item m="1" x="7055"/>
        <item m="1" x="7051"/>
        <item m="1" x="7050"/>
        <item m="1" x="7054"/>
        <item m="1" x="7053"/>
        <item m="1" x="7047"/>
        <item m="1" x="7049"/>
        <item m="1" x="7046"/>
        <item m="1" x="7048"/>
        <item m="1" x="7045"/>
        <item m="1" x="7044"/>
        <item m="1" x="7056"/>
        <item m="1" x="7057"/>
        <item m="1" x="7052"/>
        <item m="1" x="7058"/>
        <item m="1" x="7059"/>
        <item m="1" x="7067"/>
        <item m="1" x="7068"/>
        <item m="1" x="7066"/>
        <item m="1" x="7070"/>
        <item m="1" x="7069"/>
        <item m="1" x="7064"/>
        <item m="1" x="7065"/>
        <item m="1" x="7071"/>
        <item m="1" x="7072"/>
        <item m="1" x="7103"/>
        <item m="1" x="7105"/>
        <item m="1" x="7104"/>
        <item m="1" x="7088"/>
        <item m="1" x="7079"/>
        <item m="1" x="7085"/>
        <item m="1" x="7095"/>
        <item m="1" x="7078"/>
        <item m="1" x="7077"/>
        <item m="1" x="7076"/>
        <item m="1" x="7075"/>
        <item m="1" x="7084"/>
        <item m="1" x="7074"/>
        <item m="1" x="7083"/>
        <item m="1" x="7090"/>
        <item m="1" x="7097"/>
        <item m="1" x="7098"/>
        <item m="1" x="7096"/>
        <item m="1" x="7099"/>
        <item m="1" x="7100"/>
        <item m="1" x="7102"/>
        <item m="1" x="7101"/>
        <item m="1" x="7087"/>
        <item m="1" x="7073"/>
        <item m="1" x="7086"/>
        <item m="1" x="7092"/>
        <item m="1" x="7093"/>
        <item m="1" x="7094"/>
        <item m="1" x="7106"/>
        <item m="1" x="7082"/>
        <item m="1" x="7091"/>
        <item m="1" x="7081"/>
        <item m="1" x="7080"/>
        <item m="1" x="7089"/>
        <item m="1" x="5200"/>
        <item m="1" x="5201"/>
        <item m="1" x="5202"/>
        <item m="1" x="5203"/>
        <item m="1" x="5191"/>
        <item m="1" x="5199"/>
        <item m="1" x="5198"/>
        <item m="1" x="5204"/>
        <item m="1" x="5197"/>
        <item m="1" x="5192"/>
        <item m="1" x="5194"/>
        <item m="1" x="5196"/>
        <item m="1" x="5195"/>
        <item m="1" x="5193"/>
        <item m="1" x="5206"/>
        <item m="1" x="5209"/>
        <item m="1" x="5210"/>
        <item m="1" x="5211"/>
        <item m="1" x="5212"/>
        <item m="1" x="5219"/>
        <item m="1" x="5218"/>
        <item m="1" x="5217"/>
        <item m="1" x="5225"/>
        <item m="1" x="5230"/>
        <item m="1" x="5229"/>
        <item m="1" x="5227"/>
        <item m="1" x="5214"/>
        <item m="1" x="5213"/>
        <item m="1" x="5216"/>
        <item m="1" x="5220"/>
        <item m="1" x="5215"/>
        <item m="1" x="5205"/>
        <item m="1" x="5207"/>
        <item m="1" x="5208"/>
        <item m="1" x="5224"/>
        <item m="1" x="5228"/>
        <item m="1" x="5226"/>
        <item m="1" x="5223"/>
        <item m="1" x="5222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35"/>
        <item m="1" x="5250"/>
        <item m="1" x="5251"/>
        <item m="1" x="5252"/>
        <item m="1" x="5232"/>
        <item m="1" x="5234"/>
        <item m="1" x="5237"/>
        <item m="1" x="5236"/>
        <item m="1" x="5233"/>
        <item m="1" x="5231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9"/>
        <item m="1" x="5294"/>
        <item m="1" x="5291"/>
        <item m="1" x="5264"/>
        <item m="1" x="5288"/>
        <item m="1" x="5263"/>
        <item m="1" x="5279"/>
        <item m="1" x="5268"/>
        <item m="1" x="5280"/>
        <item m="1" x="5292"/>
        <item m="1" x="5278"/>
        <item m="1" x="5277"/>
        <item m="1" x="5281"/>
        <item m="1" x="5289"/>
        <item m="1" x="5293"/>
        <item m="1" x="5276"/>
        <item m="1" x="5267"/>
        <item m="1" x="5275"/>
        <item m="1" x="5274"/>
        <item m="1" x="5282"/>
        <item m="1" x="5283"/>
        <item m="1" x="5284"/>
        <item m="1" x="5273"/>
        <item m="1" x="5272"/>
        <item m="1" x="5271"/>
        <item m="1" x="5270"/>
        <item m="1" x="5290"/>
        <item m="1" x="5285"/>
        <item m="1" x="5265"/>
        <item m="1" x="5286"/>
        <item m="1" x="5287"/>
        <item m="1" x="5266"/>
        <item m="1" x="5297"/>
        <item m="1" x="5299"/>
        <item m="1" x="5296"/>
        <item m="1" x="5295"/>
        <item m="1" x="5298"/>
        <item m="1" x="5300"/>
        <item m="1" x="5308"/>
        <item m="1" x="5304"/>
        <item m="1" x="5305"/>
        <item m="1" x="5306"/>
        <item m="1" x="5322"/>
        <item m="1" x="5323"/>
        <item m="1" x="5324"/>
        <item m="1" x="5325"/>
        <item m="1" x="5326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03"/>
        <item m="1" x="5301"/>
        <item m="1" x="5307"/>
        <item m="1" x="5327"/>
        <item m="1" x="5328"/>
        <item m="1" x="5320"/>
        <item m="1" x="5329"/>
        <item m="1" x="5330"/>
        <item m="1" x="5331"/>
        <item m="1" x="5332"/>
        <item m="1" x="5333"/>
        <item m="1" x="5334"/>
        <item m="1" x="5302"/>
        <item m="1" x="5349"/>
        <item m="1" x="5351"/>
        <item m="1" x="5336"/>
        <item m="1" x="5335"/>
        <item m="1" x="5342"/>
        <item m="1" x="5343"/>
        <item m="1" x="5350"/>
        <item m="1" x="5344"/>
        <item m="1" x="5345"/>
        <item m="1" x="5348"/>
        <item m="1" x="5347"/>
        <item m="1" x="5341"/>
        <item m="1" x="5340"/>
        <item m="1" x="5339"/>
        <item m="1" x="5338"/>
        <item m="1" x="5337"/>
        <item m="1" x="5346"/>
        <item m="1" x="5358"/>
        <item m="1" x="5366"/>
        <item m="1" x="5361"/>
        <item m="1" x="5368"/>
        <item m="1" x="5369"/>
        <item m="1" x="5357"/>
        <item m="1" x="5370"/>
        <item m="1" x="5371"/>
        <item m="1" x="5367"/>
        <item m="1" x="5356"/>
        <item m="1" x="5355"/>
        <item m="1" x="5354"/>
        <item m="1" x="5353"/>
        <item m="1" x="5352"/>
        <item m="1" x="5362"/>
        <item m="1" x="5359"/>
        <item m="1" x="5363"/>
        <item m="1" x="5386"/>
        <item m="1" x="5372"/>
        <item m="1" x="5373"/>
        <item m="1" x="5374"/>
        <item m="1" x="5364"/>
        <item m="1" x="5375"/>
        <item m="1" x="5365"/>
        <item m="1" x="5360"/>
        <item m="1" x="5381"/>
        <item m="1" x="5383"/>
        <item m="1" x="5376"/>
        <item m="1" x="5377"/>
        <item m="1" x="5378"/>
        <item m="1" x="5379"/>
        <item m="1" x="5380"/>
        <item m="1" x="5382"/>
        <item m="1" x="5391"/>
        <item m="1" x="5394"/>
        <item m="1" x="5392"/>
        <item m="1" x="5388"/>
        <item m="1" x="5393"/>
        <item m="1" x="5389"/>
        <item m="1" x="5390"/>
        <item m="1" x="5407"/>
        <item m="1" x="5395"/>
        <item m="1" x="5387"/>
        <item m="1" x="5384"/>
        <item m="1" x="538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23"/>
        <item m="1" x="5422"/>
        <item m="1" x="5428"/>
        <item m="1" x="5427"/>
        <item m="1" x="5421"/>
        <item m="1" x="5420"/>
        <item m="1" x="5419"/>
        <item m="1" x="5418"/>
        <item m="1" x="5417"/>
        <item m="1" x="5416"/>
        <item m="1" x="5415"/>
        <item m="1" x="5414"/>
        <item m="1" x="5413"/>
        <item m="1" x="5412"/>
        <item m="1" x="5411"/>
        <item m="1" x="5410"/>
        <item m="1" x="5409"/>
        <item m="1" x="5408"/>
        <item m="1" x="5424"/>
        <item m="1" x="5425"/>
        <item m="1" x="5431"/>
        <item m="1" x="5432"/>
        <item m="1" x="5433"/>
        <item m="1" x="5429"/>
        <item m="1" x="5434"/>
        <item m="1" x="5426"/>
        <item m="1" x="5435"/>
        <item m="1" x="5436"/>
        <item m="1" x="5430"/>
        <item m="1" x="5437"/>
        <item m="1" x="5470"/>
        <item m="1" x="5438"/>
        <item m="1" x="5439"/>
        <item m="1" x="5440"/>
        <item m="1" x="5469"/>
        <item m="1" x="5441"/>
        <item m="1" x="5442"/>
        <item m="1" x="5443"/>
        <item m="1" x="5444"/>
        <item m="1" x="5457"/>
        <item m="1" x="5508"/>
        <item m="1" x="5454"/>
        <item m="1" x="5453"/>
        <item m="1" x="5447"/>
        <item m="1" x="5446"/>
        <item m="1" x="5458"/>
        <item m="1" x="5459"/>
        <item m="1" x="5460"/>
        <item m="1" x="5461"/>
        <item m="1" x="5462"/>
        <item m="1" x="5579"/>
        <item m="1" x="5452"/>
        <item m="1" x="5445"/>
        <item m="1" x="5451"/>
        <item m="1" x="5450"/>
        <item m="1" x="5449"/>
        <item m="1" x="5448"/>
        <item m="1" x="5463"/>
        <item m="1" x="5464"/>
        <item m="1" x="5465"/>
        <item m="1" x="5466"/>
        <item m="1" x="5467"/>
        <item m="1" x="5468"/>
        <item m="1" x="5509"/>
        <item m="1" x="5492"/>
        <item m="1" x="5510"/>
        <item m="1" x="5455"/>
        <item m="1" x="5456"/>
        <item m="1" x="5506"/>
        <item m="1" x="5504"/>
        <item m="1" x="5503"/>
        <item m="1" x="5502"/>
        <item m="1" x="5476"/>
        <item m="1" x="5507"/>
        <item m="1" x="5477"/>
        <item m="1" x="5511"/>
        <item m="1" x="5512"/>
        <item m="1" x="5513"/>
        <item m="1" x="5514"/>
        <item m="1" x="5494"/>
        <item m="1" x="5474"/>
        <item m="1" x="5496"/>
        <item m="1" x="5501"/>
        <item m="1" x="5495"/>
        <item m="1" x="5500"/>
        <item m="1" x="5505"/>
        <item m="1" x="5499"/>
        <item m="1" x="5478"/>
        <item m="1" x="5515"/>
        <item m="1" x="5498"/>
        <item m="1" x="5479"/>
        <item m="1" x="5497"/>
        <item m="1" x="5493"/>
        <item m="1" x="5485"/>
        <item m="1" x="5475"/>
        <item m="1" x="5486"/>
        <item m="1" x="5487"/>
        <item m="1" x="5488"/>
        <item m="1" x="5489"/>
        <item m="1" x="5490"/>
        <item m="1" x="5491"/>
        <item m="1" x="5480"/>
        <item m="1" x="5473"/>
        <item m="1" x="5516"/>
        <item m="1" x="5521"/>
        <item m="1" x="5484"/>
        <item m="1" x="5481"/>
        <item m="1" x="5483"/>
        <item m="1" x="5482"/>
        <item m="1" x="5471"/>
        <item m="1" x="5472"/>
        <item m="1" x="5573"/>
        <item m="1" x="5572"/>
        <item m="1" x="5537"/>
        <item m="1" x="5571"/>
        <item m="1" x="5530"/>
        <item m="1" x="5569"/>
        <item m="1" x="5578"/>
        <item m="1" x="5577"/>
        <item m="1" x="5576"/>
        <item m="1" x="5548"/>
        <item m="1" x="5547"/>
        <item m="1" x="5570"/>
        <item m="1" x="5575"/>
        <item m="1" x="5574"/>
        <item m="1" x="5568"/>
        <item m="1" x="5536"/>
        <item m="1" x="5567"/>
        <item m="1" x="5566"/>
        <item m="1" x="5535"/>
        <item m="1" x="5522"/>
        <item m="1" x="5523"/>
        <item m="1" x="5524"/>
        <item m="1" x="5552"/>
        <item m="1" x="5551"/>
        <item m="1" x="5549"/>
        <item m="1" x="5525"/>
        <item m="1" x="5565"/>
        <item m="1" x="5564"/>
        <item m="1" x="5563"/>
        <item m="1" x="5534"/>
        <item m="1" x="5526"/>
        <item m="1" x="5531"/>
        <item m="1" x="5562"/>
        <item m="1" x="5527"/>
        <item m="1" x="5532"/>
        <item m="1" x="5561"/>
        <item m="1" x="5560"/>
        <item m="1" x="5517"/>
        <item m="1" x="5559"/>
        <item m="1" x="5558"/>
        <item m="1" x="5557"/>
        <item m="1" x="5556"/>
        <item m="1" x="5518"/>
        <item m="1" x="5555"/>
        <item m="1" x="5554"/>
        <item m="1" x="5519"/>
        <item m="1" x="5550"/>
        <item m="1" x="5553"/>
        <item m="1" x="5528"/>
        <item m="1" x="5533"/>
        <item m="1" x="5529"/>
        <item m="1" x="5546"/>
        <item m="1" x="5520"/>
        <item m="1" x="5545"/>
        <item m="1" x="5544"/>
        <item m="1" x="5543"/>
        <item m="1" x="5542"/>
        <item m="1" x="5541"/>
        <item m="1" x="5540"/>
        <item m="1" x="5539"/>
        <item m="1" x="5538"/>
        <item m="1" x="5620"/>
        <item m="1" x="5625"/>
        <item m="1" x="5619"/>
        <item m="1" x="5641"/>
        <item m="1" x="5640"/>
        <item m="1" x="5624"/>
        <item m="1" x="5639"/>
        <item m="1" x="5638"/>
        <item m="1" x="5637"/>
        <item m="1" x="5636"/>
        <item m="1" x="5623"/>
        <item m="1" x="5635"/>
        <item m="1" x="5634"/>
        <item m="1" x="5633"/>
        <item m="1" x="5632"/>
        <item m="1" x="5622"/>
        <item m="1" x="5590"/>
        <item m="1" x="5621"/>
        <item m="1" x="5611"/>
        <item m="1" x="5591"/>
        <item m="1" x="5618"/>
        <item m="1" x="5645"/>
        <item m="1" x="5615"/>
        <item m="1" x="5614"/>
        <item m="1" x="5617"/>
        <item m="1" x="5613"/>
        <item m="1" x="5612"/>
        <item m="1" x="5616"/>
        <item m="1" x="5595"/>
        <item m="1" x="5610"/>
        <item m="1" x="5592"/>
        <item m="1" x="5609"/>
        <item m="1" x="5608"/>
        <item m="1" x="5631"/>
        <item m="1" x="5607"/>
        <item m="1" x="5630"/>
        <item m="1" x="5629"/>
        <item m="1" x="5628"/>
        <item m="1" x="5627"/>
        <item m="1" x="5606"/>
        <item m="1" x="5605"/>
        <item m="1" x="5604"/>
        <item m="1" x="5644"/>
        <item m="1" x="5642"/>
        <item m="1" x="5643"/>
        <item m="1" x="5626"/>
        <item m="1" x="5603"/>
        <item m="1" x="5602"/>
        <item m="1" x="5601"/>
        <item m="1" x="5600"/>
        <item m="1" x="5599"/>
        <item m="1" x="5593"/>
        <item m="1" x="5598"/>
        <item m="1" x="5597"/>
        <item m="1" x="5594"/>
        <item m="1" x="5596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689"/>
        <item m="1" x="5688"/>
        <item m="1" x="5722"/>
        <item m="1" x="5714"/>
        <item m="1" x="5800"/>
        <item m="1" x="5687"/>
        <item m="1" x="5686"/>
        <item m="1" x="5685"/>
        <item m="1" x="5713"/>
        <item m="1" x="5712"/>
        <item m="1" x="5786"/>
        <item m="1" x="5729"/>
        <item m="1" x="5785"/>
        <item m="1" x="5784"/>
        <item m="1" x="5684"/>
        <item m="1" x="5783"/>
        <item m="1" x="5711"/>
        <item m="1" x="5683"/>
        <item m="1" x="5782"/>
        <item m="1" x="5757"/>
        <item m="1" x="5781"/>
        <item m="1" x="5758"/>
        <item m="1" x="5746"/>
        <item m="1" x="5682"/>
        <item m="1" x="5747"/>
        <item m="1" x="5721"/>
        <item m="1" x="5756"/>
        <item m="1" x="5681"/>
        <item m="1" x="5745"/>
        <item m="1" x="5680"/>
        <item m="1" x="5801"/>
        <item m="1" x="5748"/>
        <item m="1" x="5657"/>
        <item m="1" x="5710"/>
        <item m="1" x="5802"/>
        <item m="1" x="5803"/>
        <item m="1" x="5749"/>
        <item m="1" x="5794"/>
        <item m="1" x="5744"/>
        <item m="1" x="5679"/>
        <item m="1" x="5804"/>
        <item m="1" x="5678"/>
        <item m="1" x="5677"/>
        <item m="1" x="5755"/>
        <item m="1" x="5750"/>
        <item m="1" x="5743"/>
        <item m="1" x="5676"/>
        <item m="1" x="5709"/>
        <item m="1" x="5656"/>
        <item m="1" x="5655"/>
        <item m="1" x="5742"/>
        <item m="1" x="5741"/>
        <item m="1" x="5740"/>
        <item m="1" x="5805"/>
        <item m="1" x="5675"/>
        <item m="1" x="5674"/>
        <item m="1" x="5673"/>
        <item m="1" x="5754"/>
        <item m="1" x="5672"/>
        <item m="1" x="5654"/>
        <item m="1" x="5671"/>
        <item m="1" x="5708"/>
        <item m="1" x="5739"/>
        <item m="1" x="5670"/>
        <item m="1" x="5753"/>
        <item m="1" x="5806"/>
        <item m="1" x="5738"/>
        <item m="1" x="5807"/>
        <item m="1" x="5690"/>
        <item m="1" x="5667"/>
        <item m="1" x="5669"/>
        <item m="1" x="5668"/>
        <item m="1" x="5780"/>
        <item m="1" x="5752"/>
        <item m="1" x="5779"/>
        <item m="1" x="5737"/>
        <item m="1" x="5808"/>
        <item m="1" x="5799"/>
        <item m="1" x="5793"/>
        <item m="1" x="5797"/>
        <item m="1" x="5795"/>
        <item m="1" x="5720"/>
        <item m="1" x="5666"/>
        <item m="1" x="5778"/>
        <item m="1" x="5777"/>
        <item m="1" x="5665"/>
        <item m="1" x="5664"/>
        <item m="1" x="5776"/>
        <item m="1" x="5775"/>
        <item m="1" x="5774"/>
        <item m="1" x="5773"/>
        <item m="1" x="5736"/>
        <item m="1" x="5663"/>
        <item m="1" x="5772"/>
        <item m="1" x="5653"/>
        <item m="1" x="5662"/>
        <item m="1" x="5719"/>
        <item m="1" x="5735"/>
        <item m="1" x="5771"/>
        <item m="1" x="5770"/>
        <item m="1" x="5769"/>
        <item m="1" x="5768"/>
        <item m="1" x="5767"/>
        <item m="1" x="5766"/>
        <item m="1" x="5765"/>
        <item m="1" x="5764"/>
        <item m="1" x="5718"/>
        <item m="1" x="5652"/>
        <item m="1" x="5763"/>
        <item m="1" x="5762"/>
        <item m="1" x="5761"/>
        <item m="1" x="5661"/>
        <item m="1" x="5734"/>
        <item m="1" x="5717"/>
        <item m="1" x="5660"/>
        <item m="1" x="5733"/>
        <item m="1" x="5760"/>
        <item m="1" x="5732"/>
        <item m="1" x="5759"/>
        <item m="1" x="5651"/>
        <item m="1" x="5659"/>
        <item m="1" x="5716"/>
        <item m="1" x="5792"/>
        <item m="1" x="5791"/>
        <item m="1" x="5790"/>
        <item m="1" x="5650"/>
        <item m="1" x="5798"/>
        <item m="1" x="5731"/>
        <item m="1" x="5796"/>
        <item m="1" x="5751"/>
        <item m="1" x="5715"/>
        <item m="1" x="5730"/>
        <item m="1" x="5789"/>
        <item m="1" x="5788"/>
        <item m="1" x="5787"/>
        <item m="1" x="5707"/>
        <item m="1" x="5706"/>
        <item m="1" x="5649"/>
        <item m="1" x="5658"/>
        <item m="1" x="5705"/>
        <item m="1" x="5704"/>
        <item m="1" x="5703"/>
        <item m="1" x="5648"/>
        <item m="1" x="5702"/>
        <item m="1" x="5701"/>
        <item m="1" x="5700"/>
        <item m="1" x="5809"/>
        <item m="1" x="5810"/>
        <item m="1" x="5811"/>
        <item m="1" x="5812"/>
        <item m="1" x="5813"/>
        <item m="1" x="5814"/>
        <item m="1" x="5815"/>
        <item m="1" x="5816"/>
        <item m="1" x="5699"/>
        <item m="1" x="5698"/>
        <item m="1" x="5697"/>
        <item m="1" x="5696"/>
        <item m="1" x="5695"/>
        <item m="1" x="5694"/>
        <item m="1" x="5646"/>
        <item m="1" x="5693"/>
        <item m="1" x="5647"/>
        <item m="1" x="5692"/>
        <item m="1" x="5691"/>
        <item m="1" x="5728"/>
        <item m="1" x="5727"/>
        <item m="1" x="5726"/>
        <item m="1" x="5725"/>
        <item m="1" x="5832"/>
        <item m="1" x="5724"/>
        <item m="1" x="5844"/>
        <item m="1" x="5723"/>
        <item m="1" x="5853"/>
        <item m="1" x="5855"/>
        <item m="1" x="5819"/>
        <item m="1" x="5831"/>
        <item m="1" x="5830"/>
        <item m="1" x="5829"/>
        <item m="1" x="5823"/>
        <item m="1" x="5824"/>
        <item m="1" x="5848"/>
        <item m="1" x="5821"/>
        <item m="1" x="5847"/>
        <item m="1" x="5822"/>
        <item m="1" x="5843"/>
        <item m="1" x="5825"/>
        <item m="1" x="5820"/>
        <item m="1" x="5852"/>
        <item m="1" x="5851"/>
        <item m="1" x="5846"/>
        <item m="1" x="5856"/>
        <item m="1" x="5857"/>
        <item m="1" x="5854"/>
        <item m="1" x="5841"/>
        <item m="1" x="5840"/>
        <item m="1" x="5845"/>
        <item m="1" x="5850"/>
        <item m="1" x="5858"/>
        <item m="1" x="5826"/>
        <item m="1" x="5842"/>
        <item m="1" x="5849"/>
        <item m="1" x="5827"/>
        <item m="1" x="5828"/>
        <item m="1" x="5838"/>
        <item m="1" x="5839"/>
        <item m="1" x="5837"/>
        <item m="1" x="5836"/>
        <item m="1" x="5835"/>
        <item m="1" x="5817"/>
        <item m="1" x="5818"/>
        <item m="1" x="5859"/>
        <item m="1" x="5834"/>
        <item m="1" x="5833"/>
        <item m="1" x="5906"/>
        <item m="1" x="5881"/>
        <item m="1" x="5880"/>
        <item m="1" x="5902"/>
        <item m="1" x="4740"/>
        <item m="1" x="5901"/>
        <item m="1" x="5900"/>
        <item m="1" x="5899"/>
        <item m="1" x="5898"/>
        <item m="1" x="5915"/>
        <item m="1" x="5909"/>
        <item m="1" x="5897"/>
        <item m="1" x="5912"/>
        <item m="1" x="5913"/>
        <item m="1" x="5896"/>
        <item m="1" x="5895"/>
        <item m="1" x="5894"/>
        <item m="1" x="5893"/>
        <item m="1" x="5910"/>
        <item m="1" x="5892"/>
        <item m="1" x="5891"/>
        <item m="1" x="5911"/>
        <item m="1" x="5890"/>
        <item m="1" x="5889"/>
        <item m="1" x="5888"/>
        <item m="1" x="5887"/>
        <item m="1" x="5886"/>
        <item m="1" x="5885"/>
        <item m="1" x="5884"/>
        <item m="1" x="5914"/>
        <item m="1" x="5883"/>
        <item m="1" x="5907"/>
        <item m="1" x="5908"/>
        <item m="1" x="5879"/>
        <item m="1" x="5878"/>
        <item m="1" x="5877"/>
        <item m="1" x="5876"/>
        <item m="1" x="5875"/>
        <item m="1" x="5874"/>
        <item m="1" x="5904"/>
        <item m="1" x="5882"/>
        <item m="1" x="5905"/>
        <item m="1" x="5873"/>
        <item m="1" x="5872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903"/>
        <item m="1" x="5963"/>
        <item m="1" x="5938"/>
        <item m="1" x="5964"/>
        <item m="1" x="5970"/>
        <item m="1" x="5965"/>
        <item m="1" x="5966"/>
        <item m="1" x="5994"/>
        <item m="1" x="5971"/>
        <item m="1" x="5926"/>
        <item m="1" x="5972"/>
        <item m="1" x="5973"/>
        <item m="1" x="5995"/>
        <item m="1" x="5999"/>
        <item m="1" x="5998"/>
        <item m="1" x="5927"/>
        <item m="1" x="5993"/>
        <item m="1" x="5928"/>
        <item m="1" x="5942"/>
        <item m="1" x="5929"/>
        <item m="1" x="5974"/>
        <item m="1" x="6002"/>
        <item m="1" x="6001"/>
        <item m="1" x="5997"/>
        <item m="1" x="6000"/>
        <item m="1" x="5941"/>
        <item m="1" x="5940"/>
        <item m="1" x="5939"/>
        <item m="1" x="5952"/>
        <item m="1" x="5953"/>
        <item m="1" x="5975"/>
        <item m="1" x="5976"/>
        <item m="1" x="6015"/>
        <item m="1" x="5977"/>
        <item m="1" x="5930"/>
        <item m="1" x="5978"/>
        <item m="1" x="5954"/>
        <item m="1" x="5934"/>
        <item m="1" x="5955"/>
        <item m="1" x="5956"/>
        <item m="1" x="5916"/>
        <item m="1" x="5917"/>
        <item m="1" x="5935"/>
        <item m="1" x="5918"/>
        <item m="1" x="5979"/>
        <item m="1" x="5980"/>
        <item m="1" x="5981"/>
        <item m="1" x="5982"/>
        <item m="1" x="5967"/>
        <item m="1" x="5931"/>
        <item m="1" x="5983"/>
        <item m="1" x="5919"/>
        <item m="1" x="5984"/>
        <item m="1" x="5985"/>
        <item m="1" x="5986"/>
        <item m="1" x="5987"/>
        <item m="1" x="5932"/>
        <item m="1" x="5988"/>
        <item m="1" x="5920"/>
        <item m="1" x="5989"/>
        <item m="1" x="5990"/>
        <item m="1" x="5991"/>
        <item m="1" x="5921"/>
        <item m="1" x="5968"/>
        <item m="1" x="5992"/>
        <item m="1" x="5957"/>
        <item m="1" x="5958"/>
        <item m="1" x="5959"/>
        <item m="1" x="5960"/>
        <item m="1" x="5961"/>
        <item m="1" x="5969"/>
        <item m="1" x="5936"/>
        <item m="1" x="5922"/>
        <item m="1" x="5962"/>
        <item m="1" x="5996"/>
        <item m="1" x="5951"/>
        <item m="1" x="5933"/>
        <item m="1" x="5923"/>
        <item m="1" x="5950"/>
        <item m="1" x="5949"/>
        <item m="1" x="5948"/>
        <item m="1" x="5947"/>
        <item m="1" x="5924"/>
        <item m="1" x="5946"/>
        <item m="1" x="5945"/>
        <item m="1" x="5944"/>
        <item m="1" x="5937"/>
        <item m="1" x="5925"/>
        <item m="1" x="5943"/>
        <item m="1" x="6021"/>
        <item m="1" x="6022"/>
        <item m="1" x="6023"/>
        <item m="1" x="6024"/>
        <item m="1" x="6025"/>
        <item m="1" x="6026"/>
        <item m="1" x="6027"/>
        <item m="1" x="6050"/>
        <item m="1" x="6028"/>
        <item m="1" x="6029"/>
        <item m="1" x="6020"/>
        <item m="1" x="6019"/>
        <item m="1" x="6018"/>
        <item m="1" x="6017"/>
        <item m="1" x="6049"/>
        <item m="1" x="6048"/>
        <item m="1" x="6047"/>
        <item m="1" x="6046"/>
        <item m="1" x="6045"/>
        <item m="1" x="6044"/>
        <item m="1" x="6030"/>
        <item m="1" x="6043"/>
        <item m="1" x="6051"/>
        <item m="1" x="6042"/>
        <item m="1" x="6041"/>
        <item m="1" x="6040"/>
        <item m="1" x="6039"/>
        <item m="1" x="6038"/>
        <item m="1" x="6037"/>
        <item m="1" x="6036"/>
        <item m="1" x="6016"/>
        <item m="1" x="6035"/>
        <item m="1" x="6034"/>
        <item m="1" x="6007"/>
        <item m="1" x="6006"/>
        <item m="1" x="6005"/>
        <item m="1" x="6033"/>
        <item m="1" x="6004"/>
        <item m="1" x="6003"/>
        <item m="1" x="6008"/>
        <item m="1" x="6009"/>
        <item m="1" x="6010"/>
        <item m="1" x="6011"/>
        <item m="1" x="6012"/>
        <item m="1" x="6013"/>
        <item m="1" x="6014"/>
        <item m="1" x="6032"/>
        <item m="1" x="6031"/>
        <item m="1" x="6091"/>
        <item m="1" x="6074"/>
        <item m="1" x="6054"/>
        <item m="1" x="6065"/>
        <item m="1" x="6073"/>
        <item m="1" x="6059"/>
        <item m="1" x="4741"/>
        <item m="1" x="6089"/>
        <item m="1" x="6055"/>
        <item m="1" x="6080"/>
        <item m="1" x="6072"/>
        <item m="1" x="6056"/>
        <item m="1" x="6057"/>
        <item m="1" x="6071"/>
        <item m="1" x="6088"/>
        <item m="1" x="6087"/>
        <item m="1" x="6064"/>
        <item m="1" x="6070"/>
        <item m="1" x="6085"/>
        <item m="1" x="6069"/>
        <item m="1" x="6052"/>
        <item m="1" x="6060"/>
        <item m="1" x="6083"/>
        <item m="1" x="6079"/>
        <item m="1" x="6053"/>
        <item m="1" x="6078"/>
        <item m="1" x="6082"/>
        <item m="1" x="6092"/>
        <item m="1" x="6093"/>
        <item m="1" x="6068"/>
        <item m="1" x="6084"/>
        <item m="1" x="6081"/>
        <item m="1" x="6061"/>
        <item m="1" x="6067"/>
        <item m="1" x="6095"/>
        <item m="1" x="6062"/>
        <item m="1" x="6063"/>
        <item m="1" x="6075"/>
        <item m="1" x="6094"/>
        <item m="1" x="6086"/>
        <item m="1" x="6077"/>
        <item m="1" x="6090"/>
        <item m="1" x="6076"/>
        <item m="1" x="6058"/>
        <item m="1" x="6108"/>
        <item m="1" x="6066"/>
        <item m="1" x="4742"/>
        <item m="1" x="6109"/>
        <item m="1" x="6105"/>
        <item m="1" x="4743"/>
        <item m="1" x="4744"/>
        <item m="1" x="6104"/>
        <item m="1" x="6103"/>
        <item m="1" x="6111"/>
        <item m="1" x="6102"/>
        <item m="1" x="6101"/>
        <item m="1" x="6100"/>
        <item m="1" x="6099"/>
        <item m="1" x="6098"/>
        <item m="1" x="6097"/>
        <item m="1" x="6096"/>
        <item m="1" x="6106"/>
        <item m="1" x="6107"/>
        <item m="1" x="6110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166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3648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366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3584"/>
        <item m="1" x="4476"/>
        <item m="1" x="3552"/>
        <item m="1" x="4477"/>
        <item m="1" x="3539"/>
        <item m="1" x="3540"/>
        <item m="1" x="3544"/>
        <item m="1" x="3545"/>
        <item m="1" x="3536"/>
        <item m="1" x="3537"/>
        <item m="1" x="3546"/>
        <item m="1" x="3538"/>
        <item m="1" x="3547"/>
        <item m="1" x="3548"/>
        <item m="1" x="3541"/>
        <item m="1" x="3542"/>
        <item m="1" x="3549"/>
        <item m="1" x="3550"/>
        <item m="1" x="3551"/>
        <item m="1" x="3543"/>
        <item m="1" x="3530"/>
        <item m="1" x="3531"/>
        <item m="1" x="3532"/>
        <item m="1" x="3533"/>
        <item m="1" x="3553"/>
        <item m="1" x="3554"/>
        <item m="1" x="3534"/>
        <item m="1" x="3535"/>
        <item m="1" x="3585"/>
        <item m="1" x="3559"/>
        <item m="1" x="3581"/>
        <item m="1" x="3575"/>
        <item m="1" x="3560"/>
        <item m="1" x="3588"/>
        <item m="1" x="3576"/>
        <item m="1" x="3561"/>
        <item m="1" x="3577"/>
        <item m="1" x="3583"/>
        <item m="1" x="3578"/>
        <item m="1" x="3579"/>
        <item m="1" x="3572"/>
        <item m="1" x="3562"/>
        <item m="1" x="3564"/>
        <item m="1" x="3563"/>
        <item m="1" x="3582"/>
        <item m="1" x="3558"/>
        <item m="1" x="3557"/>
        <item m="1" x="3555"/>
        <item m="1" x="3586"/>
        <item m="1" x="3587"/>
        <item m="1" x="3580"/>
        <item m="1" x="3573"/>
        <item m="1" x="3574"/>
        <item m="1" x="3565"/>
        <item m="1" x="3566"/>
        <item m="1" x="3567"/>
        <item m="1" x="3568"/>
        <item m="1" x="3556"/>
        <item m="1" x="3569"/>
        <item m="1" x="3595"/>
        <item m="1" x="3592"/>
        <item m="1" x="3593"/>
        <item m="1" x="3612"/>
        <item m="1" x="3594"/>
        <item m="1" x="3615"/>
        <item m="1" x="3591"/>
        <item m="1" x="3611"/>
        <item m="1" x="3589"/>
        <item m="1" x="3590"/>
        <item m="1" x="3610"/>
        <item m="1" x="3609"/>
        <item m="1" x="3608"/>
        <item m="1" x="3607"/>
        <item m="1" x="3606"/>
        <item m="1" x="3605"/>
        <item m="1" x="3616"/>
        <item m="1" x="3631"/>
        <item m="1" x="3619"/>
        <item m="1" x="3620"/>
        <item m="1" x="3621"/>
        <item m="1" x="3622"/>
        <item m="1" x="3624"/>
        <item m="1" x="3625"/>
        <item m="1" x="3628"/>
        <item m="1" x="3626"/>
        <item m="1" x="3627"/>
        <item m="1" x="3623"/>
        <item m="1" x="3617"/>
        <item m="1" x="3632"/>
        <item m="1" x="3618"/>
        <item m="1" x="3604"/>
        <item m="1" x="3603"/>
        <item m="1" x="3629"/>
        <item m="1" x="3602"/>
        <item m="1" x="3601"/>
        <item m="1" x="3600"/>
        <item m="1" x="3599"/>
        <item m="1" x="3598"/>
        <item m="1" x="3597"/>
        <item m="1" x="3596"/>
        <item m="1" x="3614"/>
        <item m="1" x="3633"/>
        <item m="1" x="3613"/>
        <item m="1" x="3630"/>
        <item m="1" x="3645"/>
        <item m="1" x="3646"/>
        <item m="1" x="3652"/>
        <item m="1" x="3647"/>
        <item m="1" x="3634"/>
        <item m="1" x="3635"/>
        <item m="1" x="3649"/>
        <item m="1" x="3636"/>
        <item m="1" x="3637"/>
        <item m="1" x="3650"/>
        <item m="1" x="3638"/>
        <item m="1" x="3639"/>
        <item m="1" x="3640"/>
        <item m="1" x="3641"/>
        <item m="1" x="3642"/>
        <item m="1" x="3643"/>
        <item m="1" x="3651"/>
        <item m="1" x="3644"/>
        <item m="1" x="3661"/>
        <item m="1" x="3662"/>
        <item m="1" x="3666"/>
        <item m="1" x="3668"/>
        <item m="1" x="3667"/>
        <item m="1" x="3663"/>
        <item m="1" x="3664"/>
        <item m="1" x="3656"/>
        <item m="1" x="3671"/>
        <item m="1" x="3669"/>
        <item m="1" x="3655"/>
        <item m="1" x="3654"/>
        <item m="1" x="3670"/>
        <item m="1" x="3653"/>
        <item m="1" x="3657"/>
        <item m="1" x="3672"/>
        <item m="1" x="3673"/>
        <item m="1" x="3658"/>
        <item m="1" x="3659"/>
        <item m="1" x="3660"/>
        <item m="1" x="3674"/>
        <item m="1" x="3675"/>
        <item m="1" x="3676"/>
        <item m="1" x="3677"/>
        <item m="1" x="3678"/>
        <item m="1" x="3680"/>
        <item m="1" x="3681"/>
        <item m="1" x="3682"/>
        <item m="1" x="3679"/>
        <item m="1" x="3690"/>
        <item m="1" x="3712"/>
        <item m="1" x="3689"/>
        <item m="1" x="3688"/>
        <item m="1" x="3687"/>
        <item m="1" x="3711"/>
        <item m="1" x="3686"/>
        <item m="1" x="3685"/>
        <item m="1" x="3684"/>
        <item m="1" x="3683"/>
        <item m="1" x="3707"/>
        <item m="1" x="3710"/>
        <item m="1" x="3708"/>
        <item m="1" x="3715"/>
        <item m="1" x="3714"/>
        <item m="1" x="3713"/>
        <item m="1" x="3709"/>
        <item m="1" x="3717"/>
        <item m="1" x="3718"/>
        <item m="1" x="3719"/>
        <item m="1" x="3720"/>
        <item m="1" x="3721"/>
        <item m="1" x="3725"/>
        <item m="1" x="3726"/>
        <item m="1" x="3727"/>
        <item m="1" x="3724"/>
        <item m="1" x="3706"/>
        <item m="1" x="3705"/>
        <item m="1" x="3704"/>
        <item m="1" x="3703"/>
        <item m="1" x="3702"/>
        <item m="1" x="3701"/>
        <item m="1" x="3700"/>
        <item m="1" x="3699"/>
        <item m="1" x="3716"/>
        <item m="1" x="3698"/>
        <item m="1" x="3697"/>
        <item m="1" x="3696"/>
        <item m="1" x="3723"/>
        <item m="1" x="3695"/>
        <item m="1" x="3694"/>
        <item m="1" x="3693"/>
        <item m="1" x="3692"/>
        <item m="1" x="3691"/>
        <item m="1" x="3753"/>
        <item m="1" x="3776"/>
        <item m="1" x="3722"/>
        <item m="1" x="3758"/>
        <item m="1" x="3759"/>
        <item m="1" x="3767"/>
        <item m="1" x="3775"/>
        <item m="1" x="3766"/>
        <item m="1" x="3752"/>
        <item m="1" x="3761"/>
        <item m="1" x="3744"/>
        <item m="1" x="3743"/>
        <item m="1" x="3751"/>
        <item m="1" x="3740"/>
        <item m="1" x="3742"/>
        <item m="1" x="3774"/>
        <item m="1" x="3750"/>
        <item m="1" x="3760"/>
        <item m="1" x="3741"/>
        <item m="1" x="3728"/>
        <item m="1" x="3729"/>
        <item m="1" x="3730"/>
        <item m="1" x="3731"/>
        <item m="1" x="3732"/>
        <item m="1" x="3733"/>
        <item m="1" x="3749"/>
        <item m="1" x="3734"/>
        <item m="1" x="3748"/>
        <item m="1" x="3773"/>
        <item m="1" x="3747"/>
        <item m="1" x="3765"/>
        <item m="1" x="3756"/>
        <item m="1" x="3757"/>
        <item m="1" x="3746"/>
        <item m="1" x="3735"/>
        <item m="1" x="3745"/>
        <item m="1" x="3736"/>
        <item m="1" x="3737"/>
        <item m="1" x="3738"/>
        <item m="1" x="3772"/>
        <item m="1" x="3755"/>
        <item m="1" x="3771"/>
        <item m="1" x="3770"/>
        <item m="1" x="3764"/>
        <item m="1" x="3763"/>
        <item m="1" x="3739"/>
        <item m="1" x="3769"/>
        <item m="1" x="3778"/>
        <item m="1" x="3768"/>
        <item m="1" x="3762"/>
        <item m="1" x="3786"/>
        <item m="1" x="3787"/>
        <item m="1" x="3807"/>
        <item m="1" x="3754"/>
        <item m="1" x="3779"/>
        <item m="1" x="3780"/>
        <item m="1" x="3788"/>
        <item m="1" x="3809"/>
        <item m="1" x="3811"/>
        <item m="1" x="3806"/>
        <item m="1" x="3808"/>
        <item m="1" x="3799"/>
        <item m="1" x="3814"/>
        <item m="1" x="3815"/>
        <item m="1" x="3805"/>
        <item m="1" x="3804"/>
        <item m="1" x="3803"/>
        <item m="1" x="3802"/>
        <item m="1" x="3801"/>
        <item m="1" x="3800"/>
        <item m="1" x="3816"/>
        <item m="1" x="3781"/>
        <item m="1" x="3782"/>
        <item m="1" x="3798"/>
        <item m="1" x="3797"/>
        <item m="1" x="3812"/>
        <item m="1" x="3813"/>
        <item m="1" x="3796"/>
        <item m="1" x="3795"/>
        <item m="1" x="3783"/>
        <item m="1" x="3794"/>
        <item m="1" x="3784"/>
        <item m="1" x="3810"/>
        <item m="1" x="3793"/>
        <item m="1" x="3785"/>
        <item m="1" x="3792"/>
        <item m="1" x="3791"/>
        <item m="1" x="3790"/>
        <item m="1" x="3789"/>
        <item m="1" x="3777"/>
        <item m="1" x="3817"/>
        <item m="1" x="3818"/>
        <item m="1" x="3819"/>
        <item m="1" x="3841"/>
        <item m="1" x="3832"/>
        <item m="1" x="3842"/>
        <item m="1" x="3840"/>
        <item m="1" x="3833"/>
        <item m="1" x="3834"/>
        <item m="1" x="3824"/>
        <item m="1" x="3835"/>
        <item m="1" x="3836"/>
        <item m="1" x="3838"/>
        <item m="1" x="3839"/>
        <item m="1" x="3823"/>
        <item m="1" x="3822"/>
        <item m="1" x="3837"/>
        <item m="1" x="3831"/>
        <item m="1" x="3830"/>
        <item m="1" x="3829"/>
        <item m="1" x="3828"/>
        <item m="1" x="3821"/>
        <item m="1" x="3827"/>
        <item m="1" x="3820"/>
        <item m="1" x="3826"/>
        <item m="1" x="3825"/>
        <item m="1" x="3853"/>
        <item m="1" x="3850"/>
        <item m="1" x="3855"/>
        <item m="1" x="3856"/>
        <item m="1" x="3854"/>
        <item m="1" x="3851"/>
        <item m="1" x="3852"/>
        <item m="1" x="3849"/>
        <item m="1" x="3843"/>
        <item m="1" x="3844"/>
        <item m="1" x="3845"/>
        <item m="1" x="3846"/>
        <item m="1" x="3847"/>
        <item m="1" x="3848"/>
        <item m="1" x="3860"/>
        <item m="1" x="3861"/>
        <item m="1" x="3857"/>
        <item m="1" x="3862"/>
        <item m="1" x="3864"/>
        <item m="1" x="3858"/>
        <item m="1" x="3863"/>
        <item m="1" x="3859"/>
        <item m="1" x="3868"/>
        <item m="1" x="3867"/>
        <item m="1" x="3866"/>
        <item m="1" x="3865"/>
        <item m="1" x="3902"/>
        <item m="1" x="3899"/>
        <item m="1" x="3901"/>
        <item m="1" x="3893"/>
        <item m="1" x="3909"/>
        <item m="1" x="3894"/>
        <item m="1" x="3908"/>
        <item m="1" x="3895"/>
        <item m="1" x="3876"/>
        <item m="1" x="3875"/>
        <item m="1" x="3874"/>
        <item m="1" x="3873"/>
        <item m="1" x="3900"/>
        <item m="1" x="3441"/>
        <item m="1" x="3896"/>
        <item m="1" x="3872"/>
        <item m="1" x="3871"/>
        <item m="1" x="3870"/>
        <item m="1" x="3897"/>
        <item m="1" x="3898"/>
        <item m="1" x="3869"/>
        <item m="1" x="3892"/>
        <item m="1" x="3882"/>
        <item m="1" x="3907"/>
        <item m="1" x="3881"/>
        <item m="1" x="3906"/>
        <item m="1" x="3905"/>
        <item m="1" x="3880"/>
        <item m="1" x="3879"/>
        <item m="1" x="3904"/>
        <item m="1" x="3878"/>
        <item m="1" x="3903"/>
        <item m="1" x="3884"/>
        <item m="1" x="3885"/>
        <item m="1" x="3886"/>
        <item m="1" x="3887"/>
        <item m="1" x="3877"/>
        <item m="1" x="3888"/>
        <item m="1" x="3889"/>
        <item m="1" x="3890"/>
        <item m="1" x="3891"/>
        <item m="1" x="3883"/>
        <item m="1" x="3931"/>
        <item m="1" x="3930"/>
        <item m="1" x="3910"/>
        <item m="1" x="3968"/>
        <item m="1" x="3911"/>
        <item m="1" x="3912"/>
        <item m="1" x="3913"/>
        <item m="1" x="3914"/>
        <item m="1" x="3915"/>
        <item m="1" x="3916"/>
        <item m="1" x="3917"/>
        <item m="1" x="3967"/>
        <item m="1" x="3940"/>
        <item m="1" x="3918"/>
        <item m="1" x="3919"/>
        <item m="1" x="3920"/>
        <item m="1" x="3966"/>
        <item m="1" x="3921"/>
        <item m="1" x="3922"/>
        <item m="1" x="3954"/>
        <item m="1" x="3923"/>
        <item m="1" x="3928"/>
        <item m="1" x="3982"/>
        <item m="1" x="3965"/>
        <item m="1" x="3929"/>
        <item m="1" x="3927"/>
        <item m="1" x="3952"/>
        <item m="1" x="3926"/>
        <item m="1" x="3983"/>
        <item m="1" x="3951"/>
        <item m="1" x="3925"/>
        <item m="1" x="3957"/>
        <item m="1" x="3924"/>
        <item m="1" x="3953"/>
        <item m="1" x="3964"/>
        <item m="1" x="3979"/>
        <item m="1" x="3939"/>
        <item m="1" x="3963"/>
        <item m="1" x="3962"/>
        <item m="1" x="3938"/>
        <item m="1" x="3937"/>
        <item m="1" x="3978"/>
        <item m="1" x="3961"/>
        <item m="1" x="3977"/>
        <item m="1" x="3956"/>
        <item m="1" x="3976"/>
        <item m="1" x="3975"/>
        <item m="1" x="3936"/>
        <item m="1" x="3974"/>
        <item m="1" x="3973"/>
        <item m="1" x="3960"/>
        <item m="1" x="3972"/>
        <item m="1" x="3980"/>
        <item m="1" x="3984"/>
        <item m="1" x="3959"/>
        <item m="1" x="3971"/>
        <item m="1" x="3970"/>
        <item m="1" x="3935"/>
        <item m="1" x="3934"/>
        <item m="1" x="4011"/>
        <item m="1" x="4010"/>
        <item m="1" x="3985"/>
        <item m="1" x="3958"/>
        <item m="1" x="3955"/>
        <item m="1" x="3933"/>
        <item m="1" x="3969"/>
        <item m="1" x="3932"/>
        <item m="1" x="3950"/>
        <item m="1" x="3949"/>
        <item m="1" x="3948"/>
        <item m="1" x="3947"/>
        <item m="1" x="3946"/>
        <item m="1" x="3945"/>
        <item m="1" x="3997"/>
        <item m="1" x="3944"/>
        <item m="1" x="4009"/>
        <item m="1" x="3943"/>
        <item m="1" x="3981"/>
        <item m="1" x="3942"/>
        <item m="1" x="3941"/>
        <item m="1" x="4008"/>
        <item m="1" x="4007"/>
        <item m="1" x="4006"/>
        <item m="1" x="4013"/>
        <item m="1" x="4005"/>
        <item m="1" x="4004"/>
        <item m="1" x="4003"/>
        <item m="1" x="4002"/>
        <item m="1" x="4001"/>
        <item m="1" x="4000"/>
        <item m="1" x="3999"/>
        <item m="1" x="3998"/>
        <item m="1" x="3989"/>
        <item m="1" x="3986"/>
        <item m="1" x="4012"/>
        <item m="1" x="3987"/>
        <item m="1" x="3988"/>
        <item m="1" x="3990"/>
        <item m="1" x="3991"/>
        <item m="1" x="3992"/>
        <item m="1" x="3993"/>
        <item m="1" x="3994"/>
        <item m="1" x="3995"/>
        <item m="1" x="3996"/>
        <item m="1" x="4031"/>
        <item m="1" x="4030"/>
        <item m="1" x="4029"/>
        <item m="1" x="4028"/>
        <item m="1" x="4027"/>
        <item m="1" x="4026"/>
        <item m="1" x="4025"/>
        <item m="1" x="4024"/>
        <item m="1" x="4023"/>
        <item m="1" x="4022"/>
        <item m="1" x="4021"/>
        <item m="1" x="4020"/>
        <item m="1" x="4019"/>
        <item m="1" x="4018"/>
        <item m="1" x="4017"/>
        <item m="1" x="4016"/>
        <item m="1" x="4070"/>
        <item m="1" x="4071"/>
        <item m="1" x="4036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35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69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15"/>
        <item m="1" x="4014"/>
        <item m="1" x="4041"/>
        <item m="1" x="4033"/>
        <item m="1" x="4055"/>
        <item m="1" x="4043"/>
        <item m="1" x="4056"/>
        <item m="1" x="4040"/>
        <item m="1" x="4032"/>
        <item m="1" x="4042"/>
        <item m="1" x="4057"/>
        <item m="1" x="4058"/>
        <item m="1" x="4059"/>
        <item m="1" x="4060"/>
        <item m="1" x="4061"/>
        <item m="1" x="4062"/>
        <item m="1" x="4162"/>
        <item m="1" x="4063"/>
        <item m="1" x="4161"/>
        <item m="1" x="4064"/>
        <item m="1" x="4160"/>
        <item m="1" x="4065"/>
        <item m="1" x="4159"/>
        <item m="1" x="4066"/>
        <item m="1" x="4067"/>
        <item m="1" x="4045"/>
        <item m="1" x="4039"/>
        <item m="1" x="4044"/>
        <item m="1" x="4068"/>
        <item m="1" x="4158"/>
        <item m="1" x="4157"/>
        <item m="1" x="4038"/>
        <item m="1" x="4037"/>
        <item m="1" x="4093"/>
        <item m="1" x="4034"/>
        <item m="1" x="4156"/>
        <item m="1" x="4123"/>
        <item m="1" x="4155"/>
        <item m="1" x="4154"/>
        <item m="1" x="4122"/>
        <item m="1" x="4153"/>
        <item m="1" x="4152"/>
        <item m="1" x="4151"/>
        <item m="1" x="4150"/>
        <item m="1" x="4149"/>
        <item m="1" x="4148"/>
        <item m="1" x="4147"/>
        <item m="1" x="4121"/>
        <item m="1" x="4146"/>
        <item m="1" x="4145"/>
        <item m="1" x="4120"/>
        <item m="1" x="4124"/>
        <item m="1" x="4119"/>
        <item m="1" x="4144"/>
        <item m="1" x="4143"/>
        <item m="1" x="4142"/>
        <item m="1" x="4118"/>
        <item m="1" x="4141"/>
        <item m="1" x="4117"/>
        <item m="1" x="4140"/>
        <item m="1" x="4139"/>
        <item m="1" x="4138"/>
        <item m="1" x="4137"/>
        <item m="1" x="4134"/>
        <item m="1" x="4116"/>
        <item m="1" x="4129"/>
        <item m="1" x="4136"/>
        <item m="1" x="4135"/>
        <item m="1" x="4128"/>
        <item m="1" x="4165"/>
        <item m="1" x="4127"/>
        <item m="1" x="4126"/>
        <item m="1" x="4164"/>
        <item m="1" x="4125"/>
        <item m="1" x="4115"/>
        <item m="1" x="4114"/>
        <item m="1" x="4113"/>
        <item m="1" x="4112"/>
        <item m="1" x="4102"/>
        <item m="1" x="4101"/>
        <item m="1" x="4100"/>
        <item m="1" x="4099"/>
        <item m="1" x="4098"/>
        <item m="1" x="4095"/>
        <item m="1" x="4094"/>
        <item m="1" x="4096"/>
        <item m="1" x="4097"/>
        <item m="1" x="4103"/>
        <item m="1" x="4104"/>
        <item m="1" x="4105"/>
        <item m="1" x="4106"/>
        <item m="1" x="4163"/>
        <item m="1" x="4107"/>
        <item m="1" x="4108"/>
        <item m="1" x="4109"/>
        <item m="1" x="2844"/>
        <item m="1" x="4110"/>
        <item m="1" x="4111"/>
        <item m="1" x="4131"/>
        <item m="1" x="4133"/>
        <item m="1" x="4132"/>
        <item m="1" x="4130"/>
        <item m="1" x="2636"/>
        <item m="1" x="2735"/>
        <item m="1" x="2637"/>
        <item m="1" x="2638"/>
        <item m="1" x="2639"/>
        <item m="1" x="2673"/>
        <item m="1" x="2640"/>
        <item m="1" x="2641"/>
        <item m="1" x="2684"/>
        <item m="1" x="2688"/>
        <item m="1" x="2642"/>
        <item m="1" x="2643"/>
        <item m="1" x="2644"/>
        <item m="1" x="2645"/>
        <item m="1" x="2646"/>
        <item m="1" x="2647"/>
        <item m="1" x="2648"/>
        <item m="1" x="2722"/>
        <item m="1" x="2649"/>
        <item m="1" x="2650"/>
        <item m="1" x="2689"/>
        <item m="1" x="2651"/>
        <item m="1" x="2652"/>
        <item m="1" x="2653"/>
        <item m="1" x="2654"/>
        <item m="1" x="2655"/>
        <item m="1" x="2690"/>
        <item m="1" x="2656"/>
        <item m="1" x="2657"/>
        <item m="1" x="2670"/>
        <item m="1" x="2658"/>
        <item m="1" x="2659"/>
        <item m="1" x="2736"/>
        <item m="1" x="2660"/>
        <item m="1" x="2661"/>
        <item m="1" x="2662"/>
        <item m="1" x="2663"/>
        <item m="1" x="2664"/>
        <item m="1" x="2665"/>
        <item m="1" x="2671"/>
        <item m="1" x="2723"/>
        <item m="1" x="2666"/>
        <item m="1" x="2629"/>
        <item m="1" x="2730"/>
        <item m="1" x="2592"/>
        <item m="1" x="2691"/>
        <item m="1" x="2724"/>
        <item m="1" x="2725"/>
        <item m="1" x="2685"/>
        <item m="1" x="2674"/>
        <item m="1" x="2726"/>
        <item m="1" x="2675"/>
        <item m="1" x="2727"/>
        <item m="1" x="2593"/>
        <item m="1" x="2731"/>
        <item m="1" x="2594"/>
        <item m="1" x="2732"/>
        <item m="1" x="2595"/>
        <item m="1" x="2733"/>
        <item m="1" x="2734"/>
        <item m="1" x="2630"/>
        <item m="1" x="2631"/>
        <item m="1" x="2632"/>
        <item m="1" x="2633"/>
        <item m="1" x="2596"/>
        <item m="1" x="2597"/>
        <item m="1" x="2681"/>
        <item m="1" x="2686"/>
        <item m="1" x="2682"/>
        <item m="1" x="2683"/>
        <item m="1" x="2687"/>
        <item m="1" x="2728"/>
        <item m="1" x="2598"/>
        <item m="1" x="2599"/>
        <item m="1" x="2600"/>
        <item m="1" x="2601"/>
        <item m="1" x="2729"/>
        <item m="1" x="2602"/>
        <item m="1" x="2603"/>
        <item m="1" x="2604"/>
        <item m="1" x="2672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78"/>
        <item m="1" x="2621"/>
        <item m="1" x="2692"/>
        <item m="1" x="2622"/>
        <item m="1" x="2623"/>
        <item m="1" x="2624"/>
        <item m="1" x="2625"/>
        <item m="1" x="2626"/>
        <item m="1" x="2627"/>
        <item m="1" x="2628"/>
        <item m="1" x="2693"/>
        <item m="1" x="2694"/>
        <item m="1" x="2695"/>
        <item m="1" x="2696"/>
        <item m="1" x="2667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668"/>
        <item m="1" x="2708"/>
        <item m="1" x="2709"/>
        <item m="1" x="2710"/>
        <item m="1" x="2634"/>
        <item m="1" x="2676"/>
        <item m="1" x="2711"/>
        <item m="1" x="2635"/>
        <item m="1" x="2712"/>
        <item m="1" x="2669"/>
        <item m="1" x="2713"/>
        <item m="1" x="2714"/>
        <item m="1" x="2799"/>
        <item m="1" x="2715"/>
        <item m="1" x="2679"/>
        <item m="1" x="2800"/>
        <item m="1" x="2677"/>
        <item m="1" x="2716"/>
        <item m="1" x="2801"/>
        <item m="1" x="2680"/>
        <item m="1" x="2815"/>
        <item m="1" x="2717"/>
        <item m="1" x="2718"/>
        <item m="1" x="2719"/>
        <item m="1" x="2720"/>
        <item m="1" x="2816"/>
        <item m="1" x="2721"/>
        <item m="1" x="2817"/>
        <item m="1" x="2818"/>
        <item m="1" x="2802"/>
        <item m="1" x="2803"/>
        <item m="1" x="2804"/>
        <item m="1" x="2805"/>
        <item m="1" x="2806"/>
        <item m="1" x="2819"/>
        <item m="1" x="2820"/>
        <item m="1" x="2821"/>
        <item m="1" x="2822"/>
        <item m="1" x="2807"/>
        <item m="1" x="2808"/>
        <item m="1" x="2809"/>
        <item m="1" x="2810"/>
        <item m="1" x="2811"/>
        <item m="1" x="2812"/>
        <item m="1" x="2813"/>
        <item m="1" x="2775"/>
        <item m="1" x="2755"/>
        <item m="1" x="2823"/>
        <item m="1" x="2754"/>
        <item m="1" x="2753"/>
        <item m="1" x="2824"/>
        <item m="1" x="2825"/>
        <item m="1" x="2752"/>
        <item m="1" x="2751"/>
        <item m="1" x="2750"/>
        <item m="1" x="2749"/>
        <item m="1" x="2826"/>
        <item m="1" x="2827"/>
        <item m="1" x="2748"/>
        <item m="1" x="2747"/>
        <item m="1" x="2828"/>
        <item m="1" x="2746"/>
        <item m="1" x="2740"/>
        <item m="1" x="2739"/>
        <item m="1" x="2829"/>
        <item m="1" x="2737"/>
        <item m="1" x="2830"/>
        <item m="1" x="2738"/>
        <item m="1" x="2791"/>
        <item m="1" x="2741"/>
        <item m="1" x="2876"/>
        <item m="1" x="2742"/>
        <item m="1" x="2792"/>
        <item m="1" x="2743"/>
        <item m="1" x="2838"/>
        <item m="1" x="2831"/>
        <item m="1" x="2793"/>
        <item m="1" x="2744"/>
        <item m="1" x="2745"/>
        <item m="1" x="2832"/>
        <item m="1" x="2833"/>
        <item m="1" x="2834"/>
        <item m="1" x="2835"/>
        <item m="1" x="2794"/>
        <item m="1" x="2839"/>
        <item m="1" x="2756"/>
        <item m="1" x="2757"/>
        <item m="1" x="2840"/>
        <item m="1" x="2758"/>
        <item m="1" x="2759"/>
        <item m="1" x="2760"/>
        <item m="1" x="2761"/>
        <item m="1" x="2762"/>
        <item m="1" x="2795"/>
        <item m="1" x="2763"/>
        <item m="1" x="2764"/>
        <item m="1" x="2836"/>
        <item m="1" x="2765"/>
        <item m="1" x="2766"/>
        <item m="1" x="2767"/>
        <item m="1" x="2768"/>
        <item m="1" x="2769"/>
        <item m="1" x="2770"/>
        <item m="1" x="2771"/>
        <item m="1" x="2796"/>
        <item m="1" x="2772"/>
        <item m="1" x="2773"/>
        <item m="1" x="2774"/>
        <item m="1" x="2814"/>
        <item m="1" x="2845"/>
        <item m="1" x="2879"/>
        <item m="1" x="2846"/>
        <item m="1" x="2847"/>
        <item m="1" x="2848"/>
        <item m="1" x="2841"/>
        <item m="1" x="2849"/>
        <item m="1" x="2850"/>
        <item m="1" x="2851"/>
        <item m="1" x="2797"/>
        <item m="1" x="2843"/>
        <item m="1" x="2837"/>
        <item m="1" x="2852"/>
        <item m="1" x="2853"/>
        <item m="1" x="2854"/>
        <item m="1" x="2855"/>
        <item m="1" x="2856"/>
        <item m="1" x="2857"/>
        <item m="1" x="2842"/>
        <item m="1" x="2858"/>
        <item m="1" x="2859"/>
        <item m="1" x="2860"/>
        <item m="1" x="2861"/>
        <item m="1" x="2862"/>
        <item m="1" x="2863"/>
        <item m="1" x="2864"/>
        <item m="1" x="2865"/>
        <item m="1" x="2874"/>
        <item m="1" x="2866"/>
        <item m="1" x="2875"/>
        <item m="1" x="2867"/>
        <item m="1" x="2868"/>
        <item m="1" x="2869"/>
        <item m="1" x="2870"/>
        <item m="1" x="2798"/>
        <item m="1" x="2871"/>
        <item m="1" x="2872"/>
        <item m="1" x="2873"/>
        <item m="1" x="2784"/>
        <item m="1" x="2783"/>
        <item m="1" x="2782"/>
        <item m="1" x="2781"/>
        <item m="1" x="2780"/>
        <item m="1" x="2779"/>
        <item m="1" x="2778"/>
        <item m="1" x="2777"/>
        <item m="1" x="2776"/>
        <item m="1" x="2785"/>
        <item m="1" x="2786"/>
        <item m="1" x="2787"/>
        <item m="1" x="2788"/>
        <item m="1" x="2789"/>
        <item m="1" x="2877"/>
        <item m="1" x="2790"/>
        <item m="1" x="2878"/>
        <item m="1" x="2887"/>
        <item m="1" x="2936"/>
        <item m="1" x="2937"/>
        <item m="1" x="2938"/>
        <item m="1" x="2894"/>
        <item m="1" x="2888"/>
        <item m="1" x="2889"/>
        <item m="1" x="2890"/>
        <item m="1" x="2891"/>
        <item m="1" x="2895"/>
        <item m="1" x="2917"/>
        <item m="1" x="2939"/>
        <item m="1" x="2892"/>
        <item m="1" x="2896"/>
        <item m="1" x="2923"/>
        <item m="1" x="2893"/>
        <item m="1" x="2916"/>
        <item m="1" x="2922"/>
        <item m="1" x="2921"/>
        <item m="1" x="2920"/>
        <item m="1" x="2941"/>
        <item m="1" x="2919"/>
        <item m="1" x="2934"/>
        <item m="1" x="2933"/>
        <item m="1" x="2940"/>
        <item m="1" x="2932"/>
        <item m="1" x="2915"/>
        <item m="1" x="2931"/>
        <item m="1" x="2930"/>
        <item m="1" x="2918"/>
        <item m="1" x="2914"/>
        <item m="1" x="2913"/>
        <item m="1" x="2912"/>
        <item m="1" x="2911"/>
        <item m="1" x="2910"/>
        <item m="1" x="2909"/>
        <item m="1" x="2908"/>
        <item m="1" x="2935"/>
        <item m="1" x="2907"/>
        <item m="1" x="2906"/>
        <item m="1" x="2905"/>
        <item m="1" x="2904"/>
        <item m="1" x="2903"/>
        <item m="1" x="2929"/>
        <item m="1" x="2902"/>
        <item m="1" x="2928"/>
        <item m="1" x="2901"/>
        <item m="1" x="2927"/>
        <item m="1" x="2445"/>
        <item m="1" x="2926"/>
        <item m="1" x="2925"/>
        <item m="1" x="2924"/>
        <item m="1" x="2900"/>
        <item m="1" x="2899"/>
        <item m="1" x="2944"/>
        <item m="1" x="2945"/>
        <item m="1" x="2898"/>
        <item m="1" x="3022"/>
        <item m="1" x="2897"/>
        <item m="1" x="3023"/>
        <item m="1" x="2883"/>
        <item m="1" x="3024"/>
        <item m="1" x="2882"/>
        <item m="1" x="2946"/>
        <item m="1" x="2881"/>
        <item m="1" x="2880"/>
        <item m="1" x="2884"/>
        <item m="1" x="2942"/>
        <item m="1" x="3009"/>
        <item m="1" x="2987"/>
        <item m="1" x="2885"/>
        <item m="1" x="2947"/>
        <item m="1" x="2886"/>
        <item m="1" x="2943"/>
        <item m="1" x="2948"/>
        <item m="1" x="2988"/>
        <item m="1" x="2989"/>
        <item m="1" x="2990"/>
        <item m="1" x="2991"/>
        <item m="1" x="2992"/>
        <item m="1" x="2993"/>
        <item m="1" x="2994"/>
        <item m="1" x="2995"/>
        <item m="1" x="3018"/>
        <item m="1" x="2996"/>
        <item m="1" x="2997"/>
        <item m="1" x="2998"/>
        <item m="1" x="2985"/>
        <item m="1" x="2980"/>
        <item m="1" x="2999"/>
        <item m="1" x="3000"/>
        <item m="1" x="3001"/>
        <item m="1" x="3016"/>
        <item m="1" x="3002"/>
        <item m="1" x="3003"/>
        <item m="1" x="3004"/>
        <item m="1" x="3017"/>
        <item m="1" x="3005"/>
        <item m="1" x="3010"/>
        <item m="1" x="3015"/>
        <item m="1" x="3014"/>
        <item m="1" x="3006"/>
        <item m="1" x="3007"/>
        <item m="1" x="3008"/>
        <item m="1" x="2967"/>
        <item m="1" x="3020"/>
        <item m="1" x="3021"/>
        <item m="1" x="3013"/>
        <item m="1" x="2966"/>
        <item m="1" x="2965"/>
        <item m="1" x="3012"/>
        <item m="1" x="2964"/>
        <item m="1" x="2963"/>
        <item m="1" x="2962"/>
        <item m="1" x="2961"/>
        <item m="1" x="2960"/>
        <item m="1" x="2959"/>
        <item m="1" x="2958"/>
        <item m="1" x="2957"/>
        <item m="1" x="2956"/>
        <item m="1" x="2955"/>
        <item m="1" x="2954"/>
        <item m="1" x="2953"/>
        <item m="1" x="2952"/>
        <item m="1" x="2951"/>
        <item m="1" x="2950"/>
        <item m="1" x="2949"/>
        <item m="1" x="2968"/>
        <item m="1" x="2969"/>
        <item m="1" x="2970"/>
        <item m="1" x="3025"/>
        <item m="1" x="3011"/>
        <item m="1" x="2983"/>
        <item m="1" x="2986"/>
        <item m="1" x="2981"/>
        <item m="1" x="2984"/>
        <item m="1" x="2971"/>
        <item m="1" x="2972"/>
        <item m="1" x="2973"/>
        <item m="1" x="2982"/>
        <item m="1" x="2974"/>
        <item m="1" x="2975"/>
        <item m="1" x="2976"/>
        <item m="1" x="2977"/>
        <item m="1" x="3081"/>
        <item m="1" x="2978"/>
        <item m="1" x="3019"/>
        <item m="1" x="3056"/>
        <item m="1" x="3055"/>
        <item m="1" x="2979"/>
        <item m="1" x="3054"/>
        <item m="1" x="3082"/>
        <item m="1" x="3053"/>
        <item m="1" x="3052"/>
        <item m="1" x="3051"/>
        <item m="1" x="3050"/>
        <item m="1" x="3049"/>
        <item m="1" x="3048"/>
        <item m="1" x="3047"/>
        <item m="1" x="3046"/>
        <item m="1" x="3045"/>
        <item m="1" x="3044"/>
        <item m="1" x="3043"/>
        <item m="1" x="3033"/>
        <item m="1" x="3032"/>
        <item m="1" x="3031"/>
        <item m="1" x="3030"/>
        <item m="1" x="3027"/>
        <item m="1" x="3026"/>
        <item m="1" x="3028"/>
        <item m="1" x="3029"/>
        <item m="1" x="3034"/>
        <item m="1" x="3035"/>
        <item m="1" x="3036"/>
        <item m="1" x="3037"/>
        <item m="1" x="3038"/>
        <item m="1" x="3039"/>
        <item m="1" x="3040"/>
        <item m="1" x="3041"/>
        <item m="1" x="3058"/>
        <item m="1" x="3057"/>
        <item m="1" x="3162"/>
        <item m="1" x="3042"/>
        <item m="1" x="3163"/>
        <item m="1" x="3134"/>
        <item m="1" x="3116"/>
        <item m="1" x="3135"/>
        <item m="1" x="3136"/>
        <item m="1" x="3137"/>
        <item m="1" x="3138"/>
        <item m="1" x="3139"/>
        <item m="1" x="3140"/>
        <item m="1" x="3141"/>
        <item m="1" x="3142"/>
        <item m="1" x="3117"/>
        <item m="1" x="3143"/>
        <item m="1" x="3118"/>
        <item m="1" x="3119"/>
        <item m="1" x="3120"/>
        <item m="1" x="3121"/>
        <item m="1" x="3122"/>
        <item m="1" x="3144"/>
        <item m="1" x="3123"/>
        <item m="1" x="2504"/>
        <item m="1" x="3145"/>
        <item m="1" x="3146"/>
        <item m="1" x="3124"/>
        <item m="1" x="3125"/>
        <item m="1" x="3126"/>
        <item m="1" x="3109"/>
        <item m="1" x="3110"/>
        <item m="1" x="3111"/>
        <item m="1" x="3112"/>
        <item m="1" x="3147"/>
        <item m="1" x="3148"/>
        <item m="1" x="3160"/>
        <item m="1" x="3161"/>
        <item m="1" x="3149"/>
        <item m="1" x="3150"/>
        <item m="1" x="3151"/>
        <item m="1" x="3113"/>
        <item m="1" x="3152"/>
        <item m="1" x="3114"/>
        <item m="1" x="3115"/>
        <item m="1" x="3107"/>
        <item m="1" x="3153"/>
        <item m="1" x="3074"/>
        <item m="1" x="3154"/>
        <item m="1" x="3155"/>
        <item m="1" x="3181"/>
        <item m="1" x="3182"/>
        <item m="1" x="3183"/>
        <item m="1" x="3108"/>
        <item m="1" x="3184"/>
        <item m="1" x="3127"/>
        <item m="1" x="3128"/>
        <item m="1" x="3185"/>
        <item m="1" x="3186"/>
        <item m="1" x="3059"/>
        <item m="1" x="3187"/>
        <item m="1" x="3188"/>
        <item m="1" x="3189"/>
        <item m="1" x="3190"/>
        <item m="1" x="3129"/>
        <item m="1" x="3191"/>
        <item m="1" x="3130"/>
        <item m="1" x="3192"/>
        <item m="1" x="3193"/>
        <item m="1" x="3194"/>
        <item m="1" x="3195"/>
        <item m="1" x="3196"/>
        <item m="1" x="3131"/>
        <item m="1" x="3197"/>
        <item m="1" x="3132"/>
        <item m="1" x="3060"/>
        <item m="1" x="3061"/>
        <item m="1" x="3062"/>
        <item m="1" x="3198"/>
        <item m="1" x="3063"/>
        <item m="1" x="3164"/>
        <item m="1" x="3165"/>
        <item m="1" x="3166"/>
        <item m="1" x="3167"/>
        <item m="1" x="3168"/>
        <item m="1" x="3169"/>
        <item m="1" x="3170"/>
        <item m="1" x="3171"/>
        <item m="1" x="3157"/>
        <item m="1" x="3172"/>
        <item m="1" x="3158"/>
        <item m="1" x="3173"/>
        <item m="1" x="3174"/>
        <item m="1" x="3175"/>
        <item m="1" x="3176"/>
        <item m="1" x="3177"/>
        <item m="1" x="3178"/>
        <item m="1" x="3179"/>
        <item m="1" x="3083"/>
        <item m="1" x="3084"/>
        <item m="1" x="3085"/>
        <item m="1" x="3180"/>
        <item m="1" x="3064"/>
        <item m="1" x="3086"/>
        <item m="1" x="3065"/>
        <item m="1" x="3087"/>
        <item m="1" x="3088"/>
        <item m="1" x="3075"/>
        <item m="1" x="3076"/>
        <item m="1" x="3156"/>
        <item m="1" x="3066"/>
        <item m="1" x="3089"/>
        <item m="1" x="3067"/>
        <item m="1" x="3090"/>
        <item m="1" x="3068"/>
        <item m="1" x="3077"/>
        <item m="1" x="3069"/>
        <item m="1" x="3091"/>
        <item m="1" x="3092"/>
        <item m="1" x="3093"/>
        <item m="1" x="3094"/>
        <item m="1" x="3095"/>
        <item m="1" x="3202"/>
        <item m="1" x="3096"/>
        <item m="1" x="3097"/>
        <item m="1" x="3201"/>
        <item m="1" x="3200"/>
        <item m="1" x="3199"/>
        <item m="1" x="3098"/>
        <item m="1" x="3099"/>
        <item m="1" x="3100"/>
        <item m="1" x="3101"/>
        <item m="1" x="3102"/>
        <item m="1" x="3103"/>
        <item m="1" x="3104"/>
        <item m="1" x="3078"/>
        <item m="1" x="3070"/>
        <item m="1" x="3079"/>
        <item m="1" x="3080"/>
        <item m="1" x="3245"/>
        <item m="1" x="3133"/>
        <item m="1" x="3071"/>
        <item m="1" x="3072"/>
        <item m="1" x="3159"/>
        <item m="1" x="3262"/>
        <item m="1" x="3073"/>
        <item m="1" x="3105"/>
        <item m="1" x="3106"/>
        <item m="1" x="3214"/>
        <item m="1" x="3215"/>
        <item m="1" x="3253"/>
        <item m="1" x="3216"/>
        <item m="1" x="3246"/>
        <item m="1" x="3260"/>
        <item m="1" x="3259"/>
        <item m="1" x="3258"/>
        <item m="1" x="3257"/>
        <item m="1" x="3217"/>
        <item m="1" x="3247"/>
        <item m="1" x="3243"/>
        <item m="1" x="3244"/>
        <item m="1" x="3256"/>
        <item m="1" x="3248"/>
        <item m="1" x="3249"/>
        <item m="1" x="3255"/>
        <item m="1" x="3239"/>
        <item m="1" x="3238"/>
        <item m="1" x="3237"/>
        <item m="1" x="3261"/>
        <item m="1" x="3218"/>
        <item m="1" x="3219"/>
        <item m="1" x="3236"/>
        <item m="1" x="3222"/>
        <item m="1" x="3263"/>
        <item m="1" x="3235"/>
        <item m="1" x="3234"/>
        <item m="1" x="3233"/>
        <item m="1" x="3220"/>
        <item m="1" x="3232"/>
        <item m="1" x="3231"/>
        <item m="1" x="3230"/>
        <item m="1" x="3212"/>
        <item m="1" x="3211"/>
        <item m="1" x="3210"/>
        <item m="1" x="3254"/>
        <item m="1" x="3229"/>
        <item m="1" x="3228"/>
        <item m="1" x="3227"/>
        <item m="1" x="3226"/>
        <item m="1" x="3209"/>
        <item m="1" x="3225"/>
        <item m="1" x="3208"/>
        <item m="1" x="3224"/>
        <item m="1" x="3204"/>
        <item m="1" x="3223"/>
        <item m="1" x="3240"/>
        <item m="1" x="3252"/>
        <item m="1" x="3251"/>
        <item m="1" x="3203"/>
        <item m="1" x="3221"/>
        <item m="1" x="3291"/>
        <item m="1" x="3205"/>
        <item m="1" x="3206"/>
        <item m="1" x="3276"/>
        <item m="1" x="3277"/>
        <item m="1" x="3250"/>
        <item m="1" x="3207"/>
        <item m="1" x="3241"/>
        <item m="1" x="3213"/>
        <item m="1" x="3242"/>
        <item m="1" x="3278"/>
        <item m="1" x="3279"/>
        <item m="1" x="3265"/>
        <item m="1" x="3280"/>
        <item m="1" x="3300"/>
        <item m="1" x="3292"/>
        <item m="1" x="3293"/>
        <item m="1" x="3294"/>
        <item m="1" x="3281"/>
        <item m="1" x="3282"/>
        <item m="1" x="3266"/>
        <item m="1" x="3283"/>
        <item m="1" x="3267"/>
        <item m="1" x="3299"/>
        <item m="1" x="3295"/>
        <item m="1" x="3264"/>
        <item m="1" x="3284"/>
        <item m="1" x="3268"/>
        <item m="1" x="3269"/>
        <item m="1" x="3297"/>
        <item m="1" x="3270"/>
        <item m="1" x="3296"/>
        <item m="1" x="3271"/>
        <item m="1" x="3285"/>
        <item m="1" x="3272"/>
        <item m="1" x="3286"/>
        <item m="1" x="3287"/>
        <item m="1" x="3288"/>
        <item m="1" x="3273"/>
        <item m="1" x="3274"/>
        <item m="1" x="3275"/>
        <item m="1" x="3289"/>
        <item m="1" x="3290"/>
        <item m="1" x="3313"/>
        <item m="1" x="3298"/>
        <item m="1" x="3314"/>
        <item m="1" x="3307"/>
        <item m="1" x="3308"/>
        <item m="1" x="3315"/>
        <item m="1" x="3309"/>
        <item m="1" x="3310"/>
        <item m="1" x="3316"/>
        <item m="1" x="3317"/>
        <item m="1" x="3331"/>
        <item m="1" x="3318"/>
        <item m="1" x="3332"/>
        <item m="1" x="3337"/>
        <item m="1" x="3319"/>
        <item m="1" x="3320"/>
        <item m="1" x="3321"/>
        <item m="1" x="3336"/>
        <item m="1" x="3322"/>
        <item m="1" x="3323"/>
        <item m="1" x="3324"/>
        <item m="1" x="3335"/>
        <item m="1" x="3325"/>
        <item m="1" x="3334"/>
        <item m="1" x="3333"/>
        <item m="1" x="3326"/>
        <item m="1" x="3327"/>
        <item m="1" x="3328"/>
        <item m="1" x="3329"/>
        <item m="1" x="3338"/>
        <item m="1" x="3301"/>
        <item m="1" x="3330"/>
        <item m="1" x="3311"/>
        <item m="1" x="3312"/>
        <item m="1" x="3302"/>
        <item m="1" x="3303"/>
        <item m="1" x="3304"/>
        <item m="1" x="3340"/>
        <item m="1" x="3305"/>
        <item m="1" x="3306"/>
        <item m="1" x="3339"/>
        <item m="1" x="3345"/>
        <item m="1" x="3347"/>
        <item m="1" x="3342"/>
        <item m="1" x="3341"/>
        <item m="1" x="3343"/>
        <item m="1" x="3346"/>
        <item m="1" x="3344"/>
        <item m="1" x="3357"/>
        <item m="1" x="3358"/>
        <item m="1" x="3364"/>
        <item m="1" x="3377"/>
        <item m="1" x="3376"/>
        <item m="1" x="3359"/>
        <item m="1" x="3360"/>
        <item m="1" x="3375"/>
        <item m="1" x="3365"/>
        <item m="1" x="3351"/>
        <item m="1" x="3350"/>
        <item m="1" x="3349"/>
        <item m="1" x="3366"/>
        <item m="1" x="3367"/>
        <item m="1" x="3361"/>
        <item m="1" x="3362"/>
        <item m="1" x="3368"/>
        <item m="1" x="3369"/>
        <item m="1" x="3370"/>
        <item m="1" x="3371"/>
        <item m="1" x="3372"/>
        <item m="1" x="3373"/>
        <item m="1" x="3363"/>
        <item m="1" x="3356"/>
        <item m="1" x="3348"/>
        <item m="1" x="3353"/>
        <item m="1" x="3355"/>
        <item m="1" x="3352"/>
        <item m="1" x="3374"/>
        <item m="1" x="3354"/>
        <item m="1" x="3388"/>
        <item m="1" x="3392"/>
        <item m="1" x="3393"/>
        <item m="1" x="3398"/>
        <item m="1" x="3394"/>
        <item m="1" x="3395"/>
        <item m="1" x="3396"/>
        <item m="1" x="3397"/>
        <item m="1" x="3401"/>
        <item m="1" x="3402"/>
        <item m="1" x="3403"/>
        <item m="1" x="3404"/>
        <item m="1" x="3405"/>
        <item m="1" x="3406"/>
        <item m="1" x="3407"/>
        <item m="1" x="3389"/>
        <item m="1" x="3408"/>
        <item m="1" x="3390"/>
        <item m="1" x="3399"/>
        <item m="1" x="3391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400"/>
        <item m="1" x="3412"/>
        <item m="1" x="3411"/>
        <item m="1" x="3410"/>
        <item m="1" x="3409"/>
        <item m="1" x="3414"/>
        <item m="1" x="3415"/>
        <item m="1" x="3423"/>
        <item m="1" x="3416"/>
        <item m="1" x="3413"/>
        <item m="1" x="3417"/>
        <item m="1" x="3424"/>
        <item m="1" x="3421"/>
        <item m="1" x="3418"/>
        <item m="1" x="3419"/>
        <item m="1" x="3422"/>
        <item m="1" x="3420"/>
        <item m="1" x="3427"/>
        <item m="1" x="3428"/>
        <item m="1" x="3430"/>
        <item m="1" x="3429"/>
        <item m="1" x="3425"/>
        <item m="1" x="3431"/>
        <item m="1" x="3432"/>
        <item m="1" x="3433"/>
        <item m="1" x="3434"/>
        <item m="1" x="3435"/>
        <item m="1" x="3436"/>
        <item m="1" x="3437"/>
        <item m="1" x="3426"/>
        <item m="1" x="3444"/>
        <item m="1" x="3438"/>
        <item m="1" x="3439"/>
        <item m="1" x="3442"/>
        <item m="1" x="3443"/>
        <item m="1" x="3440"/>
        <item m="1" x="3461"/>
        <item m="1" x="3460"/>
        <item m="1" x="3445"/>
        <item m="1" x="3459"/>
        <item m="1" x="3462"/>
        <item m="1" x="3454"/>
        <item m="1" x="3453"/>
        <item m="1" x="3452"/>
        <item m="1" x="3458"/>
        <item m="1" x="3451"/>
        <item m="1" x="3450"/>
        <item m="1" x="3449"/>
        <item m="1" x="3448"/>
        <item m="1" x="3447"/>
        <item m="1" x="3446"/>
        <item m="1" x="3457"/>
        <item m="1" x="3456"/>
        <item m="1" x="3469"/>
        <item m="1" x="3455"/>
        <item m="1" x="3465"/>
        <item m="1" x="3468"/>
        <item m="1" x="3466"/>
        <item m="1" x="3470"/>
        <item m="1" x="3471"/>
        <item m="1" x="3472"/>
        <item m="1" x="3463"/>
        <item m="1" x="3467"/>
        <item m="1" x="3464"/>
        <item m="1" x="3474"/>
        <item m="1" x="3475"/>
        <item m="1" x="3476"/>
        <item m="1" x="3477"/>
        <item m="1" x="3478"/>
        <item m="1" x="3479"/>
        <item m="1" x="3493"/>
        <item m="1" x="3483"/>
        <item m="1" x="3484"/>
        <item m="1" x="3485"/>
        <item m="1" x="3504"/>
        <item m="1" x="3505"/>
        <item m="1" x="3486"/>
        <item m="1" x="3480"/>
        <item m="1" x="3487"/>
        <item m="1" x="3481"/>
        <item m="1" x="3488"/>
        <item m="1" x="3494"/>
        <item m="1" x="3489"/>
        <item m="1" x="3495"/>
        <item m="1" x="3482"/>
        <item m="1" x="3496"/>
        <item m="1" x="3497"/>
        <item m="1" x="3498"/>
        <item m="1" x="3500"/>
        <item m="1" x="2404"/>
        <item m="1" x="3490"/>
        <item m="1" x="3491"/>
        <item m="1" x="3508"/>
        <item m="1" x="3509"/>
        <item m="1" x="3499"/>
        <item m="1" x="3492"/>
        <item m="1" x="3514"/>
        <item m="1" x="3473"/>
        <item m="1" x="3501"/>
        <item m="1" x="3502"/>
        <item m="1" x="3503"/>
        <item m="1" x="3515"/>
        <item m="1" x="3510"/>
        <item m="1" x="3522"/>
        <item m="1" x="3516"/>
        <item m="1" x="3523"/>
        <item m="1" x="3529"/>
        <item m="1" x="3517"/>
        <item m="1" x="3526"/>
        <item m="1" x="3518"/>
        <item m="1" x="3511"/>
        <item m="1" x="3527"/>
        <item m="1" x="3519"/>
        <item m="1" x="3512"/>
        <item m="1" x="3524"/>
        <item m="1" x="3520"/>
        <item m="1" x="3513"/>
        <item m="1" x="3528"/>
        <item m="1" x="3525"/>
        <item m="1" x="3521"/>
        <item m="1" x="3506"/>
        <item m="1" x="3507"/>
        <item m="1" x="2372"/>
        <item m="1" x="2351"/>
        <item m="1" x="2350"/>
        <item m="1" x="2349"/>
        <item m="1" x="2348"/>
        <item m="1" x="2368"/>
        <item m="1" x="2369"/>
        <item m="1" x="2370"/>
        <item m="1" x="2347"/>
        <item m="1" x="2346"/>
        <item m="1" x="2345"/>
        <item m="1" x="2344"/>
        <item m="1" x="2343"/>
        <item m="1" x="2342"/>
        <item m="1" x="2336"/>
        <item m="1" x="2335"/>
        <item m="1" x="2334"/>
        <item m="1" x="2332"/>
        <item m="1" x="2333"/>
        <item m="1" x="2337"/>
        <item m="1" x="2338"/>
        <item m="1" x="2339"/>
        <item m="1" x="2340"/>
        <item m="1" x="2341"/>
        <item m="1" x="2352"/>
        <item m="1" x="2353"/>
        <item m="1" x="2354"/>
        <item m="1" x="2371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4"/>
        <item m="1" x="2399"/>
        <item m="1" x="2400"/>
        <item m="1" x="2401"/>
        <item m="1" x="2402"/>
        <item m="1" x="2397"/>
        <item m="1" x="2398"/>
        <item m="1" x="2396"/>
        <item m="1" x="2393"/>
        <item m="1" x="2395"/>
        <item m="1" x="2403"/>
        <item m="1" x="2418"/>
        <item m="1" x="2406"/>
        <item m="1" x="2405"/>
        <item m="1" x="2416"/>
        <item m="1" x="2422"/>
        <item m="1" x="2407"/>
        <item m="1" x="2417"/>
        <item m="1" x="2415"/>
        <item m="1" x="2419"/>
        <item m="1" x="2420"/>
        <item m="1" x="2414"/>
        <item m="1" x="2413"/>
        <item m="1" x="2412"/>
        <item m="1" x="2411"/>
        <item m="1" x="2410"/>
        <item m="1" x="2409"/>
        <item m="1" x="2428"/>
        <item m="1" x="2429"/>
        <item m="1" x="2434"/>
        <item m="1" x="2435"/>
        <item m="1" x="2433"/>
        <item m="1" x="2421"/>
        <item m="1" x="2432"/>
        <item m="1" x="2431"/>
        <item m="1" x="2436"/>
        <item m="1" x="2430"/>
        <item m="1" x="2427"/>
        <item m="1" x="2423"/>
        <item m="1" x="2424"/>
        <item m="1" x="2425"/>
        <item m="1" x="2426"/>
        <item m="1" x="2441"/>
        <item m="1" x="2440"/>
        <item m="1" x="2439"/>
        <item m="1" x="2443"/>
        <item m="1" x="2437"/>
        <item m="1" x="2442"/>
        <item m="1" x="2438"/>
        <item m="1" x="2455"/>
        <item m="1" x="2448"/>
        <item m="1" x="2444"/>
        <item m="1" x="2447"/>
        <item m="1" x="2454"/>
        <item m="1" x="2451"/>
        <item m="1" x="2453"/>
        <item m="1" x="2452"/>
        <item m="1" x="2450"/>
        <item m="1" x="2446"/>
        <item m="1" x="2449"/>
        <item m="1" x="1830"/>
        <item m="1" x="2458"/>
        <item m="1" x="2461"/>
        <item m="1" x="2457"/>
        <item m="1" x="2460"/>
        <item m="1" x="2456"/>
        <item m="1" x="2459"/>
        <item m="1" x="2474"/>
        <item m="1" x="2469"/>
        <item m="1" x="2470"/>
        <item m="1" x="2468"/>
        <item m="1" x="2471"/>
        <item m="1" x="2473"/>
        <item m="1" x="2472"/>
        <item m="1" x="1816"/>
        <item m="1" x="2462"/>
        <item m="1" x="2463"/>
        <item m="1" x="2464"/>
        <item m="1" x="2465"/>
        <item m="1" x="2475"/>
        <item m="1" x="2476"/>
        <item m="1" x="2466"/>
        <item m="1" x="2467"/>
        <item m="1" x="2491"/>
        <item m="1" x="2487"/>
        <item m="1" x="2485"/>
        <item m="1" x="2483"/>
        <item m="1" x="2486"/>
        <item m="1" x="2484"/>
        <item m="1" x="2489"/>
        <item m="1" x="2488"/>
        <item m="1" x="2477"/>
        <item m="1" x="2490"/>
        <item m="1" x="2478"/>
        <item m="1" x="2479"/>
        <item m="1" x="2480"/>
        <item m="1" x="2481"/>
        <item m="1" x="2482"/>
        <item m="1" x="2492"/>
        <item m="1" x="2501"/>
        <item m="1" x="2499"/>
        <item m="1" x="2497"/>
        <item m="1" x="2503"/>
        <item m="1" x="2500"/>
        <item m="1" x="2498"/>
        <item m="1" x="2502"/>
        <item m="1" x="2526"/>
        <item m="1" x="2493"/>
        <item m="1" x="2494"/>
        <item m="1" x="2495"/>
        <item m="1" x="2496"/>
        <item m="1" x="2523"/>
        <item m="1" x="2522"/>
        <item m="1" x="2525"/>
        <item m="1" x="2521"/>
        <item m="1" x="2520"/>
        <item m="1" x="2519"/>
        <item m="1" x="2518"/>
        <item m="1" x="2517"/>
        <item m="1" x="2516"/>
        <item m="1" x="2515"/>
        <item m="1" x="2514"/>
        <item m="1" x="2513"/>
        <item m="1" x="2512"/>
        <item m="1" x="2511"/>
        <item m="1" x="2510"/>
        <item m="1" x="2509"/>
        <item m="1" x="2508"/>
        <item m="1" x="2507"/>
        <item m="1" x="2506"/>
        <item m="1" x="2505"/>
        <item m="1" x="2524"/>
        <item m="1" x="2527"/>
        <item m="1" x="2529"/>
        <item m="1" x="2528"/>
        <item m="1" x="2530"/>
        <item m="1" x="2543"/>
        <item m="1" x="2540"/>
        <item m="1" x="2545"/>
        <item m="1" x="2542"/>
        <item m="1" x="2541"/>
        <item m="1" x="2531"/>
        <item m="1" x="2532"/>
        <item m="1" x="2533"/>
        <item m="1" x="2534"/>
        <item m="1" x="2535"/>
        <item m="1" x="2544"/>
        <item m="1" x="2536"/>
        <item m="1" x="2537"/>
        <item m="1" x="2538"/>
        <item m="1" x="2539"/>
        <item m="1" x="2554"/>
        <item m="1" x="2547"/>
        <item m="1" x="2553"/>
        <item m="1" x="2552"/>
        <item m="1" x="2551"/>
        <item m="1" x="2550"/>
        <item m="1" x="2549"/>
        <item m="1" x="2548"/>
        <item m="1" x="2546"/>
        <item m="1" x="2556"/>
        <item m="1" x="2555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7"/>
        <item m="1" x="2574"/>
        <item m="1" x="2575"/>
        <item m="1" x="2573"/>
        <item m="1" x="2571"/>
        <item m="1" x="2580"/>
        <item m="1" x="2579"/>
        <item m="1" x="2572"/>
        <item m="1" x="2578"/>
        <item m="1" x="2570"/>
        <item m="1" x="2576"/>
        <item m="1" x="2581"/>
        <item m="1" x="2590"/>
        <item m="1" x="2591"/>
        <item m="1" x="2584"/>
        <item m="1" x="2585"/>
        <item m="1" x="2586"/>
        <item m="1" x="2587"/>
        <item m="1" x="2588"/>
        <item m="1" x="2583"/>
        <item m="1" x="2589"/>
        <item m="1" x="2582"/>
        <item m="1" x="1798"/>
        <item m="1" x="1799"/>
        <item m="1" x="1819"/>
        <item m="1" x="1800"/>
        <item m="1" x="1810"/>
        <item m="1" x="1801"/>
        <item m="1" x="1802"/>
        <item m="1" x="1803"/>
        <item m="1" x="1811"/>
        <item m="1" x="1804"/>
        <item m="1" x="1812"/>
        <item m="1" x="1805"/>
        <item m="1" x="1813"/>
        <item m="1" x="1806"/>
        <item m="1" x="1807"/>
        <item m="1" x="1817"/>
        <item m="1" x="1808"/>
        <item m="1" x="1814"/>
        <item m="1" x="1818"/>
        <item m="1" x="1815"/>
        <item m="1" x="1809"/>
        <item m="1" x="1821"/>
        <item m="1" x="1820"/>
        <item m="1" x="1834"/>
        <item m="1" x="1832"/>
        <item m="1" x="1823"/>
        <item m="1" x="1831"/>
        <item m="1" x="1822"/>
        <item m="1" x="1824"/>
        <item m="1" x="1826"/>
        <item m="1" x="1829"/>
        <item m="1" x="1833"/>
        <item m="1" x="1828"/>
        <item m="1" x="1825"/>
        <item m="1" x="1827"/>
        <item m="1" x="1836"/>
        <item m="1" x="1837"/>
        <item m="1" x="1838"/>
        <item m="1" x="1839"/>
        <item m="1" x="1842"/>
        <item m="1" x="1841"/>
        <item m="1" x="1843"/>
        <item m="1" x="1835"/>
        <item m="1" x="1840"/>
        <item m="1" x="1847"/>
        <item m="1" x="1846"/>
        <item m="1" x="1849"/>
        <item m="1" x="1848"/>
        <item m="1" x="1845"/>
        <item m="1" x="1844"/>
        <item m="1" x="1851"/>
        <item m="1" x="1852"/>
        <item m="1" x="1853"/>
        <item m="1" x="1850"/>
        <item m="1" x="1854"/>
        <item m="1" x="1857"/>
        <item m="1" x="1855"/>
        <item m="1" x="1870"/>
        <item m="1" x="1869"/>
        <item m="1" x="1856"/>
        <item m="1" x="1863"/>
        <item m="1" x="1862"/>
        <item m="1" x="1871"/>
        <item m="1" x="1868"/>
        <item m="1" x="1867"/>
        <item m="1" x="1861"/>
        <item m="1" x="1860"/>
        <item m="1" x="1858"/>
        <item m="1" x="1866"/>
        <item m="1" x="1865"/>
        <item m="1" x="1859"/>
        <item m="1" x="1864"/>
        <item m="1" x="1877"/>
        <item m="1" x="1878"/>
        <item m="1" x="1882"/>
        <item m="1" x="1880"/>
        <item m="1" x="1881"/>
        <item m="1" x="1876"/>
        <item m="1" x="1879"/>
        <item m="1" x="1872"/>
        <item m="1" x="1873"/>
        <item m="1" x="1874"/>
        <item m="1" x="1875"/>
        <item m="1" x="1891"/>
        <item m="1" x="1889"/>
        <item m="1" x="1887"/>
        <item m="1" x="1888"/>
        <item m="1" x="1892"/>
        <item m="1" x="1890"/>
        <item m="1" x="1883"/>
        <item m="1" x="1884"/>
        <item m="1" x="1885"/>
        <item m="1" x="1886"/>
        <item m="1" x="1893"/>
        <item m="1" x="1896"/>
        <item m="1" x="1895"/>
        <item m="1" x="1894"/>
        <item m="1" x="1898"/>
        <item m="1" x="1897"/>
        <item m="1" x="1902"/>
        <item m="1" x="1901"/>
        <item m="1" x="1906"/>
        <item m="1" x="1899"/>
        <item m="1" x="1903"/>
        <item m="1" x="1904"/>
        <item m="1" x="1905"/>
        <item m="1" x="1900"/>
        <item m="1" x="1912"/>
        <item m="1" x="1917"/>
        <item m="1" x="1913"/>
        <item m="1" x="1918"/>
        <item m="1" x="1919"/>
        <item m="1" x="1914"/>
        <item m="1" x="1268"/>
        <item m="1" x="1922"/>
        <item m="1" x="1915"/>
        <item m="1" x="1923"/>
        <item m="1" x="1920"/>
        <item m="1" x="1924"/>
        <item m="1" x="1916"/>
        <item m="1" x="1921"/>
        <item m="1" x="1907"/>
        <item m="1" x="1908"/>
        <item m="1" x="1909"/>
        <item m="1" x="1910"/>
        <item m="1" x="1911"/>
        <item m="1" x="1939"/>
        <item m="1" x="1938"/>
        <item m="1" x="1936"/>
        <item m="1" x="1935"/>
        <item m="1" x="1934"/>
        <item m="1" x="1933"/>
        <item m="1" x="1932"/>
        <item m="1" x="1931"/>
        <item m="1" x="1930"/>
        <item m="1" x="1929"/>
        <item m="1" x="1928"/>
        <item m="1" x="1927"/>
        <item m="1" x="1926"/>
        <item m="1" x="1937"/>
        <item m="1" x="1925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42"/>
        <item m="1" x="1941"/>
        <item m="1" x="1940"/>
        <item m="1" x="2063"/>
        <item m="1" x="2058"/>
        <item m="1" x="2057"/>
        <item m="1" x="2056"/>
        <item m="1" x="2055"/>
        <item m="1" x="2054"/>
        <item m="1" x="2053"/>
        <item m="1" x="2052"/>
        <item m="1" x="2051"/>
        <item m="1" x="2050"/>
        <item m="1" x="2049"/>
        <item m="1" x="2048"/>
        <item m="1" x="2047"/>
        <item m="1" x="2046"/>
        <item m="1" x="2045"/>
        <item m="1" x="2044"/>
        <item m="1" x="2043"/>
        <item m="1" x="2042"/>
        <item m="1" x="2041"/>
        <item m="1" x="2040"/>
        <item m="1" x="2039"/>
        <item m="1" x="2038"/>
        <item m="1" x="2037"/>
        <item m="1" x="2036"/>
        <item m="1" x="2035"/>
        <item m="1" x="2034"/>
        <item m="1" x="2033"/>
        <item m="1" x="2032"/>
        <item m="1" x="2031"/>
        <item m="1" x="2067"/>
        <item m="1" x="2103"/>
        <item m="1" x="2102"/>
        <item m="1" x="2101"/>
        <item m="1" x="2100"/>
        <item m="1" x="2099"/>
        <item m="1" x="2098"/>
        <item m="1" x="2097"/>
        <item m="1" x="2096"/>
        <item m="1" x="2095"/>
        <item m="1" x="2094"/>
        <item m="1" x="2093"/>
        <item m="1" x="2092"/>
        <item m="1" x="2091"/>
        <item m="1" x="2090"/>
        <item m="1" x="2089"/>
        <item m="1" x="2062"/>
        <item m="1" x="2088"/>
        <item m="1" x="2087"/>
        <item m="1" x="2086"/>
        <item m="1" x="2085"/>
        <item m="1" x="2084"/>
        <item m="1" x="2083"/>
        <item m="1" x="2082"/>
        <item m="1" x="2081"/>
        <item m="1" x="2080"/>
        <item m="1" x="2079"/>
        <item m="1" x="2078"/>
        <item m="1" x="2077"/>
        <item m="1" x="2076"/>
        <item m="1" x="2075"/>
        <item m="1" x="2074"/>
        <item m="1" x="2073"/>
        <item m="1" x="2072"/>
        <item m="1" x="2071"/>
        <item m="1" x="2070"/>
        <item m="1" x="2069"/>
        <item m="1" x="2068"/>
        <item m="1" x="1993"/>
        <item m="1" x="1992"/>
        <item m="1" x="1991"/>
        <item m="1" x="1990"/>
        <item m="1" x="1989"/>
        <item m="1" x="1988"/>
        <item m="1" x="1987"/>
        <item m="1" x="1986"/>
        <item m="1" x="1985"/>
        <item m="1" x="1984"/>
        <item m="1" x="1983"/>
        <item m="1" x="1982"/>
        <item m="1" x="1981"/>
        <item m="1" x="1980"/>
        <item m="1" x="1979"/>
        <item m="1" x="1978"/>
        <item m="1" x="1977"/>
        <item m="1" x="1976"/>
        <item m="1" x="1958"/>
        <item m="1" x="1959"/>
        <item m="1" x="1960"/>
        <item m="1" x="1961"/>
        <item m="1" x="2142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94"/>
        <item m="1" x="2030"/>
        <item m="1" x="2029"/>
        <item m="1" x="2028"/>
        <item m="1" x="2027"/>
        <item m="1" x="2026"/>
        <item m="1" x="2025"/>
        <item m="1" x="2024"/>
        <item m="1" x="2023"/>
        <item m="1" x="2022"/>
        <item m="1" x="2021"/>
        <item m="1" x="2020"/>
        <item m="1" x="2019"/>
        <item m="1" x="2018"/>
        <item m="1" x="2017"/>
        <item m="1" x="2061"/>
        <item m="1" x="2016"/>
        <item m="1" x="2015"/>
        <item m="1" x="2014"/>
        <item m="1" x="2013"/>
        <item m="1" x="2012"/>
        <item m="1" x="2011"/>
        <item m="1" x="2010"/>
        <item m="1" x="2009"/>
        <item m="1" x="2008"/>
        <item m="1" x="2007"/>
        <item m="1" x="2006"/>
        <item m="1" x="2005"/>
        <item m="1" x="2247"/>
        <item m="1" x="2004"/>
        <item m="1" x="2003"/>
        <item m="1" x="2002"/>
        <item m="1" x="1995"/>
        <item m="1" x="1996"/>
        <item m="1" x="1997"/>
        <item m="1" x="1998"/>
        <item m="1" x="1999"/>
        <item m="1" x="2000"/>
        <item m="1" x="2001"/>
        <item m="1" x="2209"/>
        <item m="1" x="2208"/>
        <item m="1" x="2207"/>
        <item m="1" x="2206"/>
        <item m="1" x="2205"/>
        <item m="1" x="2204"/>
        <item m="1" x="2203"/>
        <item m="1" x="2202"/>
        <item m="1" x="2201"/>
        <item m="1" x="2200"/>
        <item m="1" x="2199"/>
        <item m="1" x="2198"/>
        <item m="1" x="2197"/>
        <item m="1" x="2196"/>
        <item m="1" x="2195"/>
        <item m="1" x="2194"/>
        <item m="1" x="2193"/>
        <item m="1" x="2192"/>
        <item m="1" x="2191"/>
        <item m="1" x="2190"/>
        <item m="1" x="2189"/>
        <item m="1" x="2188"/>
        <item m="1" x="2187"/>
        <item m="1" x="2186"/>
        <item m="1" x="2185"/>
        <item m="1" x="2184"/>
        <item m="1" x="2183"/>
        <item m="1" x="2182"/>
        <item m="1" x="2181"/>
        <item m="1" x="2180"/>
        <item m="1" x="2179"/>
        <item m="1" x="2178"/>
        <item m="1" x="2177"/>
        <item m="1" x="2176"/>
        <item m="1" x="2175"/>
        <item m="1" x="2174"/>
        <item m="1" x="2210"/>
        <item m="1" x="2246"/>
        <item m="1" x="2245"/>
        <item m="1" x="2244"/>
        <item m="1" x="2243"/>
        <item m="1" x="2242"/>
        <item m="1" x="2241"/>
        <item m="1" x="2240"/>
        <item m="1" x="2239"/>
        <item m="1" x="2238"/>
        <item m="1" x="2237"/>
        <item m="1" x="2236"/>
        <item m="1" x="2235"/>
        <item m="1" x="2234"/>
        <item m="1" x="2233"/>
        <item m="1" x="2232"/>
        <item m="1" x="2231"/>
        <item m="1" x="2230"/>
        <item m="1" x="2229"/>
        <item m="1" x="2228"/>
        <item m="1" x="2227"/>
        <item m="1" x="2226"/>
        <item m="1" x="2225"/>
        <item m="1" x="2224"/>
        <item m="1" x="2223"/>
        <item m="1" x="2222"/>
        <item m="1" x="2221"/>
        <item m="1" x="2220"/>
        <item m="1" x="2219"/>
        <item m="1" x="2218"/>
        <item m="1" x="2217"/>
        <item m="1" x="2216"/>
        <item m="1" x="2215"/>
        <item m="1" x="2214"/>
        <item m="1" x="2213"/>
        <item m="1" x="2212"/>
        <item m="1" x="2211"/>
        <item m="1" x="2139"/>
        <item m="1" x="2138"/>
        <item m="1" x="2137"/>
        <item m="1" x="2136"/>
        <item m="1" x="2135"/>
        <item m="1" x="2134"/>
        <item m="1" x="2060"/>
        <item m="1" x="2133"/>
        <item m="1" x="2132"/>
        <item m="1" x="2059"/>
        <item m="1" x="2131"/>
        <item m="1" x="2130"/>
        <item m="1" x="2129"/>
        <item m="1" x="2128"/>
        <item m="1" x="2127"/>
        <item m="1" x="2126"/>
        <item m="1" x="2125"/>
        <item m="1" x="2124"/>
        <item m="1" x="2123"/>
        <item m="1" x="2122"/>
        <item m="1" x="2121"/>
        <item m="1" x="2120"/>
        <item m="1" x="2119"/>
        <item m="1" x="2118"/>
        <item m="1" x="2117"/>
        <item m="1" x="2116"/>
        <item m="1" x="2115"/>
        <item m="1" x="2114"/>
        <item m="1" x="2113"/>
        <item m="1" x="2112"/>
        <item m="1" x="2111"/>
        <item m="1" x="2110"/>
        <item m="1" x="2109"/>
        <item m="1" x="2108"/>
        <item m="1" x="2107"/>
        <item m="1" x="2106"/>
        <item m="1" x="2105"/>
        <item m="1" x="2104"/>
        <item m="1" x="2141"/>
        <item m="1" x="2140"/>
        <item m="1" x="2173"/>
        <item m="1" x="2172"/>
        <item m="1" x="2171"/>
        <item m="1" x="2170"/>
        <item m="1" x="2169"/>
        <item m="1" x="2168"/>
        <item m="1" x="2167"/>
        <item m="1" x="2166"/>
        <item m="1" x="2165"/>
        <item m="1" x="2164"/>
        <item m="1" x="2163"/>
        <item m="1" x="2162"/>
        <item m="1" x="2161"/>
        <item m="1" x="2160"/>
        <item m="1" x="2159"/>
        <item m="1" x="2158"/>
        <item m="1" x="2157"/>
        <item m="1" x="2156"/>
        <item m="1" x="2155"/>
        <item m="1" x="2154"/>
        <item m="1" x="2153"/>
        <item m="1" x="2152"/>
        <item m="1" x="2151"/>
        <item m="1" x="2150"/>
        <item m="1" x="2149"/>
        <item m="1" x="2148"/>
        <item m="1" x="2147"/>
        <item m="1" x="2146"/>
        <item m="1" x="2145"/>
        <item m="1" x="2144"/>
        <item m="1" x="2143"/>
        <item m="1" x="2066"/>
        <item m="1" x="2065"/>
        <item m="1" x="2064"/>
        <item m="1" x="2248"/>
        <item m="1" x="2249"/>
        <item m="1" x="2254"/>
        <item m="1" x="2255"/>
        <item m="1" x="2256"/>
        <item m="1" x="2257"/>
        <item m="1" x="2258"/>
        <item m="1" x="2259"/>
        <item m="1" x="2260"/>
        <item m="1" x="2274"/>
        <item m="1" x="2287"/>
        <item m="1" x="2286"/>
        <item m="1" x="2285"/>
        <item m="1" x="2251"/>
        <item m="1" x="2284"/>
        <item m="1" x="2283"/>
        <item m="1" x="2282"/>
        <item m="1" x="2281"/>
        <item m="1" x="2280"/>
        <item m="1" x="2279"/>
        <item m="1" x="2278"/>
        <item m="1" x="2277"/>
        <item m="1" x="2276"/>
        <item m="1" x="2275"/>
        <item m="1" x="2273"/>
        <item m="1" x="2272"/>
        <item m="1" x="2271"/>
        <item m="1" x="2270"/>
        <item m="1" x="2269"/>
        <item m="1" x="2268"/>
        <item m="1" x="2267"/>
        <item m="1" x="2266"/>
        <item m="1" x="2265"/>
        <item m="1" x="2264"/>
        <item m="1" x="2263"/>
        <item m="1" x="2262"/>
        <item m="1" x="2261"/>
        <item m="1" x="2288"/>
        <item m="1" x="2250"/>
        <item m="1" x="2253"/>
        <item m="1" x="2252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11"/>
        <item m="1" x="2313"/>
        <item m="1" x="2306"/>
        <item m="1" x="2307"/>
        <item m="1" x="2308"/>
        <item m="1" x="2309"/>
        <item m="1" x="2312"/>
        <item m="1" x="2310"/>
        <item m="1" x="2301"/>
        <item m="1" x="2302"/>
        <item m="1" x="2303"/>
        <item m="1" x="2304"/>
        <item m="1" x="2305"/>
        <item m="1" x="2316"/>
        <item m="1" x="2315"/>
        <item m="1" x="2321"/>
        <item m="1" x="2320"/>
        <item m="1" x="2314"/>
        <item m="1" x="2317"/>
        <item m="1" x="2318"/>
        <item m="1" x="2319"/>
        <item m="1" x="2328"/>
        <item m="1" x="2324"/>
        <item m="1" x="2326"/>
        <item m="1" x="2327"/>
        <item m="1" x="2322"/>
        <item m="1" x="2325"/>
        <item m="1" x="2329"/>
        <item m="1" x="2323"/>
        <item m="1" x="2330"/>
        <item m="1" x="1269"/>
        <item m="1" x="2331"/>
        <item m="1" x="1263"/>
        <item m="1" x="1262"/>
        <item m="1" x="1261"/>
        <item m="1" x="1260"/>
        <item m="1" x="1259"/>
        <item m="1" x="1258"/>
        <item m="1" x="1257"/>
        <item m="1" x="1256"/>
        <item m="1" x="1255"/>
        <item m="1" x="1254"/>
        <item m="1" x="1253"/>
        <item m="1" x="1252"/>
        <item m="1" x="1251"/>
        <item m="1" x="1250"/>
        <item m="1" x="1249"/>
        <item m="1" x="1248"/>
        <item m="1" x="1247"/>
        <item m="1" x="1246"/>
        <item m="1" x="1245"/>
        <item m="1" x="1244"/>
        <item m="1" x="1243"/>
        <item m="1" x="1242"/>
        <item m="1" x="1241"/>
        <item m="1" x="1240"/>
        <item m="1" x="1239"/>
        <item m="1" x="1238"/>
        <item m="1" x="1237"/>
        <item m="1" x="1236"/>
        <item m="1" x="1235"/>
        <item m="1" x="1234"/>
        <item m="1" x="1267"/>
        <item m="1" x="1300"/>
        <item m="1" x="1299"/>
        <item m="1" x="1298"/>
        <item m="1" x="1297"/>
        <item m="1" x="1296"/>
        <item m="1" x="1295"/>
        <item m="1" x="1294"/>
        <item m="1" x="1293"/>
        <item m="1" x="1292"/>
        <item m="1" x="1291"/>
        <item m="1" x="1290"/>
        <item m="1" x="1272"/>
        <item m="1" x="1289"/>
        <item m="1" x="1288"/>
        <item m="1" x="1287"/>
        <item m="1" x="1271"/>
        <item m="1" x="1286"/>
        <item m="1" x="1285"/>
        <item m="1" x="1284"/>
        <item m="1" x="1270"/>
        <item m="1" x="1283"/>
        <item m="1" x="1282"/>
        <item m="1" x="1281"/>
        <item m="1" x="1280"/>
        <item m="1" x="1279"/>
        <item m="1" x="1278"/>
        <item m="1" x="1277"/>
        <item m="1" x="1276"/>
        <item m="1" x="1275"/>
        <item m="1" x="1274"/>
        <item m="1" x="1273"/>
        <item m="1" x="1265"/>
        <item m="1" x="1264"/>
        <item m="1" x="1315"/>
        <item m="1" x="1314"/>
        <item m="1" x="1331"/>
        <item m="1" x="1313"/>
        <item m="1" x="1312"/>
        <item m="1" x="1305"/>
        <item m="1" x="1304"/>
        <item m="1" x="1303"/>
        <item m="1" x="1330"/>
        <item m="1" x="1301"/>
        <item m="1" x="1329"/>
        <item m="1" x="1302"/>
        <item m="1" x="1306"/>
        <item m="1" x="1328"/>
        <item m="1" x="1327"/>
        <item m="1" x="1307"/>
        <item m="1" x="1308"/>
        <item m="1" x="1309"/>
        <item m="1" x="1326"/>
        <item m="1" x="1310"/>
        <item m="1" x="1311"/>
        <item m="1" x="1339"/>
        <item m="1" x="1318"/>
        <item m="1" x="1324"/>
        <item m="1" x="1338"/>
        <item m="1" x="1340"/>
        <item m="1" x="1337"/>
        <item m="1" x="1336"/>
        <item m="1" x="1325"/>
        <item m="1" x="1317"/>
        <item m="1" x="1316"/>
        <item m="1" x="1335"/>
        <item m="1" x="1334"/>
        <item m="1" x="1333"/>
        <item m="1" x="1341"/>
        <item m="1" x="1342"/>
        <item m="1" x="1332"/>
        <item m="1" x="1358"/>
        <item m="1" x="1323"/>
        <item m="1" x="1322"/>
        <item m="1" x="1356"/>
        <item m="1" x="1378"/>
        <item m="1" x="1382"/>
        <item m="1" x="1321"/>
        <item m="1" x="1320"/>
        <item m="1" x="1319"/>
        <item m="1" x="1381"/>
        <item m="1" x="1380"/>
        <item m="1" x="1357"/>
        <item m="1" x="1379"/>
        <item m="1" x="1377"/>
        <item m="1" x="1376"/>
        <item m="1" x="1383"/>
        <item m="1" x="1375"/>
        <item m="1" x="1374"/>
        <item m="1" x="1373"/>
        <item m="1" x="1372"/>
        <item m="1" x="1371"/>
        <item m="1" x="1370"/>
        <item m="1" x="1369"/>
        <item m="1" x="1368"/>
        <item m="1" x="1367"/>
        <item m="1" x="1366"/>
        <item m="1" x="1365"/>
        <item m="1" x="1364"/>
        <item m="1" x="1363"/>
        <item m="1" x="1362"/>
        <item m="1" x="1361"/>
        <item m="1" x="1360"/>
        <item m="1" x="1359"/>
        <item m="1" x="1343"/>
        <item m="1" x="1344"/>
        <item m="1" x="1345"/>
        <item m="1" x="1346"/>
        <item m="1" x="1347"/>
        <item m="1" x="1348"/>
        <item m="1" x="1349"/>
        <item m="1" x="1384"/>
        <item m="1" x="1350"/>
        <item m="1" x="1351"/>
        <item m="1" x="1352"/>
        <item m="1" x="1353"/>
        <item m="1" x="1354"/>
        <item m="1" x="1355"/>
        <item m="1" x="1411"/>
        <item m="1" x="1410"/>
        <item m="1" x="1409"/>
        <item m="1" x="1408"/>
        <item m="1" x="1407"/>
        <item m="1" x="1406"/>
        <item m="1" x="1412"/>
        <item m="1" x="1405"/>
        <item m="1" x="1404"/>
        <item m="1" x="1403"/>
        <item m="1" x="1402"/>
        <item m="1" x="1401"/>
        <item m="1" x="1400"/>
        <item m="1" x="1399"/>
        <item m="1" x="1398"/>
        <item m="1" x="1397"/>
        <item m="1" x="1396"/>
        <item m="1" x="1395"/>
        <item m="1" x="1386"/>
        <item m="1" x="1394"/>
        <item m="1" x="1393"/>
        <item m="1" x="1392"/>
        <item m="1" x="1391"/>
        <item m="1" x="1390"/>
        <item m="1" x="1389"/>
        <item m="1" x="1388"/>
        <item m="1" x="1385"/>
        <item m="1" x="1387"/>
        <item m="1" x="1420"/>
        <item m="1" x="1421"/>
        <item m="1" x="1419"/>
        <item m="1" x="1418"/>
        <item m="1" x="1417"/>
        <item m="1" x="1416"/>
        <item m="1" x="1415"/>
        <item m="1" x="1437"/>
        <item m="1" x="1414"/>
        <item m="1" x="1438"/>
        <item m="1" x="1439"/>
        <item m="1" x="1427"/>
        <item m="1" x="1428"/>
        <item m="1" x="1426"/>
        <item m="1" x="1443"/>
        <item m="1" x="1429"/>
        <item m="1" x="1430"/>
        <item m="1" x="1431"/>
        <item m="1" x="1432"/>
        <item m="1" x="1440"/>
        <item m="1" x="1441"/>
        <item m="1" x="1433"/>
        <item m="1" x="1434"/>
        <item m="1" x="1435"/>
        <item m="1" x="1442"/>
        <item m="1" x="1436"/>
        <item m="1" x="1471"/>
        <item m="1" x="1470"/>
        <item m="1" x="1422"/>
        <item m="1" x="1423"/>
        <item m="1" x="1469"/>
        <item m="1" x="1424"/>
        <item m="1" x="1425"/>
        <item m="1" x="1468"/>
        <item m="1" x="1467"/>
        <item m="1" x="1466"/>
        <item m="1" x="1465"/>
        <item m="1" x="1464"/>
        <item m="1" x="1463"/>
        <item m="1" x="1462"/>
        <item m="1" x="1461"/>
        <item m="1" x="1460"/>
        <item m="1" x="1459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503"/>
        <item m="1" x="1455"/>
        <item m="1" x="1506"/>
        <item m="1" x="1456"/>
        <item m="1" x="1457"/>
        <item m="1" x="1458"/>
        <item m="1" x="1473"/>
        <item m="1" x="1502"/>
        <item m="1" x="1472"/>
        <item m="1" x="1501"/>
        <item m="1" x="1500"/>
        <item m="1" x="1499"/>
        <item m="1" x="1498"/>
        <item m="1" x="1497"/>
        <item m="1" x="1496"/>
        <item m="1" x="1505"/>
        <item m="1" x="1495"/>
        <item m="1" x="1494"/>
        <item m="1" x="1504"/>
        <item m="1" x="1493"/>
        <item m="1" x="1492"/>
        <item m="1" x="1491"/>
        <item m="1" x="1490"/>
        <item m="1" x="1489"/>
        <item m="1" x="1488"/>
        <item m="1" x="1487"/>
        <item m="1" x="1486"/>
        <item m="1" x="1485"/>
        <item m="1" x="1484"/>
        <item m="1" x="1483"/>
        <item m="1" x="1482"/>
        <item m="1" x="1481"/>
        <item m="1" x="1480"/>
        <item m="1" x="1479"/>
        <item m="1" x="1478"/>
        <item m="1" x="1477"/>
        <item m="1" x="1476"/>
        <item m="1" x="1475"/>
        <item m="1" x="1474"/>
        <item m="1" x="1530"/>
        <item m="1" x="1529"/>
        <item m="1" x="1528"/>
        <item m="1" x="1527"/>
        <item m="1" x="1526"/>
        <item m="1" x="1525"/>
        <item m="1" x="1524"/>
        <item m="1" x="1523"/>
        <item m="1" x="1522"/>
        <item m="1" x="1521"/>
        <item m="1" x="1520"/>
        <item m="1" x="1519"/>
        <item m="1" x="1518"/>
        <item m="1" x="1517"/>
        <item m="1" x="1516"/>
        <item m="1" x="1515"/>
        <item m="1" x="1514"/>
        <item m="1" x="1513"/>
        <item m="1" x="1512"/>
        <item m="1" x="1511"/>
        <item m="1" x="1510"/>
        <item m="1" x="1509"/>
        <item m="1" x="1508"/>
        <item m="1" x="1507"/>
        <item m="1" x="1531"/>
        <item m="1" x="1532"/>
        <item m="1" x="1555"/>
        <item m="1" x="1554"/>
        <item m="1" x="1553"/>
        <item m="1" x="1552"/>
        <item m="1" x="1551"/>
        <item m="1" x="1550"/>
        <item m="1" x="1549"/>
        <item m="1" x="1548"/>
        <item m="1" x="1547"/>
        <item m="1" x="1546"/>
        <item m="1" x="1545"/>
        <item m="1" x="1544"/>
        <item m="1" x="1543"/>
        <item m="1" x="1542"/>
        <item m="1" x="1541"/>
        <item m="1" x="1540"/>
        <item m="1" x="1539"/>
        <item m="1" x="1538"/>
        <item m="1" x="1537"/>
        <item m="1" x="1536"/>
        <item m="1" x="1535"/>
        <item m="1" x="1534"/>
        <item m="1" x="1533"/>
        <item m="1" x="1577"/>
        <item m="1" x="1576"/>
        <item m="1" x="1575"/>
        <item m="1" x="1556"/>
        <item m="1" x="1574"/>
        <item m="1" x="1573"/>
        <item m="1" x="1572"/>
        <item m="1" x="1578"/>
        <item m="1" x="1571"/>
        <item m="1" x="1570"/>
        <item m="1" x="1569"/>
        <item m="1" x="1568"/>
        <item m="1" x="1567"/>
        <item m="1" x="1566"/>
        <item m="1" x="1565"/>
        <item m="1" x="1564"/>
        <item m="1" x="1563"/>
        <item m="1" x="1562"/>
        <item m="1" x="1561"/>
        <item m="1" x="1560"/>
        <item m="1" x="1559"/>
        <item m="1" x="1579"/>
        <item m="1" x="1558"/>
        <item m="1" x="1557"/>
        <item m="1" x="1588"/>
        <item m="1" x="1587"/>
        <item m="1" x="1586"/>
        <item m="1" x="1585"/>
        <item m="1" x="1584"/>
        <item m="1" x="1591"/>
        <item m="1" x="1583"/>
        <item m="1" x="1582"/>
        <item m="1" x="1581"/>
        <item m="1" x="1610"/>
        <item m="1" x="1611"/>
        <item m="1" x="1602"/>
        <item m="1" x="1580"/>
        <item m="1" x="1609"/>
        <item m="1" x="1603"/>
        <item m="1" x="1598"/>
        <item m="1" x="1604"/>
        <item m="1" x="1605"/>
        <item m="1" x="1599"/>
        <item m="1" x="1612"/>
        <item m="1" x="1606"/>
        <item m="1" x="1590"/>
        <item m="1" x="1600"/>
        <item m="1" x="1589"/>
        <item m="1" x="1607"/>
        <item m="1" x="1608"/>
        <item m="1" x="1601"/>
        <item m="1" x="1597"/>
        <item m="1" x="1596"/>
        <item m="1" x="1595"/>
        <item m="1" x="1594"/>
        <item m="1" x="1593"/>
        <item m="1" x="1592"/>
        <item m="1" x="1619"/>
        <item m="1" x="1620"/>
        <item m="1" x="1621"/>
        <item m="1" x="1622"/>
        <item m="1" x="1623"/>
        <item m="1" x="1624"/>
        <item m="1" x="1635"/>
        <item m="1" x="1617"/>
        <item m="1" x="1631"/>
        <item m="1" x="1625"/>
        <item m="1" x="1626"/>
        <item m="1" x="1627"/>
        <item m="1" x="1636"/>
        <item m="1" x="1618"/>
        <item m="1" x="1628"/>
        <item m="1" x="1632"/>
        <item m="1" x="1633"/>
        <item m="1" x="1629"/>
        <item m="1" x="1630"/>
        <item m="1" x="1634"/>
        <item m="1" x="1613"/>
        <item m="1" x="1614"/>
        <item m="1" x="1615"/>
        <item m="1" x="1616"/>
        <item m="1" x="1646"/>
        <item m="1" x="1648"/>
        <item m="1" x="1649"/>
        <item m="1" x="1656"/>
        <item m="1" x="1650"/>
        <item m="1" x="1644"/>
        <item m="1" x="1660"/>
        <item m="1" x="1643"/>
        <item m="1" x="1642"/>
        <item m="1" x="1641"/>
        <item m="1" x="1651"/>
        <item m="1" x="1645"/>
        <item m="1" x="1652"/>
        <item m="1" x="1653"/>
        <item m="1" x="1640"/>
        <item m="1" x="1654"/>
        <item m="1" x="1655"/>
        <item m="1" x="1639"/>
        <item m="1" x="1638"/>
        <item m="1" x="1637"/>
        <item m="1" x="1647"/>
        <item m="1" x="1661"/>
        <item m="1" x="1662"/>
        <item m="1" x="1663"/>
        <item m="1" x="1664"/>
        <item m="1" x="1669"/>
        <item m="1" x="1670"/>
        <item m="1" x="1671"/>
        <item m="1" x="1667"/>
        <item m="1" x="1665"/>
        <item m="1" x="1666"/>
        <item m="1" x="1668"/>
        <item m="1" x="1657"/>
        <item m="1" x="1658"/>
        <item m="1" x="1659"/>
        <item m="1" x="1680"/>
        <item m="1" x="1194"/>
        <item m="1" x="1674"/>
        <item m="1" x="1678"/>
        <item m="1" x="1722"/>
        <item m="1" x="1721"/>
        <item m="1" x="1720"/>
        <item m="1" x="1719"/>
        <item m="1" x="1718"/>
        <item m="1" x="1717"/>
        <item m="1" x="1679"/>
        <item m="1" x="1682"/>
        <item m="1" x="1677"/>
        <item m="1" x="1676"/>
        <item m="1" x="1675"/>
        <item m="1" x="1681"/>
        <item m="1" x="1673"/>
        <item m="1" x="1672"/>
        <item m="1" x="1686"/>
        <item m="1" x="1706"/>
        <item m="1" x="1707"/>
        <item m="1" x="1685"/>
        <item m="1" x="1689"/>
        <item m="1" x="1688"/>
        <item m="1" x="1684"/>
        <item m="1" x="1705"/>
        <item m="1" x="1683"/>
        <item m="1" x="1698"/>
        <item m="1" x="1699"/>
        <item m="1" x="1704"/>
        <item m="1" x="1700"/>
        <item m="1" x="1701"/>
        <item m="1" x="1702"/>
        <item m="1" x="1703"/>
        <item m="1" x="1693"/>
        <item m="1" x="1694"/>
        <item m="1" x="1695"/>
        <item m="1" x="1696"/>
        <item m="1" x="1708"/>
        <item m="1" x="1697"/>
        <item m="1" x="1709"/>
        <item m="1" x="1687"/>
        <item m="1" x="1692"/>
        <item m="1" x="1691"/>
        <item m="1" x="1690"/>
        <item m="1" x="1710"/>
        <item m="1" x="1711"/>
        <item m="1" x="1716"/>
        <item m="1" x="1715"/>
        <item m="1" x="1714"/>
        <item m="1" x="1713"/>
        <item m="1" x="1736"/>
        <item m="1" x="1735"/>
        <item m="1" x="1732"/>
        <item m="1" x="1712"/>
        <item m="1" x="1726"/>
        <item m="1" x="1733"/>
        <item m="1" x="1734"/>
        <item m="1" x="1724"/>
        <item m="1" x="1737"/>
        <item m="1" x="1727"/>
        <item m="1" x="1728"/>
        <item m="1" x="1729"/>
        <item m="1" x="1723"/>
        <item m="1" x="1730"/>
        <item m="1" x="1731"/>
        <item m="1" x="1725"/>
        <item m="1" x="1746"/>
        <item m="1" x="1747"/>
        <item m="1" x="1745"/>
        <item m="1" x="1738"/>
        <item m="1" x="1739"/>
        <item m="1" x="1740"/>
        <item m="1" x="1750"/>
        <item m="1" x="1749"/>
        <item m="1" x="1741"/>
        <item m="1" x="1748"/>
        <item m="1" x="1742"/>
        <item m="1" x="1743"/>
        <item m="1" x="1744"/>
        <item m="1" x="1751"/>
        <item m="1" x="900"/>
        <item m="1" x="1752"/>
        <item m="1" x="1753"/>
        <item m="1" x="1758"/>
        <item m="1" x="1757"/>
        <item m="1" x="1768"/>
        <item m="1" x="1766"/>
        <item m="1" x="1767"/>
        <item m="1" x="1756"/>
        <item m="1" x="1755"/>
        <item m="1" x="1754"/>
        <item m="1" x="1759"/>
        <item m="1" x="1762"/>
        <item m="1" x="1760"/>
        <item m="1" x="1761"/>
        <item m="1" x="1763"/>
        <item m="1" x="1764"/>
        <item m="1" x="1765"/>
        <item m="1" x="1779"/>
        <item m="1" x="1787"/>
        <item m="1" x="1781"/>
        <item m="1" x="1782"/>
        <item m="1" x="1783"/>
        <item m="1" x="1784"/>
        <item m="1" x="1785"/>
        <item m="1" x="1780"/>
        <item m="1" x="1786"/>
        <item m="1" x="1772"/>
        <item m="1" x="1771"/>
        <item m="1" x="875"/>
        <item m="1" x="874"/>
        <item m="1" x="1790"/>
        <item m="1" x="1791"/>
        <item m="1" x="1792"/>
        <item m="1" x="1770"/>
        <item m="1" x="1769"/>
        <item m="1" x="1773"/>
        <item m="1" x="1774"/>
        <item m="1" x="1788"/>
        <item m="1" x="1789"/>
        <item m="1" x="1775"/>
        <item m="1" x="1776"/>
        <item m="1" x="1777"/>
        <item m="1" x="1778"/>
        <item m="1" x="1793"/>
        <item m="1" x="1794"/>
        <item m="1" x="1795"/>
        <item m="1" x="1796"/>
        <item m="1" x="867"/>
        <item m="1" x="872"/>
        <item m="1" x="860"/>
        <item m="1" x="873"/>
        <item m="1" x="865"/>
        <item m="1" x="866"/>
        <item m="1" x="871"/>
        <item m="1" x="864"/>
        <item m="1" x="859"/>
        <item m="1" x="863"/>
        <item m="1" x="870"/>
        <item m="1" x="861"/>
        <item m="1" x="858"/>
        <item m="1" x="869"/>
        <item m="1" x="868"/>
        <item m="1" x="862"/>
        <item m="1" x="878"/>
        <item m="1" x="879"/>
        <item m="1" x="881"/>
        <item m="1" x="880"/>
        <item m="1" x="876"/>
        <item m="1" x="877"/>
        <item m="1" x="895"/>
        <item m="1" x="886"/>
        <item m="1" x="885"/>
        <item m="1" x="892"/>
        <item m="1" x="890"/>
        <item m="1" x="889"/>
        <item m="1" x="894"/>
        <item m="1" x="888"/>
        <item m="1" x="882"/>
        <item m="1" x="883"/>
        <item m="1" x="884"/>
        <item m="1" x="893"/>
        <item m="1" x="891"/>
        <item m="1" x="887"/>
        <item m="1" x="899"/>
        <item m="1" x="897"/>
        <item m="1" x="898"/>
        <item m="1" x="896"/>
        <item m="1" x="901"/>
        <item m="1" x="904"/>
        <item m="1" x="926"/>
        <item m="1" x="927"/>
        <item m="1" x="919"/>
        <item m="1" x="931"/>
        <item m="1" x="905"/>
        <item m="1" x="914"/>
        <item m="1" x="930"/>
        <item m="1" x="906"/>
        <item m="1" x="929"/>
        <item m="1" x="928"/>
        <item m="1" x="932"/>
        <item m="1" x="924"/>
        <item m="1" x="907"/>
        <item m="1" x="915"/>
        <item m="1" x="920"/>
        <item m="1" x="908"/>
        <item m="1" x="916"/>
        <item m="1" x="917"/>
        <item m="1" x="909"/>
        <item m="1" x="923"/>
        <item m="1" x="918"/>
        <item m="1" x="935"/>
        <item m="1" x="934"/>
        <item m="1" x="910"/>
        <item m="1" x="911"/>
        <item m="1" x="912"/>
        <item m="1" x="925"/>
        <item m="1" x="913"/>
        <item m="1" x="947"/>
        <item m="1" x="946"/>
        <item m="1" x="921"/>
        <item m="1" x="933"/>
        <item m="1" x="937"/>
        <item m="1" x="945"/>
        <item m="1" x="944"/>
        <item m="1" x="943"/>
        <item m="1" x="948"/>
        <item m="1" x="939"/>
        <item m="1" x="938"/>
        <item m="1" x="941"/>
        <item m="1" x="940"/>
        <item m="1" x="936"/>
        <item m="1" x="942"/>
        <item m="1" x="951"/>
        <item m="1" x="952"/>
        <item m="1" x="953"/>
        <item m="1" x="949"/>
        <item m="1" x="950"/>
        <item m="1" x="833"/>
        <item m="1" x="834"/>
        <item m="1" x="822"/>
        <item m="1" x="835"/>
        <item m="1" x="836"/>
        <item m="1" x="837"/>
        <item m="1" x="838"/>
        <item m="1" x="839"/>
        <item m="1" x="854"/>
        <item m="1" x="855"/>
        <item x="12"/>
        <item m="1" x="856"/>
        <item m="1" x="857"/>
        <item x="9"/>
        <item x="10"/>
        <item x="11"/>
        <item x="37"/>
        <item x="38"/>
        <item x="39"/>
        <item x="40"/>
        <item x="41"/>
        <item x="42"/>
        <item x="43"/>
        <item x="50"/>
        <item x="53"/>
        <item x="51"/>
        <item x="54"/>
        <item x="55"/>
        <item x="52"/>
        <item x="49"/>
        <item x="47"/>
        <item x="48"/>
        <item x="72"/>
        <item x="73"/>
        <item x="74"/>
        <item x="80"/>
        <item x="81"/>
        <item x="84"/>
        <item x="83"/>
        <item x="82"/>
        <item x="78"/>
        <item x="79"/>
        <item x="94"/>
        <item x="95"/>
        <item x="107"/>
        <item x="100"/>
        <item x="103"/>
        <item x="109"/>
        <item x="106"/>
        <item x="108"/>
        <item x="102"/>
        <item x="105"/>
        <item x="101"/>
        <item x="104"/>
        <item x="110"/>
        <item x="114"/>
        <item x="112"/>
        <item x="113"/>
        <item x="111"/>
        <item x="121"/>
        <item x="122"/>
        <item x="123"/>
        <item x="124"/>
        <item x="125"/>
        <item x="127"/>
        <item x="128"/>
        <item x="129"/>
        <item x="130"/>
        <item x="131"/>
        <item x="138"/>
        <item x="142"/>
        <item x="141"/>
        <item x="140"/>
        <item x="139"/>
        <item x="146"/>
        <item x="152"/>
        <item x="151"/>
        <item x="150"/>
        <item x="149"/>
        <item x="148"/>
        <item x="147"/>
        <item x="154"/>
        <item x="155"/>
        <item x="156"/>
        <item x="157"/>
        <item x="158"/>
        <item x="159"/>
        <item x="160"/>
        <item x="165"/>
        <item x="170"/>
        <item x="169"/>
        <item x="168"/>
        <item x="167"/>
        <item x="163"/>
        <item x="166"/>
        <item x="164"/>
        <item x="171"/>
        <item x="172"/>
        <item x="173"/>
        <item x="174"/>
        <item x="175"/>
        <item x="176"/>
        <item x="184"/>
        <item x="183"/>
        <item x="186"/>
        <item x="187"/>
        <item x="191"/>
        <item x="190"/>
        <item x="185"/>
        <item x="195"/>
        <item x="237"/>
        <item x="235"/>
        <item x="238"/>
        <item x="230"/>
        <item x="231"/>
        <item x="232"/>
        <item x="233"/>
        <item x="234"/>
        <item x="236"/>
        <item x="321"/>
        <item x="322"/>
        <item x="323"/>
        <item x="324"/>
        <item x="325"/>
        <item x="326"/>
        <item x="351"/>
        <item x="352"/>
        <item x="353"/>
        <item x="354"/>
        <item x="355"/>
        <item x="356"/>
        <item x="357"/>
        <item x="366"/>
        <item x="367"/>
        <item x="368"/>
        <item x="426"/>
        <item m="1" x="954"/>
        <item m="1" x="955"/>
        <item m="1" x="956"/>
        <item m="1" x="958"/>
        <item m="1" x="959"/>
        <item m="1" x="960"/>
        <item m="1" x="961"/>
        <item m="1" x="962"/>
        <item m="1" x="963"/>
        <item m="1" x="964"/>
        <item m="1" x="967"/>
        <item m="1" x="968"/>
        <item m="1" x="965"/>
        <item m="1" x="957"/>
        <item m="1" x="966"/>
        <item m="1" x="973"/>
        <item m="1" x="976"/>
        <item m="1" x="974"/>
        <item m="1" x="980"/>
        <item m="1" x="975"/>
        <item m="1" x="977"/>
        <item m="1" x="978"/>
        <item m="1" x="979"/>
        <item m="1" x="969"/>
        <item m="1" x="970"/>
        <item m="1" x="971"/>
        <item m="1" x="972"/>
        <item m="1" x="981"/>
        <item m="1" x="990"/>
        <item m="1" x="986"/>
        <item m="1" x="987"/>
        <item m="1" x="988"/>
        <item m="1" x="989"/>
        <item m="1" x="982"/>
        <item m="1" x="983"/>
        <item m="1" x="984"/>
        <item m="1" x="985"/>
        <item m="1" x="991"/>
        <item m="1" x="994"/>
        <item m="1" x="1001"/>
        <item m="1" x="999"/>
        <item m="1" x="998"/>
        <item m="1" x="992"/>
        <item m="1" x="995"/>
        <item m="1" x="996"/>
        <item m="1" x="1000"/>
        <item m="1" x="993"/>
        <item m="1" x="1006"/>
        <item m="1" x="1004"/>
        <item m="1" x="1005"/>
        <item m="1" x="1007"/>
        <item m="1" x="1002"/>
        <item m="1" x="1003"/>
        <item m="1" x="1042"/>
        <item m="1" x="1041"/>
        <item m="1" x="1040"/>
        <item m="1" x="1039"/>
        <item m="1" x="1038"/>
        <item m="1" x="1037"/>
        <item m="1" x="1086"/>
        <item m="1" x="1036"/>
        <item m="1" x="1043"/>
        <item m="1" x="1035"/>
        <item m="1" x="1034"/>
        <item m="1" x="1116"/>
        <item m="1" x="1033"/>
        <item m="1" x="1032"/>
        <item m="1" x="1031"/>
        <item m="1" x="1030"/>
        <item m="1" x="1029"/>
        <item m="1" x="1028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52"/>
        <item m="1" x="1019"/>
        <item m="1" x="1020"/>
        <item m="1" x="1027"/>
        <item m="1" x="1026"/>
        <item m="1" x="1050"/>
        <item m="1" x="1025"/>
        <item m="1" x="1024"/>
        <item m="1" x="1023"/>
        <item m="1" x="1022"/>
        <item m="1" x="1021"/>
        <item m="1" x="1087"/>
        <item m="1" x="1049"/>
        <item m="1" x="1085"/>
        <item m="1" x="1084"/>
        <item m="1" x="1083"/>
        <item m="1" x="1082"/>
        <item m="1" x="1081"/>
        <item m="1" x="1080"/>
        <item m="1" x="1079"/>
        <item m="1" x="1078"/>
        <item m="1" x="1077"/>
        <item m="1" x="1053"/>
        <item m="1" x="1076"/>
        <item m="1" x="1054"/>
        <item m="1" x="1075"/>
        <item m="1" x="1074"/>
        <item m="1" x="1073"/>
        <item m="1" x="1072"/>
        <item m="1" x="1071"/>
        <item m="1" x="1070"/>
        <item m="1" x="1069"/>
        <item m="1" x="1068"/>
        <item m="1" x="1067"/>
        <item m="1" x="1066"/>
        <item m="1" x="1065"/>
        <item m="1" x="1064"/>
        <item m="1" x="1063"/>
        <item m="1" x="1062"/>
        <item m="1" x="1061"/>
        <item m="1" x="1060"/>
        <item m="1" x="1059"/>
        <item m="1" x="1051"/>
        <item m="1" x="1058"/>
        <item m="1" x="1057"/>
        <item m="1" x="1056"/>
        <item m="1" x="1055"/>
        <item m="1" x="1048"/>
        <item m="1" x="1047"/>
        <item m="1" x="1046"/>
        <item m="1" x="1045"/>
        <item m="1" x="1044"/>
        <item m="1" x="1097"/>
        <item m="1" x="1096"/>
        <item m="1" x="1095"/>
        <item m="1" x="1115"/>
        <item m="1" x="1094"/>
        <item m="1" x="1093"/>
        <item m="1" x="1117"/>
        <item m="1" x="1092"/>
        <item m="1" x="1091"/>
        <item m="1" x="1090"/>
        <item m="1" x="1089"/>
        <item m="1" x="1088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03"/>
        <item m="1" x="1098"/>
        <item m="1" x="1102"/>
        <item m="1" x="1101"/>
        <item m="1" x="1100"/>
        <item m="1" x="1099"/>
        <item m="1" x="1119"/>
        <item m="1" x="1118"/>
        <item m="1" x="1125"/>
        <item m="1" x="1124"/>
        <item m="1" x="1123"/>
        <item m="1" x="1122"/>
        <item m="1" x="1121"/>
        <item m="1" x="1120"/>
        <item m="1" x="1135"/>
        <item m="1" x="1134"/>
        <item m="1" x="1128"/>
        <item m="1" x="1137"/>
        <item m="1" x="1127"/>
        <item m="1" x="1136"/>
        <item m="1" x="1126"/>
        <item m="1" x="1133"/>
        <item m="1" x="1132"/>
        <item m="1" x="1131"/>
        <item m="1" x="1158"/>
        <item m="1" x="1130"/>
        <item m="1" x="1138"/>
        <item m="1" x="1129"/>
        <item m="1" x="1157"/>
        <item m="1" x="1186"/>
        <item m="1" x="1156"/>
        <item m="1" x="1155"/>
        <item m="1" x="1154"/>
        <item m="1" x="1153"/>
        <item m="1" x="1139"/>
        <item m="1" x="1140"/>
        <item m="1" x="1141"/>
        <item m="1" x="119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67"/>
        <item m="1" x="1185"/>
        <item m="1" x="1184"/>
        <item m="1" x="1183"/>
        <item m="1" x="1182"/>
        <item m="1" x="1181"/>
        <item m="1" x="1180"/>
        <item m="1" x="1179"/>
        <item m="1" x="1178"/>
        <item m="1" x="1177"/>
        <item m="1" x="1176"/>
        <item m="1" x="1175"/>
        <item m="1" x="1174"/>
        <item m="1" x="1173"/>
        <item m="1" x="1172"/>
        <item m="1" x="1171"/>
        <item m="1" x="1170"/>
        <item m="1" x="1169"/>
        <item m="1" x="1168"/>
        <item m="1" x="1166"/>
        <item m="1" x="1165"/>
        <item m="1" x="1164"/>
        <item m="1" x="1163"/>
        <item m="1" x="1162"/>
        <item m="1" x="1161"/>
        <item m="1" x="1160"/>
        <item m="1" x="1190"/>
        <item m="1" x="1189"/>
        <item m="1" x="1159"/>
        <item m="1" x="1188"/>
        <item m="1" x="1187"/>
        <item m="1" x="1193"/>
        <item m="1" x="1192"/>
        <item m="1" x="1203"/>
        <item m="1" x="1202"/>
        <item m="1" x="1201"/>
        <item m="1" x="1206"/>
        <item m="1" x="1204"/>
        <item m="1" x="1200"/>
        <item m="1" x="1199"/>
        <item m="1" x="1198"/>
        <item m="1" x="1197"/>
        <item m="1" x="1196"/>
        <item m="1" x="668"/>
        <item m="1" x="1205"/>
        <item m="1" x="1212"/>
        <item m="1" x="1213"/>
        <item m="1" x="1214"/>
        <item m="1" x="1215"/>
        <item m="1" x="1216"/>
        <item m="1" x="1217"/>
        <item m="1" x="1195"/>
        <item m="1" x="1218"/>
        <item m="1" x="1219"/>
        <item m="1" x="1220"/>
        <item m="1" x="1207"/>
        <item m="1" x="1221"/>
        <item m="1" x="1211"/>
        <item m="1" x="1208"/>
        <item m="1" x="1210"/>
        <item m="1" x="1209"/>
        <item m="1" x="1233"/>
        <item m="1" x="1225"/>
        <item m="1" x="1226"/>
        <item m="1" x="1227"/>
        <item m="1" x="1232"/>
        <item m="1" x="1228"/>
        <item m="1" x="1229"/>
        <item m="1" x="1230"/>
        <item m="1" x="1231"/>
        <item m="1" x="1224"/>
        <item m="1" x="1222"/>
        <item m="1" x="1223"/>
        <item m="1" x="427"/>
        <item m="1" x="429"/>
        <item m="1" x="428"/>
        <item m="1" x="431"/>
        <item m="1" x="443"/>
        <item m="1" x="432"/>
        <item m="1" x="430"/>
        <item m="1" x="470"/>
        <item m="1" x="471"/>
        <item m="1" x="442"/>
        <item m="1" x="472"/>
        <item m="1" x="441"/>
        <item m="1" x="473"/>
        <item m="1" x="466"/>
        <item m="1" x="456"/>
        <item m="1" x="461"/>
        <item m="1" x="455"/>
        <item m="1" x="457"/>
        <item m="1" x="440"/>
        <item m="1" x="439"/>
        <item m="1" x="460"/>
        <item m="1" x="438"/>
        <item m="1" x="437"/>
        <item m="1" x="436"/>
        <item m="1" x="435"/>
        <item m="1" x="434"/>
        <item m="1" x="459"/>
        <item m="1" x="433"/>
        <item m="1" x="465"/>
        <item m="1" x="464"/>
        <item m="1" x="458"/>
        <item m="1" x="463"/>
        <item m="1" x="462"/>
        <item m="1" x="446"/>
        <item m="1" x="447"/>
        <item m="1" x="448"/>
        <item m="1" x="449"/>
        <item m="1" x="450"/>
        <item m="1" x="451"/>
        <item m="1" x="452"/>
        <item m="1" x="468"/>
        <item m="1" x="469"/>
        <item m="1" x="467"/>
        <item m="1" x="474"/>
        <item m="1" x="477"/>
        <item m="1" x="478"/>
        <item m="1" x="479"/>
        <item m="1" x="453"/>
        <item m="1" x="454"/>
        <item m="1" x="487"/>
        <item m="1" x="445"/>
        <item m="1" x="444"/>
        <item m="1" x="494"/>
        <item m="1" x="492"/>
        <item m="1" x="482"/>
        <item m="1" x="488"/>
        <item m="1" x="489"/>
        <item m="1" x="493"/>
        <item m="1" x="495"/>
        <item m="1" x="481"/>
        <item m="1" x="490"/>
        <item m="1" x="480"/>
        <item m="1" x="497"/>
        <item m="1" x="491"/>
        <item m="1" x="476"/>
        <item m="1" x="496"/>
        <item m="1" x="475"/>
        <item m="1" x="486"/>
        <item m="1" x="485"/>
        <item m="1" x="484"/>
        <item m="1" x="483"/>
        <item m="1" x="498"/>
        <item m="1" x="525"/>
        <item m="1" x="524"/>
        <item m="1" x="504"/>
        <item m="1" x="529"/>
        <item m="1" x="523"/>
        <item m="1" x="503"/>
        <item m="1" x="533"/>
        <item m="1" x="522"/>
        <item m="1" x="535"/>
        <item m="1" x="521"/>
        <item m="1" x="550"/>
        <item m="1" x="520"/>
        <item m="1" x="519"/>
        <item m="1" x="546"/>
        <item m="1" x="518"/>
        <item m="1" x="517"/>
        <item m="1" x="545"/>
        <item m="1" x="539"/>
        <item m="1" x="502"/>
        <item m="1" x="542"/>
        <item m="1" x="516"/>
        <item m="1" x="515"/>
        <item m="1" x="501"/>
        <item m="1" x="514"/>
        <item m="1" x="500"/>
        <item m="1" x="532"/>
        <item m="1" x="513"/>
        <item m="1" x="512"/>
        <item m="1" x="544"/>
        <item m="1" x="541"/>
        <item m="1" x="561"/>
        <item m="1" x="547"/>
        <item m="1" x="511"/>
        <item m="1" x="510"/>
        <item m="1" x="534"/>
        <item m="1" x="567"/>
        <item m="1" x="509"/>
        <item m="1" x="530"/>
        <item m="1" x="508"/>
        <item m="1" x="538"/>
        <item m="1" x="549"/>
        <item m="1" x="531"/>
        <item m="1" x="548"/>
        <item m="1" x="580"/>
        <item m="1" x="540"/>
        <item m="1" x="560"/>
        <item m="1" x="528"/>
        <item m="1" x="507"/>
        <item m="1" x="527"/>
        <item m="1" x="559"/>
        <item m="1" x="581"/>
        <item m="1" x="506"/>
        <item m="1" x="558"/>
        <item m="1" x="557"/>
        <item m="1" x="556"/>
        <item m="1" x="555"/>
        <item m="1" x="554"/>
        <item m="1" x="526"/>
        <item m="1" x="553"/>
        <item m="1" x="552"/>
        <item m="1" x="505"/>
        <item m="1" x="543"/>
        <item m="1" x="570"/>
        <item m="1" x="551"/>
        <item m="1" x="571"/>
        <item m="1" x="572"/>
        <item m="1" x="573"/>
        <item m="1" x="574"/>
        <item m="1" x="579"/>
        <item m="1" x="578"/>
        <item m="1" x="577"/>
        <item m="1" x="568"/>
        <item m="1" x="566"/>
        <item m="1" x="569"/>
        <item m="1" x="575"/>
        <item m="1" x="576"/>
        <item m="1" x="562"/>
        <item m="1" x="563"/>
        <item m="1" x="564"/>
        <item m="1" x="565"/>
        <item m="1" x="595"/>
        <item m="1" x="590"/>
        <item m="1" x="588"/>
        <item m="1" x="594"/>
        <item m="1" x="591"/>
        <item m="1" x="589"/>
        <item m="1" x="593"/>
        <item m="1" x="620"/>
        <item m="1" x="632"/>
        <item m="1" x="592"/>
        <item m="1" x="582"/>
        <item m="1" x="644"/>
        <item m="1" x="583"/>
        <item m="1" x="617"/>
        <item m="1" x="584"/>
        <item m="1" x="585"/>
        <item m="1" x="643"/>
        <item m="1" x="642"/>
        <item m="1" x="586"/>
        <item m="1" x="610"/>
        <item m="1" x="641"/>
        <item m="1" x="596"/>
        <item m="1" x="640"/>
        <item m="1" x="646"/>
        <item m="1" x="597"/>
        <item m="1" x="630"/>
        <item m="1" x="598"/>
        <item m="1" x="639"/>
        <item m="1" x="599"/>
        <item m="1" x="626"/>
        <item m="1" x="600"/>
        <item m="1" x="625"/>
        <item m="1" x="638"/>
        <item m="1" x="601"/>
        <item m="1" x="637"/>
        <item m="1" x="629"/>
        <item m="1" x="636"/>
        <item m="1" x="602"/>
        <item m="1" x="624"/>
        <item m="1" x="603"/>
        <item m="1" x="628"/>
        <item m="1" x="649"/>
        <item m="1" x="623"/>
        <item m="1" x="635"/>
        <item m="1" x="627"/>
        <item m="1" x="621"/>
        <item m="1" x="622"/>
        <item m="1" x="648"/>
        <item m="1" x="647"/>
        <item m="1" x="604"/>
        <item m="1" x="605"/>
        <item m="1" x="634"/>
        <item m="1" x="606"/>
        <item m="1" x="607"/>
        <item m="1" x="616"/>
        <item m="1" x="615"/>
        <item m="1" x="633"/>
        <item m="1" x="631"/>
        <item m="1" x="614"/>
        <item m="1" x="613"/>
        <item m="1" x="612"/>
        <item m="1" x="611"/>
        <item m="1" x="608"/>
        <item m="1" x="619"/>
        <item m="1" x="609"/>
        <item m="1" x="618"/>
        <item m="1" x="645"/>
        <item m="1" x="663"/>
        <item m="1" x="656"/>
        <item m="1" x="661"/>
        <item m="1" x="657"/>
        <item m="1" x="662"/>
        <item m="1" x="658"/>
        <item m="1" x="659"/>
        <item m="1" x="660"/>
        <item m="1" x="650"/>
        <item m="1" x="651"/>
        <item m="1" x="652"/>
        <item m="1" x="653"/>
        <item m="1" x="654"/>
        <item m="1" x="655"/>
        <item m="1" x="667"/>
        <item m="1" x="672"/>
        <item m="1" x="671"/>
        <item m="1" x="670"/>
        <item m="1" x="669"/>
        <item m="1" x="665"/>
        <item m="1" x="666"/>
        <item m="1" x="677"/>
        <item m="1" x="681"/>
        <item m="1" x="674"/>
        <item m="1" x="680"/>
        <item m="1" x="676"/>
        <item m="1" x="673"/>
        <item m="1" x="675"/>
        <item m="1" x="679"/>
        <item m="1" x="682"/>
        <item m="1" x="683"/>
        <item m="1" x="678"/>
        <item m="1" x="699"/>
        <item m="1" x="700"/>
        <item m="1" x="698"/>
        <item m="1" x="687"/>
        <item m="1" x="688"/>
        <item m="1" x="689"/>
        <item m="1" x="690"/>
        <item m="1" x="691"/>
        <item x="70"/>
        <item m="1" x="692"/>
        <item m="1" x="693"/>
        <item m="1" x="694"/>
        <item m="1" x="695"/>
        <item m="1" x="696"/>
        <item m="1" x="685"/>
        <item m="1" x="684"/>
        <item m="1" x="701"/>
        <item m="1" x="697"/>
        <item m="1" x="702"/>
        <item m="1" x="703"/>
        <item m="1" x="704"/>
        <item m="1" x="750"/>
        <item m="1" x="751"/>
        <item m="1" x="777"/>
        <item m="1" x="745"/>
        <item m="1" x="731"/>
        <item m="1" x="793"/>
        <item m="1" x="759"/>
        <item m="1" x="778"/>
        <item m="1" x="760"/>
        <item m="1" x="752"/>
        <item m="1" x="753"/>
        <item m="1" x="779"/>
        <item m="1" x="746"/>
        <item m="1" x="795"/>
        <item m="1" x="796"/>
        <item m="1" x="797"/>
        <item m="1" x="705"/>
        <item m="1" x="706"/>
        <item m="1" x="707"/>
        <item m="1" x="708"/>
        <item m="1" x="709"/>
        <item m="1" x="730"/>
        <item m="1" x="740"/>
        <item m="1" x="710"/>
        <item m="1" x="711"/>
        <item m="1" x="712"/>
        <item m="1" x="713"/>
        <item m="1" x="741"/>
        <item m="1" x="742"/>
        <item m="1" x="729"/>
        <item m="1" x="714"/>
        <item m="1" x="715"/>
        <item m="1" x="743"/>
        <item m="1" x="716"/>
        <item m="1" x="736"/>
        <item m="1" x="717"/>
        <item m="1" x="718"/>
        <item m="1" x="780"/>
        <item m="1" x="781"/>
        <item m="1" x="719"/>
        <item m="1" x="737"/>
        <item m="1" x="720"/>
        <item m="1" x="782"/>
        <item m="1" x="721"/>
        <item m="1" x="783"/>
        <item m="1" x="722"/>
        <item m="1" x="723"/>
        <item m="1" x="747"/>
        <item m="1" x="724"/>
        <item m="1" x="725"/>
        <item m="1" x="784"/>
        <item m="1" x="754"/>
        <item m="1" x="755"/>
        <item m="1" x="785"/>
        <item m="1" x="726"/>
        <item m="1" x="786"/>
        <item m="1" x="727"/>
        <item m="1" x="748"/>
        <item m="1" x="787"/>
        <item m="1" x="788"/>
        <item m="1" x="789"/>
        <item m="1" x="728"/>
        <item m="1" x="772"/>
        <item m="1" x="773"/>
        <item m="1" x="749"/>
        <item m="1" x="770"/>
        <item m="1" x="769"/>
        <item m="1" x="790"/>
        <item m="1" x="768"/>
        <item m="1" x="761"/>
        <item m="1" x="774"/>
        <item m="1" x="756"/>
        <item m="1" x="775"/>
        <item m="1" x="762"/>
        <item m="1" x="763"/>
        <item m="1" x="738"/>
        <item m="1" x="757"/>
        <item m="1" x="776"/>
        <item m="1" x="758"/>
        <item m="1" x="794"/>
        <item m="1" x="767"/>
        <item m="1" x="791"/>
        <item m="1" x="771"/>
        <item m="1" x="764"/>
        <item m="1" x="766"/>
        <item m="1" x="765"/>
        <item m="1" x="744"/>
        <item m="1" x="739"/>
        <item m="1" x="792"/>
        <item m="1" x="735"/>
        <item m="1" x="734"/>
        <item m="1" x="733"/>
        <item m="1" x="732"/>
        <item m="1" x="809"/>
        <item m="1" x="807"/>
        <item m="1" x="815"/>
        <item m="1" x="806"/>
        <item m="1" x="816"/>
        <item m="1" x="805"/>
        <item m="1" x="811"/>
        <item m="1" x="810"/>
        <item m="1" x="808"/>
        <item m="1" x="817"/>
        <item m="1" x="818"/>
        <item m="1" x="819"/>
        <item m="1" x="820"/>
        <item m="1" x="821"/>
        <item m="1" x="804"/>
        <item m="1" x="803"/>
        <item m="1" x="802"/>
        <item m="1" x="801"/>
        <item m="1" x="800"/>
        <item m="1" x="799"/>
        <item m="1" x="798"/>
        <item m="1" x="812"/>
        <item m="1" x="813"/>
        <item m="1" x="814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51"/>
        <item m="1" x="853"/>
        <item m="1" x="849"/>
        <item m="1" x="850"/>
        <item m="1" x="848"/>
        <item m="1" x="852"/>
        <item m="1" x="840"/>
        <item m="1" x="841"/>
        <item m="1" x="842"/>
        <item m="1" x="843"/>
        <item m="1" x="844"/>
        <item m="1" x="845"/>
        <item m="1" x="846"/>
        <item m="1" x="847"/>
        <item x="3"/>
        <item x="5"/>
        <item x="7"/>
        <item x="6"/>
        <item x="1"/>
        <item x="8"/>
        <item x="0"/>
        <item x="4"/>
        <item x="2"/>
        <item x="16"/>
        <item x="24"/>
        <item x="15"/>
        <item x="25"/>
        <item x="26"/>
        <item x="27"/>
        <item x="28"/>
        <item x="18"/>
        <item x="29"/>
        <item x="30"/>
        <item x="21"/>
        <item x="31"/>
        <item x="32"/>
        <item x="23"/>
        <item x="33"/>
        <item x="20"/>
        <item x="19"/>
        <item x="34"/>
        <item x="22"/>
        <item x="35"/>
        <item x="17"/>
        <item x="36"/>
        <item x="57"/>
        <item x="58"/>
        <item x="59"/>
        <item x="60"/>
        <item x="61"/>
        <item x="62"/>
        <item x="63"/>
        <item x="64"/>
        <item x="65"/>
        <item x="69"/>
        <item x="68"/>
        <item x="75"/>
        <item x="76"/>
        <item x="71"/>
        <item x="77"/>
        <item x="91"/>
        <item x="90"/>
        <item x="87"/>
        <item x="88"/>
        <item x="86"/>
        <item x="85"/>
        <item x="89"/>
        <item x="93"/>
        <item x="98"/>
        <item x="99"/>
        <item x="96"/>
        <item x="97"/>
        <item x="120"/>
        <item x="118"/>
        <item x="117"/>
        <item x="119"/>
        <item x="126"/>
        <item x="137"/>
        <item x="136"/>
        <item x="135"/>
        <item x="134"/>
        <item x="133"/>
        <item x="145"/>
        <item x="161"/>
        <item x="162"/>
        <item x="182"/>
        <item x="181"/>
        <item x="180"/>
        <item x="188"/>
        <item x="207"/>
        <item x="208"/>
        <item x="44"/>
        <item x="45"/>
        <item x="46"/>
        <item x="13"/>
        <item x="14"/>
        <item x="66"/>
        <item x="67"/>
        <item x="56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06"/>
        <item x="205"/>
        <item x="204"/>
        <item x="203"/>
        <item x="202"/>
        <item x="201"/>
        <item x="200"/>
        <item x="199"/>
        <item x="198"/>
        <item x="197"/>
        <item x="194"/>
        <item x="193"/>
        <item x="192"/>
        <item x="229"/>
        <item x="228"/>
        <item x="227"/>
        <item x="265"/>
        <item x="264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95"/>
        <item x="320"/>
        <item x="312"/>
        <item x="319"/>
        <item x="318"/>
        <item x="317"/>
        <item x="311"/>
        <item x="301"/>
        <item x="305"/>
        <item x="316"/>
        <item x="309"/>
        <item x="304"/>
        <item x="303"/>
        <item x="300"/>
        <item x="310"/>
        <item x="315"/>
        <item x="294"/>
        <item x="293"/>
        <item x="299"/>
        <item x="292"/>
        <item x="298"/>
        <item x="314"/>
        <item x="297"/>
        <item x="313"/>
        <item x="291"/>
        <item x="308"/>
        <item x="307"/>
        <item x="290"/>
        <item x="306"/>
        <item x="296"/>
        <item x="302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42"/>
        <item x="343"/>
        <item x="344"/>
        <item x="345"/>
        <item x="346"/>
        <item x="347"/>
        <item x="348"/>
        <item x="341"/>
        <item x="349"/>
        <item x="350"/>
        <item x="358"/>
        <item x="359"/>
        <item x="360"/>
        <item x="361"/>
        <item x="362"/>
        <item x="363"/>
        <item x="380"/>
        <item x="379"/>
        <item x="378"/>
        <item x="377"/>
        <item x="385"/>
        <item x="376"/>
        <item x="375"/>
        <item x="397"/>
        <item x="412"/>
        <item x="396"/>
        <item x="374"/>
        <item x="384"/>
        <item x="395"/>
        <item x="373"/>
        <item x="372"/>
        <item x="371"/>
        <item x="411"/>
        <item x="383"/>
        <item x="370"/>
        <item x="394"/>
        <item x="386"/>
        <item x="393"/>
        <item x="392"/>
        <item x="382"/>
        <item x="369"/>
        <item x="399"/>
        <item x="424"/>
        <item x="391"/>
        <item x="390"/>
        <item x="389"/>
        <item x="388"/>
        <item x="423"/>
        <item x="422"/>
        <item x="421"/>
        <item x="420"/>
        <item x="419"/>
        <item x="418"/>
        <item x="417"/>
        <item x="416"/>
        <item x="415"/>
        <item x="410"/>
        <item x="387"/>
        <item x="414"/>
        <item x="409"/>
        <item x="405"/>
        <item x="408"/>
        <item x="407"/>
        <item x="413"/>
        <item x="404"/>
        <item x="406"/>
        <item x="401"/>
        <item x="402"/>
        <item x="400"/>
        <item x="403"/>
        <item x="398"/>
        <item x="92"/>
        <item x="115"/>
        <item x="116"/>
        <item x="143"/>
        <item x="144"/>
        <item x="153"/>
        <item x="178"/>
        <item x="177"/>
        <item x="179"/>
        <item x="189"/>
        <item x="239"/>
        <item x="289"/>
        <item x="365"/>
        <item x="364"/>
        <item x="381"/>
        <item m="1" x="7858"/>
        <item m="1" x="7859"/>
        <item m="1" x="6991"/>
        <item m="1" x="6112"/>
        <item m="1" x="4739"/>
        <item m="1" x="3570"/>
        <item m="1" x="3571"/>
        <item m="1" x="2408"/>
        <item m="1" x="1266"/>
        <item m="1" x="1413"/>
        <item m="1" x="1797"/>
        <item m="1" x="903"/>
        <item m="1" x="902"/>
        <item m="1" x="922"/>
        <item m="1" x="997"/>
        <item m="1" x="499"/>
        <item m="1" x="537"/>
        <item m="1" x="536"/>
        <item m="1" x="587"/>
        <item m="1" x="664"/>
        <item m="1" x="686"/>
        <item x="132"/>
        <item x="196"/>
        <item x="4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7"/>
  </rowFields>
  <rowItems count="427">
    <i>
      <x v="6859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7523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97"/>
    </i>
    <i>
      <x v="7998"/>
    </i>
    <i>
      <x v="7999"/>
    </i>
  </rowItems>
  <colFields count="1">
    <field x="0"/>
  </colFields>
  <colItems count="9">
    <i>
      <x/>
    </i>
    <i>
      <x v="2"/>
    </i>
    <i>
      <x v="3"/>
    </i>
    <i>
      <x v="4"/>
    </i>
    <i>
      <x v="5"/>
    </i>
    <i>
      <x v="7"/>
    </i>
    <i>
      <x v="10"/>
    </i>
    <i>
      <x v="12"/>
    </i>
    <i>
      <x v="13"/>
    </i>
  </colItems>
  <pageFields count="1">
    <pageField fld="14" hier="-1"/>
  </pageFields>
  <dataFields count="1">
    <dataField name="Somme de Total HT (hors gazole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E57AAB-A872-45DB-B970-61F88980CD9A}" name="Tableau croisé dynamique1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6" firstHeaderRow="1" firstDataRow="1" firstDataCol="1"/>
  <pivotFields count="5">
    <pivotField dataField="1" showAll="0"/>
    <pivotField showAll="0"/>
    <pivotField showAll="0"/>
    <pivotField showAll="0"/>
    <pivotField axis="axisRow" showAll="0" sortType="ascending">
      <items count="27">
        <item m="1" x="24"/>
        <item m="1" x="25"/>
        <item m="1" x="22"/>
        <item m="1" x="23"/>
        <item m="1" x="20"/>
        <item m="1" x="21"/>
        <item m="1" x="18"/>
        <item m="1" x="19"/>
        <item m="1" x="17"/>
        <item m="1" x="16"/>
        <item m="1" x="15"/>
        <item m="1" x="13"/>
        <item m="1" x="14"/>
        <item m="1" x="12"/>
        <item m="1" x="11"/>
        <item m="1" x="10"/>
        <item m="1" x="9"/>
        <item m="1" x="8"/>
        <item m="1" x="7"/>
        <item m="1" x="6"/>
        <item m="1" x="4"/>
        <item m="1" x="5"/>
        <item m="1" x="3"/>
        <item m="1" x="2"/>
        <item x="0"/>
        <item x="1"/>
        <item t="default"/>
      </items>
    </pivotField>
  </pivotFields>
  <rowFields count="1">
    <field x="4"/>
  </rowFields>
  <rowItems count="3">
    <i>
      <x v="24"/>
    </i>
    <i>
      <x v="25"/>
    </i>
    <i t="grand">
      <x/>
    </i>
  </rowItems>
  <colItems count="1">
    <i/>
  </colItems>
  <dataFields count="1">
    <dataField name="Somme de Total HT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42569-6A03-45EA-9A27-DCCAD3F02DB4}" name="Tableau croisé dynamique3" cacheId="1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>
  <location ref="A1:B19" firstHeaderRow="1" firstDataRow="1" firstDataCol="1"/>
  <pivotFields count="3">
    <pivotField dataField="1" subtotalTop="0" showAll="0" defaultSubtotal="0"/>
    <pivotField showAll="0" defaultSubtotal="0"/>
    <pivotField axis="axisRow" showAll="0" sortType="ascending" defaultSubtotal="0">
      <items count="64">
        <item m="1" x="18"/>
        <item x="1"/>
        <item m="1" x="49"/>
        <item m="1" x="26"/>
        <item m="1" x="34"/>
        <item m="1" x="43"/>
        <item x="8"/>
        <item m="1" x="48"/>
        <item m="1" x="53"/>
        <item x="10"/>
        <item m="1" x="58"/>
        <item x="6"/>
        <item m="1" x="22"/>
        <item m="1" x="55"/>
        <item m="1" x="56"/>
        <item m="1" x="29"/>
        <item m="1" x="54"/>
        <item x="13"/>
        <item m="1" x="30"/>
        <item m="1" x="38"/>
        <item m="1" x="31"/>
        <item m="1" x="35"/>
        <item m="1" x="62"/>
        <item m="1" x="52"/>
        <item m="1" x="57"/>
        <item m="1" x="46"/>
        <item m="1" x="59"/>
        <item m="1" x="28"/>
        <item m="1" x="60"/>
        <item m="1" x="32"/>
        <item x="12"/>
        <item m="1" x="63"/>
        <item m="1" x="47"/>
        <item x="7"/>
        <item m="1" x="41"/>
        <item m="1" x="61"/>
        <item x="14"/>
        <item m="1" x="20"/>
        <item m="1" x="44"/>
        <item m="1" x="37"/>
        <item x="9"/>
        <item m="1" x="19"/>
        <item m="1" x="36"/>
        <item m="1" x="50"/>
        <item x="2"/>
        <item x="11"/>
        <item m="1" x="51"/>
        <item x="5"/>
        <item m="1" x="39"/>
        <item m="1" x="25"/>
        <item m="1" x="40"/>
        <item m="1" x="45"/>
        <item m="1" x="42"/>
        <item x="4"/>
        <item x="3"/>
        <item m="1" x="33"/>
        <item m="1" x="23"/>
        <item x="16"/>
        <item m="1" x="27"/>
        <item m="1" x="21"/>
        <item m="1" x="24"/>
        <item x="17"/>
        <item x="15"/>
        <item x="0"/>
      </items>
    </pivotField>
  </pivotFields>
  <rowFields count="1">
    <field x="2"/>
  </rowFields>
  <rowItems count="18">
    <i>
      <x v="1"/>
    </i>
    <i>
      <x v="6"/>
    </i>
    <i>
      <x v="9"/>
    </i>
    <i>
      <x v="11"/>
    </i>
    <i>
      <x v="17"/>
    </i>
    <i>
      <x v="30"/>
    </i>
    <i>
      <x v="33"/>
    </i>
    <i>
      <x v="36"/>
    </i>
    <i>
      <x v="40"/>
    </i>
    <i>
      <x v="44"/>
    </i>
    <i>
      <x v="45"/>
    </i>
    <i>
      <x v="47"/>
    </i>
    <i>
      <x v="53"/>
    </i>
    <i>
      <x v="54"/>
    </i>
    <i>
      <x v="57"/>
    </i>
    <i>
      <x v="61"/>
    </i>
    <i>
      <x v="62"/>
    </i>
    <i>
      <x v="63"/>
    </i>
  </rowItems>
  <colItems count="1">
    <i/>
  </colItems>
  <dataFields count="1">
    <dataField name="Somme de Total GO" fld="0" baseField="2" baseItem="6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EF25-382B-44A0-BFC4-FC15ED775945}">
  <sheetPr codeName="Feuil1"/>
  <dimension ref="A1:D31"/>
  <sheetViews>
    <sheetView workbookViewId="0">
      <selection activeCell="B5" sqref="B5"/>
    </sheetView>
  </sheetViews>
  <sheetFormatPr baseColWidth="10" defaultRowHeight="15" x14ac:dyDescent="0.25"/>
  <sheetData>
    <row r="1" spans="1:4" x14ac:dyDescent="0.25">
      <c r="A1" s="13">
        <v>0.5</v>
      </c>
      <c r="B1" s="14">
        <v>3.77</v>
      </c>
      <c r="D1" s="21"/>
    </row>
    <row r="2" spans="1:4" x14ac:dyDescent="0.25">
      <c r="A2" s="15">
        <v>1</v>
      </c>
      <c r="B2" s="16">
        <v>4.0999999999999996</v>
      </c>
    </row>
    <row r="3" spans="1:4" x14ac:dyDescent="0.25">
      <c r="A3" s="17">
        <v>2</v>
      </c>
      <c r="B3" s="18">
        <v>4.42</v>
      </c>
    </row>
    <row r="4" spans="1:4" x14ac:dyDescent="0.25">
      <c r="A4" s="15">
        <v>3</v>
      </c>
      <c r="B4" s="16">
        <v>4.74</v>
      </c>
    </row>
    <row r="5" spans="1:4" x14ac:dyDescent="0.25">
      <c r="A5" s="17">
        <v>4</v>
      </c>
      <c r="B5" s="18">
        <v>5.3</v>
      </c>
    </row>
    <row r="6" spans="1:4" x14ac:dyDescent="0.25">
      <c r="A6" s="15">
        <v>5</v>
      </c>
      <c r="B6" s="16">
        <v>5.86</v>
      </c>
    </row>
    <row r="7" spans="1:4" x14ac:dyDescent="0.25">
      <c r="A7" s="17">
        <v>6</v>
      </c>
      <c r="B7" s="18">
        <v>6.42</v>
      </c>
    </row>
    <row r="8" spans="1:4" x14ac:dyDescent="0.25">
      <c r="A8" s="15">
        <v>7</v>
      </c>
      <c r="B8" s="16">
        <v>6.98</v>
      </c>
    </row>
    <row r="9" spans="1:4" x14ac:dyDescent="0.25">
      <c r="A9" s="17">
        <v>8</v>
      </c>
      <c r="B9" s="18">
        <v>7.61</v>
      </c>
    </row>
    <row r="10" spans="1:4" x14ac:dyDescent="0.25">
      <c r="A10" s="15">
        <v>9</v>
      </c>
      <c r="B10" s="16">
        <v>8.26</v>
      </c>
    </row>
    <row r="11" spans="1:4" x14ac:dyDescent="0.25">
      <c r="A11" s="17">
        <v>10</v>
      </c>
      <c r="B11" s="18">
        <v>8.89</v>
      </c>
    </row>
    <row r="12" spans="1:4" x14ac:dyDescent="0.25">
      <c r="A12" s="15">
        <v>11</v>
      </c>
      <c r="B12" s="16">
        <v>9.5299999999999994</v>
      </c>
    </row>
    <row r="13" spans="1:4" x14ac:dyDescent="0.25">
      <c r="A13" s="17">
        <v>12</v>
      </c>
      <c r="B13" s="18">
        <v>10.16</v>
      </c>
    </row>
    <row r="14" spans="1:4" x14ac:dyDescent="0.25">
      <c r="A14" s="15">
        <v>13</v>
      </c>
      <c r="B14" s="16">
        <v>10.78</v>
      </c>
    </row>
    <row r="15" spans="1:4" x14ac:dyDescent="0.25">
      <c r="A15" s="17">
        <v>14</v>
      </c>
      <c r="B15" s="18">
        <v>11.44</v>
      </c>
    </row>
    <row r="16" spans="1:4" x14ac:dyDescent="0.25">
      <c r="A16" s="15">
        <v>15</v>
      </c>
      <c r="B16" s="16">
        <v>12.15</v>
      </c>
    </row>
    <row r="17" spans="1:2" x14ac:dyDescent="0.25">
      <c r="A17" s="17">
        <v>16</v>
      </c>
      <c r="B17" s="18">
        <v>12.87</v>
      </c>
    </row>
    <row r="18" spans="1:2" x14ac:dyDescent="0.25">
      <c r="A18" s="15">
        <v>17</v>
      </c>
      <c r="B18" s="16">
        <v>13.66</v>
      </c>
    </row>
    <row r="19" spans="1:2" x14ac:dyDescent="0.25">
      <c r="A19" s="17">
        <v>18</v>
      </c>
      <c r="B19" s="18">
        <v>14.44</v>
      </c>
    </row>
    <row r="20" spans="1:2" x14ac:dyDescent="0.25">
      <c r="A20" s="15">
        <v>19</v>
      </c>
      <c r="B20" s="16">
        <v>15.25</v>
      </c>
    </row>
    <row r="21" spans="1:2" x14ac:dyDescent="0.25">
      <c r="A21" s="17">
        <v>20</v>
      </c>
      <c r="B21" s="18">
        <v>16.04</v>
      </c>
    </row>
    <row r="22" spans="1:2" x14ac:dyDescent="0.25">
      <c r="A22" s="15">
        <v>21</v>
      </c>
      <c r="B22" s="16">
        <v>17.55</v>
      </c>
    </row>
    <row r="23" spans="1:2" x14ac:dyDescent="0.25">
      <c r="A23" s="17">
        <v>22</v>
      </c>
      <c r="B23" s="18">
        <v>18.59</v>
      </c>
    </row>
    <row r="24" spans="1:2" x14ac:dyDescent="0.25">
      <c r="A24" s="15">
        <v>23</v>
      </c>
      <c r="B24" s="16">
        <v>19.61</v>
      </c>
    </row>
    <row r="25" spans="1:2" x14ac:dyDescent="0.25">
      <c r="A25" s="17">
        <v>24</v>
      </c>
      <c r="B25" s="18">
        <v>20.52</v>
      </c>
    </row>
    <row r="26" spans="1:2" x14ac:dyDescent="0.25">
      <c r="A26" s="15">
        <v>25</v>
      </c>
      <c r="B26" s="16">
        <v>21.74</v>
      </c>
    </row>
    <row r="27" spans="1:2" x14ac:dyDescent="0.25">
      <c r="A27" s="17">
        <v>26</v>
      </c>
      <c r="B27" s="18">
        <v>22.94</v>
      </c>
    </row>
    <row r="28" spans="1:2" x14ac:dyDescent="0.25">
      <c r="A28" s="15">
        <v>27</v>
      </c>
      <c r="B28" s="16">
        <v>24.34</v>
      </c>
    </row>
    <row r="29" spans="1:2" x14ac:dyDescent="0.25">
      <c r="A29" s="17">
        <v>28</v>
      </c>
      <c r="B29" s="18">
        <v>25.76</v>
      </c>
    </row>
    <row r="30" spans="1:2" x14ac:dyDescent="0.25">
      <c r="A30" s="15">
        <v>29</v>
      </c>
      <c r="B30" s="16">
        <v>27.02</v>
      </c>
    </row>
    <row r="31" spans="1:2" x14ac:dyDescent="0.25">
      <c r="A31" s="17">
        <v>30</v>
      </c>
      <c r="B31" s="18">
        <v>28.59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FD6B-37ED-44F7-9B94-ADA960FD761B}">
  <sheetPr codeName="Feuil2"/>
  <dimension ref="A1:C38"/>
  <sheetViews>
    <sheetView workbookViewId="0">
      <selection activeCell="C38" sqref="C38"/>
    </sheetView>
  </sheetViews>
  <sheetFormatPr baseColWidth="10" defaultRowHeight="15" x14ac:dyDescent="0.25"/>
  <cols>
    <col min="1" max="3" width="11.42578125" style="10"/>
    <col min="4" max="16384" width="11.42578125" style="11"/>
  </cols>
  <sheetData>
    <row r="1" spans="1:3" x14ac:dyDescent="0.25">
      <c r="A1" s="10" t="s">
        <v>48</v>
      </c>
      <c r="B1" s="10" t="s">
        <v>143</v>
      </c>
      <c r="C1" s="10" t="s">
        <v>144</v>
      </c>
    </row>
    <row r="2" spans="1:3" x14ac:dyDescent="0.25">
      <c r="A2" s="10" t="s">
        <v>244</v>
      </c>
      <c r="B2" s="10">
        <v>2</v>
      </c>
      <c r="C2" s="10">
        <v>0.2</v>
      </c>
    </row>
    <row r="3" spans="1:3" x14ac:dyDescent="0.25">
      <c r="A3" s="10" t="s">
        <v>128</v>
      </c>
      <c r="B3" s="10">
        <v>3</v>
      </c>
      <c r="C3" s="10">
        <v>0.2</v>
      </c>
    </row>
    <row r="4" spans="1:3" x14ac:dyDescent="0.25">
      <c r="A4" s="10" t="s">
        <v>130</v>
      </c>
      <c r="B4" s="10">
        <v>1</v>
      </c>
      <c r="C4" s="10">
        <v>0.2</v>
      </c>
    </row>
    <row r="5" spans="1:3" x14ac:dyDescent="0.25">
      <c r="A5" s="10" t="s">
        <v>137</v>
      </c>
      <c r="B5" s="10">
        <v>4</v>
      </c>
      <c r="C5" s="10">
        <v>0.2</v>
      </c>
    </row>
    <row r="6" spans="1:3" x14ac:dyDescent="0.25">
      <c r="A6" s="10" t="s">
        <v>142</v>
      </c>
      <c r="B6" s="10">
        <v>3</v>
      </c>
      <c r="C6" s="10">
        <v>0</v>
      </c>
    </row>
    <row r="7" spans="1:3" x14ac:dyDescent="0.25">
      <c r="A7" s="10" t="s">
        <v>245</v>
      </c>
      <c r="B7" s="10">
        <v>5</v>
      </c>
      <c r="C7" s="10">
        <v>0.2</v>
      </c>
    </row>
    <row r="8" spans="1:3" x14ac:dyDescent="0.25">
      <c r="A8" s="10" t="s">
        <v>222</v>
      </c>
      <c r="B8" s="10">
        <v>2</v>
      </c>
      <c r="C8" s="10">
        <v>0.2</v>
      </c>
    </row>
    <row r="9" spans="1:3" x14ac:dyDescent="0.25">
      <c r="A9" s="10" t="s">
        <v>129</v>
      </c>
      <c r="B9" s="10">
        <v>1</v>
      </c>
      <c r="C9" s="10">
        <v>0.2</v>
      </c>
    </row>
    <row r="10" spans="1:3" x14ac:dyDescent="0.25">
      <c r="A10" s="10" t="s">
        <v>246</v>
      </c>
      <c r="B10" s="10">
        <v>2</v>
      </c>
      <c r="C10" s="10">
        <v>0.2</v>
      </c>
    </row>
    <row r="11" spans="1:3" x14ac:dyDescent="0.25">
      <c r="A11" s="10" t="s">
        <v>210</v>
      </c>
      <c r="B11" s="10">
        <v>4</v>
      </c>
      <c r="C11" s="10">
        <v>0.2</v>
      </c>
    </row>
    <row r="12" spans="1:3" x14ac:dyDescent="0.25">
      <c r="A12" s="10" t="s">
        <v>132</v>
      </c>
      <c r="B12" s="10">
        <v>2</v>
      </c>
      <c r="C12" s="10">
        <v>0.2</v>
      </c>
    </row>
    <row r="13" spans="1:3" x14ac:dyDescent="0.25">
      <c r="A13" s="10" t="s">
        <v>140</v>
      </c>
      <c r="B13" s="10">
        <v>4</v>
      </c>
      <c r="C13" s="10">
        <v>0.2</v>
      </c>
    </row>
    <row r="14" spans="1:3" x14ac:dyDescent="0.25">
      <c r="A14" s="10" t="s">
        <v>61</v>
      </c>
      <c r="B14" s="10" t="s">
        <v>62</v>
      </c>
      <c r="C14" s="10">
        <v>0.2</v>
      </c>
    </row>
    <row r="15" spans="1:3" x14ac:dyDescent="0.25">
      <c r="A15" s="10" t="s">
        <v>252</v>
      </c>
      <c r="B15" s="10">
        <v>3</v>
      </c>
      <c r="C15" s="10">
        <v>0.2</v>
      </c>
    </row>
    <row r="16" spans="1:3" x14ac:dyDescent="0.25">
      <c r="A16" s="10" t="s">
        <v>247</v>
      </c>
      <c r="B16" s="10">
        <v>2</v>
      </c>
      <c r="C16" s="10">
        <v>0.2</v>
      </c>
    </row>
    <row r="17" spans="1:3" x14ac:dyDescent="0.25">
      <c r="A17" s="10" t="s">
        <v>192</v>
      </c>
      <c r="B17" s="10">
        <v>5</v>
      </c>
      <c r="C17" s="10">
        <v>0.2</v>
      </c>
    </row>
    <row r="18" spans="1:3" x14ac:dyDescent="0.25">
      <c r="A18" s="10" t="s">
        <v>134</v>
      </c>
      <c r="B18" s="10">
        <v>4</v>
      </c>
      <c r="C18" s="10">
        <v>0.2</v>
      </c>
    </row>
    <row r="19" spans="1:3" x14ac:dyDescent="0.25">
      <c r="A19" s="10" t="s">
        <v>135</v>
      </c>
      <c r="B19" s="10">
        <v>2</v>
      </c>
      <c r="C19" s="10">
        <v>0.2</v>
      </c>
    </row>
    <row r="20" spans="1:3" x14ac:dyDescent="0.25">
      <c r="A20" s="10" t="s">
        <v>181</v>
      </c>
      <c r="B20" s="10">
        <v>4</v>
      </c>
      <c r="C20" s="10">
        <v>0.2</v>
      </c>
    </row>
    <row r="21" spans="1:3" x14ac:dyDescent="0.25">
      <c r="A21" s="10" t="s">
        <v>133</v>
      </c>
      <c r="B21" s="10">
        <v>2</v>
      </c>
      <c r="C21" s="10">
        <v>0.2</v>
      </c>
    </row>
    <row r="22" spans="1:3" x14ac:dyDescent="0.25">
      <c r="A22" s="10" t="s">
        <v>249</v>
      </c>
      <c r="B22" s="10">
        <v>3</v>
      </c>
      <c r="C22" s="10">
        <v>0.2</v>
      </c>
    </row>
    <row r="23" spans="1:3" x14ac:dyDescent="0.25">
      <c r="A23" s="10" t="s">
        <v>157</v>
      </c>
      <c r="B23" s="10">
        <v>1</v>
      </c>
      <c r="C23" s="10">
        <v>0.2</v>
      </c>
    </row>
    <row r="24" spans="1:3" x14ac:dyDescent="0.25">
      <c r="A24" s="10" t="s">
        <v>250</v>
      </c>
      <c r="B24" s="10">
        <v>4</v>
      </c>
      <c r="C24" s="10">
        <v>0.2</v>
      </c>
    </row>
    <row r="25" spans="1:3" x14ac:dyDescent="0.25">
      <c r="A25" s="10" t="s">
        <v>248</v>
      </c>
      <c r="B25" s="10">
        <v>4</v>
      </c>
      <c r="C25" s="10">
        <v>0.2</v>
      </c>
    </row>
    <row r="26" spans="1:3" x14ac:dyDescent="0.25">
      <c r="A26" s="10" t="s">
        <v>251</v>
      </c>
      <c r="B26" s="10">
        <v>5</v>
      </c>
      <c r="C26" s="10">
        <v>0.2</v>
      </c>
    </row>
    <row r="27" spans="1:3" x14ac:dyDescent="0.25">
      <c r="A27" s="10" t="s">
        <v>138</v>
      </c>
      <c r="B27" s="10">
        <v>1</v>
      </c>
      <c r="C27" s="10">
        <v>0.2</v>
      </c>
    </row>
    <row r="28" spans="1:3" x14ac:dyDescent="0.25">
      <c r="A28" s="10" t="s">
        <v>223</v>
      </c>
      <c r="B28" s="10">
        <v>4</v>
      </c>
      <c r="C28" s="10">
        <v>0.2</v>
      </c>
    </row>
    <row r="29" spans="1:3" x14ac:dyDescent="0.25">
      <c r="A29" s="10" t="s">
        <v>141</v>
      </c>
      <c r="B29" s="10">
        <v>2</v>
      </c>
      <c r="C29" s="10">
        <v>0.2</v>
      </c>
    </row>
    <row r="30" spans="1:3" x14ac:dyDescent="0.25">
      <c r="A30" s="10" t="s">
        <v>136</v>
      </c>
      <c r="B30" s="10">
        <v>2</v>
      </c>
      <c r="C30" s="10">
        <v>0.2</v>
      </c>
    </row>
    <row r="31" spans="1:3" x14ac:dyDescent="0.25">
      <c r="A31" s="10" t="s">
        <v>205</v>
      </c>
      <c r="B31" s="10">
        <v>4</v>
      </c>
      <c r="C31" s="10">
        <v>0</v>
      </c>
    </row>
    <row r="32" spans="1:3" x14ac:dyDescent="0.25">
      <c r="A32" s="10" t="s">
        <v>139</v>
      </c>
      <c r="B32" s="10">
        <v>4</v>
      </c>
      <c r="C32" s="10">
        <v>0.2</v>
      </c>
    </row>
    <row r="33" spans="1:3" x14ac:dyDescent="0.25">
      <c r="A33" s="10" t="s">
        <v>212</v>
      </c>
      <c r="B33" s="10">
        <v>4</v>
      </c>
      <c r="C33" s="10">
        <v>0.2</v>
      </c>
    </row>
    <row r="34" spans="1:3" x14ac:dyDescent="0.25">
      <c r="A34" s="10" t="s">
        <v>255</v>
      </c>
      <c r="B34" s="10">
        <v>4</v>
      </c>
      <c r="C34" s="10">
        <v>0.2</v>
      </c>
    </row>
    <row r="35" spans="1:3" x14ac:dyDescent="0.25">
      <c r="A35" s="10" t="s">
        <v>254</v>
      </c>
      <c r="B35" s="10">
        <v>2</v>
      </c>
      <c r="C35" s="10">
        <v>0.2</v>
      </c>
    </row>
    <row r="36" spans="1:3" x14ac:dyDescent="0.25">
      <c r="A36" s="10" t="s">
        <v>253</v>
      </c>
      <c r="B36" s="10">
        <v>2</v>
      </c>
      <c r="C36" s="10">
        <v>0.2</v>
      </c>
    </row>
    <row r="37" spans="1:3" x14ac:dyDescent="0.25">
      <c r="A37" s="10" t="s">
        <v>256</v>
      </c>
      <c r="B37" s="10">
        <v>5</v>
      </c>
      <c r="C37" s="10">
        <v>0.2</v>
      </c>
    </row>
    <row r="38" spans="1:3" x14ac:dyDescent="0.25">
      <c r="A38" s="10" t="s">
        <v>257</v>
      </c>
      <c r="B38" s="10">
        <v>2</v>
      </c>
      <c r="C38" s="10">
        <v>0.2</v>
      </c>
    </row>
  </sheetData>
  <sortState xmlns:xlrd2="http://schemas.microsoft.com/office/spreadsheetml/2017/richdata2" ref="A3:B31">
    <sortCondition ref="A3:A3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3"/>
  <dimension ref="A1:I1348"/>
  <sheetViews>
    <sheetView zoomScale="80" zoomScaleNormal="80" workbookViewId="0">
      <pane ySplit="1" topLeftCell="A398" activePane="bottomLeft" state="frozen"/>
      <selection pane="bottomLeft" activeCell="E431" sqref="E431"/>
    </sheetView>
  </sheetViews>
  <sheetFormatPr baseColWidth="10" defaultRowHeight="15" x14ac:dyDescent="0.25"/>
  <cols>
    <col min="1" max="1" width="21.5703125" bestFit="1" customWidth="1"/>
    <col min="2" max="2" width="47.140625" bestFit="1" customWidth="1"/>
    <col min="7" max="7" width="13.7109375" bestFit="1" customWidth="1"/>
  </cols>
  <sheetData>
    <row r="1" spans="1:9" x14ac:dyDescent="0.25">
      <c r="A1" s="3" t="s">
        <v>113</v>
      </c>
      <c r="B1" t="s">
        <v>114</v>
      </c>
      <c r="C1" t="s">
        <v>115</v>
      </c>
      <c r="D1" t="s">
        <v>202</v>
      </c>
      <c r="E1" t="s">
        <v>203</v>
      </c>
      <c r="G1" t="s">
        <v>202</v>
      </c>
      <c r="H1">
        <f>SUM(D:D)</f>
        <v>113</v>
      </c>
      <c r="I1" s="27">
        <f>H1/SUM(H1:H2)</f>
        <v>0.26650943396226418</v>
      </c>
    </row>
    <row r="2" spans="1:9" x14ac:dyDescent="0.25">
      <c r="A2" s="4" t="s">
        <v>361</v>
      </c>
      <c r="B2">
        <v>0</v>
      </c>
      <c r="C2">
        <f>ROUNDUP(B2,1)</f>
        <v>0</v>
      </c>
      <c r="D2">
        <f t="shared" ref="D2:D30" si="0">IF(C2=0,0,IF(C2&lt;=0.5,1,0))</f>
        <v>0</v>
      </c>
      <c r="E2">
        <f>IF(C2=0,0,1-D2)</f>
        <v>0</v>
      </c>
      <c r="G2" t="s">
        <v>203</v>
      </c>
      <c r="H2">
        <f>SUM(E:E)</f>
        <v>311</v>
      </c>
    </row>
    <row r="3" spans="1:9" x14ac:dyDescent="0.25">
      <c r="A3" s="4" t="s">
        <v>409</v>
      </c>
      <c r="B3">
        <v>0.25</v>
      </c>
      <c r="C3">
        <f t="shared" ref="C3:C66" si="1">ROUNDUP(B3,1)</f>
        <v>0.30000000000000004</v>
      </c>
      <c r="D3">
        <f t="shared" si="0"/>
        <v>1</v>
      </c>
      <c r="E3">
        <f t="shared" ref="E3:E30" si="2">IF(C3=0,0,1-D3)</f>
        <v>0</v>
      </c>
    </row>
    <row r="4" spans="1:9" x14ac:dyDescent="0.25">
      <c r="A4" s="4" t="s">
        <v>411</v>
      </c>
      <c r="B4">
        <v>0.28000000000000003</v>
      </c>
      <c r="C4">
        <f t="shared" si="1"/>
        <v>0.30000000000000004</v>
      </c>
      <c r="D4">
        <f t="shared" si="0"/>
        <v>1</v>
      </c>
      <c r="E4">
        <f t="shared" si="2"/>
        <v>0</v>
      </c>
    </row>
    <row r="5" spans="1:9" x14ac:dyDescent="0.25">
      <c r="A5" s="4" t="s">
        <v>415</v>
      </c>
      <c r="B5">
        <v>0.26</v>
      </c>
      <c r="C5">
        <f t="shared" si="1"/>
        <v>0.30000000000000004</v>
      </c>
      <c r="D5">
        <f t="shared" si="0"/>
        <v>1</v>
      </c>
      <c r="E5">
        <f t="shared" si="2"/>
        <v>0</v>
      </c>
    </row>
    <row r="6" spans="1:9" x14ac:dyDescent="0.25">
      <c r="A6" s="4" t="s">
        <v>533</v>
      </c>
      <c r="B6">
        <v>0.28000000000000003</v>
      </c>
      <c r="C6">
        <f t="shared" si="1"/>
        <v>0.30000000000000004</v>
      </c>
      <c r="D6">
        <f t="shared" si="0"/>
        <v>1</v>
      </c>
      <c r="E6">
        <f t="shared" si="2"/>
        <v>0</v>
      </c>
    </row>
    <row r="7" spans="1:9" x14ac:dyDescent="0.25">
      <c r="A7" s="4" t="s">
        <v>538</v>
      </c>
      <c r="B7">
        <v>0.54</v>
      </c>
      <c r="C7">
        <f t="shared" si="1"/>
        <v>0.6</v>
      </c>
      <c r="D7">
        <f t="shared" si="0"/>
        <v>0</v>
      </c>
      <c r="E7">
        <f t="shared" si="2"/>
        <v>1</v>
      </c>
    </row>
    <row r="8" spans="1:9" x14ac:dyDescent="0.25">
      <c r="A8" s="4" t="s">
        <v>543</v>
      </c>
      <c r="B8">
        <v>0.28000000000000003</v>
      </c>
      <c r="C8">
        <f>ROUNDUP(B8,1)</f>
        <v>0.30000000000000004</v>
      </c>
      <c r="D8">
        <f t="shared" si="0"/>
        <v>1</v>
      </c>
      <c r="E8">
        <f t="shared" si="2"/>
        <v>0</v>
      </c>
    </row>
    <row r="9" spans="1:9" x14ac:dyDescent="0.25">
      <c r="A9" s="4" t="s">
        <v>547</v>
      </c>
      <c r="B9">
        <v>0.3</v>
      </c>
      <c r="C9">
        <f t="shared" si="1"/>
        <v>0.3</v>
      </c>
      <c r="D9">
        <f t="shared" si="0"/>
        <v>1</v>
      </c>
      <c r="E9">
        <f t="shared" si="2"/>
        <v>0</v>
      </c>
    </row>
    <row r="10" spans="1:9" x14ac:dyDescent="0.25">
      <c r="A10" s="4" t="s">
        <v>551</v>
      </c>
      <c r="B10">
        <v>0.54</v>
      </c>
      <c r="C10">
        <f t="shared" si="1"/>
        <v>0.6</v>
      </c>
      <c r="D10">
        <f t="shared" si="0"/>
        <v>0</v>
      </c>
      <c r="E10">
        <f t="shared" si="2"/>
        <v>1</v>
      </c>
    </row>
    <row r="11" spans="1:9" x14ac:dyDescent="0.25">
      <c r="A11" s="4" t="s">
        <v>555</v>
      </c>
      <c r="B11">
        <v>0.56000000000000005</v>
      </c>
      <c r="C11">
        <f t="shared" si="1"/>
        <v>0.6</v>
      </c>
      <c r="D11">
        <f t="shared" si="0"/>
        <v>0</v>
      </c>
      <c r="E11">
        <f t="shared" si="2"/>
        <v>1</v>
      </c>
    </row>
    <row r="12" spans="1:9" x14ac:dyDescent="0.25">
      <c r="A12" s="4" t="s">
        <v>559</v>
      </c>
      <c r="B12">
        <v>0.72</v>
      </c>
      <c r="C12">
        <f t="shared" si="1"/>
        <v>0.79999999999999993</v>
      </c>
      <c r="D12">
        <f t="shared" si="0"/>
        <v>0</v>
      </c>
      <c r="E12">
        <f t="shared" si="2"/>
        <v>1</v>
      </c>
    </row>
    <row r="13" spans="1:9" x14ac:dyDescent="0.25">
      <c r="A13" s="4" t="s">
        <v>585</v>
      </c>
      <c r="B13">
        <v>0.48</v>
      </c>
      <c r="C13">
        <f t="shared" si="1"/>
        <v>0.5</v>
      </c>
      <c r="D13">
        <f t="shared" si="0"/>
        <v>1</v>
      </c>
      <c r="E13">
        <f t="shared" si="2"/>
        <v>0</v>
      </c>
    </row>
    <row r="14" spans="1:9" x14ac:dyDescent="0.25">
      <c r="A14" s="4" t="s">
        <v>593</v>
      </c>
      <c r="B14">
        <v>0.57999999999999996</v>
      </c>
      <c r="C14">
        <f t="shared" si="1"/>
        <v>0.6</v>
      </c>
      <c r="D14">
        <f t="shared" si="0"/>
        <v>0</v>
      </c>
      <c r="E14">
        <f t="shared" si="2"/>
        <v>1</v>
      </c>
    </row>
    <row r="15" spans="1:9" x14ac:dyDescent="0.25">
      <c r="A15" s="4" t="s">
        <v>587</v>
      </c>
      <c r="B15">
        <v>0.32</v>
      </c>
      <c r="C15">
        <f t="shared" si="1"/>
        <v>0.4</v>
      </c>
      <c r="D15">
        <f t="shared" si="0"/>
        <v>1</v>
      </c>
      <c r="E15">
        <f t="shared" si="2"/>
        <v>0</v>
      </c>
    </row>
    <row r="16" spans="1:9" x14ac:dyDescent="0.25">
      <c r="A16" s="4" t="s">
        <v>598</v>
      </c>
      <c r="B16">
        <v>0.82</v>
      </c>
      <c r="C16">
        <f t="shared" si="1"/>
        <v>0.9</v>
      </c>
      <c r="D16">
        <f t="shared" si="0"/>
        <v>0</v>
      </c>
      <c r="E16">
        <f t="shared" si="2"/>
        <v>1</v>
      </c>
    </row>
    <row r="17" spans="1:5" x14ac:dyDescent="0.25">
      <c r="A17" s="4" t="s">
        <v>603</v>
      </c>
      <c r="B17">
        <v>0.8</v>
      </c>
      <c r="C17">
        <f t="shared" si="1"/>
        <v>0.8</v>
      </c>
      <c r="D17">
        <f t="shared" si="0"/>
        <v>0</v>
      </c>
      <c r="E17">
        <f t="shared" si="2"/>
        <v>1</v>
      </c>
    </row>
    <row r="18" spans="1:5" x14ac:dyDescent="0.25">
      <c r="A18" s="4" t="s">
        <v>589</v>
      </c>
      <c r="B18">
        <v>0.42</v>
      </c>
      <c r="C18">
        <f t="shared" si="1"/>
        <v>0.5</v>
      </c>
      <c r="D18">
        <f t="shared" si="0"/>
        <v>1</v>
      </c>
      <c r="E18">
        <f t="shared" si="2"/>
        <v>0</v>
      </c>
    </row>
    <row r="19" spans="1:5" x14ac:dyDescent="0.25">
      <c r="A19" s="4" t="s">
        <v>580</v>
      </c>
      <c r="B19">
        <v>0.16</v>
      </c>
      <c r="C19">
        <f t="shared" si="1"/>
        <v>0.2</v>
      </c>
      <c r="D19">
        <f t="shared" si="0"/>
        <v>1</v>
      </c>
      <c r="E19">
        <f t="shared" si="2"/>
        <v>0</v>
      </c>
    </row>
    <row r="20" spans="1:5" x14ac:dyDescent="0.25">
      <c r="A20" s="4" t="s">
        <v>571</v>
      </c>
      <c r="B20">
        <v>2.88</v>
      </c>
      <c r="C20">
        <f t="shared" si="1"/>
        <v>2.9</v>
      </c>
      <c r="D20">
        <f t="shared" si="0"/>
        <v>0</v>
      </c>
      <c r="E20">
        <f t="shared" si="2"/>
        <v>1</v>
      </c>
    </row>
    <row r="21" spans="1:5" x14ac:dyDescent="0.25">
      <c r="A21" s="4" t="s">
        <v>576</v>
      </c>
      <c r="B21">
        <v>0.45</v>
      </c>
      <c r="C21">
        <f t="shared" si="1"/>
        <v>0.5</v>
      </c>
      <c r="D21">
        <f t="shared" si="0"/>
        <v>1</v>
      </c>
      <c r="E21">
        <f t="shared" si="2"/>
        <v>0</v>
      </c>
    </row>
    <row r="22" spans="1:5" x14ac:dyDescent="0.25">
      <c r="A22" s="4" t="s">
        <v>675</v>
      </c>
      <c r="B22">
        <v>0.38</v>
      </c>
      <c r="C22">
        <f t="shared" si="1"/>
        <v>0.4</v>
      </c>
      <c r="D22">
        <f t="shared" si="0"/>
        <v>1</v>
      </c>
      <c r="E22">
        <f t="shared" si="2"/>
        <v>0</v>
      </c>
    </row>
    <row r="23" spans="1:5" x14ac:dyDescent="0.25">
      <c r="A23" s="4" t="s">
        <v>679</v>
      </c>
      <c r="B23">
        <v>0.64</v>
      </c>
      <c r="C23">
        <f t="shared" si="1"/>
        <v>0.7</v>
      </c>
      <c r="D23">
        <f t="shared" si="0"/>
        <v>0</v>
      </c>
      <c r="E23">
        <f t="shared" si="2"/>
        <v>1</v>
      </c>
    </row>
    <row r="24" spans="1:5" x14ac:dyDescent="0.25">
      <c r="A24" s="4" t="s">
        <v>684</v>
      </c>
      <c r="B24">
        <v>0.28000000000000003</v>
      </c>
      <c r="C24">
        <f t="shared" si="1"/>
        <v>0.30000000000000004</v>
      </c>
      <c r="D24">
        <f t="shared" si="0"/>
        <v>1</v>
      </c>
      <c r="E24">
        <f t="shared" si="2"/>
        <v>0</v>
      </c>
    </row>
    <row r="25" spans="1:5" x14ac:dyDescent="0.25">
      <c r="A25" s="4" t="s">
        <v>712</v>
      </c>
      <c r="B25">
        <v>0.78</v>
      </c>
      <c r="C25">
        <f t="shared" si="1"/>
        <v>0.79999999999999993</v>
      </c>
      <c r="D25">
        <f t="shared" si="0"/>
        <v>0</v>
      </c>
      <c r="E25">
        <f t="shared" si="2"/>
        <v>1</v>
      </c>
    </row>
    <row r="26" spans="1:5" x14ac:dyDescent="0.25">
      <c r="A26" s="4" t="s">
        <v>716</v>
      </c>
      <c r="B26">
        <v>0.61</v>
      </c>
      <c r="C26">
        <f t="shared" si="1"/>
        <v>0.7</v>
      </c>
      <c r="D26">
        <f t="shared" si="0"/>
        <v>0</v>
      </c>
      <c r="E26">
        <f t="shared" si="2"/>
        <v>1</v>
      </c>
    </row>
    <row r="27" spans="1:5" x14ac:dyDescent="0.25">
      <c r="A27" s="4" t="s">
        <v>725</v>
      </c>
      <c r="B27">
        <v>0.3</v>
      </c>
      <c r="C27">
        <f t="shared" si="1"/>
        <v>0.3</v>
      </c>
      <c r="D27">
        <f t="shared" si="0"/>
        <v>1</v>
      </c>
      <c r="E27">
        <f t="shared" si="2"/>
        <v>0</v>
      </c>
    </row>
    <row r="28" spans="1:5" x14ac:dyDescent="0.25">
      <c r="A28" s="4" t="s">
        <v>720</v>
      </c>
      <c r="B28">
        <v>0.3</v>
      </c>
      <c r="C28">
        <f t="shared" si="1"/>
        <v>0.3</v>
      </c>
      <c r="D28">
        <f t="shared" si="0"/>
        <v>1</v>
      </c>
      <c r="E28">
        <f t="shared" si="2"/>
        <v>0</v>
      </c>
    </row>
    <row r="29" spans="1:5" x14ac:dyDescent="0.25">
      <c r="A29" s="4" t="s">
        <v>718</v>
      </c>
      <c r="B29">
        <v>0.48</v>
      </c>
      <c r="C29">
        <f t="shared" si="1"/>
        <v>0.5</v>
      </c>
      <c r="D29">
        <f t="shared" si="0"/>
        <v>1</v>
      </c>
      <c r="E29">
        <f t="shared" si="2"/>
        <v>0</v>
      </c>
    </row>
    <row r="30" spans="1:5" x14ac:dyDescent="0.25">
      <c r="A30" s="4" t="s">
        <v>705</v>
      </c>
      <c r="B30">
        <v>1.04</v>
      </c>
      <c r="C30">
        <f t="shared" si="1"/>
        <v>1.1000000000000001</v>
      </c>
      <c r="D30">
        <f t="shared" si="0"/>
        <v>0</v>
      </c>
      <c r="E30">
        <f t="shared" si="2"/>
        <v>1</v>
      </c>
    </row>
    <row r="31" spans="1:5" x14ac:dyDescent="0.25">
      <c r="A31" s="4" t="s">
        <v>707</v>
      </c>
      <c r="B31">
        <v>0.8</v>
      </c>
      <c r="C31">
        <f t="shared" si="1"/>
        <v>0.8</v>
      </c>
      <c r="D31">
        <f t="shared" ref="D31:D94" si="3">IF(C31=0,0,IF(C31&lt;=0.5,1,0))</f>
        <v>0</v>
      </c>
      <c r="E31">
        <f t="shared" ref="E31:E94" si="4">IF(C31=0,0,1-D31)</f>
        <v>1</v>
      </c>
    </row>
    <row r="32" spans="1:5" x14ac:dyDescent="0.25">
      <c r="A32" s="4" t="s">
        <v>771</v>
      </c>
      <c r="B32">
        <v>0.52</v>
      </c>
      <c r="C32">
        <f t="shared" si="1"/>
        <v>0.6</v>
      </c>
      <c r="D32">
        <f t="shared" si="3"/>
        <v>0</v>
      </c>
      <c r="E32">
        <f t="shared" si="4"/>
        <v>1</v>
      </c>
    </row>
    <row r="33" spans="1:5" x14ac:dyDescent="0.25">
      <c r="A33" s="4" t="s">
        <v>775</v>
      </c>
      <c r="B33">
        <v>0.3</v>
      </c>
      <c r="C33">
        <f t="shared" si="1"/>
        <v>0.3</v>
      </c>
      <c r="D33">
        <f t="shared" si="3"/>
        <v>1</v>
      </c>
      <c r="E33">
        <f t="shared" si="4"/>
        <v>0</v>
      </c>
    </row>
    <row r="34" spans="1:5" x14ac:dyDescent="0.25">
      <c r="A34" s="4" t="s">
        <v>830</v>
      </c>
      <c r="B34">
        <v>0.5</v>
      </c>
      <c r="C34">
        <f t="shared" si="1"/>
        <v>0.5</v>
      </c>
      <c r="D34">
        <f t="shared" si="3"/>
        <v>1</v>
      </c>
      <c r="E34">
        <f t="shared" si="4"/>
        <v>0</v>
      </c>
    </row>
    <row r="35" spans="1:5" x14ac:dyDescent="0.25">
      <c r="A35" s="4" t="s">
        <v>800</v>
      </c>
      <c r="B35">
        <v>1.66</v>
      </c>
      <c r="C35">
        <f t="shared" si="1"/>
        <v>1.7000000000000002</v>
      </c>
      <c r="D35">
        <f t="shared" si="3"/>
        <v>0</v>
      </c>
      <c r="E35">
        <f t="shared" si="4"/>
        <v>1</v>
      </c>
    </row>
    <row r="36" spans="1:5" x14ac:dyDescent="0.25">
      <c r="A36" s="4" t="s">
        <v>812</v>
      </c>
      <c r="B36">
        <v>0.64</v>
      </c>
      <c r="C36">
        <f t="shared" si="1"/>
        <v>0.7</v>
      </c>
      <c r="D36">
        <f t="shared" si="3"/>
        <v>0</v>
      </c>
      <c r="E36">
        <f t="shared" si="4"/>
        <v>1</v>
      </c>
    </row>
    <row r="37" spans="1:5" x14ac:dyDescent="0.25">
      <c r="A37" s="4" t="s">
        <v>839</v>
      </c>
      <c r="B37">
        <v>4.3600000000000003</v>
      </c>
      <c r="C37">
        <f t="shared" si="1"/>
        <v>4.3999999999999995</v>
      </c>
      <c r="D37">
        <f t="shared" si="3"/>
        <v>0</v>
      </c>
      <c r="E37">
        <f t="shared" si="4"/>
        <v>1</v>
      </c>
    </row>
    <row r="38" spans="1:5" x14ac:dyDescent="0.25">
      <c r="A38" s="4" t="s">
        <v>825</v>
      </c>
      <c r="B38">
        <v>0.28000000000000003</v>
      </c>
      <c r="C38">
        <f t="shared" si="1"/>
        <v>0.30000000000000004</v>
      </c>
      <c r="D38">
        <f t="shared" si="3"/>
        <v>1</v>
      </c>
      <c r="E38">
        <f t="shared" si="4"/>
        <v>0</v>
      </c>
    </row>
    <row r="39" spans="1:5" x14ac:dyDescent="0.25">
      <c r="A39" s="4" t="s">
        <v>834</v>
      </c>
      <c r="B39">
        <v>2</v>
      </c>
      <c r="C39">
        <f t="shared" si="1"/>
        <v>2</v>
      </c>
      <c r="D39">
        <f t="shared" si="3"/>
        <v>0</v>
      </c>
      <c r="E39">
        <f t="shared" si="4"/>
        <v>1</v>
      </c>
    </row>
    <row r="40" spans="1:5" x14ac:dyDescent="0.25">
      <c r="A40" s="4" t="s">
        <v>808</v>
      </c>
      <c r="B40">
        <v>0.64</v>
      </c>
      <c r="C40">
        <f t="shared" si="1"/>
        <v>0.7</v>
      </c>
      <c r="D40">
        <f t="shared" si="3"/>
        <v>0</v>
      </c>
      <c r="E40">
        <f t="shared" si="4"/>
        <v>1</v>
      </c>
    </row>
    <row r="41" spans="1:5" x14ac:dyDescent="0.25">
      <c r="A41" s="4" t="s">
        <v>821</v>
      </c>
      <c r="B41">
        <v>0.5</v>
      </c>
      <c r="C41">
        <f t="shared" si="1"/>
        <v>0.5</v>
      </c>
      <c r="D41">
        <f t="shared" si="3"/>
        <v>1</v>
      </c>
      <c r="E41">
        <f t="shared" si="4"/>
        <v>0</v>
      </c>
    </row>
    <row r="42" spans="1:5" x14ac:dyDescent="0.25">
      <c r="A42" s="4" t="s">
        <v>804</v>
      </c>
      <c r="B42">
        <v>0.98</v>
      </c>
      <c r="C42">
        <f t="shared" si="1"/>
        <v>1</v>
      </c>
      <c r="D42">
        <f t="shared" si="3"/>
        <v>0</v>
      </c>
      <c r="E42">
        <f t="shared" si="4"/>
        <v>1</v>
      </c>
    </row>
    <row r="43" spans="1:5" x14ac:dyDescent="0.25">
      <c r="A43" s="4" t="s">
        <v>817</v>
      </c>
      <c r="B43">
        <v>0.36</v>
      </c>
      <c r="C43">
        <f t="shared" si="1"/>
        <v>0.4</v>
      </c>
      <c r="D43">
        <f t="shared" si="3"/>
        <v>1</v>
      </c>
      <c r="E43">
        <f t="shared" si="4"/>
        <v>0</v>
      </c>
    </row>
    <row r="44" spans="1:5" x14ac:dyDescent="0.25">
      <c r="A44" s="4" t="s">
        <v>845</v>
      </c>
      <c r="B44">
        <v>0.48</v>
      </c>
      <c r="C44">
        <f t="shared" si="1"/>
        <v>0.5</v>
      </c>
      <c r="D44">
        <f t="shared" si="3"/>
        <v>1</v>
      </c>
      <c r="E44">
        <f t="shared" si="4"/>
        <v>0</v>
      </c>
    </row>
    <row r="45" spans="1:5" x14ac:dyDescent="0.25">
      <c r="A45" s="4" t="s">
        <v>862</v>
      </c>
      <c r="B45">
        <v>3.1</v>
      </c>
      <c r="C45">
        <f t="shared" si="1"/>
        <v>3.1</v>
      </c>
      <c r="D45">
        <f t="shared" si="3"/>
        <v>0</v>
      </c>
      <c r="E45">
        <f t="shared" si="4"/>
        <v>1</v>
      </c>
    </row>
    <row r="46" spans="1:5" x14ac:dyDescent="0.25">
      <c r="A46" s="4" t="s">
        <v>855</v>
      </c>
      <c r="B46">
        <v>0.56000000000000005</v>
      </c>
      <c r="C46">
        <f t="shared" si="1"/>
        <v>0.6</v>
      </c>
      <c r="D46">
        <f t="shared" si="3"/>
        <v>0</v>
      </c>
      <c r="E46">
        <f t="shared" si="4"/>
        <v>1</v>
      </c>
    </row>
    <row r="47" spans="1:5" x14ac:dyDescent="0.25">
      <c r="A47" s="4" t="s">
        <v>857</v>
      </c>
      <c r="B47">
        <v>0.54</v>
      </c>
      <c r="C47">
        <f t="shared" si="1"/>
        <v>0.6</v>
      </c>
      <c r="D47">
        <f t="shared" si="3"/>
        <v>0</v>
      </c>
      <c r="E47">
        <f t="shared" si="4"/>
        <v>1</v>
      </c>
    </row>
    <row r="48" spans="1:5" x14ac:dyDescent="0.25">
      <c r="A48" s="4" t="s">
        <v>850</v>
      </c>
      <c r="B48">
        <v>0.22</v>
      </c>
      <c r="C48">
        <f t="shared" si="1"/>
        <v>0.30000000000000004</v>
      </c>
      <c r="D48">
        <f t="shared" si="3"/>
        <v>1</v>
      </c>
      <c r="E48">
        <f t="shared" si="4"/>
        <v>0</v>
      </c>
    </row>
    <row r="49" spans="1:5" x14ac:dyDescent="0.25">
      <c r="A49" s="4" t="s">
        <v>888</v>
      </c>
      <c r="B49">
        <v>1.88</v>
      </c>
      <c r="C49">
        <f t="shared" si="1"/>
        <v>1.9000000000000001</v>
      </c>
      <c r="D49">
        <f t="shared" si="3"/>
        <v>0</v>
      </c>
      <c r="E49">
        <f t="shared" si="4"/>
        <v>1</v>
      </c>
    </row>
    <row r="50" spans="1:5" x14ac:dyDescent="0.25">
      <c r="A50" s="4" t="s">
        <v>893</v>
      </c>
      <c r="B50">
        <v>0.52</v>
      </c>
      <c r="C50">
        <f t="shared" si="1"/>
        <v>0.6</v>
      </c>
      <c r="D50">
        <f t="shared" si="3"/>
        <v>0</v>
      </c>
      <c r="E50">
        <f t="shared" si="4"/>
        <v>1</v>
      </c>
    </row>
    <row r="51" spans="1:5" x14ac:dyDescent="0.25">
      <c r="A51" s="4" t="s">
        <v>898</v>
      </c>
      <c r="B51">
        <v>0.52</v>
      </c>
      <c r="C51">
        <f t="shared" si="1"/>
        <v>0.6</v>
      </c>
      <c r="D51">
        <f t="shared" si="3"/>
        <v>0</v>
      </c>
      <c r="E51">
        <f t="shared" si="4"/>
        <v>1</v>
      </c>
    </row>
    <row r="52" spans="1:5" x14ac:dyDescent="0.25">
      <c r="A52" s="4" t="s">
        <v>902</v>
      </c>
      <c r="B52">
        <v>0.8</v>
      </c>
      <c r="C52">
        <f t="shared" si="1"/>
        <v>0.8</v>
      </c>
      <c r="D52">
        <f t="shared" si="3"/>
        <v>0</v>
      </c>
      <c r="E52">
        <f t="shared" si="4"/>
        <v>1</v>
      </c>
    </row>
    <row r="53" spans="1:5" x14ac:dyDescent="0.25">
      <c r="A53" s="4" t="s">
        <v>904</v>
      </c>
      <c r="B53">
        <v>2</v>
      </c>
      <c r="C53">
        <f t="shared" si="1"/>
        <v>2</v>
      </c>
      <c r="D53">
        <f t="shared" si="3"/>
        <v>0</v>
      </c>
      <c r="E53">
        <f t="shared" si="4"/>
        <v>1</v>
      </c>
    </row>
    <row r="54" spans="1:5" x14ac:dyDescent="0.25">
      <c r="A54" s="4" t="s">
        <v>914</v>
      </c>
      <c r="B54">
        <v>0.54</v>
      </c>
      <c r="C54">
        <f t="shared" si="1"/>
        <v>0.6</v>
      </c>
      <c r="D54">
        <f t="shared" si="3"/>
        <v>0</v>
      </c>
      <c r="E54">
        <f t="shared" si="4"/>
        <v>1</v>
      </c>
    </row>
    <row r="55" spans="1:5" x14ac:dyDescent="0.25">
      <c r="A55" s="4" t="s">
        <v>919</v>
      </c>
      <c r="B55">
        <v>0.26</v>
      </c>
      <c r="C55">
        <f t="shared" si="1"/>
        <v>0.30000000000000004</v>
      </c>
      <c r="D55">
        <f t="shared" si="3"/>
        <v>1</v>
      </c>
      <c r="E55">
        <f t="shared" si="4"/>
        <v>0</v>
      </c>
    </row>
    <row r="56" spans="1:5" x14ac:dyDescent="0.25">
      <c r="A56" s="4" t="s">
        <v>924</v>
      </c>
      <c r="B56">
        <v>0.3</v>
      </c>
      <c r="C56">
        <f t="shared" si="1"/>
        <v>0.3</v>
      </c>
      <c r="D56">
        <f t="shared" si="3"/>
        <v>1</v>
      </c>
      <c r="E56">
        <f t="shared" si="4"/>
        <v>0</v>
      </c>
    </row>
    <row r="57" spans="1:5" x14ac:dyDescent="0.25">
      <c r="A57" s="4" t="s">
        <v>928</v>
      </c>
      <c r="B57">
        <v>1</v>
      </c>
      <c r="C57">
        <f t="shared" si="1"/>
        <v>1</v>
      </c>
      <c r="D57">
        <f t="shared" si="3"/>
        <v>0</v>
      </c>
      <c r="E57">
        <f t="shared" si="4"/>
        <v>1</v>
      </c>
    </row>
    <row r="58" spans="1:5" x14ac:dyDescent="0.25">
      <c r="A58" s="4" t="s">
        <v>932</v>
      </c>
      <c r="B58">
        <v>0.28000000000000003</v>
      </c>
      <c r="C58">
        <f t="shared" si="1"/>
        <v>0.30000000000000004</v>
      </c>
      <c r="D58">
        <f t="shared" si="3"/>
        <v>1</v>
      </c>
      <c r="E58">
        <f t="shared" si="4"/>
        <v>0</v>
      </c>
    </row>
    <row r="59" spans="1:5" x14ac:dyDescent="0.25">
      <c r="A59" s="4" t="s">
        <v>966</v>
      </c>
      <c r="B59">
        <v>1.02</v>
      </c>
      <c r="C59">
        <f t="shared" si="1"/>
        <v>1.1000000000000001</v>
      </c>
      <c r="D59">
        <f t="shared" si="3"/>
        <v>0</v>
      </c>
      <c r="E59">
        <f t="shared" si="4"/>
        <v>1</v>
      </c>
    </row>
    <row r="60" spans="1:5" x14ac:dyDescent="0.25">
      <c r="A60" s="4" t="s">
        <v>983</v>
      </c>
      <c r="B60">
        <v>0.32</v>
      </c>
      <c r="C60">
        <f t="shared" si="1"/>
        <v>0.4</v>
      </c>
      <c r="D60">
        <f t="shared" si="3"/>
        <v>1</v>
      </c>
      <c r="E60">
        <f t="shared" si="4"/>
        <v>0</v>
      </c>
    </row>
    <row r="61" spans="1:5" x14ac:dyDescent="0.25">
      <c r="A61" s="4" t="s">
        <v>979</v>
      </c>
      <c r="B61">
        <v>0.32</v>
      </c>
      <c r="C61">
        <f t="shared" si="1"/>
        <v>0.4</v>
      </c>
      <c r="D61">
        <f t="shared" si="3"/>
        <v>1</v>
      </c>
      <c r="E61">
        <f t="shared" si="4"/>
        <v>0</v>
      </c>
    </row>
    <row r="62" spans="1:5" x14ac:dyDescent="0.25">
      <c r="A62" s="4" t="s">
        <v>975</v>
      </c>
      <c r="B62">
        <v>0.42</v>
      </c>
      <c r="C62">
        <f t="shared" si="1"/>
        <v>0.5</v>
      </c>
      <c r="D62">
        <f t="shared" si="3"/>
        <v>1</v>
      </c>
      <c r="E62">
        <f t="shared" si="4"/>
        <v>0</v>
      </c>
    </row>
    <row r="63" spans="1:5" x14ac:dyDescent="0.25">
      <c r="A63" s="4" t="s">
        <v>971</v>
      </c>
      <c r="B63">
        <v>0.28000000000000003</v>
      </c>
      <c r="C63">
        <f t="shared" si="1"/>
        <v>0.30000000000000004</v>
      </c>
      <c r="D63">
        <f t="shared" si="3"/>
        <v>1</v>
      </c>
      <c r="E63">
        <f t="shared" si="4"/>
        <v>0</v>
      </c>
    </row>
    <row r="64" spans="1:5" x14ac:dyDescent="0.25">
      <c r="A64" s="4" t="s">
        <v>1003</v>
      </c>
      <c r="B64">
        <v>0.28000000000000003</v>
      </c>
      <c r="C64">
        <f t="shared" si="1"/>
        <v>0.30000000000000004</v>
      </c>
      <c r="D64">
        <f t="shared" si="3"/>
        <v>1</v>
      </c>
      <c r="E64">
        <f t="shared" si="4"/>
        <v>0</v>
      </c>
    </row>
    <row r="65" spans="1:5" x14ac:dyDescent="0.25">
      <c r="A65" s="4" t="s">
        <v>1027</v>
      </c>
      <c r="B65">
        <v>0.5</v>
      </c>
      <c r="C65">
        <f t="shared" si="1"/>
        <v>0.5</v>
      </c>
      <c r="D65">
        <f t="shared" si="3"/>
        <v>1</v>
      </c>
      <c r="E65">
        <f t="shared" si="4"/>
        <v>0</v>
      </c>
    </row>
    <row r="66" spans="1:5" x14ac:dyDescent="0.25">
      <c r="A66" s="4" t="s">
        <v>1022</v>
      </c>
      <c r="B66">
        <v>0.44</v>
      </c>
      <c r="C66">
        <f t="shared" si="1"/>
        <v>0.5</v>
      </c>
      <c r="D66">
        <f t="shared" si="3"/>
        <v>1</v>
      </c>
      <c r="E66">
        <f t="shared" si="4"/>
        <v>0</v>
      </c>
    </row>
    <row r="67" spans="1:5" x14ac:dyDescent="0.25">
      <c r="A67" s="4" t="s">
        <v>1018</v>
      </c>
      <c r="B67">
        <v>0.74</v>
      </c>
      <c r="C67">
        <f t="shared" ref="C67:C124" si="5">ROUNDUP(B67,1)</f>
        <v>0.79999999999999993</v>
      </c>
      <c r="D67">
        <f t="shared" si="3"/>
        <v>0</v>
      </c>
      <c r="E67">
        <f t="shared" si="4"/>
        <v>1</v>
      </c>
    </row>
    <row r="68" spans="1:5" x14ac:dyDescent="0.25">
      <c r="A68" s="4" t="s">
        <v>1016</v>
      </c>
      <c r="B68">
        <v>1</v>
      </c>
      <c r="C68">
        <f t="shared" si="5"/>
        <v>1</v>
      </c>
      <c r="D68">
        <f t="shared" si="3"/>
        <v>0</v>
      </c>
      <c r="E68">
        <f t="shared" si="4"/>
        <v>1</v>
      </c>
    </row>
    <row r="69" spans="1:5" x14ac:dyDescent="0.25">
      <c r="A69" s="4" t="s">
        <v>1011</v>
      </c>
      <c r="B69">
        <v>1.04</v>
      </c>
      <c r="C69">
        <f t="shared" si="5"/>
        <v>1.1000000000000001</v>
      </c>
      <c r="D69">
        <f t="shared" si="3"/>
        <v>0</v>
      </c>
      <c r="E69">
        <f t="shared" si="4"/>
        <v>1</v>
      </c>
    </row>
    <row r="70" spans="1:5" x14ac:dyDescent="0.25">
      <c r="A70" s="4" t="s">
        <v>1009</v>
      </c>
      <c r="B70">
        <v>1.04</v>
      </c>
      <c r="C70">
        <f t="shared" si="5"/>
        <v>1.1000000000000001</v>
      </c>
      <c r="D70">
        <f t="shared" si="3"/>
        <v>0</v>
      </c>
      <c r="E70">
        <f t="shared" si="4"/>
        <v>1</v>
      </c>
    </row>
    <row r="71" spans="1:5" x14ac:dyDescent="0.25">
      <c r="A71" s="4" t="s">
        <v>1034</v>
      </c>
      <c r="B71">
        <v>1.76</v>
      </c>
      <c r="C71">
        <f t="shared" si="5"/>
        <v>1.8</v>
      </c>
      <c r="D71">
        <f t="shared" si="3"/>
        <v>0</v>
      </c>
      <c r="E71">
        <f t="shared" si="4"/>
        <v>1</v>
      </c>
    </row>
    <row r="72" spans="1:5" x14ac:dyDescent="0.25">
      <c r="A72" s="4" t="s">
        <v>1038</v>
      </c>
      <c r="B72">
        <v>0.26</v>
      </c>
      <c r="C72">
        <f t="shared" si="5"/>
        <v>0.30000000000000004</v>
      </c>
      <c r="D72">
        <f t="shared" si="3"/>
        <v>1</v>
      </c>
      <c r="E72">
        <f t="shared" si="4"/>
        <v>0</v>
      </c>
    </row>
    <row r="73" spans="1:5" x14ac:dyDescent="0.25">
      <c r="A73" s="4" t="s">
        <v>1043</v>
      </c>
      <c r="B73">
        <v>0.28000000000000003</v>
      </c>
      <c r="C73">
        <f t="shared" si="5"/>
        <v>0.30000000000000004</v>
      </c>
      <c r="D73">
        <f t="shared" si="3"/>
        <v>1</v>
      </c>
      <c r="E73">
        <f t="shared" si="4"/>
        <v>0</v>
      </c>
    </row>
    <row r="74" spans="1:5" x14ac:dyDescent="0.25">
      <c r="A74" s="4" t="s">
        <v>1047</v>
      </c>
      <c r="B74">
        <v>2.44</v>
      </c>
      <c r="C74">
        <f t="shared" si="5"/>
        <v>2.5</v>
      </c>
      <c r="D74">
        <f t="shared" si="3"/>
        <v>0</v>
      </c>
      <c r="E74">
        <f t="shared" si="4"/>
        <v>1</v>
      </c>
    </row>
    <row r="75" spans="1:5" x14ac:dyDescent="0.25">
      <c r="A75" s="4" t="s">
        <v>1052</v>
      </c>
      <c r="B75">
        <v>0.54</v>
      </c>
      <c r="C75">
        <f t="shared" si="5"/>
        <v>0.6</v>
      </c>
      <c r="D75">
        <f t="shared" si="3"/>
        <v>0</v>
      </c>
      <c r="E75">
        <f t="shared" si="4"/>
        <v>1</v>
      </c>
    </row>
    <row r="76" spans="1:5" x14ac:dyDescent="0.25">
      <c r="A76" s="4" t="s">
        <v>1055</v>
      </c>
      <c r="B76">
        <v>1.88</v>
      </c>
      <c r="C76">
        <f t="shared" si="5"/>
        <v>1.9000000000000001</v>
      </c>
      <c r="D76">
        <f t="shared" si="3"/>
        <v>0</v>
      </c>
      <c r="E76">
        <f t="shared" si="4"/>
        <v>1</v>
      </c>
    </row>
    <row r="77" spans="1:5" x14ac:dyDescent="0.25">
      <c r="A77" s="4" t="s">
        <v>1060</v>
      </c>
      <c r="B77">
        <v>0.54</v>
      </c>
      <c r="C77">
        <f t="shared" si="5"/>
        <v>0.6</v>
      </c>
      <c r="D77">
        <f t="shared" si="3"/>
        <v>0</v>
      </c>
      <c r="E77">
        <f t="shared" si="4"/>
        <v>1</v>
      </c>
    </row>
    <row r="78" spans="1:5" x14ac:dyDescent="0.25">
      <c r="A78" s="4" t="s">
        <v>1081</v>
      </c>
      <c r="B78">
        <v>0.54</v>
      </c>
      <c r="C78">
        <f t="shared" si="5"/>
        <v>0.6</v>
      </c>
      <c r="D78">
        <f t="shared" si="3"/>
        <v>0</v>
      </c>
      <c r="E78">
        <f t="shared" si="4"/>
        <v>1</v>
      </c>
    </row>
    <row r="79" spans="1:5" x14ac:dyDescent="0.25">
      <c r="A79" s="4" t="s">
        <v>1101</v>
      </c>
      <c r="B79">
        <v>0.2</v>
      </c>
      <c r="C79">
        <f t="shared" si="5"/>
        <v>0.2</v>
      </c>
      <c r="D79">
        <f t="shared" si="3"/>
        <v>1</v>
      </c>
      <c r="E79">
        <f t="shared" si="4"/>
        <v>0</v>
      </c>
    </row>
    <row r="80" spans="1:5" x14ac:dyDescent="0.25">
      <c r="A80" s="4" t="s">
        <v>1097</v>
      </c>
      <c r="B80">
        <v>0.28000000000000003</v>
      </c>
      <c r="C80">
        <f t="shared" si="5"/>
        <v>0.30000000000000004</v>
      </c>
      <c r="D80">
        <f t="shared" si="3"/>
        <v>1</v>
      </c>
      <c r="E80">
        <f t="shared" si="4"/>
        <v>0</v>
      </c>
    </row>
    <row r="81" spans="1:5" x14ac:dyDescent="0.25">
      <c r="A81" s="4" t="s">
        <v>1093</v>
      </c>
      <c r="B81">
        <v>0.3</v>
      </c>
      <c r="C81">
        <f t="shared" si="5"/>
        <v>0.3</v>
      </c>
      <c r="D81">
        <f t="shared" si="3"/>
        <v>1</v>
      </c>
      <c r="E81">
        <f t="shared" si="4"/>
        <v>0</v>
      </c>
    </row>
    <row r="82" spans="1:5" x14ac:dyDescent="0.25">
      <c r="A82" s="4" t="s">
        <v>1088</v>
      </c>
      <c r="B82">
        <v>0.3</v>
      </c>
      <c r="C82">
        <f t="shared" si="5"/>
        <v>0.3</v>
      </c>
      <c r="D82">
        <f t="shared" si="3"/>
        <v>1</v>
      </c>
      <c r="E82">
        <f t="shared" si="4"/>
        <v>0</v>
      </c>
    </row>
    <row r="83" spans="1:5" x14ac:dyDescent="0.25">
      <c r="A83" s="4" t="s">
        <v>1072</v>
      </c>
      <c r="B83">
        <v>3.16</v>
      </c>
      <c r="C83">
        <f t="shared" si="5"/>
        <v>3.2</v>
      </c>
      <c r="D83">
        <f t="shared" si="3"/>
        <v>0</v>
      </c>
      <c r="E83">
        <f t="shared" si="4"/>
        <v>1</v>
      </c>
    </row>
    <row r="84" spans="1:5" x14ac:dyDescent="0.25">
      <c r="A84" s="4" t="s">
        <v>1084</v>
      </c>
      <c r="B84">
        <v>0.35</v>
      </c>
      <c r="C84">
        <f t="shared" si="5"/>
        <v>0.4</v>
      </c>
      <c r="D84">
        <f t="shared" si="3"/>
        <v>1</v>
      </c>
      <c r="E84">
        <f t="shared" si="4"/>
        <v>0</v>
      </c>
    </row>
    <row r="85" spans="1:5" x14ac:dyDescent="0.25">
      <c r="A85" s="4" t="s">
        <v>1077</v>
      </c>
      <c r="B85">
        <v>0.55000000000000004</v>
      </c>
      <c r="C85">
        <f t="shared" si="5"/>
        <v>0.6</v>
      </c>
      <c r="D85">
        <f t="shared" si="3"/>
        <v>0</v>
      </c>
      <c r="E85">
        <f t="shared" si="4"/>
        <v>1</v>
      </c>
    </row>
    <row r="86" spans="1:5" x14ac:dyDescent="0.25">
      <c r="A86" s="4" t="s">
        <v>1107</v>
      </c>
      <c r="B86">
        <v>0.38</v>
      </c>
      <c r="C86">
        <f t="shared" si="5"/>
        <v>0.4</v>
      </c>
      <c r="D86">
        <f t="shared" si="3"/>
        <v>1</v>
      </c>
      <c r="E86">
        <f t="shared" si="4"/>
        <v>0</v>
      </c>
    </row>
    <row r="87" spans="1:5" x14ac:dyDescent="0.25">
      <c r="A87" s="4" t="s">
        <v>1112</v>
      </c>
      <c r="B87">
        <v>0.42</v>
      </c>
      <c r="C87">
        <f t="shared" si="5"/>
        <v>0.5</v>
      </c>
      <c r="D87">
        <f t="shared" si="3"/>
        <v>1</v>
      </c>
      <c r="E87">
        <f t="shared" si="4"/>
        <v>0</v>
      </c>
    </row>
    <row r="88" spans="1:5" x14ac:dyDescent="0.25">
      <c r="A88" s="4" t="s">
        <v>1116</v>
      </c>
      <c r="B88">
        <v>0.34</v>
      </c>
      <c r="C88">
        <f t="shared" si="5"/>
        <v>0.4</v>
      </c>
      <c r="D88">
        <f t="shared" si="3"/>
        <v>1</v>
      </c>
      <c r="E88">
        <f t="shared" si="4"/>
        <v>0</v>
      </c>
    </row>
    <row r="89" spans="1:5" x14ac:dyDescent="0.25">
      <c r="A89" s="4" t="s">
        <v>1120</v>
      </c>
      <c r="B89">
        <v>0.56000000000000005</v>
      </c>
      <c r="C89">
        <f t="shared" si="5"/>
        <v>0.6</v>
      </c>
      <c r="D89">
        <f t="shared" si="3"/>
        <v>0</v>
      </c>
      <c r="E89">
        <f t="shared" si="4"/>
        <v>1</v>
      </c>
    </row>
    <row r="90" spans="1:5" x14ac:dyDescent="0.25">
      <c r="A90" s="4" t="s">
        <v>1125</v>
      </c>
      <c r="B90">
        <v>0.55000000000000004</v>
      </c>
      <c r="C90">
        <f t="shared" si="5"/>
        <v>0.6</v>
      </c>
      <c r="D90">
        <f t="shared" si="3"/>
        <v>0</v>
      </c>
      <c r="E90">
        <f t="shared" si="4"/>
        <v>1</v>
      </c>
    </row>
    <row r="91" spans="1:5" x14ac:dyDescent="0.25">
      <c r="A91" s="4" t="s">
        <v>1129</v>
      </c>
      <c r="B91">
        <v>0.68</v>
      </c>
      <c r="C91">
        <f t="shared" si="5"/>
        <v>0.7</v>
      </c>
      <c r="D91">
        <f t="shared" si="3"/>
        <v>0</v>
      </c>
      <c r="E91">
        <f t="shared" si="4"/>
        <v>1</v>
      </c>
    </row>
    <row r="92" spans="1:5" x14ac:dyDescent="0.25">
      <c r="A92" s="4" t="s">
        <v>1163</v>
      </c>
      <c r="B92">
        <v>0.38</v>
      </c>
      <c r="C92">
        <f t="shared" si="5"/>
        <v>0.4</v>
      </c>
      <c r="D92">
        <f t="shared" si="3"/>
        <v>1</v>
      </c>
      <c r="E92">
        <f t="shared" si="4"/>
        <v>0</v>
      </c>
    </row>
    <row r="93" spans="1:5" x14ac:dyDescent="0.25">
      <c r="A93" s="4" t="s">
        <v>1159</v>
      </c>
      <c r="B93">
        <v>0.32</v>
      </c>
      <c r="C93">
        <f t="shared" si="5"/>
        <v>0.4</v>
      </c>
      <c r="D93">
        <f t="shared" si="3"/>
        <v>1</v>
      </c>
      <c r="E93">
        <f t="shared" si="4"/>
        <v>0</v>
      </c>
    </row>
    <row r="94" spans="1:5" x14ac:dyDescent="0.25">
      <c r="A94" s="4" t="s">
        <v>1174</v>
      </c>
      <c r="B94">
        <v>1.88</v>
      </c>
      <c r="C94">
        <f t="shared" si="5"/>
        <v>1.9000000000000001</v>
      </c>
      <c r="D94">
        <f t="shared" si="3"/>
        <v>0</v>
      </c>
      <c r="E94">
        <f t="shared" si="4"/>
        <v>1</v>
      </c>
    </row>
    <row r="95" spans="1:5" x14ac:dyDescent="0.25">
      <c r="A95" s="4" t="s">
        <v>1176</v>
      </c>
      <c r="B95">
        <v>1.04</v>
      </c>
      <c r="C95">
        <f t="shared" si="5"/>
        <v>1.1000000000000001</v>
      </c>
      <c r="D95">
        <f t="shared" ref="D95:D124" si="6">IF(C95=0,0,IF(C95&lt;=0.5,1,0))</f>
        <v>0</v>
      </c>
      <c r="E95">
        <f t="shared" ref="E95:E124" si="7">IF(C95=0,0,1-D95)</f>
        <v>1</v>
      </c>
    </row>
    <row r="96" spans="1:5" x14ac:dyDescent="0.25">
      <c r="A96" s="4" t="s">
        <v>1195</v>
      </c>
      <c r="B96">
        <v>0.5</v>
      </c>
      <c r="C96">
        <f t="shared" si="5"/>
        <v>0.5</v>
      </c>
      <c r="D96">
        <f t="shared" si="6"/>
        <v>1</v>
      </c>
      <c r="E96">
        <f t="shared" si="7"/>
        <v>0</v>
      </c>
    </row>
    <row r="97" spans="1:5" x14ac:dyDescent="0.25">
      <c r="A97" s="4" t="s">
        <v>1190</v>
      </c>
      <c r="B97">
        <v>0.27</v>
      </c>
      <c r="C97">
        <f t="shared" si="5"/>
        <v>0.30000000000000004</v>
      </c>
      <c r="D97">
        <f t="shared" si="6"/>
        <v>1</v>
      </c>
      <c r="E97">
        <f t="shared" si="7"/>
        <v>0</v>
      </c>
    </row>
    <row r="98" spans="1:5" x14ac:dyDescent="0.25">
      <c r="A98" s="4" t="s">
        <v>1169</v>
      </c>
      <c r="B98">
        <v>7.77</v>
      </c>
      <c r="C98">
        <f t="shared" si="5"/>
        <v>7.8</v>
      </c>
      <c r="D98">
        <f t="shared" si="6"/>
        <v>0</v>
      </c>
      <c r="E98">
        <f t="shared" si="7"/>
        <v>1</v>
      </c>
    </row>
    <row r="99" spans="1:5" x14ac:dyDescent="0.25">
      <c r="A99" s="4" t="s">
        <v>1215</v>
      </c>
      <c r="B99">
        <v>0.22</v>
      </c>
      <c r="C99">
        <f t="shared" si="5"/>
        <v>0.30000000000000004</v>
      </c>
      <c r="D99">
        <f t="shared" si="6"/>
        <v>1</v>
      </c>
      <c r="E99">
        <f t="shared" si="7"/>
        <v>0</v>
      </c>
    </row>
    <row r="100" spans="1:5" x14ac:dyDescent="0.25">
      <c r="A100" s="4" t="s">
        <v>1407</v>
      </c>
      <c r="B100">
        <v>0.26</v>
      </c>
      <c r="C100">
        <f t="shared" si="5"/>
        <v>0.30000000000000004</v>
      </c>
      <c r="D100">
        <f t="shared" si="6"/>
        <v>1</v>
      </c>
      <c r="E100">
        <f t="shared" si="7"/>
        <v>0</v>
      </c>
    </row>
    <row r="101" spans="1:5" x14ac:dyDescent="0.25">
      <c r="A101" s="4" t="s">
        <v>1399</v>
      </c>
      <c r="B101">
        <v>0.56000000000000005</v>
      </c>
      <c r="C101">
        <f t="shared" si="5"/>
        <v>0.6</v>
      </c>
      <c r="D101">
        <f t="shared" si="6"/>
        <v>0</v>
      </c>
      <c r="E101">
        <f t="shared" si="7"/>
        <v>1</v>
      </c>
    </row>
    <row r="102" spans="1:5" x14ac:dyDescent="0.25">
      <c r="A102" s="4" t="s">
        <v>1411</v>
      </c>
      <c r="B102">
        <v>0.34</v>
      </c>
      <c r="C102">
        <f t="shared" si="5"/>
        <v>0.4</v>
      </c>
      <c r="D102">
        <f t="shared" si="6"/>
        <v>1</v>
      </c>
      <c r="E102">
        <f t="shared" si="7"/>
        <v>0</v>
      </c>
    </row>
    <row r="103" spans="1:5" x14ac:dyDescent="0.25">
      <c r="A103" s="4" t="s">
        <v>1379</v>
      </c>
      <c r="B103">
        <v>0.48</v>
      </c>
      <c r="C103">
        <f t="shared" si="5"/>
        <v>0.5</v>
      </c>
      <c r="D103">
        <f t="shared" si="6"/>
        <v>1</v>
      </c>
      <c r="E103">
        <f t="shared" si="7"/>
        <v>0</v>
      </c>
    </row>
    <row r="104" spans="1:5" x14ac:dyDescent="0.25">
      <c r="A104" s="4" t="s">
        <v>1384</v>
      </c>
      <c r="B104">
        <v>0.44</v>
      </c>
      <c r="C104">
        <f t="shared" si="5"/>
        <v>0.5</v>
      </c>
      <c r="D104">
        <f t="shared" si="6"/>
        <v>1</v>
      </c>
      <c r="E104">
        <f t="shared" si="7"/>
        <v>0</v>
      </c>
    </row>
    <row r="105" spans="1:5" x14ac:dyDescent="0.25">
      <c r="A105" s="4" t="s">
        <v>1389</v>
      </c>
      <c r="B105">
        <v>0.42</v>
      </c>
      <c r="C105">
        <f t="shared" si="5"/>
        <v>0.5</v>
      </c>
      <c r="D105">
        <f t="shared" si="6"/>
        <v>1</v>
      </c>
      <c r="E105">
        <f t="shared" si="7"/>
        <v>0</v>
      </c>
    </row>
    <row r="106" spans="1:5" x14ac:dyDescent="0.25">
      <c r="A106" s="4" t="s">
        <v>1393</v>
      </c>
      <c r="B106">
        <v>0.56000000000000005</v>
      </c>
      <c r="C106">
        <f t="shared" si="5"/>
        <v>0.6</v>
      </c>
      <c r="D106">
        <f t="shared" si="6"/>
        <v>0</v>
      </c>
      <c r="E106">
        <f t="shared" si="7"/>
        <v>1</v>
      </c>
    </row>
    <row r="107" spans="1:5" x14ac:dyDescent="0.25">
      <c r="A107" s="4" t="s">
        <v>1395</v>
      </c>
      <c r="B107">
        <v>0.34</v>
      </c>
      <c r="C107">
        <f t="shared" si="5"/>
        <v>0.4</v>
      </c>
      <c r="D107">
        <f t="shared" si="6"/>
        <v>1</v>
      </c>
      <c r="E107">
        <f t="shared" si="7"/>
        <v>0</v>
      </c>
    </row>
    <row r="108" spans="1:5" x14ac:dyDescent="0.25">
      <c r="A108" s="4" t="s">
        <v>1403</v>
      </c>
      <c r="B108">
        <v>0.56000000000000005</v>
      </c>
      <c r="C108">
        <f t="shared" si="5"/>
        <v>0.6</v>
      </c>
      <c r="D108">
        <f t="shared" si="6"/>
        <v>0</v>
      </c>
      <c r="E108">
        <f t="shared" si="7"/>
        <v>1</v>
      </c>
    </row>
    <row r="109" spans="1:5" x14ac:dyDescent="0.25">
      <c r="A109" s="4" t="s">
        <v>1783</v>
      </c>
      <c r="B109">
        <v>0.72</v>
      </c>
      <c r="C109">
        <f t="shared" si="5"/>
        <v>0.79999999999999993</v>
      </c>
      <c r="D109">
        <f t="shared" si="6"/>
        <v>0</v>
      </c>
      <c r="E109">
        <f t="shared" si="7"/>
        <v>1</v>
      </c>
    </row>
    <row r="110" spans="1:5" x14ac:dyDescent="0.25">
      <c r="A110" s="4" t="s">
        <v>1787</v>
      </c>
      <c r="B110">
        <v>0.32</v>
      </c>
      <c r="C110">
        <f t="shared" si="5"/>
        <v>0.4</v>
      </c>
      <c r="D110">
        <f t="shared" si="6"/>
        <v>1</v>
      </c>
      <c r="E110">
        <f t="shared" si="7"/>
        <v>0</v>
      </c>
    </row>
    <row r="111" spans="1:5" x14ac:dyDescent="0.25">
      <c r="A111" s="4" t="s">
        <v>1792</v>
      </c>
      <c r="B111">
        <v>0.44</v>
      </c>
      <c r="C111">
        <f t="shared" si="5"/>
        <v>0.5</v>
      </c>
      <c r="D111">
        <f t="shared" si="6"/>
        <v>1</v>
      </c>
      <c r="E111">
        <f t="shared" si="7"/>
        <v>0</v>
      </c>
    </row>
    <row r="112" spans="1:5" x14ac:dyDescent="0.25">
      <c r="A112" s="4" t="s">
        <v>1797</v>
      </c>
      <c r="B112">
        <v>0.22</v>
      </c>
      <c r="C112">
        <f t="shared" si="5"/>
        <v>0.30000000000000004</v>
      </c>
      <c r="D112">
        <f t="shared" si="6"/>
        <v>1</v>
      </c>
      <c r="E112">
        <f t="shared" si="7"/>
        <v>0</v>
      </c>
    </row>
    <row r="113" spans="1:5" x14ac:dyDescent="0.25">
      <c r="A113" s="4" t="s">
        <v>1801</v>
      </c>
      <c r="B113">
        <v>0.28000000000000003</v>
      </c>
      <c r="C113">
        <f t="shared" si="5"/>
        <v>0.30000000000000004</v>
      </c>
      <c r="D113">
        <f t="shared" si="6"/>
        <v>1</v>
      </c>
      <c r="E113">
        <f t="shared" si="7"/>
        <v>0</v>
      </c>
    </row>
    <row r="114" spans="1:5" x14ac:dyDescent="0.25">
      <c r="A114" s="4" t="s">
        <v>1806</v>
      </c>
      <c r="B114">
        <v>0.24</v>
      </c>
      <c r="C114">
        <f t="shared" si="5"/>
        <v>0.30000000000000004</v>
      </c>
      <c r="D114">
        <f t="shared" si="6"/>
        <v>1</v>
      </c>
      <c r="E114">
        <f t="shared" si="7"/>
        <v>0</v>
      </c>
    </row>
    <row r="115" spans="1:5" x14ac:dyDescent="0.25">
      <c r="A115" s="4" t="s">
        <v>1920</v>
      </c>
      <c r="B115">
        <v>0.36</v>
      </c>
      <c r="C115">
        <f t="shared" si="5"/>
        <v>0.4</v>
      </c>
      <c r="D115">
        <f t="shared" si="6"/>
        <v>1</v>
      </c>
      <c r="E115">
        <f t="shared" si="7"/>
        <v>0</v>
      </c>
    </row>
    <row r="116" spans="1:5" x14ac:dyDescent="0.25">
      <c r="A116" s="4" t="s">
        <v>1925</v>
      </c>
      <c r="B116">
        <v>0.5</v>
      </c>
      <c r="C116">
        <f t="shared" si="5"/>
        <v>0.5</v>
      </c>
      <c r="D116">
        <f t="shared" si="6"/>
        <v>1</v>
      </c>
      <c r="E116">
        <f t="shared" si="7"/>
        <v>0</v>
      </c>
    </row>
    <row r="117" spans="1:5" x14ac:dyDescent="0.25">
      <c r="A117" s="4" t="s">
        <v>1930</v>
      </c>
      <c r="B117">
        <v>0.5</v>
      </c>
      <c r="C117">
        <f t="shared" si="5"/>
        <v>0.5</v>
      </c>
      <c r="D117">
        <f t="shared" si="6"/>
        <v>1</v>
      </c>
      <c r="E117">
        <f t="shared" si="7"/>
        <v>0</v>
      </c>
    </row>
    <row r="118" spans="1:5" x14ac:dyDescent="0.25">
      <c r="A118" s="4" t="s">
        <v>1934</v>
      </c>
      <c r="B118">
        <v>0.3</v>
      </c>
      <c r="C118">
        <f t="shared" si="5"/>
        <v>0.3</v>
      </c>
      <c r="D118">
        <f t="shared" si="6"/>
        <v>1</v>
      </c>
      <c r="E118">
        <f t="shared" si="7"/>
        <v>0</v>
      </c>
    </row>
    <row r="119" spans="1:5" x14ac:dyDescent="0.25">
      <c r="A119" s="4" t="s">
        <v>1938</v>
      </c>
      <c r="B119">
        <v>0.36</v>
      </c>
      <c r="C119">
        <f t="shared" si="5"/>
        <v>0.4</v>
      </c>
      <c r="D119">
        <f t="shared" si="6"/>
        <v>1</v>
      </c>
      <c r="E119">
        <f t="shared" si="7"/>
        <v>0</v>
      </c>
    </row>
    <row r="120" spans="1:5" x14ac:dyDescent="0.25">
      <c r="A120" s="4" t="s">
        <v>1942</v>
      </c>
      <c r="B120">
        <v>1.19</v>
      </c>
      <c r="C120">
        <f t="shared" si="5"/>
        <v>1.2000000000000002</v>
      </c>
      <c r="D120">
        <f t="shared" si="6"/>
        <v>0</v>
      </c>
      <c r="E120">
        <f t="shared" si="7"/>
        <v>1</v>
      </c>
    </row>
    <row r="121" spans="1:5" x14ac:dyDescent="0.25">
      <c r="A121" s="4" t="s">
        <v>1946</v>
      </c>
      <c r="B121">
        <v>0.96</v>
      </c>
      <c r="C121">
        <f t="shared" si="5"/>
        <v>1</v>
      </c>
      <c r="D121">
        <f t="shared" si="6"/>
        <v>0</v>
      </c>
      <c r="E121">
        <f t="shared" si="7"/>
        <v>1</v>
      </c>
    </row>
    <row r="122" spans="1:5" x14ac:dyDescent="0.25">
      <c r="A122" s="4" t="s">
        <v>1983</v>
      </c>
      <c r="B122">
        <v>0.3</v>
      </c>
      <c r="C122">
        <f t="shared" si="5"/>
        <v>0.3</v>
      </c>
      <c r="D122">
        <f t="shared" si="6"/>
        <v>1</v>
      </c>
      <c r="E122">
        <f t="shared" si="7"/>
        <v>0</v>
      </c>
    </row>
    <row r="123" spans="1:5" x14ac:dyDescent="0.25">
      <c r="A123" s="4" t="s">
        <v>1988</v>
      </c>
      <c r="B123">
        <v>0.24</v>
      </c>
      <c r="C123">
        <f t="shared" si="5"/>
        <v>0.30000000000000004</v>
      </c>
      <c r="D123">
        <f t="shared" si="6"/>
        <v>1</v>
      </c>
      <c r="E123">
        <f t="shared" si="7"/>
        <v>0</v>
      </c>
    </row>
    <row r="124" spans="1:5" x14ac:dyDescent="0.25">
      <c r="A124" s="4" t="s">
        <v>1992</v>
      </c>
      <c r="B124">
        <v>0.34</v>
      </c>
      <c r="C124">
        <f t="shared" si="5"/>
        <v>0.4</v>
      </c>
      <c r="D124">
        <f t="shared" si="6"/>
        <v>1</v>
      </c>
      <c r="E124">
        <f t="shared" si="7"/>
        <v>0</v>
      </c>
    </row>
    <row r="125" spans="1:5" x14ac:dyDescent="0.25">
      <c r="A125" s="4" t="s">
        <v>2244</v>
      </c>
      <c r="B125">
        <v>0.42</v>
      </c>
      <c r="C125">
        <f t="shared" ref="C125:C188" si="8">ROUNDUP(B125,1)</f>
        <v>0.5</v>
      </c>
      <c r="D125">
        <f t="shared" ref="D125:D188" si="9">IF(C125=0,0,IF(C125&lt;=0.5,1,0))</f>
        <v>1</v>
      </c>
      <c r="E125">
        <f t="shared" ref="E125:E188" si="10">IF(C125=0,0,1-D125)</f>
        <v>0</v>
      </c>
    </row>
    <row r="126" spans="1:5" x14ac:dyDescent="0.25">
      <c r="A126" s="4" t="s">
        <v>335</v>
      </c>
      <c r="B126">
        <v>0</v>
      </c>
      <c r="C126">
        <f t="shared" si="8"/>
        <v>0</v>
      </c>
      <c r="D126">
        <f t="shared" si="9"/>
        <v>0</v>
      </c>
      <c r="E126">
        <f t="shared" si="10"/>
        <v>0</v>
      </c>
    </row>
    <row r="127" spans="1:5" x14ac:dyDescent="0.25">
      <c r="A127" s="4" t="s">
        <v>382</v>
      </c>
      <c r="B127">
        <v>1.53</v>
      </c>
      <c r="C127">
        <f t="shared" si="8"/>
        <v>1.6</v>
      </c>
      <c r="D127">
        <f t="shared" si="9"/>
        <v>0</v>
      </c>
      <c r="E127">
        <f t="shared" si="10"/>
        <v>1</v>
      </c>
    </row>
    <row r="128" spans="1:5" x14ac:dyDescent="0.25">
      <c r="A128" s="4" t="s">
        <v>391</v>
      </c>
      <c r="B128">
        <v>1.1499999999999999</v>
      </c>
      <c r="C128">
        <f t="shared" si="8"/>
        <v>1.2000000000000002</v>
      </c>
      <c r="D128">
        <f t="shared" si="9"/>
        <v>0</v>
      </c>
      <c r="E128">
        <f t="shared" si="10"/>
        <v>1</v>
      </c>
    </row>
    <row r="129" spans="1:5" x14ac:dyDescent="0.25">
      <c r="A129" s="4" t="s">
        <v>399</v>
      </c>
      <c r="B129">
        <v>0.86</v>
      </c>
      <c r="C129">
        <f t="shared" si="8"/>
        <v>0.9</v>
      </c>
      <c r="D129">
        <f t="shared" si="9"/>
        <v>0</v>
      </c>
      <c r="E129">
        <f t="shared" si="10"/>
        <v>1</v>
      </c>
    </row>
    <row r="130" spans="1:5" x14ac:dyDescent="0.25">
      <c r="A130" s="4" t="s">
        <v>395</v>
      </c>
      <c r="B130">
        <v>0.85</v>
      </c>
      <c r="C130">
        <f t="shared" si="8"/>
        <v>0.9</v>
      </c>
      <c r="D130">
        <f t="shared" si="9"/>
        <v>0</v>
      </c>
      <c r="E130">
        <f t="shared" si="10"/>
        <v>1</v>
      </c>
    </row>
    <row r="131" spans="1:5" x14ac:dyDescent="0.25">
      <c r="A131" s="4" t="s">
        <v>373</v>
      </c>
      <c r="B131">
        <v>2.38</v>
      </c>
      <c r="C131">
        <f t="shared" si="8"/>
        <v>2.4</v>
      </c>
      <c r="D131">
        <f t="shared" si="9"/>
        <v>0</v>
      </c>
      <c r="E131">
        <f t="shared" si="10"/>
        <v>1</v>
      </c>
    </row>
    <row r="132" spans="1:5" x14ac:dyDescent="0.25">
      <c r="A132" s="4" t="s">
        <v>404</v>
      </c>
      <c r="B132">
        <v>0.48</v>
      </c>
      <c r="C132">
        <f t="shared" si="8"/>
        <v>0.5</v>
      </c>
      <c r="D132">
        <f t="shared" si="9"/>
        <v>1</v>
      </c>
      <c r="E132">
        <f t="shared" si="10"/>
        <v>0</v>
      </c>
    </row>
    <row r="133" spans="1:5" x14ac:dyDescent="0.25">
      <c r="A133" s="4" t="s">
        <v>368</v>
      </c>
      <c r="B133">
        <v>2.42</v>
      </c>
      <c r="C133">
        <f t="shared" si="8"/>
        <v>2.5</v>
      </c>
      <c r="D133">
        <f t="shared" si="9"/>
        <v>0</v>
      </c>
      <c r="E133">
        <f t="shared" si="10"/>
        <v>1</v>
      </c>
    </row>
    <row r="134" spans="1:5" x14ac:dyDescent="0.25">
      <c r="A134" s="4" t="s">
        <v>387</v>
      </c>
      <c r="B134">
        <v>1.1499999999999999</v>
      </c>
      <c r="C134">
        <f t="shared" si="8"/>
        <v>1.2000000000000002</v>
      </c>
      <c r="D134">
        <f t="shared" si="9"/>
        <v>0</v>
      </c>
      <c r="E134">
        <f t="shared" si="10"/>
        <v>1</v>
      </c>
    </row>
    <row r="135" spans="1:5" x14ac:dyDescent="0.25">
      <c r="A135" s="4" t="s">
        <v>378</v>
      </c>
      <c r="B135">
        <v>1.7</v>
      </c>
      <c r="C135">
        <f t="shared" si="8"/>
        <v>1.7</v>
      </c>
      <c r="D135">
        <f t="shared" si="9"/>
        <v>0</v>
      </c>
      <c r="E135">
        <f t="shared" si="10"/>
        <v>1</v>
      </c>
    </row>
    <row r="136" spans="1:5" x14ac:dyDescent="0.25">
      <c r="A136" s="4" t="s">
        <v>435</v>
      </c>
      <c r="B136">
        <v>1.1100000000000001</v>
      </c>
      <c r="C136">
        <f t="shared" si="8"/>
        <v>1.2000000000000002</v>
      </c>
      <c r="D136">
        <f t="shared" si="9"/>
        <v>0</v>
      </c>
      <c r="E136">
        <f t="shared" si="10"/>
        <v>1</v>
      </c>
    </row>
    <row r="137" spans="1:5" x14ac:dyDescent="0.25">
      <c r="A137" s="4" t="s">
        <v>474</v>
      </c>
      <c r="B137">
        <v>2.06</v>
      </c>
      <c r="C137">
        <f t="shared" si="8"/>
        <v>2.1</v>
      </c>
      <c r="D137">
        <f t="shared" si="9"/>
        <v>0</v>
      </c>
      <c r="E137">
        <f t="shared" si="10"/>
        <v>1</v>
      </c>
    </row>
    <row r="138" spans="1:5" x14ac:dyDescent="0.25">
      <c r="A138" s="4" t="s">
        <v>430</v>
      </c>
      <c r="B138">
        <v>1.18</v>
      </c>
      <c r="C138">
        <f t="shared" si="8"/>
        <v>1.2000000000000002</v>
      </c>
      <c r="D138">
        <f t="shared" si="9"/>
        <v>0</v>
      </c>
      <c r="E138">
        <f t="shared" si="10"/>
        <v>1</v>
      </c>
    </row>
    <row r="139" spans="1:5" x14ac:dyDescent="0.25">
      <c r="A139" s="4" t="s">
        <v>479</v>
      </c>
      <c r="B139">
        <v>1.1499999999999999</v>
      </c>
      <c r="C139">
        <f t="shared" si="8"/>
        <v>1.2000000000000002</v>
      </c>
      <c r="D139">
        <f t="shared" si="9"/>
        <v>0</v>
      </c>
      <c r="E139">
        <f t="shared" si="10"/>
        <v>1</v>
      </c>
    </row>
    <row r="140" spans="1:5" x14ac:dyDescent="0.25">
      <c r="A140" s="4" t="s">
        <v>484</v>
      </c>
      <c r="B140">
        <v>1.92</v>
      </c>
      <c r="C140">
        <f t="shared" si="8"/>
        <v>2</v>
      </c>
      <c r="D140">
        <f t="shared" si="9"/>
        <v>0</v>
      </c>
      <c r="E140">
        <f t="shared" si="10"/>
        <v>1</v>
      </c>
    </row>
    <row r="141" spans="1:5" x14ac:dyDescent="0.25">
      <c r="A141" s="4" t="s">
        <v>489</v>
      </c>
      <c r="B141">
        <v>1.26</v>
      </c>
      <c r="C141">
        <f t="shared" si="8"/>
        <v>1.3</v>
      </c>
      <c r="D141">
        <f t="shared" si="9"/>
        <v>0</v>
      </c>
      <c r="E141">
        <f t="shared" si="10"/>
        <v>1</v>
      </c>
    </row>
    <row r="142" spans="1:5" x14ac:dyDescent="0.25">
      <c r="A142" s="4" t="s">
        <v>494</v>
      </c>
      <c r="B142">
        <v>1.88</v>
      </c>
      <c r="C142">
        <f t="shared" si="8"/>
        <v>1.9000000000000001</v>
      </c>
      <c r="D142">
        <f t="shared" si="9"/>
        <v>0</v>
      </c>
      <c r="E142">
        <f t="shared" si="10"/>
        <v>1</v>
      </c>
    </row>
    <row r="143" spans="1:5" x14ac:dyDescent="0.25">
      <c r="A143" s="4" t="s">
        <v>444</v>
      </c>
      <c r="B143">
        <v>0.86</v>
      </c>
      <c r="C143">
        <f t="shared" si="8"/>
        <v>0.9</v>
      </c>
      <c r="D143">
        <f t="shared" si="9"/>
        <v>0</v>
      </c>
      <c r="E143">
        <f t="shared" si="10"/>
        <v>1</v>
      </c>
    </row>
    <row r="144" spans="1:5" x14ac:dyDescent="0.25">
      <c r="A144" s="4" t="s">
        <v>498</v>
      </c>
      <c r="B144">
        <v>1.2</v>
      </c>
      <c r="C144">
        <f t="shared" si="8"/>
        <v>1.2</v>
      </c>
      <c r="D144">
        <f t="shared" si="9"/>
        <v>0</v>
      </c>
      <c r="E144">
        <f t="shared" si="10"/>
        <v>1</v>
      </c>
    </row>
    <row r="145" spans="1:5" x14ac:dyDescent="0.25">
      <c r="A145" s="4" t="s">
        <v>502</v>
      </c>
      <c r="B145">
        <v>1.91</v>
      </c>
      <c r="C145">
        <f t="shared" si="8"/>
        <v>2</v>
      </c>
      <c r="D145">
        <f t="shared" si="9"/>
        <v>0</v>
      </c>
      <c r="E145">
        <f t="shared" si="10"/>
        <v>1</v>
      </c>
    </row>
    <row r="146" spans="1:5" x14ac:dyDescent="0.25">
      <c r="A146" s="4" t="s">
        <v>459</v>
      </c>
      <c r="B146">
        <v>0.5</v>
      </c>
      <c r="C146">
        <f t="shared" si="8"/>
        <v>0.5</v>
      </c>
      <c r="D146">
        <f t="shared" si="9"/>
        <v>1</v>
      </c>
      <c r="E146">
        <f t="shared" si="10"/>
        <v>0</v>
      </c>
    </row>
    <row r="147" spans="1:5" x14ac:dyDescent="0.25">
      <c r="A147" s="4" t="s">
        <v>507</v>
      </c>
      <c r="B147">
        <v>1.52</v>
      </c>
      <c r="C147">
        <f t="shared" si="8"/>
        <v>1.6</v>
      </c>
      <c r="D147">
        <f t="shared" si="9"/>
        <v>0</v>
      </c>
      <c r="E147">
        <f t="shared" si="10"/>
        <v>1</v>
      </c>
    </row>
    <row r="148" spans="1:5" x14ac:dyDescent="0.25">
      <c r="A148" s="4" t="s">
        <v>512</v>
      </c>
      <c r="B148">
        <v>2.2400000000000002</v>
      </c>
      <c r="C148">
        <f t="shared" si="8"/>
        <v>2.3000000000000003</v>
      </c>
      <c r="D148">
        <f t="shared" si="9"/>
        <v>0</v>
      </c>
      <c r="E148">
        <f t="shared" si="10"/>
        <v>1</v>
      </c>
    </row>
    <row r="149" spans="1:5" x14ac:dyDescent="0.25">
      <c r="A149" s="4" t="s">
        <v>469</v>
      </c>
      <c r="B149">
        <v>2.2999999999999998</v>
      </c>
      <c r="C149">
        <f t="shared" si="8"/>
        <v>2.2999999999999998</v>
      </c>
      <c r="D149">
        <f t="shared" si="9"/>
        <v>0</v>
      </c>
      <c r="E149">
        <f t="shared" si="10"/>
        <v>1</v>
      </c>
    </row>
    <row r="150" spans="1:5" x14ac:dyDescent="0.25">
      <c r="A150" s="4" t="s">
        <v>516</v>
      </c>
      <c r="B150">
        <v>1.32</v>
      </c>
      <c r="C150">
        <f t="shared" si="8"/>
        <v>1.4000000000000001</v>
      </c>
      <c r="D150">
        <f t="shared" si="9"/>
        <v>0</v>
      </c>
      <c r="E150">
        <f t="shared" si="10"/>
        <v>1</v>
      </c>
    </row>
    <row r="151" spans="1:5" x14ac:dyDescent="0.25">
      <c r="A151" s="4" t="s">
        <v>454</v>
      </c>
      <c r="B151">
        <v>0.45</v>
      </c>
      <c r="C151">
        <f t="shared" si="8"/>
        <v>0.5</v>
      </c>
      <c r="D151">
        <f t="shared" si="9"/>
        <v>1</v>
      </c>
      <c r="E151">
        <f t="shared" si="10"/>
        <v>0</v>
      </c>
    </row>
    <row r="152" spans="1:5" x14ac:dyDescent="0.25">
      <c r="A152" s="4" t="s">
        <v>449</v>
      </c>
      <c r="B152">
        <v>0.5</v>
      </c>
      <c r="C152">
        <f t="shared" si="8"/>
        <v>0.5</v>
      </c>
      <c r="D152">
        <f t="shared" si="9"/>
        <v>1</v>
      </c>
      <c r="E152">
        <f t="shared" si="10"/>
        <v>0</v>
      </c>
    </row>
    <row r="153" spans="1:5" x14ac:dyDescent="0.25">
      <c r="A153" s="4" t="s">
        <v>521</v>
      </c>
      <c r="B153">
        <v>1.1399999999999999</v>
      </c>
      <c r="C153">
        <f t="shared" si="8"/>
        <v>1.2000000000000002</v>
      </c>
      <c r="D153">
        <f t="shared" si="9"/>
        <v>0</v>
      </c>
      <c r="E153">
        <f t="shared" si="10"/>
        <v>1</v>
      </c>
    </row>
    <row r="154" spans="1:5" x14ac:dyDescent="0.25">
      <c r="A154" s="4" t="s">
        <v>464</v>
      </c>
      <c r="B154">
        <v>4.8</v>
      </c>
      <c r="C154">
        <f t="shared" si="8"/>
        <v>4.8</v>
      </c>
      <c r="D154">
        <f t="shared" si="9"/>
        <v>0</v>
      </c>
      <c r="E154">
        <f t="shared" si="10"/>
        <v>1</v>
      </c>
    </row>
    <row r="155" spans="1:5" x14ac:dyDescent="0.25">
      <c r="A155" s="4" t="s">
        <v>525</v>
      </c>
      <c r="B155">
        <v>1.2</v>
      </c>
      <c r="C155">
        <f t="shared" si="8"/>
        <v>1.2</v>
      </c>
      <c r="D155">
        <f t="shared" si="9"/>
        <v>0</v>
      </c>
      <c r="E155">
        <f t="shared" si="10"/>
        <v>1</v>
      </c>
    </row>
    <row r="156" spans="1:5" x14ac:dyDescent="0.25">
      <c r="A156" s="4" t="s">
        <v>440</v>
      </c>
      <c r="B156">
        <v>0.84</v>
      </c>
      <c r="C156">
        <f t="shared" si="8"/>
        <v>0.9</v>
      </c>
      <c r="D156">
        <f t="shared" si="9"/>
        <v>0</v>
      </c>
      <c r="E156">
        <f t="shared" si="10"/>
        <v>1</v>
      </c>
    </row>
    <row r="157" spans="1:5" x14ac:dyDescent="0.25">
      <c r="A157" s="4" t="s">
        <v>529</v>
      </c>
      <c r="B157">
        <v>1.66</v>
      </c>
      <c r="C157">
        <f t="shared" si="8"/>
        <v>1.7000000000000002</v>
      </c>
      <c r="D157">
        <f t="shared" si="9"/>
        <v>0</v>
      </c>
      <c r="E157">
        <f t="shared" si="10"/>
        <v>1</v>
      </c>
    </row>
    <row r="158" spans="1:5" x14ac:dyDescent="0.25">
      <c r="A158" s="4" t="s">
        <v>610</v>
      </c>
      <c r="B158">
        <v>1.18</v>
      </c>
      <c r="C158">
        <f t="shared" si="8"/>
        <v>1.2000000000000002</v>
      </c>
      <c r="D158">
        <f t="shared" si="9"/>
        <v>0</v>
      </c>
      <c r="E158">
        <f t="shared" si="10"/>
        <v>1</v>
      </c>
    </row>
    <row r="159" spans="1:5" x14ac:dyDescent="0.25">
      <c r="A159" s="4" t="s">
        <v>612</v>
      </c>
      <c r="B159">
        <v>1.6</v>
      </c>
      <c r="C159">
        <f t="shared" si="8"/>
        <v>1.6</v>
      </c>
      <c r="D159">
        <f t="shared" si="9"/>
        <v>0</v>
      </c>
      <c r="E159">
        <f t="shared" si="10"/>
        <v>1</v>
      </c>
    </row>
    <row r="160" spans="1:5" x14ac:dyDescent="0.25">
      <c r="A160" s="4" t="s">
        <v>617</v>
      </c>
      <c r="B160">
        <v>1.1100000000000001</v>
      </c>
      <c r="C160">
        <f t="shared" si="8"/>
        <v>1.2000000000000002</v>
      </c>
      <c r="D160">
        <f t="shared" si="9"/>
        <v>0</v>
      </c>
      <c r="E160">
        <f t="shared" si="10"/>
        <v>1</v>
      </c>
    </row>
    <row r="161" spans="1:5" x14ac:dyDescent="0.25">
      <c r="A161" s="4" t="s">
        <v>622</v>
      </c>
      <c r="B161">
        <v>1.1100000000000001</v>
      </c>
      <c r="C161">
        <f t="shared" si="8"/>
        <v>1.2000000000000002</v>
      </c>
      <c r="D161">
        <f t="shared" si="9"/>
        <v>0</v>
      </c>
      <c r="E161">
        <f t="shared" si="10"/>
        <v>1</v>
      </c>
    </row>
    <row r="162" spans="1:5" x14ac:dyDescent="0.25">
      <c r="A162" s="4" t="s">
        <v>627</v>
      </c>
      <c r="B162">
        <v>1.56</v>
      </c>
      <c r="C162">
        <f t="shared" si="8"/>
        <v>1.6</v>
      </c>
      <c r="D162">
        <f t="shared" si="9"/>
        <v>0</v>
      </c>
      <c r="E162">
        <f t="shared" si="10"/>
        <v>1</v>
      </c>
    </row>
    <row r="163" spans="1:5" x14ac:dyDescent="0.25">
      <c r="A163" s="4" t="s">
        <v>631</v>
      </c>
      <c r="B163">
        <v>0.48</v>
      </c>
      <c r="C163">
        <f t="shared" si="8"/>
        <v>0.5</v>
      </c>
      <c r="D163">
        <f t="shared" si="9"/>
        <v>1</v>
      </c>
      <c r="E163">
        <f t="shared" si="10"/>
        <v>0</v>
      </c>
    </row>
    <row r="164" spans="1:5" x14ac:dyDescent="0.25">
      <c r="A164" s="4" t="s">
        <v>636</v>
      </c>
      <c r="B164">
        <v>1.56</v>
      </c>
      <c r="C164">
        <f t="shared" si="8"/>
        <v>1.6</v>
      </c>
      <c r="D164">
        <f t="shared" si="9"/>
        <v>0</v>
      </c>
      <c r="E164">
        <f t="shared" si="10"/>
        <v>1</v>
      </c>
    </row>
    <row r="165" spans="1:5" x14ac:dyDescent="0.25">
      <c r="A165" s="4" t="s">
        <v>641</v>
      </c>
      <c r="B165">
        <v>2.0499999999999998</v>
      </c>
      <c r="C165">
        <f t="shared" si="8"/>
        <v>2.1</v>
      </c>
      <c r="D165">
        <f t="shared" si="9"/>
        <v>0</v>
      </c>
      <c r="E165">
        <f t="shared" si="10"/>
        <v>1</v>
      </c>
    </row>
    <row r="166" spans="1:5" x14ac:dyDescent="0.25">
      <c r="A166" s="4" t="s">
        <v>646</v>
      </c>
      <c r="B166">
        <v>3.88</v>
      </c>
      <c r="C166">
        <f t="shared" si="8"/>
        <v>3.9</v>
      </c>
      <c r="D166">
        <f t="shared" si="9"/>
        <v>0</v>
      </c>
      <c r="E166">
        <f t="shared" si="10"/>
        <v>1</v>
      </c>
    </row>
    <row r="167" spans="1:5" x14ac:dyDescent="0.25">
      <c r="A167" s="4" t="s">
        <v>666</v>
      </c>
      <c r="B167">
        <v>3.12</v>
      </c>
      <c r="C167">
        <f t="shared" si="8"/>
        <v>3.2</v>
      </c>
      <c r="D167">
        <f t="shared" si="9"/>
        <v>0</v>
      </c>
      <c r="E167">
        <f t="shared" si="10"/>
        <v>1</v>
      </c>
    </row>
    <row r="168" spans="1:5" x14ac:dyDescent="0.25">
      <c r="A168" s="4" t="s">
        <v>664</v>
      </c>
      <c r="B168">
        <v>0.81</v>
      </c>
      <c r="C168">
        <f t="shared" si="8"/>
        <v>0.9</v>
      </c>
      <c r="D168">
        <f t="shared" si="9"/>
        <v>0</v>
      </c>
      <c r="E168">
        <f t="shared" si="10"/>
        <v>1</v>
      </c>
    </row>
    <row r="169" spans="1:5" x14ac:dyDescent="0.25">
      <c r="A169" s="4" t="s">
        <v>689</v>
      </c>
      <c r="B169">
        <v>1.95</v>
      </c>
      <c r="C169">
        <f t="shared" si="8"/>
        <v>2</v>
      </c>
      <c r="D169">
        <f t="shared" si="9"/>
        <v>0</v>
      </c>
      <c r="E169">
        <f t="shared" si="10"/>
        <v>1</v>
      </c>
    </row>
    <row r="170" spans="1:5" x14ac:dyDescent="0.25">
      <c r="A170" s="4" t="s">
        <v>694</v>
      </c>
      <c r="B170">
        <v>1.1599999999999999</v>
      </c>
      <c r="C170">
        <f t="shared" si="8"/>
        <v>1.2000000000000002</v>
      </c>
      <c r="D170">
        <f t="shared" si="9"/>
        <v>0</v>
      </c>
      <c r="E170">
        <f t="shared" si="10"/>
        <v>1</v>
      </c>
    </row>
    <row r="171" spans="1:5" x14ac:dyDescent="0.25">
      <c r="A171" s="4" t="s">
        <v>671</v>
      </c>
      <c r="B171">
        <v>2</v>
      </c>
      <c r="C171">
        <f t="shared" si="8"/>
        <v>2</v>
      </c>
      <c r="D171">
        <f t="shared" si="9"/>
        <v>0</v>
      </c>
      <c r="E171">
        <f t="shared" si="10"/>
        <v>1</v>
      </c>
    </row>
    <row r="172" spans="1:5" x14ac:dyDescent="0.25">
      <c r="A172" s="4" t="s">
        <v>699</v>
      </c>
      <c r="B172">
        <v>0.45</v>
      </c>
      <c r="C172">
        <f t="shared" si="8"/>
        <v>0.5</v>
      </c>
      <c r="D172">
        <f t="shared" si="9"/>
        <v>1</v>
      </c>
      <c r="E172">
        <f t="shared" si="10"/>
        <v>0</v>
      </c>
    </row>
    <row r="173" spans="1:5" x14ac:dyDescent="0.25">
      <c r="A173" s="4" t="s">
        <v>753</v>
      </c>
      <c r="B173">
        <v>2.46</v>
      </c>
      <c r="C173">
        <f t="shared" si="8"/>
        <v>2.5</v>
      </c>
      <c r="D173">
        <f t="shared" si="9"/>
        <v>0</v>
      </c>
      <c r="E173">
        <f t="shared" si="10"/>
        <v>1</v>
      </c>
    </row>
    <row r="174" spans="1:5" x14ac:dyDescent="0.25">
      <c r="A174" s="4" t="s">
        <v>751</v>
      </c>
      <c r="B174">
        <v>3.05</v>
      </c>
      <c r="C174">
        <f t="shared" si="8"/>
        <v>3.1</v>
      </c>
      <c r="D174">
        <f t="shared" si="9"/>
        <v>0</v>
      </c>
      <c r="E174">
        <f t="shared" si="10"/>
        <v>1</v>
      </c>
    </row>
    <row r="175" spans="1:5" x14ac:dyDescent="0.25">
      <c r="A175" s="4" t="s">
        <v>739</v>
      </c>
      <c r="B175">
        <v>1.7</v>
      </c>
      <c r="C175">
        <f t="shared" si="8"/>
        <v>1.7</v>
      </c>
      <c r="D175">
        <f t="shared" si="9"/>
        <v>0</v>
      </c>
      <c r="E175">
        <f t="shared" si="10"/>
        <v>1</v>
      </c>
    </row>
    <row r="176" spans="1:5" x14ac:dyDescent="0.25">
      <c r="A176" s="4" t="s">
        <v>741</v>
      </c>
      <c r="B176">
        <v>1.18</v>
      </c>
      <c r="C176">
        <f t="shared" si="8"/>
        <v>1.2000000000000002</v>
      </c>
      <c r="D176">
        <f t="shared" si="9"/>
        <v>0</v>
      </c>
      <c r="E176">
        <f t="shared" si="10"/>
        <v>1</v>
      </c>
    </row>
    <row r="177" spans="1:5" x14ac:dyDescent="0.25">
      <c r="A177" s="4" t="s">
        <v>734</v>
      </c>
      <c r="B177">
        <v>1.66</v>
      </c>
      <c r="C177">
        <f t="shared" si="8"/>
        <v>1.7000000000000002</v>
      </c>
      <c r="D177">
        <f t="shared" si="9"/>
        <v>0</v>
      </c>
      <c r="E177">
        <f t="shared" si="10"/>
        <v>1</v>
      </c>
    </row>
    <row r="178" spans="1:5" x14ac:dyDescent="0.25">
      <c r="A178" s="4" t="s">
        <v>729</v>
      </c>
      <c r="B178">
        <v>1.92</v>
      </c>
      <c r="C178">
        <f t="shared" si="8"/>
        <v>2</v>
      </c>
      <c r="D178">
        <f t="shared" si="9"/>
        <v>0</v>
      </c>
      <c r="E178">
        <f t="shared" si="10"/>
        <v>1</v>
      </c>
    </row>
    <row r="179" spans="1:5" x14ac:dyDescent="0.25">
      <c r="A179" s="4" t="s">
        <v>746</v>
      </c>
      <c r="B179">
        <v>1.62</v>
      </c>
      <c r="C179">
        <f t="shared" si="8"/>
        <v>1.7000000000000002</v>
      </c>
      <c r="D179">
        <f t="shared" si="9"/>
        <v>0</v>
      </c>
      <c r="E179">
        <f t="shared" si="10"/>
        <v>1</v>
      </c>
    </row>
    <row r="180" spans="1:5" x14ac:dyDescent="0.25">
      <c r="A180" s="4" t="s">
        <v>766</v>
      </c>
      <c r="B180">
        <v>5.44</v>
      </c>
      <c r="C180">
        <f t="shared" si="8"/>
        <v>5.5</v>
      </c>
      <c r="D180">
        <f t="shared" si="9"/>
        <v>0</v>
      </c>
      <c r="E180">
        <f t="shared" si="10"/>
        <v>1</v>
      </c>
    </row>
    <row r="181" spans="1:5" x14ac:dyDescent="0.25">
      <c r="A181" s="4" t="s">
        <v>790</v>
      </c>
      <c r="B181">
        <v>0.44</v>
      </c>
      <c r="C181">
        <f t="shared" si="8"/>
        <v>0.5</v>
      </c>
      <c r="D181">
        <f t="shared" si="9"/>
        <v>1</v>
      </c>
      <c r="E181">
        <f t="shared" si="10"/>
        <v>0</v>
      </c>
    </row>
    <row r="182" spans="1:5" x14ac:dyDescent="0.25">
      <c r="A182" s="4" t="s">
        <v>795</v>
      </c>
      <c r="B182">
        <v>2.2799999999999998</v>
      </c>
      <c r="C182">
        <f t="shared" si="8"/>
        <v>2.3000000000000003</v>
      </c>
      <c r="D182">
        <f t="shared" si="9"/>
        <v>0</v>
      </c>
      <c r="E182">
        <f t="shared" si="10"/>
        <v>1</v>
      </c>
    </row>
    <row r="183" spans="1:5" x14ac:dyDescent="0.25">
      <c r="A183" s="4" t="s">
        <v>780</v>
      </c>
      <c r="B183">
        <v>1.72</v>
      </c>
      <c r="C183">
        <f t="shared" si="8"/>
        <v>1.8</v>
      </c>
      <c r="D183">
        <f t="shared" si="9"/>
        <v>0</v>
      </c>
      <c r="E183">
        <f t="shared" si="10"/>
        <v>1</v>
      </c>
    </row>
    <row r="184" spans="1:5" x14ac:dyDescent="0.25">
      <c r="A184" s="4" t="s">
        <v>785</v>
      </c>
      <c r="B184">
        <v>0.52</v>
      </c>
      <c r="C184">
        <f t="shared" si="8"/>
        <v>0.6</v>
      </c>
      <c r="D184">
        <f t="shared" si="9"/>
        <v>0</v>
      </c>
      <c r="E184">
        <f t="shared" si="10"/>
        <v>1</v>
      </c>
    </row>
    <row r="185" spans="1:5" x14ac:dyDescent="0.25">
      <c r="A185" s="4" t="s">
        <v>882</v>
      </c>
      <c r="B185">
        <v>1.66</v>
      </c>
      <c r="C185">
        <f t="shared" si="8"/>
        <v>1.7000000000000002</v>
      </c>
      <c r="D185">
        <f t="shared" si="9"/>
        <v>0</v>
      </c>
      <c r="E185">
        <f t="shared" si="10"/>
        <v>1</v>
      </c>
    </row>
    <row r="186" spans="1:5" x14ac:dyDescent="0.25">
      <c r="A186" s="4" t="s">
        <v>874</v>
      </c>
      <c r="B186">
        <v>3.94</v>
      </c>
      <c r="C186">
        <f t="shared" si="8"/>
        <v>4</v>
      </c>
      <c r="D186">
        <f t="shared" si="9"/>
        <v>0</v>
      </c>
      <c r="E186">
        <f t="shared" si="10"/>
        <v>1</v>
      </c>
    </row>
    <row r="187" spans="1:5" x14ac:dyDescent="0.25">
      <c r="A187" s="4" t="s">
        <v>870</v>
      </c>
      <c r="B187">
        <v>3.2</v>
      </c>
      <c r="C187">
        <f t="shared" si="8"/>
        <v>3.2</v>
      </c>
      <c r="D187">
        <f t="shared" si="9"/>
        <v>0</v>
      </c>
      <c r="E187">
        <f t="shared" si="10"/>
        <v>1</v>
      </c>
    </row>
    <row r="188" spans="1:5" x14ac:dyDescent="0.25">
      <c r="A188" s="4" t="s">
        <v>878</v>
      </c>
      <c r="B188">
        <v>2</v>
      </c>
      <c r="C188">
        <f t="shared" si="8"/>
        <v>2</v>
      </c>
      <c r="D188">
        <f t="shared" si="9"/>
        <v>0</v>
      </c>
      <c r="E188">
        <f t="shared" si="10"/>
        <v>1</v>
      </c>
    </row>
    <row r="189" spans="1:5" x14ac:dyDescent="0.25">
      <c r="A189" s="4" t="s">
        <v>909</v>
      </c>
      <c r="B189">
        <v>3.86</v>
      </c>
      <c r="C189">
        <f t="shared" ref="C189:C252" si="11">ROUNDUP(B189,1)</f>
        <v>3.9</v>
      </c>
      <c r="D189">
        <f t="shared" ref="D189:D252" si="12">IF(C189=0,0,IF(C189&lt;=0.5,1,0))</f>
        <v>0</v>
      </c>
      <c r="E189">
        <f t="shared" ref="E189:E252" si="13">IF(C189=0,0,1-D189)</f>
        <v>1</v>
      </c>
    </row>
    <row r="190" spans="1:5" x14ac:dyDescent="0.25">
      <c r="A190" s="4" t="s">
        <v>961</v>
      </c>
      <c r="B190">
        <v>2.52</v>
      </c>
      <c r="C190">
        <f t="shared" si="11"/>
        <v>2.6</v>
      </c>
      <c r="D190">
        <f t="shared" si="12"/>
        <v>0</v>
      </c>
      <c r="E190">
        <f t="shared" si="13"/>
        <v>1</v>
      </c>
    </row>
    <row r="191" spans="1:5" x14ac:dyDescent="0.25">
      <c r="A191" s="4" t="s">
        <v>957</v>
      </c>
      <c r="B191">
        <v>0.44</v>
      </c>
      <c r="C191">
        <f t="shared" si="11"/>
        <v>0.5</v>
      </c>
      <c r="D191">
        <f t="shared" si="12"/>
        <v>1</v>
      </c>
      <c r="E191">
        <f t="shared" si="13"/>
        <v>0</v>
      </c>
    </row>
    <row r="192" spans="1:5" x14ac:dyDescent="0.25">
      <c r="A192" s="4" t="s">
        <v>953</v>
      </c>
      <c r="B192">
        <v>2.46</v>
      </c>
      <c r="C192">
        <f t="shared" si="11"/>
        <v>2.5</v>
      </c>
      <c r="D192">
        <f t="shared" si="12"/>
        <v>0</v>
      </c>
      <c r="E192">
        <f t="shared" si="13"/>
        <v>1</v>
      </c>
    </row>
    <row r="193" spans="1:5" x14ac:dyDescent="0.25">
      <c r="A193" s="4" t="s">
        <v>948</v>
      </c>
      <c r="B193">
        <v>2.48</v>
      </c>
      <c r="C193">
        <f t="shared" si="11"/>
        <v>2.5</v>
      </c>
      <c r="D193">
        <f t="shared" si="12"/>
        <v>0</v>
      </c>
      <c r="E193">
        <f t="shared" si="13"/>
        <v>1</v>
      </c>
    </row>
    <row r="194" spans="1:5" x14ac:dyDescent="0.25">
      <c r="A194" s="4" t="s">
        <v>943</v>
      </c>
      <c r="B194">
        <v>2.35</v>
      </c>
      <c r="C194">
        <f t="shared" si="11"/>
        <v>2.4</v>
      </c>
      <c r="D194">
        <f t="shared" si="12"/>
        <v>0</v>
      </c>
      <c r="E194">
        <f t="shared" si="13"/>
        <v>1</v>
      </c>
    </row>
    <row r="195" spans="1:5" x14ac:dyDescent="0.25">
      <c r="A195" s="4" t="s">
        <v>998</v>
      </c>
      <c r="B195">
        <v>0.44</v>
      </c>
      <c r="C195">
        <f t="shared" si="11"/>
        <v>0.5</v>
      </c>
      <c r="D195">
        <f t="shared" si="12"/>
        <v>1</v>
      </c>
      <c r="E195">
        <f t="shared" si="13"/>
        <v>0</v>
      </c>
    </row>
    <row r="196" spans="1:5" x14ac:dyDescent="0.25">
      <c r="A196" s="4" t="s">
        <v>1063</v>
      </c>
      <c r="B196">
        <v>3.76</v>
      </c>
      <c r="C196">
        <f t="shared" si="11"/>
        <v>3.8000000000000003</v>
      </c>
      <c r="D196">
        <f t="shared" si="12"/>
        <v>0</v>
      </c>
      <c r="E196">
        <f t="shared" si="13"/>
        <v>1</v>
      </c>
    </row>
    <row r="197" spans="1:5" x14ac:dyDescent="0.25">
      <c r="A197" s="4" t="s">
        <v>1067</v>
      </c>
      <c r="B197">
        <v>2</v>
      </c>
      <c r="C197">
        <f t="shared" si="11"/>
        <v>2</v>
      </c>
      <c r="D197">
        <f t="shared" si="12"/>
        <v>0</v>
      </c>
      <c r="E197">
        <f t="shared" si="13"/>
        <v>1</v>
      </c>
    </row>
    <row r="198" spans="1:5" x14ac:dyDescent="0.25">
      <c r="A198" s="4" t="s">
        <v>1153</v>
      </c>
      <c r="B198">
        <v>5.16</v>
      </c>
      <c r="C198">
        <f t="shared" si="11"/>
        <v>5.1999999999999993</v>
      </c>
      <c r="D198">
        <f t="shared" si="12"/>
        <v>0</v>
      </c>
      <c r="E198">
        <f t="shared" si="13"/>
        <v>1</v>
      </c>
    </row>
    <row r="199" spans="1:5" x14ac:dyDescent="0.25">
      <c r="A199" s="4" t="s">
        <v>1149</v>
      </c>
      <c r="B199">
        <v>0.54</v>
      </c>
      <c r="C199">
        <f t="shared" si="11"/>
        <v>0.6</v>
      </c>
      <c r="D199">
        <f t="shared" si="12"/>
        <v>0</v>
      </c>
      <c r="E199">
        <f t="shared" si="13"/>
        <v>1</v>
      </c>
    </row>
    <row r="200" spans="1:5" x14ac:dyDescent="0.25">
      <c r="A200" s="4" t="s">
        <v>1144</v>
      </c>
      <c r="B200">
        <v>1.68</v>
      </c>
      <c r="C200">
        <f t="shared" si="11"/>
        <v>1.7000000000000002</v>
      </c>
      <c r="D200">
        <f t="shared" si="12"/>
        <v>0</v>
      </c>
      <c r="E200">
        <f t="shared" si="13"/>
        <v>1</v>
      </c>
    </row>
    <row r="201" spans="1:5" x14ac:dyDescent="0.25">
      <c r="A201" s="4" t="s">
        <v>1180</v>
      </c>
      <c r="B201">
        <v>3.45</v>
      </c>
      <c r="C201">
        <f t="shared" si="11"/>
        <v>3.5</v>
      </c>
      <c r="D201">
        <f t="shared" si="12"/>
        <v>0</v>
      </c>
      <c r="E201">
        <f t="shared" si="13"/>
        <v>1</v>
      </c>
    </row>
    <row r="202" spans="1:5" x14ac:dyDescent="0.25">
      <c r="A202" s="4" t="s">
        <v>1271</v>
      </c>
      <c r="B202">
        <v>0.42</v>
      </c>
      <c r="C202">
        <f t="shared" si="11"/>
        <v>0.5</v>
      </c>
      <c r="D202">
        <f t="shared" si="12"/>
        <v>1</v>
      </c>
      <c r="E202">
        <f t="shared" si="13"/>
        <v>0</v>
      </c>
    </row>
    <row r="203" spans="1:5" x14ac:dyDescent="0.25">
      <c r="A203" s="4" t="s">
        <v>1276</v>
      </c>
      <c r="B203">
        <v>2.2200000000000002</v>
      </c>
      <c r="C203">
        <f t="shared" si="11"/>
        <v>2.3000000000000003</v>
      </c>
      <c r="D203">
        <f t="shared" si="12"/>
        <v>0</v>
      </c>
      <c r="E203">
        <f t="shared" si="13"/>
        <v>1</v>
      </c>
    </row>
    <row r="204" spans="1:5" x14ac:dyDescent="0.25">
      <c r="A204" s="4" t="s">
        <v>564</v>
      </c>
      <c r="B204">
        <v>0.2</v>
      </c>
      <c r="C204">
        <f t="shared" si="11"/>
        <v>0.2</v>
      </c>
      <c r="D204">
        <f t="shared" si="12"/>
        <v>1</v>
      </c>
      <c r="E204">
        <f t="shared" si="13"/>
        <v>0</v>
      </c>
    </row>
    <row r="205" spans="1:5" x14ac:dyDescent="0.25">
      <c r="A205" s="4" t="s">
        <v>566</v>
      </c>
      <c r="B205">
        <v>2.7</v>
      </c>
      <c r="C205">
        <f t="shared" si="11"/>
        <v>2.7</v>
      </c>
      <c r="D205">
        <f t="shared" si="12"/>
        <v>0</v>
      </c>
      <c r="E205">
        <f t="shared" si="13"/>
        <v>1</v>
      </c>
    </row>
    <row r="206" spans="1:5" x14ac:dyDescent="0.25">
      <c r="A206" s="4" t="s">
        <v>568</v>
      </c>
      <c r="B206">
        <v>0.77</v>
      </c>
      <c r="C206">
        <f t="shared" si="11"/>
        <v>0.79999999999999993</v>
      </c>
      <c r="D206">
        <f t="shared" si="12"/>
        <v>0</v>
      </c>
      <c r="E206">
        <f t="shared" si="13"/>
        <v>1</v>
      </c>
    </row>
    <row r="207" spans="1:5" x14ac:dyDescent="0.25">
      <c r="A207" s="4" t="s">
        <v>421</v>
      </c>
      <c r="B207">
        <v>0.38</v>
      </c>
      <c r="C207">
        <f t="shared" si="11"/>
        <v>0.4</v>
      </c>
      <c r="D207">
        <f t="shared" si="12"/>
        <v>1</v>
      </c>
      <c r="E207">
        <f t="shared" si="13"/>
        <v>0</v>
      </c>
    </row>
    <row r="208" spans="1:5" x14ac:dyDescent="0.25">
      <c r="A208" s="4" t="s">
        <v>425</v>
      </c>
      <c r="B208">
        <v>0.4</v>
      </c>
      <c r="C208">
        <f t="shared" si="11"/>
        <v>0.4</v>
      </c>
      <c r="D208">
        <f t="shared" si="12"/>
        <v>1</v>
      </c>
      <c r="E208">
        <f t="shared" si="13"/>
        <v>0</v>
      </c>
    </row>
    <row r="209" spans="1:5" x14ac:dyDescent="0.25">
      <c r="A209" s="4" t="s">
        <v>652</v>
      </c>
      <c r="B209">
        <v>0.22</v>
      </c>
      <c r="C209">
        <f t="shared" si="11"/>
        <v>0.30000000000000004</v>
      </c>
      <c r="D209">
        <f t="shared" si="12"/>
        <v>1</v>
      </c>
      <c r="E209">
        <f t="shared" si="13"/>
        <v>0</v>
      </c>
    </row>
    <row r="210" spans="1:5" x14ac:dyDescent="0.25">
      <c r="A210" s="4" t="s">
        <v>657</v>
      </c>
      <c r="B210">
        <v>0.28000000000000003</v>
      </c>
      <c r="C210">
        <f t="shared" si="11"/>
        <v>0.30000000000000004</v>
      </c>
      <c r="D210">
        <f t="shared" si="12"/>
        <v>1</v>
      </c>
      <c r="E210">
        <f t="shared" si="13"/>
        <v>0</v>
      </c>
    </row>
    <row r="211" spans="1:5" x14ac:dyDescent="0.25">
      <c r="A211" s="4" t="s">
        <v>605</v>
      </c>
      <c r="B211">
        <v>0.26</v>
      </c>
      <c r="C211">
        <f t="shared" si="11"/>
        <v>0.30000000000000004</v>
      </c>
      <c r="D211">
        <f t="shared" si="12"/>
        <v>1</v>
      </c>
      <c r="E211">
        <f t="shared" si="13"/>
        <v>0</v>
      </c>
    </row>
    <row r="212" spans="1:5" x14ac:dyDescent="0.25">
      <c r="A212" s="4" t="s">
        <v>1281</v>
      </c>
      <c r="B212">
        <v>1.1599999999999999</v>
      </c>
      <c r="C212">
        <f t="shared" si="11"/>
        <v>1.2000000000000002</v>
      </c>
      <c r="D212">
        <f t="shared" si="12"/>
        <v>0</v>
      </c>
      <c r="E212">
        <f t="shared" si="13"/>
        <v>1</v>
      </c>
    </row>
    <row r="213" spans="1:5" x14ac:dyDescent="0.25">
      <c r="A213" s="4" t="s">
        <v>1286</v>
      </c>
      <c r="B213">
        <v>0.6</v>
      </c>
      <c r="C213">
        <f t="shared" si="11"/>
        <v>0.6</v>
      </c>
      <c r="D213">
        <f t="shared" si="12"/>
        <v>0</v>
      </c>
      <c r="E213">
        <f t="shared" si="13"/>
        <v>1</v>
      </c>
    </row>
    <row r="214" spans="1:5" x14ac:dyDescent="0.25">
      <c r="A214" s="4" t="s">
        <v>1290</v>
      </c>
      <c r="B214">
        <v>0.57999999999999996</v>
      </c>
      <c r="C214">
        <f t="shared" si="11"/>
        <v>0.6</v>
      </c>
      <c r="D214">
        <f t="shared" si="12"/>
        <v>0</v>
      </c>
      <c r="E214">
        <f t="shared" si="13"/>
        <v>1</v>
      </c>
    </row>
    <row r="215" spans="1:5" x14ac:dyDescent="0.25">
      <c r="A215" s="4" t="s">
        <v>1295</v>
      </c>
      <c r="B215">
        <v>1.26</v>
      </c>
      <c r="C215">
        <f t="shared" si="11"/>
        <v>1.3</v>
      </c>
      <c r="D215">
        <f t="shared" si="12"/>
        <v>0</v>
      </c>
      <c r="E215">
        <f t="shared" si="13"/>
        <v>1</v>
      </c>
    </row>
    <row r="216" spans="1:5" x14ac:dyDescent="0.25">
      <c r="A216" s="4" t="s">
        <v>1300</v>
      </c>
      <c r="B216">
        <v>3.98</v>
      </c>
      <c r="C216">
        <f t="shared" si="11"/>
        <v>4</v>
      </c>
      <c r="D216">
        <f t="shared" si="12"/>
        <v>0</v>
      </c>
      <c r="E216">
        <f t="shared" si="13"/>
        <v>1</v>
      </c>
    </row>
    <row r="217" spans="1:5" x14ac:dyDescent="0.25">
      <c r="A217" s="4" t="s">
        <v>1305</v>
      </c>
      <c r="B217">
        <v>0.44</v>
      </c>
      <c r="C217">
        <f t="shared" si="11"/>
        <v>0.5</v>
      </c>
      <c r="D217">
        <f t="shared" si="12"/>
        <v>1</v>
      </c>
      <c r="E217">
        <f t="shared" si="13"/>
        <v>0</v>
      </c>
    </row>
    <row r="218" spans="1:5" x14ac:dyDescent="0.25">
      <c r="A218" s="4" t="s">
        <v>1310</v>
      </c>
      <c r="B218">
        <v>0.46</v>
      </c>
      <c r="C218">
        <f t="shared" si="11"/>
        <v>0.5</v>
      </c>
      <c r="D218">
        <f t="shared" si="12"/>
        <v>1</v>
      </c>
      <c r="E218">
        <f t="shared" si="13"/>
        <v>0</v>
      </c>
    </row>
    <row r="219" spans="1:5" x14ac:dyDescent="0.25">
      <c r="A219" s="4" t="s">
        <v>1314</v>
      </c>
      <c r="B219">
        <v>0.84</v>
      </c>
      <c r="C219">
        <f t="shared" si="11"/>
        <v>0.9</v>
      </c>
      <c r="D219">
        <f t="shared" si="12"/>
        <v>0</v>
      </c>
      <c r="E219">
        <f t="shared" si="13"/>
        <v>1</v>
      </c>
    </row>
    <row r="220" spans="1:5" x14ac:dyDescent="0.25">
      <c r="A220" s="4" t="s">
        <v>1319</v>
      </c>
      <c r="B220">
        <v>1.1599999999999999</v>
      </c>
      <c r="C220">
        <f t="shared" si="11"/>
        <v>1.2000000000000002</v>
      </c>
      <c r="D220">
        <f t="shared" si="12"/>
        <v>0</v>
      </c>
      <c r="E220">
        <f t="shared" si="13"/>
        <v>1</v>
      </c>
    </row>
    <row r="221" spans="1:5" x14ac:dyDescent="0.25">
      <c r="A221" s="4" t="s">
        <v>1324</v>
      </c>
      <c r="B221">
        <v>2.2999999999999998</v>
      </c>
      <c r="C221">
        <f t="shared" si="11"/>
        <v>2.2999999999999998</v>
      </c>
      <c r="D221">
        <f t="shared" si="12"/>
        <v>0</v>
      </c>
      <c r="E221">
        <f t="shared" si="13"/>
        <v>1</v>
      </c>
    </row>
    <row r="222" spans="1:5" x14ac:dyDescent="0.25">
      <c r="A222" s="4" t="s">
        <v>1329</v>
      </c>
      <c r="B222">
        <v>1.1200000000000001</v>
      </c>
      <c r="C222">
        <f t="shared" si="11"/>
        <v>1.2000000000000002</v>
      </c>
      <c r="D222">
        <f t="shared" si="12"/>
        <v>0</v>
      </c>
      <c r="E222">
        <f t="shared" si="13"/>
        <v>1</v>
      </c>
    </row>
    <row r="223" spans="1:5" x14ac:dyDescent="0.25">
      <c r="A223" s="4" t="s">
        <v>1333</v>
      </c>
      <c r="B223">
        <v>1.65</v>
      </c>
      <c r="C223">
        <f t="shared" si="11"/>
        <v>1.7000000000000002</v>
      </c>
      <c r="D223">
        <f t="shared" si="12"/>
        <v>0</v>
      </c>
      <c r="E223">
        <f t="shared" si="13"/>
        <v>1</v>
      </c>
    </row>
    <row r="224" spans="1:5" x14ac:dyDescent="0.25">
      <c r="A224" s="4" t="s">
        <v>1337</v>
      </c>
      <c r="B224">
        <v>1.98</v>
      </c>
      <c r="C224">
        <f t="shared" si="11"/>
        <v>2</v>
      </c>
      <c r="D224">
        <f t="shared" si="12"/>
        <v>0</v>
      </c>
      <c r="E224">
        <f t="shared" si="13"/>
        <v>1</v>
      </c>
    </row>
    <row r="225" spans="1:5" x14ac:dyDescent="0.25">
      <c r="A225" s="4" t="s">
        <v>1342</v>
      </c>
      <c r="B225">
        <v>0.5</v>
      </c>
      <c r="C225">
        <f t="shared" si="11"/>
        <v>0.5</v>
      </c>
      <c r="D225">
        <f t="shared" si="12"/>
        <v>1</v>
      </c>
      <c r="E225">
        <f t="shared" si="13"/>
        <v>0</v>
      </c>
    </row>
    <row r="226" spans="1:5" x14ac:dyDescent="0.25">
      <c r="A226" s="4" t="s">
        <v>1347</v>
      </c>
      <c r="B226">
        <v>3.98</v>
      </c>
      <c r="C226">
        <f t="shared" si="11"/>
        <v>4</v>
      </c>
      <c r="D226">
        <f t="shared" si="12"/>
        <v>0</v>
      </c>
      <c r="E226">
        <f t="shared" si="13"/>
        <v>1</v>
      </c>
    </row>
    <row r="227" spans="1:5" x14ac:dyDescent="0.25">
      <c r="A227" s="4" t="s">
        <v>1351</v>
      </c>
      <c r="B227">
        <v>0.42</v>
      </c>
      <c r="C227">
        <f t="shared" si="11"/>
        <v>0.5</v>
      </c>
      <c r="D227">
        <f t="shared" si="12"/>
        <v>1</v>
      </c>
      <c r="E227">
        <f t="shared" si="13"/>
        <v>0</v>
      </c>
    </row>
    <row r="228" spans="1:5" x14ac:dyDescent="0.25">
      <c r="A228" s="4" t="s">
        <v>1356</v>
      </c>
      <c r="B228">
        <v>1.1100000000000001</v>
      </c>
      <c r="C228">
        <f t="shared" si="11"/>
        <v>1.2000000000000002</v>
      </c>
      <c r="D228">
        <f t="shared" si="12"/>
        <v>0</v>
      </c>
      <c r="E228">
        <f t="shared" si="13"/>
        <v>1</v>
      </c>
    </row>
    <row r="229" spans="1:5" x14ac:dyDescent="0.25">
      <c r="A229" s="4" t="s">
        <v>1361</v>
      </c>
      <c r="B229">
        <v>3.56</v>
      </c>
      <c r="C229">
        <f t="shared" si="11"/>
        <v>3.6</v>
      </c>
      <c r="D229">
        <f t="shared" si="12"/>
        <v>0</v>
      </c>
      <c r="E229">
        <f t="shared" si="13"/>
        <v>1</v>
      </c>
    </row>
    <row r="230" spans="1:5" x14ac:dyDescent="0.25">
      <c r="A230" s="4" t="s">
        <v>1267</v>
      </c>
      <c r="B230">
        <v>5.0599999999999996</v>
      </c>
      <c r="C230">
        <f t="shared" si="11"/>
        <v>5.0999999999999996</v>
      </c>
      <c r="D230">
        <f t="shared" si="12"/>
        <v>0</v>
      </c>
      <c r="E230">
        <f t="shared" si="13"/>
        <v>1</v>
      </c>
    </row>
    <row r="231" spans="1:5" x14ac:dyDescent="0.25">
      <c r="A231" s="4" t="s">
        <v>1263</v>
      </c>
      <c r="B231">
        <v>3.58</v>
      </c>
      <c r="C231">
        <f t="shared" si="11"/>
        <v>3.6</v>
      </c>
      <c r="D231">
        <f t="shared" si="12"/>
        <v>0</v>
      </c>
      <c r="E231">
        <f t="shared" si="13"/>
        <v>1</v>
      </c>
    </row>
    <row r="232" spans="1:5" x14ac:dyDescent="0.25">
      <c r="A232" s="4" t="s">
        <v>1258</v>
      </c>
      <c r="B232">
        <v>1.86</v>
      </c>
      <c r="C232">
        <f t="shared" si="11"/>
        <v>1.9000000000000001</v>
      </c>
      <c r="D232">
        <f t="shared" si="12"/>
        <v>0</v>
      </c>
      <c r="E232">
        <f t="shared" si="13"/>
        <v>1</v>
      </c>
    </row>
    <row r="233" spans="1:5" x14ac:dyDescent="0.25">
      <c r="A233" s="4" t="s">
        <v>1254</v>
      </c>
      <c r="B233">
        <v>1.1100000000000001</v>
      </c>
      <c r="C233">
        <f t="shared" si="11"/>
        <v>1.2000000000000002</v>
      </c>
      <c r="D233">
        <f t="shared" si="12"/>
        <v>0</v>
      </c>
      <c r="E233">
        <f t="shared" si="13"/>
        <v>1</v>
      </c>
    </row>
    <row r="234" spans="1:5" x14ac:dyDescent="0.25">
      <c r="A234" s="4" t="s">
        <v>1250</v>
      </c>
      <c r="B234">
        <v>3.78</v>
      </c>
      <c r="C234">
        <f t="shared" si="11"/>
        <v>3.8000000000000003</v>
      </c>
      <c r="D234">
        <f t="shared" si="12"/>
        <v>0</v>
      </c>
      <c r="E234">
        <f t="shared" si="13"/>
        <v>1</v>
      </c>
    </row>
    <row r="235" spans="1:5" x14ac:dyDescent="0.25">
      <c r="A235" s="4" t="s">
        <v>1246</v>
      </c>
      <c r="B235">
        <v>2.35</v>
      </c>
      <c r="C235">
        <f t="shared" si="11"/>
        <v>2.4</v>
      </c>
      <c r="D235">
        <f t="shared" si="12"/>
        <v>0</v>
      </c>
      <c r="E235">
        <f t="shared" si="13"/>
        <v>1</v>
      </c>
    </row>
    <row r="236" spans="1:5" x14ac:dyDescent="0.25">
      <c r="A236" s="4" t="s">
        <v>1241</v>
      </c>
      <c r="B236">
        <v>1.8</v>
      </c>
      <c r="C236">
        <f t="shared" si="11"/>
        <v>1.8</v>
      </c>
      <c r="D236">
        <f t="shared" si="12"/>
        <v>0</v>
      </c>
      <c r="E236">
        <f t="shared" si="13"/>
        <v>1</v>
      </c>
    </row>
    <row r="237" spans="1:5" x14ac:dyDescent="0.25">
      <c r="A237" s="4" t="s">
        <v>1236</v>
      </c>
      <c r="B237">
        <v>1.1499999999999999</v>
      </c>
      <c r="C237">
        <f t="shared" si="11"/>
        <v>1.2000000000000002</v>
      </c>
      <c r="D237">
        <f t="shared" si="12"/>
        <v>0</v>
      </c>
      <c r="E237">
        <f t="shared" si="13"/>
        <v>1</v>
      </c>
    </row>
    <row r="238" spans="1:5" x14ac:dyDescent="0.25">
      <c r="A238" s="4" t="s">
        <v>1231</v>
      </c>
      <c r="B238">
        <v>4.9000000000000004</v>
      </c>
      <c r="C238">
        <f t="shared" si="11"/>
        <v>4.9000000000000004</v>
      </c>
      <c r="D238">
        <f t="shared" si="12"/>
        <v>0</v>
      </c>
      <c r="E238">
        <f t="shared" si="13"/>
        <v>1</v>
      </c>
    </row>
    <row r="239" spans="1:5" x14ac:dyDescent="0.25">
      <c r="A239" s="4" t="s">
        <v>1227</v>
      </c>
      <c r="B239">
        <v>0.46</v>
      </c>
      <c r="C239">
        <f t="shared" si="11"/>
        <v>0.5</v>
      </c>
      <c r="D239">
        <f t="shared" si="12"/>
        <v>1</v>
      </c>
      <c r="E239">
        <f t="shared" si="13"/>
        <v>0</v>
      </c>
    </row>
    <row r="240" spans="1:5" x14ac:dyDescent="0.25">
      <c r="A240" s="4" t="s">
        <v>1210</v>
      </c>
      <c r="B240">
        <v>0.86</v>
      </c>
      <c r="C240">
        <f t="shared" si="11"/>
        <v>0.9</v>
      </c>
      <c r="D240">
        <f t="shared" si="12"/>
        <v>0</v>
      </c>
      <c r="E240">
        <f t="shared" si="13"/>
        <v>1</v>
      </c>
    </row>
    <row r="241" spans="1:5" x14ac:dyDescent="0.25">
      <c r="A241" s="4" t="s">
        <v>1205</v>
      </c>
      <c r="B241">
        <v>1.1100000000000001</v>
      </c>
      <c r="C241">
        <f t="shared" si="11"/>
        <v>1.2000000000000002</v>
      </c>
      <c r="D241">
        <f t="shared" si="12"/>
        <v>0</v>
      </c>
      <c r="E241">
        <f t="shared" si="13"/>
        <v>1</v>
      </c>
    </row>
    <row r="242" spans="1:5" x14ac:dyDescent="0.25">
      <c r="A242" s="4" t="s">
        <v>1200</v>
      </c>
      <c r="B242">
        <v>0.84</v>
      </c>
      <c r="C242">
        <f t="shared" si="11"/>
        <v>0.9</v>
      </c>
      <c r="D242">
        <f t="shared" si="12"/>
        <v>0</v>
      </c>
      <c r="E242">
        <f t="shared" si="13"/>
        <v>1</v>
      </c>
    </row>
    <row r="243" spans="1:5" x14ac:dyDescent="0.25">
      <c r="A243" s="4" t="s">
        <v>1373</v>
      </c>
      <c r="B243">
        <v>1.1399999999999999</v>
      </c>
      <c r="C243">
        <f t="shared" si="11"/>
        <v>1.2000000000000002</v>
      </c>
      <c r="D243">
        <f t="shared" si="12"/>
        <v>0</v>
      </c>
      <c r="E243">
        <f t="shared" si="13"/>
        <v>1</v>
      </c>
    </row>
    <row r="244" spans="1:5" x14ac:dyDescent="0.25">
      <c r="A244" s="4" t="s">
        <v>1368</v>
      </c>
      <c r="B244">
        <v>1.1399999999999999</v>
      </c>
      <c r="C244">
        <f t="shared" si="11"/>
        <v>1.2000000000000002</v>
      </c>
      <c r="D244">
        <f t="shared" si="12"/>
        <v>0</v>
      </c>
      <c r="E244">
        <f t="shared" si="13"/>
        <v>1</v>
      </c>
    </row>
    <row r="245" spans="1:5" x14ac:dyDescent="0.25">
      <c r="A245" s="4" t="s">
        <v>1363</v>
      </c>
      <c r="B245">
        <v>1.8</v>
      </c>
      <c r="C245">
        <f t="shared" si="11"/>
        <v>1.8</v>
      </c>
      <c r="D245">
        <f t="shared" si="12"/>
        <v>0</v>
      </c>
      <c r="E245">
        <f t="shared" si="13"/>
        <v>1</v>
      </c>
    </row>
    <row r="246" spans="1:5" x14ac:dyDescent="0.25">
      <c r="A246" s="4" t="s">
        <v>1532</v>
      </c>
      <c r="B246">
        <v>2.2400000000000002</v>
      </c>
      <c r="C246">
        <f t="shared" si="11"/>
        <v>2.3000000000000003</v>
      </c>
      <c r="D246">
        <f t="shared" si="12"/>
        <v>0</v>
      </c>
      <c r="E246">
        <f t="shared" si="13"/>
        <v>1</v>
      </c>
    </row>
    <row r="247" spans="1:5" x14ac:dyDescent="0.25">
      <c r="A247" s="4" t="s">
        <v>1527</v>
      </c>
      <c r="B247">
        <v>0.42</v>
      </c>
      <c r="C247">
        <f t="shared" si="11"/>
        <v>0.5</v>
      </c>
      <c r="D247">
        <f t="shared" si="12"/>
        <v>1</v>
      </c>
      <c r="E247">
        <f t="shared" si="13"/>
        <v>0</v>
      </c>
    </row>
    <row r="248" spans="1:5" x14ac:dyDescent="0.25">
      <c r="A248" s="4" t="s">
        <v>1536</v>
      </c>
      <c r="B248">
        <v>1.56</v>
      </c>
      <c r="C248">
        <f t="shared" si="11"/>
        <v>1.6</v>
      </c>
      <c r="D248">
        <f t="shared" si="12"/>
        <v>0</v>
      </c>
      <c r="E248">
        <f t="shared" si="13"/>
        <v>1</v>
      </c>
    </row>
    <row r="249" spans="1:5" x14ac:dyDescent="0.25">
      <c r="A249" s="4" t="s">
        <v>1540</v>
      </c>
      <c r="B249">
        <v>0.41</v>
      </c>
      <c r="C249">
        <f t="shared" si="11"/>
        <v>0.5</v>
      </c>
      <c r="D249">
        <f t="shared" si="12"/>
        <v>1</v>
      </c>
      <c r="E249">
        <f t="shared" si="13"/>
        <v>0</v>
      </c>
    </row>
    <row r="250" spans="1:5" x14ac:dyDescent="0.25">
      <c r="A250" s="4" t="s">
        <v>1545</v>
      </c>
      <c r="B250">
        <v>0.42</v>
      </c>
      <c r="C250">
        <f t="shared" si="11"/>
        <v>0.5</v>
      </c>
      <c r="D250">
        <f t="shared" si="12"/>
        <v>1</v>
      </c>
      <c r="E250">
        <f t="shared" si="13"/>
        <v>0</v>
      </c>
    </row>
    <row r="251" spans="1:5" x14ac:dyDescent="0.25">
      <c r="A251" s="4" t="s">
        <v>1549</v>
      </c>
      <c r="B251">
        <v>1.1200000000000001</v>
      </c>
      <c r="C251">
        <f t="shared" si="11"/>
        <v>1.2000000000000002</v>
      </c>
      <c r="D251">
        <f t="shared" si="12"/>
        <v>0</v>
      </c>
      <c r="E251">
        <f t="shared" si="13"/>
        <v>1</v>
      </c>
    </row>
    <row r="252" spans="1:5" x14ac:dyDescent="0.25">
      <c r="A252" s="4" t="s">
        <v>1554</v>
      </c>
      <c r="B252">
        <v>0.81</v>
      </c>
      <c r="C252">
        <f t="shared" si="11"/>
        <v>0.9</v>
      </c>
      <c r="D252">
        <f t="shared" si="12"/>
        <v>0</v>
      </c>
      <c r="E252">
        <f t="shared" si="13"/>
        <v>1</v>
      </c>
    </row>
    <row r="253" spans="1:5" x14ac:dyDescent="0.25">
      <c r="A253" s="4" t="s">
        <v>1558</v>
      </c>
      <c r="B253">
        <v>1.1599999999999999</v>
      </c>
      <c r="C253">
        <f t="shared" ref="C253:C259" si="14">ROUNDUP(B253,1)</f>
        <v>1.2000000000000002</v>
      </c>
      <c r="D253">
        <f t="shared" ref="D253:D259" si="15">IF(C253=0,0,IF(C253&lt;=0.5,1,0))</f>
        <v>0</v>
      </c>
      <c r="E253">
        <f t="shared" ref="E253:E259" si="16">IF(C253=0,0,1-D253)</f>
        <v>1</v>
      </c>
    </row>
    <row r="254" spans="1:5" x14ac:dyDescent="0.25">
      <c r="A254" s="4" t="s">
        <v>1562</v>
      </c>
      <c r="B254">
        <v>1.21</v>
      </c>
      <c r="C254">
        <f t="shared" si="14"/>
        <v>1.3</v>
      </c>
      <c r="D254">
        <f t="shared" si="15"/>
        <v>0</v>
      </c>
      <c r="E254">
        <f t="shared" si="16"/>
        <v>1</v>
      </c>
    </row>
    <row r="255" spans="1:5" x14ac:dyDescent="0.25">
      <c r="A255" s="4" t="s">
        <v>1567</v>
      </c>
      <c r="B255">
        <v>1.1599999999999999</v>
      </c>
      <c r="C255">
        <f t="shared" si="14"/>
        <v>1.2000000000000002</v>
      </c>
      <c r="D255">
        <f t="shared" si="15"/>
        <v>0</v>
      </c>
      <c r="E255">
        <f t="shared" si="16"/>
        <v>1</v>
      </c>
    </row>
    <row r="256" spans="1:5" x14ac:dyDescent="0.25">
      <c r="A256" s="4" t="s">
        <v>1572</v>
      </c>
      <c r="B256">
        <v>2.2599999999999998</v>
      </c>
      <c r="C256">
        <f t="shared" si="14"/>
        <v>2.3000000000000003</v>
      </c>
      <c r="D256">
        <f t="shared" si="15"/>
        <v>0</v>
      </c>
      <c r="E256">
        <f t="shared" si="16"/>
        <v>1</v>
      </c>
    </row>
    <row r="257" spans="1:5" x14ac:dyDescent="0.25">
      <c r="A257" s="4" t="s">
        <v>1577</v>
      </c>
      <c r="B257">
        <v>0.5</v>
      </c>
      <c r="C257">
        <f t="shared" si="14"/>
        <v>0.5</v>
      </c>
      <c r="D257">
        <f t="shared" si="15"/>
        <v>1</v>
      </c>
      <c r="E257">
        <f t="shared" si="16"/>
        <v>0</v>
      </c>
    </row>
    <row r="258" spans="1:5" x14ac:dyDescent="0.25">
      <c r="A258" s="4" t="s">
        <v>1581</v>
      </c>
      <c r="B258">
        <v>0.54</v>
      </c>
      <c r="C258">
        <f t="shared" si="14"/>
        <v>0.6</v>
      </c>
      <c r="D258">
        <f t="shared" si="15"/>
        <v>0</v>
      </c>
      <c r="E258">
        <f t="shared" si="16"/>
        <v>1</v>
      </c>
    </row>
    <row r="259" spans="1:5" x14ac:dyDescent="0.25">
      <c r="A259" s="4" t="s">
        <v>1585</v>
      </c>
      <c r="B259">
        <v>1.1100000000000001</v>
      </c>
      <c r="C259">
        <f t="shared" si="14"/>
        <v>1.2000000000000002</v>
      </c>
      <c r="D259">
        <f t="shared" si="15"/>
        <v>0</v>
      </c>
      <c r="E259">
        <f t="shared" si="16"/>
        <v>1</v>
      </c>
    </row>
    <row r="260" spans="1:5" x14ac:dyDescent="0.25">
      <c r="A260" s="4" t="s">
        <v>1589</v>
      </c>
      <c r="B260">
        <v>1.1599999999999999</v>
      </c>
      <c r="C260">
        <f t="shared" ref="C260:C264" si="17">ROUNDUP(B260,1)</f>
        <v>1.2000000000000002</v>
      </c>
      <c r="D260">
        <f t="shared" ref="D260:D264" si="18">IF(C260=0,0,IF(C260&lt;=0.5,1,0))</f>
        <v>0</v>
      </c>
      <c r="E260">
        <f t="shared" ref="E260:E264" si="19">IF(C260=0,0,1-D260)</f>
        <v>1</v>
      </c>
    </row>
    <row r="261" spans="1:5" x14ac:dyDescent="0.25">
      <c r="A261" s="4" t="s">
        <v>1594</v>
      </c>
      <c r="B261">
        <v>0.46</v>
      </c>
      <c r="C261">
        <f t="shared" si="17"/>
        <v>0.5</v>
      </c>
      <c r="D261">
        <f t="shared" si="18"/>
        <v>1</v>
      </c>
      <c r="E261">
        <f t="shared" si="19"/>
        <v>0</v>
      </c>
    </row>
    <row r="262" spans="1:5" x14ac:dyDescent="0.25">
      <c r="A262" s="4" t="s">
        <v>1598</v>
      </c>
      <c r="B262">
        <v>6.08</v>
      </c>
      <c r="C262">
        <f t="shared" si="17"/>
        <v>6.1</v>
      </c>
      <c r="D262">
        <f t="shared" si="18"/>
        <v>0</v>
      </c>
      <c r="E262">
        <f t="shared" si="19"/>
        <v>1</v>
      </c>
    </row>
    <row r="263" spans="1:5" x14ac:dyDescent="0.25">
      <c r="A263" s="4" t="s">
        <v>1603</v>
      </c>
      <c r="B263">
        <v>0.57999999999999996</v>
      </c>
      <c r="C263">
        <f t="shared" si="17"/>
        <v>0.6</v>
      </c>
      <c r="D263">
        <f t="shared" si="18"/>
        <v>0</v>
      </c>
      <c r="E263">
        <f t="shared" si="19"/>
        <v>1</v>
      </c>
    </row>
    <row r="264" spans="1:5" x14ac:dyDescent="0.25">
      <c r="A264" s="4" t="s">
        <v>1608</v>
      </c>
      <c r="B264">
        <v>1.21</v>
      </c>
      <c r="C264">
        <f t="shared" si="17"/>
        <v>1.3</v>
      </c>
      <c r="D264">
        <f t="shared" si="18"/>
        <v>0</v>
      </c>
      <c r="E264">
        <f t="shared" si="19"/>
        <v>1</v>
      </c>
    </row>
    <row r="265" spans="1:5" x14ac:dyDescent="0.25">
      <c r="A265" s="4" t="s">
        <v>1613</v>
      </c>
      <c r="B265">
        <v>1.1499999999999999</v>
      </c>
      <c r="C265">
        <f t="shared" ref="C265:C328" si="20">ROUNDUP(B265,1)</f>
        <v>1.2000000000000002</v>
      </c>
      <c r="D265">
        <f t="shared" ref="D265:D328" si="21">IF(C265=0,0,IF(C265&lt;=0.5,1,0))</f>
        <v>0</v>
      </c>
      <c r="E265">
        <f t="shared" ref="E265:E328" si="22">IF(C265=0,0,1-D265)</f>
        <v>1</v>
      </c>
    </row>
    <row r="266" spans="1:5" x14ac:dyDescent="0.25">
      <c r="A266" s="4" t="s">
        <v>1617</v>
      </c>
      <c r="B266">
        <v>0.82</v>
      </c>
      <c r="C266">
        <f t="shared" si="20"/>
        <v>0.9</v>
      </c>
      <c r="D266">
        <f t="shared" si="21"/>
        <v>0</v>
      </c>
      <c r="E266">
        <f t="shared" si="22"/>
        <v>1</v>
      </c>
    </row>
    <row r="267" spans="1:5" x14ac:dyDescent="0.25">
      <c r="A267" s="4" t="s">
        <v>1621</v>
      </c>
      <c r="B267">
        <v>0.81</v>
      </c>
      <c r="C267">
        <f t="shared" si="20"/>
        <v>0.9</v>
      </c>
      <c r="D267">
        <f t="shared" si="21"/>
        <v>0</v>
      </c>
      <c r="E267">
        <f t="shared" si="22"/>
        <v>1</v>
      </c>
    </row>
    <row r="268" spans="1:5" x14ac:dyDescent="0.25">
      <c r="A268" s="4" t="s">
        <v>1626</v>
      </c>
      <c r="B268">
        <v>0.83</v>
      </c>
      <c r="C268">
        <f t="shared" si="20"/>
        <v>0.9</v>
      </c>
      <c r="D268">
        <f t="shared" si="21"/>
        <v>0</v>
      </c>
      <c r="E268">
        <f t="shared" si="22"/>
        <v>1</v>
      </c>
    </row>
    <row r="269" spans="1:5" x14ac:dyDescent="0.25">
      <c r="A269" s="4" t="s">
        <v>1630</v>
      </c>
      <c r="B269">
        <v>1.78</v>
      </c>
      <c r="C269">
        <f t="shared" si="20"/>
        <v>1.8</v>
      </c>
      <c r="D269">
        <f t="shared" si="21"/>
        <v>0</v>
      </c>
      <c r="E269">
        <f t="shared" si="22"/>
        <v>1</v>
      </c>
    </row>
    <row r="270" spans="1:5" x14ac:dyDescent="0.25">
      <c r="A270" s="4" t="s">
        <v>1635</v>
      </c>
      <c r="B270">
        <v>1.1100000000000001</v>
      </c>
      <c r="C270">
        <f t="shared" si="20"/>
        <v>1.2000000000000002</v>
      </c>
      <c r="D270">
        <f t="shared" si="21"/>
        <v>0</v>
      </c>
      <c r="E270">
        <f t="shared" si="22"/>
        <v>1</v>
      </c>
    </row>
    <row r="271" spans="1:5" x14ac:dyDescent="0.25">
      <c r="A271" s="4" t="s">
        <v>1420</v>
      </c>
      <c r="B271">
        <v>0.42</v>
      </c>
      <c r="C271">
        <f t="shared" si="20"/>
        <v>0.5</v>
      </c>
      <c r="D271">
        <f t="shared" si="21"/>
        <v>1</v>
      </c>
      <c r="E271">
        <f t="shared" si="22"/>
        <v>0</v>
      </c>
    </row>
    <row r="272" spans="1:5" x14ac:dyDescent="0.25">
      <c r="A272" s="4" t="s">
        <v>1425</v>
      </c>
      <c r="B272">
        <v>0.83</v>
      </c>
      <c r="C272">
        <f t="shared" si="20"/>
        <v>0.9</v>
      </c>
      <c r="D272">
        <f t="shared" si="21"/>
        <v>0</v>
      </c>
      <c r="E272">
        <f t="shared" si="22"/>
        <v>1</v>
      </c>
    </row>
    <row r="273" spans="1:5" x14ac:dyDescent="0.25">
      <c r="A273" s="4" t="s">
        <v>1429</v>
      </c>
      <c r="B273">
        <v>1.9</v>
      </c>
      <c r="C273">
        <f t="shared" si="20"/>
        <v>1.9</v>
      </c>
      <c r="D273">
        <f t="shared" si="21"/>
        <v>0</v>
      </c>
      <c r="E273">
        <f t="shared" si="22"/>
        <v>1</v>
      </c>
    </row>
    <row r="274" spans="1:5" x14ac:dyDescent="0.25">
      <c r="A274" s="4" t="s">
        <v>1434</v>
      </c>
      <c r="B274">
        <v>0.57999999999999996</v>
      </c>
      <c r="C274">
        <f t="shared" si="20"/>
        <v>0.6</v>
      </c>
      <c r="D274">
        <f t="shared" si="21"/>
        <v>0</v>
      </c>
      <c r="E274">
        <f t="shared" si="22"/>
        <v>1</v>
      </c>
    </row>
    <row r="275" spans="1:5" x14ac:dyDescent="0.25">
      <c r="A275" s="4" t="s">
        <v>1438</v>
      </c>
      <c r="B275">
        <v>3.01</v>
      </c>
      <c r="C275">
        <f t="shared" si="20"/>
        <v>3.1</v>
      </c>
      <c r="D275">
        <f t="shared" si="21"/>
        <v>0</v>
      </c>
      <c r="E275">
        <f t="shared" si="22"/>
        <v>1</v>
      </c>
    </row>
    <row r="276" spans="1:5" x14ac:dyDescent="0.25">
      <c r="A276" s="4" t="s">
        <v>1443</v>
      </c>
      <c r="B276">
        <v>0.84</v>
      </c>
      <c r="C276">
        <f t="shared" si="20"/>
        <v>0.9</v>
      </c>
      <c r="D276">
        <f t="shared" si="21"/>
        <v>0</v>
      </c>
      <c r="E276">
        <f t="shared" si="22"/>
        <v>1</v>
      </c>
    </row>
    <row r="277" spans="1:5" x14ac:dyDescent="0.25">
      <c r="A277" s="4" t="s">
        <v>1447</v>
      </c>
      <c r="B277">
        <v>0.42</v>
      </c>
      <c r="C277">
        <f t="shared" si="20"/>
        <v>0.5</v>
      </c>
      <c r="D277">
        <f t="shared" si="21"/>
        <v>1</v>
      </c>
      <c r="E277">
        <f t="shared" si="22"/>
        <v>0</v>
      </c>
    </row>
    <row r="278" spans="1:5" x14ac:dyDescent="0.25">
      <c r="A278" s="4" t="s">
        <v>1451</v>
      </c>
      <c r="B278">
        <v>0.56000000000000005</v>
      </c>
      <c r="C278">
        <f t="shared" si="20"/>
        <v>0.6</v>
      </c>
      <c r="D278">
        <f t="shared" si="21"/>
        <v>0</v>
      </c>
      <c r="E278">
        <f t="shared" si="22"/>
        <v>1</v>
      </c>
    </row>
    <row r="279" spans="1:5" x14ac:dyDescent="0.25">
      <c r="A279" s="4" t="s">
        <v>1456</v>
      </c>
      <c r="B279">
        <v>2.36</v>
      </c>
      <c r="C279">
        <f t="shared" si="20"/>
        <v>2.4</v>
      </c>
      <c r="D279">
        <f t="shared" si="21"/>
        <v>0</v>
      </c>
      <c r="E279">
        <f t="shared" si="22"/>
        <v>1</v>
      </c>
    </row>
    <row r="280" spans="1:5" x14ac:dyDescent="0.25">
      <c r="A280" s="4" t="s">
        <v>1461</v>
      </c>
      <c r="B280">
        <v>2.62</v>
      </c>
      <c r="C280">
        <f t="shared" si="20"/>
        <v>2.7</v>
      </c>
      <c r="D280">
        <f t="shared" si="21"/>
        <v>0</v>
      </c>
      <c r="E280">
        <f t="shared" si="22"/>
        <v>1</v>
      </c>
    </row>
    <row r="281" spans="1:5" x14ac:dyDescent="0.25">
      <c r="A281" s="4" t="s">
        <v>1466</v>
      </c>
      <c r="B281">
        <v>1.1599999999999999</v>
      </c>
      <c r="C281">
        <f t="shared" si="20"/>
        <v>1.2000000000000002</v>
      </c>
      <c r="D281">
        <f t="shared" si="21"/>
        <v>0</v>
      </c>
      <c r="E281">
        <f t="shared" si="22"/>
        <v>1</v>
      </c>
    </row>
    <row r="282" spans="1:5" x14ac:dyDescent="0.25">
      <c r="A282" s="4" t="s">
        <v>1470</v>
      </c>
      <c r="B282">
        <v>1.1100000000000001</v>
      </c>
      <c r="C282">
        <f t="shared" si="20"/>
        <v>1.2000000000000002</v>
      </c>
      <c r="D282">
        <f t="shared" si="21"/>
        <v>0</v>
      </c>
      <c r="E282">
        <f t="shared" si="22"/>
        <v>1</v>
      </c>
    </row>
    <row r="283" spans="1:5" x14ac:dyDescent="0.25">
      <c r="A283" s="4" t="s">
        <v>1475</v>
      </c>
      <c r="B283">
        <v>0.45</v>
      </c>
      <c r="C283">
        <f t="shared" si="20"/>
        <v>0.5</v>
      </c>
      <c r="D283">
        <f t="shared" si="21"/>
        <v>1</v>
      </c>
      <c r="E283">
        <f t="shared" si="22"/>
        <v>0</v>
      </c>
    </row>
    <row r="284" spans="1:5" x14ac:dyDescent="0.25">
      <c r="A284" s="4" t="s">
        <v>1479</v>
      </c>
      <c r="B284">
        <v>0.44</v>
      </c>
      <c r="C284">
        <f t="shared" si="20"/>
        <v>0.5</v>
      </c>
      <c r="D284">
        <f t="shared" si="21"/>
        <v>1</v>
      </c>
      <c r="E284">
        <f t="shared" si="22"/>
        <v>0</v>
      </c>
    </row>
    <row r="285" spans="1:5" x14ac:dyDescent="0.25">
      <c r="A285" s="4" t="s">
        <v>1484</v>
      </c>
      <c r="B285">
        <v>2.3199999999999998</v>
      </c>
      <c r="C285">
        <f t="shared" si="20"/>
        <v>2.4</v>
      </c>
      <c r="D285">
        <f t="shared" si="21"/>
        <v>0</v>
      </c>
      <c r="E285">
        <f t="shared" si="22"/>
        <v>1</v>
      </c>
    </row>
    <row r="286" spans="1:5" x14ac:dyDescent="0.25">
      <c r="A286" s="4" t="s">
        <v>1488</v>
      </c>
      <c r="B286">
        <v>2.2999999999999998</v>
      </c>
      <c r="C286">
        <f t="shared" si="20"/>
        <v>2.2999999999999998</v>
      </c>
      <c r="D286">
        <f t="shared" si="21"/>
        <v>0</v>
      </c>
      <c r="E286">
        <f t="shared" si="22"/>
        <v>1</v>
      </c>
    </row>
    <row r="287" spans="1:5" x14ac:dyDescent="0.25">
      <c r="A287" s="4" t="s">
        <v>1492</v>
      </c>
      <c r="B287">
        <v>0.9</v>
      </c>
      <c r="C287">
        <f t="shared" si="20"/>
        <v>0.9</v>
      </c>
      <c r="D287">
        <f t="shared" si="21"/>
        <v>0</v>
      </c>
      <c r="E287">
        <f t="shared" si="22"/>
        <v>1</v>
      </c>
    </row>
    <row r="288" spans="1:5" x14ac:dyDescent="0.25">
      <c r="A288" s="4" t="s">
        <v>1496</v>
      </c>
      <c r="B288">
        <v>2.62</v>
      </c>
      <c r="C288">
        <f t="shared" si="20"/>
        <v>2.7</v>
      </c>
      <c r="D288">
        <f t="shared" si="21"/>
        <v>0</v>
      </c>
      <c r="E288">
        <f t="shared" si="22"/>
        <v>1</v>
      </c>
    </row>
    <row r="289" spans="1:5" x14ac:dyDescent="0.25">
      <c r="A289" s="4" t="s">
        <v>1500</v>
      </c>
      <c r="B289">
        <v>0.88</v>
      </c>
      <c r="C289">
        <f t="shared" si="20"/>
        <v>0.9</v>
      </c>
      <c r="D289">
        <f t="shared" si="21"/>
        <v>0</v>
      </c>
      <c r="E289">
        <f t="shared" si="22"/>
        <v>1</v>
      </c>
    </row>
    <row r="290" spans="1:5" x14ac:dyDescent="0.25">
      <c r="A290" s="4" t="s">
        <v>1504</v>
      </c>
      <c r="B290">
        <v>2.56</v>
      </c>
      <c r="C290">
        <f t="shared" si="20"/>
        <v>2.6</v>
      </c>
      <c r="D290">
        <f t="shared" si="21"/>
        <v>0</v>
      </c>
      <c r="E290">
        <f t="shared" si="22"/>
        <v>1</v>
      </c>
    </row>
    <row r="291" spans="1:5" x14ac:dyDescent="0.25">
      <c r="A291" s="4" t="s">
        <v>1509</v>
      </c>
      <c r="B291">
        <v>0.85</v>
      </c>
      <c r="C291">
        <f t="shared" si="20"/>
        <v>0.9</v>
      </c>
      <c r="D291">
        <f t="shared" si="21"/>
        <v>0</v>
      </c>
      <c r="E291">
        <f t="shared" si="22"/>
        <v>1</v>
      </c>
    </row>
    <row r="292" spans="1:5" x14ac:dyDescent="0.25">
      <c r="A292" s="4" t="s">
        <v>1514</v>
      </c>
      <c r="B292">
        <v>1.1100000000000001</v>
      </c>
      <c r="C292">
        <f t="shared" si="20"/>
        <v>1.2000000000000002</v>
      </c>
      <c r="D292">
        <f t="shared" si="21"/>
        <v>0</v>
      </c>
      <c r="E292">
        <f t="shared" si="22"/>
        <v>1</v>
      </c>
    </row>
    <row r="293" spans="1:5" x14ac:dyDescent="0.25">
      <c r="A293" s="4" t="s">
        <v>1518</v>
      </c>
      <c r="B293">
        <v>2.58</v>
      </c>
      <c r="C293">
        <f t="shared" si="20"/>
        <v>2.6</v>
      </c>
      <c r="D293">
        <f t="shared" si="21"/>
        <v>0</v>
      </c>
      <c r="E293">
        <f t="shared" si="22"/>
        <v>1</v>
      </c>
    </row>
    <row r="294" spans="1:5" x14ac:dyDescent="0.25">
      <c r="A294" s="4" t="s">
        <v>1523</v>
      </c>
      <c r="B294">
        <v>1.21</v>
      </c>
      <c r="C294">
        <f t="shared" si="20"/>
        <v>1.3</v>
      </c>
      <c r="D294">
        <f t="shared" si="21"/>
        <v>0</v>
      </c>
      <c r="E294">
        <f t="shared" si="22"/>
        <v>1</v>
      </c>
    </row>
    <row r="295" spans="1:5" x14ac:dyDescent="0.25">
      <c r="A295" s="4" t="s">
        <v>1664</v>
      </c>
      <c r="B295">
        <v>1.1499999999999999</v>
      </c>
      <c r="C295">
        <f t="shared" si="20"/>
        <v>1.2000000000000002</v>
      </c>
      <c r="D295">
        <f t="shared" si="21"/>
        <v>0</v>
      </c>
      <c r="E295">
        <f t="shared" si="22"/>
        <v>1</v>
      </c>
    </row>
    <row r="296" spans="1:5" x14ac:dyDescent="0.25">
      <c r="A296" s="4" t="s">
        <v>1778</v>
      </c>
      <c r="B296">
        <v>1.56</v>
      </c>
      <c r="C296">
        <f t="shared" si="20"/>
        <v>1.6</v>
      </c>
      <c r="D296">
        <f t="shared" si="21"/>
        <v>0</v>
      </c>
      <c r="E296">
        <f t="shared" si="22"/>
        <v>1</v>
      </c>
    </row>
    <row r="297" spans="1:5" x14ac:dyDescent="0.25">
      <c r="A297" s="4" t="s">
        <v>1740</v>
      </c>
      <c r="B297">
        <v>2.8</v>
      </c>
      <c r="C297">
        <f t="shared" si="20"/>
        <v>2.8</v>
      </c>
      <c r="D297">
        <f t="shared" si="21"/>
        <v>0</v>
      </c>
      <c r="E297">
        <f t="shared" si="22"/>
        <v>1</v>
      </c>
    </row>
    <row r="298" spans="1:5" x14ac:dyDescent="0.25">
      <c r="A298" s="4" t="s">
        <v>1773</v>
      </c>
      <c r="B298">
        <v>1.96</v>
      </c>
      <c r="C298">
        <f t="shared" si="20"/>
        <v>2</v>
      </c>
      <c r="D298">
        <f t="shared" si="21"/>
        <v>0</v>
      </c>
      <c r="E298">
        <f t="shared" si="22"/>
        <v>1</v>
      </c>
    </row>
    <row r="299" spans="1:5" x14ac:dyDescent="0.25">
      <c r="A299" s="4" t="s">
        <v>1768</v>
      </c>
      <c r="B299">
        <v>1.74</v>
      </c>
      <c r="C299">
        <f t="shared" si="20"/>
        <v>1.8</v>
      </c>
      <c r="D299">
        <f t="shared" si="21"/>
        <v>0</v>
      </c>
      <c r="E299">
        <f t="shared" si="22"/>
        <v>1</v>
      </c>
    </row>
    <row r="300" spans="1:5" x14ac:dyDescent="0.25">
      <c r="A300" s="4" t="s">
        <v>1763</v>
      </c>
      <c r="B300">
        <v>1.66</v>
      </c>
      <c r="C300">
        <f t="shared" si="20"/>
        <v>1.7000000000000002</v>
      </c>
      <c r="D300">
        <f t="shared" si="21"/>
        <v>0</v>
      </c>
      <c r="E300">
        <f t="shared" si="22"/>
        <v>1</v>
      </c>
    </row>
    <row r="301" spans="1:5" x14ac:dyDescent="0.25">
      <c r="A301" s="4" t="s">
        <v>1735</v>
      </c>
      <c r="B301">
        <v>2.04</v>
      </c>
      <c r="C301">
        <f t="shared" si="20"/>
        <v>2.1</v>
      </c>
      <c r="D301">
        <f t="shared" si="21"/>
        <v>0</v>
      </c>
      <c r="E301">
        <f t="shared" si="22"/>
        <v>1</v>
      </c>
    </row>
    <row r="302" spans="1:5" x14ac:dyDescent="0.25">
      <c r="A302" s="4" t="s">
        <v>1689</v>
      </c>
      <c r="B302">
        <v>0.84</v>
      </c>
      <c r="C302">
        <f t="shared" si="20"/>
        <v>0.9</v>
      </c>
      <c r="D302">
        <f t="shared" si="21"/>
        <v>0</v>
      </c>
      <c r="E302">
        <f t="shared" si="22"/>
        <v>1</v>
      </c>
    </row>
    <row r="303" spans="1:5" x14ac:dyDescent="0.25">
      <c r="A303" s="4" t="s">
        <v>1707</v>
      </c>
      <c r="B303">
        <v>0.46</v>
      </c>
      <c r="C303">
        <f t="shared" si="20"/>
        <v>0.5</v>
      </c>
      <c r="D303">
        <f t="shared" si="21"/>
        <v>1</v>
      </c>
      <c r="E303">
        <f t="shared" si="22"/>
        <v>0</v>
      </c>
    </row>
    <row r="304" spans="1:5" x14ac:dyDescent="0.25">
      <c r="A304" s="4" t="s">
        <v>1758</v>
      </c>
      <c r="B304">
        <v>1.78</v>
      </c>
      <c r="C304">
        <f t="shared" si="20"/>
        <v>1.8</v>
      </c>
      <c r="D304">
        <f t="shared" si="21"/>
        <v>0</v>
      </c>
      <c r="E304">
        <f t="shared" si="22"/>
        <v>1</v>
      </c>
    </row>
    <row r="305" spans="1:5" x14ac:dyDescent="0.25">
      <c r="A305" s="4" t="s">
        <v>1725</v>
      </c>
      <c r="B305">
        <v>6.12</v>
      </c>
      <c r="C305">
        <f t="shared" si="20"/>
        <v>6.1999999999999993</v>
      </c>
      <c r="D305">
        <f t="shared" si="21"/>
        <v>0</v>
      </c>
      <c r="E305">
        <f t="shared" si="22"/>
        <v>1</v>
      </c>
    </row>
    <row r="306" spans="1:5" x14ac:dyDescent="0.25">
      <c r="A306" s="4" t="s">
        <v>1702</v>
      </c>
      <c r="B306">
        <v>0.44</v>
      </c>
      <c r="C306">
        <f t="shared" si="20"/>
        <v>0.5</v>
      </c>
      <c r="D306">
        <f t="shared" si="21"/>
        <v>1</v>
      </c>
      <c r="E306">
        <f t="shared" si="22"/>
        <v>0</v>
      </c>
    </row>
    <row r="307" spans="1:5" x14ac:dyDescent="0.25">
      <c r="A307" s="4" t="s">
        <v>1698</v>
      </c>
      <c r="B307">
        <v>0.46</v>
      </c>
      <c r="C307">
        <f t="shared" si="20"/>
        <v>0.5</v>
      </c>
      <c r="D307">
        <f t="shared" si="21"/>
        <v>1</v>
      </c>
      <c r="E307">
        <f t="shared" si="22"/>
        <v>0</v>
      </c>
    </row>
    <row r="308" spans="1:5" x14ac:dyDescent="0.25">
      <c r="A308" s="4" t="s">
        <v>1685</v>
      </c>
      <c r="B308">
        <v>0.8</v>
      </c>
      <c r="C308">
        <f t="shared" si="20"/>
        <v>0.8</v>
      </c>
      <c r="D308">
        <f t="shared" si="21"/>
        <v>0</v>
      </c>
      <c r="E308">
        <f t="shared" si="22"/>
        <v>1</v>
      </c>
    </row>
    <row r="309" spans="1:5" x14ac:dyDescent="0.25">
      <c r="A309" s="4" t="s">
        <v>1730</v>
      </c>
      <c r="B309">
        <v>2.68</v>
      </c>
      <c r="C309">
        <f t="shared" si="20"/>
        <v>2.7</v>
      </c>
      <c r="D309">
        <f t="shared" si="21"/>
        <v>0</v>
      </c>
      <c r="E309">
        <f t="shared" si="22"/>
        <v>1</v>
      </c>
    </row>
    <row r="310" spans="1:5" x14ac:dyDescent="0.25">
      <c r="A310" s="4" t="s">
        <v>1753</v>
      </c>
      <c r="B310">
        <v>1.94</v>
      </c>
      <c r="C310">
        <f t="shared" si="20"/>
        <v>2</v>
      </c>
      <c r="D310">
        <f t="shared" si="21"/>
        <v>0</v>
      </c>
      <c r="E310">
        <f t="shared" si="22"/>
        <v>1</v>
      </c>
    </row>
    <row r="311" spans="1:5" x14ac:dyDescent="0.25">
      <c r="A311" s="4" t="s">
        <v>1660</v>
      </c>
      <c r="B311">
        <v>1.1599999999999999</v>
      </c>
      <c r="C311">
        <f t="shared" si="20"/>
        <v>1.2000000000000002</v>
      </c>
      <c r="D311">
        <f t="shared" si="21"/>
        <v>0</v>
      </c>
      <c r="E311">
        <f t="shared" si="22"/>
        <v>1</v>
      </c>
    </row>
    <row r="312" spans="1:5" x14ac:dyDescent="0.25">
      <c r="A312" s="4" t="s">
        <v>1655</v>
      </c>
      <c r="B312">
        <v>1.1200000000000001</v>
      </c>
      <c r="C312">
        <f t="shared" si="20"/>
        <v>1.2000000000000002</v>
      </c>
      <c r="D312">
        <f t="shared" si="21"/>
        <v>0</v>
      </c>
      <c r="E312">
        <f t="shared" si="22"/>
        <v>1</v>
      </c>
    </row>
    <row r="313" spans="1:5" x14ac:dyDescent="0.25">
      <c r="A313" s="4" t="s">
        <v>1680</v>
      </c>
      <c r="B313">
        <v>0.9</v>
      </c>
      <c r="C313">
        <f t="shared" si="20"/>
        <v>0.9</v>
      </c>
      <c r="D313">
        <f t="shared" si="21"/>
        <v>0</v>
      </c>
      <c r="E313">
        <f t="shared" si="22"/>
        <v>1</v>
      </c>
    </row>
    <row r="314" spans="1:5" x14ac:dyDescent="0.25">
      <c r="A314" s="4" t="s">
        <v>1651</v>
      </c>
      <c r="B314">
        <v>1.1399999999999999</v>
      </c>
      <c r="C314">
        <f t="shared" si="20"/>
        <v>1.2000000000000002</v>
      </c>
      <c r="D314">
        <f t="shared" si="21"/>
        <v>0</v>
      </c>
      <c r="E314">
        <f t="shared" si="22"/>
        <v>1</v>
      </c>
    </row>
    <row r="315" spans="1:5" x14ac:dyDescent="0.25">
      <c r="A315" s="4" t="s">
        <v>1676</v>
      </c>
      <c r="B315">
        <v>0.83</v>
      </c>
      <c r="C315">
        <f t="shared" si="20"/>
        <v>0.9</v>
      </c>
      <c r="D315">
        <f t="shared" si="21"/>
        <v>0</v>
      </c>
      <c r="E315">
        <f t="shared" si="22"/>
        <v>1</v>
      </c>
    </row>
    <row r="316" spans="1:5" x14ac:dyDescent="0.25">
      <c r="A316" s="4" t="s">
        <v>1749</v>
      </c>
      <c r="B316">
        <v>1.68</v>
      </c>
      <c r="C316">
        <f t="shared" si="20"/>
        <v>1.7000000000000002</v>
      </c>
      <c r="D316">
        <f t="shared" si="21"/>
        <v>0</v>
      </c>
      <c r="E316">
        <f t="shared" si="22"/>
        <v>1</v>
      </c>
    </row>
    <row r="317" spans="1:5" x14ac:dyDescent="0.25">
      <c r="A317" s="4" t="s">
        <v>1672</v>
      </c>
      <c r="B317">
        <v>0.9</v>
      </c>
      <c r="C317">
        <f t="shared" si="20"/>
        <v>0.9</v>
      </c>
      <c r="D317">
        <f t="shared" si="21"/>
        <v>0</v>
      </c>
      <c r="E317">
        <f t="shared" si="22"/>
        <v>1</v>
      </c>
    </row>
    <row r="318" spans="1:5" x14ac:dyDescent="0.25">
      <c r="A318" s="4" t="s">
        <v>1744</v>
      </c>
      <c r="B318">
        <v>1.64</v>
      </c>
      <c r="C318">
        <f t="shared" si="20"/>
        <v>1.7000000000000002</v>
      </c>
      <c r="D318">
        <f t="shared" si="21"/>
        <v>0</v>
      </c>
      <c r="E318">
        <f t="shared" si="22"/>
        <v>1</v>
      </c>
    </row>
    <row r="319" spans="1:5" x14ac:dyDescent="0.25">
      <c r="A319" s="4" t="s">
        <v>1647</v>
      </c>
      <c r="B319">
        <v>1.1499999999999999</v>
      </c>
      <c r="C319">
        <f t="shared" si="20"/>
        <v>1.2000000000000002</v>
      </c>
      <c r="D319">
        <f t="shared" si="21"/>
        <v>0</v>
      </c>
      <c r="E319">
        <f t="shared" si="22"/>
        <v>1</v>
      </c>
    </row>
    <row r="320" spans="1:5" x14ac:dyDescent="0.25">
      <c r="A320" s="4" t="s">
        <v>1720</v>
      </c>
      <c r="B320">
        <v>2.2200000000000002</v>
      </c>
      <c r="C320">
        <f t="shared" si="20"/>
        <v>2.3000000000000003</v>
      </c>
      <c r="D320">
        <f t="shared" si="21"/>
        <v>0</v>
      </c>
      <c r="E320">
        <f t="shared" si="22"/>
        <v>1</v>
      </c>
    </row>
    <row r="321" spans="1:5" x14ac:dyDescent="0.25">
      <c r="A321" s="4" t="s">
        <v>1715</v>
      </c>
      <c r="B321">
        <v>3.6</v>
      </c>
      <c r="C321">
        <f t="shared" si="20"/>
        <v>3.6</v>
      </c>
      <c r="D321">
        <f t="shared" si="21"/>
        <v>0</v>
      </c>
      <c r="E321">
        <f t="shared" si="22"/>
        <v>1</v>
      </c>
    </row>
    <row r="322" spans="1:5" x14ac:dyDescent="0.25">
      <c r="A322" s="4" t="s">
        <v>1642</v>
      </c>
      <c r="B322">
        <v>1.1200000000000001</v>
      </c>
      <c r="C322">
        <f t="shared" si="20"/>
        <v>1.2000000000000002</v>
      </c>
      <c r="D322">
        <f t="shared" si="21"/>
        <v>0</v>
      </c>
      <c r="E322">
        <f t="shared" si="22"/>
        <v>1</v>
      </c>
    </row>
    <row r="323" spans="1:5" x14ac:dyDescent="0.25">
      <c r="A323" s="4" t="s">
        <v>1711</v>
      </c>
      <c r="B323">
        <v>2.5</v>
      </c>
      <c r="C323">
        <f t="shared" si="20"/>
        <v>2.5</v>
      </c>
      <c r="D323">
        <f t="shared" si="21"/>
        <v>0</v>
      </c>
      <c r="E323">
        <f t="shared" si="22"/>
        <v>1</v>
      </c>
    </row>
    <row r="324" spans="1:5" x14ac:dyDescent="0.25">
      <c r="A324" s="4" t="s">
        <v>1668</v>
      </c>
      <c r="B324">
        <v>0.84</v>
      </c>
      <c r="C324">
        <f t="shared" si="20"/>
        <v>0.9</v>
      </c>
      <c r="D324">
        <f t="shared" si="21"/>
        <v>0</v>
      </c>
      <c r="E324">
        <f t="shared" si="22"/>
        <v>1</v>
      </c>
    </row>
    <row r="325" spans="1:5" x14ac:dyDescent="0.25">
      <c r="A325" s="4" t="s">
        <v>1694</v>
      </c>
      <c r="B325">
        <v>0.56000000000000005</v>
      </c>
      <c r="C325">
        <f t="shared" si="20"/>
        <v>0.6</v>
      </c>
      <c r="D325">
        <f t="shared" si="21"/>
        <v>0</v>
      </c>
      <c r="E325">
        <f t="shared" si="22"/>
        <v>1</v>
      </c>
    </row>
    <row r="326" spans="1:5" x14ac:dyDescent="0.25">
      <c r="A326" s="4" t="s">
        <v>1870</v>
      </c>
      <c r="B326">
        <v>0.84</v>
      </c>
      <c r="C326">
        <f t="shared" si="20"/>
        <v>0.9</v>
      </c>
      <c r="D326">
        <f t="shared" si="21"/>
        <v>0</v>
      </c>
      <c r="E326">
        <f t="shared" si="22"/>
        <v>1</v>
      </c>
    </row>
    <row r="327" spans="1:5" x14ac:dyDescent="0.25">
      <c r="A327" s="4" t="s">
        <v>1865</v>
      </c>
      <c r="B327">
        <v>0.52</v>
      </c>
      <c r="C327">
        <f t="shared" si="20"/>
        <v>0.6</v>
      </c>
      <c r="D327">
        <f t="shared" si="21"/>
        <v>0</v>
      </c>
      <c r="E327">
        <f t="shared" si="22"/>
        <v>1</v>
      </c>
    </row>
    <row r="328" spans="1:5" x14ac:dyDescent="0.25">
      <c r="A328" s="4" t="s">
        <v>1860</v>
      </c>
      <c r="B328">
        <v>1.1100000000000001</v>
      </c>
      <c r="C328">
        <f t="shared" si="20"/>
        <v>1.2000000000000002</v>
      </c>
      <c r="D328">
        <f t="shared" si="21"/>
        <v>0</v>
      </c>
      <c r="E328">
        <f t="shared" si="22"/>
        <v>1</v>
      </c>
    </row>
    <row r="329" spans="1:5" x14ac:dyDescent="0.25">
      <c r="A329" s="4" t="s">
        <v>1858</v>
      </c>
      <c r="B329">
        <v>1.3</v>
      </c>
      <c r="C329">
        <f t="shared" ref="C329:C379" si="23">ROUNDUP(B329,1)</f>
        <v>1.3</v>
      </c>
      <c r="D329">
        <f t="shared" ref="D329:D379" si="24">IF(C329=0,0,IF(C329&lt;=0.5,1,0))</f>
        <v>0</v>
      </c>
      <c r="E329">
        <f t="shared" ref="E329:E379" si="25">IF(C329=0,0,1-D329)</f>
        <v>1</v>
      </c>
    </row>
    <row r="330" spans="1:5" x14ac:dyDescent="0.25">
      <c r="A330" s="4" t="s">
        <v>1853</v>
      </c>
      <c r="B330">
        <v>2.36</v>
      </c>
      <c r="C330">
        <f t="shared" si="23"/>
        <v>2.4</v>
      </c>
      <c r="D330">
        <f t="shared" si="24"/>
        <v>0</v>
      </c>
      <c r="E330">
        <f t="shared" si="25"/>
        <v>1</v>
      </c>
    </row>
    <row r="331" spans="1:5" x14ac:dyDescent="0.25">
      <c r="A331" s="4" t="s">
        <v>1848</v>
      </c>
      <c r="B331">
        <v>1.1100000000000001</v>
      </c>
      <c r="C331">
        <f t="shared" si="23"/>
        <v>1.2000000000000002</v>
      </c>
      <c r="D331">
        <f t="shared" si="24"/>
        <v>0</v>
      </c>
      <c r="E331">
        <f t="shared" si="25"/>
        <v>1</v>
      </c>
    </row>
    <row r="332" spans="1:5" x14ac:dyDescent="0.25">
      <c r="A332" s="4" t="s">
        <v>1843</v>
      </c>
      <c r="B332">
        <v>1.26</v>
      </c>
      <c r="C332">
        <f t="shared" si="23"/>
        <v>1.3</v>
      </c>
      <c r="D332">
        <f t="shared" si="24"/>
        <v>0</v>
      </c>
      <c r="E332">
        <f t="shared" si="25"/>
        <v>1</v>
      </c>
    </row>
    <row r="333" spans="1:5" x14ac:dyDescent="0.25">
      <c r="A333" s="4" t="s">
        <v>1838</v>
      </c>
      <c r="B333">
        <v>1.22</v>
      </c>
      <c r="C333">
        <f t="shared" si="23"/>
        <v>1.3</v>
      </c>
      <c r="D333">
        <f t="shared" si="24"/>
        <v>0</v>
      </c>
      <c r="E333">
        <f t="shared" si="25"/>
        <v>1</v>
      </c>
    </row>
    <row r="334" spans="1:5" x14ac:dyDescent="0.25">
      <c r="A334" s="4" t="s">
        <v>1834</v>
      </c>
      <c r="B334">
        <v>1.72</v>
      </c>
      <c r="C334">
        <f t="shared" si="23"/>
        <v>1.8</v>
      </c>
      <c r="D334">
        <f t="shared" si="24"/>
        <v>0</v>
      </c>
      <c r="E334">
        <f t="shared" si="25"/>
        <v>1</v>
      </c>
    </row>
    <row r="335" spans="1:5" x14ac:dyDescent="0.25">
      <c r="A335" s="4" t="s">
        <v>1830</v>
      </c>
      <c r="B335">
        <v>1.24</v>
      </c>
      <c r="C335">
        <f t="shared" si="23"/>
        <v>1.3</v>
      </c>
      <c r="D335">
        <f t="shared" si="24"/>
        <v>0</v>
      </c>
      <c r="E335">
        <f t="shared" si="25"/>
        <v>1</v>
      </c>
    </row>
    <row r="336" spans="1:5" x14ac:dyDescent="0.25">
      <c r="A336" s="4" t="s">
        <v>1825</v>
      </c>
      <c r="B336">
        <v>1.22</v>
      </c>
      <c r="C336">
        <f t="shared" si="23"/>
        <v>1.3</v>
      </c>
      <c r="D336">
        <f t="shared" si="24"/>
        <v>0</v>
      </c>
      <c r="E336">
        <f t="shared" si="25"/>
        <v>1</v>
      </c>
    </row>
    <row r="337" spans="1:5" x14ac:dyDescent="0.25">
      <c r="A337" s="4" t="s">
        <v>1820</v>
      </c>
      <c r="B337">
        <v>2.34</v>
      </c>
      <c r="C337">
        <f t="shared" si="23"/>
        <v>2.4</v>
      </c>
      <c r="D337">
        <f t="shared" si="24"/>
        <v>0</v>
      </c>
      <c r="E337">
        <f t="shared" si="25"/>
        <v>1</v>
      </c>
    </row>
    <row r="338" spans="1:5" x14ac:dyDescent="0.25">
      <c r="A338" s="4" t="s">
        <v>1815</v>
      </c>
      <c r="B338">
        <v>4.4000000000000004</v>
      </c>
      <c r="C338">
        <f t="shared" si="23"/>
        <v>4.4000000000000004</v>
      </c>
      <c r="D338">
        <f t="shared" si="24"/>
        <v>0</v>
      </c>
      <c r="E338">
        <f t="shared" si="25"/>
        <v>1</v>
      </c>
    </row>
    <row r="339" spans="1:5" x14ac:dyDescent="0.25">
      <c r="A339" s="4" t="s">
        <v>1811</v>
      </c>
      <c r="B339">
        <v>1.1100000000000001</v>
      </c>
      <c r="C339">
        <f t="shared" si="23"/>
        <v>1.2000000000000002</v>
      </c>
      <c r="D339">
        <f t="shared" si="24"/>
        <v>0</v>
      </c>
      <c r="E339">
        <f t="shared" si="25"/>
        <v>1</v>
      </c>
    </row>
    <row r="340" spans="1:5" x14ac:dyDescent="0.25">
      <c r="A340" s="4" t="s">
        <v>1880</v>
      </c>
      <c r="B340">
        <v>1.18</v>
      </c>
      <c r="C340">
        <f t="shared" si="23"/>
        <v>1.2000000000000002</v>
      </c>
      <c r="D340">
        <f t="shared" si="24"/>
        <v>0</v>
      </c>
      <c r="E340">
        <f t="shared" si="25"/>
        <v>1</v>
      </c>
    </row>
    <row r="341" spans="1:5" x14ac:dyDescent="0.25">
      <c r="A341" s="4" t="s">
        <v>1885</v>
      </c>
      <c r="B341">
        <v>1.1599999999999999</v>
      </c>
      <c r="C341">
        <f t="shared" si="23"/>
        <v>1.2000000000000002</v>
      </c>
      <c r="D341">
        <f t="shared" si="24"/>
        <v>0</v>
      </c>
      <c r="E341">
        <f t="shared" si="25"/>
        <v>1</v>
      </c>
    </row>
    <row r="342" spans="1:5" x14ac:dyDescent="0.25">
      <c r="A342" s="4" t="s">
        <v>1889</v>
      </c>
      <c r="B342">
        <v>1.2</v>
      </c>
      <c r="C342">
        <f t="shared" si="23"/>
        <v>1.2</v>
      </c>
      <c r="D342">
        <f t="shared" si="24"/>
        <v>0</v>
      </c>
      <c r="E342">
        <f t="shared" si="25"/>
        <v>1</v>
      </c>
    </row>
    <row r="343" spans="1:5" x14ac:dyDescent="0.25">
      <c r="A343" s="4" t="s">
        <v>1893</v>
      </c>
      <c r="B343">
        <v>0.62</v>
      </c>
      <c r="C343">
        <f t="shared" si="23"/>
        <v>0.7</v>
      </c>
      <c r="D343">
        <f t="shared" si="24"/>
        <v>0</v>
      </c>
      <c r="E343">
        <f t="shared" si="25"/>
        <v>1</v>
      </c>
    </row>
    <row r="344" spans="1:5" x14ac:dyDescent="0.25">
      <c r="A344" s="4" t="s">
        <v>1897</v>
      </c>
      <c r="B344">
        <v>1.96</v>
      </c>
      <c r="C344">
        <f t="shared" si="23"/>
        <v>2</v>
      </c>
      <c r="D344">
        <f t="shared" si="24"/>
        <v>0</v>
      </c>
      <c r="E344">
        <f t="shared" si="25"/>
        <v>1</v>
      </c>
    </row>
    <row r="345" spans="1:5" x14ac:dyDescent="0.25">
      <c r="A345" s="4" t="s">
        <v>1901</v>
      </c>
      <c r="B345">
        <v>2.66</v>
      </c>
      <c r="C345">
        <f t="shared" si="23"/>
        <v>2.7</v>
      </c>
      <c r="D345">
        <f t="shared" si="24"/>
        <v>0</v>
      </c>
      <c r="E345">
        <f t="shared" si="25"/>
        <v>1</v>
      </c>
    </row>
    <row r="346" spans="1:5" x14ac:dyDescent="0.25">
      <c r="A346" s="4" t="s">
        <v>1906</v>
      </c>
      <c r="B346">
        <v>5</v>
      </c>
      <c r="C346">
        <f t="shared" si="23"/>
        <v>5</v>
      </c>
      <c r="D346">
        <f t="shared" si="24"/>
        <v>0</v>
      </c>
      <c r="E346">
        <f t="shared" si="25"/>
        <v>1</v>
      </c>
    </row>
    <row r="347" spans="1:5" x14ac:dyDescent="0.25">
      <c r="A347" s="4" t="s">
        <v>1875</v>
      </c>
      <c r="B347">
        <v>2.48</v>
      </c>
      <c r="C347">
        <f t="shared" si="23"/>
        <v>2.5</v>
      </c>
      <c r="D347">
        <f t="shared" si="24"/>
        <v>0</v>
      </c>
      <c r="E347">
        <f t="shared" si="25"/>
        <v>1</v>
      </c>
    </row>
    <row r="348" spans="1:5" x14ac:dyDescent="0.25">
      <c r="A348" s="4" t="s">
        <v>1911</v>
      </c>
      <c r="B348">
        <v>0.88</v>
      </c>
      <c r="C348">
        <f t="shared" si="23"/>
        <v>0.9</v>
      </c>
      <c r="D348">
        <f t="shared" si="24"/>
        <v>0</v>
      </c>
      <c r="E348">
        <f t="shared" si="25"/>
        <v>1</v>
      </c>
    </row>
    <row r="349" spans="1:5" x14ac:dyDescent="0.25">
      <c r="A349" s="4" t="s">
        <v>1916</v>
      </c>
      <c r="B349">
        <v>1.86</v>
      </c>
      <c r="C349">
        <f t="shared" si="23"/>
        <v>1.9000000000000001</v>
      </c>
      <c r="D349">
        <f t="shared" si="24"/>
        <v>0</v>
      </c>
      <c r="E349">
        <f t="shared" si="25"/>
        <v>1</v>
      </c>
    </row>
    <row r="350" spans="1:5" x14ac:dyDescent="0.25">
      <c r="A350" s="4" t="s">
        <v>1952</v>
      </c>
      <c r="B350">
        <v>2.78</v>
      </c>
      <c r="C350">
        <f t="shared" si="23"/>
        <v>2.8000000000000003</v>
      </c>
      <c r="D350">
        <f t="shared" si="24"/>
        <v>0</v>
      </c>
      <c r="E350">
        <f t="shared" si="25"/>
        <v>1</v>
      </c>
    </row>
    <row r="351" spans="1:5" x14ac:dyDescent="0.25">
      <c r="A351" s="4" t="s">
        <v>1957</v>
      </c>
      <c r="B351">
        <v>1.1100000000000001</v>
      </c>
      <c r="C351">
        <f t="shared" si="23"/>
        <v>1.2000000000000002</v>
      </c>
      <c r="D351">
        <f t="shared" si="24"/>
        <v>0</v>
      </c>
      <c r="E351">
        <f t="shared" si="25"/>
        <v>1</v>
      </c>
    </row>
    <row r="352" spans="1:5" x14ac:dyDescent="0.25">
      <c r="A352" s="4" t="s">
        <v>1962</v>
      </c>
      <c r="B352">
        <v>1.65</v>
      </c>
      <c r="C352">
        <f t="shared" si="23"/>
        <v>1.7000000000000002</v>
      </c>
      <c r="D352">
        <f t="shared" si="24"/>
        <v>0</v>
      </c>
      <c r="E352">
        <f t="shared" si="25"/>
        <v>1</v>
      </c>
    </row>
    <row r="353" spans="1:5" x14ac:dyDescent="0.25">
      <c r="A353" s="4" t="s">
        <v>1967</v>
      </c>
      <c r="B353">
        <v>1.1100000000000001</v>
      </c>
      <c r="C353">
        <f t="shared" si="23"/>
        <v>1.2000000000000002</v>
      </c>
      <c r="D353">
        <f t="shared" si="24"/>
        <v>0</v>
      </c>
      <c r="E353">
        <f t="shared" si="25"/>
        <v>1</v>
      </c>
    </row>
    <row r="354" spans="1:5" x14ac:dyDescent="0.25">
      <c r="A354" s="4" t="s">
        <v>1971</v>
      </c>
      <c r="B354">
        <v>1.1200000000000001</v>
      </c>
      <c r="C354">
        <f t="shared" si="23"/>
        <v>1.2000000000000002</v>
      </c>
      <c r="D354">
        <f t="shared" si="24"/>
        <v>0</v>
      </c>
      <c r="E354">
        <f t="shared" si="25"/>
        <v>1</v>
      </c>
    </row>
    <row r="355" spans="1:5" x14ac:dyDescent="0.25">
      <c r="A355" s="4" t="s">
        <v>1975</v>
      </c>
      <c r="B355">
        <v>0.84</v>
      </c>
      <c r="C355">
        <f t="shared" si="23"/>
        <v>0.9</v>
      </c>
      <c r="D355">
        <f t="shared" si="24"/>
        <v>0</v>
      </c>
      <c r="E355">
        <f t="shared" si="25"/>
        <v>1</v>
      </c>
    </row>
    <row r="356" spans="1:5" x14ac:dyDescent="0.25">
      <c r="A356" s="4" t="s">
        <v>2048</v>
      </c>
      <c r="B356">
        <v>1.1599999999999999</v>
      </c>
      <c r="C356">
        <f t="shared" si="23"/>
        <v>1.2000000000000002</v>
      </c>
      <c r="D356">
        <f t="shared" si="24"/>
        <v>0</v>
      </c>
      <c r="E356">
        <f t="shared" si="25"/>
        <v>1</v>
      </c>
    </row>
    <row r="357" spans="1:5" x14ac:dyDescent="0.25">
      <c r="A357" s="4" t="s">
        <v>2043</v>
      </c>
      <c r="B357">
        <v>1.1399999999999999</v>
      </c>
      <c r="C357">
        <f t="shared" si="23"/>
        <v>1.2000000000000002</v>
      </c>
      <c r="D357">
        <f t="shared" si="24"/>
        <v>0</v>
      </c>
      <c r="E357">
        <f t="shared" si="25"/>
        <v>1</v>
      </c>
    </row>
    <row r="358" spans="1:5" x14ac:dyDescent="0.25">
      <c r="A358" s="4" t="s">
        <v>2039</v>
      </c>
      <c r="B358">
        <v>1.05</v>
      </c>
      <c r="C358">
        <f t="shared" si="23"/>
        <v>1.1000000000000001</v>
      </c>
      <c r="D358">
        <f t="shared" si="24"/>
        <v>0</v>
      </c>
      <c r="E358">
        <f t="shared" si="25"/>
        <v>1</v>
      </c>
    </row>
    <row r="359" spans="1:5" x14ac:dyDescent="0.25">
      <c r="A359" s="4" t="s">
        <v>2034</v>
      </c>
      <c r="B359">
        <v>1.1399999999999999</v>
      </c>
      <c r="C359">
        <f t="shared" si="23"/>
        <v>1.2000000000000002</v>
      </c>
      <c r="D359">
        <f t="shared" si="24"/>
        <v>0</v>
      </c>
      <c r="E359">
        <f t="shared" si="25"/>
        <v>1</v>
      </c>
    </row>
    <row r="360" spans="1:5" x14ac:dyDescent="0.25">
      <c r="A360" s="4" t="s">
        <v>2071</v>
      </c>
      <c r="B360">
        <v>0.88</v>
      </c>
      <c r="C360">
        <f t="shared" si="23"/>
        <v>0.9</v>
      </c>
      <c r="D360">
        <f t="shared" si="24"/>
        <v>0</v>
      </c>
      <c r="E360">
        <f t="shared" si="25"/>
        <v>1</v>
      </c>
    </row>
    <row r="361" spans="1:5" x14ac:dyDescent="0.25">
      <c r="A361" s="4" t="s">
        <v>2029</v>
      </c>
      <c r="B361">
        <v>1.1000000000000001</v>
      </c>
      <c r="C361">
        <f t="shared" si="23"/>
        <v>1.1000000000000001</v>
      </c>
      <c r="D361">
        <f t="shared" si="24"/>
        <v>0</v>
      </c>
      <c r="E361">
        <f t="shared" si="25"/>
        <v>1</v>
      </c>
    </row>
    <row r="362" spans="1:5" x14ac:dyDescent="0.25">
      <c r="A362" s="4" t="s">
        <v>2025</v>
      </c>
      <c r="B362">
        <v>1.1000000000000001</v>
      </c>
      <c r="C362">
        <f t="shared" si="23"/>
        <v>1.1000000000000001</v>
      </c>
      <c r="D362">
        <f t="shared" si="24"/>
        <v>0</v>
      </c>
      <c r="E362">
        <f t="shared" si="25"/>
        <v>1</v>
      </c>
    </row>
    <row r="363" spans="1:5" x14ac:dyDescent="0.25">
      <c r="A363" s="4" t="s">
        <v>2123</v>
      </c>
      <c r="B363">
        <v>0.5</v>
      </c>
      <c r="C363">
        <f t="shared" si="23"/>
        <v>0.5</v>
      </c>
      <c r="D363">
        <f t="shared" si="24"/>
        <v>1</v>
      </c>
      <c r="E363">
        <f t="shared" si="25"/>
        <v>0</v>
      </c>
    </row>
    <row r="364" spans="1:5" x14ac:dyDescent="0.25">
      <c r="A364" s="4" t="s">
        <v>2187</v>
      </c>
      <c r="B364">
        <v>1.96</v>
      </c>
      <c r="C364">
        <f t="shared" si="23"/>
        <v>2</v>
      </c>
      <c r="D364">
        <f t="shared" si="24"/>
        <v>0</v>
      </c>
      <c r="E364">
        <f t="shared" si="25"/>
        <v>1</v>
      </c>
    </row>
    <row r="365" spans="1:5" x14ac:dyDescent="0.25">
      <c r="A365" s="4" t="s">
        <v>2119</v>
      </c>
      <c r="B365">
        <v>0.5</v>
      </c>
      <c r="C365">
        <f t="shared" si="23"/>
        <v>0.5</v>
      </c>
      <c r="D365">
        <f t="shared" si="24"/>
        <v>1</v>
      </c>
      <c r="E365">
        <f t="shared" si="25"/>
        <v>0</v>
      </c>
    </row>
    <row r="366" spans="1:5" x14ac:dyDescent="0.25">
      <c r="A366" s="4" t="s">
        <v>2020</v>
      </c>
      <c r="B366">
        <v>1.24</v>
      </c>
      <c r="C366">
        <f t="shared" si="23"/>
        <v>1.3</v>
      </c>
      <c r="D366">
        <f t="shared" si="24"/>
        <v>0</v>
      </c>
      <c r="E366">
        <f t="shared" si="25"/>
        <v>1</v>
      </c>
    </row>
    <row r="367" spans="1:5" x14ac:dyDescent="0.25">
      <c r="A367" s="4" t="s">
        <v>2067</v>
      </c>
      <c r="B367">
        <v>0.9</v>
      </c>
      <c r="C367">
        <f t="shared" si="23"/>
        <v>0.9</v>
      </c>
      <c r="D367">
        <f t="shared" si="24"/>
        <v>0</v>
      </c>
      <c r="E367">
        <f t="shared" si="25"/>
        <v>1</v>
      </c>
    </row>
    <row r="368" spans="1:5" x14ac:dyDescent="0.25">
      <c r="A368" s="4" t="s">
        <v>2115</v>
      </c>
      <c r="B368">
        <v>0.35</v>
      </c>
      <c r="C368">
        <f t="shared" si="23"/>
        <v>0.4</v>
      </c>
      <c r="D368">
        <f t="shared" si="24"/>
        <v>1</v>
      </c>
      <c r="E368">
        <f t="shared" si="25"/>
        <v>0</v>
      </c>
    </row>
    <row r="369" spans="1:5" x14ac:dyDescent="0.25">
      <c r="A369" s="4" t="s">
        <v>2015</v>
      </c>
      <c r="B369">
        <v>1.21</v>
      </c>
      <c r="C369">
        <f t="shared" si="23"/>
        <v>1.3</v>
      </c>
      <c r="D369">
        <f t="shared" si="24"/>
        <v>0</v>
      </c>
      <c r="E369">
        <f t="shared" si="25"/>
        <v>1</v>
      </c>
    </row>
    <row r="370" spans="1:5" x14ac:dyDescent="0.25">
      <c r="A370" s="4" t="s">
        <v>2010</v>
      </c>
      <c r="B370">
        <v>1.1000000000000001</v>
      </c>
      <c r="C370">
        <f t="shared" si="23"/>
        <v>1.1000000000000001</v>
      </c>
      <c r="D370">
        <f t="shared" si="24"/>
        <v>0</v>
      </c>
      <c r="E370">
        <f t="shared" si="25"/>
        <v>1</v>
      </c>
    </row>
    <row r="371" spans="1:5" x14ac:dyDescent="0.25">
      <c r="A371" s="4" t="s">
        <v>2005</v>
      </c>
      <c r="B371">
        <v>1.08</v>
      </c>
      <c r="C371">
        <f t="shared" si="23"/>
        <v>1.1000000000000001</v>
      </c>
      <c r="D371">
        <f t="shared" si="24"/>
        <v>0</v>
      </c>
      <c r="E371">
        <f t="shared" si="25"/>
        <v>1</v>
      </c>
    </row>
    <row r="372" spans="1:5" x14ac:dyDescent="0.25">
      <c r="A372" s="4" t="s">
        <v>2183</v>
      </c>
      <c r="B372">
        <v>1.52</v>
      </c>
      <c r="C372">
        <f t="shared" si="23"/>
        <v>1.6</v>
      </c>
      <c r="D372">
        <f t="shared" si="24"/>
        <v>0</v>
      </c>
      <c r="E372">
        <f t="shared" si="25"/>
        <v>1</v>
      </c>
    </row>
    <row r="373" spans="1:5" x14ac:dyDescent="0.25">
      <c r="A373" s="4" t="s">
        <v>2062</v>
      </c>
      <c r="B373">
        <v>1</v>
      </c>
      <c r="C373">
        <f t="shared" si="23"/>
        <v>1</v>
      </c>
      <c r="D373">
        <f t="shared" si="24"/>
        <v>0</v>
      </c>
      <c r="E373">
        <f t="shared" si="25"/>
        <v>1</v>
      </c>
    </row>
    <row r="374" spans="1:5" x14ac:dyDescent="0.25">
      <c r="A374" s="4" t="s">
        <v>2000</v>
      </c>
      <c r="B374">
        <v>1.08</v>
      </c>
      <c r="C374">
        <f t="shared" si="23"/>
        <v>1.1000000000000001</v>
      </c>
      <c r="D374">
        <f t="shared" si="24"/>
        <v>0</v>
      </c>
      <c r="E374">
        <f t="shared" si="25"/>
        <v>1</v>
      </c>
    </row>
    <row r="375" spans="1:5" x14ac:dyDescent="0.25">
      <c r="A375" s="4" t="s">
        <v>2111</v>
      </c>
      <c r="B375">
        <v>0.5</v>
      </c>
      <c r="C375">
        <f t="shared" si="23"/>
        <v>0.5</v>
      </c>
      <c r="D375">
        <f t="shared" si="24"/>
        <v>1</v>
      </c>
      <c r="E375">
        <f t="shared" si="25"/>
        <v>0</v>
      </c>
    </row>
    <row r="376" spans="1:5" x14ac:dyDescent="0.25">
      <c r="A376" s="4" t="s">
        <v>2075</v>
      </c>
      <c r="B376">
        <v>0.57999999999999996</v>
      </c>
      <c r="C376">
        <f t="shared" si="23"/>
        <v>0.6</v>
      </c>
      <c r="D376">
        <f t="shared" si="24"/>
        <v>0</v>
      </c>
      <c r="E376">
        <f t="shared" si="25"/>
        <v>1</v>
      </c>
    </row>
    <row r="377" spans="1:5" x14ac:dyDescent="0.25">
      <c r="A377" s="4" t="s">
        <v>2107</v>
      </c>
      <c r="B377">
        <v>0.5</v>
      </c>
      <c r="C377">
        <f t="shared" si="23"/>
        <v>0.5</v>
      </c>
      <c r="D377">
        <f t="shared" si="24"/>
        <v>1</v>
      </c>
      <c r="E377">
        <f t="shared" si="25"/>
        <v>0</v>
      </c>
    </row>
    <row r="378" spans="1:5" x14ac:dyDescent="0.25">
      <c r="A378" s="4" t="s">
        <v>2103</v>
      </c>
      <c r="B378">
        <v>0.42</v>
      </c>
      <c r="C378">
        <f t="shared" si="23"/>
        <v>0.5</v>
      </c>
      <c r="D378">
        <f t="shared" si="24"/>
        <v>1</v>
      </c>
      <c r="E378">
        <f t="shared" si="25"/>
        <v>0</v>
      </c>
    </row>
    <row r="379" spans="1:5" x14ac:dyDescent="0.25">
      <c r="A379" s="4" t="s">
        <v>2057</v>
      </c>
      <c r="B379">
        <v>0.84</v>
      </c>
      <c r="C379">
        <f t="shared" si="23"/>
        <v>0.9</v>
      </c>
      <c r="D379">
        <f t="shared" si="24"/>
        <v>0</v>
      </c>
      <c r="E379">
        <f t="shared" si="25"/>
        <v>1</v>
      </c>
    </row>
    <row r="380" spans="1:5" x14ac:dyDescent="0.25">
      <c r="A380" s="4" t="s">
        <v>1996</v>
      </c>
      <c r="B380">
        <v>1.1399999999999999</v>
      </c>
      <c r="C380">
        <f t="shared" ref="C380:C428" si="26">ROUNDUP(B380,1)</f>
        <v>1.2000000000000002</v>
      </c>
      <c r="D380">
        <f t="shared" ref="D380:D428" si="27">IF(C380=0,0,IF(C380&lt;=0.5,1,0))</f>
        <v>0</v>
      </c>
      <c r="E380">
        <f t="shared" ref="E380:E428" si="28">IF(C380=0,0,1-D380)</f>
        <v>1</v>
      </c>
    </row>
    <row r="381" spans="1:5" x14ac:dyDescent="0.25">
      <c r="A381" s="4" t="s">
        <v>2129</v>
      </c>
      <c r="B381">
        <v>1.1000000000000001</v>
      </c>
      <c r="C381">
        <f t="shared" si="26"/>
        <v>1.1000000000000001</v>
      </c>
      <c r="D381">
        <f t="shared" si="27"/>
        <v>0</v>
      </c>
      <c r="E381">
        <f t="shared" si="28"/>
        <v>1</v>
      </c>
    </row>
    <row r="382" spans="1:5" x14ac:dyDescent="0.25">
      <c r="A382" s="4" t="s">
        <v>2239</v>
      </c>
      <c r="B382">
        <v>1.1000000000000001</v>
      </c>
      <c r="C382">
        <f t="shared" si="26"/>
        <v>1.1000000000000001</v>
      </c>
      <c r="D382">
        <f t="shared" si="27"/>
        <v>0</v>
      </c>
      <c r="E382">
        <f t="shared" si="28"/>
        <v>1</v>
      </c>
    </row>
    <row r="383" spans="1:5" x14ac:dyDescent="0.25">
      <c r="A383" s="4" t="s">
        <v>2098</v>
      </c>
      <c r="B383">
        <v>0.5</v>
      </c>
      <c r="C383">
        <f t="shared" si="26"/>
        <v>0.5</v>
      </c>
      <c r="D383">
        <f t="shared" si="27"/>
        <v>1</v>
      </c>
      <c r="E383">
        <f t="shared" si="28"/>
        <v>0</v>
      </c>
    </row>
    <row r="384" spans="1:5" x14ac:dyDescent="0.25">
      <c r="A384" s="4" t="s">
        <v>2093</v>
      </c>
      <c r="B384">
        <v>0.4</v>
      </c>
      <c r="C384">
        <f t="shared" si="26"/>
        <v>0.4</v>
      </c>
      <c r="D384">
        <f t="shared" si="27"/>
        <v>1</v>
      </c>
      <c r="E384">
        <f t="shared" si="28"/>
        <v>0</v>
      </c>
    </row>
    <row r="385" spans="1:5" x14ac:dyDescent="0.25">
      <c r="A385" s="4" t="s">
        <v>2088</v>
      </c>
      <c r="B385">
        <v>0.48</v>
      </c>
      <c r="C385">
        <f t="shared" si="26"/>
        <v>0.5</v>
      </c>
      <c r="D385">
        <f t="shared" si="27"/>
        <v>1</v>
      </c>
      <c r="E385">
        <f t="shared" si="28"/>
        <v>0</v>
      </c>
    </row>
    <row r="386" spans="1:5" x14ac:dyDescent="0.25">
      <c r="A386" s="4" t="s">
        <v>2083</v>
      </c>
      <c r="B386">
        <v>0.42</v>
      </c>
      <c r="C386">
        <f t="shared" si="26"/>
        <v>0.5</v>
      </c>
      <c r="D386">
        <f t="shared" si="27"/>
        <v>1</v>
      </c>
      <c r="E386">
        <f t="shared" si="28"/>
        <v>0</v>
      </c>
    </row>
    <row r="387" spans="1:5" x14ac:dyDescent="0.25">
      <c r="A387" s="4" t="s">
        <v>2234</v>
      </c>
      <c r="B387">
        <v>1.05</v>
      </c>
      <c r="C387">
        <f t="shared" si="26"/>
        <v>1.1000000000000001</v>
      </c>
      <c r="D387">
        <f t="shared" si="27"/>
        <v>0</v>
      </c>
      <c r="E387">
        <f t="shared" si="28"/>
        <v>1</v>
      </c>
    </row>
    <row r="388" spans="1:5" x14ac:dyDescent="0.25">
      <c r="A388" s="4" t="s">
        <v>2229</v>
      </c>
      <c r="B388">
        <v>1.1499999999999999</v>
      </c>
      <c r="C388">
        <f t="shared" si="26"/>
        <v>1.2000000000000002</v>
      </c>
      <c r="D388">
        <f t="shared" si="27"/>
        <v>0</v>
      </c>
      <c r="E388">
        <f t="shared" si="28"/>
        <v>1</v>
      </c>
    </row>
    <row r="389" spans="1:5" x14ac:dyDescent="0.25">
      <c r="A389" s="4" t="s">
        <v>2225</v>
      </c>
      <c r="B389">
        <v>1.1399999999999999</v>
      </c>
      <c r="C389">
        <f t="shared" si="26"/>
        <v>1.2000000000000002</v>
      </c>
      <c r="D389">
        <f t="shared" si="27"/>
        <v>0</v>
      </c>
      <c r="E389">
        <f t="shared" si="28"/>
        <v>1</v>
      </c>
    </row>
    <row r="390" spans="1:5" x14ac:dyDescent="0.25">
      <c r="A390" s="4" t="s">
        <v>2220</v>
      </c>
      <c r="B390">
        <v>1.1399999999999999</v>
      </c>
      <c r="C390">
        <f t="shared" si="26"/>
        <v>1.2000000000000002</v>
      </c>
      <c r="D390">
        <f t="shared" si="27"/>
        <v>0</v>
      </c>
      <c r="E390">
        <f t="shared" si="28"/>
        <v>1</v>
      </c>
    </row>
    <row r="391" spans="1:5" x14ac:dyDescent="0.25">
      <c r="A391" s="4" t="s">
        <v>2216</v>
      </c>
      <c r="B391">
        <v>1.1499999999999999</v>
      </c>
      <c r="C391">
        <f t="shared" si="26"/>
        <v>1.2000000000000002</v>
      </c>
      <c r="D391">
        <f t="shared" si="27"/>
        <v>0</v>
      </c>
      <c r="E391">
        <f t="shared" si="28"/>
        <v>1</v>
      </c>
    </row>
    <row r="392" spans="1:5" x14ac:dyDescent="0.25">
      <c r="A392" s="4" t="s">
        <v>2212</v>
      </c>
      <c r="B392">
        <v>1.1399999999999999</v>
      </c>
      <c r="C392">
        <f t="shared" si="26"/>
        <v>1.2000000000000002</v>
      </c>
      <c r="D392">
        <f t="shared" si="27"/>
        <v>0</v>
      </c>
      <c r="E392">
        <f t="shared" si="28"/>
        <v>1</v>
      </c>
    </row>
    <row r="393" spans="1:5" x14ac:dyDescent="0.25">
      <c r="A393" s="4" t="s">
        <v>2207</v>
      </c>
      <c r="B393">
        <v>1.1399999999999999</v>
      </c>
      <c r="C393">
        <f t="shared" si="26"/>
        <v>1.2000000000000002</v>
      </c>
      <c r="D393">
        <f t="shared" si="27"/>
        <v>0</v>
      </c>
      <c r="E393">
        <f t="shared" si="28"/>
        <v>1</v>
      </c>
    </row>
    <row r="394" spans="1:5" x14ac:dyDescent="0.25">
      <c r="A394" s="4" t="s">
        <v>2203</v>
      </c>
      <c r="B394">
        <v>1.05</v>
      </c>
      <c r="C394">
        <f t="shared" si="26"/>
        <v>1.1000000000000001</v>
      </c>
      <c r="D394">
        <f t="shared" si="27"/>
        <v>0</v>
      </c>
      <c r="E394">
        <f t="shared" si="28"/>
        <v>1</v>
      </c>
    </row>
    <row r="395" spans="1:5" x14ac:dyDescent="0.25">
      <c r="A395" s="4" t="s">
        <v>2199</v>
      </c>
      <c r="B395">
        <v>1.05</v>
      </c>
      <c r="C395">
        <f t="shared" si="26"/>
        <v>1.1000000000000001</v>
      </c>
      <c r="D395">
        <f t="shared" si="27"/>
        <v>0</v>
      </c>
      <c r="E395">
        <f t="shared" si="28"/>
        <v>1</v>
      </c>
    </row>
    <row r="396" spans="1:5" x14ac:dyDescent="0.25">
      <c r="A396" s="4" t="s">
        <v>2178</v>
      </c>
      <c r="B396">
        <v>1.58</v>
      </c>
      <c r="C396">
        <f t="shared" si="26"/>
        <v>1.6</v>
      </c>
      <c r="D396">
        <f t="shared" si="27"/>
        <v>0</v>
      </c>
      <c r="E396">
        <f t="shared" si="28"/>
        <v>1</v>
      </c>
    </row>
    <row r="397" spans="1:5" x14ac:dyDescent="0.25">
      <c r="A397" s="4" t="s">
        <v>2079</v>
      </c>
      <c r="B397">
        <v>0.35</v>
      </c>
      <c r="C397">
        <f t="shared" si="26"/>
        <v>0.4</v>
      </c>
      <c r="D397">
        <f t="shared" si="27"/>
        <v>1</v>
      </c>
      <c r="E397">
        <f t="shared" si="28"/>
        <v>0</v>
      </c>
    </row>
    <row r="398" spans="1:5" x14ac:dyDescent="0.25">
      <c r="A398" s="4" t="s">
        <v>2195</v>
      </c>
      <c r="B398">
        <v>1.1599999999999999</v>
      </c>
      <c r="C398">
        <f t="shared" si="26"/>
        <v>1.2000000000000002</v>
      </c>
      <c r="D398">
        <f t="shared" si="27"/>
        <v>0</v>
      </c>
      <c r="E398">
        <f t="shared" si="28"/>
        <v>1</v>
      </c>
    </row>
    <row r="399" spans="1:5" x14ac:dyDescent="0.25">
      <c r="A399" s="4" t="s">
        <v>2174</v>
      </c>
      <c r="B399">
        <v>1.86</v>
      </c>
      <c r="C399">
        <f t="shared" si="26"/>
        <v>1.9000000000000001</v>
      </c>
      <c r="D399">
        <f t="shared" si="27"/>
        <v>0</v>
      </c>
      <c r="E399">
        <f t="shared" si="28"/>
        <v>1</v>
      </c>
    </row>
    <row r="400" spans="1:5" x14ac:dyDescent="0.25">
      <c r="A400" s="4" t="s">
        <v>2157</v>
      </c>
      <c r="B400">
        <v>2.2000000000000002</v>
      </c>
      <c r="C400">
        <f t="shared" si="26"/>
        <v>2.2000000000000002</v>
      </c>
      <c r="D400">
        <f t="shared" si="27"/>
        <v>0</v>
      </c>
      <c r="E400">
        <f t="shared" si="28"/>
        <v>1</v>
      </c>
    </row>
    <row r="401" spans="1:5" x14ac:dyDescent="0.25">
      <c r="A401" s="4" t="s">
        <v>2172</v>
      </c>
      <c r="B401">
        <v>2</v>
      </c>
      <c r="C401">
        <f t="shared" si="26"/>
        <v>2</v>
      </c>
      <c r="D401">
        <f t="shared" si="27"/>
        <v>0</v>
      </c>
      <c r="E401">
        <f t="shared" si="28"/>
        <v>1</v>
      </c>
    </row>
    <row r="402" spans="1:5" x14ac:dyDescent="0.25">
      <c r="A402" s="4" t="s">
        <v>2167</v>
      </c>
      <c r="B402">
        <v>1.7</v>
      </c>
      <c r="C402">
        <f t="shared" si="26"/>
        <v>1.7</v>
      </c>
      <c r="D402">
        <f t="shared" si="27"/>
        <v>0</v>
      </c>
      <c r="E402">
        <f t="shared" si="28"/>
        <v>1</v>
      </c>
    </row>
    <row r="403" spans="1:5" x14ac:dyDescent="0.25">
      <c r="A403" s="4" t="s">
        <v>2191</v>
      </c>
      <c r="B403">
        <v>1.24</v>
      </c>
      <c r="C403">
        <f t="shared" si="26"/>
        <v>1.3</v>
      </c>
      <c r="D403">
        <f t="shared" si="27"/>
        <v>0</v>
      </c>
      <c r="E403">
        <f t="shared" si="28"/>
        <v>1</v>
      </c>
    </row>
    <row r="404" spans="1:5" x14ac:dyDescent="0.25">
      <c r="A404" s="4" t="s">
        <v>2152</v>
      </c>
      <c r="B404">
        <v>2.34</v>
      </c>
      <c r="C404">
        <f t="shared" si="26"/>
        <v>2.4</v>
      </c>
      <c r="D404">
        <f t="shared" si="27"/>
        <v>0</v>
      </c>
      <c r="E404">
        <f t="shared" si="28"/>
        <v>1</v>
      </c>
    </row>
    <row r="405" spans="1:5" x14ac:dyDescent="0.25">
      <c r="A405" s="4" t="s">
        <v>2162</v>
      </c>
      <c r="B405">
        <v>2</v>
      </c>
      <c r="C405">
        <f t="shared" si="26"/>
        <v>2</v>
      </c>
      <c r="D405">
        <f t="shared" si="27"/>
        <v>0</v>
      </c>
      <c r="E405">
        <f t="shared" si="28"/>
        <v>1</v>
      </c>
    </row>
    <row r="406" spans="1:5" x14ac:dyDescent="0.25">
      <c r="A406" s="4" t="s">
        <v>2139</v>
      </c>
      <c r="B406">
        <v>6</v>
      </c>
      <c r="C406">
        <f t="shared" si="26"/>
        <v>6</v>
      </c>
      <c r="D406">
        <f t="shared" si="27"/>
        <v>0</v>
      </c>
      <c r="E406">
        <f t="shared" si="28"/>
        <v>1</v>
      </c>
    </row>
    <row r="407" spans="1:5" x14ac:dyDescent="0.25">
      <c r="A407" s="4" t="s">
        <v>2144</v>
      </c>
      <c r="B407">
        <v>3.4</v>
      </c>
      <c r="C407">
        <f t="shared" si="26"/>
        <v>3.4</v>
      </c>
      <c r="D407">
        <f t="shared" si="27"/>
        <v>0</v>
      </c>
      <c r="E407">
        <f t="shared" si="28"/>
        <v>1</v>
      </c>
    </row>
    <row r="408" spans="1:5" x14ac:dyDescent="0.25">
      <c r="A408" s="4" t="s">
        <v>2134</v>
      </c>
      <c r="B408">
        <v>5.82</v>
      </c>
      <c r="C408">
        <f t="shared" si="26"/>
        <v>5.8999999999999995</v>
      </c>
      <c r="D408">
        <f t="shared" si="27"/>
        <v>0</v>
      </c>
      <c r="E408">
        <f t="shared" si="28"/>
        <v>1</v>
      </c>
    </row>
    <row r="409" spans="1:5" x14ac:dyDescent="0.25">
      <c r="A409" s="4" t="s">
        <v>2148</v>
      </c>
      <c r="B409">
        <v>2.62</v>
      </c>
      <c r="C409">
        <f t="shared" si="26"/>
        <v>2.7</v>
      </c>
      <c r="D409">
        <f t="shared" si="27"/>
        <v>0</v>
      </c>
      <c r="E409">
        <f t="shared" si="28"/>
        <v>1</v>
      </c>
    </row>
    <row r="410" spans="1:5" x14ac:dyDescent="0.25">
      <c r="A410" s="4" t="s">
        <v>2127</v>
      </c>
      <c r="B410">
        <v>1.65</v>
      </c>
      <c r="C410">
        <f t="shared" si="26"/>
        <v>1.7000000000000002</v>
      </c>
      <c r="D410">
        <f t="shared" si="27"/>
        <v>0</v>
      </c>
      <c r="E410">
        <f t="shared" si="28"/>
        <v>1</v>
      </c>
    </row>
    <row r="411" spans="1:5" x14ac:dyDescent="0.25">
      <c r="A411" s="4" t="s">
        <v>761</v>
      </c>
      <c r="B411">
        <v>1.02</v>
      </c>
      <c r="C411">
        <f t="shared" si="26"/>
        <v>1.1000000000000001</v>
      </c>
      <c r="D411">
        <f t="shared" si="27"/>
        <v>0</v>
      </c>
      <c r="E411">
        <f t="shared" si="28"/>
        <v>1</v>
      </c>
    </row>
    <row r="412" spans="1:5" x14ac:dyDescent="0.25">
      <c r="A412" s="4" t="s">
        <v>866</v>
      </c>
      <c r="B412">
        <v>2.39</v>
      </c>
      <c r="C412">
        <f t="shared" si="26"/>
        <v>2.4</v>
      </c>
      <c r="D412">
        <f t="shared" si="27"/>
        <v>0</v>
      </c>
      <c r="E412">
        <f t="shared" si="28"/>
        <v>1</v>
      </c>
    </row>
    <row r="413" spans="1:5" x14ac:dyDescent="0.25">
      <c r="A413" s="4" t="s">
        <v>868</v>
      </c>
      <c r="B413">
        <v>2.92</v>
      </c>
      <c r="C413">
        <f t="shared" si="26"/>
        <v>3</v>
      </c>
      <c r="D413">
        <f t="shared" si="27"/>
        <v>0</v>
      </c>
      <c r="E413">
        <f t="shared" si="28"/>
        <v>1</v>
      </c>
    </row>
    <row r="414" spans="1:5" x14ac:dyDescent="0.25">
      <c r="A414" s="4" t="s">
        <v>988</v>
      </c>
      <c r="B414">
        <v>2.34</v>
      </c>
      <c r="C414">
        <f t="shared" si="26"/>
        <v>2.4</v>
      </c>
      <c r="D414">
        <f t="shared" si="27"/>
        <v>0</v>
      </c>
      <c r="E414">
        <f t="shared" si="28"/>
        <v>1</v>
      </c>
    </row>
    <row r="415" spans="1:5" x14ac:dyDescent="0.25">
      <c r="A415" s="4" t="s">
        <v>993</v>
      </c>
      <c r="B415">
        <v>3.96</v>
      </c>
      <c r="C415">
        <f t="shared" si="26"/>
        <v>4</v>
      </c>
      <c r="D415">
        <f t="shared" si="27"/>
        <v>0</v>
      </c>
      <c r="E415">
        <f t="shared" si="28"/>
        <v>1</v>
      </c>
    </row>
    <row r="416" spans="1:5" x14ac:dyDescent="0.25">
      <c r="A416" s="4" t="s">
        <v>1032</v>
      </c>
      <c r="B416">
        <v>4.55</v>
      </c>
      <c r="C416">
        <f t="shared" si="26"/>
        <v>4.5999999999999996</v>
      </c>
      <c r="D416">
        <f t="shared" si="27"/>
        <v>0</v>
      </c>
      <c r="E416">
        <f t="shared" si="28"/>
        <v>1</v>
      </c>
    </row>
    <row r="417" spans="1:5" x14ac:dyDescent="0.25">
      <c r="A417" s="4" t="s">
        <v>1141</v>
      </c>
      <c r="B417">
        <v>10.58</v>
      </c>
      <c r="C417">
        <f t="shared" si="26"/>
        <v>10.6</v>
      </c>
      <c r="D417">
        <f t="shared" si="27"/>
        <v>0</v>
      </c>
      <c r="E417">
        <f t="shared" si="28"/>
        <v>1</v>
      </c>
    </row>
    <row r="418" spans="1:5" x14ac:dyDescent="0.25">
      <c r="A418" s="4" t="s">
        <v>1133</v>
      </c>
      <c r="B418">
        <v>11.86</v>
      </c>
      <c r="C418">
        <f t="shared" si="26"/>
        <v>11.9</v>
      </c>
      <c r="D418">
        <f t="shared" si="27"/>
        <v>0</v>
      </c>
      <c r="E418">
        <f t="shared" si="28"/>
        <v>1</v>
      </c>
    </row>
    <row r="419" spans="1:5" x14ac:dyDescent="0.25">
      <c r="A419" s="4" t="s">
        <v>1142</v>
      </c>
      <c r="B419">
        <v>4.88</v>
      </c>
      <c r="C419">
        <f t="shared" si="26"/>
        <v>4.8999999999999995</v>
      </c>
      <c r="D419">
        <f t="shared" si="27"/>
        <v>0</v>
      </c>
      <c r="E419">
        <f t="shared" si="28"/>
        <v>1</v>
      </c>
    </row>
    <row r="420" spans="1:5" x14ac:dyDescent="0.25">
      <c r="A420" s="4" t="s">
        <v>1185</v>
      </c>
      <c r="B420">
        <v>1.71</v>
      </c>
      <c r="C420">
        <f t="shared" si="26"/>
        <v>1.8</v>
      </c>
      <c r="D420">
        <f t="shared" si="27"/>
        <v>0</v>
      </c>
      <c r="E420">
        <f t="shared" si="28"/>
        <v>1</v>
      </c>
    </row>
    <row r="421" spans="1:5" x14ac:dyDescent="0.25">
      <c r="A421" s="4" t="s">
        <v>1415</v>
      </c>
      <c r="B421">
        <v>0.14000000000000001</v>
      </c>
      <c r="C421">
        <f t="shared" si="26"/>
        <v>0.2</v>
      </c>
      <c r="D421">
        <f t="shared" si="27"/>
        <v>1</v>
      </c>
      <c r="E421">
        <f t="shared" si="28"/>
        <v>0</v>
      </c>
    </row>
    <row r="422" spans="1:5" x14ac:dyDescent="0.25">
      <c r="A422" s="4" t="s">
        <v>1639</v>
      </c>
      <c r="B422">
        <v>3.2</v>
      </c>
      <c r="C422">
        <f t="shared" si="26"/>
        <v>3.2</v>
      </c>
      <c r="D422">
        <f t="shared" si="27"/>
        <v>0</v>
      </c>
      <c r="E422">
        <f t="shared" si="28"/>
        <v>1</v>
      </c>
    </row>
    <row r="423" spans="1:5" x14ac:dyDescent="0.25">
      <c r="A423" s="4" t="s">
        <v>1981</v>
      </c>
      <c r="B423">
        <v>1.18</v>
      </c>
      <c r="C423">
        <f t="shared" si="26"/>
        <v>1.2000000000000002</v>
      </c>
      <c r="D423">
        <f t="shared" si="27"/>
        <v>0</v>
      </c>
      <c r="E423">
        <f t="shared" si="28"/>
        <v>1</v>
      </c>
    </row>
    <row r="424" spans="1:5" x14ac:dyDescent="0.25">
      <c r="A424" s="4" t="s">
        <v>1979</v>
      </c>
      <c r="B424">
        <v>1.4</v>
      </c>
      <c r="C424">
        <f t="shared" si="26"/>
        <v>1.4</v>
      </c>
      <c r="D424">
        <f t="shared" si="27"/>
        <v>0</v>
      </c>
      <c r="E424">
        <f t="shared" si="28"/>
        <v>1</v>
      </c>
    </row>
    <row r="425" spans="1:5" x14ac:dyDescent="0.25">
      <c r="A425" s="4" t="s">
        <v>2053</v>
      </c>
      <c r="B425">
        <v>0.84</v>
      </c>
      <c r="C425">
        <f t="shared" si="26"/>
        <v>0.9</v>
      </c>
      <c r="D425">
        <f t="shared" si="27"/>
        <v>0</v>
      </c>
      <c r="E425">
        <f t="shared" si="28"/>
        <v>1</v>
      </c>
    </row>
    <row r="426" spans="1:5" x14ac:dyDescent="0.25">
      <c r="A426" s="4" t="s">
        <v>934</v>
      </c>
      <c r="B426">
        <v>2.88</v>
      </c>
      <c r="C426">
        <f t="shared" si="26"/>
        <v>2.9</v>
      </c>
      <c r="D426">
        <f t="shared" si="27"/>
        <v>0</v>
      </c>
      <c r="E426">
        <f t="shared" si="28"/>
        <v>1</v>
      </c>
    </row>
    <row r="427" spans="1:5" x14ac:dyDescent="0.25">
      <c r="A427" s="4" t="s">
        <v>1220</v>
      </c>
      <c r="B427">
        <v>19.559999999999999</v>
      </c>
      <c r="C427">
        <f t="shared" si="26"/>
        <v>19.600000000000001</v>
      </c>
      <c r="D427">
        <f t="shared" si="27"/>
        <v>0</v>
      </c>
      <c r="E427">
        <f t="shared" si="28"/>
        <v>1</v>
      </c>
    </row>
    <row r="428" spans="1:5" x14ac:dyDescent="0.25">
      <c r="A428" s="4" t="s">
        <v>112</v>
      </c>
      <c r="B428">
        <v>0</v>
      </c>
      <c r="C428">
        <f t="shared" si="26"/>
        <v>0</v>
      </c>
      <c r="D428">
        <f t="shared" si="27"/>
        <v>0</v>
      </c>
      <c r="E428">
        <f t="shared" si="28"/>
        <v>0</v>
      </c>
    </row>
    <row r="1348" spans="1:1" x14ac:dyDescent="0.25">
      <c r="A1348" s="4" t="s">
        <v>214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775A5-E643-46BE-AF67-FF8B1EEF6BD7}">
  <dimension ref="A1:G25"/>
  <sheetViews>
    <sheetView zoomScale="80" zoomScaleNormal="80" workbookViewId="0">
      <selection activeCell="C4" sqref="C4"/>
    </sheetView>
  </sheetViews>
  <sheetFormatPr baseColWidth="10" defaultRowHeight="15" x14ac:dyDescent="0.25"/>
  <cols>
    <col min="1" max="1" width="11.42578125" style="11"/>
    <col min="2" max="2" width="21.28515625" style="11" bestFit="1" customWidth="1"/>
    <col min="3" max="3" width="29.85546875" style="11" bestFit="1" customWidth="1"/>
    <col min="4" max="4" width="11.42578125" style="11"/>
    <col min="5" max="5" width="19" style="26" bestFit="1" customWidth="1"/>
    <col min="6" max="6" width="26.5703125" style="11" bestFit="1" customWidth="1"/>
    <col min="7" max="7" width="5.5703125" style="11" bestFit="1" customWidth="1"/>
    <col min="8" max="16384" width="11.42578125" style="11"/>
  </cols>
  <sheetData>
    <row r="1" spans="1:7" x14ac:dyDescent="0.25">
      <c r="A1" s="11" t="s">
        <v>197</v>
      </c>
      <c r="B1" s="25" t="s">
        <v>8</v>
      </c>
      <c r="C1" s="25" t="s">
        <v>9</v>
      </c>
      <c r="E1" s="26" t="s">
        <v>8</v>
      </c>
      <c r="F1" s="11" t="s">
        <v>9</v>
      </c>
      <c r="G1" s="11" t="s">
        <v>182</v>
      </c>
    </row>
    <row r="2" spans="1:7" x14ac:dyDescent="0.25">
      <c r="A2" s="10">
        <f>COUNTIF(E:E,B2)</f>
        <v>1</v>
      </c>
      <c r="B2" s="11">
        <v>9000037814</v>
      </c>
      <c r="C2" s="11" t="s">
        <v>51</v>
      </c>
      <c r="E2" s="26">
        <v>9000037814</v>
      </c>
      <c r="F2" s="11" t="s">
        <v>51</v>
      </c>
    </row>
    <row r="3" spans="1:7" x14ac:dyDescent="0.25">
      <c r="A3" s="10">
        <f t="shared" ref="A3:A7" si="0">COUNTIF(E:E,B3)</f>
        <v>1</v>
      </c>
      <c r="B3" s="11">
        <v>9000079829</v>
      </c>
      <c r="C3" s="11" t="s">
        <v>156</v>
      </c>
      <c r="E3" s="26">
        <v>9000079828</v>
      </c>
      <c r="F3" s="11" t="s">
        <v>164</v>
      </c>
      <c r="G3" s="11">
        <v>6259</v>
      </c>
    </row>
    <row r="4" spans="1:7" x14ac:dyDescent="0.25">
      <c r="A4" s="10">
        <f t="shared" si="0"/>
        <v>1</v>
      </c>
      <c r="B4" s="11">
        <v>9000079830</v>
      </c>
      <c r="C4" s="11" t="s">
        <v>187</v>
      </c>
      <c r="E4" s="26">
        <v>9000079829</v>
      </c>
      <c r="F4" s="11" t="s">
        <v>156</v>
      </c>
      <c r="G4" s="11">
        <v>4565</v>
      </c>
    </row>
    <row r="5" spans="1:7" x14ac:dyDescent="0.25">
      <c r="A5" s="10">
        <f t="shared" si="0"/>
        <v>1</v>
      </c>
      <c r="B5" s="11">
        <v>9000082822</v>
      </c>
      <c r="C5" s="11" t="s">
        <v>175</v>
      </c>
      <c r="E5" s="26">
        <v>9000079830</v>
      </c>
      <c r="F5" s="11" t="s">
        <v>187</v>
      </c>
      <c r="G5" s="11">
        <v>3888</v>
      </c>
    </row>
    <row r="6" spans="1:7" x14ac:dyDescent="0.25">
      <c r="A6" s="10">
        <f t="shared" si="0"/>
        <v>1</v>
      </c>
      <c r="B6" s="11">
        <v>9000084612</v>
      </c>
      <c r="C6" s="11" t="s">
        <v>194</v>
      </c>
      <c r="E6" s="26">
        <v>9000079831</v>
      </c>
      <c r="F6" s="11" t="s">
        <v>211</v>
      </c>
      <c r="G6" s="11">
        <v>6210</v>
      </c>
    </row>
    <row r="7" spans="1:7" x14ac:dyDescent="0.25">
      <c r="A7" s="10">
        <f t="shared" si="0"/>
        <v>0</v>
      </c>
      <c r="B7" s="11" t="s">
        <v>112</v>
      </c>
      <c r="C7" s="11" t="s">
        <v>112</v>
      </c>
      <c r="E7" s="26">
        <v>9000079832</v>
      </c>
      <c r="F7" s="11" t="s">
        <v>169</v>
      </c>
      <c r="G7" s="11">
        <v>3997</v>
      </c>
    </row>
    <row r="8" spans="1:7" x14ac:dyDescent="0.25">
      <c r="A8" s="10"/>
      <c r="B8"/>
      <c r="C8"/>
      <c r="E8" s="26">
        <v>9000079833</v>
      </c>
      <c r="F8" s="11" t="s">
        <v>155</v>
      </c>
      <c r="G8" s="11">
        <v>6294</v>
      </c>
    </row>
    <row r="9" spans="1:7" x14ac:dyDescent="0.25">
      <c r="A9" s="10">
        <v>1</v>
      </c>
      <c r="B9"/>
      <c r="C9"/>
      <c r="E9" s="26">
        <v>9000081899</v>
      </c>
      <c r="F9" s="11" t="s">
        <v>162</v>
      </c>
      <c r="G9" s="11">
        <v>6262</v>
      </c>
    </row>
    <row r="10" spans="1:7" x14ac:dyDescent="0.25">
      <c r="A10" s="10"/>
      <c r="B10"/>
      <c r="C10"/>
      <c r="E10" s="26">
        <v>9000082004</v>
      </c>
      <c r="F10" s="11" t="s">
        <v>161</v>
      </c>
      <c r="G10" s="11">
        <v>6516</v>
      </c>
    </row>
    <row r="11" spans="1:7" x14ac:dyDescent="0.25">
      <c r="A11" s="10"/>
      <c r="B11"/>
      <c r="C11"/>
      <c r="E11" s="26">
        <v>9000082421</v>
      </c>
      <c r="F11" s="11" t="s">
        <v>170</v>
      </c>
      <c r="G11" s="11">
        <v>6652</v>
      </c>
    </row>
    <row r="12" spans="1:7" x14ac:dyDescent="0.25">
      <c r="A12" s="10"/>
      <c r="B12"/>
      <c r="C12"/>
      <c r="E12" s="26">
        <v>9000082422</v>
      </c>
      <c r="F12" s="11" t="s">
        <v>166</v>
      </c>
      <c r="G12" s="11">
        <v>3752</v>
      </c>
    </row>
    <row r="13" spans="1:7" x14ac:dyDescent="0.25">
      <c r="A13" s="10"/>
      <c r="B13"/>
      <c r="C13"/>
      <c r="E13" s="26">
        <v>9000082423</v>
      </c>
      <c r="F13" s="11" t="s">
        <v>165</v>
      </c>
      <c r="G13" s="11">
        <v>6665</v>
      </c>
    </row>
    <row r="14" spans="1:7" x14ac:dyDescent="0.25">
      <c r="A14" s="10"/>
      <c r="B14"/>
      <c r="C14"/>
      <c r="E14" s="26">
        <v>9000082814</v>
      </c>
      <c r="F14" s="11" t="s">
        <v>184</v>
      </c>
      <c r="G14" s="11">
        <v>6685</v>
      </c>
    </row>
    <row r="15" spans="1:7" x14ac:dyDescent="0.25">
      <c r="A15" s="10"/>
      <c r="B15"/>
      <c r="C15"/>
      <c r="E15" s="26">
        <v>9000082815</v>
      </c>
      <c r="F15" s="11" t="s">
        <v>173</v>
      </c>
      <c r="G15" s="11">
        <v>6705</v>
      </c>
    </row>
    <row r="16" spans="1:7" x14ac:dyDescent="0.25">
      <c r="A16" s="10"/>
      <c r="B16"/>
      <c r="C16"/>
      <c r="E16" s="26">
        <v>9000082821</v>
      </c>
      <c r="F16" s="11" t="s">
        <v>174</v>
      </c>
      <c r="G16" s="11">
        <v>6741</v>
      </c>
    </row>
    <row r="17" spans="1:7" x14ac:dyDescent="0.25">
      <c r="A17" s="10"/>
      <c r="B17"/>
      <c r="C17"/>
      <c r="E17" s="26">
        <v>9000082822</v>
      </c>
      <c r="F17" s="11" t="s">
        <v>175</v>
      </c>
      <c r="G17" s="11">
        <v>6739</v>
      </c>
    </row>
    <row r="18" spans="1:7" x14ac:dyDescent="0.25">
      <c r="A18" s="10"/>
      <c r="B18"/>
      <c r="C18"/>
      <c r="E18" s="26">
        <v>9000083106</v>
      </c>
      <c r="F18" s="11" t="s">
        <v>171</v>
      </c>
      <c r="G18" s="11">
        <v>6814</v>
      </c>
    </row>
    <row r="19" spans="1:7" x14ac:dyDescent="0.25">
      <c r="A19" s="10"/>
      <c r="B19"/>
      <c r="C19"/>
      <c r="E19" s="26">
        <v>9000083593</v>
      </c>
      <c r="F19" s="11" t="s">
        <v>186</v>
      </c>
      <c r="G19" s="11">
        <v>6639</v>
      </c>
    </row>
    <row r="20" spans="1:7" x14ac:dyDescent="0.25">
      <c r="B20"/>
      <c r="C20"/>
      <c r="E20" s="26">
        <v>9000083758</v>
      </c>
      <c r="F20" s="11" t="s">
        <v>189</v>
      </c>
      <c r="G20" s="11">
        <v>6851</v>
      </c>
    </row>
    <row r="21" spans="1:7" x14ac:dyDescent="0.25">
      <c r="E21" s="26">
        <v>9000083759</v>
      </c>
      <c r="F21" s="11" t="s">
        <v>188</v>
      </c>
      <c r="G21" s="11">
        <v>6910</v>
      </c>
    </row>
    <row r="22" spans="1:7" x14ac:dyDescent="0.25">
      <c r="E22" s="26">
        <v>9000084611</v>
      </c>
      <c r="F22" s="11" t="s">
        <v>195</v>
      </c>
      <c r="G22" s="11">
        <v>6930</v>
      </c>
    </row>
    <row r="23" spans="1:7" x14ac:dyDescent="0.25">
      <c r="E23" s="26">
        <v>9000084612</v>
      </c>
      <c r="F23" s="11" t="s">
        <v>194</v>
      </c>
      <c r="G23" s="11">
        <v>7027</v>
      </c>
    </row>
    <row r="24" spans="1:7" x14ac:dyDescent="0.25">
      <c r="E24" s="26">
        <v>9000085256</v>
      </c>
      <c r="F24" s="11" t="s">
        <v>199</v>
      </c>
      <c r="G24" s="11">
        <v>7178</v>
      </c>
    </row>
    <row r="25" spans="1:7" x14ac:dyDescent="0.25">
      <c r="E25" s="26">
        <v>9000152816</v>
      </c>
      <c r="F25" s="11" t="s">
        <v>207</v>
      </c>
      <c r="G25" s="11">
        <v>7494</v>
      </c>
    </row>
  </sheetData>
  <sortState xmlns:xlrd2="http://schemas.microsoft.com/office/spreadsheetml/2017/richdata2" ref="E2:G25">
    <sortCondition ref="E2:E2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4"/>
  <dimension ref="A1:C20"/>
  <sheetViews>
    <sheetView workbookViewId="0">
      <pane ySplit="1" topLeftCell="A2" activePane="bottomLeft" state="frozen"/>
      <selection pane="bottomLeft" activeCell="B21" sqref="B21"/>
    </sheetView>
  </sheetViews>
  <sheetFormatPr baseColWidth="10" defaultRowHeight="15" x14ac:dyDescent="0.25"/>
  <cols>
    <col min="1" max="1" width="23.140625" bestFit="1" customWidth="1"/>
    <col min="2" max="2" width="19.140625" bestFit="1" customWidth="1"/>
    <col min="3" max="3" width="35" bestFit="1" customWidth="1"/>
  </cols>
  <sheetData>
    <row r="1" spans="1:3" x14ac:dyDescent="0.25">
      <c r="A1" t="s">
        <v>106</v>
      </c>
      <c r="B1" t="s">
        <v>107</v>
      </c>
      <c r="C1" t="s">
        <v>259</v>
      </c>
    </row>
    <row r="2" spans="1:3" x14ac:dyDescent="0.25">
      <c r="A2" t="s">
        <v>213</v>
      </c>
      <c r="B2" t="s">
        <v>108</v>
      </c>
      <c r="C2" t="s">
        <v>258</v>
      </c>
    </row>
    <row r="3" spans="1:3" x14ac:dyDescent="0.25">
      <c r="A3" t="s">
        <v>152</v>
      </c>
      <c r="B3" t="s">
        <v>108</v>
      </c>
      <c r="C3" t="s">
        <v>177</v>
      </c>
    </row>
    <row r="4" spans="1:3" x14ac:dyDescent="0.25">
      <c r="A4" t="s">
        <v>120</v>
      </c>
      <c r="B4" t="s">
        <v>123</v>
      </c>
      <c r="C4" t="s">
        <v>258</v>
      </c>
    </row>
    <row r="5" spans="1:3" x14ac:dyDescent="0.25">
      <c r="A5" t="s">
        <v>150</v>
      </c>
      <c r="B5" t="s">
        <v>108</v>
      </c>
      <c r="C5" t="s">
        <v>258</v>
      </c>
    </row>
    <row r="6" spans="1:3" x14ac:dyDescent="0.25">
      <c r="A6" t="s">
        <v>153</v>
      </c>
      <c r="B6" t="s">
        <v>108</v>
      </c>
      <c r="C6" t="s">
        <v>258</v>
      </c>
    </row>
    <row r="7" spans="1:3" x14ac:dyDescent="0.25">
      <c r="A7" t="s">
        <v>60</v>
      </c>
      <c r="B7" t="s">
        <v>108</v>
      </c>
      <c r="C7" t="s">
        <v>74</v>
      </c>
    </row>
    <row r="8" spans="1:3" x14ac:dyDescent="0.25">
      <c r="A8" t="s">
        <v>154</v>
      </c>
      <c r="B8" t="s">
        <v>108</v>
      </c>
      <c r="C8" t="s">
        <v>241</v>
      </c>
    </row>
    <row r="9" spans="1:3" x14ac:dyDescent="0.25">
      <c r="A9" t="s">
        <v>131</v>
      </c>
      <c r="B9" t="s">
        <v>108</v>
      </c>
      <c r="C9" t="s">
        <v>242</v>
      </c>
    </row>
    <row r="10" spans="1:3" x14ac:dyDescent="0.25">
      <c r="A10" t="s">
        <v>204</v>
      </c>
      <c r="B10" t="s">
        <v>108</v>
      </c>
      <c r="C10" t="s">
        <v>258</v>
      </c>
    </row>
    <row r="11" spans="1:3" x14ac:dyDescent="0.25">
      <c r="A11" t="s">
        <v>172</v>
      </c>
      <c r="B11" t="s">
        <v>108</v>
      </c>
      <c r="C11" t="s">
        <v>221</v>
      </c>
    </row>
    <row r="12" spans="1:3" x14ac:dyDescent="0.25">
      <c r="A12" t="s">
        <v>79</v>
      </c>
      <c r="B12" t="s">
        <v>110</v>
      </c>
      <c r="C12" t="s">
        <v>179</v>
      </c>
    </row>
    <row r="13" spans="1:3" x14ac:dyDescent="0.25">
      <c r="A13" t="s">
        <v>55</v>
      </c>
      <c r="B13" t="s">
        <v>109</v>
      </c>
      <c r="C13" t="s">
        <v>54</v>
      </c>
    </row>
    <row r="14" spans="1:3" x14ac:dyDescent="0.25">
      <c r="A14" t="s">
        <v>75</v>
      </c>
      <c r="B14" t="s">
        <v>108</v>
      </c>
      <c r="C14" t="s">
        <v>258</v>
      </c>
    </row>
    <row r="15" spans="1:3" x14ac:dyDescent="0.25">
      <c r="A15" t="s">
        <v>76</v>
      </c>
      <c r="B15" t="s">
        <v>111</v>
      </c>
      <c r="C15" t="s">
        <v>258</v>
      </c>
    </row>
    <row r="16" spans="1:3" x14ac:dyDescent="0.25">
      <c r="A16" t="s">
        <v>121</v>
      </c>
      <c r="B16" t="s">
        <v>168</v>
      </c>
      <c r="C16" t="s">
        <v>258</v>
      </c>
    </row>
    <row r="17" spans="1:3" x14ac:dyDescent="0.25">
      <c r="A17" t="s">
        <v>163</v>
      </c>
      <c r="B17" t="s">
        <v>167</v>
      </c>
      <c r="C17" t="s">
        <v>233</v>
      </c>
    </row>
    <row r="18" spans="1:3" x14ac:dyDescent="0.25">
      <c r="A18" t="s">
        <v>180</v>
      </c>
      <c r="B18" t="s">
        <v>167</v>
      </c>
      <c r="C18" t="s">
        <v>258</v>
      </c>
    </row>
    <row r="19" spans="1:3" x14ac:dyDescent="0.25">
      <c r="A19" t="s">
        <v>119</v>
      </c>
      <c r="B19" t="s">
        <v>123</v>
      </c>
      <c r="C19" t="s">
        <v>227</v>
      </c>
    </row>
    <row r="20" spans="1:3" x14ac:dyDescent="0.25">
      <c r="A20" t="s">
        <v>118</v>
      </c>
      <c r="B20" t="s">
        <v>124</v>
      </c>
      <c r="C20" t="s">
        <v>240</v>
      </c>
    </row>
  </sheetData>
  <autoFilter ref="A1:B6" xr:uid="{00000000-0009-0000-0000-000000000000}"/>
  <sortState xmlns:xlrd2="http://schemas.microsoft.com/office/spreadsheetml/2017/richdata2" ref="A2:B20">
    <sortCondition ref="A2:A2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5"/>
  <dimension ref="A1:BD905"/>
  <sheetViews>
    <sheetView tabSelected="1" zoomScale="80" zoomScaleNormal="80" workbookViewId="0">
      <pane xSplit="5" ySplit="1" topLeftCell="P2" activePane="bottomRight" state="frozen"/>
      <selection pane="topRight" activeCell="F1" sqref="F1"/>
      <selection pane="bottomLeft" activeCell="A2" sqref="A2"/>
      <selection pane="bottomRight" activeCell="V19" sqref="V19"/>
    </sheetView>
  </sheetViews>
  <sheetFormatPr baseColWidth="10" defaultRowHeight="15" x14ac:dyDescent="0.25"/>
  <cols>
    <col min="1" max="1" width="20.42578125" style="1" bestFit="1" customWidth="1"/>
    <col min="2" max="3" width="11.42578125" style="1"/>
    <col min="4" max="4" width="22.7109375" style="1" bestFit="1" customWidth="1"/>
    <col min="5" max="5" width="11.5703125" style="19" customWidth="1"/>
    <col min="6" max="6" width="17.140625" customWidth="1"/>
    <col min="7" max="7" width="18.28515625" customWidth="1"/>
    <col min="9" max="9" width="17.85546875" style="29" bestFit="1" customWidth="1"/>
    <col min="11" max="11" width="14.5703125" style="30" bestFit="1" customWidth="1"/>
    <col min="14" max="14" width="19.42578125" style="24" customWidth="1"/>
    <col min="15" max="15" width="29.85546875" bestFit="1" customWidth="1"/>
    <col min="20" max="20" width="22.140625" bestFit="1" customWidth="1"/>
    <col min="22" max="22" width="19.140625" bestFit="1" customWidth="1"/>
    <col min="23" max="23" width="32.7109375" bestFit="1" customWidth="1"/>
    <col min="24" max="24" width="25" bestFit="1" customWidth="1"/>
    <col min="28" max="28" width="22" style="33" bestFit="1" customWidth="1"/>
    <col min="29" max="29" width="25" bestFit="1" customWidth="1"/>
    <col min="30" max="30" width="19.5703125" bestFit="1" customWidth="1"/>
    <col min="31" max="31" width="21.5703125" bestFit="1" customWidth="1"/>
    <col min="32" max="32" width="25" bestFit="1" customWidth="1"/>
    <col min="33" max="33" width="20" bestFit="1" customWidth="1"/>
    <col min="34" max="34" width="9.42578125" customWidth="1"/>
    <col min="35" max="35" width="7.85546875" customWidth="1"/>
    <col min="36" max="36" width="18.85546875" bestFit="1" customWidth="1"/>
    <col min="37" max="38" width="7.42578125" bestFit="1" customWidth="1"/>
    <col min="39" max="39" width="15.140625" bestFit="1" customWidth="1"/>
    <col min="40" max="40" width="8" bestFit="1" customWidth="1"/>
    <col min="41" max="41" width="25.28515625" bestFit="1" customWidth="1"/>
    <col min="42" max="42" width="20.28515625" bestFit="1" customWidth="1"/>
    <col min="43" max="43" width="17.28515625" bestFit="1" customWidth="1"/>
    <col min="44" max="47" width="23.85546875" bestFit="1" customWidth="1"/>
    <col min="48" max="48" width="35.85546875" bestFit="1" customWidth="1"/>
    <col min="49" max="49" width="37.7109375" bestFit="1" customWidth="1"/>
    <col min="50" max="50" width="35" bestFit="1" customWidth="1"/>
    <col min="51" max="51" width="35.5703125" bestFit="1" customWidth="1"/>
    <col min="52" max="52" width="30" bestFit="1" customWidth="1"/>
    <col min="53" max="53" width="32.85546875" bestFit="1" customWidth="1"/>
    <col min="56" max="56" width="20.5703125" customWidth="1"/>
  </cols>
  <sheetData>
    <row r="1" spans="1:56" x14ac:dyDescent="0.25">
      <c r="A1" s="1" t="s">
        <v>105</v>
      </c>
      <c r="B1" s="1" t="s">
        <v>82</v>
      </c>
      <c r="C1" s="1" t="s">
        <v>83</v>
      </c>
      <c r="D1" s="1" t="s">
        <v>81</v>
      </c>
      <c r="E1" s="19" t="s">
        <v>149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s="33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183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</row>
    <row r="2" spans="1:56" x14ac:dyDescent="0.25">
      <c r="A2" s="1" t="str">
        <f>IF(COUNTIF(Catégories!A:A,X2)=0,"catégorie inconnue",_xlfn.XLOOKUP(X2,Catégories!A:A,Catégories!B:B))</f>
        <v>Frêt</v>
      </c>
      <c r="B2" s="1">
        <f>SUM(AJ2:AL2)+SUM(AN2:AP2)</f>
        <v>7.4300000000000006</v>
      </c>
      <c r="C2" s="1">
        <f>AN2</f>
        <v>1.64</v>
      </c>
      <c r="D2" s="1">
        <f>B2-C2</f>
        <v>5.7900000000000009</v>
      </c>
      <c r="E2" s="20">
        <f>IF(AH2&lt;&gt;0,ROUNDUP(AH2,0),IF(BB2&lt;&gt;"FR","hors France",IF(AH2&lt;&gt;0,ROUNDUP(AH2,0),_xlfn.XLOOKUP(AJ2,'PA GLS'!B:B,'PA GLS'!A:A))))</f>
        <v>3</v>
      </c>
      <c r="F2">
        <v>2501382993</v>
      </c>
      <c r="G2">
        <v>1030231978</v>
      </c>
      <c r="H2" t="s">
        <v>366</v>
      </c>
      <c r="I2">
        <v>2500034092</v>
      </c>
      <c r="J2" t="s">
        <v>50</v>
      </c>
      <c r="K2">
        <v>9000009190</v>
      </c>
      <c r="L2">
        <v>46946</v>
      </c>
      <c r="M2" t="s">
        <v>51</v>
      </c>
      <c r="N2">
        <v>9000079830</v>
      </c>
      <c r="O2" t="s">
        <v>187</v>
      </c>
      <c r="S2">
        <v>2507012387</v>
      </c>
      <c r="T2" t="s">
        <v>50</v>
      </c>
      <c r="U2" t="s">
        <v>122</v>
      </c>
      <c r="V2" t="s">
        <v>58</v>
      </c>
      <c r="W2" t="s">
        <v>59</v>
      </c>
      <c r="X2" t="s">
        <v>60</v>
      </c>
      <c r="Z2">
        <v>143</v>
      </c>
      <c r="AA2" t="s">
        <v>367</v>
      </c>
      <c r="AB2" t="s">
        <v>368</v>
      </c>
      <c r="AC2">
        <v>2604000030</v>
      </c>
      <c r="AE2">
        <v>0</v>
      </c>
      <c r="AF2">
        <v>0</v>
      </c>
      <c r="AG2">
        <v>0</v>
      </c>
      <c r="AH2">
        <v>0</v>
      </c>
      <c r="AI2" t="s">
        <v>56</v>
      </c>
      <c r="AJ2">
        <v>4.74</v>
      </c>
      <c r="AK2">
        <v>0.9</v>
      </c>
      <c r="AL2">
        <v>0.15</v>
      </c>
      <c r="AM2">
        <v>29.1</v>
      </c>
      <c r="AN2">
        <v>1.64</v>
      </c>
      <c r="AO2">
        <v>0</v>
      </c>
      <c r="AP2">
        <v>0</v>
      </c>
      <c r="AQ2" t="s">
        <v>57</v>
      </c>
      <c r="AS2" t="s">
        <v>369</v>
      </c>
      <c r="AT2" t="s">
        <v>369</v>
      </c>
      <c r="AU2" t="s">
        <v>368</v>
      </c>
      <c r="AV2" t="s">
        <v>370</v>
      </c>
      <c r="AW2" t="s">
        <v>371</v>
      </c>
      <c r="AZ2">
        <v>60140</v>
      </c>
      <c r="BA2" t="s">
        <v>372</v>
      </c>
      <c r="BB2" t="s">
        <v>61</v>
      </c>
      <c r="BC2" t="s">
        <v>62</v>
      </c>
    </row>
    <row r="3" spans="1:56" x14ac:dyDescent="0.25">
      <c r="A3" s="1" t="str">
        <f>IF(COUNTIF(Catégories!A:A,X3)=0,"catégorie inconnue",_xlfn.XLOOKUP(X3,Catégories!A:A,Catégories!B:B))</f>
        <v>Frêt</v>
      </c>
      <c r="B3" s="1">
        <f t="shared" ref="B3:B66" si="0">SUM(AJ3:AL3)+SUM(AN3:AP3)</f>
        <v>7.4300000000000006</v>
      </c>
      <c r="C3" s="1">
        <f t="shared" ref="C3:C66" si="1">AN3</f>
        <v>1.64</v>
      </c>
      <c r="D3" s="1">
        <f t="shared" ref="D3:D66" si="2">B3-C3</f>
        <v>5.7900000000000009</v>
      </c>
      <c r="E3" s="20">
        <f>IF(AH3&lt;&gt;0,ROUNDUP(AH3,0),IF(BB3&lt;&gt;"FR","hors France",IF(AH3&lt;&gt;0,ROUNDUP(AH3,0),_xlfn.XLOOKUP(AJ3,'PA GLS'!B:B,'PA GLS'!A:A))))</f>
        <v>3</v>
      </c>
      <c r="F3">
        <v>2501382993</v>
      </c>
      <c r="G3">
        <v>1030231978</v>
      </c>
      <c r="H3" t="s">
        <v>366</v>
      </c>
      <c r="I3">
        <v>2500034092</v>
      </c>
      <c r="J3" t="s">
        <v>50</v>
      </c>
      <c r="K3">
        <v>9000009190</v>
      </c>
      <c r="L3">
        <v>46946</v>
      </c>
      <c r="M3" t="s">
        <v>51</v>
      </c>
      <c r="N3">
        <v>9000079830</v>
      </c>
      <c r="O3" t="s">
        <v>187</v>
      </c>
      <c r="S3">
        <v>2507012387</v>
      </c>
      <c r="T3" t="s">
        <v>50</v>
      </c>
      <c r="U3" t="s">
        <v>122</v>
      </c>
      <c r="V3" t="s">
        <v>58</v>
      </c>
      <c r="W3" t="s">
        <v>59</v>
      </c>
      <c r="X3" t="s">
        <v>60</v>
      </c>
      <c r="Z3">
        <v>143</v>
      </c>
      <c r="AA3" t="s">
        <v>367</v>
      </c>
      <c r="AB3" t="s">
        <v>373</v>
      </c>
      <c r="AC3">
        <v>2604000028</v>
      </c>
      <c r="AE3">
        <v>0</v>
      </c>
      <c r="AF3">
        <v>0</v>
      </c>
      <c r="AG3">
        <v>0</v>
      </c>
      <c r="AH3">
        <v>0</v>
      </c>
      <c r="AI3" t="s">
        <v>56</v>
      </c>
      <c r="AJ3">
        <v>4.74</v>
      </c>
      <c r="AK3">
        <v>0.9</v>
      </c>
      <c r="AL3">
        <v>0.15</v>
      </c>
      <c r="AM3">
        <v>29.1</v>
      </c>
      <c r="AN3">
        <v>1.64</v>
      </c>
      <c r="AO3">
        <v>0</v>
      </c>
      <c r="AP3">
        <v>0</v>
      </c>
      <c r="AQ3" t="s">
        <v>57</v>
      </c>
      <c r="AS3" t="s">
        <v>374</v>
      </c>
      <c r="AT3" t="s">
        <v>374</v>
      </c>
      <c r="AU3" t="s">
        <v>373</v>
      </c>
      <c r="AV3" t="s">
        <v>375</v>
      </c>
      <c r="AW3" t="s">
        <v>376</v>
      </c>
      <c r="AZ3">
        <v>29590</v>
      </c>
      <c r="BA3" t="s">
        <v>377</v>
      </c>
      <c r="BB3" t="s">
        <v>61</v>
      </c>
      <c r="BC3" t="s">
        <v>62</v>
      </c>
    </row>
    <row r="4" spans="1:56" x14ac:dyDescent="0.25">
      <c r="A4" s="1" t="str">
        <f>IF(COUNTIF(Catégories!A:A,X4)=0,"catégorie inconnue",_xlfn.XLOOKUP(X4,Catégories!A:A,Catégories!B:B))</f>
        <v>Frêt</v>
      </c>
      <c r="B4" s="1">
        <f t="shared" si="0"/>
        <v>7.0100000000000007</v>
      </c>
      <c r="C4" s="1">
        <f t="shared" si="1"/>
        <v>1.54</v>
      </c>
      <c r="D4" s="1">
        <f t="shared" si="2"/>
        <v>5.4700000000000006</v>
      </c>
      <c r="E4" s="20">
        <f>IF(AH4&lt;&gt;0,ROUNDUP(AH4,0),IF(BB4&lt;&gt;"FR","hors France",IF(AH4&lt;&gt;0,ROUNDUP(AH4,0),_xlfn.XLOOKUP(AJ4,'PA GLS'!B:B,'PA GLS'!A:A))))</f>
        <v>2</v>
      </c>
      <c r="F4">
        <v>2501382993</v>
      </c>
      <c r="G4">
        <v>1030231978</v>
      </c>
      <c r="H4" t="s">
        <v>366</v>
      </c>
      <c r="I4">
        <v>2500034092</v>
      </c>
      <c r="J4" t="s">
        <v>50</v>
      </c>
      <c r="K4">
        <v>9000009190</v>
      </c>
      <c r="L4">
        <v>46946</v>
      </c>
      <c r="M4" t="s">
        <v>51</v>
      </c>
      <c r="N4">
        <v>9000079830</v>
      </c>
      <c r="O4" t="s">
        <v>187</v>
      </c>
      <c r="S4">
        <v>2507012387</v>
      </c>
      <c r="T4" t="s">
        <v>50</v>
      </c>
      <c r="U4" t="s">
        <v>122</v>
      </c>
      <c r="V4" t="s">
        <v>77</v>
      </c>
      <c r="W4" t="s">
        <v>78</v>
      </c>
      <c r="X4" t="s">
        <v>60</v>
      </c>
      <c r="Z4">
        <v>142</v>
      </c>
      <c r="AA4" t="s">
        <v>367</v>
      </c>
      <c r="AB4" t="s">
        <v>378</v>
      </c>
      <c r="AC4">
        <v>2604000032</v>
      </c>
      <c r="AE4">
        <v>0</v>
      </c>
      <c r="AF4">
        <v>0</v>
      </c>
      <c r="AG4">
        <v>0</v>
      </c>
      <c r="AH4">
        <v>0</v>
      </c>
      <c r="AI4" t="s">
        <v>56</v>
      </c>
      <c r="AJ4">
        <v>4.42</v>
      </c>
      <c r="AK4">
        <v>0.9</v>
      </c>
      <c r="AL4">
        <v>0.15</v>
      </c>
      <c r="AM4">
        <v>29.1</v>
      </c>
      <c r="AN4">
        <v>1.54</v>
      </c>
      <c r="AO4">
        <v>0</v>
      </c>
      <c r="AP4">
        <v>0</v>
      </c>
      <c r="AQ4" t="s">
        <v>57</v>
      </c>
      <c r="AS4" t="s">
        <v>379</v>
      </c>
      <c r="AT4" t="s">
        <v>379</v>
      </c>
      <c r="AU4" t="s">
        <v>378</v>
      </c>
      <c r="AV4" t="s">
        <v>380</v>
      </c>
      <c r="AW4" t="s">
        <v>381</v>
      </c>
      <c r="AZ4">
        <v>74940</v>
      </c>
      <c r="BA4" t="s">
        <v>274</v>
      </c>
      <c r="BB4" t="s">
        <v>61</v>
      </c>
      <c r="BC4" t="s">
        <v>62</v>
      </c>
    </row>
    <row r="5" spans="1:56" x14ac:dyDescent="0.25">
      <c r="A5" s="1" t="str">
        <f>IF(COUNTIF(Catégories!A:A,X5)=0,"catégorie inconnue",_xlfn.XLOOKUP(X5,Catégories!A:A,Catégories!B:B))</f>
        <v>Frêt</v>
      </c>
      <c r="B5" s="1">
        <f t="shared" si="0"/>
        <v>7.0100000000000007</v>
      </c>
      <c r="C5" s="1">
        <f t="shared" si="1"/>
        <v>1.54</v>
      </c>
      <c r="D5" s="1">
        <f t="shared" si="2"/>
        <v>5.4700000000000006</v>
      </c>
      <c r="E5" s="20">
        <f>IF(AH5&lt;&gt;0,ROUNDUP(AH5,0),IF(BB5&lt;&gt;"FR","hors France",IF(AH5&lt;&gt;0,ROUNDUP(AH5,0),_xlfn.XLOOKUP(AJ5,'PA GLS'!B:B,'PA GLS'!A:A))))</f>
        <v>2</v>
      </c>
      <c r="F5">
        <v>2501382993</v>
      </c>
      <c r="G5">
        <v>1030231978</v>
      </c>
      <c r="H5" t="s">
        <v>366</v>
      </c>
      <c r="I5">
        <v>2500034092</v>
      </c>
      <c r="J5" t="s">
        <v>50</v>
      </c>
      <c r="K5">
        <v>9000009190</v>
      </c>
      <c r="L5">
        <v>46946</v>
      </c>
      <c r="M5" t="s">
        <v>51</v>
      </c>
      <c r="N5">
        <v>9000079830</v>
      </c>
      <c r="O5" t="s">
        <v>187</v>
      </c>
      <c r="S5">
        <v>2507012387</v>
      </c>
      <c r="T5" t="s">
        <v>50</v>
      </c>
      <c r="U5" t="s">
        <v>122</v>
      </c>
      <c r="V5" t="s">
        <v>77</v>
      </c>
      <c r="W5" t="s">
        <v>78</v>
      </c>
      <c r="X5" t="s">
        <v>60</v>
      </c>
      <c r="Z5">
        <v>142</v>
      </c>
      <c r="AA5" t="s">
        <v>367</v>
      </c>
      <c r="AB5" t="s">
        <v>382</v>
      </c>
      <c r="AC5">
        <v>2604000024</v>
      </c>
      <c r="AE5">
        <v>0</v>
      </c>
      <c r="AF5">
        <v>0</v>
      </c>
      <c r="AG5">
        <v>0</v>
      </c>
      <c r="AH5">
        <v>0</v>
      </c>
      <c r="AI5" t="s">
        <v>56</v>
      </c>
      <c r="AJ5">
        <v>4.42</v>
      </c>
      <c r="AK5">
        <v>0.9</v>
      </c>
      <c r="AL5">
        <v>0.15</v>
      </c>
      <c r="AM5">
        <v>29.1</v>
      </c>
      <c r="AN5">
        <v>1.54</v>
      </c>
      <c r="AO5">
        <v>0</v>
      </c>
      <c r="AP5">
        <v>0</v>
      </c>
      <c r="AQ5" t="s">
        <v>57</v>
      </c>
      <c r="AS5" t="s">
        <v>383</v>
      </c>
      <c r="AT5" t="s">
        <v>383</v>
      </c>
      <c r="AU5" t="s">
        <v>382</v>
      </c>
      <c r="AV5" t="s">
        <v>384</v>
      </c>
      <c r="AW5" t="s">
        <v>385</v>
      </c>
      <c r="AZ5">
        <v>35200</v>
      </c>
      <c r="BA5" t="s">
        <v>386</v>
      </c>
      <c r="BB5" t="s">
        <v>61</v>
      </c>
      <c r="BC5" t="s">
        <v>62</v>
      </c>
    </row>
    <row r="6" spans="1:56" x14ac:dyDescent="0.25">
      <c r="A6" s="1" t="str">
        <f>IF(COUNTIF(Catégories!A:A,X6)=0,"catégorie inconnue",_xlfn.XLOOKUP(X6,Catégories!A:A,Catégories!B:B))</f>
        <v>Frêt</v>
      </c>
      <c r="B6" s="1">
        <f t="shared" si="0"/>
        <v>7.0100000000000007</v>
      </c>
      <c r="C6" s="1">
        <f t="shared" si="1"/>
        <v>1.54</v>
      </c>
      <c r="D6" s="1">
        <f t="shared" si="2"/>
        <v>5.4700000000000006</v>
      </c>
      <c r="E6" s="20">
        <f>IF(AH6&lt;&gt;0,ROUNDUP(AH6,0),IF(BB6&lt;&gt;"FR","hors France",IF(AH6&lt;&gt;0,ROUNDUP(AH6,0),_xlfn.XLOOKUP(AJ6,'PA GLS'!B:B,'PA GLS'!A:A))))</f>
        <v>2</v>
      </c>
      <c r="F6">
        <v>2501382993</v>
      </c>
      <c r="G6">
        <v>1030231978</v>
      </c>
      <c r="H6" t="s">
        <v>366</v>
      </c>
      <c r="I6">
        <v>2500034092</v>
      </c>
      <c r="J6" t="s">
        <v>50</v>
      </c>
      <c r="K6">
        <v>9000009190</v>
      </c>
      <c r="L6">
        <v>46946</v>
      </c>
      <c r="M6" t="s">
        <v>51</v>
      </c>
      <c r="N6">
        <v>9000079830</v>
      </c>
      <c r="O6" t="s">
        <v>187</v>
      </c>
      <c r="S6">
        <v>2507012387</v>
      </c>
      <c r="T6" t="s">
        <v>50</v>
      </c>
      <c r="U6" t="s">
        <v>122</v>
      </c>
      <c r="V6" t="s">
        <v>63</v>
      </c>
      <c r="W6" t="s">
        <v>64</v>
      </c>
      <c r="X6" t="s">
        <v>60</v>
      </c>
      <c r="Z6">
        <v>141</v>
      </c>
      <c r="AA6" t="s">
        <v>367</v>
      </c>
      <c r="AB6" t="s">
        <v>387</v>
      </c>
      <c r="AC6">
        <v>2604000031</v>
      </c>
      <c r="AE6">
        <v>0</v>
      </c>
      <c r="AF6">
        <v>0</v>
      </c>
      <c r="AG6">
        <v>0</v>
      </c>
      <c r="AH6">
        <v>0</v>
      </c>
      <c r="AI6" t="s">
        <v>56</v>
      </c>
      <c r="AJ6">
        <v>4.42</v>
      </c>
      <c r="AK6">
        <v>0.9</v>
      </c>
      <c r="AL6">
        <v>0.15</v>
      </c>
      <c r="AM6">
        <v>29.1</v>
      </c>
      <c r="AN6">
        <v>1.54</v>
      </c>
      <c r="AO6">
        <v>0</v>
      </c>
      <c r="AP6">
        <v>0</v>
      </c>
      <c r="AQ6" t="s">
        <v>57</v>
      </c>
      <c r="AS6" t="s">
        <v>388</v>
      </c>
      <c r="AT6" t="s">
        <v>388</v>
      </c>
      <c r="AU6" t="s">
        <v>387</v>
      </c>
      <c r="AV6" t="s">
        <v>389</v>
      </c>
      <c r="AW6" t="s">
        <v>390</v>
      </c>
      <c r="AZ6">
        <v>75017</v>
      </c>
      <c r="BA6" t="s">
        <v>65</v>
      </c>
      <c r="BB6" t="s">
        <v>61</v>
      </c>
      <c r="BC6" t="s">
        <v>62</v>
      </c>
    </row>
    <row r="7" spans="1:56" x14ac:dyDescent="0.25">
      <c r="A7" s="1" t="str">
        <f>IF(COUNTIF(Catégories!A:A,X7)=0,"catégorie inconnue",_xlfn.XLOOKUP(X7,Catégories!A:A,Catégories!B:B))</f>
        <v>Frêt</v>
      </c>
      <c r="B7" s="1">
        <f t="shared" si="0"/>
        <v>7.0100000000000007</v>
      </c>
      <c r="C7" s="1">
        <f t="shared" si="1"/>
        <v>1.54</v>
      </c>
      <c r="D7" s="1">
        <f t="shared" si="2"/>
        <v>5.4700000000000006</v>
      </c>
      <c r="E7" s="20">
        <f>IF(AH7&lt;&gt;0,ROUNDUP(AH7,0),IF(BB7&lt;&gt;"FR","hors France",IF(AH7&lt;&gt;0,ROUNDUP(AH7,0),_xlfn.XLOOKUP(AJ7,'PA GLS'!B:B,'PA GLS'!A:A))))</f>
        <v>2</v>
      </c>
      <c r="F7">
        <v>2501382993</v>
      </c>
      <c r="G7">
        <v>1030231978</v>
      </c>
      <c r="H7" t="s">
        <v>366</v>
      </c>
      <c r="I7">
        <v>2500034092</v>
      </c>
      <c r="J7" t="s">
        <v>50</v>
      </c>
      <c r="K7">
        <v>9000009190</v>
      </c>
      <c r="L7">
        <v>46946</v>
      </c>
      <c r="M7" t="s">
        <v>51</v>
      </c>
      <c r="N7">
        <v>9000079830</v>
      </c>
      <c r="O7" t="s">
        <v>187</v>
      </c>
      <c r="S7">
        <v>2507012387</v>
      </c>
      <c r="T7" t="s">
        <v>50</v>
      </c>
      <c r="U7" t="s">
        <v>122</v>
      </c>
      <c r="V7" t="s">
        <v>63</v>
      </c>
      <c r="W7" t="s">
        <v>64</v>
      </c>
      <c r="X7" t="s">
        <v>60</v>
      </c>
      <c r="Z7">
        <v>141</v>
      </c>
      <c r="AA7" t="s">
        <v>367</v>
      </c>
      <c r="AB7" t="s">
        <v>391</v>
      </c>
      <c r="AC7">
        <v>2604000025</v>
      </c>
      <c r="AE7">
        <v>0</v>
      </c>
      <c r="AF7">
        <v>0</v>
      </c>
      <c r="AG7">
        <v>0</v>
      </c>
      <c r="AH7">
        <v>0</v>
      </c>
      <c r="AI7" t="s">
        <v>56</v>
      </c>
      <c r="AJ7">
        <v>4.42</v>
      </c>
      <c r="AK7">
        <v>0.9</v>
      </c>
      <c r="AL7">
        <v>0.15</v>
      </c>
      <c r="AM7">
        <v>29.1</v>
      </c>
      <c r="AN7">
        <v>1.54</v>
      </c>
      <c r="AO7">
        <v>0</v>
      </c>
      <c r="AP7">
        <v>0</v>
      </c>
      <c r="AQ7" t="s">
        <v>57</v>
      </c>
      <c r="AS7" t="s">
        <v>392</v>
      </c>
      <c r="AT7" t="s">
        <v>392</v>
      </c>
      <c r="AU7" t="s">
        <v>391</v>
      </c>
      <c r="AV7" t="s">
        <v>393</v>
      </c>
      <c r="AW7" t="s">
        <v>394</v>
      </c>
      <c r="AZ7">
        <v>92150</v>
      </c>
      <c r="BA7" t="s">
        <v>273</v>
      </c>
      <c r="BB7" t="s">
        <v>61</v>
      </c>
      <c r="BC7" t="s">
        <v>62</v>
      </c>
    </row>
    <row r="8" spans="1:56" x14ac:dyDescent="0.25">
      <c r="A8" s="1" t="str">
        <f>IF(COUNTIF(Catégories!A:A,X8)=0,"catégorie inconnue",_xlfn.XLOOKUP(X8,Catégories!A:A,Catégories!B:B))</f>
        <v>Frêt</v>
      </c>
      <c r="B8" s="1">
        <f t="shared" si="0"/>
        <v>6.6000000000000005</v>
      </c>
      <c r="C8" s="1">
        <f t="shared" si="1"/>
        <v>1.45</v>
      </c>
      <c r="D8" s="1">
        <f t="shared" si="2"/>
        <v>5.15</v>
      </c>
      <c r="E8" s="20">
        <f>IF(AH8&lt;&gt;0,ROUNDUP(AH8,0),IF(BB8&lt;&gt;"FR","hors France",IF(AH8&lt;&gt;0,ROUNDUP(AH8,0),_xlfn.XLOOKUP(AJ8,'PA GLS'!B:B,'PA GLS'!A:A))))</f>
        <v>1</v>
      </c>
      <c r="F8">
        <v>2501382993</v>
      </c>
      <c r="G8">
        <v>1030231978</v>
      </c>
      <c r="H8" t="s">
        <v>366</v>
      </c>
      <c r="I8">
        <v>2500034092</v>
      </c>
      <c r="J8" t="s">
        <v>50</v>
      </c>
      <c r="K8">
        <v>9000009190</v>
      </c>
      <c r="L8">
        <v>46946</v>
      </c>
      <c r="M8" t="s">
        <v>51</v>
      </c>
      <c r="N8">
        <v>9000079830</v>
      </c>
      <c r="O8" t="s">
        <v>187</v>
      </c>
      <c r="S8">
        <v>2507012387</v>
      </c>
      <c r="T8" t="s">
        <v>50</v>
      </c>
      <c r="U8" t="s">
        <v>122</v>
      </c>
      <c r="V8" t="s">
        <v>66</v>
      </c>
      <c r="W8" t="s">
        <v>67</v>
      </c>
      <c r="X8" t="s">
        <v>60</v>
      </c>
      <c r="Z8">
        <v>140</v>
      </c>
      <c r="AA8" t="s">
        <v>367</v>
      </c>
      <c r="AB8" t="s">
        <v>395</v>
      </c>
      <c r="AC8">
        <v>2604000027</v>
      </c>
      <c r="AE8">
        <v>0</v>
      </c>
      <c r="AF8">
        <v>0</v>
      </c>
      <c r="AG8">
        <v>0</v>
      </c>
      <c r="AH8">
        <v>0</v>
      </c>
      <c r="AI8" t="s">
        <v>56</v>
      </c>
      <c r="AJ8">
        <v>4.0999999999999996</v>
      </c>
      <c r="AK8">
        <v>0.9</v>
      </c>
      <c r="AL8">
        <v>0.15</v>
      </c>
      <c r="AM8">
        <v>29.1</v>
      </c>
      <c r="AN8">
        <v>1.45</v>
      </c>
      <c r="AO8">
        <v>0</v>
      </c>
      <c r="AP8">
        <v>0</v>
      </c>
      <c r="AQ8" t="s">
        <v>57</v>
      </c>
      <c r="AS8" t="s">
        <v>396</v>
      </c>
      <c r="AT8" t="s">
        <v>396</v>
      </c>
      <c r="AU8" t="s">
        <v>395</v>
      </c>
      <c r="AV8" t="s">
        <v>397</v>
      </c>
      <c r="AW8" t="s">
        <v>398</v>
      </c>
      <c r="AZ8">
        <v>75015</v>
      </c>
      <c r="BA8" t="s">
        <v>65</v>
      </c>
      <c r="BB8" t="s">
        <v>61</v>
      </c>
      <c r="BC8" t="s">
        <v>62</v>
      </c>
    </row>
    <row r="9" spans="1:56" x14ac:dyDescent="0.25">
      <c r="A9" s="1" t="str">
        <f>IF(COUNTIF(Catégories!A:A,X9)=0,"catégorie inconnue",_xlfn.XLOOKUP(X9,Catégories!A:A,Catégories!B:B))</f>
        <v>Frêt</v>
      </c>
      <c r="B9" s="1">
        <f t="shared" si="0"/>
        <v>6.6000000000000005</v>
      </c>
      <c r="C9" s="1">
        <f t="shared" si="1"/>
        <v>1.45</v>
      </c>
      <c r="D9" s="1">
        <f t="shared" si="2"/>
        <v>5.15</v>
      </c>
      <c r="E9" s="20">
        <f>IF(AH9&lt;&gt;0,ROUNDUP(AH9,0),IF(BB9&lt;&gt;"FR","hors France",IF(AH9&lt;&gt;0,ROUNDUP(AH9,0),_xlfn.XLOOKUP(AJ9,'PA GLS'!B:B,'PA GLS'!A:A))))</f>
        <v>1</v>
      </c>
      <c r="F9">
        <v>2501382993</v>
      </c>
      <c r="G9">
        <v>1030231978</v>
      </c>
      <c r="H9" t="s">
        <v>366</v>
      </c>
      <c r="I9">
        <v>2500034092</v>
      </c>
      <c r="J9" t="s">
        <v>50</v>
      </c>
      <c r="K9">
        <v>9000009190</v>
      </c>
      <c r="L9">
        <v>46946</v>
      </c>
      <c r="M9" t="s">
        <v>51</v>
      </c>
      <c r="N9">
        <v>9000079830</v>
      </c>
      <c r="O9" t="s">
        <v>187</v>
      </c>
      <c r="S9">
        <v>2507012387</v>
      </c>
      <c r="T9" t="s">
        <v>50</v>
      </c>
      <c r="U9" t="s">
        <v>122</v>
      </c>
      <c r="V9" t="s">
        <v>66</v>
      </c>
      <c r="W9" t="s">
        <v>67</v>
      </c>
      <c r="X9" t="s">
        <v>60</v>
      </c>
      <c r="Z9">
        <v>140</v>
      </c>
      <c r="AA9" t="s">
        <v>367</v>
      </c>
      <c r="AB9" t="s">
        <v>399</v>
      </c>
      <c r="AC9">
        <v>2604000026</v>
      </c>
      <c r="AE9">
        <v>0</v>
      </c>
      <c r="AF9">
        <v>0</v>
      </c>
      <c r="AG9">
        <v>0</v>
      </c>
      <c r="AH9">
        <v>0</v>
      </c>
      <c r="AI9" t="s">
        <v>56</v>
      </c>
      <c r="AJ9">
        <v>4.0999999999999996</v>
      </c>
      <c r="AK9">
        <v>0.9</v>
      </c>
      <c r="AL9">
        <v>0.15</v>
      </c>
      <c r="AM9">
        <v>29.1</v>
      </c>
      <c r="AN9">
        <v>1.45</v>
      </c>
      <c r="AO9">
        <v>0</v>
      </c>
      <c r="AP9">
        <v>0</v>
      </c>
      <c r="AQ9" t="s">
        <v>57</v>
      </c>
      <c r="AS9" t="s">
        <v>400</v>
      </c>
      <c r="AT9" t="s">
        <v>400</v>
      </c>
      <c r="AU9" t="s">
        <v>399</v>
      </c>
      <c r="AV9" t="s">
        <v>401</v>
      </c>
      <c r="AW9" t="s">
        <v>402</v>
      </c>
      <c r="AZ9">
        <v>44120</v>
      </c>
      <c r="BA9" t="s">
        <v>403</v>
      </c>
      <c r="BB9" t="s">
        <v>61</v>
      </c>
      <c r="BC9" t="s">
        <v>62</v>
      </c>
    </row>
    <row r="10" spans="1:56" x14ac:dyDescent="0.25">
      <c r="A10" s="1" t="str">
        <f>IF(COUNTIF(Catégories!A:A,X10)=0,"catégorie inconnue",_xlfn.XLOOKUP(X10,Catégories!A:A,Catégories!B:B))</f>
        <v>Frêt</v>
      </c>
      <c r="B10" s="1">
        <f t="shared" si="0"/>
        <v>6.17</v>
      </c>
      <c r="C10" s="1">
        <f t="shared" si="1"/>
        <v>1.35</v>
      </c>
      <c r="D10" s="1">
        <f t="shared" si="2"/>
        <v>4.82</v>
      </c>
      <c r="E10" s="20">
        <f>IF(AH10&lt;&gt;0,ROUNDUP(AH10,0),IF(BB10&lt;&gt;"FR","hors France",IF(AH10&lt;&gt;0,ROUNDUP(AH10,0),_xlfn.XLOOKUP(AJ10,'PA GLS'!B:B,'PA GLS'!A:A))))</f>
        <v>0.5</v>
      </c>
      <c r="F10">
        <v>2501382993</v>
      </c>
      <c r="G10">
        <v>1030231978</v>
      </c>
      <c r="H10" t="s">
        <v>366</v>
      </c>
      <c r="I10">
        <v>2500034092</v>
      </c>
      <c r="J10" t="s">
        <v>50</v>
      </c>
      <c r="K10">
        <v>9000009190</v>
      </c>
      <c r="L10">
        <v>46946</v>
      </c>
      <c r="M10" t="s">
        <v>51</v>
      </c>
      <c r="N10">
        <v>9000079830</v>
      </c>
      <c r="O10" t="s">
        <v>187</v>
      </c>
      <c r="S10">
        <v>2507012387</v>
      </c>
      <c r="T10" t="s">
        <v>50</v>
      </c>
      <c r="U10" t="s">
        <v>122</v>
      </c>
      <c r="V10" t="s">
        <v>71</v>
      </c>
      <c r="W10" t="s">
        <v>72</v>
      </c>
      <c r="X10" t="s">
        <v>60</v>
      </c>
      <c r="Z10">
        <v>139</v>
      </c>
      <c r="AA10" t="s">
        <v>367</v>
      </c>
      <c r="AB10" t="s">
        <v>404</v>
      </c>
      <c r="AC10">
        <v>2604000029</v>
      </c>
      <c r="AE10">
        <v>0</v>
      </c>
      <c r="AF10">
        <v>0</v>
      </c>
      <c r="AG10">
        <v>0</v>
      </c>
      <c r="AH10">
        <v>0</v>
      </c>
      <c r="AI10" t="s">
        <v>56</v>
      </c>
      <c r="AJ10">
        <v>3.77</v>
      </c>
      <c r="AK10">
        <v>0.9</v>
      </c>
      <c r="AL10">
        <v>0.15</v>
      </c>
      <c r="AM10">
        <v>29.1</v>
      </c>
      <c r="AN10">
        <v>1.35</v>
      </c>
      <c r="AO10">
        <v>0</v>
      </c>
      <c r="AP10">
        <v>0</v>
      </c>
      <c r="AQ10" t="s">
        <v>57</v>
      </c>
      <c r="AS10" t="s">
        <v>405</v>
      </c>
      <c r="AT10" t="s">
        <v>405</v>
      </c>
      <c r="AU10" t="s">
        <v>404</v>
      </c>
      <c r="AV10" t="s">
        <v>406</v>
      </c>
      <c r="AW10" t="s">
        <v>407</v>
      </c>
      <c r="AZ10">
        <v>38510</v>
      </c>
      <c r="BA10" t="s">
        <v>408</v>
      </c>
      <c r="BB10" t="s">
        <v>61</v>
      </c>
      <c r="BC10" t="s">
        <v>62</v>
      </c>
    </row>
    <row r="11" spans="1:56" x14ac:dyDescent="0.25">
      <c r="A11" s="1" t="str">
        <f>IF(COUNTIF(Catégories!A:A,X11)=0,"catégorie inconnue",_xlfn.XLOOKUP(X11,Catégories!A:A,Catégories!B:B))</f>
        <v>Frêt</v>
      </c>
      <c r="B11" s="1">
        <f t="shared" si="0"/>
        <v>0</v>
      </c>
      <c r="C11" s="1">
        <f t="shared" si="1"/>
        <v>0</v>
      </c>
      <c r="D11" s="1">
        <f t="shared" si="2"/>
        <v>0</v>
      </c>
      <c r="E11" s="20">
        <f>IF(AH11&lt;&gt;0,ROUNDUP(AH11,0),IF(BB11&lt;&gt;"FR","hors France",IF(AH11&lt;&gt;0,ROUNDUP(AH11,0),_xlfn.XLOOKUP(AJ11,'PA GLS'!B:B,'PA GLS'!A:A))))</f>
        <v>2</v>
      </c>
      <c r="F11">
        <v>2501382993</v>
      </c>
      <c r="G11">
        <v>1030231978</v>
      </c>
      <c r="H11" t="s">
        <v>366</v>
      </c>
      <c r="I11">
        <v>2500034092</v>
      </c>
      <c r="J11" t="s">
        <v>50</v>
      </c>
      <c r="K11">
        <v>9000009190</v>
      </c>
      <c r="L11">
        <v>46946</v>
      </c>
      <c r="M11" t="s">
        <v>51</v>
      </c>
      <c r="N11">
        <v>9000079830</v>
      </c>
      <c r="O11" t="s">
        <v>187</v>
      </c>
      <c r="S11">
        <v>2507012387</v>
      </c>
      <c r="T11" t="s">
        <v>50</v>
      </c>
      <c r="U11" t="s">
        <v>122</v>
      </c>
      <c r="V11" t="s">
        <v>176</v>
      </c>
      <c r="W11" t="s">
        <v>177</v>
      </c>
      <c r="X11" t="s">
        <v>152</v>
      </c>
      <c r="Z11">
        <v>138</v>
      </c>
      <c r="AA11" t="s">
        <v>367</v>
      </c>
      <c r="AB11" t="s">
        <v>378</v>
      </c>
      <c r="AC11">
        <v>2604000032</v>
      </c>
      <c r="AE11">
        <v>0</v>
      </c>
      <c r="AF11">
        <v>1</v>
      </c>
      <c r="AG11">
        <v>0</v>
      </c>
      <c r="AH11">
        <v>1.7</v>
      </c>
      <c r="AI11" t="s">
        <v>56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 t="s">
        <v>57</v>
      </c>
      <c r="AS11" t="s">
        <v>379</v>
      </c>
      <c r="AT11" t="s">
        <v>379</v>
      </c>
      <c r="AU11" t="s">
        <v>378</v>
      </c>
      <c r="AV11" t="s">
        <v>380</v>
      </c>
      <c r="AW11" t="s">
        <v>381</v>
      </c>
      <c r="AZ11">
        <v>74940</v>
      </c>
      <c r="BA11" t="s">
        <v>274</v>
      </c>
      <c r="BB11" t="s">
        <v>61</v>
      </c>
      <c r="BC11" t="s">
        <v>62</v>
      </c>
    </row>
    <row r="12" spans="1:56" x14ac:dyDescent="0.25">
      <c r="A12" s="1" t="str">
        <f>IF(COUNTIF(Catégories!A:A,X12)=0,"catégorie inconnue",_xlfn.XLOOKUP(X12,Catégories!A:A,Catégories!B:B))</f>
        <v>Frêt</v>
      </c>
      <c r="B12" s="1">
        <f t="shared" si="0"/>
        <v>0</v>
      </c>
      <c r="C12" s="1">
        <f t="shared" si="1"/>
        <v>0</v>
      </c>
      <c r="D12" s="1">
        <f t="shared" si="2"/>
        <v>0</v>
      </c>
      <c r="E12" s="20">
        <f>IF(AH12&lt;&gt;0,ROUNDUP(AH12,0),IF(BB12&lt;&gt;"FR","hors France",IF(AH12&lt;&gt;0,ROUNDUP(AH12,0),_xlfn.XLOOKUP(AJ12,'PA GLS'!B:B,'PA GLS'!A:A))))</f>
        <v>2</v>
      </c>
      <c r="F12">
        <v>2501382993</v>
      </c>
      <c r="G12">
        <v>1030231978</v>
      </c>
      <c r="H12" t="s">
        <v>366</v>
      </c>
      <c r="I12">
        <v>2500034092</v>
      </c>
      <c r="J12" t="s">
        <v>50</v>
      </c>
      <c r="K12">
        <v>9000009190</v>
      </c>
      <c r="L12">
        <v>46946</v>
      </c>
      <c r="M12" t="s">
        <v>51</v>
      </c>
      <c r="N12">
        <v>9000079830</v>
      </c>
      <c r="O12" t="s">
        <v>187</v>
      </c>
      <c r="S12">
        <v>2507012387</v>
      </c>
      <c r="T12" t="s">
        <v>50</v>
      </c>
      <c r="U12" t="s">
        <v>122</v>
      </c>
      <c r="V12" t="s">
        <v>176</v>
      </c>
      <c r="W12" t="s">
        <v>177</v>
      </c>
      <c r="X12" t="s">
        <v>152</v>
      </c>
      <c r="Z12">
        <v>138</v>
      </c>
      <c r="AA12" t="s">
        <v>367</v>
      </c>
      <c r="AB12" t="s">
        <v>387</v>
      </c>
      <c r="AC12">
        <v>2604000031</v>
      </c>
      <c r="AE12">
        <v>0</v>
      </c>
      <c r="AF12">
        <v>1</v>
      </c>
      <c r="AG12">
        <v>0</v>
      </c>
      <c r="AH12">
        <v>1.1499999999999999</v>
      </c>
      <c r="AI12" t="s">
        <v>56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57</v>
      </c>
      <c r="AS12" t="s">
        <v>388</v>
      </c>
      <c r="AT12" t="s">
        <v>388</v>
      </c>
      <c r="AU12" t="s">
        <v>387</v>
      </c>
      <c r="AV12" t="s">
        <v>389</v>
      </c>
      <c r="AW12" t="s">
        <v>390</v>
      </c>
      <c r="AZ12">
        <v>75017</v>
      </c>
      <c r="BA12" t="s">
        <v>65</v>
      </c>
      <c r="BB12" t="s">
        <v>61</v>
      </c>
      <c r="BC12" t="s">
        <v>62</v>
      </c>
    </row>
    <row r="13" spans="1:56" x14ac:dyDescent="0.25">
      <c r="A13" s="1" t="str">
        <f>IF(COUNTIF(Catégories!A:A,X13)=0,"catégorie inconnue",_xlfn.XLOOKUP(X13,Catégories!A:A,Catégories!B:B))</f>
        <v>Frêt</v>
      </c>
      <c r="B13" s="1">
        <f t="shared" si="0"/>
        <v>0</v>
      </c>
      <c r="C13" s="1">
        <f t="shared" si="1"/>
        <v>0</v>
      </c>
      <c r="D13" s="1">
        <f t="shared" si="2"/>
        <v>0</v>
      </c>
      <c r="E13" s="20">
        <f>IF(AH13&lt;&gt;0,ROUNDUP(AH13,0),IF(BB13&lt;&gt;"FR","hors France",IF(AH13&lt;&gt;0,ROUNDUP(AH13,0),_xlfn.XLOOKUP(AJ13,'PA GLS'!B:B,'PA GLS'!A:A))))</f>
        <v>3</v>
      </c>
      <c r="F13">
        <v>2501382993</v>
      </c>
      <c r="G13">
        <v>1030231978</v>
      </c>
      <c r="H13" t="s">
        <v>366</v>
      </c>
      <c r="I13">
        <v>2500034092</v>
      </c>
      <c r="J13" t="s">
        <v>50</v>
      </c>
      <c r="K13">
        <v>9000009190</v>
      </c>
      <c r="L13">
        <v>46946</v>
      </c>
      <c r="M13" t="s">
        <v>51</v>
      </c>
      <c r="N13">
        <v>9000079830</v>
      </c>
      <c r="O13" t="s">
        <v>187</v>
      </c>
      <c r="S13">
        <v>2507012387</v>
      </c>
      <c r="T13" t="s">
        <v>50</v>
      </c>
      <c r="U13" t="s">
        <v>122</v>
      </c>
      <c r="V13" t="s">
        <v>176</v>
      </c>
      <c r="W13" t="s">
        <v>177</v>
      </c>
      <c r="X13" t="s">
        <v>152</v>
      </c>
      <c r="Z13">
        <v>138</v>
      </c>
      <c r="AA13" t="s">
        <v>367</v>
      </c>
      <c r="AB13" t="s">
        <v>368</v>
      </c>
      <c r="AC13">
        <v>2604000030</v>
      </c>
      <c r="AE13">
        <v>0</v>
      </c>
      <c r="AF13">
        <v>1</v>
      </c>
      <c r="AG13">
        <v>0</v>
      </c>
      <c r="AH13">
        <v>2.42</v>
      </c>
      <c r="AI13" t="s">
        <v>56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57</v>
      </c>
      <c r="AS13" t="s">
        <v>369</v>
      </c>
      <c r="AT13" t="s">
        <v>369</v>
      </c>
      <c r="AU13" t="s">
        <v>368</v>
      </c>
      <c r="AV13" t="s">
        <v>370</v>
      </c>
      <c r="AW13" t="s">
        <v>371</v>
      </c>
      <c r="AZ13">
        <v>60140</v>
      </c>
      <c r="BA13" t="s">
        <v>372</v>
      </c>
      <c r="BB13" t="s">
        <v>61</v>
      </c>
      <c r="BC13" t="s">
        <v>62</v>
      </c>
    </row>
    <row r="14" spans="1:56" x14ac:dyDescent="0.25">
      <c r="A14" s="1" t="str">
        <f>IF(COUNTIF(Catégories!A:A,X14)=0,"catégorie inconnue",_xlfn.XLOOKUP(X14,Catégories!A:A,Catégories!B:B))</f>
        <v>Frêt</v>
      </c>
      <c r="B14" s="1">
        <f t="shared" si="0"/>
        <v>0</v>
      </c>
      <c r="C14" s="1">
        <f t="shared" si="1"/>
        <v>0</v>
      </c>
      <c r="D14" s="1">
        <f t="shared" si="2"/>
        <v>0</v>
      </c>
      <c r="E14" s="20">
        <f>IF(AH14&lt;&gt;0,ROUNDUP(AH14,0),IF(BB14&lt;&gt;"FR","hors France",IF(AH14&lt;&gt;0,ROUNDUP(AH14,0),_xlfn.XLOOKUP(AJ14,'PA GLS'!B:B,'PA GLS'!A:A))))</f>
        <v>1</v>
      </c>
      <c r="F14">
        <v>2501382993</v>
      </c>
      <c r="G14">
        <v>1030231978</v>
      </c>
      <c r="H14" t="s">
        <v>366</v>
      </c>
      <c r="I14">
        <v>2500034092</v>
      </c>
      <c r="J14" t="s">
        <v>50</v>
      </c>
      <c r="K14">
        <v>9000009190</v>
      </c>
      <c r="L14">
        <v>46946</v>
      </c>
      <c r="M14" t="s">
        <v>51</v>
      </c>
      <c r="N14">
        <v>9000079830</v>
      </c>
      <c r="O14" t="s">
        <v>187</v>
      </c>
      <c r="S14">
        <v>2507012387</v>
      </c>
      <c r="T14" t="s">
        <v>50</v>
      </c>
      <c r="U14" t="s">
        <v>122</v>
      </c>
      <c r="V14" t="s">
        <v>176</v>
      </c>
      <c r="W14" t="s">
        <v>177</v>
      </c>
      <c r="X14" t="s">
        <v>152</v>
      </c>
      <c r="Z14">
        <v>138</v>
      </c>
      <c r="AA14" t="s">
        <v>367</v>
      </c>
      <c r="AB14" t="s">
        <v>404</v>
      </c>
      <c r="AC14">
        <v>2604000029</v>
      </c>
      <c r="AE14">
        <v>0</v>
      </c>
      <c r="AF14">
        <v>1</v>
      </c>
      <c r="AG14">
        <v>0</v>
      </c>
      <c r="AH14">
        <v>0.48</v>
      </c>
      <c r="AI14" t="s">
        <v>56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57</v>
      </c>
      <c r="AS14" t="s">
        <v>405</v>
      </c>
      <c r="AT14" t="s">
        <v>405</v>
      </c>
      <c r="AU14" t="s">
        <v>404</v>
      </c>
      <c r="AV14" t="s">
        <v>406</v>
      </c>
      <c r="AW14" t="s">
        <v>407</v>
      </c>
      <c r="AZ14">
        <v>38510</v>
      </c>
      <c r="BA14" t="s">
        <v>408</v>
      </c>
      <c r="BB14" t="s">
        <v>61</v>
      </c>
      <c r="BC14" t="s">
        <v>62</v>
      </c>
    </row>
    <row r="15" spans="1:56" x14ac:dyDescent="0.25">
      <c r="A15" s="1" t="str">
        <f>IF(COUNTIF(Catégories!A:A,X15)=0,"catégorie inconnue",_xlfn.XLOOKUP(X15,Catégories!A:A,Catégories!B:B))</f>
        <v>Frêt</v>
      </c>
      <c r="B15" s="1">
        <f t="shared" si="0"/>
        <v>0</v>
      </c>
      <c r="C15" s="1">
        <f t="shared" si="1"/>
        <v>0</v>
      </c>
      <c r="D15" s="1">
        <f t="shared" si="2"/>
        <v>0</v>
      </c>
      <c r="E15" s="20">
        <f>IF(AH15&lt;&gt;0,ROUNDUP(AH15,0),IF(BB15&lt;&gt;"FR","hors France",IF(AH15&lt;&gt;0,ROUNDUP(AH15,0),_xlfn.XLOOKUP(AJ15,'PA GLS'!B:B,'PA GLS'!A:A))))</f>
        <v>3</v>
      </c>
      <c r="F15">
        <v>2501382993</v>
      </c>
      <c r="G15">
        <v>1030231978</v>
      </c>
      <c r="H15" t="s">
        <v>366</v>
      </c>
      <c r="I15">
        <v>2500034092</v>
      </c>
      <c r="J15" t="s">
        <v>50</v>
      </c>
      <c r="K15">
        <v>9000009190</v>
      </c>
      <c r="L15">
        <v>46946</v>
      </c>
      <c r="M15" t="s">
        <v>51</v>
      </c>
      <c r="N15">
        <v>9000079830</v>
      </c>
      <c r="O15" t="s">
        <v>187</v>
      </c>
      <c r="S15">
        <v>2507012387</v>
      </c>
      <c r="T15" t="s">
        <v>50</v>
      </c>
      <c r="U15" t="s">
        <v>122</v>
      </c>
      <c r="V15" t="s">
        <v>176</v>
      </c>
      <c r="W15" t="s">
        <v>177</v>
      </c>
      <c r="X15" t="s">
        <v>152</v>
      </c>
      <c r="Z15">
        <v>138</v>
      </c>
      <c r="AA15" t="s">
        <v>367</v>
      </c>
      <c r="AB15" t="s">
        <v>373</v>
      </c>
      <c r="AC15">
        <v>2604000028</v>
      </c>
      <c r="AE15">
        <v>0</v>
      </c>
      <c r="AF15">
        <v>1</v>
      </c>
      <c r="AG15">
        <v>0</v>
      </c>
      <c r="AH15">
        <v>2.38</v>
      </c>
      <c r="AI15" t="s">
        <v>56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57</v>
      </c>
      <c r="AS15" t="s">
        <v>374</v>
      </c>
      <c r="AT15" t="s">
        <v>374</v>
      </c>
      <c r="AU15" t="s">
        <v>373</v>
      </c>
      <c r="AV15" t="s">
        <v>375</v>
      </c>
      <c r="AW15" t="s">
        <v>376</v>
      </c>
      <c r="AZ15">
        <v>29590</v>
      </c>
      <c r="BA15" t="s">
        <v>377</v>
      </c>
      <c r="BB15" t="s">
        <v>61</v>
      </c>
      <c r="BC15" t="s">
        <v>62</v>
      </c>
    </row>
    <row r="16" spans="1:56" x14ac:dyDescent="0.25">
      <c r="A16" s="1" t="str">
        <f>IF(COUNTIF(Catégories!A:A,X16)=0,"catégorie inconnue",_xlfn.XLOOKUP(X16,Catégories!A:A,Catégories!B:B))</f>
        <v>Frêt</v>
      </c>
      <c r="B16" s="1">
        <f t="shared" si="0"/>
        <v>0</v>
      </c>
      <c r="C16" s="1">
        <f t="shared" si="1"/>
        <v>0</v>
      </c>
      <c r="D16" s="1">
        <f t="shared" si="2"/>
        <v>0</v>
      </c>
      <c r="E16" s="20">
        <f>IF(AH16&lt;&gt;0,ROUNDUP(AH16,0),IF(BB16&lt;&gt;"FR","hors France",IF(AH16&lt;&gt;0,ROUNDUP(AH16,0),_xlfn.XLOOKUP(AJ16,'PA GLS'!B:B,'PA GLS'!A:A))))</f>
        <v>1</v>
      </c>
      <c r="F16">
        <v>2501382993</v>
      </c>
      <c r="G16">
        <v>1030231978</v>
      </c>
      <c r="H16" t="s">
        <v>366</v>
      </c>
      <c r="I16">
        <v>2500034092</v>
      </c>
      <c r="J16" t="s">
        <v>50</v>
      </c>
      <c r="K16">
        <v>9000009190</v>
      </c>
      <c r="L16">
        <v>46946</v>
      </c>
      <c r="M16" t="s">
        <v>51</v>
      </c>
      <c r="N16">
        <v>9000079830</v>
      </c>
      <c r="O16" t="s">
        <v>187</v>
      </c>
      <c r="S16">
        <v>2507012387</v>
      </c>
      <c r="T16" t="s">
        <v>50</v>
      </c>
      <c r="U16" t="s">
        <v>122</v>
      </c>
      <c r="V16" t="s">
        <v>176</v>
      </c>
      <c r="W16" t="s">
        <v>177</v>
      </c>
      <c r="X16" t="s">
        <v>152</v>
      </c>
      <c r="Z16">
        <v>138</v>
      </c>
      <c r="AA16" t="s">
        <v>367</v>
      </c>
      <c r="AB16" t="s">
        <v>395</v>
      </c>
      <c r="AC16">
        <v>2604000027</v>
      </c>
      <c r="AE16">
        <v>0</v>
      </c>
      <c r="AF16">
        <v>1</v>
      </c>
      <c r="AG16">
        <v>0</v>
      </c>
      <c r="AH16">
        <v>0.85</v>
      </c>
      <c r="AI16" t="s">
        <v>56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57</v>
      </c>
      <c r="AS16" t="s">
        <v>396</v>
      </c>
      <c r="AT16" t="s">
        <v>396</v>
      </c>
      <c r="AU16" t="s">
        <v>395</v>
      </c>
      <c r="AV16" t="s">
        <v>397</v>
      </c>
      <c r="AW16" t="s">
        <v>398</v>
      </c>
      <c r="AZ16">
        <v>75015</v>
      </c>
      <c r="BA16" t="s">
        <v>65</v>
      </c>
      <c r="BB16" t="s">
        <v>61</v>
      </c>
      <c r="BC16" t="s">
        <v>62</v>
      </c>
    </row>
    <row r="17" spans="1:55" x14ac:dyDescent="0.25">
      <c r="A17" s="1" t="str">
        <f>IF(COUNTIF(Catégories!A:A,X17)=0,"catégorie inconnue",_xlfn.XLOOKUP(X17,Catégories!A:A,Catégories!B:B))</f>
        <v>Frêt</v>
      </c>
      <c r="B17" s="1">
        <f t="shared" si="0"/>
        <v>0</v>
      </c>
      <c r="C17" s="1">
        <f t="shared" si="1"/>
        <v>0</v>
      </c>
      <c r="D17" s="1">
        <f t="shared" si="2"/>
        <v>0</v>
      </c>
      <c r="E17" s="20">
        <f>IF(AH17&lt;&gt;0,ROUNDUP(AH17,0),IF(BB17&lt;&gt;"FR","hors France",IF(AH17&lt;&gt;0,ROUNDUP(AH17,0),_xlfn.XLOOKUP(AJ17,'PA GLS'!B:B,'PA GLS'!A:A))))</f>
        <v>1</v>
      </c>
      <c r="F17">
        <v>2501382993</v>
      </c>
      <c r="G17">
        <v>1030231978</v>
      </c>
      <c r="H17" t="s">
        <v>366</v>
      </c>
      <c r="I17">
        <v>2500034092</v>
      </c>
      <c r="J17" t="s">
        <v>50</v>
      </c>
      <c r="K17">
        <v>9000009190</v>
      </c>
      <c r="L17">
        <v>46946</v>
      </c>
      <c r="M17" t="s">
        <v>51</v>
      </c>
      <c r="N17">
        <v>9000079830</v>
      </c>
      <c r="O17" t="s">
        <v>187</v>
      </c>
      <c r="S17">
        <v>2507012387</v>
      </c>
      <c r="T17" t="s">
        <v>50</v>
      </c>
      <c r="U17" t="s">
        <v>122</v>
      </c>
      <c r="V17" t="s">
        <v>176</v>
      </c>
      <c r="W17" t="s">
        <v>177</v>
      </c>
      <c r="X17" t="s">
        <v>152</v>
      </c>
      <c r="Z17">
        <v>138</v>
      </c>
      <c r="AA17" t="s">
        <v>367</v>
      </c>
      <c r="AB17" t="s">
        <v>399</v>
      </c>
      <c r="AC17">
        <v>2604000026</v>
      </c>
      <c r="AE17">
        <v>0</v>
      </c>
      <c r="AF17">
        <v>1</v>
      </c>
      <c r="AG17">
        <v>0</v>
      </c>
      <c r="AH17">
        <v>0.86</v>
      </c>
      <c r="AI17" t="s">
        <v>56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57</v>
      </c>
      <c r="AS17" t="s">
        <v>400</v>
      </c>
      <c r="AT17" t="s">
        <v>400</v>
      </c>
      <c r="AU17" t="s">
        <v>399</v>
      </c>
      <c r="AV17" t="s">
        <v>401</v>
      </c>
      <c r="AW17" t="s">
        <v>402</v>
      </c>
      <c r="AZ17">
        <v>44120</v>
      </c>
      <c r="BA17" t="s">
        <v>403</v>
      </c>
      <c r="BB17" t="s">
        <v>61</v>
      </c>
      <c r="BC17" t="s">
        <v>62</v>
      </c>
    </row>
    <row r="18" spans="1:55" x14ac:dyDescent="0.25">
      <c r="A18" s="1" t="str">
        <f>IF(COUNTIF(Catégories!A:A,X18)=0,"catégorie inconnue",_xlfn.XLOOKUP(X18,Catégories!A:A,Catégories!B:B))</f>
        <v>Frêt</v>
      </c>
      <c r="B18" s="1">
        <f t="shared" si="0"/>
        <v>0</v>
      </c>
      <c r="C18" s="1">
        <f t="shared" si="1"/>
        <v>0</v>
      </c>
      <c r="D18" s="1">
        <f t="shared" si="2"/>
        <v>0</v>
      </c>
      <c r="E18" s="20">
        <f>IF(AH18&lt;&gt;0,ROUNDUP(AH18,0),IF(BB18&lt;&gt;"FR","hors France",IF(AH18&lt;&gt;0,ROUNDUP(AH18,0),_xlfn.XLOOKUP(AJ18,'PA GLS'!B:B,'PA GLS'!A:A))))</f>
        <v>2</v>
      </c>
      <c r="F18">
        <v>2501382993</v>
      </c>
      <c r="G18">
        <v>1030231978</v>
      </c>
      <c r="H18" t="s">
        <v>366</v>
      </c>
      <c r="I18">
        <v>2500034092</v>
      </c>
      <c r="J18" t="s">
        <v>50</v>
      </c>
      <c r="K18">
        <v>9000009190</v>
      </c>
      <c r="L18">
        <v>46946</v>
      </c>
      <c r="M18" t="s">
        <v>51</v>
      </c>
      <c r="N18">
        <v>9000079830</v>
      </c>
      <c r="O18" t="s">
        <v>187</v>
      </c>
      <c r="S18">
        <v>2507012387</v>
      </c>
      <c r="T18" t="s">
        <v>50</v>
      </c>
      <c r="U18" t="s">
        <v>122</v>
      </c>
      <c r="V18" t="s">
        <v>176</v>
      </c>
      <c r="W18" t="s">
        <v>177</v>
      </c>
      <c r="X18" t="s">
        <v>152</v>
      </c>
      <c r="Z18">
        <v>138</v>
      </c>
      <c r="AA18" t="s">
        <v>367</v>
      </c>
      <c r="AB18" t="s">
        <v>391</v>
      </c>
      <c r="AC18">
        <v>2604000025</v>
      </c>
      <c r="AE18">
        <v>0</v>
      </c>
      <c r="AF18">
        <v>1</v>
      </c>
      <c r="AG18">
        <v>0</v>
      </c>
      <c r="AH18">
        <v>1.1499999999999999</v>
      </c>
      <c r="AI18" t="s">
        <v>56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 t="s">
        <v>57</v>
      </c>
      <c r="AS18" t="s">
        <v>392</v>
      </c>
      <c r="AT18" t="s">
        <v>392</v>
      </c>
      <c r="AU18" t="s">
        <v>391</v>
      </c>
      <c r="AV18" t="s">
        <v>393</v>
      </c>
      <c r="AW18" t="s">
        <v>394</v>
      </c>
      <c r="AZ18">
        <v>92150</v>
      </c>
      <c r="BA18" t="s">
        <v>273</v>
      </c>
      <c r="BB18" t="s">
        <v>61</v>
      </c>
      <c r="BC18" t="s">
        <v>62</v>
      </c>
    </row>
    <row r="19" spans="1:55" x14ac:dyDescent="0.25">
      <c r="A19" s="1" t="str">
        <f>IF(COUNTIF(Catégories!A:A,X19)=0,"catégorie inconnue",_xlfn.XLOOKUP(X19,Catégories!A:A,Catégories!B:B))</f>
        <v>Frêt</v>
      </c>
      <c r="B19" s="1">
        <f t="shared" si="0"/>
        <v>0</v>
      </c>
      <c r="C19" s="1">
        <f t="shared" si="1"/>
        <v>0</v>
      </c>
      <c r="D19" s="1">
        <f t="shared" si="2"/>
        <v>0</v>
      </c>
      <c r="E19" s="20">
        <f>IF(AH19&lt;&gt;0,ROUNDUP(AH19,0),IF(BB19&lt;&gt;"FR","hors France",IF(AH19&lt;&gt;0,ROUNDUP(AH19,0),_xlfn.XLOOKUP(AJ19,'PA GLS'!B:B,'PA GLS'!A:A))))</f>
        <v>2</v>
      </c>
      <c r="F19">
        <v>2501382993</v>
      </c>
      <c r="G19">
        <v>1030231978</v>
      </c>
      <c r="H19" t="s">
        <v>366</v>
      </c>
      <c r="I19">
        <v>2500034092</v>
      </c>
      <c r="J19" t="s">
        <v>50</v>
      </c>
      <c r="K19">
        <v>9000009190</v>
      </c>
      <c r="L19">
        <v>46946</v>
      </c>
      <c r="M19" t="s">
        <v>51</v>
      </c>
      <c r="N19">
        <v>9000079830</v>
      </c>
      <c r="O19" t="s">
        <v>187</v>
      </c>
      <c r="S19">
        <v>2507012387</v>
      </c>
      <c r="T19" t="s">
        <v>50</v>
      </c>
      <c r="U19" t="s">
        <v>122</v>
      </c>
      <c r="V19" t="s">
        <v>176</v>
      </c>
      <c r="W19" t="s">
        <v>177</v>
      </c>
      <c r="X19" t="s">
        <v>152</v>
      </c>
      <c r="Z19">
        <v>138</v>
      </c>
      <c r="AA19" t="s">
        <v>367</v>
      </c>
      <c r="AB19" t="s">
        <v>382</v>
      </c>
      <c r="AC19">
        <v>2604000024</v>
      </c>
      <c r="AE19">
        <v>0</v>
      </c>
      <c r="AF19">
        <v>1</v>
      </c>
      <c r="AG19">
        <v>0</v>
      </c>
      <c r="AH19">
        <v>1.53</v>
      </c>
      <c r="AI19" t="s">
        <v>56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57</v>
      </c>
      <c r="AS19" t="s">
        <v>383</v>
      </c>
      <c r="AT19" t="s">
        <v>383</v>
      </c>
      <c r="AU19" t="s">
        <v>382</v>
      </c>
      <c r="AV19" t="s">
        <v>384</v>
      </c>
      <c r="AW19" t="s">
        <v>385</v>
      </c>
      <c r="AZ19">
        <v>35200</v>
      </c>
      <c r="BA19" t="s">
        <v>386</v>
      </c>
      <c r="BB19" t="s">
        <v>61</v>
      </c>
      <c r="BC19" t="s">
        <v>62</v>
      </c>
    </row>
    <row r="20" spans="1:55" x14ac:dyDescent="0.25">
      <c r="A20" s="1" t="str">
        <f>IF(COUNTIF(Catégories!A:A,X20)=0,"catégorie inconnue",_xlfn.XLOOKUP(X20,Catégories!A:A,Catégories!B:B))</f>
        <v>Frêt</v>
      </c>
      <c r="B20" s="1">
        <f t="shared" si="0"/>
        <v>0</v>
      </c>
      <c r="C20" s="1">
        <f t="shared" si="1"/>
        <v>0</v>
      </c>
      <c r="D20" s="1">
        <f t="shared" si="2"/>
        <v>0</v>
      </c>
      <c r="E20" s="20">
        <f>IF(AH20&lt;&gt;0,ROUNDUP(AH20,0),IF(BB20&lt;&gt;"FR","hors France",IF(AH20&lt;&gt;0,ROUNDUP(AH20,0),_xlfn.XLOOKUP(AJ20,'PA GLS'!B:B,'PA GLS'!A:A))))</f>
        <v>1</v>
      </c>
      <c r="F20">
        <v>2501382993</v>
      </c>
      <c r="G20">
        <v>1030228091</v>
      </c>
      <c r="H20" t="s">
        <v>366</v>
      </c>
      <c r="I20">
        <v>2500034092</v>
      </c>
      <c r="J20" t="s">
        <v>50</v>
      </c>
      <c r="K20">
        <v>9000009190</v>
      </c>
      <c r="L20">
        <v>46946</v>
      </c>
      <c r="M20" t="s">
        <v>51</v>
      </c>
      <c r="N20">
        <v>9000037814</v>
      </c>
      <c r="O20" t="s">
        <v>51</v>
      </c>
      <c r="S20">
        <v>2507012387</v>
      </c>
      <c r="T20" t="s">
        <v>50</v>
      </c>
      <c r="U20" t="s">
        <v>122</v>
      </c>
      <c r="V20" t="s">
        <v>176</v>
      </c>
      <c r="W20" t="s">
        <v>177</v>
      </c>
      <c r="X20" t="s">
        <v>152</v>
      </c>
      <c r="Z20">
        <v>101</v>
      </c>
      <c r="AA20" t="s">
        <v>367</v>
      </c>
      <c r="AB20" t="s">
        <v>409</v>
      </c>
      <c r="AC20">
        <v>2604000015</v>
      </c>
      <c r="AE20">
        <v>0</v>
      </c>
      <c r="AF20">
        <v>1</v>
      </c>
      <c r="AG20">
        <v>0</v>
      </c>
      <c r="AH20">
        <v>0.25</v>
      </c>
      <c r="AI20" t="s">
        <v>56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57</v>
      </c>
      <c r="AS20" t="s">
        <v>410</v>
      </c>
      <c r="AT20" t="s">
        <v>410</v>
      </c>
      <c r="AU20" t="s">
        <v>409</v>
      </c>
      <c r="AV20" t="s">
        <v>355</v>
      </c>
      <c r="AW20" t="s">
        <v>356</v>
      </c>
      <c r="AZ20">
        <v>75013</v>
      </c>
      <c r="BA20" t="s">
        <v>65</v>
      </c>
      <c r="BB20" t="s">
        <v>61</v>
      </c>
      <c r="BC20" t="s">
        <v>62</v>
      </c>
    </row>
    <row r="21" spans="1:55" x14ac:dyDescent="0.25">
      <c r="A21" s="1" t="str">
        <f>IF(COUNTIF(Catégories!A:A,X21)=0,"catégorie inconnue",_xlfn.XLOOKUP(X21,Catégories!A:A,Catégories!B:B))</f>
        <v>Frêt</v>
      </c>
      <c r="B21" s="1">
        <f t="shared" si="0"/>
        <v>0</v>
      </c>
      <c r="C21" s="1">
        <f t="shared" si="1"/>
        <v>0</v>
      </c>
      <c r="D21" s="1">
        <f t="shared" si="2"/>
        <v>0</v>
      </c>
      <c r="E21" s="20">
        <f>IF(AH21&lt;&gt;0,ROUNDUP(AH21,0),IF(BB21&lt;&gt;"FR","hors France",IF(AH21&lt;&gt;0,ROUNDUP(AH21,0),_xlfn.XLOOKUP(AJ21,'PA GLS'!B:B,'PA GLS'!A:A))))</f>
        <v>1</v>
      </c>
      <c r="F21">
        <v>2501382993</v>
      </c>
      <c r="G21">
        <v>1030228091</v>
      </c>
      <c r="H21" t="s">
        <v>366</v>
      </c>
      <c r="I21">
        <v>2500034092</v>
      </c>
      <c r="J21" t="s">
        <v>50</v>
      </c>
      <c r="K21">
        <v>9000009190</v>
      </c>
      <c r="L21">
        <v>46946</v>
      </c>
      <c r="M21" t="s">
        <v>51</v>
      </c>
      <c r="N21">
        <v>9000037814</v>
      </c>
      <c r="O21" t="s">
        <v>51</v>
      </c>
      <c r="S21">
        <v>2507012387</v>
      </c>
      <c r="T21" t="s">
        <v>50</v>
      </c>
      <c r="U21" t="s">
        <v>122</v>
      </c>
      <c r="V21" t="s">
        <v>176</v>
      </c>
      <c r="W21" t="s">
        <v>177</v>
      </c>
      <c r="X21" t="s">
        <v>152</v>
      </c>
      <c r="Z21">
        <v>101</v>
      </c>
      <c r="AA21" t="s">
        <v>367</v>
      </c>
      <c r="AB21" t="s">
        <v>411</v>
      </c>
      <c r="AC21">
        <v>2604000016</v>
      </c>
      <c r="AE21">
        <v>0</v>
      </c>
      <c r="AF21">
        <v>1</v>
      </c>
      <c r="AG21">
        <v>0</v>
      </c>
      <c r="AH21">
        <v>0.28000000000000003</v>
      </c>
      <c r="AI21" t="s">
        <v>56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 t="s">
        <v>57</v>
      </c>
      <c r="AS21" t="s">
        <v>412</v>
      </c>
      <c r="AT21" t="s">
        <v>412</v>
      </c>
      <c r="AU21" t="s">
        <v>411</v>
      </c>
      <c r="AV21" t="s">
        <v>413</v>
      </c>
      <c r="AW21" t="s">
        <v>414</v>
      </c>
      <c r="AZ21">
        <v>75013</v>
      </c>
      <c r="BA21" t="s">
        <v>65</v>
      </c>
      <c r="BB21" t="s">
        <v>61</v>
      </c>
      <c r="BC21" t="s">
        <v>62</v>
      </c>
    </row>
    <row r="22" spans="1:55" x14ac:dyDescent="0.25">
      <c r="A22" s="1" t="str">
        <f>IF(COUNTIF(Catégories!A:A,X22)=0,"catégorie inconnue",_xlfn.XLOOKUP(X22,Catégories!A:A,Catégories!B:B))</f>
        <v>Frêt</v>
      </c>
      <c r="B22" s="1">
        <f t="shared" si="0"/>
        <v>0</v>
      </c>
      <c r="C22" s="1">
        <f t="shared" si="1"/>
        <v>0</v>
      </c>
      <c r="D22" s="1">
        <f t="shared" si="2"/>
        <v>0</v>
      </c>
      <c r="E22" s="20">
        <f>IF(AH22&lt;&gt;0,ROUNDUP(AH22,0),IF(BB22&lt;&gt;"FR","hors France",IF(AH22&lt;&gt;0,ROUNDUP(AH22,0),_xlfn.XLOOKUP(AJ22,'PA GLS'!B:B,'PA GLS'!A:A))))</f>
        <v>1</v>
      </c>
      <c r="F22">
        <v>2501382993</v>
      </c>
      <c r="G22">
        <v>1030228091</v>
      </c>
      <c r="H22" t="s">
        <v>366</v>
      </c>
      <c r="I22">
        <v>2500034092</v>
      </c>
      <c r="J22" t="s">
        <v>50</v>
      </c>
      <c r="K22">
        <v>9000009190</v>
      </c>
      <c r="L22">
        <v>46946</v>
      </c>
      <c r="M22" t="s">
        <v>51</v>
      </c>
      <c r="N22">
        <v>9000037814</v>
      </c>
      <c r="O22" t="s">
        <v>51</v>
      </c>
      <c r="S22">
        <v>2507012387</v>
      </c>
      <c r="T22" t="s">
        <v>50</v>
      </c>
      <c r="U22" t="s">
        <v>122</v>
      </c>
      <c r="V22" t="s">
        <v>176</v>
      </c>
      <c r="W22" t="s">
        <v>177</v>
      </c>
      <c r="X22" t="s">
        <v>152</v>
      </c>
      <c r="Z22">
        <v>101</v>
      </c>
      <c r="AA22" t="s">
        <v>367</v>
      </c>
      <c r="AB22" t="s">
        <v>415</v>
      </c>
      <c r="AC22">
        <v>2604000017</v>
      </c>
      <c r="AE22">
        <v>0</v>
      </c>
      <c r="AF22">
        <v>1</v>
      </c>
      <c r="AG22">
        <v>0</v>
      </c>
      <c r="AH22">
        <v>0.26</v>
      </c>
      <c r="AI22" t="s">
        <v>56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57</v>
      </c>
      <c r="AS22" t="s">
        <v>416</v>
      </c>
      <c r="AT22" t="s">
        <v>416</v>
      </c>
      <c r="AU22" t="s">
        <v>415</v>
      </c>
      <c r="AV22" t="s">
        <v>417</v>
      </c>
      <c r="AW22" t="s">
        <v>418</v>
      </c>
      <c r="AZ22">
        <v>34110</v>
      </c>
      <c r="BA22" t="s">
        <v>419</v>
      </c>
      <c r="BB22" t="s">
        <v>61</v>
      </c>
      <c r="BC22" t="s">
        <v>62</v>
      </c>
    </row>
    <row r="23" spans="1:55" x14ac:dyDescent="0.25">
      <c r="A23" s="1" t="str">
        <f>IF(COUNTIF(Catégories!A:A,X23)=0,"catégorie inconnue",_xlfn.XLOOKUP(X23,Catégories!A:A,Catégories!B:B))</f>
        <v>Frêt</v>
      </c>
      <c r="B23" s="1">
        <f t="shared" si="0"/>
        <v>6.17</v>
      </c>
      <c r="C23" s="1">
        <f t="shared" si="1"/>
        <v>1.35</v>
      </c>
      <c r="D23" s="1">
        <f t="shared" si="2"/>
        <v>4.82</v>
      </c>
      <c r="E23" s="20">
        <f>IF(AH23&lt;&gt;0,ROUNDUP(AH23,0),IF(BB23&lt;&gt;"FR","hors France",IF(AH23&lt;&gt;0,ROUNDUP(AH23,0),_xlfn.XLOOKUP(AJ23,'PA GLS'!B:B,'PA GLS'!A:A))))</f>
        <v>0.5</v>
      </c>
      <c r="F23">
        <v>2501382993</v>
      </c>
      <c r="G23">
        <v>1030228091</v>
      </c>
      <c r="H23" t="s">
        <v>366</v>
      </c>
      <c r="I23">
        <v>2500034092</v>
      </c>
      <c r="J23" t="s">
        <v>50</v>
      </c>
      <c r="K23">
        <v>9000009190</v>
      </c>
      <c r="L23">
        <v>46946</v>
      </c>
      <c r="M23" t="s">
        <v>51</v>
      </c>
      <c r="N23">
        <v>9000037814</v>
      </c>
      <c r="O23" t="s">
        <v>51</v>
      </c>
      <c r="S23">
        <v>2507012387</v>
      </c>
      <c r="T23" t="s">
        <v>50</v>
      </c>
      <c r="U23" t="s">
        <v>122</v>
      </c>
      <c r="V23" t="s">
        <v>73</v>
      </c>
      <c r="W23" t="s">
        <v>74</v>
      </c>
      <c r="X23" t="s">
        <v>60</v>
      </c>
      <c r="Z23">
        <v>102</v>
      </c>
      <c r="AA23" t="s">
        <v>367</v>
      </c>
      <c r="AB23" t="s">
        <v>409</v>
      </c>
      <c r="AC23">
        <v>2604000015</v>
      </c>
      <c r="AE23">
        <v>0</v>
      </c>
      <c r="AF23">
        <v>0</v>
      </c>
      <c r="AG23">
        <v>0</v>
      </c>
      <c r="AH23">
        <v>0</v>
      </c>
      <c r="AI23" t="s">
        <v>56</v>
      </c>
      <c r="AJ23">
        <v>3.77</v>
      </c>
      <c r="AK23">
        <v>0.9</v>
      </c>
      <c r="AL23">
        <v>0.15</v>
      </c>
      <c r="AM23">
        <v>29.1</v>
      </c>
      <c r="AN23">
        <v>1.35</v>
      </c>
      <c r="AO23">
        <v>0</v>
      </c>
      <c r="AP23">
        <v>0</v>
      </c>
      <c r="AQ23" t="s">
        <v>57</v>
      </c>
      <c r="AS23" t="s">
        <v>410</v>
      </c>
      <c r="AT23" t="s">
        <v>410</v>
      </c>
      <c r="AU23" t="s">
        <v>409</v>
      </c>
      <c r="AV23" t="s">
        <v>355</v>
      </c>
      <c r="AW23" t="s">
        <v>356</v>
      </c>
      <c r="AZ23">
        <v>75013</v>
      </c>
      <c r="BA23" t="s">
        <v>65</v>
      </c>
      <c r="BB23" t="s">
        <v>61</v>
      </c>
      <c r="BC23" t="s">
        <v>62</v>
      </c>
    </row>
    <row r="24" spans="1:55" x14ac:dyDescent="0.25">
      <c r="A24" s="1" t="str">
        <f>IF(COUNTIF(Catégories!A:A,X24)=0,"catégorie inconnue",_xlfn.XLOOKUP(X24,Catégories!A:A,Catégories!B:B))</f>
        <v>Frêt</v>
      </c>
      <c r="B24" s="1">
        <f t="shared" si="0"/>
        <v>6.17</v>
      </c>
      <c r="C24" s="1">
        <f t="shared" si="1"/>
        <v>1.35</v>
      </c>
      <c r="D24" s="1">
        <f t="shared" si="2"/>
        <v>4.82</v>
      </c>
      <c r="E24" s="20">
        <f>IF(AH24&lt;&gt;0,ROUNDUP(AH24,0),IF(BB24&lt;&gt;"FR","hors France",IF(AH24&lt;&gt;0,ROUNDUP(AH24,0),_xlfn.XLOOKUP(AJ24,'PA GLS'!B:B,'PA GLS'!A:A))))</f>
        <v>0.5</v>
      </c>
      <c r="F24">
        <v>2501382993</v>
      </c>
      <c r="G24">
        <v>1030228091</v>
      </c>
      <c r="H24" t="s">
        <v>366</v>
      </c>
      <c r="I24">
        <v>2500034092</v>
      </c>
      <c r="J24" t="s">
        <v>50</v>
      </c>
      <c r="K24">
        <v>9000009190</v>
      </c>
      <c r="L24">
        <v>46946</v>
      </c>
      <c r="M24" t="s">
        <v>51</v>
      </c>
      <c r="N24">
        <v>9000037814</v>
      </c>
      <c r="O24" t="s">
        <v>51</v>
      </c>
      <c r="S24">
        <v>2507012387</v>
      </c>
      <c r="T24" t="s">
        <v>50</v>
      </c>
      <c r="U24" t="s">
        <v>122</v>
      </c>
      <c r="V24" t="s">
        <v>71</v>
      </c>
      <c r="W24" t="s">
        <v>72</v>
      </c>
      <c r="X24" t="s">
        <v>60</v>
      </c>
      <c r="Z24">
        <v>103</v>
      </c>
      <c r="AA24" t="s">
        <v>367</v>
      </c>
      <c r="AB24" t="s">
        <v>411</v>
      </c>
      <c r="AC24">
        <v>2604000016</v>
      </c>
      <c r="AE24">
        <v>0</v>
      </c>
      <c r="AF24">
        <v>0</v>
      </c>
      <c r="AG24">
        <v>0</v>
      </c>
      <c r="AH24">
        <v>0</v>
      </c>
      <c r="AI24" t="s">
        <v>56</v>
      </c>
      <c r="AJ24">
        <v>3.77</v>
      </c>
      <c r="AK24">
        <v>0.9</v>
      </c>
      <c r="AL24">
        <v>0.15</v>
      </c>
      <c r="AM24">
        <v>29.1</v>
      </c>
      <c r="AN24">
        <v>1.35</v>
      </c>
      <c r="AO24">
        <v>0</v>
      </c>
      <c r="AP24">
        <v>0</v>
      </c>
      <c r="AQ24" t="s">
        <v>57</v>
      </c>
      <c r="AS24" t="s">
        <v>412</v>
      </c>
      <c r="AT24" t="s">
        <v>412</v>
      </c>
      <c r="AU24" t="s">
        <v>411</v>
      </c>
      <c r="AV24" t="s">
        <v>413</v>
      </c>
      <c r="AW24" t="s">
        <v>414</v>
      </c>
      <c r="AZ24">
        <v>75013</v>
      </c>
      <c r="BA24" t="s">
        <v>65</v>
      </c>
      <c r="BB24" t="s">
        <v>61</v>
      </c>
      <c r="BC24" t="s">
        <v>62</v>
      </c>
    </row>
    <row r="25" spans="1:55" x14ac:dyDescent="0.25">
      <c r="A25" s="1" t="str">
        <f>IF(COUNTIF(Catégories!A:A,X25)=0,"catégorie inconnue",_xlfn.XLOOKUP(X25,Catégories!A:A,Catégories!B:B))</f>
        <v>Frêt</v>
      </c>
      <c r="B25" s="1">
        <f t="shared" si="0"/>
        <v>6.17</v>
      </c>
      <c r="C25" s="1">
        <f t="shared" si="1"/>
        <v>1.35</v>
      </c>
      <c r="D25" s="1">
        <f t="shared" si="2"/>
        <v>4.82</v>
      </c>
      <c r="E25" s="20">
        <f>IF(AH25&lt;&gt;0,ROUNDUP(AH25,0),IF(BB25&lt;&gt;"FR","hors France",IF(AH25&lt;&gt;0,ROUNDUP(AH25,0),_xlfn.XLOOKUP(AJ25,'PA GLS'!B:B,'PA GLS'!A:A))))</f>
        <v>0.5</v>
      </c>
      <c r="F25">
        <v>2501382993</v>
      </c>
      <c r="G25">
        <v>1030228091</v>
      </c>
      <c r="H25" t="s">
        <v>366</v>
      </c>
      <c r="I25">
        <v>2500034092</v>
      </c>
      <c r="J25" t="s">
        <v>50</v>
      </c>
      <c r="K25">
        <v>9000009190</v>
      </c>
      <c r="L25">
        <v>46946</v>
      </c>
      <c r="M25" t="s">
        <v>51</v>
      </c>
      <c r="N25">
        <v>9000037814</v>
      </c>
      <c r="O25" t="s">
        <v>51</v>
      </c>
      <c r="S25">
        <v>2507012387</v>
      </c>
      <c r="T25" t="s">
        <v>50</v>
      </c>
      <c r="U25" t="s">
        <v>122</v>
      </c>
      <c r="V25" t="s">
        <v>71</v>
      </c>
      <c r="W25" t="s">
        <v>72</v>
      </c>
      <c r="X25" t="s">
        <v>60</v>
      </c>
      <c r="Z25">
        <v>103</v>
      </c>
      <c r="AA25" t="s">
        <v>367</v>
      </c>
      <c r="AB25" t="s">
        <v>415</v>
      </c>
      <c r="AC25">
        <v>2604000017</v>
      </c>
      <c r="AE25">
        <v>0</v>
      </c>
      <c r="AF25">
        <v>0</v>
      </c>
      <c r="AG25">
        <v>0</v>
      </c>
      <c r="AH25">
        <v>0</v>
      </c>
      <c r="AI25" t="s">
        <v>56</v>
      </c>
      <c r="AJ25">
        <v>3.77</v>
      </c>
      <c r="AK25">
        <v>0.9</v>
      </c>
      <c r="AL25">
        <v>0.15</v>
      </c>
      <c r="AM25">
        <v>29.1</v>
      </c>
      <c r="AN25">
        <v>1.35</v>
      </c>
      <c r="AO25">
        <v>0</v>
      </c>
      <c r="AP25">
        <v>0</v>
      </c>
      <c r="AQ25" t="s">
        <v>57</v>
      </c>
      <c r="AS25" t="s">
        <v>416</v>
      </c>
      <c r="AT25" t="s">
        <v>416</v>
      </c>
      <c r="AU25" t="s">
        <v>415</v>
      </c>
      <c r="AV25" t="s">
        <v>417</v>
      </c>
      <c r="AW25" t="s">
        <v>418</v>
      </c>
      <c r="AZ25">
        <v>34110</v>
      </c>
      <c r="BA25" t="s">
        <v>419</v>
      </c>
      <c r="BB25" t="s">
        <v>61</v>
      </c>
      <c r="BC25" t="s">
        <v>62</v>
      </c>
    </row>
    <row r="26" spans="1:55" x14ac:dyDescent="0.25">
      <c r="A26" s="1" t="str">
        <f>IF(COUNTIF(Catégories!A:A,X26)=0,"catégorie inconnue",_xlfn.XLOOKUP(X26,Catégories!A:A,Catégories!B:B))</f>
        <v>Frêt - avisé</v>
      </c>
      <c r="B26" s="1">
        <f t="shared" si="0"/>
        <v>0</v>
      </c>
      <c r="C26" s="1">
        <f t="shared" si="1"/>
        <v>0</v>
      </c>
      <c r="D26" s="1">
        <f t="shared" si="2"/>
        <v>0</v>
      </c>
      <c r="E26" s="20" t="e">
        <f>IF(AH26&lt;&gt;0,ROUNDUP(AH26,0),IF(BB26&lt;&gt;"FR","hors France",IF(AH26&lt;&gt;0,ROUNDUP(AH26,0),_xlfn.XLOOKUP(AJ26,'PA GLS'!B:B,'PA GLS'!A:A))))</f>
        <v>#N/A</v>
      </c>
      <c r="F26">
        <v>2501382993</v>
      </c>
      <c r="G26">
        <v>1030228091</v>
      </c>
      <c r="H26" t="s">
        <v>366</v>
      </c>
      <c r="I26">
        <v>2500034092</v>
      </c>
      <c r="J26" t="s">
        <v>50</v>
      </c>
      <c r="K26">
        <v>9000009190</v>
      </c>
      <c r="L26">
        <v>46946</v>
      </c>
      <c r="M26" t="s">
        <v>51</v>
      </c>
      <c r="N26">
        <v>9000037814</v>
      </c>
      <c r="O26" t="s">
        <v>51</v>
      </c>
      <c r="S26">
        <v>2507012387</v>
      </c>
      <c r="T26" t="s">
        <v>50</v>
      </c>
      <c r="U26" t="s">
        <v>122</v>
      </c>
      <c r="V26" t="s">
        <v>178</v>
      </c>
      <c r="W26" t="s">
        <v>179</v>
      </c>
      <c r="X26" t="s">
        <v>79</v>
      </c>
      <c r="Z26">
        <v>104</v>
      </c>
      <c r="AA26" t="s">
        <v>367</v>
      </c>
      <c r="AB26" t="s">
        <v>361</v>
      </c>
      <c r="AC26">
        <v>2604000012</v>
      </c>
      <c r="AE26">
        <v>0</v>
      </c>
      <c r="AF26">
        <v>0</v>
      </c>
      <c r="AG26">
        <v>0</v>
      </c>
      <c r="AH26">
        <v>0</v>
      </c>
      <c r="AI26" t="s">
        <v>56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57</v>
      </c>
      <c r="AS26" t="s">
        <v>362</v>
      </c>
      <c r="AT26" t="s">
        <v>362</v>
      </c>
      <c r="AU26" t="s">
        <v>361</v>
      </c>
      <c r="AV26" t="s">
        <v>363</v>
      </c>
      <c r="AW26" t="s">
        <v>364</v>
      </c>
      <c r="AZ26">
        <v>78330</v>
      </c>
      <c r="BA26" t="s">
        <v>365</v>
      </c>
      <c r="BB26" t="s">
        <v>61</v>
      </c>
      <c r="BC26" t="s">
        <v>62</v>
      </c>
    </row>
    <row r="27" spans="1:55" x14ac:dyDescent="0.25">
      <c r="A27" s="1" t="str">
        <f>IF(COUNTIF(Catégories!A:A,X27)=0,"catégorie inconnue",_xlfn.XLOOKUP(X27,Catégories!A:A,Catégories!B:B))</f>
        <v>Frêt</v>
      </c>
      <c r="B27" s="1">
        <f t="shared" si="0"/>
        <v>6.17</v>
      </c>
      <c r="C27" s="1">
        <f t="shared" si="1"/>
        <v>1.35</v>
      </c>
      <c r="D27" s="1">
        <f t="shared" si="2"/>
        <v>4.82</v>
      </c>
      <c r="E27" s="20">
        <f>IF(AH27&lt;&gt;0,ROUNDUP(AH27,0),IF(BB27&lt;&gt;"FR","hors France",IF(AH27&lt;&gt;0,ROUNDUP(AH27,0),_xlfn.XLOOKUP(AJ27,'PA GLS'!B:B,'PA GLS'!A:A))))</f>
        <v>0.5</v>
      </c>
      <c r="F27">
        <v>2501382993</v>
      </c>
      <c r="G27">
        <v>1030230689</v>
      </c>
      <c r="H27" t="s">
        <v>366</v>
      </c>
      <c r="I27">
        <v>2500034092</v>
      </c>
      <c r="J27" t="s">
        <v>50</v>
      </c>
      <c r="K27">
        <v>9000009190</v>
      </c>
      <c r="L27">
        <v>46946</v>
      </c>
      <c r="M27" t="s">
        <v>51</v>
      </c>
      <c r="N27">
        <v>9000079829</v>
      </c>
      <c r="O27" t="s">
        <v>156</v>
      </c>
      <c r="S27">
        <v>2507012387</v>
      </c>
      <c r="T27" t="s">
        <v>50</v>
      </c>
      <c r="U27" t="s">
        <v>122</v>
      </c>
      <c r="V27" t="s">
        <v>71</v>
      </c>
      <c r="W27" t="s">
        <v>72</v>
      </c>
      <c r="X27" t="s">
        <v>60</v>
      </c>
      <c r="Z27">
        <v>110</v>
      </c>
      <c r="AA27" t="s">
        <v>420</v>
      </c>
      <c r="AB27" t="s">
        <v>421</v>
      </c>
      <c r="AC27">
        <v>6699599</v>
      </c>
      <c r="AE27">
        <v>0</v>
      </c>
      <c r="AF27">
        <v>0</v>
      </c>
      <c r="AG27">
        <v>0</v>
      </c>
      <c r="AH27">
        <v>0</v>
      </c>
      <c r="AI27" t="s">
        <v>56</v>
      </c>
      <c r="AJ27">
        <v>3.77</v>
      </c>
      <c r="AK27">
        <v>0.9</v>
      </c>
      <c r="AL27">
        <v>0.15</v>
      </c>
      <c r="AM27">
        <v>29.1</v>
      </c>
      <c r="AN27">
        <v>1.35</v>
      </c>
      <c r="AO27">
        <v>0</v>
      </c>
      <c r="AP27">
        <v>0</v>
      </c>
      <c r="AQ27" t="s">
        <v>57</v>
      </c>
      <c r="AS27" t="s">
        <v>422</v>
      </c>
      <c r="AU27" t="s">
        <v>421</v>
      </c>
      <c r="AV27" t="s">
        <v>423</v>
      </c>
      <c r="AW27" t="s">
        <v>424</v>
      </c>
      <c r="AZ27">
        <v>75014</v>
      </c>
      <c r="BA27" t="s">
        <v>65</v>
      </c>
      <c r="BB27" t="s">
        <v>61</v>
      </c>
      <c r="BC27" t="s">
        <v>62</v>
      </c>
    </row>
    <row r="28" spans="1:55" x14ac:dyDescent="0.25">
      <c r="A28" s="1" t="str">
        <f>IF(COUNTIF(Catégories!A:A,X28)=0,"catégorie inconnue",_xlfn.XLOOKUP(X28,Catégories!A:A,Catégories!B:B))</f>
        <v>Frêt</v>
      </c>
      <c r="B28" s="1">
        <f t="shared" si="0"/>
        <v>0</v>
      </c>
      <c r="C28" s="1">
        <f t="shared" si="1"/>
        <v>0</v>
      </c>
      <c r="D28" s="1">
        <f t="shared" si="2"/>
        <v>0</v>
      </c>
      <c r="E28" s="20">
        <f>IF(AH28&lt;&gt;0,ROUNDUP(AH28,0),IF(BB28&lt;&gt;"FR","hors France",IF(AH28&lt;&gt;0,ROUNDUP(AH28,0),_xlfn.XLOOKUP(AJ28,'PA GLS'!B:B,'PA GLS'!A:A))))</f>
        <v>1</v>
      </c>
      <c r="F28">
        <v>2501382993</v>
      </c>
      <c r="G28">
        <v>1030230689</v>
      </c>
      <c r="H28" t="s">
        <v>366</v>
      </c>
      <c r="I28">
        <v>2500034092</v>
      </c>
      <c r="J28" t="s">
        <v>50</v>
      </c>
      <c r="K28">
        <v>9000009190</v>
      </c>
      <c r="L28">
        <v>46946</v>
      </c>
      <c r="M28" t="s">
        <v>51</v>
      </c>
      <c r="N28">
        <v>9000079829</v>
      </c>
      <c r="O28" t="s">
        <v>156</v>
      </c>
      <c r="S28">
        <v>2507012387</v>
      </c>
      <c r="T28" t="s">
        <v>50</v>
      </c>
      <c r="U28" t="s">
        <v>122</v>
      </c>
      <c r="V28" t="s">
        <v>176</v>
      </c>
      <c r="W28" t="s">
        <v>177</v>
      </c>
      <c r="X28" t="s">
        <v>152</v>
      </c>
      <c r="Z28">
        <v>109</v>
      </c>
      <c r="AA28" t="s">
        <v>420</v>
      </c>
      <c r="AB28" t="s">
        <v>425</v>
      </c>
      <c r="AC28">
        <v>6699902</v>
      </c>
      <c r="AE28">
        <v>0</v>
      </c>
      <c r="AF28">
        <v>1</v>
      </c>
      <c r="AG28">
        <v>0</v>
      </c>
      <c r="AH28">
        <v>0.4</v>
      </c>
      <c r="AI28" t="s">
        <v>56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">
        <v>57</v>
      </c>
      <c r="AS28" t="s">
        <v>426</v>
      </c>
      <c r="AU28" t="s">
        <v>425</v>
      </c>
      <c r="AV28" t="s">
        <v>427</v>
      </c>
      <c r="AW28" t="s">
        <v>428</v>
      </c>
      <c r="AZ28">
        <v>71640</v>
      </c>
      <c r="BA28" t="s">
        <v>429</v>
      </c>
      <c r="BB28" t="s">
        <v>61</v>
      </c>
      <c r="BC28" t="s">
        <v>62</v>
      </c>
    </row>
    <row r="29" spans="1:55" x14ac:dyDescent="0.25">
      <c r="A29" s="1" t="str">
        <f>IF(COUNTIF(Catégories!A:A,X29)=0,"catégorie inconnue",_xlfn.XLOOKUP(X29,Catégories!A:A,Catégories!B:B))</f>
        <v>Frêt</v>
      </c>
      <c r="B29" s="1">
        <f t="shared" si="0"/>
        <v>0</v>
      </c>
      <c r="C29" s="1">
        <f t="shared" si="1"/>
        <v>0</v>
      </c>
      <c r="D29" s="1">
        <f t="shared" si="2"/>
        <v>0</v>
      </c>
      <c r="E29" s="20">
        <f>IF(AH29&lt;&gt;0,ROUNDUP(AH29,0),IF(BB29&lt;&gt;"FR","hors France",IF(AH29&lt;&gt;0,ROUNDUP(AH29,0),_xlfn.XLOOKUP(AJ29,'PA GLS'!B:B,'PA GLS'!A:A))))</f>
        <v>1</v>
      </c>
      <c r="F29">
        <v>2501382993</v>
      </c>
      <c r="G29">
        <v>1030230689</v>
      </c>
      <c r="H29" t="s">
        <v>366</v>
      </c>
      <c r="I29">
        <v>2500034092</v>
      </c>
      <c r="J29" t="s">
        <v>50</v>
      </c>
      <c r="K29">
        <v>9000009190</v>
      </c>
      <c r="L29">
        <v>46946</v>
      </c>
      <c r="M29" t="s">
        <v>51</v>
      </c>
      <c r="N29">
        <v>9000079829</v>
      </c>
      <c r="O29" t="s">
        <v>156</v>
      </c>
      <c r="S29">
        <v>2507012387</v>
      </c>
      <c r="T29" t="s">
        <v>50</v>
      </c>
      <c r="U29" t="s">
        <v>122</v>
      </c>
      <c r="V29" t="s">
        <v>176</v>
      </c>
      <c r="W29" t="s">
        <v>177</v>
      </c>
      <c r="X29" t="s">
        <v>152</v>
      </c>
      <c r="Z29">
        <v>109</v>
      </c>
      <c r="AA29" t="s">
        <v>420</v>
      </c>
      <c r="AB29" t="s">
        <v>421</v>
      </c>
      <c r="AC29">
        <v>6699599</v>
      </c>
      <c r="AE29">
        <v>0</v>
      </c>
      <c r="AF29">
        <v>1</v>
      </c>
      <c r="AG29">
        <v>0</v>
      </c>
      <c r="AH29">
        <v>0.38</v>
      </c>
      <c r="AI29" t="s">
        <v>56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57</v>
      </c>
      <c r="AS29" t="s">
        <v>422</v>
      </c>
      <c r="AU29" t="s">
        <v>421</v>
      </c>
      <c r="AV29" t="s">
        <v>423</v>
      </c>
      <c r="AW29" t="s">
        <v>424</v>
      </c>
      <c r="AZ29">
        <v>75014</v>
      </c>
      <c r="BA29" t="s">
        <v>65</v>
      </c>
      <c r="BB29" t="s">
        <v>61</v>
      </c>
      <c r="BC29" t="s">
        <v>62</v>
      </c>
    </row>
    <row r="30" spans="1:55" x14ac:dyDescent="0.25">
      <c r="A30" s="1" t="str">
        <f>IF(COUNTIF(Catégories!A:A,X30)=0,"catégorie inconnue",_xlfn.XLOOKUP(X30,Catégories!A:A,Catégories!B:B))</f>
        <v>Frêt</v>
      </c>
      <c r="B30" s="1">
        <f t="shared" si="0"/>
        <v>7.0100000000000007</v>
      </c>
      <c r="C30" s="1">
        <f t="shared" si="1"/>
        <v>1.54</v>
      </c>
      <c r="D30" s="1">
        <f t="shared" si="2"/>
        <v>5.4700000000000006</v>
      </c>
      <c r="E30" s="20">
        <f>IF(AH30&lt;&gt;0,ROUNDUP(AH30,0),IF(BB30&lt;&gt;"FR","hors France",IF(AH30&lt;&gt;0,ROUNDUP(AH30,0),_xlfn.XLOOKUP(AJ30,'PA GLS'!B:B,'PA GLS'!A:A))))</f>
        <v>2</v>
      </c>
      <c r="F30">
        <v>2501382993</v>
      </c>
      <c r="G30">
        <v>1030219781</v>
      </c>
      <c r="H30" t="s">
        <v>366</v>
      </c>
      <c r="I30">
        <v>2500034092</v>
      </c>
      <c r="J30" t="s">
        <v>50</v>
      </c>
      <c r="K30">
        <v>9000009190</v>
      </c>
      <c r="L30">
        <v>46946</v>
      </c>
      <c r="M30" t="s">
        <v>51</v>
      </c>
      <c r="N30">
        <v>9000079830</v>
      </c>
      <c r="O30" t="s">
        <v>187</v>
      </c>
      <c r="S30">
        <v>2507012387</v>
      </c>
      <c r="T30" t="s">
        <v>50</v>
      </c>
      <c r="U30" t="s">
        <v>122</v>
      </c>
      <c r="V30" t="s">
        <v>63</v>
      </c>
      <c r="W30" t="s">
        <v>64</v>
      </c>
      <c r="X30" t="s">
        <v>60</v>
      </c>
      <c r="Z30">
        <v>44</v>
      </c>
      <c r="AA30" t="s">
        <v>420</v>
      </c>
      <c r="AB30" t="s">
        <v>430</v>
      </c>
      <c r="AC30">
        <v>2604000035</v>
      </c>
      <c r="AE30">
        <v>0</v>
      </c>
      <c r="AF30">
        <v>0</v>
      </c>
      <c r="AG30">
        <v>0</v>
      </c>
      <c r="AH30">
        <v>0</v>
      </c>
      <c r="AI30" t="s">
        <v>56</v>
      </c>
      <c r="AJ30">
        <v>4.42</v>
      </c>
      <c r="AK30">
        <v>0.9</v>
      </c>
      <c r="AL30">
        <v>0.15</v>
      </c>
      <c r="AM30">
        <v>29.1</v>
      </c>
      <c r="AN30">
        <v>1.54</v>
      </c>
      <c r="AO30">
        <v>0</v>
      </c>
      <c r="AP30">
        <v>0</v>
      </c>
      <c r="AQ30" t="s">
        <v>57</v>
      </c>
      <c r="AS30" t="s">
        <v>431</v>
      </c>
      <c r="AT30" t="s">
        <v>431</v>
      </c>
      <c r="AU30" t="s">
        <v>430</v>
      </c>
      <c r="AV30" t="s">
        <v>432</v>
      </c>
      <c r="AW30" t="s">
        <v>433</v>
      </c>
      <c r="AZ30">
        <v>74140</v>
      </c>
      <c r="BA30" t="s">
        <v>434</v>
      </c>
      <c r="BB30" t="s">
        <v>61</v>
      </c>
      <c r="BC30" t="s">
        <v>62</v>
      </c>
    </row>
    <row r="31" spans="1:55" x14ac:dyDescent="0.25">
      <c r="A31" s="1" t="str">
        <f>IF(COUNTIF(Catégories!A:A,X31)=0,"catégorie inconnue",_xlfn.XLOOKUP(X31,Catégories!A:A,Catégories!B:B))</f>
        <v>Frêt</v>
      </c>
      <c r="B31" s="1">
        <f t="shared" si="0"/>
        <v>7.0100000000000007</v>
      </c>
      <c r="C31" s="1">
        <f t="shared" si="1"/>
        <v>1.54</v>
      </c>
      <c r="D31" s="1">
        <f t="shared" si="2"/>
        <v>5.4700000000000006</v>
      </c>
      <c r="E31" s="20">
        <f>IF(AH31&lt;&gt;0,ROUNDUP(AH31,0),IF(BB31&lt;&gt;"FR","hors France",IF(AH31&lt;&gt;0,ROUNDUP(AH31,0),_xlfn.XLOOKUP(AJ31,'PA GLS'!B:B,'PA GLS'!A:A))))</f>
        <v>2</v>
      </c>
      <c r="F31">
        <v>2501382993</v>
      </c>
      <c r="G31">
        <v>1030219781</v>
      </c>
      <c r="H31" t="s">
        <v>366</v>
      </c>
      <c r="I31">
        <v>2500034092</v>
      </c>
      <c r="J31" t="s">
        <v>50</v>
      </c>
      <c r="K31">
        <v>9000009190</v>
      </c>
      <c r="L31">
        <v>46946</v>
      </c>
      <c r="M31" t="s">
        <v>51</v>
      </c>
      <c r="N31">
        <v>9000079830</v>
      </c>
      <c r="O31" t="s">
        <v>187</v>
      </c>
      <c r="S31">
        <v>2507012387</v>
      </c>
      <c r="T31" t="s">
        <v>50</v>
      </c>
      <c r="U31" t="s">
        <v>122</v>
      </c>
      <c r="V31" t="s">
        <v>63</v>
      </c>
      <c r="W31" t="s">
        <v>64</v>
      </c>
      <c r="X31" t="s">
        <v>60</v>
      </c>
      <c r="Z31">
        <v>44</v>
      </c>
      <c r="AA31" t="s">
        <v>420</v>
      </c>
      <c r="AB31" t="s">
        <v>435</v>
      </c>
      <c r="AC31">
        <v>2604000033</v>
      </c>
      <c r="AE31">
        <v>0</v>
      </c>
      <c r="AF31">
        <v>0</v>
      </c>
      <c r="AG31">
        <v>0</v>
      </c>
      <c r="AH31">
        <v>0</v>
      </c>
      <c r="AI31" t="s">
        <v>56</v>
      </c>
      <c r="AJ31">
        <v>4.42</v>
      </c>
      <c r="AK31">
        <v>0.9</v>
      </c>
      <c r="AL31">
        <v>0.15</v>
      </c>
      <c r="AM31">
        <v>29.1</v>
      </c>
      <c r="AN31">
        <v>1.54</v>
      </c>
      <c r="AO31">
        <v>0</v>
      </c>
      <c r="AP31">
        <v>0</v>
      </c>
      <c r="AQ31" t="s">
        <v>57</v>
      </c>
      <c r="AS31" t="s">
        <v>436</v>
      </c>
      <c r="AT31" t="s">
        <v>436</v>
      </c>
      <c r="AU31" t="s">
        <v>435</v>
      </c>
      <c r="AV31" t="s">
        <v>437</v>
      </c>
      <c r="AW31" t="s">
        <v>438</v>
      </c>
      <c r="AZ31">
        <v>35510</v>
      </c>
      <c r="BA31" t="s">
        <v>439</v>
      </c>
      <c r="BB31" t="s">
        <v>61</v>
      </c>
      <c r="BC31" t="s">
        <v>62</v>
      </c>
    </row>
    <row r="32" spans="1:55" x14ac:dyDescent="0.25">
      <c r="A32" s="1" t="str">
        <f>IF(COUNTIF(Catégories!A:A,X32)=0,"catégorie inconnue",_xlfn.XLOOKUP(X32,Catégories!A:A,Catégories!B:B))</f>
        <v>Frêt</v>
      </c>
      <c r="B32" s="1">
        <f t="shared" si="0"/>
        <v>6.6000000000000005</v>
      </c>
      <c r="C32" s="1">
        <f t="shared" si="1"/>
        <v>1.45</v>
      </c>
      <c r="D32" s="1">
        <f t="shared" si="2"/>
        <v>5.15</v>
      </c>
      <c r="E32" s="20">
        <f>IF(AH32&lt;&gt;0,ROUNDUP(AH32,0),IF(BB32&lt;&gt;"FR","hors France",IF(AH32&lt;&gt;0,ROUNDUP(AH32,0),_xlfn.XLOOKUP(AJ32,'PA GLS'!B:B,'PA GLS'!A:A))))</f>
        <v>1</v>
      </c>
      <c r="F32">
        <v>2501382993</v>
      </c>
      <c r="G32">
        <v>1030219781</v>
      </c>
      <c r="H32" t="s">
        <v>366</v>
      </c>
      <c r="I32">
        <v>2500034092</v>
      </c>
      <c r="J32" t="s">
        <v>50</v>
      </c>
      <c r="K32">
        <v>9000009190</v>
      </c>
      <c r="L32">
        <v>46946</v>
      </c>
      <c r="M32" t="s">
        <v>51</v>
      </c>
      <c r="N32">
        <v>9000079830</v>
      </c>
      <c r="O32" t="s">
        <v>187</v>
      </c>
      <c r="S32">
        <v>2507012387</v>
      </c>
      <c r="T32" t="s">
        <v>50</v>
      </c>
      <c r="U32" t="s">
        <v>122</v>
      </c>
      <c r="V32" t="s">
        <v>66</v>
      </c>
      <c r="W32" t="s">
        <v>67</v>
      </c>
      <c r="X32" t="s">
        <v>60</v>
      </c>
      <c r="Z32">
        <v>43</v>
      </c>
      <c r="AA32" t="s">
        <v>420</v>
      </c>
      <c r="AB32" t="s">
        <v>440</v>
      </c>
      <c r="AC32">
        <v>2604000053</v>
      </c>
      <c r="AE32">
        <v>0</v>
      </c>
      <c r="AF32">
        <v>0</v>
      </c>
      <c r="AG32">
        <v>0</v>
      </c>
      <c r="AH32">
        <v>0</v>
      </c>
      <c r="AI32" t="s">
        <v>56</v>
      </c>
      <c r="AJ32">
        <v>4.0999999999999996</v>
      </c>
      <c r="AK32">
        <v>0.9</v>
      </c>
      <c r="AL32">
        <v>0.15</v>
      </c>
      <c r="AM32">
        <v>29.1</v>
      </c>
      <c r="AN32">
        <v>1.45</v>
      </c>
      <c r="AO32">
        <v>0</v>
      </c>
      <c r="AP32">
        <v>0</v>
      </c>
      <c r="AQ32" t="s">
        <v>57</v>
      </c>
      <c r="AS32" t="s">
        <v>441</v>
      </c>
      <c r="AT32" t="s">
        <v>441</v>
      </c>
      <c r="AU32" t="s">
        <v>440</v>
      </c>
      <c r="AV32" t="s">
        <v>442</v>
      </c>
      <c r="AW32" t="s">
        <v>443</v>
      </c>
      <c r="AZ32">
        <v>13090</v>
      </c>
      <c r="BA32" t="s">
        <v>235</v>
      </c>
      <c r="BB32" t="s">
        <v>61</v>
      </c>
      <c r="BC32" t="s">
        <v>62</v>
      </c>
    </row>
    <row r="33" spans="1:55" x14ac:dyDescent="0.25">
      <c r="A33" s="1" t="str">
        <f>IF(COUNTIF(Catégories!A:A,X33)=0,"catégorie inconnue",_xlfn.XLOOKUP(X33,Catégories!A:A,Catégories!B:B))</f>
        <v>Frêt</v>
      </c>
      <c r="B33" s="1">
        <f t="shared" si="0"/>
        <v>6.6000000000000005</v>
      </c>
      <c r="C33" s="1">
        <f t="shared" si="1"/>
        <v>1.45</v>
      </c>
      <c r="D33" s="1">
        <f t="shared" si="2"/>
        <v>5.15</v>
      </c>
      <c r="E33" s="20">
        <f>IF(AH33&lt;&gt;0,ROUNDUP(AH33,0),IF(BB33&lt;&gt;"FR","hors France",IF(AH33&lt;&gt;0,ROUNDUP(AH33,0),_xlfn.XLOOKUP(AJ33,'PA GLS'!B:B,'PA GLS'!A:A))))</f>
        <v>1</v>
      </c>
      <c r="F33">
        <v>2501382993</v>
      </c>
      <c r="G33">
        <v>1030219781</v>
      </c>
      <c r="H33" t="s">
        <v>366</v>
      </c>
      <c r="I33">
        <v>2500034092</v>
      </c>
      <c r="J33" t="s">
        <v>50</v>
      </c>
      <c r="K33">
        <v>9000009190</v>
      </c>
      <c r="L33">
        <v>46946</v>
      </c>
      <c r="M33" t="s">
        <v>51</v>
      </c>
      <c r="N33">
        <v>9000079830</v>
      </c>
      <c r="O33" t="s">
        <v>187</v>
      </c>
      <c r="S33">
        <v>2507012387</v>
      </c>
      <c r="T33" t="s">
        <v>50</v>
      </c>
      <c r="U33" t="s">
        <v>122</v>
      </c>
      <c r="V33" t="s">
        <v>66</v>
      </c>
      <c r="W33" t="s">
        <v>67</v>
      </c>
      <c r="X33" t="s">
        <v>60</v>
      </c>
      <c r="Z33">
        <v>43</v>
      </c>
      <c r="AA33" t="s">
        <v>420</v>
      </c>
      <c r="AB33" t="s">
        <v>444</v>
      </c>
      <c r="AC33">
        <v>2604000040</v>
      </c>
      <c r="AE33">
        <v>0</v>
      </c>
      <c r="AF33">
        <v>0</v>
      </c>
      <c r="AG33">
        <v>0</v>
      </c>
      <c r="AH33">
        <v>0</v>
      </c>
      <c r="AI33" t="s">
        <v>56</v>
      </c>
      <c r="AJ33">
        <v>4.0999999999999996</v>
      </c>
      <c r="AK33">
        <v>0.9</v>
      </c>
      <c r="AL33">
        <v>0.15</v>
      </c>
      <c r="AM33">
        <v>29.1</v>
      </c>
      <c r="AN33">
        <v>1.45</v>
      </c>
      <c r="AO33">
        <v>0</v>
      </c>
      <c r="AP33">
        <v>0</v>
      </c>
      <c r="AQ33" t="s">
        <v>57</v>
      </c>
      <c r="AS33" t="s">
        <v>445</v>
      </c>
      <c r="AT33" t="s">
        <v>445</v>
      </c>
      <c r="AU33" t="s">
        <v>444</v>
      </c>
      <c r="AV33" t="s">
        <v>446</v>
      </c>
      <c r="AW33" t="s">
        <v>447</v>
      </c>
      <c r="AZ33">
        <v>83990</v>
      </c>
      <c r="BA33" t="s">
        <v>448</v>
      </c>
      <c r="BB33" t="s">
        <v>61</v>
      </c>
      <c r="BC33" t="s">
        <v>62</v>
      </c>
    </row>
    <row r="34" spans="1:55" x14ac:dyDescent="0.25">
      <c r="A34" s="1" t="str">
        <f>IF(COUNTIF(Catégories!A:A,X34)=0,"catégorie inconnue",_xlfn.XLOOKUP(X34,Catégories!A:A,Catégories!B:B))</f>
        <v>Frêt</v>
      </c>
      <c r="B34" s="1">
        <f t="shared" si="0"/>
        <v>6.17</v>
      </c>
      <c r="C34" s="1">
        <f t="shared" si="1"/>
        <v>1.35</v>
      </c>
      <c r="D34" s="1">
        <f t="shared" si="2"/>
        <v>4.82</v>
      </c>
      <c r="E34" s="20">
        <f>IF(AH34&lt;&gt;0,ROUNDUP(AH34,0),IF(BB34&lt;&gt;"FR","hors France",IF(AH34&lt;&gt;0,ROUNDUP(AH34,0),_xlfn.XLOOKUP(AJ34,'PA GLS'!B:B,'PA GLS'!A:A))))</f>
        <v>0.5</v>
      </c>
      <c r="F34">
        <v>2501382993</v>
      </c>
      <c r="G34">
        <v>1030219781</v>
      </c>
      <c r="H34" t="s">
        <v>366</v>
      </c>
      <c r="I34">
        <v>2500034092</v>
      </c>
      <c r="J34" t="s">
        <v>50</v>
      </c>
      <c r="K34">
        <v>9000009190</v>
      </c>
      <c r="L34">
        <v>46946</v>
      </c>
      <c r="M34" t="s">
        <v>51</v>
      </c>
      <c r="N34">
        <v>9000079830</v>
      </c>
      <c r="O34" t="s">
        <v>187</v>
      </c>
      <c r="S34">
        <v>2507012387</v>
      </c>
      <c r="T34" t="s">
        <v>50</v>
      </c>
      <c r="U34" t="s">
        <v>122</v>
      </c>
      <c r="V34" t="s">
        <v>71</v>
      </c>
      <c r="W34" t="s">
        <v>72</v>
      </c>
      <c r="X34" t="s">
        <v>60</v>
      </c>
      <c r="Z34">
        <v>42</v>
      </c>
      <c r="AA34" t="s">
        <v>420</v>
      </c>
      <c r="AB34" t="s">
        <v>449</v>
      </c>
      <c r="AC34">
        <v>2604000049</v>
      </c>
      <c r="AE34">
        <v>0</v>
      </c>
      <c r="AF34">
        <v>0</v>
      </c>
      <c r="AG34">
        <v>0</v>
      </c>
      <c r="AH34">
        <v>0</v>
      </c>
      <c r="AI34" t="s">
        <v>56</v>
      </c>
      <c r="AJ34">
        <v>3.77</v>
      </c>
      <c r="AK34">
        <v>0.9</v>
      </c>
      <c r="AL34">
        <v>0.15</v>
      </c>
      <c r="AM34">
        <v>29.1</v>
      </c>
      <c r="AN34">
        <v>1.35</v>
      </c>
      <c r="AO34">
        <v>0</v>
      </c>
      <c r="AP34">
        <v>0</v>
      </c>
      <c r="AQ34" t="s">
        <v>57</v>
      </c>
      <c r="AS34" t="s">
        <v>450</v>
      </c>
      <c r="AT34" t="s">
        <v>450</v>
      </c>
      <c r="AU34" t="s">
        <v>449</v>
      </c>
      <c r="AV34" t="s">
        <v>451</v>
      </c>
      <c r="AW34" t="s">
        <v>452</v>
      </c>
      <c r="AZ34">
        <v>85220</v>
      </c>
      <c r="BA34" t="s">
        <v>453</v>
      </c>
      <c r="BB34" t="s">
        <v>61</v>
      </c>
      <c r="BC34" t="s">
        <v>62</v>
      </c>
    </row>
    <row r="35" spans="1:55" x14ac:dyDescent="0.25">
      <c r="A35" s="1" t="str">
        <f>IF(COUNTIF(Catégories!A:A,X35)=0,"catégorie inconnue",_xlfn.XLOOKUP(X35,Catégories!A:A,Catégories!B:B))</f>
        <v>Frêt</v>
      </c>
      <c r="B35" s="1">
        <f t="shared" si="0"/>
        <v>6.17</v>
      </c>
      <c r="C35" s="1">
        <f t="shared" si="1"/>
        <v>1.35</v>
      </c>
      <c r="D35" s="1">
        <f t="shared" si="2"/>
        <v>4.82</v>
      </c>
      <c r="E35" s="20">
        <f>IF(AH35&lt;&gt;0,ROUNDUP(AH35,0),IF(BB35&lt;&gt;"FR","hors France",IF(AH35&lt;&gt;0,ROUNDUP(AH35,0),_xlfn.XLOOKUP(AJ35,'PA GLS'!B:B,'PA GLS'!A:A))))</f>
        <v>0.5</v>
      </c>
      <c r="F35">
        <v>2501382993</v>
      </c>
      <c r="G35">
        <v>1030219781</v>
      </c>
      <c r="H35" t="s">
        <v>366</v>
      </c>
      <c r="I35">
        <v>2500034092</v>
      </c>
      <c r="J35" t="s">
        <v>50</v>
      </c>
      <c r="K35">
        <v>9000009190</v>
      </c>
      <c r="L35">
        <v>46946</v>
      </c>
      <c r="M35" t="s">
        <v>51</v>
      </c>
      <c r="N35">
        <v>9000079830</v>
      </c>
      <c r="O35" t="s">
        <v>187</v>
      </c>
      <c r="S35">
        <v>2507012387</v>
      </c>
      <c r="T35" t="s">
        <v>50</v>
      </c>
      <c r="U35" t="s">
        <v>122</v>
      </c>
      <c r="V35" t="s">
        <v>71</v>
      </c>
      <c r="W35" t="s">
        <v>72</v>
      </c>
      <c r="X35" t="s">
        <v>60</v>
      </c>
      <c r="Z35">
        <v>42</v>
      </c>
      <c r="AA35" t="s">
        <v>420</v>
      </c>
      <c r="AB35" t="s">
        <v>454</v>
      </c>
      <c r="AC35">
        <v>2604000048</v>
      </c>
      <c r="AE35">
        <v>0</v>
      </c>
      <c r="AF35">
        <v>0</v>
      </c>
      <c r="AG35">
        <v>0</v>
      </c>
      <c r="AH35">
        <v>0</v>
      </c>
      <c r="AI35" t="s">
        <v>56</v>
      </c>
      <c r="AJ35">
        <v>3.77</v>
      </c>
      <c r="AK35">
        <v>0.9</v>
      </c>
      <c r="AL35">
        <v>0.15</v>
      </c>
      <c r="AM35">
        <v>29.1</v>
      </c>
      <c r="AN35">
        <v>1.35</v>
      </c>
      <c r="AO35">
        <v>0</v>
      </c>
      <c r="AP35">
        <v>0</v>
      </c>
      <c r="AQ35" t="s">
        <v>57</v>
      </c>
      <c r="AS35" t="s">
        <v>455</v>
      </c>
      <c r="AT35" t="s">
        <v>455</v>
      </c>
      <c r="AU35" t="s">
        <v>454</v>
      </c>
      <c r="AV35" t="s">
        <v>456</v>
      </c>
      <c r="AW35" t="s">
        <v>457</v>
      </c>
      <c r="AZ35">
        <v>93230</v>
      </c>
      <c r="BA35" t="s">
        <v>458</v>
      </c>
      <c r="BB35" t="s">
        <v>61</v>
      </c>
      <c r="BC35" t="s">
        <v>62</v>
      </c>
    </row>
    <row r="36" spans="1:55" x14ac:dyDescent="0.25">
      <c r="A36" s="1" t="str">
        <f>IF(COUNTIF(Catégories!A:A,X36)=0,"catégorie inconnue",_xlfn.XLOOKUP(X36,Catégories!A:A,Catégories!B:B))</f>
        <v>Frêt</v>
      </c>
      <c r="B36" s="1">
        <f t="shared" si="0"/>
        <v>6.17</v>
      </c>
      <c r="C36" s="1">
        <f t="shared" si="1"/>
        <v>1.35</v>
      </c>
      <c r="D36" s="1">
        <f t="shared" si="2"/>
        <v>4.82</v>
      </c>
      <c r="E36" s="20">
        <f>IF(AH36&lt;&gt;0,ROUNDUP(AH36,0),IF(BB36&lt;&gt;"FR","hors France",IF(AH36&lt;&gt;0,ROUNDUP(AH36,0),_xlfn.XLOOKUP(AJ36,'PA GLS'!B:B,'PA GLS'!A:A))))</f>
        <v>0.5</v>
      </c>
      <c r="F36">
        <v>2501382993</v>
      </c>
      <c r="G36">
        <v>1030219781</v>
      </c>
      <c r="H36" t="s">
        <v>366</v>
      </c>
      <c r="I36">
        <v>2500034092</v>
      </c>
      <c r="J36" t="s">
        <v>50</v>
      </c>
      <c r="K36">
        <v>9000009190</v>
      </c>
      <c r="L36">
        <v>46946</v>
      </c>
      <c r="M36" t="s">
        <v>51</v>
      </c>
      <c r="N36">
        <v>9000079830</v>
      </c>
      <c r="O36" t="s">
        <v>187</v>
      </c>
      <c r="S36">
        <v>2507012387</v>
      </c>
      <c r="T36" t="s">
        <v>50</v>
      </c>
      <c r="U36" t="s">
        <v>122</v>
      </c>
      <c r="V36" t="s">
        <v>71</v>
      </c>
      <c r="W36" t="s">
        <v>72</v>
      </c>
      <c r="X36" t="s">
        <v>60</v>
      </c>
      <c r="Z36">
        <v>42</v>
      </c>
      <c r="AA36" t="s">
        <v>420</v>
      </c>
      <c r="AB36" t="s">
        <v>459</v>
      </c>
      <c r="AC36">
        <v>2604000043</v>
      </c>
      <c r="AE36">
        <v>0</v>
      </c>
      <c r="AF36">
        <v>0</v>
      </c>
      <c r="AG36">
        <v>0</v>
      </c>
      <c r="AH36">
        <v>0</v>
      </c>
      <c r="AI36" t="s">
        <v>56</v>
      </c>
      <c r="AJ36">
        <v>3.77</v>
      </c>
      <c r="AK36">
        <v>0.9</v>
      </c>
      <c r="AL36">
        <v>0.15</v>
      </c>
      <c r="AM36">
        <v>29.1</v>
      </c>
      <c r="AN36">
        <v>1.35</v>
      </c>
      <c r="AO36">
        <v>0</v>
      </c>
      <c r="AP36">
        <v>0</v>
      </c>
      <c r="AQ36" t="s">
        <v>57</v>
      </c>
      <c r="AS36" t="s">
        <v>460</v>
      </c>
      <c r="AT36" t="s">
        <v>460</v>
      </c>
      <c r="AU36" t="s">
        <v>459</v>
      </c>
      <c r="AV36" t="s">
        <v>461</v>
      </c>
      <c r="AW36" t="s">
        <v>462</v>
      </c>
      <c r="AZ36">
        <v>8090</v>
      </c>
      <c r="BA36" t="s">
        <v>463</v>
      </c>
      <c r="BB36" t="s">
        <v>61</v>
      </c>
      <c r="BC36" t="s">
        <v>62</v>
      </c>
    </row>
    <row r="37" spans="1:55" x14ac:dyDescent="0.25">
      <c r="A37" s="1" t="str">
        <f>IF(COUNTIF(Catégories!A:A,X37)=0,"catégorie inconnue",_xlfn.XLOOKUP(X37,Catégories!A:A,Catégories!B:B))</f>
        <v>Frêt</v>
      </c>
      <c r="B37" s="1">
        <f t="shared" si="0"/>
        <v>8.870000000000001</v>
      </c>
      <c r="C37" s="1">
        <f t="shared" si="1"/>
        <v>1.96</v>
      </c>
      <c r="D37" s="1">
        <f t="shared" si="2"/>
        <v>6.910000000000001</v>
      </c>
      <c r="E37" s="20">
        <f>IF(AH37&lt;&gt;0,ROUNDUP(AH37,0),IF(BB37&lt;&gt;"FR","hors France",IF(AH37&lt;&gt;0,ROUNDUP(AH37,0),_xlfn.XLOOKUP(AJ37,'PA GLS'!B:B,'PA GLS'!A:A))))</f>
        <v>5</v>
      </c>
      <c r="F37">
        <v>2501382993</v>
      </c>
      <c r="G37">
        <v>1030219781</v>
      </c>
      <c r="H37" t="s">
        <v>366</v>
      </c>
      <c r="I37">
        <v>2500034092</v>
      </c>
      <c r="J37" t="s">
        <v>50</v>
      </c>
      <c r="K37">
        <v>9000009190</v>
      </c>
      <c r="L37">
        <v>46946</v>
      </c>
      <c r="M37" t="s">
        <v>51</v>
      </c>
      <c r="N37">
        <v>9000079830</v>
      </c>
      <c r="O37" t="s">
        <v>187</v>
      </c>
      <c r="S37">
        <v>2507012387</v>
      </c>
      <c r="T37" t="s">
        <v>50</v>
      </c>
      <c r="U37" t="s">
        <v>122</v>
      </c>
      <c r="V37" t="s">
        <v>265</v>
      </c>
      <c r="W37" t="s">
        <v>266</v>
      </c>
      <c r="X37" t="s">
        <v>60</v>
      </c>
      <c r="Z37">
        <v>47</v>
      </c>
      <c r="AA37" t="s">
        <v>420</v>
      </c>
      <c r="AB37" t="s">
        <v>464</v>
      </c>
      <c r="AC37">
        <v>2604000051</v>
      </c>
      <c r="AE37">
        <v>0</v>
      </c>
      <c r="AF37">
        <v>0</v>
      </c>
      <c r="AG37">
        <v>0</v>
      </c>
      <c r="AH37">
        <v>0</v>
      </c>
      <c r="AI37" t="s">
        <v>56</v>
      </c>
      <c r="AJ37">
        <v>5.86</v>
      </c>
      <c r="AK37">
        <v>0.9</v>
      </c>
      <c r="AL37">
        <v>0.15</v>
      </c>
      <c r="AM37">
        <v>29.1</v>
      </c>
      <c r="AN37">
        <v>1.96</v>
      </c>
      <c r="AO37">
        <v>0</v>
      </c>
      <c r="AP37">
        <v>0</v>
      </c>
      <c r="AQ37" t="s">
        <v>57</v>
      </c>
      <c r="AS37" t="s">
        <v>465</v>
      </c>
      <c r="AT37" t="s">
        <v>465</v>
      </c>
      <c r="AU37" t="s">
        <v>464</v>
      </c>
      <c r="AV37" t="s">
        <v>466</v>
      </c>
      <c r="AW37" t="s">
        <v>467</v>
      </c>
      <c r="AZ37">
        <v>51370</v>
      </c>
      <c r="BA37" t="s">
        <v>468</v>
      </c>
      <c r="BB37" t="s">
        <v>61</v>
      </c>
      <c r="BC37" t="s">
        <v>62</v>
      </c>
    </row>
    <row r="38" spans="1:55" x14ac:dyDescent="0.25">
      <c r="A38" s="1" t="str">
        <f>IF(COUNTIF(Catégories!A:A,X38)=0,"catégorie inconnue",_xlfn.XLOOKUP(X38,Catégories!A:A,Catégories!B:B))</f>
        <v>Frêt</v>
      </c>
      <c r="B38" s="1">
        <f t="shared" si="0"/>
        <v>7.4300000000000006</v>
      </c>
      <c r="C38" s="1">
        <f t="shared" si="1"/>
        <v>1.64</v>
      </c>
      <c r="D38" s="1">
        <f t="shared" si="2"/>
        <v>5.7900000000000009</v>
      </c>
      <c r="E38" s="20">
        <f>IF(AH38&lt;&gt;0,ROUNDUP(AH38,0),IF(BB38&lt;&gt;"FR","hors France",IF(AH38&lt;&gt;0,ROUNDUP(AH38,0),_xlfn.XLOOKUP(AJ38,'PA GLS'!B:B,'PA GLS'!A:A))))</f>
        <v>3</v>
      </c>
      <c r="F38">
        <v>2501382993</v>
      </c>
      <c r="G38">
        <v>1030219781</v>
      </c>
      <c r="H38" t="s">
        <v>366</v>
      </c>
      <c r="I38">
        <v>2500034092</v>
      </c>
      <c r="J38" t="s">
        <v>50</v>
      </c>
      <c r="K38">
        <v>9000009190</v>
      </c>
      <c r="L38">
        <v>46946</v>
      </c>
      <c r="M38" t="s">
        <v>51</v>
      </c>
      <c r="N38">
        <v>9000079830</v>
      </c>
      <c r="O38" t="s">
        <v>187</v>
      </c>
      <c r="S38">
        <v>2507012387</v>
      </c>
      <c r="T38" t="s">
        <v>50</v>
      </c>
      <c r="U38" t="s">
        <v>122</v>
      </c>
      <c r="V38" t="s">
        <v>58</v>
      </c>
      <c r="W38" t="s">
        <v>59</v>
      </c>
      <c r="X38" t="s">
        <v>60</v>
      </c>
      <c r="Z38">
        <v>46</v>
      </c>
      <c r="AA38" t="s">
        <v>420</v>
      </c>
      <c r="AB38" t="s">
        <v>469</v>
      </c>
      <c r="AC38">
        <v>2604000046</v>
      </c>
      <c r="AE38">
        <v>0</v>
      </c>
      <c r="AF38">
        <v>0</v>
      </c>
      <c r="AG38">
        <v>0</v>
      </c>
      <c r="AH38">
        <v>0</v>
      </c>
      <c r="AI38" t="s">
        <v>56</v>
      </c>
      <c r="AJ38">
        <v>4.74</v>
      </c>
      <c r="AK38">
        <v>0.9</v>
      </c>
      <c r="AL38">
        <v>0.15</v>
      </c>
      <c r="AM38">
        <v>29.1</v>
      </c>
      <c r="AN38">
        <v>1.64</v>
      </c>
      <c r="AO38">
        <v>0</v>
      </c>
      <c r="AP38">
        <v>0</v>
      </c>
      <c r="AQ38" t="s">
        <v>57</v>
      </c>
      <c r="AS38" t="s">
        <v>470</v>
      </c>
      <c r="AT38" t="s">
        <v>470</v>
      </c>
      <c r="AU38" t="s">
        <v>469</v>
      </c>
      <c r="AV38" t="s">
        <v>471</v>
      </c>
      <c r="AW38" t="s">
        <v>472</v>
      </c>
      <c r="AZ38">
        <v>49190</v>
      </c>
      <c r="BA38" t="s">
        <v>473</v>
      </c>
      <c r="BB38" t="s">
        <v>61</v>
      </c>
      <c r="BC38" t="s">
        <v>62</v>
      </c>
    </row>
    <row r="39" spans="1:55" x14ac:dyDescent="0.25">
      <c r="A39" s="1" t="str">
        <f>IF(COUNTIF(Catégories!A:A,X39)=0,"catégorie inconnue",_xlfn.XLOOKUP(X39,Catégories!A:A,Catégories!B:B))</f>
        <v>Frêt</v>
      </c>
      <c r="B39" s="1">
        <f t="shared" si="0"/>
        <v>0</v>
      </c>
      <c r="C39" s="1">
        <f t="shared" si="1"/>
        <v>0</v>
      </c>
      <c r="D39" s="1">
        <f t="shared" si="2"/>
        <v>0</v>
      </c>
      <c r="E39" s="20">
        <f>IF(AH39&lt;&gt;0,ROUNDUP(AH39,0),IF(BB39&lt;&gt;"FR","hors France",IF(AH39&lt;&gt;0,ROUNDUP(AH39,0),_xlfn.XLOOKUP(AJ39,'PA GLS'!B:B,'PA GLS'!A:A))))</f>
        <v>2</v>
      </c>
      <c r="F39">
        <v>2501382993</v>
      </c>
      <c r="G39">
        <v>1030219781</v>
      </c>
      <c r="H39" t="s">
        <v>366</v>
      </c>
      <c r="I39">
        <v>2500034092</v>
      </c>
      <c r="J39" t="s">
        <v>50</v>
      </c>
      <c r="K39">
        <v>9000009190</v>
      </c>
      <c r="L39">
        <v>46946</v>
      </c>
      <c r="M39" t="s">
        <v>51</v>
      </c>
      <c r="N39">
        <v>9000079830</v>
      </c>
      <c r="O39" t="s">
        <v>187</v>
      </c>
      <c r="S39">
        <v>2507012387</v>
      </c>
      <c r="T39" t="s">
        <v>50</v>
      </c>
      <c r="U39" t="s">
        <v>122</v>
      </c>
      <c r="V39" t="s">
        <v>176</v>
      </c>
      <c r="W39" t="s">
        <v>177</v>
      </c>
      <c r="X39" t="s">
        <v>152</v>
      </c>
      <c r="Z39">
        <v>41</v>
      </c>
      <c r="AA39" t="s">
        <v>420</v>
      </c>
      <c r="AB39" t="s">
        <v>435</v>
      </c>
      <c r="AC39">
        <v>2604000033</v>
      </c>
      <c r="AE39">
        <v>0</v>
      </c>
      <c r="AF39">
        <v>1</v>
      </c>
      <c r="AG39">
        <v>0</v>
      </c>
      <c r="AH39">
        <v>1.1100000000000001</v>
      </c>
      <c r="AI39" t="s">
        <v>56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57</v>
      </c>
      <c r="AS39" t="s">
        <v>436</v>
      </c>
      <c r="AT39" t="s">
        <v>436</v>
      </c>
      <c r="AU39" t="s">
        <v>435</v>
      </c>
      <c r="AV39" t="s">
        <v>437</v>
      </c>
      <c r="AW39" t="s">
        <v>438</v>
      </c>
      <c r="AZ39">
        <v>35510</v>
      </c>
      <c r="BA39" t="s">
        <v>439</v>
      </c>
      <c r="BB39" t="s">
        <v>61</v>
      </c>
      <c r="BC39" t="s">
        <v>62</v>
      </c>
    </row>
    <row r="40" spans="1:55" x14ac:dyDescent="0.25">
      <c r="A40" s="1" t="str">
        <f>IF(COUNTIF(Catégories!A:A,X40)=0,"catégorie inconnue",_xlfn.XLOOKUP(X40,Catégories!A:A,Catégories!B:B))</f>
        <v>Frêt</v>
      </c>
      <c r="B40" s="1">
        <f t="shared" si="0"/>
        <v>0</v>
      </c>
      <c r="C40" s="1">
        <f t="shared" si="1"/>
        <v>0</v>
      </c>
      <c r="D40" s="1">
        <f t="shared" si="2"/>
        <v>0</v>
      </c>
      <c r="E40" s="20">
        <f>IF(AH40&lt;&gt;0,ROUNDUP(AH40,0),IF(BB40&lt;&gt;"FR","hors France",IF(AH40&lt;&gt;0,ROUNDUP(AH40,0),_xlfn.XLOOKUP(AJ40,'PA GLS'!B:B,'PA GLS'!A:A))))</f>
        <v>3</v>
      </c>
      <c r="F40">
        <v>2501382993</v>
      </c>
      <c r="G40">
        <v>1030219781</v>
      </c>
      <c r="H40" t="s">
        <v>366</v>
      </c>
      <c r="I40">
        <v>2500034092</v>
      </c>
      <c r="J40" t="s">
        <v>50</v>
      </c>
      <c r="K40">
        <v>9000009190</v>
      </c>
      <c r="L40">
        <v>46946</v>
      </c>
      <c r="M40" t="s">
        <v>51</v>
      </c>
      <c r="N40">
        <v>9000079830</v>
      </c>
      <c r="O40" t="s">
        <v>187</v>
      </c>
      <c r="S40">
        <v>2507012387</v>
      </c>
      <c r="T40" t="s">
        <v>50</v>
      </c>
      <c r="U40" t="s">
        <v>122</v>
      </c>
      <c r="V40" t="s">
        <v>176</v>
      </c>
      <c r="W40" t="s">
        <v>177</v>
      </c>
      <c r="X40" t="s">
        <v>152</v>
      </c>
      <c r="Z40">
        <v>41</v>
      </c>
      <c r="AA40" t="s">
        <v>420</v>
      </c>
      <c r="AB40" t="s">
        <v>474</v>
      </c>
      <c r="AC40">
        <v>2604000034</v>
      </c>
      <c r="AE40">
        <v>0</v>
      </c>
      <c r="AF40">
        <v>1</v>
      </c>
      <c r="AG40">
        <v>0</v>
      </c>
      <c r="AH40">
        <v>2.06</v>
      </c>
      <c r="AI40" t="s">
        <v>56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57</v>
      </c>
      <c r="AS40" t="s">
        <v>475</v>
      </c>
      <c r="AT40" t="s">
        <v>475</v>
      </c>
      <c r="AU40" t="s">
        <v>474</v>
      </c>
      <c r="AV40" t="s">
        <v>476</v>
      </c>
      <c r="AW40" t="s">
        <v>477</v>
      </c>
      <c r="AZ40">
        <v>56190</v>
      </c>
      <c r="BA40" t="s">
        <v>478</v>
      </c>
      <c r="BB40" t="s">
        <v>61</v>
      </c>
      <c r="BC40" t="s">
        <v>62</v>
      </c>
    </row>
    <row r="41" spans="1:55" x14ac:dyDescent="0.25">
      <c r="A41" s="1" t="str">
        <f>IF(COUNTIF(Catégories!A:A,X41)=0,"catégorie inconnue",_xlfn.XLOOKUP(X41,Catégories!A:A,Catégories!B:B))</f>
        <v>Frêt</v>
      </c>
      <c r="B41" s="1">
        <f t="shared" si="0"/>
        <v>0</v>
      </c>
      <c r="C41" s="1">
        <f t="shared" si="1"/>
        <v>0</v>
      </c>
      <c r="D41" s="1">
        <f t="shared" si="2"/>
        <v>0</v>
      </c>
      <c r="E41" s="20">
        <f>IF(AH41&lt;&gt;0,ROUNDUP(AH41,0),IF(BB41&lt;&gt;"FR","hors France",IF(AH41&lt;&gt;0,ROUNDUP(AH41,0),_xlfn.XLOOKUP(AJ41,'PA GLS'!B:B,'PA GLS'!A:A))))</f>
        <v>2</v>
      </c>
      <c r="F41">
        <v>2501382993</v>
      </c>
      <c r="G41">
        <v>1030219781</v>
      </c>
      <c r="H41" t="s">
        <v>366</v>
      </c>
      <c r="I41">
        <v>2500034092</v>
      </c>
      <c r="J41" t="s">
        <v>50</v>
      </c>
      <c r="K41">
        <v>9000009190</v>
      </c>
      <c r="L41">
        <v>46946</v>
      </c>
      <c r="M41" t="s">
        <v>51</v>
      </c>
      <c r="N41">
        <v>9000079830</v>
      </c>
      <c r="O41" t="s">
        <v>187</v>
      </c>
      <c r="S41">
        <v>2507012387</v>
      </c>
      <c r="T41" t="s">
        <v>50</v>
      </c>
      <c r="U41" t="s">
        <v>122</v>
      </c>
      <c r="V41" t="s">
        <v>176</v>
      </c>
      <c r="W41" t="s">
        <v>177</v>
      </c>
      <c r="X41" t="s">
        <v>152</v>
      </c>
      <c r="Z41">
        <v>41</v>
      </c>
      <c r="AA41" t="s">
        <v>420</v>
      </c>
      <c r="AB41" t="s">
        <v>430</v>
      </c>
      <c r="AC41">
        <v>2604000035</v>
      </c>
      <c r="AE41">
        <v>0</v>
      </c>
      <c r="AF41">
        <v>1</v>
      </c>
      <c r="AG41">
        <v>0</v>
      </c>
      <c r="AH41">
        <v>1.18</v>
      </c>
      <c r="AI41" t="s">
        <v>56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57</v>
      </c>
      <c r="AS41" t="s">
        <v>431</v>
      </c>
      <c r="AT41" t="s">
        <v>431</v>
      </c>
      <c r="AU41" t="s">
        <v>430</v>
      </c>
      <c r="AV41" t="s">
        <v>432</v>
      </c>
      <c r="AW41" t="s">
        <v>433</v>
      </c>
      <c r="AZ41">
        <v>74140</v>
      </c>
      <c r="BA41" t="s">
        <v>434</v>
      </c>
      <c r="BB41" t="s">
        <v>61</v>
      </c>
      <c r="BC41" t="s">
        <v>62</v>
      </c>
    </row>
    <row r="42" spans="1:55" x14ac:dyDescent="0.25">
      <c r="A42" s="1" t="str">
        <f>IF(COUNTIF(Catégories!A:A,X42)=0,"catégorie inconnue",_xlfn.XLOOKUP(X42,Catégories!A:A,Catégories!B:B))</f>
        <v>Frêt</v>
      </c>
      <c r="B42" s="1">
        <f t="shared" si="0"/>
        <v>0</v>
      </c>
      <c r="C42" s="1">
        <f t="shared" si="1"/>
        <v>0</v>
      </c>
      <c r="D42" s="1">
        <f t="shared" si="2"/>
        <v>0</v>
      </c>
      <c r="E42" s="20">
        <f>IF(AH42&lt;&gt;0,ROUNDUP(AH42,0),IF(BB42&lt;&gt;"FR","hors France",IF(AH42&lt;&gt;0,ROUNDUP(AH42,0),_xlfn.XLOOKUP(AJ42,'PA GLS'!B:B,'PA GLS'!A:A))))</f>
        <v>2</v>
      </c>
      <c r="F42">
        <v>2501382993</v>
      </c>
      <c r="G42">
        <v>1030219781</v>
      </c>
      <c r="H42" t="s">
        <v>366</v>
      </c>
      <c r="I42">
        <v>2500034092</v>
      </c>
      <c r="J42" t="s">
        <v>50</v>
      </c>
      <c r="K42">
        <v>9000009190</v>
      </c>
      <c r="L42">
        <v>46946</v>
      </c>
      <c r="M42" t="s">
        <v>51</v>
      </c>
      <c r="N42">
        <v>9000079830</v>
      </c>
      <c r="O42" t="s">
        <v>187</v>
      </c>
      <c r="S42">
        <v>2507012387</v>
      </c>
      <c r="T42" t="s">
        <v>50</v>
      </c>
      <c r="U42" t="s">
        <v>122</v>
      </c>
      <c r="V42" t="s">
        <v>176</v>
      </c>
      <c r="W42" t="s">
        <v>177</v>
      </c>
      <c r="X42" t="s">
        <v>152</v>
      </c>
      <c r="Z42">
        <v>41</v>
      </c>
      <c r="AA42" t="s">
        <v>420</v>
      </c>
      <c r="AB42" t="s">
        <v>479</v>
      </c>
      <c r="AC42">
        <v>2604000036</v>
      </c>
      <c r="AE42">
        <v>0</v>
      </c>
      <c r="AF42">
        <v>1</v>
      </c>
      <c r="AG42">
        <v>0</v>
      </c>
      <c r="AH42">
        <v>1.1499999999999999</v>
      </c>
      <c r="AI42" t="s">
        <v>56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 t="s">
        <v>57</v>
      </c>
      <c r="AS42" t="s">
        <v>480</v>
      </c>
      <c r="AT42" t="s">
        <v>480</v>
      </c>
      <c r="AU42" t="s">
        <v>479</v>
      </c>
      <c r="AV42" t="s">
        <v>481</v>
      </c>
      <c r="AW42" t="s">
        <v>482</v>
      </c>
      <c r="AZ42">
        <v>59700</v>
      </c>
      <c r="BA42" t="s">
        <v>483</v>
      </c>
      <c r="BB42" t="s">
        <v>61</v>
      </c>
      <c r="BC42" t="s">
        <v>62</v>
      </c>
    </row>
    <row r="43" spans="1:55" x14ac:dyDescent="0.25">
      <c r="A43" s="1" t="str">
        <f>IF(COUNTIF(Catégories!A:A,X43)=0,"catégorie inconnue",_xlfn.XLOOKUP(X43,Catégories!A:A,Catégories!B:B))</f>
        <v>Frêt</v>
      </c>
      <c r="B43" s="1">
        <f t="shared" si="0"/>
        <v>0</v>
      </c>
      <c r="C43" s="1">
        <f t="shared" si="1"/>
        <v>0</v>
      </c>
      <c r="D43" s="1">
        <f t="shared" si="2"/>
        <v>0</v>
      </c>
      <c r="E43" s="20">
        <f>IF(AH43&lt;&gt;0,ROUNDUP(AH43,0),IF(BB43&lt;&gt;"FR","hors France",IF(AH43&lt;&gt;0,ROUNDUP(AH43,0),_xlfn.XLOOKUP(AJ43,'PA GLS'!B:B,'PA GLS'!A:A))))</f>
        <v>2</v>
      </c>
      <c r="F43">
        <v>2501382993</v>
      </c>
      <c r="G43">
        <v>1030219781</v>
      </c>
      <c r="H43" t="s">
        <v>366</v>
      </c>
      <c r="I43">
        <v>2500034092</v>
      </c>
      <c r="J43" t="s">
        <v>50</v>
      </c>
      <c r="K43">
        <v>9000009190</v>
      </c>
      <c r="L43">
        <v>46946</v>
      </c>
      <c r="M43" t="s">
        <v>51</v>
      </c>
      <c r="N43">
        <v>9000079830</v>
      </c>
      <c r="O43" t="s">
        <v>187</v>
      </c>
      <c r="S43">
        <v>2507012387</v>
      </c>
      <c r="T43" t="s">
        <v>50</v>
      </c>
      <c r="U43" t="s">
        <v>122</v>
      </c>
      <c r="V43" t="s">
        <v>176</v>
      </c>
      <c r="W43" t="s">
        <v>177</v>
      </c>
      <c r="X43" t="s">
        <v>152</v>
      </c>
      <c r="Z43">
        <v>41</v>
      </c>
      <c r="AA43" t="s">
        <v>420</v>
      </c>
      <c r="AB43" t="s">
        <v>484</v>
      </c>
      <c r="AC43">
        <v>2604000037</v>
      </c>
      <c r="AE43">
        <v>0</v>
      </c>
      <c r="AF43">
        <v>1</v>
      </c>
      <c r="AG43">
        <v>0</v>
      </c>
      <c r="AH43">
        <v>1.92</v>
      </c>
      <c r="AI43" t="s">
        <v>56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57</v>
      </c>
      <c r="AS43" t="s">
        <v>485</v>
      </c>
      <c r="AT43" t="s">
        <v>485</v>
      </c>
      <c r="AU43" t="s">
        <v>484</v>
      </c>
      <c r="AV43" t="s">
        <v>486</v>
      </c>
      <c r="AW43" t="s">
        <v>487</v>
      </c>
      <c r="AZ43">
        <v>31450</v>
      </c>
      <c r="BA43" t="s">
        <v>488</v>
      </c>
      <c r="BB43" t="s">
        <v>61</v>
      </c>
      <c r="BC43" t="s">
        <v>62</v>
      </c>
    </row>
    <row r="44" spans="1:55" x14ac:dyDescent="0.25">
      <c r="A44" s="1" t="str">
        <f>IF(COUNTIF(Catégories!A:A,X44)=0,"catégorie inconnue",_xlfn.XLOOKUP(X44,Catégories!A:A,Catégories!B:B))</f>
        <v>Frêt</v>
      </c>
      <c r="B44" s="1">
        <f t="shared" si="0"/>
        <v>0</v>
      </c>
      <c r="C44" s="1">
        <f t="shared" si="1"/>
        <v>0</v>
      </c>
      <c r="D44" s="1">
        <f t="shared" si="2"/>
        <v>0</v>
      </c>
      <c r="E44" s="20">
        <f>IF(AH44&lt;&gt;0,ROUNDUP(AH44,0),IF(BB44&lt;&gt;"FR","hors France",IF(AH44&lt;&gt;0,ROUNDUP(AH44,0),_xlfn.XLOOKUP(AJ44,'PA GLS'!B:B,'PA GLS'!A:A))))</f>
        <v>2</v>
      </c>
      <c r="F44">
        <v>2501382993</v>
      </c>
      <c r="G44">
        <v>1030219781</v>
      </c>
      <c r="H44" t="s">
        <v>366</v>
      </c>
      <c r="I44">
        <v>2500034092</v>
      </c>
      <c r="J44" t="s">
        <v>50</v>
      </c>
      <c r="K44">
        <v>9000009190</v>
      </c>
      <c r="L44">
        <v>46946</v>
      </c>
      <c r="M44" t="s">
        <v>51</v>
      </c>
      <c r="N44">
        <v>9000079830</v>
      </c>
      <c r="O44" t="s">
        <v>187</v>
      </c>
      <c r="S44">
        <v>2507012387</v>
      </c>
      <c r="T44" t="s">
        <v>50</v>
      </c>
      <c r="U44" t="s">
        <v>122</v>
      </c>
      <c r="V44" t="s">
        <v>176</v>
      </c>
      <c r="W44" t="s">
        <v>177</v>
      </c>
      <c r="X44" t="s">
        <v>152</v>
      </c>
      <c r="Z44">
        <v>41</v>
      </c>
      <c r="AA44" t="s">
        <v>420</v>
      </c>
      <c r="AB44" t="s">
        <v>489</v>
      </c>
      <c r="AC44">
        <v>2604000038</v>
      </c>
      <c r="AE44">
        <v>0</v>
      </c>
      <c r="AF44">
        <v>1</v>
      </c>
      <c r="AG44">
        <v>0</v>
      </c>
      <c r="AH44">
        <v>1.26</v>
      </c>
      <c r="AI44" t="s">
        <v>56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57</v>
      </c>
      <c r="AS44" t="s">
        <v>490</v>
      </c>
      <c r="AT44" t="s">
        <v>490</v>
      </c>
      <c r="AU44" t="s">
        <v>489</v>
      </c>
      <c r="AV44" t="s">
        <v>491</v>
      </c>
      <c r="AW44" t="s">
        <v>492</v>
      </c>
      <c r="AZ44">
        <v>91190</v>
      </c>
      <c r="BA44" t="s">
        <v>493</v>
      </c>
      <c r="BB44" t="s">
        <v>61</v>
      </c>
      <c r="BC44" t="s">
        <v>62</v>
      </c>
    </row>
    <row r="45" spans="1:55" x14ac:dyDescent="0.25">
      <c r="A45" s="1" t="str">
        <f>IF(COUNTIF(Catégories!A:A,X45)=0,"catégorie inconnue",_xlfn.XLOOKUP(X45,Catégories!A:A,Catégories!B:B))</f>
        <v>Frêt</v>
      </c>
      <c r="B45" s="1">
        <f t="shared" si="0"/>
        <v>0</v>
      </c>
      <c r="C45" s="1">
        <f t="shared" si="1"/>
        <v>0</v>
      </c>
      <c r="D45" s="1">
        <f t="shared" si="2"/>
        <v>0</v>
      </c>
      <c r="E45" s="20">
        <f>IF(AH45&lt;&gt;0,ROUNDUP(AH45,0),IF(BB45&lt;&gt;"FR","hors France",IF(AH45&lt;&gt;0,ROUNDUP(AH45,0),_xlfn.XLOOKUP(AJ45,'PA GLS'!B:B,'PA GLS'!A:A))))</f>
        <v>2</v>
      </c>
      <c r="F45">
        <v>2501382993</v>
      </c>
      <c r="G45">
        <v>1030219781</v>
      </c>
      <c r="H45" t="s">
        <v>366</v>
      </c>
      <c r="I45">
        <v>2500034092</v>
      </c>
      <c r="J45" t="s">
        <v>50</v>
      </c>
      <c r="K45">
        <v>9000009190</v>
      </c>
      <c r="L45">
        <v>46946</v>
      </c>
      <c r="M45" t="s">
        <v>51</v>
      </c>
      <c r="N45">
        <v>9000079830</v>
      </c>
      <c r="O45" t="s">
        <v>187</v>
      </c>
      <c r="S45">
        <v>2507012387</v>
      </c>
      <c r="T45" t="s">
        <v>50</v>
      </c>
      <c r="U45" t="s">
        <v>122</v>
      </c>
      <c r="V45" t="s">
        <v>176</v>
      </c>
      <c r="W45" t="s">
        <v>177</v>
      </c>
      <c r="X45" t="s">
        <v>152</v>
      </c>
      <c r="Z45">
        <v>41</v>
      </c>
      <c r="AA45" t="s">
        <v>420</v>
      </c>
      <c r="AB45" t="s">
        <v>494</v>
      </c>
      <c r="AC45">
        <v>2604000039</v>
      </c>
      <c r="AE45">
        <v>0</v>
      </c>
      <c r="AF45">
        <v>1</v>
      </c>
      <c r="AG45">
        <v>0</v>
      </c>
      <c r="AH45">
        <v>1.88</v>
      </c>
      <c r="AI45" t="s">
        <v>56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57</v>
      </c>
      <c r="AS45" t="s">
        <v>495</v>
      </c>
      <c r="AT45" t="s">
        <v>495</v>
      </c>
      <c r="AU45" t="s">
        <v>494</v>
      </c>
      <c r="AV45" t="s">
        <v>496</v>
      </c>
      <c r="AW45" t="s">
        <v>497</v>
      </c>
      <c r="AZ45">
        <v>13006</v>
      </c>
      <c r="BA45" t="s">
        <v>68</v>
      </c>
      <c r="BB45" t="s">
        <v>61</v>
      </c>
      <c r="BC45" t="s">
        <v>62</v>
      </c>
    </row>
    <row r="46" spans="1:55" x14ac:dyDescent="0.25">
      <c r="A46" s="1" t="str">
        <f>IF(COUNTIF(Catégories!A:A,X46)=0,"catégorie inconnue",_xlfn.XLOOKUP(X46,Catégories!A:A,Catégories!B:B))</f>
        <v>Frêt</v>
      </c>
      <c r="B46" s="1">
        <f t="shared" si="0"/>
        <v>0</v>
      </c>
      <c r="C46" s="1">
        <f t="shared" si="1"/>
        <v>0</v>
      </c>
      <c r="D46" s="1">
        <f t="shared" si="2"/>
        <v>0</v>
      </c>
      <c r="E46" s="20">
        <f>IF(AH46&lt;&gt;0,ROUNDUP(AH46,0),IF(BB46&lt;&gt;"FR","hors France",IF(AH46&lt;&gt;0,ROUNDUP(AH46,0),_xlfn.XLOOKUP(AJ46,'PA GLS'!B:B,'PA GLS'!A:A))))</f>
        <v>1</v>
      </c>
      <c r="F46">
        <v>2501382993</v>
      </c>
      <c r="G46">
        <v>1030219781</v>
      </c>
      <c r="H46" t="s">
        <v>366</v>
      </c>
      <c r="I46">
        <v>2500034092</v>
      </c>
      <c r="J46" t="s">
        <v>50</v>
      </c>
      <c r="K46">
        <v>9000009190</v>
      </c>
      <c r="L46">
        <v>46946</v>
      </c>
      <c r="M46" t="s">
        <v>51</v>
      </c>
      <c r="N46">
        <v>9000079830</v>
      </c>
      <c r="O46" t="s">
        <v>187</v>
      </c>
      <c r="S46">
        <v>2507012387</v>
      </c>
      <c r="T46" t="s">
        <v>50</v>
      </c>
      <c r="U46" t="s">
        <v>122</v>
      </c>
      <c r="V46" t="s">
        <v>176</v>
      </c>
      <c r="W46" t="s">
        <v>177</v>
      </c>
      <c r="X46" t="s">
        <v>152</v>
      </c>
      <c r="Z46">
        <v>41</v>
      </c>
      <c r="AA46" t="s">
        <v>420</v>
      </c>
      <c r="AB46" t="s">
        <v>444</v>
      </c>
      <c r="AC46">
        <v>2604000040</v>
      </c>
      <c r="AE46">
        <v>0</v>
      </c>
      <c r="AF46">
        <v>1</v>
      </c>
      <c r="AG46">
        <v>0</v>
      </c>
      <c r="AH46">
        <v>0.86</v>
      </c>
      <c r="AI46" t="s">
        <v>56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57</v>
      </c>
      <c r="AS46" t="s">
        <v>445</v>
      </c>
      <c r="AT46" t="s">
        <v>445</v>
      </c>
      <c r="AU46" t="s">
        <v>444</v>
      </c>
      <c r="AV46" t="s">
        <v>446</v>
      </c>
      <c r="AW46" t="s">
        <v>447</v>
      </c>
      <c r="AZ46">
        <v>83990</v>
      </c>
      <c r="BA46" t="s">
        <v>448</v>
      </c>
      <c r="BB46" t="s">
        <v>61</v>
      </c>
      <c r="BC46" t="s">
        <v>62</v>
      </c>
    </row>
    <row r="47" spans="1:55" x14ac:dyDescent="0.25">
      <c r="A47" s="1" t="str">
        <f>IF(COUNTIF(Catégories!A:A,X47)=0,"catégorie inconnue",_xlfn.XLOOKUP(X47,Catégories!A:A,Catégories!B:B))</f>
        <v>Frêt</v>
      </c>
      <c r="B47" s="1">
        <f t="shared" si="0"/>
        <v>0</v>
      </c>
      <c r="C47" s="1">
        <f t="shared" si="1"/>
        <v>0</v>
      </c>
      <c r="D47" s="1">
        <f t="shared" si="2"/>
        <v>0</v>
      </c>
      <c r="E47" s="20">
        <f>IF(AH47&lt;&gt;0,ROUNDUP(AH47,0),IF(BB47&lt;&gt;"FR","hors France",IF(AH47&lt;&gt;0,ROUNDUP(AH47,0),_xlfn.XLOOKUP(AJ47,'PA GLS'!B:B,'PA GLS'!A:A))))</f>
        <v>2</v>
      </c>
      <c r="F47">
        <v>2501382993</v>
      </c>
      <c r="G47">
        <v>1030219781</v>
      </c>
      <c r="H47" t="s">
        <v>366</v>
      </c>
      <c r="I47">
        <v>2500034092</v>
      </c>
      <c r="J47" t="s">
        <v>50</v>
      </c>
      <c r="K47">
        <v>9000009190</v>
      </c>
      <c r="L47">
        <v>46946</v>
      </c>
      <c r="M47" t="s">
        <v>51</v>
      </c>
      <c r="N47">
        <v>9000079830</v>
      </c>
      <c r="O47" t="s">
        <v>187</v>
      </c>
      <c r="S47">
        <v>2507012387</v>
      </c>
      <c r="T47" t="s">
        <v>50</v>
      </c>
      <c r="U47" t="s">
        <v>122</v>
      </c>
      <c r="V47" t="s">
        <v>176</v>
      </c>
      <c r="W47" t="s">
        <v>177</v>
      </c>
      <c r="X47" t="s">
        <v>152</v>
      </c>
      <c r="Z47">
        <v>41</v>
      </c>
      <c r="AA47" t="s">
        <v>420</v>
      </c>
      <c r="AB47" t="s">
        <v>498</v>
      </c>
      <c r="AC47">
        <v>2604000041</v>
      </c>
      <c r="AE47">
        <v>0</v>
      </c>
      <c r="AF47">
        <v>1</v>
      </c>
      <c r="AG47">
        <v>0</v>
      </c>
      <c r="AH47">
        <v>1.2</v>
      </c>
      <c r="AI47" t="s">
        <v>56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">
        <v>57</v>
      </c>
      <c r="AS47" t="s">
        <v>499</v>
      </c>
      <c r="AT47" t="s">
        <v>499</v>
      </c>
      <c r="AU47" t="s">
        <v>498</v>
      </c>
      <c r="AV47" t="s">
        <v>500</v>
      </c>
      <c r="AW47" t="s">
        <v>501</v>
      </c>
      <c r="AZ47">
        <v>49100</v>
      </c>
      <c r="BA47" t="s">
        <v>234</v>
      </c>
      <c r="BB47" t="s">
        <v>61</v>
      </c>
      <c r="BC47" t="s">
        <v>62</v>
      </c>
    </row>
    <row r="48" spans="1:55" x14ac:dyDescent="0.25">
      <c r="A48" s="1" t="str">
        <f>IF(COUNTIF(Catégories!A:A,X48)=0,"catégorie inconnue",_xlfn.XLOOKUP(X48,Catégories!A:A,Catégories!B:B))</f>
        <v>Frêt</v>
      </c>
      <c r="B48" s="1">
        <f t="shared" si="0"/>
        <v>0</v>
      </c>
      <c r="C48" s="1">
        <f t="shared" si="1"/>
        <v>0</v>
      </c>
      <c r="D48" s="1">
        <f t="shared" si="2"/>
        <v>0</v>
      </c>
      <c r="E48" s="20">
        <f>IF(AH48&lt;&gt;0,ROUNDUP(AH48,0),IF(BB48&lt;&gt;"FR","hors France",IF(AH48&lt;&gt;0,ROUNDUP(AH48,0),_xlfn.XLOOKUP(AJ48,'PA GLS'!B:B,'PA GLS'!A:A))))</f>
        <v>2</v>
      </c>
      <c r="F48">
        <v>2501382993</v>
      </c>
      <c r="G48">
        <v>1030219781</v>
      </c>
      <c r="H48" t="s">
        <v>366</v>
      </c>
      <c r="I48">
        <v>2500034092</v>
      </c>
      <c r="J48" t="s">
        <v>50</v>
      </c>
      <c r="K48">
        <v>9000009190</v>
      </c>
      <c r="L48">
        <v>46946</v>
      </c>
      <c r="M48" t="s">
        <v>51</v>
      </c>
      <c r="N48">
        <v>9000079830</v>
      </c>
      <c r="O48" t="s">
        <v>187</v>
      </c>
      <c r="S48">
        <v>2507012387</v>
      </c>
      <c r="T48" t="s">
        <v>50</v>
      </c>
      <c r="U48" t="s">
        <v>122</v>
      </c>
      <c r="V48" t="s">
        <v>176</v>
      </c>
      <c r="W48" t="s">
        <v>177</v>
      </c>
      <c r="X48" t="s">
        <v>152</v>
      </c>
      <c r="Z48">
        <v>41</v>
      </c>
      <c r="AA48" t="s">
        <v>420</v>
      </c>
      <c r="AB48" t="s">
        <v>502</v>
      </c>
      <c r="AC48">
        <v>2604000042</v>
      </c>
      <c r="AE48">
        <v>0</v>
      </c>
      <c r="AF48">
        <v>1</v>
      </c>
      <c r="AG48">
        <v>0</v>
      </c>
      <c r="AH48">
        <v>1.91</v>
      </c>
      <c r="AI48" t="s">
        <v>56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57</v>
      </c>
      <c r="AS48" t="s">
        <v>503</v>
      </c>
      <c r="AT48" t="s">
        <v>503</v>
      </c>
      <c r="AU48" t="s">
        <v>502</v>
      </c>
      <c r="AV48" t="s">
        <v>504</v>
      </c>
      <c r="AW48" t="s">
        <v>505</v>
      </c>
      <c r="AZ48">
        <v>51170</v>
      </c>
      <c r="BA48" t="s">
        <v>506</v>
      </c>
      <c r="BB48" t="s">
        <v>61</v>
      </c>
      <c r="BC48" t="s">
        <v>62</v>
      </c>
    </row>
    <row r="49" spans="1:55" x14ac:dyDescent="0.25">
      <c r="A49" s="1" t="str">
        <f>IF(COUNTIF(Catégories!A:A,X49)=0,"catégorie inconnue",_xlfn.XLOOKUP(X49,Catégories!A:A,Catégories!B:B))</f>
        <v>Frêt</v>
      </c>
      <c r="B49" s="1">
        <f t="shared" si="0"/>
        <v>0</v>
      </c>
      <c r="C49" s="1">
        <f t="shared" si="1"/>
        <v>0</v>
      </c>
      <c r="D49" s="1">
        <f t="shared" si="2"/>
        <v>0</v>
      </c>
      <c r="E49" s="20">
        <f>IF(AH49&lt;&gt;0,ROUNDUP(AH49,0),IF(BB49&lt;&gt;"FR","hors France",IF(AH49&lt;&gt;0,ROUNDUP(AH49,0),_xlfn.XLOOKUP(AJ49,'PA GLS'!B:B,'PA GLS'!A:A))))</f>
        <v>1</v>
      </c>
      <c r="F49">
        <v>2501382993</v>
      </c>
      <c r="G49">
        <v>1030219781</v>
      </c>
      <c r="H49" t="s">
        <v>366</v>
      </c>
      <c r="I49">
        <v>2500034092</v>
      </c>
      <c r="J49" t="s">
        <v>50</v>
      </c>
      <c r="K49">
        <v>9000009190</v>
      </c>
      <c r="L49">
        <v>46946</v>
      </c>
      <c r="M49" t="s">
        <v>51</v>
      </c>
      <c r="N49">
        <v>9000079830</v>
      </c>
      <c r="O49" t="s">
        <v>187</v>
      </c>
      <c r="S49">
        <v>2507012387</v>
      </c>
      <c r="T49" t="s">
        <v>50</v>
      </c>
      <c r="U49" t="s">
        <v>122</v>
      </c>
      <c r="V49" t="s">
        <v>176</v>
      </c>
      <c r="W49" t="s">
        <v>177</v>
      </c>
      <c r="X49" t="s">
        <v>152</v>
      </c>
      <c r="Z49">
        <v>41</v>
      </c>
      <c r="AA49" t="s">
        <v>420</v>
      </c>
      <c r="AB49" t="s">
        <v>459</v>
      </c>
      <c r="AC49">
        <v>2604000043</v>
      </c>
      <c r="AE49">
        <v>0</v>
      </c>
      <c r="AF49">
        <v>1</v>
      </c>
      <c r="AG49">
        <v>0</v>
      </c>
      <c r="AH49">
        <v>0.5</v>
      </c>
      <c r="AI49" t="s">
        <v>56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57</v>
      </c>
      <c r="AS49" t="s">
        <v>460</v>
      </c>
      <c r="AT49" t="s">
        <v>460</v>
      </c>
      <c r="AU49" t="s">
        <v>459</v>
      </c>
      <c r="AV49" t="s">
        <v>461</v>
      </c>
      <c r="AW49" t="s">
        <v>462</v>
      </c>
      <c r="AZ49">
        <v>8090</v>
      </c>
      <c r="BA49" t="s">
        <v>463</v>
      </c>
      <c r="BB49" t="s">
        <v>61</v>
      </c>
      <c r="BC49" t="s">
        <v>62</v>
      </c>
    </row>
    <row r="50" spans="1:55" x14ac:dyDescent="0.25">
      <c r="A50" s="1" t="str">
        <f>IF(COUNTIF(Catégories!A:A,X50)=0,"catégorie inconnue",_xlfn.XLOOKUP(X50,Catégories!A:A,Catégories!B:B))</f>
        <v>Frêt</v>
      </c>
      <c r="B50" s="1">
        <f t="shared" si="0"/>
        <v>0</v>
      </c>
      <c r="C50" s="1">
        <f t="shared" si="1"/>
        <v>0</v>
      </c>
      <c r="D50" s="1">
        <f t="shared" si="2"/>
        <v>0</v>
      </c>
      <c r="E50" s="20">
        <f>IF(AH50&lt;&gt;0,ROUNDUP(AH50,0),IF(BB50&lt;&gt;"FR","hors France",IF(AH50&lt;&gt;0,ROUNDUP(AH50,0),_xlfn.XLOOKUP(AJ50,'PA GLS'!B:B,'PA GLS'!A:A))))</f>
        <v>2</v>
      </c>
      <c r="F50">
        <v>2501382993</v>
      </c>
      <c r="G50">
        <v>1030219781</v>
      </c>
      <c r="H50" t="s">
        <v>366</v>
      </c>
      <c r="I50">
        <v>2500034092</v>
      </c>
      <c r="J50" t="s">
        <v>50</v>
      </c>
      <c r="K50">
        <v>9000009190</v>
      </c>
      <c r="L50">
        <v>46946</v>
      </c>
      <c r="M50" t="s">
        <v>51</v>
      </c>
      <c r="N50">
        <v>9000079830</v>
      </c>
      <c r="O50" t="s">
        <v>187</v>
      </c>
      <c r="S50">
        <v>2507012387</v>
      </c>
      <c r="T50" t="s">
        <v>50</v>
      </c>
      <c r="U50" t="s">
        <v>122</v>
      </c>
      <c r="V50" t="s">
        <v>176</v>
      </c>
      <c r="W50" t="s">
        <v>177</v>
      </c>
      <c r="X50" t="s">
        <v>152</v>
      </c>
      <c r="Z50">
        <v>41</v>
      </c>
      <c r="AA50" t="s">
        <v>420</v>
      </c>
      <c r="AB50" t="s">
        <v>507</v>
      </c>
      <c r="AC50">
        <v>2604000044</v>
      </c>
      <c r="AE50">
        <v>0</v>
      </c>
      <c r="AF50">
        <v>1</v>
      </c>
      <c r="AG50">
        <v>0</v>
      </c>
      <c r="AH50">
        <v>1.52</v>
      </c>
      <c r="AI50" t="s">
        <v>56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">
        <v>57</v>
      </c>
      <c r="AS50" t="s">
        <v>508</v>
      </c>
      <c r="AT50" t="s">
        <v>508</v>
      </c>
      <c r="AU50" t="s">
        <v>507</v>
      </c>
      <c r="AV50" t="s">
        <v>509</v>
      </c>
      <c r="AW50" t="s">
        <v>510</v>
      </c>
      <c r="AZ50">
        <v>26300</v>
      </c>
      <c r="BA50" t="s">
        <v>511</v>
      </c>
      <c r="BB50" t="s">
        <v>61</v>
      </c>
      <c r="BC50" t="s">
        <v>62</v>
      </c>
    </row>
    <row r="51" spans="1:55" x14ac:dyDescent="0.25">
      <c r="A51" s="1" t="str">
        <f>IF(COUNTIF(Catégories!A:A,X51)=0,"catégorie inconnue",_xlfn.XLOOKUP(X51,Catégories!A:A,Catégories!B:B))</f>
        <v>Frêt</v>
      </c>
      <c r="B51" s="1">
        <f t="shared" si="0"/>
        <v>0</v>
      </c>
      <c r="C51" s="1">
        <f t="shared" si="1"/>
        <v>0</v>
      </c>
      <c r="D51" s="1">
        <f t="shared" si="2"/>
        <v>0</v>
      </c>
      <c r="E51" s="20">
        <f>IF(AH51&lt;&gt;0,ROUNDUP(AH51,0),IF(BB51&lt;&gt;"FR","hors France",IF(AH51&lt;&gt;0,ROUNDUP(AH51,0),_xlfn.XLOOKUP(AJ51,'PA GLS'!B:B,'PA GLS'!A:A))))</f>
        <v>3</v>
      </c>
      <c r="F51">
        <v>2501382993</v>
      </c>
      <c r="G51">
        <v>1030219781</v>
      </c>
      <c r="H51" t="s">
        <v>366</v>
      </c>
      <c r="I51">
        <v>2500034092</v>
      </c>
      <c r="J51" t="s">
        <v>50</v>
      </c>
      <c r="K51">
        <v>9000009190</v>
      </c>
      <c r="L51">
        <v>46946</v>
      </c>
      <c r="M51" t="s">
        <v>51</v>
      </c>
      <c r="N51">
        <v>9000079830</v>
      </c>
      <c r="O51" t="s">
        <v>187</v>
      </c>
      <c r="S51">
        <v>2507012387</v>
      </c>
      <c r="T51" t="s">
        <v>50</v>
      </c>
      <c r="U51" t="s">
        <v>122</v>
      </c>
      <c r="V51" t="s">
        <v>176</v>
      </c>
      <c r="W51" t="s">
        <v>177</v>
      </c>
      <c r="X51" t="s">
        <v>152</v>
      </c>
      <c r="Z51">
        <v>41</v>
      </c>
      <c r="AA51" t="s">
        <v>420</v>
      </c>
      <c r="AB51" t="s">
        <v>512</v>
      </c>
      <c r="AC51">
        <v>2604000045</v>
      </c>
      <c r="AE51">
        <v>0</v>
      </c>
      <c r="AF51">
        <v>1</v>
      </c>
      <c r="AG51">
        <v>0</v>
      </c>
      <c r="AH51">
        <v>2.2400000000000002</v>
      </c>
      <c r="AI51" t="s">
        <v>56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57</v>
      </c>
      <c r="AS51" t="s">
        <v>513</v>
      </c>
      <c r="AT51" t="s">
        <v>513</v>
      </c>
      <c r="AU51" t="s">
        <v>512</v>
      </c>
      <c r="AV51" t="s">
        <v>514</v>
      </c>
      <c r="AW51" t="s">
        <v>515</v>
      </c>
      <c r="AZ51">
        <v>44000</v>
      </c>
      <c r="BA51" t="s">
        <v>80</v>
      </c>
      <c r="BB51" t="s">
        <v>61</v>
      </c>
      <c r="BC51" t="s">
        <v>62</v>
      </c>
    </row>
    <row r="52" spans="1:55" x14ac:dyDescent="0.25">
      <c r="A52" s="1" t="str">
        <f>IF(COUNTIF(Catégories!A:A,X52)=0,"catégorie inconnue",_xlfn.XLOOKUP(X52,Catégories!A:A,Catégories!B:B))</f>
        <v>Frêt</v>
      </c>
      <c r="B52" s="1">
        <f t="shared" si="0"/>
        <v>0</v>
      </c>
      <c r="C52" s="1">
        <f t="shared" si="1"/>
        <v>0</v>
      </c>
      <c r="D52" s="1">
        <f t="shared" si="2"/>
        <v>0</v>
      </c>
      <c r="E52" s="20">
        <f>IF(AH52&lt;&gt;0,ROUNDUP(AH52,0),IF(BB52&lt;&gt;"FR","hors France",IF(AH52&lt;&gt;0,ROUNDUP(AH52,0),_xlfn.XLOOKUP(AJ52,'PA GLS'!B:B,'PA GLS'!A:A))))</f>
        <v>3</v>
      </c>
      <c r="F52">
        <v>2501382993</v>
      </c>
      <c r="G52">
        <v>1030219781</v>
      </c>
      <c r="H52" t="s">
        <v>366</v>
      </c>
      <c r="I52">
        <v>2500034092</v>
      </c>
      <c r="J52" t="s">
        <v>50</v>
      </c>
      <c r="K52">
        <v>9000009190</v>
      </c>
      <c r="L52">
        <v>46946</v>
      </c>
      <c r="M52" t="s">
        <v>51</v>
      </c>
      <c r="N52">
        <v>9000079830</v>
      </c>
      <c r="O52" t="s">
        <v>187</v>
      </c>
      <c r="S52">
        <v>2507012387</v>
      </c>
      <c r="T52" t="s">
        <v>50</v>
      </c>
      <c r="U52" t="s">
        <v>122</v>
      </c>
      <c r="V52" t="s">
        <v>176</v>
      </c>
      <c r="W52" t="s">
        <v>177</v>
      </c>
      <c r="X52" t="s">
        <v>152</v>
      </c>
      <c r="Z52">
        <v>41</v>
      </c>
      <c r="AA52" t="s">
        <v>420</v>
      </c>
      <c r="AB52" t="s">
        <v>469</v>
      </c>
      <c r="AC52">
        <v>2604000046</v>
      </c>
      <c r="AE52">
        <v>0</v>
      </c>
      <c r="AF52">
        <v>1</v>
      </c>
      <c r="AG52">
        <v>0</v>
      </c>
      <c r="AH52">
        <v>2.2999999999999998</v>
      </c>
      <c r="AI52" t="s">
        <v>56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57</v>
      </c>
      <c r="AS52" t="s">
        <v>470</v>
      </c>
      <c r="AT52" t="s">
        <v>470</v>
      </c>
      <c r="AU52" t="s">
        <v>469</v>
      </c>
      <c r="AV52" t="s">
        <v>471</v>
      </c>
      <c r="AW52" t="s">
        <v>472</v>
      </c>
      <c r="AZ52">
        <v>49190</v>
      </c>
      <c r="BA52" t="s">
        <v>473</v>
      </c>
      <c r="BB52" t="s">
        <v>61</v>
      </c>
      <c r="BC52" t="s">
        <v>62</v>
      </c>
    </row>
    <row r="53" spans="1:55" x14ac:dyDescent="0.25">
      <c r="A53" s="1" t="str">
        <f>IF(COUNTIF(Catégories!A:A,X53)=0,"catégorie inconnue",_xlfn.XLOOKUP(X53,Catégories!A:A,Catégories!B:B))</f>
        <v>Frêt</v>
      </c>
      <c r="B53" s="1">
        <f t="shared" si="0"/>
        <v>0</v>
      </c>
      <c r="C53" s="1">
        <f t="shared" si="1"/>
        <v>0</v>
      </c>
      <c r="D53" s="1">
        <f t="shared" si="2"/>
        <v>0</v>
      </c>
      <c r="E53" s="20">
        <f>IF(AH53&lt;&gt;0,ROUNDUP(AH53,0),IF(BB53&lt;&gt;"FR","hors France",IF(AH53&lt;&gt;0,ROUNDUP(AH53,0),_xlfn.XLOOKUP(AJ53,'PA GLS'!B:B,'PA GLS'!A:A))))</f>
        <v>2</v>
      </c>
      <c r="F53">
        <v>2501382993</v>
      </c>
      <c r="G53">
        <v>1030219781</v>
      </c>
      <c r="H53" t="s">
        <v>366</v>
      </c>
      <c r="I53">
        <v>2500034092</v>
      </c>
      <c r="J53" t="s">
        <v>50</v>
      </c>
      <c r="K53">
        <v>9000009190</v>
      </c>
      <c r="L53">
        <v>46946</v>
      </c>
      <c r="M53" t="s">
        <v>51</v>
      </c>
      <c r="N53">
        <v>9000079830</v>
      </c>
      <c r="O53" t="s">
        <v>187</v>
      </c>
      <c r="S53">
        <v>2507012387</v>
      </c>
      <c r="T53" t="s">
        <v>50</v>
      </c>
      <c r="U53" t="s">
        <v>122</v>
      </c>
      <c r="V53" t="s">
        <v>176</v>
      </c>
      <c r="W53" t="s">
        <v>177</v>
      </c>
      <c r="X53" t="s">
        <v>152</v>
      </c>
      <c r="Z53">
        <v>41</v>
      </c>
      <c r="AA53" t="s">
        <v>420</v>
      </c>
      <c r="AB53" t="s">
        <v>516</v>
      </c>
      <c r="AC53">
        <v>2604000047</v>
      </c>
      <c r="AE53">
        <v>0</v>
      </c>
      <c r="AF53">
        <v>1</v>
      </c>
      <c r="AG53">
        <v>0</v>
      </c>
      <c r="AH53">
        <v>1.32</v>
      </c>
      <c r="AI53" t="s">
        <v>56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 t="s">
        <v>57</v>
      </c>
      <c r="AS53" t="s">
        <v>517</v>
      </c>
      <c r="AT53" t="s">
        <v>517</v>
      </c>
      <c r="AU53" t="s">
        <v>516</v>
      </c>
      <c r="AV53" t="s">
        <v>518</v>
      </c>
      <c r="AW53" t="s">
        <v>519</v>
      </c>
      <c r="AZ53">
        <v>90110</v>
      </c>
      <c r="BA53" t="s">
        <v>520</v>
      </c>
      <c r="BB53" t="s">
        <v>61</v>
      </c>
      <c r="BC53" t="s">
        <v>62</v>
      </c>
    </row>
    <row r="54" spans="1:55" x14ac:dyDescent="0.25">
      <c r="A54" s="1" t="str">
        <f>IF(COUNTIF(Catégories!A:A,X54)=0,"catégorie inconnue",_xlfn.XLOOKUP(X54,Catégories!A:A,Catégories!B:B))</f>
        <v>Frêt</v>
      </c>
      <c r="B54" s="1">
        <f t="shared" si="0"/>
        <v>0</v>
      </c>
      <c r="C54" s="1">
        <f t="shared" si="1"/>
        <v>0</v>
      </c>
      <c r="D54" s="1">
        <f t="shared" si="2"/>
        <v>0</v>
      </c>
      <c r="E54" s="20">
        <f>IF(AH54&lt;&gt;0,ROUNDUP(AH54,0),IF(BB54&lt;&gt;"FR","hors France",IF(AH54&lt;&gt;0,ROUNDUP(AH54,0),_xlfn.XLOOKUP(AJ54,'PA GLS'!B:B,'PA GLS'!A:A))))</f>
        <v>1</v>
      </c>
      <c r="F54">
        <v>2501382993</v>
      </c>
      <c r="G54">
        <v>1030219781</v>
      </c>
      <c r="H54" t="s">
        <v>366</v>
      </c>
      <c r="I54">
        <v>2500034092</v>
      </c>
      <c r="J54" t="s">
        <v>50</v>
      </c>
      <c r="K54">
        <v>9000009190</v>
      </c>
      <c r="L54">
        <v>46946</v>
      </c>
      <c r="M54" t="s">
        <v>51</v>
      </c>
      <c r="N54">
        <v>9000079830</v>
      </c>
      <c r="O54" t="s">
        <v>187</v>
      </c>
      <c r="S54">
        <v>2507012387</v>
      </c>
      <c r="T54" t="s">
        <v>50</v>
      </c>
      <c r="U54" t="s">
        <v>122</v>
      </c>
      <c r="V54" t="s">
        <v>176</v>
      </c>
      <c r="W54" t="s">
        <v>177</v>
      </c>
      <c r="X54" t="s">
        <v>152</v>
      </c>
      <c r="Z54">
        <v>41</v>
      </c>
      <c r="AA54" t="s">
        <v>420</v>
      </c>
      <c r="AB54" t="s">
        <v>454</v>
      </c>
      <c r="AC54">
        <v>2604000048</v>
      </c>
      <c r="AE54">
        <v>0</v>
      </c>
      <c r="AF54">
        <v>1</v>
      </c>
      <c r="AG54">
        <v>0</v>
      </c>
      <c r="AH54">
        <v>0.45</v>
      </c>
      <c r="AI54" t="s">
        <v>56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57</v>
      </c>
      <c r="AS54" t="s">
        <v>455</v>
      </c>
      <c r="AT54" t="s">
        <v>455</v>
      </c>
      <c r="AU54" t="s">
        <v>454</v>
      </c>
      <c r="AV54" t="s">
        <v>456</v>
      </c>
      <c r="AW54" t="s">
        <v>457</v>
      </c>
      <c r="AZ54">
        <v>93230</v>
      </c>
      <c r="BA54" t="s">
        <v>458</v>
      </c>
      <c r="BB54" t="s">
        <v>61</v>
      </c>
      <c r="BC54" t="s">
        <v>62</v>
      </c>
    </row>
    <row r="55" spans="1:55" x14ac:dyDescent="0.25">
      <c r="A55" s="1" t="str">
        <f>IF(COUNTIF(Catégories!A:A,X55)=0,"catégorie inconnue",_xlfn.XLOOKUP(X55,Catégories!A:A,Catégories!B:B))</f>
        <v>Frêt</v>
      </c>
      <c r="B55" s="1">
        <f t="shared" si="0"/>
        <v>0</v>
      </c>
      <c r="C55" s="1">
        <f t="shared" si="1"/>
        <v>0</v>
      </c>
      <c r="D55" s="1">
        <f t="shared" si="2"/>
        <v>0</v>
      </c>
      <c r="E55" s="20">
        <f>IF(AH55&lt;&gt;0,ROUNDUP(AH55,0),IF(BB55&lt;&gt;"FR","hors France",IF(AH55&lt;&gt;0,ROUNDUP(AH55,0),_xlfn.XLOOKUP(AJ55,'PA GLS'!B:B,'PA GLS'!A:A))))</f>
        <v>1</v>
      </c>
      <c r="F55">
        <v>2501382993</v>
      </c>
      <c r="G55">
        <v>1030219781</v>
      </c>
      <c r="H55" t="s">
        <v>366</v>
      </c>
      <c r="I55">
        <v>2500034092</v>
      </c>
      <c r="J55" t="s">
        <v>50</v>
      </c>
      <c r="K55">
        <v>9000009190</v>
      </c>
      <c r="L55">
        <v>46946</v>
      </c>
      <c r="M55" t="s">
        <v>51</v>
      </c>
      <c r="N55">
        <v>9000079830</v>
      </c>
      <c r="O55" t="s">
        <v>187</v>
      </c>
      <c r="S55">
        <v>2507012387</v>
      </c>
      <c r="T55" t="s">
        <v>50</v>
      </c>
      <c r="U55" t="s">
        <v>122</v>
      </c>
      <c r="V55" t="s">
        <v>176</v>
      </c>
      <c r="W55" t="s">
        <v>177</v>
      </c>
      <c r="X55" t="s">
        <v>152</v>
      </c>
      <c r="Z55">
        <v>41</v>
      </c>
      <c r="AA55" t="s">
        <v>420</v>
      </c>
      <c r="AB55" t="s">
        <v>449</v>
      </c>
      <c r="AC55">
        <v>2604000049</v>
      </c>
      <c r="AE55">
        <v>0</v>
      </c>
      <c r="AF55">
        <v>1</v>
      </c>
      <c r="AG55">
        <v>0</v>
      </c>
      <c r="AH55">
        <v>0.5</v>
      </c>
      <c r="AI55" t="s">
        <v>56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57</v>
      </c>
      <c r="AS55" t="s">
        <v>450</v>
      </c>
      <c r="AT55" t="s">
        <v>450</v>
      </c>
      <c r="AU55" t="s">
        <v>449</v>
      </c>
      <c r="AV55" t="s">
        <v>451</v>
      </c>
      <c r="AW55" t="s">
        <v>452</v>
      </c>
      <c r="AZ55">
        <v>85220</v>
      </c>
      <c r="BA55" t="s">
        <v>453</v>
      </c>
      <c r="BB55" t="s">
        <v>61</v>
      </c>
      <c r="BC55" t="s">
        <v>62</v>
      </c>
    </row>
    <row r="56" spans="1:55" x14ac:dyDescent="0.25">
      <c r="A56" s="1" t="str">
        <f>IF(COUNTIF(Catégories!A:A,X56)=0,"catégorie inconnue",_xlfn.XLOOKUP(X56,Catégories!A:A,Catégories!B:B))</f>
        <v>Frêt</v>
      </c>
      <c r="B56" s="1">
        <f t="shared" si="0"/>
        <v>0</v>
      </c>
      <c r="C56" s="1">
        <f t="shared" si="1"/>
        <v>0</v>
      </c>
      <c r="D56" s="1">
        <f t="shared" si="2"/>
        <v>0</v>
      </c>
      <c r="E56" s="20">
        <f>IF(AH56&lt;&gt;0,ROUNDUP(AH56,0),IF(BB56&lt;&gt;"FR","hors France",IF(AH56&lt;&gt;0,ROUNDUP(AH56,0),_xlfn.XLOOKUP(AJ56,'PA GLS'!B:B,'PA GLS'!A:A))))</f>
        <v>2</v>
      </c>
      <c r="F56">
        <v>2501382993</v>
      </c>
      <c r="G56">
        <v>1030219781</v>
      </c>
      <c r="H56" t="s">
        <v>366</v>
      </c>
      <c r="I56">
        <v>2500034092</v>
      </c>
      <c r="J56" t="s">
        <v>50</v>
      </c>
      <c r="K56">
        <v>9000009190</v>
      </c>
      <c r="L56">
        <v>46946</v>
      </c>
      <c r="M56" t="s">
        <v>51</v>
      </c>
      <c r="N56">
        <v>9000079830</v>
      </c>
      <c r="O56" t="s">
        <v>187</v>
      </c>
      <c r="S56">
        <v>2507012387</v>
      </c>
      <c r="T56" t="s">
        <v>50</v>
      </c>
      <c r="U56" t="s">
        <v>122</v>
      </c>
      <c r="V56" t="s">
        <v>176</v>
      </c>
      <c r="W56" t="s">
        <v>177</v>
      </c>
      <c r="X56" t="s">
        <v>152</v>
      </c>
      <c r="Z56">
        <v>41</v>
      </c>
      <c r="AA56" t="s">
        <v>420</v>
      </c>
      <c r="AB56" t="s">
        <v>521</v>
      </c>
      <c r="AC56">
        <v>2604000050</v>
      </c>
      <c r="AE56">
        <v>0</v>
      </c>
      <c r="AF56">
        <v>1</v>
      </c>
      <c r="AG56">
        <v>0</v>
      </c>
      <c r="AH56">
        <v>1.1399999999999999</v>
      </c>
      <c r="AI56" t="s">
        <v>56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57</v>
      </c>
      <c r="AS56" t="s">
        <v>522</v>
      </c>
      <c r="AT56" t="s">
        <v>522</v>
      </c>
      <c r="AU56" t="s">
        <v>521</v>
      </c>
      <c r="AV56" t="s">
        <v>523</v>
      </c>
      <c r="AW56" t="s">
        <v>524</v>
      </c>
      <c r="AZ56">
        <v>31400</v>
      </c>
      <c r="BA56" t="s">
        <v>218</v>
      </c>
      <c r="BB56" t="s">
        <v>61</v>
      </c>
      <c r="BC56" t="s">
        <v>62</v>
      </c>
    </row>
    <row r="57" spans="1:55" x14ac:dyDescent="0.25">
      <c r="A57" s="1" t="str">
        <f>IF(COUNTIF(Catégories!A:A,X57)=0,"catégorie inconnue",_xlfn.XLOOKUP(X57,Catégories!A:A,Catégories!B:B))</f>
        <v>Frêt</v>
      </c>
      <c r="B57" s="1">
        <f t="shared" si="0"/>
        <v>0</v>
      </c>
      <c r="C57" s="1">
        <f t="shared" si="1"/>
        <v>0</v>
      </c>
      <c r="D57" s="1">
        <f t="shared" si="2"/>
        <v>0</v>
      </c>
      <c r="E57" s="20">
        <f>IF(AH57&lt;&gt;0,ROUNDUP(AH57,0),IF(BB57&lt;&gt;"FR","hors France",IF(AH57&lt;&gt;0,ROUNDUP(AH57,0),_xlfn.XLOOKUP(AJ57,'PA GLS'!B:B,'PA GLS'!A:A))))</f>
        <v>5</v>
      </c>
      <c r="F57">
        <v>2501382993</v>
      </c>
      <c r="G57">
        <v>1030219781</v>
      </c>
      <c r="H57" t="s">
        <v>366</v>
      </c>
      <c r="I57">
        <v>2500034092</v>
      </c>
      <c r="J57" t="s">
        <v>50</v>
      </c>
      <c r="K57">
        <v>9000009190</v>
      </c>
      <c r="L57">
        <v>46946</v>
      </c>
      <c r="M57" t="s">
        <v>51</v>
      </c>
      <c r="N57">
        <v>9000079830</v>
      </c>
      <c r="O57" t="s">
        <v>187</v>
      </c>
      <c r="S57">
        <v>2507012387</v>
      </c>
      <c r="T57" t="s">
        <v>50</v>
      </c>
      <c r="U57" t="s">
        <v>122</v>
      </c>
      <c r="V57" t="s">
        <v>176</v>
      </c>
      <c r="W57" t="s">
        <v>177</v>
      </c>
      <c r="X57" t="s">
        <v>152</v>
      </c>
      <c r="Z57">
        <v>41</v>
      </c>
      <c r="AA57" t="s">
        <v>420</v>
      </c>
      <c r="AB57" t="s">
        <v>464</v>
      </c>
      <c r="AC57">
        <v>2604000051</v>
      </c>
      <c r="AE57">
        <v>0</v>
      </c>
      <c r="AF57">
        <v>1</v>
      </c>
      <c r="AG57">
        <v>0</v>
      </c>
      <c r="AH57">
        <v>4.8</v>
      </c>
      <c r="AI57" t="s">
        <v>56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57</v>
      </c>
      <c r="AS57" t="s">
        <v>465</v>
      </c>
      <c r="AT57" t="s">
        <v>465</v>
      </c>
      <c r="AU57" t="s">
        <v>464</v>
      </c>
      <c r="AV57" t="s">
        <v>466</v>
      </c>
      <c r="AW57" t="s">
        <v>467</v>
      </c>
      <c r="AZ57">
        <v>51370</v>
      </c>
      <c r="BA57" t="s">
        <v>468</v>
      </c>
      <c r="BB57" t="s">
        <v>61</v>
      </c>
      <c r="BC57" t="s">
        <v>62</v>
      </c>
    </row>
    <row r="58" spans="1:55" x14ac:dyDescent="0.25">
      <c r="A58" s="1" t="str">
        <f>IF(COUNTIF(Catégories!A:A,X58)=0,"catégorie inconnue",_xlfn.XLOOKUP(X58,Catégories!A:A,Catégories!B:B))</f>
        <v>Frêt</v>
      </c>
      <c r="B58" s="1">
        <f t="shared" si="0"/>
        <v>0</v>
      </c>
      <c r="C58" s="1">
        <f t="shared" si="1"/>
        <v>0</v>
      </c>
      <c r="D58" s="1">
        <f t="shared" si="2"/>
        <v>0</v>
      </c>
      <c r="E58" s="20">
        <f>IF(AH58&lt;&gt;0,ROUNDUP(AH58,0),IF(BB58&lt;&gt;"FR","hors France",IF(AH58&lt;&gt;0,ROUNDUP(AH58,0),_xlfn.XLOOKUP(AJ58,'PA GLS'!B:B,'PA GLS'!A:A))))</f>
        <v>2</v>
      </c>
      <c r="F58">
        <v>2501382993</v>
      </c>
      <c r="G58">
        <v>1030219781</v>
      </c>
      <c r="H58" t="s">
        <v>366</v>
      </c>
      <c r="I58">
        <v>2500034092</v>
      </c>
      <c r="J58" t="s">
        <v>50</v>
      </c>
      <c r="K58">
        <v>9000009190</v>
      </c>
      <c r="L58">
        <v>46946</v>
      </c>
      <c r="M58" t="s">
        <v>51</v>
      </c>
      <c r="N58">
        <v>9000079830</v>
      </c>
      <c r="O58" t="s">
        <v>187</v>
      </c>
      <c r="S58">
        <v>2507012387</v>
      </c>
      <c r="T58" t="s">
        <v>50</v>
      </c>
      <c r="U58" t="s">
        <v>122</v>
      </c>
      <c r="V58" t="s">
        <v>176</v>
      </c>
      <c r="W58" t="s">
        <v>177</v>
      </c>
      <c r="X58" t="s">
        <v>152</v>
      </c>
      <c r="Z58">
        <v>41</v>
      </c>
      <c r="AA58" t="s">
        <v>420</v>
      </c>
      <c r="AB58" t="s">
        <v>525</v>
      </c>
      <c r="AC58">
        <v>2604000052</v>
      </c>
      <c r="AE58">
        <v>0</v>
      </c>
      <c r="AF58">
        <v>1</v>
      </c>
      <c r="AG58">
        <v>0</v>
      </c>
      <c r="AH58">
        <v>1.2</v>
      </c>
      <c r="AI58" t="s">
        <v>56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57</v>
      </c>
      <c r="AS58" t="s">
        <v>526</v>
      </c>
      <c r="AT58" t="s">
        <v>526</v>
      </c>
      <c r="AU58" t="s">
        <v>525</v>
      </c>
      <c r="AV58" t="s">
        <v>527</v>
      </c>
      <c r="AW58" t="s">
        <v>528</v>
      </c>
      <c r="AZ58">
        <v>92170</v>
      </c>
      <c r="BA58" t="s">
        <v>269</v>
      </c>
      <c r="BB58" t="s">
        <v>61</v>
      </c>
      <c r="BC58" t="s">
        <v>62</v>
      </c>
    </row>
    <row r="59" spans="1:55" x14ac:dyDescent="0.25">
      <c r="A59" s="1" t="str">
        <f>IF(COUNTIF(Catégories!A:A,X59)=0,"catégorie inconnue",_xlfn.XLOOKUP(X59,Catégories!A:A,Catégories!B:B))</f>
        <v>Frêt</v>
      </c>
      <c r="B59" s="1">
        <f t="shared" si="0"/>
        <v>0</v>
      </c>
      <c r="C59" s="1">
        <f t="shared" si="1"/>
        <v>0</v>
      </c>
      <c r="D59" s="1">
        <f t="shared" si="2"/>
        <v>0</v>
      </c>
      <c r="E59" s="20">
        <f>IF(AH59&lt;&gt;0,ROUNDUP(AH59,0),IF(BB59&lt;&gt;"FR","hors France",IF(AH59&lt;&gt;0,ROUNDUP(AH59,0),_xlfn.XLOOKUP(AJ59,'PA GLS'!B:B,'PA GLS'!A:A))))</f>
        <v>1</v>
      </c>
      <c r="F59">
        <v>2501382993</v>
      </c>
      <c r="G59">
        <v>1030219781</v>
      </c>
      <c r="H59" t="s">
        <v>366</v>
      </c>
      <c r="I59">
        <v>2500034092</v>
      </c>
      <c r="J59" t="s">
        <v>50</v>
      </c>
      <c r="K59">
        <v>9000009190</v>
      </c>
      <c r="L59">
        <v>46946</v>
      </c>
      <c r="M59" t="s">
        <v>51</v>
      </c>
      <c r="N59">
        <v>9000079830</v>
      </c>
      <c r="O59" t="s">
        <v>187</v>
      </c>
      <c r="S59">
        <v>2507012387</v>
      </c>
      <c r="T59" t="s">
        <v>50</v>
      </c>
      <c r="U59" t="s">
        <v>122</v>
      </c>
      <c r="V59" t="s">
        <v>176</v>
      </c>
      <c r="W59" t="s">
        <v>177</v>
      </c>
      <c r="X59" t="s">
        <v>152</v>
      </c>
      <c r="Z59">
        <v>41</v>
      </c>
      <c r="AA59" t="s">
        <v>420</v>
      </c>
      <c r="AB59" t="s">
        <v>440</v>
      </c>
      <c r="AC59">
        <v>2604000053</v>
      </c>
      <c r="AE59">
        <v>0</v>
      </c>
      <c r="AF59">
        <v>1</v>
      </c>
      <c r="AG59">
        <v>0</v>
      </c>
      <c r="AH59">
        <v>0.84</v>
      </c>
      <c r="AI59" t="s">
        <v>56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57</v>
      </c>
      <c r="AS59" t="s">
        <v>441</v>
      </c>
      <c r="AT59" t="s">
        <v>441</v>
      </c>
      <c r="AU59" t="s">
        <v>440</v>
      </c>
      <c r="AV59" t="s">
        <v>442</v>
      </c>
      <c r="AW59" t="s">
        <v>443</v>
      </c>
      <c r="AZ59">
        <v>13090</v>
      </c>
      <c r="BA59" t="s">
        <v>235</v>
      </c>
      <c r="BB59" t="s">
        <v>61</v>
      </c>
      <c r="BC59" t="s">
        <v>62</v>
      </c>
    </row>
    <row r="60" spans="1:55" x14ac:dyDescent="0.25">
      <c r="A60" s="1" t="str">
        <f>IF(COUNTIF(Catégories!A:A,X60)=0,"catégorie inconnue",_xlfn.XLOOKUP(X60,Catégories!A:A,Catégories!B:B))</f>
        <v>Frêt</v>
      </c>
      <c r="B60" s="1">
        <f t="shared" si="0"/>
        <v>0</v>
      </c>
      <c r="C60" s="1">
        <f t="shared" si="1"/>
        <v>0</v>
      </c>
      <c r="D60" s="1">
        <f t="shared" si="2"/>
        <v>0</v>
      </c>
      <c r="E60" s="20">
        <f>IF(AH60&lt;&gt;0,ROUNDUP(AH60,0),IF(BB60&lt;&gt;"FR","hors France",IF(AH60&lt;&gt;0,ROUNDUP(AH60,0),_xlfn.XLOOKUP(AJ60,'PA GLS'!B:B,'PA GLS'!A:A))))</f>
        <v>2</v>
      </c>
      <c r="F60">
        <v>2501382993</v>
      </c>
      <c r="G60">
        <v>1030219781</v>
      </c>
      <c r="H60" t="s">
        <v>366</v>
      </c>
      <c r="I60">
        <v>2500034092</v>
      </c>
      <c r="J60" t="s">
        <v>50</v>
      </c>
      <c r="K60">
        <v>9000009190</v>
      </c>
      <c r="L60">
        <v>46946</v>
      </c>
      <c r="M60" t="s">
        <v>51</v>
      </c>
      <c r="N60">
        <v>9000079830</v>
      </c>
      <c r="O60" t="s">
        <v>187</v>
      </c>
      <c r="S60">
        <v>2507012387</v>
      </c>
      <c r="T60" t="s">
        <v>50</v>
      </c>
      <c r="U60" t="s">
        <v>122</v>
      </c>
      <c r="V60" t="s">
        <v>176</v>
      </c>
      <c r="W60" t="s">
        <v>177</v>
      </c>
      <c r="X60" t="s">
        <v>152</v>
      </c>
      <c r="Z60">
        <v>41</v>
      </c>
      <c r="AA60" t="s">
        <v>420</v>
      </c>
      <c r="AB60" t="s">
        <v>529</v>
      </c>
      <c r="AC60">
        <v>2604000054</v>
      </c>
      <c r="AE60">
        <v>0</v>
      </c>
      <c r="AF60">
        <v>1</v>
      </c>
      <c r="AG60">
        <v>0</v>
      </c>
      <c r="AH60">
        <v>1.66</v>
      </c>
      <c r="AI60" t="s">
        <v>56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57</v>
      </c>
      <c r="AS60" t="s">
        <v>530</v>
      </c>
      <c r="AT60" t="s">
        <v>530</v>
      </c>
      <c r="AU60" t="s">
        <v>529</v>
      </c>
      <c r="AV60" t="s">
        <v>531</v>
      </c>
      <c r="AW60" t="s">
        <v>532</v>
      </c>
      <c r="AZ60">
        <v>75001</v>
      </c>
      <c r="BA60" t="s">
        <v>65</v>
      </c>
      <c r="BB60" t="s">
        <v>61</v>
      </c>
      <c r="BC60" t="s">
        <v>62</v>
      </c>
    </row>
    <row r="61" spans="1:55" x14ac:dyDescent="0.25">
      <c r="A61" s="1" t="str">
        <f>IF(COUNTIF(Catégories!A:A,X61)=0,"catégorie inconnue",_xlfn.XLOOKUP(X61,Catégories!A:A,Catégories!B:B))</f>
        <v>Frêt</v>
      </c>
      <c r="B61" s="1">
        <f t="shared" si="0"/>
        <v>7.4300000000000006</v>
      </c>
      <c r="C61" s="1">
        <f t="shared" si="1"/>
        <v>1.64</v>
      </c>
      <c r="D61" s="1">
        <f t="shared" si="2"/>
        <v>5.7900000000000009</v>
      </c>
      <c r="E61" s="20">
        <f>IF(AH61&lt;&gt;0,ROUNDUP(AH61,0),IF(BB61&lt;&gt;"FR","hors France",IF(AH61&lt;&gt;0,ROUNDUP(AH61,0),_xlfn.XLOOKUP(AJ61,'PA GLS'!B:B,'PA GLS'!A:A))))</f>
        <v>3</v>
      </c>
      <c r="F61">
        <v>2501382993</v>
      </c>
      <c r="G61">
        <v>1030219781</v>
      </c>
      <c r="H61" t="s">
        <v>366</v>
      </c>
      <c r="I61">
        <v>2500034092</v>
      </c>
      <c r="J61" t="s">
        <v>50</v>
      </c>
      <c r="K61">
        <v>9000009190</v>
      </c>
      <c r="L61">
        <v>46946</v>
      </c>
      <c r="M61" t="s">
        <v>51</v>
      </c>
      <c r="N61">
        <v>9000079830</v>
      </c>
      <c r="O61" t="s">
        <v>187</v>
      </c>
      <c r="S61">
        <v>2507012387</v>
      </c>
      <c r="T61" t="s">
        <v>50</v>
      </c>
      <c r="U61" t="s">
        <v>122</v>
      </c>
      <c r="V61" t="s">
        <v>58</v>
      </c>
      <c r="W61" t="s">
        <v>59</v>
      </c>
      <c r="X61" t="s">
        <v>60</v>
      </c>
      <c r="Z61">
        <v>46</v>
      </c>
      <c r="AA61" t="s">
        <v>420</v>
      </c>
      <c r="AB61" t="s">
        <v>512</v>
      </c>
      <c r="AC61">
        <v>2604000045</v>
      </c>
      <c r="AE61">
        <v>0</v>
      </c>
      <c r="AF61">
        <v>0</v>
      </c>
      <c r="AG61">
        <v>0</v>
      </c>
      <c r="AH61">
        <v>0</v>
      </c>
      <c r="AI61" t="s">
        <v>56</v>
      </c>
      <c r="AJ61">
        <v>4.74</v>
      </c>
      <c r="AK61">
        <v>0.9</v>
      </c>
      <c r="AL61">
        <v>0.15</v>
      </c>
      <c r="AM61">
        <v>29.1</v>
      </c>
      <c r="AN61">
        <v>1.64</v>
      </c>
      <c r="AO61">
        <v>0</v>
      </c>
      <c r="AP61">
        <v>0</v>
      </c>
      <c r="AQ61" t="s">
        <v>57</v>
      </c>
      <c r="AS61" t="s">
        <v>513</v>
      </c>
      <c r="AT61" t="s">
        <v>513</v>
      </c>
      <c r="AU61" t="s">
        <v>512</v>
      </c>
      <c r="AV61" t="s">
        <v>514</v>
      </c>
      <c r="AW61" t="s">
        <v>515</v>
      </c>
      <c r="AZ61">
        <v>44000</v>
      </c>
      <c r="BA61" t="s">
        <v>80</v>
      </c>
      <c r="BB61" t="s">
        <v>61</v>
      </c>
      <c r="BC61" t="s">
        <v>62</v>
      </c>
    </row>
    <row r="62" spans="1:55" x14ac:dyDescent="0.25">
      <c r="A62" s="1" t="str">
        <f>IF(COUNTIF(Catégories!A:A,X62)=0,"catégorie inconnue",_xlfn.XLOOKUP(X62,Catégories!A:A,Catégories!B:B))</f>
        <v>Frêt</v>
      </c>
      <c r="B62" s="1">
        <f t="shared" si="0"/>
        <v>7.4300000000000006</v>
      </c>
      <c r="C62" s="1">
        <f t="shared" si="1"/>
        <v>1.64</v>
      </c>
      <c r="D62" s="1">
        <f t="shared" si="2"/>
        <v>5.7900000000000009</v>
      </c>
      <c r="E62" s="20">
        <f>IF(AH62&lt;&gt;0,ROUNDUP(AH62,0),IF(BB62&lt;&gt;"FR","hors France",IF(AH62&lt;&gt;0,ROUNDUP(AH62,0),_xlfn.XLOOKUP(AJ62,'PA GLS'!B:B,'PA GLS'!A:A))))</f>
        <v>3</v>
      </c>
      <c r="F62">
        <v>2501382993</v>
      </c>
      <c r="G62">
        <v>1030219781</v>
      </c>
      <c r="H62" t="s">
        <v>366</v>
      </c>
      <c r="I62">
        <v>2500034092</v>
      </c>
      <c r="J62" t="s">
        <v>50</v>
      </c>
      <c r="K62">
        <v>9000009190</v>
      </c>
      <c r="L62">
        <v>46946</v>
      </c>
      <c r="M62" t="s">
        <v>51</v>
      </c>
      <c r="N62">
        <v>9000079830</v>
      </c>
      <c r="O62" t="s">
        <v>187</v>
      </c>
      <c r="S62">
        <v>2507012387</v>
      </c>
      <c r="T62" t="s">
        <v>50</v>
      </c>
      <c r="U62" t="s">
        <v>122</v>
      </c>
      <c r="V62" t="s">
        <v>58</v>
      </c>
      <c r="W62" t="s">
        <v>59</v>
      </c>
      <c r="X62" t="s">
        <v>60</v>
      </c>
      <c r="Z62">
        <v>46</v>
      </c>
      <c r="AA62" t="s">
        <v>420</v>
      </c>
      <c r="AB62" t="s">
        <v>474</v>
      </c>
      <c r="AC62">
        <v>2604000034</v>
      </c>
      <c r="AE62">
        <v>0</v>
      </c>
      <c r="AF62">
        <v>0</v>
      </c>
      <c r="AG62">
        <v>0</v>
      </c>
      <c r="AH62">
        <v>0</v>
      </c>
      <c r="AI62" t="s">
        <v>56</v>
      </c>
      <c r="AJ62">
        <v>4.74</v>
      </c>
      <c r="AK62">
        <v>0.9</v>
      </c>
      <c r="AL62">
        <v>0.15</v>
      </c>
      <c r="AM62">
        <v>29.1</v>
      </c>
      <c r="AN62">
        <v>1.64</v>
      </c>
      <c r="AO62">
        <v>0</v>
      </c>
      <c r="AP62">
        <v>0</v>
      </c>
      <c r="AQ62" t="s">
        <v>57</v>
      </c>
      <c r="AS62" t="s">
        <v>475</v>
      </c>
      <c r="AT62" t="s">
        <v>475</v>
      </c>
      <c r="AU62" t="s">
        <v>474</v>
      </c>
      <c r="AV62" t="s">
        <v>476</v>
      </c>
      <c r="AW62" t="s">
        <v>477</v>
      </c>
      <c r="AZ62">
        <v>56190</v>
      </c>
      <c r="BA62" t="s">
        <v>478</v>
      </c>
      <c r="BB62" t="s">
        <v>61</v>
      </c>
      <c r="BC62" t="s">
        <v>62</v>
      </c>
    </row>
    <row r="63" spans="1:55" x14ac:dyDescent="0.25">
      <c r="A63" s="1" t="str">
        <f>IF(COUNTIF(Catégories!A:A,X63)=0,"catégorie inconnue",_xlfn.XLOOKUP(X63,Catégories!A:A,Catégories!B:B))</f>
        <v>Frêt</v>
      </c>
      <c r="B63" s="1">
        <f t="shared" si="0"/>
        <v>7.0100000000000007</v>
      </c>
      <c r="C63" s="1">
        <f t="shared" si="1"/>
        <v>1.54</v>
      </c>
      <c r="D63" s="1">
        <f t="shared" si="2"/>
        <v>5.4700000000000006</v>
      </c>
      <c r="E63" s="20">
        <f>IF(AH63&lt;&gt;0,ROUNDUP(AH63,0),IF(BB63&lt;&gt;"FR","hors France",IF(AH63&lt;&gt;0,ROUNDUP(AH63,0),_xlfn.XLOOKUP(AJ63,'PA GLS'!B:B,'PA GLS'!A:A))))</f>
        <v>2</v>
      </c>
      <c r="F63">
        <v>2501382993</v>
      </c>
      <c r="G63">
        <v>1030219781</v>
      </c>
      <c r="H63" t="s">
        <v>366</v>
      </c>
      <c r="I63">
        <v>2500034092</v>
      </c>
      <c r="J63" t="s">
        <v>50</v>
      </c>
      <c r="K63">
        <v>9000009190</v>
      </c>
      <c r="L63">
        <v>46946</v>
      </c>
      <c r="M63" t="s">
        <v>51</v>
      </c>
      <c r="N63">
        <v>9000079830</v>
      </c>
      <c r="O63" t="s">
        <v>187</v>
      </c>
      <c r="S63">
        <v>2507012387</v>
      </c>
      <c r="T63" t="s">
        <v>50</v>
      </c>
      <c r="U63" t="s">
        <v>122</v>
      </c>
      <c r="V63" t="s">
        <v>77</v>
      </c>
      <c r="W63" t="s">
        <v>78</v>
      </c>
      <c r="X63" t="s">
        <v>60</v>
      </c>
      <c r="Z63">
        <v>45</v>
      </c>
      <c r="AA63" t="s">
        <v>420</v>
      </c>
      <c r="AB63" t="s">
        <v>529</v>
      </c>
      <c r="AC63">
        <v>2604000054</v>
      </c>
      <c r="AE63">
        <v>0</v>
      </c>
      <c r="AF63">
        <v>0</v>
      </c>
      <c r="AG63">
        <v>0</v>
      </c>
      <c r="AH63">
        <v>0</v>
      </c>
      <c r="AI63" t="s">
        <v>56</v>
      </c>
      <c r="AJ63">
        <v>4.42</v>
      </c>
      <c r="AK63">
        <v>0.9</v>
      </c>
      <c r="AL63">
        <v>0.15</v>
      </c>
      <c r="AM63">
        <v>29.1</v>
      </c>
      <c r="AN63">
        <v>1.54</v>
      </c>
      <c r="AO63">
        <v>0</v>
      </c>
      <c r="AP63">
        <v>0</v>
      </c>
      <c r="AQ63" t="s">
        <v>57</v>
      </c>
      <c r="AS63" t="s">
        <v>530</v>
      </c>
      <c r="AT63" t="s">
        <v>530</v>
      </c>
      <c r="AU63" t="s">
        <v>529</v>
      </c>
      <c r="AV63" t="s">
        <v>531</v>
      </c>
      <c r="AW63" t="s">
        <v>532</v>
      </c>
      <c r="AZ63">
        <v>75001</v>
      </c>
      <c r="BA63" t="s">
        <v>65</v>
      </c>
      <c r="BB63" t="s">
        <v>61</v>
      </c>
      <c r="BC63" t="s">
        <v>62</v>
      </c>
    </row>
    <row r="64" spans="1:55" x14ac:dyDescent="0.25">
      <c r="A64" s="1" t="str">
        <f>IF(COUNTIF(Catégories!A:A,X64)=0,"catégorie inconnue",_xlfn.XLOOKUP(X64,Catégories!A:A,Catégories!B:B))</f>
        <v>Frêt</v>
      </c>
      <c r="B64" s="1">
        <f t="shared" si="0"/>
        <v>7.0100000000000007</v>
      </c>
      <c r="C64" s="1">
        <f t="shared" si="1"/>
        <v>1.54</v>
      </c>
      <c r="D64" s="1">
        <f t="shared" si="2"/>
        <v>5.4700000000000006</v>
      </c>
      <c r="E64" s="20">
        <f>IF(AH64&lt;&gt;0,ROUNDUP(AH64,0),IF(BB64&lt;&gt;"FR","hors France",IF(AH64&lt;&gt;0,ROUNDUP(AH64,0),_xlfn.XLOOKUP(AJ64,'PA GLS'!B:B,'PA GLS'!A:A))))</f>
        <v>2</v>
      </c>
      <c r="F64">
        <v>2501382993</v>
      </c>
      <c r="G64">
        <v>1030219781</v>
      </c>
      <c r="H64" t="s">
        <v>366</v>
      </c>
      <c r="I64">
        <v>2500034092</v>
      </c>
      <c r="J64" t="s">
        <v>50</v>
      </c>
      <c r="K64">
        <v>9000009190</v>
      </c>
      <c r="L64">
        <v>46946</v>
      </c>
      <c r="M64" t="s">
        <v>51</v>
      </c>
      <c r="N64">
        <v>9000079830</v>
      </c>
      <c r="O64" t="s">
        <v>187</v>
      </c>
      <c r="S64">
        <v>2507012387</v>
      </c>
      <c r="T64" t="s">
        <v>50</v>
      </c>
      <c r="U64" t="s">
        <v>122</v>
      </c>
      <c r="V64" t="s">
        <v>77</v>
      </c>
      <c r="W64" t="s">
        <v>78</v>
      </c>
      <c r="X64" t="s">
        <v>60</v>
      </c>
      <c r="Z64">
        <v>45</v>
      </c>
      <c r="AA64" t="s">
        <v>420</v>
      </c>
      <c r="AB64" t="s">
        <v>507</v>
      </c>
      <c r="AC64">
        <v>2604000044</v>
      </c>
      <c r="AE64">
        <v>0</v>
      </c>
      <c r="AF64">
        <v>0</v>
      </c>
      <c r="AG64">
        <v>0</v>
      </c>
      <c r="AH64">
        <v>0</v>
      </c>
      <c r="AI64" t="s">
        <v>56</v>
      </c>
      <c r="AJ64">
        <v>4.42</v>
      </c>
      <c r="AK64">
        <v>0.9</v>
      </c>
      <c r="AL64">
        <v>0.15</v>
      </c>
      <c r="AM64">
        <v>29.1</v>
      </c>
      <c r="AN64">
        <v>1.54</v>
      </c>
      <c r="AO64">
        <v>0</v>
      </c>
      <c r="AP64">
        <v>0</v>
      </c>
      <c r="AQ64" t="s">
        <v>57</v>
      </c>
      <c r="AS64" t="s">
        <v>508</v>
      </c>
      <c r="AT64" t="s">
        <v>508</v>
      </c>
      <c r="AU64" t="s">
        <v>507</v>
      </c>
      <c r="AV64" t="s">
        <v>509</v>
      </c>
      <c r="AW64" t="s">
        <v>510</v>
      </c>
      <c r="AZ64">
        <v>26300</v>
      </c>
      <c r="BA64" t="s">
        <v>511</v>
      </c>
      <c r="BB64" t="s">
        <v>61</v>
      </c>
      <c r="BC64" t="s">
        <v>62</v>
      </c>
    </row>
    <row r="65" spans="1:55" x14ac:dyDescent="0.25">
      <c r="A65" s="1" t="str">
        <f>IF(COUNTIF(Catégories!A:A,X65)=0,"catégorie inconnue",_xlfn.XLOOKUP(X65,Catégories!A:A,Catégories!B:B))</f>
        <v>Frêt</v>
      </c>
      <c r="B65" s="1">
        <f t="shared" si="0"/>
        <v>7.0100000000000007</v>
      </c>
      <c r="C65" s="1">
        <f t="shared" si="1"/>
        <v>1.54</v>
      </c>
      <c r="D65" s="1">
        <f t="shared" si="2"/>
        <v>5.4700000000000006</v>
      </c>
      <c r="E65" s="20">
        <f>IF(AH65&lt;&gt;0,ROUNDUP(AH65,0),IF(BB65&lt;&gt;"FR","hors France",IF(AH65&lt;&gt;0,ROUNDUP(AH65,0),_xlfn.XLOOKUP(AJ65,'PA GLS'!B:B,'PA GLS'!A:A))))</f>
        <v>2</v>
      </c>
      <c r="F65">
        <v>2501382993</v>
      </c>
      <c r="G65">
        <v>1030219781</v>
      </c>
      <c r="H65" t="s">
        <v>366</v>
      </c>
      <c r="I65">
        <v>2500034092</v>
      </c>
      <c r="J65" t="s">
        <v>50</v>
      </c>
      <c r="K65">
        <v>9000009190</v>
      </c>
      <c r="L65">
        <v>46946</v>
      </c>
      <c r="M65" t="s">
        <v>51</v>
      </c>
      <c r="N65">
        <v>9000079830</v>
      </c>
      <c r="O65" t="s">
        <v>187</v>
      </c>
      <c r="S65">
        <v>2507012387</v>
      </c>
      <c r="T65" t="s">
        <v>50</v>
      </c>
      <c r="U65" t="s">
        <v>122</v>
      </c>
      <c r="V65" t="s">
        <v>77</v>
      </c>
      <c r="W65" t="s">
        <v>78</v>
      </c>
      <c r="X65" t="s">
        <v>60</v>
      </c>
      <c r="Z65">
        <v>45</v>
      </c>
      <c r="AA65" t="s">
        <v>420</v>
      </c>
      <c r="AB65" t="s">
        <v>502</v>
      </c>
      <c r="AC65">
        <v>2604000042</v>
      </c>
      <c r="AE65">
        <v>0</v>
      </c>
      <c r="AF65">
        <v>0</v>
      </c>
      <c r="AG65">
        <v>0</v>
      </c>
      <c r="AH65">
        <v>0</v>
      </c>
      <c r="AI65" t="s">
        <v>56</v>
      </c>
      <c r="AJ65">
        <v>4.42</v>
      </c>
      <c r="AK65">
        <v>0.9</v>
      </c>
      <c r="AL65">
        <v>0.15</v>
      </c>
      <c r="AM65">
        <v>29.1</v>
      </c>
      <c r="AN65">
        <v>1.54</v>
      </c>
      <c r="AO65">
        <v>0</v>
      </c>
      <c r="AP65">
        <v>0</v>
      </c>
      <c r="AQ65" t="s">
        <v>57</v>
      </c>
      <c r="AS65" t="s">
        <v>503</v>
      </c>
      <c r="AT65" t="s">
        <v>503</v>
      </c>
      <c r="AU65" t="s">
        <v>502</v>
      </c>
      <c r="AV65" t="s">
        <v>504</v>
      </c>
      <c r="AW65" t="s">
        <v>505</v>
      </c>
      <c r="AZ65">
        <v>51170</v>
      </c>
      <c r="BA65" t="s">
        <v>506</v>
      </c>
      <c r="BB65" t="s">
        <v>61</v>
      </c>
      <c r="BC65" t="s">
        <v>62</v>
      </c>
    </row>
    <row r="66" spans="1:55" x14ac:dyDescent="0.25">
      <c r="A66" s="1" t="str">
        <f>IF(COUNTIF(Catégories!A:A,X66)=0,"catégorie inconnue",_xlfn.XLOOKUP(X66,Catégories!A:A,Catégories!B:B))</f>
        <v>Frêt</v>
      </c>
      <c r="B66" s="1">
        <f t="shared" si="0"/>
        <v>7.0100000000000007</v>
      </c>
      <c r="C66" s="1">
        <f t="shared" si="1"/>
        <v>1.54</v>
      </c>
      <c r="D66" s="1">
        <f t="shared" si="2"/>
        <v>5.4700000000000006</v>
      </c>
      <c r="E66" s="20">
        <f>IF(AH66&lt;&gt;0,ROUNDUP(AH66,0),IF(BB66&lt;&gt;"FR","hors France",IF(AH66&lt;&gt;0,ROUNDUP(AH66,0),_xlfn.XLOOKUP(AJ66,'PA GLS'!B:B,'PA GLS'!A:A))))</f>
        <v>2</v>
      </c>
      <c r="F66">
        <v>2501382993</v>
      </c>
      <c r="G66">
        <v>1030219781</v>
      </c>
      <c r="H66" t="s">
        <v>366</v>
      </c>
      <c r="I66">
        <v>2500034092</v>
      </c>
      <c r="J66" t="s">
        <v>50</v>
      </c>
      <c r="K66">
        <v>9000009190</v>
      </c>
      <c r="L66">
        <v>46946</v>
      </c>
      <c r="M66" t="s">
        <v>51</v>
      </c>
      <c r="N66">
        <v>9000079830</v>
      </c>
      <c r="O66" t="s">
        <v>187</v>
      </c>
      <c r="S66">
        <v>2507012387</v>
      </c>
      <c r="T66" t="s">
        <v>50</v>
      </c>
      <c r="U66" t="s">
        <v>122</v>
      </c>
      <c r="V66" t="s">
        <v>77</v>
      </c>
      <c r="W66" t="s">
        <v>78</v>
      </c>
      <c r="X66" t="s">
        <v>60</v>
      </c>
      <c r="Z66">
        <v>45</v>
      </c>
      <c r="AA66" t="s">
        <v>420</v>
      </c>
      <c r="AB66" t="s">
        <v>494</v>
      </c>
      <c r="AC66">
        <v>2604000039</v>
      </c>
      <c r="AE66">
        <v>0</v>
      </c>
      <c r="AF66">
        <v>0</v>
      </c>
      <c r="AG66">
        <v>0</v>
      </c>
      <c r="AH66">
        <v>0</v>
      </c>
      <c r="AI66" t="s">
        <v>56</v>
      </c>
      <c r="AJ66">
        <v>4.42</v>
      </c>
      <c r="AK66">
        <v>0.9</v>
      </c>
      <c r="AL66">
        <v>0.15</v>
      </c>
      <c r="AM66">
        <v>29.1</v>
      </c>
      <c r="AN66">
        <v>1.54</v>
      </c>
      <c r="AO66">
        <v>0</v>
      </c>
      <c r="AP66">
        <v>0</v>
      </c>
      <c r="AQ66" t="s">
        <v>57</v>
      </c>
      <c r="AS66" t="s">
        <v>495</v>
      </c>
      <c r="AT66" t="s">
        <v>495</v>
      </c>
      <c r="AU66" t="s">
        <v>494</v>
      </c>
      <c r="AV66" t="s">
        <v>496</v>
      </c>
      <c r="AW66" t="s">
        <v>497</v>
      </c>
      <c r="AZ66">
        <v>13006</v>
      </c>
      <c r="BA66" t="s">
        <v>68</v>
      </c>
      <c r="BB66" t="s">
        <v>61</v>
      </c>
      <c r="BC66" t="s">
        <v>62</v>
      </c>
    </row>
    <row r="67" spans="1:55" x14ac:dyDescent="0.25">
      <c r="A67" s="1" t="str">
        <f>IF(COUNTIF(Catégories!A:A,X67)=0,"catégorie inconnue",_xlfn.XLOOKUP(X67,Catégories!A:A,Catégories!B:B))</f>
        <v>Frêt</v>
      </c>
      <c r="B67" s="1">
        <f t="shared" ref="B67:B130" si="3">SUM(AJ67:AL67)+SUM(AN67:AP67)</f>
        <v>0</v>
      </c>
      <c r="C67" s="1">
        <f t="shared" ref="C67:C130" si="4">AN67</f>
        <v>0</v>
      </c>
      <c r="D67" s="1">
        <f t="shared" ref="D67:D130" si="5">B67-C67</f>
        <v>0</v>
      </c>
      <c r="E67" s="20">
        <f>IF(AH67&lt;&gt;0,ROUNDUP(AH67,0),IF(BB67&lt;&gt;"FR","hors France",IF(AH67&lt;&gt;0,ROUNDUP(AH67,0),_xlfn.XLOOKUP(AJ67,'PA GLS'!B:B,'PA GLS'!A:A))))</f>
        <v>1</v>
      </c>
      <c r="F67">
        <v>2501382993</v>
      </c>
      <c r="G67">
        <v>1030212005</v>
      </c>
      <c r="H67" t="s">
        <v>366</v>
      </c>
      <c r="I67">
        <v>2500034092</v>
      </c>
      <c r="J67" t="s">
        <v>50</v>
      </c>
      <c r="K67">
        <v>9000009190</v>
      </c>
      <c r="L67">
        <v>46946</v>
      </c>
      <c r="M67" t="s">
        <v>51</v>
      </c>
      <c r="N67">
        <v>9000037814</v>
      </c>
      <c r="O67" t="s">
        <v>51</v>
      </c>
      <c r="S67">
        <v>2507012387</v>
      </c>
      <c r="T67" t="s">
        <v>50</v>
      </c>
      <c r="U67" t="s">
        <v>122</v>
      </c>
      <c r="V67" t="s">
        <v>176</v>
      </c>
      <c r="W67" t="s">
        <v>177</v>
      </c>
      <c r="X67" t="s">
        <v>152</v>
      </c>
      <c r="Z67">
        <v>28</v>
      </c>
      <c r="AA67" t="s">
        <v>420</v>
      </c>
      <c r="AB67" t="s">
        <v>533</v>
      </c>
      <c r="AC67">
        <v>2604000018</v>
      </c>
      <c r="AE67">
        <v>0</v>
      </c>
      <c r="AF67">
        <v>1</v>
      </c>
      <c r="AG67">
        <v>0</v>
      </c>
      <c r="AH67">
        <v>0.28000000000000003</v>
      </c>
      <c r="AI67" t="s">
        <v>56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57</v>
      </c>
      <c r="AS67" t="s">
        <v>534</v>
      </c>
      <c r="AT67" t="s">
        <v>534</v>
      </c>
      <c r="AU67" t="s">
        <v>533</v>
      </c>
      <c r="AV67" t="s">
        <v>535</v>
      </c>
      <c r="AW67" t="s">
        <v>536</v>
      </c>
      <c r="AZ67">
        <v>77320</v>
      </c>
      <c r="BA67" t="s">
        <v>537</v>
      </c>
      <c r="BB67" t="s">
        <v>61</v>
      </c>
      <c r="BC67" t="s">
        <v>62</v>
      </c>
    </row>
    <row r="68" spans="1:55" x14ac:dyDescent="0.25">
      <c r="A68" s="1" t="str">
        <f>IF(COUNTIF(Catégories!A:A,X68)=0,"catégorie inconnue",_xlfn.XLOOKUP(X68,Catégories!A:A,Catégories!B:B))</f>
        <v>Frêt</v>
      </c>
      <c r="B68" s="1">
        <f t="shared" si="3"/>
        <v>0</v>
      </c>
      <c r="C68" s="1">
        <f t="shared" si="4"/>
        <v>0</v>
      </c>
      <c r="D68" s="1">
        <f t="shared" si="5"/>
        <v>0</v>
      </c>
      <c r="E68" s="20">
        <f>IF(AH68&lt;&gt;0,ROUNDUP(AH68,0),IF(BB68&lt;&gt;"FR","hors France",IF(AH68&lt;&gt;0,ROUNDUP(AH68,0),_xlfn.XLOOKUP(AJ68,'PA GLS'!B:B,'PA GLS'!A:A))))</f>
        <v>1</v>
      </c>
      <c r="F68">
        <v>2501382993</v>
      </c>
      <c r="G68">
        <v>1030212005</v>
      </c>
      <c r="H68" t="s">
        <v>366</v>
      </c>
      <c r="I68">
        <v>2500034092</v>
      </c>
      <c r="J68" t="s">
        <v>50</v>
      </c>
      <c r="K68">
        <v>9000009190</v>
      </c>
      <c r="L68">
        <v>46946</v>
      </c>
      <c r="M68" t="s">
        <v>51</v>
      </c>
      <c r="N68">
        <v>9000037814</v>
      </c>
      <c r="O68" t="s">
        <v>51</v>
      </c>
      <c r="S68">
        <v>2507012387</v>
      </c>
      <c r="T68" t="s">
        <v>50</v>
      </c>
      <c r="U68" t="s">
        <v>122</v>
      </c>
      <c r="V68" t="s">
        <v>176</v>
      </c>
      <c r="W68" t="s">
        <v>177</v>
      </c>
      <c r="X68" t="s">
        <v>152</v>
      </c>
      <c r="Z68">
        <v>28</v>
      </c>
      <c r="AA68" t="s">
        <v>420</v>
      </c>
      <c r="AB68" t="s">
        <v>538</v>
      </c>
      <c r="AC68">
        <v>2604000019</v>
      </c>
      <c r="AE68">
        <v>0</v>
      </c>
      <c r="AF68">
        <v>1</v>
      </c>
      <c r="AG68">
        <v>0</v>
      </c>
      <c r="AH68">
        <v>0.54</v>
      </c>
      <c r="AI68" t="s">
        <v>56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 t="s">
        <v>57</v>
      </c>
      <c r="AS68" t="s">
        <v>539</v>
      </c>
      <c r="AT68" t="s">
        <v>539</v>
      </c>
      <c r="AU68" t="s">
        <v>538</v>
      </c>
      <c r="AV68" t="s">
        <v>540</v>
      </c>
      <c r="AW68" t="s">
        <v>541</v>
      </c>
      <c r="AZ68">
        <v>73600</v>
      </c>
      <c r="BA68" t="s">
        <v>542</v>
      </c>
      <c r="BB68" t="s">
        <v>61</v>
      </c>
      <c r="BC68" t="s">
        <v>62</v>
      </c>
    </row>
    <row r="69" spans="1:55" x14ac:dyDescent="0.25">
      <c r="A69" s="1" t="str">
        <f>IF(COUNTIF(Catégories!A:A,X69)=0,"catégorie inconnue",_xlfn.XLOOKUP(X69,Catégories!A:A,Catégories!B:B))</f>
        <v>Frêt</v>
      </c>
      <c r="B69" s="1">
        <f t="shared" si="3"/>
        <v>0</v>
      </c>
      <c r="C69" s="1">
        <f t="shared" si="4"/>
        <v>0</v>
      </c>
      <c r="D69" s="1">
        <f t="shared" si="5"/>
        <v>0</v>
      </c>
      <c r="E69" s="20">
        <f>IF(AH69&lt;&gt;0,ROUNDUP(AH69,0),IF(BB69&lt;&gt;"FR","hors France",IF(AH69&lt;&gt;0,ROUNDUP(AH69,0),_xlfn.XLOOKUP(AJ69,'PA GLS'!B:B,'PA GLS'!A:A))))</f>
        <v>1</v>
      </c>
      <c r="F69">
        <v>2501382993</v>
      </c>
      <c r="G69">
        <v>1030212005</v>
      </c>
      <c r="H69" t="s">
        <v>366</v>
      </c>
      <c r="I69">
        <v>2500034092</v>
      </c>
      <c r="J69" t="s">
        <v>50</v>
      </c>
      <c r="K69">
        <v>9000009190</v>
      </c>
      <c r="L69">
        <v>46946</v>
      </c>
      <c r="M69" t="s">
        <v>51</v>
      </c>
      <c r="N69">
        <v>9000037814</v>
      </c>
      <c r="O69" t="s">
        <v>51</v>
      </c>
      <c r="S69">
        <v>2507012387</v>
      </c>
      <c r="T69" t="s">
        <v>50</v>
      </c>
      <c r="U69" t="s">
        <v>122</v>
      </c>
      <c r="V69" t="s">
        <v>176</v>
      </c>
      <c r="W69" t="s">
        <v>177</v>
      </c>
      <c r="X69" t="s">
        <v>152</v>
      </c>
      <c r="Z69">
        <v>28</v>
      </c>
      <c r="AA69" t="s">
        <v>420</v>
      </c>
      <c r="AB69" t="s">
        <v>543</v>
      </c>
      <c r="AC69">
        <v>2604000020</v>
      </c>
      <c r="AE69">
        <v>0</v>
      </c>
      <c r="AF69">
        <v>1</v>
      </c>
      <c r="AG69">
        <v>0</v>
      </c>
      <c r="AH69">
        <v>0.28000000000000003</v>
      </c>
      <c r="AI69" t="s">
        <v>56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57</v>
      </c>
      <c r="AS69" t="s">
        <v>544</v>
      </c>
      <c r="AT69" t="s">
        <v>544</v>
      </c>
      <c r="AU69" t="s">
        <v>543</v>
      </c>
      <c r="AV69" t="s">
        <v>545</v>
      </c>
      <c r="AW69" t="s">
        <v>546</v>
      </c>
      <c r="AZ69">
        <v>13008</v>
      </c>
      <c r="BA69" t="s">
        <v>68</v>
      </c>
      <c r="BB69" t="s">
        <v>61</v>
      </c>
      <c r="BC69" t="s">
        <v>62</v>
      </c>
    </row>
    <row r="70" spans="1:55" x14ac:dyDescent="0.25">
      <c r="A70" s="1" t="str">
        <f>IF(COUNTIF(Catégories!A:A,X70)=0,"catégorie inconnue",_xlfn.XLOOKUP(X70,Catégories!A:A,Catégories!B:B))</f>
        <v>Frêt</v>
      </c>
      <c r="B70" s="1">
        <f t="shared" si="3"/>
        <v>0</v>
      </c>
      <c r="C70" s="1">
        <f t="shared" si="4"/>
        <v>0</v>
      </c>
      <c r="D70" s="1">
        <f t="shared" si="5"/>
        <v>0</v>
      </c>
      <c r="E70" s="20">
        <f>IF(AH70&lt;&gt;0,ROUNDUP(AH70,0),IF(BB70&lt;&gt;"FR","hors France",IF(AH70&lt;&gt;0,ROUNDUP(AH70,0),_xlfn.XLOOKUP(AJ70,'PA GLS'!B:B,'PA GLS'!A:A))))</f>
        <v>1</v>
      </c>
      <c r="F70">
        <v>2501382993</v>
      </c>
      <c r="G70">
        <v>1030212005</v>
      </c>
      <c r="H70" t="s">
        <v>366</v>
      </c>
      <c r="I70">
        <v>2500034092</v>
      </c>
      <c r="J70" t="s">
        <v>50</v>
      </c>
      <c r="K70">
        <v>9000009190</v>
      </c>
      <c r="L70">
        <v>46946</v>
      </c>
      <c r="M70" t="s">
        <v>51</v>
      </c>
      <c r="N70">
        <v>9000037814</v>
      </c>
      <c r="O70" t="s">
        <v>51</v>
      </c>
      <c r="S70">
        <v>2507012387</v>
      </c>
      <c r="T70" t="s">
        <v>50</v>
      </c>
      <c r="U70" t="s">
        <v>122</v>
      </c>
      <c r="V70" t="s">
        <v>176</v>
      </c>
      <c r="W70" t="s">
        <v>177</v>
      </c>
      <c r="X70" t="s">
        <v>152</v>
      </c>
      <c r="Z70">
        <v>28</v>
      </c>
      <c r="AA70" t="s">
        <v>420</v>
      </c>
      <c r="AB70" t="s">
        <v>547</v>
      </c>
      <c r="AC70">
        <v>2604000021</v>
      </c>
      <c r="AE70">
        <v>0</v>
      </c>
      <c r="AF70">
        <v>1</v>
      </c>
      <c r="AG70">
        <v>0</v>
      </c>
      <c r="AH70">
        <v>0.3</v>
      </c>
      <c r="AI70" t="s">
        <v>56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 t="s">
        <v>57</v>
      </c>
      <c r="AS70" t="s">
        <v>548</v>
      </c>
      <c r="AT70" t="s">
        <v>548</v>
      </c>
      <c r="AU70" t="s">
        <v>547</v>
      </c>
      <c r="AV70" t="s">
        <v>549</v>
      </c>
      <c r="AW70" t="s">
        <v>550</v>
      </c>
      <c r="AZ70">
        <v>91120</v>
      </c>
      <c r="BA70" t="s">
        <v>314</v>
      </c>
      <c r="BB70" t="s">
        <v>61</v>
      </c>
      <c r="BC70" t="s">
        <v>62</v>
      </c>
    </row>
    <row r="71" spans="1:55" x14ac:dyDescent="0.25">
      <c r="A71" s="1" t="str">
        <f>IF(COUNTIF(Catégories!A:A,X71)=0,"catégorie inconnue",_xlfn.XLOOKUP(X71,Catégories!A:A,Catégories!B:B))</f>
        <v>Frêt</v>
      </c>
      <c r="B71" s="1">
        <f t="shared" si="3"/>
        <v>0</v>
      </c>
      <c r="C71" s="1">
        <f t="shared" si="4"/>
        <v>0</v>
      </c>
      <c r="D71" s="1">
        <f t="shared" si="5"/>
        <v>0</v>
      </c>
      <c r="E71" s="20">
        <f>IF(AH71&lt;&gt;0,ROUNDUP(AH71,0),IF(BB71&lt;&gt;"FR","hors France",IF(AH71&lt;&gt;0,ROUNDUP(AH71,0),_xlfn.XLOOKUP(AJ71,'PA GLS'!B:B,'PA GLS'!A:A))))</f>
        <v>1</v>
      </c>
      <c r="F71">
        <v>2501382993</v>
      </c>
      <c r="G71">
        <v>1030212005</v>
      </c>
      <c r="H71" t="s">
        <v>366</v>
      </c>
      <c r="I71">
        <v>2500034092</v>
      </c>
      <c r="J71" t="s">
        <v>50</v>
      </c>
      <c r="K71">
        <v>9000009190</v>
      </c>
      <c r="L71">
        <v>46946</v>
      </c>
      <c r="M71" t="s">
        <v>51</v>
      </c>
      <c r="N71">
        <v>9000037814</v>
      </c>
      <c r="O71" t="s">
        <v>51</v>
      </c>
      <c r="S71">
        <v>2507012387</v>
      </c>
      <c r="T71" t="s">
        <v>50</v>
      </c>
      <c r="U71" t="s">
        <v>122</v>
      </c>
      <c r="V71" t="s">
        <v>176</v>
      </c>
      <c r="W71" t="s">
        <v>177</v>
      </c>
      <c r="X71" t="s">
        <v>152</v>
      </c>
      <c r="Z71">
        <v>28</v>
      </c>
      <c r="AA71" t="s">
        <v>420</v>
      </c>
      <c r="AB71" t="s">
        <v>551</v>
      </c>
      <c r="AC71">
        <v>2604000022</v>
      </c>
      <c r="AE71">
        <v>0</v>
      </c>
      <c r="AF71">
        <v>1</v>
      </c>
      <c r="AG71">
        <v>0</v>
      </c>
      <c r="AH71">
        <v>0.54</v>
      </c>
      <c r="AI71" t="s">
        <v>56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 t="s">
        <v>57</v>
      </c>
      <c r="AS71" t="s">
        <v>552</v>
      </c>
      <c r="AT71" t="s">
        <v>552</v>
      </c>
      <c r="AU71" t="s">
        <v>551</v>
      </c>
      <c r="AV71" t="s">
        <v>553</v>
      </c>
      <c r="AW71" t="s">
        <v>554</v>
      </c>
      <c r="AZ71">
        <v>69100</v>
      </c>
      <c r="BA71" t="s">
        <v>316</v>
      </c>
      <c r="BB71" t="s">
        <v>61</v>
      </c>
      <c r="BC71" t="s">
        <v>62</v>
      </c>
    </row>
    <row r="72" spans="1:55" x14ac:dyDescent="0.25">
      <c r="A72" s="1" t="str">
        <f>IF(COUNTIF(Catégories!A:A,X72)=0,"catégorie inconnue",_xlfn.XLOOKUP(X72,Catégories!A:A,Catégories!B:B))</f>
        <v>Frêt</v>
      </c>
      <c r="B72" s="1">
        <f t="shared" si="3"/>
        <v>0</v>
      </c>
      <c r="C72" s="1">
        <f t="shared" si="4"/>
        <v>0</v>
      </c>
      <c r="D72" s="1">
        <f t="shared" si="5"/>
        <v>0</v>
      </c>
      <c r="E72" s="20">
        <f>IF(AH72&lt;&gt;0,ROUNDUP(AH72,0),IF(BB72&lt;&gt;"FR","hors France",IF(AH72&lt;&gt;0,ROUNDUP(AH72,0),_xlfn.XLOOKUP(AJ72,'PA GLS'!B:B,'PA GLS'!A:A))))</f>
        <v>1</v>
      </c>
      <c r="F72">
        <v>2501382993</v>
      </c>
      <c r="G72">
        <v>1030212005</v>
      </c>
      <c r="H72" t="s">
        <v>366</v>
      </c>
      <c r="I72">
        <v>2500034092</v>
      </c>
      <c r="J72" t="s">
        <v>50</v>
      </c>
      <c r="K72">
        <v>9000009190</v>
      </c>
      <c r="L72">
        <v>46946</v>
      </c>
      <c r="M72" t="s">
        <v>51</v>
      </c>
      <c r="N72">
        <v>9000037814</v>
      </c>
      <c r="O72" t="s">
        <v>51</v>
      </c>
      <c r="S72">
        <v>2507012387</v>
      </c>
      <c r="T72" t="s">
        <v>50</v>
      </c>
      <c r="U72" t="s">
        <v>122</v>
      </c>
      <c r="V72" t="s">
        <v>176</v>
      </c>
      <c r="W72" t="s">
        <v>177</v>
      </c>
      <c r="X72" t="s">
        <v>152</v>
      </c>
      <c r="Z72">
        <v>28</v>
      </c>
      <c r="AA72" t="s">
        <v>420</v>
      </c>
      <c r="AB72" t="s">
        <v>555</v>
      </c>
      <c r="AC72">
        <v>2604000023</v>
      </c>
      <c r="AE72">
        <v>0</v>
      </c>
      <c r="AF72">
        <v>1</v>
      </c>
      <c r="AG72">
        <v>0</v>
      </c>
      <c r="AH72">
        <v>0.56000000000000005</v>
      </c>
      <c r="AI72" t="s">
        <v>56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57</v>
      </c>
      <c r="AS72" t="s">
        <v>556</v>
      </c>
      <c r="AT72" t="s">
        <v>556</v>
      </c>
      <c r="AU72" t="s">
        <v>555</v>
      </c>
      <c r="AV72" t="s">
        <v>557</v>
      </c>
      <c r="AW72" t="s">
        <v>558</v>
      </c>
      <c r="AZ72">
        <v>67100</v>
      </c>
      <c r="BA72" t="s">
        <v>215</v>
      </c>
      <c r="BB72" t="s">
        <v>61</v>
      </c>
      <c r="BC72" t="s">
        <v>62</v>
      </c>
    </row>
    <row r="73" spans="1:55" x14ac:dyDescent="0.25">
      <c r="A73" s="1" t="str">
        <f>IF(COUNTIF(Catégories!A:A,X73)=0,"catégorie inconnue",_xlfn.XLOOKUP(X73,Catégories!A:A,Catégories!B:B))</f>
        <v>Frêt</v>
      </c>
      <c r="B73" s="1">
        <f t="shared" si="3"/>
        <v>0</v>
      </c>
      <c r="C73" s="1">
        <f t="shared" si="4"/>
        <v>0</v>
      </c>
      <c r="D73" s="1">
        <f t="shared" si="5"/>
        <v>0</v>
      </c>
      <c r="E73" s="20">
        <f>IF(AH73&lt;&gt;0,ROUNDUP(AH73,0),IF(BB73&lt;&gt;"FR","hors France",IF(AH73&lt;&gt;0,ROUNDUP(AH73,0),_xlfn.XLOOKUP(AJ73,'PA GLS'!B:B,'PA GLS'!A:A))))</f>
        <v>1</v>
      </c>
      <c r="F73">
        <v>2501382993</v>
      </c>
      <c r="G73">
        <v>1030212005</v>
      </c>
      <c r="H73" t="s">
        <v>366</v>
      </c>
      <c r="I73">
        <v>2500034092</v>
      </c>
      <c r="J73" t="s">
        <v>50</v>
      </c>
      <c r="K73">
        <v>9000009190</v>
      </c>
      <c r="L73">
        <v>46946</v>
      </c>
      <c r="M73" t="s">
        <v>51</v>
      </c>
      <c r="N73">
        <v>9000037814</v>
      </c>
      <c r="O73" t="s">
        <v>51</v>
      </c>
      <c r="S73">
        <v>2507012387</v>
      </c>
      <c r="T73" t="s">
        <v>50</v>
      </c>
      <c r="U73" t="s">
        <v>122</v>
      </c>
      <c r="V73" t="s">
        <v>176</v>
      </c>
      <c r="W73" t="s">
        <v>177</v>
      </c>
      <c r="X73" t="s">
        <v>152</v>
      </c>
      <c r="Z73">
        <v>28</v>
      </c>
      <c r="AA73" t="s">
        <v>420</v>
      </c>
      <c r="AB73" t="s">
        <v>559</v>
      </c>
      <c r="AC73">
        <v>2604000024</v>
      </c>
      <c r="AE73">
        <v>0</v>
      </c>
      <c r="AF73">
        <v>1</v>
      </c>
      <c r="AG73">
        <v>0</v>
      </c>
      <c r="AH73">
        <v>0.72</v>
      </c>
      <c r="AI73" t="s">
        <v>56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 t="s">
        <v>57</v>
      </c>
      <c r="AS73" t="s">
        <v>560</v>
      </c>
      <c r="AT73" t="s">
        <v>560</v>
      </c>
      <c r="AU73" t="s">
        <v>559</v>
      </c>
      <c r="AV73" t="s">
        <v>561</v>
      </c>
      <c r="AW73" t="s">
        <v>562</v>
      </c>
      <c r="AZ73">
        <v>1170</v>
      </c>
      <c r="BA73" t="s">
        <v>563</v>
      </c>
      <c r="BB73" t="s">
        <v>61</v>
      </c>
      <c r="BC73" t="s">
        <v>62</v>
      </c>
    </row>
    <row r="74" spans="1:55" x14ac:dyDescent="0.25">
      <c r="A74" s="1" t="str">
        <f>IF(COUNTIF(Catégories!A:A,X74)=0,"catégorie inconnue",_xlfn.XLOOKUP(X74,Catégories!A:A,Catégories!B:B))</f>
        <v>Frêt</v>
      </c>
      <c r="B74" s="1">
        <f t="shared" si="3"/>
        <v>6.17</v>
      </c>
      <c r="C74" s="1">
        <f t="shared" si="4"/>
        <v>1.35</v>
      </c>
      <c r="D74" s="1">
        <f t="shared" si="5"/>
        <v>4.82</v>
      </c>
      <c r="E74" s="20">
        <f>IF(AH74&lt;&gt;0,ROUNDUP(AH74,0),IF(BB74&lt;&gt;"FR","hors France",IF(AH74&lt;&gt;0,ROUNDUP(AH74,0),_xlfn.XLOOKUP(AJ74,'PA GLS'!B:B,'PA GLS'!A:A))))</f>
        <v>0.5</v>
      </c>
      <c r="F74">
        <v>2501382993</v>
      </c>
      <c r="G74">
        <v>1030212005</v>
      </c>
      <c r="H74" t="s">
        <v>366</v>
      </c>
      <c r="I74">
        <v>2500034092</v>
      </c>
      <c r="J74" t="s">
        <v>50</v>
      </c>
      <c r="K74">
        <v>9000009190</v>
      </c>
      <c r="L74">
        <v>46946</v>
      </c>
      <c r="M74" t="s">
        <v>51</v>
      </c>
      <c r="N74">
        <v>9000037814</v>
      </c>
      <c r="O74" t="s">
        <v>51</v>
      </c>
      <c r="S74">
        <v>2507012387</v>
      </c>
      <c r="T74" t="s">
        <v>50</v>
      </c>
      <c r="U74" t="s">
        <v>122</v>
      </c>
      <c r="V74" t="s">
        <v>71</v>
      </c>
      <c r="W74" t="s">
        <v>72</v>
      </c>
      <c r="X74" t="s">
        <v>60</v>
      </c>
      <c r="Z74">
        <v>29</v>
      </c>
      <c r="AA74" t="s">
        <v>420</v>
      </c>
      <c r="AB74" t="s">
        <v>533</v>
      </c>
      <c r="AC74">
        <v>2604000018</v>
      </c>
      <c r="AE74">
        <v>0</v>
      </c>
      <c r="AF74">
        <v>0</v>
      </c>
      <c r="AG74">
        <v>0</v>
      </c>
      <c r="AH74">
        <v>0</v>
      </c>
      <c r="AI74" t="s">
        <v>56</v>
      </c>
      <c r="AJ74">
        <v>3.77</v>
      </c>
      <c r="AK74">
        <v>0.9</v>
      </c>
      <c r="AL74">
        <v>0.15</v>
      </c>
      <c r="AM74">
        <v>29.1</v>
      </c>
      <c r="AN74">
        <v>1.35</v>
      </c>
      <c r="AO74">
        <v>0</v>
      </c>
      <c r="AP74">
        <v>0</v>
      </c>
      <c r="AQ74" t="s">
        <v>57</v>
      </c>
      <c r="AS74" t="s">
        <v>534</v>
      </c>
      <c r="AT74" t="s">
        <v>534</v>
      </c>
      <c r="AU74" t="s">
        <v>533</v>
      </c>
      <c r="AV74" t="s">
        <v>535</v>
      </c>
      <c r="AW74" t="s">
        <v>536</v>
      </c>
      <c r="AZ74">
        <v>77320</v>
      </c>
      <c r="BA74" t="s">
        <v>537</v>
      </c>
      <c r="BB74" t="s">
        <v>61</v>
      </c>
      <c r="BC74" t="s">
        <v>62</v>
      </c>
    </row>
    <row r="75" spans="1:55" x14ac:dyDescent="0.25">
      <c r="A75" s="1" t="str">
        <f>IF(COUNTIF(Catégories!A:A,X75)=0,"catégorie inconnue",_xlfn.XLOOKUP(X75,Catégories!A:A,Catégories!B:B))</f>
        <v>Frêt</v>
      </c>
      <c r="B75" s="1">
        <f t="shared" si="3"/>
        <v>6.17</v>
      </c>
      <c r="C75" s="1">
        <f t="shared" si="4"/>
        <v>1.35</v>
      </c>
      <c r="D75" s="1">
        <f t="shared" si="5"/>
        <v>4.82</v>
      </c>
      <c r="E75" s="20">
        <f>IF(AH75&lt;&gt;0,ROUNDUP(AH75,0),IF(BB75&lt;&gt;"FR","hors France",IF(AH75&lt;&gt;0,ROUNDUP(AH75,0),_xlfn.XLOOKUP(AJ75,'PA GLS'!B:B,'PA GLS'!A:A))))</f>
        <v>0.5</v>
      </c>
      <c r="F75">
        <v>2501382993</v>
      </c>
      <c r="G75">
        <v>1030212005</v>
      </c>
      <c r="H75" t="s">
        <v>366</v>
      </c>
      <c r="I75">
        <v>2500034092</v>
      </c>
      <c r="J75" t="s">
        <v>50</v>
      </c>
      <c r="K75">
        <v>9000009190</v>
      </c>
      <c r="L75">
        <v>46946</v>
      </c>
      <c r="M75" t="s">
        <v>51</v>
      </c>
      <c r="N75">
        <v>9000037814</v>
      </c>
      <c r="O75" t="s">
        <v>51</v>
      </c>
      <c r="S75">
        <v>2507012387</v>
      </c>
      <c r="T75" t="s">
        <v>50</v>
      </c>
      <c r="U75" t="s">
        <v>122</v>
      </c>
      <c r="V75" t="s">
        <v>71</v>
      </c>
      <c r="W75" t="s">
        <v>72</v>
      </c>
      <c r="X75" t="s">
        <v>60</v>
      </c>
      <c r="Z75">
        <v>29</v>
      </c>
      <c r="AA75" t="s">
        <v>420</v>
      </c>
      <c r="AB75" t="s">
        <v>543</v>
      </c>
      <c r="AC75">
        <v>2604000020</v>
      </c>
      <c r="AE75">
        <v>0</v>
      </c>
      <c r="AF75">
        <v>0</v>
      </c>
      <c r="AG75">
        <v>0</v>
      </c>
      <c r="AH75">
        <v>0</v>
      </c>
      <c r="AI75" t="s">
        <v>56</v>
      </c>
      <c r="AJ75">
        <v>3.77</v>
      </c>
      <c r="AK75">
        <v>0.9</v>
      </c>
      <c r="AL75">
        <v>0.15</v>
      </c>
      <c r="AM75">
        <v>29.1</v>
      </c>
      <c r="AN75">
        <v>1.35</v>
      </c>
      <c r="AO75">
        <v>0</v>
      </c>
      <c r="AP75">
        <v>0</v>
      </c>
      <c r="AQ75" t="s">
        <v>57</v>
      </c>
      <c r="AS75" t="s">
        <v>544</v>
      </c>
      <c r="AT75" t="s">
        <v>544</v>
      </c>
      <c r="AU75" t="s">
        <v>543</v>
      </c>
      <c r="AV75" t="s">
        <v>545</v>
      </c>
      <c r="AW75" t="s">
        <v>546</v>
      </c>
      <c r="AZ75">
        <v>13008</v>
      </c>
      <c r="BA75" t="s">
        <v>68</v>
      </c>
      <c r="BB75" t="s">
        <v>61</v>
      </c>
      <c r="BC75" t="s">
        <v>62</v>
      </c>
    </row>
    <row r="76" spans="1:55" x14ac:dyDescent="0.25">
      <c r="A76" s="1" t="str">
        <f>IF(COUNTIF(Catégories!A:A,X76)=0,"catégorie inconnue",_xlfn.XLOOKUP(X76,Catégories!A:A,Catégories!B:B))</f>
        <v>Frêt</v>
      </c>
      <c r="B76" s="1">
        <f t="shared" si="3"/>
        <v>6.17</v>
      </c>
      <c r="C76" s="1">
        <f t="shared" si="4"/>
        <v>1.35</v>
      </c>
      <c r="D76" s="1">
        <f t="shared" si="5"/>
        <v>4.82</v>
      </c>
      <c r="E76" s="20">
        <f>IF(AH76&lt;&gt;0,ROUNDUP(AH76,0),IF(BB76&lt;&gt;"FR","hors France",IF(AH76&lt;&gt;0,ROUNDUP(AH76,0),_xlfn.XLOOKUP(AJ76,'PA GLS'!B:B,'PA GLS'!A:A))))</f>
        <v>0.5</v>
      </c>
      <c r="F76">
        <v>2501382993</v>
      </c>
      <c r="G76">
        <v>1030212005</v>
      </c>
      <c r="H76" t="s">
        <v>366</v>
      </c>
      <c r="I76">
        <v>2500034092</v>
      </c>
      <c r="J76" t="s">
        <v>50</v>
      </c>
      <c r="K76">
        <v>9000009190</v>
      </c>
      <c r="L76">
        <v>46946</v>
      </c>
      <c r="M76" t="s">
        <v>51</v>
      </c>
      <c r="N76">
        <v>9000037814</v>
      </c>
      <c r="O76" t="s">
        <v>51</v>
      </c>
      <c r="S76">
        <v>2507012387</v>
      </c>
      <c r="T76" t="s">
        <v>50</v>
      </c>
      <c r="U76" t="s">
        <v>122</v>
      </c>
      <c r="V76" t="s">
        <v>71</v>
      </c>
      <c r="W76" t="s">
        <v>72</v>
      </c>
      <c r="X76" t="s">
        <v>60</v>
      </c>
      <c r="Z76">
        <v>29</v>
      </c>
      <c r="AA76" t="s">
        <v>420</v>
      </c>
      <c r="AB76" t="s">
        <v>547</v>
      </c>
      <c r="AC76">
        <v>2604000021</v>
      </c>
      <c r="AE76">
        <v>0</v>
      </c>
      <c r="AF76">
        <v>0</v>
      </c>
      <c r="AG76">
        <v>0</v>
      </c>
      <c r="AH76">
        <v>0</v>
      </c>
      <c r="AI76" t="s">
        <v>56</v>
      </c>
      <c r="AJ76">
        <v>3.77</v>
      </c>
      <c r="AK76">
        <v>0.9</v>
      </c>
      <c r="AL76">
        <v>0.15</v>
      </c>
      <c r="AM76">
        <v>29.1</v>
      </c>
      <c r="AN76">
        <v>1.35</v>
      </c>
      <c r="AO76">
        <v>0</v>
      </c>
      <c r="AP76">
        <v>0</v>
      </c>
      <c r="AQ76" t="s">
        <v>57</v>
      </c>
      <c r="AS76" t="s">
        <v>548</v>
      </c>
      <c r="AT76" t="s">
        <v>548</v>
      </c>
      <c r="AU76" t="s">
        <v>547</v>
      </c>
      <c r="AV76" t="s">
        <v>549</v>
      </c>
      <c r="AW76" t="s">
        <v>550</v>
      </c>
      <c r="AZ76">
        <v>91120</v>
      </c>
      <c r="BA76" t="s">
        <v>314</v>
      </c>
      <c r="BB76" t="s">
        <v>61</v>
      </c>
      <c r="BC76" t="s">
        <v>62</v>
      </c>
    </row>
    <row r="77" spans="1:55" x14ac:dyDescent="0.25">
      <c r="A77" s="1" t="str">
        <f>IF(COUNTIF(Catégories!A:A,X77)=0,"catégorie inconnue",_xlfn.XLOOKUP(X77,Catégories!A:A,Catégories!B:B))</f>
        <v>Frêt</v>
      </c>
      <c r="B77" s="1">
        <f t="shared" si="3"/>
        <v>6.6000000000000005</v>
      </c>
      <c r="C77" s="1">
        <f t="shared" si="4"/>
        <v>1.45</v>
      </c>
      <c r="D77" s="1">
        <f t="shared" si="5"/>
        <v>5.15</v>
      </c>
      <c r="E77" s="20">
        <f>IF(AH77&lt;&gt;0,ROUNDUP(AH77,0),IF(BB77&lt;&gt;"FR","hors France",IF(AH77&lt;&gt;0,ROUNDUP(AH77,0),_xlfn.XLOOKUP(AJ77,'PA GLS'!B:B,'PA GLS'!A:A))))</f>
        <v>1</v>
      </c>
      <c r="F77">
        <v>2501382993</v>
      </c>
      <c r="G77">
        <v>1030212005</v>
      </c>
      <c r="H77" t="s">
        <v>366</v>
      </c>
      <c r="I77">
        <v>2500034092</v>
      </c>
      <c r="J77" t="s">
        <v>50</v>
      </c>
      <c r="K77">
        <v>9000009190</v>
      </c>
      <c r="L77">
        <v>46946</v>
      </c>
      <c r="M77" t="s">
        <v>51</v>
      </c>
      <c r="N77">
        <v>9000037814</v>
      </c>
      <c r="O77" t="s">
        <v>51</v>
      </c>
      <c r="S77">
        <v>2507012387</v>
      </c>
      <c r="T77" t="s">
        <v>50</v>
      </c>
      <c r="U77" t="s">
        <v>122</v>
      </c>
      <c r="V77" t="s">
        <v>69</v>
      </c>
      <c r="W77" t="s">
        <v>70</v>
      </c>
      <c r="X77" t="s">
        <v>60</v>
      </c>
      <c r="Z77">
        <v>30</v>
      </c>
      <c r="AA77" t="s">
        <v>420</v>
      </c>
      <c r="AB77" t="s">
        <v>538</v>
      </c>
      <c r="AC77">
        <v>2604000019</v>
      </c>
      <c r="AE77">
        <v>0</v>
      </c>
      <c r="AF77">
        <v>0</v>
      </c>
      <c r="AG77">
        <v>0</v>
      </c>
      <c r="AH77">
        <v>0</v>
      </c>
      <c r="AI77" t="s">
        <v>56</v>
      </c>
      <c r="AJ77">
        <v>4.0999999999999996</v>
      </c>
      <c r="AK77">
        <v>0.9</v>
      </c>
      <c r="AL77">
        <v>0.15</v>
      </c>
      <c r="AM77">
        <v>29.1</v>
      </c>
      <c r="AN77">
        <v>1.45</v>
      </c>
      <c r="AO77">
        <v>0</v>
      </c>
      <c r="AP77">
        <v>0</v>
      </c>
      <c r="AQ77" t="s">
        <v>57</v>
      </c>
      <c r="AS77" t="s">
        <v>539</v>
      </c>
      <c r="AT77" t="s">
        <v>539</v>
      </c>
      <c r="AU77" t="s">
        <v>538</v>
      </c>
      <c r="AV77" t="s">
        <v>540</v>
      </c>
      <c r="AW77" t="s">
        <v>541</v>
      </c>
      <c r="AZ77">
        <v>73600</v>
      </c>
      <c r="BA77" t="s">
        <v>542</v>
      </c>
      <c r="BB77" t="s">
        <v>61</v>
      </c>
      <c r="BC77" t="s">
        <v>62</v>
      </c>
    </row>
    <row r="78" spans="1:55" x14ac:dyDescent="0.25">
      <c r="A78" s="1" t="str">
        <f>IF(COUNTIF(Catégories!A:A,X78)=0,"catégorie inconnue",_xlfn.XLOOKUP(X78,Catégories!A:A,Catégories!B:B))</f>
        <v>Frêt</v>
      </c>
      <c r="B78" s="1">
        <f t="shared" si="3"/>
        <v>6.6000000000000005</v>
      </c>
      <c r="C78" s="1">
        <f t="shared" si="4"/>
        <v>1.45</v>
      </c>
      <c r="D78" s="1">
        <f t="shared" si="5"/>
        <v>5.15</v>
      </c>
      <c r="E78" s="20">
        <f>IF(AH78&lt;&gt;0,ROUNDUP(AH78,0),IF(BB78&lt;&gt;"FR","hors France",IF(AH78&lt;&gt;0,ROUNDUP(AH78,0),_xlfn.XLOOKUP(AJ78,'PA GLS'!B:B,'PA GLS'!A:A))))</f>
        <v>1</v>
      </c>
      <c r="F78">
        <v>2501382993</v>
      </c>
      <c r="G78">
        <v>1030212005</v>
      </c>
      <c r="H78" t="s">
        <v>366</v>
      </c>
      <c r="I78">
        <v>2500034092</v>
      </c>
      <c r="J78" t="s">
        <v>50</v>
      </c>
      <c r="K78">
        <v>9000009190</v>
      </c>
      <c r="L78">
        <v>46946</v>
      </c>
      <c r="M78" t="s">
        <v>51</v>
      </c>
      <c r="N78">
        <v>9000037814</v>
      </c>
      <c r="O78" t="s">
        <v>51</v>
      </c>
      <c r="S78">
        <v>2507012387</v>
      </c>
      <c r="T78" t="s">
        <v>50</v>
      </c>
      <c r="U78" t="s">
        <v>122</v>
      </c>
      <c r="V78" t="s">
        <v>69</v>
      </c>
      <c r="W78" t="s">
        <v>70</v>
      </c>
      <c r="X78" t="s">
        <v>60</v>
      </c>
      <c r="Z78">
        <v>30</v>
      </c>
      <c r="AA78" t="s">
        <v>420</v>
      </c>
      <c r="AB78" t="s">
        <v>551</v>
      </c>
      <c r="AC78">
        <v>2604000022</v>
      </c>
      <c r="AE78">
        <v>0</v>
      </c>
      <c r="AF78">
        <v>0</v>
      </c>
      <c r="AG78">
        <v>0</v>
      </c>
      <c r="AH78">
        <v>0</v>
      </c>
      <c r="AI78" t="s">
        <v>56</v>
      </c>
      <c r="AJ78">
        <v>4.0999999999999996</v>
      </c>
      <c r="AK78">
        <v>0.9</v>
      </c>
      <c r="AL78">
        <v>0.15</v>
      </c>
      <c r="AM78">
        <v>29.1</v>
      </c>
      <c r="AN78">
        <v>1.45</v>
      </c>
      <c r="AO78">
        <v>0</v>
      </c>
      <c r="AP78">
        <v>0</v>
      </c>
      <c r="AQ78" t="s">
        <v>57</v>
      </c>
      <c r="AS78" t="s">
        <v>552</v>
      </c>
      <c r="AT78" t="s">
        <v>552</v>
      </c>
      <c r="AU78" t="s">
        <v>551</v>
      </c>
      <c r="AV78" t="s">
        <v>553</v>
      </c>
      <c r="AW78" t="s">
        <v>554</v>
      </c>
      <c r="AZ78">
        <v>69100</v>
      </c>
      <c r="BA78" t="s">
        <v>316</v>
      </c>
      <c r="BB78" t="s">
        <v>61</v>
      </c>
      <c r="BC78" t="s">
        <v>62</v>
      </c>
    </row>
    <row r="79" spans="1:55" x14ac:dyDescent="0.25">
      <c r="A79" s="1" t="str">
        <f>IF(COUNTIF(Catégories!A:A,X79)=0,"catégorie inconnue",_xlfn.XLOOKUP(X79,Catégories!A:A,Catégories!B:B))</f>
        <v>Frêt</v>
      </c>
      <c r="B79" s="1">
        <f t="shared" si="3"/>
        <v>6.6000000000000005</v>
      </c>
      <c r="C79" s="1">
        <f t="shared" si="4"/>
        <v>1.45</v>
      </c>
      <c r="D79" s="1">
        <f t="shared" si="5"/>
        <v>5.15</v>
      </c>
      <c r="E79" s="20">
        <f>IF(AH79&lt;&gt;0,ROUNDUP(AH79,0),IF(BB79&lt;&gt;"FR","hors France",IF(AH79&lt;&gt;0,ROUNDUP(AH79,0),_xlfn.XLOOKUP(AJ79,'PA GLS'!B:B,'PA GLS'!A:A))))</f>
        <v>1</v>
      </c>
      <c r="F79">
        <v>2501382993</v>
      </c>
      <c r="G79">
        <v>1030212005</v>
      </c>
      <c r="H79" t="s">
        <v>366</v>
      </c>
      <c r="I79">
        <v>2500034092</v>
      </c>
      <c r="J79" t="s">
        <v>50</v>
      </c>
      <c r="K79">
        <v>9000009190</v>
      </c>
      <c r="L79">
        <v>46946</v>
      </c>
      <c r="M79" t="s">
        <v>51</v>
      </c>
      <c r="N79">
        <v>9000037814</v>
      </c>
      <c r="O79" t="s">
        <v>51</v>
      </c>
      <c r="S79">
        <v>2507012387</v>
      </c>
      <c r="T79" t="s">
        <v>50</v>
      </c>
      <c r="U79" t="s">
        <v>122</v>
      </c>
      <c r="V79" t="s">
        <v>69</v>
      </c>
      <c r="W79" t="s">
        <v>70</v>
      </c>
      <c r="X79" t="s">
        <v>60</v>
      </c>
      <c r="Z79">
        <v>30</v>
      </c>
      <c r="AA79" t="s">
        <v>420</v>
      </c>
      <c r="AB79" t="s">
        <v>555</v>
      </c>
      <c r="AC79">
        <v>2604000023</v>
      </c>
      <c r="AE79">
        <v>0</v>
      </c>
      <c r="AF79">
        <v>0</v>
      </c>
      <c r="AG79">
        <v>0</v>
      </c>
      <c r="AH79">
        <v>0</v>
      </c>
      <c r="AI79" t="s">
        <v>56</v>
      </c>
      <c r="AJ79">
        <v>4.0999999999999996</v>
      </c>
      <c r="AK79">
        <v>0.9</v>
      </c>
      <c r="AL79">
        <v>0.15</v>
      </c>
      <c r="AM79">
        <v>29.1</v>
      </c>
      <c r="AN79">
        <v>1.45</v>
      </c>
      <c r="AO79">
        <v>0</v>
      </c>
      <c r="AP79">
        <v>0</v>
      </c>
      <c r="AQ79" t="s">
        <v>57</v>
      </c>
      <c r="AS79" t="s">
        <v>556</v>
      </c>
      <c r="AT79" t="s">
        <v>556</v>
      </c>
      <c r="AU79" t="s">
        <v>555</v>
      </c>
      <c r="AV79" t="s">
        <v>557</v>
      </c>
      <c r="AW79" t="s">
        <v>558</v>
      </c>
      <c r="AZ79">
        <v>67100</v>
      </c>
      <c r="BA79" t="s">
        <v>215</v>
      </c>
      <c r="BB79" t="s">
        <v>61</v>
      </c>
      <c r="BC79" t="s">
        <v>62</v>
      </c>
    </row>
    <row r="80" spans="1:55" x14ac:dyDescent="0.25">
      <c r="A80" s="1" t="str">
        <f>IF(COUNTIF(Catégories!A:A,X80)=0,"catégorie inconnue",_xlfn.XLOOKUP(X80,Catégories!A:A,Catégories!B:B))</f>
        <v>Frêt</v>
      </c>
      <c r="B80" s="1">
        <f t="shared" si="3"/>
        <v>6.6000000000000005</v>
      </c>
      <c r="C80" s="1">
        <f t="shared" si="4"/>
        <v>1.45</v>
      </c>
      <c r="D80" s="1">
        <f t="shared" si="5"/>
        <v>5.15</v>
      </c>
      <c r="E80" s="20">
        <f>IF(AH80&lt;&gt;0,ROUNDUP(AH80,0),IF(BB80&lt;&gt;"FR","hors France",IF(AH80&lt;&gt;0,ROUNDUP(AH80,0),_xlfn.XLOOKUP(AJ80,'PA GLS'!B:B,'PA GLS'!A:A))))</f>
        <v>1</v>
      </c>
      <c r="F80">
        <v>2501382993</v>
      </c>
      <c r="G80">
        <v>1030212005</v>
      </c>
      <c r="H80" t="s">
        <v>366</v>
      </c>
      <c r="I80">
        <v>2500034092</v>
      </c>
      <c r="J80" t="s">
        <v>50</v>
      </c>
      <c r="K80">
        <v>9000009190</v>
      </c>
      <c r="L80">
        <v>46946</v>
      </c>
      <c r="M80" t="s">
        <v>51</v>
      </c>
      <c r="N80">
        <v>9000037814</v>
      </c>
      <c r="O80" t="s">
        <v>51</v>
      </c>
      <c r="S80">
        <v>2507012387</v>
      </c>
      <c r="T80" t="s">
        <v>50</v>
      </c>
      <c r="U80" t="s">
        <v>122</v>
      </c>
      <c r="V80" t="s">
        <v>69</v>
      </c>
      <c r="W80" t="s">
        <v>70</v>
      </c>
      <c r="X80" t="s">
        <v>60</v>
      </c>
      <c r="Z80">
        <v>30</v>
      </c>
      <c r="AA80" t="s">
        <v>420</v>
      </c>
      <c r="AB80" t="s">
        <v>559</v>
      </c>
      <c r="AC80">
        <v>2604000024</v>
      </c>
      <c r="AE80">
        <v>0</v>
      </c>
      <c r="AF80">
        <v>0</v>
      </c>
      <c r="AG80">
        <v>0</v>
      </c>
      <c r="AH80">
        <v>0</v>
      </c>
      <c r="AI80" t="s">
        <v>56</v>
      </c>
      <c r="AJ80">
        <v>4.0999999999999996</v>
      </c>
      <c r="AK80">
        <v>0.9</v>
      </c>
      <c r="AL80">
        <v>0.15</v>
      </c>
      <c r="AM80">
        <v>29.1</v>
      </c>
      <c r="AN80">
        <v>1.45</v>
      </c>
      <c r="AO80">
        <v>0</v>
      </c>
      <c r="AP80">
        <v>0</v>
      </c>
      <c r="AQ80" t="s">
        <v>57</v>
      </c>
      <c r="AS80" t="s">
        <v>560</v>
      </c>
      <c r="AT80" t="s">
        <v>560</v>
      </c>
      <c r="AU80" t="s">
        <v>559</v>
      </c>
      <c r="AV80" t="s">
        <v>561</v>
      </c>
      <c r="AW80" t="s">
        <v>562</v>
      </c>
      <c r="AZ80">
        <v>1170</v>
      </c>
      <c r="BA80" t="s">
        <v>563</v>
      </c>
      <c r="BB80" t="s">
        <v>61</v>
      </c>
      <c r="BC80" t="s">
        <v>62</v>
      </c>
    </row>
    <row r="81" spans="1:55" x14ac:dyDescent="0.25">
      <c r="A81" s="1" t="str">
        <f>IF(COUNTIF(Catégories!A:A,X81)=0,"catégorie inconnue",_xlfn.XLOOKUP(X81,Catégories!A:A,Catégories!B:B))</f>
        <v>Frêt</v>
      </c>
      <c r="B81" s="1">
        <f t="shared" si="3"/>
        <v>0</v>
      </c>
      <c r="C81" s="1">
        <f t="shared" si="4"/>
        <v>0</v>
      </c>
      <c r="D81" s="1">
        <f t="shared" si="5"/>
        <v>0</v>
      </c>
      <c r="E81" s="20">
        <f>IF(AH81&lt;&gt;0,ROUNDUP(AH81,0),IF(BB81&lt;&gt;"FR","hors France",IF(AH81&lt;&gt;0,ROUNDUP(AH81,0),_xlfn.XLOOKUP(AJ81,'PA GLS'!B:B,'PA GLS'!A:A))))</f>
        <v>1</v>
      </c>
      <c r="F81">
        <v>2501382993</v>
      </c>
      <c r="G81">
        <v>1030216444</v>
      </c>
      <c r="H81" t="s">
        <v>366</v>
      </c>
      <c r="I81">
        <v>2500034092</v>
      </c>
      <c r="J81" t="s">
        <v>50</v>
      </c>
      <c r="K81">
        <v>9000009190</v>
      </c>
      <c r="L81">
        <v>46946</v>
      </c>
      <c r="M81" t="s">
        <v>51</v>
      </c>
      <c r="N81">
        <v>9000082822</v>
      </c>
      <c r="O81" t="s">
        <v>175</v>
      </c>
      <c r="S81">
        <v>2507012387</v>
      </c>
      <c r="T81" t="s">
        <v>50</v>
      </c>
      <c r="U81" t="s">
        <v>122</v>
      </c>
      <c r="V81" t="s">
        <v>176</v>
      </c>
      <c r="W81" t="s">
        <v>177</v>
      </c>
      <c r="X81" t="s">
        <v>152</v>
      </c>
      <c r="Z81">
        <v>31</v>
      </c>
      <c r="AA81" t="s">
        <v>420</v>
      </c>
      <c r="AB81" t="s">
        <v>564</v>
      </c>
      <c r="AC81">
        <v>6694240</v>
      </c>
      <c r="AE81">
        <v>0</v>
      </c>
      <c r="AF81">
        <v>1</v>
      </c>
      <c r="AG81">
        <v>0</v>
      </c>
      <c r="AH81">
        <v>0.2</v>
      </c>
      <c r="AI81" t="s">
        <v>56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 t="s">
        <v>57</v>
      </c>
      <c r="AS81" t="s">
        <v>565</v>
      </c>
      <c r="AU81" t="s">
        <v>564</v>
      </c>
      <c r="AV81" t="s">
        <v>343</v>
      </c>
      <c r="AW81" t="s">
        <v>344</v>
      </c>
      <c r="AX81" t="s">
        <v>345</v>
      </c>
      <c r="AZ81">
        <v>76000</v>
      </c>
      <c r="BA81" t="s">
        <v>225</v>
      </c>
      <c r="BB81" t="s">
        <v>61</v>
      </c>
      <c r="BC81" t="s">
        <v>62</v>
      </c>
    </row>
    <row r="82" spans="1:55" x14ac:dyDescent="0.25">
      <c r="A82" s="1" t="str">
        <f>IF(COUNTIF(Catégories!A:A,X82)=0,"catégorie inconnue",_xlfn.XLOOKUP(X82,Catégories!A:A,Catégories!B:B))</f>
        <v>Frêt</v>
      </c>
      <c r="B82" s="1">
        <f t="shared" si="3"/>
        <v>0</v>
      </c>
      <c r="C82" s="1">
        <f t="shared" si="4"/>
        <v>0</v>
      </c>
      <c r="D82" s="1">
        <f t="shared" si="5"/>
        <v>0</v>
      </c>
      <c r="E82" s="20">
        <f>IF(AH82&lt;&gt;0,ROUNDUP(AH82,0),IF(BB82&lt;&gt;"FR","hors France",IF(AH82&lt;&gt;0,ROUNDUP(AH82,0),_xlfn.XLOOKUP(AJ82,'PA GLS'!B:B,'PA GLS'!A:A))))</f>
        <v>3</v>
      </c>
      <c r="F82">
        <v>2501382993</v>
      </c>
      <c r="G82">
        <v>1030216444</v>
      </c>
      <c r="H82" t="s">
        <v>366</v>
      </c>
      <c r="I82">
        <v>2500034092</v>
      </c>
      <c r="J82" t="s">
        <v>50</v>
      </c>
      <c r="K82">
        <v>9000009190</v>
      </c>
      <c r="L82">
        <v>46946</v>
      </c>
      <c r="M82" t="s">
        <v>51</v>
      </c>
      <c r="N82">
        <v>9000082822</v>
      </c>
      <c r="O82" t="s">
        <v>175</v>
      </c>
      <c r="S82">
        <v>2507012387</v>
      </c>
      <c r="T82" t="s">
        <v>50</v>
      </c>
      <c r="U82" t="s">
        <v>122</v>
      </c>
      <c r="V82" t="s">
        <v>176</v>
      </c>
      <c r="W82" t="s">
        <v>177</v>
      </c>
      <c r="X82" t="s">
        <v>152</v>
      </c>
      <c r="Z82">
        <v>31</v>
      </c>
      <c r="AA82" t="s">
        <v>420</v>
      </c>
      <c r="AB82" t="s">
        <v>566</v>
      </c>
      <c r="AC82">
        <v>6694523</v>
      </c>
      <c r="AE82">
        <v>0</v>
      </c>
      <c r="AF82">
        <v>1</v>
      </c>
      <c r="AG82">
        <v>0</v>
      </c>
      <c r="AH82">
        <v>2.7</v>
      </c>
      <c r="AI82" t="s">
        <v>56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 t="s">
        <v>57</v>
      </c>
      <c r="AS82" t="s">
        <v>567</v>
      </c>
      <c r="AU82" t="s">
        <v>566</v>
      </c>
      <c r="AV82" t="s">
        <v>190</v>
      </c>
      <c r="AW82" t="s">
        <v>198</v>
      </c>
      <c r="AX82" t="s">
        <v>191</v>
      </c>
      <c r="AZ82">
        <v>44000</v>
      </c>
      <c r="BA82" t="s">
        <v>80</v>
      </c>
      <c r="BB82" t="s">
        <v>61</v>
      </c>
      <c r="BC82" t="s">
        <v>62</v>
      </c>
    </row>
    <row r="83" spans="1:55" x14ac:dyDescent="0.25">
      <c r="A83" s="1" t="str">
        <f>IF(COUNTIF(Catégories!A:A,X83)=0,"catégorie inconnue",_xlfn.XLOOKUP(X83,Catégories!A:A,Catégories!B:B))</f>
        <v>Frêt</v>
      </c>
      <c r="B83" s="1">
        <f t="shared" si="3"/>
        <v>0</v>
      </c>
      <c r="C83" s="1">
        <f t="shared" si="4"/>
        <v>0</v>
      </c>
      <c r="D83" s="1">
        <f t="shared" si="5"/>
        <v>0</v>
      </c>
      <c r="E83" s="20">
        <f>IF(AH83&lt;&gt;0,ROUNDUP(AH83,0),IF(BB83&lt;&gt;"FR","hors France",IF(AH83&lt;&gt;0,ROUNDUP(AH83,0),_xlfn.XLOOKUP(AJ83,'PA GLS'!B:B,'PA GLS'!A:A))))</f>
        <v>1</v>
      </c>
      <c r="F83">
        <v>2501382993</v>
      </c>
      <c r="G83">
        <v>1030216444</v>
      </c>
      <c r="H83" t="s">
        <v>366</v>
      </c>
      <c r="I83">
        <v>2500034092</v>
      </c>
      <c r="J83" t="s">
        <v>50</v>
      </c>
      <c r="K83">
        <v>9000009190</v>
      </c>
      <c r="L83">
        <v>46946</v>
      </c>
      <c r="M83" t="s">
        <v>51</v>
      </c>
      <c r="N83">
        <v>9000082822</v>
      </c>
      <c r="O83" t="s">
        <v>175</v>
      </c>
      <c r="S83">
        <v>2507012387</v>
      </c>
      <c r="T83" t="s">
        <v>50</v>
      </c>
      <c r="U83" t="s">
        <v>122</v>
      </c>
      <c r="V83" t="s">
        <v>176</v>
      </c>
      <c r="W83" t="s">
        <v>177</v>
      </c>
      <c r="X83" t="s">
        <v>152</v>
      </c>
      <c r="Z83">
        <v>31</v>
      </c>
      <c r="AA83" t="s">
        <v>420</v>
      </c>
      <c r="AB83" t="s">
        <v>568</v>
      </c>
      <c r="AC83">
        <v>6694589</v>
      </c>
      <c r="AE83">
        <v>0</v>
      </c>
      <c r="AF83">
        <v>1</v>
      </c>
      <c r="AG83">
        <v>0</v>
      </c>
      <c r="AH83">
        <v>0.77</v>
      </c>
      <c r="AI83" t="s">
        <v>56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 t="s">
        <v>57</v>
      </c>
      <c r="AS83" t="s">
        <v>569</v>
      </c>
      <c r="AU83" t="s">
        <v>568</v>
      </c>
      <c r="AV83" t="s">
        <v>238</v>
      </c>
      <c r="AW83" t="s">
        <v>239</v>
      </c>
      <c r="AX83" t="s">
        <v>260</v>
      </c>
      <c r="AZ83">
        <v>26300</v>
      </c>
      <c r="BA83" t="s">
        <v>243</v>
      </c>
      <c r="BB83" t="s">
        <v>61</v>
      </c>
      <c r="BC83" t="s">
        <v>62</v>
      </c>
    </row>
    <row r="84" spans="1:55" x14ac:dyDescent="0.25">
      <c r="A84" s="1" t="str">
        <f>IF(COUNTIF(Catégories!A:A,X84)=0,"catégorie inconnue",_xlfn.XLOOKUP(X84,Catégories!A:A,Catégories!B:B))</f>
        <v>Frêt</v>
      </c>
      <c r="B84" s="1">
        <f t="shared" si="3"/>
        <v>6.17</v>
      </c>
      <c r="C84" s="1">
        <f t="shared" si="4"/>
        <v>1.35</v>
      </c>
      <c r="D84" s="1">
        <f t="shared" si="5"/>
        <v>4.82</v>
      </c>
      <c r="E84" s="20">
        <f>IF(AH84&lt;&gt;0,ROUNDUP(AH84,0),IF(BB84&lt;&gt;"FR","hors France",IF(AH84&lt;&gt;0,ROUNDUP(AH84,0),_xlfn.XLOOKUP(AJ84,'PA GLS'!B:B,'PA GLS'!A:A))))</f>
        <v>0.5</v>
      </c>
      <c r="F84">
        <v>2501382993</v>
      </c>
      <c r="G84">
        <v>1030216444</v>
      </c>
      <c r="H84" t="s">
        <v>366</v>
      </c>
      <c r="I84">
        <v>2500034092</v>
      </c>
      <c r="J84" t="s">
        <v>50</v>
      </c>
      <c r="K84">
        <v>9000009190</v>
      </c>
      <c r="L84">
        <v>46946</v>
      </c>
      <c r="M84" t="s">
        <v>51</v>
      </c>
      <c r="N84">
        <v>9000082822</v>
      </c>
      <c r="O84" t="s">
        <v>175</v>
      </c>
      <c r="S84">
        <v>2507012387</v>
      </c>
      <c r="T84" t="s">
        <v>50</v>
      </c>
      <c r="U84" t="s">
        <v>122</v>
      </c>
      <c r="V84" t="s">
        <v>73</v>
      </c>
      <c r="W84" t="s">
        <v>74</v>
      </c>
      <c r="X84" t="s">
        <v>60</v>
      </c>
      <c r="Z84">
        <v>32</v>
      </c>
      <c r="AA84" t="s">
        <v>420</v>
      </c>
      <c r="AB84" t="s">
        <v>564</v>
      </c>
      <c r="AC84">
        <v>6694240</v>
      </c>
      <c r="AE84">
        <v>0</v>
      </c>
      <c r="AF84">
        <v>0</v>
      </c>
      <c r="AG84">
        <v>0</v>
      </c>
      <c r="AH84">
        <v>0</v>
      </c>
      <c r="AI84" t="s">
        <v>56</v>
      </c>
      <c r="AJ84">
        <v>3.77</v>
      </c>
      <c r="AK84">
        <v>0.9</v>
      </c>
      <c r="AL84">
        <v>0.15</v>
      </c>
      <c r="AM84">
        <v>29.1</v>
      </c>
      <c r="AN84">
        <v>1.35</v>
      </c>
      <c r="AO84">
        <v>0</v>
      </c>
      <c r="AP84">
        <v>0</v>
      </c>
      <c r="AQ84" t="s">
        <v>57</v>
      </c>
      <c r="AS84" t="s">
        <v>565</v>
      </c>
      <c r="AU84" t="s">
        <v>564</v>
      </c>
      <c r="AV84" t="s">
        <v>343</v>
      </c>
      <c r="AW84" t="s">
        <v>344</v>
      </c>
      <c r="AX84" t="s">
        <v>345</v>
      </c>
      <c r="AZ84">
        <v>76000</v>
      </c>
      <c r="BA84" t="s">
        <v>225</v>
      </c>
      <c r="BB84" t="s">
        <v>61</v>
      </c>
      <c r="BC84" t="s">
        <v>62</v>
      </c>
    </row>
    <row r="85" spans="1:55" x14ac:dyDescent="0.25">
      <c r="A85" s="1" t="str">
        <f>IF(COUNTIF(Catégories!A:A,X85)=0,"catégorie inconnue",_xlfn.XLOOKUP(X85,Catégories!A:A,Catégories!B:B))</f>
        <v>Frêt</v>
      </c>
      <c r="B85" s="1">
        <f t="shared" si="3"/>
        <v>6.6000000000000005</v>
      </c>
      <c r="C85" s="1">
        <f t="shared" si="4"/>
        <v>1.45</v>
      </c>
      <c r="D85" s="1">
        <f t="shared" si="5"/>
        <v>5.15</v>
      </c>
      <c r="E85" s="20">
        <f>IF(AH85&lt;&gt;0,ROUNDUP(AH85,0),IF(BB85&lt;&gt;"FR","hors France",IF(AH85&lt;&gt;0,ROUNDUP(AH85,0),_xlfn.XLOOKUP(AJ85,'PA GLS'!B:B,'PA GLS'!A:A))))</f>
        <v>1</v>
      </c>
      <c r="F85">
        <v>2501382993</v>
      </c>
      <c r="G85">
        <v>1030216444</v>
      </c>
      <c r="H85" t="s">
        <v>366</v>
      </c>
      <c r="I85">
        <v>2500034092</v>
      </c>
      <c r="J85" t="s">
        <v>50</v>
      </c>
      <c r="K85">
        <v>9000009190</v>
      </c>
      <c r="L85">
        <v>46946</v>
      </c>
      <c r="M85" t="s">
        <v>51</v>
      </c>
      <c r="N85">
        <v>9000082822</v>
      </c>
      <c r="O85" t="s">
        <v>175</v>
      </c>
      <c r="S85">
        <v>2507012387</v>
      </c>
      <c r="T85" t="s">
        <v>50</v>
      </c>
      <c r="U85" t="s">
        <v>122</v>
      </c>
      <c r="V85" t="s">
        <v>66</v>
      </c>
      <c r="W85" t="s">
        <v>67</v>
      </c>
      <c r="X85" t="s">
        <v>60</v>
      </c>
      <c r="Z85">
        <v>33</v>
      </c>
      <c r="AA85" t="s">
        <v>420</v>
      </c>
      <c r="AB85" t="s">
        <v>568</v>
      </c>
      <c r="AC85">
        <v>6694589</v>
      </c>
      <c r="AE85">
        <v>0</v>
      </c>
      <c r="AF85">
        <v>0</v>
      </c>
      <c r="AG85">
        <v>0</v>
      </c>
      <c r="AH85">
        <v>0</v>
      </c>
      <c r="AI85" t="s">
        <v>56</v>
      </c>
      <c r="AJ85">
        <v>4.0999999999999996</v>
      </c>
      <c r="AK85">
        <v>0.9</v>
      </c>
      <c r="AL85">
        <v>0.15</v>
      </c>
      <c r="AM85">
        <v>29.1</v>
      </c>
      <c r="AN85">
        <v>1.45</v>
      </c>
      <c r="AO85">
        <v>0</v>
      </c>
      <c r="AP85">
        <v>0</v>
      </c>
      <c r="AQ85" t="s">
        <v>57</v>
      </c>
      <c r="AS85" t="s">
        <v>569</v>
      </c>
      <c r="AU85" t="s">
        <v>568</v>
      </c>
      <c r="AV85" t="s">
        <v>238</v>
      </c>
      <c r="AW85" t="s">
        <v>239</v>
      </c>
      <c r="AX85" t="s">
        <v>260</v>
      </c>
      <c r="AZ85">
        <v>26300</v>
      </c>
      <c r="BA85" t="s">
        <v>243</v>
      </c>
      <c r="BB85" t="s">
        <v>61</v>
      </c>
      <c r="BC85" t="s">
        <v>62</v>
      </c>
    </row>
    <row r="86" spans="1:55" x14ac:dyDescent="0.25">
      <c r="A86" s="1" t="str">
        <f>IF(COUNTIF(Catégories!A:A,X86)=0,"catégorie inconnue",_xlfn.XLOOKUP(X86,Catégories!A:A,Catégories!B:B))</f>
        <v>Frêt</v>
      </c>
      <c r="B86" s="1">
        <f t="shared" si="3"/>
        <v>7.4300000000000006</v>
      </c>
      <c r="C86" s="1">
        <f t="shared" si="4"/>
        <v>1.64</v>
      </c>
      <c r="D86" s="1">
        <f t="shared" si="5"/>
        <v>5.7900000000000009</v>
      </c>
      <c r="E86" s="20">
        <f>IF(AH86&lt;&gt;0,ROUNDUP(AH86,0),IF(BB86&lt;&gt;"FR","hors France",IF(AH86&lt;&gt;0,ROUNDUP(AH86,0),_xlfn.XLOOKUP(AJ86,'PA GLS'!B:B,'PA GLS'!A:A))))</f>
        <v>3</v>
      </c>
      <c r="F86">
        <v>2501382993</v>
      </c>
      <c r="G86">
        <v>1030216444</v>
      </c>
      <c r="H86" t="s">
        <v>366</v>
      </c>
      <c r="I86">
        <v>2500034092</v>
      </c>
      <c r="J86" t="s">
        <v>50</v>
      </c>
      <c r="K86">
        <v>9000009190</v>
      </c>
      <c r="L86">
        <v>46946</v>
      </c>
      <c r="M86" t="s">
        <v>51</v>
      </c>
      <c r="N86">
        <v>9000082822</v>
      </c>
      <c r="O86" t="s">
        <v>175</v>
      </c>
      <c r="S86">
        <v>2507012387</v>
      </c>
      <c r="T86" t="s">
        <v>50</v>
      </c>
      <c r="U86" t="s">
        <v>122</v>
      </c>
      <c r="V86" t="s">
        <v>58</v>
      </c>
      <c r="W86" t="s">
        <v>59</v>
      </c>
      <c r="X86" t="s">
        <v>60</v>
      </c>
      <c r="Z86">
        <v>34</v>
      </c>
      <c r="AA86" t="s">
        <v>420</v>
      </c>
      <c r="AB86" t="s">
        <v>566</v>
      </c>
      <c r="AC86">
        <v>6694523</v>
      </c>
      <c r="AE86">
        <v>0</v>
      </c>
      <c r="AF86">
        <v>0</v>
      </c>
      <c r="AG86">
        <v>0</v>
      </c>
      <c r="AH86">
        <v>0</v>
      </c>
      <c r="AI86" t="s">
        <v>56</v>
      </c>
      <c r="AJ86">
        <v>4.74</v>
      </c>
      <c r="AK86">
        <v>0.9</v>
      </c>
      <c r="AL86">
        <v>0.15</v>
      </c>
      <c r="AM86">
        <v>29.1</v>
      </c>
      <c r="AN86">
        <v>1.64</v>
      </c>
      <c r="AO86">
        <v>0</v>
      </c>
      <c r="AP86">
        <v>0</v>
      </c>
      <c r="AQ86" t="s">
        <v>57</v>
      </c>
      <c r="AS86" t="s">
        <v>567</v>
      </c>
      <c r="AU86" t="s">
        <v>566</v>
      </c>
      <c r="AV86" t="s">
        <v>190</v>
      </c>
      <c r="AW86" t="s">
        <v>198</v>
      </c>
      <c r="AX86" t="s">
        <v>191</v>
      </c>
      <c r="AZ86">
        <v>44000</v>
      </c>
      <c r="BA86" t="s">
        <v>80</v>
      </c>
      <c r="BB86" t="s">
        <v>61</v>
      </c>
      <c r="BC86" t="s">
        <v>62</v>
      </c>
    </row>
    <row r="87" spans="1:55" x14ac:dyDescent="0.25">
      <c r="A87" s="1" t="str">
        <f>IF(COUNTIF(Catégories!A:A,X87)=0,"catégorie inconnue",_xlfn.XLOOKUP(X87,Catégories!A:A,Catégories!B:B))</f>
        <v>Frêt</v>
      </c>
      <c r="B87" s="1">
        <f t="shared" si="3"/>
        <v>7.0100000000000007</v>
      </c>
      <c r="C87" s="1">
        <f t="shared" si="4"/>
        <v>1.54</v>
      </c>
      <c r="D87" s="1">
        <f t="shared" si="5"/>
        <v>5.4700000000000006</v>
      </c>
      <c r="E87" s="20">
        <f>IF(AH87&lt;&gt;0,ROUNDUP(AH87,0),IF(BB87&lt;&gt;"FR","hors France",IF(AH87&lt;&gt;0,ROUNDUP(AH87,0),_xlfn.XLOOKUP(AJ87,'PA GLS'!B:B,'PA GLS'!A:A))))</f>
        <v>2</v>
      </c>
      <c r="F87">
        <v>2501382993</v>
      </c>
      <c r="G87">
        <v>1030219781</v>
      </c>
      <c r="H87" t="s">
        <v>366</v>
      </c>
      <c r="I87">
        <v>2500034092</v>
      </c>
      <c r="J87" t="s">
        <v>50</v>
      </c>
      <c r="K87">
        <v>9000009190</v>
      </c>
      <c r="L87">
        <v>46946</v>
      </c>
      <c r="M87" t="s">
        <v>51</v>
      </c>
      <c r="N87">
        <v>9000079830</v>
      </c>
      <c r="O87" t="s">
        <v>187</v>
      </c>
      <c r="S87">
        <v>2507012387</v>
      </c>
      <c r="T87" t="s">
        <v>50</v>
      </c>
      <c r="U87" t="s">
        <v>122</v>
      </c>
      <c r="V87" t="s">
        <v>77</v>
      </c>
      <c r="W87" t="s">
        <v>78</v>
      </c>
      <c r="X87" t="s">
        <v>60</v>
      </c>
      <c r="Z87">
        <v>45</v>
      </c>
      <c r="AA87" t="s">
        <v>420</v>
      </c>
      <c r="AB87" t="s">
        <v>484</v>
      </c>
      <c r="AC87">
        <v>2604000037</v>
      </c>
      <c r="AE87">
        <v>0</v>
      </c>
      <c r="AF87">
        <v>0</v>
      </c>
      <c r="AG87">
        <v>0</v>
      </c>
      <c r="AH87">
        <v>0</v>
      </c>
      <c r="AI87" t="s">
        <v>56</v>
      </c>
      <c r="AJ87">
        <v>4.42</v>
      </c>
      <c r="AK87">
        <v>0.9</v>
      </c>
      <c r="AL87">
        <v>0.15</v>
      </c>
      <c r="AM87">
        <v>29.1</v>
      </c>
      <c r="AN87">
        <v>1.54</v>
      </c>
      <c r="AO87">
        <v>0</v>
      </c>
      <c r="AP87">
        <v>0</v>
      </c>
      <c r="AQ87" t="s">
        <v>57</v>
      </c>
      <c r="AS87" t="s">
        <v>485</v>
      </c>
      <c r="AT87" t="s">
        <v>485</v>
      </c>
      <c r="AU87" t="s">
        <v>484</v>
      </c>
      <c r="AV87" t="s">
        <v>486</v>
      </c>
      <c r="AW87" t="s">
        <v>487</v>
      </c>
      <c r="AZ87">
        <v>31450</v>
      </c>
      <c r="BA87" t="s">
        <v>488</v>
      </c>
      <c r="BB87" t="s">
        <v>61</v>
      </c>
      <c r="BC87" t="s">
        <v>62</v>
      </c>
    </row>
    <row r="88" spans="1:55" x14ac:dyDescent="0.25">
      <c r="A88" s="1" t="str">
        <f>IF(COUNTIF(Catégories!A:A,X88)=0,"catégorie inconnue",_xlfn.XLOOKUP(X88,Catégories!A:A,Catégories!B:B))</f>
        <v>Frêt</v>
      </c>
      <c r="B88" s="1">
        <f t="shared" si="3"/>
        <v>7.0100000000000007</v>
      </c>
      <c r="C88" s="1">
        <f t="shared" si="4"/>
        <v>1.54</v>
      </c>
      <c r="D88" s="1">
        <f t="shared" si="5"/>
        <v>5.4700000000000006</v>
      </c>
      <c r="E88" s="20">
        <f>IF(AH88&lt;&gt;0,ROUNDUP(AH88,0),IF(BB88&lt;&gt;"FR","hors France",IF(AH88&lt;&gt;0,ROUNDUP(AH88,0),_xlfn.XLOOKUP(AJ88,'PA GLS'!B:B,'PA GLS'!A:A))))</f>
        <v>2</v>
      </c>
      <c r="F88">
        <v>2501382993</v>
      </c>
      <c r="G88">
        <v>1030219781</v>
      </c>
      <c r="H88" t="s">
        <v>366</v>
      </c>
      <c r="I88">
        <v>2500034092</v>
      </c>
      <c r="J88" t="s">
        <v>50</v>
      </c>
      <c r="K88">
        <v>9000009190</v>
      </c>
      <c r="L88">
        <v>46946</v>
      </c>
      <c r="M88" t="s">
        <v>51</v>
      </c>
      <c r="N88">
        <v>9000079830</v>
      </c>
      <c r="O88" t="s">
        <v>187</v>
      </c>
      <c r="S88">
        <v>2507012387</v>
      </c>
      <c r="T88" t="s">
        <v>50</v>
      </c>
      <c r="U88" t="s">
        <v>122</v>
      </c>
      <c r="V88" t="s">
        <v>63</v>
      </c>
      <c r="W88" t="s">
        <v>64</v>
      </c>
      <c r="X88" t="s">
        <v>60</v>
      </c>
      <c r="Z88">
        <v>44</v>
      </c>
      <c r="AA88" t="s">
        <v>420</v>
      </c>
      <c r="AB88" t="s">
        <v>525</v>
      </c>
      <c r="AC88">
        <v>2604000052</v>
      </c>
      <c r="AE88">
        <v>0</v>
      </c>
      <c r="AF88">
        <v>0</v>
      </c>
      <c r="AG88">
        <v>0</v>
      </c>
      <c r="AH88">
        <v>0</v>
      </c>
      <c r="AI88" t="s">
        <v>56</v>
      </c>
      <c r="AJ88">
        <v>4.42</v>
      </c>
      <c r="AK88">
        <v>0.9</v>
      </c>
      <c r="AL88">
        <v>0.15</v>
      </c>
      <c r="AM88">
        <v>29.1</v>
      </c>
      <c r="AN88">
        <v>1.54</v>
      </c>
      <c r="AO88">
        <v>0</v>
      </c>
      <c r="AP88">
        <v>0</v>
      </c>
      <c r="AQ88" t="s">
        <v>57</v>
      </c>
      <c r="AS88" t="s">
        <v>526</v>
      </c>
      <c r="AT88" t="s">
        <v>526</v>
      </c>
      <c r="AU88" t="s">
        <v>525</v>
      </c>
      <c r="AV88" t="s">
        <v>527</v>
      </c>
      <c r="AW88" t="s">
        <v>528</v>
      </c>
      <c r="AZ88">
        <v>92170</v>
      </c>
      <c r="BA88" t="s">
        <v>269</v>
      </c>
      <c r="BB88" t="s">
        <v>61</v>
      </c>
      <c r="BC88" t="s">
        <v>62</v>
      </c>
    </row>
    <row r="89" spans="1:55" x14ac:dyDescent="0.25">
      <c r="A89" s="1" t="str">
        <f>IF(COUNTIF(Catégories!A:A,X89)=0,"catégorie inconnue",_xlfn.XLOOKUP(X89,Catégories!A:A,Catégories!B:B))</f>
        <v>Frêt</v>
      </c>
      <c r="B89" s="1">
        <f t="shared" si="3"/>
        <v>7.0100000000000007</v>
      </c>
      <c r="C89" s="1">
        <f t="shared" si="4"/>
        <v>1.54</v>
      </c>
      <c r="D89" s="1">
        <f t="shared" si="5"/>
        <v>5.4700000000000006</v>
      </c>
      <c r="E89" s="20">
        <f>IF(AH89&lt;&gt;0,ROUNDUP(AH89,0),IF(BB89&lt;&gt;"FR","hors France",IF(AH89&lt;&gt;0,ROUNDUP(AH89,0),_xlfn.XLOOKUP(AJ89,'PA GLS'!B:B,'PA GLS'!A:A))))</f>
        <v>2</v>
      </c>
      <c r="F89">
        <v>2501382993</v>
      </c>
      <c r="G89">
        <v>1030219781</v>
      </c>
      <c r="H89" t="s">
        <v>366</v>
      </c>
      <c r="I89">
        <v>2500034092</v>
      </c>
      <c r="J89" t="s">
        <v>50</v>
      </c>
      <c r="K89">
        <v>9000009190</v>
      </c>
      <c r="L89">
        <v>46946</v>
      </c>
      <c r="M89" t="s">
        <v>51</v>
      </c>
      <c r="N89">
        <v>9000079830</v>
      </c>
      <c r="O89" t="s">
        <v>187</v>
      </c>
      <c r="S89">
        <v>2507012387</v>
      </c>
      <c r="T89" t="s">
        <v>50</v>
      </c>
      <c r="U89" t="s">
        <v>122</v>
      </c>
      <c r="V89" t="s">
        <v>63</v>
      </c>
      <c r="W89" t="s">
        <v>64</v>
      </c>
      <c r="X89" t="s">
        <v>60</v>
      </c>
      <c r="Z89">
        <v>44</v>
      </c>
      <c r="AA89" t="s">
        <v>420</v>
      </c>
      <c r="AB89" t="s">
        <v>521</v>
      </c>
      <c r="AC89">
        <v>2604000050</v>
      </c>
      <c r="AE89">
        <v>0</v>
      </c>
      <c r="AF89">
        <v>0</v>
      </c>
      <c r="AG89">
        <v>0</v>
      </c>
      <c r="AH89">
        <v>0</v>
      </c>
      <c r="AI89" t="s">
        <v>56</v>
      </c>
      <c r="AJ89">
        <v>4.42</v>
      </c>
      <c r="AK89">
        <v>0.9</v>
      </c>
      <c r="AL89">
        <v>0.15</v>
      </c>
      <c r="AM89">
        <v>29.1</v>
      </c>
      <c r="AN89">
        <v>1.54</v>
      </c>
      <c r="AO89">
        <v>0</v>
      </c>
      <c r="AP89">
        <v>0</v>
      </c>
      <c r="AQ89" t="s">
        <v>57</v>
      </c>
      <c r="AS89" t="s">
        <v>522</v>
      </c>
      <c r="AT89" t="s">
        <v>522</v>
      </c>
      <c r="AU89" t="s">
        <v>521</v>
      </c>
      <c r="AV89" t="s">
        <v>523</v>
      </c>
      <c r="AW89" t="s">
        <v>524</v>
      </c>
      <c r="AZ89">
        <v>31400</v>
      </c>
      <c r="BA89" t="s">
        <v>218</v>
      </c>
      <c r="BB89" t="s">
        <v>61</v>
      </c>
      <c r="BC89" t="s">
        <v>62</v>
      </c>
    </row>
    <row r="90" spans="1:55" x14ac:dyDescent="0.25">
      <c r="A90" s="1" t="str">
        <f>IF(COUNTIF(Catégories!A:A,X90)=0,"catégorie inconnue",_xlfn.XLOOKUP(X90,Catégories!A:A,Catégories!B:B))</f>
        <v>Frêt</v>
      </c>
      <c r="B90" s="1">
        <f t="shared" si="3"/>
        <v>7.0100000000000007</v>
      </c>
      <c r="C90" s="1">
        <f t="shared" si="4"/>
        <v>1.54</v>
      </c>
      <c r="D90" s="1">
        <f t="shared" si="5"/>
        <v>5.4700000000000006</v>
      </c>
      <c r="E90" s="20">
        <f>IF(AH90&lt;&gt;0,ROUNDUP(AH90,0),IF(BB90&lt;&gt;"FR","hors France",IF(AH90&lt;&gt;0,ROUNDUP(AH90,0),_xlfn.XLOOKUP(AJ90,'PA GLS'!B:B,'PA GLS'!A:A))))</f>
        <v>2</v>
      </c>
      <c r="F90">
        <v>2501382993</v>
      </c>
      <c r="G90">
        <v>1030219781</v>
      </c>
      <c r="H90" t="s">
        <v>366</v>
      </c>
      <c r="I90">
        <v>2500034092</v>
      </c>
      <c r="J90" t="s">
        <v>50</v>
      </c>
      <c r="K90">
        <v>9000009190</v>
      </c>
      <c r="L90">
        <v>46946</v>
      </c>
      <c r="M90" t="s">
        <v>51</v>
      </c>
      <c r="N90">
        <v>9000079830</v>
      </c>
      <c r="O90" t="s">
        <v>187</v>
      </c>
      <c r="S90">
        <v>2507012387</v>
      </c>
      <c r="T90" t="s">
        <v>50</v>
      </c>
      <c r="U90" t="s">
        <v>122</v>
      </c>
      <c r="V90" t="s">
        <v>63</v>
      </c>
      <c r="W90" t="s">
        <v>64</v>
      </c>
      <c r="X90" t="s">
        <v>60</v>
      </c>
      <c r="Z90">
        <v>44</v>
      </c>
      <c r="AA90" t="s">
        <v>420</v>
      </c>
      <c r="AB90" t="s">
        <v>516</v>
      </c>
      <c r="AC90">
        <v>2604000047</v>
      </c>
      <c r="AE90">
        <v>0</v>
      </c>
      <c r="AF90">
        <v>0</v>
      </c>
      <c r="AG90">
        <v>0</v>
      </c>
      <c r="AH90">
        <v>0</v>
      </c>
      <c r="AI90" t="s">
        <v>56</v>
      </c>
      <c r="AJ90">
        <v>4.42</v>
      </c>
      <c r="AK90">
        <v>0.9</v>
      </c>
      <c r="AL90">
        <v>0.15</v>
      </c>
      <c r="AM90">
        <v>29.1</v>
      </c>
      <c r="AN90">
        <v>1.54</v>
      </c>
      <c r="AO90">
        <v>0</v>
      </c>
      <c r="AP90">
        <v>0</v>
      </c>
      <c r="AQ90" t="s">
        <v>57</v>
      </c>
      <c r="AS90" t="s">
        <v>517</v>
      </c>
      <c r="AT90" t="s">
        <v>517</v>
      </c>
      <c r="AU90" t="s">
        <v>516</v>
      </c>
      <c r="AV90" t="s">
        <v>518</v>
      </c>
      <c r="AW90" t="s">
        <v>519</v>
      </c>
      <c r="AZ90">
        <v>90110</v>
      </c>
      <c r="BA90" t="s">
        <v>520</v>
      </c>
      <c r="BB90" t="s">
        <v>61</v>
      </c>
      <c r="BC90" t="s">
        <v>62</v>
      </c>
    </row>
    <row r="91" spans="1:55" x14ac:dyDescent="0.25">
      <c r="A91" s="1" t="str">
        <f>IF(COUNTIF(Catégories!A:A,X91)=0,"catégorie inconnue",_xlfn.XLOOKUP(X91,Catégories!A:A,Catégories!B:B))</f>
        <v>Frêt</v>
      </c>
      <c r="B91" s="1">
        <f t="shared" si="3"/>
        <v>7.0100000000000007</v>
      </c>
      <c r="C91" s="1">
        <f t="shared" si="4"/>
        <v>1.54</v>
      </c>
      <c r="D91" s="1">
        <f t="shared" si="5"/>
        <v>5.4700000000000006</v>
      </c>
      <c r="E91" s="20">
        <f>IF(AH91&lt;&gt;0,ROUNDUP(AH91,0),IF(BB91&lt;&gt;"FR","hors France",IF(AH91&lt;&gt;0,ROUNDUP(AH91,0),_xlfn.XLOOKUP(AJ91,'PA GLS'!B:B,'PA GLS'!A:A))))</f>
        <v>2</v>
      </c>
      <c r="F91">
        <v>2501382993</v>
      </c>
      <c r="G91">
        <v>1030219781</v>
      </c>
      <c r="H91" t="s">
        <v>366</v>
      </c>
      <c r="I91">
        <v>2500034092</v>
      </c>
      <c r="J91" t="s">
        <v>50</v>
      </c>
      <c r="K91">
        <v>9000009190</v>
      </c>
      <c r="L91">
        <v>46946</v>
      </c>
      <c r="M91" t="s">
        <v>51</v>
      </c>
      <c r="N91">
        <v>9000079830</v>
      </c>
      <c r="O91" t="s">
        <v>187</v>
      </c>
      <c r="S91">
        <v>2507012387</v>
      </c>
      <c r="T91" t="s">
        <v>50</v>
      </c>
      <c r="U91" t="s">
        <v>122</v>
      </c>
      <c r="V91" t="s">
        <v>63</v>
      </c>
      <c r="W91" t="s">
        <v>64</v>
      </c>
      <c r="X91" t="s">
        <v>60</v>
      </c>
      <c r="Z91">
        <v>44</v>
      </c>
      <c r="AA91" t="s">
        <v>420</v>
      </c>
      <c r="AB91" t="s">
        <v>498</v>
      </c>
      <c r="AC91">
        <v>2604000041</v>
      </c>
      <c r="AE91">
        <v>0</v>
      </c>
      <c r="AF91">
        <v>0</v>
      </c>
      <c r="AG91">
        <v>0</v>
      </c>
      <c r="AH91">
        <v>0</v>
      </c>
      <c r="AI91" t="s">
        <v>56</v>
      </c>
      <c r="AJ91">
        <v>4.42</v>
      </c>
      <c r="AK91">
        <v>0.9</v>
      </c>
      <c r="AL91">
        <v>0.15</v>
      </c>
      <c r="AM91">
        <v>29.1</v>
      </c>
      <c r="AN91">
        <v>1.54</v>
      </c>
      <c r="AO91">
        <v>0</v>
      </c>
      <c r="AP91">
        <v>0</v>
      </c>
      <c r="AQ91" t="s">
        <v>57</v>
      </c>
      <c r="AS91" t="s">
        <v>499</v>
      </c>
      <c r="AT91" t="s">
        <v>499</v>
      </c>
      <c r="AU91" t="s">
        <v>498</v>
      </c>
      <c r="AV91" t="s">
        <v>500</v>
      </c>
      <c r="AW91" t="s">
        <v>501</v>
      </c>
      <c r="AZ91">
        <v>49100</v>
      </c>
      <c r="BA91" t="s">
        <v>234</v>
      </c>
      <c r="BB91" t="s">
        <v>61</v>
      </c>
      <c r="BC91" t="s">
        <v>62</v>
      </c>
    </row>
    <row r="92" spans="1:55" x14ac:dyDescent="0.25">
      <c r="A92" s="1" t="str">
        <f>IF(COUNTIF(Catégories!A:A,X92)=0,"catégorie inconnue",_xlfn.XLOOKUP(X92,Catégories!A:A,Catégories!B:B))</f>
        <v>Frêt</v>
      </c>
      <c r="B92" s="1">
        <f t="shared" si="3"/>
        <v>7.0100000000000007</v>
      </c>
      <c r="C92" s="1">
        <f t="shared" si="4"/>
        <v>1.54</v>
      </c>
      <c r="D92" s="1">
        <f t="shared" si="5"/>
        <v>5.4700000000000006</v>
      </c>
      <c r="E92" s="20">
        <f>IF(AH92&lt;&gt;0,ROUNDUP(AH92,0),IF(BB92&lt;&gt;"FR","hors France",IF(AH92&lt;&gt;0,ROUNDUP(AH92,0),_xlfn.XLOOKUP(AJ92,'PA GLS'!B:B,'PA GLS'!A:A))))</f>
        <v>2</v>
      </c>
      <c r="F92">
        <v>2501382993</v>
      </c>
      <c r="G92">
        <v>1030219781</v>
      </c>
      <c r="H92" t="s">
        <v>366</v>
      </c>
      <c r="I92">
        <v>2500034092</v>
      </c>
      <c r="J92" t="s">
        <v>50</v>
      </c>
      <c r="K92">
        <v>9000009190</v>
      </c>
      <c r="L92">
        <v>46946</v>
      </c>
      <c r="M92" t="s">
        <v>51</v>
      </c>
      <c r="N92">
        <v>9000079830</v>
      </c>
      <c r="O92" t="s">
        <v>187</v>
      </c>
      <c r="S92">
        <v>2507012387</v>
      </c>
      <c r="T92" t="s">
        <v>50</v>
      </c>
      <c r="U92" t="s">
        <v>122</v>
      </c>
      <c r="V92" t="s">
        <v>63</v>
      </c>
      <c r="W92" t="s">
        <v>64</v>
      </c>
      <c r="X92" t="s">
        <v>60</v>
      </c>
      <c r="Z92">
        <v>44</v>
      </c>
      <c r="AA92" t="s">
        <v>420</v>
      </c>
      <c r="AB92" t="s">
        <v>489</v>
      </c>
      <c r="AC92">
        <v>2604000038</v>
      </c>
      <c r="AE92">
        <v>0</v>
      </c>
      <c r="AF92">
        <v>0</v>
      </c>
      <c r="AG92">
        <v>0</v>
      </c>
      <c r="AH92">
        <v>0</v>
      </c>
      <c r="AI92" t="s">
        <v>56</v>
      </c>
      <c r="AJ92">
        <v>4.42</v>
      </c>
      <c r="AK92">
        <v>0.9</v>
      </c>
      <c r="AL92">
        <v>0.15</v>
      </c>
      <c r="AM92">
        <v>29.1</v>
      </c>
      <c r="AN92">
        <v>1.54</v>
      </c>
      <c r="AO92">
        <v>0</v>
      </c>
      <c r="AP92">
        <v>0</v>
      </c>
      <c r="AQ92" t="s">
        <v>57</v>
      </c>
      <c r="AS92" t="s">
        <v>490</v>
      </c>
      <c r="AT92" t="s">
        <v>490</v>
      </c>
      <c r="AU92" t="s">
        <v>489</v>
      </c>
      <c r="AV92" t="s">
        <v>491</v>
      </c>
      <c r="AW92" t="s">
        <v>492</v>
      </c>
      <c r="AZ92">
        <v>91190</v>
      </c>
      <c r="BA92" t="s">
        <v>493</v>
      </c>
      <c r="BB92" t="s">
        <v>61</v>
      </c>
      <c r="BC92" t="s">
        <v>62</v>
      </c>
    </row>
    <row r="93" spans="1:55" x14ac:dyDescent="0.25">
      <c r="A93" s="1" t="str">
        <f>IF(COUNTIF(Catégories!A:A,X93)=0,"catégorie inconnue",_xlfn.XLOOKUP(X93,Catégories!A:A,Catégories!B:B))</f>
        <v>Frêt</v>
      </c>
      <c r="B93" s="1">
        <f t="shared" si="3"/>
        <v>7.0100000000000007</v>
      </c>
      <c r="C93" s="1">
        <f t="shared" si="4"/>
        <v>1.54</v>
      </c>
      <c r="D93" s="1">
        <f t="shared" si="5"/>
        <v>5.4700000000000006</v>
      </c>
      <c r="E93" s="20">
        <f>IF(AH93&lt;&gt;0,ROUNDUP(AH93,0),IF(BB93&lt;&gt;"FR","hors France",IF(AH93&lt;&gt;0,ROUNDUP(AH93,0),_xlfn.XLOOKUP(AJ93,'PA GLS'!B:B,'PA GLS'!A:A))))</f>
        <v>2</v>
      </c>
      <c r="F93">
        <v>2501382993</v>
      </c>
      <c r="G93">
        <v>1030219781</v>
      </c>
      <c r="H93" t="s">
        <v>366</v>
      </c>
      <c r="I93">
        <v>2500034092</v>
      </c>
      <c r="J93" t="s">
        <v>50</v>
      </c>
      <c r="K93">
        <v>9000009190</v>
      </c>
      <c r="L93">
        <v>46946</v>
      </c>
      <c r="M93" t="s">
        <v>51</v>
      </c>
      <c r="N93">
        <v>9000079830</v>
      </c>
      <c r="O93" t="s">
        <v>187</v>
      </c>
      <c r="S93">
        <v>2507012387</v>
      </c>
      <c r="T93" t="s">
        <v>50</v>
      </c>
      <c r="U93" t="s">
        <v>122</v>
      </c>
      <c r="V93" t="s">
        <v>63</v>
      </c>
      <c r="W93" t="s">
        <v>64</v>
      </c>
      <c r="X93" t="s">
        <v>60</v>
      </c>
      <c r="Z93">
        <v>44</v>
      </c>
      <c r="AA93" t="s">
        <v>420</v>
      </c>
      <c r="AB93" t="s">
        <v>479</v>
      </c>
      <c r="AC93">
        <v>2604000036</v>
      </c>
      <c r="AE93">
        <v>0</v>
      </c>
      <c r="AF93">
        <v>0</v>
      </c>
      <c r="AG93">
        <v>0</v>
      </c>
      <c r="AH93">
        <v>0</v>
      </c>
      <c r="AI93" t="s">
        <v>56</v>
      </c>
      <c r="AJ93">
        <v>4.42</v>
      </c>
      <c r="AK93">
        <v>0.9</v>
      </c>
      <c r="AL93">
        <v>0.15</v>
      </c>
      <c r="AM93">
        <v>29.1</v>
      </c>
      <c r="AN93">
        <v>1.54</v>
      </c>
      <c r="AO93">
        <v>0</v>
      </c>
      <c r="AP93">
        <v>0</v>
      </c>
      <c r="AQ93" t="s">
        <v>57</v>
      </c>
      <c r="AS93" t="s">
        <v>480</v>
      </c>
      <c r="AT93" t="s">
        <v>480</v>
      </c>
      <c r="AU93" t="s">
        <v>479</v>
      </c>
      <c r="AV93" t="s">
        <v>481</v>
      </c>
      <c r="AW93" t="s">
        <v>482</v>
      </c>
      <c r="AZ93">
        <v>59700</v>
      </c>
      <c r="BA93" t="s">
        <v>483</v>
      </c>
      <c r="BB93" t="s">
        <v>61</v>
      </c>
      <c r="BC93" t="s">
        <v>62</v>
      </c>
    </row>
    <row r="94" spans="1:55" x14ac:dyDescent="0.25">
      <c r="A94" s="1" t="str">
        <f>IF(COUNTIF(Catégories!A:A,X94)=0,"catégorie inconnue",_xlfn.XLOOKUP(X94,Catégories!A:A,Catégories!B:B))</f>
        <v>Frêt</v>
      </c>
      <c r="B94" s="1">
        <f t="shared" si="3"/>
        <v>6.17</v>
      </c>
      <c r="C94" s="1">
        <f t="shared" si="4"/>
        <v>1.35</v>
      </c>
      <c r="D94" s="1">
        <f t="shared" si="5"/>
        <v>4.82</v>
      </c>
      <c r="E94" s="20">
        <f>IF(AH94&lt;&gt;0,ROUNDUP(AH94,0),IF(BB94&lt;&gt;"FR","hors France",IF(AH94&lt;&gt;0,ROUNDUP(AH94,0),_xlfn.XLOOKUP(AJ94,'PA GLS'!B:B,'PA GLS'!A:A))))</f>
        <v>0.5</v>
      </c>
      <c r="F94">
        <v>2501382993</v>
      </c>
      <c r="G94">
        <v>1030230689</v>
      </c>
      <c r="H94" t="s">
        <v>366</v>
      </c>
      <c r="I94">
        <v>2500034092</v>
      </c>
      <c r="J94" t="s">
        <v>50</v>
      </c>
      <c r="K94">
        <v>9000009190</v>
      </c>
      <c r="L94">
        <v>46946</v>
      </c>
      <c r="M94" t="s">
        <v>51</v>
      </c>
      <c r="N94">
        <v>9000079829</v>
      </c>
      <c r="O94" t="s">
        <v>156</v>
      </c>
      <c r="S94">
        <v>2507012387</v>
      </c>
      <c r="T94" t="s">
        <v>50</v>
      </c>
      <c r="U94" t="s">
        <v>122</v>
      </c>
      <c r="V94" t="s">
        <v>71</v>
      </c>
      <c r="W94" t="s">
        <v>72</v>
      </c>
      <c r="X94" t="s">
        <v>60</v>
      </c>
      <c r="Z94">
        <v>110</v>
      </c>
      <c r="AA94" t="s">
        <v>420</v>
      </c>
      <c r="AB94" t="s">
        <v>425</v>
      </c>
      <c r="AC94">
        <v>6699902</v>
      </c>
      <c r="AE94">
        <v>0</v>
      </c>
      <c r="AF94">
        <v>0</v>
      </c>
      <c r="AG94">
        <v>0</v>
      </c>
      <c r="AH94">
        <v>0</v>
      </c>
      <c r="AI94" t="s">
        <v>56</v>
      </c>
      <c r="AJ94">
        <v>3.77</v>
      </c>
      <c r="AK94">
        <v>0.9</v>
      </c>
      <c r="AL94">
        <v>0.15</v>
      </c>
      <c r="AM94">
        <v>29.1</v>
      </c>
      <c r="AN94">
        <v>1.35</v>
      </c>
      <c r="AO94">
        <v>0</v>
      </c>
      <c r="AP94">
        <v>0</v>
      </c>
      <c r="AQ94" t="s">
        <v>57</v>
      </c>
      <c r="AS94" t="s">
        <v>426</v>
      </c>
      <c r="AU94" t="s">
        <v>425</v>
      </c>
      <c r="AV94" t="s">
        <v>427</v>
      </c>
      <c r="AW94" t="s">
        <v>428</v>
      </c>
      <c r="AZ94">
        <v>71640</v>
      </c>
      <c r="BA94" t="s">
        <v>429</v>
      </c>
      <c r="BB94" t="s">
        <v>61</v>
      </c>
      <c r="BC94" t="s">
        <v>62</v>
      </c>
    </row>
    <row r="95" spans="1:55" x14ac:dyDescent="0.25">
      <c r="A95" s="1" t="str">
        <f>IF(COUNTIF(Catégories!A:A,X95)=0,"catégorie inconnue",_xlfn.XLOOKUP(X95,Catégories!A:A,Catégories!B:B))</f>
        <v>Frêt</v>
      </c>
      <c r="B95" s="1">
        <f t="shared" si="3"/>
        <v>0</v>
      </c>
      <c r="C95" s="1">
        <f t="shared" si="4"/>
        <v>0</v>
      </c>
      <c r="D95" s="1">
        <f t="shared" si="5"/>
        <v>0</v>
      </c>
      <c r="E95" s="20">
        <f>IF(AH95&lt;&gt;0,ROUNDUP(AH95,0),IF(BB95&lt;&gt;"FR","hors France",IF(AH95&lt;&gt;0,ROUNDUP(AH95,0),_xlfn.XLOOKUP(AJ95,'PA GLS'!B:B,'PA GLS'!A:A))))</f>
        <v>3</v>
      </c>
      <c r="F95">
        <v>2501382993</v>
      </c>
      <c r="G95">
        <v>1030233879</v>
      </c>
      <c r="H95" t="s">
        <v>366</v>
      </c>
      <c r="I95">
        <v>2500034092</v>
      </c>
      <c r="J95" t="s">
        <v>50</v>
      </c>
      <c r="K95">
        <v>9000009190</v>
      </c>
      <c r="L95">
        <v>46946</v>
      </c>
      <c r="M95" t="s">
        <v>51</v>
      </c>
      <c r="N95">
        <v>9000037814</v>
      </c>
      <c r="O95" t="s">
        <v>51</v>
      </c>
      <c r="S95">
        <v>2507012387</v>
      </c>
      <c r="T95" t="s">
        <v>50</v>
      </c>
      <c r="U95" t="s">
        <v>122</v>
      </c>
      <c r="V95" t="s">
        <v>176</v>
      </c>
      <c r="W95" t="s">
        <v>177</v>
      </c>
      <c r="X95" t="s">
        <v>152</v>
      </c>
      <c r="Z95">
        <v>183</v>
      </c>
      <c r="AA95" t="s">
        <v>570</v>
      </c>
      <c r="AB95" t="s">
        <v>571</v>
      </c>
      <c r="AC95">
        <v>2604000032</v>
      </c>
      <c r="AE95">
        <v>0</v>
      </c>
      <c r="AF95">
        <v>1</v>
      </c>
      <c r="AG95">
        <v>0</v>
      </c>
      <c r="AH95">
        <v>2.88</v>
      </c>
      <c r="AI95" t="s">
        <v>56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 t="s">
        <v>57</v>
      </c>
      <c r="AS95" t="s">
        <v>572</v>
      </c>
      <c r="AT95" t="s">
        <v>572</v>
      </c>
      <c r="AU95" t="s">
        <v>571</v>
      </c>
      <c r="AV95" t="s">
        <v>573</v>
      </c>
      <c r="AW95" t="s">
        <v>574</v>
      </c>
      <c r="AZ95">
        <v>68250</v>
      </c>
      <c r="BA95" t="s">
        <v>575</v>
      </c>
      <c r="BB95" t="s">
        <v>61</v>
      </c>
      <c r="BC95" t="s">
        <v>62</v>
      </c>
    </row>
    <row r="96" spans="1:55" x14ac:dyDescent="0.25">
      <c r="A96" s="1" t="str">
        <f>IF(COUNTIF(Catégories!A:A,X96)=0,"catégorie inconnue",_xlfn.XLOOKUP(X96,Catégories!A:A,Catégories!B:B))</f>
        <v>Frêt</v>
      </c>
      <c r="B96" s="1">
        <f t="shared" si="3"/>
        <v>0</v>
      </c>
      <c r="C96" s="1">
        <f t="shared" si="4"/>
        <v>0</v>
      </c>
      <c r="D96" s="1">
        <f t="shared" si="5"/>
        <v>0</v>
      </c>
      <c r="E96" s="20">
        <f>IF(AH96&lt;&gt;0,ROUNDUP(AH96,0),IF(BB96&lt;&gt;"FR","hors France",IF(AH96&lt;&gt;0,ROUNDUP(AH96,0),_xlfn.XLOOKUP(AJ96,'PA GLS'!B:B,'PA GLS'!A:A))))</f>
        <v>1</v>
      </c>
      <c r="F96">
        <v>2501382993</v>
      </c>
      <c r="G96">
        <v>1030233879</v>
      </c>
      <c r="H96" t="s">
        <v>366</v>
      </c>
      <c r="I96">
        <v>2500034092</v>
      </c>
      <c r="J96" t="s">
        <v>50</v>
      </c>
      <c r="K96">
        <v>9000009190</v>
      </c>
      <c r="L96">
        <v>46946</v>
      </c>
      <c r="M96" t="s">
        <v>51</v>
      </c>
      <c r="N96">
        <v>9000037814</v>
      </c>
      <c r="O96" t="s">
        <v>51</v>
      </c>
      <c r="S96">
        <v>2507012387</v>
      </c>
      <c r="T96" t="s">
        <v>50</v>
      </c>
      <c r="U96" t="s">
        <v>122</v>
      </c>
      <c r="V96" t="s">
        <v>176</v>
      </c>
      <c r="W96" t="s">
        <v>177</v>
      </c>
      <c r="X96" t="s">
        <v>152</v>
      </c>
      <c r="Z96">
        <v>183</v>
      </c>
      <c r="AA96" t="s">
        <v>570</v>
      </c>
      <c r="AB96" t="s">
        <v>576</v>
      </c>
      <c r="AC96">
        <v>2604000033</v>
      </c>
      <c r="AE96">
        <v>0</v>
      </c>
      <c r="AF96">
        <v>1</v>
      </c>
      <c r="AG96">
        <v>0</v>
      </c>
      <c r="AH96">
        <v>0.45</v>
      </c>
      <c r="AI96" t="s">
        <v>56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57</v>
      </c>
      <c r="AS96" t="s">
        <v>577</v>
      </c>
      <c r="AT96" t="s">
        <v>577</v>
      </c>
      <c r="AU96" t="s">
        <v>576</v>
      </c>
      <c r="AV96" t="s">
        <v>578</v>
      </c>
      <c r="AW96" t="s">
        <v>579</v>
      </c>
      <c r="AZ96">
        <v>75008</v>
      </c>
      <c r="BA96" t="s">
        <v>65</v>
      </c>
      <c r="BB96" t="s">
        <v>61</v>
      </c>
      <c r="BC96" t="s">
        <v>62</v>
      </c>
    </row>
    <row r="97" spans="1:55" x14ac:dyDescent="0.25">
      <c r="A97" s="1" t="str">
        <f>IF(COUNTIF(Catégories!A:A,X97)=0,"catégorie inconnue",_xlfn.XLOOKUP(X97,Catégories!A:A,Catégories!B:B))</f>
        <v>Frêt</v>
      </c>
      <c r="B97" s="1">
        <f t="shared" si="3"/>
        <v>6.17</v>
      </c>
      <c r="C97" s="1">
        <f t="shared" si="4"/>
        <v>1.35</v>
      </c>
      <c r="D97" s="1">
        <f t="shared" si="5"/>
        <v>4.82</v>
      </c>
      <c r="E97" s="20">
        <f>IF(AH97&lt;&gt;0,ROUNDUP(AH97,0),IF(BB97&lt;&gt;"FR","hors France",IF(AH97&lt;&gt;0,ROUNDUP(AH97,0),_xlfn.XLOOKUP(AJ97,'PA GLS'!B:B,'PA GLS'!A:A))))</f>
        <v>0.5</v>
      </c>
      <c r="F97">
        <v>2501382993</v>
      </c>
      <c r="G97">
        <v>1030233879</v>
      </c>
      <c r="H97" t="s">
        <v>366</v>
      </c>
      <c r="I97">
        <v>2500034092</v>
      </c>
      <c r="J97" t="s">
        <v>50</v>
      </c>
      <c r="K97">
        <v>9000009190</v>
      </c>
      <c r="L97">
        <v>46946</v>
      </c>
      <c r="M97" t="s">
        <v>51</v>
      </c>
      <c r="N97">
        <v>9000037814</v>
      </c>
      <c r="O97" t="s">
        <v>51</v>
      </c>
      <c r="S97">
        <v>2507012387</v>
      </c>
      <c r="T97" t="s">
        <v>50</v>
      </c>
      <c r="U97" t="s">
        <v>122</v>
      </c>
      <c r="V97" t="s">
        <v>73</v>
      </c>
      <c r="W97" t="s">
        <v>74</v>
      </c>
      <c r="X97" t="s">
        <v>60</v>
      </c>
      <c r="Z97">
        <v>184</v>
      </c>
      <c r="AA97" t="s">
        <v>570</v>
      </c>
      <c r="AB97" t="s">
        <v>580</v>
      </c>
      <c r="AC97">
        <v>2604000031</v>
      </c>
      <c r="AE97">
        <v>0</v>
      </c>
      <c r="AF97">
        <v>0</v>
      </c>
      <c r="AG97">
        <v>0</v>
      </c>
      <c r="AH97">
        <v>0</v>
      </c>
      <c r="AI97" t="s">
        <v>56</v>
      </c>
      <c r="AJ97">
        <v>3.77</v>
      </c>
      <c r="AK97">
        <v>0.9</v>
      </c>
      <c r="AL97">
        <v>0.15</v>
      </c>
      <c r="AM97">
        <v>29.1</v>
      </c>
      <c r="AN97">
        <v>1.35</v>
      </c>
      <c r="AO97">
        <v>0</v>
      </c>
      <c r="AP97">
        <v>0</v>
      </c>
      <c r="AQ97" t="s">
        <v>57</v>
      </c>
      <c r="AS97" t="s">
        <v>581</v>
      </c>
      <c r="AT97" t="s">
        <v>581</v>
      </c>
      <c r="AU97" t="s">
        <v>580</v>
      </c>
      <c r="AV97" t="s">
        <v>582</v>
      </c>
      <c r="AW97" t="s">
        <v>583</v>
      </c>
      <c r="AZ97">
        <v>44450</v>
      </c>
      <c r="BA97" t="s">
        <v>584</v>
      </c>
      <c r="BB97" t="s">
        <v>61</v>
      </c>
      <c r="BC97" t="s">
        <v>62</v>
      </c>
    </row>
    <row r="98" spans="1:55" x14ac:dyDescent="0.25">
      <c r="A98" s="1" t="str">
        <f>IF(COUNTIF(Catégories!A:A,X98)=0,"catégorie inconnue",_xlfn.XLOOKUP(X98,Catégories!A:A,Catégories!B:B))</f>
        <v>Frêt</v>
      </c>
      <c r="B98" s="1">
        <f t="shared" si="3"/>
        <v>6.17</v>
      </c>
      <c r="C98" s="1">
        <f t="shared" si="4"/>
        <v>1.35</v>
      </c>
      <c r="D98" s="1">
        <f t="shared" si="5"/>
        <v>4.82</v>
      </c>
      <c r="E98" s="20">
        <f>IF(AH98&lt;&gt;0,ROUNDUP(AH98,0),IF(BB98&lt;&gt;"FR","hors France",IF(AH98&lt;&gt;0,ROUNDUP(AH98,0),_xlfn.XLOOKUP(AJ98,'PA GLS'!B:B,'PA GLS'!A:A))))</f>
        <v>0.5</v>
      </c>
      <c r="F98">
        <v>2501382993</v>
      </c>
      <c r="G98">
        <v>1030233879</v>
      </c>
      <c r="H98" t="s">
        <v>366</v>
      </c>
      <c r="I98">
        <v>2500034092</v>
      </c>
      <c r="J98" t="s">
        <v>50</v>
      </c>
      <c r="K98">
        <v>9000009190</v>
      </c>
      <c r="L98">
        <v>46946</v>
      </c>
      <c r="M98" t="s">
        <v>51</v>
      </c>
      <c r="N98">
        <v>9000037814</v>
      </c>
      <c r="O98" t="s">
        <v>51</v>
      </c>
      <c r="S98">
        <v>2507012387</v>
      </c>
      <c r="T98" t="s">
        <v>50</v>
      </c>
      <c r="U98" t="s">
        <v>122</v>
      </c>
      <c r="V98" t="s">
        <v>71</v>
      </c>
      <c r="W98" t="s">
        <v>72</v>
      </c>
      <c r="X98" t="s">
        <v>60</v>
      </c>
      <c r="Z98">
        <v>185</v>
      </c>
      <c r="AA98" t="s">
        <v>570</v>
      </c>
      <c r="AB98" t="s">
        <v>585</v>
      </c>
      <c r="AC98">
        <v>2604000025</v>
      </c>
      <c r="AE98">
        <v>0</v>
      </c>
      <c r="AF98">
        <v>0</v>
      </c>
      <c r="AG98">
        <v>0</v>
      </c>
      <c r="AH98">
        <v>0</v>
      </c>
      <c r="AI98" t="s">
        <v>56</v>
      </c>
      <c r="AJ98">
        <v>3.77</v>
      </c>
      <c r="AK98">
        <v>0.9</v>
      </c>
      <c r="AL98">
        <v>0.15</v>
      </c>
      <c r="AM98">
        <v>29.1</v>
      </c>
      <c r="AN98">
        <v>1.35</v>
      </c>
      <c r="AO98">
        <v>0</v>
      </c>
      <c r="AP98">
        <v>0</v>
      </c>
      <c r="AQ98" t="s">
        <v>57</v>
      </c>
      <c r="AS98" t="s">
        <v>586</v>
      </c>
      <c r="AT98" t="s">
        <v>586</v>
      </c>
      <c r="AU98" t="s">
        <v>585</v>
      </c>
      <c r="AV98" t="s">
        <v>363</v>
      </c>
      <c r="AW98" t="s">
        <v>364</v>
      </c>
      <c r="AZ98">
        <v>78330</v>
      </c>
      <c r="BA98" t="s">
        <v>365</v>
      </c>
      <c r="BB98" t="s">
        <v>61</v>
      </c>
      <c r="BC98" t="s">
        <v>62</v>
      </c>
    </row>
    <row r="99" spans="1:55" x14ac:dyDescent="0.25">
      <c r="A99" s="1" t="str">
        <f>IF(COUNTIF(Catégories!A:A,X99)=0,"catégorie inconnue",_xlfn.XLOOKUP(X99,Catégories!A:A,Catégories!B:B))</f>
        <v>Frêt</v>
      </c>
      <c r="B99" s="1">
        <f t="shared" si="3"/>
        <v>6.17</v>
      </c>
      <c r="C99" s="1">
        <f t="shared" si="4"/>
        <v>1.35</v>
      </c>
      <c r="D99" s="1">
        <f t="shared" si="5"/>
        <v>4.82</v>
      </c>
      <c r="E99" s="20">
        <f>IF(AH99&lt;&gt;0,ROUNDUP(AH99,0),IF(BB99&lt;&gt;"FR","hors France",IF(AH99&lt;&gt;0,ROUNDUP(AH99,0),_xlfn.XLOOKUP(AJ99,'PA GLS'!B:B,'PA GLS'!A:A))))</f>
        <v>0.5</v>
      </c>
      <c r="F99">
        <v>2501382993</v>
      </c>
      <c r="G99">
        <v>1030233879</v>
      </c>
      <c r="H99" t="s">
        <v>366</v>
      </c>
      <c r="I99">
        <v>2500034092</v>
      </c>
      <c r="J99" t="s">
        <v>50</v>
      </c>
      <c r="K99">
        <v>9000009190</v>
      </c>
      <c r="L99">
        <v>46946</v>
      </c>
      <c r="M99" t="s">
        <v>51</v>
      </c>
      <c r="N99">
        <v>9000037814</v>
      </c>
      <c r="O99" t="s">
        <v>51</v>
      </c>
      <c r="S99">
        <v>2507012387</v>
      </c>
      <c r="T99" t="s">
        <v>50</v>
      </c>
      <c r="U99" t="s">
        <v>122</v>
      </c>
      <c r="V99" t="s">
        <v>71</v>
      </c>
      <c r="W99" t="s">
        <v>72</v>
      </c>
      <c r="X99" t="s">
        <v>60</v>
      </c>
      <c r="Z99">
        <v>185</v>
      </c>
      <c r="AA99" t="s">
        <v>570</v>
      </c>
      <c r="AB99" t="s">
        <v>587</v>
      </c>
      <c r="AC99">
        <v>2604000027</v>
      </c>
      <c r="AE99">
        <v>0</v>
      </c>
      <c r="AF99">
        <v>0</v>
      </c>
      <c r="AG99">
        <v>0</v>
      </c>
      <c r="AH99">
        <v>0</v>
      </c>
      <c r="AI99" t="s">
        <v>56</v>
      </c>
      <c r="AJ99">
        <v>3.77</v>
      </c>
      <c r="AK99">
        <v>0.9</v>
      </c>
      <c r="AL99">
        <v>0.15</v>
      </c>
      <c r="AM99">
        <v>29.1</v>
      </c>
      <c r="AN99">
        <v>1.35</v>
      </c>
      <c r="AO99">
        <v>0</v>
      </c>
      <c r="AP99">
        <v>0</v>
      </c>
      <c r="AQ99" t="s">
        <v>57</v>
      </c>
      <c r="AS99" t="s">
        <v>588</v>
      </c>
      <c r="AT99" t="s">
        <v>588</v>
      </c>
      <c r="AU99" t="s">
        <v>587</v>
      </c>
      <c r="AV99" t="s">
        <v>301</v>
      </c>
      <c r="AW99" t="s">
        <v>302</v>
      </c>
      <c r="AZ99">
        <v>85800</v>
      </c>
      <c r="BA99" t="s">
        <v>303</v>
      </c>
      <c r="BB99" t="s">
        <v>61</v>
      </c>
      <c r="BC99" t="s">
        <v>62</v>
      </c>
    </row>
    <row r="100" spans="1:55" x14ac:dyDescent="0.25">
      <c r="A100" s="1" t="str">
        <f>IF(COUNTIF(Catégories!A:A,X100)=0,"catégorie inconnue",_xlfn.XLOOKUP(X100,Catégories!A:A,Catégories!B:B))</f>
        <v>Frêt</v>
      </c>
      <c r="B100" s="1">
        <f t="shared" si="3"/>
        <v>6.17</v>
      </c>
      <c r="C100" s="1">
        <f t="shared" si="4"/>
        <v>1.35</v>
      </c>
      <c r="D100" s="1">
        <f t="shared" si="5"/>
        <v>4.82</v>
      </c>
      <c r="E100" s="20">
        <f>IF(AH100&lt;&gt;0,ROUNDUP(AH100,0),IF(BB100&lt;&gt;"FR","hors France",IF(AH100&lt;&gt;0,ROUNDUP(AH100,0),_xlfn.XLOOKUP(AJ100,'PA GLS'!B:B,'PA GLS'!A:A))))</f>
        <v>0.5</v>
      </c>
      <c r="F100">
        <v>2501382993</v>
      </c>
      <c r="G100">
        <v>1030233879</v>
      </c>
      <c r="H100" t="s">
        <v>366</v>
      </c>
      <c r="I100">
        <v>2500034092</v>
      </c>
      <c r="J100" t="s">
        <v>50</v>
      </c>
      <c r="K100">
        <v>9000009190</v>
      </c>
      <c r="L100">
        <v>46946</v>
      </c>
      <c r="M100" t="s">
        <v>51</v>
      </c>
      <c r="N100">
        <v>9000037814</v>
      </c>
      <c r="O100" t="s">
        <v>51</v>
      </c>
      <c r="S100">
        <v>2507012387</v>
      </c>
      <c r="T100" t="s">
        <v>50</v>
      </c>
      <c r="U100" t="s">
        <v>122</v>
      </c>
      <c r="V100" t="s">
        <v>71</v>
      </c>
      <c r="W100" t="s">
        <v>72</v>
      </c>
      <c r="X100" t="s">
        <v>60</v>
      </c>
      <c r="Z100">
        <v>185</v>
      </c>
      <c r="AA100" t="s">
        <v>570</v>
      </c>
      <c r="AB100" t="s">
        <v>589</v>
      </c>
      <c r="AC100">
        <v>2604000030</v>
      </c>
      <c r="AE100">
        <v>0</v>
      </c>
      <c r="AF100">
        <v>0</v>
      </c>
      <c r="AG100">
        <v>0</v>
      </c>
      <c r="AH100">
        <v>0</v>
      </c>
      <c r="AI100" t="s">
        <v>56</v>
      </c>
      <c r="AJ100">
        <v>3.77</v>
      </c>
      <c r="AK100">
        <v>0.9</v>
      </c>
      <c r="AL100">
        <v>0.15</v>
      </c>
      <c r="AM100">
        <v>29.1</v>
      </c>
      <c r="AN100">
        <v>1.35</v>
      </c>
      <c r="AO100">
        <v>0</v>
      </c>
      <c r="AP100">
        <v>0</v>
      </c>
      <c r="AQ100" t="s">
        <v>57</v>
      </c>
      <c r="AS100" t="s">
        <v>590</v>
      </c>
      <c r="AT100" t="s">
        <v>590</v>
      </c>
      <c r="AU100" t="s">
        <v>589</v>
      </c>
      <c r="AV100" t="s">
        <v>591</v>
      </c>
      <c r="AW100" t="s">
        <v>592</v>
      </c>
      <c r="AZ100">
        <v>6000</v>
      </c>
      <c r="BA100" t="s">
        <v>229</v>
      </c>
      <c r="BB100" t="s">
        <v>61</v>
      </c>
      <c r="BC100" t="s">
        <v>62</v>
      </c>
    </row>
    <row r="101" spans="1:55" x14ac:dyDescent="0.25">
      <c r="A101" s="1" t="str">
        <f>IF(COUNTIF(Catégories!A:A,X101)=0,"catégorie inconnue",_xlfn.XLOOKUP(X101,Catégories!A:A,Catégories!B:B))</f>
        <v>Frêt</v>
      </c>
      <c r="B101" s="1">
        <f t="shared" si="3"/>
        <v>6.17</v>
      </c>
      <c r="C101" s="1">
        <f t="shared" si="4"/>
        <v>1.35</v>
      </c>
      <c r="D101" s="1">
        <f t="shared" si="5"/>
        <v>4.82</v>
      </c>
      <c r="E101" s="20">
        <f>IF(AH101&lt;&gt;0,ROUNDUP(AH101,0),IF(BB101&lt;&gt;"FR","hors France",IF(AH101&lt;&gt;0,ROUNDUP(AH101,0),_xlfn.XLOOKUP(AJ101,'PA GLS'!B:B,'PA GLS'!A:A))))</f>
        <v>0.5</v>
      </c>
      <c r="F101">
        <v>2501382993</v>
      </c>
      <c r="G101">
        <v>1030233879</v>
      </c>
      <c r="H101" t="s">
        <v>366</v>
      </c>
      <c r="I101">
        <v>2500034092</v>
      </c>
      <c r="J101" t="s">
        <v>50</v>
      </c>
      <c r="K101">
        <v>9000009190</v>
      </c>
      <c r="L101">
        <v>46946</v>
      </c>
      <c r="M101" t="s">
        <v>51</v>
      </c>
      <c r="N101">
        <v>9000037814</v>
      </c>
      <c r="O101" t="s">
        <v>51</v>
      </c>
      <c r="S101">
        <v>2507012387</v>
      </c>
      <c r="T101" t="s">
        <v>50</v>
      </c>
      <c r="U101" t="s">
        <v>122</v>
      </c>
      <c r="V101" t="s">
        <v>71</v>
      </c>
      <c r="W101" t="s">
        <v>72</v>
      </c>
      <c r="X101" t="s">
        <v>60</v>
      </c>
      <c r="Z101">
        <v>185</v>
      </c>
      <c r="AA101" t="s">
        <v>570</v>
      </c>
      <c r="AB101" t="s">
        <v>576</v>
      </c>
      <c r="AC101">
        <v>2604000033</v>
      </c>
      <c r="AE101">
        <v>0</v>
      </c>
      <c r="AF101">
        <v>0</v>
      </c>
      <c r="AG101">
        <v>0</v>
      </c>
      <c r="AH101">
        <v>0</v>
      </c>
      <c r="AI101" t="s">
        <v>56</v>
      </c>
      <c r="AJ101">
        <v>3.77</v>
      </c>
      <c r="AK101">
        <v>0.9</v>
      </c>
      <c r="AL101">
        <v>0.15</v>
      </c>
      <c r="AM101">
        <v>29.1</v>
      </c>
      <c r="AN101">
        <v>1.35</v>
      </c>
      <c r="AO101">
        <v>0</v>
      </c>
      <c r="AP101">
        <v>0</v>
      </c>
      <c r="AQ101" t="s">
        <v>57</v>
      </c>
      <c r="AS101" t="s">
        <v>577</v>
      </c>
      <c r="AT101" t="s">
        <v>577</v>
      </c>
      <c r="AU101" t="s">
        <v>576</v>
      </c>
      <c r="AV101" t="s">
        <v>578</v>
      </c>
      <c r="AW101" t="s">
        <v>579</v>
      </c>
      <c r="AZ101">
        <v>75008</v>
      </c>
      <c r="BA101" t="s">
        <v>65</v>
      </c>
      <c r="BB101" t="s">
        <v>61</v>
      </c>
      <c r="BC101" t="s">
        <v>62</v>
      </c>
    </row>
    <row r="102" spans="1:55" x14ac:dyDescent="0.25">
      <c r="A102" s="1" t="str">
        <f>IF(COUNTIF(Catégories!A:A,X102)=0,"catégorie inconnue",_xlfn.XLOOKUP(X102,Catégories!A:A,Catégories!B:B))</f>
        <v>Frêt</v>
      </c>
      <c r="B102" s="1">
        <f t="shared" si="3"/>
        <v>0</v>
      </c>
      <c r="C102" s="1">
        <f t="shared" si="4"/>
        <v>0</v>
      </c>
      <c r="D102" s="1">
        <f t="shared" si="5"/>
        <v>0</v>
      </c>
      <c r="E102" s="20">
        <f>IF(AH102&lt;&gt;0,ROUNDUP(AH102,0),IF(BB102&lt;&gt;"FR","hors France",IF(AH102&lt;&gt;0,ROUNDUP(AH102,0),_xlfn.XLOOKUP(AJ102,'PA GLS'!B:B,'PA GLS'!A:A))))</f>
        <v>1</v>
      </c>
      <c r="F102">
        <v>2501382993</v>
      </c>
      <c r="G102">
        <v>1030233879</v>
      </c>
      <c r="H102" t="s">
        <v>366</v>
      </c>
      <c r="I102">
        <v>2500034092</v>
      </c>
      <c r="J102" t="s">
        <v>50</v>
      </c>
      <c r="K102">
        <v>9000009190</v>
      </c>
      <c r="L102">
        <v>46946</v>
      </c>
      <c r="M102" t="s">
        <v>51</v>
      </c>
      <c r="N102">
        <v>9000037814</v>
      </c>
      <c r="O102" t="s">
        <v>51</v>
      </c>
      <c r="S102">
        <v>2507012387</v>
      </c>
      <c r="T102" t="s">
        <v>50</v>
      </c>
      <c r="U102" t="s">
        <v>122</v>
      </c>
      <c r="V102" t="s">
        <v>176</v>
      </c>
      <c r="W102" t="s">
        <v>177</v>
      </c>
      <c r="X102" t="s">
        <v>152</v>
      </c>
      <c r="Z102">
        <v>183</v>
      </c>
      <c r="AA102" t="s">
        <v>570</v>
      </c>
      <c r="AB102" t="s">
        <v>585</v>
      </c>
      <c r="AC102">
        <v>2604000025</v>
      </c>
      <c r="AE102">
        <v>0</v>
      </c>
      <c r="AF102">
        <v>1</v>
      </c>
      <c r="AG102">
        <v>0</v>
      </c>
      <c r="AH102">
        <v>0.48</v>
      </c>
      <c r="AI102" t="s">
        <v>56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 t="s">
        <v>57</v>
      </c>
      <c r="AS102" t="s">
        <v>586</v>
      </c>
      <c r="AT102" t="s">
        <v>586</v>
      </c>
      <c r="AU102" t="s">
        <v>585</v>
      </c>
      <c r="AV102" t="s">
        <v>363</v>
      </c>
      <c r="AW102" t="s">
        <v>364</v>
      </c>
      <c r="AZ102">
        <v>78330</v>
      </c>
      <c r="BA102" t="s">
        <v>365</v>
      </c>
      <c r="BB102" t="s">
        <v>61</v>
      </c>
      <c r="BC102" t="s">
        <v>62</v>
      </c>
    </row>
    <row r="103" spans="1:55" x14ac:dyDescent="0.25">
      <c r="A103" s="1" t="str">
        <f>IF(COUNTIF(Catégories!A:A,X103)=0,"catégorie inconnue",_xlfn.XLOOKUP(X103,Catégories!A:A,Catégories!B:B))</f>
        <v>Frêt</v>
      </c>
      <c r="B103" s="1">
        <f t="shared" si="3"/>
        <v>0</v>
      </c>
      <c r="C103" s="1">
        <f t="shared" si="4"/>
        <v>0</v>
      </c>
      <c r="D103" s="1">
        <f t="shared" si="5"/>
        <v>0</v>
      </c>
      <c r="E103" s="20">
        <f>IF(AH103&lt;&gt;0,ROUNDUP(AH103,0),IF(BB103&lt;&gt;"FR","hors France",IF(AH103&lt;&gt;0,ROUNDUP(AH103,0),_xlfn.XLOOKUP(AJ103,'PA GLS'!B:B,'PA GLS'!A:A))))</f>
        <v>1</v>
      </c>
      <c r="F103">
        <v>2501382993</v>
      </c>
      <c r="G103">
        <v>1030233879</v>
      </c>
      <c r="H103" t="s">
        <v>366</v>
      </c>
      <c r="I103">
        <v>2500034092</v>
      </c>
      <c r="J103" t="s">
        <v>50</v>
      </c>
      <c r="K103">
        <v>9000009190</v>
      </c>
      <c r="L103">
        <v>46946</v>
      </c>
      <c r="M103" t="s">
        <v>51</v>
      </c>
      <c r="N103">
        <v>9000037814</v>
      </c>
      <c r="O103" t="s">
        <v>51</v>
      </c>
      <c r="S103">
        <v>2507012387</v>
      </c>
      <c r="T103" t="s">
        <v>50</v>
      </c>
      <c r="U103" t="s">
        <v>122</v>
      </c>
      <c r="V103" t="s">
        <v>176</v>
      </c>
      <c r="W103" t="s">
        <v>177</v>
      </c>
      <c r="X103" t="s">
        <v>152</v>
      </c>
      <c r="Z103">
        <v>183</v>
      </c>
      <c r="AA103" t="s">
        <v>570</v>
      </c>
      <c r="AB103" t="s">
        <v>593</v>
      </c>
      <c r="AC103">
        <v>2604000026</v>
      </c>
      <c r="AE103">
        <v>0</v>
      </c>
      <c r="AF103">
        <v>1</v>
      </c>
      <c r="AG103">
        <v>0</v>
      </c>
      <c r="AH103">
        <v>0.57999999999999996</v>
      </c>
      <c r="AI103" t="s">
        <v>56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 t="s">
        <v>57</v>
      </c>
      <c r="AS103" t="s">
        <v>594</v>
      </c>
      <c r="AT103" t="s">
        <v>594</v>
      </c>
      <c r="AU103" t="s">
        <v>593</v>
      </c>
      <c r="AV103" t="s">
        <v>595</v>
      </c>
      <c r="AW103" t="s">
        <v>596</v>
      </c>
      <c r="AZ103">
        <v>33138</v>
      </c>
      <c r="BA103" t="s">
        <v>597</v>
      </c>
      <c r="BB103" t="s">
        <v>61</v>
      </c>
      <c r="BC103" t="s">
        <v>62</v>
      </c>
    </row>
    <row r="104" spans="1:55" x14ac:dyDescent="0.25">
      <c r="A104" s="1" t="str">
        <f>IF(COUNTIF(Catégories!A:A,X104)=0,"catégorie inconnue",_xlfn.XLOOKUP(X104,Catégories!A:A,Catégories!B:B))</f>
        <v>Frêt</v>
      </c>
      <c r="B104" s="1">
        <f t="shared" si="3"/>
        <v>0</v>
      </c>
      <c r="C104" s="1">
        <f t="shared" si="4"/>
        <v>0</v>
      </c>
      <c r="D104" s="1">
        <f t="shared" si="5"/>
        <v>0</v>
      </c>
      <c r="E104" s="20">
        <f>IF(AH104&lt;&gt;0,ROUNDUP(AH104,0),IF(BB104&lt;&gt;"FR","hors France",IF(AH104&lt;&gt;0,ROUNDUP(AH104,0),_xlfn.XLOOKUP(AJ104,'PA GLS'!B:B,'PA GLS'!A:A))))</f>
        <v>1</v>
      </c>
      <c r="F104">
        <v>2501382993</v>
      </c>
      <c r="G104">
        <v>1030233879</v>
      </c>
      <c r="H104" t="s">
        <v>366</v>
      </c>
      <c r="I104">
        <v>2500034092</v>
      </c>
      <c r="J104" t="s">
        <v>50</v>
      </c>
      <c r="K104">
        <v>9000009190</v>
      </c>
      <c r="L104">
        <v>46946</v>
      </c>
      <c r="M104" t="s">
        <v>51</v>
      </c>
      <c r="N104">
        <v>9000037814</v>
      </c>
      <c r="O104" t="s">
        <v>51</v>
      </c>
      <c r="S104">
        <v>2507012387</v>
      </c>
      <c r="T104" t="s">
        <v>50</v>
      </c>
      <c r="U104" t="s">
        <v>122</v>
      </c>
      <c r="V104" t="s">
        <v>176</v>
      </c>
      <c r="W104" t="s">
        <v>177</v>
      </c>
      <c r="X104" t="s">
        <v>152</v>
      </c>
      <c r="Z104">
        <v>183</v>
      </c>
      <c r="AA104" t="s">
        <v>570</v>
      </c>
      <c r="AB104" t="s">
        <v>587</v>
      </c>
      <c r="AC104">
        <v>2604000027</v>
      </c>
      <c r="AE104">
        <v>0</v>
      </c>
      <c r="AF104">
        <v>1</v>
      </c>
      <c r="AG104">
        <v>0</v>
      </c>
      <c r="AH104">
        <v>0.32</v>
      </c>
      <c r="AI104" t="s">
        <v>56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 t="s">
        <v>57</v>
      </c>
      <c r="AS104" t="s">
        <v>588</v>
      </c>
      <c r="AT104" t="s">
        <v>588</v>
      </c>
      <c r="AU104" t="s">
        <v>587</v>
      </c>
      <c r="AV104" t="s">
        <v>301</v>
      </c>
      <c r="AW104" t="s">
        <v>302</v>
      </c>
      <c r="AZ104">
        <v>85800</v>
      </c>
      <c r="BA104" t="s">
        <v>303</v>
      </c>
      <c r="BB104" t="s">
        <v>61</v>
      </c>
      <c r="BC104" t="s">
        <v>62</v>
      </c>
    </row>
    <row r="105" spans="1:55" x14ac:dyDescent="0.25">
      <c r="A105" s="1" t="str">
        <f>IF(COUNTIF(Catégories!A:A,X105)=0,"catégorie inconnue",_xlfn.XLOOKUP(X105,Catégories!A:A,Catégories!B:B))</f>
        <v>Frêt</v>
      </c>
      <c r="B105" s="1">
        <f t="shared" si="3"/>
        <v>0</v>
      </c>
      <c r="C105" s="1">
        <f t="shared" si="4"/>
        <v>0</v>
      </c>
      <c r="D105" s="1">
        <f t="shared" si="5"/>
        <v>0</v>
      </c>
      <c r="E105" s="20">
        <f>IF(AH105&lt;&gt;0,ROUNDUP(AH105,0),IF(BB105&lt;&gt;"FR","hors France",IF(AH105&lt;&gt;0,ROUNDUP(AH105,0),_xlfn.XLOOKUP(AJ105,'PA GLS'!B:B,'PA GLS'!A:A))))</f>
        <v>1</v>
      </c>
      <c r="F105">
        <v>2501382993</v>
      </c>
      <c r="G105">
        <v>1030233879</v>
      </c>
      <c r="H105" t="s">
        <v>366</v>
      </c>
      <c r="I105">
        <v>2500034092</v>
      </c>
      <c r="J105" t="s">
        <v>50</v>
      </c>
      <c r="K105">
        <v>9000009190</v>
      </c>
      <c r="L105">
        <v>46946</v>
      </c>
      <c r="M105" t="s">
        <v>51</v>
      </c>
      <c r="N105">
        <v>9000037814</v>
      </c>
      <c r="O105" t="s">
        <v>51</v>
      </c>
      <c r="S105">
        <v>2507012387</v>
      </c>
      <c r="T105" t="s">
        <v>50</v>
      </c>
      <c r="U105" t="s">
        <v>122</v>
      </c>
      <c r="V105" t="s">
        <v>176</v>
      </c>
      <c r="W105" t="s">
        <v>177</v>
      </c>
      <c r="X105" t="s">
        <v>152</v>
      </c>
      <c r="Z105">
        <v>183</v>
      </c>
      <c r="AA105" t="s">
        <v>570</v>
      </c>
      <c r="AB105" t="s">
        <v>598</v>
      </c>
      <c r="AC105">
        <v>2604000028</v>
      </c>
      <c r="AE105">
        <v>0</v>
      </c>
      <c r="AF105">
        <v>1</v>
      </c>
      <c r="AG105">
        <v>0</v>
      </c>
      <c r="AH105">
        <v>0.82</v>
      </c>
      <c r="AI105" t="s">
        <v>56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 t="s">
        <v>57</v>
      </c>
      <c r="AS105" t="s">
        <v>599</v>
      </c>
      <c r="AT105" t="s">
        <v>599</v>
      </c>
      <c r="AU105" t="s">
        <v>598</v>
      </c>
      <c r="AV105" t="s">
        <v>600</v>
      </c>
      <c r="AW105" t="s">
        <v>601</v>
      </c>
      <c r="AZ105">
        <v>92290</v>
      </c>
      <c r="BA105" t="s">
        <v>602</v>
      </c>
      <c r="BB105" t="s">
        <v>61</v>
      </c>
      <c r="BC105" t="s">
        <v>62</v>
      </c>
    </row>
    <row r="106" spans="1:55" x14ac:dyDescent="0.25">
      <c r="A106" s="1" t="str">
        <f>IF(COUNTIF(Catégories!A:A,X106)=0,"catégorie inconnue",_xlfn.XLOOKUP(X106,Catégories!A:A,Catégories!B:B))</f>
        <v>Frêt</v>
      </c>
      <c r="B106" s="1">
        <f t="shared" si="3"/>
        <v>0</v>
      </c>
      <c r="C106" s="1">
        <f t="shared" si="4"/>
        <v>0</v>
      </c>
      <c r="D106" s="1">
        <f t="shared" si="5"/>
        <v>0</v>
      </c>
      <c r="E106" s="20">
        <f>IF(AH106&lt;&gt;0,ROUNDUP(AH106,0),IF(BB106&lt;&gt;"FR","hors France",IF(AH106&lt;&gt;0,ROUNDUP(AH106,0),_xlfn.XLOOKUP(AJ106,'PA GLS'!B:B,'PA GLS'!A:A))))</f>
        <v>1</v>
      </c>
      <c r="F106">
        <v>2501382993</v>
      </c>
      <c r="G106">
        <v>1030233879</v>
      </c>
      <c r="H106" t="s">
        <v>366</v>
      </c>
      <c r="I106">
        <v>2500034092</v>
      </c>
      <c r="J106" t="s">
        <v>50</v>
      </c>
      <c r="K106">
        <v>9000009190</v>
      </c>
      <c r="L106">
        <v>46946</v>
      </c>
      <c r="M106" t="s">
        <v>51</v>
      </c>
      <c r="N106">
        <v>9000037814</v>
      </c>
      <c r="O106" t="s">
        <v>51</v>
      </c>
      <c r="S106">
        <v>2507012387</v>
      </c>
      <c r="T106" t="s">
        <v>50</v>
      </c>
      <c r="U106" t="s">
        <v>122</v>
      </c>
      <c r="V106" t="s">
        <v>176</v>
      </c>
      <c r="W106" t="s">
        <v>177</v>
      </c>
      <c r="X106" t="s">
        <v>152</v>
      </c>
      <c r="Z106">
        <v>183</v>
      </c>
      <c r="AA106" t="s">
        <v>570</v>
      </c>
      <c r="AB106" t="s">
        <v>603</v>
      </c>
      <c r="AC106">
        <v>2604000029</v>
      </c>
      <c r="AE106">
        <v>0</v>
      </c>
      <c r="AF106">
        <v>1</v>
      </c>
      <c r="AG106">
        <v>0</v>
      </c>
      <c r="AH106">
        <v>0.8</v>
      </c>
      <c r="AI106" t="s">
        <v>56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 t="s">
        <v>57</v>
      </c>
      <c r="AS106" t="s">
        <v>604</v>
      </c>
      <c r="AT106" t="s">
        <v>604</v>
      </c>
      <c r="AU106" t="s">
        <v>603</v>
      </c>
      <c r="AV106" t="s">
        <v>600</v>
      </c>
      <c r="AW106" t="s">
        <v>601</v>
      </c>
      <c r="AZ106">
        <v>92290</v>
      </c>
      <c r="BA106" t="s">
        <v>602</v>
      </c>
      <c r="BB106" t="s">
        <v>61</v>
      </c>
      <c r="BC106" t="s">
        <v>62</v>
      </c>
    </row>
    <row r="107" spans="1:55" x14ac:dyDescent="0.25">
      <c r="A107" s="1" t="str">
        <f>IF(COUNTIF(Catégories!A:A,X107)=0,"catégorie inconnue",_xlfn.XLOOKUP(X107,Catégories!A:A,Catégories!B:B))</f>
        <v>Frêt</v>
      </c>
      <c r="B107" s="1">
        <f t="shared" si="3"/>
        <v>0</v>
      </c>
      <c r="C107" s="1">
        <f t="shared" si="4"/>
        <v>0</v>
      </c>
      <c r="D107" s="1">
        <f t="shared" si="5"/>
        <v>0</v>
      </c>
      <c r="E107" s="20">
        <f>IF(AH107&lt;&gt;0,ROUNDUP(AH107,0),IF(BB107&lt;&gt;"FR","hors France",IF(AH107&lt;&gt;0,ROUNDUP(AH107,0),_xlfn.XLOOKUP(AJ107,'PA GLS'!B:B,'PA GLS'!A:A))))</f>
        <v>1</v>
      </c>
      <c r="F107">
        <v>2501382993</v>
      </c>
      <c r="G107">
        <v>1030233879</v>
      </c>
      <c r="H107" t="s">
        <v>366</v>
      </c>
      <c r="I107">
        <v>2500034092</v>
      </c>
      <c r="J107" t="s">
        <v>50</v>
      </c>
      <c r="K107">
        <v>9000009190</v>
      </c>
      <c r="L107">
        <v>46946</v>
      </c>
      <c r="M107" t="s">
        <v>51</v>
      </c>
      <c r="N107">
        <v>9000037814</v>
      </c>
      <c r="O107" t="s">
        <v>51</v>
      </c>
      <c r="S107">
        <v>2507012387</v>
      </c>
      <c r="T107" t="s">
        <v>50</v>
      </c>
      <c r="U107" t="s">
        <v>122</v>
      </c>
      <c r="V107" t="s">
        <v>176</v>
      </c>
      <c r="W107" t="s">
        <v>177</v>
      </c>
      <c r="X107" t="s">
        <v>152</v>
      </c>
      <c r="Z107">
        <v>183</v>
      </c>
      <c r="AA107" t="s">
        <v>570</v>
      </c>
      <c r="AB107" t="s">
        <v>589</v>
      </c>
      <c r="AC107">
        <v>2604000030</v>
      </c>
      <c r="AE107">
        <v>0</v>
      </c>
      <c r="AF107">
        <v>1</v>
      </c>
      <c r="AG107">
        <v>0</v>
      </c>
      <c r="AH107">
        <v>0.42</v>
      </c>
      <c r="AI107" t="s">
        <v>56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 t="s">
        <v>57</v>
      </c>
      <c r="AS107" t="s">
        <v>590</v>
      </c>
      <c r="AT107" t="s">
        <v>590</v>
      </c>
      <c r="AU107" t="s">
        <v>589</v>
      </c>
      <c r="AV107" t="s">
        <v>591</v>
      </c>
      <c r="AW107" t="s">
        <v>592</v>
      </c>
      <c r="AZ107">
        <v>6000</v>
      </c>
      <c r="BA107" t="s">
        <v>229</v>
      </c>
      <c r="BB107" t="s">
        <v>61</v>
      </c>
      <c r="BC107" t="s">
        <v>62</v>
      </c>
    </row>
    <row r="108" spans="1:55" x14ac:dyDescent="0.25">
      <c r="A108" s="1" t="str">
        <f>IF(COUNTIF(Catégories!A:A,X108)=0,"catégorie inconnue",_xlfn.XLOOKUP(X108,Catégories!A:A,Catégories!B:B))</f>
        <v>Frêt</v>
      </c>
      <c r="B108" s="1">
        <f t="shared" si="3"/>
        <v>0</v>
      </c>
      <c r="C108" s="1">
        <f t="shared" si="4"/>
        <v>0</v>
      </c>
      <c r="D108" s="1">
        <f t="shared" si="5"/>
        <v>0</v>
      </c>
      <c r="E108" s="20">
        <f>IF(AH108&lt;&gt;0,ROUNDUP(AH108,0),IF(BB108&lt;&gt;"FR","hors France",IF(AH108&lt;&gt;0,ROUNDUP(AH108,0),_xlfn.XLOOKUP(AJ108,'PA GLS'!B:B,'PA GLS'!A:A))))</f>
        <v>1</v>
      </c>
      <c r="F108">
        <v>2501382993</v>
      </c>
      <c r="G108">
        <v>1030233879</v>
      </c>
      <c r="H108" t="s">
        <v>366</v>
      </c>
      <c r="I108">
        <v>2500034092</v>
      </c>
      <c r="J108" t="s">
        <v>50</v>
      </c>
      <c r="K108">
        <v>9000009190</v>
      </c>
      <c r="L108">
        <v>46946</v>
      </c>
      <c r="M108" t="s">
        <v>51</v>
      </c>
      <c r="N108">
        <v>9000037814</v>
      </c>
      <c r="O108" t="s">
        <v>51</v>
      </c>
      <c r="S108">
        <v>2507012387</v>
      </c>
      <c r="T108" t="s">
        <v>50</v>
      </c>
      <c r="U108" t="s">
        <v>122</v>
      </c>
      <c r="V108" t="s">
        <v>176</v>
      </c>
      <c r="W108" t="s">
        <v>177</v>
      </c>
      <c r="X108" t="s">
        <v>152</v>
      </c>
      <c r="Z108">
        <v>183</v>
      </c>
      <c r="AA108" t="s">
        <v>570</v>
      </c>
      <c r="AB108" t="s">
        <v>580</v>
      </c>
      <c r="AC108">
        <v>2604000031</v>
      </c>
      <c r="AE108">
        <v>0</v>
      </c>
      <c r="AF108">
        <v>1</v>
      </c>
      <c r="AG108">
        <v>0</v>
      </c>
      <c r="AH108">
        <v>0.16</v>
      </c>
      <c r="AI108" t="s">
        <v>56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 t="s">
        <v>57</v>
      </c>
      <c r="AS108" t="s">
        <v>581</v>
      </c>
      <c r="AT108" t="s">
        <v>581</v>
      </c>
      <c r="AU108" t="s">
        <v>580</v>
      </c>
      <c r="AV108" t="s">
        <v>582</v>
      </c>
      <c r="AW108" t="s">
        <v>583</v>
      </c>
      <c r="AZ108">
        <v>44450</v>
      </c>
      <c r="BA108" t="s">
        <v>584</v>
      </c>
      <c r="BB108" t="s">
        <v>61</v>
      </c>
      <c r="BC108" t="s">
        <v>62</v>
      </c>
    </row>
    <row r="109" spans="1:55" x14ac:dyDescent="0.25">
      <c r="A109" s="1" t="str">
        <f>IF(COUNTIF(Catégories!A:A,X109)=0,"catégorie inconnue",_xlfn.XLOOKUP(X109,Catégories!A:A,Catégories!B:B))</f>
        <v>Frêt</v>
      </c>
      <c r="B109" s="1">
        <f t="shared" si="3"/>
        <v>6.17</v>
      </c>
      <c r="C109" s="1">
        <f t="shared" si="4"/>
        <v>1.35</v>
      </c>
      <c r="D109" s="1">
        <f t="shared" si="5"/>
        <v>4.82</v>
      </c>
      <c r="E109" s="20">
        <f>IF(AH109&lt;&gt;0,ROUNDUP(AH109,0),IF(BB109&lt;&gt;"FR","hors France",IF(AH109&lt;&gt;0,ROUNDUP(AH109,0),_xlfn.XLOOKUP(AJ109,'PA GLS'!B:B,'PA GLS'!A:A))))</f>
        <v>0.5</v>
      </c>
      <c r="F109">
        <v>2501382993</v>
      </c>
      <c r="G109">
        <v>1030234750</v>
      </c>
      <c r="H109" t="s">
        <v>366</v>
      </c>
      <c r="I109">
        <v>2500034092</v>
      </c>
      <c r="J109" t="s">
        <v>50</v>
      </c>
      <c r="K109">
        <v>9000009190</v>
      </c>
      <c r="L109">
        <v>46946</v>
      </c>
      <c r="M109" t="s">
        <v>51</v>
      </c>
      <c r="N109">
        <v>9000082822</v>
      </c>
      <c r="O109" t="s">
        <v>175</v>
      </c>
      <c r="S109">
        <v>2507012387</v>
      </c>
      <c r="T109" t="s">
        <v>50</v>
      </c>
      <c r="U109" t="s">
        <v>122</v>
      </c>
      <c r="V109" t="s">
        <v>71</v>
      </c>
      <c r="W109" t="s">
        <v>72</v>
      </c>
      <c r="X109" t="s">
        <v>60</v>
      </c>
      <c r="Z109">
        <v>210</v>
      </c>
      <c r="AA109" t="s">
        <v>570</v>
      </c>
      <c r="AB109" t="s">
        <v>605</v>
      </c>
      <c r="AC109">
        <v>6708090</v>
      </c>
      <c r="AE109">
        <v>0</v>
      </c>
      <c r="AF109">
        <v>0</v>
      </c>
      <c r="AG109">
        <v>0</v>
      </c>
      <c r="AH109">
        <v>0</v>
      </c>
      <c r="AI109" t="s">
        <v>56</v>
      </c>
      <c r="AJ109">
        <v>3.77</v>
      </c>
      <c r="AK109">
        <v>0.9</v>
      </c>
      <c r="AL109">
        <v>0.15</v>
      </c>
      <c r="AM109">
        <v>29.1</v>
      </c>
      <c r="AN109">
        <v>1.35</v>
      </c>
      <c r="AO109">
        <v>0</v>
      </c>
      <c r="AP109">
        <v>0</v>
      </c>
      <c r="AQ109" t="s">
        <v>57</v>
      </c>
      <c r="AS109" t="s">
        <v>606</v>
      </c>
      <c r="AU109" t="s">
        <v>605</v>
      </c>
      <c r="AV109" t="s">
        <v>607</v>
      </c>
      <c r="AW109" t="s">
        <v>608</v>
      </c>
      <c r="AZ109">
        <v>13760</v>
      </c>
      <c r="BA109" t="s">
        <v>609</v>
      </c>
      <c r="BB109" t="s">
        <v>61</v>
      </c>
      <c r="BC109" t="s">
        <v>62</v>
      </c>
    </row>
    <row r="110" spans="1:55" x14ac:dyDescent="0.25">
      <c r="A110" s="1" t="str">
        <f>IF(COUNTIF(Catégories!A:A,X110)=0,"catégorie inconnue",_xlfn.XLOOKUP(X110,Catégories!A:A,Catégories!B:B))</f>
        <v>Frêt</v>
      </c>
      <c r="B110" s="1">
        <f t="shared" si="3"/>
        <v>0</v>
      </c>
      <c r="C110" s="1">
        <f t="shared" si="4"/>
        <v>0</v>
      </c>
      <c r="D110" s="1">
        <f t="shared" si="5"/>
        <v>0</v>
      </c>
      <c r="E110" s="20">
        <f>IF(AH110&lt;&gt;0,ROUNDUP(AH110,0),IF(BB110&lt;&gt;"FR","hors France",IF(AH110&lt;&gt;0,ROUNDUP(AH110,0),_xlfn.XLOOKUP(AJ110,'PA GLS'!B:B,'PA GLS'!A:A))))</f>
        <v>1</v>
      </c>
      <c r="F110">
        <v>2501382993</v>
      </c>
      <c r="G110">
        <v>1030234750</v>
      </c>
      <c r="H110" t="s">
        <v>366</v>
      </c>
      <c r="I110">
        <v>2500034092</v>
      </c>
      <c r="J110" t="s">
        <v>50</v>
      </c>
      <c r="K110">
        <v>9000009190</v>
      </c>
      <c r="L110">
        <v>46946</v>
      </c>
      <c r="M110" t="s">
        <v>51</v>
      </c>
      <c r="N110">
        <v>9000082822</v>
      </c>
      <c r="O110" t="s">
        <v>175</v>
      </c>
      <c r="S110">
        <v>2507012387</v>
      </c>
      <c r="T110" t="s">
        <v>50</v>
      </c>
      <c r="U110" t="s">
        <v>122</v>
      </c>
      <c r="V110" t="s">
        <v>176</v>
      </c>
      <c r="W110" t="s">
        <v>177</v>
      </c>
      <c r="X110" t="s">
        <v>152</v>
      </c>
      <c r="Z110">
        <v>209</v>
      </c>
      <c r="AA110" t="s">
        <v>570</v>
      </c>
      <c r="AB110" t="s">
        <v>605</v>
      </c>
      <c r="AC110">
        <v>6708090</v>
      </c>
      <c r="AE110">
        <v>0</v>
      </c>
      <c r="AF110">
        <v>1</v>
      </c>
      <c r="AG110">
        <v>0</v>
      </c>
      <c r="AH110">
        <v>0.26</v>
      </c>
      <c r="AI110" t="s">
        <v>56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">
        <v>57</v>
      </c>
      <c r="AS110" t="s">
        <v>606</v>
      </c>
      <c r="AU110" t="s">
        <v>605</v>
      </c>
      <c r="AV110" t="s">
        <v>607</v>
      </c>
      <c r="AW110" t="s">
        <v>608</v>
      </c>
      <c r="AZ110">
        <v>13760</v>
      </c>
      <c r="BA110" t="s">
        <v>609</v>
      </c>
      <c r="BB110" t="s">
        <v>61</v>
      </c>
      <c r="BC110" t="s">
        <v>62</v>
      </c>
    </row>
    <row r="111" spans="1:55" x14ac:dyDescent="0.25">
      <c r="A111" s="1" t="str">
        <f>IF(COUNTIF(Catégories!A:A,X111)=0,"catégorie inconnue",_xlfn.XLOOKUP(X111,Catégories!A:A,Catégories!B:B))</f>
        <v>Frêt</v>
      </c>
      <c r="B111" s="1">
        <f t="shared" si="3"/>
        <v>7.4300000000000006</v>
      </c>
      <c r="C111" s="1">
        <f t="shared" si="4"/>
        <v>1.64</v>
      </c>
      <c r="D111" s="1">
        <f t="shared" si="5"/>
        <v>5.7900000000000009</v>
      </c>
      <c r="E111" s="20">
        <f>IF(AH111&lt;&gt;0,ROUNDUP(AH111,0),IF(BB111&lt;&gt;"FR","hors France",IF(AH111&lt;&gt;0,ROUNDUP(AH111,0),_xlfn.XLOOKUP(AJ111,'PA GLS'!B:B,'PA GLS'!A:A))))</f>
        <v>3</v>
      </c>
      <c r="F111">
        <v>2501382993</v>
      </c>
      <c r="G111">
        <v>1030233879</v>
      </c>
      <c r="H111" t="s">
        <v>366</v>
      </c>
      <c r="I111">
        <v>2500034092</v>
      </c>
      <c r="J111" t="s">
        <v>50</v>
      </c>
      <c r="K111">
        <v>9000009190</v>
      </c>
      <c r="L111">
        <v>46946</v>
      </c>
      <c r="M111" t="s">
        <v>51</v>
      </c>
      <c r="N111">
        <v>9000037814</v>
      </c>
      <c r="O111" t="s">
        <v>51</v>
      </c>
      <c r="S111">
        <v>2507012387</v>
      </c>
      <c r="T111" t="s">
        <v>50</v>
      </c>
      <c r="U111" t="s">
        <v>122</v>
      </c>
      <c r="V111" t="s">
        <v>58</v>
      </c>
      <c r="W111" t="s">
        <v>59</v>
      </c>
      <c r="X111" t="s">
        <v>60</v>
      </c>
      <c r="Z111">
        <v>188</v>
      </c>
      <c r="AA111" t="s">
        <v>570</v>
      </c>
      <c r="AB111" t="s">
        <v>571</v>
      </c>
      <c r="AC111">
        <v>2604000032</v>
      </c>
      <c r="AE111">
        <v>0</v>
      </c>
      <c r="AF111">
        <v>0</v>
      </c>
      <c r="AG111">
        <v>0</v>
      </c>
      <c r="AH111">
        <v>0</v>
      </c>
      <c r="AI111" t="s">
        <v>56</v>
      </c>
      <c r="AJ111">
        <v>4.74</v>
      </c>
      <c r="AK111">
        <v>0.9</v>
      </c>
      <c r="AL111">
        <v>0.15</v>
      </c>
      <c r="AM111">
        <v>29.1</v>
      </c>
      <c r="AN111">
        <v>1.64</v>
      </c>
      <c r="AO111">
        <v>0</v>
      </c>
      <c r="AP111">
        <v>0</v>
      </c>
      <c r="AQ111" t="s">
        <v>57</v>
      </c>
      <c r="AS111" t="s">
        <v>572</v>
      </c>
      <c r="AT111" t="s">
        <v>572</v>
      </c>
      <c r="AU111" t="s">
        <v>571</v>
      </c>
      <c r="AV111" t="s">
        <v>573</v>
      </c>
      <c r="AW111" t="s">
        <v>574</v>
      </c>
      <c r="AZ111">
        <v>68250</v>
      </c>
      <c r="BA111" t="s">
        <v>575</v>
      </c>
      <c r="BB111" t="s">
        <v>61</v>
      </c>
      <c r="BC111" t="s">
        <v>62</v>
      </c>
    </row>
    <row r="112" spans="1:55" x14ac:dyDescent="0.25">
      <c r="A112" s="1" t="str">
        <f>IF(COUNTIF(Catégories!A:A,X112)=0,"catégorie inconnue",_xlfn.XLOOKUP(X112,Catégories!A:A,Catégories!B:B))</f>
        <v>Frêt</v>
      </c>
      <c r="B112" s="1">
        <f t="shared" si="3"/>
        <v>6.6000000000000005</v>
      </c>
      <c r="C112" s="1">
        <f t="shared" si="4"/>
        <v>1.45</v>
      </c>
      <c r="D112" s="1">
        <f t="shared" si="5"/>
        <v>5.15</v>
      </c>
      <c r="E112" s="20">
        <f>IF(AH112&lt;&gt;0,ROUNDUP(AH112,0),IF(BB112&lt;&gt;"FR","hors France",IF(AH112&lt;&gt;0,ROUNDUP(AH112,0),_xlfn.XLOOKUP(AJ112,'PA GLS'!B:B,'PA GLS'!A:A))))</f>
        <v>1</v>
      </c>
      <c r="F112">
        <v>2501382993</v>
      </c>
      <c r="G112">
        <v>1030233879</v>
      </c>
      <c r="H112" t="s">
        <v>366</v>
      </c>
      <c r="I112">
        <v>2500034092</v>
      </c>
      <c r="J112" t="s">
        <v>50</v>
      </c>
      <c r="K112">
        <v>9000009190</v>
      </c>
      <c r="L112">
        <v>46946</v>
      </c>
      <c r="M112" t="s">
        <v>51</v>
      </c>
      <c r="N112">
        <v>9000037814</v>
      </c>
      <c r="O112" t="s">
        <v>51</v>
      </c>
      <c r="S112">
        <v>2507012387</v>
      </c>
      <c r="T112" t="s">
        <v>50</v>
      </c>
      <c r="U112" t="s">
        <v>122</v>
      </c>
      <c r="V112" t="s">
        <v>66</v>
      </c>
      <c r="W112" t="s">
        <v>67</v>
      </c>
      <c r="X112" t="s">
        <v>60</v>
      </c>
      <c r="Z112">
        <v>187</v>
      </c>
      <c r="AA112" t="s">
        <v>570</v>
      </c>
      <c r="AB112" t="s">
        <v>603</v>
      </c>
      <c r="AC112">
        <v>2604000029</v>
      </c>
      <c r="AE112">
        <v>0</v>
      </c>
      <c r="AF112">
        <v>0</v>
      </c>
      <c r="AG112">
        <v>0</v>
      </c>
      <c r="AH112">
        <v>0</v>
      </c>
      <c r="AI112" t="s">
        <v>56</v>
      </c>
      <c r="AJ112">
        <v>4.0999999999999996</v>
      </c>
      <c r="AK112">
        <v>0.9</v>
      </c>
      <c r="AL112">
        <v>0.15</v>
      </c>
      <c r="AM112">
        <v>29.1</v>
      </c>
      <c r="AN112">
        <v>1.45</v>
      </c>
      <c r="AO112">
        <v>0</v>
      </c>
      <c r="AP112">
        <v>0</v>
      </c>
      <c r="AQ112" t="s">
        <v>57</v>
      </c>
      <c r="AS112" t="s">
        <v>604</v>
      </c>
      <c r="AT112" t="s">
        <v>604</v>
      </c>
      <c r="AU112" t="s">
        <v>603</v>
      </c>
      <c r="AV112" t="s">
        <v>600</v>
      </c>
      <c r="AW112" t="s">
        <v>601</v>
      </c>
      <c r="AZ112">
        <v>92290</v>
      </c>
      <c r="BA112" t="s">
        <v>602</v>
      </c>
      <c r="BB112" t="s">
        <v>61</v>
      </c>
      <c r="BC112" t="s">
        <v>62</v>
      </c>
    </row>
    <row r="113" spans="1:55" x14ac:dyDescent="0.25">
      <c r="A113" s="1" t="str">
        <f>IF(COUNTIF(Catégories!A:A,X113)=0,"catégorie inconnue",_xlfn.XLOOKUP(X113,Catégories!A:A,Catégories!B:B))</f>
        <v>Frêt</v>
      </c>
      <c r="B113" s="1">
        <f t="shared" si="3"/>
        <v>6.6000000000000005</v>
      </c>
      <c r="C113" s="1">
        <f t="shared" si="4"/>
        <v>1.45</v>
      </c>
      <c r="D113" s="1">
        <f t="shared" si="5"/>
        <v>5.15</v>
      </c>
      <c r="E113" s="20">
        <f>IF(AH113&lt;&gt;0,ROUNDUP(AH113,0),IF(BB113&lt;&gt;"FR","hors France",IF(AH113&lt;&gt;0,ROUNDUP(AH113,0),_xlfn.XLOOKUP(AJ113,'PA GLS'!B:B,'PA GLS'!A:A))))</f>
        <v>1</v>
      </c>
      <c r="F113">
        <v>2501382993</v>
      </c>
      <c r="G113">
        <v>1030233879</v>
      </c>
      <c r="H113" t="s">
        <v>366</v>
      </c>
      <c r="I113">
        <v>2500034092</v>
      </c>
      <c r="J113" t="s">
        <v>50</v>
      </c>
      <c r="K113">
        <v>9000009190</v>
      </c>
      <c r="L113">
        <v>46946</v>
      </c>
      <c r="M113" t="s">
        <v>51</v>
      </c>
      <c r="N113">
        <v>9000037814</v>
      </c>
      <c r="O113" t="s">
        <v>51</v>
      </c>
      <c r="S113">
        <v>2507012387</v>
      </c>
      <c r="T113" t="s">
        <v>50</v>
      </c>
      <c r="U113" t="s">
        <v>122</v>
      </c>
      <c r="V113" t="s">
        <v>66</v>
      </c>
      <c r="W113" t="s">
        <v>67</v>
      </c>
      <c r="X113" t="s">
        <v>60</v>
      </c>
      <c r="Z113">
        <v>187</v>
      </c>
      <c r="AA113" t="s">
        <v>570</v>
      </c>
      <c r="AB113" t="s">
        <v>598</v>
      </c>
      <c r="AC113">
        <v>2604000028</v>
      </c>
      <c r="AE113">
        <v>0</v>
      </c>
      <c r="AF113">
        <v>0</v>
      </c>
      <c r="AG113">
        <v>0</v>
      </c>
      <c r="AH113">
        <v>0</v>
      </c>
      <c r="AI113" t="s">
        <v>56</v>
      </c>
      <c r="AJ113">
        <v>4.0999999999999996</v>
      </c>
      <c r="AK113">
        <v>0.9</v>
      </c>
      <c r="AL113">
        <v>0.15</v>
      </c>
      <c r="AM113">
        <v>29.1</v>
      </c>
      <c r="AN113">
        <v>1.45</v>
      </c>
      <c r="AO113">
        <v>0</v>
      </c>
      <c r="AP113">
        <v>0</v>
      </c>
      <c r="AQ113" t="s">
        <v>57</v>
      </c>
      <c r="AS113" t="s">
        <v>599</v>
      </c>
      <c r="AT113" t="s">
        <v>599</v>
      </c>
      <c r="AU113" t="s">
        <v>598</v>
      </c>
      <c r="AV113" t="s">
        <v>600</v>
      </c>
      <c r="AW113" t="s">
        <v>601</v>
      </c>
      <c r="AZ113">
        <v>92290</v>
      </c>
      <c r="BA113" t="s">
        <v>602</v>
      </c>
      <c r="BB113" t="s">
        <v>61</v>
      </c>
      <c r="BC113" t="s">
        <v>62</v>
      </c>
    </row>
    <row r="114" spans="1:55" x14ac:dyDescent="0.25">
      <c r="A114" s="1" t="str">
        <f>IF(COUNTIF(Catégories!A:A,X114)=0,"catégorie inconnue",_xlfn.XLOOKUP(X114,Catégories!A:A,Catégories!B:B))</f>
        <v>Frêt</v>
      </c>
      <c r="B114" s="1">
        <f t="shared" si="3"/>
        <v>6.6000000000000005</v>
      </c>
      <c r="C114" s="1">
        <f t="shared" si="4"/>
        <v>1.45</v>
      </c>
      <c r="D114" s="1">
        <f t="shared" si="5"/>
        <v>5.15</v>
      </c>
      <c r="E114" s="20">
        <f>IF(AH114&lt;&gt;0,ROUNDUP(AH114,0),IF(BB114&lt;&gt;"FR","hors France",IF(AH114&lt;&gt;0,ROUNDUP(AH114,0),_xlfn.XLOOKUP(AJ114,'PA GLS'!B:B,'PA GLS'!A:A))))</f>
        <v>1</v>
      </c>
      <c r="F114">
        <v>2501382993</v>
      </c>
      <c r="G114">
        <v>1030233879</v>
      </c>
      <c r="H114" t="s">
        <v>366</v>
      </c>
      <c r="I114">
        <v>2500034092</v>
      </c>
      <c r="J114" t="s">
        <v>50</v>
      </c>
      <c r="K114">
        <v>9000009190</v>
      </c>
      <c r="L114">
        <v>46946</v>
      </c>
      <c r="M114" t="s">
        <v>51</v>
      </c>
      <c r="N114">
        <v>9000037814</v>
      </c>
      <c r="O114" t="s">
        <v>51</v>
      </c>
      <c r="S114">
        <v>2507012387</v>
      </c>
      <c r="T114" t="s">
        <v>50</v>
      </c>
      <c r="U114" t="s">
        <v>122</v>
      </c>
      <c r="V114" t="s">
        <v>69</v>
      </c>
      <c r="W114" t="s">
        <v>70</v>
      </c>
      <c r="X114" t="s">
        <v>60</v>
      </c>
      <c r="Z114">
        <v>186</v>
      </c>
      <c r="AA114" t="s">
        <v>570</v>
      </c>
      <c r="AB114" t="s">
        <v>593</v>
      </c>
      <c r="AC114">
        <v>2604000026</v>
      </c>
      <c r="AE114">
        <v>0</v>
      </c>
      <c r="AF114">
        <v>0</v>
      </c>
      <c r="AG114">
        <v>0</v>
      </c>
      <c r="AH114">
        <v>0</v>
      </c>
      <c r="AI114" t="s">
        <v>56</v>
      </c>
      <c r="AJ114">
        <v>4.0999999999999996</v>
      </c>
      <c r="AK114">
        <v>0.9</v>
      </c>
      <c r="AL114">
        <v>0.15</v>
      </c>
      <c r="AM114">
        <v>29.1</v>
      </c>
      <c r="AN114">
        <v>1.45</v>
      </c>
      <c r="AO114">
        <v>0</v>
      </c>
      <c r="AP114">
        <v>0</v>
      </c>
      <c r="AQ114" t="s">
        <v>57</v>
      </c>
      <c r="AS114" t="s">
        <v>594</v>
      </c>
      <c r="AT114" t="s">
        <v>594</v>
      </c>
      <c r="AU114" t="s">
        <v>593</v>
      </c>
      <c r="AV114" t="s">
        <v>595</v>
      </c>
      <c r="AW114" t="s">
        <v>596</v>
      </c>
      <c r="AZ114">
        <v>33138</v>
      </c>
      <c r="BA114" t="s">
        <v>597</v>
      </c>
      <c r="BB114" t="s">
        <v>61</v>
      </c>
      <c r="BC114" t="s">
        <v>62</v>
      </c>
    </row>
    <row r="115" spans="1:55" x14ac:dyDescent="0.25">
      <c r="A115" s="1" t="str">
        <f>IF(COUNTIF(Catégories!A:A,X115)=0,"catégorie inconnue",_xlfn.XLOOKUP(X115,Catégories!A:A,Catégories!B:B))</f>
        <v>Frêt</v>
      </c>
      <c r="B115" s="1">
        <f t="shared" si="3"/>
        <v>0</v>
      </c>
      <c r="C115" s="1">
        <f t="shared" si="4"/>
        <v>0</v>
      </c>
      <c r="D115" s="1">
        <f t="shared" si="5"/>
        <v>0</v>
      </c>
      <c r="E115" s="20">
        <f>IF(AH115&lt;&gt;0,ROUNDUP(AH115,0),IF(BB115&lt;&gt;"FR","hors France",IF(AH115&lt;&gt;0,ROUNDUP(AH115,0),_xlfn.XLOOKUP(AJ115,'PA GLS'!B:B,'PA GLS'!A:A))))</f>
        <v>2</v>
      </c>
      <c r="F115">
        <v>2501382993</v>
      </c>
      <c r="G115">
        <v>1030166881</v>
      </c>
      <c r="H115" t="s">
        <v>366</v>
      </c>
      <c r="I115">
        <v>2500034092</v>
      </c>
      <c r="J115" t="s">
        <v>50</v>
      </c>
      <c r="K115">
        <v>9000009190</v>
      </c>
      <c r="L115">
        <v>46946</v>
      </c>
      <c r="M115" t="s">
        <v>51</v>
      </c>
      <c r="N115">
        <v>9000079830</v>
      </c>
      <c r="O115" t="s">
        <v>187</v>
      </c>
      <c r="S115">
        <v>2507012387</v>
      </c>
      <c r="T115" t="s">
        <v>50</v>
      </c>
      <c r="U115" t="s">
        <v>122</v>
      </c>
      <c r="V115" t="s">
        <v>176</v>
      </c>
      <c r="W115" t="s">
        <v>177</v>
      </c>
      <c r="X115" t="s">
        <v>152</v>
      </c>
      <c r="Z115">
        <v>17</v>
      </c>
      <c r="AA115" t="s">
        <v>570</v>
      </c>
      <c r="AB115" t="s">
        <v>610</v>
      </c>
      <c r="AC115">
        <v>2604000055</v>
      </c>
      <c r="AE115">
        <v>0</v>
      </c>
      <c r="AF115">
        <v>1</v>
      </c>
      <c r="AG115">
        <v>0</v>
      </c>
      <c r="AH115">
        <v>1.18</v>
      </c>
      <c r="AI115" t="s">
        <v>56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 t="s">
        <v>57</v>
      </c>
      <c r="AS115" t="s">
        <v>611</v>
      </c>
      <c r="AT115" t="s">
        <v>611</v>
      </c>
      <c r="AU115" t="s">
        <v>610</v>
      </c>
      <c r="AV115" t="s">
        <v>353</v>
      </c>
      <c r="AW115" t="s">
        <v>354</v>
      </c>
      <c r="AZ115">
        <v>74130</v>
      </c>
      <c r="BA115" t="s">
        <v>288</v>
      </c>
      <c r="BB115" t="s">
        <v>61</v>
      </c>
      <c r="BC115" t="s">
        <v>62</v>
      </c>
    </row>
    <row r="116" spans="1:55" x14ac:dyDescent="0.25">
      <c r="A116" s="1" t="str">
        <f>IF(COUNTIF(Catégories!A:A,X116)=0,"catégorie inconnue",_xlfn.XLOOKUP(X116,Catégories!A:A,Catégories!B:B))</f>
        <v>Frêt</v>
      </c>
      <c r="B116" s="1">
        <f t="shared" si="3"/>
        <v>0</v>
      </c>
      <c r="C116" s="1">
        <f t="shared" si="4"/>
        <v>0</v>
      </c>
      <c r="D116" s="1">
        <f t="shared" si="5"/>
        <v>0</v>
      </c>
      <c r="E116" s="20">
        <f>IF(AH116&lt;&gt;0,ROUNDUP(AH116,0),IF(BB116&lt;&gt;"FR","hors France",IF(AH116&lt;&gt;0,ROUNDUP(AH116,0),_xlfn.XLOOKUP(AJ116,'PA GLS'!B:B,'PA GLS'!A:A))))</f>
        <v>2</v>
      </c>
      <c r="F116">
        <v>2501382993</v>
      </c>
      <c r="G116">
        <v>1030166881</v>
      </c>
      <c r="H116" t="s">
        <v>366</v>
      </c>
      <c r="I116">
        <v>2500034092</v>
      </c>
      <c r="J116" t="s">
        <v>50</v>
      </c>
      <c r="K116">
        <v>9000009190</v>
      </c>
      <c r="L116">
        <v>46946</v>
      </c>
      <c r="M116" t="s">
        <v>51</v>
      </c>
      <c r="N116">
        <v>9000079830</v>
      </c>
      <c r="O116" t="s">
        <v>187</v>
      </c>
      <c r="S116">
        <v>2507012387</v>
      </c>
      <c r="T116" t="s">
        <v>50</v>
      </c>
      <c r="U116" t="s">
        <v>122</v>
      </c>
      <c r="V116" t="s">
        <v>176</v>
      </c>
      <c r="W116" t="s">
        <v>177</v>
      </c>
      <c r="X116" t="s">
        <v>152</v>
      </c>
      <c r="Z116">
        <v>17</v>
      </c>
      <c r="AA116" t="s">
        <v>570</v>
      </c>
      <c r="AB116" t="s">
        <v>612</v>
      </c>
      <c r="AC116">
        <v>2604000056</v>
      </c>
      <c r="AE116">
        <v>0</v>
      </c>
      <c r="AF116">
        <v>1</v>
      </c>
      <c r="AG116">
        <v>0</v>
      </c>
      <c r="AH116">
        <v>1.6</v>
      </c>
      <c r="AI116" t="s">
        <v>56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">
        <v>57</v>
      </c>
      <c r="AS116" t="s">
        <v>613</v>
      </c>
      <c r="AT116" t="s">
        <v>613</v>
      </c>
      <c r="AU116" t="s">
        <v>612</v>
      </c>
      <c r="AV116" t="s">
        <v>614</v>
      </c>
      <c r="AW116" t="s">
        <v>615</v>
      </c>
      <c r="AZ116">
        <v>94300</v>
      </c>
      <c r="BA116" t="s">
        <v>616</v>
      </c>
      <c r="BB116" t="s">
        <v>61</v>
      </c>
      <c r="BC116" t="s">
        <v>62</v>
      </c>
    </row>
    <row r="117" spans="1:55" x14ac:dyDescent="0.25">
      <c r="A117" s="1" t="str">
        <f>IF(COUNTIF(Catégories!A:A,X117)=0,"catégorie inconnue",_xlfn.XLOOKUP(X117,Catégories!A:A,Catégories!B:B))</f>
        <v>Frêt</v>
      </c>
      <c r="B117" s="1">
        <f t="shared" si="3"/>
        <v>0</v>
      </c>
      <c r="C117" s="1">
        <f t="shared" si="4"/>
        <v>0</v>
      </c>
      <c r="D117" s="1">
        <f t="shared" si="5"/>
        <v>0</v>
      </c>
      <c r="E117" s="20">
        <f>IF(AH117&lt;&gt;0,ROUNDUP(AH117,0),IF(BB117&lt;&gt;"FR","hors France",IF(AH117&lt;&gt;0,ROUNDUP(AH117,0),_xlfn.XLOOKUP(AJ117,'PA GLS'!B:B,'PA GLS'!A:A))))</f>
        <v>2</v>
      </c>
      <c r="F117">
        <v>2501382993</v>
      </c>
      <c r="G117">
        <v>1030166881</v>
      </c>
      <c r="H117" t="s">
        <v>366</v>
      </c>
      <c r="I117">
        <v>2500034092</v>
      </c>
      <c r="J117" t="s">
        <v>50</v>
      </c>
      <c r="K117">
        <v>9000009190</v>
      </c>
      <c r="L117">
        <v>46946</v>
      </c>
      <c r="M117" t="s">
        <v>51</v>
      </c>
      <c r="N117">
        <v>9000079830</v>
      </c>
      <c r="O117" t="s">
        <v>187</v>
      </c>
      <c r="S117">
        <v>2507012387</v>
      </c>
      <c r="T117" t="s">
        <v>50</v>
      </c>
      <c r="U117" t="s">
        <v>122</v>
      </c>
      <c r="V117" t="s">
        <v>176</v>
      </c>
      <c r="W117" t="s">
        <v>177</v>
      </c>
      <c r="X117" t="s">
        <v>152</v>
      </c>
      <c r="Z117">
        <v>17</v>
      </c>
      <c r="AA117" t="s">
        <v>570</v>
      </c>
      <c r="AB117" t="s">
        <v>617</v>
      </c>
      <c r="AC117">
        <v>2604000057</v>
      </c>
      <c r="AE117">
        <v>0</v>
      </c>
      <c r="AF117">
        <v>1</v>
      </c>
      <c r="AG117">
        <v>0</v>
      </c>
      <c r="AH117">
        <v>1.1100000000000001</v>
      </c>
      <c r="AI117" t="s">
        <v>56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 t="s">
        <v>57</v>
      </c>
      <c r="AS117" t="s">
        <v>618</v>
      </c>
      <c r="AT117" t="s">
        <v>618</v>
      </c>
      <c r="AU117" t="s">
        <v>617</v>
      </c>
      <c r="AV117" t="s">
        <v>619</v>
      </c>
      <c r="AW117" t="s">
        <v>620</v>
      </c>
      <c r="AZ117">
        <v>94120</v>
      </c>
      <c r="BA117" t="s">
        <v>621</v>
      </c>
      <c r="BB117" t="s">
        <v>61</v>
      </c>
      <c r="BC117" t="s">
        <v>62</v>
      </c>
    </row>
    <row r="118" spans="1:55" x14ac:dyDescent="0.25">
      <c r="A118" s="1" t="str">
        <f>IF(COUNTIF(Catégories!A:A,X118)=0,"catégorie inconnue",_xlfn.XLOOKUP(X118,Catégories!A:A,Catégories!B:B))</f>
        <v>Frêt</v>
      </c>
      <c r="B118" s="1">
        <f t="shared" si="3"/>
        <v>0</v>
      </c>
      <c r="C118" s="1">
        <f t="shared" si="4"/>
        <v>0</v>
      </c>
      <c r="D118" s="1">
        <f t="shared" si="5"/>
        <v>0</v>
      </c>
      <c r="E118" s="20">
        <f>IF(AH118&lt;&gt;0,ROUNDUP(AH118,0),IF(BB118&lt;&gt;"FR","hors France",IF(AH118&lt;&gt;0,ROUNDUP(AH118,0),_xlfn.XLOOKUP(AJ118,'PA GLS'!B:B,'PA GLS'!A:A))))</f>
        <v>2</v>
      </c>
      <c r="F118">
        <v>2501382993</v>
      </c>
      <c r="G118">
        <v>1030166881</v>
      </c>
      <c r="H118" t="s">
        <v>366</v>
      </c>
      <c r="I118">
        <v>2500034092</v>
      </c>
      <c r="J118" t="s">
        <v>50</v>
      </c>
      <c r="K118">
        <v>9000009190</v>
      </c>
      <c r="L118">
        <v>46946</v>
      </c>
      <c r="M118" t="s">
        <v>51</v>
      </c>
      <c r="N118">
        <v>9000079830</v>
      </c>
      <c r="O118" t="s">
        <v>187</v>
      </c>
      <c r="S118">
        <v>2507012387</v>
      </c>
      <c r="T118" t="s">
        <v>50</v>
      </c>
      <c r="U118" t="s">
        <v>122</v>
      </c>
      <c r="V118" t="s">
        <v>176</v>
      </c>
      <c r="W118" t="s">
        <v>177</v>
      </c>
      <c r="X118" t="s">
        <v>152</v>
      </c>
      <c r="Z118">
        <v>17</v>
      </c>
      <c r="AA118" t="s">
        <v>570</v>
      </c>
      <c r="AB118" t="s">
        <v>622</v>
      </c>
      <c r="AC118">
        <v>2604000058</v>
      </c>
      <c r="AE118">
        <v>0</v>
      </c>
      <c r="AF118">
        <v>1</v>
      </c>
      <c r="AG118">
        <v>0</v>
      </c>
      <c r="AH118">
        <v>1.1100000000000001</v>
      </c>
      <c r="AI118" t="s">
        <v>56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 t="s">
        <v>57</v>
      </c>
      <c r="AS118" t="s">
        <v>623</v>
      </c>
      <c r="AT118" t="s">
        <v>623</v>
      </c>
      <c r="AU118" t="s">
        <v>622</v>
      </c>
      <c r="AV118" t="s">
        <v>624</v>
      </c>
      <c r="AW118" t="s">
        <v>625</v>
      </c>
      <c r="AZ118">
        <v>33520</v>
      </c>
      <c r="BA118" t="s">
        <v>626</v>
      </c>
      <c r="BB118" t="s">
        <v>61</v>
      </c>
      <c r="BC118" t="s">
        <v>62</v>
      </c>
    </row>
    <row r="119" spans="1:55" x14ac:dyDescent="0.25">
      <c r="A119" s="1" t="str">
        <f>IF(COUNTIF(Catégories!A:A,X119)=0,"catégorie inconnue",_xlfn.XLOOKUP(X119,Catégories!A:A,Catégories!B:B))</f>
        <v>Frêt</v>
      </c>
      <c r="B119" s="1">
        <f t="shared" si="3"/>
        <v>0</v>
      </c>
      <c r="C119" s="1">
        <f t="shared" si="4"/>
        <v>0</v>
      </c>
      <c r="D119" s="1">
        <f t="shared" si="5"/>
        <v>0</v>
      </c>
      <c r="E119" s="20">
        <f>IF(AH119&lt;&gt;0,ROUNDUP(AH119,0),IF(BB119&lt;&gt;"FR","hors France",IF(AH119&lt;&gt;0,ROUNDUP(AH119,0),_xlfn.XLOOKUP(AJ119,'PA GLS'!B:B,'PA GLS'!A:A))))</f>
        <v>2</v>
      </c>
      <c r="F119">
        <v>2501382993</v>
      </c>
      <c r="G119">
        <v>1030166881</v>
      </c>
      <c r="H119" t="s">
        <v>366</v>
      </c>
      <c r="I119">
        <v>2500034092</v>
      </c>
      <c r="J119" t="s">
        <v>50</v>
      </c>
      <c r="K119">
        <v>9000009190</v>
      </c>
      <c r="L119">
        <v>46946</v>
      </c>
      <c r="M119" t="s">
        <v>51</v>
      </c>
      <c r="N119">
        <v>9000079830</v>
      </c>
      <c r="O119" t="s">
        <v>187</v>
      </c>
      <c r="S119">
        <v>2507012387</v>
      </c>
      <c r="T119" t="s">
        <v>50</v>
      </c>
      <c r="U119" t="s">
        <v>122</v>
      </c>
      <c r="V119" t="s">
        <v>176</v>
      </c>
      <c r="W119" t="s">
        <v>177</v>
      </c>
      <c r="X119" t="s">
        <v>152</v>
      </c>
      <c r="Z119">
        <v>17</v>
      </c>
      <c r="AA119" t="s">
        <v>570</v>
      </c>
      <c r="AB119" t="s">
        <v>627</v>
      </c>
      <c r="AC119">
        <v>2604000059</v>
      </c>
      <c r="AE119">
        <v>0</v>
      </c>
      <c r="AF119">
        <v>1</v>
      </c>
      <c r="AG119">
        <v>0</v>
      </c>
      <c r="AH119">
        <v>1.56</v>
      </c>
      <c r="AI119" t="s">
        <v>56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 t="s">
        <v>57</v>
      </c>
      <c r="AS119" t="s">
        <v>628</v>
      </c>
      <c r="AT119" t="s">
        <v>628</v>
      </c>
      <c r="AU119" t="s">
        <v>627</v>
      </c>
      <c r="AV119" t="s">
        <v>629</v>
      </c>
      <c r="AW119" t="s">
        <v>630</v>
      </c>
      <c r="AZ119">
        <v>34070</v>
      </c>
      <c r="BA119" t="s">
        <v>230</v>
      </c>
      <c r="BB119" t="s">
        <v>61</v>
      </c>
      <c r="BC119" t="s">
        <v>62</v>
      </c>
    </row>
    <row r="120" spans="1:55" x14ac:dyDescent="0.25">
      <c r="A120" s="1" t="str">
        <f>IF(COUNTIF(Catégories!A:A,X120)=0,"catégorie inconnue",_xlfn.XLOOKUP(X120,Catégories!A:A,Catégories!B:B))</f>
        <v>Frêt</v>
      </c>
      <c r="B120" s="1">
        <f t="shared" si="3"/>
        <v>0</v>
      </c>
      <c r="C120" s="1">
        <f t="shared" si="4"/>
        <v>0</v>
      </c>
      <c r="D120" s="1">
        <f t="shared" si="5"/>
        <v>0</v>
      </c>
      <c r="E120" s="20">
        <f>IF(AH120&lt;&gt;0,ROUNDUP(AH120,0),IF(BB120&lt;&gt;"FR","hors France",IF(AH120&lt;&gt;0,ROUNDUP(AH120,0),_xlfn.XLOOKUP(AJ120,'PA GLS'!B:B,'PA GLS'!A:A))))</f>
        <v>1</v>
      </c>
      <c r="F120">
        <v>2501382993</v>
      </c>
      <c r="G120">
        <v>1030166881</v>
      </c>
      <c r="H120" t="s">
        <v>366</v>
      </c>
      <c r="I120">
        <v>2500034092</v>
      </c>
      <c r="J120" t="s">
        <v>50</v>
      </c>
      <c r="K120">
        <v>9000009190</v>
      </c>
      <c r="L120">
        <v>46946</v>
      </c>
      <c r="M120" t="s">
        <v>51</v>
      </c>
      <c r="N120">
        <v>9000079830</v>
      </c>
      <c r="O120" t="s">
        <v>187</v>
      </c>
      <c r="S120">
        <v>2507012387</v>
      </c>
      <c r="T120" t="s">
        <v>50</v>
      </c>
      <c r="U120" t="s">
        <v>122</v>
      </c>
      <c r="V120" t="s">
        <v>176</v>
      </c>
      <c r="W120" t="s">
        <v>177</v>
      </c>
      <c r="X120" t="s">
        <v>152</v>
      </c>
      <c r="Z120">
        <v>17</v>
      </c>
      <c r="AA120" t="s">
        <v>570</v>
      </c>
      <c r="AB120" t="s">
        <v>631</v>
      </c>
      <c r="AC120">
        <v>2604000060</v>
      </c>
      <c r="AE120">
        <v>0</v>
      </c>
      <c r="AF120">
        <v>1</v>
      </c>
      <c r="AG120">
        <v>0</v>
      </c>
      <c r="AH120">
        <v>0.48</v>
      </c>
      <c r="AI120" t="s">
        <v>56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 t="s">
        <v>57</v>
      </c>
      <c r="AS120" t="s">
        <v>632</v>
      </c>
      <c r="AT120" t="s">
        <v>632</v>
      </c>
      <c r="AU120" t="s">
        <v>631</v>
      </c>
      <c r="AV120" t="s">
        <v>633</v>
      </c>
      <c r="AW120" t="s">
        <v>634</v>
      </c>
      <c r="AZ120">
        <v>29780</v>
      </c>
      <c r="BA120" t="s">
        <v>635</v>
      </c>
      <c r="BB120" t="s">
        <v>61</v>
      </c>
      <c r="BC120" t="s">
        <v>62</v>
      </c>
    </row>
    <row r="121" spans="1:55" x14ac:dyDescent="0.25">
      <c r="A121" s="1" t="str">
        <f>IF(COUNTIF(Catégories!A:A,X121)=0,"catégorie inconnue",_xlfn.XLOOKUP(X121,Catégories!A:A,Catégories!B:B))</f>
        <v>Frêt</v>
      </c>
      <c r="B121" s="1">
        <f t="shared" si="3"/>
        <v>0</v>
      </c>
      <c r="C121" s="1">
        <f t="shared" si="4"/>
        <v>0</v>
      </c>
      <c r="D121" s="1">
        <f t="shared" si="5"/>
        <v>0</v>
      </c>
      <c r="E121" s="20">
        <f>IF(AH121&lt;&gt;0,ROUNDUP(AH121,0),IF(BB121&lt;&gt;"FR","hors France",IF(AH121&lt;&gt;0,ROUNDUP(AH121,0),_xlfn.XLOOKUP(AJ121,'PA GLS'!B:B,'PA GLS'!A:A))))</f>
        <v>2</v>
      </c>
      <c r="F121">
        <v>2501382993</v>
      </c>
      <c r="G121">
        <v>1030166881</v>
      </c>
      <c r="H121" t="s">
        <v>366</v>
      </c>
      <c r="I121">
        <v>2500034092</v>
      </c>
      <c r="J121" t="s">
        <v>50</v>
      </c>
      <c r="K121">
        <v>9000009190</v>
      </c>
      <c r="L121">
        <v>46946</v>
      </c>
      <c r="M121" t="s">
        <v>51</v>
      </c>
      <c r="N121">
        <v>9000079830</v>
      </c>
      <c r="O121" t="s">
        <v>187</v>
      </c>
      <c r="S121">
        <v>2507012387</v>
      </c>
      <c r="T121" t="s">
        <v>50</v>
      </c>
      <c r="U121" t="s">
        <v>122</v>
      </c>
      <c r="V121" t="s">
        <v>176</v>
      </c>
      <c r="W121" t="s">
        <v>177</v>
      </c>
      <c r="X121" t="s">
        <v>152</v>
      </c>
      <c r="Z121">
        <v>17</v>
      </c>
      <c r="AA121" t="s">
        <v>570</v>
      </c>
      <c r="AB121" t="s">
        <v>636</v>
      </c>
      <c r="AC121">
        <v>2604000061</v>
      </c>
      <c r="AE121">
        <v>0</v>
      </c>
      <c r="AF121">
        <v>1</v>
      </c>
      <c r="AG121">
        <v>0</v>
      </c>
      <c r="AH121">
        <v>1.56</v>
      </c>
      <c r="AI121" t="s">
        <v>56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 t="s">
        <v>57</v>
      </c>
      <c r="AS121" t="s">
        <v>637</v>
      </c>
      <c r="AT121" t="s">
        <v>637</v>
      </c>
      <c r="AU121" t="s">
        <v>636</v>
      </c>
      <c r="AV121" t="s">
        <v>638</v>
      </c>
      <c r="AW121" t="s">
        <v>639</v>
      </c>
      <c r="AZ121">
        <v>62590</v>
      </c>
      <c r="BA121" t="s">
        <v>640</v>
      </c>
      <c r="BB121" t="s">
        <v>61</v>
      </c>
      <c r="BC121" t="s">
        <v>62</v>
      </c>
    </row>
    <row r="122" spans="1:55" x14ac:dyDescent="0.25">
      <c r="A122" s="1" t="str">
        <f>IF(COUNTIF(Catégories!A:A,X122)=0,"catégorie inconnue",_xlfn.XLOOKUP(X122,Catégories!A:A,Catégories!B:B))</f>
        <v>Frêt</v>
      </c>
      <c r="B122" s="1">
        <f t="shared" si="3"/>
        <v>0</v>
      </c>
      <c r="C122" s="1">
        <f t="shared" si="4"/>
        <v>0</v>
      </c>
      <c r="D122" s="1">
        <f t="shared" si="5"/>
        <v>0</v>
      </c>
      <c r="E122" s="20">
        <f>IF(AH122&lt;&gt;0,ROUNDUP(AH122,0),IF(BB122&lt;&gt;"FR","hors France",IF(AH122&lt;&gt;0,ROUNDUP(AH122,0),_xlfn.XLOOKUP(AJ122,'PA GLS'!B:B,'PA GLS'!A:A))))</f>
        <v>3</v>
      </c>
      <c r="F122">
        <v>2501382993</v>
      </c>
      <c r="G122">
        <v>1030166881</v>
      </c>
      <c r="H122" t="s">
        <v>366</v>
      </c>
      <c r="I122">
        <v>2500034092</v>
      </c>
      <c r="J122" t="s">
        <v>50</v>
      </c>
      <c r="K122">
        <v>9000009190</v>
      </c>
      <c r="L122">
        <v>46946</v>
      </c>
      <c r="M122" t="s">
        <v>51</v>
      </c>
      <c r="N122">
        <v>9000079830</v>
      </c>
      <c r="O122" t="s">
        <v>187</v>
      </c>
      <c r="S122">
        <v>2507012387</v>
      </c>
      <c r="T122" t="s">
        <v>50</v>
      </c>
      <c r="U122" t="s">
        <v>122</v>
      </c>
      <c r="V122" t="s">
        <v>176</v>
      </c>
      <c r="W122" t="s">
        <v>177</v>
      </c>
      <c r="X122" t="s">
        <v>152</v>
      </c>
      <c r="Z122">
        <v>17</v>
      </c>
      <c r="AA122" t="s">
        <v>570</v>
      </c>
      <c r="AB122" t="s">
        <v>641</v>
      </c>
      <c r="AC122">
        <v>2604000062</v>
      </c>
      <c r="AE122">
        <v>0</v>
      </c>
      <c r="AF122">
        <v>1</v>
      </c>
      <c r="AG122">
        <v>0</v>
      </c>
      <c r="AH122">
        <v>2.0499999999999998</v>
      </c>
      <c r="AI122" t="s">
        <v>56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 t="s">
        <v>57</v>
      </c>
      <c r="AS122" t="s">
        <v>642</v>
      </c>
      <c r="AT122" t="s">
        <v>642</v>
      </c>
      <c r="AU122" t="s">
        <v>641</v>
      </c>
      <c r="AV122" t="s">
        <v>643</v>
      </c>
      <c r="AW122" t="s">
        <v>644</v>
      </c>
      <c r="AZ122">
        <v>91130</v>
      </c>
      <c r="BA122" t="s">
        <v>645</v>
      </c>
      <c r="BB122" t="s">
        <v>61</v>
      </c>
      <c r="BC122" t="s">
        <v>62</v>
      </c>
    </row>
    <row r="123" spans="1:55" x14ac:dyDescent="0.25">
      <c r="A123" s="1" t="str">
        <f>IF(COUNTIF(Catégories!A:A,X123)=0,"catégorie inconnue",_xlfn.XLOOKUP(X123,Catégories!A:A,Catégories!B:B))</f>
        <v>Frêt</v>
      </c>
      <c r="B123" s="1">
        <f t="shared" si="3"/>
        <v>0</v>
      </c>
      <c r="C123" s="1">
        <f t="shared" si="4"/>
        <v>0</v>
      </c>
      <c r="D123" s="1">
        <f t="shared" si="5"/>
        <v>0</v>
      </c>
      <c r="E123" s="20">
        <f>IF(AH123&lt;&gt;0,ROUNDUP(AH123,0),IF(BB123&lt;&gt;"FR","hors France",IF(AH123&lt;&gt;0,ROUNDUP(AH123,0),_xlfn.XLOOKUP(AJ123,'PA GLS'!B:B,'PA GLS'!A:A))))</f>
        <v>4</v>
      </c>
      <c r="F123">
        <v>2501382993</v>
      </c>
      <c r="G123">
        <v>1030166881</v>
      </c>
      <c r="H123" t="s">
        <v>366</v>
      </c>
      <c r="I123">
        <v>2500034092</v>
      </c>
      <c r="J123" t="s">
        <v>50</v>
      </c>
      <c r="K123">
        <v>9000009190</v>
      </c>
      <c r="L123">
        <v>46946</v>
      </c>
      <c r="M123" t="s">
        <v>51</v>
      </c>
      <c r="N123">
        <v>9000079830</v>
      </c>
      <c r="O123" t="s">
        <v>187</v>
      </c>
      <c r="S123">
        <v>2507012387</v>
      </c>
      <c r="T123" t="s">
        <v>50</v>
      </c>
      <c r="U123" t="s">
        <v>122</v>
      </c>
      <c r="V123" t="s">
        <v>176</v>
      </c>
      <c r="W123" t="s">
        <v>177</v>
      </c>
      <c r="X123" t="s">
        <v>152</v>
      </c>
      <c r="Z123">
        <v>17</v>
      </c>
      <c r="AA123" t="s">
        <v>570</v>
      </c>
      <c r="AB123" t="s">
        <v>646</v>
      </c>
      <c r="AC123">
        <v>2604000063</v>
      </c>
      <c r="AE123">
        <v>0</v>
      </c>
      <c r="AF123">
        <v>1</v>
      </c>
      <c r="AG123">
        <v>0</v>
      </c>
      <c r="AH123">
        <v>3.88</v>
      </c>
      <c r="AI123" t="s">
        <v>56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 t="s">
        <v>57</v>
      </c>
      <c r="AS123" t="s">
        <v>647</v>
      </c>
      <c r="AT123" t="s">
        <v>647</v>
      </c>
      <c r="AU123" t="s">
        <v>646</v>
      </c>
      <c r="AV123" t="s">
        <v>648</v>
      </c>
      <c r="AW123" t="s">
        <v>649</v>
      </c>
      <c r="AZ123">
        <v>69700</v>
      </c>
      <c r="BA123" t="s">
        <v>650</v>
      </c>
      <c r="BB123" t="s">
        <v>61</v>
      </c>
      <c r="BC123" t="s">
        <v>62</v>
      </c>
    </row>
    <row r="124" spans="1:55" x14ac:dyDescent="0.25">
      <c r="A124" s="1" t="str">
        <f>IF(COUNTIF(Catégories!A:A,X124)=0,"catégorie inconnue",_xlfn.XLOOKUP(X124,Catégories!A:A,Catégories!B:B))</f>
        <v>Frêt</v>
      </c>
      <c r="B124" s="1">
        <f t="shared" si="3"/>
        <v>6.17</v>
      </c>
      <c r="C124" s="1">
        <f t="shared" si="4"/>
        <v>1.35</v>
      </c>
      <c r="D124" s="1">
        <f t="shared" si="5"/>
        <v>4.82</v>
      </c>
      <c r="E124" s="20">
        <f>IF(AH124&lt;&gt;0,ROUNDUP(AH124,0),IF(BB124&lt;&gt;"FR","hors France",IF(AH124&lt;&gt;0,ROUNDUP(AH124,0),_xlfn.XLOOKUP(AJ124,'PA GLS'!B:B,'PA GLS'!A:A))))</f>
        <v>0.5</v>
      </c>
      <c r="F124">
        <v>2501382993</v>
      </c>
      <c r="G124">
        <v>1030166881</v>
      </c>
      <c r="H124" t="s">
        <v>366</v>
      </c>
      <c r="I124">
        <v>2500034092</v>
      </c>
      <c r="J124" t="s">
        <v>50</v>
      </c>
      <c r="K124">
        <v>9000009190</v>
      </c>
      <c r="L124">
        <v>46946</v>
      </c>
      <c r="M124" t="s">
        <v>51</v>
      </c>
      <c r="N124">
        <v>9000079830</v>
      </c>
      <c r="O124" t="s">
        <v>187</v>
      </c>
      <c r="S124">
        <v>2507012387</v>
      </c>
      <c r="T124" t="s">
        <v>50</v>
      </c>
      <c r="U124" t="s">
        <v>122</v>
      </c>
      <c r="V124" t="s">
        <v>71</v>
      </c>
      <c r="W124" t="s">
        <v>72</v>
      </c>
      <c r="X124" t="s">
        <v>60</v>
      </c>
      <c r="Z124">
        <v>18</v>
      </c>
      <c r="AA124" t="s">
        <v>570</v>
      </c>
      <c r="AB124" t="s">
        <v>631</v>
      </c>
      <c r="AC124">
        <v>2604000060</v>
      </c>
      <c r="AE124">
        <v>0</v>
      </c>
      <c r="AF124">
        <v>0</v>
      </c>
      <c r="AG124">
        <v>0</v>
      </c>
      <c r="AH124">
        <v>0</v>
      </c>
      <c r="AI124" t="s">
        <v>56</v>
      </c>
      <c r="AJ124">
        <v>3.77</v>
      </c>
      <c r="AK124">
        <v>0.9</v>
      </c>
      <c r="AL124">
        <v>0.15</v>
      </c>
      <c r="AM124">
        <v>29.1</v>
      </c>
      <c r="AN124">
        <v>1.35</v>
      </c>
      <c r="AO124">
        <v>0</v>
      </c>
      <c r="AP124">
        <v>0</v>
      </c>
      <c r="AQ124" t="s">
        <v>57</v>
      </c>
      <c r="AS124" t="s">
        <v>632</v>
      </c>
      <c r="AT124" t="s">
        <v>632</v>
      </c>
      <c r="AU124" t="s">
        <v>631</v>
      </c>
      <c r="AV124" t="s">
        <v>633</v>
      </c>
      <c r="AW124" t="s">
        <v>634</v>
      </c>
      <c r="AZ124">
        <v>29780</v>
      </c>
      <c r="BA124" t="s">
        <v>635</v>
      </c>
      <c r="BB124" t="s">
        <v>61</v>
      </c>
      <c r="BC124" t="s">
        <v>62</v>
      </c>
    </row>
    <row r="125" spans="1:55" x14ac:dyDescent="0.25">
      <c r="A125" s="1" t="str">
        <f>IF(COUNTIF(Catégories!A:A,X125)=0,"catégorie inconnue",_xlfn.XLOOKUP(X125,Catégories!A:A,Catégories!B:B))</f>
        <v>Frêt</v>
      </c>
      <c r="B125" s="1">
        <f t="shared" si="3"/>
        <v>7.0100000000000007</v>
      </c>
      <c r="C125" s="1">
        <f t="shared" si="4"/>
        <v>1.54</v>
      </c>
      <c r="D125" s="1">
        <f t="shared" si="5"/>
        <v>5.4700000000000006</v>
      </c>
      <c r="E125" s="20">
        <f>IF(AH125&lt;&gt;0,ROUNDUP(AH125,0),IF(BB125&lt;&gt;"FR","hors France",IF(AH125&lt;&gt;0,ROUNDUP(AH125,0),_xlfn.XLOOKUP(AJ125,'PA GLS'!B:B,'PA GLS'!A:A))))</f>
        <v>2</v>
      </c>
      <c r="F125">
        <v>2501382993</v>
      </c>
      <c r="G125">
        <v>1030166881</v>
      </c>
      <c r="H125" t="s">
        <v>366</v>
      </c>
      <c r="I125">
        <v>2500034092</v>
      </c>
      <c r="J125" t="s">
        <v>50</v>
      </c>
      <c r="K125">
        <v>9000009190</v>
      </c>
      <c r="L125">
        <v>46946</v>
      </c>
      <c r="M125" t="s">
        <v>51</v>
      </c>
      <c r="N125">
        <v>9000079830</v>
      </c>
      <c r="O125" t="s">
        <v>187</v>
      </c>
      <c r="S125">
        <v>2507012387</v>
      </c>
      <c r="T125" t="s">
        <v>50</v>
      </c>
      <c r="U125" t="s">
        <v>122</v>
      </c>
      <c r="V125" t="s">
        <v>63</v>
      </c>
      <c r="W125" t="s">
        <v>64</v>
      </c>
      <c r="X125" t="s">
        <v>60</v>
      </c>
      <c r="Z125">
        <v>19</v>
      </c>
      <c r="AA125" t="s">
        <v>570</v>
      </c>
      <c r="AB125" t="s">
        <v>610</v>
      </c>
      <c r="AC125">
        <v>2604000055</v>
      </c>
      <c r="AE125">
        <v>0</v>
      </c>
      <c r="AF125">
        <v>0</v>
      </c>
      <c r="AG125">
        <v>0</v>
      </c>
      <c r="AH125">
        <v>0</v>
      </c>
      <c r="AI125" t="s">
        <v>56</v>
      </c>
      <c r="AJ125">
        <v>4.42</v>
      </c>
      <c r="AK125">
        <v>0.9</v>
      </c>
      <c r="AL125">
        <v>0.15</v>
      </c>
      <c r="AM125">
        <v>29.1</v>
      </c>
      <c r="AN125">
        <v>1.54</v>
      </c>
      <c r="AO125">
        <v>0</v>
      </c>
      <c r="AP125">
        <v>0</v>
      </c>
      <c r="AQ125" t="s">
        <v>57</v>
      </c>
      <c r="AS125" t="s">
        <v>611</v>
      </c>
      <c r="AT125" t="s">
        <v>611</v>
      </c>
      <c r="AU125" t="s">
        <v>610</v>
      </c>
      <c r="AV125" t="s">
        <v>353</v>
      </c>
      <c r="AW125" t="s">
        <v>354</v>
      </c>
      <c r="AZ125">
        <v>74130</v>
      </c>
      <c r="BA125" t="s">
        <v>288</v>
      </c>
      <c r="BB125" t="s">
        <v>61</v>
      </c>
      <c r="BC125" t="s">
        <v>62</v>
      </c>
    </row>
    <row r="126" spans="1:55" x14ac:dyDescent="0.25">
      <c r="A126" s="1" t="str">
        <f>IF(COUNTIF(Catégories!A:A,X126)=0,"catégorie inconnue",_xlfn.XLOOKUP(X126,Catégories!A:A,Catégories!B:B))</f>
        <v>Frêt</v>
      </c>
      <c r="B126" s="1">
        <f t="shared" si="3"/>
        <v>7.0100000000000007</v>
      </c>
      <c r="C126" s="1">
        <f t="shared" si="4"/>
        <v>1.54</v>
      </c>
      <c r="D126" s="1">
        <f t="shared" si="5"/>
        <v>5.4700000000000006</v>
      </c>
      <c r="E126" s="20">
        <f>IF(AH126&lt;&gt;0,ROUNDUP(AH126,0),IF(BB126&lt;&gt;"FR","hors France",IF(AH126&lt;&gt;0,ROUNDUP(AH126,0),_xlfn.XLOOKUP(AJ126,'PA GLS'!B:B,'PA GLS'!A:A))))</f>
        <v>2</v>
      </c>
      <c r="F126">
        <v>2501382993</v>
      </c>
      <c r="G126">
        <v>1030166881</v>
      </c>
      <c r="H126" t="s">
        <v>366</v>
      </c>
      <c r="I126">
        <v>2500034092</v>
      </c>
      <c r="J126" t="s">
        <v>50</v>
      </c>
      <c r="K126">
        <v>9000009190</v>
      </c>
      <c r="L126">
        <v>46946</v>
      </c>
      <c r="M126" t="s">
        <v>51</v>
      </c>
      <c r="N126">
        <v>9000079830</v>
      </c>
      <c r="O126" t="s">
        <v>187</v>
      </c>
      <c r="S126">
        <v>2507012387</v>
      </c>
      <c r="T126" t="s">
        <v>50</v>
      </c>
      <c r="U126" t="s">
        <v>122</v>
      </c>
      <c r="V126" t="s">
        <v>63</v>
      </c>
      <c r="W126" t="s">
        <v>64</v>
      </c>
      <c r="X126" t="s">
        <v>60</v>
      </c>
      <c r="Z126">
        <v>19</v>
      </c>
      <c r="AA126" t="s">
        <v>570</v>
      </c>
      <c r="AB126" t="s">
        <v>617</v>
      </c>
      <c r="AC126">
        <v>2604000057</v>
      </c>
      <c r="AE126">
        <v>0</v>
      </c>
      <c r="AF126">
        <v>0</v>
      </c>
      <c r="AG126">
        <v>0</v>
      </c>
      <c r="AH126">
        <v>0</v>
      </c>
      <c r="AI126" t="s">
        <v>56</v>
      </c>
      <c r="AJ126">
        <v>4.42</v>
      </c>
      <c r="AK126">
        <v>0.9</v>
      </c>
      <c r="AL126">
        <v>0.15</v>
      </c>
      <c r="AM126">
        <v>29.1</v>
      </c>
      <c r="AN126">
        <v>1.54</v>
      </c>
      <c r="AO126">
        <v>0</v>
      </c>
      <c r="AP126">
        <v>0</v>
      </c>
      <c r="AQ126" t="s">
        <v>57</v>
      </c>
      <c r="AS126" t="s">
        <v>618</v>
      </c>
      <c r="AT126" t="s">
        <v>618</v>
      </c>
      <c r="AU126" t="s">
        <v>617</v>
      </c>
      <c r="AV126" t="s">
        <v>619</v>
      </c>
      <c r="AW126" t="s">
        <v>620</v>
      </c>
      <c r="AZ126">
        <v>94120</v>
      </c>
      <c r="BA126" t="s">
        <v>621</v>
      </c>
      <c r="BB126" t="s">
        <v>61</v>
      </c>
      <c r="BC126" t="s">
        <v>62</v>
      </c>
    </row>
    <row r="127" spans="1:55" x14ac:dyDescent="0.25">
      <c r="A127" s="1" t="str">
        <f>IF(COUNTIF(Catégories!A:A,X127)=0,"catégorie inconnue",_xlfn.XLOOKUP(X127,Catégories!A:A,Catégories!B:B))</f>
        <v>Frêt</v>
      </c>
      <c r="B127" s="1">
        <f t="shared" si="3"/>
        <v>7.0100000000000007</v>
      </c>
      <c r="C127" s="1">
        <f t="shared" si="4"/>
        <v>1.54</v>
      </c>
      <c r="D127" s="1">
        <f t="shared" si="5"/>
        <v>5.4700000000000006</v>
      </c>
      <c r="E127" s="20">
        <f>IF(AH127&lt;&gt;0,ROUNDUP(AH127,0),IF(BB127&lt;&gt;"FR","hors France",IF(AH127&lt;&gt;0,ROUNDUP(AH127,0),_xlfn.XLOOKUP(AJ127,'PA GLS'!B:B,'PA GLS'!A:A))))</f>
        <v>2</v>
      </c>
      <c r="F127">
        <v>2501382993</v>
      </c>
      <c r="G127">
        <v>1030166881</v>
      </c>
      <c r="H127" t="s">
        <v>366</v>
      </c>
      <c r="I127">
        <v>2500034092</v>
      </c>
      <c r="J127" t="s">
        <v>50</v>
      </c>
      <c r="K127">
        <v>9000009190</v>
      </c>
      <c r="L127">
        <v>46946</v>
      </c>
      <c r="M127" t="s">
        <v>51</v>
      </c>
      <c r="N127">
        <v>9000079830</v>
      </c>
      <c r="O127" t="s">
        <v>187</v>
      </c>
      <c r="S127">
        <v>2507012387</v>
      </c>
      <c r="T127" t="s">
        <v>50</v>
      </c>
      <c r="U127" t="s">
        <v>122</v>
      </c>
      <c r="V127" t="s">
        <v>63</v>
      </c>
      <c r="W127" t="s">
        <v>64</v>
      </c>
      <c r="X127" t="s">
        <v>60</v>
      </c>
      <c r="Z127">
        <v>19</v>
      </c>
      <c r="AA127" t="s">
        <v>570</v>
      </c>
      <c r="AB127" t="s">
        <v>622</v>
      </c>
      <c r="AC127">
        <v>2604000058</v>
      </c>
      <c r="AE127">
        <v>0</v>
      </c>
      <c r="AF127">
        <v>0</v>
      </c>
      <c r="AG127">
        <v>0</v>
      </c>
      <c r="AH127">
        <v>0</v>
      </c>
      <c r="AI127" t="s">
        <v>56</v>
      </c>
      <c r="AJ127">
        <v>4.42</v>
      </c>
      <c r="AK127">
        <v>0.9</v>
      </c>
      <c r="AL127">
        <v>0.15</v>
      </c>
      <c r="AM127">
        <v>29.1</v>
      </c>
      <c r="AN127">
        <v>1.54</v>
      </c>
      <c r="AO127">
        <v>0</v>
      </c>
      <c r="AP127">
        <v>0</v>
      </c>
      <c r="AQ127" t="s">
        <v>57</v>
      </c>
      <c r="AS127" t="s">
        <v>623</v>
      </c>
      <c r="AT127" t="s">
        <v>623</v>
      </c>
      <c r="AU127" t="s">
        <v>622</v>
      </c>
      <c r="AV127" t="s">
        <v>624</v>
      </c>
      <c r="AW127" t="s">
        <v>625</v>
      </c>
      <c r="AZ127">
        <v>33520</v>
      </c>
      <c r="BA127" t="s">
        <v>626</v>
      </c>
      <c r="BB127" t="s">
        <v>61</v>
      </c>
      <c r="BC127" t="s">
        <v>62</v>
      </c>
    </row>
    <row r="128" spans="1:55" x14ac:dyDescent="0.25">
      <c r="A128" s="1" t="str">
        <f>IF(COUNTIF(Catégories!A:A,X128)=0,"catégorie inconnue",_xlfn.XLOOKUP(X128,Catégories!A:A,Catégories!B:B))</f>
        <v>Frêt</v>
      </c>
      <c r="B128" s="1">
        <f t="shared" si="3"/>
        <v>7.0100000000000007</v>
      </c>
      <c r="C128" s="1">
        <f t="shared" si="4"/>
        <v>1.54</v>
      </c>
      <c r="D128" s="1">
        <f t="shared" si="5"/>
        <v>5.4700000000000006</v>
      </c>
      <c r="E128" s="20">
        <f>IF(AH128&lt;&gt;0,ROUNDUP(AH128,0),IF(BB128&lt;&gt;"FR","hors France",IF(AH128&lt;&gt;0,ROUNDUP(AH128,0),_xlfn.XLOOKUP(AJ128,'PA GLS'!B:B,'PA GLS'!A:A))))</f>
        <v>2</v>
      </c>
      <c r="F128">
        <v>2501382993</v>
      </c>
      <c r="G128">
        <v>1030166881</v>
      </c>
      <c r="H128" t="s">
        <v>366</v>
      </c>
      <c r="I128">
        <v>2500034092</v>
      </c>
      <c r="J128" t="s">
        <v>50</v>
      </c>
      <c r="K128">
        <v>9000009190</v>
      </c>
      <c r="L128">
        <v>46946</v>
      </c>
      <c r="M128" t="s">
        <v>51</v>
      </c>
      <c r="N128">
        <v>9000079830</v>
      </c>
      <c r="O128" t="s">
        <v>187</v>
      </c>
      <c r="S128">
        <v>2507012387</v>
      </c>
      <c r="T128" t="s">
        <v>50</v>
      </c>
      <c r="U128" t="s">
        <v>122</v>
      </c>
      <c r="V128" t="s">
        <v>77</v>
      </c>
      <c r="W128" t="s">
        <v>78</v>
      </c>
      <c r="X128" t="s">
        <v>60</v>
      </c>
      <c r="Z128">
        <v>20</v>
      </c>
      <c r="AA128" t="s">
        <v>570</v>
      </c>
      <c r="AB128" t="s">
        <v>612</v>
      </c>
      <c r="AC128">
        <v>2604000056</v>
      </c>
      <c r="AE128">
        <v>0</v>
      </c>
      <c r="AF128">
        <v>0</v>
      </c>
      <c r="AG128">
        <v>0</v>
      </c>
      <c r="AH128">
        <v>0</v>
      </c>
      <c r="AI128" t="s">
        <v>56</v>
      </c>
      <c r="AJ128">
        <v>4.42</v>
      </c>
      <c r="AK128">
        <v>0.9</v>
      </c>
      <c r="AL128">
        <v>0.15</v>
      </c>
      <c r="AM128">
        <v>29.1</v>
      </c>
      <c r="AN128">
        <v>1.54</v>
      </c>
      <c r="AO128">
        <v>0</v>
      </c>
      <c r="AP128">
        <v>0</v>
      </c>
      <c r="AQ128" t="s">
        <v>57</v>
      </c>
      <c r="AS128" t="s">
        <v>613</v>
      </c>
      <c r="AT128" t="s">
        <v>613</v>
      </c>
      <c r="AU128" t="s">
        <v>612</v>
      </c>
      <c r="AV128" t="s">
        <v>614</v>
      </c>
      <c r="AW128" t="s">
        <v>615</v>
      </c>
      <c r="AZ128">
        <v>94300</v>
      </c>
      <c r="BA128" t="s">
        <v>616</v>
      </c>
      <c r="BB128" t="s">
        <v>61</v>
      </c>
      <c r="BC128" t="s">
        <v>62</v>
      </c>
    </row>
    <row r="129" spans="1:55" x14ac:dyDescent="0.25">
      <c r="A129" s="1" t="str">
        <f>IF(COUNTIF(Catégories!A:A,X129)=0,"catégorie inconnue",_xlfn.XLOOKUP(X129,Catégories!A:A,Catégories!B:B))</f>
        <v>Frêt</v>
      </c>
      <c r="B129" s="1">
        <f t="shared" si="3"/>
        <v>7.0100000000000007</v>
      </c>
      <c r="C129" s="1">
        <f t="shared" si="4"/>
        <v>1.54</v>
      </c>
      <c r="D129" s="1">
        <f t="shared" si="5"/>
        <v>5.4700000000000006</v>
      </c>
      <c r="E129" s="20">
        <f>IF(AH129&lt;&gt;0,ROUNDUP(AH129,0),IF(BB129&lt;&gt;"FR","hors France",IF(AH129&lt;&gt;0,ROUNDUP(AH129,0),_xlfn.XLOOKUP(AJ129,'PA GLS'!B:B,'PA GLS'!A:A))))</f>
        <v>2</v>
      </c>
      <c r="F129">
        <v>2501382993</v>
      </c>
      <c r="G129">
        <v>1030166881</v>
      </c>
      <c r="H129" t="s">
        <v>366</v>
      </c>
      <c r="I129">
        <v>2500034092</v>
      </c>
      <c r="J129" t="s">
        <v>50</v>
      </c>
      <c r="K129">
        <v>9000009190</v>
      </c>
      <c r="L129">
        <v>46946</v>
      </c>
      <c r="M129" t="s">
        <v>51</v>
      </c>
      <c r="N129">
        <v>9000079830</v>
      </c>
      <c r="O129" t="s">
        <v>187</v>
      </c>
      <c r="S129">
        <v>2507012387</v>
      </c>
      <c r="T129" t="s">
        <v>50</v>
      </c>
      <c r="U129" t="s">
        <v>122</v>
      </c>
      <c r="V129" t="s">
        <v>77</v>
      </c>
      <c r="W129" t="s">
        <v>78</v>
      </c>
      <c r="X129" t="s">
        <v>60</v>
      </c>
      <c r="Z129">
        <v>20</v>
      </c>
      <c r="AA129" t="s">
        <v>570</v>
      </c>
      <c r="AB129" t="s">
        <v>627</v>
      </c>
      <c r="AC129">
        <v>2604000059</v>
      </c>
      <c r="AE129">
        <v>0</v>
      </c>
      <c r="AF129">
        <v>0</v>
      </c>
      <c r="AG129">
        <v>0</v>
      </c>
      <c r="AH129">
        <v>0</v>
      </c>
      <c r="AI129" t="s">
        <v>56</v>
      </c>
      <c r="AJ129">
        <v>4.42</v>
      </c>
      <c r="AK129">
        <v>0.9</v>
      </c>
      <c r="AL129">
        <v>0.15</v>
      </c>
      <c r="AM129">
        <v>29.1</v>
      </c>
      <c r="AN129">
        <v>1.54</v>
      </c>
      <c r="AO129">
        <v>0</v>
      </c>
      <c r="AP129">
        <v>0</v>
      </c>
      <c r="AQ129" t="s">
        <v>57</v>
      </c>
      <c r="AS129" t="s">
        <v>628</v>
      </c>
      <c r="AT129" t="s">
        <v>628</v>
      </c>
      <c r="AU129" t="s">
        <v>627</v>
      </c>
      <c r="AV129" t="s">
        <v>629</v>
      </c>
      <c r="AW129" t="s">
        <v>630</v>
      </c>
      <c r="AZ129">
        <v>34070</v>
      </c>
      <c r="BA129" t="s">
        <v>230</v>
      </c>
      <c r="BB129" t="s">
        <v>61</v>
      </c>
      <c r="BC129" t="s">
        <v>62</v>
      </c>
    </row>
    <row r="130" spans="1:55" x14ac:dyDescent="0.25">
      <c r="A130" s="1" t="str">
        <f>IF(COUNTIF(Catégories!A:A,X130)=0,"catégorie inconnue",_xlfn.XLOOKUP(X130,Catégories!A:A,Catégories!B:B))</f>
        <v>Frêt</v>
      </c>
      <c r="B130" s="1">
        <f t="shared" si="3"/>
        <v>7.0100000000000007</v>
      </c>
      <c r="C130" s="1">
        <f t="shared" si="4"/>
        <v>1.54</v>
      </c>
      <c r="D130" s="1">
        <f t="shared" si="5"/>
        <v>5.4700000000000006</v>
      </c>
      <c r="E130" s="20">
        <f>IF(AH130&lt;&gt;0,ROUNDUP(AH130,0),IF(BB130&lt;&gt;"FR","hors France",IF(AH130&lt;&gt;0,ROUNDUP(AH130,0),_xlfn.XLOOKUP(AJ130,'PA GLS'!B:B,'PA GLS'!A:A))))</f>
        <v>2</v>
      </c>
      <c r="F130">
        <v>2501382993</v>
      </c>
      <c r="G130">
        <v>1030166881</v>
      </c>
      <c r="H130" t="s">
        <v>366</v>
      </c>
      <c r="I130">
        <v>2500034092</v>
      </c>
      <c r="J130" t="s">
        <v>50</v>
      </c>
      <c r="K130">
        <v>9000009190</v>
      </c>
      <c r="L130">
        <v>46946</v>
      </c>
      <c r="M130" t="s">
        <v>51</v>
      </c>
      <c r="N130">
        <v>9000079830</v>
      </c>
      <c r="O130" t="s">
        <v>187</v>
      </c>
      <c r="S130">
        <v>2507012387</v>
      </c>
      <c r="T130" t="s">
        <v>50</v>
      </c>
      <c r="U130" t="s">
        <v>122</v>
      </c>
      <c r="V130" t="s">
        <v>77</v>
      </c>
      <c r="W130" t="s">
        <v>78</v>
      </c>
      <c r="X130" t="s">
        <v>60</v>
      </c>
      <c r="Z130">
        <v>20</v>
      </c>
      <c r="AA130" t="s">
        <v>570</v>
      </c>
      <c r="AB130" t="s">
        <v>636</v>
      </c>
      <c r="AC130">
        <v>2604000061</v>
      </c>
      <c r="AE130">
        <v>0</v>
      </c>
      <c r="AF130">
        <v>0</v>
      </c>
      <c r="AG130">
        <v>0</v>
      </c>
      <c r="AH130">
        <v>0</v>
      </c>
      <c r="AI130" t="s">
        <v>56</v>
      </c>
      <c r="AJ130">
        <v>4.42</v>
      </c>
      <c r="AK130">
        <v>0.9</v>
      </c>
      <c r="AL130">
        <v>0.15</v>
      </c>
      <c r="AM130">
        <v>29.1</v>
      </c>
      <c r="AN130">
        <v>1.54</v>
      </c>
      <c r="AO130">
        <v>0</v>
      </c>
      <c r="AP130">
        <v>0</v>
      </c>
      <c r="AQ130" t="s">
        <v>57</v>
      </c>
      <c r="AS130" t="s">
        <v>637</v>
      </c>
      <c r="AT130" t="s">
        <v>637</v>
      </c>
      <c r="AU130" t="s">
        <v>636</v>
      </c>
      <c r="AV130" t="s">
        <v>638</v>
      </c>
      <c r="AW130" t="s">
        <v>639</v>
      </c>
      <c r="AZ130">
        <v>62590</v>
      </c>
      <c r="BA130" t="s">
        <v>640</v>
      </c>
      <c r="BB130" t="s">
        <v>61</v>
      </c>
      <c r="BC130" t="s">
        <v>62</v>
      </c>
    </row>
    <row r="131" spans="1:55" x14ac:dyDescent="0.25">
      <c r="A131" s="1" t="str">
        <f>IF(COUNTIF(Catégories!A:A,X131)=0,"catégorie inconnue",_xlfn.XLOOKUP(X131,Catégories!A:A,Catégories!B:B))</f>
        <v>Frêt</v>
      </c>
      <c r="B131" s="1">
        <f t="shared" ref="B131:B194" si="6">SUM(AJ131:AL131)+SUM(AN131:AP131)</f>
        <v>7.4300000000000006</v>
      </c>
      <c r="C131" s="1">
        <f t="shared" ref="C131:C194" si="7">AN131</f>
        <v>1.64</v>
      </c>
      <c r="D131" s="1">
        <f t="shared" ref="D131:D194" si="8">B131-C131</f>
        <v>5.7900000000000009</v>
      </c>
      <c r="E131" s="20">
        <f>IF(AH131&lt;&gt;0,ROUNDUP(AH131,0),IF(BB131&lt;&gt;"FR","hors France",IF(AH131&lt;&gt;0,ROUNDUP(AH131,0),_xlfn.XLOOKUP(AJ131,'PA GLS'!B:B,'PA GLS'!A:A))))</f>
        <v>3</v>
      </c>
      <c r="F131">
        <v>2501382993</v>
      </c>
      <c r="G131">
        <v>1030166881</v>
      </c>
      <c r="H131" t="s">
        <v>366</v>
      </c>
      <c r="I131">
        <v>2500034092</v>
      </c>
      <c r="J131" t="s">
        <v>50</v>
      </c>
      <c r="K131">
        <v>9000009190</v>
      </c>
      <c r="L131">
        <v>46946</v>
      </c>
      <c r="M131" t="s">
        <v>51</v>
      </c>
      <c r="N131">
        <v>9000079830</v>
      </c>
      <c r="O131" t="s">
        <v>187</v>
      </c>
      <c r="S131">
        <v>2507012387</v>
      </c>
      <c r="T131" t="s">
        <v>50</v>
      </c>
      <c r="U131" t="s">
        <v>122</v>
      </c>
      <c r="V131" t="s">
        <v>58</v>
      </c>
      <c r="W131" t="s">
        <v>59</v>
      </c>
      <c r="X131" t="s">
        <v>60</v>
      </c>
      <c r="Z131">
        <v>21</v>
      </c>
      <c r="AA131" t="s">
        <v>570</v>
      </c>
      <c r="AB131" t="s">
        <v>641</v>
      </c>
      <c r="AC131">
        <v>2604000062</v>
      </c>
      <c r="AE131">
        <v>0</v>
      </c>
      <c r="AF131">
        <v>0</v>
      </c>
      <c r="AG131">
        <v>0</v>
      </c>
      <c r="AH131">
        <v>0</v>
      </c>
      <c r="AI131" t="s">
        <v>56</v>
      </c>
      <c r="AJ131">
        <v>4.74</v>
      </c>
      <c r="AK131">
        <v>0.9</v>
      </c>
      <c r="AL131">
        <v>0.15</v>
      </c>
      <c r="AM131">
        <v>29.1</v>
      </c>
      <c r="AN131">
        <v>1.64</v>
      </c>
      <c r="AO131">
        <v>0</v>
      </c>
      <c r="AP131">
        <v>0</v>
      </c>
      <c r="AQ131" t="s">
        <v>57</v>
      </c>
      <c r="AS131" t="s">
        <v>642</v>
      </c>
      <c r="AT131" t="s">
        <v>642</v>
      </c>
      <c r="AU131" t="s">
        <v>641</v>
      </c>
      <c r="AV131" t="s">
        <v>643</v>
      </c>
      <c r="AW131" t="s">
        <v>644</v>
      </c>
      <c r="AZ131">
        <v>91130</v>
      </c>
      <c r="BA131" t="s">
        <v>645</v>
      </c>
      <c r="BB131" t="s">
        <v>61</v>
      </c>
      <c r="BC131" t="s">
        <v>62</v>
      </c>
    </row>
    <row r="132" spans="1:55" x14ac:dyDescent="0.25">
      <c r="A132" s="1" t="str">
        <f>IF(COUNTIF(Catégories!A:A,X132)=0,"catégorie inconnue",_xlfn.XLOOKUP(X132,Catégories!A:A,Catégories!B:B))</f>
        <v>Frêt</v>
      </c>
      <c r="B132" s="1">
        <f t="shared" si="6"/>
        <v>8.15</v>
      </c>
      <c r="C132" s="1">
        <f t="shared" si="7"/>
        <v>1.8</v>
      </c>
      <c r="D132" s="1">
        <f t="shared" si="8"/>
        <v>6.3500000000000005</v>
      </c>
      <c r="E132" s="20">
        <f>IF(AH132&lt;&gt;0,ROUNDUP(AH132,0),IF(BB132&lt;&gt;"FR","hors France",IF(AH132&lt;&gt;0,ROUNDUP(AH132,0),_xlfn.XLOOKUP(AJ132,'PA GLS'!B:B,'PA GLS'!A:A))))</f>
        <v>4</v>
      </c>
      <c r="F132">
        <v>2501382993</v>
      </c>
      <c r="G132">
        <v>1030166881</v>
      </c>
      <c r="H132" t="s">
        <v>366</v>
      </c>
      <c r="I132">
        <v>2500034092</v>
      </c>
      <c r="J132" t="s">
        <v>50</v>
      </c>
      <c r="K132">
        <v>9000009190</v>
      </c>
      <c r="L132">
        <v>46946</v>
      </c>
      <c r="M132" t="s">
        <v>51</v>
      </c>
      <c r="N132">
        <v>9000079830</v>
      </c>
      <c r="O132" t="s">
        <v>187</v>
      </c>
      <c r="S132">
        <v>2507012387</v>
      </c>
      <c r="T132" t="s">
        <v>50</v>
      </c>
      <c r="U132" t="s">
        <v>122</v>
      </c>
      <c r="V132" t="s">
        <v>231</v>
      </c>
      <c r="W132" t="s">
        <v>232</v>
      </c>
      <c r="X132" t="s">
        <v>60</v>
      </c>
      <c r="Z132">
        <v>22</v>
      </c>
      <c r="AA132" t="s">
        <v>570</v>
      </c>
      <c r="AB132" t="s">
        <v>646</v>
      </c>
      <c r="AC132">
        <v>2604000063</v>
      </c>
      <c r="AE132">
        <v>0</v>
      </c>
      <c r="AF132">
        <v>0</v>
      </c>
      <c r="AG132">
        <v>0</v>
      </c>
      <c r="AH132">
        <v>0</v>
      </c>
      <c r="AI132" t="s">
        <v>56</v>
      </c>
      <c r="AJ132">
        <v>5.3</v>
      </c>
      <c r="AK132">
        <v>0.9</v>
      </c>
      <c r="AL132">
        <v>0.15</v>
      </c>
      <c r="AM132">
        <v>29.1</v>
      </c>
      <c r="AN132">
        <v>1.8</v>
      </c>
      <c r="AO132">
        <v>0</v>
      </c>
      <c r="AP132">
        <v>0</v>
      </c>
      <c r="AQ132" t="s">
        <v>57</v>
      </c>
      <c r="AS132" t="s">
        <v>647</v>
      </c>
      <c r="AT132" t="s">
        <v>647</v>
      </c>
      <c r="AU132" t="s">
        <v>646</v>
      </c>
      <c r="AV132" t="s">
        <v>648</v>
      </c>
      <c r="AW132" t="s">
        <v>649</v>
      </c>
      <c r="AZ132">
        <v>69700</v>
      </c>
      <c r="BA132" t="s">
        <v>650</v>
      </c>
      <c r="BB132" t="s">
        <v>61</v>
      </c>
      <c r="BC132" t="s">
        <v>62</v>
      </c>
    </row>
    <row r="133" spans="1:55" x14ac:dyDescent="0.25">
      <c r="A133" s="1" t="str">
        <f>IF(COUNTIF(Catégories!A:A,X133)=0,"catégorie inconnue",_xlfn.XLOOKUP(X133,Catégories!A:A,Catégories!B:B))</f>
        <v>Adresse</v>
      </c>
      <c r="B133" s="1">
        <f t="shared" si="6"/>
        <v>3.04</v>
      </c>
      <c r="C133" s="1">
        <f t="shared" si="7"/>
        <v>0.68</v>
      </c>
      <c r="D133" s="1">
        <f t="shared" si="8"/>
        <v>2.36</v>
      </c>
      <c r="E133" s="20" t="e">
        <f>IF(AH133&lt;&gt;0,ROUNDUP(AH133,0),IF(BB133&lt;&gt;"FR","hors France",IF(AH133&lt;&gt;0,ROUNDUP(AH133,0),_xlfn.XLOOKUP(AJ133,'PA GLS'!B:B,'PA GLS'!A:A))))</f>
        <v>#N/A</v>
      </c>
      <c r="F133">
        <v>2501382993</v>
      </c>
      <c r="G133">
        <v>1030166881</v>
      </c>
      <c r="H133" t="s">
        <v>366</v>
      </c>
      <c r="I133">
        <v>2500034092</v>
      </c>
      <c r="J133" t="s">
        <v>50</v>
      </c>
      <c r="K133">
        <v>9000009190</v>
      </c>
      <c r="L133">
        <v>46946</v>
      </c>
      <c r="M133" t="s">
        <v>51</v>
      </c>
      <c r="N133">
        <v>9000079830</v>
      </c>
      <c r="O133" t="s">
        <v>187</v>
      </c>
      <c r="S133">
        <v>2507012387</v>
      </c>
      <c r="T133" t="s">
        <v>50</v>
      </c>
      <c r="U133" t="s">
        <v>122</v>
      </c>
      <c r="V133" t="s">
        <v>651</v>
      </c>
      <c r="W133" t="s">
        <v>233</v>
      </c>
      <c r="X133" t="s">
        <v>163</v>
      </c>
      <c r="Z133">
        <v>23</v>
      </c>
      <c r="AA133" t="s">
        <v>570</v>
      </c>
      <c r="AB133" t="s">
        <v>435</v>
      </c>
      <c r="AC133">
        <v>2604000033</v>
      </c>
      <c r="AE133">
        <v>0</v>
      </c>
      <c r="AF133">
        <v>0</v>
      </c>
      <c r="AG133">
        <v>0</v>
      </c>
      <c r="AH133">
        <v>0</v>
      </c>
      <c r="AI133" t="s">
        <v>56</v>
      </c>
      <c r="AJ133">
        <v>2.36</v>
      </c>
      <c r="AK133">
        <v>0</v>
      </c>
      <c r="AL133">
        <v>0</v>
      </c>
      <c r="AM133">
        <v>29.1</v>
      </c>
      <c r="AN133">
        <v>0.68</v>
      </c>
      <c r="AO133">
        <v>0</v>
      </c>
      <c r="AP133">
        <v>0</v>
      </c>
      <c r="AQ133" t="s">
        <v>57</v>
      </c>
      <c r="AS133" t="s">
        <v>436</v>
      </c>
      <c r="AT133" t="s">
        <v>436</v>
      </c>
      <c r="AU133" t="s">
        <v>435</v>
      </c>
      <c r="AV133" t="s">
        <v>437</v>
      </c>
      <c r="AW133" t="s">
        <v>438</v>
      </c>
      <c r="AZ133">
        <v>35510</v>
      </c>
      <c r="BA133" t="s">
        <v>439</v>
      </c>
      <c r="BB133" t="s">
        <v>61</v>
      </c>
      <c r="BC133" t="s">
        <v>62</v>
      </c>
    </row>
    <row r="134" spans="1:55" x14ac:dyDescent="0.25">
      <c r="A134" s="1" t="str">
        <f>IF(COUNTIF(Catégories!A:A,X134)=0,"catégorie inconnue",_xlfn.XLOOKUP(X134,Catégories!A:A,Catégories!B:B))</f>
        <v>Frêt - avisé</v>
      </c>
      <c r="B134" s="1">
        <f t="shared" si="6"/>
        <v>0</v>
      </c>
      <c r="C134" s="1">
        <f t="shared" si="7"/>
        <v>0</v>
      </c>
      <c r="D134" s="1">
        <f t="shared" si="8"/>
        <v>0</v>
      </c>
      <c r="E134" s="20" t="e">
        <f>IF(AH134&lt;&gt;0,ROUNDUP(AH134,0),IF(BB134&lt;&gt;"FR","hors France",IF(AH134&lt;&gt;0,ROUNDUP(AH134,0),_xlfn.XLOOKUP(AJ134,'PA GLS'!B:B,'PA GLS'!A:A))))</f>
        <v>#N/A</v>
      </c>
      <c r="F134">
        <v>2501382993</v>
      </c>
      <c r="G134">
        <v>1030166881</v>
      </c>
      <c r="H134" t="s">
        <v>366</v>
      </c>
      <c r="I134">
        <v>2500034092</v>
      </c>
      <c r="J134" t="s">
        <v>50</v>
      </c>
      <c r="K134">
        <v>9000009190</v>
      </c>
      <c r="L134">
        <v>46946</v>
      </c>
      <c r="M134" t="s">
        <v>51</v>
      </c>
      <c r="N134">
        <v>9000079830</v>
      </c>
      <c r="O134" t="s">
        <v>187</v>
      </c>
      <c r="S134">
        <v>2507012387</v>
      </c>
      <c r="T134" t="s">
        <v>50</v>
      </c>
      <c r="U134" t="s">
        <v>122</v>
      </c>
      <c r="V134" t="s">
        <v>178</v>
      </c>
      <c r="W134" t="s">
        <v>179</v>
      </c>
      <c r="X134" t="s">
        <v>79</v>
      </c>
      <c r="Z134">
        <v>24</v>
      </c>
      <c r="AA134" t="s">
        <v>570</v>
      </c>
      <c r="AB134" t="s">
        <v>435</v>
      </c>
      <c r="AC134">
        <v>2604000033</v>
      </c>
      <c r="AE134">
        <v>0</v>
      </c>
      <c r="AF134">
        <v>0</v>
      </c>
      <c r="AG134">
        <v>0</v>
      </c>
      <c r="AH134">
        <v>0</v>
      </c>
      <c r="AI134" t="s">
        <v>56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 t="s">
        <v>57</v>
      </c>
      <c r="AS134" t="s">
        <v>436</v>
      </c>
      <c r="AT134" t="s">
        <v>436</v>
      </c>
      <c r="AU134" t="s">
        <v>435</v>
      </c>
      <c r="AV134" t="s">
        <v>437</v>
      </c>
      <c r="AW134" t="s">
        <v>438</v>
      </c>
      <c r="AZ134">
        <v>35510</v>
      </c>
      <c r="BA134" t="s">
        <v>439</v>
      </c>
      <c r="BB134" t="s">
        <v>61</v>
      </c>
      <c r="BC134" t="s">
        <v>62</v>
      </c>
    </row>
    <row r="135" spans="1:55" x14ac:dyDescent="0.25">
      <c r="A135" s="1" t="str">
        <f>IF(COUNTIF(Catégories!A:A,X135)=0,"catégorie inconnue",_xlfn.XLOOKUP(X135,Catégories!A:A,Catégories!B:B))</f>
        <v>Frêt</v>
      </c>
      <c r="B135" s="1">
        <f t="shared" si="6"/>
        <v>0</v>
      </c>
      <c r="C135" s="1">
        <f t="shared" si="7"/>
        <v>0</v>
      </c>
      <c r="D135" s="1">
        <f t="shared" si="8"/>
        <v>0</v>
      </c>
      <c r="E135" s="20">
        <f>IF(AH135&lt;&gt;0,ROUNDUP(AH135,0),IF(BB135&lt;&gt;"FR","hors France",IF(AH135&lt;&gt;0,ROUNDUP(AH135,0),_xlfn.XLOOKUP(AJ135,'PA GLS'!B:B,'PA GLS'!A:A))))</f>
        <v>1</v>
      </c>
      <c r="F135">
        <v>2501382993</v>
      </c>
      <c r="G135">
        <v>1030206923</v>
      </c>
      <c r="H135" t="s">
        <v>366</v>
      </c>
      <c r="I135">
        <v>2500034092</v>
      </c>
      <c r="J135" t="s">
        <v>50</v>
      </c>
      <c r="K135">
        <v>9000009190</v>
      </c>
      <c r="L135">
        <v>46946</v>
      </c>
      <c r="M135" t="s">
        <v>51</v>
      </c>
      <c r="N135">
        <v>9000079829</v>
      </c>
      <c r="O135" t="s">
        <v>156</v>
      </c>
      <c r="S135">
        <v>2507012387</v>
      </c>
      <c r="T135" t="s">
        <v>50</v>
      </c>
      <c r="U135" t="s">
        <v>122</v>
      </c>
      <c r="V135" t="s">
        <v>176</v>
      </c>
      <c r="W135" t="s">
        <v>177</v>
      </c>
      <c r="X135" t="s">
        <v>152</v>
      </c>
      <c r="Z135">
        <v>25</v>
      </c>
      <c r="AA135" t="s">
        <v>570</v>
      </c>
      <c r="AB135" t="s">
        <v>652</v>
      </c>
      <c r="AC135">
        <v>6700045</v>
      </c>
      <c r="AE135">
        <v>0</v>
      </c>
      <c r="AF135">
        <v>1</v>
      </c>
      <c r="AG135">
        <v>0</v>
      </c>
      <c r="AH135">
        <v>0.22</v>
      </c>
      <c r="AI135" t="s">
        <v>56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">
        <v>57</v>
      </c>
      <c r="AS135" t="s">
        <v>653</v>
      </c>
      <c r="AU135" t="s">
        <v>652</v>
      </c>
      <c r="AV135" t="s">
        <v>654</v>
      </c>
      <c r="AW135" t="s">
        <v>655</v>
      </c>
      <c r="AZ135">
        <v>3210</v>
      </c>
      <c r="BA135" t="s">
        <v>656</v>
      </c>
      <c r="BB135" t="s">
        <v>61</v>
      </c>
      <c r="BC135" t="s">
        <v>62</v>
      </c>
    </row>
    <row r="136" spans="1:55" x14ac:dyDescent="0.25">
      <c r="A136" s="1" t="str">
        <f>IF(COUNTIF(Catégories!A:A,X136)=0,"catégorie inconnue",_xlfn.XLOOKUP(X136,Catégories!A:A,Catégories!B:B))</f>
        <v>Frêt</v>
      </c>
      <c r="B136" s="1">
        <f t="shared" si="6"/>
        <v>0</v>
      </c>
      <c r="C136" s="1">
        <f t="shared" si="7"/>
        <v>0</v>
      </c>
      <c r="D136" s="1">
        <f t="shared" si="8"/>
        <v>0</v>
      </c>
      <c r="E136" s="20">
        <f>IF(AH136&lt;&gt;0,ROUNDUP(AH136,0),IF(BB136&lt;&gt;"FR","hors France",IF(AH136&lt;&gt;0,ROUNDUP(AH136,0),_xlfn.XLOOKUP(AJ136,'PA GLS'!B:B,'PA GLS'!A:A))))</f>
        <v>1</v>
      </c>
      <c r="F136">
        <v>2501382993</v>
      </c>
      <c r="G136">
        <v>1030206923</v>
      </c>
      <c r="H136" t="s">
        <v>366</v>
      </c>
      <c r="I136">
        <v>2500034092</v>
      </c>
      <c r="J136" t="s">
        <v>50</v>
      </c>
      <c r="K136">
        <v>9000009190</v>
      </c>
      <c r="L136">
        <v>46946</v>
      </c>
      <c r="M136" t="s">
        <v>51</v>
      </c>
      <c r="N136">
        <v>9000079829</v>
      </c>
      <c r="O136" t="s">
        <v>156</v>
      </c>
      <c r="S136">
        <v>2507012387</v>
      </c>
      <c r="T136" t="s">
        <v>50</v>
      </c>
      <c r="U136" t="s">
        <v>122</v>
      </c>
      <c r="V136" t="s">
        <v>176</v>
      </c>
      <c r="W136" t="s">
        <v>177</v>
      </c>
      <c r="X136" t="s">
        <v>152</v>
      </c>
      <c r="Z136">
        <v>25</v>
      </c>
      <c r="AA136" t="s">
        <v>570</v>
      </c>
      <c r="AB136" t="s">
        <v>657</v>
      </c>
      <c r="AC136">
        <v>6703047</v>
      </c>
      <c r="AE136">
        <v>0</v>
      </c>
      <c r="AF136">
        <v>1</v>
      </c>
      <c r="AG136">
        <v>0</v>
      </c>
      <c r="AH136">
        <v>0.28000000000000003</v>
      </c>
      <c r="AI136" t="s">
        <v>56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 t="s">
        <v>57</v>
      </c>
      <c r="AS136" t="s">
        <v>658</v>
      </c>
      <c r="AU136" t="s">
        <v>657</v>
      </c>
      <c r="AV136" t="s">
        <v>659</v>
      </c>
      <c r="AW136" t="s">
        <v>660</v>
      </c>
      <c r="AX136" t="s">
        <v>661</v>
      </c>
      <c r="AY136" t="s">
        <v>659</v>
      </c>
      <c r="AZ136">
        <v>26320</v>
      </c>
      <c r="BA136" t="s">
        <v>662</v>
      </c>
      <c r="BB136" t="s">
        <v>61</v>
      </c>
      <c r="BC136" t="s">
        <v>62</v>
      </c>
    </row>
    <row r="137" spans="1:55" x14ac:dyDescent="0.25">
      <c r="A137" s="1" t="str">
        <f>IF(COUNTIF(Catégories!A:A,X137)=0,"catégorie inconnue",_xlfn.XLOOKUP(X137,Catégories!A:A,Catégories!B:B))</f>
        <v>Frêt</v>
      </c>
      <c r="B137" s="1">
        <f t="shared" si="6"/>
        <v>6.17</v>
      </c>
      <c r="C137" s="1">
        <f t="shared" si="7"/>
        <v>1.35</v>
      </c>
      <c r="D137" s="1">
        <f t="shared" si="8"/>
        <v>4.82</v>
      </c>
      <c r="E137" s="20">
        <f>IF(AH137&lt;&gt;0,ROUNDUP(AH137,0),IF(BB137&lt;&gt;"FR","hors France",IF(AH137&lt;&gt;0,ROUNDUP(AH137,0),_xlfn.XLOOKUP(AJ137,'PA GLS'!B:B,'PA GLS'!A:A))))</f>
        <v>0.5</v>
      </c>
      <c r="F137">
        <v>2501382993</v>
      </c>
      <c r="G137">
        <v>1030206923</v>
      </c>
      <c r="H137" t="s">
        <v>366</v>
      </c>
      <c r="I137">
        <v>2500034092</v>
      </c>
      <c r="J137" t="s">
        <v>50</v>
      </c>
      <c r="K137">
        <v>9000009190</v>
      </c>
      <c r="L137">
        <v>46946</v>
      </c>
      <c r="M137" t="s">
        <v>51</v>
      </c>
      <c r="N137">
        <v>9000079829</v>
      </c>
      <c r="O137" t="s">
        <v>156</v>
      </c>
      <c r="S137">
        <v>2507012387</v>
      </c>
      <c r="T137" t="s">
        <v>50</v>
      </c>
      <c r="U137" t="s">
        <v>122</v>
      </c>
      <c r="V137" t="s">
        <v>71</v>
      </c>
      <c r="W137" t="s">
        <v>72</v>
      </c>
      <c r="X137" t="s">
        <v>60</v>
      </c>
      <c r="Z137">
        <v>27</v>
      </c>
      <c r="AA137" t="s">
        <v>570</v>
      </c>
      <c r="AB137" t="s">
        <v>657</v>
      </c>
      <c r="AC137">
        <v>6703047</v>
      </c>
      <c r="AE137">
        <v>0</v>
      </c>
      <c r="AF137">
        <v>0</v>
      </c>
      <c r="AG137">
        <v>0</v>
      </c>
      <c r="AH137">
        <v>0</v>
      </c>
      <c r="AI137" t="s">
        <v>56</v>
      </c>
      <c r="AJ137">
        <v>3.77</v>
      </c>
      <c r="AK137">
        <v>0.9</v>
      </c>
      <c r="AL137">
        <v>0.15</v>
      </c>
      <c r="AM137">
        <v>29.1</v>
      </c>
      <c r="AN137">
        <v>1.35</v>
      </c>
      <c r="AO137">
        <v>0</v>
      </c>
      <c r="AP137">
        <v>0</v>
      </c>
      <c r="AQ137" t="s">
        <v>57</v>
      </c>
      <c r="AS137" t="s">
        <v>658</v>
      </c>
      <c r="AU137" t="s">
        <v>657</v>
      </c>
      <c r="AV137" t="s">
        <v>659</v>
      </c>
      <c r="AW137" t="s">
        <v>660</v>
      </c>
      <c r="AX137" t="s">
        <v>661</v>
      </c>
      <c r="AY137" t="s">
        <v>659</v>
      </c>
      <c r="AZ137">
        <v>26320</v>
      </c>
      <c r="BA137" t="s">
        <v>662</v>
      </c>
      <c r="BB137" t="s">
        <v>61</v>
      </c>
      <c r="BC137" t="s">
        <v>62</v>
      </c>
    </row>
    <row r="138" spans="1:55" x14ac:dyDescent="0.25">
      <c r="A138" s="1" t="str">
        <f>IF(COUNTIF(Catégories!A:A,X138)=0,"catégorie inconnue",_xlfn.XLOOKUP(X138,Catégories!A:A,Catégories!B:B))</f>
        <v>Frêt</v>
      </c>
      <c r="B138" s="1">
        <f t="shared" si="6"/>
        <v>6.17</v>
      </c>
      <c r="C138" s="1">
        <f t="shared" si="7"/>
        <v>1.35</v>
      </c>
      <c r="D138" s="1">
        <f t="shared" si="8"/>
        <v>4.82</v>
      </c>
      <c r="E138" s="20">
        <f>IF(AH138&lt;&gt;0,ROUNDUP(AH138,0),IF(BB138&lt;&gt;"FR","hors France",IF(AH138&lt;&gt;0,ROUNDUP(AH138,0),_xlfn.XLOOKUP(AJ138,'PA GLS'!B:B,'PA GLS'!A:A))))</f>
        <v>0.5</v>
      </c>
      <c r="F138">
        <v>2501382993</v>
      </c>
      <c r="G138">
        <v>1030206923</v>
      </c>
      <c r="H138" t="s">
        <v>366</v>
      </c>
      <c r="I138">
        <v>2500034092</v>
      </c>
      <c r="J138" t="s">
        <v>50</v>
      </c>
      <c r="K138">
        <v>9000009190</v>
      </c>
      <c r="L138">
        <v>46946</v>
      </c>
      <c r="M138" t="s">
        <v>51</v>
      </c>
      <c r="N138">
        <v>9000079829</v>
      </c>
      <c r="O138" t="s">
        <v>156</v>
      </c>
      <c r="S138">
        <v>2507012387</v>
      </c>
      <c r="T138" t="s">
        <v>50</v>
      </c>
      <c r="U138" t="s">
        <v>122</v>
      </c>
      <c r="V138" t="s">
        <v>73</v>
      </c>
      <c r="W138" t="s">
        <v>74</v>
      </c>
      <c r="X138" t="s">
        <v>60</v>
      </c>
      <c r="Z138">
        <v>26</v>
      </c>
      <c r="AA138" t="s">
        <v>570</v>
      </c>
      <c r="AB138" t="s">
        <v>652</v>
      </c>
      <c r="AC138">
        <v>6700045</v>
      </c>
      <c r="AE138">
        <v>0</v>
      </c>
      <c r="AF138">
        <v>0</v>
      </c>
      <c r="AG138">
        <v>0</v>
      </c>
      <c r="AH138">
        <v>0</v>
      </c>
      <c r="AI138" t="s">
        <v>56</v>
      </c>
      <c r="AJ138">
        <v>3.77</v>
      </c>
      <c r="AK138">
        <v>0.9</v>
      </c>
      <c r="AL138">
        <v>0.15</v>
      </c>
      <c r="AM138">
        <v>29.1</v>
      </c>
      <c r="AN138">
        <v>1.35</v>
      </c>
      <c r="AO138">
        <v>0</v>
      </c>
      <c r="AP138">
        <v>0</v>
      </c>
      <c r="AQ138" t="s">
        <v>57</v>
      </c>
      <c r="AS138" t="s">
        <v>653</v>
      </c>
      <c r="AU138" t="s">
        <v>652</v>
      </c>
      <c r="AV138" t="s">
        <v>654</v>
      </c>
      <c r="AW138" t="s">
        <v>655</v>
      </c>
      <c r="AZ138">
        <v>3210</v>
      </c>
      <c r="BA138" t="s">
        <v>656</v>
      </c>
      <c r="BB138" t="s">
        <v>61</v>
      </c>
      <c r="BC138" t="s">
        <v>62</v>
      </c>
    </row>
    <row r="139" spans="1:55" x14ac:dyDescent="0.25">
      <c r="A139" s="1" t="str">
        <f>IF(COUNTIF(Catégories!A:A,X139)=0,"catégorie inconnue",_xlfn.XLOOKUP(X139,Catégories!A:A,Catégories!B:B))</f>
        <v>Frêt</v>
      </c>
      <c r="B139" s="1">
        <f t="shared" si="6"/>
        <v>0</v>
      </c>
      <c r="C139" s="1">
        <f t="shared" si="7"/>
        <v>0</v>
      </c>
      <c r="D139" s="1">
        <f t="shared" si="8"/>
        <v>0</v>
      </c>
      <c r="E139" s="20">
        <f>IF(AH139&lt;&gt;0,ROUNDUP(AH139,0),IF(BB139&lt;&gt;"FR","hors France",IF(AH139&lt;&gt;0,ROUNDUP(AH139,0),_xlfn.XLOOKUP(AJ139,'PA GLS'!B:B,'PA GLS'!A:A))))</f>
        <v>1</v>
      </c>
      <c r="F139">
        <v>2501382993</v>
      </c>
      <c r="G139">
        <v>1030230693</v>
      </c>
      <c r="H139" t="s">
        <v>366</v>
      </c>
      <c r="I139">
        <v>2500034092</v>
      </c>
      <c r="J139" t="s">
        <v>50</v>
      </c>
      <c r="K139">
        <v>9000009190</v>
      </c>
      <c r="L139">
        <v>46946</v>
      </c>
      <c r="M139" t="s">
        <v>51</v>
      </c>
      <c r="N139">
        <v>9000079830</v>
      </c>
      <c r="O139" t="s">
        <v>187</v>
      </c>
      <c r="S139">
        <v>2507012387</v>
      </c>
      <c r="T139" t="s">
        <v>50</v>
      </c>
      <c r="U139" t="s">
        <v>122</v>
      </c>
      <c r="V139" t="s">
        <v>176</v>
      </c>
      <c r="W139" t="s">
        <v>177</v>
      </c>
      <c r="X139" t="s">
        <v>152</v>
      </c>
      <c r="Z139">
        <v>111</v>
      </c>
      <c r="AA139" t="s">
        <v>663</v>
      </c>
      <c r="AB139" t="s">
        <v>664</v>
      </c>
      <c r="AC139">
        <v>2604000065</v>
      </c>
      <c r="AE139">
        <v>0</v>
      </c>
      <c r="AF139">
        <v>1</v>
      </c>
      <c r="AG139">
        <v>0</v>
      </c>
      <c r="AH139">
        <v>0.81</v>
      </c>
      <c r="AI139" t="s">
        <v>56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 t="s">
        <v>57</v>
      </c>
      <c r="AS139" t="s">
        <v>665</v>
      </c>
      <c r="AT139" t="s">
        <v>665</v>
      </c>
      <c r="AU139" t="s">
        <v>664</v>
      </c>
      <c r="AV139" t="s">
        <v>326</v>
      </c>
      <c r="AW139" t="s">
        <v>327</v>
      </c>
      <c r="AZ139">
        <v>83136</v>
      </c>
      <c r="BA139" t="s">
        <v>328</v>
      </c>
      <c r="BB139" t="s">
        <v>61</v>
      </c>
      <c r="BC139" t="s">
        <v>62</v>
      </c>
    </row>
    <row r="140" spans="1:55" x14ac:dyDescent="0.25">
      <c r="A140" s="1" t="str">
        <f>IF(COUNTIF(Catégories!A:A,X140)=0,"catégorie inconnue",_xlfn.XLOOKUP(X140,Catégories!A:A,Catégories!B:B))</f>
        <v>Frêt</v>
      </c>
      <c r="B140" s="1">
        <f t="shared" si="6"/>
        <v>0</v>
      </c>
      <c r="C140" s="1">
        <f t="shared" si="7"/>
        <v>0</v>
      </c>
      <c r="D140" s="1">
        <f t="shared" si="8"/>
        <v>0</v>
      </c>
      <c r="E140" s="20">
        <f>IF(AH140&lt;&gt;0,ROUNDUP(AH140,0),IF(BB140&lt;&gt;"FR","hors France",IF(AH140&lt;&gt;0,ROUNDUP(AH140,0),_xlfn.XLOOKUP(AJ140,'PA GLS'!B:B,'PA GLS'!A:A))))</f>
        <v>4</v>
      </c>
      <c r="F140">
        <v>2501382993</v>
      </c>
      <c r="G140">
        <v>1030230693</v>
      </c>
      <c r="H140" t="s">
        <v>366</v>
      </c>
      <c r="I140">
        <v>2500034092</v>
      </c>
      <c r="J140" t="s">
        <v>50</v>
      </c>
      <c r="K140">
        <v>9000009190</v>
      </c>
      <c r="L140">
        <v>46946</v>
      </c>
      <c r="M140" t="s">
        <v>51</v>
      </c>
      <c r="N140">
        <v>9000079830</v>
      </c>
      <c r="O140" t="s">
        <v>187</v>
      </c>
      <c r="S140">
        <v>2507012387</v>
      </c>
      <c r="T140" t="s">
        <v>50</v>
      </c>
      <c r="U140" t="s">
        <v>122</v>
      </c>
      <c r="V140" t="s">
        <v>176</v>
      </c>
      <c r="W140" t="s">
        <v>177</v>
      </c>
      <c r="X140" t="s">
        <v>152</v>
      </c>
      <c r="Z140">
        <v>111</v>
      </c>
      <c r="AA140" t="s">
        <v>663</v>
      </c>
      <c r="AB140" t="s">
        <v>666</v>
      </c>
      <c r="AC140">
        <v>2604000064</v>
      </c>
      <c r="AE140">
        <v>0</v>
      </c>
      <c r="AF140">
        <v>1</v>
      </c>
      <c r="AG140">
        <v>0</v>
      </c>
      <c r="AH140">
        <v>3.12</v>
      </c>
      <c r="AI140" t="s">
        <v>56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 t="s">
        <v>57</v>
      </c>
      <c r="AS140" t="s">
        <v>667</v>
      </c>
      <c r="AT140" t="s">
        <v>667</v>
      </c>
      <c r="AU140" t="s">
        <v>666</v>
      </c>
      <c r="AV140" t="s">
        <v>668</v>
      </c>
      <c r="AW140" t="s">
        <v>669</v>
      </c>
      <c r="AZ140">
        <v>71240</v>
      </c>
      <c r="BA140" t="s">
        <v>670</v>
      </c>
      <c r="BB140" t="s">
        <v>61</v>
      </c>
      <c r="BC140" t="s">
        <v>62</v>
      </c>
    </row>
    <row r="141" spans="1:55" x14ac:dyDescent="0.25">
      <c r="A141" s="1" t="str">
        <f>IF(COUNTIF(Catégories!A:A,X141)=0,"catégorie inconnue",_xlfn.XLOOKUP(X141,Catégories!A:A,Catégories!B:B))</f>
        <v>Frêt - retour</v>
      </c>
      <c r="B141" s="1">
        <f t="shared" si="6"/>
        <v>5.2899999999999991</v>
      </c>
      <c r="C141" s="1">
        <f t="shared" si="7"/>
        <v>1.19</v>
      </c>
      <c r="D141" s="1">
        <f t="shared" si="8"/>
        <v>4.0999999999999996</v>
      </c>
      <c r="E141" s="20">
        <f>IF(AH141&lt;&gt;0,ROUNDUP(AH141,0),IF(BB141&lt;&gt;"FR","hors France",IF(AH141&lt;&gt;0,ROUNDUP(AH141,0),_xlfn.XLOOKUP(AJ141,'PA GLS'!B:B,'PA GLS'!A:A))))</f>
        <v>1</v>
      </c>
      <c r="F141">
        <v>2501382993</v>
      </c>
      <c r="G141">
        <v>1030230693</v>
      </c>
      <c r="H141" t="s">
        <v>366</v>
      </c>
      <c r="I141">
        <v>2500034092</v>
      </c>
      <c r="J141" t="s">
        <v>50</v>
      </c>
      <c r="K141">
        <v>9000009190</v>
      </c>
      <c r="L141">
        <v>46946</v>
      </c>
      <c r="M141" t="s">
        <v>51</v>
      </c>
      <c r="N141">
        <v>9000079830</v>
      </c>
      <c r="O141" t="s">
        <v>187</v>
      </c>
      <c r="S141">
        <v>2507012387</v>
      </c>
      <c r="T141" t="s">
        <v>50</v>
      </c>
      <c r="U141" t="s">
        <v>122</v>
      </c>
      <c r="V141" t="s">
        <v>226</v>
      </c>
      <c r="W141" t="s">
        <v>227</v>
      </c>
      <c r="X141" t="s">
        <v>119</v>
      </c>
      <c r="Z141">
        <v>119</v>
      </c>
      <c r="AA141" t="s">
        <v>663</v>
      </c>
      <c r="AB141" t="s">
        <v>335</v>
      </c>
      <c r="AC141">
        <v>6579152</v>
      </c>
      <c r="AE141">
        <v>0</v>
      </c>
      <c r="AF141">
        <v>0</v>
      </c>
      <c r="AG141">
        <v>0</v>
      </c>
      <c r="AH141">
        <v>0</v>
      </c>
      <c r="AI141" t="s">
        <v>56</v>
      </c>
      <c r="AJ141">
        <v>4.0999999999999996</v>
      </c>
      <c r="AK141">
        <v>0</v>
      </c>
      <c r="AL141">
        <v>0</v>
      </c>
      <c r="AM141">
        <v>29.1</v>
      </c>
      <c r="AN141">
        <v>1.19</v>
      </c>
      <c r="AO141">
        <v>0</v>
      </c>
      <c r="AP141">
        <v>0</v>
      </c>
      <c r="AQ141" t="s">
        <v>57</v>
      </c>
      <c r="AS141" t="s">
        <v>336</v>
      </c>
      <c r="AU141" t="s">
        <v>335</v>
      </c>
      <c r="AV141" t="s">
        <v>337</v>
      </c>
      <c r="AW141" t="s">
        <v>338</v>
      </c>
      <c r="AZ141">
        <v>63000</v>
      </c>
      <c r="BA141" t="s">
        <v>339</v>
      </c>
      <c r="BB141" t="s">
        <v>61</v>
      </c>
      <c r="BC141" t="s">
        <v>62</v>
      </c>
    </row>
    <row r="142" spans="1:55" x14ac:dyDescent="0.25">
      <c r="A142" s="1" t="str">
        <f>IF(COUNTIF(Catégories!A:A,X142)=0,"catégorie inconnue",_xlfn.XLOOKUP(X142,Catégories!A:A,Catégories!B:B))</f>
        <v>Frêt - avisé</v>
      </c>
      <c r="B142" s="1">
        <f t="shared" si="6"/>
        <v>0</v>
      </c>
      <c r="C142" s="1">
        <f t="shared" si="7"/>
        <v>0</v>
      </c>
      <c r="D142" s="1">
        <f t="shared" si="8"/>
        <v>0</v>
      </c>
      <c r="E142" s="20" t="e">
        <f>IF(AH142&lt;&gt;0,ROUNDUP(AH142,0),IF(BB142&lt;&gt;"FR","hors France",IF(AH142&lt;&gt;0,ROUNDUP(AH142,0),_xlfn.XLOOKUP(AJ142,'PA GLS'!B:B,'PA GLS'!A:A))))</f>
        <v>#N/A</v>
      </c>
      <c r="F142">
        <v>2501382993</v>
      </c>
      <c r="G142">
        <v>1030230693</v>
      </c>
      <c r="H142" t="s">
        <v>366</v>
      </c>
      <c r="I142">
        <v>2500034092</v>
      </c>
      <c r="J142" t="s">
        <v>50</v>
      </c>
      <c r="K142">
        <v>9000009190</v>
      </c>
      <c r="L142">
        <v>46946</v>
      </c>
      <c r="M142" t="s">
        <v>51</v>
      </c>
      <c r="N142">
        <v>9000079830</v>
      </c>
      <c r="O142" t="s">
        <v>187</v>
      </c>
      <c r="S142">
        <v>2507012387</v>
      </c>
      <c r="T142" t="s">
        <v>50</v>
      </c>
      <c r="U142" t="s">
        <v>122</v>
      </c>
      <c r="V142" t="s">
        <v>178</v>
      </c>
      <c r="W142" t="s">
        <v>179</v>
      </c>
      <c r="X142" t="s">
        <v>79</v>
      </c>
      <c r="Z142">
        <v>118</v>
      </c>
      <c r="AA142" t="s">
        <v>663</v>
      </c>
      <c r="AB142" t="s">
        <v>646</v>
      </c>
      <c r="AC142">
        <v>2604000063</v>
      </c>
      <c r="AE142">
        <v>0</v>
      </c>
      <c r="AF142">
        <v>0</v>
      </c>
      <c r="AG142">
        <v>0</v>
      </c>
      <c r="AH142">
        <v>0</v>
      </c>
      <c r="AI142" t="s">
        <v>56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 t="s">
        <v>57</v>
      </c>
      <c r="AS142" t="s">
        <v>647</v>
      </c>
      <c r="AT142" t="s">
        <v>647</v>
      </c>
      <c r="AU142" t="s">
        <v>646</v>
      </c>
      <c r="AV142" t="s">
        <v>648</v>
      </c>
      <c r="AW142" t="s">
        <v>649</v>
      </c>
      <c r="AZ142">
        <v>69700</v>
      </c>
      <c r="BA142" t="s">
        <v>650</v>
      </c>
      <c r="BB142" t="s">
        <v>61</v>
      </c>
      <c r="BC142" t="s">
        <v>62</v>
      </c>
    </row>
    <row r="143" spans="1:55" x14ac:dyDescent="0.25">
      <c r="A143" s="1" t="str">
        <f>IF(COUNTIF(Catégories!A:A,X143)=0,"catégorie inconnue",_xlfn.XLOOKUP(X143,Catégories!A:A,Catégories!B:B))</f>
        <v>Adresse</v>
      </c>
      <c r="B143" s="1">
        <f t="shared" si="6"/>
        <v>3.04</v>
      </c>
      <c r="C143" s="1">
        <f t="shared" si="7"/>
        <v>0.68</v>
      </c>
      <c r="D143" s="1">
        <f t="shared" si="8"/>
        <v>2.36</v>
      </c>
      <c r="E143" s="20" t="e">
        <f>IF(AH143&lt;&gt;0,ROUNDUP(AH143,0),IF(BB143&lt;&gt;"FR","hors France",IF(AH143&lt;&gt;0,ROUNDUP(AH143,0),_xlfn.XLOOKUP(AJ143,'PA GLS'!B:B,'PA GLS'!A:A))))</f>
        <v>#N/A</v>
      </c>
      <c r="F143">
        <v>2501382993</v>
      </c>
      <c r="G143">
        <v>1030230693</v>
      </c>
      <c r="H143" t="s">
        <v>366</v>
      </c>
      <c r="I143">
        <v>2500034092</v>
      </c>
      <c r="J143" t="s">
        <v>50</v>
      </c>
      <c r="K143">
        <v>9000009190</v>
      </c>
      <c r="L143">
        <v>46946</v>
      </c>
      <c r="M143" t="s">
        <v>51</v>
      </c>
      <c r="N143">
        <v>9000079830</v>
      </c>
      <c r="O143" t="s">
        <v>187</v>
      </c>
      <c r="S143">
        <v>2507012387</v>
      </c>
      <c r="T143" t="s">
        <v>50</v>
      </c>
      <c r="U143" t="s">
        <v>122</v>
      </c>
      <c r="V143" t="s">
        <v>651</v>
      </c>
      <c r="W143" t="s">
        <v>233</v>
      </c>
      <c r="X143" t="s">
        <v>163</v>
      </c>
      <c r="Z143">
        <v>117</v>
      </c>
      <c r="AA143" t="s">
        <v>663</v>
      </c>
      <c r="AB143" t="s">
        <v>646</v>
      </c>
      <c r="AC143">
        <v>2604000063</v>
      </c>
      <c r="AE143">
        <v>0</v>
      </c>
      <c r="AF143">
        <v>0</v>
      </c>
      <c r="AG143">
        <v>0</v>
      </c>
      <c r="AH143">
        <v>0</v>
      </c>
      <c r="AI143" t="s">
        <v>56</v>
      </c>
      <c r="AJ143">
        <v>2.36</v>
      </c>
      <c r="AK143">
        <v>0</v>
      </c>
      <c r="AL143">
        <v>0</v>
      </c>
      <c r="AM143">
        <v>29.1</v>
      </c>
      <c r="AN143">
        <v>0.68</v>
      </c>
      <c r="AO143">
        <v>0</v>
      </c>
      <c r="AP143">
        <v>0</v>
      </c>
      <c r="AQ143" t="s">
        <v>57</v>
      </c>
      <c r="AS143" t="s">
        <v>647</v>
      </c>
      <c r="AT143" t="s">
        <v>647</v>
      </c>
      <c r="AU143" t="s">
        <v>646</v>
      </c>
      <c r="AV143" t="s">
        <v>648</v>
      </c>
      <c r="AW143" t="s">
        <v>649</v>
      </c>
      <c r="AZ143">
        <v>69700</v>
      </c>
      <c r="BA143" t="s">
        <v>650</v>
      </c>
      <c r="BB143" t="s">
        <v>61</v>
      </c>
      <c r="BC143" t="s">
        <v>62</v>
      </c>
    </row>
    <row r="144" spans="1:55" x14ac:dyDescent="0.25">
      <c r="A144" s="1" t="str">
        <f>IF(COUNTIF(Catégories!A:A,X144)=0,"catégorie inconnue",_xlfn.XLOOKUP(X144,Catégories!A:A,Catégories!B:B))</f>
        <v>Frêt</v>
      </c>
      <c r="B144" s="1">
        <f t="shared" si="6"/>
        <v>8.15</v>
      </c>
      <c r="C144" s="1">
        <f t="shared" si="7"/>
        <v>1.8</v>
      </c>
      <c r="D144" s="1">
        <f t="shared" si="8"/>
        <v>6.3500000000000005</v>
      </c>
      <c r="E144" s="20">
        <f>IF(AH144&lt;&gt;0,ROUNDUP(AH144,0),IF(BB144&lt;&gt;"FR","hors France",IF(AH144&lt;&gt;0,ROUNDUP(AH144,0),_xlfn.XLOOKUP(AJ144,'PA GLS'!B:B,'PA GLS'!A:A))))</f>
        <v>4</v>
      </c>
      <c r="F144">
        <v>2501382993</v>
      </c>
      <c r="G144">
        <v>1030230693</v>
      </c>
      <c r="H144" t="s">
        <v>366</v>
      </c>
      <c r="I144">
        <v>2500034092</v>
      </c>
      <c r="J144" t="s">
        <v>50</v>
      </c>
      <c r="K144">
        <v>9000009190</v>
      </c>
      <c r="L144">
        <v>46946</v>
      </c>
      <c r="M144" t="s">
        <v>51</v>
      </c>
      <c r="N144">
        <v>9000079830</v>
      </c>
      <c r="O144" t="s">
        <v>187</v>
      </c>
      <c r="S144">
        <v>2507012387</v>
      </c>
      <c r="T144" t="s">
        <v>50</v>
      </c>
      <c r="U144" t="s">
        <v>122</v>
      </c>
      <c r="V144" t="s">
        <v>231</v>
      </c>
      <c r="W144" t="s">
        <v>232</v>
      </c>
      <c r="X144" t="s">
        <v>60</v>
      </c>
      <c r="Z144">
        <v>116</v>
      </c>
      <c r="AA144" t="s">
        <v>663</v>
      </c>
      <c r="AB144" t="s">
        <v>666</v>
      </c>
      <c r="AC144">
        <v>2604000064</v>
      </c>
      <c r="AE144">
        <v>0</v>
      </c>
      <c r="AF144">
        <v>0</v>
      </c>
      <c r="AG144">
        <v>0</v>
      </c>
      <c r="AH144">
        <v>0</v>
      </c>
      <c r="AI144" t="s">
        <v>56</v>
      </c>
      <c r="AJ144">
        <v>5.3</v>
      </c>
      <c r="AK144">
        <v>0.9</v>
      </c>
      <c r="AL144">
        <v>0.15</v>
      </c>
      <c r="AM144">
        <v>29.1</v>
      </c>
      <c r="AN144">
        <v>1.8</v>
      </c>
      <c r="AO144">
        <v>0</v>
      </c>
      <c r="AP144">
        <v>0</v>
      </c>
      <c r="AQ144" t="s">
        <v>57</v>
      </c>
      <c r="AS144" t="s">
        <v>667</v>
      </c>
      <c r="AT144" t="s">
        <v>667</v>
      </c>
      <c r="AU144" t="s">
        <v>666</v>
      </c>
      <c r="AV144" t="s">
        <v>668</v>
      </c>
      <c r="AW144" t="s">
        <v>669</v>
      </c>
      <c r="AZ144">
        <v>71240</v>
      </c>
      <c r="BA144" t="s">
        <v>670</v>
      </c>
      <c r="BB144" t="s">
        <v>61</v>
      </c>
      <c r="BC144" t="s">
        <v>62</v>
      </c>
    </row>
    <row r="145" spans="1:55" x14ac:dyDescent="0.25">
      <c r="A145" s="1" t="str">
        <f>IF(COUNTIF(Catégories!A:A,X145)=0,"catégorie inconnue",_xlfn.XLOOKUP(X145,Catégories!A:A,Catégories!B:B))</f>
        <v>Frêt</v>
      </c>
      <c r="B145" s="1">
        <f t="shared" si="6"/>
        <v>7.0100000000000007</v>
      </c>
      <c r="C145" s="1">
        <f t="shared" si="7"/>
        <v>1.54</v>
      </c>
      <c r="D145" s="1">
        <f t="shared" si="8"/>
        <v>5.4700000000000006</v>
      </c>
      <c r="E145" s="20">
        <f>IF(AH145&lt;&gt;0,ROUNDUP(AH145,0),IF(BB145&lt;&gt;"FR","hors France",IF(AH145&lt;&gt;0,ROUNDUP(AH145,0),_xlfn.XLOOKUP(AJ145,'PA GLS'!B:B,'PA GLS'!A:A))))</f>
        <v>2</v>
      </c>
      <c r="F145">
        <v>2501382993</v>
      </c>
      <c r="G145">
        <v>1030230693</v>
      </c>
      <c r="H145" t="s">
        <v>366</v>
      </c>
      <c r="I145">
        <v>2500034092</v>
      </c>
      <c r="J145" t="s">
        <v>50</v>
      </c>
      <c r="K145">
        <v>9000009190</v>
      </c>
      <c r="L145">
        <v>46946</v>
      </c>
      <c r="M145" t="s">
        <v>51</v>
      </c>
      <c r="N145">
        <v>9000079830</v>
      </c>
      <c r="O145" t="s">
        <v>187</v>
      </c>
      <c r="S145">
        <v>2507012387</v>
      </c>
      <c r="T145" t="s">
        <v>50</v>
      </c>
      <c r="U145" t="s">
        <v>122</v>
      </c>
      <c r="V145" t="s">
        <v>77</v>
      </c>
      <c r="W145" t="s">
        <v>78</v>
      </c>
      <c r="X145" t="s">
        <v>60</v>
      </c>
      <c r="Z145">
        <v>115</v>
      </c>
      <c r="AA145" t="s">
        <v>663</v>
      </c>
      <c r="AB145" t="s">
        <v>671</v>
      </c>
      <c r="AC145">
        <v>2604000068</v>
      </c>
      <c r="AE145">
        <v>0</v>
      </c>
      <c r="AF145">
        <v>0</v>
      </c>
      <c r="AG145">
        <v>0</v>
      </c>
      <c r="AH145">
        <v>0</v>
      </c>
      <c r="AI145" t="s">
        <v>56</v>
      </c>
      <c r="AJ145">
        <v>4.42</v>
      </c>
      <c r="AK145">
        <v>0.9</v>
      </c>
      <c r="AL145">
        <v>0.15</v>
      </c>
      <c r="AM145">
        <v>29.1</v>
      </c>
      <c r="AN145">
        <v>1.54</v>
      </c>
      <c r="AO145">
        <v>0</v>
      </c>
      <c r="AP145">
        <v>0</v>
      </c>
      <c r="AQ145" t="s">
        <v>57</v>
      </c>
      <c r="AS145" t="s">
        <v>672</v>
      </c>
      <c r="AT145" t="s">
        <v>672</v>
      </c>
      <c r="AU145" t="s">
        <v>671</v>
      </c>
      <c r="AV145" t="s">
        <v>673</v>
      </c>
      <c r="AW145" t="s">
        <v>674</v>
      </c>
      <c r="AZ145">
        <v>93100</v>
      </c>
      <c r="BA145" t="s">
        <v>296</v>
      </c>
      <c r="BB145" t="s">
        <v>61</v>
      </c>
      <c r="BC145" t="s">
        <v>62</v>
      </c>
    </row>
    <row r="146" spans="1:55" x14ac:dyDescent="0.25">
      <c r="A146" s="1" t="str">
        <f>IF(COUNTIF(Catégories!A:A,X146)=0,"catégorie inconnue",_xlfn.XLOOKUP(X146,Catégories!A:A,Catégories!B:B))</f>
        <v>Frêt</v>
      </c>
      <c r="B146" s="1">
        <f t="shared" si="6"/>
        <v>0</v>
      </c>
      <c r="C146" s="1">
        <f t="shared" si="7"/>
        <v>0</v>
      </c>
      <c r="D146" s="1">
        <f t="shared" si="8"/>
        <v>0</v>
      </c>
      <c r="E146" s="20">
        <f>IF(AH146&lt;&gt;0,ROUNDUP(AH146,0),IF(BB146&lt;&gt;"FR","hors France",IF(AH146&lt;&gt;0,ROUNDUP(AH146,0),_xlfn.XLOOKUP(AJ146,'PA GLS'!B:B,'PA GLS'!A:A))))</f>
        <v>1</v>
      </c>
      <c r="F146">
        <v>2501382993</v>
      </c>
      <c r="G146">
        <v>1030232655</v>
      </c>
      <c r="H146" t="s">
        <v>366</v>
      </c>
      <c r="I146">
        <v>2500034092</v>
      </c>
      <c r="J146" t="s">
        <v>50</v>
      </c>
      <c r="K146">
        <v>9000009190</v>
      </c>
      <c r="L146">
        <v>46946</v>
      </c>
      <c r="M146" t="s">
        <v>51</v>
      </c>
      <c r="N146">
        <v>9000037814</v>
      </c>
      <c r="O146" t="s">
        <v>51</v>
      </c>
      <c r="S146">
        <v>2507012387</v>
      </c>
      <c r="T146" t="s">
        <v>50</v>
      </c>
      <c r="U146" t="s">
        <v>122</v>
      </c>
      <c r="V146" t="s">
        <v>176</v>
      </c>
      <c r="W146" t="s">
        <v>177</v>
      </c>
      <c r="X146" t="s">
        <v>152</v>
      </c>
      <c r="Z146">
        <v>144</v>
      </c>
      <c r="AA146" t="s">
        <v>663</v>
      </c>
      <c r="AB146" t="s">
        <v>675</v>
      </c>
      <c r="AC146">
        <v>2604000034</v>
      </c>
      <c r="AE146">
        <v>0</v>
      </c>
      <c r="AF146">
        <v>1</v>
      </c>
      <c r="AG146">
        <v>0</v>
      </c>
      <c r="AH146">
        <v>0.38</v>
      </c>
      <c r="AI146" t="s">
        <v>56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 t="s">
        <v>57</v>
      </c>
      <c r="AS146" t="s">
        <v>676</v>
      </c>
      <c r="AT146" t="s">
        <v>676</v>
      </c>
      <c r="AU146" t="s">
        <v>675</v>
      </c>
      <c r="AV146" t="s">
        <v>677</v>
      </c>
      <c r="AW146" t="s">
        <v>678</v>
      </c>
      <c r="AZ146">
        <v>75003</v>
      </c>
      <c r="BA146" t="s">
        <v>65</v>
      </c>
      <c r="BB146" t="s">
        <v>61</v>
      </c>
      <c r="BC146" t="s">
        <v>62</v>
      </c>
    </row>
    <row r="147" spans="1:55" x14ac:dyDescent="0.25">
      <c r="A147" s="1" t="str">
        <f>IF(COUNTIF(Catégories!A:A,X147)=0,"catégorie inconnue",_xlfn.XLOOKUP(X147,Catégories!A:A,Catégories!B:B))</f>
        <v>Frêt</v>
      </c>
      <c r="B147" s="1">
        <f t="shared" si="6"/>
        <v>0</v>
      </c>
      <c r="C147" s="1">
        <f t="shared" si="7"/>
        <v>0</v>
      </c>
      <c r="D147" s="1">
        <f t="shared" si="8"/>
        <v>0</v>
      </c>
      <c r="E147" s="20">
        <f>IF(AH147&lt;&gt;0,ROUNDUP(AH147,0),IF(BB147&lt;&gt;"FR","hors France",IF(AH147&lt;&gt;0,ROUNDUP(AH147,0),_xlfn.XLOOKUP(AJ147,'PA GLS'!B:B,'PA GLS'!A:A))))</f>
        <v>1</v>
      </c>
      <c r="F147">
        <v>2501382993</v>
      </c>
      <c r="G147">
        <v>1030232655</v>
      </c>
      <c r="H147" t="s">
        <v>366</v>
      </c>
      <c r="I147">
        <v>2500034092</v>
      </c>
      <c r="J147" t="s">
        <v>50</v>
      </c>
      <c r="K147">
        <v>9000009190</v>
      </c>
      <c r="L147">
        <v>46946</v>
      </c>
      <c r="M147" t="s">
        <v>51</v>
      </c>
      <c r="N147">
        <v>9000037814</v>
      </c>
      <c r="O147" t="s">
        <v>51</v>
      </c>
      <c r="S147">
        <v>2507012387</v>
      </c>
      <c r="T147" t="s">
        <v>50</v>
      </c>
      <c r="U147" t="s">
        <v>122</v>
      </c>
      <c r="V147" t="s">
        <v>176</v>
      </c>
      <c r="W147" t="s">
        <v>177</v>
      </c>
      <c r="X147" t="s">
        <v>152</v>
      </c>
      <c r="Z147">
        <v>144</v>
      </c>
      <c r="AA147" t="s">
        <v>663</v>
      </c>
      <c r="AB147" t="s">
        <v>679</v>
      </c>
      <c r="AC147">
        <v>2604000035</v>
      </c>
      <c r="AE147">
        <v>0</v>
      </c>
      <c r="AF147">
        <v>1</v>
      </c>
      <c r="AG147">
        <v>0</v>
      </c>
      <c r="AH147">
        <v>0.64</v>
      </c>
      <c r="AI147" t="s">
        <v>56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 t="s">
        <v>57</v>
      </c>
      <c r="AS147" t="s">
        <v>680</v>
      </c>
      <c r="AT147" t="s">
        <v>680</v>
      </c>
      <c r="AU147" t="s">
        <v>679</v>
      </c>
      <c r="AV147" t="s">
        <v>681</v>
      </c>
      <c r="AW147" t="s">
        <v>682</v>
      </c>
      <c r="AZ147">
        <v>49300</v>
      </c>
      <c r="BA147" t="s">
        <v>683</v>
      </c>
      <c r="BB147" t="s">
        <v>61</v>
      </c>
      <c r="BC147" t="s">
        <v>62</v>
      </c>
    </row>
    <row r="148" spans="1:55" x14ac:dyDescent="0.25">
      <c r="A148" s="1" t="str">
        <f>IF(COUNTIF(Catégories!A:A,X148)=0,"catégorie inconnue",_xlfn.XLOOKUP(X148,Catégories!A:A,Catégories!B:B))</f>
        <v>Frêt</v>
      </c>
      <c r="B148" s="1">
        <f t="shared" si="6"/>
        <v>0</v>
      </c>
      <c r="C148" s="1">
        <f t="shared" si="7"/>
        <v>0</v>
      </c>
      <c r="D148" s="1">
        <f t="shared" si="8"/>
        <v>0</v>
      </c>
      <c r="E148" s="20">
        <f>IF(AH148&lt;&gt;0,ROUNDUP(AH148,0),IF(BB148&lt;&gt;"FR","hors France",IF(AH148&lt;&gt;0,ROUNDUP(AH148,0),_xlfn.XLOOKUP(AJ148,'PA GLS'!B:B,'PA GLS'!A:A))))</f>
        <v>1</v>
      </c>
      <c r="F148">
        <v>2501382993</v>
      </c>
      <c r="G148">
        <v>1030232655</v>
      </c>
      <c r="H148" t="s">
        <v>366</v>
      </c>
      <c r="I148">
        <v>2500034092</v>
      </c>
      <c r="J148" t="s">
        <v>50</v>
      </c>
      <c r="K148">
        <v>9000009190</v>
      </c>
      <c r="L148">
        <v>46946</v>
      </c>
      <c r="M148" t="s">
        <v>51</v>
      </c>
      <c r="N148">
        <v>9000037814</v>
      </c>
      <c r="O148" t="s">
        <v>51</v>
      </c>
      <c r="S148">
        <v>2507012387</v>
      </c>
      <c r="T148" t="s">
        <v>50</v>
      </c>
      <c r="U148" t="s">
        <v>122</v>
      </c>
      <c r="V148" t="s">
        <v>176</v>
      </c>
      <c r="W148" t="s">
        <v>177</v>
      </c>
      <c r="X148" t="s">
        <v>152</v>
      </c>
      <c r="Z148">
        <v>144</v>
      </c>
      <c r="AA148" t="s">
        <v>663</v>
      </c>
      <c r="AB148" t="s">
        <v>684</v>
      </c>
      <c r="AC148">
        <v>2604000036</v>
      </c>
      <c r="AE148">
        <v>0</v>
      </c>
      <c r="AF148">
        <v>1</v>
      </c>
      <c r="AG148">
        <v>0</v>
      </c>
      <c r="AH148">
        <v>0.28000000000000003</v>
      </c>
      <c r="AI148" t="s">
        <v>56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 t="s">
        <v>57</v>
      </c>
      <c r="AS148" t="s">
        <v>685</v>
      </c>
      <c r="AT148" t="s">
        <v>685</v>
      </c>
      <c r="AU148" t="s">
        <v>684</v>
      </c>
      <c r="AV148" t="s">
        <v>686</v>
      </c>
      <c r="AW148" t="s">
        <v>687</v>
      </c>
      <c r="AZ148">
        <v>34830</v>
      </c>
      <c r="BA148" t="s">
        <v>688</v>
      </c>
      <c r="BB148" t="s">
        <v>61</v>
      </c>
      <c r="BC148" t="s">
        <v>62</v>
      </c>
    </row>
    <row r="149" spans="1:55" x14ac:dyDescent="0.25">
      <c r="A149" s="1" t="str">
        <f>IF(COUNTIF(Catégories!A:A,X149)=0,"catégorie inconnue",_xlfn.XLOOKUP(X149,Catégories!A:A,Catégories!B:B))</f>
        <v>Frêt</v>
      </c>
      <c r="B149" s="1">
        <f t="shared" si="6"/>
        <v>6.17</v>
      </c>
      <c r="C149" s="1">
        <f t="shared" si="7"/>
        <v>1.35</v>
      </c>
      <c r="D149" s="1">
        <f t="shared" si="8"/>
        <v>4.82</v>
      </c>
      <c r="E149" s="20">
        <f>IF(AH149&lt;&gt;0,ROUNDUP(AH149,0),IF(BB149&lt;&gt;"FR","hors France",IF(AH149&lt;&gt;0,ROUNDUP(AH149,0),_xlfn.XLOOKUP(AJ149,'PA GLS'!B:B,'PA GLS'!A:A))))</f>
        <v>0.5</v>
      </c>
      <c r="F149">
        <v>2501382993</v>
      </c>
      <c r="G149">
        <v>1030232655</v>
      </c>
      <c r="H149" t="s">
        <v>366</v>
      </c>
      <c r="I149">
        <v>2500034092</v>
      </c>
      <c r="J149" t="s">
        <v>50</v>
      </c>
      <c r="K149">
        <v>9000009190</v>
      </c>
      <c r="L149">
        <v>46946</v>
      </c>
      <c r="M149" t="s">
        <v>51</v>
      </c>
      <c r="N149">
        <v>9000037814</v>
      </c>
      <c r="O149" t="s">
        <v>51</v>
      </c>
      <c r="S149">
        <v>2507012387</v>
      </c>
      <c r="T149" t="s">
        <v>50</v>
      </c>
      <c r="U149" t="s">
        <v>122</v>
      </c>
      <c r="V149" t="s">
        <v>71</v>
      </c>
      <c r="W149" t="s">
        <v>72</v>
      </c>
      <c r="X149" t="s">
        <v>60</v>
      </c>
      <c r="Z149">
        <v>145</v>
      </c>
      <c r="AA149" t="s">
        <v>663</v>
      </c>
      <c r="AB149" t="s">
        <v>675</v>
      </c>
      <c r="AC149">
        <v>2604000034</v>
      </c>
      <c r="AE149">
        <v>0</v>
      </c>
      <c r="AF149">
        <v>0</v>
      </c>
      <c r="AG149">
        <v>0</v>
      </c>
      <c r="AH149">
        <v>0</v>
      </c>
      <c r="AI149" t="s">
        <v>56</v>
      </c>
      <c r="AJ149">
        <v>3.77</v>
      </c>
      <c r="AK149">
        <v>0.9</v>
      </c>
      <c r="AL149">
        <v>0.15</v>
      </c>
      <c r="AM149">
        <v>29.1</v>
      </c>
      <c r="AN149">
        <v>1.35</v>
      </c>
      <c r="AO149">
        <v>0</v>
      </c>
      <c r="AP149">
        <v>0</v>
      </c>
      <c r="AQ149" t="s">
        <v>57</v>
      </c>
      <c r="AS149" t="s">
        <v>676</v>
      </c>
      <c r="AT149" t="s">
        <v>676</v>
      </c>
      <c r="AU149" t="s">
        <v>675</v>
      </c>
      <c r="AV149" t="s">
        <v>677</v>
      </c>
      <c r="AW149" t="s">
        <v>678</v>
      </c>
      <c r="AZ149">
        <v>75003</v>
      </c>
      <c r="BA149" t="s">
        <v>65</v>
      </c>
      <c r="BB149" t="s">
        <v>61</v>
      </c>
      <c r="BC149" t="s">
        <v>62</v>
      </c>
    </row>
    <row r="150" spans="1:55" x14ac:dyDescent="0.25">
      <c r="A150" s="1" t="str">
        <f>IF(COUNTIF(Catégories!A:A,X150)=0,"catégorie inconnue",_xlfn.XLOOKUP(X150,Catégories!A:A,Catégories!B:B))</f>
        <v>Frêt</v>
      </c>
      <c r="B150" s="1">
        <f t="shared" si="6"/>
        <v>6.17</v>
      </c>
      <c r="C150" s="1">
        <f t="shared" si="7"/>
        <v>1.35</v>
      </c>
      <c r="D150" s="1">
        <f t="shared" si="8"/>
        <v>4.82</v>
      </c>
      <c r="E150" s="20">
        <f>IF(AH150&lt;&gt;0,ROUNDUP(AH150,0),IF(BB150&lt;&gt;"FR","hors France",IF(AH150&lt;&gt;0,ROUNDUP(AH150,0),_xlfn.XLOOKUP(AJ150,'PA GLS'!B:B,'PA GLS'!A:A))))</f>
        <v>0.5</v>
      </c>
      <c r="F150">
        <v>2501382993</v>
      </c>
      <c r="G150">
        <v>1030232655</v>
      </c>
      <c r="H150" t="s">
        <v>366</v>
      </c>
      <c r="I150">
        <v>2500034092</v>
      </c>
      <c r="J150" t="s">
        <v>50</v>
      </c>
      <c r="K150">
        <v>9000009190</v>
      </c>
      <c r="L150">
        <v>46946</v>
      </c>
      <c r="M150" t="s">
        <v>51</v>
      </c>
      <c r="N150">
        <v>9000037814</v>
      </c>
      <c r="O150" t="s">
        <v>51</v>
      </c>
      <c r="S150">
        <v>2507012387</v>
      </c>
      <c r="T150" t="s">
        <v>50</v>
      </c>
      <c r="U150" t="s">
        <v>122</v>
      </c>
      <c r="V150" t="s">
        <v>71</v>
      </c>
      <c r="W150" t="s">
        <v>72</v>
      </c>
      <c r="X150" t="s">
        <v>60</v>
      </c>
      <c r="Z150">
        <v>145</v>
      </c>
      <c r="AA150" t="s">
        <v>663</v>
      </c>
      <c r="AB150" t="s">
        <v>684</v>
      </c>
      <c r="AC150">
        <v>2604000036</v>
      </c>
      <c r="AE150">
        <v>0</v>
      </c>
      <c r="AF150">
        <v>0</v>
      </c>
      <c r="AG150">
        <v>0</v>
      </c>
      <c r="AH150">
        <v>0</v>
      </c>
      <c r="AI150" t="s">
        <v>56</v>
      </c>
      <c r="AJ150">
        <v>3.77</v>
      </c>
      <c r="AK150">
        <v>0.9</v>
      </c>
      <c r="AL150">
        <v>0.15</v>
      </c>
      <c r="AM150">
        <v>29.1</v>
      </c>
      <c r="AN150">
        <v>1.35</v>
      </c>
      <c r="AO150">
        <v>0</v>
      </c>
      <c r="AP150">
        <v>0</v>
      </c>
      <c r="AQ150" t="s">
        <v>57</v>
      </c>
      <c r="AS150" t="s">
        <v>685</v>
      </c>
      <c r="AT150" t="s">
        <v>685</v>
      </c>
      <c r="AU150" t="s">
        <v>684</v>
      </c>
      <c r="AV150" t="s">
        <v>686</v>
      </c>
      <c r="AW150" t="s">
        <v>687</v>
      </c>
      <c r="AZ150">
        <v>34830</v>
      </c>
      <c r="BA150" t="s">
        <v>688</v>
      </c>
      <c r="BB150" t="s">
        <v>61</v>
      </c>
      <c r="BC150" t="s">
        <v>62</v>
      </c>
    </row>
    <row r="151" spans="1:55" x14ac:dyDescent="0.25">
      <c r="A151" s="1" t="str">
        <f>IF(COUNTIF(Catégories!A:A,X151)=0,"catégorie inconnue",_xlfn.XLOOKUP(X151,Catégories!A:A,Catégories!B:B))</f>
        <v>Frêt</v>
      </c>
      <c r="B151" s="1">
        <f t="shared" si="6"/>
        <v>6.6000000000000005</v>
      </c>
      <c r="C151" s="1">
        <f t="shared" si="7"/>
        <v>1.45</v>
      </c>
      <c r="D151" s="1">
        <f t="shared" si="8"/>
        <v>5.15</v>
      </c>
      <c r="E151" s="20">
        <f>IF(AH151&lt;&gt;0,ROUNDUP(AH151,0),IF(BB151&lt;&gt;"FR","hors France",IF(AH151&lt;&gt;0,ROUNDUP(AH151,0),_xlfn.XLOOKUP(AJ151,'PA GLS'!B:B,'PA GLS'!A:A))))</f>
        <v>1</v>
      </c>
      <c r="F151">
        <v>2501382993</v>
      </c>
      <c r="G151">
        <v>1030232655</v>
      </c>
      <c r="H151" t="s">
        <v>366</v>
      </c>
      <c r="I151">
        <v>2500034092</v>
      </c>
      <c r="J151" t="s">
        <v>50</v>
      </c>
      <c r="K151">
        <v>9000009190</v>
      </c>
      <c r="L151">
        <v>46946</v>
      </c>
      <c r="M151" t="s">
        <v>51</v>
      </c>
      <c r="N151">
        <v>9000037814</v>
      </c>
      <c r="O151" t="s">
        <v>51</v>
      </c>
      <c r="S151">
        <v>2507012387</v>
      </c>
      <c r="T151" t="s">
        <v>50</v>
      </c>
      <c r="U151" t="s">
        <v>122</v>
      </c>
      <c r="V151" t="s">
        <v>69</v>
      </c>
      <c r="W151" t="s">
        <v>70</v>
      </c>
      <c r="X151" t="s">
        <v>60</v>
      </c>
      <c r="Z151">
        <v>146</v>
      </c>
      <c r="AA151" t="s">
        <v>663</v>
      </c>
      <c r="AB151" t="s">
        <v>679</v>
      </c>
      <c r="AC151">
        <v>2604000035</v>
      </c>
      <c r="AE151">
        <v>0</v>
      </c>
      <c r="AF151">
        <v>0</v>
      </c>
      <c r="AG151">
        <v>0</v>
      </c>
      <c r="AH151">
        <v>0</v>
      </c>
      <c r="AI151" t="s">
        <v>56</v>
      </c>
      <c r="AJ151">
        <v>4.0999999999999996</v>
      </c>
      <c r="AK151">
        <v>0.9</v>
      </c>
      <c r="AL151">
        <v>0.15</v>
      </c>
      <c r="AM151">
        <v>29.1</v>
      </c>
      <c r="AN151">
        <v>1.45</v>
      </c>
      <c r="AO151">
        <v>0</v>
      </c>
      <c r="AP151">
        <v>0</v>
      </c>
      <c r="AQ151" t="s">
        <v>57</v>
      </c>
      <c r="AS151" t="s">
        <v>680</v>
      </c>
      <c r="AT151" t="s">
        <v>680</v>
      </c>
      <c r="AU151" t="s">
        <v>679</v>
      </c>
      <c r="AV151" t="s">
        <v>681</v>
      </c>
      <c r="AW151" t="s">
        <v>682</v>
      </c>
      <c r="AZ151">
        <v>49300</v>
      </c>
      <c r="BA151" t="s">
        <v>683</v>
      </c>
      <c r="BB151" t="s">
        <v>61</v>
      </c>
      <c r="BC151" t="s">
        <v>62</v>
      </c>
    </row>
    <row r="152" spans="1:55" x14ac:dyDescent="0.25">
      <c r="A152" s="1" t="str">
        <f>IF(COUNTIF(Catégories!A:A,X152)=0,"catégorie inconnue",_xlfn.XLOOKUP(X152,Catégories!A:A,Catégories!B:B))</f>
        <v>Frêt - avisé</v>
      </c>
      <c r="B152" s="1">
        <f t="shared" si="6"/>
        <v>0</v>
      </c>
      <c r="C152" s="1">
        <f t="shared" si="7"/>
        <v>0</v>
      </c>
      <c r="D152" s="1">
        <f t="shared" si="8"/>
        <v>0</v>
      </c>
      <c r="E152" s="20" t="e">
        <f>IF(AH152&lt;&gt;0,ROUNDUP(AH152,0),IF(BB152&lt;&gt;"FR","hors France",IF(AH152&lt;&gt;0,ROUNDUP(AH152,0),_xlfn.XLOOKUP(AJ152,'PA GLS'!B:B,'PA GLS'!A:A))))</f>
        <v>#N/A</v>
      </c>
      <c r="F152">
        <v>2501382993</v>
      </c>
      <c r="G152">
        <v>1030232655</v>
      </c>
      <c r="H152" t="s">
        <v>366</v>
      </c>
      <c r="I152">
        <v>2500034092</v>
      </c>
      <c r="J152" t="s">
        <v>50</v>
      </c>
      <c r="K152">
        <v>9000009190</v>
      </c>
      <c r="L152">
        <v>46946</v>
      </c>
      <c r="M152" t="s">
        <v>51</v>
      </c>
      <c r="N152">
        <v>9000037814</v>
      </c>
      <c r="O152" t="s">
        <v>51</v>
      </c>
      <c r="S152">
        <v>2507012387</v>
      </c>
      <c r="T152" t="s">
        <v>50</v>
      </c>
      <c r="U152" t="s">
        <v>122</v>
      </c>
      <c r="V152" t="s">
        <v>178</v>
      </c>
      <c r="W152" t="s">
        <v>179</v>
      </c>
      <c r="X152" t="s">
        <v>79</v>
      </c>
      <c r="Z152">
        <v>147</v>
      </c>
      <c r="AA152" t="s">
        <v>663</v>
      </c>
      <c r="AB152" t="s">
        <v>543</v>
      </c>
      <c r="AC152">
        <v>2604000020</v>
      </c>
      <c r="AE152">
        <v>0</v>
      </c>
      <c r="AF152">
        <v>0</v>
      </c>
      <c r="AG152">
        <v>0</v>
      </c>
      <c r="AH152">
        <v>0</v>
      </c>
      <c r="AI152" t="s">
        <v>56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 t="s">
        <v>57</v>
      </c>
      <c r="AS152" t="s">
        <v>544</v>
      </c>
      <c r="AT152" t="s">
        <v>544</v>
      </c>
      <c r="AU152" t="s">
        <v>543</v>
      </c>
      <c r="AV152" t="s">
        <v>545</v>
      </c>
      <c r="AW152" t="s">
        <v>546</v>
      </c>
      <c r="AZ152">
        <v>13008</v>
      </c>
      <c r="BA152" t="s">
        <v>68</v>
      </c>
      <c r="BB152" t="s">
        <v>61</v>
      </c>
      <c r="BC152" t="s">
        <v>62</v>
      </c>
    </row>
    <row r="153" spans="1:55" x14ac:dyDescent="0.25">
      <c r="A153" s="1" t="str">
        <f>IF(COUNTIF(Catégories!A:A,X153)=0,"catégorie inconnue",_xlfn.XLOOKUP(X153,Catégories!A:A,Catégories!B:B))</f>
        <v>Frêt</v>
      </c>
      <c r="B153" s="1">
        <f t="shared" si="6"/>
        <v>7.0100000000000007</v>
      </c>
      <c r="C153" s="1">
        <f t="shared" si="7"/>
        <v>1.54</v>
      </c>
      <c r="D153" s="1">
        <f t="shared" si="8"/>
        <v>5.4700000000000006</v>
      </c>
      <c r="E153" s="20">
        <f>IF(AH153&lt;&gt;0,ROUNDUP(AH153,0),IF(BB153&lt;&gt;"FR","hors France",IF(AH153&lt;&gt;0,ROUNDUP(AH153,0),_xlfn.XLOOKUP(AJ153,'PA GLS'!B:B,'PA GLS'!A:A))))</f>
        <v>2</v>
      </c>
      <c r="F153">
        <v>2501382993</v>
      </c>
      <c r="G153">
        <v>1030230693</v>
      </c>
      <c r="H153" t="s">
        <v>366</v>
      </c>
      <c r="I153">
        <v>2500034092</v>
      </c>
      <c r="J153" t="s">
        <v>50</v>
      </c>
      <c r="K153">
        <v>9000009190</v>
      </c>
      <c r="L153">
        <v>46946</v>
      </c>
      <c r="M153" t="s">
        <v>51</v>
      </c>
      <c r="N153">
        <v>9000079830</v>
      </c>
      <c r="O153" t="s">
        <v>187</v>
      </c>
      <c r="S153">
        <v>2507012387</v>
      </c>
      <c r="T153" t="s">
        <v>50</v>
      </c>
      <c r="U153" t="s">
        <v>122</v>
      </c>
      <c r="V153" t="s">
        <v>77</v>
      </c>
      <c r="W153" t="s">
        <v>78</v>
      </c>
      <c r="X153" t="s">
        <v>60</v>
      </c>
      <c r="Z153">
        <v>115</v>
      </c>
      <c r="AA153" t="s">
        <v>663</v>
      </c>
      <c r="AB153" t="s">
        <v>689</v>
      </c>
      <c r="AC153">
        <v>2604000066</v>
      </c>
      <c r="AE153">
        <v>0</v>
      </c>
      <c r="AF153">
        <v>0</v>
      </c>
      <c r="AG153">
        <v>0</v>
      </c>
      <c r="AH153">
        <v>0</v>
      </c>
      <c r="AI153" t="s">
        <v>56</v>
      </c>
      <c r="AJ153">
        <v>4.42</v>
      </c>
      <c r="AK153">
        <v>0.9</v>
      </c>
      <c r="AL153">
        <v>0.15</v>
      </c>
      <c r="AM153">
        <v>29.1</v>
      </c>
      <c r="AN153">
        <v>1.54</v>
      </c>
      <c r="AO153">
        <v>0</v>
      </c>
      <c r="AP153">
        <v>0</v>
      </c>
      <c r="AQ153" t="s">
        <v>57</v>
      </c>
      <c r="AS153" t="s">
        <v>690</v>
      </c>
      <c r="AT153" t="s">
        <v>690</v>
      </c>
      <c r="AU153" t="s">
        <v>689</v>
      </c>
      <c r="AV153" t="s">
        <v>691</v>
      </c>
      <c r="AW153" t="s">
        <v>692</v>
      </c>
      <c r="AZ153">
        <v>91940</v>
      </c>
      <c r="BA153" t="s">
        <v>693</v>
      </c>
      <c r="BB153" t="s">
        <v>61</v>
      </c>
      <c r="BC153" t="s">
        <v>62</v>
      </c>
    </row>
    <row r="154" spans="1:55" x14ac:dyDescent="0.25">
      <c r="A154" s="1" t="str">
        <f>IF(COUNTIF(Catégories!A:A,X154)=0,"catégorie inconnue",_xlfn.XLOOKUP(X154,Catégories!A:A,Catégories!B:B))</f>
        <v>Frêt</v>
      </c>
      <c r="B154" s="1">
        <f t="shared" si="6"/>
        <v>7.0100000000000007</v>
      </c>
      <c r="C154" s="1">
        <f t="shared" si="7"/>
        <v>1.54</v>
      </c>
      <c r="D154" s="1">
        <f t="shared" si="8"/>
        <v>5.4700000000000006</v>
      </c>
      <c r="E154" s="20">
        <f>IF(AH154&lt;&gt;0,ROUNDUP(AH154,0),IF(BB154&lt;&gt;"FR","hors France",IF(AH154&lt;&gt;0,ROUNDUP(AH154,0),_xlfn.XLOOKUP(AJ154,'PA GLS'!B:B,'PA GLS'!A:A))))</f>
        <v>2</v>
      </c>
      <c r="F154">
        <v>2501382993</v>
      </c>
      <c r="G154">
        <v>1030230693</v>
      </c>
      <c r="H154" t="s">
        <v>366</v>
      </c>
      <c r="I154">
        <v>2500034092</v>
      </c>
      <c r="J154" t="s">
        <v>50</v>
      </c>
      <c r="K154">
        <v>9000009190</v>
      </c>
      <c r="L154">
        <v>46946</v>
      </c>
      <c r="M154" t="s">
        <v>51</v>
      </c>
      <c r="N154">
        <v>9000079830</v>
      </c>
      <c r="O154" t="s">
        <v>187</v>
      </c>
      <c r="S154">
        <v>2507012387</v>
      </c>
      <c r="T154" t="s">
        <v>50</v>
      </c>
      <c r="U154" t="s">
        <v>122</v>
      </c>
      <c r="V154" t="s">
        <v>63</v>
      </c>
      <c r="W154" t="s">
        <v>64</v>
      </c>
      <c r="X154" t="s">
        <v>60</v>
      </c>
      <c r="Z154">
        <v>114</v>
      </c>
      <c r="AA154" t="s">
        <v>663</v>
      </c>
      <c r="AB154" t="s">
        <v>694</v>
      </c>
      <c r="AC154">
        <v>2604000067</v>
      </c>
      <c r="AE154">
        <v>0</v>
      </c>
      <c r="AF154">
        <v>0</v>
      </c>
      <c r="AG154">
        <v>0</v>
      </c>
      <c r="AH154">
        <v>0</v>
      </c>
      <c r="AI154" t="s">
        <v>56</v>
      </c>
      <c r="AJ154">
        <v>4.42</v>
      </c>
      <c r="AK154">
        <v>0.9</v>
      </c>
      <c r="AL154">
        <v>0.15</v>
      </c>
      <c r="AM154">
        <v>29.1</v>
      </c>
      <c r="AN154">
        <v>1.54</v>
      </c>
      <c r="AO154">
        <v>0</v>
      </c>
      <c r="AP154">
        <v>0</v>
      </c>
      <c r="AQ154" t="s">
        <v>57</v>
      </c>
      <c r="AS154" t="s">
        <v>695</v>
      </c>
      <c r="AT154" t="s">
        <v>695</v>
      </c>
      <c r="AU154" t="s">
        <v>694</v>
      </c>
      <c r="AV154" t="s">
        <v>696</v>
      </c>
      <c r="AW154" t="s">
        <v>697</v>
      </c>
      <c r="AZ154">
        <v>78140</v>
      </c>
      <c r="BA154" t="s">
        <v>698</v>
      </c>
      <c r="BB154" t="s">
        <v>61</v>
      </c>
      <c r="BC154" t="s">
        <v>62</v>
      </c>
    </row>
    <row r="155" spans="1:55" x14ac:dyDescent="0.25">
      <c r="A155" s="1" t="str">
        <f>IF(COUNTIF(Catégories!A:A,X155)=0,"catégorie inconnue",_xlfn.XLOOKUP(X155,Catégories!A:A,Catégories!B:B))</f>
        <v>Frêt</v>
      </c>
      <c r="B155" s="1">
        <f t="shared" si="6"/>
        <v>6.6000000000000005</v>
      </c>
      <c r="C155" s="1">
        <f t="shared" si="7"/>
        <v>1.45</v>
      </c>
      <c r="D155" s="1">
        <f t="shared" si="8"/>
        <v>5.15</v>
      </c>
      <c r="E155" s="20">
        <f>IF(AH155&lt;&gt;0,ROUNDUP(AH155,0),IF(BB155&lt;&gt;"FR","hors France",IF(AH155&lt;&gt;0,ROUNDUP(AH155,0),_xlfn.XLOOKUP(AJ155,'PA GLS'!B:B,'PA GLS'!A:A))))</f>
        <v>1</v>
      </c>
      <c r="F155">
        <v>2501382993</v>
      </c>
      <c r="G155">
        <v>1030230693</v>
      </c>
      <c r="H155" t="s">
        <v>366</v>
      </c>
      <c r="I155">
        <v>2500034092</v>
      </c>
      <c r="J155" t="s">
        <v>50</v>
      </c>
      <c r="K155">
        <v>9000009190</v>
      </c>
      <c r="L155">
        <v>46946</v>
      </c>
      <c r="M155" t="s">
        <v>51</v>
      </c>
      <c r="N155">
        <v>9000079830</v>
      </c>
      <c r="O155" t="s">
        <v>187</v>
      </c>
      <c r="S155">
        <v>2507012387</v>
      </c>
      <c r="T155" t="s">
        <v>50</v>
      </c>
      <c r="U155" t="s">
        <v>122</v>
      </c>
      <c r="V155" t="s">
        <v>66</v>
      </c>
      <c r="W155" t="s">
        <v>67</v>
      </c>
      <c r="X155" t="s">
        <v>60</v>
      </c>
      <c r="Z155">
        <v>113</v>
      </c>
      <c r="AA155" t="s">
        <v>663</v>
      </c>
      <c r="AB155" t="s">
        <v>664</v>
      </c>
      <c r="AC155">
        <v>2604000065</v>
      </c>
      <c r="AE155">
        <v>0</v>
      </c>
      <c r="AF155">
        <v>0</v>
      </c>
      <c r="AG155">
        <v>0</v>
      </c>
      <c r="AH155">
        <v>0</v>
      </c>
      <c r="AI155" t="s">
        <v>56</v>
      </c>
      <c r="AJ155">
        <v>4.0999999999999996</v>
      </c>
      <c r="AK155">
        <v>0.9</v>
      </c>
      <c r="AL155">
        <v>0.15</v>
      </c>
      <c r="AM155">
        <v>29.1</v>
      </c>
      <c r="AN155">
        <v>1.45</v>
      </c>
      <c r="AO155">
        <v>0</v>
      </c>
      <c r="AP155">
        <v>0</v>
      </c>
      <c r="AQ155" t="s">
        <v>57</v>
      </c>
      <c r="AS155" t="s">
        <v>665</v>
      </c>
      <c r="AT155" t="s">
        <v>665</v>
      </c>
      <c r="AU155" t="s">
        <v>664</v>
      </c>
      <c r="AV155" t="s">
        <v>326</v>
      </c>
      <c r="AW155" t="s">
        <v>327</v>
      </c>
      <c r="AZ155">
        <v>83136</v>
      </c>
      <c r="BA155" t="s">
        <v>328</v>
      </c>
      <c r="BB155" t="s">
        <v>61</v>
      </c>
      <c r="BC155" t="s">
        <v>62</v>
      </c>
    </row>
    <row r="156" spans="1:55" x14ac:dyDescent="0.25">
      <c r="A156" s="1" t="str">
        <f>IF(COUNTIF(Catégories!A:A,X156)=0,"catégorie inconnue",_xlfn.XLOOKUP(X156,Catégories!A:A,Catégories!B:B))</f>
        <v>Frêt</v>
      </c>
      <c r="B156" s="1">
        <f t="shared" si="6"/>
        <v>6.17</v>
      </c>
      <c r="C156" s="1">
        <f t="shared" si="7"/>
        <v>1.35</v>
      </c>
      <c r="D156" s="1">
        <f t="shared" si="8"/>
        <v>4.82</v>
      </c>
      <c r="E156" s="20">
        <f>IF(AH156&lt;&gt;0,ROUNDUP(AH156,0),IF(BB156&lt;&gt;"FR","hors France",IF(AH156&lt;&gt;0,ROUNDUP(AH156,0),_xlfn.XLOOKUP(AJ156,'PA GLS'!B:B,'PA GLS'!A:A))))</f>
        <v>0.5</v>
      </c>
      <c r="F156">
        <v>2501382993</v>
      </c>
      <c r="G156">
        <v>1030230693</v>
      </c>
      <c r="H156" t="s">
        <v>366</v>
      </c>
      <c r="I156">
        <v>2500034092</v>
      </c>
      <c r="J156" t="s">
        <v>50</v>
      </c>
      <c r="K156">
        <v>9000009190</v>
      </c>
      <c r="L156">
        <v>46946</v>
      </c>
      <c r="M156" t="s">
        <v>51</v>
      </c>
      <c r="N156">
        <v>9000079830</v>
      </c>
      <c r="O156" t="s">
        <v>187</v>
      </c>
      <c r="S156">
        <v>2507012387</v>
      </c>
      <c r="T156" t="s">
        <v>50</v>
      </c>
      <c r="U156" t="s">
        <v>122</v>
      </c>
      <c r="V156" t="s">
        <v>71</v>
      </c>
      <c r="W156" t="s">
        <v>72</v>
      </c>
      <c r="X156" t="s">
        <v>60</v>
      </c>
      <c r="Z156">
        <v>112</v>
      </c>
      <c r="AA156" t="s">
        <v>663</v>
      </c>
      <c r="AB156" t="s">
        <v>699</v>
      </c>
      <c r="AC156">
        <v>2604000069</v>
      </c>
      <c r="AE156">
        <v>0</v>
      </c>
      <c r="AF156">
        <v>0</v>
      </c>
      <c r="AG156">
        <v>0</v>
      </c>
      <c r="AH156">
        <v>0</v>
      </c>
      <c r="AI156" t="s">
        <v>56</v>
      </c>
      <c r="AJ156">
        <v>3.77</v>
      </c>
      <c r="AK156">
        <v>0.9</v>
      </c>
      <c r="AL156">
        <v>0.15</v>
      </c>
      <c r="AM156">
        <v>29.1</v>
      </c>
      <c r="AN156">
        <v>1.35</v>
      </c>
      <c r="AO156">
        <v>0</v>
      </c>
      <c r="AP156">
        <v>0</v>
      </c>
      <c r="AQ156" t="s">
        <v>57</v>
      </c>
      <c r="AS156" t="s">
        <v>700</v>
      </c>
      <c r="AT156" t="s">
        <v>700</v>
      </c>
      <c r="AU156" t="s">
        <v>699</v>
      </c>
      <c r="AV156" t="s">
        <v>701</v>
      </c>
      <c r="AW156" t="s">
        <v>702</v>
      </c>
      <c r="AZ156">
        <v>78860</v>
      </c>
      <c r="BA156" t="s">
        <v>703</v>
      </c>
      <c r="BB156" t="s">
        <v>61</v>
      </c>
      <c r="BC156" t="s">
        <v>62</v>
      </c>
    </row>
    <row r="157" spans="1:55" x14ac:dyDescent="0.25">
      <c r="A157" s="1" t="str">
        <f>IF(COUNTIF(Catégories!A:A,X157)=0,"catégorie inconnue",_xlfn.XLOOKUP(X157,Catégories!A:A,Catégories!B:B))</f>
        <v>Frêt</v>
      </c>
      <c r="B157" s="1">
        <f t="shared" si="6"/>
        <v>0</v>
      </c>
      <c r="C157" s="1">
        <f t="shared" si="7"/>
        <v>0</v>
      </c>
      <c r="D157" s="1">
        <f t="shared" si="8"/>
        <v>0</v>
      </c>
      <c r="E157" s="20">
        <f>IF(AH157&lt;&gt;0,ROUNDUP(AH157,0),IF(BB157&lt;&gt;"FR","hors France",IF(AH157&lt;&gt;0,ROUNDUP(AH157,0),_xlfn.XLOOKUP(AJ157,'PA GLS'!B:B,'PA GLS'!A:A))))</f>
        <v>1</v>
      </c>
      <c r="F157">
        <v>2501382993</v>
      </c>
      <c r="G157">
        <v>1030230693</v>
      </c>
      <c r="H157" t="s">
        <v>366</v>
      </c>
      <c r="I157">
        <v>2500034092</v>
      </c>
      <c r="J157" t="s">
        <v>50</v>
      </c>
      <c r="K157">
        <v>9000009190</v>
      </c>
      <c r="L157">
        <v>46946</v>
      </c>
      <c r="M157" t="s">
        <v>51</v>
      </c>
      <c r="N157">
        <v>9000079830</v>
      </c>
      <c r="O157" t="s">
        <v>187</v>
      </c>
      <c r="S157">
        <v>2507012387</v>
      </c>
      <c r="T157" t="s">
        <v>50</v>
      </c>
      <c r="U157" t="s">
        <v>122</v>
      </c>
      <c r="V157" t="s">
        <v>176</v>
      </c>
      <c r="W157" t="s">
        <v>177</v>
      </c>
      <c r="X157" t="s">
        <v>152</v>
      </c>
      <c r="Z157">
        <v>111</v>
      </c>
      <c r="AA157" t="s">
        <v>663</v>
      </c>
      <c r="AB157" t="s">
        <v>699</v>
      </c>
      <c r="AC157">
        <v>2604000069</v>
      </c>
      <c r="AE157">
        <v>0</v>
      </c>
      <c r="AF157">
        <v>1</v>
      </c>
      <c r="AG157">
        <v>0</v>
      </c>
      <c r="AH157">
        <v>0.45</v>
      </c>
      <c r="AI157" t="s">
        <v>56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">
        <v>57</v>
      </c>
      <c r="AS157" t="s">
        <v>700</v>
      </c>
      <c r="AT157" t="s">
        <v>700</v>
      </c>
      <c r="AU157" t="s">
        <v>699</v>
      </c>
      <c r="AV157" t="s">
        <v>701</v>
      </c>
      <c r="AW157" t="s">
        <v>702</v>
      </c>
      <c r="AZ157">
        <v>78860</v>
      </c>
      <c r="BA157" t="s">
        <v>703</v>
      </c>
      <c r="BB157" t="s">
        <v>61</v>
      </c>
      <c r="BC157" t="s">
        <v>62</v>
      </c>
    </row>
    <row r="158" spans="1:55" x14ac:dyDescent="0.25">
      <c r="A158" s="1" t="str">
        <f>IF(COUNTIF(Catégories!A:A,X158)=0,"catégorie inconnue",_xlfn.XLOOKUP(X158,Catégories!A:A,Catégories!B:B))</f>
        <v>Frêt</v>
      </c>
      <c r="B158" s="1">
        <f t="shared" si="6"/>
        <v>0</v>
      </c>
      <c r="C158" s="1">
        <f t="shared" si="7"/>
        <v>0</v>
      </c>
      <c r="D158" s="1">
        <f t="shared" si="8"/>
        <v>0</v>
      </c>
      <c r="E158" s="20">
        <f>IF(AH158&lt;&gt;0,ROUNDUP(AH158,0),IF(BB158&lt;&gt;"FR","hors France",IF(AH158&lt;&gt;0,ROUNDUP(AH158,0),_xlfn.XLOOKUP(AJ158,'PA GLS'!B:B,'PA GLS'!A:A))))</f>
        <v>2</v>
      </c>
      <c r="F158">
        <v>2501382993</v>
      </c>
      <c r="G158">
        <v>1030230693</v>
      </c>
      <c r="H158" t="s">
        <v>366</v>
      </c>
      <c r="I158">
        <v>2500034092</v>
      </c>
      <c r="J158" t="s">
        <v>50</v>
      </c>
      <c r="K158">
        <v>9000009190</v>
      </c>
      <c r="L158">
        <v>46946</v>
      </c>
      <c r="M158" t="s">
        <v>51</v>
      </c>
      <c r="N158">
        <v>9000079830</v>
      </c>
      <c r="O158" t="s">
        <v>187</v>
      </c>
      <c r="S158">
        <v>2507012387</v>
      </c>
      <c r="T158" t="s">
        <v>50</v>
      </c>
      <c r="U158" t="s">
        <v>122</v>
      </c>
      <c r="V158" t="s">
        <v>176</v>
      </c>
      <c r="W158" t="s">
        <v>177</v>
      </c>
      <c r="X158" t="s">
        <v>152</v>
      </c>
      <c r="Z158">
        <v>111</v>
      </c>
      <c r="AA158" t="s">
        <v>663</v>
      </c>
      <c r="AB158" t="s">
        <v>671</v>
      </c>
      <c r="AC158">
        <v>2604000068</v>
      </c>
      <c r="AE158">
        <v>0</v>
      </c>
      <c r="AF158">
        <v>1</v>
      </c>
      <c r="AG158">
        <v>0</v>
      </c>
      <c r="AH158">
        <v>2</v>
      </c>
      <c r="AI158" t="s">
        <v>56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 t="s">
        <v>57</v>
      </c>
      <c r="AS158" t="s">
        <v>672</v>
      </c>
      <c r="AT158" t="s">
        <v>672</v>
      </c>
      <c r="AU158" t="s">
        <v>671</v>
      </c>
      <c r="AV158" t="s">
        <v>673</v>
      </c>
      <c r="AW158" t="s">
        <v>674</v>
      </c>
      <c r="AZ158">
        <v>93100</v>
      </c>
      <c r="BA158" t="s">
        <v>296</v>
      </c>
      <c r="BB158" t="s">
        <v>61</v>
      </c>
      <c r="BC158" t="s">
        <v>62</v>
      </c>
    </row>
    <row r="159" spans="1:55" x14ac:dyDescent="0.25">
      <c r="A159" s="1" t="str">
        <f>IF(COUNTIF(Catégories!A:A,X159)=0,"catégorie inconnue",_xlfn.XLOOKUP(X159,Catégories!A:A,Catégories!B:B))</f>
        <v>Frêt</v>
      </c>
      <c r="B159" s="1">
        <f t="shared" si="6"/>
        <v>0</v>
      </c>
      <c r="C159" s="1">
        <f t="shared" si="7"/>
        <v>0</v>
      </c>
      <c r="D159" s="1">
        <f t="shared" si="8"/>
        <v>0</v>
      </c>
      <c r="E159" s="20">
        <f>IF(AH159&lt;&gt;0,ROUNDUP(AH159,0),IF(BB159&lt;&gt;"FR","hors France",IF(AH159&lt;&gt;0,ROUNDUP(AH159,0),_xlfn.XLOOKUP(AJ159,'PA GLS'!B:B,'PA GLS'!A:A))))</f>
        <v>2</v>
      </c>
      <c r="F159">
        <v>2501382993</v>
      </c>
      <c r="G159">
        <v>1030230693</v>
      </c>
      <c r="H159" t="s">
        <v>366</v>
      </c>
      <c r="I159">
        <v>2500034092</v>
      </c>
      <c r="J159" t="s">
        <v>50</v>
      </c>
      <c r="K159">
        <v>9000009190</v>
      </c>
      <c r="L159">
        <v>46946</v>
      </c>
      <c r="M159" t="s">
        <v>51</v>
      </c>
      <c r="N159">
        <v>9000079830</v>
      </c>
      <c r="O159" t="s">
        <v>187</v>
      </c>
      <c r="S159">
        <v>2507012387</v>
      </c>
      <c r="T159" t="s">
        <v>50</v>
      </c>
      <c r="U159" t="s">
        <v>122</v>
      </c>
      <c r="V159" t="s">
        <v>176</v>
      </c>
      <c r="W159" t="s">
        <v>177</v>
      </c>
      <c r="X159" t="s">
        <v>152</v>
      </c>
      <c r="Z159">
        <v>111</v>
      </c>
      <c r="AA159" t="s">
        <v>663</v>
      </c>
      <c r="AB159" t="s">
        <v>689</v>
      </c>
      <c r="AC159">
        <v>2604000066</v>
      </c>
      <c r="AE159">
        <v>0</v>
      </c>
      <c r="AF159">
        <v>1</v>
      </c>
      <c r="AG159">
        <v>0</v>
      </c>
      <c r="AH159">
        <v>1.95</v>
      </c>
      <c r="AI159" t="s">
        <v>56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 t="s">
        <v>57</v>
      </c>
      <c r="AS159" t="s">
        <v>690</v>
      </c>
      <c r="AT159" t="s">
        <v>690</v>
      </c>
      <c r="AU159" t="s">
        <v>689</v>
      </c>
      <c r="AV159" t="s">
        <v>691</v>
      </c>
      <c r="AW159" t="s">
        <v>692</v>
      </c>
      <c r="AZ159">
        <v>91940</v>
      </c>
      <c r="BA159" t="s">
        <v>693</v>
      </c>
      <c r="BB159" t="s">
        <v>61</v>
      </c>
      <c r="BC159" t="s">
        <v>62</v>
      </c>
    </row>
    <row r="160" spans="1:55" x14ac:dyDescent="0.25">
      <c r="A160" s="1" t="str">
        <f>IF(COUNTIF(Catégories!A:A,X160)=0,"catégorie inconnue",_xlfn.XLOOKUP(X160,Catégories!A:A,Catégories!B:B))</f>
        <v>Frêt</v>
      </c>
      <c r="B160" s="1">
        <f t="shared" si="6"/>
        <v>0</v>
      </c>
      <c r="C160" s="1">
        <f t="shared" si="7"/>
        <v>0</v>
      </c>
      <c r="D160" s="1">
        <f t="shared" si="8"/>
        <v>0</v>
      </c>
      <c r="E160" s="20">
        <f>IF(AH160&lt;&gt;0,ROUNDUP(AH160,0),IF(BB160&lt;&gt;"FR","hors France",IF(AH160&lt;&gt;0,ROUNDUP(AH160,0),_xlfn.XLOOKUP(AJ160,'PA GLS'!B:B,'PA GLS'!A:A))))</f>
        <v>2</v>
      </c>
      <c r="F160">
        <v>2501382993</v>
      </c>
      <c r="G160">
        <v>1030230693</v>
      </c>
      <c r="H160" t="s">
        <v>366</v>
      </c>
      <c r="I160">
        <v>2500034092</v>
      </c>
      <c r="J160" t="s">
        <v>50</v>
      </c>
      <c r="K160">
        <v>9000009190</v>
      </c>
      <c r="L160">
        <v>46946</v>
      </c>
      <c r="M160" t="s">
        <v>51</v>
      </c>
      <c r="N160">
        <v>9000079830</v>
      </c>
      <c r="O160" t="s">
        <v>187</v>
      </c>
      <c r="S160">
        <v>2507012387</v>
      </c>
      <c r="T160" t="s">
        <v>50</v>
      </c>
      <c r="U160" t="s">
        <v>122</v>
      </c>
      <c r="V160" t="s">
        <v>176</v>
      </c>
      <c r="W160" t="s">
        <v>177</v>
      </c>
      <c r="X160" t="s">
        <v>152</v>
      </c>
      <c r="Z160">
        <v>111</v>
      </c>
      <c r="AA160" t="s">
        <v>663</v>
      </c>
      <c r="AB160" t="s">
        <v>694</v>
      </c>
      <c r="AC160">
        <v>2604000067</v>
      </c>
      <c r="AE160">
        <v>0</v>
      </c>
      <c r="AF160">
        <v>1</v>
      </c>
      <c r="AG160">
        <v>0</v>
      </c>
      <c r="AH160">
        <v>1.1599999999999999</v>
      </c>
      <c r="AI160" t="s">
        <v>56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">
        <v>57</v>
      </c>
      <c r="AS160" t="s">
        <v>695</v>
      </c>
      <c r="AT160" t="s">
        <v>695</v>
      </c>
      <c r="AU160" t="s">
        <v>694</v>
      </c>
      <c r="AV160" t="s">
        <v>696</v>
      </c>
      <c r="AW160" t="s">
        <v>697</v>
      </c>
      <c r="AZ160">
        <v>78140</v>
      </c>
      <c r="BA160" t="s">
        <v>698</v>
      </c>
      <c r="BB160" t="s">
        <v>61</v>
      </c>
      <c r="BC160" t="s">
        <v>62</v>
      </c>
    </row>
    <row r="161" spans="1:55" x14ac:dyDescent="0.25">
      <c r="A161" s="1" t="str">
        <f>IF(COUNTIF(Catégories!A:A,X161)=0,"catégorie inconnue",_xlfn.XLOOKUP(X161,Catégories!A:A,Catégories!B:B))</f>
        <v>Frêt</v>
      </c>
      <c r="B161" s="1">
        <f t="shared" si="6"/>
        <v>7.0100000000000007</v>
      </c>
      <c r="C161" s="1">
        <f t="shared" si="7"/>
        <v>1.54</v>
      </c>
      <c r="D161" s="1">
        <f t="shared" si="8"/>
        <v>5.4700000000000006</v>
      </c>
      <c r="E161" s="20">
        <f>IF(AH161&lt;&gt;0,ROUNDUP(AH161,0),IF(BB161&lt;&gt;"FR","hors France",IF(AH161&lt;&gt;0,ROUNDUP(AH161,0),_xlfn.XLOOKUP(AJ161,'PA GLS'!B:B,'PA GLS'!A:A))))</f>
        <v>2</v>
      </c>
      <c r="F161">
        <v>2501382993</v>
      </c>
      <c r="G161">
        <v>1030233386</v>
      </c>
      <c r="H161" t="s">
        <v>366</v>
      </c>
      <c r="I161">
        <v>2500034092</v>
      </c>
      <c r="J161" t="s">
        <v>50</v>
      </c>
      <c r="K161">
        <v>9000009190</v>
      </c>
      <c r="L161">
        <v>46946</v>
      </c>
      <c r="M161" t="s">
        <v>51</v>
      </c>
      <c r="N161">
        <v>9000037814</v>
      </c>
      <c r="O161" t="s">
        <v>51</v>
      </c>
      <c r="S161">
        <v>2507012387</v>
      </c>
      <c r="T161" t="s">
        <v>50</v>
      </c>
      <c r="U161" t="s">
        <v>122</v>
      </c>
      <c r="V161" t="s">
        <v>63</v>
      </c>
      <c r="W161" t="s">
        <v>64</v>
      </c>
      <c r="X161" t="s">
        <v>60</v>
      </c>
      <c r="Z161">
        <v>170</v>
      </c>
      <c r="AA161" t="s">
        <v>704</v>
      </c>
      <c r="AB161" t="s">
        <v>705</v>
      </c>
      <c r="AC161">
        <v>2604000042</v>
      </c>
      <c r="AE161">
        <v>0</v>
      </c>
      <c r="AF161">
        <v>0</v>
      </c>
      <c r="AG161">
        <v>0</v>
      </c>
      <c r="AH161">
        <v>0</v>
      </c>
      <c r="AI161" t="s">
        <v>56</v>
      </c>
      <c r="AJ161">
        <v>4.42</v>
      </c>
      <c r="AK161">
        <v>0.9</v>
      </c>
      <c r="AL161">
        <v>0.15</v>
      </c>
      <c r="AM161">
        <v>29.1</v>
      </c>
      <c r="AN161">
        <v>1.54</v>
      </c>
      <c r="AO161">
        <v>0</v>
      </c>
      <c r="AP161">
        <v>0</v>
      </c>
      <c r="AQ161" t="s">
        <v>57</v>
      </c>
      <c r="AS161" t="s">
        <v>706</v>
      </c>
      <c r="AT161" t="s">
        <v>706</v>
      </c>
      <c r="AU161" t="s">
        <v>705</v>
      </c>
      <c r="AV161" t="s">
        <v>600</v>
      </c>
      <c r="AW161" t="s">
        <v>601</v>
      </c>
      <c r="AZ161">
        <v>92290</v>
      </c>
      <c r="BA161" t="s">
        <v>602</v>
      </c>
      <c r="BB161" t="s">
        <v>61</v>
      </c>
      <c r="BC161" t="s">
        <v>62</v>
      </c>
    </row>
    <row r="162" spans="1:55" x14ac:dyDescent="0.25">
      <c r="A162" s="1" t="str">
        <f>IF(COUNTIF(Catégories!A:A,X162)=0,"catégorie inconnue",_xlfn.XLOOKUP(X162,Catégories!A:A,Catégories!B:B))</f>
        <v>Frêt</v>
      </c>
      <c r="B162" s="1">
        <f t="shared" si="6"/>
        <v>6.6000000000000005</v>
      </c>
      <c r="C162" s="1">
        <f t="shared" si="7"/>
        <v>1.45</v>
      </c>
      <c r="D162" s="1">
        <f t="shared" si="8"/>
        <v>5.15</v>
      </c>
      <c r="E162" s="20">
        <f>IF(AH162&lt;&gt;0,ROUNDUP(AH162,0),IF(BB162&lt;&gt;"FR","hors France",IF(AH162&lt;&gt;0,ROUNDUP(AH162,0),_xlfn.XLOOKUP(AJ162,'PA GLS'!B:B,'PA GLS'!A:A))))</f>
        <v>1</v>
      </c>
      <c r="F162">
        <v>2501382993</v>
      </c>
      <c r="G162">
        <v>1030233386</v>
      </c>
      <c r="H162" t="s">
        <v>366</v>
      </c>
      <c r="I162">
        <v>2500034092</v>
      </c>
      <c r="J162" t="s">
        <v>50</v>
      </c>
      <c r="K162">
        <v>9000009190</v>
      </c>
      <c r="L162">
        <v>46946</v>
      </c>
      <c r="M162" t="s">
        <v>51</v>
      </c>
      <c r="N162">
        <v>9000037814</v>
      </c>
      <c r="O162" t="s">
        <v>51</v>
      </c>
      <c r="S162">
        <v>2507012387</v>
      </c>
      <c r="T162" t="s">
        <v>50</v>
      </c>
      <c r="U162" t="s">
        <v>122</v>
      </c>
      <c r="V162" t="s">
        <v>66</v>
      </c>
      <c r="W162" t="s">
        <v>67</v>
      </c>
      <c r="X162" t="s">
        <v>60</v>
      </c>
      <c r="Z162">
        <v>169</v>
      </c>
      <c r="AA162" t="s">
        <v>704</v>
      </c>
      <c r="AB162" t="s">
        <v>707</v>
      </c>
      <c r="AC162">
        <v>2604000043</v>
      </c>
      <c r="AE162">
        <v>0</v>
      </c>
      <c r="AF162">
        <v>0</v>
      </c>
      <c r="AG162">
        <v>0</v>
      </c>
      <c r="AH162">
        <v>0</v>
      </c>
      <c r="AI162" t="s">
        <v>56</v>
      </c>
      <c r="AJ162">
        <v>4.0999999999999996</v>
      </c>
      <c r="AK162">
        <v>0.9</v>
      </c>
      <c r="AL162">
        <v>0.15</v>
      </c>
      <c r="AM162">
        <v>29.1</v>
      </c>
      <c r="AN162">
        <v>1.45</v>
      </c>
      <c r="AO162">
        <v>0</v>
      </c>
      <c r="AP162">
        <v>0</v>
      </c>
      <c r="AQ162" t="s">
        <v>57</v>
      </c>
      <c r="AS162" t="s">
        <v>708</v>
      </c>
      <c r="AT162" t="s">
        <v>708</v>
      </c>
      <c r="AU162" t="s">
        <v>707</v>
      </c>
      <c r="AV162" t="s">
        <v>709</v>
      </c>
      <c r="AW162" t="s">
        <v>710</v>
      </c>
      <c r="AZ162">
        <v>34270</v>
      </c>
      <c r="BA162" t="s">
        <v>711</v>
      </c>
      <c r="BB162" t="s">
        <v>61</v>
      </c>
      <c r="BC162" t="s">
        <v>62</v>
      </c>
    </row>
    <row r="163" spans="1:55" x14ac:dyDescent="0.25">
      <c r="A163" s="1" t="str">
        <f>IF(COUNTIF(Catégories!A:A,X163)=0,"catégorie inconnue",_xlfn.XLOOKUP(X163,Catégories!A:A,Catégories!B:B))</f>
        <v>Frêt</v>
      </c>
      <c r="B163" s="1">
        <f t="shared" si="6"/>
        <v>6.6000000000000005</v>
      </c>
      <c r="C163" s="1">
        <f t="shared" si="7"/>
        <v>1.45</v>
      </c>
      <c r="D163" s="1">
        <f t="shared" si="8"/>
        <v>5.15</v>
      </c>
      <c r="E163" s="20">
        <f>IF(AH163&lt;&gt;0,ROUNDUP(AH163,0),IF(BB163&lt;&gt;"FR","hors France",IF(AH163&lt;&gt;0,ROUNDUP(AH163,0),_xlfn.XLOOKUP(AJ163,'PA GLS'!B:B,'PA GLS'!A:A))))</f>
        <v>1</v>
      </c>
      <c r="F163">
        <v>2501382993</v>
      </c>
      <c r="G163">
        <v>1030233386</v>
      </c>
      <c r="H163" t="s">
        <v>366</v>
      </c>
      <c r="I163">
        <v>2500034092</v>
      </c>
      <c r="J163" t="s">
        <v>50</v>
      </c>
      <c r="K163">
        <v>9000009190</v>
      </c>
      <c r="L163">
        <v>46946</v>
      </c>
      <c r="M163" t="s">
        <v>51</v>
      </c>
      <c r="N163">
        <v>9000037814</v>
      </c>
      <c r="O163" t="s">
        <v>51</v>
      </c>
      <c r="S163">
        <v>2507012387</v>
      </c>
      <c r="T163" t="s">
        <v>50</v>
      </c>
      <c r="U163" t="s">
        <v>122</v>
      </c>
      <c r="V163" t="s">
        <v>66</v>
      </c>
      <c r="W163" t="s">
        <v>67</v>
      </c>
      <c r="X163" t="s">
        <v>60</v>
      </c>
      <c r="Z163">
        <v>169</v>
      </c>
      <c r="AA163" t="s">
        <v>704</v>
      </c>
      <c r="AB163" t="s">
        <v>712</v>
      </c>
      <c r="AC163">
        <v>2604000037</v>
      </c>
      <c r="AE163">
        <v>0</v>
      </c>
      <c r="AF163">
        <v>0</v>
      </c>
      <c r="AG163">
        <v>0</v>
      </c>
      <c r="AH163">
        <v>0</v>
      </c>
      <c r="AI163" t="s">
        <v>56</v>
      </c>
      <c r="AJ163">
        <v>4.0999999999999996</v>
      </c>
      <c r="AK163">
        <v>0.9</v>
      </c>
      <c r="AL163">
        <v>0.15</v>
      </c>
      <c r="AM163">
        <v>29.1</v>
      </c>
      <c r="AN163">
        <v>1.45</v>
      </c>
      <c r="AO163">
        <v>0</v>
      </c>
      <c r="AP163">
        <v>0</v>
      </c>
      <c r="AQ163" t="s">
        <v>57</v>
      </c>
      <c r="AS163" t="s">
        <v>713</v>
      </c>
      <c r="AT163" t="s">
        <v>713</v>
      </c>
      <c r="AU163" t="s">
        <v>712</v>
      </c>
      <c r="AV163" t="s">
        <v>714</v>
      </c>
      <c r="AW163" t="s">
        <v>715</v>
      </c>
      <c r="AZ163">
        <v>6130</v>
      </c>
      <c r="BA163" t="s">
        <v>272</v>
      </c>
      <c r="BB163" t="s">
        <v>61</v>
      </c>
      <c r="BC163" t="s">
        <v>62</v>
      </c>
    </row>
    <row r="164" spans="1:55" x14ac:dyDescent="0.25">
      <c r="A164" s="1" t="str">
        <f>IF(COUNTIF(Catégories!A:A,X164)=0,"catégorie inconnue",_xlfn.XLOOKUP(X164,Catégories!A:A,Catégories!B:B))</f>
        <v>Frêt</v>
      </c>
      <c r="B164" s="1">
        <f t="shared" si="6"/>
        <v>6.6000000000000005</v>
      </c>
      <c r="C164" s="1">
        <f t="shared" si="7"/>
        <v>1.45</v>
      </c>
      <c r="D164" s="1">
        <f t="shared" si="8"/>
        <v>5.15</v>
      </c>
      <c r="E164" s="20">
        <f>IF(AH164&lt;&gt;0,ROUNDUP(AH164,0),IF(BB164&lt;&gt;"FR","hors France",IF(AH164&lt;&gt;0,ROUNDUP(AH164,0),_xlfn.XLOOKUP(AJ164,'PA GLS'!B:B,'PA GLS'!A:A))))</f>
        <v>1</v>
      </c>
      <c r="F164">
        <v>2501382993</v>
      </c>
      <c r="G164">
        <v>1030233386</v>
      </c>
      <c r="H164" t="s">
        <v>366</v>
      </c>
      <c r="I164">
        <v>2500034092</v>
      </c>
      <c r="J164" t="s">
        <v>50</v>
      </c>
      <c r="K164">
        <v>9000009190</v>
      </c>
      <c r="L164">
        <v>46946</v>
      </c>
      <c r="M164" t="s">
        <v>51</v>
      </c>
      <c r="N164">
        <v>9000037814</v>
      </c>
      <c r="O164" t="s">
        <v>51</v>
      </c>
      <c r="S164">
        <v>2507012387</v>
      </c>
      <c r="T164" t="s">
        <v>50</v>
      </c>
      <c r="U164" t="s">
        <v>122</v>
      </c>
      <c r="V164" t="s">
        <v>69</v>
      </c>
      <c r="W164" t="s">
        <v>70</v>
      </c>
      <c r="X164" t="s">
        <v>60</v>
      </c>
      <c r="Z164">
        <v>168</v>
      </c>
      <c r="AA164" t="s">
        <v>704</v>
      </c>
      <c r="AB164" t="s">
        <v>716</v>
      </c>
      <c r="AC164">
        <v>2604000038</v>
      </c>
      <c r="AE164">
        <v>0</v>
      </c>
      <c r="AF164">
        <v>0</v>
      </c>
      <c r="AG164">
        <v>0</v>
      </c>
      <c r="AH164">
        <v>0</v>
      </c>
      <c r="AI164" t="s">
        <v>56</v>
      </c>
      <c r="AJ164">
        <v>4.0999999999999996</v>
      </c>
      <c r="AK164">
        <v>0.9</v>
      </c>
      <c r="AL164">
        <v>0.15</v>
      </c>
      <c r="AM164">
        <v>29.1</v>
      </c>
      <c r="AN164">
        <v>1.45</v>
      </c>
      <c r="AO164">
        <v>0</v>
      </c>
      <c r="AP164">
        <v>0</v>
      </c>
      <c r="AQ164" t="s">
        <v>57</v>
      </c>
      <c r="AS164" t="s">
        <v>717</v>
      </c>
      <c r="AT164" t="s">
        <v>717</v>
      </c>
      <c r="AU164" t="s">
        <v>716</v>
      </c>
      <c r="AV164" t="s">
        <v>714</v>
      </c>
      <c r="AW164" t="s">
        <v>715</v>
      </c>
      <c r="AZ164">
        <v>6130</v>
      </c>
      <c r="BA164" t="s">
        <v>272</v>
      </c>
      <c r="BB164" t="s">
        <v>61</v>
      </c>
      <c r="BC164" t="s">
        <v>62</v>
      </c>
    </row>
    <row r="165" spans="1:55" x14ac:dyDescent="0.25">
      <c r="A165" s="1" t="str">
        <f>IF(COUNTIF(Catégories!A:A,X165)=0,"catégorie inconnue",_xlfn.XLOOKUP(X165,Catégories!A:A,Catégories!B:B))</f>
        <v>Frêt</v>
      </c>
      <c r="B165" s="1">
        <f t="shared" si="6"/>
        <v>6.17</v>
      </c>
      <c r="C165" s="1">
        <f t="shared" si="7"/>
        <v>1.35</v>
      </c>
      <c r="D165" s="1">
        <f t="shared" si="8"/>
        <v>4.82</v>
      </c>
      <c r="E165" s="20">
        <f>IF(AH165&lt;&gt;0,ROUNDUP(AH165,0),IF(BB165&lt;&gt;"FR","hors France",IF(AH165&lt;&gt;0,ROUNDUP(AH165,0),_xlfn.XLOOKUP(AJ165,'PA GLS'!B:B,'PA GLS'!A:A))))</f>
        <v>0.5</v>
      </c>
      <c r="F165">
        <v>2501382993</v>
      </c>
      <c r="G165">
        <v>1030233386</v>
      </c>
      <c r="H165" t="s">
        <v>366</v>
      </c>
      <c r="I165">
        <v>2500034092</v>
      </c>
      <c r="J165" t="s">
        <v>50</v>
      </c>
      <c r="K165">
        <v>9000009190</v>
      </c>
      <c r="L165">
        <v>46946</v>
      </c>
      <c r="M165" t="s">
        <v>51</v>
      </c>
      <c r="N165">
        <v>9000037814</v>
      </c>
      <c r="O165" t="s">
        <v>51</v>
      </c>
      <c r="S165">
        <v>2507012387</v>
      </c>
      <c r="T165" t="s">
        <v>50</v>
      </c>
      <c r="U165" t="s">
        <v>122</v>
      </c>
      <c r="V165" t="s">
        <v>71</v>
      </c>
      <c r="W165" t="s">
        <v>72</v>
      </c>
      <c r="X165" t="s">
        <v>60</v>
      </c>
      <c r="Z165">
        <v>167</v>
      </c>
      <c r="AA165" t="s">
        <v>704</v>
      </c>
      <c r="AB165" t="s">
        <v>718</v>
      </c>
      <c r="AC165">
        <v>2604000041</v>
      </c>
      <c r="AE165">
        <v>0</v>
      </c>
      <c r="AF165">
        <v>0</v>
      </c>
      <c r="AG165">
        <v>0</v>
      </c>
      <c r="AH165">
        <v>0</v>
      </c>
      <c r="AI165" t="s">
        <v>56</v>
      </c>
      <c r="AJ165">
        <v>3.77</v>
      </c>
      <c r="AK165">
        <v>0.9</v>
      </c>
      <c r="AL165">
        <v>0.15</v>
      </c>
      <c r="AM165">
        <v>29.1</v>
      </c>
      <c r="AN165">
        <v>1.35</v>
      </c>
      <c r="AO165">
        <v>0</v>
      </c>
      <c r="AP165">
        <v>0</v>
      </c>
      <c r="AQ165" t="s">
        <v>57</v>
      </c>
      <c r="AS165" t="s">
        <v>719</v>
      </c>
      <c r="AT165" t="s">
        <v>719</v>
      </c>
      <c r="AU165" t="s">
        <v>718</v>
      </c>
      <c r="AV165" t="s">
        <v>714</v>
      </c>
      <c r="AW165" t="s">
        <v>715</v>
      </c>
      <c r="AZ165">
        <v>6130</v>
      </c>
      <c r="BA165" t="s">
        <v>272</v>
      </c>
      <c r="BB165" t="s">
        <v>61</v>
      </c>
      <c r="BC165" t="s">
        <v>62</v>
      </c>
    </row>
    <row r="166" spans="1:55" x14ac:dyDescent="0.25">
      <c r="A166" s="1" t="str">
        <f>IF(COUNTIF(Catégories!A:A,X166)=0,"catégorie inconnue",_xlfn.XLOOKUP(X166,Catégories!A:A,Catégories!B:B))</f>
        <v>Frêt</v>
      </c>
      <c r="B166" s="1">
        <f t="shared" si="6"/>
        <v>6.17</v>
      </c>
      <c r="C166" s="1">
        <f t="shared" si="7"/>
        <v>1.35</v>
      </c>
      <c r="D166" s="1">
        <f t="shared" si="8"/>
        <v>4.82</v>
      </c>
      <c r="E166" s="20">
        <f>IF(AH166&lt;&gt;0,ROUNDUP(AH166,0),IF(BB166&lt;&gt;"FR","hors France",IF(AH166&lt;&gt;0,ROUNDUP(AH166,0),_xlfn.XLOOKUP(AJ166,'PA GLS'!B:B,'PA GLS'!A:A))))</f>
        <v>0.5</v>
      </c>
      <c r="F166">
        <v>2501382993</v>
      </c>
      <c r="G166">
        <v>1030233386</v>
      </c>
      <c r="H166" t="s">
        <v>366</v>
      </c>
      <c r="I166">
        <v>2500034092</v>
      </c>
      <c r="J166" t="s">
        <v>50</v>
      </c>
      <c r="K166">
        <v>9000009190</v>
      </c>
      <c r="L166">
        <v>46946</v>
      </c>
      <c r="M166" t="s">
        <v>51</v>
      </c>
      <c r="N166">
        <v>9000037814</v>
      </c>
      <c r="O166" t="s">
        <v>51</v>
      </c>
      <c r="S166">
        <v>2507012387</v>
      </c>
      <c r="T166" t="s">
        <v>50</v>
      </c>
      <c r="U166" t="s">
        <v>122</v>
      </c>
      <c r="V166" t="s">
        <v>71</v>
      </c>
      <c r="W166" t="s">
        <v>72</v>
      </c>
      <c r="X166" t="s">
        <v>60</v>
      </c>
      <c r="Z166">
        <v>167</v>
      </c>
      <c r="AA166" t="s">
        <v>704</v>
      </c>
      <c r="AB166" t="s">
        <v>720</v>
      </c>
      <c r="AC166">
        <v>2604000040</v>
      </c>
      <c r="AE166">
        <v>0</v>
      </c>
      <c r="AF166">
        <v>0</v>
      </c>
      <c r="AG166">
        <v>0</v>
      </c>
      <c r="AH166">
        <v>0</v>
      </c>
      <c r="AI166" t="s">
        <v>56</v>
      </c>
      <c r="AJ166">
        <v>3.77</v>
      </c>
      <c r="AK166">
        <v>0.9</v>
      </c>
      <c r="AL166">
        <v>0.15</v>
      </c>
      <c r="AM166">
        <v>29.1</v>
      </c>
      <c r="AN166">
        <v>1.35</v>
      </c>
      <c r="AO166">
        <v>0</v>
      </c>
      <c r="AP166">
        <v>0</v>
      </c>
      <c r="AQ166" t="s">
        <v>57</v>
      </c>
      <c r="AS166" t="s">
        <v>721</v>
      </c>
      <c r="AT166" t="s">
        <v>721</v>
      </c>
      <c r="AU166" t="s">
        <v>720</v>
      </c>
      <c r="AV166" t="s">
        <v>722</v>
      </c>
      <c r="AW166" t="s">
        <v>723</v>
      </c>
      <c r="AZ166">
        <v>74700</v>
      </c>
      <c r="BA166" t="s">
        <v>724</v>
      </c>
      <c r="BB166" t="s">
        <v>61</v>
      </c>
      <c r="BC166" t="s">
        <v>62</v>
      </c>
    </row>
    <row r="167" spans="1:55" x14ac:dyDescent="0.25">
      <c r="A167" s="1" t="str">
        <f>IF(COUNTIF(Catégories!A:A,X167)=0,"catégorie inconnue",_xlfn.XLOOKUP(X167,Catégories!A:A,Catégories!B:B))</f>
        <v>Frêt</v>
      </c>
      <c r="B167" s="1">
        <f t="shared" si="6"/>
        <v>6.17</v>
      </c>
      <c r="C167" s="1">
        <f t="shared" si="7"/>
        <v>1.35</v>
      </c>
      <c r="D167" s="1">
        <f t="shared" si="8"/>
        <v>4.82</v>
      </c>
      <c r="E167" s="20">
        <f>IF(AH167&lt;&gt;0,ROUNDUP(AH167,0),IF(BB167&lt;&gt;"FR","hors France",IF(AH167&lt;&gt;0,ROUNDUP(AH167,0),_xlfn.XLOOKUP(AJ167,'PA GLS'!B:B,'PA GLS'!A:A))))</f>
        <v>0.5</v>
      </c>
      <c r="F167">
        <v>2501382993</v>
      </c>
      <c r="G167">
        <v>1030233386</v>
      </c>
      <c r="H167" t="s">
        <v>366</v>
      </c>
      <c r="I167">
        <v>2500034092</v>
      </c>
      <c r="J167" t="s">
        <v>50</v>
      </c>
      <c r="K167">
        <v>9000009190</v>
      </c>
      <c r="L167">
        <v>46946</v>
      </c>
      <c r="M167" t="s">
        <v>51</v>
      </c>
      <c r="N167">
        <v>9000037814</v>
      </c>
      <c r="O167" t="s">
        <v>51</v>
      </c>
      <c r="S167">
        <v>2507012387</v>
      </c>
      <c r="T167" t="s">
        <v>50</v>
      </c>
      <c r="U167" t="s">
        <v>122</v>
      </c>
      <c r="V167" t="s">
        <v>71</v>
      </c>
      <c r="W167" t="s">
        <v>72</v>
      </c>
      <c r="X167" t="s">
        <v>60</v>
      </c>
      <c r="Z167">
        <v>167</v>
      </c>
      <c r="AA167" t="s">
        <v>704</v>
      </c>
      <c r="AB167" t="s">
        <v>725</v>
      </c>
      <c r="AC167">
        <v>2604000039</v>
      </c>
      <c r="AE167">
        <v>0</v>
      </c>
      <c r="AF167">
        <v>0</v>
      </c>
      <c r="AG167">
        <v>0</v>
      </c>
      <c r="AH167">
        <v>0</v>
      </c>
      <c r="AI167" t="s">
        <v>56</v>
      </c>
      <c r="AJ167">
        <v>3.77</v>
      </c>
      <c r="AK167">
        <v>0.9</v>
      </c>
      <c r="AL167">
        <v>0.15</v>
      </c>
      <c r="AM167">
        <v>29.1</v>
      </c>
      <c r="AN167">
        <v>1.35</v>
      </c>
      <c r="AO167">
        <v>0</v>
      </c>
      <c r="AP167">
        <v>0</v>
      </c>
      <c r="AQ167" t="s">
        <v>57</v>
      </c>
      <c r="AS167" t="s">
        <v>726</v>
      </c>
      <c r="AT167" t="s">
        <v>726</v>
      </c>
      <c r="AU167" t="s">
        <v>725</v>
      </c>
      <c r="AV167" t="s">
        <v>727</v>
      </c>
      <c r="AW167" t="s">
        <v>728</v>
      </c>
      <c r="AZ167">
        <v>13008</v>
      </c>
      <c r="BA167" t="s">
        <v>68</v>
      </c>
      <c r="BB167" t="s">
        <v>61</v>
      </c>
      <c r="BC167" t="s">
        <v>62</v>
      </c>
    </row>
    <row r="168" spans="1:55" x14ac:dyDescent="0.25">
      <c r="A168" s="1" t="str">
        <f>IF(COUNTIF(Catégories!A:A,X168)=0,"catégorie inconnue",_xlfn.XLOOKUP(X168,Catégories!A:A,Catégories!B:B))</f>
        <v>Frêt</v>
      </c>
      <c r="B168" s="1">
        <f t="shared" si="6"/>
        <v>0</v>
      </c>
      <c r="C168" s="1">
        <f t="shared" si="7"/>
        <v>0</v>
      </c>
      <c r="D168" s="1">
        <f t="shared" si="8"/>
        <v>0</v>
      </c>
      <c r="E168" s="20">
        <f>IF(AH168&lt;&gt;0,ROUNDUP(AH168,0),IF(BB168&lt;&gt;"FR","hors France",IF(AH168&lt;&gt;0,ROUNDUP(AH168,0),_xlfn.XLOOKUP(AJ168,'PA GLS'!B:B,'PA GLS'!A:A))))</f>
        <v>1</v>
      </c>
      <c r="F168">
        <v>2501382993</v>
      </c>
      <c r="G168">
        <v>1030233386</v>
      </c>
      <c r="H168" t="s">
        <v>366</v>
      </c>
      <c r="I168">
        <v>2500034092</v>
      </c>
      <c r="J168" t="s">
        <v>50</v>
      </c>
      <c r="K168">
        <v>9000009190</v>
      </c>
      <c r="L168">
        <v>46946</v>
      </c>
      <c r="M168" t="s">
        <v>51</v>
      </c>
      <c r="N168">
        <v>9000037814</v>
      </c>
      <c r="O168" t="s">
        <v>51</v>
      </c>
      <c r="S168">
        <v>2507012387</v>
      </c>
      <c r="T168" t="s">
        <v>50</v>
      </c>
      <c r="U168" t="s">
        <v>122</v>
      </c>
      <c r="V168" t="s">
        <v>176</v>
      </c>
      <c r="W168" t="s">
        <v>177</v>
      </c>
      <c r="X168" t="s">
        <v>152</v>
      </c>
      <c r="Z168">
        <v>166</v>
      </c>
      <c r="AA168" t="s">
        <v>704</v>
      </c>
      <c r="AB168" t="s">
        <v>707</v>
      </c>
      <c r="AC168">
        <v>2604000043</v>
      </c>
      <c r="AE168">
        <v>0</v>
      </c>
      <c r="AF168">
        <v>1</v>
      </c>
      <c r="AG168">
        <v>0</v>
      </c>
      <c r="AH168">
        <v>0.8</v>
      </c>
      <c r="AI168" t="s">
        <v>56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 t="s">
        <v>57</v>
      </c>
      <c r="AS168" t="s">
        <v>708</v>
      </c>
      <c r="AT168" t="s">
        <v>708</v>
      </c>
      <c r="AU168" t="s">
        <v>707</v>
      </c>
      <c r="AV168" t="s">
        <v>709</v>
      </c>
      <c r="AW168" t="s">
        <v>710</v>
      </c>
      <c r="AZ168">
        <v>34270</v>
      </c>
      <c r="BA168" t="s">
        <v>711</v>
      </c>
      <c r="BB168" t="s">
        <v>61</v>
      </c>
      <c r="BC168" t="s">
        <v>62</v>
      </c>
    </row>
    <row r="169" spans="1:55" x14ac:dyDescent="0.25">
      <c r="A169" s="1" t="str">
        <f>IF(COUNTIF(Catégories!A:A,X169)=0,"catégorie inconnue",_xlfn.XLOOKUP(X169,Catégories!A:A,Catégories!B:B))</f>
        <v>Frêt</v>
      </c>
      <c r="B169" s="1">
        <f t="shared" si="6"/>
        <v>0</v>
      </c>
      <c r="C169" s="1">
        <f t="shared" si="7"/>
        <v>0</v>
      </c>
      <c r="D169" s="1">
        <f t="shared" si="8"/>
        <v>0</v>
      </c>
      <c r="E169" s="20">
        <f>IF(AH169&lt;&gt;0,ROUNDUP(AH169,0),IF(BB169&lt;&gt;"FR","hors France",IF(AH169&lt;&gt;0,ROUNDUP(AH169,0),_xlfn.XLOOKUP(AJ169,'PA GLS'!B:B,'PA GLS'!A:A))))</f>
        <v>2</v>
      </c>
      <c r="F169">
        <v>2501382993</v>
      </c>
      <c r="G169">
        <v>1030233386</v>
      </c>
      <c r="H169" t="s">
        <v>366</v>
      </c>
      <c r="I169">
        <v>2500034092</v>
      </c>
      <c r="J169" t="s">
        <v>50</v>
      </c>
      <c r="K169">
        <v>9000009190</v>
      </c>
      <c r="L169">
        <v>46946</v>
      </c>
      <c r="M169" t="s">
        <v>51</v>
      </c>
      <c r="N169">
        <v>9000037814</v>
      </c>
      <c r="O169" t="s">
        <v>51</v>
      </c>
      <c r="S169">
        <v>2507012387</v>
      </c>
      <c r="T169" t="s">
        <v>50</v>
      </c>
      <c r="U169" t="s">
        <v>122</v>
      </c>
      <c r="V169" t="s">
        <v>176</v>
      </c>
      <c r="W169" t="s">
        <v>177</v>
      </c>
      <c r="X169" t="s">
        <v>152</v>
      </c>
      <c r="Z169">
        <v>166</v>
      </c>
      <c r="AA169" t="s">
        <v>704</v>
      </c>
      <c r="AB169" t="s">
        <v>705</v>
      </c>
      <c r="AC169">
        <v>2604000042</v>
      </c>
      <c r="AE169">
        <v>0</v>
      </c>
      <c r="AF169">
        <v>1</v>
      </c>
      <c r="AG169">
        <v>0</v>
      </c>
      <c r="AH169">
        <v>1.04</v>
      </c>
      <c r="AI169" t="s">
        <v>56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 t="s">
        <v>57</v>
      </c>
      <c r="AS169" t="s">
        <v>706</v>
      </c>
      <c r="AT169" t="s">
        <v>706</v>
      </c>
      <c r="AU169" t="s">
        <v>705</v>
      </c>
      <c r="AV169" t="s">
        <v>600</v>
      </c>
      <c r="AW169" t="s">
        <v>601</v>
      </c>
      <c r="AZ169">
        <v>92290</v>
      </c>
      <c r="BA169" t="s">
        <v>602</v>
      </c>
      <c r="BB169" t="s">
        <v>61</v>
      </c>
      <c r="BC169" t="s">
        <v>62</v>
      </c>
    </row>
    <row r="170" spans="1:55" x14ac:dyDescent="0.25">
      <c r="A170" s="1" t="str">
        <f>IF(COUNTIF(Catégories!A:A,X170)=0,"catégorie inconnue",_xlfn.XLOOKUP(X170,Catégories!A:A,Catégories!B:B))</f>
        <v>Frêt</v>
      </c>
      <c r="B170" s="1">
        <f t="shared" si="6"/>
        <v>0</v>
      </c>
      <c r="C170" s="1">
        <f t="shared" si="7"/>
        <v>0</v>
      </c>
      <c r="D170" s="1">
        <f t="shared" si="8"/>
        <v>0</v>
      </c>
      <c r="E170" s="20">
        <f>IF(AH170&lt;&gt;0,ROUNDUP(AH170,0),IF(BB170&lt;&gt;"FR","hors France",IF(AH170&lt;&gt;0,ROUNDUP(AH170,0),_xlfn.XLOOKUP(AJ170,'PA GLS'!B:B,'PA GLS'!A:A))))</f>
        <v>1</v>
      </c>
      <c r="F170">
        <v>2501382993</v>
      </c>
      <c r="G170">
        <v>1030233386</v>
      </c>
      <c r="H170" t="s">
        <v>366</v>
      </c>
      <c r="I170">
        <v>2500034092</v>
      </c>
      <c r="J170" t="s">
        <v>50</v>
      </c>
      <c r="K170">
        <v>9000009190</v>
      </c>
      <c r="L170">
        <v>46946</v>
      </c>
      <c r="M170" t="s">
        <v>51</v>
      </c>
      <c r="N170">
        <v>9000037814</v>
      </c>
      <c r="O170" t="s">
        <v>51</v>
      </c>
      <c r="S170">
        <v>2507012387</v>
      </c>
      <c r="T170" t="s">
        <v>50</v>
      </c>
      <c r="U170" t="s">
        <v>122</v>
      </c>
      <c r="V170" t="s">
        <v>176</v>
      </c>
      <c r="W170" t="s">
        <v>177</v>
      </c>
      <c r="X170" t="s">
        <v>152</v>
      </c>
      <c r="Z170">
        <v>166</v>
      </c>
      <c r="AA170" t="s">
        <v>704</v>
      </c>
      <c r="AB170" t="s">
        <v>718</v>
      </c>
      <c r="AC170">
        <v>2604000041</v>
      </c>
      <c r="AE170">
        <v>0</v>
      </c>
      <c r="AF170">
        <v>1</v>
      </c>
      <c r="AG170">
        <v>0</v>
      </c>
      <c r="AH170">
        <v>0.48</v>
      </c>
      <c r="AI170" t="s">
        <v>56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 t="s">
        <v>57</v>
      </c>
      <c r="AS170" t="s">
        <v>719</v>
      </c>
      <c r="AT170" t="s">
        <v>719</v>
      </c>
      <c r="AU170" t="s">
        <v>718</v>
      </c>
      <c r="AV170" t="s">
        <v>714</v>
      </c>
      <c r="AW170" t="s">
        <v>715</v>
      </c>
      <c r="AZ170">
        <v>6130</v>
      </c>
      <c r="BA170" t="s">
        <v>272</v>
      </c>
      <c r="BB170" t="s">
        <v>61</v>
      </c>
      <c r="BC170" t="s">
        <v>62</v>
      </c>
    </row>
    <row r="171" spans="1:55" x14ac:dyDescent="0.25">
      <c r="A171" s="1" t="str">
        <f>IF(COUNTIF(Catégories!A:A,X171)=0,"catégorie inconnue",_xlfn.XLOOKUP(X171,Catégories!A:A,Catégories!B:B))</f>
        <v>Adresse</v>
      </c>
      <c r="B171" s="1">
        <f t="shared" si="6"/>
        <v>3.04</v>
      </c>
      <c r="C171" s="1">
        <f t="shared" si="7"/>
        <v>0.68</v>
      </c>
      <c r="D171" s="1">
        <f t="shared" si="8"/>
        <v>2.36</v>
      </c>
      <c r="E171" s="20" t="e">
        <f>IF(AH171&lt;&gt;0,ROUNDUP(AH171,0),IF(BB171&lt;&gt;"FR","hors France",IF(AH171&lt;&gt;0,ROUNDUP(AH171,0),_xlfn.XLOOKUP(AJ171,'PA GLS'!B:B,'PA GLS'!A:A))))</f>
        <v>#N/A</v>
      </c>
      <c r="F171">
        <v>2501382993</v>
      </c>
      <c r="G171">
        <v>1030223228</v>
      </c>
      <c r="H171" t="s">
        <v>366</v>
      </c>
      <c r="I171">
        <v>2500034092</v>
      </c>
      <c r="J171" t="s">
        <v>50</v>
      </c>
      <c r="K171">
        <v>9000009190</v>
      </c>
      <c r="L171">
        <v>46946</v>
      </c>
      <c r="M171" t="s">
        <v>51</v>
      </c>
      <c r="N171">
        <v>9000079830</v>
      </c>
      <c r="O171" t="s">
        <v>187</v>
      </c>
      <c r="S171">
        <v>2507012387</v>
      </c>
      <c r="T171" t="s">
        <v>50</v>
      </c>
      <c r="U171" t="s">
        <v>122</v>
      </c>
      <c r="V171" t="s">
        <v>651</v>
      </c>
      <c r="W171" t="s">
        <v>233</v>
      </c>
      <c r="X171" t="s">
        <v>163</v>
      </c>
      <c r="Z171">
        <v>95</v>
      </c>
      <c r="AA171" t="s">
        <v>704</v>
      </c>
      <c r="AB171" t="s">
        <v>689</v>
      </c>
      <c r="AC171">
        <v>2604000066</v>
      </c>
      <c r="AE171">
        <v>0</v>
      </c>
      <c r="AF171">
        <v>0</v>
      </c>
      <c r="AG171">
        <v>0</v>
      </c>
      <c r="AH171">
        <v>0</v>
      </c>
      <c r="AI171" t="s">
        <v>56</v>
      </c>
      <c r="AJ171">
        <v>2.36</v>
      </c>
      <c r="AK171">
        <v>0</v>
      </c>
      <c r="AL171">
        <v>0</v>
      </c>
      <c r="AM171">
        <v>29.1</v>
      </c>
      <c r="AN171">
        <v>0.68</v>
      </c>
      <c r="AO171">
        <v>0</v>
      </c>
      <c r="AP171">
        <v>0</v>
      </c>
      <c r="AQ171" t="s">
        <v>57</v>
      </c>
      <c r="AS171" t="s">
        <v>690</v>
      </c>
      <c r="AT171" t="s">
        <v>690</v>
      </c>
      <c r="AU171" t="s">
        <v>689</v>
      </c>
      <c r="AV171" t="s">
        <v>691</v>
      </c>
      <c r="AW171" t="s">
        <v>692</v>
      </c>
      <c r="AZ171">
        <v>91940</v>
      </c>
      <c r="BA171" t="s">
        <v>693</v>
      </c>
      <c r="BB171" t="s">
        <v>61</v>
      </c>
      <c r="BC171" t="s">
        <v>62</v>
      </c>
    </row>
    <row r="172" spans="1:55" x14ac:dyDescent="0.25">
      <c r="A172" s="1" t="str">
        <f>IF(COUNTIF(Catégories!A:A,X172)=0,"catégorie inconnue",_xlfn.XLOOKUP(X172,Catégories!A:A,Catégories!B:B))</f>
        <v>Frêt</v>
      </c>
      <c r="B172" s="1">
        <f t="shared" si="6"/>
        <v>7.0100000000000007</v>
      </c>
      <c r="C172" s="1">
        <f t="shared" si="7"/>
        <v>1.54</v>
      </c>
      <c r="D172" s="1">
        <f t="shared" si="8"/>
        <v>5.4700000000000006</v>
      </c>
      <c r="E172" s="20">
        <f>IF(AH172&lt;&gt;0,ROUNDUP(AH172,0),IF(BB172&lt;&gt;"FR","hors France",IF(AH172&lt;&gt;0,ROUNDUP(AH172,0),_xlfn.XLOOKUP(AJ172,'PA GLS'!B:B,'PA GLS'!A:A))))</f>
        <v>2</v>
      </c>
      <c r="F172">
        <v>2501382993</v>
      </c>
      <c r="G172">
        <v>1030223228</v>
      </c>
      <c r="H172" t="s">
        <v>366</v>
      </c>
      <c r="I172">
        <v>2500034092</v>
      </c>
      <c r="J172" t="s">
        <v>50</v>
      </c>
      <c r="K172">
        <v>9000009190</v>
      </c>
      <c r="L172">
        <v>46946</v>
      </c>
      <c r="M172" t="s">
        <v>51</v>
      </c>
      <c r="N172">
        <v>9000079830</v>
      </c>
      <c r="O172" t="s">
        <v>187</v>
      </c>
      <c r="S172">
        <v>2507012387</v>
      </c>
      <c r="T172" t="s">
        <v>50</v>
      </c>
      <c r="U172" t="s">
        <v>122</v>
      </c>
      <c r="V172" t="s">
        <v>77</v>
      </c>
      <c r="W172" t="s">
        <v>78</v>
      </c>
      <c r="X172" t="s">
        <v>60</v>
      </c>
      <c r="Z172">
        <v>92</v>
      </c>
      <c r="AA172" t="s">
        <v>704</v>
      </c>
      <c r="AB172" t="s">
        <v>729</v>
      </c>
      <c r="AC172">
        <v>2604000075</v>
      </c>
      <c r="AE172">
        <v>0</v>
      </c>
      <c r="AF172">
        <v>0</v>
      </c>
      <c r="AG172">
        <v>0</v>
      </c>
      <c r="AH172">
        <v>0</v>
      </c>
      <c r="AI172" t="s">
        <v>56</v>
      </c>
      <c r="AJ172">
        <v>4.42</v>
      </c>
      <c r="AK172">
        <v>0.9</v>
      </c>
      <c r="AL172">
        <v>0.15</v>
      </c>
      <c r="AM172">
        <v>29.1</v>
      </c>
      <c r="AN172">
        <v>1.54</v>
      </c>
      <c r="AO172">
        <v>0</v>
      </c>
      <c r="AP172">
        <v>0</v>
      </c>
      <c r="AQ172" t="s">
        <v>57</v>
      </c>
      <c r="AS172" t="s">
        <v>730</v>
      </c>
      <c r="AT172" t="s">
        <v>730</v>
      </c>
      <c r="AU172" t="s">
        <v>729</v>
      </c>
      <c r="AV172" t="s">
        <v>731</v>
      </c>
      <c r="AW172" t="s">
        <v>732</v>
      </c>
      <c r="AZ172">
        <v>57720</v>
      </c>
      <c r="BA172" t="s">
        <v>733</v>
      </c>
      <c r="BB172" t="s">
        <v>61</v>
      </c>
      <c r="BC172" t="s">
        <v>62</v>
      </c>
    </row>
    <row r="173" spans="1:55" x14ac:dyDescent="0.25">
      <c r="A173" s="1" t="str">
        <f>IF(COUNTIF(Catégories!A:A,X173)=0,"catégorie inconnue",_xlfn.XLOOKUP(X173,Catégories!A:A,Catégories!B:B))</f>
        <v>Frêt</v>
      </c>
      <c r="B173" s="1">
        <f t="shared" si="6"/>
        <v>7.0100000000000007</v>
      </c>
      <c r="C173" s="1">
        <f t="shared" si="7"/>
        <v>1.54</v>
      </c>
      <c r="D173" s="1">
        <f t="shared" si="8"/>
        <v>5.4700000000000006</v>
      </c>
      <c r="E173" s="20">
        <f>IF(AH173&lt;&gt;0,ROUNDUP(AH173,0),IF(BB173&lt;&gt;"FR","hors France",IF(AH173&lt;&gt;0,ROUNDUP(AH173,0),_xlfn.XLOOKUP(AJ173,'PA GLS'!B:B,'PA GLS'!A:A))))</f>
        <v>2</v>
      </c>
      <c r="F173">
        <v>2501382993</v>
      </c>
      <c r="G173">
        <v>1030223228</v>
      </c>
      <c r="H173" t="s">
        <v>366</v>
      </c>
      <c r="I173">
        <v>2500034092</v>
      </c>
      <c r="J173" t="s">
        <v>50</v>
      </c>
      <c r="K173">
        <v>9000009190</v>
      </c>
      <c r="L173">
        <v>46946</v>
      </c>
      <c r="M173" t="s">
        <v>51</v>
      </c>
      <c r="N173">
        <v>9000079830</v>
      </c>
      <c r="O173" t="s">
        <v>187</v>
      </c>
      <c r="S173">
        <v>2507012387</v>
      </c>
      <c r="T173" t="s">
        <v>50</v>
      </c>
      <c r="U173" t="s">
        <v>122</v>
      </c>
      <c r="V173" t="s">
        <v>77</v>
      </c>
      <c r="W173" t="s">
        <v>78</v>
      </c>
      <c r="X173" t="s">
        <v>60</v>
      </c>
      <c r="Z173">
        <v>92</v>
      </c>
      <c r="AA173" t="s">
        <v>704</v>
      </c>
      <c r="AB173" t="s">
        <v>734</v>
      </c>
      <c r="AC173">
        <v>2604000074</v>
      </c>
      <c r="AE173">
        <v>0</v>
      </c>
      <c r="AF173">
        <v>0</v>
      </c>
      <c r="AG173">
        <v>0</v>
      </c>
      <c r="AH173">
        <v>0</v>
      </c>
      <c r="AI173" t="s">
        <v>56</v>
      </c>
      <c r="AJ173">
        <v>4.42</v>
      </c>
      <c r="AK173">
        <v>0.9</v>
      </c>
      <c r="AL173">
        <v>0.15</v>
      </c>
      <c r="AM173">
        <v>29.1</v>
      </c>
      <c r="AN173">
        <v>1.54</v>
      </c>
      <c r="AO173">
        <v>0</v>
      </c>
      <c r="AP173">
        <v>0</v>
      </c>
      <c r="AQ173" t="s">
        <v>57</v>
      </c>
      <c r="AS173" t="s">
        <v>735</v>
      </c>
      <c r="AT173" t="s">
        <v>735</v>
      </c>
      <c r="AU173" t="s">
        <v>734</v>
      </c>
      <c r="AV173" t="s">
        <v>736</v>
      </c>
      <c r="AW173" t="s">
        <v>737</v>
      </c>
      <c r="AZ173">
        <v>6610</v>
      </c>
      <c r="BA173" t="s">
        <v>738</v>
      </c>
      <c r="BB173" t="s">
        <v>61</v>
      </c>
      <c r="BC173" t="s">
        <v>62</v>
      </c>
    </row>
    <row r="174" spans="1:55" x14ac:dyDescent="0.25">
      <c r="A174" s="1" t="str">
        <f>IF(COUNTIF(Catégories!A:A,X174)=0,"catégorie inconnue",_xlfn.XLOOKUP(X174,Catégories!A:A,Catégories!B:B))</f>
        <v>Frêt</v>
      </c>
      <c r="B174" s="1">
        <f t="shared" si="6"/>
        <v>7.0100000000000007</v>
      </c>
      <c r="C174" s="1">
        <f t="shared" si="7"/>
        <v>1.54</v>
      </c>
      <c r="D174" s="1">
        <f t="shared" si="8"/>
        <v>5.4700000000000006</v>
      </c>
      <c r="E174" s="20">
        <f>IF(AH174&lt;&gt;0,ROUNDUP(AH174,0),IF(BB174&lt;&gt;"FR","hors France",IF(AH174&lt;&gt;0,ROUNDUP(AH174,0),_xlfn.XLOOKUP(AJ174,'PA GLS'!B:B,'PA GLS'!A:A))))</f>
        <v>2</v>
      </c>
      <c r="F174">
        <v>2501382993</v>
      </c>
      <c r="G174">
        <v>1030223228</v>
      </c>
      <c r="H174" t="s">
        <v>366</v>
      </c>
      <c r="I174">
        <v>2500034092</v>
      </c>
      <c r="J174" t="s">
        <v>50</v>
      </c>
      <c r="K174">
        <v>9000009190</v>
      </c>
      <c r="L174">
        <v>46946</v>
      </c>
      <c r="M174" t="s">
        <v>51</v>
      </c>
      <c r="N174">
        <v>9000079830</v>
      </c>
      <c r="O174" t="s">
        <v>187</v>
      </c>
      <c r="S174">
        <v>2507012387</v>
      </c>
      <c r="T174" t="s">
        <v>50</v>
      </c>
      <c r="U174" t="s">
        <v>122</v>
      </c>
      <c r="V174" t="s">
        <v>77</v>
      </c>
      <c r="W174" t="s">
        <v>78</v>
      </c>
      <c r="X174" t="s">
        <v>60</v>
      </c>
      <c r="Z174">
        <v>92</v>
      </c>
      <c r="AA174" t="s">
        <v>704</v>
      </c>
      <c r="AB174" t="s">
        <v>739</v>
      </c>
      <c r="AC174">
        <v>2604000072</v>
      </c>
      <c r="AE174">
        <v>0</v>
      </c>
      <c r="AF174">
        <v>0</v>
      </c>
      <c r="AG174">
        <v>0</v>
      </c>
      <c r="AH174">
        <v>0</v>
      </c>
      <c r="AI174" t="s">
        <v>56</v>
      </c>
      <c r="AJ174">
        <v>4.42</v>
      </c>
      <c r="AK174">
        <v>0.9</v>
      </c>
      <c r="AL174">
        <v>0.15</v>
      </c>
      <c r="AM174">
        <v>29.1</v>
      </c>
      <c r="AN174">
        <v>1.54</v>
      </c>
      <c r="AO174">
        <v>0</v>
      </c>
      <c r="AP174">
        <v>0</v>
      </c>
      <c r="AQ174" t="s">
        <v>57</v>
      </c>
      <c r="AS174" t="s">
        <v>740</v>
      </c>
      <c r="AT174" t="s">
        <v>740</v>
      </c>
      <c r="AU174" t="s">
        <v>739</v>
      </c>
      <c r="AV174" t="s">
        <v>696</v>
      </c>
      <c r="AW174" t="s">
        <v>697</v>
      </c>
      <c r="AZ174">
        <v>78140</v>
      </c>
      <c r="BA174" t="s">
        <v>698</v>
      </c>
      <c r="BB174" t="s">
        <v>61</v>
      </c>
      <c r="BC174" t="s">
        <v>62</v>
      </c>
    </row>
    <row r="175" spans="1:55" x14ac:dyDescent="0.25">
      <c r="A175" s="1" t="str">
        <f>IF(COUNTIF(Catégories!A:A,X175)=0,"catégorie inconnue",_xlfn.XLOOKUP(X175,Catégories!A:A,Catégories!B:B))</f>
        <v>Frêt</v>
      </c>
      <c r="B175" s="1">
        <f t="shared" si="6"/>
        <v>7.0100000000000007</v>
      </c>
      <c r="C175" s="1">
        <f t="shared" si="7"/>
        <v>1.54</v>
      </c>
      <c r="D175" s="1">
        <f t="shared" si="8"/>
        <v>5.4700000000000006</v>
      </c>
      <c r="E175" s="20">
        <f>IF(AH175&lt;&gt;0,ROUNDUP(AH175,0),IF(BB175&lt;&gt;"FR","hors France",IF(AH175&lt;&gt;0,ROUNDUP(AH175,0),_xlfn.XLOOKUP(AJ175,'PA GLS'!B:B,'PA GLS'!A:A))))</f>
        <v>2</v>
      </c>
      <c r="F175">
        <v>2501382993</v>
      </c>
      <c r="G175">
        <v>1030223228</v>
      </c>
      <c r="H175" t="s">
        <v>366</v>
      </c>
      <c r="I175">
        <v>2500034092</v>
      </c>
      <c r="J175" t="s">
        <v>50</v>
      </c>
      <c r="K175">
        <v>9000009190</v>
      </c>
      <c r="L175">
        <v>46946</v>
      </c>
      <c r="M175" t="s">
        <v>51</v>
      </c>
      <c r="N175">
        <v>9000079830</v>
      </c>
      <c r="O175" t="s">
        <v>187</v>
      </c>
      <c r="S175">
        <v>2507012387</v>
      </c>
      <c r="T175" t="s">
        <v>50</v>
      </c>
      <c r="U175" t="s">
        <v>122</v>
      </c>
      <c r="V175" t="s">
        <v>63</v>
      </c>
      <c r="W175" t="s">
        <v>64</v>
      </c>
      <c r="X175" t="s">
        <v>60</v>
      </c>
      <c r="Z175">
        <v>91</v>
      </c>
      <c r="AA175" t="s">
        <v>704</v>
      </c>
      <c r="AB175" t="s">
        <v>741</v>
      </c>
      <c r="AC175">
        <v>2604000073</v>
      </c>
      <c r="AE175">
        <v>0</v>
      </c>
      <c r="AF175">
        <v>0</v>
      </c>
      <c r="AG175">
        <v>0</v>
      </c>
      <c r="AH175">
        <v>0</v>
      </c>
      <c r="AI175" t="s">
        <v>56</v>
      </c>
      <c r="AJ175">
        <v>4.42</v>
      </c>
      <c r="AK175">
        <v>0.9</v>
      </c>
      <c r="AL175">
        <v>0.15</v>
      </c>
      <c r="AM175">
        <v>29.1</v>
      </c>
      <c r="AN175">
        <v>1.54</v>
      </c>
      <c r="AO175">
        <v>0</v>
      </c>
      <c r="AP175">
        <v>0</v>
      </c>
      <c r="AQ175" t="s">
        <v>57</v>
      </c>
      <c r="AS175" t="s">
        <v>742</v>
      </c>
      <c r="AT175" t="s">
        <v>742</v>
      </c>
      <c r="AU175" t="s">
        <v>741</v>
      </c>
      <c r="AV175" t="s">
        <v>743</v>
      </c>
      <c r="AW175" t="s">
        <v>744</v>
      </c>
      <c r="AZ175">
        <v>51800</v>
      </c>
      <c r="BA175" t="s">
        <v>745</v>
      </c>
      <c r="BB175" t="s">
        <v>61</v>
      </c>
      <c r="BC175" t="s">
        <v>62</v>
      </c>
    </row>
    <row r="176" spans="1:55" x14ac:dyDescent="0.25">
      <c r="A176" s="1" t="str">
        <f>IF(COUNTIF(Catégories!A:A,X176)=0,"catégorie inconnue",_xlfn.XLOOKUP(X176,Catégories!A:A,Catégories!B:B))</f>
        <v>Frêt</v>
      </c>
      <c r="B176" s="1">
        <f t="shared" si="6"/>
        <v>0</v>
      </c>
      <c r="C176" s="1">
        <f t="shared" si="7"/>
        <v>0</v>
      </c>
      <c r="D176" s="1">
        <f t="shared" si="8"/>
        <v>0</v>
      </c>
      <c r="E176" s="20">
        <f>IF(AH176&lt;&gt;0,ROUNDUP(AH176,0),IF(BB176&lt;&gt;"FR","hors France",IF(AH176&lt;&gt;0,ROUNDUP(AH176,0),_xlfn.XLOOKUP(AJ176,'PA GLS'!B:B,'PA GLS'!A:A))))</f>
        <v>2</v>
      </c>
      <c r="F176">
        <v>2501382993</v>
      </c>
      <c r="G176">
        <v>1030223228</v>
      </c>
      <c r="H176" t="s">
        <v>366</v>
      </c>
      <c r="I176">
        <v>2500034092</v>
      </c>
      <c r="J176" t="s">
        <v>50</v>
      </c>
      <c r="K176">
        <v>9000009190</v>
      </c>
      <c r="L176">
        <v>46946</v>
      </c>
      <c r="M176" t="s">
        <v>51</v>
      </c>
      <c r="N176">
        <v>9000079830</v>
      </c>
      <c r="O176" t="s">
        <v>187</v>
      </c>
      <c r="S176">
        <v>2507012387</v>
      </c>
      <c r="T176" t="s">
        <v>50</v>
      </c>
      <c r="U176" t="s">
        <v>122</v>
      </c>
      <c r="V176" t="s">
        <v>176</v>
      </c>
      <c r="W176" t="s">
        <v>177</v>
      </c>
      <c r="X176" t="s">
        <v>152</v>
      </c>
      <c r="Z176">
        <v>90</v>
      </c>
      <c r="AA176" t="s">
        <v>704</v>
      </c>
      <c r="AB176" t="s">
        <v>746</v>
      </c>
      <c r="AC176">
        <v>2604000076</v>
      </c>
      <c r="AE176">
        <v>0</v>
      </c>
      <c r="AF176">
        <v>1</v>
      </c>
      <c r="AG176">
        <v>0</v>
      </c>
      <c r="AH176">
        <v>1.62</v>
      </c>
      <c r="AI176" t="s">
        <v>56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">
        <v>57</v>
      </c>
      <c r="AS176" t="s">
        <v>747</v>
      </c>
      <c r="AT176" t="s">
        <v>747</v>
      </c>
      <c r="AU176" t="s">
        <v>746</v>
      </c>
      <c r="AV176" t="s">
        <v>748</v>
      </c>
      <c r="AW176" t="s">
        <v>749</v>
      </c>
      <c r="AZ176">
        <v>74200</v>
      </c>
      <c r="BA176" t="s">
        <v>750</v>
      </c>
      <c r="BB176" t="s">
        <v>61</v>
      </c>
      <c r="BC176" t="s">
        <v>62</v>
      </c>
    </row>
    <row r="177" spans="1:55" x14ac:dyDescent="0.25">
      <c r="A177" s="1" t="str">
        <f>IF(COUNTIF(Catégories!A:A,X177)=0,"catégorie inconnue",_xlfn.XLOOKUP(X177,Catégories!A:A,Catégories!B:B))</f>
        <v>Frêt</v>
      </c>
      <c r="B177" s="1">
        <f t="shared" si="6"/>
        <v>0</v>
      </c>
      <c r="C177" s="1">
        <f t="shared" si="7"/>
        <v>0</v>
      </c>
      <c r="D177" s="1">
        <f t="shared" si="8"/>
        <v>0</v>
      </c>
      <c r="E177" s="20">
        <f>IF(AH177&lt;&gt;0,ROUNDUP(AH177,0),IF(BB177&lt;&gt;"FR","hors France",IF(AH177&lt;&gt;0,ROUNDUP(AH177,0),_xlfn.XLOOKUP(AJ177,'PA GLS'!B:B,'PA GLS'!A:A))))</f>
        <v>2</v>
      </c>
      <c r="F177">
        <v>2501382993</v>
      </c>
      <c r="G177">
        <v>1030223228</v>
      </c>
      <c r="H177" t="s">
        <v>366</v>
      </c>
      <c r="I177">
        <v>2500034092</v>
      </c>
      <c r="J177" t="s">
        <v>50</v>
      </c>
      <c r="K177">
        <v>9000009190</v>
      </c>
      <c r="L177">
        <v>46946</v>
      </c>
      <c r="M177" t="s">
        <v>51</v>
      </c>
      <c r="N177">
        <v>9000079830</v>
      </c>
      <c r="O177" t="s">
        <v>187</v>
      </c>
      <c r="S177">
        <v>2507012387</v>
      </c>
      <c r="T177" t="s">
        <v>50</v>
      </c>
      <c r="U177" t="s">
        <v>122</v>
      </c>
      <c r="V177" t="s">
        <v>176</v>
      </c>
      <c r="W177" t="s">
        <v>177</v>
      </c>
      <c r="X177" t="s">
        <v>152</v>
      </c>
      <c r="Z177">
        <v>90</v>
      </c>
      <c r="AA177" t="s">
        <v>704</v>
      </c>
      <c r="AB177" t="s">
        <v>729</v>
      </c>
      <c r="AC177">
        <v>2604000075</v>
      </c>
      <c r="AE177">
        <v>0</v>
      </c>
      <c r="AF177">
        <v>1</v>
      </c>
      <c r="AG177">
        <v>0</v>
      </c>
      <c r="AH177">
        <v>1.92</v>
      </c>
      <c r="AI177" t="s">
        <v>56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 t="s">
        <v>57</v>
      </c>
      <c r="AS177" t="s">
        <v>730</v>
      </c>
      <c r="AT177" t="s">
        <v>730</v>
      </c>
      <c r="AU177" t="s">
        <v>729</v>
      </c>
      <c r="AV177" t="s">
        <v>731</v>
      </c>
      <c r="AW177" t="s">
        <v>732</v>
      </c>
      <c r="AZ177">
        <v>57720</v>
      </c>
      <c r="BA177" t="s">
        <v>733</v>
      </c>
      <c r="BB177" t="s">
        <v>61</v>
      </c>
      <c r="BC177" t="s">
        <v>62</v>
      </c>
    </row>
    <row r="178" spans="1:55" x14ac:dyDescent="0.25">
      <c r="A178" s="1" t="str">
        <f>IF(COUNTIF(Catégories!A:A,X178)=0,"catégorie inconnue",_xlfn.XLOOKUP(X178,Catégories!A:A,Catégories!B:B))</f>
        <v>Frêt</v>
      </c>
      <c r="B178" s="1">
        <f t="shared" si="6"/>
        <v>0</v>
      </c>
      <c r="C178" s="1">
        <f t="shared" si="7"/>
        <v>0</v>
      </c>
      <c r="D178" s="1">
        <f t="shared" si="8"/>
        <v>0</v>
      </c>
      <c r="E178" s="20">
        <f>IF(AH178&lt;&gt;0,ROUNDUP(AH178,0),IF(BB178&lt;&gt;"FR","hors France",IF(AH178&lt;&gt;0,ROUNDUP(AH178,0),_xlfn.XLOOKUP(AJ178,'PA GLS'!B:B,'PA GLS'!A:A))))</f>
        <v>2</v>
      </c>
      <c r="F178">
        <v>2501382993</v>
      </c>
      <c r="G178">
        <v>1030223228</v>
      </c>
      <c r="H178" t="s">
        <v>366</v>
      </c>
      <c r="I178">
        <v>2500034092</v>
      </c>
      <c r="J178" t="s">
        <v>50</v>
      </c>
      <c r="K178">
        <v>9000009190</v>
      </c>
      <c r="L178">
        <v>46946</v>
      </c>
      <c r="M178" t="s">
        <v>51</v>
      </c>
      <c r="N178">
        <v>9000079830</v>
      </c>
      <c r="O178" t="s">
        <v>187</v>
      </c>
      <c r="S178">
        <v>2507012387</v>
      </c>
      <c r="T178" t="s">
        <v>50</v>
      </c>
      <c r="U178" t="s">
        <v>122</v>
      </c>
      <c r="V178" t="s">
        <v>176</v>
      </c>
      <c r="W178" t="s">
        <v>177</v>
      </c>
      <c r="X178" t="s">
        <v>152</v>
      </c>
      <c r="Z178">
        <v>90</v>
      </c>
      <c r="AA178" t="s">
        <v>704</v>
      </c>
      <c r="AB178" t="s">
        <v>734</v>
      </c>
      <c r="AC178">
        <v>2604000074</v>
      </c>
      <c r="AE178">
        <v>0</v>
      </c>
      <c r="AF178">
        <v>1</v>
      </c>
      <c r="AG178">
        <v>0</v>
      </c>
      <c r="AH178">
        <v>1.66</v>
      </c>
      <c r="AI178" t="s">
        <v>56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 t="s">
        <v>57</v>
      </c>
      <c r="AS178" t="s">
        <v>735</v>
      </c>
      <c r="AT178" t="s">
        <v>735</v>
      </c>
      <c r="AU178" t="s">
        <v>734</v>
      </c>
      <c r="AV178" t="s">
        <v>736</v>
      </c>
      <c r="AW178" t="s">
        <v>737</v>
      </c>
      <c r="AZ178">
        <v>6610</v>
      </c>
      <c r="BA178" t="s">
        <v>738</v>
      </c>
      <c r="BB178" t="s">
        <v>61</v>
      </c>
      <c r="BC178" t="s">
        <v>62</v>
      </c>
    </row>
    <row r="179" spans="1:55" x14ac:dyDescent="0.25">
      <c r="A179" s="1" t="str">
        <f>IF(COUNTIF(Catégories!A:A,X179)=0,"catégorie inconnue",_xlfn.XLOOKUP(X179,Catégories!A:A,Catégories!B:B))</f>
        <v>Frêt</v>
      </c>
      <c r="B179" s="1">
        <f t="shared" si="6"/>
        <v>8.15</v>
      </c>
      <c r="C179" s="1">
        <f t="shared" si="7"/>
        <v>1.8</v>
      </c>
      <c r="D179" s="1">
        <f t="shared" si="8"/>
        <v>6.3500000000000005</v>
      </c>
      <c r="E179" s="20">
        <f>IF(AH179&lt;&gt;0,ROUNDUP(AH179,0),IF(BB179&lt;&gt;"FR","hors France",IF(AH179&lt;&gt;0,ROUNDUP(AH179,0),_xlfn.XLOOKUP(AJ179,'PA GLS'!B:B,'PA GLS'!A:A))))</f>
        <v>4</v>
      </c>
      <c r="F179">
        <v>2501382993</v>
      </c>
      <c r="G179">
        <v>1030223228</v>
      </c>
      <c r="H179" t="s">
        <v>366</v>
      </c>
      <c r="I179">
        <v>2500034092</v>
      </c>
      <c r="J179" t="s">
        <v>50</v>
      </c>
      <c r="K179">
        <v>9000009190</v>
      </c>
      <c r="L179">
        <v>46946</v>
      </c>
      <c r="M179" t="s">
        <v>51</v>
      </c>
      <c r="N179">
        <v>9000079830</v>
      </c>
      <c r="O179" t="s">
        <v>187</v>
      </c>
      <c r="S179">
        <v>2507012387</v>
      </c>
      <c r="T179" t="s">
        <v>50</v>
      </c>
      <c r="U179" t="s">
        <v>122</v>
      </c>
      <c r="V179" t="s">
        <v>231</v>
      </c>
      <c r="W179" t="s">
        <v>232</v>
      </c>
      <c r="X179" t="s">
        <v>60</v>
      </c>
      <c r="Z179">
        <v>94</v>
      </c>
      <c r="AA179" t="s">
        <v>704</v>
      </c>
      <c r="AB179" t="s">
        <v>751</v>
      </c>
      <c r="AC179">
        <v>2604000071</v>
      </c>
      <c r="AE179">
        <v>0</v>
      </c>
      <c r="AF179">
        <v>0</v>
      </c>
      <c r="AG179">
        <v>0</v>
      </c>
      <c r="AH179">
        <v>0</v>
      </c>
      <c r="AI179" t="s">
        <v>56</v>
      </c>
      <c r="AJ179">
        <v>5.3</v>
      </c>
      <c r="AK179">
        <v>0.9</v>
      </c>
      <c r="AL179">
        <v>0.15</v>
      </c>
      <c r="AM179">
        <v>29.1</v>
      </c>
      <c r="AN179">
        <v>1.8</v>
      </c>
      <c r="AO179">
        <v>0</v>
      </c>
      <c r="AP179">
        <v>0</v>
      </c>
      <c r="AQ179" t="s">
        <v>57</v>
      </c>
      <c r="AS179" t="s">
        <v>752</v>
      </c>
      <c r="AT179" t="s">
        <v>752</v>
      </c>
      <c r="AU179" t="s">
        <v>751</v>
      </c>
      <c r="AV179" t="s">
        <v>358</v>
      </c>
      <c r="AW179" t="s">
        <v>359</v>
      </c>
      <c r="AZ179">
        <v>92350</v>
      </c>
      <c r="BA179" t="s">
        <v>360</v>
      </c>
      <c r="BB179" t="s">
        <v>61</v>
      </c>
      <c r="BC179" t="s">
        <v>62</v>
      </c>
    </row>
    <row r="180" spans="1:55" x14ac:dyDescent="0.25">
      <c r="A180" s="1" t="str">
        <f>IF(COUNTIF(Catégories!A:A,X180)=0,"catégorie inconnue",_xlfn.XLOOKUP(X180,Catégories!A:A,Catégories!B:B))</f>
        <v>Frêt</v>
      </c>
      <c r="B180" s="1">
        <f t="shared" si="6"/>
        <v>7.4300000000000006</v>
      </c>
      <c r="C180" s="1">
        <f t="shared" si="7"/>
        <v>1.64</v>
      </c>
      <c r="D180" s="1">
        <f t="shared" si="8"/>
        <v>5.7900000000000009</v>
      </c>
      <c r="E180" s="20">
        <f>IF(AH180&lt;&gt;0,ROUNDUP(AH180,0),IF(BB180&lt;&gt;"FR","hors France",IF(AH180&lt;&gt;0,ROUNDUP(AH180,0),_xlfn.XLOOKUP(AJ180,'PA GLS'!B:B,'PA GLS'!A:A))))</f>
        <v>3</v>
      </c>
      <c r="F180">
        <v>2501382993</v>
      </c>
      <c r="G180">
        <v>1030223228</v>
      </c>
      <c r="H180" t="s">
        <v>366</v>
      </c>
      <c r="I180">
        <v>2500034092</v>
      </c>
      <c r="J180" t="s">
        <v>50</v>
      </c>
      <c r="K180">
        <v>9000009190</v>
      </c>
      <c r="L180">
        <v>46946</v>
      </c>
      <c r="M180" t="s">
        <v>51</v>
      </c>
      <c r="N180">
        <v>9000079830</v>
      </c>
      <c r="O180" t="s">
        <v>187</v>
      </c>
      <c r="S180">
        <v>2507012387</v>
      </c>
      <c r="T180" t="s">
        <v>50</v>
      </c>
      <c r="U180" t="s">
        <v>122</v>
      </c>
      <c r="V180" t="s">
        <v>58</v>
      </c>
      <c r="W180" t="s">
        <v>59</v>
      </c>
      <c r="X180" t="s">
        <v>60</v>
      </c>
      <c r="Z180">
        <v>93</v>
      </c>
      <c r="AA180" t="s">
        <v>704</v>
      </c>
      <c r="AB180" t="s">
        <v>753</v>
      </c>
      <c r="AC180">
        <v>2604000070</v>
      </c>
      <c r="AE180">
        <v>0</v>
      </c>
      <c r="AF180">
        <v>0</v>
      </c>
      <c r="AG180">
        <v>0</v>
      </c>
      <c r="AH180">
        <v>0</v>
      </c>
      <c r="AI180" t="s">
        <v>56</v>
      </c>
      <c r="AJ180">
        <v>4.74</v>
      </c>
      <c r="AK180">
        <v>0.9</v>
      </c>
      <c r="AL180">
        <v>0.15</v>
      </c>
      <c r="AM180">
        <v>29.1</v>
      </c>
      <c r="AN180">
        <v>1.64</v>
      </c>
      <c r="AO180">
        <v>0</v>
      </c>
      <c r="AP180">
        <v>0</v>
      </c>
      <c r="AQ180" t="s">
        <v>57</v>
      </c>
      <c r="AS180" t="s">
        <v>754</v>
      </c>
      <c r="AT180" t="s">
        <v>754</v>
      </c>
      <c r="AU180" t="s">
        <v>753</v>
      </c>
      <c r="AV180" t="s">
        <v>755</v>
      </c>
      <c r="AW180" t="s">
        <v>756</v>
      </c>
      <c r="AZ180">
        <v>42530</v>
      </c>
      <c r="BA180" t="s">
        <v>757</v>
      </c>
      <c r="BB180" t="s">
        <v>61</v>
      </c>
      <c r="BC180" t="s">
        <v>62</v>
      </c>
    </row>
    <row r="181" spans="1:55" x14ac:dyDescent="0.25">
      <c r="A181" s="1" t="str">
        <f>IF(COUNTIF(Catégories!A:A,X181)=0,"catégorie inconnue",_xlfn.XLOOKUP(X181,Catégories!A:A,Catégories!B:B))</f>
        <v>Frêt</v>
      </c>
      <c r="B181" s="1">
        <f t="shared" si="6"/>
        <v>7.0100000000000007</v>
      </c>
      <c r="C181" s="1">
        <f t="shared" si="7"/>
        <v>1.54</v>
      </c>
      <c r="D181" s="1">
        <f t="shared" si="8"/>
        <v>5.4700000000000006</v>
      </c>
      <c r="E181" s="20">
        <f>IF(AH181&lt;&gt;0,ROUNDUP(AH181,0),IF(BB181&lt;&gt;"FR","hors France",IF(AH181&lt;&gt;0,ROUNDUP(AH181,0),_xlfn.XLOOKUP(AJ181,'PA GLS'!B:B,'PA GLS'!A:A))))</f>
        <v>2</v>
      </c>
      <c r="F181">
        <v>2501382993</v>
      </c>
      <c r="G181">
        <v>1030223228</v>
      </c>
      <c r="H181" t="s">
        <v>366</v>
      </c>
      <c r="I181">
        <v>2500034092</v>
      </c>
      <c r="J181" t="s">
        <v>50</v>
      </c>
      <c r="K181">
        <v>9000009190</v>
      </c>
      <c r="L181">
        <v>46946</v>
      </c>
      <c r="M181" t="s">
        <v>51</v>
      </c>
      <c r="N181">
        <v>9000079830</v>
      </c>
      <c r="O181" t="s">
        <v>187</v>
      </c>
      <c r="S181">
        <v>2507012387</v>
      </c>
      <c r="T181" t="s">
        <v>50</v>
      </c>
      <c r="U181" t="s">
        <v>122</v>
      </c>
      <c r="V181" t="s">
        <v>77</v>
      </c>
      <c r="W181" t="s">
        <v>78</v>
      </c>
      <c r="X181" t="s">
        <v>60</v>
      </c>
      <c r="Z181">
        <v>92</v>
      </c>
      <c r="AA181" t="s">
        <v>704</v>
      </c>
      <c r="AB181" t="s">
        <v>746</v>
      </c>
      <c r="AC181">
        <v>2604000076</v>
      </c>
      <c r="AE181">
        <v>0</v>
      </c>
      <c r="AF181">
        <v>0</v>
      </c>
      <c r="AG181">
        <v>0</v>
      </c>
      <c r="AH181">
        <v>0</v>
      </c>
      <c r="AI181" t="s">
        <v>56</v>
      </c>
      <c r="AJ181">
        <v>4.42</v>
      </c>
      <c r="AK181">
        <v>0.9</v>
      </c>
      <c r="AL181">
        <v>0.15</v>
      </c>
      <c r="AM181">
        <v>29.1</v>
      </c>
      <c r="AN181">
        <v>1.54</v>
      </c>
      <c r="AO181">
        <v>0</v>
      </c>
      <c r="AP181">
        <v>0</v>
      </c>
      <c r="AQ181" t="s">
        <v>57</v>
      </c>
      <c r="AS181" t="s">
        <v>747</v>
      </c>
      <c r="AT181" t="s">
        <v>747</v>
      </c>
      <c r="AU181" t="s">
        <v>746</v>
      </c>
      <c r="AV181" t="s">
        <v>748</v>
      </c>
      <c r="AW181" t="s">
        <v>749</v>
      </c>
      <c r="AZ181">
        <v>74200</v>
      </c>
      <c r="BA181" t="s">
        <v>750</v>
      </c>
      <c r="BB181" t="s">
        <v>61</v>
      </c>
      <c r="BC181" t="s">
        <v>62</v>
      </c>
    </row>
    <row r="182" spans="1:55" x14ac:dyDescent="0.25">
      <c r="A182" s="1" t="str">
        <f>IF(COUNTIF(Catégories!A:A,X182)=0,"catégorie inconnue",_xlfn.XLOOKUP(X182,Catégories!A:A,Catégories!B:B))</f>
        <v>Frêt</v>
      </c>
      <c r="B182" s="1">
        <f t="shared" si="6"/>
        <v>0</v>
      </c>
      <c r="C182" s="1">
        <f t="shared" si="7"/>
        <v>0</v>
      </c>
      <c r="D182" s="1">
        <f t="shared" si="8"/>
        <v>0</v>
      </c>
      <c r="E182" s="20">
        <f>IF(AH182&lt;&gt;0,ROUNDUP(AH182,0),IF(BB182&lt;&gt;"FR","hors France",IF(AH182&lt;&gt;0,ROUNDUP(AH182,0),_xlfn.XLOOKUP(AJ182,'PA GLS'!B:B,'PA GLS'!A:A))))</f>
        <v>2</v>
      </c>
      <c r="F182">
        <v>2501382993</v>
      </c>
      <c r="G182">
        <v>1030223228</v>
      </c>
      <c r="H182" t="s">
        <v>366</v>
      </c>
      <c r="I182">
        <v>2500034092</v>
      </c>
      <c r="J182" t="s">
        <v>50</v>
      </c>
      <c r="K182">
        <v>9000009190</v>
      </c>
      <c r="L182">
        <v>46946</v>
      </c>
      <c r="M182" t="s">
        <v>51</v>
      </c>
      <c r="N182">
        <v>9000079830</v>
      </c>
      <c r="O182" t="s">
        <v>187</v>
      </c>
      <c r="S182">
        <v>2507012387</v>
      </c>
      <c r="T182" t="s">
        <v>50</v>
      </c>
      <c r="U182" t="s">
        <v>122</v>
      </c>
      <c r="V182" t="s">
        <v>176</v>
      </c>
      <c r="W182" t="s">
        <v>177</v>
      </c>
      <c r="X182" t="s">
        <v>152</v>
      </c>
      <c r="Z182">
        <v>90</v>
      </c>
      <c r="AA182" t="s">
        <v>704</v>
      </c>
      <c r="AB182" t="s">
        <v>741</v>
      </c>
      <c r="AC182">
        <v>2604000073</v>
      </c>
      <c r="AE182">
        <v>0</v>
      </c>
      <c r="AF182">
        <v>1</v>
      </c>
      <c r="AG182">
        <v>0</v>
      </c>
      <c r="AH182">
        <v>1.18</v>
      </c>
      <c r="AI182" t="s">
        <v>56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">
        <v>57</v>
      </c>
      <c r="AS182" t="s">
        <v>742</v>
      </c>
      <c r="AT182" t="s">
        <v>742</v>
      </c>
      <c r="AU182" t="s">
        <v>741</v>
      </c>
      <c r="AV182" t="s">
        <v>743</v>
      </c>
      <c r="AW182" t="s">
        <v>744</v>
      </c>
      <c r="AZ182">
        <v>51800</v>
      </c>
      <c r="BA182" t="s">
        <v>745</v>
      </c>
      <c r="BB182" t="s">
        <v>61</v>
      </c>
      <c r="BC182" t="s">
        <v>62</v>
      </c>
    </row>
    <row r="183" spans="1:55" x14ac:dyDescent="0.25">
      <c r="A183" s="1" t="str">
        <f>IF(COUNTIF(Catégories!A:A,X183)=0,"catégorie inconnue",_xlfn.XLOOKUP(X183,Catégories!A:A,Catégories!B:B))</f>
        <v>Frêt</v>
      </c>
      <c r="B183" s="1">
        <f t="shared" si="6"/>
        <v>0</v>
      </c>
      <c r="C183" s="1">
        <f t="shared" si="7"/>
        <v>0</v>
      </c>
      <c r="D183" s="1">
        <f t="shared" si="8"/>
        <v>0</v>
      </c>
      <c r="E183" s="20">
        <f>IF(AH183&lt;&gt;0,ROUNDUP(AH183,0),IF(BB183&lt;&gt;"FR","hors France",IF(AH183&lt;&gt;0,ROUNDUP(AH183,0),_xlfn.XLOOKUP(AJ183,'PA GLS'!B:B,'PA GLS'!A:A))))</f>
        <v>2</v>
      </c>
      <c r="F183">
        <v>2501382993</v>
      </c>
      <c r="G183">
        <v>1030223228</v>
      </c>
      <c r="H183" t="s">
        <v>366</v>
      </c>
      <c r="I183">
        <v>2500034092</v>
      </c>
      <c r="J183" t="s">
        <v>50</v>
      </c>
      <c r="K183">
        <v>9000009190</v>
      </c>
      <c r="L183">
        <v>46946</v>
      </c>
      <c r="M183" t="s">
        <v>51</v>
      </c>
      <c r="N183">
        <v>9000079830</v>
      </c>
      <c r="O183" t="s">
        <v>187</v>
      </c>
      <c r="S183">
        <v>2507012387</v>
      </c>
      <c r="T183" t="s">
        <v>50</v>
      </c>
      <c r="U183" t="s">
        <v>122</v>
      </c>
      <c r="V183" t="s">
        <v>176</v>
      </c>
      <c r="W183" t="s">
        <v>177</v>
      </c>
      <c r="X183" t="s">
        <v>152</v>
      </c>
      <c r="Z183">
        <v>90</v>
      </c>
      <c r="AA183" t="s">
        <v>704</v>
      </c>
      <c r="AB183" t="s">
        <v>739</v>
      </c>
      <c r="AC183">
        <v>2604000072</v>
      </c>
      <c r="AE183">
        <v>0</v>
      </c>
      <c r="AF183">
        <v>1</v>
      </c>
      <c r="AG183">
        <v>0</v>
      </c>
      <c r="AH183">
        <v>1.7</v>
      </c>
      <c r="AI183" t="s">
        <v>56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 t="s">
        <v>57</v>
      </c>
      <c r="AS183" t="s">
        <v>740</v>
      </c>
      <c r="AT183" t="s">
        <v>740</v>
      </c>
      <c r="AU183" t="s">
        <v>739</v>
      </c>
      <c r="AV183" t="s">
        <v>696</v>
      </c>
      <c r="AW183" t="s">
        <v>697</v>
      </c>
      <c r="AZ183">
        <v>78140</v>
      </c>
      <c r="BA183" t="s">
        <v>698</v>
      </c>
      <c r="BB183" t="s">
        <v>61</v>
      </c>
      <c r="BC183" t="s">
        <v>62</v>
      </c>
    </row>
    <row r="184" spans="1:55" x14ac:dyDescent="0.25">
      <c r="A184" s="1" t="str">
        <f>IF(COUNTIF(Catégories!A:A,X184)=0,"catégorie inconnue",_xlfn.XLOOKUP(X184,Catégories!A:A,Catégories!B:B))</f>
        <v>Frêt - avisé</v>
      </c>
      <c r="B184" s="1">
        <f t="shared" si="6"/>
        <v>0</v>
      </c>
      <c r="C184" s="1">
        <f t="shared" si="7"/>
        <v>0</v>
      </c>
      <c r="D184" s="1">
        <f t="shared" si="8"/>
        <v>0</v>
      </c>
      <c r="E184" s="20" t="e">
        <f>IF(AH184&lt;&gt;0,ROUNDUP(AH184,0),IF(BB184&lt;&gt;"FR","hors France",IF(AH184&lt;&gt;0,ROUNDUP(AH184,0),_xlfn.XLOOKUP(AJ184,'PA GLS'!B:B,'PA GLS'!A:A))))</f>
        <v>#N/A</v>
      </c>
      <c r="F184">
        <v>2501382993</v>
      </c>
      <c r="G184">
        <v>1030223228</v>
      </c>
      <c r="H184" t="s">
        <v>366</v>
      </c>
      <c r="I184">
        <v>2500034092</v>
      </c>
      <c r="J184" t="s">
        <v>50</v>
      </c>
      <c r="K184">
        <v>9000009190</v>
      </c>
      <c r="L184">
        <v>46946</v>
      </c>
      <c r="M184" t="s">
        <v>51</v>
      </c>
      <c r="N184">
        <v>9000079830</v>
      </c>
      <c r="O184" t="s">
        <v>187</v>
      </c>
      <c r="S184">
        <v>2507012387</v>
      </c>
      <c r="T184" t="s">
        <v>50</v>
      </c>
      <c r="U184" t="s">
        <v>122</v>
      </c>
      <c r="V184" t="s">
        <v>178</v>
      </c>
      <c r="W184" t="s">
        <v>179</v>
      </c>
      <c r="X184" t="s">
        <v>79</v>
      </c>
      <c r="Z184">
        <v>96</v>
      </c>
      <c r="AA184" t="s">
        <v>704</v>
      </c>
      <c r="AB184" t="s">
        <v>484</v>
      </c>
      <c r="AC184">
        <v>2604000037</v>
      </c>
      <c r="AE184">
        <v>0</v>
      </c>
      <c r="AF184">
        <v>0</v>
      </c>
      <c r="AG184">
        <v>0</v>
      </c>
      <c r="AH184">
        <v>0</v>
      </c>
      <c r="AI184" t="s">
        <v>56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 t="s">
        <v>57</v>
      </c>
      <c r="AS184" t="s">
        <v>485</v>
      </c>
      <c r="AT184" t="s">
        <v>485</v>
      </c>
      <c r="AU184" t="s">
        <v>484</v>
      </c>
      <c r="AV184" t="s">
        <v>486</v>
      </c>
      <c r="AW184" t="s">
        <v>487</v>
      </c>
      <c r="AZ184">
        <v>31450</v>
      </c>
      <c r="BA184" t="s">
        <v>488</v>
      </c>
      <c r="BB184" t="s">
        <v>61</v>
      </c>
      <c r="BC184" t="s">
        <v>62</v>
      </c>
    </row>
    <row r="185" spans="1:55" x14ac:dyDescent="0.25">
      <c r="A185" s="1" t="str">
        <f>IF(COUNTIF(Catégories!A:A,X185)=0,"catégorie inconnue",_xlfn.XLOOKUP(X185,Catégories!A:A,Catégories!B:B))</f>
        <v>Frêt - avisé</v>
      </c>
      <c r="B185" s="1">
        <f t="shared" si="6"/>
        <v>0</v>
      </c>
      <c r="C185" s="1">
        <f t="shared" si="7"/>
        <v>0</v>
      </c>
      <c r="D185" s="1">
        <f t="shared" si="8"/>
        <v>0</v>
      </c>
      <c r="E185" s="20" t="e">
        <f>IF(AH185&lt;&gt;0,ROUNDUP(AH185,0),IF(BB185&lt;&gt;"FR","hors France",IF(AH185&lt;&gt;0,ROUNDUP(AH185,0),_xlfn.XLOOKUP(AJ185,'PA GLS'!B:B,'PA GLS'!A:A))))</f>
        <v>#N/A</v>
      </c>
      <c r="F185">
        <v>2501382993</v>
      </c>
      <c r="G185">
        <v>1030223228</v>
      </c>
      <c r="H185" t="s">
        <v>366</v>
      </c>
      <c r="I185">
        <v>2500034092</v>
      </c>
      <c r="J185" t="s">
        <v>50</v>
      </c>
      <c r="K185">
        <v>9000009190</v>
      </c>
      <c r="L185">
        <v>46946</v>
      </c>
      <c r="M185" t="s">
        <v>51</v>
      </c>
      <c r="N185">
        <v>9000079830</v>
      </c>
      <c r="O185" t="s">
        <v>187</v>
      </c>
      <c r="S185">
        <v>2507012387</v>
      </c>
      <c r="T185" t="s">
        <v>50</v>
      </c>
      <c r="U185" t="s">
        <v>122</v>
      </c>
      <c r="V185" t="s">
        <v>178</v>
      </c>
      <c r="W185" t="s">
        <v>179</v>
      </c>
      <c r="X185" t="s">
        <v>79</v>
      </c>
      <c r="Z185">
        <v>96</v>
      </c>
      <c r="AA185" t="s">
        <v>704</v>
      </c>
      <c r="AB185" t="s">
        <v>689</v>
      </c>
      <c r="AC185">
        <v>2604000066</v>
      </c>
      <c r="AE185">
        <v>0</v>
      </c>
      <c r="AF185">
        <v>0</v>
      </c>
      <c r="AG185">
        <v>0</v>
      </c>
      <c r="AH185">
        <v>0</v>
      </c>
      <c r="AI185" t="s">
        <v>56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 t="s">
        <v>57</v>
      </c>
      <c r="AS185" t="s">
        <v>690</v>
      </c>
      <c r="AT185" t="s">
        <v>690</v>
      </c>
      <c r="AU185" t="s">
        <v>689</v>
      </c>
      <c r="AV185" t="s">
        <v>691</v>
      </c>
      <c r="AW185" t="s">
        <v>692</v>
      </c>
      <c r="AZ185">
        <v>91940</v>
      </c>
      <c r="BA185" t="s">
        <v>693</v>
      </c>
      <c r="BB185" t="s">
        <v>61</v>
      </c>
      <c r="BC185" t="s">
        <v>62</v>
      </c>
    </row>
    <row r="186" spans="1:55" x14ac:dyDescent="0.25">
      <c r="A186" s="1" t="str">
        <f>IF(COUNTIF(Catégories!A:A,X186)=0,"catégorie inconnue",_xlfn.XLOOKUP(X186,Catégories!A:A,Catégories!B:B))</f>
        <v>Frêt - avisé</v>
      </c>
      <c r="B186" s="1">
        <f t="shared" si="6"/>
        <v>0</v>
      </c>
      <c r="C186" s="1">
        <f t="shared" si="7"/>
        <v>0</v>
      </c>
      <c r="D186" s="1">
        <f t="shared" si="8"/>
        <v>0</v>
      </c>
      <c r="E186" s="20" t="e">
        <f>IF(AH186&lt;&gt;0,ROUNDUP(AH186,0),IF(BB186&lt;&gt;"FR","hors France",IF(AH186&lt;&gt;0,ROUNDUP(AH186,0),_xlfn.XLOOKUP(AJ186,'PA GLS'!B:B,'PA GLS'!A:A))))</f>
        <v>#N/A</v>
      </c>
      <c r="F186">
        <v>2501382993</v>
      </c>
      <c r="G186">
        <v>1030223228</v>
      </c>
      <c r="H186" t="s">
        <v>366</v>
      </c>
      <c r="I186">
        <v>2500034092</v>
      </c>
      <c r="J186" t="s">
        <v>50</v>
      </c>
      <c r="K186">
        <v>9000009190</v>
      </c>
      <c r="L186">
        <v>46946</v>
      </c>
      <c r="M186" t="s">
        <v>51</v>
      </c>
      <c r="N186">
        <v>9000079830</v>
      </c>
      <c r="O186" t="s">
        <v>187</v>
      </c>
      <c r="S186">
        <v>2507012387</v>
      </c>
      <c r="T186" t="s">
        <v>50</v>
      </c>
      <c r="U186" t="s">
        <v>122</v>
      </c>
      <c r="V186" t="s">
        <v>758</v>
      </c>
      <c r="W186" t="s">
        <v>759</v>
      </c>
      <c r="X186" t="s">
        <v>79</v>
      </c>
      <c r="Z186">
        <v>97</v>
      </c>
      <c r="AA186" t="s">
        <v>704</v>
      </c>
      <c r="AB186" t="s">
        <v>435</v>
      </c>
      <c r="AC186">
        <v>2604000033</v>
      </c>
      <c r="AE186">
        <v>0</v>
      </c>
      <c r="AF186">
        <v>0</v>
      </c>
      <c r="AG186">
        <v>0</v>
      </c>
      <c r="AH186">
        <v>0</v>
      </c>
      <c r="AI186" t="s">
        <v>56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 t="s">
        <v>57</v>
      </c>
      <c r="AS186" t="s">
        <v>436</v>
      </c>
      <c r="AT186" t="s">
        <v>436</v>
      </c>
      <c r="AU186" t="s">
        <v>435</v>
      </c>
      <c r="AV186" t="s">
        <v>437</v>
      </c>
      <c r="AW186" t="s">
        <v>438</v>
      </c>
      <c r="AZ186">
        <v>35510</v>
      </c>
      <c r="BA186" t="s">
        <v>439</v>
      </c>
      <c r="BB186" t="s">
        <v>61</v>
      </c>
      <c r="BC186" t="s">
        <v>62</v>
      </c>
    </row>
    <row r="187" spans="1:55" x14ac:dyDescent="0.25">
      <c r="A187" s="1" t="str">
        <f>IF(COUNTIF(Catégories!A:A,X187)=0,"catégorie inconnue",_xlfn.XLOOKUP(X187,Catégories!A:A,Catégories!B:B))</f>
        <v>Frêt</v>
      </c>
      <c r="B187" s="1">
        <f t="shared" si="6"/>
        <v>0</v>
      </c>
      <c r="C187" s="1">
        <f t="shared" si="7"/>
        <v>0</v>
      </c>
      <c r="D187" s="1">
        <f t="shared" si="8"/>
        <v>0</v>
      </c>
      <c r="E187" s="20">
        <f>IF(AH187&lt;&gt;0,ROUNDUP(AH187,0),IF(BB187&lt;&gt;"FR","hors France",IF(AH187&lt;&gt;0,ROUNDUP(AH187,0),_xlfn.XLOOKUP(AJ187,'PA GLS'!B:B,'PA GLS'!A:A))))</f>
        <v>4</v>
      </c>
      <c r="F187">
        <v>2501382993</v>
      </c>
      <c r="G187">
        <v>1030223228</v>
      </c>
      <c r="H187" t="s">
        <v>366</v>
      </c>
      <c r="I187">
        <v>2500034092</v>
      </c>
      <c r="J187" t="s">
        <v>50</v>
      </c>
      <c r="K187">
        <v>9000009190</v>
      </c>
      <c r="L187">
        <v>46946</v>
      </c>
      <c r="M187" t="s">
        <v>51</v>
      </c>
      <c r="N187">
        <v>9000079830</v>
      </c>
      <c r="O187" t="s">
        <v>187</v>
      </c>
      <c r="S187">
        <v>2507012387</v>
      </c>
      <c r="T187" t="s">
        <v>50</v>
      </c>
      <c r="U187" t="s">
        <v>122</v>
      </c>
      <c r="V187" t="s">
        <v>176</v>
      </c>
      <c r="W187" t="s">
        <v>177</v>
      </c>
      <c r="X187" t="s">
        <v>152</v>
      </c>
      <c r="Z187">
        <v>90</v>
      </c>
      <c r="AA187" t="s">
        <v>704</v>
      </c>
      <c r="AB187" t="s">
        <v>751</v>
      </c>
      <c r="AC187">
        <v>2604000071</v>
      </c>
      <c r="AE187">
        <v>0</v>
      </c>
      <c r="AF187">
        <v>1</v>
      </c>
      <c r="AG187">
        <v>0</v>
      </c>
      <c r="AH187">
        <v>3.05</v>
      </c>
      <c r="AI187" t="s">
        <v>56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 t="s">
        <v>57</v>
      </c>
      <c r="AS187" t="s">
        <v>752</v>
      </c>
      <c r="AT187" t="s">
        <v>752</v>
      </c>
      <c r="AU187" t="s">
        <v>751</v>
      </c>
      <c r="AV187" t="s">
        <v>358</v>
      </c>
      <c r="AW187" t="s">
        <v>359</v>
      </c>
      <c r="AZ187">
        <v>92350</v>
      </c>
      <c r="BA187" t="s">
        <v>360</v>
      </c>
      <c r="BB187" t="s">
        <v>61</v>
      </c>
      <c r="BC187" t="s">
        <v>62</v>
      </c>
    </row>
    <row r="188" spans="1:55" x14ac:dyDescent="0.25">
      <c r="A188" s="1" t="str">
        <f>IF(COUNTIF(Catégories!A:A,X188)=0,"catégorie inconnue",_xlfn.XLOOKUP(X188,Catégories!A:A,Catégories!B:B))</f>
        <v>Frêt</v>
      </c>
      <c r="B188" s="1">
        <f t="shared" si="6"/>
        <v>0</v>
      </c>
      <c r="C188" s="1">
        <f t="shared" si="7"/>
        <v>0</v>
      </c>
      <c r="D188" s="1">
        <f t="shared" si="8"/>
        <v>0</v>
      </c>
      <c r="E188" s="20">
        <f>IF(AH188&lt;&gt;0,ROUNDUP(AH188,0),IF(BB188&lt;&gt;"FR","hors France",IF(AH188&lt;&gt;0,ROUNDUP(AH188,0),_xlfn.XLOOKUP(AJ188,'PA GLS'!B:B,'PA GLS'!A:A))))</f>
        <v>3</v>
      </c>
      <c r="F188">
        <v>2501382993</v>
      </c>
      <c r="G188">
        <v>1030223228</v>
      </c>
      <c r="H188" t="s">
        <v>366</v>
      </c>
      <c r="I188">
        <v>2500034092</v>
      </c>
      <c r="J188" t="s">
        <v>50</v>
      </c>
      <c r="K188">
        <v>9000009190</v>
      </c>
      <c r="L188">
        <v>46946</v>
      </c>
      <c r="M188" t="s">
        <v>51</v>
      </c>
      <c r="N188">
        <v>9000079830</v>
      </c>
      <c r="O188" t="s">
        <v>187</v>
      </c>
      <c r="S188">
        <v>2507012387</v>
      </c>
      <c r="T188" t="s">
        <v>50</v>
      </c>
      <c r="U188" t="s">
        <v>122</v>
      </c>
      <c r="V188" t="s">
        <v>176</v>
      </c>
      <c r="W188" t="s">
        <v>177</v>
      </c>
      <c r="X188" t="s">
        <v>152</v>
      </c>
      <c r="Z188">
        <v>90</v>
      </c>
      <c r="AA188" t="s">
        <v>704</v>
      </c>
      <c r="AB188" t="s">
        <v>753</v>
      </c>
      <c r="AC188">
        <v>2604000070</v>
      </c>
      <c r="AE188">
        <v>0</v>
      </c>
      <c r="AF188">
        <v>1</v>
      </c>
      <c r="AG188">
        <v>0</v>
      </c>
      <c r="AH188">
        <v>2.46</v>
      </c>
      <c r="AI188" t="s">
        <v>56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 t="s">
        <v>57</v>
      </c>
      <c r="AS188" t="s">
        <v>754</v>
      </c>
      <c r="AT188" t="s">
        <v>754</v>
      </c>
      <c r="AU188" t="s">
        <v>753</v>
      </c>
      <c r="AV188" t="s">
        <v>755</v>
      </c>
      <c r="AW188" t="s">
        <v>756</v>
      </c>
      <c r="AZ188">
        <v>42530</v>
      </c>
      <c r="BA188" t="s">
        <v>757</v>
      </c>
      <c r="BB188" t="s">
        <v>61</v>
      </c>
      <c r="BC188" t="s">
        <v>62</v>
      </c>
    </row>
    <row r="189" spans="1:55" x14ac:dyDescent="0.25">
      <c r="A189" s="1" t="str">
        <f>IF(COUNTIF(Catégories!A:A,X189)=0,"catégorie inconnue",_xlfn.XLOOKUP(X189,Catégories!A:A,Catégories!B:B))</f>
        <v>Frêt</v>
      </c>
      <c r="B189" s="1">
        <f t="shared" si="6"/>
        <v>0</v>
      </c>
      <c r="C189" s="1">
        <f t="shared" si="7"/>
        <v>0</v>
      </c>
      <c r="D189" s="1">
        <f t="shared" si="8"/>
        <v>0</v>
      </c>
      <c r="E189" s="20">
        <f>IF(AH189&lt;&gt;0,ROUNDUP(AH189,0),IF(BB189&lt;&gt;"FR","hors France",IF(AH189&lt;&gt;0,ROUNDUP(AH189,0),_xlfn.XLOOKUP(AJ189,'PA GLS'!B:B,'PA GLS'!A:A))))</f>
        <v>1</v>
      </c>
      <c r="F189">
        <v>2501382993</v>
      </c>
      <c r="G189">
        <v>1030233386</v>
      </c>
      <c r="H189" t="s">
        <v>366</v>
      </c>
      <c r="I189">
        <v>2500034092</v>
      </c>
      <c r="J189" t="s">
        <v>50</v>
      </c>
      <c r="K189">
        <v>9000009190</v>
      </c>
      <c r="L189">
        <v>46946</v>
      </c>
      <c r="M189" t="s">
        <v>51</v>
      </c>
      <c r="N189">
        <v>9000037814</v>
      </c>
      <c r="O189" t="s">
        <v>51</v>
      </c>
      <c r="S189">
        <v>2507012387</v>
      </c>
      <c r="T189" t="s">
        <v>50</v>
      </c>
      <c r="U189" t="s">
        <v>122</v>
      </c>
      <c r="V189" t="s">
        <v>176</v>
      </c>
      <c r="W189" t="s">
        <v>177</v>
      </c>
      <c r="X189" t="s">
        <v>152</v>
      </c>
      <c r="Z189">
        <v>166</v>
      </c>
      <c r="AA189" t="s">
        <v>704</v>
      </c>
      <c r="AB189" t="s">
        <v>712</v>
      </c>
      <c r="AC189">
        <v>2604000037</v>
      </c>
      <c r="AE189">
        <v>0</v>
      </c>
      <c r="AF189">
        <v>1</v>
      </c>
      <c r="AG189">
        <v>0</v>
      </c>
      <c r="AH189">
        <v>0.78</v>
      </c>
      <c r="AI189" t="s">
        <v>56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 t="s">
        <v>57</v>
      </c>
      <c r="AS189" t="s">
        <v>713</v>
      </c>
      <c r="AT189" t="s">
        <v>713</v>
      </c>
      <c r="AU189" t="s">
        <v>712</v>
      </c>
      <c r="AV189" t="s">
        <v>714</v>
      </c>
      <c r="AW189" t="s">
        <v>715</v>
      </c>
      <c r="AZ189">
        <v>6130</v>
      </c>
      <c r="BA189" t="s">
        <v>272</v>
      </c>
      <c r="BB189" t="s">
        <v>61</v>
      </c>
      <c r="BC189" t="s">
        <v>62</v>
      </c>
    </row>
    <row r="190" spans="1:55" x14ac:dyDescent="0.25">
      <c r="A190" s="1" t="str">
        <f>IF(COUNTIF(Catégories!A:A,X190)=0,"catégorie inconnue",_xlfn.XLOOKUP(X190,Catégories!A:A,Catégories!B:B))</f>
        <v>Frêt</v>
      </c>
      <c r="B190" s="1">
        <f t="shared" si="6"/>
        <v>0</v>
      </c>
      <c r="C190" s="1">
        <f t="shared" si="7"/>
        <v>0</v>
      </c>
      <c r="D190" s="1">
        <f t="shared" si="8"/>
        <v>0</v>
      </c>
      <c r="E190" s="20">
        <f>IF(AH190&lt;&gt;0,ROUNDUP(AH190,0),IF(BB190&lt;&gt;"FR","hors France",IF(AH190&lt;&gt;0,ROUNDUP(AH190,0),_xlfn.XLOOKUP(AJ190,'PA GLS'!B:B,'PA GLS'!A:A))))</f>
        <v>1</v>
      </c>
      <c r="F190">
        <v>2501382993</v>
      </c>
      <c r="G190">
        <v>1030233386</v>
      </c>
      <c r="H190" t="s">
        <v>366</v>
      </c>
      <c r="I190">
        <v>2500034092</v>
      </c>
      <c r="J190" t="s">
        <v>50</v>
      </c>
      <c r="K190">
        <v>9000009190</v>
      </c>
      <c r="L190">
        <v>46946</v>
      </c>
      <c r="M190" t="s">
        <v>51</v>
      </c>
      <c r="N190">
        <v>9000037814</v>
      </c>
      <c r="O190" t="s">
        <v>51</v>
      </c>
      <c r="S190">
        <v>2507012387</v>
      </c>
      <c r="T190" t="s">
        <v>50</v>
      </c>
      <c r="U190" t="s">
        <v>122</v>
      </c>
      <c r="V190" t="s">
        <v>176</v>
      </c>
      <c r="W190" t="s">
        <v>177</v>
      </c>
      <c r="X190" t="s">
        <v>152</v>
      </c>
      <c r="Z190">
        <v>166</v>
      </c>
      <c r="AA190" t="s">
        <v>704</v>
      </c>
      <c r="AB190" t="s">
        <v>716</v>
      </c>
      <c r="AC190">
        <v>2604000038</v>
      </c>
      <c r="AE190">
        <v>0</v>
      </c>
      <c r="AF190">
        <v>1</v>
      </c>
      <c r="AG190">
        <v>0</v>
      </c>
      <c r="AH190">
        <v>0.61</v>
      </c>
      <c r="AI190" t="s">
        <v>56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 t="s">
        <v>57</v>
      </c>
      <c r="AS190" t="s">
        <v>717</v>
      </c>
      <c r="AT190" t="s">
        <v>717</v>
      </c>
      <c r="AU190" t="s">
        <v>716</v>
      </c>
      <c r="AV190" t="s">
        <v>714</v>
      </c>
      <c r="AW190" t="s">
        <v>715</v>
      </c>
      <c r="AZ190">
        <v>6130</v>
      </c>
      <c r="BA190" t="s">
        <v>272</v>
      </c>
      <c r="BB190" t="s">
        <v>61</v>
      </c>
      <c r="BC190" t="s">
        <v>62</v>
      </c>
    </row>
    <row r="191" spans="1:55" x14ac:dyDescent="0.25">
      <c r="A191" s="1" t="str">
        <f>IF(COUNTIF(Catégories!A:A,X191)=0,"catégorie inconnue",_xlfn.XLOOKUP(X191,Catégories!A:A,Catégories!B:B))</f>
        <v>Frêt</v>
      </c>
      <c r="B191" s="1">
        <f t="shared" si="6"/>
        <v>0</v>
      </c>
      <c r="C191" s="1">
        <f t="shared" si="7"/>
        <v>0</v>
      </c>
      <c r="D191" s="1">
        <f t="shared" si="8"/>
        <v>0</v>
      </c>
      <c r="E191" s="20">
        <f>IF(AH191&lt;&gt;0,ROUNDUP(AH191,0),IF(BB191&lt;&gt;"FR","hors France",IF(AH191&lt;&gt;0,ROUNDUP(AH191,0),_xlfn.XLOOKUP(AJ191,'PA GLS'!B:B,'PA GLS'!A:A))))</f>
        <v>1</v>
      </c>
      <c r="F191">
        <v>2501382993</v>
      </c>
      <c r="G191">
        <v>1030233386</v>
      </c>
      <c r="H191" t="s">
        <v>366</v>
      </c>
      <c r="I191">
        <v>2500034092</v>
      </c>
      <c r="J191" t="s">
        <v>50</v>
      </c>
      <c r="K191">
        <v>9000009190</v>
      </c>
      <c r="L191">
        <v>46946</v>
      </c>
      <c r="M191" t="s">
        <v>51</v>
      </c>
      <c r="N191">
        <v>9000037814</v>
      </c>
      <c r="O191" t="s">
        <v>51</v>
      </c>
      <c r="S191">
        <v>2507012387</v>
      </c>
      <c r="T191" t="s">
        <v>50</v>
      </c>
      <c r="U191" t="s">
        <v>122</v>
      </c>
      <c r="V191" t="s">
        <v>176</v>
      </c>
      <c r="W191" t="s">
        <v>177</v>
      </c>
      <c r="X191" t="s">
        <v>152</v>
      </c>
      <c r="Z191">
        <v>166</v>
      </c>
      <c r="AA191" t="s">
        <v>704</v>
      </c>
      <c r="AB191" t="s">
        <v>725</v>
      </c>
      <c r="AC191">
        <v>2604000039</v>
      </c>
      <c r="AE191">
        <v>0</v>
      </c>
      <c r="AF191">
        <v>1</v>
      </c>
      <c r="AG191">
        <v>0</v>
      </c>
      <c r="AH191">
        <v>0.3</v>
      </c>
      <c r="AI191" t="s">
        <v>56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 t="s">
        <v>57</v>
      </c>
      <c r="AS191" t="s">
        <v>726</v>
      </c>
      <c r="AT191" t="s">
        <v>726</v>
      </c>
      <c r="AU191" t="s">
        <v>725</v>
      </c>
      <c r="AV191" t="s">
        <v>727</v>
      </c>
      <c r="AW191" t="s">
        <v>728</v>
      </c>
      <c r="AZ191">
        <v>13008</v>
      </c>
      <c r="BA191" t="s">
        <v>68</v>
      </c>
      <c r="BB191" t="s">
        <v>61</v>
      </c>
      <c r="BC191" t="s">
        <v>62</v>
      </c>
    </row>
    <row r="192" spans="1:55" x14ac:dyDescent="0.25">
      <c r="A192" s="1" t="str">
        <f>IF(COUNTIF(Catégories!A:A,X192)=0,"catégorie inconnue",_xlfn.XLOOKUP(X192,Catégories!A:A,Catégories!B:B))</f>
        <v>Frêt</v>
      </c>
      <c r="B192" s="1">
        <f t="shared" si="6"/>
        <v>0</v>
      </c>
      <c r="C192" s="1">
        <f t="shared" si="7"/>
        <v>0</v>
      </c>
      <c r="D192" s="1">
        <f t="shared" si="8"/>
        <v>0</v>
      </c>
      <c r="E192" s="20">
        <f>IF(AH192&lt;&gt;0,ROUNDUP(AH192,0),IF(BB192&lt;&gt;"FR","hors France",IF(AH192&lt;&gt;0,ROUNDUP(AH192,0),_xlfn.XLOOKUP(AJ192,'PA GLS'!B:B,'PA GLS'!A:A))))</f>
        <v>1</v>
      </c>
      <c r="F192">
        <v>2501382993</v>
      </c>
      <c r="G192">
        <v>1030233386</v>
      </c>
      <c r="H192" t="s">
        <v>366</v>
      </c>
      <c r="I192">
        <v>2500034092</v>
      </c>
      <c r="J192" t="s">
        <v>50</v>
      </c>
      <c r="K192">
        <v>9000009190</v>
      </c>
      <c r="L192">
        <v>46946</v>
      </c>
      <c r="M192" t="s">
        <v>51</v>
      </c>
      <c r="N192">
        <v>9000037814</v>
      </c>
      <c r="O192" t="s">
        <v>51</v>
      </c>
      <c r="S192">
        <v>2507012387</v>
      </c>
      <c r="T192" t="s">
        <v>50</v>
      </c>
      <c r="U192" t="s">
        <v>122</v>
      </c>
      <c r="V192" t="s">
        <v>176</v>
      </c>
      <c r="W192" t="s">
        <v>177</v>
      </c>
      <c r="X192" t="s">
        <v>152</v>
      </c>
      <c r="Z192">
        <v>166</v>
      </c>
      <c r="AA192" t="s">
        <v>704</v>
      </c>
      <c r="AB192" t="s">
        <v>720</v>
      </c>
      <c r="AC192">
        <v>2604000040</v>
      </c>
      <c r="AE192">
        <v>0</v>
      </c>
      <c r="AF192">
        <v>1</v>
      </c>
      <c r="AG192">
        <v>0</v>
      </c>
      <c r="AH192">
        <v>0.3</v>
      </c>
      <c r="AI192" t="s">
        <v>56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 t="s">
        <v>57</v>
      </c>
      <c r="AS192" t="s">
        <v>721</v>
      </c>
      <c r="AT192" t="s">
        <v>721</v>
      </c>
      <c r="AU192" t="s">
        <v>720</v>
      </c>
      <c r="AV192" t="s">
        <v>722</v>
      </c>
      <c r="AW192" t="s">
        <v>723</v>
      </c>
      <c r="AZ192">
        <v>74700</v>
      </c>
      <c r="BA192" t="s">
        <v>724</v>
      </c>
      <c r="BB192" t="s">
        <v>61</v>
      </c>
      <c r="BC192" t="s">
        <v>62</v>
      </c>
    </row>
    <row r="193" spans="1:55" x14ac:dyDescent="0.25">
      <c r="A193" s="1" t="str">
        <f>IF(COUNTIF(Catégories!A:A,X193)=0,"catégorie inconnue",_xlfn.XLOOKUP(X193,Catégories!A:A,Catégories!B:B))</f>
        <v>Frêt - avisé</v>
      </c>
      <c r="B193" s="1">
        <f t="shared" si="6"/>
        <v>0</v>
      </c>
      <c r="C193" s="1">
        <f t="shared" si="7"/>
        <v>0</v>
      </c>
      <c r="D193" s="1">
        <f t="shared" si="8"/>
        <v>0</v>
      </c>
      <c r="E193" s="20" t="e">
        <f>IF(AH193&lt;&gt;0,ROUNDUP(AH193,0),IF(BB193&lt;&gt;"FR","hors France",IF(AH193&lt;&gt;0,ROUNDUP(AH193,0),_xlfn.XLOOKUP(AJ193,'PA GLS'!B:B,'PA GLS'!A:A))))</f>
        <v>#N/A</v>
      </c>
      <c r="F193">
        <v>2501382993</v>
      </c>
      <c r="G193">
        <v>1030234353</v>
      </c>
      <c r="H193" t="s">
        <v>366</v>
      </c>
      <c r="I193">
        <v>2500034092</v>
      </c>
      <c r="J193" t="s">
        <v>50</v>
      </c>
      <c r="K193">
        <v>9000009190</v>
      </c>
      <c r="L193">
        <v>46946</v>
      </c>
      <c r="M193" t="s">
        <v>51</v>
      </c>
      <c r="N193">
        <v>9000079830</v>
      </c>
      <c r="O193" t="s">
        <v>187</v>
      </c>
      <c r="S193">
        <v>2507012387</v>
      </c>
      <c r="T193" t="s">
        <v>50</v>
      </c>
      <c r="U193" t="s">
        <v>122</v>
      </c>
      <c r="V193" t="s">
        <v>758</v>
      </c>
      <c r="W193" t="s">
        <v>759</v>
      </c>
      <c r="X193" t="s">
        <v>79</v>
      </c>
      <c r="Z193">
        <v>197</v>
      </c>
      <c r="AA193" t="s">
        <v>760</v>
      </c>
      <c r="AB193" t="s">
        <v>484</v>
      </c>
      <c r="AC193">
        <v>2604000037</v>
      </c>
      <c r="AE193">
        <v>0</v>
      </c>
      <c r="AF193">
        <v>0</v>
      </c>
      <c r="AG193">
        <v>0</v>
      </c>
      <c r="AH193">
        <v>0</v>
      </c>
      <c r="AI193" t="s">
        <v>56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 t="s">
        <v>57</v>
      </c>
      <c r="AS193" t="s">
        <v>485</v>
      </c>
      <c r="AT193" t="s">
        <v>485</v>
      </c>
      <c r="AU193" t="s">
        <v>484</v>
      </c>
      <c r="AV193" t="s">
        <v>486</v>
      </c>
      <c r="AW193" t="s">
        <v>487</v>
      </c>
      <c r="AZ193">
        <v>31450</v>
      </c>
      <c r="BA193" t="s">
        <v>488</v>
      </c>
      <c r="BB193" t="s">
        <v>61</v>
      </c>
      <c r="BC193" t="s">
        <v>62</v>
      </c>
    </row>
    <row r="194" spans="1:55" x14ac:dyDescent="0.25">
      <c r="A194" s="1" t="str">
        <f>IF(COUNTIF(Catégories!A:A,X194)=0,"catégorie inconnue",_xlfn.XLOOKUP(X194,Catégories!A:A,Catégories!B:B))</f>
        <v>Frêt</v>
      </c>
      <c r="B194" s="1">
        <f t="shared" si="6"/>
        <v>0</v>
      </c>
      <c r="C194" s="1">
        <f t="shared" si="7"/>
        <v>0</v>
      </c>
      <c r="D194" s="1">
        <f t="shared" si="8"/>
        <v>0</v>
      </c>
      <c r="E194" s="20">
        <f>IF(AH194&lt;&gt;0,ROUNDUP(AH194,0),IF(BB194&lt;&gt;"FR","hors France",IF(AH194&lt;&gt;0,ROUNDUP(AH194,0),_xlfn.XLOOKUP(AJ194,'PA GLS'!B:B,'PA GLS'!A:A))))</f>
        <v>2</v>
      </c>
      <c r="F194">
        <v>2501382993</v>
      </c>
      <c r="G194">
        <v>1030234552</v>
      </c>
      <c r="H194" t="s">
        <v>366</v>
      </c>
      <c r="I194">
        <v>2500034092</v>
      </c>
      <c r="J194" t="s">
        <v>50</v>
      </c>
      <c r="K194">
        <v>9000009190</v>
      </c>
      <c r="L194">
        <v>46946</v>
      </c>
      <c r="M194" t="s">
        <v>51</v>
      </c>
      <c r="N194">
        <v>9000084611</v>
      </c>
      <c r="O194" t="s">
        <v>300</v>
      </c>
      <c r="S194">
        <v>2507012387</v>
      </c>
      <c r="T194" t="s">
        <v>50</v>
      </c>
      <c r="U194" t="s">
        <v>122</v>
      </c>
      <c r="V194" t="s">
        <v>176</v>
      </c>
      <c r="W194" t="s">
        <v>177</v>
      </c>
      <c r="X194" t="s">
        <v>152</v>
      </c>
      <c r="Z194">
        <v>198</v>
      </c>
      <c r="AA194" t="s">
        <v>760</v>
      </c>
      <c r="AB194" t="s">
        <v>761</v>
      </c>
      <c r="AC194">
        <v>6761431</v>
      </c>
      <c r="AE194">
        <v>0</v>
      </c>
      <c r="AF194">
        <v>1</v>
      </c>
      <c r="AG194">
        <v>0</v>
      </c>
      <c r="AH194">
        <v>1.02</v>
      </c>
      <c r="AI194" t="s">
        <v>56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 t="s">
        <v>57</v>
      </c>
      <c r="AS194" t="s">
        <v>762</v>
      </c>
      <c r="AU194" t="s">
        <v>761</v>
      </c>
      <c r="AV194" t="s">
        <v>763</v>
      </c>
      <c r="AW194" t="s">
        <v>764</v>
      </c>
      <c r="AZ194">
        <v>73110</v>
      </c>
      <c r="BA194" t="s">
        <v>765</v>
      </c>
      <c r="BB194" t="s">
        <v>61</v>
      </c>
      <c r="BC194" t="s">
        <v>62</v>
      </c>
    </row>
    <row r="195" spans="1:55" x14ac:dyDescent="0.25">
      <c r="A195" s="1" t="str">
        <f>IF(COUNTIF(Catégories!A:A,X195)=0,"catégorie inconnue",_xlfn.XLOOKUP(X195,Catégories!A:A,Catégories!B:B))</f>
        <v>Frêt</v>
      </c>
      <c r="B195" s="1">
        <f t="shared" ref="B195:B258" si="9">SUM(AJ195:AL195)+SUM(AN195:AP195)</f>
        <v>7.0100000000000007</v>
      </c>
      <c r="C195" s="1">
        <f t="shared" ref="C195:C258" si="10">AN195</f>
        <v>1.54</v>
      </c>
      <c r="D195" s="1">
        <f t="shared" ref="D195:D258" si="11">B195-C195</f>
        <v>5.4700000000000006</v>
      </c>
      <c r="E195" s="20">
        <f>IF(AH195&lt;&gt;0,ROUNDUP(AH195,0),IF(BB195&lt;&gt;"FR","hors France",IF(AH195&lt;&gt;0,ROUNDUP(AH195,0),_xlfn.XLOOKUP(AJ195,'PA GLS'!B:B,'PA GLS'!A:A))))</f>
        <v>2</v>
      </c>
      <c r="F195">
        <v>2501382993</v>
      </c>
      <c r="G195">
        <v>1030234552</v>
      </c>
      <c r="H195" t="s">
        <v>366</v>
      </c>
      <c r="I195">
        <v>2500034092</v>
      </c>
      <c r="J195" t="s">
        <v>50</v>
      </c>
      <c r="K195">
        <v>9000009190</v>
      </c>
      <c r="L195">
        <v>46946</v>
      </c>
      <c r="M195" t="s">
        <v>51</v>
      </c>
      <c r="N195">
        <v>9000084611</v>
      </c>
      <c r="O195" t="s">
        <v>300</v>
      </c>
      <c r="S195">
        <v>2507012387</v>
      </c>
      <c r="T195" t="s">
        <v>50</v>
      </c>
      <c r="U195" t="s">
        <v>122</v>
      </c>
      <c r="V195" t="s">
        <v>63</v>
      </c>
      <c r="W195" t="s">
        <v>64</v>
      </c>
      <c r="X195" t="s">
        <v>60</v>
      </c>
      <c r="Z195">
        <v>199</v>
      </c>
      <c r="AA195" t="s">
        <v>760</v>
      </c>
      <c r="AB195" t="s">
        <v>761</v>
      </c>
      <c r="AC195">
        <v>6761431</v>
      </c>
      <c r="AE195">
        <v>0</v>
      </c>
      <c r="AF195">
        <v>0</v>
      </c>
      <c r="AG195">
        <v>0</v>
      </c>
      <c r="AH195">
        <v>0</v>
      </c>
      <c r="AI195" t="s">
        <v>56</v>
      </c>
      <c r="AJ195">
        <v>4.42</v>
      </c>
      <c r="AK195">
        <v>0.9</v>
      </c>
      <c r="AL195">
        <v>0.15</v>
      </c>
      <c r="AM195">
        <v>29.1</v>
      </c>
      <c r="AN195">
        <v>1.54</v>
      </c>
      <c r="AO195">
        <v>0</v>
      </c>
      <c r="AP195">
        <v>0</v>
      </c>
      <c r="AQ195" t="s">
        <v>57</v>
      </c>
      <c r="AS195" t="s">
        <v>762</v>
      </c>
      <c r="AU195" t="s">
        <v>761</v>
      </c>
      <c r="AV195" t="s">
        <v>763</v>
      </c>
      <c r="AW195" t="s">
        <v>764</v>
      </c>
      <c r="AZ195">
        <v>73110</v>
      </c>
      <c r="BA195" t="s">
        <v>765</v>
      </c>
      <c r="BB195" t="s">
        <v>61</v>
      </c>
      <c r="BC195" t="s">
        <v>62</v>
      </c>
    </row>
    <row r="196" spans="1:55" x14ac:dyDescent="0.25">
      <c r="A196" s="1" t="str">
        <f>IF(COUNTIF(Catégories!A:A,X196)=0,"catégorie inconnue",_xlfn.XLOOKUP(X196,Catégories!A:A,Catégories!B:B))</f>
        <v>Frêt</v>
      </c>
      <c r="B196" s="1">
        <f t="shared" si="9"/>
        <v>9.6000000000000014</v>
      </c>
      <c r="C196" s="1">
        <f t="shared" si="10"/>
        <v>2.13</v>
      </c>
      <c r="D196" s="1">
        <f t="shared" si="11"/>
        <v>7.4700000000000015</v>
      </c>
      <c r="E196" s="20">
        <f>IF(AH196&lt;&gt;0,ROUNDUP(AH196,0),IF(BB196&lt;&gt;"FR","hors France",IF(AH196&lt;&gt;0,ROUNDUP(AH196,0),_xlfn.XLOOKUP(AJ196,'PA GLS'!B:B,'PA GLS'!A:A))))</f>
        <v>6</v>
      </c>
      <c r="F196">
        <v>2501382993</v>
      </c>
      <c r="G196">
        <v>1030234353</v>
      </c>
      <c r="H196" t="s">
        <v>366</v>
      </c>
      <c r="I196">
        <v>2500034092</v>
      </c>
      <c r="J196" t="s">
        <v>50</v>
      </c>
      <c r="K196">
        <v>9000009190</v>
      </c>
      <c r="L196">
        <v>46946</v>
      </c>
      <c r="M196" t="s">
        <v>51</v>
      </c>
      <c r="N196">
        <v>9000079830</v>
      </c>
      <c r="O196" t="s">
        <v>187</v>
      </c>
      <c r="S196">
        <v>2507012387</v>
      </c>
      <c r="T196" t="s">
        <v>50</v>
      </c>
      <c r="U196" t="s">
        <v>122</v>
      </c>
      <c r="V196" t="s">
        <v>275</v>
      </c>
      <c r="W196" t="s">
        <v>276</v>
      </c>
      <c r="X196" t="s">
        <v>60</v>
      </c>
      <c r="Z196">
        <v>196</v>
      </c>
      <c r="AA196" t="s">
        <v>760</v>
      </c>
      <c r="AB196" t="s">
        <v>766</v>
      </c>
      <c r="AC196">
        <v>2604000077</v>
      </c>
      <c r="AE196">
        <v>0</v>
      </c>
      <c r="AF196">
        <v>0</v>
      </c>
      <c r="AG196">
        <v>0</v>
      </c>
      <c r="AH196">
        <v>0</v>
      </c>
      <c r="AI196" t="s">
        <v>56</v>
      </c>
      <c r="AJ196">
        <v>6.42</v>
      </c>
      <c r="AK196">
        <v>0.9</v>
      </c>
      <c r="AL196">
        <v>0.15</v>
      </c>
      <c r="AM196">
        <v>29.1</v>
      </c>
      <c r="AN196">
        <v>2.13</v>
      </c>
      <c r="AO196">
        <v>0</v>
      </c>
      <c r="AP196">
        <v>0</v>
      </c>
      <c r="AQ196" t="s">
        <v>57</v>
      </c>
      <c r="AS196" t="s">
        <v>767</v>
      </c>
      <c r="AT196" t="s">
        <v>767</v>
      </c>
      <c r="AU196" t="s">
        <v>766</v>
      </c>
      <c r="AV196" t="s">
        <v>768</v>
      </c>
      <c r="AW196" t="s">
        <v>769</v>
      </c>
      <c r="AZ196">
        <v>30000</v>
      </c>
      <c r="BA196" t="s">
        <v>770</v>
      </c>
      <c r="BB196" t="s">
        <v>61</v>
      </c>
      <c r="BC196" t="s">
        <v>62</v>
      </c>
    </row>
    <row r="197" spans="1:55" x14ac:dyDescent="0.25">
      <c r="A197" s="1" t="str">
        <f>IF(COUNTIF(Catégories!A:A,X197)=0,"catégorie inconnue",_xlfn.XLOOKUP(X197,Catégories!A:A,Catégories!B:B))</f>
        <v>Frêt</v>
      </c>
      <c r="B197" s="1">
        <f t="shared" si="9"/>
        <v>0</v>
      </c>
      <c r="C197" s="1">
        <f t="shared" si="10"/>
        <v>0</v>
      </c>
      <c r="D197" s="1">
        <f t="shared" si="11"/>
        <v>0</v>
      </c>
      <c r="E197" s="20">
        <f>IF(AH197&lt;&gt;0,ROUNDUP(AH197,0),IF(BB197&lt;&gt;"FR","hors France",IF(AH197&lt;&gt;0,ROUNDUP(AH197,0),_xlfn.XLOOKUP(AJ197,'PA GLS'!B:B,'PA GLS'!A:A))))</f>
        <v>6</v>
      </c>
      <c r="F197">
        <v>2501382993</v>
      </c>
      <c r="G197">
        <v>1030234353</v>
      </c>
      <c r="H197" t="s">
        <v>366</v>
      </c>
      <c r="I197">
        <v>2500034092</v>
      </c>
      <c r="J197" t="s">
        <v>50</v>
      </c>
      <c r="K197">
        <v>9000009190</v>
      </c>
      <c r="L197">
        <v>46946</v>
      </c>
      <c r="M197" t="s">
        <v>51</v>
      </c>
      <c r="N197">
        <v>9000079830</v>
      </c>
      <c r="O197" t="s">
        <v>187</v>
      </c>
      <c r="S197">
        <v>2507012387</v>
      </c>
      <c r="T197" t="s">
        <v>50</v>
      </c>
      <c r="U197" t="s">
        <v>122</v>
      </c>
      <c r="V197" t="s">
        <v>176</v>
      </c>
      <c r="W197" t="s">
        <v>177</v>
      </c>
      <c r="X197" t="s">
        <v>152</v>
      </c>
      <c r="Z197">
        <v>195</v>
      </c>
      <c r="AA197" t="s">
        <v>760</v>
      </c>
      <c r="AB197" t="s">
        <v>766</v>
      </c>
      <c r="AC197">
        <v>2604000077</v>
      </c>
      <c r="AE197">
        <v>0</v>
      </c>
      <c r="AF197">
        <v>1</v>
      </c>
      <c r="AG197">
        <v>0</v>
      </c>
      <c r="AH197">
        <v>5.44</v>
      </c>
      <c r="AI197" t="s">
        <v>56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 t="s">
        <v>57</v>
      </c>
      <c r="AS197" t="s">
        <v>767</v>
      </c>
      <c r="AT197" t="s">
        <v>767</v>
      </c>
      <c r="AU197" t="s">
        <v>766</v>
      </c>
      <c r="AV197" t="s">
        <v>768</v>
      </c>
      <c r="AW197" t="s">
        <v>769</v>
      </c>
      <c r="AZ197">
        <v>30000</v>
      </c>
      <c r="BA197" t="s">
        <v>770</v>
      </c>
      <c r="BB197" t="s">
        <v>61</v>
      </c>
      <c r="BC197" t="s">
        <v>62</v>
      </c>
    </row>
    <row r="198" spans="1:55" x14ac:dyDescent="0.25">
      <c r="A198" s="1" t="str">
        <f>IF(COUNTIF(Catégories!A:A,X198)=0,"catégorie inconnue",_xlfn.XLOOKUP(X198,Catégories!A:A,Catégories!B:B))</f>
        <v>Frêt</v>
      </c>
      <c r="B198" s="1">
        <f t="shared" si="9"/>
        <v>6.6000000000000005</v>
      </c>
      <c r="C198" s="1">
        <f t="shared" si="10"/>
        <v>1.45</v>
      </c>
      <c r="D198" s="1">
        <f t="shared" si="11"/>
        <v>5.15</v>
      </c>
      <c r="E198" s="20">
        <f>IF(AH198&lt;&gt;0,ROUNDUP(AH198,0),IF(BB198&lt;&gt;"FR","hors France",IF(AH198&lt;&gt;0,ROUNDUP(AH198,0),_xlfn.XLOOKUP(AJ198,'PA GLS'!B:B,'PA GLS'!A:A))))</f>
        <v>1</v>
      </c>
      <c r="F198">
        <v>2501382993</v>
      </c>
      <c r="G198">
        <v>1030233969</v>
      </c>
      <c r="H198" t="s">
        <v>366</v>
      </c>
      <c r="I198">
        <v>2500034092</v>
      </c>
      <c r="J198" t="s">
        <v>50</v>
      </c>
      <c r="K198">
        <v>9000009190</v>
      </c>
      <c r="L198">
        <v>46946</v>
      </c>
      <c r="M198" t="s">
        <v>51</v>
      </c>
      <c r="N198">
        <v>9000037814</v>
      </c>
      <c r="O198" t="s">
        <v>51</v>
      </c>
      <c r="S198">
        <v>2507012387</v>
      </c>
      <c r="T198" t="s">
        <v>50</v>
      </c>
      <c r="U198" t="s">
        <v>122</v>
      </c>
      <c r="V198" t="s">
        <v>69</v>
      </c>
      <c r="W198" t="s">
        <v>70</v>
      </c>
      <c r="X198" t="s">
        <v>60</v>
      </c>
      <c r="Z198">
        <v>191</v>
      </c>
      <c r="AA198" t="s">
        <v>760</v>
      </c>
      <c r="AB198" t="s">
        <v>771</v>
      </c>
      <c r="AC198">
        <v>2604000044</v>
      </c>
      <c r="AE198">
        <v>0</v>
      </c>
      <c r="AF198">
        <v>0</v>
      </c>
      <c r="AG198">
        <v>0</v>
      </c>
      <c r="AH198">
        <v>0</v>
      </c>
      <c r="AI198" t="s">
        <v>56</v>
      </c>
      <c r="AJ198">
        <v>4.0999999999999996</v>
      </c>
      <c r="AK198">
        <v>0.9</v>
      </c>
      <c r="AL198">
        <v>0.15</v>
      </c>
      <c r="AM198">
        <v>29.1</v>
      </c>
      <c r="AN198">
        <v>1.45</v>
      </c>
      <c r="AO198">
        <v>0</v>
      </c>
      <c r="AP198">
        <v>0</v>
      </c>
      <c r="AQ198" t="s">
        <v>57</v>
      </c>
      <c r="AS198" t="s">
        <v>772</v>
      </c>
      <c r="AT198" t="s">
        <v>772</v>
      </c>
      <c r="AU198" t="s">
        <v>771</v>
      </c>
      <c r="AV198" t="s">
        <v>773</v>
      </c>
      <c r="AW198" t="s">
        <v>774</v>
      </c>
      <c r="AZ198">
        <v>75017</v>
      </c>
      <c r="BA198" t="s">
        <v>65</v>
      </c>
      <c r="BB198" t="s">
        <v>61</v>
      </c>
      <c r="BC198" t="s">
        <v>62</v>
      </c>
    </row>
    <row r="199" spans="1:55" x14ac:dyDescent="0.25">
      <c r="A199" s="1" t="str">
        <f>IF(COUNTIF(Catégories!A:A,X199)=0,"catégorie inconnue",_xlfn.XLOOKUP(X199,Catégories!A:A,Catégories!B:B))</f>
        <v>Frêt</v>
      </c>
      <c r="B199" s="1">
        <f t="shared" si="9"/>
        <v>6.17</v>
      </c>
      <c r="C199" s="1">
        <f t="shared" si="10"/>
        <v>1.35</v>
      </c>
      <c r="D199" s="1">
        <f t="shared" si="11"/>
        <v>4.82</v>
      </c>
      <c r="E199" s="20">
        <f>IF(AH199&lt;&gt;0,ROUNDUP(AH199,0),IF(BB199&lt;&gt;"FR","hors France",IF(AH199&lt;&gt;0,ROUNDUP(AH199,0),_xlfn.XLOOKUP(AJ199,'PA GLS'!B:B,'PA GLS'!A:A))))</f>
        <v>0.5</v>
      </c>
      <c r="F199">
        <v>2501382993</v>
      </c>
      <c r="G199">
        <v>1030233969</v>
      </c>
      <c r="H199" t="s">
        <v>366</v>
      </c>
      <c r="I199">
        <v>2500034092</v>
      </c>
      <c r="J199" t="s">
        <v>50</v>
      </c>
      <c r="K199">
        <v>9000009190</v>
      </c>
      <c r="L199">
        <v>46946</v>
      </c>
      <c r="M199" t="s">
        <v>51</v>
      </c>
      <c r="N199">
        <v>9000037814</v>
      </c>
      <c r="O199" t="s">
        <v>51</v>
      </c>
      <c r="S199">
        <v>2507012387</v>
      </c>
      <c r="T199" t="s">
        <v>50</v>
      </c>
      <c r="U199" t="s">
        <v>122</v>
      </c>
      <c r="V199" t="s">
        <v>71</v>
      </c>
      <c r="W199" t="s">
        <v>72</v>
      </c>
      <c r="X199" t="s">
        <v>60</v>
      </c>
      <c r="Z199">
        <v>190</v>
      </c>
      <c r="AA199" t="s">
        <v>760</v>
      </c>
      <c r="AB199" t="s">
        <v>775</v>
      </c>
      <c r="AC199">
        <v>2604000045</v>
      </c>
      <c r="AE199">
        <v>0</v>
      </c>
      <c r="AF199">
        <v>0</v>
      </c>
      <c r="AG199">
        <v>0</v>
      </c>
      <c r="AH199">
        <v>0</v>
      </c>
      <c r="AI199" t="s">
        <v>56</v>
      </c>
      <c r="AJ199">
        <v>3.77</v>
      </c>
      <c r="AK199">
        <v>0.9</v>
      </c>
      <c r="AL199">
        <v>0.15</v>
      </c>
      <c r="AM199">
        <v>29.1</v>
      </c>
      <c r="AN199">
        <v>1.35</v>
      </c>
      <c r="AO199">
        <v>0</v>
      </c>
      <c r="AP199">
        <v>0</v>
      </c>
      <c r="AQ199" t="s">
        <v>57</v>
      </c>
      <c r="AS199" t="s">
        <v>776</v>
      </c>
      <c r="AT199" t="s">
        <v>776</v>
      </c>
      <c r="AU199" t="s">
        <v>775</v>
      </c>
      <c r="AV199" t="s">
        <v>777</v>
      </c>
      <c r="AW199" t="s">
        <v>778</v>
      </c>
      <c r="AZ199">
        <v>75003</v>
      </c>
      <c r="BA199" t="s">
        <v>65</v>
      </c>
      <c r="BB199" t="s">
        <v>61</v>
      </c>
      <c r="BC199" t="s">
        <v>62</v>
      </c>
    </row>
    <row r="200" spans="1:55" x14ac:dyDescent="0.25">
      <c r="A200" s="1" t="str">
        <f>IF(COUNTIF(Catégories!A:A,X200)=0,"catégorie inconnue",_xlfn.XLOOKUP(X200,Catégories!A:A,Catégories!B:B))</f>
        <v>Frêt</v>
      </c>
      <c r="B200" s="1">
        <f t="shared" si="9"/>
        <v>0</v>
      </c>
      <c r="C200" s="1">
        <f t="shared" si="10"/>
        <v>0</v>
      </c>
      <c r="D200" s="1">
        <f t="shared" si="11"/>
        <v>0</v>
      </c>
      <c r="E200" s="20">
        <f>IF(AH200&lt;&gt;0,ROUNDUP(AH200,0),IF(BB200&lt;&gt;"FR","hors France",IF(AH200&lt;&gt;0,ROUNDUP(AH200,0),_xlfn.XLOOKUP(AJ200,'PA GLS'!B:B,'PA GLS'!A:A))))</f>
        <v>1</v>
      </c>
      <c r="F200">
        <v>2501382993</v>
      </c>
      <c r="G200">
        <v>1030233969</v>
      </c>
      <c r="H200" t="s">
        <v>366</v>
      </c>
      <c r="I200">
        <v>2500034092</v>
      </c>
      <c r="J200" t="s">
        <v>50</v>
      </c>
      <c r="K200">
        <v>9000009190</v>
      </c>
      <c r="L200">
        <v>46946</v>
      </c>
      <c r="M200" t="s">
        <v>51</v>
      </c>
      <c r="N200">
        <v>9000037814</v>
      </c>
      <c r="O200" t="s">
        <v>51</v>
      </c>
      <c r="S200">
        <v>2507012387</v>
      </c>
      <c r="T200" t="s">
        <v>50</v>
      </c>
      <c r="U200" t="s">
        <v>122</v>
      </c>
      <c r="V200" t="s">
        <v>176</v>
      </c>
      <c r="W200" t="s">
        <v>177</v>
      </c>
      <c r="X200" t="s">
        <v>152</v>
      </c>
      <c r="Z200">
        <v>189</v>
      </c>
      <c r="AA200" t="s">
        <v>760</v>
      </c>
      <c r="AB200" t="s">
        <v>775</v>
      </c>
      <c r="AC200">
        <v>2604000045</v>
      </c>
      <c r="AE200">
        <v>0</v>
      </c>
      <c r="AF200">
        <v>1</v>
      </c>
      <c r="AG200">
        <v>0</v>
      </c>
      <c r="AH200">
        <v>0.3</v>
      </c>
      <c r="AI200" t="s">
        <v>56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 t="s">
        <v>57</v>
      </c>
      <c r="AS200" t="s">
        <v>776</v>
      </c>
      <c r="AT200" t="s">
        <v>776</v>
      </c>
      <c r="AU200" t="s">
        <v>775</v>
      </c>
      <c r="AV200" t="s">
        <v>777</v>
      </c>
      <c r="AW200" t="s">
        <v>778</v>
      </c>
      <c r="AZ200">
        <v>75003</v>
      </c>
      <c r="BA200" t="s">
        <v>65</v>
      </c>
      <c r="BB200" t="s">
        <v>61</v>
      </c>
      <c r="BC200" t="s">
        <v>62</v>
      </c>
    </row>
    <row r="201" spans="1:55" x14ac:dyDescent="0.25">
      <c r="A201" s="1" t="str">
        <f>IF(COUNTIF(Catégories!A:A,X201)=0,"catégorie inconnue",_xlfn.XLOOKUP(X201,Catégories!A:A,Catégories!B:B))</f>
        <v>Frêt</v>
      </c>
      <c r="B201" s="1">
        <f t="shared" si="9"/>
        <v>0</v>
      </c>
      <c r="C201" s="1">
        <f t="shared" si="10"/>
        <v>0</v>
      </c>
      <c r="D201" s="1">
        <f t="shared" si="11"/>
        <v>0</v>
      </c>
      <c r="E201" s="20">
        <f>IF(AH201&lt;&gt;0,ROUNDUP(AH201,0),IF(BB201&lt;&gt;"FR","hors France",IF(AH201&lt;&gt;0,ROUNDUP(AH201,0),_xlfn.XLOOKUP(AJ201,'PA GLS'!B:B,'PA GLS'!A:A))))</f>
        <v>1</v>
      </c>
      <c r="F201">
        <v>2501382993</v>
      </c>
      <c r="G201">
        <v>1030233969</v>
      </c>
      <c r="H201" t="s">
        <v>366</v>
      </c>
      <c r="I201">
        <v>2500034092</v>
      </c>
      <c r="J201" t="s">
        <v>50</v>
      </c>
      <c r="K201">
        <v>9000009190</v>
      </c>
      <c r="L201">
        <v>46946</v>
      </c>
      <c r="M201" t="s">
        <v>51</v>
      </c>
      <c r="N201">
        <v>9000037814</v>
      </c>
      <c r="O201" t="s">
        <v>51</v>
      </c>
      <c r="S201">
        <v>2507012387</v>
      </c>
      <c r="T201" t="s">
        <v>50</v>
      </c>
      <c r="U201" t="s">
        <v>122</v>
      </c>
      <c r="V201" t="s">
        <v>176</v>
      </c>
      <c r="W201" t="s">
        <v>177</v>
      </c>
      <c r="X201" t="s">
        <v>152</v>
      </c>
      <c r="Z201">
        <v>189</v>
      </c>
      <c r="AA201" t="s">
        <v>760</v>
      </c>
      <c r="AB201" t="s">
        <v>771</v>
      </c>
      <c r="AC201">
        <v>2604000044</v>
      </c>
      <c r="AE201">
        <v>0</v>
      </c>
      <c r="AF201">
        <v>1</v>
      </c>
      <c r="AG201">
        <v>0</v>
      </c>
      <c r="AH201">
        <v>0.52</v>
      </c>
      <c r="AI201" t="s">
        <v>56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">
        <v>57</v>
      </c>
      <c r="AS201" t="s">
        <v>772</v>
      </c>
      <c r="AT201" t="s">
        <v>772</v>
      </c>
      <c r="AU201" t="s">
        <v>771</v>
      </c>
      <c r="AV201" t="s">
        <v>773</v>
      </c>
      <c r="AW201" t="s">
        <v>774</v>
      </c>
      <c r="AZ201">
        <v>75017</v>
      </c>
      <c r="BA201" t="s">
        <v>65</v>
      </c>
      <c r="BB201" t="s">
        <v>61</v>
      </c>
      <c r="BC201" t="s">
        <v>62</v>
      </c>
    </row>
    <row r="202" spans="1:55" x14ac:dyDescent="0.25">
      <c r="A202" s="1" t="str">
        <f>IF(COUNTIF(Catégories!A:A,X202)=0,"catégorie inconnue",_xlfn.XLOOKUP(X202,Catégories!A:A,Catégories!B:B))</f>
        <v>Frêt</v>
      </c>
      <c r="B202" s="1">
        <f t="shared" si="9"/>
        <v>0</v>
      </c>
      <c r="C202" s="1">
        <f t="shared" si="10"/>
        <v>0</v>
      </c>
      <c r="D202" s="1">
        <f t="shared" si="11"/>
        <v>0</v>
      </c>
      <c r="E202" s="20">
        <f>IF(AH202&lt;&gt;0,ROUNDUP(AH202,0),IF(BB202&lt;&gt;"FR","hors France",IF(AH202&lt;&gt;0,ROUNDUP(AH202,0),_xlfn.XLOOKUP(AJ202,'PA GLS'!B:B,'PA GLS'!A:A))))</f>
        <v>2</v>
      </c>
      <c r="F202">
        <v>2501382993</v>
      </c>
      <c r="G202">
        <v>1030223098</v>
      </c>
      <c r="H202" t="s">
        <v>366</v>
      </c>
      <c r="I202">
        <v>2500034092</v>
      </c>
      <c r="J202" t="s">
        <v>50</v>
      </c>
      <c r="K202">
        <v>9000009190</v>
      </c>
      <c r="L202">
        <v>46946</v>
      </c>
      <c r="M202" t="s">
        <v>51</v>
      </c>
      <c r="N202">
        <v>9000079830</v>
      </c>
      <c r="O202" t="s">
        <v>187</v>
      </c>
      <c r="S202">
        <v>2507012387</v>
      </c>
      <c r="T202" t="s">
        <v>50</v>
      </c>
      <c r="U202" t="s">
        <v>122</v>
      </c>
      <c r="V202" t="s">
        <v>176</v>
      </c>
      <c r="W202" t="s">
        <v>177</v>
      </c>
      <c r="X202" t="s">
        <v>152</v>
      </c>
      <c r="Z202">
        <v>85</v>
      </c>
      <c r="AA202" t="s">
        <v>779</v>
      </c>
      <c r="AB202" t="s">
        <v>780</v>
      </c>
      <c r="AC202">
        <v>2604000080</v>
      </c>
      <c r="AE202">
        <v>0</v>
      </c>
      <c r="AF202">
        <v>1</v>
      </c>
      <c r="AG202">
        <v>0</v>
      </c>
      <c r="AH202">
        <v>1.72</v>
      </c>
      <c r="AI202" t="s">
        <v>56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 t="s">
        <v>57</v>
      </c>
      <c r="AS202" t="s">
        <v>781</v>
      </c>
      <c r="AT202" t="s">
        <v>781</v>
      </c>
      <c r="AU202" t="s">
        <v>780</v>
      </c>
      <c r="AV202" t="s">
        <v>782</v>
      </c>
      <c r="AW202" t="s">
        <v>783</v>
      </c>
      <c r="AZ202">
        <v>69290</v>
      </c>
      <c r="BA202" t="s">
        <v>784</v>
      </c>
      <c r="BB202" t="s">
        <v>61</v>
      </c>
      <c r="BC202" t="s">
        <v>62</v>
      </c>
    </row>
    <row r="203" spans="1:55" x14ac:dyDescent="0.25">
      <c r="A203" s="1" t="str">
        <f>IF(COUNTIF(Catégories!A:A,X203)=0,"catégorie inconnue",_xlfn.XLOOKUP(X203,Catégories!A:A,Catégories!B:B))</f>
        <v>Frêt</v>
      </c>
      <c r="B203" s="1">
        <f t="shared" si="9"/>
        <v>0</v>
      </c>
      <c r="C203" s="1">
        <f t="shared" si="10"/>
        <v>0</v>
      </c>
      <c r="D203" s="1">
        <f t="shared" si="11"/>
        <v>0</v>
      </c>
      <c r="E203" s="20">
        <f>IF(AH203&lt;&gt;0,ROUNDUP(AH203,0),IF(BB203&lt;&gt;"FR","hors France",IF(AH203&lt;&gt;0,ROUNDUP(AH203,0),_xlfn.XLOOKUP(AJ203,'PA GLS'!B:B,'PA GLS'!A:A))))</f>
        <v>1</v>
      </c>
      <c r="F203">
        <v>2501382993</v>
      </c>
      <c r="G203">
        <v>1030223098</v>
      </c>
      <c r="H203" t="s">
        <v>366</v>
      </c>
      <c r="I203">
        <v>2500034092</v>
      </c>
      <c r="J203" t="s">
        <v>50</v>
      </c>
      <c r="K203">
        <v>9000009190</v>
      </c>
      <c r="L203">
        <v>46946</v>
      </c>
      <c r="M203" t="s">
        <v>51</v>
      </c>
      <c r="N203">
        <v>9000079830</v>
      </c>
      <c r="O203" t="s">
        <v>187</v>
      </c>
      <c r="S203">
        <v>2507012387</v>
      </c>
      <c r="T203" t="s">
        <v>50</v>
      </c>
      <c r="U203" t="s">
        <v>122</v>
      </c>
      <c r="V203" t="s">
        <v>176</v>
      </c>
      <c r="W203" t="s">
        <v>177</v>
      </c>
      <c r="X203" t="s">
        <v>152</v>
      </c>
      <c r="Z203">
        <v>85</v>
      </c>
      <c r="AA203" t="s">
        <v>779</v>
      </c>
      <c r="AB203" t="s">
        <v>785</v>
      </c>
      <c r="AC203">
        <v>2604000081</v>
      </c>
      <c r="AE203">
        <v>0</v>
      </c>
      <c r="AF203">
        <v>1</v>
      </c>
      <c r="AG203">
        <v>0</v>
      </c>
      <c r="AH203">
        <v>0.52</v>
      </c>
      <c r="AI203" t="s">
        <v>56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 t="s">
        <v>57</v>
      </c>
      <c r="AS203" t="s">
        <v>786</v>
      </c>
      <c r="AT203" t="s">
        <v>786</v>
      </c>
      <c r="AU203" t="s">
        <v>785</v>
      </c>
      <c r="AV203" t="s">
        <v>787</v>
      </c>
      <c r="AW203" t="s">
        <v>788</v>
      </c>
      <c r="AZ203">
        <v>92100</v>
      </c>
      <c r="BA203" t="s">
        <v>789</v>
      </c>
      <c r="BB203" t="s">
        <v>61</v>
      </c>
      <c r="BC203" t="s">
        <v>62</v>
      </c>
    </row>
    <row r="204" spans="1:55" x14ac:dyDescent="0.25">
      <c r="A204" s="1" t="str">
        <f>IF(COUNTIF(Catégories!A:A,X204)=0,"catégorie inconnue",_xlfn.XLOOKUP(X204,Catégories!A:A,Catégories!B:B))</f>
        <v>Frêt</v>
      </c>
      <c r="B204" s="1">
        <f t="shared" si="9"/>
        <v>6.17</v>
      </c>
      <c r="C204" s="1">
        <f t="shared" si="10"/>
        <v>1.35</v>
      </c>
      <c r="D204" s="1">
        <f t="shared" si="11"/>
        <v>4.82</v>
      </c>
      <c r="E204" s="20">
        <f>IF(AH204&lt;&gt;0,ROUNDUP(AH204,0),IF(BB204&lt;&gt;"FR","hors France",IF(AH204&lt;&gt;0,ROUNDUP(AH204,0),_xlfn.XLOOKUP(AJ204,'PA GLS'!B:B,'PA GLS'!A:A))))</f>
        <v>0.5</v>
      </c>
      <c r="F204">
        <v>2501382993</v>
      </c>
      <c r="G204">
        <v>1030223098</v>
      </c>
      <c r="H204" t="s">
        <v>366</v>
      </c>
      <c r="I204">
        <v>2500034092</v>
      </c>
      <c r="J204" t="s">
        <v>50</v>
      </c>
      <c r="K204">
        <v>9000009190</v>
      </c>
      <c r="L204">
        <v>46946</v>
      </c>
      <c r="M204" t="s">
        <v>51</v>
      </c>
      <c r="N204">
        <v>9000079830</v>
      </c>
      <c r="O204" t="s">
        <v>187</v>
      </c>
      <c r="S204">
        <v>2507012387</v>
      </c>
      <c r="T204" t="s">
        <v>50</v>
      </c>
      <c r="U204" t="s">
        <v>122</v>
      </c>
      <c r="V204" t="s">
        <v>71</v>
      </c>
      <c r="W204" t="s">
        <v>72</v>
      </c>
      <c r="X204" t="s">
        <v>60</v>
      </c>
      <c r="Z204">
        <v>86</v>
      </c>
      <c r="AA204" t="s">
        <v>779</v>
      </c>
      <c r="AB204" t="s">
        <v>790</v>
      </c>
      <c r="AC204">
        <v>2604000078</v>
      </c>
      <c r="AE204">
        <v>0</v>
      </c>
      <c r="AF204">
        <v>0</v>
      </c>
      <c r="AG204">
        <v>0</v>
      </c>
      <c r="AH204">
        <v>0</v>
      </c>
      <c r="AI204" t="s">
        <v>56</v>
      </c>
      <c r="AJ204">
        <v>3.77</v>
      </c>
      <c r="AK204">
        <v>0.9</v>
      </c>
      <c r="AL204">
        <v>0.15</v>
      </c>
      <c r="AM204">
        <v>29.1</v>
      </c>
      <c r="AN204">
        <v>1.35</v>
      </c>
      <c r="AO204">
        <v>0</v>
      </c>
      <c r="AP204">
        <v>0</v>
      </c>
      <c r="AQ204" t="s">
        <v>57</v>
      </c>
      <c r="AS204" t="s">
        <v>791</v>
      </c>
      <c r="AT204" t="s">
        <v>791</v>
      </c>
      <c r="AU204" t="s">
        <v>790</v>
      </c>
      <c r="AV204" t="s">
        <v>792</v>
      </c>
      <c r="AW204" t="s">
        <v>793</v>
      </c>
      <c r="AZ204">
        <v>60100</v>
      </c>
      <c r="BA204" t="s">
        <v>794</v>
      </c>
      <c r="BB204" t="s">
        <v>61</v>
      </c>
      <c r="BC204" t="s">
        <v>62</v>
      </c>
    </row>
    <row r="205" spans="1:55" x14ac:dyDescent="0.25">
      <c r="A205" s="1" t="str">
        <f>IF(COUNTIF(Catégories!A:A,X205)=0,"catégorie inconnue",_xlfn.XLOOKUP(X205,Catégories!A:A,Catégories!B:B))</f>
        <v>Frêt</v>
      </c>
      <c r="B205" s="1">
        <f t="shared" si="9"/>
        <v>0</v>
      </c>
      <c r="C205" s="1">
        <f t="shared" si="10"/>
        <v>0</v>
      </c>
      <c r="D205" s="1">
        <f t="shared" si="11"/>
        <v>0</v>
      </c>
      <c r="E205" s="20">
        <f>IF(AH205&lt;&gt;0,ROUNDUP(AH205,0),IF(BB205&lt;&gt;"FR","hors France",IF(AH205&lt;&gt;0,ROUNDUP(AH205,0),_xlfn.XLOOKUP(AJ205,'PA GLS'!B:B,'PA GLS'!A:A))))</f>
        <v>3</v>
      </c>
      <c r="F205">
        <v>2501382993</v>
      </c>
      <c r="G205">
        <v>1030223098</v>
      </c>
      <c r="H205" t="s">
        <v>366</v>
      </c>
      <c r="I205">
        <v>2500034092</v>
      </c>
      <c r="J205" t="s">
        <v>50</v>
      </c>
      <c r="K205">
        <v>9000009190</v>
      </c>
      <c r="L205">
        <v>46946</v>
      </c>
      <c r="M205" t="s">
        <v>51</v>
      </c>
      <c r="N205">
        <v>9000079830</v>
      </c>
      <c r="O205" t="s">
        <v>187</v>
      </c>
      <c r="S205">
        <v>2507012387</v>
      </c>
      <c r="T205" t="s">
        <v>50</v>
      </c>
      <c r="U205" t="s">
        <v>122</v>
      </c>
      <c r="V205" t="s">
        <v>176</v>
      </c>
      <c r="W205" t="s">
        <v>177</v>
      </c>
      <c r="X205" t="s">
        <v>152</v>
      </c>
      <c r="Z205">
        <v>85</v>
      </c>
      <c r="AA205" t="s">
        <v>779</v>
      </c>
      <c r="AB205" t="s">
        <v>795</v>
      </c>
      <c r="AC205">
        <v>2604000079</v>
      </c>
      <c r="AE205">
        <v>0</v>
      </c>
      <c r="AF205">
        <v>1</v>
      </c>
      <c r="AG205">
        <v>0</v>
      </c>
      <c r="AH205">
        <v>2.2799999999999998</v>
      </c>
      <c r="AI205" t="s">
        <v>56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 t="s">
        <v>57</v>
      </c>
      <c r="AS205" t="s">
        <v>796</v>
      </c>
      <c r="AT205" t="s">
        <v>796</v>
      </c>
      <c r="AU205" t="s">
        <v>795</v>
      </c>
      <c r="AV205" t="s">
        <v>797</v>
      </c>
      <c r="AW205" t="s">
        <v>798</v>
      </c>
      <c r="AZ205">
        <v>23230</v>
      </c>
      <c r="BA205" t="s">
        <v>799</v>
      </c>
      <c r="BB205" t="s">
        <v>61</v>
      </c>
      <c r="BC205" t="s">
        <v>62</v>
      </c>
    </row>
    <row r="206" spans="1:55" x14ac:dyDescent="0.25">
      <c r="A206" s="1" t="str">
        <f>IF(COUNTIF(Catégories!A:A,X206)=0,"catégorie inconnue",_xlfn.XLOOKUP(X206,Catégories!A:A,Catégories!B:B))</f>
        <v>Frêt</v>
      </c>
      <c r="B206" s="1">
        <f t="shared" si="9"/>
        <v>0</v>
      </c>
      <c r="C206" s="1">
        <f t="shared" si="10"/>
        <v>0</v>
      </c>
      <c r="D206" s="1">
        <f t="shared" si="11"/>
        <v>0</v>
      </c>
      <c r="E206" s="20">
        <f>IF(AH206&lt;&gt;0,ROUNDUP(AH206,0),IF(BB206&lt;&gt;"FR","hors France",IF(AH206&lt;&gt;0,ROUNDUP(AH206,0),_xlfn.XLOOKUP(AJ206,'PA GLS'!B:B,'PA GLS'!A:A))))</f>
        <v>1</v>
      </c>
      <c r="F206">
        <v>2501382993</v>
      </c>
      <c r="G206">
        <v>1030223098</v>
      </c>
      <c r="H206" t="s">
        <v>366</v>
      </c>
      <c r="I206">
        <v>2500034092</v>
      </c>
      <c r="J206" t="s">
        <v>50</v>
      </c>
      <c r="K206">
        <v>9000009190</v>
      </c>
      <c r="L206">
        <v>46946</v>
      </c>
      <c r="M206" t="s">
        <v>51</v>
      </c>
      <c r="N206">
        <v>9000079830</v>
      </c>
      <c r="O206" t="s">
        <v>187</v>
      </c>
      <c r="S206">
        <v>2507012387</v>
      </c>
      <c r="T206" t="s">
        <v>50</v>
      </c>
      <c r="U206" t="s">
        <v>122</v>
      </c>
      <c r="V206" t="s">
        <v>176</v>
      </c>
      <c r="W206" t="s">
        <v>177</v>
      </c>
      <c r="X206" t="s">
        <v>152</v>
      </c>
      <c r="Z206">
        <v>85</v>
      </c>
      <c r="AA206" t="s">
        <v>779</v>
      </c>
      <c r="AB206" t="s">
        <v>790</v>
      </c>
      <c r="AC206">
        <v>2604000078</v>
      </c>
      <c r="AE206">
        <v>0</v>
      </c>
      <c r="AF206">
        <v>1</v>
      </c>
      <c r="AG206">
        <v>0</v>
      </c>
      <c r="AH206">
        <v>0.44</v>
      </c>
      <c r="AI206" t="s">
        <v>56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 t="s">
        <v>57</v>
      </c>
      <c r="AS206" t="s">
        <v>791</v>
      </c>
      <c r="AT206" t="s">
        <v>791</v>
      </c>
      <c r="AU206" t="s">
        <v>790</v>
      </c>
      <c r="AV206" t="s">
        <v>792</v>
      </c>
      <c r="AW206" t="s">
        <v>793</v>
      </c>
      <c r="AZ206">
        <v>60100</v>
      </c>
      <c r="BA206" t="s">
        <v>794</v>
      </c>
      <c r="BB206" t="s">
        <v>61</v>
      </c>
      <c r="BC206" t="s">
        <v>62</v>
      </c>
    </row>
    <row r="207" spans="1:55" x14ac:dyDescent="0.25">
      <c r="A207" s="1" t="str">
        <f>IF(COUNTIF(Catégories!A:A,X207)=0,"catégorie inconnue",_xlfn.XLOOKUP(X207,Catégories!A:A,Catégories!B:B))</f>
        <v>Frêt</v>
      </c>
      <c r="B207" s="1">
        <f t="shared" si="9"/>
        <v>6.6000000000000005</v>
      </c>
      <c r="C207" s="1">
        <f t="shared" si="10"/>
        <v>1.45</v>
      </c>
      <c r="D207" s="1">
        <f t="shared" si="11"/>
        <v>5.15</v>
      </c>
      <c r="E207" s="20">
        <f>IF(AH207&lt;&gt;0,ROUNDUP(AH207,0),IF(BB207&lt;&gt;"FR","hors France",IF(AH207&lt;&gt;0,ROUNDUP(AH207,0),_xlfn.XLOOKUP(AJ207,'PA GLS'!B:B,'PA GLS'!A:A))))</f>
        <v>1</v>
      </c>
      <c r="F207">
        <v>2501382993</v>
      </c>
      <c r="G207">
        <v>1030223098</v>
      </c>
      <c r="H207" t="s">
        <v>366</v>
      </c>
      <c r="I207">
        <v>2500034092</v>
      </c>
      <c r="J207" t="s">
        <v>50</v>
      </c>
      <c r="K207">
        <v>9000009190</v>
      </c>
      <c r="L207">
        <v>46946</v>
      </c>
      <c r="M207" t="s">
        <v>51</v>
      </c>
      <c r="N207">
        <v>9000079830</v>
      </c>
      <c r="O207" t="s">
        <v>187</v>
      </c>
      <c r="S207">
        <v>2507012387</v>
      </c>
      <c r="T207" t="s">
        <v>50</v>
      </c>
      <c r="U207" t="s">
        <v>122</v>
      </c>
      <c r="V207" t="s">
        <v>69</v>
      </c>
      <c r="W207" t="s">
        <v>70</v>
      </c>
      <c r="X207" t="s">
        <v>60</v>
      </c>
      <c r="Z207">
        <v>87</v>
      </c>
      <c r="AA207" t="s">
        <v>779</v>
      </c>
      <c r="AB207" t="s">
        <v>785</v>
      </c>
      <c r="AC207">
        <v>2604000081</v>
      </c>
      <c r="AE207">
        <v>0</v>
      </c>
      <c r="AF207">
        <v>0</v>
      </c>
      <c r="AG207">
        <v>0</v>
      </c>
      <c r="AH207">
        <v>0</v>
      </c>
      <c r="AI207" t="s">
        <v>56</v>
      </c>
      <c r="AJ207">
        <v>4.0999999999999996</v>
      </c>
      <c r="AK207">
        <v>0.9</v>
      </c>
      <c r="AL207">
        <v>0.15</v>
      </c>
      <c r="AM207">
        <v>29.1</v>
      </c>
      <c r="AN207">
        <v>1.45</v>
      </c>
      <c r="AO207">
        <v>0</v>
      </c>
      <c r="AP207">
        <v>0</v>
      </c>
      <c r="AQ207" t="s">
        <v>57</v>
      </c>
      <c r="AS207" t="s">
        <v>786</v>
      </c>
      <c r="AT207" t="s">
        <v>786</v>
      </c>
      <c r="AU207" t="s">
        <v>785</v>
      </c>
      <c r="AV207" t="s">
        <v>787</v>
      </c>
      <c r="AW207" t="s">
        <v>788</v>
      </c>
      <c r="AZ207">
        <v>92100</v>
      </c>
      <c r="BA207" t="s">
        <v>789</v>
      </c>
      <c r="BB207" t="s">
        <v>61</v>
      </c>
      <c r="BC207" t="s">
        <v>62</v>
      </c>
    </row>
    <row r="208" spans="1:55" x14ac:dyDescent="0.25">
      <c r="A208" s="1" t="str">
        <f>IF(COUNTIF(Catégories!A:A,X208)=0,"catégorie inconnue",_xlfn.XLOOKUP(X208,Catégories!A:A,Catégories!B:B))</f>
        <v>Frêt</v>
      </c>
      <c r="B208" s="1">
        <f t="shared" si="9"/>
        <v>7.0100000000000007</v>
      </c>
      <c r="C208" s="1">
        <f t="shared" si="10"/>
        <v>1.54</v>
      </c>
      <c r="D208" s="1">
        <f t="shared" si="11"/>
        <v>5.4700000000000006</v>
      </c>
      <c r="E208" s="20">
        <f>IF(AH208&lt;&gt;0,ROUNDUP(AH208,0),IF(BB208&lt;&gt;"FR","hors France",IF(AH208&lt;&gt;0,ROUNDUP(AH208,0),_xlfn.XLOOKUP(AJ208,'PA GLS'!B:B,'PA GLS'!A:A))))</f>
        <v>2</v>
      </c>
      <c r="F208">
        <v>2501382993</v>
      </c>
      <c r="G208">
        <v>1030223098</v>
      </c>
      <c r="H208" t="s">
        <v>366</v>
      </c>
      <c r="I208">
        <v>2500034092</v>
      </c>
      <c r="J208" t="s">
        <v>50</v>
      </c>
      <c r="K208">
        <v>9000009190</v>
      </c>
      <c r="L208">
        <v>46946</v>
      </c>
      <c r="M208" t="s">
        <v>51</v>
      </c>
      <c r="N208">
        <v>9000079830</v>
      </c>
      <c r="O208" t="s">
        <v>187</v>
      </c>
      <c r="S208">
        <v>2507012387</v>
      </c>
      <c r="T208" t="s">
        <v>50</v>
      </c>
      <c r="U208" t="s">
        <v>122</v>
      </c>
      <c r="V208" t="s">
        <v>77</v>
      </c>
      <c r="W208" t="s">
        <v>78</v>
      </c>
      <c r="X208" t="s">
        <v>60</v>
      </c>
      <c r="Z208">
        <v>88</v>
      </c>
      <c r="AA208" t="s">
        <v>779</v>
      </c>
      <c r="AB208" t="s">
        <v>780</v>
      </c>
      <c r="AC208">
        <v>2604000080</v>
      </c>
      <c r="AE208">
        <v>0</v>
      </c>
      <c r="AF208">
        <v>0</v>
      </c>
      <c r="AG208">
        <v>0</v>
      </c>
      <c r="AH208">
        <v>0</v>
      </c>
      <c r="AI208" t="s">
        <v>56</v>
      </c>
      <c r="AJ208">
        <v>4.42</v>
      </c>
      <c r="AK208">
        <v>0.9</v>
      </c>
      <c r="AL208">
        <v>0.15</v>
      </c>
      <c r="AM208">
        <v>29.1</v>
      </c>
      <c r="AN208">
        <v>1.54</v>
      </c>
      <c r="AO208">
        <v>0</v>
      </c>
      <c r="AP208">
        <v>0</v>
      </c>
      <c r="AQ208" t="s">
        <v>57</v>
      </c>
      <c r="AS208" t="s">
        <v>781</v>
      </c>
      <c r="AT208" t="s">
        <v>781</v>
      </c>
      <c r="AU208" t="s">
        <v>780</v>
      </c>
      <c r="AV208" t="s">
        <v>782</v>
      </c>
      <c r="AW208" t="s">
        <v>783</v>
      </c>
      <c r="AZ208">
        <v>69290</v>
      </c>
      <c r="BA208" t="s">
        <v>784</v>
      </c>
      <c r="BB208" t="s">
        <v>61</v>
      </c>
      <c r="BC208" t="s">
        <v>62</v>
      </c>
    </row>
    <row r="209" spans="1:55" x14ac:dyDescent="0.25">
      <c r="A209" s="1" t="str">
        <f>IF(COUNTIF(Catégories!A:A,X209)=0,"catégorie inconnue",_xlfn.XLOOKUP(X209,Catégories!A:A,Catégories!B:B))</f>
        <v>Frêt</v>
      </c>
      <c r="B209" s="1">
        <f t="shared" si="9"/>
        <v>7.4300000000000006</v>
      </c>
      <c r="C209" s="1">
        <f t="shared" si="10"/>
        <v>1.64</v>
      </c>
      <c r="D209" s="1">
        <f t="shared" si="11"/>
        <v>5.7900000000000009</v>
      </c>
      <c r="E209" s="20">
        <f>IF(AH209&lt;&gt;0,ROUNDUP(AH209,0),IF(BB209&lt;&gt;"FR","hors France",IF(AH209&lt;&gt;0,ROUNDUP(AH209,0),_xlfn.XLOOKUP(AJ209,'PA GLS'!B:B,'PA GLS'!A:A))))</f>
        <v>3</v>
      </c>
      <c r="F209">
        <v>2501382993</v>
      </c>
      <c r="G209">
        <v>1030223098</v>
      </c>
      <c r="H209" t="s">
        <v>366</v>
      </c>
      <c r="I209">
        <v>2500034092</v>
      </c>
      <c r="J209" t="s">
        <v>50</v>
      </c>
      <c r="K209">
        <v>9000009190</v>
      </c>
      <c r="L209">
        <v>46946</v>
      </c>
      <c r="M209" t="s">
        <v>51</v>
      </c>
      <c r="N209">
        <v>9000079830</v>
      </c>
      <c r="O209" t="s">
        <v>187</v>
      </c>
      <c r="S209">
        <v>2507012387</v>
      </c>
      <c r="T209" t="s">
        <v>50</v>
      </c>
      <c r="U209" t="s">
        <v>122</v>
      </c>
      <c r="V209" t="s">
        <v>58</v>
      </c>
      <c r="W209" t="s">
        <v>59</v>
      </c>
      <c r="X209" t="s">
        <v>60</v>
      </c>
      <c r="Z209">
        <v>89</v>
      </c>
      <c r="AA209" t="s">
        <v>779</v>
      </c>
      <c r="AB209" t="s">
        <v>795</v>
      </c>
      <c r="AC209">
        <v>2604000079</v>
      </c>
      <c r="AE209">
        <v>0</v>
      </c>
      <c r="AF209">
        <v>0</v>
      </c>
      <c r="AG209">
        <v>0</v>
      </c>
      <c r="AH209">
        <v>0</v>
      </c>
      <c r="AI209" t="s">
        <v>56</v>
      </c>
      <c r="AJ209">
        <v>4.74</v>
      </c>
      <c r="AK209">
        <v>0.9</v>
      </c>
      <c r="AL209">
        <v>0.15</v>
      </c>
      <c r="AM209">
        <v>29.1</v>
      </c>
      <c r="AN209">
        <v>1.64</v>
      </c>
      <c r="AO209">
        <v>0</v>
      </c>
      <c r="AP209">
        <v>0</v>
      </c>
      <c r="AQ209" t="s">
        <v>57</v>
      </c>
      <c r="AS209" t="s">
        <v>796</v>
      </c>
      <c r="AT209" t="s">
        <v>796</v>
      </c>
      <c r="AU209" t="s">
        <v>795</v>
      </c>
      <c r="AV209" t="s">
        <v>797</v>
      </c>
      <c r="AW209" t="s">
        <v>798</v>
      </c>
      <c r="AZ209">
        <v>23230</v>
      </c>
      <c r="BA209" t="s">
        <v>799</v>
      </c>
      <c r="BB209" t="s">
        <v>61</v>
      </c>
      <c r="BC209" t="s">
        <v>62</v>
      </c>
    </row>
    <row r="210" spans="1:55" x14ac:dyDescent="0.25">
      <c r="A210" s="1" t="str">
        <f>IF(COUNTIF(Catégories!A:A,X210)=0,"catégorie inconnue",_xlfn.XLOOKUP(X210,Catégories!A:A,Catégories!B:B))</f>
        <v>Frêt</v>
      </c>
      <c r="B210" s="1">
        <f t="shared" si="9"/>
        <v>7.0100000000000007</v>
      </c>
      <c r="C210" s="1">
        <f t="shared" si="10"/>
        <v>1.54</v>
      </c>
      <c r="D210" s="1">
        <f t="shared" si="11"/>
        <v>5.4700000000000006</v>
      </c>
      <c r="E210" s="20">
        <f>IF(AH210&lt;&gt;0,ROUNDUP(AH210,0),IF(BB210&lt;&gt;"FR","hors France",IF(AH210&lt;&gt;0,ROUNDUP(AH210,0),_xlfn.XLOOKUP(AJ210,'PA GLS'!B:B,'PA GLS'!A:A))))</f>
        <v>2</v>
      </c>
      <c r="F210">
        <v>2501382993</v>
      </c>
      <c r="G210">
        <v>1030216446</v>
      </c>
      <c r="H210" t="s">
        <v>366</v>
      </c>
      <c r="I210">
        <v>2500034092</v>
      </c>
      <c r="J210" t="s">
        <v>50</v>
      </c>
      <c r="K210">
        <v>9000009190</v>
      </c>
      <c r="L210">
        <v>46946</v>
      </c>
      <c r="M210" t="s">
        <v>51</v>
      </c>
      <c r="N210">
        <v>9000037814</v>
      </c>
      <c r="O210" t="s">
        <v>51</v>
      </c>
      <c r="S210">
        <v>2507012387</v>
      </c>
      <c r="T210" t="s">
        <v>50</v>
      </c>
      <c r="U210" t="s">
        <v>122</v>
      </c>
      <c r="V210" t="s">
        <v>77</v>
      </c>
      <c r="W210" t="s">
        <v>78</v>
      </c>
      <c r="X210" t="s">
        <v>60</v>
      </c>
      <c r="Z210">
        <v>39</v>
      </c>
      <c r="AA210" t="s">
        <v>779</v>
      </c>
      <c r="AB210" t="s">
        <v>800</v>
      </c>
      <c r="AC210">
        <v>2604000047</v>
      </c>
      <c r="AE210">
        <v>0</v>
      </c>
      <c r="AF210">
        <v>0</v>
      </c>
      <c r="AG210">
        <v>0</v>
      </c>
      <c r="AH210">
        <v>0</v>
      </c>
      <c r="AI210" t="s">
        <v>56</v>
      </c>
      <c r="AJ210">
        <v>4.42</v>
      </c>
      <c r="AK210">
        <v>0.9</v>
      </c>
      <c r="AL210">
        <v>0.15</v>
      </c>
      <c r="AM210">
        <v>29.1</v>
      </c>
      <c r="AN210">
        <v>1.54</v>
      </c>
      <c r="AO210">
        <v>0</v>
      </c>
      <c r="AP210">
        <v>0</v>
      </c>
      <c r="AQ210" t="s">
        <v>57</v>
      </c>
      <c r="AS210" t="s">
        <v>801</v>
      </c>
      <c r="AT210" t="s">
        <v>801</v>
      </c>
      <c r="AU210" t="s">
        <v>800</v>
      </c>
      <c r="AV210" t="s">
        <v>802</v>
      </c>
      <c r="AW210" t="s">
        <v>803</v>
      </c>
      <c r="AZ210">
        <v>13002</v>
      </c>
      <c r="BA210" t="s">
        <v>68</v>
      </c>
      <c r="BB210" t="s">
        <v>61</v>
      </c>
      <c r="BC210" t="s">
        <v>62</v>
      </c>
    </row>
    <row r="211" spans="1:55" x14ac:dyDescent="0.25">
      <c r="A211" s="1" t="str">
        <f>IF(COUNTIF(Catégories!A:A,X211)=0,"catégorie inconnue",_xlfn.XLOOKUP(X211,Catégories!A:A,Catégories!B:B))</f>
        <v>Frêt</v>
      </c>
      <c r="B211" s="1">
        <f t="shared" si="9"/>
        <v>6.6000000000000005</v>
      </c>
      <c r="C211" s="1">
        <f t="shared" si="10"/>
        <v>1.45</v>
      </c>
      <c r="D211" s="1">
        <f t="shared" si="11"/>
        <v>5.15</v>
      </c>
      <c r="E211" s="20">
        <f>IF(AH211&lt;&gt;0,ROUNDUP(AH211,0),IF(BB211&lt;&gt;"FR","hors France",IF(AH211&lt;&gt;0,ROUNDUP(AH211,0),_xlfn.XLOOKUP(AJ211,'PA GLS'!B:B,'PA GLS'!A:A))))</f>
        <v>1</v>
      </c>
      <c r="F211">
        <v>2501382993</v>
      </c>
      <c r="G211">
        <v>1030216446</v>
      </c>
      <c r="H211" t="s">
        <v>366</v>
      </c>
      <c r="I211">
        <v>2500034092</v>
      </c>
      <c r="J211" t="s">
        <v>50</v>
      </c>
      <c r="K211">
        <v>9000009190</v>
      </c>
      <c r="L211">
        <v>46946</v>
      </c>
      <c r="M211" t="s">
        <v>51</v>
      </c>
      <c r="N211">
        <v>9000037814</v>
      </c>
      <c r="O211" t="s">
        <v>51</v>
      </c>
      <c r="S211">
        <v>2507012387</v>
      </c>
      <c r="T211" t="s">
        <v>50</v>
      </c>
      <c r="U211" t="s">
        <v>122</v>
      </c>
      <c r="V211" t="s">
        <v>66</v>
      </c>
      <c r="W211" t="s">
        <v>67</v>
      </c>
      <c r="X211" t="s">
        <v>60</v>
      </c>
      <c r="Z211">
        <v>38</v>
      </c>
      <c r="AA211" t="s">
        <v>779</v>
      </c>
      <c r="AB211" t="s">
        <v>804</v>
      </c>
      <c r="AC211">
        <v>2604000054</v>
      </c>
      <c r="AE211">
        <v>0</v>
      </c>
      <c r="AF211">
        <v>0</v>
      </c>
      <c r="AG211">
        <v>0</v>
      </c>
      <c r="AH211">
        <v>0</v>
      </c>
      <c r="AI211" t="s">
        <v>56</v>
      </c>
      <c r="AJ211">
        <v>4.0999999999999996</v>
      </c>
      <c r="AK211">
        <v>0.9</v>
      </c>
      <c r="AL211">
        <v>0.15</v>
      </c>
      <c r="AM211">
        <v>29.1</v>
      </c>
      <c r="AN211">
        <v>1.45</v>
      </c>
      <c r="AO211">
        <v>0</v>
      </c>
      <c r="AP211">
        <v>0</v>
      </c>
      <c r="AQ211" t="s">
        <v>57</v>
      </c>
      <c r="AS211" t="s">
        <v>805</v>
      </c>
      <c r="AT211" t="s">
        <v>805</v>
      </c>
      <c r="AU211" t="s">
        <v>804</v>
      </c>
      <c r="AV211" t="s">
        <v>806</v>
      </c>
      <c r="AW211" t="s">
        <v>807</v>
      </c>
      <c r="AZ211">
        <v>44120</v>
      </c>
      <c r="BA211" t="s">
        <v>80</v>
      </c>
      <c r="BB211" t="s">
        <v>61</v>
      </c>
      <c r="BC211" t="s">
        <v>62</v>
      </c>
    </row>
    <row r="212" spans="1:55" x14ac:dyDescent="0.25">
      <c r="A212" s="1" t="str">
        <f>IF(COUNTIF(Catégories!A:A,X212)=0,"catégorie inconnue",_xlfn.XLOOKUP(X212,Catégories!A:A,Catégories!B:B))</f>
        <v>Frêt</v>
      </c>
      <c r="B212" s="1">
        <f t="shared" si="9"/>
        <v>6.6000000000000005</v>
      </c>
      <c r="C212" s="1">
        <f t="shared" si="10"/>
        <v>1.45</v>
      </c>
      <c r="D212" s="1">
        <f t="shared" si="11"/>
        <v>5.15</v>
      </c>
      <c r="E212" s="20">
        <f>IF(AH212&lt;&gt;0,ROUNDUP(AH212,0),IF(BB212&lt;&gt;"FR","hors France",IF(AH212&lt;&gt;0,ROUNDUP(AH212,0),_xlfn.XLOOKUP(AJ212,'PA GLS'!B:B,'PA GLS'!A:A))))</f>
        <v>1</v>
      </c>
      <c r="F212">
        <v>2501382993</v>
      </c>
      <c r="G212">
        <v>1030216446</v>
      </c>
      <c r="H212" t="s">
        <v>366</v>
      </c>
      <c r="I212">
        <v>2500034092</v>
      </c>
      <c r="J212" t="s">
        <v>50</v>
      </c>
      <c r="K212">
        <v>9000009190</v>
      </c>
      <c r="L212">
        <v>46946</v>
      </c>
      <c r="M212" t="s">
        <v>51</v>
      </c>
      <c r="N212">
        <v>9000037814</v>
      </c>
      <c r="O212" t="s">
        <v>51</v>
      </c>
      <c r="S212">
        <v>2507012387</v>
      </c>
      <c r="T212" t="s">
        <v>50</v>
      </c>
      <c r="U212" t="s">
        <v>122</v>
      </c>
      <c r="V212" t="s">
        <v>69</v>
      </c>
      <c r="W212" t="s">
        <v>70</v>
      </c>
      <c r="X212" t="s">
        <v>60</v>
      </c>
      <c r="Z212">
        <v>37</v>
      </c>
      <c r="AA212" t="s">
        <v>779</v>
      </c>
      <c r="AB212" t="s">
        <v>808</v>
      </c>
      <c r="AC212">
        <v>2604000052</v>
      </c>
      <c r="AE212">
        <v>0</v>
      </c>
      <c r="AF212">
        <v>0</v>
      </c>
      <c r="AG212">
        <v>0</v>
      </c>
      <c r="AH212">
        <v>0</v>
      </c>
      <c r="AI212" t="s">
        <v>56</v>
      </c>
      <c r="AJ212">
        <v>4.0999999999999996</v>
      </c>
      <c r="AK212">
        <v>0.9</v>
      </c>
      <c r="AL212">
        <v>0.15</v>
      </c>
      <c r="AM212">
        <v>29.1</v>
      </c>
      <c r="AN212">
        <v>1.45</v>
      </c>
      <c r="AO212">
        <v>0</v>
      </c>
      <c r="AP212">
        <v>0</v>
      </c>
      <c r="AQ212" t="s">
        <v>57</v>
      </c>
      <c r="AS212" t="s">
        <v>809</v>
      </c>
      <c r="AT212" t="s">
        <v>809</v>
      </c>
      <c r="AU212" t="s">
        <v>808</v>
      </c>
      <c r="AV212" t="s">
        <v>810</v>
      </c>
      <c r="AW212" t="s">
        <v>811</v>
      </c>
      <c r="AZ212">
        <v>69006</v>
      </c>
      <c r="BA212" t="s">
        <v>151</v>
      </c>
      <c r="BB212" t="s">
        <v>61</v>
      </c>
      <c r="BC212" t="s">
        <v>62</v>
      </c>
    </row>
    <row r="213" spans="1:55" x14ac:dyDescent="0.25">
      <c r="A213" s="1" t="str">
        <f>IF(COUNTIF(Catégories!A:A,X213)=0,"catégorie inconnue",_xlfn.XLOOKUP(X213,Catégories!A:A,Catégories!B:B))</f>
        <v>Frêt</v>
      </c>
      <c r="B213" s="1">
        <f t="shared" si="9"/>
        <v>6.6000000000000005</v>
      </c>
      <c r="C213" s="1">
        <f t="shared" si="10"/>
        <v>1.45</v>
      </c>
      <c r="D213" s="1">
        <f t="shared" si="11"/>
        <v>5.15</v>
      </c>
      <c r="E213" s="20">
        <f>IF(AH213&lt;&gt;0,ROUNDUP(AH213,0),IF(BB213&lt;&gt;"FR","hors France",IF(AH213&lt;&gt;0,ROUNDUP(AH213,0),_xlfn.XLOOKUP(AJ213,'PA GLS'!B:B,'PA GLS'!A:A))))</f>
        <v>1</v>
      </c>
      <c r="F213">
        <v>2501382993</v>
      </c>
      <c r="G213">
        <v>1030216446</v>
      </c>
      <c r="H213" t="s">
        <v>366</v>
      </c>
      <c r="I213">
        <v>2500034092</v>
      </c>
      <c r="J213" t="s">
        <v>50</v>
      </c>
      <c r="K213">
        <v>9000009190</v>
      </c>
      <c r="L213">
        <v>46946</v>
      </c>
      <c r="M213" t="s">
        <v>51</v>
      </c>
      <c r="N213">
        <v>9000037814</v>
      </c>
      <c r="O213" t="s">
        <v>51</v>
      </c>
      <c r="S213">
        <v>2507012387</v>
      </c>
      <c r="T213" t="s">
        <v>50</v>
      </c>
      <c r="U213" t="s">
        <v>122</v>
      </c>
      <c r="V213" t="s">
        <v>69</v>
      </c>
      <c r="W213" t="s">
        <v>70</v>
      </c>
      <c r="X213" t="s">
        <v>60</v>
      </c>
      <c r="Z213">
        <v>37</v>
      </c>
      <c r="AA213" t="s">
        <v>779</v>
      </c>
      <c r="AB213" t="s">
        <v>812</v>
      </c>
      <c r="AC213">
        <v>2604000048</v>
      </c>
      <c r="AE213">
        <v>0</v>
      </c>
      <c r="AF213">
        <v>0</v>
      </c>
      <c r="AG213">
        <v>0</v>
      </c>
      <c r="AH213">
        <v>0</v>
      </c>
      <c r="AI213" t="s">
        <v>56</v>
      </c>
      <c r="AJ213">
        <v>4.0999999999999996</v>
      </c>
      <c r="AK213">
        <v>0.9</v>
      </c>
      <c r="AL213">
        <v>0.15</v>
      </c>
      <c r="AM213">
        <v>29.1</v>
      </c>
      <c r="AN213">
        <v>1.45</v>
      </c>
      <c r="AO213">
        <v>0</v>
      </c>
      <c r="AP213">
        <v>0</v>
      </c>
      <c r="AQ213" t="s">
        <v>57</v>
      </c>
      <c r="AS213" t="s">
        <v>813</v>
      </c>
      <c r="AT213" t="s">
        <v>813</v>
      </c>
      <c r="AU213" t="s">
        <v>812</v>
      </c>
      <c r="AV213" t="s">
        <v>814</v>
      </c>
      <c r="AW213" t="s">
        <v>815</v>
      </c>
      <c r="AZ213">
        <v>49400</v>
      </c>
      <c r="BA213" t="s">
        <v>816</v>
      </c>
      <c r="BB213" t="s">
        <v>61</v>
      </c>
      <c r="BC213" t="s">
        <v>62</v>
      </c>
    </row>
    <row r="214" spans="1:55" x14ac:dyDescent="0.25">
      <c r="A214" s="1" t="str">
        <f>IF(COUNTIF(Catégories!A:A,X214)=0,"catégorie inconnue",_xlfn.XLOOKUP(X214,Catégories!A:A,Catégories!B:B))</f>
        <v>Frêt</v>
      </c>
      <c r="B214" s="1">
        <f t="shared" si="9"/>
        <v>6.17</v>
      </c>
      <c r="C214" s="1">
        <f t="shared" si="10"/>
        <v>1.35</v>
      </c>
      <c r="D214" s="1">
        <f t="shared" si="11"/>
        <v>4.82</v>
      </c>
      <c r="E214" s="20">
        <f>IF(AH214&lt;&gt;0,ROUNDUP(AH214,0),IF(BB214&lt;&gt;"FR","hors France",IF(AH214&lt;&gt;0,ROUNDUP(AH214,0),_xlfn.XLOOKUP(AJ214,'PA GLS'!B:B,'PA GLS'!A:A))))</f>
        <v>0.5</v>
      </c>
      <c r="F214">
        <v>2501382993</v>
      </c>
      <c r="G214">
        <v>1030216446</v>
      </c>
      <c r="H214" t="s">
        <v>366</v>
      </c>
      <c r="I214">
        <v>2500034092</v>
      </c>
      <c r="J214" t="s">
        <v>50</v>
      </c>
      <c r="K214">
        <v>9000009190</v>
      </c>
      <c r="L214">
        <v>46946</v>
      </c>
      <c r="M214" t="s">
        <v>51</v>
      </c>
      <c r="N214">
        <v>9000037814</v>
      </c>
      <c r="O214" t="s">
        <v>51</v>
      </c>
      <c r="S214">
        <v>2507012387</v>
      </c>
      <c r="T214" t="s">
        <v>50</v>
      </c>
      <c r="U214" t="s">
        <v>122</v>
      </c>
      <c r="V214" t="s">
        <v>71</v>
      </c>
      <c r="W214" t="s">
        <v>72</v>
      </c>
      <c r="X214" t="s">
        <v>60</v>
      </c>
      <c r="Z214">
        <v>36</v>
      </c>
      <c r="AA214" t="s">
        <v>779</v>
      </c>
      <c r="AB214" t="s">
        <v>817</v>
      </c>
      <c r="AC214">
        <v>2604000055</v>
      </c>
      <c r="AE214">
        <v>0</v>
      </c>
      <c r="AF214">
        <v>0</v>
      </c>
      <c r="AG214">
        <v>0</v>
      </c>
      <c r="AH214">
        <v>0</v>
      </c>
      <c r="AI214" t="s">
        <v>56</v>
      </c>
      <c r="AJ214">
        <v>3.77</v>
      </c>
      <c r="AK214">
        <v>0.9</v>
      </c>
      <c r="AL214">
        <v>0.15</v>
      </c>
      <c r="AM214">
        <v>29.1</v>
      </c>
      <c r="AN214">
        <v>1.35</v>
      </c>
      <c r="AO214">
        <v>0</v>
      </c>
      <c r="AP214">
        <v>0</v>
      </c>
      <c r="AQ214" t="s">
        <v>57</v>
      </c>
      <c r="AS214" t="s">
        <v>818</v>
      </c>
      <c r="AT214" t="s">
        <v>818</v>
      </c>
      <c r="AU214" t="s">
        <v>817</v>
      </c>
      <c r="AV214" t="s">
        <v>819</v>
      </c>
      <c r="AW214" t="s">
        <v>820</v>
      </c>
      <c r="AZ214">
        <v>75016</v>
      </c>
      <c r="BA214" t="s">
        <v>65</v>
      </c>
      <c r="BB214" t="s">
        <v>61</v>
      </c>
      <c r="BC214" t="s">
        <v>62</v>
      </c>
    </row>
    <row r="215" spans="1:55" x14ac:dyDescent="0.25">
      <c r="A215" s="1" t="str">
        <f>IF(COUNTIF(Catégories!A:A,X215)=0,"catégorie inconnue",_xlfn.XLOOKUP(X215,Catégories!A:A,Catégories!B:B))</f>
        <v>Frêt</v>
      </c>
      <c r="B215" s="1">
        <f t="shared" si="9"/>
        <v>6.17</v>
      </c>
      <c r="C215" s="1">
        <f t="shared" si="10"/>
        <v>1.35</v>
      </c>
      <c r="D215" s="1">
        <f t="shared" si="11"/>
        <v>4.82</v>
      </c>
      <c r="E215" s="20">
        <f>IF(AH215&lt;&gt;0,ROUNDUP(AH215,0),IF(BB215&lt;&gt;"FR","hors France",IF(AH215&lt;&gt;0,ROUNDUP(AH215,0),_xlfn.XLOOKUP(AJ215,'PA GLS'!B:B,'PA GLS'!A:A))))</f>
        <v>0.5</v>
      </c>
      <c r="F215">
        <v>2501382993</v>
      </c>
      <c r="G215">
        <v>1030216446</v>
      </c>
      <c r="H215" t="s">
        <v>366</v>
      </c>
      <c r="I215">
        <v>2500034092</v>
      </c>
      <c r="J215" t="s">
        <v>50</v>
      </c>
      <c r="K215">
        <v>9000009190</v>
      </c>
      <c r="L215">
        <v>46946</v>
      </c>
      <c r="M215" t="s">
        <v>51</v>
      </c>
      <c r="N215">
        <v>9000037814</v>
      </c>
      <c r="O215" t="s">
        <v>51</v>
      </c>
      <c r="S215">
        <v>2507012387</v>
      </c>
      <c r="T215" t="s">
        <v>50</v>
      </c>
      <c r="U215" t="s">
        <v>122</v>
      </c>
      <c r="V215" t="s">
        <v>71</v>
      </c>
      <c r="W215" t="s">
        <v>72</v>
      </c>
      <c r="X215" t="s">
        <v>60</v>
      </c>
      <c r="Z215">
        <v>36</v>
      </c>
      <c r="AA215" t="s">
        <v>779</v>
      </c>
      <c r="AB215" t="s">
        <v>821</v>
      </c>
      <c r="AC215">
        <v>2604000053</v>
      </c>
      <c r="AE215">
        <v>0</v>
      </c>
      <c r="AF215">
        <v>0</v>
      </c>
      <c r="AG215">
        <v>0</v>
      </c>
      <c r="AH215">
        <v>0</v>
      </c>
      <c r="AI215" t="s">
        <v>56</v>
      </c>
      <c r="AJ215">
        <v>3.77</v>
      </c>
      <c r="AK215">
        <v>0.9</v>
      </c>
      <c r="AL215">
        <v>0.15</v>
      </c>
      <c r="AM215">
        <v>29.1</v>
      </c>
      <c r="AN215">
        <v>1.35</v>
      </c>
      <c r="AO215">
        <v>0</v>
      </c>
      <c r="AP215">
        <v>0</v>
      </c>
      <c r="AQ215" t="s">
        <v>57</v>
      </c>
      <c r="AS215" t="s">
        <v>822</v>
      </c>
      <c r="AT215" t="s">
        <v>822</v>
      </c>
      <c r="AU215" t="s">
        <v>821</v>
      </c>
      <c r="AV215" t="s">
        <v>823</v>
      </c>
      <c r="AW215" t="s">
        <v>824</v>
      </c>
      <c r="AZ215">
        <v>93400</v>
      </c>
      <c r="BA215" t="s">
        <v>351</v>
      </c>
      <c r="BB215" t="s">
        <v>61</v>
      </c>
      <c r="BC215" t="s">
        <v>62</v>
      </c>
    </row>
    <row r="216" spans="1:55" x14ac:dyDescent="0.25">
      <c r="A216" s="1" t="str">
        <f>IF(COUNTIF(Catégories!A:A,X216)=0,"catégorie inconnue",_xlfn.XLOOKUP(X216,Catégories!A:A,Catégories!B:B))</f>
        <v>Frêt</v>
      </c>
      <c r="B216" s="1">
        <f t="shared" si="9"/>
        <v>6.17</v>
      </c>
      <c r="C216" s="1">
        <f t="shared" si="10"/>
        <v>1.35</v>
      </c>
      <c r="D216" s="1">
        <f t="shared" si="11"/>
        <v>4.82</v>
      </c>
      <c r="E216" s="20">
        <f>IF(AH216&lt;&gt;0,ROUNDUP(AH216,0),IF(BB216&lt;&gt;"FR","hors France",IF(AH216&lt;&gt;0,ROUNDUP(AH216,0),_xlfn.XLOOKUP(AJ216,'PA GLS'!B:B,'PA GLS'!A:A))))</f>
        <v>0.5</v>
      </c>
      <c r="F216">
        <v>2501382993</v>
      </c>
      <c r="G216">
        <v>1030216446</v>
      </c>
      <c r="H216" t="s">
        <v>366</v>
      </c>
      <c r="I216">
        <v>2500034092</v>
      </c>
      <c r="J216" t="s">
        <v>50</v>
      </c>
      <c r="K216">
        <v>9000009190</v>
      </c>
      <c r="L216">
        <v>46946</v>
      </c>
      <c r="M216" t="s">
        <v>51</v>
      </c>
      <c r="N216">
        <v>9000037814</v>
      </c>
      <c r="O216" t="s">
        <v>51</v>
      </c>
      <c r="S216">
        <v>2507012387</v>
      </c>
      <c r="T216" t="s">
        <v>50</v>
      </c>
      <c r="U216" t="s">
        <v>122</v>
      </c>
      <c r="V216" t="s">
        <v>71</v>
      </c>
      <c r="W216" t="s">
        <v>72</v>
      </c>
      <c r="X216" t="s">
        <v>60</v>
      </c>
      <c r="Z216">
        <v>36</v>
      </c>
      <c r="AA216" t="s">
        <v>779</v>
      </c>
      <c r="AB216" t="s">
        <v>825</v>
      </c>
      <c r="AC216">
        <v>2604000050</v>
      </c>
      <c r="AE216">
        <v>0</v>
      </c>
      <c r="AF216">
        <v>0</v>
      </c>
      <c r="AG216">
        <v>0</v>
      </c>
      <c r="AH216">
        <v>0</v>
      </c>
      <c r="AI216" t="s">
        <v>56</v>
      </c>
      <c r="AJ216">
        <v>3.77</v>
      </c>
      <c r="AK216">
        <v>0.9</v>
      </c>
      <c r="AL216">
        <v>0.15</v>
      </c>
      <c r="AM216">
        <v>29.1</v>
      </c>
      <c r="AN216">
        <v>1.35</v>
      </c>
      <c r="AO216">
        <v>0</v>
      </c>
      <c r="AP216">
        <v>0</v>
      </c>
      <c r="AQ216" t="s">
        <v>57</v>
      </c>
      <c r="AS216" t="s">
        <v>826</v>
      </c>
      <c r="AT216" t="s">
        <v>826</v>
      </c>
      <c r="AU216" t="s">
        <v>825</v>
      </c>
      <c r="AV216" t="s">
        <v>827</v>
      </c>
      <c r="AW216" t="s">
        <v>828</v>
      </c>
      <c r="AZ216">
        <v>76290</v>
      </c>
      <c r="BA216" t="s">
        <v>829</v>
      </c>
      <c r="BB216" t="s">
        <v>61</v>
      </c>
      <c r="BC216" t="s">
        <v>62</v>
      </c>
    </row>
    <row r="217" spans="1:55" x14ac:dyDescent="0.25">
      <c r="A217" s="1" t="str">
        <f>IF(COUNTIF(Catégories!A:A,X217)=0,"catégorie inconnue",_xlfn.XLOOKUP(X217,Catégories!A:A,Catégories!B:B))</f>
        <v>Frêt</v>
      </c>
      <c r="B217" s="1">
        <f t="shared" si="9"/>
        <v>6.17</v>
      </c>
      <c r="C217" s="1">
        <f t="shared" si="10"/>
        <v>1.35</v>
      </c>
      <c r="D217" s="1">
        <f t="shared" si="11"/>
        <v>4.82</v>
      </c>
      <c r="E217" s="20">
        <f>IF(AH217&lt;&gt;0,ROUNDUP(AH217,0),IF(BB217&lt;&gt;"FR","hors France",IF(AH217&lt;&gt;0,ROUNDUP(AH217,0),_xlfn.XLOOKUP(AJ217,'PA GLS'!B:B,'PA GLS'!A:A))))</f>
        <v>0.5</v>
      </c>
      <c r="F217">
        <v>2501382993</v>
      </c>
      <c r="G217">
        <v>1030216446</v>
      </c>
      <c r="H217" t="s">
        <v>366</v>
      </c>
      <c r="I217">
        <v>2500034092</v>
      </c>
      <c r="J217" t="s">
        <v>50</v>
      </c>
      <c r="K217">
        <v>9000009190</v>
      </c>
      <c r="L217">
        <v>46946</v>
      </c>
      <c r="M217" t="s">
        <v>51</v>
      </c>
      <c r="N217">
        <v>9000037814</v>
      </c>
      <c r="O217" t="s">
        <v>51</v>
      </c>
      <c r="S217">
        <v>2507012387</v>
      </c>
      <c r="T217" t="s">
        <v>50</v>
      </c>
      <c r="U217" t="s">
        <v>122</v>
      </c>
      <c r="V217" t="s">
        <v>71</v>
      </c>
      <c r="W217" t="s">
        <v>72</v>
      </c>
      <c r="X217" t="s">
        <v>60</v>
      </c>
      <c r="Z217">
        <v>36</v>
      </c>
      <c r="AA217" t="s">
        <v>779</v>
      </c>
      <c r="AB217" t="s">
        <v>830</v>
      </c>
      <c r="AC217">
        <v>2604000046</v>
      </c>
      <c r="AE217">
        <v>0</v>
      </c>
      <c r="AF217">
        <v>0</v>
      </c>
      <c r="AG217">
        <v>0</v>
      </c>
      <c r="AH217">
        <v>0</v>
      </c>
      <c r="AI217" t="s">
        <v>56</v>
      </c>
      <c r="AJ217">
        <v>3.77</v>
      </c>
      <c r="AK217">
        <v>0.9</v>
      </c>
      <c r="AL217">
        <v>0.15</v>
      </c>
      <c r="AM217">
        <v>29.1</v>
      </c>
      <c r="AN217">
        <v>1.35</v>
      </c>
      <c r="AO217">
        <v>0</v>
      </c>
      <c r="AP217">
        <v>0</v>
      </c>
      <c r="AQ217" t="s">
        <v>57</v>
      </c>
      <c r="AS217" t="s">
        <v>831</v>
      </c>
      <c r="AT217" t="s">
        <v>831</v>
      </c>
      <c r="AU217" t="s">
        <v>830</v>
      </c>
      <c r="AV217" t="s">
        <v>832</v>
      </c>
      <c r="AW217" t="s">
        <v>833</v>
      </c>
      <c r="AZ217">
        <v>92400</v>
      </c>
      <c r="BA217" t="s">
        <v>262</v>
      </c>
      <c r="BB217" t="s">
        <v>61</v>
      </c>
      <c r="BC217" t="s">
        <v>62</v>
      </c>
    </row>
    <row r="218" spans="1:55" x14ac:dyDescent="0.25">
      <c r="A218" s="1" t="str">
        <f>IF(COUNTIF(Catégories!A:A,X218)=0,"catégorie inconnue",_xlfn.XLOOKUP(X218,Catégories!A:A,Catégories!B:B))</f>
        <v>Frêt</v>
      </c>
      <c r="B218" s="1">
        <f t="shared" si="9"/>
        <v>7.0100000000000007</v>
      </c>
      <c r="C218" s="1">
        <f t="shared" si="10"/>
        <v>1.54</v>
      </c>
      <c r="D218" s="1">
        <f t="shared" si="11"/>
        <v>5.4700000000000006</v>
      </c>
      <c r="E218" s="20">
        <f>IF(AH218&lt;&gt;0,ROUNDUP(AH218,0),IF(BB218&lt;&gt;"FR","hors France",IF(AH218&lt;&gt;0,ROUNDUP(AH218,0),_xlfn.XLOOKUP(AJ218,'PA GLS'!B:B,'PA GLS'!A:A))))</f>
        <v>2</v>
      </c>
      <c r="F218">
        <v>2501382993</v>
      </c>
      <c r="G218">
        <v>1030216446</v>
      </c>
      <c r="H218" t="s">
        <v>366</v>
      </c>
      <c r="I218">
        <v>2500034092</v>
      </c>
      <c r="J218" t="s">
        <v>50</v>
      </c>
      <c r="K218">
        <v>9000009190</v>
      </c>
      <c r="L218">
        <v>46946</v>
      </c>
      <c r="M218" t="s">
        <v>51</v>
      </c>
      <c r="N218">
        <v>9000037814</v>
      </c>
      <c r="O218" t="s">
        <v>51</v>
      </c>
      <c r="S218">
        <v>2507012387</v>
      </c>
      <c r="T218" t="s">
        <v>50</v>
      </c>
      <c r="U218" t="s">
        <v>122</v>
      </c>
      <c r="V218" t="s">
        <v>77</v>
      </c>
      <c r="W218" t="s">
        <v>78</v>
      </c>
      <c r="X218" t="s">
        <v>60</v>
      </c>
      <c r="Z218">
        <v>39</v>
      </c>
      <c r="AA218" t="s">
        <v>779</v>
      </c>
      <c r="AB218" t="s">
        <v>834</v>
      </c>
      <c r="AC218">
        <v>2604000051</v>
      </c>
      <c r="AE218">
        <v>0</v>
      </c>
      <c r="AF218">
        <v>0</v>
      </c>
      <c r="AG218">
        <v>0</v>
      </c>
      <c r="AH218">
        <v>0</v>
      </c>
      <c r="AI218" t="s">
        <v>56</v>
      </c>
      <c r="AJ218">
        <v>4.42</v>
      </c>
      <c r="AK218">
        <v>0.9</v>
      </c>
      <c r="AL218">
        <v>0.15</v>
      </c>
      <c r="AM218">
        <v>29.1</v>
      </c>
      <c r="AN218">
        <v>1.54</v>
      </c>
      <c r="AO218">
        <v>0</v>
      </c>
      <c r="AP218">
        <v>0</v>
      </c>
      <c r="AQ218" t="s">
        <v>57</v>
      </c>
      <c r="AS218" t="s">
        <v>835</v>
      </c>
      <c r="AT218" t="s">
        <v>835</v>
      </c>
      <c r="AU218" t="s">
        <v>834</v>
      </c>
      <c r="AV218" t="s">
        <v>836</v>
      </c>
      <c r="AW218" t="s">
        <v>837</v>
      </c>
      <c r="AZ218">
        <v>93110</v>
      </c>
      <c r="BA218" t="s">
        <v>838</v>
      </c>
      <c r="BB218" t="s">
        <v>61</v>
      </c>
      <c r="BC218" t="s">
        <v>62</v>
      </c>
    </row>
    <row r="219" spans="1:55" x14ac:dyDescent="0.25">
      <c r="A219" s="1" t="str">
        <f>IF(COUNTIF(Catégories!A:A,X219)=0,"catégorie inconnue",_xlfn.XLOOKUP(X219,Catégories!A:A,Catégories!B:B))</f>
        <v>Frêt</v>
      </c>
      <c r="B219" s="1">
        <f t="shared" si="9"/>
        <v>0</v>
      </c>
      <c r="C219" s="1">
        <f t="shared" si="10"/>
        <v>0</v>
      </c>
      <c r="D219" s="1">
        <f t="shared" si="11"/>
        <v>0</v>
      </c>
      <c r="E219" s="20">
        <f>IF(AH219&lt;&gt;0,ROUNDUP(AH219,0),IF(BB219&lt;&gt;"FR","hors France",IF(AH219&lt;&gt;0,ROUNDUP(AH219,0),_xlfn.XLOOKUP(AJ219,'PA GLS'!B:B,'PA GLS'!A:A))))</f>
        <v>1</v>
      </c>
      <c r="F219">
        <v>2501382993</v>
      </c>
      <c r="G219">
        <v>1030216446</v>
      </c>
      <c r="H219" t="s">
        <v>366</v>
      </c>
      <c r="I219">
        <v>2500034092</v>
      </c>
      <c r="J219" t="s">
        <v>50</v>
      </c>
      <c r="K219">
        <v>9000009190</v>
      </c>
      <c r="L219">
        <v>46946</v>
      </c>
      <c r="M219" t="s">
        <v>51</v>
      </c>
      <c r="N219">
        <v>9000037814</v>
      </c>
      <c r="O219" t="s">
        <v>51</v>
      </c>
      <c r="S219">
        <v>2507012387</v>
      </c>
      <c r="T219" t="s">
        <v>50</v>
      </c>
      <c r="U219" t="s">
        <v>122</v>
      </c>
      <c r="V219" t="s">
        <v>176</v>
      </c>
      <c r="W219" t="s">
        <v>177</v>
      </c>
      <c r="X219" t="s">
        <v>152</v>
      </c>
      <c r="Z219">
        <v>35</v>
      </c>
      <c r="AA219" t="s">
        <v>779</v>
      </c>
      <c r="AB219" t="s">
        <v>830</v>
      </c>
      <c r="AC219">
        <v>2604000046</v>
      </c>
      <c r="AE219">
        <v>0</v>
      </c>
      <c r="AF219">
        <v>1</v>
      </c>
      <c r="AG219">
        <v>0</v>
      </c>
      <c r="AH219">
        <v>0.5</v>
      </c>
      <c r="AI219" t="s">
        <v>56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 t="s">
        <v>57</v>
      </c>
      <c r="AS219" t="s">
        <v>831</v>
      </c>
      <c r="AT219" t="s">
        <v>831</v>
      </c>
      <c r="AU219" t="s">
        <v>830</v>
      </c>
      <c r="AV219" t="s">
        <v>832</v>
      </c>
      <c r="AW219" t="s">
        <v>833</v>
      </c>
      <c r="AZ219">
        <v>92400</v>
      </c>
      <c r="BA219" t="s">
        <v>262</v>
      </c>
      <c r="BB219" t="s">
        <v>61</v>
      </c>
      <c r="BC219" t="s">
        <v>62</v>
      </c>
    </row>
    <row r="220" spans="1:55" x14ac:dyDescent="0.25">
      <c r="A220" s="1" t="str">
        <f>IF(COUNTIF(Catégories!A:A,X220)=0,"catégorie inconnue",_xlfn.XLOOKUP(X220,Catégories!A:A,Catégories!B:B))</f>
        <v>Frêt</v>
      </c>
      <c r="B220" s="1">
        <f t="shared" si="9"/>
        <v>0</v>
      </c>
      <c r="C220" s="1">
        <f t="shared" si="10"/>
        <v>0</v>
      </c>
      <c r="D220" s="1">
        <f t="shared" si="11"/>
        <v>0</v>
      </c>
      <c r="E220" s="20">
        <f>IF(AH220&lt;&gt;0,ROUNDUP(AH220,0),IF(BB220&lt;&gt;"FR","hors France",IF(AH220&lt;&gt;0,ROUNDUP(AH220,0),_xlfn.XLOOKUP(AJ220,'PA GLS'!B:B,'PA GLS'!A:A))))</f>
        <v>2</v>
      </c>
      <c r="F220">
        <v>2501382993</v>
      </c>
      <c r="G220">
        <v>1030216446</v>
      </c>
      <c r="H220" t="s">
        <v>366</v>
      </c>
      <c r="I220">
        <v>2500034092</v>
      </c>
      <c r="J220" t="s">
        <v>50</v>
      </c>
      <c r="K220">
        <v>9000009190</v>
      </c>
      <c r="L220">
        <v>46946</v>
      </c>
      <c r="M220" t="s">
        <v>51</v>
      </c>
      <c r="N220">
        <v>9000037814</v>
      </c>
      <c r="O220" t="s">
        <v>51</v>
      </c>
      <c r="S220">
        <v>2507012387</v>
      </c>
      <c r="T220" t="s">
        <v>50</v>
      </c>
      <c r="U220" t="s">
        <v>122</v>
      </c>
      <c r="V220" t="s">
        <v>176</v>
      </c>
      <c r="W220" t="s">
        <v>177</v>
      </c>
      <c r="X220" t="s">
        <v>152</v>
      </c>
      <c r="Z220">
        <v>35</v>
      </c>
      <c r="AA220" t="s">
        <v>779</v>
      </c>
      <c r="AB220" t="s">
        <v>800</v>
      </c>
      <c r="AC220">
        <v>2604000047</v>
      </c>
      <c r="AE220">
        <v>0</v>
      </c>
      <c r="AF220">
        <v>1</v>
      </c>
      <c r="AG220">
        <v>0</v>
      </c>
      <c r="AH220">
        <v>1.66</v>
      </c>
      <c r="AI220" t="s">
        <v>56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 t="s">
        <v>57</v>
      </c>
      <c r="AS220" t="s">
        <v>801</v>
      </c>
      <c r="AT220" t="s">
        <v>801</v>
      </c>
      <c r="AU220" t="s">
        <v>800</v>
      </c>
      <c r="AV220" t="s">
        <v>802</v>
      </c>
      <c r="AW220" t="s">
        <v>803</v>
      </c>
      <c r="AZ220">
        <v>13002</v>
      </c>
      <c r="BA220" t="s">
        <v>68</v>
      </c>
      <c r="BB220" t="s">
        <v>61</v>
      </c>
      <c r="BC220" t="s">
        <v>62</v>
      </c>
    </row>
    <row r="221" spans="1:55" x14ac:dyDescent="0.25">
      <c r="A221" s="1" t="str">
        <f>IF(COUNTIF(Catégories!A:A,X221)=0,"catégorie inconnue",_xlfn.XLOOKUP(X221,Catégories!A:A,Catégories!B:B))</f>
        <v>Frêt</v>
      </c>
      <c r="B221" s="1">
        <f t="shared" si="9"/>
        <v>8.870000000000001</v>
      </c>
      <c r="C221" s="1">
        <f t="shared" si="10"/>
        <v>1.96</v>
      </c>
      <c r="D221" s="1">
        <f t="shared" si="11"/>
        <v>6.910000000000001</v>
      </c>
      <c r="E221" s="20">
        <f>IF(AH221&lt;&gt;0,ROUNDUP(AH221,0),IF(BB221&lt;&gt;"FR","hors France",IF(AH221&lt;&gt;0,ROUNDUP(AH221,0),_xlfn.XLOOKUP(AJ221,'PA GLS'!B:B,'PA GLS'!A:A))))</f>
        <v>5</v>
      </c>
      <c r="F221">
        <v>2501382993</v>
      </c>
      <c r="G221">
        <v>1030216446</v>
      </c>
      <c r="H221" t="s">
        <v>366</v>
      </c>
      <c r="I221">
        <v>2500034092</v>
      </c>
      <c r="J221" t="s">
        <v>50</v>
      </c>
      <c r="K221">
        <v>9000009190</v>
      </c>
      <c r="L221">
        <v>46946</v>
      </c>
      <c r="M221" t="s">
        <v>51</v>
      </c>
      <c r="N221">
        <v>9000037814</v>
      </c>
      <c r="O221" t="s">
        <v>51</v>
      </c>
      <c r="S221">
        <v>2507012387</v>
      </c>
      <c r="T221" t="s">
        <v>50</v>
      </c>
      <c r="U221" t="s">
        <v>122</v>
      </c>
      <c r="V221" t="s">
        <v>265</v>
      </c>
      <c r="W221" t="s">
        <v>266</v>
      </c>
      <c r="X221" t="s">
        <v>60</v>
      </c>
      <c r="Z221">
        <v>40</v>
      </c>
      <c r="AA221" t="s">
        <v>779</v>
      </c>
      <c r="AB221" t="s">
        <v>839</v>
      </c>
      <c r="AC221">
        <v>2604000049</v>
      </c>
      <c r="AE221">
        <v>0</v>
      </c>
      <c r="AF221">
        <v>0</v>
      </c>
      <c r="AG221">
        <v>0</v>
      </c>
      <c r="AH221">
        <v>0</v>
      </c>
      <c r="AI221" t="s">
        <v>56</v>
      </c>
      <c r="AJ221">
        <v>5.86</v>
      </c>
      <c r="AK221">
        <v>0.9</v>
      </c>
      <c r="AL221">
        <v>0.15</v>
      </c>
      <c r="AM221">
        <v>29.1</v>
      </c>
      <c r="AN221">
        <v>1.96</v>
      </c>
      <c r="AO221">
        <v>0</v>
      </c>
      <c r="AP221">
        <v>0</v>
      </c>
      <c r="AQ221" t="s">
        <v>57</v>
      </c>
      <c r="AS221" t="s">
        <v>840</v>
      </c>
      <c r="AT221" t="s">
        <v>840</v>
      </c>
      <c r="AU221" t="s">
        <v>839</v>
      </c>
      <c r="AV221" t="s">
        <v>841</v>
      </c>
      <c r="AW221" t="s">
        <v>842</v>
      </c>
      <c r="AZ221">
        <v>28230</v>
      </c>
      <c r="BA221" t="s">
        <v>843</v>
      </c>
      <c r="BB221" t="s">
        <v>61</v>
      </c>
      <c r="BC221" t="s">
        <v>62</v>
      </c>
    </row>
    <row r="222" spans="1:55" x14ac:dyDescent="0.25">
      <c r="A222" s="1" t="str">
        <f>IF(COUNTIF(Catégories!A:A,X222)=0,"catégorie inconnue",_xlfn.XLOOKUP(X222,Catégories!A:A,Catégories!B:B))</f>
        <v>Frêt</v>
      </c>
      <c r="B222" s="1">
        <f t="shared" si="9"/>
        <v>0</v>
      </c>
      <c r="C222" s="1">
        <f t="shared" si="10"/>
        <v>0</v>
      </c>
      <c r="D222" s="1">
        <f t="shared" si="11"/>
        <v>0</v>
      </c>
      <c r="E222" s="20">
        <f>IF(AH222&lt;&gt;0,ROUNDUP(AH222,0),IF(BB222&lt;&gt;"FR","hors France",IF(AH222&lt;&gt;0,ROUNDUP(AH222,0),_xlfn.XLOOKUP(AJ222,'PA GLS'!B:B,'PA GLS'!A:A))))</f>
        <v>1</v>
      </c>
      <c r="F222">
        <v>2501382993</v>
      </c>
      <c r="G222">
        <v>1030216446</v>
      </c>
      <c r="H222" t="s">
        <v>366</v>
      </c>
      <c r="I222">
        <v>2500034092</v>
      </c>
      <c r="J222" t="s">
        <v>50</v>
      </c>
      <c r="K222">
        <v>9000009190</v>
      </c>
      <c r="L222">
        <v>46946</v>
      </c>
      <c r="M222" t="s">
        <v>51</v>
      </c>
      <c r="N222">
        <v>9000037814</v>
      </c>
      <c r="O222" t="s">
        <v>51</v>
      </c>
      <c r="S222">
        <v>2507012387</v>
      </c>
      <c r="T222" t="s">
        <v>50</v>
      </c>
      <c r="U222" t="s">
        <v>122</v>
      </c>
      <c r="V222" t="s">
        <v>176</v>
      </c>
      <c r="W222" t="s">
        <v>177</v>
      </c>
      <c r="X222" t="s">
        <v>152</v>
      </c>
      <c r="Z222">
        <v>35</v>
      </c>
      <c r="AA222" t="s">
        <v>779</v>
      </c>
      <c r="AB222" t="s">
        <v>817</v>
      </c>
      <c r="AC222">
        <v>2604000055</v>
      </c>
      <c r="AE222">
        <v>0</v>
      </c>
      <c r="AF222">
        <v>1</v>
      </c>
      <c r="AG222">
        <v>0</v>
      </c>
      <c r="AH222">
        <v>0.36</v>
      </c>
      <c r="AI222" t="s">
        <v>56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 t="s">
        <v>57</v>
      </c>
      <c r="AS222" t="s">
        <v>818</v>
      </c>
      <c r="AT222" t="s">
        <v>818</v>
      </c>
      <c r="AU222" t="s">
        <v>817</v>
      </c>
      <c r="AV222" t="s">
        <v>819</v>
      </c>
      <c r="AW222" t="s">
        <v>820</v>
      </c>
      <c r="AZ222">
        <v>75016</v>
      </c>
      <c r="BA222" t="s">
        <v>65</v>
      </c>
      <c r="BB222" t="s">
        <v>61</v>
      </c>
      <c r="BC222" t="s">
        <v>62</v>
      </c>
    </row>
    <row r="223" spans="1:55" x14ac:dyDescent="0.25">
      <c r="A223" s="1" t="str">
        <f>IF(COUNTIF(Catégories!A:A,X223)=0,"catégorie inconnue",_xlfn.XLOOKUP(X223,Catégories!A:A,Catégories!B:B))</f>
        <v>Frêt</v>
      </c>
      <c r="B223" s="1">
        <f t="shared" si="9"/>
        <v>0</v>
      </c>
      <c r="C223" s="1">
        <f t="shared" si="10"/>
        <v>0</v>
      </c>
      <c r="D223" s="1">
        <f t="shared" si="11"/>
        <v>0</v>
      </c>
      <c r="E223" s="20">
        <f>IF(AH223&lt;&gt;0,ROUNDUP(AH223,0),IF(BB223&lt;&gt;"FR","hors France",IF(AH223&lt;&gt;0,ROUNDUP(AH223,0),_xlfn.XLOOKUP(AJ223,'PA GLS'!B:B,'PA GLS'!A:A))))</f>
        <v>1</v>
      </c>
      <c r="F223">
        <v>2501382993</v>
      </c>
      <c r="G223">
        <v>1030216446</v>
      </c>
      <c r="H223" t="s">
        <v>366</v>
      </c>
      <c r="I223">
        <v>2500034092</v>
      </c>
      <c r="J223" t="s">
        <v>50</v>
      </c>
      <c r="K223">
        <v>9000009190</v>
      </c>
      <c r="L223">
        <v>46946</v>
      </c>
      <c r="M223" t="s">
        <v>51</v>
      </c>
      <c r="N223">
        <v>9000037814</v>
      </c>
      <c r="O223" t="s">
        <v>51</v>
      </c>
      <c r="S223">
        <v>2507012387</v>
      </c>
      <c r="T223" t="s">
        <v>50</v>
      </c>
      <c r="U223" t="s">
        <v>122</v>
      </c>
      <c r="V223" t="s">
        <v>176</v>
      </c>
      <c r="W223" t="s">
        <v>177</v>
      </c>
      <c r="X223" t="s">
        <v>152</v>
      </c>
      <c r="Z223">
        <v>35</v>
      </c>
      <c r="AA223" t="s">
        <v>779</v>
      </c>
      <c r="AB223" t="s">
        <v>804</v>
      </c>
      <c r="AC223">
        <v>2604000054</v>
      </c>
      <c r="AE223">
        <v>0</v>
      </c>
      <c r="AF223">
        <v>1</v>
      </c>
      <c r="AG223">
        <v>0</v>
      </c>
      <c r="AH223">
        <v>0.98</v>
      </c>
      <c r="AI223" t="s">
        <v>56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 t="s">
        <v>57</v>
      </c>
      <c r="AS223" t="s">
        <v>805</v>
      </c>
      <c r="AT223" t="s">
        <v>805</v>
      </c>
      <c r="AU223" t="s">
        <v>804</v>
      </c>
      <c r="AV223" t="s">
        <v>806</v>
      </c>
      <c r="AW223" t="s">
        <v>807</v>
      </c>
      <c r="AZ223">
        <v>44120</v>
      </c>
      <c r="BA223" t="s">
        <v>80</v>
      </c>
      <c r="BB223" t="s">
        <v>61</v>
      </c>
      <c r="BC223" t="s">
        <v>62</v>
      </c>
    </row>
    <row r="224" spans="1:55" x14ac:dyDescent="0.25">
      <c r="A224" s="1" t="str">
        <f>IF(COUNTIF(Catégories!A:A,X224)=0,"catégorie inconnue",_xlfn.XLOOKUP(X224,Catégories!A:A,Catégories!B:B))</f>
        <v>Frêt</v>
      </c>
      <c r="B224" s="1">
        <f t="shared" si="9"/>
        <v>0</v>
      </c>
      <c r="C224" s="1">
        <f t="shared" si="10"/>
        <v>0</v>
      </c>
      <c r="D224" s="1">
        <f t="shared" si="11"/>
        <v>0</v>
      </c>
      <c r="E224" s="20">
        <f>IF(AH224&lt;&gt;0,ROUNDUP(AH224,0),IF(BB224&lt;&gt;"FR","hors France",IF(AH224&lt;&gt;0,ROUNDUP(AH224,0),_xlfn.XLOOKUP(AJ224,'PA GLS'!B:B,'PA GLS'!A:A))))</f>
        <v>1</v>
      </c>
      <c r="F224">
        <v>2501382993</v>
      </c>
      <c r="G224">
        <v>1030216446</v>
      </c>
      <c r="H224" t="s">
        <v>366</v>
      </c>
      <c r="I224">
        <v>2500034092</v>
      </c>
      <c r="J224" t="s">
        <v>50</v>
      </c>
      <c r="K224">
        <v>9000009190</v>
      </c>
      <c r="L224">
        <v>46946</v>
      </c>
      <c r="M224" t="s">
        <v>51</v>
      </c>
      <c r="N224">
        <v>9000037814</v>
      </c>
      <c r="O224" t="s">
        <v>51</v>
      </c>
      <c r="S224">
        <v>2507012387</v>
      </c>
      <c r="T224" t="s">
        <v>50</v>
      </c>
      <c r="U224" t="s">
        <v>122</v>
      </c>
      <c r="V224" t="s">
        <v>176</v>
      </c>
      <c r="W224" t="s">
        <v>177</v>
      </c>
      <c r="X224" t="s">
        <v>152</v>
      </c>
      <c r="Z224">
        <v>35</v>
      </c>
      <c r="AA224" t="s">
        <v>779</v>
      </c>
      <c r="AB224" t="s">
        <v>821</v>
      </c>
      <c r="AC224">
        <v>2604000053</v>
      </c>
      <c r="AE224">
        <v>0</v>
      </c>
      <c r="AF224">
        <v>1</v>
      </c>
      <c r="AG224">
        <v>0</v>
      </c>
      <c r="AH224">
        <v>0.5</v>
      </c>
      <c r="AI224" t="s">
        <v>56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 t="s">
        <v>57</v>
      </c>
      <c r="AS224" t="s">
        <v>822</v>
      </c>
      <c r="AT224" t="s">
        <v>822</v>
      </c>
      <c r="AU224" t="s">
        <v>821</v>
      </c>
      <c r="AV224" t="s">
        <v>823</v>
      </c>
      <c r="AW224" t="s">
        <v>824</v>
      </c>
      <c r="AZ224">
        <v>93400</v>
      </c>
      <c r="BA224" t="s">
        <v>351</v>
      </c>
      <c r="BB224" t="s">
        <v>61</v>
      </c>
      <c r="BC224" t="s">
        <v>62</v>
      </c>
    </row>
    <row r="225" spans="1:55" x14ac:dyDescent="0.25">
      <c r="A225" s="1" t="str">
        <f>IF(COUNTIF(Catégories!A:A,X225)=0,"catégorie inconnue",_xlfn.XLOOKUP(X225,Catégories!A:A,Catégories!B:B))</f>
        <v>Frêt</v>
      </c>
      <c r="B225" s="1">
        <f t="shared" si="9"/>
        <v>0</v>
      </c>
      <c r="C225" s="1">
        <f t="shared" si="10"/>
        <v>0</v>
      </c>
      <c r="D225" s="1">
        <f t="shared" si="11"/>
        <v>0</v>
      </c>
      <c r="E225" s="20">
        <f>IF(AH225&lt;&gt;0,ROUNDUP(AH225,0),IF(BB225&lt;&gt;"FR","hors France",IF(AH225&lt;&gt;0,ROUNDUP(AH225,0),_xlfn.XLOOKUP(AJ225,'PA GLS'!B:B,'PA GLS'!A:A))))</f>
        <v>1</v>
      </c>
      <c r="F225">
        <v>2501382993</v>
      </c>
      <c r="G225">
        <v>1030216446</v>
      </c>
      <c r="H225" t="s">
        <v>366</v>
      </c>
      <c r="I225">
        <v>2500034092</v>
      </c>
      <c r="J225" t="s">
        <v>50</v>
      </c>
      <c r="K225">
        <v>9000009190</v>
      </c>
      <c r="L225">
        <v>46946</v>
      </c>
      <c r="M225" t="s">
        <v>51</v>
      </c>
      <c r="N225">
        <v>9000037814</v>
      </c>
      <c r="O225" t="s">
        <v>51</v>
      </c>
      <c r="S225">
        <v>2507012387</v>
      </c>
      <c r="T225" t="s">
        <v>50</v>
      </c>
      <c r="U225" t="s">
        <v>122</v>
      </c>
      <c r="V225" t="s">
        <v>176</v>
      </c>
      <c r="W225" t="s">
        <v>177</v>
      </c>
      <c r="X225" t="s">
        <v>152</v>
      </c>
      <c r="Z225">
        <v>35</v>
      </c>
      <c r="AA225" t="s">
        <v>779</v>
      </c>
      <c r="AB225" t="s">
        <v>808</v>
      </c>
      <c r="AC225">
        <v>2604000052</v>
      </c>
      <c r="AE225">
        <v>0</v>
      </c>
      <c r="AF225">
        <v>1</v>
      </c>
      <c r="AG225">
        <v>0</v>
      </c>
      <c r="AH225">
        <v>0.64</v>
      </c>
      <c r="AI225" t="s">
        <v>56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 t="s">
        <v>57</v>
      </c>
      <c r="AS225" t="s">
        <v>809</v>
      </c>
      <c r="AT225" t="s">
        <v>809</v>
      </c>
      <c r="AU225" t="s">
        <v>808</v>
      </c>
      <c r="AV225" t="s">
        <v>810</v>
      </c>
      <c r="AW225" t="s">
        <v>811</v>
      </c>
      <c r="AZ225">
        <v>69006</v>
      </c>
      <c r="BA225" t="s">
        <v>151</v>
      </c>
      <c r="BB225" t="s">
        <v>61</v>
      </c>
      <c r="BC225" t="s">
        <v>62</v>
      </c>
    </row>
    <row r="226" spans="1:55" x14ac:dyDescent="0.25">
      <c r="A226" s="1" t="str">
        <f>IF(COUNTIF(Catégories!A:A,X226)=0,"catégorie inconnue",_xlfn.XLOOKUP(X226,Catégories!A:A,Catégories!B:B))</f>
        <v>Frêt</v>
      </c>
      <c r="B226" s="1">
        <f t="shared" si="9"/>
        <v>0</v>
      </c>
      <c r="C226" s="1">
        <f t="shared" si="10"/>
        <v>0</v>
      </c>
      <c r="D226" s="1">
        <f t="shared" si="11"/>
        <v>0</v>
      </c>
      <c r="E226" s="20">
        <f>IF(AH226&lt;&gt;0,ROUNDUP(AH226,0),IF(BB226&lt;&gt;"FR","hors France",IF(AH226&lt;&gt;0,ROUNDUP(AH226,0),_xlfn.XLOOKUP(AJ226,'PA GLS'!B:B,'PA GLS'!A:A))))</f>
        <v>2</v>
      </c>
      <c r="F226">
        <v>2501382993</v>
      </c>
      <c r="G226">
        <v>1030216446</v>
      </c>
      <c r="H226" t="s">
        <v>366</v>
      </c>
      <c r="I226">
        <v>2500034092</v>
      </c>
      <c r="J226" t="s">
        <v>50</v>
      </c>
      <c r="K226">
        <v>9000009190</v>
      </c>
      <c r="L226">
        <v>46946</v>
      </c>
      <c r="M226" t="s">
        <v>51</v>
      </c>
      <c r="N226">
        <v>9000037814</v>
      </c>
      <c r="O226" t="s">
        <v>51</v>
      </c>
      <c r="S226">
        <v>2507012387</v>
      </c>
      <c r="T226" t="s">
        <v>50</v>
      </c>
      <c r="U226" t="s">
        <v>122</v>
      </c>
      <c r="V226" t="s">
        <v>176</v>
      </c>
      <c r="W226" t="s">
        <v>177</v>
      </c>
      <c r="X226" t="s">
        <v>152</v>
      </c>
      <c r="Z226">
        <v>35</v>
      </c>
      <c r="AA226" t="s">
        <v>779</v>
      </c>
      <c r="AB226" t="s">
        <v>834</v>
      </c>
      <c r="AC226">
        <v>2604000051</v>
      </c>
      <c r="AE226">
        <v>0</v>
      </c>
      <c r="AF226">
        <v>1</v>
      </c>
      <c r="AG226">
        <v>0</v>
      </c>
      <c r="AH226">
        <v>2</v>
      </c>
      <c r="AI226" t="s">
        <v>56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 t="s">
        <v>57</v>
      </c>
      <c r="AS226" t="s">
        <v>835</v>
      </c>
      <c r="AT226" t="s">
        <v>835</v>
      </c>
      <c r="AU226" t="s">
        <v>834</v>
      </c>
      <c r="AV226" t="s">
        <v>836</v>
      </c>
      <c r="AW226" t="s">
        <v>837</v>
      </c>
      <c r="AZ226">
        <v>93110</v>
      </c>
      <c r="BA226" t="s">
        <v>838</v>
      </c>
      <c r="BB226" t="s">
        <v>61</v>
      </c>
      <c r="BC226" t="s">
        <v>62</v>
      </c>
    </row>
    <row r="227" spans="1:55" x14ac:dyDescent="0.25">
      <c r="A227" s="1" t="str">
        <f>IF(COUNTIF(Catégories!A:A,X227)=0,"catégorie inconnue",_xlfn.XLOOKUP(X227,Catégories!A:A,Catégories!B:B))</f>
        <v>Frêt</v>
      </c>
      <c r="B227" s="1">
        <f t="shared" si="9"/>
        <v>0</v>
      </c>
      <c r="C227" s="1">
        <f t="shared" si="10"/>
        <v>0</v>
      </c>
      <c r="D227" s="1">
        <f t="shared" si="11"/>
        <v>0</v>
      </c>
      <c r="E227" s="20">
        <f>IF(AH227&lt;&gt;0,ROUNDUP(AH227,0),IF(BB227&lt;&gt;"FR","hors France",IF(AH227&lt;&gt;0,ROUNDUP(AH227,0),_xlfn.XLOOKUP(AJ227,'PA GLS'!B:B,'PA GLS'!A:A))))</f>
        <v>1</v>
      </c>
      <c r="F227">
        <v>2501382993</v>
      </c>
      <c r="G227">
        <v>1030216446</v>
      </c>
      <c r="H227" t="s">
        <v>366</v>
      </c>
      <c r="I227">
        <v>2500034092</v>
      </c>
      <c r="J227" t="s">
        <v>50</v>
      </c>
      <c r="K227">
        <v>9000009190</v>
      </c>
      <c r="L227">
        <v>46946</v>
      </c>
      <c r="M227" t="s">
        <v>51</v>
      </c>
      <c r="N227">
        <v>9000037814</v>
      </c>
      <c r="O227" t="s">
        <v>51</v>
      </c>
      <c r="S227">
        <v>2507012387</v>
      </c>
      <c r="T227" t="s">
        <v>50</v>
      </c>
      <c r="U227" t="s">
        <v>122</v>
      </c>
      <c r="V227" t="s">
        <v>176</v>
      </c>
      <c r="W227" t="s">
        <v>177</v>
      </c>
      <c r="X227" t="s">
        <v>152</v>
      </c>
      <c r="Z227">
        <v>35</v>
      </c>
      <c r="AA227" t="s">
        <v>779</v>
      </c>
      <c r="AB227" t="s">
        <v>825</v>
      </c>
      <c r="AC227">
        <v>2604000050</v>
      </c>
      <c r="AE227">
        <v>0</v>
      </c>
      <c r="AF227">
        <v>1</v>
      </c>
      <c r="AG227">
        <v>0</v>
      </c>
      <c r="AH227">
        <v>0.28000000000000003</v>
      </c>
      <c r="AI227" t="s">
        <v>56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 t="s">
        <v>57</v>
      </c>
      <c r="AS227" t="s">
        <v>826</v>
      </c>
      <c r="AT227" t="s">
        <v>826</v>
      </c>
      <c r="AU227" t="s">
        <v>825</v>
      </c>
      <c r="AV227" t="s">
        <v>827</v>
      </c>
      <c r="AW227" t="s">
        <v>828</v>
      </c>
      <c r="AZ227">
        <v>76290</v>
      </c>
      <c r="BA227" t="s">
        <v>829</v>
      </c>
      <c r="BB227" t="s">
        <v>61</v>
      </c>
      <c r="BC227" t="s">
        <v>62</v>
      </c>
    </row>
    <row r="228" spans="1:55" x14ac:dyDescent="0.25">
      <c r="A228" s="1" t="str">
        <f>IF(COUNTIF(Catégories!A:A,X228)=0,"catégorie inconnue",_xlfn.XLOOKUP(X228,Catégories!A:A,Catégories!B:B))</f>
        <v>Frêt</v>
      </c>
      <c r="B228" s="1">
        <f t="shared" si="9"/>
        <v>0</v>
      </c>
      <c r="C228" s="1">
        <f t="shared" si="10"/>
        <v>0</v>
      </c>
      <c r="D228" s="1">
        <f t="shared" si="11"/>
        <v>0</v>
      </c>
      <c r="E228" s="20">
        <f>IF(AH228&lt;&gt;0,ROUNDUP(AH228,0),IF(BB228&lt;&gt;"FR","hors France",IF(AH228&lt;&gt;0,ROUNDUP(AH228,0),_xlfn.XLOOKUP(AJ228,'PA GLS'!B:B,'PA GLS'!A:A))))</f>
        <v>1</v>
      </c>
      <c r="F228">
        <v>2501382993</v>
      </c>
      <c r="G228">
        <v>1030216446</v>
      </c>
      <c r="H228" t="s">
        <v>366</v>
      </c>
      <c r="I228">
        <v>2500034092</v>
      </c>
      <c r="J228" t="s">
        <v>50</v>
      </c>
      <c r="K228">
        <v>9000009190</v>
      </c>
      <c r="L228">
        <v>46946</v>
      </c>
      <c r="M228" t="s">
        <v>51</v>
      </c>
      <c r="N228">
        <v>9000037814</v>
      </c>
      <c r="O228" t="s">
        <v>51</v>
      </c>
      <c r="S228">
        <v>2507012387</v>
      </c>
      <c r="T228" t="s">
        <v>50</v>
      </c>
      <c r="U228" t="s">
        <v>122</v>
      </c>
      <c r="V228" t="s">
        <v>176</v>
      </c>
      <c r="W228" t="s">
        <v>177</v>
      </c>
      <c r="X228" t="s">
        <v>152</v>
      </c>
      <c r="Z228">
        <v>35</v>
      </c>
      <c r="AA228" t="s">
        <v>779</v>
      </c>
      <c r="AB228" t="s">
        <v>812</v>
      </c>
      <c r="AC228">
        <v>2604000048</v>
      </c>
      <c r="AE228">
        <v>0</v>
      </c>
      <c r="AF228">
        <v>1</v>
      </c>
      <c r="AG228">
        <v>0</v>
      </c>
      <c r="AH228">
        <v>0.64</v>
      </c>
      <c r="AI228" t="s">
        <v>56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 t="s">
        <v>57</v>
      </c>
      <c r="AS228" t="s">
        <v>813</v>
      </c>
      <c r="AT228" t="s">
        <v>813</v>
      </c>
      <c r="AU228" t="s">
        <v>812</v>
      </c>
      <c r="AV228" t="s">
        <v>814</v>
      </c>
      <c r="AW228" t="s">
        <v>815</v>
      </c>
      <c r="AZ228">
        <v>49400</v>
      </c>
      <c r="BA228" t="s">
        <v>816</v>
      </c>
      <c r="BB228" t="s">
        <v>61</v>
      </c>
      <c r="BC228" t="s">
        <v>62</v>
      </c>
    </row>
    <row r="229" spans="1:55" x14ac:dyDescent="0.25">
      <c r="A229" s="1" t="str">
        <f>IF(COUNTIF(Catégories!A:A,X229)=0,"catégorie inconnue",_xlfn.XLOOKUP(X229,Catégories!A:A,Catégories!B:B))</f>
        <v>Frêt</v>
      </c>
      <c r="B229" s="1">
        <f t="shared" si="9"/>
        <v>0</v>
      </c>
      <c r="C229" s="1">
        <f t="shared" si="10"/>
        <v>0</v>
      </c>
      <c r="D229" s="1">
        <f t="shared" si="11"/>
        <v>0</v>
      </c>
      <c r="E229" s="20">
        <f>IF(AH229&lt;&gt;0,ROUNDUP(AH229,0),IF(BB229&lt;&gt;"FR","hors France",IF(AH229&lt;&gt;0,ROUNDUP(AH229,0),_xlfn.XLOOKUP(AJ229,'PA GLS'!B:B,'PA GLS'!A:A))))</f>
        <v>5</v>
      </c>
      <c r="F229">
        <v>2501382993</v>
      </c>
      <c r="G229">
        <v>1030216446</v>
      </c>
      <c r="H229" t="s">
        <v>366</v>
      </c>
      <c r="I229">
        <v>2500034092</v>
      </c>
      <c r="J229" t="s">
        <v>50</v>
      </c>
      <c r="K229">
        <v>9000009190</v>
      </c>
      <c r="L229">
        <v>46946</v>
      </c>
      <c r="M229" t="s">
        <v>51</v>
      </c>
      <c r="N229">
        <v>9000037814</v>
      </c>
      <c r="O229" t="s">
        <v>51</v>
      </c>
      <c r="S229">
        <v>2507012387</v>
      </c>
      <c r="T229" t="s">
        <v>50</v>
      </c>
      <c r="U229" t="s">
        <v>122</v>
      </c>
      <c r="V229" t="s">
        <v>176</v>
      </c>
      <c r="W229" t="s">
        <v>177</v>
      </c>
      <c r="X229" t="s">
        <v>152</v>
      </c>
      <c r="Z229">
        <v>35</v>
      </c>
      <c r="AA229" t="s">
        <v>779</v>
      </c>
      <c r="AB229" t="s">
        <v>839</v>
      </c>
      <c r="AC229">
        <v>2604000049</v>
      </c>
      <c r="AE229">
        <v>0</v>
      </c>
      <c r="AF229">
        <v>1</v>
      </c>
      <c r="AG229">
        <v>0</v>
      </c>
      <c r="AH229">
        <v>4.3600000000000003</v>
      </c>
      <c r="AI229" t="s">
        <v>56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 t="s">
        <v>57</v>
      </c>
      <c r="AS229" t="s">
        <v>840</v>
      </c>
      <c r="AT229" t="s">
        <v>840</v>
      </c>
      <c r="AU229" t="s">
        <v>839</v>
      </c>
      <c r="AV229" t="s">
        <v>841</v>
      </c>
      <c r="AW229" t="s">
        <v>842</v>
      </c>
      <c r="AZ229">
        <v>28230</v>
      </c>
      <c r="BA229" t="s">
        <v>843</v>
      </c>
      <c r="BB229" t="s">
        <v>61</v>
      </c>
      <c r="BC229" t="s">
        <v>62</v>
      </c>
    </row>
    <row r="230" spans="1:55" x14ac:dyDescent="0.25">
      <c r="A230" s="1" t="str">
        <f>IF(COUNTIF(Catégories!A:A,X230)=0,"catégorie inconnue",_xlfn.XLOOKUP(X230,Catégories!A:A,Catégories!B:B))</f>
        <v>Frêt</v>
      </c>
      <c r="B230" s="1">
        <f t="shared" si="9"/>
        <v>6.17</v>
      </c>
      <c r="C230" s="1">
        <f t="shared" si="10"/>
        <v>1.35</v>
      </c>
      <c r="D230" s="1">
        <f t="shared" si="11"/>
        <v>4.82</v>
      </c>
      <c r="E230" s="20">
        <f>IF(AH230&lt;&gt;0,ROUNDUP(AH230,0),IF(BB230&lt;&gt;"FR","hors France",IF(AH230&lt;&gt;0,ROUNDUP(AH230,0),_xlfn.XLOOKUP(AJ230,'PA GLS'!B:B,'PA GLS'!A:A))))</f>
        <v>0.5</v>
      </c>
      <c r="F230">
        <v>2501382993</v>
      </c>
      <c r="G230">
        <v>1030232939</v>
      </c>
      <c r="H230" t="s">
        <v>366</v>
      </c>
      <c r="I230">
        <v>2500034092</v>
      </c>
      <c r="J230" t="s">
        <v>50</v>
      </c>
      <c r="K230">
        <v>9000009190</v>
      </c>
      <c r="L230">
        <v>46946</v>
      </c>
      <c r="M230" t="s">
        <v>51</v>
      </c>
      <c r="N230">
        <v>9000037814</v>
      </c>
      <c r="O230" t="s">
        <v>51</v>
      </c>
      <c r="S230">
        <v>2507012387</v>
      </c>
      <c r="T230" t="s">
        <v>50</v>
      </c>
      <c r="U230" t="s">
        <v>122</v>
      </c>
      <c r="V230" t="s">
        <v>71</v>
      </c>
      <c r="W230" t="s">
        <v>72</v>
      </c>
      <c r="X230" t="s">
        <v>60</v>
      </c>
      <c r="Z230">
        <v>154</v>
      </c>
      <c r="AA230" t="s">
        <v>844</v>
      </c>
      <c r="AB230" t="s">
        <v>845</v>
      </c>
      <c r="AC230">
        <v>2604000056</v>
      </c>
      <c r="AE230">
        <v>0</v>
      </c>
      <c r="AF230">
        <v>0</v>
      </c>
      <c r="AG230">
        <v>0</v>
      </c>
      <c r="AH230">
        <v>0</v>
      </c>
      <c r="AI230" t="s">
        <v>56</v>
      </c>
      <c r="AJ230">
        <v>3.77</v>
      </c>
      <c r="AK230">
        <v>0.9</v>
      </c>
      <c r="AL230">
        <v>0.15</v>
      </c>
      <c r="AM230">
        <v>29.1</v>
      </c>
      <c r="AN230">
        <v>1.35</v>
      </c>
      <c r="AO230">
        <v>0</v>
      </c>
      <c r="AP230">
        <v>0</v>
      </c>
      <c r="AQ230" t="s">
        <v>57</v>
      </c>
      <c r="AS230" t="s">
        <v>846</v>
      </c>
      <c r="AT230" t="s">
        <v>846</v>
      </c>
      <c r="AU230" t="s">
        <v>845</v>
      </c>
      <c r="AV230" t="s">
        <v>847</v>
      </c>
      <c r="AW230" t="s">
        <v>848</v>
      </c>
      <c r="AZ230">
        <v>33600</v>
      </c>
      <c r="BA230" t="s">
        <v>849</v>
      </c>
      <c r="BB230" t="s">
        <v>61</v>
      </c>
      <c r="BC230" t="s">
        <v>62</v>
      </c>
    </row>
    <row r="231" spans="1:55" x14ac:dyDescent="0.25">
      <c r="A231" s="1" t="str">
        <f>IF(COUNTIF(Catégories!A:A,X231)=0,"catégorie inconnue",_xlfn.XLOOKUP(X231,Catégories!A:A,Catégories!B:B))</f>
        <v>Frêt</v>
      </c>
      <c r="B231" s="1">
        <f t="shared" si="9"/>
        <v>6.17</v>
      </c>
      <c r="C231" s="1">
        <f t="shared" si="10"/>
        <v>1.35</v>
      </c>
      <c r="D231" s="1">
        <f t="shared" si="11"/>
        <v>4.82</v>
      </c>
      <c r="E231" s="20">
        <f>IF(AH231&lt;&gt;0,ROUNDUP(AH231,0),IF(BB231&lt;&gt;"FR","hors France",IF(AH231&lt;&gt;0,ROUNDUP(AH231,0),_xlfn.XLOOKUP(AJ231,'PA GLS'!B:B,'PA GLS'!A:A))))</f>
        <v>0.5</v>
      </c>
      <c r="F231">
        <v>2501382993</v>
      </c>
      <c r="G231">
        <v>1030232939</v>
      </c>
      <c r="H231" t="s">
        <v>366</v>
      </c>
      <c r="I231">
        <v>2500034092</v>
      </c>
      <c r="J231" t="s">
        <v>50</v>
      </c>
      <c r="K231">
        <v>9000009190</v>
      </c>
      <c r="L231">
        <v>46946</v>
      </c>
      <c r="M231" t="s">
        <v>51</v>
      </c>
      <c r="N231">
        <v>9000037814</v>
      </c>
      <c r="O231" t="s">
        <v>51</v>
      </c>
      <c r="S231">
        <v>2507012387</v>
      </c>
      <c r="T231" t="s">
        <v>50</v>
      </c>
      <c r="U231" t="s">
        <v>122</v>
      </c>
      <c r="V231" t="s">
        <v>73</v>
      </c>
      <c r="W231" t="s">
        <v>74</v>
      </c>
      <c r="X231" t="s">
        <v>60</v>
      </c>
      <c r="Z231">
        <v>153</v>
      </c>
      <c r="AA231" t="s">
        <v>844</v>
      </c>
      <c r="AB231" t="s">
        <v>850</v>
      </c>
      <c r="AC231">
        <v>2604000060</v>
      </c>
      <c r="AE231">
        <v>0</v>
      </c>
      <c r="AF231">
        <v>0</v>
      </c>
      <c r="AG231">
        <v>0</v>
      </c>
      <c r="AH231">
        <v>0</v>
      </c>
      <c r="AI231" t="s">
        <v>56</v>
      </c>
      <c r="AJ231">
        <v>3.77</v>
      </c>
      <c r="AK231">
        <v>0.9</v>
      </c>
      <c r="AL231">
        <v>0.15</v>
      </c>
      <c r="AM231">
        <v>29.1</v>
      </c>
      <c r="AN231">
        <v>1.35</v>
      </c>
      <c r="AO231">
        <v>0</v>
      </c>
      <c r="AP231">
        <v>0</v>
      </c>
      <c r="AQ231" t="s">
        <v>57</v>
      </c>
      <c r="AS231" t="s">
        <v>851</v>
      </c>
      <c r="AT231" t="s">
        <v>851</v>
      </c>
      <c r="AU231" t="s">
        <v>850</v>
      </c>
      <c r="AV231" t="s">
        <v>852</v>
      </c>
      <c r="AW231" t="s">
        <v>853</v>
      </c>
      <c r="AZ231">
        <v>14000</v>
      </c>
      <c r="BA231" t="s">
        <v>854</v>
      </c>
      <c r="BB231" t="s">
        <v>61</v>
      </c>
      <c r="BC231" t="s">
        <v>62</v>
      </c>
    </row>
    <row r="232" spans="1:55" x14ac:dyDescent="0.25">
      <c r="A232" s="1" t="str">
        <f>IF(COUNTIF(Catégories!A:A,X232)=0,"catégorie inconnue",_xlfn.XLOOKUP(X232,Catégories!A:A,Catégories!B:B))</f>
        <v>Frêt</v>
      </c>
      <c r="B232" s="1">
        <f t="shared" si="9"/>
        <v>0</v>
      </c>
      <c r="C232" s="1">
        <f t="shared" si="10"/>
        <v>0</v>
      </c>
      <c r="D232" s="1">
        <f t="shared" si="11"/>
        <v>0</v>
      </c>
      <c r="E232" s="20">
        <f>IF(AH232&lt;&gt;0,ROUNDUP(AH232,0),IF(BB232&lt;&gt;"FR","hors France",IF(AH232&lt;&gt;0,ROUNDUP(AH232,0),_xlfn.XLOOKUP(AJ232,'PA GLS'!B:B,'PA GLS'!A:A))))</f>
        <v>1</v>
      </c>
      <c r="F232">
        <v>2501382993</v>
      </c>
      <c r="G232">
        <v>1030232939</v>
      </c>
      <c r="H232" t="s">
        <v>366</v>
      </c>
      <c r="I232">
        <v>2500034092</v>
      </c>
      <c r="J232" t="s">
        <v>50</v>
      </c>
      <c r="K232">
        <v>9000009190</v>
      </c>
      <c r="L232">
        <v>46946</v>
      </c>
      <c r="M232" t="s">
        <v>51</v>
      </c>
      <c r="N232">
        <v>9000037814</v>
      </c>
      <c r="O232" t="s">
        <v>51</v>
      </c>
      <c r="S232">
        <v>2507012387</v>
      </c>
      <c r="T232" t="s">
        <v>50</v>
      </c>
      <c r="U232" t="s">
        <v>122</v>
      </c>
      <c r="V232" t="s">
        <v>176</v>
      </c>
      <c r="W232" t="s">
        <v>177</v>
      </c>
      <c r="X232" t="s">
        <v>152</v>
      </c>
      <c r="Z232">
        <v>152</v>
      </c>
      <c r="AA232" t="s">
        <v>844</v>
      </c>
      <c r="AB232" t="s">
        <v>845</v>
      </c>
      <c r="AC232">
        <v>2604000056</v>
      </c>
      <c r="AE232">
        <v>0</v>
      </c>
      <c r="AF232">
        <v>1</v>
      </c>
      <c r="AG232">
        <v>0</v>
      </c>
      <c r="AH232">
        <v>0.48</v>
      </c>
      <c r="AI232" t="s">
        <v>56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 t="s">
        <v>57</v>
      </c>
      <c r="AS232" t="s">
        <v>846</v>
      </c>
      <c r="AT232" t="s">
        <v>846</v>
      </c>
      <c r="AU232" t="s">
        <v>845</v>
      </c>
      <c r="AV232" t="s">
        <v>847</v>
      </c>
      <c r="AW232" t="s">
        <v>848</v>
      </c>
      <c r="AZ232">
        <v>33600</v>
      </c>
      <c r="BA232" t="s">
        <v>849</v>
      </c>
      <c r="BB232" t="s">
        <v>61</v>
      </c>
      <c r="BC232" t="s">
        <v>62</v>
      </c>
    </row>
    <row r="233" spans="1:55" x14ac:dyDescent="0.25">
      <c r="A233" s="1" t="str">
        <f>IF(COUNTIF(Catégories!A:A,X233)=0,"catégorie inconnue",_xlfn.XLOOKUP(X233,Catégories!A:A,Catégories!B:B))</f>
        <v>Frêt</v>
      </c>
      <c r="B233" s="1">
        <f t="shared" si="9"/>
        <v>6.6000000000000005</v>
      </c>
      <c r="C233" s="1">
        <f t="shared" si="10"/>
        <v>1.45</v>
      </c>
      <c r="D233" s="1">
        <f t="shared" si="11"/>
        <v>5.15</v>
      </c>
      <c r="E233" s="20">
        <f>IF(AH233&lt;&gt;0,ROUNDUP(AH233,0),IF(BB233&lt;&gt;"FR","hors France",IF(AH233&lt;&gt;0,ROUNDUP(AH233,0),_xlfn.XLOOKUP(AJ233,'PA GLS'!B:B,'PA GLS'!A:A))))</f>
        <v>1</v>
      </c>
      <c r="F233">
        <v>2501382993</v>
      </c>
      <c r="G233">
        <v>1030232939</v>
      </c>
      <c r="H233" t="s">
        <v>366</v>
      </c>
      <c r="I233">
        <v>2500034092</v>
      </c>
      <c r="J233" t="s">
        <v>50</v>
      </c>
      <c r="K233">
        <v>9000009190</v>
      </c>
      <c r="L233">
        <v>46946</v>
      </c>
      <c r="M233" t="s">
        <v>51</v>
      </c>
      <c r="N233">
        <v>9000037814</v>
      </c>
      <c r="O233" t="s">
        <v>51</v>
      </c>
      <c r="S233">
        <v>2507012387</v>
      </c>
      <c r="T233" t="s">
        <v>50</v>
      </c>
      <c r="U233" t="s">
        <v>122</v>
      </c>
      <c r="V233" t="s">
        <v>69</v>
      </c>
      <c r="W233" t="s">
        <v>70</v>
      </c>
      <c r="X233" t="s">
        <v>60</v>
      </c>
      <c r="Z233">
        <v>155</v>
      </c>
      <c r="AA233" t="s">
        <v>844</v>
      </c>
      <c r="AB233" t="s">
        <v>855</v>
      </c>
      <c r="AC233">
        <v>2604000058</v>
      </c>
      <c r="AE233">
        <v>0</v>
      </c>
      <c r="AF233">
        <v>0</v>
      </c>
      <c r="AG233">
        <v>0</v>
      </c>
      <c r="AH233">
        <v>0</v>
      </c>
      <c r="AI233" t="s">
        <v>56</v>
      </c>
      <c r="AJ233">
        <v>4.0999999999999996</v>
      </c>
      <c r="AK233">
        <v>0.9</v>
      </c>
      <c r="AL233">
        <v>0.15</v>
      </c>
      <c r="AM233">
        <v>29.1</v>
      </c>
      <c r="AN233">
        <v>1.45</v>
      </c>
      <c r="AO233">
        <v>0</v>
      </c>
      <c r="AP233">
        <v>0</v>
      </c>
      <c r="AQ233" t="s">
        <v>57</v>
      </c>
      <c r="AS233" t="s">
        <v>856</v>
      </c>
      <c r="AT233" t="s">
        <v>856</v>
      </c>
      <c r="AU233" t="s">
        <v>855</v>
      </c>
      <c r="AV233" t="s">
        <v>681</v>
      </c>
      <c r="AW233" t="s">
        <v>682</v>
      </c>
      <c r="AZ233">
        <v>49300</v>
      </c>
      <c r="BA233" t="s">
        <v>683</v>
      </c>
      <c r="BB233" t="s">
        <v>61</v>
      </c>
      <c r="BC233" t="s">
        <v>62</v>
      </c>
    </row>
    <row r="234" spans="1:55" x14ac:dyDescent="0.25">
      <c r="A234" s="1" t="str">
        <f>IF(COUNTIF(Catégories!A:A,X234)=0,"catégorie inconnue",_xlfn.XLOOKUP(X234,Catégories!A:A,Catégories!B:B))</f>
        <v>Frêt</v>
      </c>
      <c r="B234" s="1">
        <f t="shared" si="9"/>
        <v>0</v>
      </c>
      <c r="C234" s="1">
        <f t="shared" si="10"/>
        <v>0</v>
      </c>
      <c r="D234" s="1">
        <f t="shared" si="11"/>
        <v>0</v>
      </c>
      <c r="E234" s="20">
        <f>IF(AH234&lt;&gt;0,ROUNDUP(AH234,0),IF(BB234&lt;&gt;"FR","hors France",IF(AH234&lt;&gt;0,ROUNDUP(AH234,0),_xlfn.XLOOKUP(AJ234,'PA GLS'!B:B,'PA GLS'!A:A))))</f>
        <v>1</v>
      </c>
      <c r="F234">
        <v>2501382993</v>
      </c>
      <c r="G234">
        <v>1030232939</v>
      </c>
      <c r="H234" t="s">
        <v>366</v>
      </c>
      <c r="I234">
        <v>2500034092</v>
      </c>
      <c r="J234" t="s">
        <v>50</v>
      </c>
      <c r="K234">
        <v>9000009190</v>
      </c>
      <c r="L234">
        <v>46946</v>
      </c>
      <c r="M234" t="s">
        <v>51</v>
      </c>
      <c r="N234">
        <v>9000037814</v>
      </c>
      <c r="O234" t="s">
        <v>51</v>
      </c>
      <c r="S234">
        <v>2507012387</v>
      </c>
      <c r="T234" t="s">
        <v>50</v>
      </c>
      <c r="U234" t="s">
        <v>122</v>
      </c>
      <c r="V234" t="s">
        <v>176</v>
      </c>
      <c r="W234" t="s">
        <v>177</v>
      </c>
      <c r="X234" t="s">
        <v>152</v>
      </c>
      <c r="Z234">
        <v>152</v>
      </c>
      <c r="AA234" t="s">
        <v>844</v>
      </c>
      <c r="AB234" t="s">
        <v>850</v>
      </c>
      <c r="AC234">
        <v>2604000060</v>
      </c>
      <c r="AE234">
        <v>0</v>
      </c>
      <c r="AF234">
        <v>1</v>
      </c>
      <c r="AG234">
        <v>0</v>
      </c>
      <c r="AH234">
        <v>0.22</v>
      </c>
      <c r="AI234" t="s">
        <v>56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 t="s">
        <v>57</v>
      </c>
      <c r="AS234" t="s">
        <v>851</v>
      </c>
      <c r="AT234" t="s">
        <v>851</v>
      </c>
      <c r="AU234" t="s">
        <v>850</v>
      </c>
      <c r="AV234" t="s">
        <v>852</v>
      </c>
      <c r="AW234" t="s">
        <v>853</v>
      </c>
      <c r="AZ234">
        <v>14000</v>
      </c>
      <c r="BA234" t="s">
        <v>854</v>
      </c>
      <c r="BB234" t="s">
        <v>61</v>
      </c>
      <c r="BC234" t="s">
        <v>62</v>
      </c>
    </row>
    <row r="235" spans="1:55" x14ac:dyDescent="0.25">
      <c r="A235" s="1" t="str">
        <f>IF(COUNTIF(Catégories!A:A,X235)=0,"catégorie inconnue",_xlfn.XLOOKUP(X235,Catégories!A:A,Catégories!B:B))</f>
        <v>Frêt</v>
      </c>
      <c r="B235" s="1">
        <f t="shared" si="9"/>
        <v>0</v>
      </c>
      <c r="C235" s="1">
        <f t="shared" si="10"/>
        <v>0</v>
      </c>
      <c r="D235" s="1">
        <f t="shared" si="11"/>
        <v>0</v>
      </c>
      <c r="E235" s="20">
        <f>IF(AH235&lt;&gt;0,ROUNDUP(AH235,0),IF(BB235&lt;&gt;"FR","hors France",IF(AH235&lt;&gt;0,ROUNDUP(AH235,0),_xlfn.XLOOKUP(AJ235,'PA GLS'!B:B,'PA GLS'!A:A))))</f>
        <v>1</v>
      </c>
      <c r="F235">
        <v>2501382993</v>
      </c>
      <c r="G235">
        <v>1030232939</v>
      </c>
      <c r="H235" t="s">
        <v>366</v>
      </c>
      <c r="I235">
        <v>2500034092</v>
      </c>
      <c r="J235" t="s">
        <v>50</v>
      </c>
      <c r="K235">
        <v>9000009190</v>
      </c>
      <c r="L235">
        <v>46946</v>
      </c>
      <c r="M235" t="s">
        <v>51</v>
      </c>
      <c r="N235">
        <v>9000037814</v>
      </c>
      <c r="O235" t="s">
        <v>51</v>
      </c>
      <c r="S235">
        <v>2507012387</v>
      </c>
      <c r="T235" t="s">
        <v>50</v>
      </c>
      <c r="U235" t="s">
        <v>122</v>
      </c>
      <c r="V235" t="s">
        <v>176</v>
      </c>
      <c r="W235" t="s">
        <v>177</v>
      </c>
      <c r="X235" t="s">
        <v>152</v>
      </c>
      <c r="Z235">
        <v>152</v>
      </c>
      <c r="AA235" t="s">
        <v>844</v>
      </c>
      <c r="AB235" t="s">
        <v>857</v>
      </c>
      <c r="AC235">
        <v>2604000059</v>
      </c>
      <c r="AE235">
        <v>0</v>
      </c>
      <c r="AF235">
        <v>1</v>
      </c>
      <c r="AG235">
        <v>0</v>
      </c>
      <c r="AH235">
        <v>0.54</v>
      </c>
      <c r="AI235" t="s">
        <v>56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 t="s">
        <v>57</v>
      </c>
      <c r="AS235" t="s">
        <v>858</v>
      </c>
      <c r="AT235" t="s">
        <v>858</v>
      </c>
      <c r="AU235" t="s">
        <v>857</v>
      </c>
      <c r="AV235" t="s">
        <v>859</v>
      </c>
      <c r="AW235" t="s">
        <v>860</v>
      </c>
      <c r="AZ235">
        <v>34160</v>
      </c>
      <c r="BA235" t="s">
        <v>861</v>
      </c>
      <c r="BB235" t="s">
        <v>61</v>
      </c>
      <c r="BC235" t="s">
        <v>62</v>
      </c>
    </row>
    <row r="236" spans="1:55" x14ac:dyDescent="0.25">
      <c r="A236" s="1" t="str">
        <f>IF(COUNTIF(Catégories!A:A,X236)=0,"catégorie inconnue",_xlfn.XLOOKUP(X236,Catégories!A:A,Catégories!B:B))</f>
        <v>Frêt</v>
      </c>
      <c r="B236" s="1">
        <f t="shared" si="9"/>
        <v>0</v>
      </c>
      <c r="C236" s="1">
        <f t="shared" si="10"/>
        <v>0</v>
      </c>
      <c r="D236" s="1">
        <f t="shared" si="11"/>
        <v>0</v>
      </c>
      <c r="E236" s="20">
        <f>IF(AH236&lt;&gt;0,ROUNDUP(AH236,0),IF(BB236&lt;&gt;"FR","hors France",IF(AH236&lt;&gt;0,ROUNDUP(AH236,0),_xlfn.XLOOKUP(AJ236,'PA GLS'!B:B,'PA GLS'!A:A))))</f>
        <v>1</v>
      </c>
      <c r="F236">
        <v>2501382993</v>
      </c>
      <c r="G236">
        <v>1030232939</v>
      </c>
      <c r="H236" t="s">
        <v>366</v>
      </c>
      <c r="I236">
        <v>2500034092</v>
      </c>
      <c r="J236" t="s">
        <v>50</v>
      </c>
      <c r="K236">
        <v>9000009190</v>
      </c>
      <c r="L236">
        <v>46946</v>
      </c>
      <c r="M236" t="s">
        <v>51</v>
      </c>
      <c r="N236">
        <v>9000037814</v>
      </c>
      <c r="O236" t="s">
        <v>51</v>
      </c>
      <c r="S236">
        <v>2507012387</v>
      </c>
      <c r="T236" t="s">
        <v>50</v>
      </c>
      <c r="U236" t="s">
        <v>122</v>
      </c>
      <c r="V236" t="s">
        <v>176</v>
      </c>
      <c r="W236" t="s">
        <v>177</v>
      </c>
      <c r="X236" t="s">
        <v>152</v>
      </c>
      <c r="Z236">
        <v>152</v>
      </c>
      <c r="AA236" t="s">
        <v>844</v>
      </c>
      <c r="AB236" t="s">
        <v>855</v>
      </c>
      <c r="AC236">
        <v>2604000058</v>
      </c>
      <c r="AE236">
        <v>0</v>
      </c>
      <c r="AF236">
        <v>1</v>
      </c>
      <c r="AG236">
        <v>0</v>
      </c>
      <c r="AH236">
        <v>0.56000000000000005</v>
      </c>
      <c r="AI236" t="s">
        <v>56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 t="s">
        <v>57</v>
      </c>
      <c r="AS236" t="s">
        <v>856</v>
      </c>
      <c r="AT236" t="s">
        <v>856</v>
      </c>
      <c r="AU236" t="s">
        <v>855</v>
      </c>
      <c r="AV236" t="s">
        <v>681</v>
      </c>
      <c r="AW236" t="s">
        <v>682</v>
      </c>
      <c r="AZ236">
        <v>49300</v>
      </c>
      <c r="BA236" t="s">
        <v>683</v>
      </c>
      <c r="BB236" t="s">
        <v>61</v>
      </c>
      <c r="BC236" t="s">
        <v>62</v>
      </c>
    </row>
    <row r="237" spans="1:55" x14ac:dyDescent="0.25">
      <c r="A237" s="1" t="str">
        <f>IF(COUNTIF(Catégories!A:A,X237)=0,"catégorie inconnue",_xlfn.XLOOKUP(X237,Catégories!A:A,Catégories!B:B))</f>
        <v>Frêt</v>
      </c>
      <c r="B237" s="1">
        <f t="shared" si="9"/>
        <v>0</v>
      </c>
      <c r="C237" s="1">
        <f t="shared" si="10"/>
        <v>0</v>
      </c>
      <c r="D237" s="1">
        <f t="shared" si="11"/>
        <v>0</v>
      </c>
      <c r="E237" s="20">
        <f>IF(AH237&lt;&gt;0,ROUNDUP(AH237,0),IF(BB237&lt;&gt;"FR","hors France",IF(AH237&lt;&gt;0,ROUNDUP(AH237,0),_xlfn.XLOOKUP(AJ237,'PA GLS'!B:B,'PA GLS'!A:A))))</f>
        <v>4</v>
      </c>
      <c r="F237">
        <v>2501382993</v>
      </c>
      <c r="G237">
        <v>1030232939</v>
      </c>
      <c r="H237" t="s">
        <v>366</v>
      </c>
      <c r="I237">
        <v>2500034092</v>
      </c>
      <c r="J237" t="s">
        <v>50</v>
      </c>
      <c r="K237">
        <v>9000009190</v>
      </c>
      <c r="L237">
        <v>46946</v>
      </c>
      <c r="M237" t="s">
        <v>51</v>
      </c>
      <c r="N237">
        <v>9000037814</v>
      </c>
      <c r="O237" t="s">
        <v>51</v>
      </c>
      <c r="S237">
        <v>2507012387</v>
      </c>
      <c r="T237" t="s">
        <v>50</v>
      </c>
      <c r="U237" t="s">
        <v>122</v>
      </c>
      <c r="V237" t="s">
        <v>176</v>
      </c>
      <c r="W237" t="s">
        <v>177</v>
      </c>
      <c r="X237" t="s">
        <v>152</v>
      </c>
      <c r="Z237">
        <v>152</v>
      </c>
      <c r="AA237" t="s">
        <v>844</v>
      </c>
      <c r="AB237" t="s">
        <v>862</v>
      </c>
      <c r="AC237">
        <v>2604000057</v>
      </c>
      <c r="AE237">
        <v>0</v>
      </c>
      <c r="AF237">
        <v>1</v>
      </c>
      <c r="AG237">
        <v>0</v>
      </c>
      <c r="AH237">
        <v>3.1</v>
      </c>
      <c r="AI237" t="s">
        <v>56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 t="s">
        <v>57</v>
      </c>
      <c r="AS237" t="s">
        <v>863</v>
      </c>
      <c r="AT237" t="s">
        <v>863</v>
      </c>
      <c r="AU237" t="s">
        <v>862</v>
      </c>
      <c r="AV237" t="s">
        <v>166</v>
      </c>
      <c r="AW237" t="s">
        <v>864</v>
      </c>
      <c r="AZ237">
        <v>75001</v>
      </c>
      <c r="BA237" t="s">
        <v>865</v>
      </c>
      <c r="BB237" t="s">
        <v>61</v>
      </c>
      <c r="BC237" t="s">
        <v>62</v>
      </c>
    </row>
    <row r="238" spans="1:55" x14ac:dyDescent="0.25">
      <c r="A238" s="1" t="str">
        <f>IF(COUNTIF(Catégories!A:A,X238)=0,"catégorie inconnue",_xlfn.XLOOKUP(X238,Catégories!A:A,Catégories!B:B))</f>
        <v>Zone éloignée</v>
      </c>
      <c r="B238" s="1">
        <f t="shared" si="9"/>
        <v>6.5299999999999994</v>
      </c>
      <c r="C238" s="1">
        <f t="shared" si="10"/>
        <v>1.47</v>
      </c>
      <c r="D238" s="1">
        <f t="shared" si="11"/>
        <v>5.0599999999999996</v>
      </c>
      <c r="E238" s="20" t="e">
        <f>IF(AH238&lt;&gt;0,ROUNDUP(AH238,0),IF(BB238&lt;&gt;"FR","hors France",IF(AH238&lt;&gt;0,ROUNDUP(AH238,0),_xlfn.XLOOKUP(AJ238,'PA GLS'!B:B,'PA GLS'!A:A))))</f>
        <v>#N/A</v>
      </c>
      <c r="F238">
        <v>2501382993</v>
      </c>
      <c r="G238">
        <v>1030230832</v>
      </c>
      <c r="H238" t="s">
        <v>366</v>
      </c>
      <c r="I238">
        <v>2500034092</v>
      </c>
      <c r="J238" t="s">
        <v>50</v>
      </c>
      <c r="K238">
        <v>9000009190</v>
      </c>
      <c r="L238">
        <v>46946</v>
      </c>
      <c r="M238" t="s">
        <v>51</v>
      </c>
      <c r="N238">
        <v>9000082822</v>
      </c>
      <c r="O238" t="s">
        <v>175</v>
      </c>
      <c r="S238">
        <v>2507012387</v>
      </c>
      <c r="T238" t="s">
        <v>50</v>
      </c>
      <c r="U238" t="s">
        <v>122</v>
      </c>
      <c r="V238" t="s">
        <v>318</v>
      </c>
      <c r="W238" t="s">
        <v>319</v>
      </c>
      <c r="X238" t="s">
        <v>76</v>
      </c>
      <c r="Z238">
        <v>122</v>
      </c>
      <c r="AA238" t="s">
        <v>844</v>
      </c>
      <c r="AB238" t="s">
        <v>866</v>
      </c>
      <c r="AC238">
        <v>6794049</v>
      </c>
      <c r="AE238">
        <v>0</v>
      </c>
      <c r="AF238">
        <v>0</v>
      </c>
      <c r="AG238">
        <v>0</v>
      </c>
      <c r="AH238">
        <v>0</v>
      </c>
      <c r="AI238" t="s">
        <v>56</v>
      </c>
      <c r="AJ238">
        <v>5.0599999999999996</v>
      </c>
      <c r="AK238">
        <v>0</v>
      </c>
      <c r="AL238">
        <v>0</v>
      </c>
      <c r="AM238">
        <v>29.1</v>
      </c>
      <c r="AN238">
        <v>1.47</v>
      </c>
      <c r="AO238">
        <v>0</v>
      </c>
      <c r="AP238">
        <v>0</v>
      </c>
      <c r="AQ238" t="s">
        <v>57</v>
      </c>
      <c r="AS238" t="s">
        <v>867</v>
      </c>
      <c r="AU238" t="s">
        <v>866</v>
      </c>
      <c r="AV238" t="s">
        <v>320</v>
      </c>
      <c r="AW238" t="s">
        <v>321</v>
      </c>
      <c r="AX238" t="s">
        <v>322</v>
      </c>
      <c r="AZ238">
        <v>74190</v>
      </c>
      <c r="BA238" t="s">
        <v>323</v>
      </c>
      <c r="BB238" t="s">
        <v>61</v>
      </c>
      <c r="BC238" t="s">
        <v>62</v>
      </c>
    </row>
    <row r="239" spans="1:55" x14ac:dyDescent="0.25">
      <c r="A239" s="1" t="str">
        <f>IF(COUNTIF(Catégories!A:A,X239)=0,"catégorie inconnue",_xlfn.XLOOKUP(X239,Catégories!A:A,Catégories!B:B))</f>
        <v>Frêt</v>
      </c>
      <c r="B239" s="1">
        <f t="shared" si="9"/>
        <v>8.15</v>
      </c>
      <c r="C239" s="1">
        <f t="shared" si="10"/>
        <v>1.8</v>
      </c>
      <c r="D239" s="1">
        <f t="shared" si="11"/>
        <v>6.3500000000000005</v>
      </c>
      <c r="E239" s="20">
        <f>IF(AH239&lt;&gt;0,ROUNDUP(AH239,0),IF(BB239&lt;&gt;"FR","hors France",IF(AH239&lt;&gt;0,ROUNDUP(AH239,0),_xlfn.XLOOKUP(AJ239,'PA GLS'!B:B,'PA GLS'!A:A))))</f>
        <v>4</v>
      </c>
      <c r="F239">
        <v>2501382993</v>
      </c>
      <c r="G239">
        <v>1030232939</v>
      </c>
      <c r="H239" t="s">
        <v>366</v>
      </c>
      <c r="I239">
        <v>2500034092</v>
      </c>
      <c r="J239" t="s">
        <v>50</v>
      </c>
      <c r="K239">
        <v>9000009190</v>
      </c>
      <c r="L239">
        <v>46946</v>
      </c>
      <c r="M239" t="s">
        <v>51</v>
      </c>
      <c r="N239">
        <v>9000037814</v>
      </c>
      <c r="O239" t="s">
        <v>51</v>
      </c>
      <c r="S239">
        <v>2507012387</v>
      </c>
      <c r="T239" t="s">
        <v>50</v>
      </c>
      <c r="U239" t="s">
        <v>122</v>
      </c>
      <c r="V239" t="s">
        <v>231</v>
      </c>
      <c r="W239" t="s">
        <v>232</v>
      </c>
      <c r="X239" t="s">
        <v>60</v>
      </c>
      <c r="Z239">
        <v>156</v>
      </c>
      <c r="AA239" t="s">
        <v>844</v>
      </c>
      <c r="AB239" t="s">
        <v>862</v>
      </c>
      <c r="AC239">
        <v>2604000057</v>
      </c>
      <c r="AE239">
        <v>0</v>
      </c>
      <c r="AF239">
        <v>0</v>
      </c>
      <c r="AG239">
        <v>0</v>
      </c>
      <c r="AH239">
        <v>0</v>
      </c>
      <c r="AI239" t="s">
        <v>56</v>
      </c>
      <c r="AJ239">
        <v>5.3</v>
      </c>
      <c r="AK239">
        <v>0.9</v>
      </c>
      <c r="AL239">
        <v>0.15</v>
      </c>
      <c r="AM239">
        <v>29.1</v>
      </c>
      <c r="AN239">
        <v>1.8</v>
      </c>
      <c r="AO239">
        <v>0</v>
      </c>
      <c r="AP239">
        <v>0</v>
      </c>
      <c r="AQ239" t="s">
        <v>57</v>
      </c>
      <c r="AS239" t="s">
        <v>863</v>
      </c>
      <c r="AT239" t="s">
        <v>863</v>
      </c>
      <c r="AU239" t="s">
        <v>862</v>
      </c>
      <c r="AV239" t="s">
        <v>166</v>
      </c>
      <c r="AW239" t="s">
        <v>864</v>
      </c>
      <c r="AZ239">
        <v>75001</v>
      </c>
      <c r="BA239" t="s">
        <v>865</v>
      </c>
      <c r="BB239" t="s">
        <v>61</v>
      </c>
      <c r="BC239" t="s">
        <v>62</v>
      </c>
    </row>
    <row r="240" spans="1:55" x14ac:dyDescent="0.25">
      <c r="A240" s="1" t="str">
        <f>IF(COUNTIF(Catégories!A:A,X240)=0,"catégorie inconnue",_xlfn.XLOOKUP(X240,Catégories!A:A,Catégories!B:B))</f>
        <v>Frêt</v>
      </c>
      <c r="B240" s="1">
        <f t="shared" si="9"/>
        <v>6.6000000000000005</v>
      </c>
      <c r="C240" s="1">
        <f t="shared" si="10"/>
        <v>1.45</v>
      </c>
      <c r="D240" s="1">
        <f t="shared" si="11"/>
        <v>5.15</v>
      </c>
      <c r="E240" s="20">
        <f>IF(AH240&lt;&gt;0,ROUNDUP(AH240,0),IF(BB240&lt;&gt;"FR","hors France",IF(AH240&lt;&gt;0,ROUNDUP(AH240,0),_xlfn.XLOOKUP(AJ240,'PA GLS'!B:B,'PA GLS'!A:A))))</f>
        <v>1</v>
      </c>
      <c r="F240">
        <v>2501382993</v>
      </c>
      <c r="G240">
        <v>1030232939</v>
      </c>
      <c r="H240" t="s">
        <v>366</v>
      </c>
      <c r="I240">
        <v>2500034092</v>
      </c>
      <c r="J240" t="s">
        <v>50</v>
      </c>
      <c r="K240">
        <v>9000009190</v>
      </c>
      <c r="L240">
        <v>46946</v>
      </c>
      <c r="M240" t="s">
        <v>51</v>
      </c>
      <c r="N240">
        <v>9000037814</v>
      </c>
      <c r="O240" t="s">
        <v>51</v>
      </c>
      <c r="S240">
        <v>2507012387</v>
      </c>
      <c r="T240" t="s">
        <v>50</v>
      </c>
      <c r="U240" t="s">
        <v>122</v>
      </c>
      <c r="V240" t="s">
        <v>69</v>
      </c>
      <c r="W240" t="s">
        <v>70</v>
      </c>
      <c r="X240" t="s">
        <v>60</v>
      </c>
      <c r="Z240">
        <v>155</v>
      </c>
      <c r="AA240" t="s">
        <v>844</v>
      </c>
      <c r="AB240" t="s">
        <v>857</v>
      </c>
      <c r="AC240">
        <v>2604000059</v>
      </c>
      <c r="AE240">
        <v>0</v>
      </c>
      <c r="AF240">
        <v>0</v>
      </c>
      <c r="AG240">
        <v>0</v>
      </c>
      <c r="AH240">
        <v>0</v>
      </c>
      <c r="AI240" t="s">
        <v>56</v>
      </c>
      <c r="AJ240">
        <v>4.0999999999999996</v>
      </c>
      <c r="AK240">
        <v>0.9</v>
      </c>
      <c r="AL240">
        <v>0.15</v>
      </c>
      <c r="AM240">
        <v>29.1</v>
      </c>
      <c r="AN240">
        <v>1.45</v>
      </c>
      <c r="AO240">
        <v>0</v>
      </c>
      <c r="AP240">
        <v>0</v>
      </c>
      <c r="AQ240" t="s">
        <v>57</v>
      </c>
      <c r="AS240" t="s">
        <v>858</v>
      </c>
      <c r="AT240" t="s">
        <v>858</v>
      </c>
      <c r="AU240" t="s">
        <v>857</v>
      </c>
      <c r="AV240" t="s">
        <v>859</v>
      </c>
      <c r="AW240" t="s">
        <v>860</v>
      </c>
      <c r="AZ240">
        <v>34160</v>
      </c>
      <c r="BA240" t="s">
        <v>861</v>
      </c>
      <c r="BB240" t="s">
        <v>61</v>
      </c>
      <c r="BC240" t="s">
        <v>62</v>
      </c>
    </row>
    <row r="241" spans="1:55" x14ac:dyDescent="0.25">
      <c r="A241" s="1" t="str">
        <f>IF(COUNTIF(Catégories!A:A,X241)=0,"catégorie inconnue",_xlfn.XLOOKUP(X241,Catégories!A:A,Catégories!B:B))</f>
        <v>Frêt</v>
      </c>
      <c r="B241" s="1">
        <f t="shared" si="9"/>
        <v>0</v>
      </c>
      <c r="C241" s="1">
        <f t="shared" si="10"/>
        <v>0</v>
      </c>
      <c r="D241" s="1">
        <f t="shared" si="11"/>
        <v>0</v>
      </c>
      <c r="E241" s="20">
        <f>IF(AH241&lt;&gt;0,ROUNDUP(AH241,0),IF(BB241&lt;&gt;"FR","hors France",IF(AH241&lt;&gt;0,ROUNDUP(AH241,0),_xlfn.XLOOKUP(AJ241,'PA GLS'!B:B,'PA GLS'!A:A))))</f>
        <v>3</v>
      </c>
      <c r="F241">
        <v>2501382993</v>
      </c>
      <c r="G241">
        <v>1030230832</v>
      </c>
      <c r="H241" t="s">
        <v>366</v>
      </c>
      <c r="I241">
        <v>2500034092</v>
      </c>
      <c r="J241" t="s">
        <v>50</v>
      </c>
      <c r="K241">
        <v>9000009190</v>
      </c>
      <c r="L241">
        <v>46946</v>
      </c>
      <c r="M241" t="s">
        <v>51</v>
      </c>
      <c r="N241">
        <v>9000082822</v>
      </c>
      <c r="O241" t="s">
        <v>175</v>
      </c>
      <c r="S241">
        <v>2507012387</v>
      </c>
      <c r="T241" t="s">
        <v>50</v>
      </c>
      <c r="U241" t="s">
        <v>122</v>
      </c>
      <c r="V241" t="s">
        <v>176</v>
      </c>
      <c r="W241" t="s">
        <v>177</v>
      </c>
      <c r="X241" t="s">
        <v>152</v>
      </c>
      <c r="Z241">
        <v>120</v>
      </c>
      <c r="AA241" t="s">
        <v>844</v>
      </c>
      <c r="AB241" t="s">
        <v>866</v>
      </c>
      <c r="AC241">
        <v>6794049</v>
      </c>
      <c r="AE241">
        <v>0</v>
      </c>
      <c r="AF241">
        <v>1</v>
      </c>
      <c r="AG241">
        <v>0</v>
      </c>
      <c r="AH241">
        <v>2.39</v>
      </c>
      <c r="AI241" t="s">
        <v>56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 t="s">
        <v>57</v>
      </c>
      <c r="AS241" t="s">
        <v>867</v>
      </c>
      <c r="AU241" t="s">
        <v>866</v>
      </c>
      <c r="AV241" t="s">
        <v>320</v>
      </c>
      <c r="AW241" t="s">
        <v>321</v>
      </c>
      <c r="AX241" t="s">
        <v>322</v>
      </c>
      <c r="AZ241">
        <v>74190</v>
      </c>
      <c r="BA241" t="s">
        <v>323</v>
      </c>
      <c r="BB241" t="s">
        <v>61</v>
      </c>
      <c r="BC241" t="s">
        <v>62</v>
      </c>
    </row>
    <row r="242" spans="1:55" x14ac:dyDescent="0.25">
      <c r="A242" s="1" t="str">
        <f>IF(COUNTIF(Catégories!A:A,X242)=0,"catégorie inconnue",_xlfn.XLOOKUP(X242,Catégories!A:A,Catégories!B:B))</f>
        <v>Frêt</v>
      </c>
      <c r="B242" s="1">
        <f t="shared" si="9"/>
        <v>0</v>
      </c>
      <c r="C242" s="1">
        <f t="shared" si="10"/>
        <v>0</v>
      </c>
      <c r="D242" s="1">
        <f t="shared" si="11"/>
        <v>0</v>
      </c>
      <c r="E242" s="20">
        <f>IF(AH242&lt;&gt;0,ROUNDUP(AH242,0),IF(BB242&lt;&gt;"FR","hors France",IF(AH242&lt;&gt;0,ROUNDUP(AH242,0),_xlfn.XLOOKUP(AJ242,'PA GLS'!B:B,'PA GLS'!A:A))))</f>
        <v>3</v>
      </c>
      <c r="F242">
        <v>2501382993</v>
      </c>
      <c r="G242">
        <v>1030230832</v>
      </c>
      <c r="H242" t="s">
        <v>366</v>
      </c>
      <c r="I242">
        <v>2500034092</v>
      </c>
      <c r="J242" t="s">
        <v>50</v>
      </c>
      <c r="K242">
        <v>9000009190</v>
      </c>
      <c r="L242">
        <v>46946</v>
      </c>
      <c r="M242" t="s">
        <v>51</v>
      </c>
      <c r="N242">
        <v>9000082822</v>
      </c>
      <c r="O242" t="s">
        <v>175</v>
      </c>
      <c r="S242">
        <v>2507012387</v>
      </c>
      <c r="T242" t="s">
        <v>50</v>
      </c>
      <c r="U242" t="s">
        <v>122</v>
      </c>
      <c r="V242" t="s">
        <v>176</v>
      </c>
      <c r="W242" t="s">
        <v>177</v>
      </c>
      <c r="X242" t="s">
        <v>152</v>
      </c>
      <c r="Z242">
        <v>120</v>
      </c>
      <c r="AA242" t="s">
        <v>844</v>
      </c>
      <c r="AB242" t="s">
        <v>868</v>
      </c>
      <c r="AC242">
        <v>6794259</v>
      </c>
      <c r="AE242">
        <v>0</v>
      </c>
      <c r="AF242">
        <v>1</v>
      </c>
      <c r="AG242">
        <v>0</v>
      </c>
      <c r="AH242">
        <v>2.92</v>
      </c>
      <c r="AI242" t="s">
        <v>56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 t="s">
        <v>57</v>
      </c>
      <c r="AS242" t="s">
        <v>869</v>
      </c>
      <c r="AU242" t="s">
        <v>868</v>
      </c>
      <c r="AV242" t="s">
        <v>304</v>
      </c>
      <c r="AW242" t="s">
        <v>305</v>
      </c>
      <c r="AX242" t="s">
        <v>306</v>
      </c>
      <c r="AZ242">
        <v>56640</v>
      </c>
      <c r="BA242" t="s">
        <v>307</v>
      </c>
      <c r="BB242" t="s">
        <v>61</v>
      </c>
      <c r="BC242" t="s">
        <v>62</v>
      </c>
    </row>
    <row r="243" spans="1:55" x14ac:dyDescent="0.25">
      <c r="A243" s="1" t="str">
        <f>IF(COUNTIF(Catégories!A:A,X243)=0,"catégorie inconnue",_xlfn.XLOOKUP(X243,Catégories!A:A,Catégories!B:B))</f>
        <v>Frêt</v>
      </c>
      <c r="B243" s="1">
        <f t="shared" si="9"/>
        <v>8.15</v>
      </c>
      <c r="C243" s="1">
        <f t="shared" si="10"/>
        <v>1.8</v>
      </c>
      <c r="D243" s="1">
        <f t="shared" si="11"/>
        <v>6.3500000000000005</v>
      </c>
      <c r="E243" s="20">
        <f>IF(AH243&lt;&gt;0,ROUNDUP(AH243,0),IF(BB243&lt;&gt;"FR","hors France",IF(AH243&lt;&gt;0,ROUNDUP(AH243,0),_xlfn.XLOOKUP(AJ243,'PA GLS'!B:B,'PA GLS'!A:A))))</f>
        <v>4</v>
      </c>
      <c r="F243">
        <v>2501382993</v>
      </c>
      <c r="G243">
        <v>1030234212</v>
      </c>
      <c r="H243" t="s">
        <v>366</v>
      </c>
      <c r="I243">
        <v>2500034092</v>
      </c>
      <c r="J243" t="s">
        <v>50</v>
      </c>
      <c r="K243">
        <v>9000009190</v>
      </c>
      <c r="L243">
        <v>46946</v>
      </c>
      <c r="M243" t="s">
        <v>51</v>
      </c>
      <c r="N243">
        <v>9000079830</v>
      </c>
      <c r="O243" t="s">
        <v>187</v>
      </c>
      <c r="S243">
        <v>2507012387</v>
      </c>
      <c r="T243" t="s">
        <v>50</v>
      </c>
      <c r="U243" t="s">
        <v>122</v>
      </c>
      <c r="V243" t="s">
        <v>231</v>
      </c>
      <c r="W243" t="s">
        <v>232</v>
      </c>
      <c r="X243" t="s">
        <v>60</v>
      </c>
      <c r="Z243">
        <v>194</v>
      </c>
      <c r="AA243" t="s">
        <v>844</v>
      </c>
      <c r="AB243" t="s">
        <v>870</v>
      </c>
      <c r="AC243">
        <v>2604000084</v>
      </c>
      <c r="AE243">
        <v>0</v>
      </c>
      <c r="AF243">
        <v>0</v>
      </c>
      <c r="AG243">
        <v>0</v>
      </c>
      <c r="AH243">
        <v>0</v>
      </c>
      <c r="AI243" t="s">
        <v>56</v>
      </c>
      <c r="AJ243">
        <v>5.3</v>
      </c>
      <c r="AK243">
        <v>0.9</v>
      </c>
      <c r="AL243">
        <v>0.15</v>
      </c>
      <c r="AM243">
        <v>29.1</v>
      </c>
      <c r="AN243">
        <v>1.8</v>
      </c>
      <c r="AO243">
        <v>0</v>
      </c>
      <c r="AP243">
        <v>0</v>
      </c>
      <c r="AQ243" t="s">
        <v>57</v>
      </c>
      <c r="AS243" t="s">
        <v>871</v>
      </c>
      <c r="AT243" t="s">
        <v>871</v>
      </c>
      <c r="AU243" t="s">
        <v>870</v>
      </c>
      <c r="AV243" t="s">
        <v>872</v>
      </c>
      <c r="AW243" t="s">
        <v>873</v>
      </c>
      <c r="AZ243">
        <v>69006</v>
      </c>
      <c r="BA243" t="s">
        <v>151</v>
      </c>
      <c r="BB243" t="s">
        <v>61</v>
      </c>
      <c r="BC243" t="s">
        <v>62</v>
      </c>
    </row>
    <row r="244" spans="1:55" x14ac:dyDescent="0.25">
      <c r="A244" s="1" t="str">
        <f>IF(COUNTIF(Catégories!A:A,X244)=0,"catégorie inconnue",_xlfn.XLOOKUP(X244,Catégories!A:A,Catégories!B:B))</f>
        <v>Frêt</v>
      </c>
      <c r="B244" s="1">
        <f t="shared" si="9"/>
        <v>8.15</v>
      </c>
      <c r="C244" s="1">
        <f t="shared" si="10"/>
        <v>1.8</v>
      </c>
      <c r="D244" s="1">
        <f t="shared" si="11"/>
        <v>6.3500000000000005</v>
      </c>
      <c r="E244" s="20">
        <f>IF(AH244&lt;&gt;0,ROUNDUP(AH244,0),IF(BB244&lt;&gt;"FR","hors France",IF(AH244&lt;&gt;0,ROUNDUP(AH244,0),_xlfn.XLOOKUP(AJ244,'PA GLS'!B:B,'PA GLS'!A:A))))</f>
        <v>4</v>
      </c>
      <c r="F244">
        <v>2501382993</v>
      </c>
      <c r="G244">
        <v>1030234212</v>
      </c>
      <c r="H244" t="s">
        <v>366</v>
      </c>
      <c r="I244">
        <v>2500034092</v>
      </c>
      <c r="J244" t="s">
        <v>50</v>
      </c>
      <c r="K244">
        <v>9000009190</v>
      </c>
      <c r="L244">
        <v>46946</v>
      </c>
      <c r="M244" t="s">
        <v>51</v>
      </c>
      <c r="N244">
        <v>9000079830</v>
      </c>
      <c r="O244" t="s">
        <v>187</v>
      </c>
      <c r="S244">
        <v>2507012387</v>
      </c>
      <c r="T244" t="s">
        <v>50</v>
      </c>
      <c r="U244" t="s">
        <v>122</v>
      </c>
      <c r="V244" t="s">
        <v>231</v>
      </c>
      <c r="W244" t="s">
        <v>232</v>
      </c>
      <c r="X244" t="s">
        <v>60</v>
      </c>
      <c r="Z244">
        <v>194</v>
      </c>
      <c r="AA244" t="s">
        <v>844</v>
      </c>
      <c r="AB244" t="s">
        <v>874</v>
      </c>
      <c r="AC244">
        <v>2604000083</v>
      </c>
      <c r="AE244">
        <v>0</v>
      </c>
      <c r="AF244">
        <v>0</v>
      </c>
      <c r="AG244">
        <v>0</v>
      </c>
      <c r="AH244">
        <v>0</v>
      </c>
      <c r="AI244" t="s">
        <v>56</v>
      </c>
      <c r="AJ244">
        <v>5.3</v>
      </c>
      <c r="AK244">
        <v>0.9</v>
      </c>
      <c r="AL244">
        <v>0.15</v>
      </c>
      <c r="AM244">
        <v>29.1</v>
      </c>
      <c r="AN244">
        <v>1.8</v>
      </c>
      <c r="AO244">
        <v>0</v>
      </c>
      <c r="AP244">
        <v>0</v>
      </c>
      <c r="AQ244" t="s">
        <v>57</v>
      </c>
      <c r="AS244" t="s">
        <v>875</v>
      </c>
      <c r="AT244" t="s">
        <v>875</v>
      </c>
      <c r="AU244" t="s">
        <v>874</v>
      </c>
      <c r="AV244" t="s">
        <v>876</v>
      </c>
      <c r="AW244" t="s">
        <v>877</v>
      </c>
      <c r="AZ244">
        <v>21000</v>
      </c>
      <c r="BA244" t="s">
        <v>237</v>
      </c>
      <c r="BB244" t="s">
        <v>61</v>
      </c>
      <c r="BC244" t="s">
        <v>62</v>
      </c>
    </row>
    <row r="245" spans="1:55" x14ac:dyDescent="0.25">
      <c r="A245" s="1" t="str">
        <f>IF(COUNTIF(Catégories!A:A,X245)=0,"catégorie inconnue",_xlfn.XLOOKUP(X245,Catégories!A:A,Catégories!B:B))</f>
        <v>Frêt</v>
      </c>
      <c r="B245" s="1">
        <f t="shared" si="9"/>
        <v>7.0100000000000007</v>
      </c>
      <c r="C245" s="1">
        <f t="shared" si="10"/>
        <v>1.54</v>
      </c>
      <c r="D245" s="1">
        <f t="shared" si="11"/>
        <v>5.4700000000000006</v>
      </c>
      <c r="E245" s="20">
        <f>IF(AH245&lt;&gt;0,ROUNDUP(AH245,0),IF(BB245&lt;&gt;"FR","hors France",IF(AH245&lt;&gt;0,ROUNDUP(AH245,0),_xlfn.XLOOKUP(AJ245,'PA GLS'!B:B,'PA GLS'!A:A))))</f>
        <v>2</v>
      </c>
      <c r="F245">
        <v>2501382993</v>
      </c>
      <c r="G245">
        <v>1030234212</v>
      </c>
      <c r="H245" t="s">
        <v>366</v>
      </c>
      <c r="I245">
        <v>2500034092</v>
      </c>
      <c r="J245" t="s">
        <v>50</v>
      </c>
      <c r="K245">
        <v>9000009190</v>
      </c>
      <c r="L245">
        <v>46946</v>
      </c>
      <c r="M245" t="s">
        <v>51</v>
      </c>
      <c r="N245">
        <v>9000079830</v>
      </c>
      <c r="O245" t="s">
        <v>187</v>
      </c>
      <c r="S245">
        <v>2507012387</v>
      </c>
      <c r="T245" t="s">
        <v>50</v>
      </c>
      <c r="U245" t="s">
        <v>122</v>
      </c>
      <c r="V245" t="s">
        <v>77</v>
      </c>
      <c r="W245" t="s">
        <v>78</v>
      </c>
      <c r="X245" t="s">
        <v>60</v>
      </c>
      <c r="Z245">
        <v>193</v>
      </c>
      <c r="AA245" t="s">
        <v>844</v>
      </c>
      <c r="AB245" t="s">
        <v>878</v>
      </c>
      <c r="AC245">
        <v>2604000085</v>
      </c>
      <c r="AE245">
        <v>0</v>
      </c>
      <c r="AF245">
        <v>0</v>
      </c>
      <c r="AG245">
        <v>0</v>
      </c>
      <c r="AH245">
        <v>0</v>
      </c>
      <c r="AI245" t="s">
        <v>56</v>
      </c>
      <c r="AJ245">
        <v>4.42</v>
      </c>
      <c r="AK245">
        <v>0.9</v>
      </c>
      <c r="AL245">
        <v>0.15</v>
      </c>
      <c r="AM245">
        <v>29.1</v>
      </c>
      <c r="AN245">
        <v>1.54</v>
      </c>
      <c r="AO245">
        <v>0</v>
      </c>
      <c r="AP245">
        <v>0</v>
      </c>
      <c r="AQ245" t="s">
        <v>57</v>
      </c>
      <c r="AS245" t="s">
        <v>879</v>
      </c>
      <c r="AT245" t="s">
        <v>879</v>
      </c>
      <c r="AU245" t="s">
        <v>878</v>
      </c>
      <c r="AV245" t="s">
        <v>880</v>
      </c>
      <c r="AW245" t="s">
        <v>881</v>
      </c>
      <c r="AZ245">
        <v>75016</v>
      </c>
      <c r="BA245" t="s">
        <v>65</v>
      </c>
      <c r="BB245" t="s">
        <v>61</v>
      </c>
      <c r="BC245" t="s">
        <v>62</v>
      </c>
    </row>
    <row r="246" spans="1:55" x14ac:dyDescent="0.25">
      <c r="A246" s="1" t="str">
        <f>IF(COUNTIF(Catégories!A:A,X246)=0,"catégorie inconnue",_xlfn.XLOOKUP(X246,Catégories!A:A,Catégories!B:B))</f>
        <v>Frêt</v>
      </c>
      <c r="B246" s="1">
        <f t="shared" si="9"/>
        <v>7.0100000000000007</v>
      </c>
      <c r="C246" s="1">
        <f t="shared" si="10"/>
        <v>1.54</v>
      </c>
      <c r="D246" s="1">
        <f t="shared" si="11"/>
        <v>5.4700000000000006</v>
      </c>
      <c r="E246" s="20">
        <f>IF(AH246&lt;&gt;0,ROUNDUP(AH246,0),IF(BB246&lt;&gt;"FR","hors France",IF(AH246&lt;&gt;0,ROUNDUP(AH246,0),_xlfn.XLOOKUP(AJ246,'PA GLS'!B:B,'PA GLS'!A:A))))</f>
        <v>2</v>
      </c>
      <c r="F246">
        <v>2501382993</v>
      </c>
      <c r="G246">
        <v>1030234212</v>
      </c>
      <c r="H246" t="s">
        <v>366</v>
      </c>
      <c r="I246">
        <v>2500034092</v>
      </c>
      <c r="J246" t="s">
        <v>50</v>
      </c>
      <c r="K246">
        <v>9000009190</v>
      </c>
      <c r="L246">
        <v>46946</v>
      </c>
      <c r="M246" t="s">
        <v>51</v>
      </c>
      <c r="N246">
        <v>9000079830</v>
      </c>
      <c r="O246" t="s">
        <v>187</v>
      </c>
      <c r="S246">
        <v>2507012387</v>
      </c>
      <c r="T246" t="s">
        <v>50</v>
      </c>
      <c r="U246" t="s">
        <v>122</v>
      </c>
      <c r="V246" t="s">
        <v>77</v>
      </c>
      <c r="W246" t="s">
        <v>78</v>
      </c>
      <c r="X246" t="s">
        <v>60</v>
      </c>
      <c r="Z246">
        <v>193</v>
      </c>
      <c r="AA246" t="s">
        <v>844</v>
      </c>
      <c r="AB246" t="s">
        <v>882</v>
      </c>
      <c r="AC246">
        <v>2604000082</v>
      </c>
      <c r="AE246">
        <v>0</v>
      </c>
      <c r="AF246">
        <v>0</v>
      </c>
      <c r="AG246">
        <v>0</v>
      </c>
      <c r="AH246">
        <v>0</v>
      </c>
      <c r="AI246" t="s">
        <v>56</v>
      </c>
      <c r="AJ246">
        <v>4.42</v>
      </c>
      <c r="AK246">
        <v>0.9</v>
      </c>
      <c r="AL246">
        <v>0.15</v>
      </c>
      <c r="AM246">
        <v>29.1</v>
      </c>
      <c r="AN246">
        <v>1.54</v>
      </c>
      <c r="AO246">
        <v>0</v>
      </c>
      <c r="AP246">
        <v>0</v>
      </c>
      <c r="AQ246" t="s">
        <v>57</v>
      </c>
      <c r="AS246" t="s">
        <v>883</v>
      </c>
      <c r="AT246" t="s">
        <v>883</v>
      </c>
      <c r="AU246" t="s">
        <v>882</v>
      </c>
      <c r="AV246" t="s">
        <v>884</v>
      </c>
      <c r="AW246" t="s">
        <v>885</v>
      </c>
      <c r="AZ246">
        <v>68480</v>
      </c>
      <c r="BA246" t="s">
        <v>886</v>
      </c>
      <c r="BB246" t="s">
        <v>61</v>
      </c>
      <c r="BC246" t="s">
        <v>62</v>
      </c>
    </row>
    <row r="247" spans="1:55" x14ac:dyDescent="0.25">
      <c r="A247" s="1" t="str">
        <f>IF(COUNTIF(Catégories!A:A,X247)=0,"catégorie inconnue",_xlfn.XLOOKUP(X247,Catégories!A:A,Catégories!B:B))</f>
        <v>Frêt</v>
      </c>
      <c r="B247" s="1">
        <f t="shared" si="9"/>
        <v>0</v>
      </c>
      <c r="C247" s="1">
        <f t="shared" si="10"/>
        <v>0</v>
      </c>
      <c r="D247" s="1">
        <f t="shared" si="11"/>
        <v>0</v>
      </c>
      <c r="E247" s="20">
        <f>IF(AH247&lt;&gt;0,ROUNDUP(AH247,0),IF(BB247&lt;&gt;"FR","hors France",IF(AH247&lt;&gt;0,ROUNDUP(AH247,0),_xlfn.XLOOKUP(AJ247,'PA GLS'!B:B,'PA GLS'!A:A))))</f>
        <v>2</v>
      </c>
      <c r="F247">
        <v>2501382993</v>
      </c>
      <c r="G247">
        <v>1030234212</v>
      </c>
      <c r="H247" t="s">
        <v>366</v>
      </c>
      <c r="I247">
        <v>2500034092</v>
      </c>
      <c r="J247" t="s">
        <v>50</v>
      </c>
      <c r="K247">
        <v>9000009190</v>
      </c>
      <c r="L247">
        <v>46946</v>
      </c>
      <c r="M247" t="s">
        <v>51</v>
      </c>
      <c r="N247">
        <v>9000079830</v>
      </c>
      <c r="O247" t="s">
        <v>187</v>
      </c>
      <c r="S247">
        <v>2507012387</v>
      </c>
      <c r="T247" t="s">
        <v>50</v>
      </c>
      <c r="U247" t="s">
        <v>122</v>
      </c>
      <c r="V247" t="s">
        <v>176</v>
      </c>
      <c r="W247" t="s">
        <v>177</v>
      </c>
      <c r="X247" t="s">
        <v>152</v>
      </c>
      <c r="Z247">
        <v>192</v>
      </c>
      <c r="AA247" t="s">
        <v>844</v>
      </c>
      <c r="AB247" t="s">
        <v>878</v>
      </c>
      <c r="AC247">
        <v>2604000085</v>
      </c>
      <c r="AE247">
        <v>0</v>
      </c>
      <c r="AF247">
        <v>1</v>
      </c>
      <c r="AG247">
        <v>0</v>
      </c>
      <c r="AH247">
        <v>2</v>
      </c>
      <c r="AI247" t="s">
        <v>56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 t="s">
        <v>57</v>
      </c>
      <c r="AS247" t="s">
        <v>879</v>
      </c>
      <c r="AT247" t="s">
        <v>879</v>
      </c>
      <c r="AU247" t="s">
        <v>878</v>
      </c>
      <c r="AV247" t="s">
        <v>880</v>
      </c>
      <c r="AW247" t="s">
        <v>881</v>
      </c>
      <c r="AZ247">
        <v>75016</v>
      </c>
      <c r="BA247" t="s">
        <v>65</v>
      </c>
      <c r="BB247" t="s">
        <v>61</v>
      </c>
      <c r="BC247" t="s">
        <v>62</v>
      </c>
    </row>
    <row r="248" spans="1:55" x14ac:dyDescent="0.25">
      <c r="A248" s="1" t="str">
        <f>IF(COUNTIF(Catégories!A:A,X248)=0,"catégorie inconnue",_xlfn.XLOOKUP(X248,Catégories!A:A,Catégories!B:B))</f>
        <v>Frêt</v>
      </c>
      <c r="B248" s="1">
        <f t="shared" si="9"/>
        <v>0</v>
      </c>
      <c r="C248" s="1">
        <f t="shared" si="10"/>
        <v>0</v>
      </c>
      <c r="D248" s="1">
        <f t="shared" si="11"/>
        <v>0</v>
      </c>
      <c r="E248" s="20">
        <f>IF(AH248&lt;&gt;0,ROUNDUP(AH248,0),IF(BB248&lt;&gt;"FR","hors France",IF(AH248&lt;&gt;0,ROUNDUP(AH248,0),_xlfn.XLOOKUP(AJ248,'PA GLS'!B:B,'PA GLS'!A:A))))</f>
        <v>4</v>
      </c>
      <c r="F248">
        <v>2501382993</v>
      </c>
      <c r="G248">
        <v>1030234212</v>
      </c>
      <c r="H248" t="s">
        <v>366</v>
      </c>
      <c r="I248">
        <v>2500034092</v>
      </c>
      <c r="J248" t="s">
        <v>50</v>
      </c>
      <c r="K248">
        <v>9000009190</v>
      </c>
      <c r="L248">
        <v>46946</v>
      </c>
      <c r="M248" t="s">
        <v>51</v>
      </c>
      <c r="N248">
        <v>9000079830</v>
      </c>
      <c r="O248" t="s">
        <v>187</v>
      </c>
      <c r="S248">
        <v>2507012387</v>
      </c>
      <c r="T248" t="s">
        <v>50</v>
      </c>
      <c r="U248" t="s">
        <v>122</v>
      </c>
      <c r="V248" t="s">
        <v>176</v>
      </c>
      <c r="W248" t="s">
        <v>177</v>
      </c>
      <c r="X248" t="s">
        <v>152</v>
      </c>
      <c r="Z248">
        <v>192</v>
      </c>
      <c r="AA248" t="s">
        <v>844</v>
      </c>
      <c r="AB248" t="s">
        <v>870</v>
      </c>
      <c r="AC248">
        <v>2604000084</v>
      </c>
      <c r="AE248">
        <v>0</v>
      </c>
      <c r="AF248">
        <v>1</v>
      </c>
      <c r="AG248">
        <v>0</v>
      </c>
      <c r="AH248">
        <v>3.2</v>
      </c>
      <c r="AI248" t="s">
        <v>56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 t="s">
        <v>57</v>
      </c>
      <c r="AS248" t="s">
        <v>871</v>
      </c>
      <c r="AT248" t="s">
        <v>871</v>
      </c>
      <c r="AU248" t="s">
        <v>870</v>
      </c>
      <c r="AV248" t="s">
        <v>872</v>
      </c>
      <c r="AW248" t="s">
        <v>873</v>
      </c>
      <c r="AZ248">
        <v>69006</v>
      </c>
      <c r="BA248" t="s">
        <v>151</v>
      </c>
      <c r="BB248" t="s">
        <v>61</v>
      </c>
      <c r="BC248" t="s">
        <v>62</v>
      </c>
    </row>
    <row r="249" spans="1:55" x14ac:dyDescent="0.25">
      <c r="A249" s="1" t="str">
        <f>IF(COUNTIF(Catégories!A:A,X249)=0,"catégorie inconnue",_xlfn.XLOOKUP(X249,Catégories!A:A,Catégories!B:B))</f>
        <v>Frêt</v>
      </c>
      <c r="B249" s="1">
        <f t="shared" si="9"/>
        <v>0</v>
      </c>
      <c r="C249" s="1">
        <f t="shared" si="10"/>
        <v>0</v>
      </c>
      <c r="D249" s="1">
        <f t="shared" si="11"/>
        <v>0</v>
      </c>
      <c r="E249" s="20">
        <f>IF(AH249&lt;&gt;0,ROUNDUP(AH249,0),IF(BB249&lt;&gt;"FR","hors France",IF(AH249&lt;&gt;0,ROUNDUP(AH249,0),_xlfn.XLOOKUP(AJ249,'PA GLS'!B:B,'PA GLS'!A:A))))</f>
        <v>4</v>
      </c>
      <c r="F249">
        <v>2501382993</v>
      </c>
      <c r="G249">
        <v>1030234212</v>
      </c>
      <c r="H249" t="s">
        <v>366</v>
      </c>
      <c r="I249">
        <v>2500034092</v>
      </c>
      <c r="J249" t="s">
        <v>50</v>
      </c>
      <c r="K249">
        <v>9000009190</v>
      </c>
      <c r="L249">
        <v>46946</v>
      </c>
      <c r="M249" t="s">
        <v>51</v>
      </c>
      <c r="N249">
        <v>9000079830</v>
      </c>
      <c r="O249" t="s">
        <v>187</v>
      </c>
      <c r="S249">
        <v>2507012387</v>
      </c>
      <c r="T249" t="s">
        <v>50</v>
      </c>
      <c r="U249" t="s">
        <v>122</v>
      </c>
      <c r="V249" t="s">
        <v>176</v>
      </c>
      <c r="W249" t="s">
        <v>177</v>
      </c>
      <c r="X249" t="s">
        <v>152</v>
      </c>
      <c r="Z249">
        <v>192</v>
      </c>
      <c r="AA249" t="s">
        <v>844</v>
      </c>
      <c r="AB249" t="s">
        <v>874</v>
      </c>
      <c r="AC249">
        <v>2604000083</v>
      </c>
      <c r="AE249">
        <v>0</v>
      </c>
      <c r="AF249">
        <v>1</v>
      </c>
      <c r="AG249">
        <v>0</v>
      </c>
      <c r="AH249">
        <v>3.94</v>
      </c>
      <c r="AI249" t="s">
        <v>56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 t="s">
        <v>57</v>
      </c>
      <c r="AS249" t="s">
        <v>875</v>
      </c>
      <c r="AT249" t="s">
        <v>875</v>
      </c>
      <c r="AU249" t="s">
        <v>874</v>
      </c>
      <c r="AV249" t="s">
        <v>876</v>
      </c>
      <c r="AW249" t="s">
        <v>877</v>
      </c>
      <c r="AZ249">
        <v>21000</v>
      </c>
      <c r="BA249" t="s">
        <v>237</v>
      </c>
      <c r="BB249" t="s">
        <v>61</v>
      </c>
      <c r="BC249" t="s">
        <v>62</v>
      </c>
    </row>
    <row r="250" spans="1:55" x14ac:dyDescent="0.25">
      <c r="A250" s="1" t="str">
        <f>IF(COUNTIF(Catégories!A:A,X250)=0,"catégorie inconnue",_xlfn.XLOOKUP(X250,Catégories!A:A,Catégories!B:B))</f>
        <v>Frêt</v>
      </c>
      <c r="B250" s="1">
        <f t="shared" si="9"/>
        <v>0</v>
      </c>
      <c r="C250" s="1">
        <f t="shared" si="10"/>
        <v>0</v>
      </c>
      <c r="D250" s="1">
        <f t="shared" si="11"/>
        <v>0</v>
      </c>
      <c r="E250" s="20">
        <f>IF(AH250&lt;&gt;0,ROUNDUP(AH250,0),IF(BB250&lt;&gt;"FR","hors France",IF(AH250&lt;&gt;0,ROUNDUP(AH250,0),_xlfn.XLOOKUP(AJ250,'PA GLS'!B:B,'PA GLS'!A:A))))</f>
        <v>2</v>
      </c>
      <c r="F250">
        <v>2501382993</v>
      </c>
      <c r="G250">
        <v>1030234212</v>
      </c>
      <c r="H250" t="s">
        <v>366</v>
      </c>
      <c r="I250">
        <v>2500034092</v>
      </c>
      <c r="J250" t="s">
        <v>50</v>
      </c>
      <c r="K250">
        <v>9000009190</v>
      </c>
      <c r="L250">
        <v>46946</v>
      </c>
      <c r="M250" t="s">
        <v>51</v>
      </c>
      <c r="N250">
        <v>9000079830</v>
      </c>
      <c r="O250" t="s">
        <v>187</v>
      </c>
      <c r="S250">
        <v>2507012387</v>
      </c>
      <c r="T250" t="s">
        <v>50</v>
      </c>
      <c r="U250" t="s">
        <v>122</v>
      </c>
      <c r="V250" t="s">
        <v>176</v>
      </c>
      <c r="W250" t="s">
        <v>177</v>
      </c>
      <c r="X250" t="s">
        <v>152</v>
      </c>
      <c r="Z250">
        <v>192</v>
      </c>
      <c r="AA250" t="s">
        <v>844</v>
      </c>
      <c r="AB250" t="s">
        <v>882</v>
      </c>
      <c r="AC250">
        <v>2604000082</v>
      </c>
      <c r="AE250">
        <v>0</v>
      </c>
      <c r="AF250">
        <v>1</v>
      </c>
      <c r="AG250">
        <v>0</v>
      </c>
      <c r="AH250">
        <v>1.66</v>
      </c>
      <c r="AI250" t="s">
        <v>56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 t="s">
        <v>57</v>
      </c>
      <c r="AS250" t="s">
        <v>883</v>
      </c>
      <c r="AT250" t="s">
        <v>883</v>
      </c>
      <c r="AU250" t="s">
        <v>882</v>
      </c>
      <c r="AV250" t="s">
        <v>884</v>
      </c>
      <c r="AW250" t="s">
        <v>885</v>
      </c>
      <c r="AZ250">
        <v>68480</v>
      </c>
      <c r="BA250" t="s">
        <v>886</v>
      </c>
      <c r="BB250" t="s">
        <v>61</v>
      </c>
      <c r="BC250" t="s">
        <v>62</v>
      </c>
    </row>
    <row r="251" spans="1:55" x14ac:dyDescent="0.25">
      <c r="A251" s="1" t="str">
        <f>IF(COUNTIF(Catégories!A:A,X251)=0,"catégorie inconnue",_xlfn.XLOOKUP(X251,Catégories!A:A,Catégories!B:B))</f>
        <v>Frêt</v>
      </c>
      <c r="B251" s="1">
        <f t="shared" si="9"/>
        <v>7.4300000000000006</v>
      </c>
      <c r="C251" s="1">
        <f t="shared" si="10"/>
        <v>1.64</v>
      </c>
      <c r="D251" s="1">
        <f t="shared" si="11"/>
        <v>5.7900000000000009</v>
      </c>
      <c r="E251" s="20">
        <f>IF(AH251&lt;&gt;0,ROUNDUP(AH251,0),IF(BB251&lt;&gt;"FR","hors France",IF(AH251&lt;&gt;0,ROUNDUP(AH251,0),_xlfn.XLOOKUP(AJ251,'PA GLS'!B:B,'PA GLS'!A:A))))</f>
        <v>3</v>
      </c>
      <c r="F251">
        <v>2501382993</v>
      </c>
      <c r="G251">
        <v>1030230832</v>
      </c>
      <c r="H251" t="s">
        <v>366</v>
      </c>
      <c r="I251">
        <v>2500034092</v>
      </c>
      <c r="J251" t="s">
        <v>50</v>
      </c>
      <c r="K251">
        <v>9000009190</v>
      </c>
      <c r="L251">
        <v>46946</v>
      </c>
      <c r="M251" t="s">
        <v>51</v>
      </c>
      <c r="N251">
        <v>9000082822</v>
      </c>
      <c r="O251" t="s">
        <v>175</v>
      </c>
      <c r="S251">
        <v>2507012387</v>
      </c>
      <c r="T251" t="s">
        <v>50</v>
      </c>
      <c r="U251" t="s">
        <v>122</v>
      </c>
      <c r="V251" t="s">
        <v>58</v>
      </c>
      <c r="W251" t="s">
        <v>59</v>
      </c>
      <c r="X251" t="s">
        <v>60</v>
      </c>
      <c r="Z251">
        <v>121</v>
      </c>
      <c r="AA251" t="s">
        <v>844</v>
      </c>
      <c r="AB251" t="s">
        <v>866</v>
      </c>
      <c r="AC251">
        <v>6794049</v>
      </c>
      <c r="AE251">
        <v>0</v>
      </c>
      <c r="AF251">
        <v>0</v>
      </c>
      <c r="AG251">
        <v>0</v>
      </c>
      <c r="AH251">
        <v>0</v>
      </c>
      <c r="AI251" t="s">
        <v>56</v>
      </c>
      <c r="AJ251">
        <v>4.74</v>
      </c>
      <c r="AK251">
        <v>0.9</v>
      </c>
      <c r="AL251">
        <v>0.15</v>
      </c>
      <c r="AM251">
        <v>29.1</v>
      </c>
      <c r="AN251">
        <v>1.64</v>
      </c>
      <c r="AO251">
        <v>0</v>
      </c>
      <c r="AP251">
        <v>0</v>
      </c>
      <c r="AQ251" t="s">
        <v>57</v>
      </c>
      <c r="AS251" t="s">
        <v>867</v>
      </c>
      <c r="AU251" t="s">
        <v>866</v>
      </c>
      <c r="AV251" t="s">
        <v>320</v>
      </c>
      <c r="AW251" t="s">
        <v>321</v>
      </c>
      <c r="AX251" t="s">
        <v>322</v>
      </c>
      <c r="AZ251">
        <v>74190</v>
      </c>
      <c r="BA251" t="s">
        <v>323</v>
      </c>
      <c r="BB251" t="s">
        <v>61</v>
      </c>
      <c r="BC251" t="s">
        <v>62</v>
      </c>
    </row>
    <row r="252" spans="1:55" x14ac:dyDescent="0.25">
      <c r="A252" s="1" t="str">
        <f>IF(COUNTIF(Catégories!A:A,X252)=0,"catégorie inconnue",_xlfn.XLOOKUP(X252,Catégories!A:A,Catégories!B:B))</f>
        <v>Frêt</v>
      </c>
      <c r="B252" s="1">
        <f t="shared" si="9"/>
        <v>7.4300000000000006</v>
      </c>
      <c r="C252" s="1">
        <f t="shared" si="10"/>
        <v>1.64</v>
      </c>
      <c r="D252" s="1">
        <f t="shared" si="11"/>
        <v>5.7900000000000009</v>
      </c>
      <c r="E252" s="20">
        <f>IF(AH252&lt;&gt;0,ROUNDUP(AH252,0),IF(BB252&lt;&gt;"FR","hors France",IF(AH252&lt;&gt;0,ROUNDUP(AH252,0),_xlfn.XLOOKUP(AJ252,'PA GLS'!B:B,'PA GLS'!A:A))))</f>
        <v>3</v>
      </c>
      <c r="F252">
        <v>2501382993</v>
      </c>
      <c r="G252">
        <v>1030230832</v>
      </c>
      <c r="H252" t="s">
        <v>366</v>
      </c>
      <c r="I252">
        <v>2500034092</v>
      </c>
      <c r="J252" t="s">
        <v>50</v>
      </c>
      <c r="K252">
        <v>9000009190</v>
      </c>
      <c r="L252">
        <v>46946</v>
      </c>
      <c r="M252" t="s">
        <v>51</v>
      </c>
      <c r="N252">
        <v>9000082822</v>
      </c>
      <c r="O252" t="s">
        <v>175</v>
      </c>
      <c r="S252">
        <v>2507012387</v>
      </c>
      <c r="T252" t="s">
        <v>50</v>
      </c>
      <c r="U252" t="s">
        <v>122</v>
      </c>
      <c r="V252" t="s">
        <v>58</v>
      </c>
      <c r="W252" t="s">
        <v>59</v>
      </c>
      <c r="X252" t="s">
        <v>60</v>
      </c>
      <c r="Z252">
        <v>121</v>
      </c>
      <c r="AA252" t="s">
        <v>844</v>
      </c>
      <c r="AB252" t="s">
        <v>868</v>
      </c>
      <c r="AC252">
        <v>6794259</v>
      </c>
      <c r="AE252">
        <v>0</v>
      </c>
      <c r="AF252">
        <v>0</v>
      </c>
      <c r="AG252">
        <v>0</v>
      </c>
      <c r="AH252">
        <v>0</v>
      </c>
      <c r="AI252" t="s">
        <v>56</v>
      </c>
      <c r="AJ252">
        <v>4.74</v>
      </c>
      <c r="AK252">
        <v>0.9</v>
      </c>
      <c r="AL252">
        <v>0.15</v>
      </c>
      <c r="AM252">
        <v>29.1</v>
      </c>
      <c r="AN252">
        <v>1.64</v>
      </c>
      <c r="AO252">
        <v>0</v>
      </c>
      <c r="AP252">
        <v>0</v>
      </c>
      <c r="AQ252" t="s">
        <v>57</v>
      </c>
      <c r="AS252" t="s">
        <v>869</v>
      </c>
      <c r="AU252" t="s">
        <v>868</v>
      </c>
      <c r="AV252" t="s">
        <v>304</v>
      </c>
      <c r="AW252" t="s">
        <v>305</v>
      </c>
      <c r="AX252" t="s">
        <v>306</v>
      </c>
      <c r="AZ252">
        <v>56640</v>
      </c>
      <c r="BA252" t="s">
        <v>307</v>
      </c>
      <c r="BB252" t="s">
        <v>61</v>
      </c>
      <c r="BC252" t="s">
        <v>62</v>
      </c>
    </row>
    <row r="253" spans="1:55" x14ac:dyDescent="0.25">
      <c r="A253" s="1" t="str">
        <f>IF(COUNTIF(Catégories!A:A,X253)=0,"catégorie inconnue",_xlfn.XLOOKUP(X253,Catégories!A:A,Catégories!B:B))</f>
        <v>Frêt</v>
      </c>
      <c r="B253" s="1">
        <f t="shared" si="9"/>
        <v>0</v>
      </c>
      <c r="C253" s="1">
        <f t="shared" si="10"/>
        <v>0</v>
      </c>
      <c r="D253" s="1">
        <f t="shared" si="11"/>
        <v>0</v>
      </c>
      <c r="E253" s="20">
        <f>IF(AH253&lt;&gt;0,ROUNDUP(AH253,0),IF(BB253&lt;&gt;"FR","hors France",IF(AH253&lt;&gt;0,ROUNDUP(AH253,0),_xlfn.XLOOKUP(AJ253,'PA GLS'!B:B,'PA GLS'!A:A))))</f>
        <v>2</v>
      </c>
      <c r="F253">
        <v>2501382993</v>
      </c>
      <c r="G253">
        <v>1030234556</v>
      </c>
      <c r="H253" t="s">
        <v>366</v>
      </c>
      <c r="I253">
        <v>2500034092</v>
      </c>
      <c r="J253" t="s">
        <v>50</v>
      </c>
      <c r="K253">
        <v>9000009190</v>
      </c>
      <c r="L253">
        <v>46946</v>
      </c>
      <c r="M253" t="s">
        <v>51</v>
      </c>
      <c r="N253">
        <v>9000037814</v>
      </c>
      <c r="O253" t="s">
        <v>51</v>
      </c>
      <c r="S253">
        <v>2507012387</v>
      </c>
      <c r="T253" t="s">
        <v>50</v>
      </c>
      <c r="U253" t="s">
        <v>122</v>
      </c>
      <c r="V253" t="s">
        <v>176</v>
      </c>
      <c r="W253" t="s">
        <v>177</v>
      </c>
      <c r="X253" t="s">
        <v>152</v>
      </c>
      <c r="Z253">
        <v>200</v>
      </c>
      <c r="AA253" t="s">
        <v>887</v>
      </c>
      <c r="AB253" t="s">
        <v>888</v>
      </c>
      <c r="AC253">
        <v>2604000061</v>
      </c>
      <c r="AE253">
        <v>0</v>
      </c>
      <c r="AF253">
        <v>1</v>
      </c>
      <c r="AG253">
        <v>0</v>
      </c>
      <c r="AH253">
        <v>1.88</v>
      </c>
      <c r="AI253" t="s">
        <v>56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 t="s">
        <v>57</v>
      </c>
      <c r="AS253" t="s">
        <v>889</v>
      </c>
      <c r="AT253" t="s">
        <v>889</v>
      </c>
      <c r="AU253" t="s">
        <v>888</v>
      </c>
      <c r="AV253" t="s">
        <v>890</v>
      </c>
      <c r="AW253" t="s">
        <v>891</v>
      </c>
      <c r="AZ253">
        <v>13500</v>
      </c>
      <c r="BA253" t="s">
        <v>892</v>
      </c>
      <c r="BB253" t="s">
        <v>61</v>
      </c>
      <c r="BC253" t="s">
        <v>62</v>
      </c>
    </row>
    <row r="254" spans="1:55" x14ac:dyDescent="0.25">
      <c r="A254" s="1" t="str">
        <f>IF(COUNTIF(Catégories!A:A,X254)=0,"catégorie inconnue",_xlfn.XLOOKUP(X254,Catégories!A:A,Catégories!B:B))</f>
        <v>Frêt</v>
      </c>
      <c r="B254" s="1">
        <f t="shared" si="9"/>
        <v>0</v>
      </c>
      <c r="C254" s="1">
        <f t="shared" si="10"/>
        <v>0</v>
      </c>
      <c r="D254" s="1">
        <f t="shared" si="11"/>
        <v>0</v>
      </c>
      <c r="E254" s="20">
        <f>IF(AH254&lt;&gt;0,ROUNDUP(AH254,0),IF(BB254&lt;&gt;"FR","hors France",IF(AH254&lt;&gt;0,ROUNDUP(AH254,0),_xlfn.XLOOKUP(AJ254,'PA GLS'!B:B,'PA GLS'!A:A))))</f>
        <v>1</v>
      </c>
      <c r="F254">
        <v>2501382993</v>
      </c>
      <c r="G254">
        <v>1030234556</v>
      </c>
      <c r="H254" t="s">
        <v>366</v>
      </c>
      <c r="I254">
        <v>2500034092</v>
      </c>
      <c r="J254" t="s">
        <v>50</v>
      </c>
      <c r="K254">
        <v>9000009190</v>
      </c>
      <c r="L254">
        <v>46946</v>
      </c>
      <c r="M254" t="s">
        <v>51</v>
      </c>
      <c r="N254">
        <v>9000037814</v>
      </c>
      <c r="O254" t="s">
        <v>51</v>
      </c>
      <c r="S254">
        <v>2507012387</v>
      </c>
      <c r="T254" t="s">
        <v>50</v>
      </c>
      <c r="U254" t="s">
        <v>122</v>
      </c>
      <c r="V254" t="s">
        <v>176</v>
      </c>
      <c r="W254" t="s">
        <v>177</v>
      </c>
      <c r="X254" t="s">
        <v>152</v>
      </c>
      <c r="Z254">
        <v>200</v>
      </c>
      <c r="AA254" t="s">
        <v>887</v>
      </c>
      <c r="AB254" t="s">
        <v>893</v>
      </c>
      <c r="AC254">
        <v>2604000062</v>
      </c>
      <c r="AE254">
        <v>0</v>
      </c>
      <c r="AF254">
        <v>1</v>
      </c>
      <c r="AG254">
        <v>0</v>
      </c>
      <c r="AH254">
        <v>0.52</v>
      </c>
      <c r="AI254" t="s">
        <v>56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 t="s">
        <v>57</v>
      </c>
      <c r="AS254" t="s">
        <v>894</v>
      </c>
      <c r="AT254" t="s">
        <v>894</v>
      </c>
      <c r="AU254" t="s">
        <v>893</v>
      </c>
      <c r="AV254" t="s">
        <v>895</v>
      </c>
      <c r="AW254" t="s">
        <v>896</v>
      </c>
      <c r="AZ254">
        <v>34130</v>
      </c>
      <c r="BA254" t="s">
        <v>897</v>
      </c>
      <c r="BB254" t="s">
        <v>61</v>
      </c>
      <c r="BC254" t="s">
        <v>62</v>
      </c>
    </row>
    <row r="255" spans="1:55" x14ac:dyDescent="0.25">
      <c r="A255" s="1" t="str">
        <f>IF(COUNTIF(Catégories!A:A,X255)=0,"catégorie inconnue",_xlfn.XLOOKUP(X255,Catégories!A:A,Catégories!B:B))</f>
        <v>Frêt</v>
      </c>
      <c r="B255" s="1">
        <f t="shared" si="9"/>
        <v>0</v>
      </c>
      <c r="C255" s="1">
        <f t="shared" si="10"/>
        <v>0</v>
      </c>
      <c r="D255" s="1">
        <f t="shared" si="11"/>
        <v>0</v>
      </c>
      <c r="E255" s="20">
        <f>IF(AH255&lt;&gt;0,ROUNDUP(AH255,0),IF(BB255&lt;&gt;"FR","hors France",IF(AH255&lt;&gt;0,ROUNDUP(AH255,0),_xlfn.XLOOKUP(AJ255,'PA GLS'!B:B,'PA GLS'!A:A))))</f>
        <v>1</v>
      </c>
      <c r="F255">
        <v>2501382993</v>
      </c>
      <c r="G255">
        <v>1030234556</v>
      </c>
      <c r="H255" t="s">
        <v>366</v>
      </c>
      <c r="I255">
        <v>2500034092</v>
      </c>
      <c r="J255" t="s">
        <v>50</v>
      </c>
      <c r="K255">
        <v>9000009190</v>
      </c>
      <c r="L255">
        <v>46946</v>
      </c>
      <c r="M255" t="s">
        <v>51</v>
      </c>
      <c r="N255">
        <v>9000037814</v>
      </c>
      <c r="O255" t="s">
        <v>51</v>
      </c>
      <c r="S255">
        <v>2507012387</v>
      </c>
      <c r="T255" t="s">
        <v>50</v>
      </c>
      <c r="U255" t="s">
        <v>122</v>
      </c>
      <c r="V255" t="s">
        <v>176</v>
      </c>
      <c r="W255" t="s">
        <v>177</v>
      </c>
      <c r="X255" t="s">
        <v>152</v>
      </c>
      <c r="Z255">
        <v>200</v>
      </c>
      <c r="AA255" t="s">
        <v>887</v>
      </c>
      <c r="AB255" t="s">
        <v>898</v>
      </c>
      <c r="AC255">
        <v>2604000063</v>
      </c>
      <c r="AE255">
        <v>0</v>
      </c>
      <c r="AF255">
        <v>1</v>
      </c>
      <c r="AG255">
        <v>0</v>
      </c>
      <c r="AH255">
        <v>0.52</v>
      </c>
      <c r="AI255" t="s">
        <v>56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 t="s">
        <v>57</v>
      </c>
      <c r="AS255" t="s">
        <v>899</v>
      </c>
      <c r="AT255" t="s">
        <v>899</v>
      </c>
      <c r="AU255" t="s">
        <v>898</v>
      </c>
      <c r="AV255" t="s">
        <v>900</v>
      </c>
      <c r="AW255" t="s">
        <v>901</v>
      </c>
      <c r="AZ255">
        <v>93230</v>
      </c>
      <c r="BA255" t="s">
        <v>458</v>
      </c>
      <c r="BB255" t="s">
        <v>61</v>
      </c>
      <c r="BC255" t="s">
        <v>62</v>
      </c>
    </row>
    <row r="256" spans="1:55" x14ac:dyDescent="0.25">
      <c r="A256" s="1" t="str">
        <f>IF(COUNTIF(Catégories!A:A,X256)=0,"catégorie inconnue",_xlfn.XLOOKUP(X256,Catégories!A:A,Catégories!B:B))</f>
        <v>Frêt</v>
      </c>
      <c r="B256" s="1">
        <f t="shared" si="9"/>
        <v>0</v>
      </c>
      <c r="C256" s="1">
        <f t="shared" si="10"/>
        <v>0</v>
      </c>
      <c r="D256" s="1">
        <f t="shared" si="11"/>
        <v>0</v>
      </c>
      <c r="E256" s="20">
        <f>IF(AH256&lt;&gt;0,ROUNDUP(AH256,0),IF(BB256&lt;&gt;"FR","hors France",IF(AH256&lt;&gt;0,ROUNDUP(AH256,0),_xlfn.XLOOKUP(AJ256,'PA GLS'!B:B,'PA GLS'!A:A))))</f>
        <v>1</v>
      </c>
      <c r="F256">
        <v>2501382993</v>
      </c>
      <c r="G256">
        <v>1030234556</v>
      </c>
      <c r="H256" t="s">
        <v>366</v>
      </c>
      <c r="I256">
        <v>2500034092</v>
      </c>
      <c r="J256" t="s">
        <v>50</v>
      </c>
      <c r="K256">
        <v>9000009190</v>
      </c>
      <c r="L256">
        <v>46946</v>
      </c>
      <c r="M256" t="s">
        <v>51</v>
      </c>
      <c r="N256">
        <v>9000037814</v>
      </c>
      <c r="O256" t="s">
        <v>51</v>
      </c>
      <c r="S256">
        <v>2507012387</v>
      </c>
      <c r="T256" t="s">
        <v>50</v>
      </c>
      <c r="U256" t="s">
        <v>122</v>
      </c>
      <c r="V256" t="s">
        <v>176</v>
      </c>
      <c r="W256" t="s">
        <v>177</v>
      </c>
      <c r="X256" t="s">
        <v>152</v>
      </c>
      <c r="Z256">
        <v>200</v>
      </c>
      <c r="AA256" t="s">
        <v>887</v>
      </c>
      <c r="AB256" t="s">
        <v>902</v>
      </c>
      <c r="AC256">
        <v>2604000064</v>
      </c>
      <c r="AE256">
        <v>0</v>
      </c>
      <c r="AF256">
        <v>1</v>
      </c>
      <c r="AG256">
        <v>0</v>
      </c>
      <c r="AH256">
        <v>0.8</v>
      </c>
      <c r="AI256" t="s">
        <v>56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 t="s">
        <v>57</v>
      </c>
      <c r="AS256" t="s">
        <v>903</v>
      </c>
      <c r="AT256" t="s">
        <v>903</v>
      </c>
      <c r="AU256" t="s">
        <v>902</v>
      </c>
      <c r="AV256" t="s">
        <v>557</v>
      </c>
      <c r="AW256" t="s">
        <v>558</v>
      </c>
      <c r="AZ256">
        <v>67100</v>
      </c>
      <c r="BA256" t="s">
        <v>215</v>
      </c>
      <c r="BB256" t="s">
        <v>61</v>
      </c>
      <c r="BC256" t="s">
        <v>62</v>
      </c>
    </row>
    <row r="257" spans="1:55" x14ac:dyDescent="0.25">
      <c r="A257" s="1" t="str">
        <f>IF(COUNTIF(Catégories!A:A,X257)=0,"catégorie inconnue",_xlfn.XLOOKUP(X257,Catégories!A:A,Catégories!B:B))</f>
        <v>Frêt</v>
      </c>
      <c r="B257" s="1">
        <f t="shared" si="9"/>
        <v>0</v>
      </c>
      <c r="C257" s="1">
        <f t="shared" si="10"/>
        <v>0</v>
      </c>
      <c r="D257" s="1">
        <f t="shared" si="11"/>
        <v>0</v>
      </c>
      <c r="E257" s="20">
        <f>IF(AH257&lt;&gt;0,ROUNDUP(AH257,0),IF(BB257&lt;&gt;"FR","hors France",IF(AH257&lt;&gt;0,ROUNDUP(AH257,0),_xlfn.XLOOKUP(AJ257,'PA GLS'!B:B,'PA GLS'!A:A))))</f>
        <v>2</v>
      </c>
      <c r="F257">
        <v>2501382993</v>
      </c>
      <c r="G257">
        <v>1030234556</v>
      </c>
      <c r="H257" t="s">
        <v>366</v>
      </c>
      <c r="I257">
        <v>2500034092</v>
      </c>
      <c r="J257" t="s">
        <v>50</v>
      </c>
      <c r="K257">
        <v>9000009190</v>
      </c>
      <c r="L257">
        <v>46946</v>
      </c>
      <c r="M257" t="s">
        <v>51</v>
      </c>
      <c r="N257">
        <v>9000037814</v>
      </c>
      <c r="O257" t="s">
        <v>51</v>
      </c>
      <c r="S257">
        <v>2507012387</v>
      </c>
      <c r="T257" t="s">
        <v>50</v>
      </c>
      <c r="U257" t="s">
        <v>122</v>
      </c>
      <c r="V257" t="s">
        <v>176</v>
      </c>
      <c r="W257" t="s">
        <v>177</v>
      </c>
      <c r="X257" t="s">
        <v>152</v>
      </c>
      <c r="Z257">
        <v>200</v>
      </c>
      <c r="AA257" t="s">
        <v>887</v>
      </c>
      <c r="AB257" t="s">
        <v>904</v>
      </c>
      <c r="AC257">
        <v>2604000065</v>
      </c>
      <c r="AE257">
        <v>0</v>
      </c>
      <c r="AF257">
        <v>1</v>
      </c>
      <c r="AG257">
        <v>0</v>
      </c>
      <c r="AH257">
        <v>2</v>
      </c>
      <c r="AI257" t="s">
        <v>56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 t="s">
        <v>57</v>
      </c>
      <c r="AS257" t="s">
        <v>905</v>
      </c>
      <c r="AT257" t="s">
        <v>905</v>
      </c>
      <c r="AU257" t="s">
        <v>904</v>
      </c>
      <c r="AV257" t="s">
        <v>906</v>
      </c>
      <c r="AW257" t="s">
        <v>907</v>
      </c>
      <c r="AZ257">
        <v>95700</v>
      </c>
      <c r="BA257" t="s">
        <v>908</v>
      </c>
      <c r="BB257" t="s">
        <v>61</v>
      </c>
      <c r="BC257" t="s">
        <v>62</v>
      </c>
    </row>
    <row r="258" spans="1:55" x14ac:dyDescent="0.25">
      <c r="A258" s="1" t="str">
        <f>IF(COUNTIF(Catégories!A:A,X258)=0,"catégorie inconnue",_xlfn.XLOOKUP(X258,Catégories!A:A,Catégories!B:B))</f>
        <v>Frêt</v>
      </c>
      <c r="B258" s="1">
        <f t="shared" si="9"/>
        <v>8.15</v>
      </c>
      <c r="C258" s="1">
        <f t="shared" si="10"/>
        <v>1.8</v>
      </c>
      <c r="D258" s="1">
        <f t="shared" si="11"/>
        <v>6.3500000000000005</v>
      </c>
      <c r="E258" s="20">
        <f>IF(AH258&lt;&gt;0,ROUNDUP(AH258,0),IF(BB258&lt;&gt;"FR","hors France",IF(AH258&lt;&gt;0,ROUNDUP(AH258,0),_xlfn.XLOOKUP(AJ258,'PA GLS'!B:B,'PA GLS'!A:A))))</f>
        <v>4</v>
      </c>
      <c r="F258">
        <v>2501382993</v>
      </c>
      <c r="G258">
        <v>1030233876</v>
      </c>
      <c r="H258" t="s">
        <v>366</v>
      </c>
      <c r="I258">
        <v>2500034092</v>
      </c>
      <c r="J258" t="s">
        <v>50</v>
      </c>
      <c r="K258">
        <v>9000009190</v>
      </c>
      <c r="L258">
        <v>46946</v>
      </c>
      <c r="M258" t="s">
        <v>51</v>
      </c>
      <c r="N258">
        <v>9000079830</v>
      </c>
      <c r="O258" t="s">
        <v>187</v>
      </c>
      <c r="S258">
        <v>2507012387</v>
      </c>
      <c r="T258" t="s">
        <v>50</v>
      </c>
      <c r="U258" t="s">
        <v>122</v>
      </c>
      <c r="V258" t="s">
        <v>231</v>
      </c>
      <c r="W258" t="s">
        <v>232</v>
      </c>
      <c r="X258" t="s">
        <v>60</v>
      </c>
      <c r="Z258">
        <v>182</v>
      </c>
      <c r="AA258" t="s">
        <v>887</v>
      </c>
      <c r="AB258" t="s">
        <v>909</v>
      </c>
      <c r="AC258">
        <v>2604000086</v>
      </c>
      <c r="AE258">
        <v>0</v>
      </c>
      <c r="AF258">
        <v>0</v>
      </c>
      <c r="AG258">
        <v>0</v>
      </c>
      <c r="AH258">
        <v>0</v>
      </c>
      <c r="AI258" t="s">
        <v>56</v>
      </c>
      <c r="AJ258">
        <v>5.3</v>
      </c>
      <c r="AK258">
        <v>0.9</v>
      </c>
      <c r="AL258">
        <v>0.15</v>
      </c>
      <c r="AM258">
        <v>29.1</v>
      </c>
      <c r="AN258">
        <v>1.8</v>
      </c>
      <c r="AO258">
        <v>0</v>
      </c>
      <c r="AP258">
        <v>0</v>
      </c>
      <c r="AQ258" t="s">
        <v>57</v>
      </c>
      <c r="AS258" t="s">
        <v>910</v>
      </c>
      <c r="AT258" t="s">
        <v>910</v>
      </c>
      <c r="AU258" t="s">
        <v>909</v>
      </c>
      <c r="AV258" t="s">
        <v>911</v>
      </c>
      <c r="AW258" t="s">
        <v>912</v>
      </c>
      <c r="AZ258">
        <v>34410</v>
      </c>
      <c r="BA258" t="s">
        <v>913</v>
      </c>
      <c r="BB258" t="s">
        <v>61</v>
      </c>
      <c r="BC258" t="s">
        <v>62</v>
      </c>
    </row>
    <row r="259" spans="1:55" x14ac:dyDescent="0.25">
      <c r="A259" s="1" t="str">
        <f>IF(COUNTIF(Catégories!A:A,X259)=0,"catégorie inconnue",_xlfn.XLOOKUP(X259,Catégories!A:A,Catégories!B:B))</f>
        <v>Frêt</v>
      </c>
      <c r="B259" s="1">
        <f t="shared" ref="B259:B322" si="12">SUM(AJ259:AL259)+SUM(AN259:AP259)</f>
        <v>0</v>
      </c>
      <c r="C259" s="1">
        <f t="shared" ref="C259:C322" si="13">AN259</f>
        <v>0</v>
      </c>
      <c r="D259" s="1">
        <f t="shared" ref="D259:D322" si="14">B259-C259</f>
        <v>0</v>
      </c>
      <c r="E259" s="20">
        <f>IF(AH259&lt;&gt;0,ROUNDUP(AH259,0),IF(BB259&lt;&gt;"FR","hors France",IF(AH259&lt;&gt;0,ROUNDUP(AH259,0),_xlfn.XLOOKUP(AJ259,'PA GLS'!B:B,'PA GLS'!A:A))))</f>
        <v>4</v>
      </c>
      <c r="F259">
        <v>2501382993</v>
      </c>
      <c r="G259">
        <v>1030233876</v>
      </c>
      <c r="H259" t="s">
        <v>366</v>
      </c>
      <c r="I259">
        <v>2500034092</v>
      </c>
      <c r="J259" t="s">
        <v>50</v>
      </c>
      <c r="K259">
        <v>9000009190</v>
      </c>
      <c r="L259">
        <v>46946</v>
      </c>
      <c r="M259" t="s">
        <v>51</v>
      </c>
      <c r="N259">
        <v>9000079830</v>
      </c>
      <c r="O259" t="s">
        <v>187</v>
      </c>
      <c r="S259">
        <v>2507012387</v>
      </c>
      <c r="T259" t="s">
        <v>50</v>
      </c>
      <c r="U259" t="s">
        <v>122</v>
      </c>
      <c r="V259" t="s">
        <v>176</v>
      </c>
      <c r="W259" t="s">
        <v>177</v>
      </c>
      <c r="X259" t="s">
        <v>152</v>
      </c>
      <c r="Z259">
        <v>181</v>
      </c>
      <c r="AA259" t="s">
        <v>887</v>
      </c>
      <c r="AB259" t="s">
        <v>909</v>
      </c>
      <c r="AC259">
        <v>2604000086</v>
      </c>
      <c r="AE259">
        <v>0</v>
      </c>
      <c r="AF259">
        <v>1</v>
      </c>
      <c r="AG259">
        <v>0</v>
      </c>
      <c r="AH259">
        <v>3.86</v>
      </c>
      <c r="AI259" t="s">
        <v>56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 t="s">
        <v>57</v>
      </c>
      <c r="AS259" t="s">
        <v>910</v>
      </c>
      <c r="AT259" t="s">
        <v>910</v>
      </c>
      <c r="AU259" t="s">
        <v>909</v>
      </c>
      <c r="AV259" t="s">
        <v>911</v>
      </c>
      <c r="AW259" t="s">
        <v>912</v>
      </c>
      <c r="AZ259">
        <v>34410</v>
      </c>
      <c r="BA259" t="s">
        <v>913</v>
      </c>
      <c r="BB259" t="s">
        <v>61</v>
      </c>
      <c r="BC259" t="s">
        <v>62</v>
      </c>
    </row>
    <row r="260" spans="1:55" x14ac:dyDescent="0.25">
      <c r="A260" s="1" t="str">
        <f>IF(COUNTIF(Catégories!A:A,X260)=0,"catégorie inconnue",_xlfn.XLOOKUP(X260,Catégories!A:A,Catégories!B:B))</f>
        <v>Frêt</v>
      </c>
      <c r="B260" s="1">
        <f t="shared" si="12"/>
        <v>0</v>
      </c>
      <c r="C260" s="1">
        <f t="shared" si="13"/>
        <v>0</v>
      </c>
      <c r="D260" s="1">
        <f t="shared" si="14"/>
        <v>0</v>
      </c>
      <c r="E260" s="20">
        <f>IF(AH260&lt;&gt;0,ROUNDUP(AH260,0),IF(BB260&lt;&gt;"FR","hors France",IF(AH260&lt;&gt;0,ROUNDUP(AH260,0),_xlfn.XLOOKUP(AJ260,'PA GLS'!B:B,'PA GLS'!A:A))))</f>
        <v>1</v>
      </c>
      <c r="F260">
        <v>2501382993</v>
      </c>
      <c r="G260">
        <v>1030234556</v>
      </c>
      <c r="H260" t="s">
        <v>366</v>
      </c>
      <c r="I260">
        <v>2500034092</v>
      </c>
      <c r="J260" t="s">
        <v>50</v>
      </c>
      <c r="K260">
        <v>9000009190</v>
      </c>
      <c r="L260">
        <v>46946</v>
      </c>
      <c r="M260" t="s">
        <v>51</v>
      </c>
      <c r="N260">
        <v>9000037814</v>
      </c>
      <c r="O260" t="s">
        <v>51</v>
      </c>
      <c r="S260">
        <v>2507012387</v>
      </c>
      <c r="T260" t="s">
        <v>50</v>
      </c>
      <c r="U260" t="s">
        <v>122</v>
      </c>
      <c r="V260" t="s">
        <v>176</v>
      </c>
      <c r="W260" t="s">
        <v>177</v>
      </c>
      <c r="X260" t="s">
        <v>152</v>
      </c>
      <c r="Z260">
        <v>200</v>
      </c>
      <c r="AA260" t="s">
        <v>887</v>
      </c>
      <c r="AB260" t="s">
        <v>914</v>
      </c>
      <c r="AC260">
        <v>2604000066</v>
      </c>
      <c r="AE260">
        <v>0</v>
      </c>
      <c r="AF260">
        <v>1</v>
      </c>
      <c r="AG260">
        <v>0</v>
      </c>
      <c r="AH260">
        <v>0.54</v>
      </c>
      <c r="AI260" t="s">
        <v>56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 t="s">
        <v>57</v>
      </c>
      <c r="AS260" t="s">
        <v>915</v>
      </c>
      <c r="AT260" t="s">
        <v>915</v>
      </c>
      <c r="AU260" t="s">
        <v>914</v>
      </c>
      <c r="AV260" t="s">
        <v>916</v>
      </c>
      <c r="AW260" t="s">
        <v>917</v>
      </c>
      <c r="AZ260">
        <v>75020</v>
      </c>
      <c r="BA260" t="s">
        <v>65</v>
      </c>
      <c r="BB260" t="s">
        <v>61</v>
      </c>
      <c r="BC260" t="s">
        <v>62</v>
      </c>
    </row>
    <row r="261" spans="1:55" x14ac:dyDescent="0.25">
      <c r="A261" s="1" t="str">
        <f>IF(COUNTIF(Catégories!A:A,X261)=0,"catégorie inconnue",_xlfn.XLOOKUP(X261,Catégories!A:A,Catégories!B:B))</f>
        <v>Frêt</v>
      </c>
      <c r="B261" s="1">
        <f t="shared" si="12"/>
        <v>6.6000000000000005</v>
      </c>
      <c r="C261" s="1">
        <f t="shared" si="13"/>
        <v>1.45</v>
      </c>
      <c r="D261" s="1">
        <f t="shared" si="14"/>
        <v>5.15</v>
      </c>
      <c r="E261" s="20">
        <f>IF(AH261&lt;&gt;0,ROUNDUP(AH261,0),IF(BB261&lt;&gt;"FR","hors France",IF(AH261&lt;&gt;0,ROUNDUP(AH261,0),_xlfn.XLOOKUP(AJ261,'PA GLS'!B:B,'PA GLS'!A:A))))</f>
        <v>1</v>
      </c>
      <c r="F261">
        <v>2501382993</v>
      </c>
      <c r="G261">
        <v>1030234556</v>
      </c>
      <c r="H261" t="s">
        <v>366</v>
      </c>
      <c r="I261">
        <v>2500034092</v>
      </c>
      <c r="J261" t="s">
        <v>50</v>
      </c>
      <c r="K261">
        <v>9000009190</v>
      </c>
      <c r="L261">
        <v>46946</v>
      </c>
      <c r="M261" t="s">
        <v>51</v>
      </c>
      <c r="N261">
        <v>9000037814</v>
      </c>
      <c r="O261" t="s">
        <v>51</v>
      </c>
      <c r="S261">
        <v>2507012387</v>
      </c>
      <c r="T261" t="s">
        <v>50</v>
      </c>
      <c r="U261" t="s">
        <v>122</v>
      </c>
      <c r="V261" t="s">
        <v>69</v>
      </c>
      <c r="W261" t="s">
        <v>70</v>
      </c>
      <c r="X261" t="s">
        <v>60</v>
      </c>
      <c r="Z261">
        <v>201</v>
      </c>
      <c r="AA261" t="s">
        <v>887</v>
      </c>
      <c r="AB261" t="s">
        <v>893</v>
      </c>
      <c r="AC261">
        <v>2604000062</v>
      </c>
      <c r="AE261">
        <v>0</v>
      </c>
      <c r="AF261">
        <v>0</v>
      </c>
      <c r="AG261">
        <v>0</v>
      </c>
      <c r="AH261">
        <v>0</v>
      </c>
      <c r="AI261" t="s">
        <v>56</v>
      </c>
      <c r="AJ261">
        <v>4.0999999999999996</v>
      </c>
      <c r="AK261">
        <v>0.9</v>
      </c>
      <c r="AL261">
        <v>0.15</v>
      </c>
      <c r="AM261">
        <v>29.1</v>
      </c>
      <c r="AN261">
        <v>1.45</v>
      </c>
      <c r="AO261">
        <v>0</v>
      </c>
      <c r="AP261">
        <v>0</v>
      </c>
      <c r="AQ261" t="s">
        <v>57</v>
      </c>
      <c r="AS261" t="s">
        <v>894</v>
      </c>
      <c r="AT261" t="s">
        <v>894</v>
      </c>
      <c r="AU261" t="s">
        <v>893</v>
      </c>
      <c r="AV261" t="s">
        <v>895</v>
      </c>
      <c r="AW261" t="s">
        <v>896</v>
      </c>
      <c r="AZ261">
        <v>34130</v>
      </c>
      <c r="BA261" t="s">
        <v>897</v>
      </c>
      <c r="BB261" t="s">
        <v>61</v>
      </c>
      <c r="BC261" t="s">
        <v>62</v>
      </c>
    </row>
    <row r="262" spans="1:55" x14ac:dyDescent="0.25">
      <c r="A262" s="1" t="str">
        <f>IF(COUNTIF(Catégories!A:A,X262)=0,"catégorie inconnue",_xlfn.XLOOKUP(X262,Catégories!A:A,Catégories!B:B))</f>
        <v>Frêt</v>
      </c>
      <c r="B262" s="1">
        <f t="shared" si="12"/>
        <v>6.6000000000000005</v>
      </c>
      <c r="C262" s="1">
        <f t="shared" si="13"/>
        <v>1.45</v>
      </c>
      <c r="D262" s="1">
        <f t="shared" si="14"/>
        <v>5.15</v>
      </c>
      <c r="E262" s="20">
        <f>IF(AH262&lt;&gt;0,ROUNDUP(AH262,0),IF(BB262&lt;&gt;"FR","hors France",IF(AH262&lt;&gt;0,ROUNDUP(AH262,0),_xlfn.XLOOKUP(AJ262,'PA GLS'!B:B,'PA GLS'!A:A))))</f>
        <v>1</v>
      </c>
      <c r="F262">
        <v>2501382993</v>
      </c>
      <c r="G262">
        <v>1030234556</v>
      </c>
      <c r="H262" t="s">
        <v>366</v>
      </c>
      <c r="I262">
        <v>2500034092</v>
      </c>
      <c r="J262" t="s">
        <v>50</v>
      </c>
      <c r="K262">
        <v>9000009190</v>
      </c>
      <c r="L262">
        <v>46946</v>
      </c>
      <c r="M262" t="s">
        <v>51</v>
      </c>
      <c r="N262">
        <v>9000037814</v>
      </c>
      <c r="O262" t="s">
        <v>51</v>
      </c>
      <c r="S262">
        <v>2507012387</v>
      </c>
      <c r="T262" t="s">
        <v>50</v>
      </c>
      <c r="U262" t="s">
        <v>122</v>
      </c>
      <c r="V262" t="s">
        <v>69</v>
      </c>
      <c r="W262" t="s">
        <v>70</v>
      </c>
      <c r="X262" t="s">
        <v>60</v>
      </c>
      <c r="Z262">
        <v>201</v>
      </c>
      <c r="AA262" t="s">
        <v>887</v>
      </c>
      <c r="AB262" t="s">
        <v>898</v>
      </c>
      <c r="AC262">
        <v>2604000063</v>
      </c>
      <c r="AE262">
        <v>0</v>
      </c>
      <c r="AF262">
        <v>0</v>
      </c>
      <c r="AG262">
        <v>0</v>
      </c>
      <c r="AH262">
        <v>0</v>
      </c>
      <c r="AI262" t="s">
        <v>56</v>
      </c>
      <c r="AJ262">
        <v>4.0999999999999996</v>
      </c>
      <c r="AK262">
        <v>0.9</v>
      </c>
      <c r="AL262">
        <v>0.15</v>
      </c>
      <c r="AM262">
        <v>29.1</v>
      </c>
      <c r="AN262">
        <v>1.45</v>
      </c>
      <c r="AO262">
        <v>0</v>
      </c>
      <c r="AP262">
        <v>0</v>
      </c>
      <c r="AQ262" t="s">
        <v>57</v>
      </c>
      <c r="AS262" t="s">
        <v>899</v>
      </c>
      <c r="AT262" t="s">
        <v>899</v>
      </c>
      <c r="AU262" t="s">
        <v>898</v>
      </c>
      <c r="AV262" t="s">
        <v>900</v>
      </c>
      <c r="AW262" t="s">
        <v>901</v>
      </c>
      <c r="AZ262">
        <v>93230</v>
      </c>
      <c r="BA262" t="s">
        <v>458</v>
      </c>
      <c r="BB262" t="s">
        <v>61</v>
      </c>
      <c r="BC262" t="s">
        <v>62</v>
      </c>
    </row>
    <row r="263" spans="1:55" x14ac:dyDescent="0.25">
      <c r="A263" s="1" t="str">
        <f>IF(COUNTIF(Catégories!A:A,X263)=0,"catégorie inconnue",_xlfn.XLOOKUP(X263,Catégories!A:A,Catégories!B:B))</f>
        <v>Frêt</v>
      </c>
      <c r="B263" s="1">
        <f t="shared" si="12"/>
        <v>6.6000000000000005</v>
      </c>
      <c r="C263" s="1">
        <f t="shared" si="13"/>
        <v>1.45</v>
      </c>
      <c r="D263" s="1">
        <f t="shared" si="14"/>
        <v>5.15</v>
      </c>
      <c r="E263" s="20">
        <f>IF(AH263&lt;&gt;0,ROUNDUP(AH263,0),IF(BB263&lt;&gt;"FR","hors France",IF(AH263&lt;&gt;0,ROUNDUP(AH263,0),_xlfn.XLOOKUP(AJ263,'PA GLS'!B:B,'PA GLS'!A:A))))</f>
        <v>1</v>
      </c>
      <c r="F263">
        <v>2501382993</v>
      </c>
      <c r="G263">
        <v>1030234556</v>
      </c>
      <c r="H263" t="s">
        <v>366</v>
      </c>
      <c r="I263">
        <v>2500034092</v>
      </c>
      <c r="J263" t="s">
        <v>50</v>
      </c>
      <c r="K263">
        <v>9000009190</v>
      </c>
      <c r="L263">
        <v>46946</v>
      </c>
      <c r="M263" t="s">
        <v>51</v>
      </c>
      <c r="N263">
        <v>9000037814</v>
      </c>
      <c r="O263" t="s">
        <v>51</v>
      </c>
      <c r="S263">
        <v>2507012387</v>
      </c>
      <c r="T263" t="s">
        <v>50</v>
      </c>
      <c r="U263" t="s">
        <v>122</v>
      </c>
      <c r="V263" t="s">
        <v>69</v>
      </c>
      <c r="W263" t="s">
        <v>70</v>
      </c>
      <c r="X263" t="s">
        <v>60</v>
      </c>
      <c r="Z263">
        <v>201</v>
      </c>
      <c r="AA263" t="s">
        <v>887</v>
      </c>
      <c r="AB263" t="s">
        <v>914</v>
      </c>
      <c r="AC263">
        <v>2604000066</v>
      </c>
      <c r="AE263">
        <v>0</v>
      </c>
      <c r="AF263">
        <v>0</v>
      </c>
      <c r="AG263">
        <v>0</v>
      </c>
      <c r="AH263">
        <v>0</v>
      </c>
      <c r="AI263" t="s">
        <v>56</v>
      </c>
      <c r="AJ263">
        <v>4.0999999999999996</v>
      </c>
      <c r="AK263">
        <v>0.9</v>
      </c>
      <c r="AL263">
        <v>0.15</v>
      </c>
      <c r="AM263">
        <v>29.1</v>
      </c>
      <c r="AN263">
        <v>1.45</v>
      </c>
      <c r="AO263">
        <v>0</v>
      </c>
      <c r="AP263">
        <v>0</v>
      </c>
      <c r="AQ263" t="s">
        <v>57</v>
      </c>
      <c r="AS263" t="s">
        <v>915</v>
      </c>
      <c r="AT263" t="s">
        <v>915</v>
      </c>
      <c r="AU263" t="s">
        <v>914</v>
      </c>
      <c r="AV263" t="s">
        <v>916</v>
      </c>
      <c r="AW263" t="s">
        <v>917</v>
      </c>
      <c r="AZ263">
        <v>75020</v>
      </c>
      <c r="BA263" t="s">
        <v>65</v>
      </c>
      <c r="BB263" t="s">
        <v>61</v>
      </c>
      <c r="BC263" t="s">
        <v>62</v>
      </c>
    </row>
    <row r="264" spans="1:55" x14ac:dyDescent="0.25">
      <c r="A264" s="1" t="str">
        <f>IF(COUNTIF(Catégories!A:A,X264)=0,"catégorie inconnue",_xlfn.XLOOKUP(X264,Catégories!A:A,Catégories!B:B))</f>
        <v>Frêt</v>
      </c>
      <c r="B264" s="1">
        <f t="shared" si="12"/>
        <v>6.6000000000000005</v>
      </c>
      <c r="C264" s="1">
        <f t="shared" si="13"/>
        <v>1.45</v>
      </c>
      <c r="D264" s="1">
        <f t="shared" si="14"/>
        <v>5.15</v>
      </c>
      <c r="E264" s="20">
        <f>IF(AH264&lt;&gt;0,ROUNDUP(AH264,0),IF(BB264&lt;&gt;"FR","hors France",IF(AH264&lt;&gt;0,ROUNDUP(AH264,0),_xlfn.XLOOKUP(AJ264,'PA GLS'!B:B,'PA GLS'!A:A))))</f>
        <v>1</v>
      </c>
      <c r="F264">
        <v>2501382993</v>
      </c>
      <c r="G264">
        <v>1030234556</v>
      </c>
      <c r="H264" t="s">
        <v>366</v>
      </c>
      <c r="I264">
        <v>2500034092</v>
      </c>
      <c r="J264" t="s">
        <v>50</v>
      </c>
      <c r="K264">
        <v>9000009190</v>
      </c>
      <c r="L264">
        <v>46946</v>
      </c>
      <c r="M264" t="s">
        <v>51</v>
      </c>
      <c r="N264">
        <v>9000037814</v>
      </c>
      <c r="O264" t="s">
        <v>51</v>
      </c>
      <c r="S264">
        <v>2507012387</v>
      </c>
      <c r="T264" t="s">
        <v>50</v>
      </c>
      <c r="U264" t="s">
        <v>122</v>
      </c>
      <c r="V264" t="s">
        <v>66</v>
      </c>
      <c r="W264" t="s">
        <v>67</v>
      </c>
      <c r="X264" t="s">
        <v>60</v>
      </c>
      <c r="Z264">
        <v>202</v>
      </c>
      <c r="AA264" t="s">
        <v>887</v>
      </c>
      <c r="AB264" t="s">
        <v>902</v>
      </c>
      <c r="AC264">
        <v>2604000064</v>
      </c>
      <c r="AE264">
        <v>0</v>
      </c>
      <c r="AF264">
        <v>0</v>
      </c>
      <c r="AG264">
        <v>0</v>
      </c>
      <c r="AH264">
        <v>0</v>
      </c>
      <c r="AI264" t="s">
        <v>56</v>
      </c>
      <c r="AJ264">
        <v>4.0999999999999996</v>
      </c>
      <c r="AK264">
        <v>0.9</v>
      </c>
      <c r="AL264">
        <v>0.15</v>
      </c>
      <c r="AM264">
        <v>29.1</v>
      </c>
      <c r="AN264">
        <v>1.45</v>
      </c>
      <c r="AO264">
        <v>0</v>
      </c>
      <c r="AP264">
        <v>0</v>
      </c>
      <c r="AQ264" t="s">
        <v>57</v>
      </c>
      <c r="AS264" t="s">
        <v>903</v>
      </c>
      <c r="AT264" t="s">
        <v>903</v>
      </c>
      <c r="AU264" t="s">
        <v>902</v>
      </c>
      <c r="AV264" t="s">
        <v>557</v>
      </c>
      <c r="AW264" t="s">
        <v>558</v>
      </c>
      <c r="AZ264">
        <v>67100</v>
      </c>
      <c r="BA264" t="s">
        <v>215</v>
      </c>
      <c r="BB264" t="s">
        <v>61</v>
      </c>
      <c r="BC264" t="s">
        <v>62</v>
      </c>
    </row>
    <row r="265" spans="1:55" x14ac:dyDescent="0.25">
      <c r="A265" s="1" t="str">
        <f>IF(COUNTIF(Catégories!A:A,X265)=0,"catégorie inconnue",_xlfn.XLOOKUP(X265,Catégories!A:A,Catégories!B:B))</f>
        <v>Frêt</v>
      </c>
      <c r="B265" s="1">
        <f t="shared" si="12"/>
        <v>7.0100000000000007</v>
      </c>
      <c r="C265" s="1">
        <f t="shared" si="13"/>
        <v>1.54</v>
      </c>
      <c r="D265" s="1">
        <f t="shared" si="14"/>
        <v>5.4700000000000006</v>
      </c>
      <c r="E265" s="20">
        <f>IF(AH265&lt;&gt;0,ROUNDUP(AH265,0),IF(BB265&lt;&gt;"FR","hors France",IF(AH265&lt;&gt;0,ROUNDUP(AH265,0),_xlfn.XLOOKUP(AJ265,'PA GLS'!B:B,'PA GLS'!A:A))))</f>
        <v>2</v>
      </c>
      <c r="F265">
        <v>2501382993</v>
      </c>
      <c r="G265">
        <v>1030234556</v>
      </c>
      <c r="H265" t="s">
        <v>366</v>
      </c>
      <c r="I265">
        <v>2500034092</v>
      </c>
      <c r="J265" t="s">
        <v>50</v>
      </c>
      <c r="K265">
        <v>9000009190</v>
      </c>
      <c r="L265">
        <v>46946</v>
      </c>
      <c r="M265" t="s">
        <v>51</v>
      </c>
      <c r="N265">
        <v>9000037814</v>
      </c>
      <c r="O265" t="s">
        <v>51</v>
      </c>
      <c r="S265">
        <v>2507012387</v>
      </c>
      <c r="T265" t="s">
        <v>50</v>
      </c>
      <c r="U265" t="s">
        <v>122</v>
      </c>
      <c r="V265" t="s">
        <v>77</v>
      </c>
      <c r="W265" t="s">
        <v>78</v>
      </c>
      <c r="X265" t="s">
        <v>60</v>
      </c>
      <c r="Z265">
        <v>203</v>
      </c>
      <c r="AA265" t="s">
        <v>887</v>
      </c>
      <c r="AB265" t="s">
        <v>888</v>
      </c>
      <c r="AC265">
        <v>2604000061</v>
      </c>
      <c r="AE265">
        <v>0</v>
      </c>
      <c r="AF265">
        <v>0</v>
      </c>
      <c r="AG265">
        <v>0</v>
      </c>
      <c r="AH265">
        <v>0</v>
      </c>
      <c r="AI265" t="s">
        <v>56</v>
      </c>
      <c r="AJ265">
        <v>4.42</v>
      </c>
      <c r="AK265">
        <v>0.9</v>
      </c>
      <c r="AL265">
        <v>0.15</v>
      </c>
      <c r="AM265">
        <v>29.1</v>
      </c>
      <c r="AN265">
        <v>1.54</v>
      </c>
      <c r="AO265">
        <v>0</v>
      </c>
      <c r="AP265">
        <v>0</v>
      </c>
      <c r="AQ265" t="s">
        <v>57</v>
      </c>
      <c r="AS265" t="s">
        <v>889</v>
      </c>
      <c r="AT265" t="s">
        <v>889</v>
      </c>
      <c r="AU265" t="s">
        <v>888</v>
      </c>
      <c r="AV265" t="s">
        <v>890</v>
      </c>
      <c r="AW265" t="s">
        <v>891</v>
      </c>
      <c r="AZ265">
        <v>13500</v>
      </c>
      <c r="BA265" t="s">
        <v>892</v>
      </c>
      <c r="BB265" t="s">
        <v>61</v>
      </c>
      <c r="BC265" t="s">
        <v>62</v>
      </c>
    </row>
    <row r="266" spans="1:55" x14ac:dyDescent="0.25">
      <c r="A266" s="1" t="str">
        <f>IF(COUNTIF(Catégories!A:A,X266)=0,"catégorie inconnue",_xlfn.XLOOKUP(X266,Catégories!A:A,Catégories!B:B))</f>
        <v>Frêt</v>
      </c>
      <c r="B266" s="1">
        <f t="shared" si="12"/>
        <v>7.0100000000000007</v>
      </c>
      <c r="C266" s="1">
        <f t="shared" si="13"/>
        <v>1.54</v>
      </c>
      <c r="D266" s="1">
        <f t="shared" si="14"/>
        <v>5.4700000000000006</v>
      </c>
      <c r="E266" s="20">
        <f>IF(AH266&lt;&gt;0,ROUNDUP(AH266,0),IF(BB266&lt;&gt;"FR","hors France",IF(AH266&lt;&gt;0,ROUNDUP(AH266,0),_xlfn.XLOOKUP(AJ266,'PA GLS'!B:B,'PA GLS'!A:A))))</f>
        <v>2</v>
      </c>
      <c r="F266">
        <v>2501382993</v>
      </c>
      <c r="G266">
        <v>1030234556</v>
      </c>
      <c r="H266" t="s">
        <v>366</v>
      </c>
      <c r="I266">
        <v>2500034092</v>
      </c>
      <c r="J266" t="s">
        <v>50</v>
      </c>
      <c r="K266">
        <v>9000009190</v>
      </c>
      <c r="L266">
        <v>46946</v>
      </c>
      <c r="M266" t="s">
        <v>51</v>
      </c>
      <c r="N266">
        <v>9000037814</v>
      </c>
      <c r="O266" t="s">
        <v>51</v>
      </c>
      <c r="S266">
        <v>2507012387</v>
      </c>
      <c r="T266" t="s">
        <v>50</v>
      </c>
      <c r="U266" t="s">
        <v>122</v>
      </c>
      <c r="V266" t="s">
        <v>77</v>
      </c>
      <c r="W266" t="s">
        <v>78</v>
      </c>
      <c r="X266" t="s">
        <v>60</v>
      </c>
      <c r="Z266">
        <v>203</v>
      </c>
      <c r="AA266" t="s">
        <v>887</v>
      </c>
      <c r="AB266" t="s">
        <v>904</v>
      </c>
      <c r="AC266">
        <v>2604000065</v>
      </c>
      <c r="AE266">
        <v>0</v>
      </c>
      <c r="AF266">
        <v>0</v>
      </c>
      <c r="AG266">
        <v>0</v>
      </c>
      <c r="AH266">
        <v>0</v>
      </c>
      <c r="AI266" t="s">
        <v>56</v>
      </c>
      <c r="AJ266">
        <v>4.42</v>
      </c>
      <c r="AK266">
        <v>0.9</v>
      </c>
      <c r="AL266">
        <v>0.15</v>
      </c>
      <c r="AM266">
        <v>29.1</v>
      </c>
      <c r="AN266">
        <v>1.54</v>
      </c>
      <c r="AO266">
        <v>0</v>
      </c>
      <c r="AP266">
        <v>0</v>
      </c>
      <c r="AQ266" t="s">
        <v>57</v>
      </c>
      <c r="AS266" t="s">
        <v>905</v>
      </c>
      <c r="AT266" t="s">
        <v>905</v>
      </c>
      <c r="AU266" t="s">
        <v>904</v>
      </c>
      <c r="AV266" t="s">
        <v>906</v>
      </c>
      <c r="AW266" t="s">
        <v>907</v>
      </c>
      <c r="AZ266">
        <v>95700</v>
      </c>
      <c r="BA266" t="s">
        <v>908</v>
      </c>
      <c r="BB266" t="s">
        <v>61</v>
      </c>
      <c r="BC266" t="s">
        <v>62</v>
      </c>
    </row>
    <row r="267" spans="1:55" x14ac:dyDescent="0.25">
      <c r="A267" s="1" t="str">
        <f>IF(COUNTIF(Catégories!A:A,X267)=0,"catégorie inconnue",_xlfn.XLOOKUP(X267,Catégories!A:A,Catégories!B:B))</f>
        <v>Frêt</v>
      </c>
      <c r="B267" s="1">
        <f t="shared" si="12"/>
        <v>0</v>
      </c>
      <c r="C267" s="1">
        <f t="shared" si="13"/>
        <v>0</v>
      </c>
      <c r="D267" s="1">
        <f t="shared" si="14"/>
        <v>0</v>
      </c>
      <c r="E267" s="20">
        <f>IF(AH267&lt;&gt;0,ROUNDUP(AH267,0),IF(BB267&lt;&gt;"FR","hors France",IF(AH267&lt;&gt;0,ROUNDUP(AH267,0),_xlfn.XLOOKUP(AJ267,'PA GLS'!B:B,'PA GLS'!A:A))))</f>
        <v>1</v>
      </c>
      <c r="F267">
        <v>2501382993</v>
      </c>
      <c r="G267">
        <v>1030231042</v>
      </c>
      <c r="H267" t="s">
        <v>366</v>
      </c>
      <c r="I267">
        <v>2500034092</v>
      </c>
      <c r="J267" t="s">
        <v>50</v>
      </c>
      <c r="K267">
        <v>9000009190</v>
      </c>
      <c r="L267">
        <v>46946</v>
      </c>
      <c r="M267" t="s">
        <v>51</v>
      </c>
      <c r="N267">
        <v>9000037814</v>
      </c>
      <c r="O267" t="s">
        <v>51</v>
      </c>
      <c r="S267">
        <v>2507012387</v>
      </c>
      <c r="T267" t="s">
        <v>50</v>
      </c>
      <c r="U267" t="s">
        <v>122</v>
      </c>
      <c r="V267" t="s">
        <v>176</v>
      </c>
      <c r="W267" t="s">
        <v>177</v>
      </c>
      <c r="X267" t="s">
        <v>152</v>
      </c>
      <c r="Z267">
        <v>123</v>
      </c>
      <c r="AA267" t="s">
        <v>918</v>
      </c>
      <c r="AB267" t="s">
        <v>919</v>
      </c>
      <c r="AC267">
        <v>2604000067</v>
      </c>
      <c r="AE267">
        <v>0</v>
      </c>
      <c r="AF267">
        <v>1</v>
      </c>
      <c r="AG267">
        <v>0</v>
      </c>
      <c r="AH267">
        <v>0.26</v>
      </c>
      <c r="AI267" t="s">
        <v>56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 t="s">
        <v>57</v>
      </c>
      <c r="AS267" t="s">
        <v>920</v>
      </c>
      <c r="AT267" t="s">
        <v>920</v>
      </c>
      <c r="AU267" t="s">
        <v>919</v>
      </c>
      <c r="AV267" t="s">
        <v>921</v>
      </c>
      <c r="AW267" t="s">
        <v>922</v>
      </c>
      <c r="AZ267">
        <v>43370</v>
      </c>
      <c r="BA267" t="s">
        <v>923</v>
      </c>
      <c r="BB267" t="s">
        <v>61</v>
      </c>
      <c r="BC267" t="s">
        <v>62</v>
      </c>
    </row>
    <row r="268" spans="1:55" x14ac:dyDescent="0.25">
      <c r="A268" s="1" t="str">
        <f>IF(COUNTIF(Catégories!A:A,X268)=0,"catégorie inconnue",_xlfn.XLOOKUP(X268,Catégories!A:A,Catégories!B:B))</f>
        <v>Frêt</v>
      </c>
      <c r="B268" s="1">
        <f t="shared" si="12"/>
        <v>0</v>
      </c>
      <c r="C268" s="1">
        <f t="shared" si="13"/>
        <v>0</v>
      </c>
      <c r="D268" s="1">
        <f t="shared" si="14"/>
        <v>0</v>
      </c>
      <c r="E268" s="20">
        <f>IF(AH268&lt;&gt;0,ROUNDUP(AH268,0),IF(BB268&lt;&gt;"FR","hors France",IF(AH268&lt;&gt;0,ROUNDUP(AH268,0),_xlfn.XLOOKUP(AJ268,'PA GLS'!B:B,'PA GLS'!A:A))))</f>
        <v>1</v>
      </c>
      <c r="F268">
        <v>2501382993</v>
      </c>
      <c r="G268">
        <v>1030231042</v>
      </c>
      <c r="H268" t="s">
        <v>366</v>
      </c>
      <c r="I268">
        <v>2500034092</v>
      </c>
      <c r="J268" t="s">
        <v>50</v>
      </c>
      <c r="K268">
        <v>9000009190</v>
      </c>
      <c r="L268">
        <v>46946</v>
      </c>
      <c r="M268" t="s">
        <v>51</v>
      </c>
      <c r="N268">
        <v>9000037814</v>
      </c>
      <c r="O268" t="s">
        <v>51</v>
      </c>
      <c r="S268">
        <v>2507012387</v>
      </c>
      <c r="T268" t="s">
        <v>50</v>
      </c>
      <c r="U268" t="s">
        <v>122</v>
      </c>
      <c r="V268" t="s">
        <v>176</v>
      </c>
      <c r="W268" t="s">
        <v>177</v>
      </c>
      <c r="X268" t="s">
        <v>152</v>
      </c>
      <c r="Z268">
        <v>123</v>
      </c>
      <c r="AA268" t="s">
        <v>918</v>
      </c>
      <c r="AB268" t="s">
        <v>924</v>
      </c>
      <c r="AC268">
        <v>2604000068</v>
      </c>
      <c r="AE268">
        <v>0</v>
      </c>
      <c r="AF268">
        <v>1</v>
      </c>
      <c r="AG268">
        <v>0</v>
      </c>
      <c r="AH268">
        <v>0.3</v>
      </c>
      <c r="AI268" t="s">
        <v>56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 t="s">
        <v>57</v>
      </c>
      <c r="AS268" t="s">
        <v>925</v>
      </c>
      <c r="AT268" t="s">
        <v>925</v>
      </c>
      <c r="AU268" t="s">
        <v>924</v>
      </c>
      <c r="AV268" t="s">
        <v>926</v>
      </c>
      <c r="AW268" t="s">
        <v>927</v>
      </c>
      <c r="AZ268">
        <v>73600</v>
      </c>
      <c r="BA268" t="s">
        <v>542</v>
      </c>
      <c r="BB268" t="s">
        <v>61</v>
      </c>
      <c r="BC268" t="s">
        <v>62</v>
      </c>
    </row>
    <row r="269" spans="1:55" x14ac:dyDescent="0.25">
      <c r="A269" s="1" t="str">
        <f>IF(COUNTIF(Catégories!A:A,X269)=0,"catégorie inconnue",_xlfn.XLOOKUP(X269,Catégories!A:A,Catégories!B:B))</f>
        <v>Frêt</v>
      </c>
      <c r="B269" s="1">
        <f t="shared" si="12"/>
        <v>0</v>
      </c>
      <c r="C269" s="1">
        <f t="shared" si="13"/>
        <v>0</v>
      </c>
      <c r="D269" s="1">
        <f t="shared" si="14"/>
        <v>0</v>
      </c>
      <c r="E269" s="20">
        <f>IF(AH269&lt;&gt;0,ROUNDUP(AH269,0),IF(BB269&lt;&gt;"FR","hors France",IF(AH269&lt;&gt;0,ROUNDUP(AH269,0),_xlfn.XLOOKUP(AJ269,'PA GLS'!B:B,'PA GLS'!A:A))))</f>
        <v>1</v>
      </c>
      <c r="F269">
        <v>2501382993</v>
      </c>
      <c r="G269">
        <v>1030231042</v>
      </c>
      <c r="H269" t="s">
        <v>366</v>
      </c>
      <c r="I269">
        <v>2500034092</v>
      </c>
      <c r="J269" t="s">
        <v>50</v>
      </c>
      <c r="K269">
        <v>9000009190</v>
      </c>
      <c r="L269">
        <v>46946</v>
      </c>
      <c r="M269" t="s">
        <v>51</v>
      </c>
      <c r="N269">
        <v>9000037814</v>
      </c>
      <c r="O269" t="s">
        <v>51</v>
      </c>
      <c r="S269">
        <v>2507012387</v>
      </c>
      <c r="T269" t="s">
        <v>50</v>
      </c>
      <c r="U269" t="s">
        <v>122</v>
      </c>
      <c r="V269" t="s">
        <v>176</v>
      </c>
      <c r="W269" t="s">
        <v>177</v>
      </c>
      <c r="X269" t="s">
        <v>152</v>
      </c>
      <c r="Z269">
        <v>123</v>
      </c>
      <c r="AA269" t="s">
        <v>918</v>
      </c>
      <c r="AB269" t="s">
        <v>928</v>
      </c>
      <c r="AC269">
        <v>2604000070</v>
      </c>
      <c r="AE269">
        <v>0</v>
      </c>
      <c r="AF269">
        <v>1</v>
      </c>
      <c r="AG269">
        <v>0</v>
      </c>
      <c r="AH269">
        <v>1</v>
      </c>
      <c r="AI269" t="s">
        <v>56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 t="s">
        <v>57</v>
      </c>
      <c r="AS269" t="s">
        <v>929</v>
      </c>
      <c r="AT269" t="s">
        <v>929</v>
      </c>
      <c r="AU269" t="s">
        <v>928</v>
      </c>
      <c r="AV269" t="s">
        <v>930</v>
      </c>
      <c r="AW269" t="s">
        <v>931</v>
      </c>
      <c r="AZ269">
        <v>75017</v>
      </c>
      <c r="BA269" t="s">
        <v>930</v>
      </c>
      <c r="BB269" t="s">
        <v>61</v>
      </c>
      <c r="BC269" t="s">
        <v>62</v>
      </c>
    </row>
    <row r="270" spans="1:55" x14ac:dyDescent="0.25">
      <c r="A270" s="1" t="str">
        <f>IF(COUNTIF(Catégories!A:A,X270)=0,"catégorie inconnue",_xlfn.XLOOKUP(X270,Catégories!A:A,Catégories!B:B))</f>
        <v>Frêt</v>
      </c>
      <c r="B270" s="1">
        <f t="shared" si="12"/>
        <v>0</v>
      </c>
      <c r="C270" s="1">
        <f t="shared" si="13"/>
        <v>0</v>
      </c>
      <c r="D270" s="1">
        <f t="shared" si="14"/>
        <v>0</v>
      </c>
      <c r="E270" s="20">
        <f>IF(AH270&lt;&gt;0,ROUNDUP(AH270,0),IF(BB270&lt;&gt;"FR","hors France",IF(AH270&lt;&gt;0,ROUNDUP(AH270,0),_xlfn.XLOOKUP(AJ270,'PA GLS'!B:B,'PA GLS'!A:A))))</f>
        <v>1</v>
      </c>
      <c r="F270">
        <v>2501382993</v>
      </c>
      <c r="G270">
        <v>1030231042</v>
      </c>
      <c r="H270" t="s">
        <v>366</v>
      </c>
      <c r="I270">
        <v>2500034092</v>
      </c>
      <c r="J270" t="s">
        <v>50</v>
      </c>
      <c r="K270">
        <v>9000009190</v>
      </c>
      <c r="L270">
        <v>46946</v>
      </c>
      <c r="M270" t="s">
        <v>51</v>
      </c>
      <c r="N270">
        <v>9000037814</v>
      </c>
      <c r="O270" t="s">
        <v>51</v>
      </c>
      <c r="S270">
        <v>2507012387</v>
      </c>
      <c r="T270" t="s">
        <v>50</v>
      </c>
      <c r="U270" t="s">
        <v>122</v>
      </c>
      <c r="V270" t="s">
        <v>176</v>
      </c>
      <c r="W270" t="s">
        <v>177</v>
      </c>
      <c r="X270" t="s">
        <v>152</v>
      </c>
      <c r="Z270">
        <v>123</v>
      </c>
      <c r="AA270" t="s">
        <v>918</v>
      </c>
      <c r="AB270" t="s">
        <v>932</v>
      </c>
      <c r="AC270">
        <v>2604000071</v>
      </c>
      <c r="AE270">
        <v>0</v>
      </c>
      <c r="AF270">
        <v>1</v>
      </c>
      <c r="AG270">
        <v>0</v>
      </c>
      <c r="AH270">
        <v>0.28000000000000003</v>
      </c>
      <c r="AI270" t="s">
        <v>56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 t="s">
        <v>57</v>
      </c>
      <c r="AS270" t="s">
        <v>933</v>
      </c>
      <c r="AT270" t="s">
        <v>933</v>
      </c>
      <c r="AU270" t="s">
        <v>932</v>
      </c>
      <c r="AV270" t="s">
        <v>545</v>
      </c>
      <c r="AW270" t="s">
        <v>546</v>
      </c>
      <c r="AZ270">
        <v>13008</v>
      </c>
      <c r="BA270" t="s">
        <v>68</v>
      </c>
      <c r="BB270" t="s">
        <v>61</v>
      </c>
      <c r="BC270" t="s">
        <v>62</v>
      </c>
    </row>
    <row r="271" spans="1:55" x14ac:dyDescent="0.25">
      <c r="A271" s="1" t="str">
        <f>IF(COUNTIF(Catégories!A:A,X271)=0,"catégorie inconnue",_xlfn.XLOOKUP(X271,Catégories!A:A,Catégories!B:B))</f>
        <v>Frêt</v>
      </c>
      <c r="B271" s="1">
        <f t="shared" si="12"/>
        <v>0</v>
      </c>
      <c r="C271" s="1">
        <f t="shared" si="13"/>
        <v>0</v>
      </c>
      <c r="D271" s="1">
        <f t="shared" si="14"/>
        <v>0</v>
      </c>
      <c r="E271" s="20">
        <f>IF(AH271&lt;&gt;0,ROUNDUP(AH271,0),IF(BB271&lt;&gt;"FR","hors France",IF(AH271&lt;&gt;0,ROUNDUP(AH271,0),_xlfn.XLOOKUP(AJ271,'PA GLS'!B:B,'PA GLS'!A:A))))</f>
        <v>3</v>
      </c>
      <c r="F271">
        <v>2501382993</v>
      </c>
      <c r="G271">
        <v>1030231042</v>
      </c>
      <c r="H271" t="s">
        <v>366</v>
      </c>
      <c r="I271">
        <v>2500034092</v>
      </c>
      <c r="J271" t="s">
        <v>50</v>
      </c>
      <c r="K271">
        <v>9000009190</v>
      </c>
      <c r="L271">
        <v>46946</v>
      </c>
      <c r="M271" t="s">
        <v>51</v>
      </c>
      <c r="N271">
        <v>9000037814</v>
      </c>
      <c r="O271" t="s">
        <v>51</v>
      </c>
      <c r="S271">
        <v>2507012387</v>
      </c>
      <c r="T271" t="s">
        <v>50</v>
      </c>
      <c r="U271" t="s">
        <v>267</v>
      </c>
      <c r="V271" t="s">
        <v>268</v>
      </c>
      <c r="W271" t="s">
        <v>241</v>
      </c>
      <c r="X271" t="s">
        <v>154</v>
      </c>
      <c r="Z271">
        <v>124</v>
      </c>
      <c r="AA271" t="s">
        <v>918</v>
      </c>
      <c r="AB271" t="s">
        <v>934</v>
      </c>
      <c r="AC271">
        <v>2604000069</v>
      </c>
      <c r="AE271">
        <v>0</v>
      </c>
      <c r="AF271">
        <v>1</v>
      </c>
      <c r="AG271">
        <v>0</v>
      </c>
      <c r="AH271">
        <v>2.88</v>
      </c>
      <c r="AI271" t="s">
        <v>56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 t="s">
        <v>57</v>
      </c>
      <c r="AS271" t="s">
        <v>935</v>
      </c>
      <c r="AT271" t="s">
        <v>935</v>
      </c>
      <c r="AU271" t="s">
        <v>934</v>
      </c>
      <c r="AV271" t="s">
        <v>936</v>
      </c>
      <c r="AW271" t="s">
        <v>937</v>
      </c>
      <c r="AZ271" t="s">
        <v>938</v>
      </c>
      <c r="BA271" t="s">
        <v>939</v>
      </c>
      <c r="BB271" t="s">
        <v>138</v>
      </c>
      <c r="BC271" t="s">
        <v>277</v>
      </c>
    </row>
    <row r="272" spans="1:55" x14ac:dyDescent="0.25">
      <c r="A272" s="1" t="str">
        <f>IF(COUNTIF(Catégories!A:A,X272)=0,"catégorie inconnue",_xlfn.XLOOKUP(X272,Catégories!A:A,Catégories!B:B))</f>
        <v>Frêt</v>
      </c>
      <c r="B272" s="1">
        <f t="shared" si="12"/>
        <v>6.17</v>
      </c>
      <c r="C272" s="1">
        <f t="shared" si="13"/>
        <v>1.35</v>
      </c>
      <c r="D272" s="1">
        <f t="shared" si="14"/>
        <v>4.82</v>
      </c>
      <c r="E272" s="20">
        <f>IF(AH272&lt;&gt;0,ROUNDUP(AH272,0),IF(BB272&lt;&gt;"FR","hors France",IF(AH272&lt;&gt;0,ROUNDUP(AH272,0),_xlfn.XLOOKUP(AJ272,'PA GLS'!B:B,'PA GLS'!A:A))))</f>
        <v>0.5</v>
      </c>
      <c r="F272">
        <v>2501382993</v>
      </c>
      <c r="G272">
        <v>1030231042</v>
      </c>
      <c r="H272" t="s">
        <v>366</v>
      </c>
      <c r="I272">
        <v>2500034092</v>
      </c>
      <c r="J272" t="s">
        <v>50</v>
      </c>
      <c r="K272">
        <v>9000009190</v>
      </c>
      <c r="L272">
        <v>46946</v>
      </c>
      <c r="M272" t="s">
        <v>51</v>
      </c>
      <c r="N272">
        <v>9000037814</v>
      </c>
      <c r="O272" t="s">
        <v>51</v>
      </c>
      <c r="S272">
        <v>2507012387</v>
      </c>
      <c r="T272" t="s">
        <v>50</v>
      </c>
      <c r="U272" t="s">
        <v>122</v>
      </c>
      <c r="V272" t="s">
        <v>71</v>
      </c>
      <c r="W272" t="s">
        <v>72</v>
      </c>
      <c r="X272" t="s">
        <v>60</v>
      </c>
      <c r="Z272">
        <v>125</v>
      </c>
      <c r="AA272" t="s">
        <v>918</v>
      </c>
      <c r="AB272" t="s">
        <v>919</v>
      </c>
      <c r="AC272">
        <v>2604000067</v>
      </c>
      <c r="AE272">
        <v>0</v>
      </c>
      <c r="AF272">
        <v>0</v>
      </c>
      <c r="AG272">
        <v>0</v>
      </c>
      <c r="AH272">
        <v>0</v>
      </c>
      <c r="AI272" t="s">
        <v>56</v>
      </c>
      <c r="AJ272">
        <v>3.77</v>
      </c>
      <c r="AK272">
        <v>0.9</v>
      </c>
      <c r="AL272">
        <v>0.15</v>
      </c>
      <c r="AM272">
        <v>29.1</v>
      </c>
      <c r="AN272">
        <v>1.35</v>
      </c>
      <c r="AO272">
        <v>0</v>
      </c>
      <c r="AP272">
        <v>0</v>
      </c>
      <c r="AQ272" t="s">
        <v>57</v>
      </c>
      <c r="AS272" t="s">
        <v>920</v>
      </c>
      <c r="AT272" t="s">
        <v>920</v>
      </c>
      <c r="AU272" t="s">
        <v>919</v>
      </c>
      <c r="AV272" t="s">
        <v>921</v>
      </c>
      <c r="AW272" t="s">
        <v>922</v>
      </c>
      <c r="AZ272">
        <v>43370</v>
      </c>
      <c r="BA272" t="s">
        <v>923</v>
      </c>
      <c r="BB272" t="s">
        <v>61</v>
      </c>
      <c r="BC272" t="s">
        <v>62</v>
      </c>
    </row>
    <row r="273" spans="1:55" x14ac:dyDescent="0.25">
      <c r="A273" s="1" t="str">
        <f>IF(COUNTIF(Catégories!A:A,X273)=0,"catégorie inconnue",_xlfn.XLOOKUP(X273,Catégories!A:A,Catégories!B:B))</f>
        <v>Frêt</v>
      </c>
      <c r="B273" s="1">
        <f t="shared" si="12"/>
        <v>6.17</v>
      </c>
      <c r="C273" s="1">
        <f t="shared" si="13"/>
        <v>1.35</v>
      </c>
      <c r="D273" s="1">
        <f t="shared" si="14"/>
        <v>4.82</v>
      </c>
      <c r="E273" s="20">
        <f>IF(AH273&lt;&gt;0,ROUNDUP(AH273,0),IF(BB273&lt;&gt;"FR","hors France",IF(AH273&lt;&gt;0,ROUNDUP(AH273,0),_xlfn.XLOOKUP(AJ273,'PA GLS'!B:B,'PA GLS'!A:A))))</f>
        <v>0.5</v>
      </c>
      <c r="F273">
        <v>2501382993</v>
      </c>
      <c r="G273">
        <v>1030231042</v>
      </c>
      <c r="H273" t="s">
        <v>366</v>
      </c>
      <c r="I273">
        <v>2500034092</v>
      </c>
      <c r="J273" t="s">
        <v>50</v>
      </c>
      <c r="K273">
        <v>9000009190</v>
      </c>
      <c r="L273">
        <v>46946</v>
      </c>
      <c r="M273" t="s">
        <v>51</v>
      </c>
      <c r="N273">
        <v>9000037814</v>
      </c>
      <c r="O273" t="s">
        <v>51</v>
      </c>
      <c r="S273">
        <v>2507012387</v>
      </c>
      <c r="T273" t="s">
        <v>50</v>
      </c>
      <c r="U273" t="s">
        <v>122</v>
      </c>
      <c r="V273" t="s">
        <v>71</v>
      </c>
      <c r="W273" t="s">
        <v>72</v>
      </c>
      <c r="X273" t="s">
        <v>60</v>
      </c>
      <c r="Z273">
        <v>125</v>
      </c>
      <c r="AA273" t="s">
        <v>918</v>
      </c>
      <c r="AB273" t="s">
        <v>924</v>
      </c>
      <c r="AC273">
        <v>2604000068</v>
      </c>
      <c r="AE273">
        <v>0</v>
      </c>
      <c r="AF273">
        <v>0</v>
      </c>
      <c r="AG273">
        <v>0</v>
      </c>
      <c r="AH273">
        <v>0</v>
      </c>
      <c r="AI273" t="s">
        <v>56</v>
      </c>
      <c r="AJ273">
        <v>3.77</v>
      </c>
      <c r="AK273">
        <v>0.9</v>
      </c>
      <c r="AL273">
        <v>0.15</v>
      </c>
      <c r="AM273">
        <v>29.1</v>
      </c>
      <c r="AN273">
        <v>1.35</v>
      </c>
      <c r="AO273">
        <v>0</v>
      </c>
      <c r="AP273">
        <v>0</v>
      </c>
      <c r="AQ273" t="s">
        <v>57</v>
      </c>
      <c r="AS273" t="s">
        <v>925</v>
      </c>
      <c r="AT273" t="s">
        <v>925</v>
      </c>
      <c r="AU273" t="s">
        <v>924</v>
      </c>
      <c r="AV273" t="s">
        <v>926</v>
      </c>
      <c r="AW273" t="s">
        <v>927</v>
      </c>
      <c r="AZ273">
        <v>73600</v>
      </c>
      <c r="BA273" t="s">
        <v>542</v>
      </c>
      <c r="BB273" t="s">
        <v>61</v>
      </c>
      <c r="BC273" t="s">
        <v>62</v>
      </c>
    </row>
    <row r="274" spans="1:55" x14ac:dyDescent="0.25">
      <c r="A274" s="1" t="str">
        <f>IF(COUNTIF(Catégories!A:A,X274)=0,"catégorie inconnue",_xlfn.XLOOKUP(X274,Catégories!A:A,Catégories!B:B))</f>
        <v>Frêt</v>
      </c>
      <c r="B274" s="1">
        <f t="shared" si="12"/>
        <v>6.17</v>
      </c>
      <c r="C274" s="1">
        <f t="shared" si="13"/>
        <v>1.35</v>
      </c>
      <c r="D274" s="1">
        <f t="shared" si="14"/>
        <v>4.82</v>
      </c>
      <c r="E274" s="20">
        <f>IF(AH274&lt;&gt;0,ROUNDUP(AH274,0),IF(BB274&lt;&gt;"FR","hors France",IF(AH274&lt;&gt;0,ROUNDUP(AH274,0),_xlfn.XLOOKUP(AJ274,'PA GLS'!B:B,'PA GLS'!A:A))))</f>
        <v>0.5</v>
      </c>
      <c r="F274">
        <v>2501382993</v>
      </c>
      <c r="G274">
        <v>1030231042</v>
      </c>
      <c r="H274" t="s">
        <v>366</v>
      </c>
      <c r="I274">
        <v>2500034092</v>
      </c>
      <c r="J274" t="s">
        <v>50</v>
      </c>
      <c r="K274">
        <v>9000009190</v>
      </c>
      <c r="L274">
        <v>46946</v>
      </c>
      <c r="M274" t="s">
        <v>51</v>
      </c>
      <c r="N274">
        <v>9000037814</v>
      </c>
      <c r="O274" t="s">
        <v>51</v>
      </c>
      <c r="S274">
        <v>2507012387</v>
      </c>
      <c r="T274" t="s">
        <v>50</v>
      </c>
      <c r="U274" t="s">
        <v>122</v>
      </c>
      <c r="V274" t="s">
        <v>71</v>
      </c>
      <c r="W274" t="s">
        <v>72</v>
      </c>
      <c r="X274" t="s">
        <v>60</v>
      </c>
      <c r="Z274">
        <v>125</v>
      </c>
      <c r="AA274" t="s">
        <v>918</v>
      </c>
      <c r="AB274" t="s">
        <v>932</v>
      </c>
      <c r="AC274">
        <v>2604000071</v>
      </c>
      <c r="AE274">
        <v>0</v>
      </c>
      <c r="AF274">
        <v>0</v>
      </c>
      <c r="AG274">
        <v>0</v>
      </c>
      <c r="AH274">
        <v>0</v>
      </c>
      <c r="AI274" t="s">
        <v>56</v>
      </c>
      <c r="AJ274">
        <v>3.77</v>
      </c>
      <c r="AK274">
        <v>0.9</v>
      </c>
      <c r="AL274">
        <v>0.15</v>
      </c>
      <c r="AM274">
        <v>29.1</v>
      </c>
      <c r="AN274">
        <v>1.35</v>
      </c>
      <c r="AO274">
        <v>0</v>
      </c>
      <c r="AP274">
        <v>0</v>
      </c>
      <c r="AQ274" t="s">
        <v>57</v>
      </c>
      <c r="AS274" t="s">
        <v>933</v>
      </c>
      <c r="AT274" t="s">
        <v>933</v>
      </c>
      <c r="AU274" t="s">
        <v>932</v>
      </c>
      <c r="AV274" t="s">
        <v>545</v>
      </c>
      <c r="AW274" t="s">
        <v>546</v>
      </c>
      <c r="AZ274">
        <v>13008</v>
      </c>
      <c r="BA274" t="s">
        <v>68</v>
      </c>
      <c r="BB274" t="s">
        <v>61</v>
      </c>
      <c r="BC274" t="s">
        <v>62</v>
      </c>
    </row>
    <row r="275" spans="1:55" x14ac:dyDescent="0.25">
      <c r="A275" s="1" t="str">
        <f>IF(COUNTIF(Catégories!A:A,X275)=0,"catégorie inconnue",_xlfn.XLOOKUP(X275,Catégories!A:A,Catégories!B:B))</f>
        <v>Frêt</v>
      </c>
      <c r="B275" s="1">
        <f t="shared" si="12"/>
        <v>6.6000000000000005</v>
      </c>
      <c r="C275" s="1">
        <f t="shared" si="13"/>
        <v>1.45</v>
      </c>
      <c r="D275" s="1">
        <f t="shared" si="14"/>
        <v>5.15</v>
      </c>
      <c r="E275" s="20">
        <f>IF(AH275&lt;&gt;0,ROUNDUP(AH275,0),IF(BB275&lt;&gt;"FR","hors France",IF(AH275&lt;&gt;0,ROUNDUP(AH275,0),_xlfn.XLOOKUP(AJ275,'PA GLS'!B:B,'PA GLS'!A:A))))</f>
        <v>1</v>
      </c>
      <c r="F275">
        <v>2501382993</v>
      </c>
      <c r="G275">
        <v>1030231042</v>
      </c>
      <c r="H275" t="s">
        <v>366</v>
      </c>
      <c r="I275">
        <v>2500034092</v>
      </c>
      <c r="J275" t="s">
        <v>50</v>
      </c>
      <c r="K275">
        <v>9000009190</v>
      </c>
      <c r="L275">
        <v>46946</v>
      </c>
      <c r="M275" t="s">
        <v>51</v>
      </c>
      <c r="N275">
        <v>9000037814</v>
      </c>
      <c r="O275" t="s">
        <v>51</v>
      </c>
      <c r="S275">
        <v>2507012387</v>
      </c>
      <c r="T275" t="s">
        <v>50</v>
      </c>
      <c r="U275" t="s">
        <v>122</v>
      </c>
      <c r="V275" t="s">
        <v>66</v>
      </c>
      <c r="W275" t="s">
        <v>67</v>
      </c>
      <c r="X275" t="s">
        <v>60</v>
      </c>
      <c r="Z275">
        <v>126</v>
      </c>
      <c r="AA275" t="s">
        <v>918</v>
      </c>
      <c r="AB275" t="s">
        <v>928</v>
      </c>
      <c r="AC275">
        <v>2604000070</v>
      </c>
      <c r="AE275">
        <v>0</v>
      </c>
      <c r="AF275">
        <v>0</v>
      </c>
      <c r="AG275">
        <v>0</v>
      </c>
      <c r="AH275">
        <v>0</v>
      </c>
      <c r="AI275" t="s">
        <v>56</v>
      </c>
      <c r="AJ275">
        <v>4.0999999999999996</v>
      </c>
      <c r="AK275">
        <v>0.9</v>
      </c>
      <c r="AL275">
        <v>0.15</v>
      </c>
      <c r="AM275">
        <v>29.1</v>
      </c>
      <c r="AN275">
        <v>1.45</v>
      </c>
      <c r="AO275">
        <v>0</v>
      </c>
      <c r="AP275">
        <v>0</v>
      </c>
      <c r="AQ275" t="s">
        <v>57</v>
      </c>
      <c r="AS275" t="s">
        <v>929</v>
      </c>
      <c r="AT275" t="s">
        <v>929</v>
      </c>
      <c r="AU275" t="s">
        <v>928</v>
      </c>
      <c r="AV275" t="s">
        <v>930</v>
      </c>
      <c r="AW275" t="s">
        <v>931</v>
      </c>
      <c r="AZ275">
        <v>75017</v>
      </c>
      <c r="BA275" t="s">
        <v>930</v>
      </c>
      <c r="BB275" t="s">
        <v>61</v>
      </c>
      <c r="BC275" t="s">
        <v>62</v>
      </c>
    </row>
    <row r="276" spans="1:55" x14ac:dyDescent="0.25">
      <c r="A276" s="1" t="str">
        <f>IF(COUNTIF(Catégories!A:A,X276)=0,"catégorie inconnue",_xlfn.XLOOKUP(X276,Catégories!A:A,Catégories!B:B))</f>
        <v>Frêt</v>
      </c>
      <c r="B276" s="1">
        <f t="shared" si="12"/>
        <v>13.95</v>
      </c>
      <c r="C276" s="1">
        <f t="shared" si="13"/>
        <v>3.11</v>
      </c>
      <c r="D276" s="1">
        <f t="shared" si="14"/>
        <v>10.84</v>
      </c>
      <c r="E276" s="20" t="str">
        <f>IF(AH276&lt;&gt;0,ROUNDUP(AH276,0),IF(BB276&lt;&gt;"FR","hors France",IF(AH276&lt;&gt;0,ROUNDUP(AH276,0),_xlfn.XLOOKUP(AJ276,'PA GLS'!B:B,'PA GLS'!A:A))))</f>
        <v>hors France</v>
      </c>
      <c r="F276">
        <v>2501382993</v>
      </c>
      <c r="G276">
        <v>1030231042</v>
      </c>
      <c r="H276" t="s">
        <v>366</v>
      </c>
      <c r="I276">
        <v>2500034092</v>
      </c>
      <c r="J276" t="s">
        <v>50</v>
      </c>
      <c r="K276">
        <v>9000009190</v>
      </c>
      <c r="L276">
        <v>46946</v>
      </c>
      <c r="M276" t="s">
        <v>51</v>
      </c>
      <c r="N276">
        <v>9000037814</v>
      </c>
      <c r="O276" t="s">
        <v>51</v>
      </c>
      <c r="S276">
        <v>2507012387</v>
      </c>
      <c r="T276" t="s">
        <v>50</v>
      </c>
      <c r="U276" t="s">
        <v>267</v>
      </c>
      <c r="V276" t="s">
        <v>940</v>
      </c>
      <c r="W276" t="s">
        <v>941</v>
      </c>
      <c r="X276" t="s">
        <v>131</v>
      </c>
      <c r="Z276">
        <v>127</v>
      </c>
      <c r="AA276" t="s">
        <v>918</v>
      </c>
      <c r="AB276" t="s">
        <v>934</v>
      </c>
      <c r="AC276">
        <v>2604000069</v>
      </c>
      <c r="AE276">
        <v>0</v>
      </c>
      <c r="AF276">
        <v>0</v>
      </c>
      <c r="AG276">
        <v>0</v>
      </c>
      <c r="AH276">
        <v>0</v>
      </c>
      <c r="AI276" t="s">
        <v>56</v>
      </c>
      <c r="AJ276">
        <v>9.7899999999999991</v>
      </c>
      <c r="AK276">
        <v>0.9</v>
      </c>
      <c r="AL276">
        <v>0.15</v>
      </c>
      <c r="AM276">
        <v>29.1</v>
      </c>
      <c r="AN276">
        <v>3.11</v>
      </c>
      <c r="AO276">
        <v>0</v>
      </c>
      <c r="AP276">
        <v>0</v>
      </c>
      <c r="AQ276" t="s">
        <v>57</v>
      </c>
      <c r="AS276" t="s">
        <v>935</v>
      </c>
      <c r="AT276" t="s">
        <v>935</v>
      </c>
      <c r="AU276" t="s">
        <v>934</v>
      </c>
      <c r="AV276" t="s">
        <v>936</v>
      </c>
      <c r="AW276" t="s">
        <v>937</v>
      </c>
      <c r="AZ276" t="s">
        <v>938</v>
      </c>
      <c r="BA276" t="s">
        <v>939</v>
      </c>
      <c r="BB276" t="s">
        <v>138</v>
      </c>
      <c r="BC276" t="s">
        <v>277</v>
      </c>
    </row>
    <row r="277" spans="1:55" x14ac:dyDescent="0.25">
      <c r="A277" s="1" t="str">
        <f>IF(COUNTIF(Catégories!A:A,X277)=0,"catégorie inconnue",_xlfn.XLOOKUP(X277,Catégories!A:A,Catégories!B:B))</f>
        <v>Adresse</v>
      </c>
      <c r="B277" s="1">
        <f t="shared" si="12"/>
        <v>3.04</v>
      </c>
      <c r="C277" s="1">
        <f t="shared" si="13"/>
        <v>0.68</v>
      </c>
      <c r="D277" s="1">
        <f t="shared" si="14"/>
        <v>2.36</v>
      </c>
      <c r="E277" s="20" t="e">
        <f>IF(AH277&lt;&gt;0,ROUNDUP(AH277,0),IF(BB277&lt;&gt;"FR","hors France",IF(AH277&lt;&gt;0,ROUNDUP(AH277,0),_xlfn.XLOOKUP(AJ277,'PA GLS'!B:B,'PA GLS'!A:A))))</f>
        <v>#N/A</v>
      </c>
      <c r="F277">
        <v>2501382993</v>
      </c>
      <c r="G277">
        <v>1030231042</v>
      </c>
      <c r="H277" t="s">
        <v>366</v>
      </c>
      <c r="I277">
        <v>2500034092</v>
      </c>
      <c r="J277" t="s">
        <v>50</v>
      </c>
      <c r="K277">
        <v>9000009190</v>
      </c>
      <c r="L277">
        <v>46946</v>
      </c>
      <c r="M277" t="s">
        <v>51</v>
      </c>
      <c r="N277">
        <v>9000037814</v>
      </c>
      <c r="O277" t="s">
        <v>51</v>
      </c>
      <c r="S277">
        <v>2507012387</v>
      </c>
      <c r="T277" t="s">
        <v>50</v>
      </c>
      <c r="U277" t="s">
        <v>122</v>
      </c>
      <c r="V277" t="s">
        <v>651</v>
      </c>
      <c r="W277" t="s">
        <v>233</v>
      </c>
      <c r="X277" t="s">
        <v>163</v>
      </c>
      <c r="Z277">
        <v>128</v>
      </c>
      <c r="AA277" t="s">
        <v>918</v>
      </c>
      <c r="AB277" t="s">
        <v>888</v>
      </c>
      <c r="AC277">
        <v>2604000061</v>
      </c>
      <c r="AE277">
        <v>0</v>
      </c>
      <c r="AF277">
        <v>0</v>
      </c>
      <c r="AG277">
        <v>0</v>
      </c>
      <c r="AH277">
        <v>0</v>
      </c>
      <c r="AI277" t="s">
        <v>56</v>
      </c>
      <c r="AJ277">
        <v>2.36</v>
      </c>
      <c r="AK277">
        <v>0</v>
      </c>
      <c r="AL277">
        <v>0</v>
      </c>
      <c r="AM277">
        <v>29.1</v>
      </c>
      <c r="AN277">
        <v>0.68</v>
      </c>
      <c r="AO277">
        <v>0</v>
      </c>
      <c r="AP277">
        <v>0</v>
      </c>
      <c r="AQ277" t="s">
        <v>57</v>
      </c>
      <c r="AS277" t="s">
        <v>889</v>
      </c>
      <c r="AT277" t="s">
        <v>889</v>
      </c>
      <c r="AU277" t="s">
        <v>888</v>
      </c>
      <c r="AV277" t="s">
        <v>890</v>
      </c>
      <c r="AW277" t="s">
        <v>891</v>
      </c>
      <c r="AZ277">
        <v>13500</v>
      </c>
      <c r="BA277" t="s">
        <v>892</v>
      </c>
      <c r="BB277" t="s">
        <v>61</v>
      </c>
      <c r="BC277" t="s">
        <v>62</v>
      </c>
    </row>
    <row r="278" spans="1:55" x14ac:dyDescent="0.25">
      <c r="A278" s="1" t="str">
        <f>IF(COUNTIF(Catégories!A:A,X278)=0,"catégorie inconnue",_xlfn.XLOOKUP(X278,Catégories!A:A,Catégories!B:B))</f>
        <v>Frêt - avisé</v>
      </c>
      <c r="B278" s="1">
        <f t="shared" si="12"/>
        <v>0</v>
      </c>
      <c r="C278" s="1">
        <f t="shared" si="13"/>
        <v>0</v>
      </c>
      <c r="D278" s="1">
        <f t="shared" si="14"/>
        <v>0</v>
      </c>
      <c r="E278" s="20" t="e">
        <f>IF(AH278&lt;&gt;0,ROUNDUP(AH278,0),IF(BB278&lt;&gt;"FR","hors France",IF(AH278&lt;&gt;0,ROUNDUP(AH278,0),_xlfn.XLOOKUP(AJ278,'PA GLS'!B:B,'PA GLS'!A:A))))</f>
        <v>#N/A</v>
      </c>
      <c r="F278">
        <v>2501382993</v>
      </c>
      <c r="G278">
        <v>1030231042</v>
      </c>
      <c r="H278" t="s">
        <v>366</v>
      </c>
      <c r="I278">
        <v>2500034092</v>
      </c>
      <c r="J278" t="s">
        <v>50</v>
      </c>
      <c r="K278">
        <v>9000009190</v>
      </c>
      <c r="L278">
        <v>46946</v>
      </c>
      <c r="M278" t="s">
        <v>51</v>
      </c>
      <c r="N278">
        <v>9000037814</v>
      </c>
      <c r="O278" t="s">
        <v>51</v>
      </c>
      <c r="S278">
        <v>2507012387</v>
      </c>
      <c r="T278" t="s">
        <v>50</v>
      </c>
      <c r="U278" t="s">
        <v>122</v>
      </c>
      <c r="V278" t="s">
        <v>178</v>
      </c>
      <c r="W278" t="s">
        <v>179</v>
      </c>
      <c r="X278" t="s">
        <v>79</v>
      </c>
      <c r="Z278">
        <v>129</v>
      </c>
      <c r="AA278" t="s">
        <v>918</v>
      </c>
      <c r="AB278" t="s">
        <v>888</v>
      </c>
      <c r="AC278">
        <v>2604000061</v>
      </c>
      <c r="AE278">
        <v>0</v>
      </c>
      <c r="AF278">
        <v>0</v>
      </c>
      <c r="AG278">
        <v>0</v>
      </c>
      <c r="AH278">
        <v>0</v>
      </c>
      <c r="AI278" t="s">
        <v>56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 t="s">
        <v>57</v>
      </c>
      <c r="AS278" t="s">
        <v>889</v>
      </c>
      <c r="AT278" t="s">
        <v>889</v>
      </c>
      <c r="AU278" t="s">
        <v>888</v>
      </c>
      <c r="AV278" t="s">
        <v>890</v>
      </c>
      <c r="AW278" t="s">
        <v>891</v>
      </c>
      <c r="AZ278">
        <v>13500</v>
      </c>
      <c r="BA278" t="s">
        <v>892</v>
      </c>
      <c r="BB278" t="s">
        <v>61</v>
      </c>
      <c r="BC278" t="s">
        <v>62</v>
      </c>
    </row>
    <row r="279" spans="1:55" x14ac:dyDescent="0.25">
      <c r="A279" s="1" t="str">
        <f>IF(COUNTIF(Catégories!A:A,X279)=0,"catégorie inconnue",_xlfn.XLOOKUP(X279,Catégories!A:A,Catégories!B:B))</f>
        <v>Frêt - retour</v>
      </c>
      <c r="B279" s="1">
        <f t="shared" si="12"/>
        <v>5.7</v>
      </c>
      <c r="C279" s="1">
        <f t="shared" si="13"/>
        <v>1.28</v>
      </c>
      <c r="D279" s="1">
        <f t="shared" si="14"/>
        <v>4.42</v>
      </c>
      <c r="E279" s="20">
        <f>IF(AH279&lt;&gt;0,ROUNDUP(AH279,0),IF(BB279&lt;&gt;"FR","hors France",IF(AH279&lt;&gt;0,ROUNDUP(AH279,0),_xlfn.XLOOKUP(AJ279,'PA GLS'!B:B,'PA GLS'!A:A))))</f>
        <v>2</v>
      </c>
      <c r="F279">
        <v>2501382993</v>
      </c>
      <c r="G279">
        <v>1030231042</v>
      </c>
      <c r="H279" t="s">
        <v>366</v>
      </c>
      <c r="I279">
        <v>2500034092</v>
      </c>
      <c r="J279" t="s">
        <v>50</v>
      </c>
      <c r="K279">
        <v>9000009190</v>
      </c>
      <c r="L279">
        <v>46946</v>
      </c>
      <c r="M279" t="s">
        <v>51</v>
      </c>
      <c r="N279">
        <v>9000037814</v>
      </c>
      <c r="O279" t="s">
        <v>51</v>
      </c>
      <c r="S279">
        <v>2507012387</v>
      </c>
      <c r="T279" t="s">
        <v>50</v>
      </c>
      <c r="U279" t="s">
        <v>122</v>
      </c>
      <c r="V279" t="s">
        <v>226</v>
      </c>
      <c r="W279" t="s">
        <v>227</v>
      </c>
      <c r="X279" t="s">
        <v>119</v>
      </c>
      <c r="Z279">
        <v>130</v>
      </c>
      <c r="AA279" t="s">
        <v>918</v>
      </c>
      <c r="AB279" t="s">
        <v>800</v>
      </c>
      <c r="AC279">
        <v>2604000047</v>
      </c>
      <c r="AE279">
        <v>0</v>
      </c>
      <c r="AF279">
        <v>0</v>
      </c>
      <c r="AG279">
        <v>0</v>
      </c>
      <c r="AH279">
        <v>0</v>
      </c>
      <c r="AI279" t="s">
        <v>56</v>
      </c>
      <c r="AJ279">
        <v>4.42</v>
      </c>
      <c r="AK279">
        <v>0</v>
      </c>
      <c r="AL279">
        <v>0</v>
      </c>
      <c r="AM279">
        <v>29.1</v>
      </c>
      <c r="AN279">
        <v>1.28</v>
      </c>
      <c r="AO279">
        <v>0</v>
      </c>
      <c r="AP279">
        <v>0</v>
      </c>
      <c r="AQ279" t="s">
        <v>57</v>
      </c>
      <c r="AS279" t="s">
        <v>801</v>
      </c>
      <c r="AT279" t="s">
        <v>801</v>
      </c>
      <c r="AU279" t="s">
        <v>800</v>
      </c>
      <c r="AV279" t="s">
        <v>802</v>
      </c>
      <c r="AW279" t="s">
        <v>803</v>
      </c>
      <c r="AZ279">
        <v>13002</v>
      </c>
      <c r="BA279" t="s">
        <v>68</v>
      </c>
      <c r="BB279" t="s">
        <v>61</v>
      </c>
      <c r="BC279" t="s">
        <v>62</v>
      </c>
    </row>
    <row r="280" spans="1:55" x14ac:dyDescent="0.25">
      <c r="A280" s="1" t="str">
        <f>IF(COUNTIF(Catégories!A:A,X280)=0,"catégorie inconnue",_xlfn.XLOOKUP(X280,Catégories!A:A,Catégories!B:B))</f>
        <v>Frêt</v>
      </c>
      <c r="B280" s="1">
        <f t="shared" si="12"/>
        <v>0</v>
      </c>
      <c r="C280" s="1">
        <f t="shared" si="13"/>
        <v>0</v>
      </c>
      <c r="D280" s="1">
        <f t="shared" si="14"/>
        <v>0</v>
      </c>
      <c r="E280" s="20">
        <f>IF(AH280&lt;&gt;0,ROUNDUP(AH280,0),IF(BB280&lt;&gt;"FR","hors France",IF(AH280&lt;&gt;0,ROUNDUP(AH280,0),_xlfn.XLOOKUP(AJ280,'PA GLS'!B:B,'PA GLS'!A:A))))</f>
        <v>3</v>
      </c>
      <c r="F280">
        <v>2501382993</v>
      </c>
      <c r="G280">
        <v>1030220222</v>
      </c>
      <c r="H280" t="s">
        <v>366</v>
      </c>
      <c r="I280">
        <v>2500034092</v>
      </c>
      <c r="J280" t="s">
        <v>50</v>
      </c>
      <c r="K280">
        <v>9000009190</v>
      </c>
      <c r="L280">
        <v>46946</v>
      </c>
      <c r="M280" t="s">
        <v>51</v>
      </c>
      <c r="N280">
        <v>9000079830</v>
      </c>
      <c r="O280" t="s">
        <v>187</v>
      </c>
      <c r="S280">
        <v>2507012387</v>
      </c>
      <c r="T280" t="s">
        <v>50</v>
      </c>
      <c r="U280" t="s">
        <v>122</v>
      </c>
      <c r="V280" t="s">
        <v>176</v>
      </c>
      <c r="W280" t="s">
        <v>177</v>
      </c>
      <c r="X280" t="s">
        <v>152</v>
      </c>
      <c r="Z280">
        <v>72</v>
      </c>
      <c r="AA280" t="s">
        <v>942</v>
      </c>
      <c r="AB280" t="s">
        <v>943</v>
      </c>
      <c r="AC280">
        <v>2604000091</v>
      </c>
      <c r="AE280">
        <v>0</v>
      </c>
      <c r="AF280">
        <v>1</v>
      </c>
      <c r="AG280">
        <v>0</v>
      </c>
      <c r="AH280">
        <v>2.35</v>
      </c>
      <c r="AI280" t="s">
        <v>56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 t="s">
        <v>57</v>
      </c>
      <c r="AS280" t="s">
        <v>944</v>
      </c>
      <c r="AT280" t="s">
        <v>944</v>
      </c>
      <c r="AU280" t="s">
        <v>943</v>
      </c>
      <c r="AV280" t="s">
        <v>945</v>
      </c>
      <c r="AW280" t="s">
        <v>946</v>
      </c>
      <c r="AZ280">
        <v>95600</v>
      </c>
      <c r="BA280" t="s">
        <v>947</v>
      </c>
      <c r="BB280" t="s">
        <v>61</v>
      </c>
      <c r="BC280" t="s">
        <v>62</v>
      </c>
    </row>
    <row r="281" spans="1:55" x14ac:dyDescent="0.25">
      <c r="A281" s="1" t="str">
        <f>IF(COUNTIF(Catégories!A:A,X281)=0,"catégorie inconnue",_xlfn.XLOOKUP(X281,Catégories!A:A,Catégories!B:B))</f>
        <v>Frêt</v>
      </c>
      <c r="B281" s="1">
        <f t="shared" si="12"/>
        <v>0</v>
      </c>
      <c r="C281" s="1">
        <f t="shared" si="13"/>
        <v>0</v>
      </c>
      <c r="D281" s="1">
        <f t="shared" si="14"/>
        <v>0</v>
      </c>
      <c r="E281" s="20">
        <f>IF(AH281&lt;&gt;0,ROUNDUP(AH281,0),IF(BB281&lt;&gt;"FR","hors France",IF(AH281&lt;&gt;0,ROUNDUP(AH281,0),_xlfn.XLOOKUP(AJ281,'PA GLS'!B:B,'PA GLS'!A:A))))</f>
        <v>3</v>
      </c>
      <c r="F281">
        <v>2501382993</v>
      </c>
      <c r="G281">
        <v>1030220222</v>
      </c>
      <c r="H281" t="s">
        <v>366</v>
      </c>
      <c r="I281">
        <v>2500034092</v>
      </c>
      <c r="J281" t="s">
        <v>50</v>
      </c>
      <c r="K281">
        <v>9000009190</v>
      </c>
      <c r="L281">
        <v>46946</v>
      </c>
      <c r="M281" t="s">
        <v>51</v>
      </c>
      <c r="N281">
        <v>9000079830</v>
      </c>
      <c r="O281" t="s">
        <v>187</v>
      </c>
      <c r="S281">
        <v>2507012387</v>
      </c>
      <c r="T281" t="s">
        <v>50</v>
      </c>
      <c r="U281" t="s">
        <v>122</v>
      </c>
      <c r="V281" t="s">
        <v>176</v>
      </c>
      <c r="W281" t="s">
        <v>177</v>
      </c>
      <c r="X281" t="s">
        <v>152</v>
      </c>
      <c r="Z281">
        <v>72</v>
      </c>
      <c r="AA281" t="s">
        <v>942</v>
      </c>
      <c r="AB281" t="s">
        <v>948</v>
      </c>
      <c r="AC281">
        <v>2604000090</v>
      </c>
      <c r="AE281">
        <v>0</v>
      </c>
      <c r="AF281">
        <v>1</v>
      </c>
      <c r="AG281">
        <v>0</v>
      </c>
      <c r="AH281">
        <v>2.48</v>
      </c>
      <c r="AI281" t="s">
        <v>56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 t="s">
        <v>57</v>
      </c>
      <c r="AS281" t="s">
        <v>949</v>
      </c>
      <c r="AT281" t="s">
        <v>949</v>
      </c>
      <c r="AU281" t="s">
        <v>948</v>
      </c>
      <c r="AV281" t="s">
        <v>950</v>
      </c>
      <c r="AW281" t="s">
        <v>951</v>
      </c>
      <c r="AZ281">
        <v>69250</v>
      </c>
      <c r="BA281" t="s">
        <v>952</v>
      </c>
      <c r="BB281" t="s">
        <v>61</v>
      </c>
      <c r="BC281" t="s">
        <v>62</v>
      </c>
    </row>
    <row r="282" spans="1:55" x14ac:dyDescent="0.25">
      <c r="A282" s="1" t="str">
        <f>IF(COUNTIF(Catégories!A:A,X282)=0,"catégorie inconnue",_xlfn.XLOOKUP(X282,Catégories!A:A,Catégories!B:B))</f>
        <v>Frêt</v>
      </c>
      <c r="B282" s="1">
        <f t="shared" si="12"/>
        <v>0</v>
      </c>
      <c r="C282" s="1">
        <f t="shared" si="13"/>
        <v>0</v>
      </c>
      <c r="D282" s="1">
        <f t="shared" si="14"/>
        <v>0</v>
      </c>
      <c r="E282" s="20">
        <f>IF(AH282&lt;&gt;0,ROUNDUP(AH282,0),IF(BB282&lt;&gt;"FR","hors France",IF(AH282&lt;&gt;0,ROUNDUP(AH282,0),_xlfn.XLOOKUP(AJ282,'PA GLS'!B:B,'PA GLS'!A:A))))</f>
        <v>3</v>
      </c>
      <c r="F282">
        <v>2501382993</v>
      </c>
      <c r="G282">
        <v>1030220222</v>
      </c>
      <c r="H282" t="s">
        <v>366</v>
      </c>
      <c r="I282">
        <v>2500034092</v>
      </c>
      <c r="J282" t="s">
        <v>50</v>
      </c>
      <c r="K282">
        <v>9000009190</v>
      </c>
      <c r="L282">
        <v>46946</v>
      </c>
      <c r="M282" t="s">
        <v>51</v>
      </c>
      <c r="N282">
        <v>9000079830</v>
      </c>
      <c r="O282" t="s">
        <v>187</v>
      </c>
      <c r="S282">
        <v>2507012387</v>
      </c>
      <c r="T282" t="s">
        <v>50</v>
      </c>
      <c r="U282" t="s">
        <v>122</v>
      </c>
      <c r="V282" t="s">
        <v>176</v>
      </c>
      <c r="W282" t="s">
        <v>177</v>
      </c>
      <c r="X282" t="s">
        <v>152</v>
      </c>
      <c r="Z282">
        <v>72</v>
      </c>
      <c r="AA282" t="s">
        <v>942</v>
      </c>
      <c r="AB282" t="s">
        <v>953</v>
      </c>
      <c r="AC282">
        <v>2604000089</v>
      </c>
      <c r="AE282">
        <v>0</v>
      </c>
      <c r="AF282">
        <v>1</v>
      </c>
      <c r="AG282">
        <v>0</v>
      </c>
      <c r="AH282">
        <v>2.46</v>
      </c>
      <c r="AI282" t="s">
        <v>56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 t="s">
        <v>57</v>
      </c>
      <c r="AS282" t="s">
        <v>954</v>
      </c>
      <c r="AT282" t="s">
        <v>954</v>
      </c>
      <c r="AU282" t="s">
        <v>953</v>
      </c>
      <c r="AV282" t="s">
        <v>955</v>
      </c>
      <c r="AW282" t="s">
        <v>956</v>
      </c>
      <c r="AZ282">
        <v>6100</v>
      </c>
      <c r="BA282" t="s">
        <v>229</v>
      </c>
      <c r="BB282" t="s">
        <v>61</v>
      </c>
      <c r="BC282" t="s">
        <v>62</v>
      </c>
    </row>
    <row r="283" spans="1:55" x14ac:dyDescent="0.25">
      <c r="A283" s="1" t="str">
        <f>IF(COUNTIF(Catégories!A:A,X283)=0,"catégorie inconnue",_xlfn.XLOOKUP(X283,Catégories!A:A,Catégories!B:B))</f>
        <v>Frêt</v>
      </c>
      <c r="B283" s="1">
        <f t="shared" si="12"/>
        <v>6.17</v>
      </c>
      <c r="C283" s="1">
        <f t="shared" si="13"/>
        <v>1.35</v>
      </c>
      <c r="D283" s="1">
        <f t="shared" si="14"/>
        <v>4.82</v>
      </c>
      <c r="E283" s="20">
        <f>IF(AH283&lt;&gt;0,ROUNDUP(AH283,0),IF(BB283&lt;&gt;"FR","hors France",IF(AH283&lt;&gt;0,ROUNDUP(AH283,0),_xlfn.XLOOKUP(AJ283,'PA GLS'!B:B,'PA GLS'!A:A))))</f>
        <v>0.5</v>
      </c>
      <c r="F283">
        <v>2501382993</v>
      </c>
      <c r="G283">
        <v>1030220222</v>
      </c>
      <c r="H283" t="s">
        <v>366</v>
      </c>
      <c r="I283">
        <v>2500034092</v>
      </c>
      <c r="J283" t="s">
        <v>50</v>
      </c>
      <c r="K283">
        <v>9000009190</v>
      </c>
      <c r="L283">
        <v>46946</v>
      </c>
      <c r="M283" t="s">
        <v>51</v>
      </c>
      <c r="N283">
        <v>9000079830</v>
      </c>
      <c r="O283" t="s">
        <v>187</v>
      </c>
      <c r="S283">
        <v>2507012387</v>
      </c>
      <c r="T283" t="s">
        <v>50</v>
      </c>
      <c r="U283" t="s">
        <v>122</v>
      </c>
      <c r="V283" t="s">
        <v>71</v>
      </c>
      <c r="W283" t="s">
        <v>72</v>
      </c>
      <c r="X283" t="s">
        <v>60</v>
      </c>
      <c r="Z283">
        <v>73</v>
      </c>
      <c r="AA283" t="s">
        <v>942</v>
      </c>
      <c r="AB283" t="s">
        <v>957</v>
      </c>
      <c r="AC283">
        <v>2604000088</v>
      </c>
      <c r="AE283">
        <v>0</v>
      </c>
      <c r="AF283">
        <v>0</v>
      </c>
      <c r="AG283">
        <v>0</v>
      </c>
      <c r="AH283">
        <v>0</v>
      </c>
      <c r="AI283" t="s">
        <v>56</v>
      </c>
      <c r="AJ283">
        <v>3.77</v>
      </c>
      <c r="AK283">
        <v>0.9</v>
      </c>
      <c r="AL283">
        <v>0.15</v>
      </c>
      <c r="AM283">
        <v>29.1</v>
      </c>
      <c r="AN283">
        <v>1.35</v>
      </c>
      <c r="AO283">
        <v>0</v>
      </c>
      <c r="AP283">
        <v>0</v>
      </c>
      <c r="AQ283" t="s">
        <v>57</v>
      </c>
      <c r="AS283" t="s">
        <v>958</v>
      </c>
      <c r="AT283" t="s">
        <v>958</v>
      </c>
      <c r="AU283" t="s">
        <v>957</v>
      </c>
      <c r="AV283" t="s">
        <v>959</v>
      </c>
      <c r="AW283" t="s">
        <v>960</v>
      </c>
      <c r="AZ283">
        <v>74940</v>
      </c>
      <c r="BA283" t="s">
        <v>274</v>
      </c>
      <c r="BB283" t="s">
        <v>61</v>
      </c>
      <c r="BC283" t="s">
        <v>62</v>
      </c>
    </row>
    <row r="284" spans="1:55" x14ac:dyDescent="0.25">
      <c r="A284" s="1" t="str">
        <f>IF(COUNTIF(Catégories!A:A,X284)=0,"catégorie inconnue",_xlfn.XLOOKUP(X284,Catégories!A:A,Catégories!B:B))</f>
        <v>Frêt</v>
      </c>
      <c r="B284" s="1">
        <f t="shared" si="12"/>
        <v>7.4300000000000006</v>
      </c>
      <c r="C284" s="1">
        <f t="shared" si="13"/>
        <v>1.64</v>
      </c>
      <c r="D284" s="1">
        <f t="shared" si="14"/>
        <v>5.7900000000000009</v>
      </c>
      <c r="E284" s="20">
        <f>IF(AH284&lt;&gt;0,ROUNDUP(AH284,0),IF(BB284&lt;&gt;"FR","hors France",IF(AH284&lt;&gt;0,ROUNDUP(AH284,0),_xlfn.XLOOKUP(AJ284,'PA GLS'!B:B,'PA GLS'!A:A))))</f>
        <v>3</v>
      </c>
      <c r="F284">
        <v>2501382993</v>
      </c>
      <c r="G284">
        <v>1030220222</v>
      </c>
      <c r="H284" t="s">
        <v>366</v>
      </c>
      <c r="I284">
        <v>2500034092</v>
      </c>
      <c r="J284" t="s">
        <v>50</v>
      </c>
      <c r="K284">
        <v>9000009190</v>
      </c>
      <c r="L284">
        <v>46946</v>
      </c>
      <c r="M284" t="s">
        <v>51</v>
      </c>
      <c r="N284">
        <v>9000079830</v>
      </c>
      <c r="O284" t="s">
        <v>187</v>
      </c>
      <c r="S284">
        <v>2507012387</v>
      </c>
      <c r="T284" t="s">
        <v>50</v>
      </c>
      <c r="U284" t="s">
        <v>122</v>
      </c>
      <c r="V284" t="s">
        <v>58</v>
      </c>
      <c r="W284" t="s">
        <v>59</v>
      </c>
      <c r="X284" t="s">
        <v>60</v>
      </c>
      <c r="Z284">
        <v>74</v>
      </c>
      <c r="AA284" t="s">
        <v>942</v>
      </c>
      <c r="AB284" t="s">
        <v>961</v>
      </c>
      <c r="AC284">
        <v>2604000087</v>
      </c>
      <c r="AE284">
        <v>0</v>
      </c>
      <c r="AF284">
        <v>0</v>
      </c>
      <c r="AG284">
        <v>0</v>
      </c>
      <c r="AH284">
        <v>0</v>
      </c>
      <c r="AI284" t="s">
        <v>56</v>
      </c>
      <c r="AJ284">
        <v>4.74</v>
      </c>
      <c r="AK284">
        <v>0.9</v>
      </c>
      <c r="AL284">
        <v>0.15</v>
      </c>
      <c r="AM284">
        <v>29.1</v>
      </c>
      <c r="AN284">
        <v>1.64</v>
      </c>
      <c r="AO284">
        <v>0</v>
      </c>
      <c r="AP284">
        <v>0</v>
      </c>
      <c r="AQ284" t="s">
        <v>57</v>
      </c>
      <c r="AS284" t="s">
        <v>962</v>
      </c>
      <c r="AT284" t="s">
        <v>962</v>
      </c>
      <c r="AU284" t="s">
        <v>961</v>
      </c>
      <c r="AV284" t="s">
        <v>963</v>
      </c>
      <c r="AW284" t="s">
        <v>964</v>
      </c>
      <c r="AZ284">
        <v>13320</v>
      </c>
      <c r="BA284" t="s">
        <v>965</v>
      </c>
      <c r="BB284" t="s">
        <v>61</v>
      </c>
      <c r="BC284" t="s">
        <v>62</v>
      </c>
    </row>
    <row r="285" spans="1:55" x14ac:dyDescent="0.25">
      <c r="A285" s="1" t="str">
        <f>IF(COUNTIF(Catégories!A:A,X285)=0,"catégorie inconnue",_xlfn.XLOOKUP(X285,Catégories!A:A,Catégories!B:B))</f>
        <v>Frêt</v>
      </c>
      <c r="B285" s="1">
        <f t="shared" si="12"/>
        <v>7.4300000000000006</v>
      </c>
      <c r="C285" s="1">
        <f t="shared" si="13"/>
        <v>1.64</v>
      </c>
      <c r="D285" s="1">
        <f t="shared" si="14"/>
        <v>5.7900000000000009</v>
      </c>
      <c r="E285" s="20">
        <f>IF(AH285&lt;&gt;0,ROUNDUP(AH285,0),IF(BB285&lt;&gt;"FR","hors France",IF(AH285&lt;&gt;0,ROUNDUP(AH285,0),_xlfn.XLOOKUP(AJ285,'PA GLS'!B:B,'PA GLS'!A:A))))</f>
        <v>3</v>
      </c>
      <c r="F285">
        <v>2501382993</v>
      </c>
      <c r="G285">
        <v>1030220222</v>
      </c>
      <c r="H285" t="s">
        <v>366</v>
      </c>
      <c r="I285">
        <v>2500034092</v>
      </c>
      <c r="J285" t="s">
        <v>50</v>
      </c>
      <c r="K285">
        <v>9000009190</v>
      </c>
      <c r="L285">
        <v>46946</v>
      </c>
      <c r="M285" t="s">
        <v>51</v>
      </c>
      <c r="N285">
        <v>9000079830</v>
      </c>
      <c r="O285" t="s">
        <v>187</v>
      </c>
      <c r="S285">
        <v>2507012387</v>
      </c>
      <c r="T285" t="s">
        <v>50</v>
      </c>
      <c r="U285" t="s">
        <v>122</v>
      </c>
      <c r="V285" t="s">
        <v>58</v>
      </c>
      <c r="W285" t="s">
        <v>59</v>
      </c>
      <c r="X285" t="s">
        <v>60</v>
      </c>
      <c r="Z285">
        <v>74</v>
      </c>
      <c r="AA285" t="s">
        <v>942</v>
      </c>
      <c r="AB285" t="s">
        <v>953</v>
      </c>
      <c r="AC285">
        <v>2604000089</v>
      </c>
      <c r="AE285">
        <v>0</v>
      </c>
      <c r="AF285">
        <v>0</v>
      </c>
      <c r="AG285">
        <v>0</v>
      </c>
      <c r="AH285">
        <v>0</v>
      </c>
      <c r="AI285" t="s">
        <v>56</v>
      </c>
      <c r="AJ285">
        <v>4.74</v>
      </c>
      <c r="AK285">
        <v>0.9</v>
      </c>
      <c r="AL285">
        <v>0.15</v>
      </c>
      <c r="AM285">
        <v>29.1</v>
      </c>
      <c r="AN285">
        <v>1.64</v>
      </c>
      <c r="AO285">
        <v>0</v>
      </c>
      <c r="AP285">
        <v>0</v>
      </c>
      <c r="AQ285" t="s">
        <v>57</v>
      </c>
      <c r="AS285" t="s">
        <v>954</v>
      </c>
      <c r="AT285" t="s">
        <v>954</v>
      </c>
      <c r="AU285" t="s">
        <v>953</v>
      </c>
      <c r="AV285" t="s">
        <v>955</v>
      </c>
      <c r="AW285" t="s">
        <v>956</v>
      </c>
      <c r="AZ285">
        <v>6100</v>
      </c>
      <c r="BA285" t="s">
        <v>229</v>
      </c>
      <c r="BB285" t="s">
        <v>61</v>
      </c>
      <c r="BC285" t="s">
        <v>62</v>
      </c>
    </row>
    <row r="286" spans="1:55" x14ac:dyDescent="0.25">
      <c r="A286" s="1" t="str">
        <f>IF(COUNTIF(Catégories!A:A,X286)=0,"catégorie inconnue",_xlfn.XLOOKUP(X286,Catégories!A:A,Catégories!B:B))</f>
        <v>Frêt</v>
      </c>
      <c r="B286" s="1">
        <f t="shared" si="12"/>
        <v>7.4300000000000006</v>
      </c>
      <c r="C286" s="1">
        <f t="shared" si="13"/>
        <v>1.64</v>
      </c>
      <c r="D286" s="1">
        <f t="shared" si="14"/>
        <v>5.7900000000000009</v>
      </c>
      <c r="E286" s="20">
        <f>IF(AH286&lt;&gt;0,ROUNDUP(AH286,0),IF(BB286&lt;&gt;"FR","hors France",IF(AH286&lt;&gt;0,ROUNDUP(AH286,0),_xlfn.XLOOKUP(AJ286,'PA GLS'!B:B,'PA GLS'!A:A))))</f>
        <v>3</v>
      </c>
      <c r="F286">
        <v>2501382993</v>
      </c>
      <c r="G286">
        <v>1030220222</v>
      </c>
      <c r="H286" t="s">
        <v>366</v>
      </c>
      <c r="I286">
        <v>2500034092</v>
      </c>
      <c r="J286" t="s">
        <v>50</v>
      </c>
      <c r="K286">
        <v>9000009190</v>
      </c>
      <c r="L286">
        <v>46946</v>
      </c>
      <c r="M286" t="s">
        <v>51</v>
      </c>
      <c r="N286">
        <v>9000079830</v>
      </c>
      <c r="O286" t="s">
        <v>187</v>
      </c>
      <c r="S286">
        <v>2507012387</v>
      </c>
      <c r="T286" t="s">
        <v>50</v>
      </c>
      <c r="U286" t="s">
        <v>122</v>
      </c>
      <c r="V286" t="s">
        <v>58</v>
      </c>
      <c r="W286" t="s">
        <v>59</v>
      </c>
      <c r="X286" t="s">
        <v>60</v>
      </c>
      <c r="Z286">
        <v>74</v>
      </c>
      <c r="AA286" t="s">
        <v>942</v>
      </c>
      <c r="AB286" t="s">
        <v>948</v>
      </c>
      <c r="AC286">
        <v>2604000090</v>
      </c>
      <c r="AE286">
        <v>0</v>
      </c>
      <c r="AF286">
        <v>0</v>
      </c>
      <c r="AG286">
        <v>0</v>
      </c>
      <c r="AH286">
        <v>0</v>
      </c>
      <c r="AI286" t="s">
        <v>56</v>
      </c>
      <c r="AJ286">
        <v>4.74</v>
      </c>
      <c r="AK286">
        <v>0.9</v>
      </c>
      <c r="AL286">
        <v>0.15</v>
      </c>
      <c r="AM286">
        <v>29.1</v>
      </c>
      <c r="AN286">
        <v>1.64</v>
      </c>
      <c r="AO286">
        <v>0</v>
      </c>
      <c r="AP286">
        <v>0</v>
      </c>
      <c r="AQ286" t="s">
        <v>57</v>
      </c>
      <c r="AS286" t="s">
        <v>949</v>
      </c>
      <c r="AT286" t="s">
        <v>949</v>
      </c>
      <c r="AU286" t="s">
        <v>948</v>
      </c>
      <c r="AV286" t="s">
        <v>950</v>
      </c>
      <c r="AW286" t="s">
        <v>951</v>
      </c>
      <c r="AZ286">
        <v>69250</v>
      </c>
      <c r="BA286" t="s">
        <v>952</v>
      </c>
      <c r="BB286" t="s">
        <v>61</v>
      </c>
      <c r="BC286" t="s">
        <v>62</v>
      </c>
    </row>
    <row r="287" spans="1:55" x14ac:dyDescent="0.25">
      <c r="A287" s="1" t="str">
        <f>IF(COUNTIF(Catégories!A:A,X287)=0,"catégorie inconnue",_xlfn.XLOOKUP(X287,Catégories!A:A,Catégories!B:B))</f>
        <v>Frêt</v>
      </c>
      <c r="B287" s="1">
        <f t="shared" si="12"/>
        <v>7.4300000000000006</v>
      </c>
      <c r="C287" s="1">
        <f t="shared" si="13"/>
        <v>1.64</v>
      </c>
      <c r="D287" s="1">
        <f t="shared" si="14"/>
        <v>5.7900000000000009</v>
      </c>
      <c r="E287" s="20">
        <f>IF(AH287&lt;&gt;0,ROUNDUP(AH287,0),IF(BB287&lt;&gt;"FR","hors France",IF(AH287&lt;&gt;0,ROUNDUP(AH287,0),_xlfn.XLOOKUP(AJ287,'PA GLS'!B:B,'PA GLS'!A:A))))</f>
        <v>3</v>
      </c>
      <c r="F287">
        <v>2501382993</v>
      </c>
      <c r="G287">
        <v>1030220222</v>
      </c>
      <c r="H287" t="s">
        <v>366</v>
      </c>
      <c r="I287">
        <v>2500034092</v>
      </c>
      <c r="J287" t="s">
        <v>50</v>
      </c>
      <c r="K287">
        <v>9000009190</v>
      </c>
      <c r="L287">
        <v>46946</v>
      </c>
      <c r="M287" t="s">
        <v>51</v>
      </c>
      <c r="N287">
        <v>9000079830</v>
      </c>
      <c r="O287" t="s">
        <v>187</v>
      </c>
      <c r="S287">
        <v>2507012387</v>
      </c>
      <c r="T287" t="s">
        <v>50</v>
      </c>
      <c r="U287" t="s">
        <v>122</v>
      </c>
      <c r="V287" t="s">
        <v>58</v>
      </c>
      <c r="W287" t="s">
        <v>59</v>
      </c>
      <c r="X287" t="s">
        <v>60</v>
      </c>
      <c r="Z287">
        <v>74</v>
      </c>
      <c r="AA287" t="s">
        <v>942</v>
      </c>
      <c r="AB287" t="s">
        <v>943</v>
      </c>
      <c r="AC287">
        <v>2604000091</v>
      </c>
      <c r="AE287">
        <v>0</v>
      </c>
      <c r="AF287">
        <v>0</v>
      </c>
      <c r="AG287">
        <v>0</v>
      </c>
      <c r="AH287">
        <v>0</v>
      </c>
      <c r="AI287" t="s">
        <v>56</v>
      </c>
      <c r="AJ287">
        <v>4.74</v>
      </c>
      <c r="AK287">
        <v>0.9</v>
      </c>
      <c r="AL287">
        <v>0.15</v>
      </c>
      <c r="AM287">
        <v>29.1</v>
      </c>
      <c r="AN287">
        <v>1.64</v>
      </c>
      <c r="AO287">
        <v>0</v>
      </c>
      <c r="AP287">
        <v>0</v>
      </c>
      <c r="AQ287" t="s">
        <v>57</v>
      </c>
      <c r="AS287" t="s">
        <v>944</v>
      </c>
      <c r="AT287" t="s">
        <v>944</v>
      </c>
      <c r="AU287" t="s">
        <v>943</v>
      </c>
      <c r="AV287" t="s">
        <v>945</v>
      </c>
      <c r="AW287" t="s">
        <v>946</v>
      </c>
      <c r="AZ287">
        <v>95600</v>
      </c>
      <c r="BA287" t="s">
        <v>947</v>
      </c>
      <c r="BB287" t="s">
        <v>61</v>
      </c>
      <c r="BC287" t="s">
        <v>62</v>
      </c>
    </row>
    <row r="288" spans="1:55" x14ac:dyDescent="0.25">
      <c r="A288" s="1" t="str">
        <f>IF(COUNTIF(Catégories!A:A,X288)=0,"catégorie inconnue",_xlfn.XLOOKUP(X288,Catégories!A:A,Catégories!B:B))</f>
        <v>Frêt</v>
      </c>
      <c r="B288" s="1">
        <f t="shared" si="12"/>
        <v>0</v>
      </c>
      <c r="C288" s="1">
        <f t="shared" si="13"/>
        <v>0</v>
      </c>
      <c r="D288" s="1">
        <f t="shared" si="14"/>
        <v>0</v>
      </c>
      <c r="E288" s="20">
        <f>IF(AH288&lt;&gt;0,ROUNDUP(AH288,0),IF(BB288&lt;&gt;"FR","hors France",IF(AH288&lt;&gt;0,ROUNDUP(AH288,0),_xlfn.XLOOKUP(AJ288,'PA GLS'!B:B,'PA GLS'!A:A))))</f>
        <v>1</v>
      </c>
      <c r="F288">
        <v>2501382993</v>
      </c>
      <c r="G288">
        <v>1030220222</v>
      </c>
      <c r="H288" t="s">
        <v>366</v>
      </c>
      <c r="I288">
        <v>2500034092</v>
      </c>
      <c r="J288" t="s">
        <v>50</v>
      </c>
      <c r="K288">
        <v>9000009190</v>
      </c>
      <c r="L288">
        <v>46946</v>
      </c>
      <c r="M288" t="s">
        <v>51</v>
      </c>
      <c r="N288">
        <v>9000079830</v>
      </c>
      <c r="O288" t="s">
        <v>187</v>
      </c>
      <c r="S288">
        <v>2507012387</v>
      </c>
      <c r="T288" t="s">
        <v>50</v>
      </c>
      <c r="U288" t="s">
        <v>122</v>
      </c>
      <c r="V288" t="s">
        <v>176</v>
      </c>
      <c r="W288" t="s">
        <v>177</v>
      </c>
      <c r="X288" t="s">
        <v>152</v>
      </c>
      <c r="Z288">
        <v>72</v>
      </c>
      <c r="AA288" t="s">
        <v>942</v>
      </c>
      <c r="AB288" t="s">
        <v>957</v>
      </c>
      <c r="AC288">
        <v>2604000088</v>
      </c>
      <c r="AE288">
        <v>0</v>
      </c>
      <c r="AF288">
        <v>1</v>
      </c>
      <c r="AG288">
        <v>0</v>
      </c>
      <c r="AH288">
        <v>0.44</v>
      </c>
      <c r="AI288" t="s">
        <v>56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 t="s">
        <v>57</v>
      </c>
      <c r="AS288" t="s">
        <v>958</v>
      </c>
      <c r="AT288" t="s">
        <v>958</v>
      </c>
      <c r="AU288" t="s">
        <v>957</v>
      </c>
      <c r="AV288" t="s">
        <v>959</v>
      </c>
      <c r="AW288" t="s">
        <v>960</v>
      </c>
      <c r="AZ288">
        <v>74940</v>
      </c>
      <c r="BA288" t="s">
        <v>274</v>
      </c>
      <c r="BB288" t="s">
        <v>61</v>
      </c>
      <c r="BC288" t="s">
        <v>62</v>
      </c>
    </row>
    <row r="289" spans="1:55" x14ac:dyDescent="0.25">
      <c r="A289" s="1" t="str">
        <f>IF(COUNTIF(Catégories!A:A,X289)=0,"catégorie inconnue",_xlfn.XLOOKUP(X289,Catégories!A:A,Catégories!B:B))</f>
        <v>Frêt</v>
      </c>
      <c r="B289" s="1">
        <f t="shared" si="12"/>
        <v>0</v>
      </c>
      <c r="C289" s="1">
        <f t="shared" si="13"/>
        <v>0</v>
      </c>
      <c r="D289" s="1">
        <f t="shared" si="14"/>
        <v>0</v>
      </c>
      <c r="E289" s="20">
        <f>IF(AH289&lt;&gt;0,ROUNDUP(AH289,0),IF(BB289&lt;&gt;"FR","hors France",IF(AH289&lt;&gt;0,ROUNDUP(AH289,0),_xlfn.XLOOKUP(AJ289,'PA GLS'!B:B,'PA GLS'!A:A))))</f>
        <v>3</v>
      </c>
      <c r="F289">
        <v>2501382993</v>
      </c>
      <c r="G289">
        <v>1030220222</v>
      </c>
      <c r="H289" t="s">
        <v>366</v>
      </c>
      <c r="I289">
        <v>2500034092</v>
      </c>
      <c r="J289" t="s">
        <v>50</v>
      </c>
      <c r="K289">
        <v>9000009190</v>
      </c>
      <c r="L289">
        <v>46946</v>
      </c>
      <c r="M289" t="s">
        <v>51</v>
      </c>
      <c r="N289">
        <v>9000079830</v>
      </c>
      <c r="O289" t="s">
        <v>187</v>
      </c>
      <c r="S289">
        <v>2507012387</v>
      </c>
      <c r="T289" t="s">
        <v>50</v>
      </c>
      <c r="U289" t="s">
        <v>122</v>
      </c>
      <c r="V289" t="s">
        <v>176</v>
      </c>
      <c r="W289" t="s">
        <v>177</v>
      </c>
      <c r="X289" t="s">
        <v>152</v>
      </c>
      <c r="Z289">
        <v>72</v>
      </c>
      <c r="AA289" t="s">
        <v>942</v>
      </c>
      <c r="AB289" t="s">
        <v>961</v>
      </c>
      <c r="AC289">
        <v>2604000087</v>
      </c>
      <c r="AE289">
        <v>0</v>
      </c>
      <c r="AF289">
        <v>1</v>
      </c>
      <c r="AG289">
        <v>0</v>
      </c>
      <c r="AH289">
        <v>2.52</v>
      </c>
      <c r="AI289" t="s">
        <v>56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 t="s">
        <v>57</v>
      </c>
      <c r="AS289" t="s">
        <v>962</v>
      </c>
      <c r="AT289" t="s">
        <v>962</v>
      </c>
      <c r="AU289" t="s">
        <v>961</v>
      </c>
      <c r="AV289" t="s">
        <v>963</v>
      </c>
      <c r="AW289" t="s">
        <v>964</v>
      </c>
      <c r="AZ289">
        <v>13320</v>
      </c>
      <c r="BA289" t="s">
        <v>965</v>
      </c>
      <c r="BB289" t="s">
        <v>61</v>
      </c>
      <c r="BC289" t="s">
        <v>62</v>
      </c>
    </row>
    <row r="290" spans="1:55" x14ac:dyDescent="0.25">
      <c r="A290" s="1" t="str">
        <f>IF(COUNTIF(Catégories!A:A,X290)=0,"catégorie inconnue",_xlfn.XLOOKUP(X290,Catégories!A:A,Catégories!B:B))</f>
        <v>Frêt - retour</v>
      </c>
      <c r="B290" s="1">
        <f t="shared" si="12"/>
        <v>5.2899999999999991</v>
      </c>
      <c r="C290" s="1">
        <f t="shared" si="13"/>
        <v>1.19</v>
      </c>
      <c r="D290" s="1">
        <f t="shared" si="14"/>
        <v>4.0999999999999996</v>
      </c>
      <c r="E290" s="20">
        <f>IF(AH290&lt;&gt;0,ROUNDUP(AH290,0),IF(BB290&lt;&gt;"FR","hors France",IF(AH290&lt;&gt;0,ROUNDUP(AH290,0),_xlfn.XLOOKUP(AJ290,'PA GLS'!B:B,'PA GLS'!A:A))))</f>
        <v>1</v>
      </c>
      <c r="F290">
        <v>2501382993</v>
      </c>
      <c r="G290">
        <v>1030220153</v>
      </c>
      <c r="H290" t="s">
        <v>366</v>
      </c>
      <c r="I290">
        <v>2500034092</v>
      </c>
      <c r="J290" t="s">
        <v>50</v>
      </c>
      <c r="K290">
        <v>9000009190</v>
      </c>
      <c r="L290">
        <v>46946</v>
      </c>
      <c r="M290" t="s">
        <v>51</v>
      </c>
      <c r="N290">
        <v>9000037814</v>
      </c>
      <c r="O290" t="s">
        <v>51</v>
      </c>
      <c r="S290">
        <v>2507012387</v>
      </c>
      <c r="T290" t="s">
        <v>50</v>
      </c>
      <c r="U290" t="s">
        <v>122</v>
      </c>
      <c r="V290" t="s">
        <v>226</v>
      </c>
      <c r="W290" t="s">
        <v>227</v>
      </c>
      <c r="X290" t="s">
        <v>119</v>
      </c>
      <c r="Z290">
        <v>71</v>
      </c>
      <c r="AA290" t="s">
        <v>942</v>
      </c>
      <c r="AB290" t="s">
        <v>538</v>
      </c>
      <c r="AC290">
        <v>2604000019</v>
      </c>
      <c r="AE290">
        <v>0</v>
      </c>
      <c r="AF290">
        <v>0</v>
      </c>
      <c r="AG290">
        <v>0</v>
      </c>
      <c r="AH290">
        <v>0</v>
      </c>
      <c r="AI290" t="s">
        <v>56</v>
      </c>
      <c r="AJ290">
        <v>4.0999999999999996</v>
      </c>
      <c r="AK290">
        <v>0</v>
      </c>
      <c r="AL290">
        <v>0</v>
      </c>
      <c r="AM290">
        <v>29.1</v>
      </c>
      <c r="AN290">
        <v>1.19</v>
      </c>
      <c r="AO290">
        <v>0</v>
      </c>
      <c r="AP290">
        <v>0</v>
      </c>
      <c r="AQ290" t="s">
        <v>57</v>
      </c>
      <c r="AS290" t="s">
        <v>539</v>
      </c>
      <c r="AT290" t="s">
        <v>539</v>
      </c>
      <c r="AU290" t="s">
        <v>538</v>
      </c>
      <c r="AV290" t="s">
        <v>540</v>
      </c>
      <c r="AW290" t="s">
        <v>541</v>
      </c>
      <c r="AZ290">
        <v>73600</v>
      </c>
      <c r="BA290" t="s">
        <v>542</v>
      </c>
      <c r="BB290" t="s">
        <v>61</v>
      </c>
      <c r="BC290" t="s">
        <v>62</v>
      </c>
    </row>
    <row r="291" spans="1:55" x14ac:dyDescent="0.25">
      <c r="A291" s="1" t="str">
        <f>IF(COUNTIF(Catégories!A:A,X291)=0,"catégorie inconnue",_xlfn.XLOOKUP(X291,Catégories!A:A,Catégories!B:B))</f>
        <v>Frêt</v>
      </c>
      <c r="B291" s="1">
        <f t="shared" si="12"/>
        <v>7.0100000000000007</v>
      </c>
      <c r="C291" s="1">
        <f t="shared" si="13"/>
        <v>1.54</v>
      </c>
      <c r="D291" s="1">
        <f t="shared" si="14"/>
        <v>5.4700000000000006</v>
      </c>
      <c r="E291" s="20">
        <f>IF(AH291&lt;&gt;0,ROUNDUP(AH291,0),IF(BB291&lt;&gt;"FR","hors France",IF(AH291&lt;&gt;0,ROUNDUP(AH291,0),_xlfn.XLOOKUP(AJ291,'PA GLS'!B:B,'PA GLS'!A:A))))</f>
        <v>2</v>
      </c>
      <c r="F291">
        <v>2501382993</v>
      </c>
      <c r="G291">
        <v>1030220153</v>
      </c>
      <c r="H291" t="s">
        <v>366</v>
      </c>
      <c r="I291">
        <v>2500034092</v>
      </c>
      <c r="J291" t="s">
        <v>50</v>
      </c>
      <c r="K291">
        <v>9000009190</v>
      </c>
      <c r="L291">
        <v>46946</v>
      </c>
      <c r="M291" t="s">
        <v>51</v>
      </c>
      <c r="N291">
        <v>9000037814</v>
      </c>
      <c r="O291" t="s">
        <v>51</v>
      </c>
      <c r="S291">
        <v>2507012387</v>
      </c>
      <c r="T291" t="s">
        <v>50</v>
      </c>
      <c r="U291" t="s">
        <v>122</v>
      </c>
      <c r="V291" t="s">
        <v>63</v>
      </c>
      <c r="W291" t="s">
        <v>64</v>
      </c>
      <c r="X291" t="s">
        <v>60</v>
      </c>
      <c r="Z291">
        <v>70</v>
      </c>
      <c r="AA291" t="s">
        <v>942</v>
      </c>
      <c r="AB291" t="s">
        <v>966</v>
      </c>
      <c r="AC291">
        <v>2604000072</v>
      </c>
      <c r="AE291">
        <v>0</v>
      </c>
      <c r="AF291">
        <v>0</v>
      </c>
      <c r="AG291">
        <v>0</v>
      </c>
      <c r="AH291">
        <v>0</v>
      </c>
      <c r="AI291" t="s">
        <v>56</v>
      </c>
      <c r="AJ291">
        <v>4.42</v>
      </c>
      <c r="AK291">
        <v>0.9</v>
      </c>
      <c r="AL291">
        <v>0.15</v>
      </c>
      <c r="AM291">
        <v>29.1</v>
      </c>
      <c r="AN291">
        <v>1.54</v>
      </c>
      <c r="AO291">
        <v>0</v>
      </c>
      <c r="AP291">
        <v>0</v>
      </c>
      <c r="AQ291" t="s">
        <v>57</v>
      </c>
      <c r="AS291" t="s">
        <v>967</v>
      </c>
      <c r="AT291" t="s">
        <v>967</v>
      </c>
      <c r="AU291" t="s">
        <v>966</v>
      </c>
      <c r="AV291" t="s">
        <v>968</v>
      </c>
      <c r="AW291" t="s">
        <v>969</v>
      </c>
      <c r="AZ291">
        <v>93250</v>
      </c>
      <c r="BA291" t="s">
        <v>970</v>
      </c>
      <c r="BB291" t="s">
        <v>61</v>
      </c>
      <c r="BC291" t="s">
        <v>62</v>
      </c>
    </row>
    <row r="292" spans="1:55" x14ac:dyDescent="0.25">
      <c r="A292" s="1" t="str">
        <f>IF(COUNTIF(Catégories!A:A,X292)=0,"catégorie inconnue",_xlfn.XLOOKUP(X292,Catégories!A:A,Catégories!B:B))</f>
        <v>Frêt</v>
      </c>
      <c r="B292" s="1">
        <f t="shared" si="12"/>
        <v>6.17</v>
      </c>
      <c r="C292" s="1">
        <f t="shared" si="13"/>
        <v>1.35</v>
      </c>
      <c r="D292" s="1">
        <f t="shared" si="14"/>
        <v>4.82</v>
      </c>
      <c r="E292" s="20">
        <f>IF(AH292&lt;&gt;0,ROUNDUP(AH292,0),IF(BB292&lt;&gt;"FR","hors France",IF(AH292&lt;&gt;0,ROUNDUP(AH292,0),_xlfn.XLOOKUP(AJ292,'PA GLS'!B:B,'PA GLS'!A:A))))</f>
        <v>0.5</v>
      </c>
      <c r="F292">
        <v>2501382993</v>
      </c>
      <c r="G292">
        <v>1030220153</v>
      </c>
      <c r="H292" t="s">
        <v>366</v>
      </c>
      <c r="I292">
        <v>2500034092</v>
      </c>
      <c r="J292" t="s">
        <v>50</v>
      </c>
      <c r="K292">
        <v>9000009190</v>
      </c>
      <c r="L292">
        <v>46946</v>
      </c>
      <c r="M292" t="s">
        <v>51</v>
      </c>
      <c r="N292">
        <v>9000037814</v>
      </c>
      <c r="O292" t="s">
        <v>51</v>
      </c>
      <c r="S292">
        <v>2507012387</v>
      </c>
      <c r="T292" t="s">
        <v>50</v>
      </c>
      <c r="U292" t="s">
        <v>122</v>
      </c>
      <c r="V292" t="s">
        <v>71</v>
      </c>
      <c r="W292" t="s">
        <v>72</v>
      </c>
      <c r="X292" t="s">
        <v>60</v>
      </c>
      <c r="Z292">
        <v>69</v>
      </c>
      <c r="AA292" t="s">
        <v>942</v>
      </c>
      <c r="AB292" t="s">
        <v>971</v>
      </c>
      <c r="AC292">
        <v>2604000076</v>
      </c>
      <c r="AE292">
        <v>0</v>
      </c>
      <c r="AF292">
        <v>0</v>
      </c>
      <c r="AG292">
        <v>0</v>
      </c>
      <c r="AH292">
        <v>0</v>
      </c>
      <c r="AI292" t="s">
        <v>56</v>
      </c>
      <c r="AJ292">
        <v>3.77</v>
      </c>
      <c r="AK292">
        <v>0.9</v>
      </c>
      <c r="AL292">
        <v>0.15</v>
      </c>
      <c r="AM292">
        <v>29.1</v>
      </c>
      <c r="AN292">
        <v>1.35</v>
      </c>
      <c r="AO292">
        <v>0</v>
      </c>
      <c r="AP292">
        <v>0</v>
      </c>
      <c r="AQ292" t="s">
        <v>57</v>
      </c>
      <c r="AS292" t="s">
        <v>972</v>
      </c>
      <c r="AT292" t="s">
        <v>972</v>
      </c>
      <c r="AU292" t="s">
        <v>971</v>
      </c>
      <c r="AV292" t="s">
        <v>973</v>
      </c>
      <c r="AW292" t="s">
        <v>974</v>
      </c>
      <c r="AZ292">
        <v>92140</v>
      </c>
      <c r="BA292" t="s">
        <v>270</v>
      </c>
      <c r="BB292" t="s">
        <v>61</v>
      </c>
      <c r="BC292" t="s">
        <v>62</v>
      </c>
    </row>
    <row r="293" spans="1:55" x14ac:dyDescent="0.25">
      <c r="A293" s="1" t="str">
        <f>IF(COUNTIF(Catégories!A:A,X293)=0,"catégorie inconnue",_xlfn.XLOOKUP(X293,Catégories!A:A,Catégories!B:B))</f>
        <v>Frêt</v>
      </c>
      <c r="B293" s="1">
        <f t="shared" si="12"/>
        <v>6.17</v>
      </c>
      <c r="C293" s="1">
        <f t="shared" si="13"/>
        <v>1.35</v>
      </c>
      <c r="D293" s="1">
        <f t="shared" si="14"/>
        <v>4.82</v>
      </c>
      <c r="E293" s="20">
        <f>IF(AH293&lt;&gt;0,ROUNDUP(AH293,0),IF(BB293&lt;&gt;"FR","hors France",IF(AH293&lt;&gt;0,ROUNDUP(AH293,0),_xlfn.XLOOKUP(AJ293,'PA GLS'!B:B,'PA GLS'!A:A))))</f>
        <v>0.5</v>
      </c>
      <c r="F293">
        <v>2501382993</v>
      </c>
      <c r="G293">
        <v>1030220153</v>
      </c>
      <c r="H293" t="s">
        <v>366</v>
      </c>
      <c r="I293">
        <v>2500034092</v>
      </c>
      <c r="J293" t="s">
        <v>50</v>
      </c>
      <c r="K293">
        <v>9000009190</v>
      </c>
      <c r="L293">
        <v>46946</v>
      </c>
      <c r="M293" t="s">
        <v>51</v>
      </c>
      <c r="N293">
        <v>9000037814</v>
      </c>
      <c r="O293" t="s">
        <v>51</v>
      </c>
      <c r="S293">
        <v>2507012387</v>
      </c>
      <c r="T293" t="s">
        <v>50</v>
      </c>
      <c r="U293" t="s">
        <v>122</v>
      </c>
      <c r="V293" t="s">
        <v>71</v>
      </c>
      <c r="W293" t="s">
        <v>72</v>
      </c>
      <c r="X293" t="s">
        <v>60</v>
      </c>
      <c r="Z293">
        <v>69</v>
      </c>
      <c r="AA293" t="s">
        <v>942</v>
      </c>
      <c r="AB293" t="s">
        <v>975</v>
      </c>
      <c r="AC293">
        <v>2604000075</v>
      </c>
      <c r="AE293">
        <v>0</v>
      </c>
      <c r="AF293">
        <v>0</v>
      </c>
      <c r="AG293">
        <v>0</v>
      </c>
      <c r="AH293">
        <v>0</v>
      </c>
      <c r="AI293" t="s">
        <v>56</v>
      </c>
      <c r="AJ293">
        <v>3.77</v>
      </c>
      <c r="AK293">
        <v>0.9</v>
      </c>
      <c r="AL293">
        <v>0.15</v>
      </c>
      <c r="AM293">
        <v>29.1</v>
      </c>
      <c r="AN293">
        <v>1.35</v>
      </c>
      <c r="AO293">
        <v>0</v>
      </c>
      <c r="AP293">
        <v>0</v>
      </c>
      <c r="AQ293" t="s">
        <v>57</v>
      </c>
      <c r="AS293" t="s">
        <v>976</v>
      </c>
      <c r="AT293" t="s">
        <v>976</v>
      </c>
      <c r="AU293" t="s">
        <v>975</v>
      </c>
      <c r="AV293" t="s">
        <v>977</v>
      </c>
      <c r="AW293" t="s">
        <v>978</v>
      </c>
      <c r="AZ293">
        <v>73000</v>
      </c>
      <c r="BA293" t="s">
        <v>346</v>
      </c>
      <c r="BB293" t="s">
        <v>61</v>
      </c>
      <c r="BC293" t="s">
        <v>62</v>
      </c>
    </row>
    <row r="294" spans="1:55" x14ac:dyDescent="0.25">
      <c r="A294" s="1" t="str">
        <f>IF(COUNTIF(Catégories!A:A,X294)=0,"catégorie inconnue",_xlfn.XLOOKUP(X294,Catégories!A:A,Catégories!B:B))</f>
        <v>Frêt</v>
      </c>
      <c r="B294" s="1">
        <f t="shared" si="12"/>
        <v>6.17</v>
      </c>
      <c r="C294" s="1">
        <f t="shared" si="13"/>
        <v>1.35</v>
      </c>
      <c r="D294" s="1">
        <f t="shared" si="14"/>
        <v>4.82</v>
      </c>
      <c r="E294" s="20">
        <f>IF(AH294&lt;&gt;0,ROUNDUP(AH294,0),IF(BB294&lt;&gt;"FR","hors France",IF(AH294&lt;&gt;0,ROUNDUP(AH294,0),_xlfn.XLOOKUP(AJ294,'PA GLS'!B:B,'PA GLS'!A:A))))</f>
        <v>0.5</v>
      </c>
      <c r="F294">
        <v>2501382993</v>
      </c>
      <c r="G294">
        <v>1030220153</v>
      </c>
      <c r="H294" t="s">
        <v>366</v>
      </c>
      <c r="I294">
        <v>2500034092</v>
      </c>
      <c r="J294" t="s">
        <v>50</v>
      </c>
      <c r="K294">
        <v>9000009190</v>
      </c>
      <c r="L294">
        <v>46946</v>
      </c>
      <c r="M294" t="s">
        <v>51</v>
      </c>
      <c r="N294">
        <v>9000037814</v>
      </c>
      <c r="O294" t="s">
        <v>51</v>
      </c>
      <c r="S294">
        <v>2507012387</v>
      </c>
      <c r="T294" t="s">
        <v>50</v>
      </c>
      <c r="U294" t="s">
        <v>122</v>
      </c>
      <c r="V294" t="s">
        <v>71</v>
      </c>
      <c r="W294" t="s">
        <v>72</v>
      </c>
      <c r="X294" t="s">
        <v>60</v>
      </c>
      <c r="Z294">
        <v>69</v>
      </c>
      <c r="AA294" t="s">
        <v>942</v>
      </c>
      <c r="AB294" t="s">
        <v>979</v>
      </c>
      <c r="AC294">
        <v>2604000074</v>
      </c>
      <c r="AE294">
        <v>0</v>
      </c>
      <c r="AF294">
        <v>0</v>
      </c>
      <c r="AG294">
        <v>0</v>
      </c>
      <c r="AH294">
        <v>0</v>
      </c>
      <c r="AI294" t="s">
        <v>56</v>
      </c>
      <c r="AJ294">
        <v>3.77</v>
      </c>
      <c r="AK294">
        <v>0.9</v>
      </c>
      <c r="AL294">
        <v>0.15</v>
      </c>
      <c r="AM294">
        <v>29.1</v>
      </c>
      <c r="AN294">
        <v>1.35</v>
      </c>
      <c r="AO294">
        <v>0</v>
      </c>
      <c r="AP294">
        <v>0</v>
      </c>
      <c r="AQ294" t="s">
        <v>57</v>
      </c>
      <c r="AS294" t="s">
        <v>980</v>
      </c>
      <c r="AT294" t="s">
        <v>980</v>
      </c>
      <c r="AU294" t="s">
        <v>979</v>
      </c>
      <c r="AV294" t="s">
        <v>981</v>
      </c>
      <c r="AW294" t="s">
        <v>982</v>
      </c>
      <c r="AZ294">
        <v>92400</v>
      </c>
      <c r="BA294" t="s">
        <v>262</v>
      </c>
      <c r="BB294" t="s">
        <v>61</v>
      </c>
      <c r="BC294" t="s">
        <v>62</v>
      </c>
    </row>
    <row r="295" spans="1:55" x14ac:dyDescent="0.25">
      <c r="A295" s="1" t="str">
        <f>IF(COUNTIF(Catégories!A:A,X295)=0,"catégorie inconnue",_xlfn.XLOOKUP(X295,Catégories!A:A,Catégories!B:B))</f>
        <v>Frêt</v>
      </c>
      <c r="B295" s="1">
        <f t="shared" si="12"/>
        <v>6.17</v>
      </c>
      <c r="C295" s="1">
        <f t="shared" si="13"/>
        <v>1.35</v>
      </c>
      <c r="D295" s="1">
        <f t="shared" si="14"/>
        <v>4.82</v>
      </c>
      <c r="E295" s="20">
        <f>IF(AH295&lt;&gt;0,ROUNDUP(AH295,0),IF(BB295&lt;&gt;"FR","hors France",IF(AH295&lt;&gt;0,ROUNDUP(AH295,0),_xlfn.XLOOKUP(AJ295,'PA GLS'!B:B,'PA GLS'!A:A))))</f>
        <v>0.5</v>
      </c>
      <c r="F295">
        <v>2501382993</v>
      </c>
      <c r="G295">
        <v>1030220153</v>
      </c>
      <c r="H295" t="s">
        <v>366</v>
      </c>
      <c r="I295">
        <v>2500034092</v>
      </c>
      <c r="J295" t="s">
        <v>50</v>
      </c>
      <c r="K295">
        <v>9000009190</v>
      </c>
      <c r="L295">
        <v>46946</v>
      </c>
      <c r="M295" t="s">
        <v>51</v>
      </c>
      <c r="N295">
        <v>9000037814</v>
      </c>
      <c r="O295" t="s">
        <v>51</v>
      </c>
      <c r="S295">
        <v>2507012387</v>
      </c>
      <c r="T295" t="s">
        <v>50</v>
      </c>
      <c r="U295" t="s">
        <v>122</v>
      </c>
      <c r="V295" t="s">
        <v>71</v>
      </c>
      <c r="W295" t="s">
        <v>72</v>
      </c>
      <c r="X295" t="s">
        <v>60</v>
      </c>
      <c r="Z295">
        <v>69</v>
      </c>
      <c r="AA295" t="s">
        <v>942</v>
      </c>
      <c r="AB295" t="s">
        <v>983</v>
      </c>
      <c r="AC295">
        <v>2604000073</v>
      </c>
      <c r="AE295">
        <v>0</v>
      </c>
      <c r="AF295">
        <v>0</v>
      </c>
      <c r="AG295">
        <v>0</v>
      </c>
      <c r="AH295">
        <v>0</v>
      </c>
      <c r="AI295" t="s">
        <v>56</v>
      </c>
      <c r="AJ295">
        <v>3.77</v>
      </c>
      <c r="AK295">
        <v>0.9</v>
      </c>
      <c r="AL295">
        <v>0.15</v>
      </c>
      <c r="AM295">
        <v>29.1</v>
      </c>
      <c r="AN295">
        <v>1.35</v>
      </c>
      <c r="AO295">
        <v>0</v>
      </c>
      <c r="AP295">
        <v>0</v>
      </c>
      <c r="AQ295" t="s">
        <v>57</v>
      </c>
      <c r="AS295" t="s">
        <v>984</v>
      </c>
      <c r="AT295" t="s">
        <v>984</v>
      </c>
      <c r="AU295" t="s">
        <v>983</v>
      </c>
      <c r="AV295" t="s">
        <v>985</v>
      </c>
      <c r="AW295" t="s">
        <v>986</v>
      </c>
      <c r="AZ295">
        <v>84000</v>
      </c>
      <c r="BA295" t="s">
        <v>289</v>
      </c>
      <c r="BB295" t="s">
        <v>61</v>
      </c>
      <c r="BC295" t="s">
        <v>62</v>
      </c>
    </row>
    <row r="296" spans="1:55" x14ac:dyDescent="0.25">
      <c r="A296" s="1" t="str">
        <f>IF(COUNTIF(Catégories!A:A,X296)=0,"catégorie inconnue",_xlfn.XLOOKUP(X296,Catégories!A:A,Catégories!B:B))</f>
        <v>Frêt</v>
      </c>
      <c r="B296" s="1">
        <f t="shared" si="12"/>
        <v>0</v>
      </c>
      <c r="C296" s="1">
        <f t="shared" si="13"/>
        <v>0</v>
      </c>
      <c r="D296" s="1">
        <f t="shared" si="14"/>
        <v>0</v>
      </c>
      <c r="E296" s="20">
        <f>IF(AH296&lt;&gt;0,ROUNDUP(AH296,0),IF(BB296&lt;&gt;"FR","hors France",IF(AH296&lt;&gt;0,ROUNDUP(AH296,0),_xlfn.XLOOKUP(AJ296,'PA GLS'!B:B,'PA GLS'!A:A))))</f>
        <v>1</v>
      </c>
      <c r="F296">
        <v>2501382993</v>
      </c>
      <c r="G296">
        <v>1030220153</v>
      </c>
      <c r="H296" t="s">
        <v>366</v>
      </c>
      <c r="I296">
        <v>2500034092</v>
      </c>
      <c r="J296" t="s">
        <v>50</v>
      </c>
      <c r="K296">
        <v>9000009190</v>
      </c>
      <c r="L296">
        <v>46946</v>
      </c>
      <c r="M296" t="s">
        <v>51</v>
      </c>
      <c r="N296">
        <v>9000037814</v>
      </c>
      <c r="O296" t="s">
        <v>51</v>
      </c>
      <c r="S296">
        <v>2507012387</v>
      </c>
      <c r="T296" t="s">
        <v>50</v>
      </c>
      <c r="U296" t="s">
        <v>122</v>
      </c>
      <c r="V296" t="s">
        <v>176</v>
      </c>
      <c r="W296" t="s">
        <v>177</v>
      </c>
      <c r="X296" t="s">
        <v>152</v>
      </c>
      <c r="Z296">
        <v>68</v>
      </c>
      <c r="AA296" t="s">
        <v>942</v>
      </c>
      <c r="AB296" t="s">
        <v>971</v>
      </c>
      <c r="AC296">
        <v>2604000076</v>
      </c>
      <c r="AE296">
        <v>0</v>
      </c>
      <c r="AF296">
        <v>1</v>
      </c>
      <c r="AG296">
        <v>0</v>
      </c>
      <c r="AH296">
        <v>0.28000000000000003</v>
      </c>
      <c r="AI296" t="s">
        <v>56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 t="s">
        <v>57</v>
      </c>
      <c r="AS296" t="s">
        <v>972</v>
      </c>
      <c r="AT296" t="s">
        <v>972</v>
      </c>
      <c r="AU296" t="s">
        <v>971</v>
      </c>
      <c r="AV296" t="s">
        <v>973</v>
      </c>
      <c r="AW296" t="s">
        <v>974</v>
      </c>
      <c r="AZ296">
        <v>92140</v>
      </c>
      <c r="BA296" t="s">
        <v>270</v>
      </c>
      <c r="BB296" t="s">
        <v>61</v>
      </c>
      <c r="BC296" t="s">
        <v>62</v>
      </c>
    </row>
    <row r="297" spans="1:55" x14ac:dyDescent="0.25">
      <c r="A297" s="1" t="str">
        <f>IF(COUNTIF(Catégories!A:A,X297)=0,"catégorie inconnue",_xlfn.XLOOKUP(X297,Catégories!A:A,Catégories!B:B))</f>
        <v>Frêt</v>
      </c>
      <c r="B297" s="1">
        <f t="shared" si="12"/>
        <v>0</v>
      </c>
      <c r="C297" s="1">
        <f t="shared" si="13"/>
        <v>0</v>
      </c>
      <c r="D297" s="1">
        <f t="shared" si="14"/>
        <v>0</v>
      </c>
      <c r="E297" s="20">
        <f>IF(AH297&lt;&gt;0,ROUNDUP(AH297,0),IF(BB297&lt;&gt;"FR","hors France",IF(AH297&lt;&gt;0,ROUNDUP(AH297,0),_xlfn.XLOOKUP(AJ297,'PA GLS'!B:B,'PA GLS'!A:A))))</f>
        <v>1</v>
      </c>
      <c r="F297">
        <v>2501382993</v>
      </c>
      <c r="G297">
        <v>1030220153</v>
      </c>
      <c r="H297" t="s">
        <v>366</v>
      </c>
      <c r="I297">
        <v>2500034092</v>
      </c>
      <c r="J297" t="s">
        <v>50</v>
      </c>
      <c r="K297">
        <v>9000009190</v>
      </c>
      <c r="L297">
        <v>46946</v>
      </c>
      <c r="M297" t="s">
        <v>51</v>
      </c>
      <c r="N297">
        <v>9000037814</v>
      </c>
      <c r="O297" t="s">
        <v>51</v>
      </c>
      <c r="S297">
        <v>2507012387</v>
      </c>
      <c r="T297" t="s">
        <v>50</v>
      </c>
      <c r="U297" t="s">
        <v>122</v>
      </c>
      <c r="V297" t="s">
        <v>176</v>
      </c>
      <c r="W297" t="s">
        <v>177</v>
      </c>
      <c r="X297" t="s">
        <v>152</v>
      </c>
      <c r="Z297">
        <v>68</v>
      </c>
      <c r="AA297" t="s">
        <v>942</v>
      </c>
      <c r="AB297" t="s">
        <v>975</v>
      </c>
      <c r="AC297">
        <v>2604000075</v>
      </c>
      <c r="AE297">
        <v>0</v>
      </c>
      <c r="AF297">
        <v>1</v>
      </c>
      <c r="AG297">
        <v>0</v>
      </c>
      <c r="AH297">
        <v>0.42</v>
      </c>
      <c r="AI297" t="s">
        <v>56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 t="s">
        <v>57</v>
      </c>
      <c r="AS297" t="s">
        <v>976</v>
      </c>
      <c r="AT297" t="s">
        <v>976</v>
      </c>
      <c r="AU297" t="s">
        <v>975</v>
      </c>
      <c r="AV297" t="s">
        <v>977</v>
      </c>
      <c r="AW297" t="s">
        <v>978</v>
      </c>
      <c r="AZ297">
        <v>73000</v>
      </c>
      <c r="BA297" t="s">
        <v>346</v>
      </c>
      <c r="BB297" t="s">
        <v>61</v>
      </c>
      <c r="BC297" t="s">
        <v>62</v>
      </c>
    </row>
    <row r="298" spans="1:55" x14ac:dyDescent="0.25">
      <c r="A298" s="1" t="str">
        <f>IF(COUNTIF(Catégories!A:A,X298)=0,"catégorie inconnue",_xlfn.XLOOKUP(X298,Catégories!A:A,Catégories!B:B))</f>
        <v>Frêt</v>
      </c>
      <c r="B298" s="1">
        <f t="shared" si="12"/>
        <v>0</v>
      </c>
      <c r="C298" s="1">
        <f t="shared" si="13"/>
        <v>0</v>
      </c>
      <c r="D298" s="1">
        <f t="shared" si="14"/>
        <v>0</v>
      </c>
      <c r="E298" s="20">
        <f>IF(AH298&lt;&gt;0,ROUNDUP(AH298,0),IF(BB298&lt;&gt;"FR","hors France",IF(AH298&lt;&gt;0,ROUNDUP(AH298,0),_xlfn.XLOOKUP(AJ298,'PA GLS'!B:B,'PA GLS'!A:A))))</f>
        <v>1</v>
      </c>
      <c r="F298">
        <v>2501382993</v>
      </c>
      <c r="G298">
        <v>1030220153</v>
      </c>
      <c r="H298" t="s">
        <v>366</v>
      </c>
      <c r="I298">
        <v>2500034092</v>
      </c>
      <c r="J298" t="s">
        <v>50</v>
      </c>
      <c r="K298">
        <v>9000009190</v>
      </c>
      <c r="L298">
        <v>46946</v>
      </c>
      <c r="M298" t="s">
        <v>51</v>
      </c>
      <c r="N298">
        <v>9000037814</v>
      </c>
      <c r="O298" t="s">
        <v>51</v>
      </c>
      <c r="S298">
        <v>2507012387</v>
      </c>
      <c r="T298" t="s">
        <v>50</v>
      </c>
      <c r="U298" t="s">
        <v>122</v>
      </c>
      <c r="V298" t="s">
        <v>176</v>
      </c>
      <c r="W298" t="s">
        <v>177</v>
      </c>
      <c r="X298" t="s">
        <v>152</v>
      </c>
      <c r="Z298">
        <v>68</v>
      </c>
      <c r="AA298" t="s">
        <v>942</v>
      </c>
      <c r="AB298" t="s">
        <v>979</v>
      </c>
      <c r="AC298">
        <v>2604000074</v>
      </c>
      <c r="AE298">
        <v>0</v>
      </c>
      <c r="AF298">
        <v>1</v>
      </c>
      <c r="AG298">
        <v>0</v>
      </c>
      <c r="AH298">
        <v>0.32</v>
      </c>
      <c r="AI298" t="s">
        <v>56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 t="s">
        <v>57</v>
      </c>
      <c r="AS298" t="s">
        <v>980</v>
      </c>
      <c r="AT298" t="s">
        <v>980</v>
      </c>
      <c r="AU298" t="s">
        <v>979</v>
      </c>
      <c r="AV298" t="s">
        <v>981</v>
      </c>
      <c r="AW298" t="s">
        <v>982</v>
      </c>
      <c r="AZ298">
        <v>92400</v>
      </c>
      <c r="BA298" t="s">
        <v>262</v>
      </c>
      <c r="BB298" t="s">
        <v>61</v>
      </c>
      <c r="BC298" t="s">
        <v>62</v>
      </c>
    </row>
    <row r="299" spans="1:55" x14ac:dyDescent="0.25">
      <c r="A299" s="1" t="str">
        <f>IF(COUNTIF(Catégories!A:A,X299)=0,"catégorie inconnue",_xlfn.XLOOKUP(X299,Catégories!A:A,Catégories!B:B))</f>
        <v>Frêt</v>
      </c>
      <c r="B299" s="1">
        <f t="shared" si="12"/>
        <v>0</v>
      </c>
      <c r="C299" s="1">
        <f t="shared" si="13"/>
        <v>0</v>
      </c>
      <c r="D299" s="1">
        <f t="shared" si="14"/>
        <v>0</v>
      </c>
      <c r="E299" s="20">
        <f>IF(AH299&lt;&gt;0,ROUNDUP(AH299,0),IF(BB299&lt;&gt;"FR","hors France",IF(AH299&lt;&gt;0,ROUNDUP(AH299,0),_xlfn.XLOOKUP(AJ299,'PA GLS'!B:B,'PA GLS'!A:A))))</f>
        <v>1</v>
      </c>
      <c r="F299">
        <v>2501382993</v>
      </c>
      <c r="G299">
        <v>1030220153</v>
      </c>
      <c r="H299" t="s">
        <v>366</v>
      </c>
      <c r="I299">
        <v>2500034092</v>
      </c>
      <c r="J299" t="s">
        <v>50</v>
      </c>
      <c r="K299">
        <v>9000009190</v>
      </c>
      <c r="L299">
        <v>46946</v>
      </c>
      <c r="M299" t="s">
        <v>51</v>
      </c>
      <c r="N299">
        <v>9000037814</v>
      </c>
      <c r="O299" t="s">
        <v>51</v>
      </c>
      <c r="S299">
        <v>2507012387</v>
      </c>
      <c r="T299" t="s">
        <v>50</v>
      </c>
      <c r="U299" t="s">
        <v>122</v>
      </c>
      <c r="V299" t="s">
        <v>176</v>
      </c>
      <c r="W299" t="s">
        <v>177</v>
      </c>
      <c r="X299" t="s">
        <v>152</v>
      </c>
      <c r="Z299">
        <v>68</v>
      </c>
      <c r="AA299" t="s">
        <v>942</v>
      </c>
      <c r="AB299" t="s">
        <v>983</v>
      </c>
      <c r="AC299">
        <v>2604000073</v>
      </c>
      <c r="AE299">
        <v>0</v>
      </c>
      <c r="AF299">
        <v>1</v>
      </c>
      <c r="AG299">
        <v>0</v>
      </c>
      <c r="AH299">
        <v>0.32</v>
      </c>
      <c r="AI299" t="s">
        <v>56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 t="s">
        <v>57</v>
      </c>
      <c r="AS299" t="s">
        <v>984</v>
      </c>
      <c r="AT299" t="s">
        <v>984</v>
      </c>
      <c r="AU299" t="s">
        <v>983</v>
      </c>
      <c r="AV299" t="s">
        <v>985</v>
      </c>
      <c r="AW299" t="s">
        <v>986</v>
      </c>
      <c r="AZ299">
        <v>84000</v>
      </c>
      <c r="BA299" t="s">
        <v>289</v>
      </c>
      <c r="BB299" t="s">
        <v>61</v>
      </c>
      <c r="BC299" t="s">
        <v>62</v>
      </c>
    </row>
    <row r="300" spans="1:55" x14ac:dyDescent="0.25">
      <c r="A300" s="1" t="str">
        <f>IF(COUNTIF(Catégories!A:A,X300)=0,"catégorie inconnue",_xlfn.XLOOKUP(X300,Catégories!A:A,Catégories!B:B))</f>
        <v>Frêt</v>
      </c>
      <c r="B300" s="1">
        <f t="shared" si="12"/>
        <v>0</v>
      </c>
      <c r="C300" s="1">
        <f t="shared" si="13"/>
        <v>0</v>
      </c>
      <c r="D300" s="1">
        <f t="shared" si="14"/>
        <v>0</v>
      </c>
      <c r="E300" s="20">
        <f>IF(AH300&lt;&gt;0,ROUNDUP(AH300,0),IF(BB300&lt;&gt;"FR","hors France",IF(AH300&lt;&gt;0,ROUNDUP(AH300,0),_xlfn.XLOOKUP(AJ300,'PA GLS'!B:B,'PA GLS'!A:A))))</f>
        <v>2</v>
      </c>
      <c r="F300">
        <v>2501382993</v>
      </c>
      <c r="G300">
        <v>1030220153</v>
      </c>
      <c r="H300" t="s">
        <v>366</v>
      </c>
      <c r="I300">
        <v>2500034092</v>
      </c>
      <c r="J300" t="s">
        <v>50</v>
      </c>
      <c r="K300">
        <v>9000009190</v>
      </c>
      <c r="L300">
        <v>46946</v>
      </c>
      <c r="M300" t="s">
        <v>51</v>
      </c>
      <c r="N300">
        <v>9000037814</v>
      </c>
      <c r="O300" t="s">
        <v>51</v>
      </c>
      <c r="S300">
        <v>2507012387</v>
      </c>
      <c r="T300" t="s">
        <v>50</v>
      </c>
      <c r="U300" t="s">
        <v>122</v>
      </c>
      <c r="V300" t="s">
        <v>176</v>
      </c>
      <c r="W300" t="s">
        <v>177</v>
      </c>
      <c r="X300" t="s">
        <v>152</v>
      </c>
      <c r="Z300">
        <v>68</v>
      </c>
      <c r="AA300" t="s">
        <v>942</v>
      </c>
      <c r="AB300" t="s">
        <v>966</v>
      </c>
      <c r="AC300">
        <v>2604000072</v>
      </c>
      <c r="AE300">
        <v>0</v>
      </c>
      <c r="AF300">
        <v>1</v>
      </c>
      <c r="AG300">
        <v>0</v>
      </c>
      <c r="AH300">
        <v>1.02</v>
      </c>
      <c r="AI300" t="s">
        <v>56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 t="s">
        <v>57</v>
      </c>
      <c r="AS300" t="s">
        <v>967</v>
      </c>
      <c r="AT300" t="s">
        <v>967</v>
      </c>
      <c r="AU300" t="s">
        <v>966</v>
      </c>
      <c r="AV300" t="s">
        <v>968</v>
      </c>
      <c r="AW300" t="s">
        <v>969</v>
      </c>
      <c r="AZ300">
        <v>93250</v>
      </c>
      <c r="BA300" t="s">
        <v>970</v>
      </c>
      <c r="BB300" t="s">
        <v>61</v>
      </c>
      <c r="BC300" t="s">
        <v>62</v>
      </c>
    </row>
    <row r="301" spans="1:55" x14ac:dyDescent="0.25">
      <c r="A301" s="1" t="str">
        <f>IF(COUNTIF(Catégories!A:A,X301)=0,"catégorie inconnue",_xlfn.XLOOKUP(X301,Catégories!A:A,Catégories!B:B))</f>
        <v>Frêt</v>
      </c>
      <c r="B301" s="1">
        <f t="shared" si="12"/>
        <v>0</v>
      </c>
      <c r="C301" s="1">
        <f t="shared" si="13"/>
        <v>0</v>
      </c>
      <c r="D301" s="1">
        <f t="shared" si="14"/>
        <v>0</v>
      </c>
      <c r="E301" s="20">
        <f>IF(AH301&lt;&gt;0,ROUNDUP(AH301,0),IF(BB301&lt;&gt;"FR","hors France",IF(AH301&lt;&gt;0,ROUNDUP(AH301,0),_xlfn.XLOOKUP(AJ301,'PA GLS'!B:B,'PA GLS'!A:A))))</f>
        <v>3</v>
      </c>
      <c r="F301">
        <v>2501382993</v>
      </c>
      <c r="G301">
        <v>1030234702</v>
      </c>
      <c r="H301" t="s">
        <v>366</v>
      </c>
      <c r="I301">
        <v>2500034092</v>
      </c>
      <c r="J301" t="s">
        <v>50</v>
      </c>
      <c r="K301">
        <v>9000009190</v>
      </c>
      <c r="L301">
        <v>46946</v>
      </c>
      <c r="M301" t="s">
        <v>51</v>
      </c>
      <c r="N301">
        <v>9000082822</v>
      </c>
      <c r="O301" t="s">
        <v>175</v>
      </c>
      <c r="S301">
        <v>2507012387</v>
      </c>
      <c r="T301" t="s">
        <v>50</v>
      </c>
      <c r="U301" t="s">
        <v>122</v>
      </c>
      <c r="V301" t="s">
        <v>176</v>
      </c>
      <c r="W301" t="s">
        <v>177</v>
      </c>
      <c r="X301" t="s">
        <v>152</v>
      </c>
      <c r="Z301">
        <v>206</v>
      </c>
      <c r="AA301" t="s">
        <v>987</v>
      </c>
      <c r="AB301" t="s">
        <v>988</v>
      </c>
      <c r="AC301">
        <v>6864367</v>
      </c>
      <c r="AE301">
        <v>0</v>
      </c>
      <c r="AF301">
        <v>1</v>
      </c>
      <c r="AG301">
        <v>0</v>
      </c>
      <c r="AH301">
        <v>2.34</v>
      </c>
      <c r="AI301" t="s">
        <v>56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 t="s">
        <v>57</v>
      </c>
      <c r="AS301" t="s">
        <v>989</v>
      </c>
      <c r="AU301" t="s">
        <v>988</v>
      </c>
      <c r="AV301" t="s">
        <v>990</v>
      </c>
      <c r="AW301" t="s">
        <v>991</v>
      </c>
      <c r="AX301" t="s">
        <v>992</v>
      </c>
      <c r="AY301" t="s">
        <v>990</v>
      </c>
      <c r="AZ301">
        <v>6130</v>
      </c>
      <c r="BA301" t="s">
        <v>272</v>
      </c>
      <c r="BB301" t="s">
        <v>61</v>
      </c>
      <c r="BC301" t="s">
        <v>62</v>
      </c>
    </row>
    <row r="302" spans="1:55" x14ac:dyDescent="0.25">
      <c r="A302" s="1" t="str">
        <f>IF(COUNTIF(Catégories!A:A,X302)=0,"catégorie inconnue",_xlfn.XLOOKUP(X302,Catégories!A:A,Catégories!B:B))</f>
        <v>Frêt</v>
      </c>
      <c r="B302" s="1">
        <f t="shared" si="12"/>
        <v>0</v>
      </c>
      <c r="C302" s="1">
        <f t="shared" si="13"/>
        <v>0</v>
      </c>
      <c r="D302" s="1">
        <f t="shared" si="14"/>
        <v>0</v>
      </c>
      <c r="E302" s="20">
        <f>IF(AH302&lt;&gt;0,ROUNDUP(AH302,0),IF(BB302&lt;&gt;"FR","hors France",IF(AH302&lt;&gt;0,ROUNDUP(AH302,0),_xlfn.XLOOKUP(AJ302,'PA GLS'!B:B,'PA GLS'!A:A))))</f>
        <v>4</v>
      </c>
      <c r="F302">
        <v>2501382993</v>
      </c>
      <c r="G302">
        <v>1030234702</v>
      </c>
      <c r="H302" t="s">
        <v>366</v>
      </c>
      <c r="I302">
        <v>2500034092</v>
      </c>
      <c r="J302" t="s">
        <v>50</v>
      </c>
      <c r="K302">
        <v>9000009190</v>
      </c>
      <c r="L302">
        <v>46946</v>
      </c>
      <c r="M302" t="s">
        <v>51</v>
      </c>
      <c r="N302">
        <v>9000082822</v>
      </c>
      <c r="O302" t="s">
        <v>175</v>
      </c>
      <c r="S302">
        <v>2507012387</v>
      </c>
      <c r="T302" t="s">
        <v>50</v>
      </c>
      <c r="U302" t="s">
        <v>122</v>
      </c>
      <c r="V302" t="s">
        <v>176</v>
      </c>
      <c r="W302" t="s">
        <v>177</v>
      </c>
      <c r="X302" t="s">
        <v>152</v>
      </c>
      <c r="Z302">
        <v>206</v>
      </c>
      <c r="AA302" t="s">
        <v>987</v>
      </c>
      <c r="AB302" t="s">
        <v>993</v>
      </c>
      <c r="AC302">
        <v>6868295</v>
      </c>
      <c r="AE302">
        <v>0</v>
      </c>
      <c r="AF302">
        <v>1</v>
      </c>
      <c r="AG302">
        <v>0</v>
      </c>
      <c r="AH302">
        <v>3.96</v>
      </c>
      <c r="AI302" t="s">
        <v>56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 t="s">
        <v>57</v>
      </c>
      <c r="AS302" t="s">
        <v>994</v>
      </c>
      <c r="AU302" t="s">
        <v>993</v>
      </c>
      <c r="AV302" t="s">
        <v>995</v>
      </c>
      <c r="AW302" t="s">
        <v>996</v>
      </c>
      <c r="AZ302">
        <v>13620</v>
      </c>
      <c r="BA302" t="s">
        <v>997</v>
      </c>
      <c r="BB302" t="s">
        <v>61</v>
      </c>
      <c r="BC302" t="s">
        <v>62</v>
      </c>
    </row>
    <row r="303" spans="1:55" x14ac:dyDescent="0.25">
      <c r="A303" s="1" t="str">
        <f>IF(COUNTIF(Catégories!A:A,X303)=0,"catégorie inconnue",_xlfn.XLOOKUP(X303,Catégories!A:A,Catégories!B:B))</f>
        <v>Frêt</v>
      </c>
      <c r="B303" s="1">
        <f t="shared" si="12"/>
        <v>6.17</v>
      </c>
      <c r="C303" s="1">
        <f t="shared" si="13"/>
        <v>1.35</v>
      </c>
      <c r="D303" s="1">
        <f t="shared" si="14"/>
        <v>4.82</v>
      </c>
      <c r="E303" s="20">
        <f>IF(AH303&lt;&gt;0,ROUNDUP(AH303,0),IF(BB303&lt;&gt;"FR","hors France",IF(AH303&lt;&gt;0,ROUNDUP(AH303,0),_xlfn.XLOOKUP(AJ303,'PA GLS'!B:B,'PA GLS'!A:A))))</f>
        <v>0.5</v>
      </c>
      <c r="F303">
        <v>2501382993</v>
      </c>
      <c r="G303">
        <v>1030220756</v>
      </c>
      <c r="H303" t="s">
        <v>366</v>
      </c>
      <c r="I303">
        <v>2500034092</v>
      </c>
      <c r="J303" t="s">
        <v>50</v>
      </c>
      <c r="K303">
        <v>9000009190</v>
      </c>
      <c r="L303">
        <v>46946</v>
      </c>
      <c r="M303" t="s">
        <v>51</v>
      </c>
      <c r="N303">
        <v>9000079830</v>
      </c>
      <c r="O303" t="s">
        <v>187</v>
      </c>
      <c r="S303">
        <v>2507012387</v>
      </c>
      <c r="T303" t="s">
        <v>50</v>
      </c>
      <c r="U303" t="s">
        <v>122</v>
      </c>
      <c r="V303" t="s">
        <v>71</v>
      </c>
      <c r="W303" t="s">
        <v>72</v>
      </c>
      <c r="X303" t="s">
        <v>60</v>
      </c>
      <c r="Z303">
        <v>82</v>
      </c>
      <c r="AA303" t="s">
        <v>987</v>
      </c>
      <c r="AB303" t="s">
        <v>998</v>
      </c>
      <c r="AC303">
        <v>2604000092</v>
      </c>
      <c r="AE303">
        <v>0</v>
      </c>
      <c r="AF303">
        <v>0</v>
      </c>
      <c r="AG303">
        <v>0</v>
      </c>
      <c r="AH303">
        <v>0</v>
      </c>
      <c r="AI303" t="s">
        <v>56</v>
      </c>
      <c r="AJ303">
        <v>3.77</v>
      </c>
      <c r="AK303">
        <v>0.9</v>
      </c>
      <c r="AL303">
        <v>0.15</v>
      </c>
      <c r="AM303">
        <v>29.1</v>
      </c>
      <c r="AN303">
        <v>1.35</v>
      </c>
      <c r="AO303">
        <v>0</v>
      </c>
      <c r="AP303">
        <v>0</v>
      </c>
      <c r="AQ303" t="s">
        <v>57</v>
      </c>
      <c r="AS303" t="s">
        <v>999</v>
      </c>
      <c r="AT303" t="s">
        <v>999</v>
      </c>
      <c r="AU303" t="s">
        <v>998</v>
      </c>
      <c r="AV303" t="s">
        <v>1000</v>
      </c>
      <c r="AW303" t="s">
        <v>1001</v>
      </c>
      <c r="AZ303">
        <v>56400</v>
      </c>
      <c r="BA303" t="s">
        <v>1002</v>
      </c>
      <c r="BB303" t="s">
        <v>61</v>
      </c>
      <c r="BC303" t="s">
        <v>62</v>
      </c>
    </row>
    <row r="304" spans="1:55" x14ac:dyDescent="0.25">
      <c r="A304" s="1" t="str">
        <f>IF(COUNTIF(Catégories!A:A,X304)=0,"catégorie inconnue",_xlfn.XLOOKUP(X304,Catégories!A:A,Catégories!B:B))</f>
        <v>Frêt</v>
      </c>
      <c r="B304" s="1">
        <f t="shared" si="12"/>
        <v>0</v>
      </c>
      <c r="C304" s="1">
        <f t="shared" si="13"/>
        <v>0</v>
      </c>
      <c r="D304" s="1">
        <f t="shared" si="14"/>
        <v>0</v>
      </c>
      <c r="E304" s="20">
        <f>IF(AH304&lt;&gt;0,ROUNDUP(AH304,0),IF(BB304&lt;&gt;"FR","hors France",IF(AH304&lt;&gt;0,ROUNDUP(AH304,0),_xlfn.XLOOKUP(AJ304,'PA GLS'!B:B,'PA GLS'!A:A))))</f>
        <v>1</v>
      </c>
      <c r="F304">
        <v>2501382993</v>
      </c>
      <c r="G304">
        <v>1030220756</v>
      </c>
      <c r="H304" t="s">
        <v>366</v>
      </c>
      <c r="I304">
        <v>2500034092</v>
      </c>
      <c r="J304" t="s">
        <v>50</v>
      </c>
      <c r="K304">
        <v>9000009190</v>
      </c>
      <c r="L304">
        <v>46946</v>
      </c>
      <c r="M304" t="s">
        <v>51</v>
      </c>
      <c r="N304">
        <v>9000079830</v>
      </c>
      <c r="O304" t="s">
        <v>187</v>
      </c>
      <c r="S304">
        <v>2507012387</v>
      </c>
      <c r="T304" t="s">
        <v>50</v>
      </c>
      <c r="U304" t="s">
        <v>122</v>
      </c>
      <c r="V304" t="s">
        <v>176</v>
      </c>
      <c r="W304" t="s">
        <v>177</v>
      </c>
      <c r="X304" t="s">
        <v>152</v>
      </c>
      <c r="Z304">
        <v>81</v>
      </c>
      <c r="AA304" t="s">
        <v>987</v>
      </c>
      <c r="AB304" t="s">
        <v>998</v>
      </c>
      <c r="AC304">
        <v>2604000092</v>
      </c>
      <c r="AE304">
        <v>0</v>
      </c>
      <c r="AF304">
        <v>1</v>
      </c>
      <c r="AG304">
        <v>0</v>
      </c>
      <c r="AH304">
        <v>0.44</v>
      </c>
      <c r="AI304" t="s">
        <v>56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 t="s">
        <v>57</v>
      </c>
      <c r="AS304" t="s">
        <v>999</v>
      </c>
      <c r="AT304" t="s">
        <v>999</v>
      </c>
      <c r="AU304" t="s">
        <v>998</v>
      </c>
      <c r="AV304" t="s">
        <v>1000</v>
      </c>
      <c r="AW304" t="s">
        <v>1001</v>
      </c>
      <c r="AZ304">
        <v>56400</v>
      </c>
      <c r="BA304" t="s">
        <v>1002</v>
      </c>
      <c r="BB304" t="s">
        <v>61</v>
      </c>
      <c r="BC304" t="s">
        <v>62</v>
      </c>
    </row>
    <row r="305" spans="1:55" x14ac:dyDescent="0.25">
      <c r="A305" s="1" t="str">
        <f>IF(COUNTIF(Catégories!A:A,X305)=0,"catégorie inconnue",_xlfn.XLOOKUP(X305,Catégories!A:A,Catégories!B:B))</f>
        <v>Frêt</v>
      </c>
      <c r="B305" s="1">
        <f t="shared" si="12"/>
        <v>7.4300000000000006</v>
      </c>
      <c r="C305" s="1">
        <f t="shared" si="13"/>
        <v>1.64</v>
      </c>
      <c r="D305" s="1">
        <f t="shared" si="14"/>
        <v>5.7900000000000009</v>
      </c>
      <c r="E305" s="20">
        <f>IF(AH305&lt;&gt;0,ROUNDUP(AH305,0),IF(BB305&lt;&gt;"FR","hors France",IF(AH305&lt;&gt;0,ROUNDUP(AH305,0),_xlfn.XLOOKUP(AJ305,'PA GLS'!B:B,'PA GLS'!A:A))))</f>
        <v>3</v>
      </c>
      <c r="F305">
        <v>2501382993</v>
      </c>
      <c r="G305">
        <v>1030234702</v>
      </c>
      <c r="H305" t="s">
        <v>366</v>
      </c>
      <c r="I305">
        <v>2500034092</v>
      </c>
      <c r="J305" t="s">
        <v>50</v>
      </c>
      <c r="K305">
        <v>9000009190</v>
      </c>
      <c r="L305">
        <v>46946</v>
      </c>
      <c r="M305" t="s">
        <v>51</v>
      </c>
      <c r="N305">
        <v>9000082822</v>
      </c>
      <c r="O305" t="s">
        <v>175</v>
      </c>
      <c r="S305">
        <v>2507012387</v>
      </c>
      <c r="T305" t="s">
        <v>50</v>
      </c>
      <c r="U305" t="s">
        <v>122</v>
      </c>
      <c r="V305" t="s">
        <v>58</v>
      </c>
      <c r="W305" t="s">
        <v>59</v>
      </c>
      <c r="X305" t="s">
        <v>60</v>
      </c>
      <c r="Z305">
        <v>207</v>
      </c>
      <c r="AA305" t="s">
        <v>987</v>
      </c>
      <c r="AB305" t="s">
        <v>988</v>
      </c>
      <c r="AC305">
        <v>6864367</v>
      </c>
      <c r="AE305">
        <v>0</v>
      </c>
      <c r="AF305">
        <v>0</v>
      </c>
      <c r="AG305">
        <v>0</v>
      </c>
      <c r="AH305">
        <v>0</v>
      </c>
      <c r="AI305" t="s">
        <v>56</v>
      </c>
      <c r="AJ305">
        <v>4.74</v>
      </c>
      <c r="AK305">
        <v>0.9</v>
      </c>
      <c r="AL305">
        <v>0.15</v>
      </c>
      <c r="AM305">
        <v>29.1</v>
      </c>
      <c r="AN305">
        <v>1.64</v>
      </c>
      <c r="AO305">
        <v>0</v>
      </c>
      <c r="AP305">
        <v>0</v>
      </c>
      <c r="AQ305" t="s">
        <v>57</v>
      </c>
      <c r="AS305" t="s">
        <v>989</v>
      </c>
      <c r="AU305" t="s">
        <v>988</v>
      </c>
      <c r="AV305" t="s">
        <v>990</v>
      </c>
      <c r="AW305" t="s">
        <v>991</v>
      </c>
      <c r="AX305" t="s">
        <v>992</v>
      </c>
      <c r="AY305" t="s">
        <v>990</v>
      </c>
      <c r="AZ305">
        <v>6130</v>
      </c>
      <c r="BA305" t="s">
        <v>272</v>
      </c>
      <c r="BB305" t="s">
        <v>61</v>
      </c>
      <c r="BC305" t="s">
        <v>62</v>
      </c>
    </row>
    <row r="306" spans="1:55" x14ac:dyDescent="0.25">
      <c r="A306" s="1" t="str">
        <f>IF(COUNTIF(Catégories!A:A,X306)=0,"catégorie inconnue",_xlfn.XLOOKUP(X306,Catégories!A:A,Catégories!B:B))</f>
        <v>Frêt</v>
      </c>
      <c r="B306" s="1">
        <f t="shared" si="12"/>
        <v>8.15</v>
      </c>
      <c r="C306" s="1">
        <f t="shared" si="13"/>
        <v>1.8</v>
      </c>
      <c r="D306" s="1">
        <f t="shared" si="14"/>
        <v>6.3500000000000005</v>
      </c>
      <c r="E306" s="20">
        <f>IF(AH306&lt;&gt;0,ROUNDUP(AH306,0),IF(BB306&lt;&gt;"FR","hors France",IF(AH306&lt;&gt;0,ROUNDUP(AH306,0),_xlfn.XLOOKUP(AJ306,'PA GLS'!B:B,'PA GLS'!A:A))))</f>
        <v>4</v>
      </c>
      <c r="F306">
        <v>2501382993</v>
      </c>
      <c r="G306">
        <v>1030234702</v>
      </c>
      <c r="H306" t="s">
        <v>366</v>
      </c>
      <c r="I306">
        <v>2500034092</v>
      </c>
      <c r="J306" t="s">
        <v>50</v>
      </c>
      <c r="K306">
        <v>9000009190</v>
      </c>
      <c r="L306">
        <v>46946</v>
      </c>
      <c r="M306" t="s">
        <v>51</v>
      </c>
      <c r="N306">
        <v>9000082822</v>
      </c>
      <c r="O306" t="s">
        <v>175</v>
      </c>
      <c r="S306">
        <v>2507012387</v>
      </c>
      <c r="T306" t="s">
        <v>50</v>
      </c>
      <c r="U306" t="s">
        <v>122</v>
      </c>
      <c r="V306" t="s">
        <v>231</v>
      </c>
      <c r="W306" t="s">
        <v>232</v>
      </c>
      <c r="X306" t="s">
        <v>60</v>
      </c>
      <c r="Z306">
        <v>208</v>
      </c>
      <c r="AA306" t="s">
        <v>987</v>
      </c>
      <c r="AB306" t="s">
        <v>993</v>
      </c>
      <c r="AC306">
        <v>6868295</v>
      </c>
      <c r="AE306">
        <v>0</v>
      </c>
      <c r="AF306">
        <v>0</v>
      </c>
      <c r="AG306">
        <v>0</v>
      </c>
      <c r="AH306">
        <v>0</v>
      </c>
      <c r="AI306" t="s">
        <v>56</v>
      </c>
      <c r="AJ306">
        <v>5.3</v>
      </c>
      <c r="AK306">
        <v>0.9</v>
      </c>
      <c r="AL306">
        <v>0.15</v>
      </c>
      <c r="AM306">
        <v>29.1</v>
      </c>
      <c r="AN306">
        <v>1.8</v>
      </c>
      <c r="AO306">
        <v>0</v>
      </c>
      <c r="AP306">
        <v>0</v>
      </c>
      <c r="AQ306" t="s">
        <v>57</v>
      </c>
      <c r="AS306" t="s">
        <v>994</v>
      </c>
      <c r="AU306" t="s">
        <v>993</v>
      </c>
      <c r="AV306" t="s">
        <v>995</v>
      </c>
      <c r="AW306" t="s">
        <v>996</v>
      </c>
      <c r="AZ306">
        <v>13620</v>
      </c>
      <c r="BA306" t="s">
        <v>997</v>
      </c>
      <c r="BB306" t="s">
        <v>61</v>
      </c>
      <c r="BC306" t="s">
        <v>62</v>
      </c>
    </row>
    <row r="307" spans="1:55" x14ac:dyDescent="0.25">
      <c r="A307" s="1" t="str">
        <f>IF(COUNTIF(Catégories!A:A,X307)=0,"catégorie inconnue",_xlfn.XLOOKUP(X307,Catégories!A:A,Catégories!B:B))</f>
        <v>Frêt</v>
      </c>
      <c r="B307" s="1">
        <f t="shared" si="12"/>
        <v>0</v>
      </c>
      <c r="C307" s="1">
        <f t="shared" si="13"/>
        <v>0</v>
      </c>
      <c r="D307" s="1">
        <f t="shared" si="14"/>
        <v>0</v>
      </c>
      <c r="E307" s="20">
        <f>IF(AH307&lt;&gt;0,ROUNDUP(AH307,0),IF(BB307&lt;&gt;"FR","hors France",IF(AH307&lt;&gt;0,ROUNDUP(AH307,0),_xlfn.XLOOKUP(AJ307,'PA GLS'!B:B,'PA GLS'!A:A))))</f>
        <v>1</v>
      </c>
      <c r="F307">
        <v>2501382993</v>
      </c>
      <c r="G307">
        <v>1030231841</v>
      </c>
      <c r="H307" t="s">
        <v>366</v>
      </c>
      <c r="I307">
        <v>2500034092</v>
      </c>
      <c r="J307" t="s">
        <v>50</v>
      </c>
      <c r="K307">
        <v>9000009190</v>
      </c>
      <c r="L307">
        <v>46946</v>
      </c>
      <c r="M307" t="s">
        <v>51</v>
      </c>
      <c r="N307">
        <v>9000037814</v>
      </c>
      <c r="O307" t="s">
        <v>51</v>
      </c>
      <c r="S307">
        <v>2507012387</v>
      </c>
      <c r="T307" t="s">
        <v>50</v>
      </c>
      <c r="U307" t="s">
        <v>122</v>
      </c>
      <c r="V307" t="s">
        <v>176</v>
      </c>
      <c r="W307" t="s">
        <v>177</v>
      </c>
      <c r="X307" t="s">
        <v>152</v>
      </c>
      <c r="Z307">
        <v>136</v>
      </c>
      <c r="AA307" t="s">
        <v>987</v>
      </c>
      <c r="AB307" t="s">
        <v>1003</v>
      </c>
      <c r="AC307">
        <v>2604000077</v>
      </c>
      <c r="AE307">
        <v>0</v>
      </c>
      <c r="AF307">
        <v>1</v>
      </c>
      <c r="AG307">
        <v>0</v>
      </c>
      <c r="AH307">
        <v>0.28000000000000003</v>
      </c>
      <c r="AI307" t="s">
        <v>56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 t="s">
        <v>57</v>
      </c>
      <c r="AS307" t="s">
        <v>1004</v>
      </c>
      <c r="AT307" t="s">
        <v>1004</v>
      </c>
      <c r="AU307" t="s">
        <v>1003</v>
      </c>
      <c r="AV307" t="s">
        <v>1005</v>
      </c>
      <c r="AW307" t="s">
        <v>1006</v>
      </c>
      <c r="AZ307">
        <v>33160</v>
      </c>
      <c r="BA307" t="s">
        <v>1007</v>
      </c>
      <c r="BB307" t="s">
        <v>61</v>
      </c>
      <c r="BC307" t="s">
        <v>62</v>
      </c>
    </row>
    <row r="308" spans="1:55" x14ac:dyDescent="0.25">
      <c r="A308" s="1" t="str">
        <f>IF(COUNTIF(Catégories!A:A,X308)=0,"catégorie inconnue",_xlfn.XLOOKUP(X308,Catégories!A:A,Catégories!B:B))</f>
        <v>Frêt</v>
      </c>
      <c r="B308" s="1">
        <f t="shared" si="12"/>
        <v>6.17</v>
      </c>
      <c r="C308" s="1">
        <f t="shared" si="13"/>
        <v>1.35</v>
      </c>
      <c r="D308" s="1">
        <f t="shared" si="14"/>
        <v>4.82</v>
      </c>
      <c r="E308" s="20">
        <f>IF(AH308&lt;&gt;0,ROUNDUP(AH308,0),IF(BB308&lt;&gt;"FR","hors France",IF(AH308&lt;&gt;0,ROUNDUP(AH308,0),_xlfn.XLOOKUP(AJ308,'PA GLS'!B:B,'PA GLS'!A:A))))</f>
        <v>0.5</v>
      </c>
      <c r="F308">
        <v>2501382993</v>
      </c>
      <c r="G308">
        <v>1030231841</v>
      </c>
      <c r="H308" t="s">
        <v>366</v>
      </c>
      <c r="I308">
        <v>2500034092</v>
      </c>
      <c r="J308" t="s">
        <v>50</v>
      </c>
      <c r="K308">
        <v>9000009190</v>
      </c>
      <c r="L308">
        <v>46946</v>
      </c>
      <c r="M308" t="s">
        <v>51</v>
      </c>
      <c r="N308">
        <v>9000037814</v>
      </c>
      <c r="O308" t="s">
        <v>51</v>
      </c>
      <c r="S308">
        <v>2507012387</v>
      </c>
      <c r="T308" t="s">
        <v>50</v>
      </c>
      <c r="U308" t="s">
        <v>122</v>
      </c>
      <c r="V308" t="s">
        <v>71</v>
      </c>
      <c r="W308" t="s">
        <v>72</v>
      </c>
      <c r="X308" t="s">
        <v>60</v>
      </c>
      <c r="Z308">
        <v>137</v>
      </c>
      <c r="AA308" t="s">
        <v>987</v>
      </c>
      <c r="AB308" t="s">
        <v>1003</v>
      </c>
      <c r="AC308">
        <v>2604000077</v>
      </c>
      <c r="AE308">
        <v>0</v>
      </c>
      <c r="AF308">
        <v>0</v>
      </c>
      <c r="AG308">
        <v>0</v>
      </c>
      <c r="AH308">
        <v>0</v>
      </c>
      <c r="AI308" t="s">
        <v>56</v>
      </c>
      <c r="AJ308">
        <v>3.77</v>
      </c>
      <c r="AK308">
        <v>0.9</v>
      </c>
      <c r="AL308">
        <v>0.15</v>
      </c>
      <c r="AM308">
        <v>29.1</v>
      </c>
      <c r="AN308">
        <v>1.35</v>
      </c>
      <c r="AO308">
        <v>0</v>
      </c>
      <c r="AP308">
        <v>0</v>
      </c>
      <c r="AQ308" t="s">
        <v>57</v>
      </c>
      <c r="AS308" t="s">
        <v>1004</v>
      </c>
      <c r="AT308" t="s">
        <v>1004</v>
      </c>
      <c r="AU308" t="s">
        <v>1003</v>
      </c>
      <c r="AV308" t="s">
        <v>1005</v>
      </c>
      <c r="AW308" t="s">
        <v>1006</v>
      </c>
      <c r="AZ308">
        <v>33160</v>
      </c>
      <c r="BA308" t="s">
        <v>1007</v>
      </c>
      <c r="BB308" t="s">
        <v>61</v>
      </c>
      <c r="BC308" t="s">
        <v>62</v>
      </c>
    </row>
    <row r="309" spans="1:55" x14ac:dyDescent="0.25">
      <c r="A309" s="1" t="str">
        <f>IF(COUNTIF(Catégories!A:A,X309)=0,"catégorie inconnue",_xlfn.XLOOKUP(X309,Catégories!A:A,Catégories!B:B))</f>
        <v>Frêt</v>
      </c>
      <c r="B309" s="1">
        <f t="shared" si="12"/>
        <v>0</v>
      </c>
      <c r="C309" s="1">
        <f t="shared" si="13"/>
        <v>0</v>
      </c>
      <c r="D309" s="1">
        <f t="shared" si="14"/>
        <v>0</v>
      </c>
      <c r="E309" s="20">
        <f>IF(AH309&lt;&gt;0,ROUNDUP(AH309,0),IF(BB309&lt;&gt;"FR","hors France",IF(AH309&lt;&gt;0,ROUNDUP(AH309,0),_xlfn.XLOOKUP(AJ309,'PA GLS'!B:B,'PA GLS'!A:A))))</f>
        <v>2</v>
      </c>
      <c r="F309">
        <v>2501382993</v>
      </c>
      <c r="G309">
        <v>1030233784</v>
      </c>
      <c r="H309" t="s">
        <v>366</v>
      </c>
      <c r="I309">
        <v>2500034092</v>
      </c>
      <c r="J309" t="s">
        <v>50</v>
      </c>
      <c r="K309">
        <v>9000009190</v>
      </c>
      <c r="L309">
        <v>46946</v>
      </c>
      <c r="M309" t="s">
        <v>51</v>
      </c>
      <c r="N309">
        <v>9000037814</v>
      </c>
      <c r="O309" t="s">
        <v>51</v>
      </c>
      <c r="S309">
        <v>2507012387</v>
      </c>
      <c r="T309" t="s">
        <v>50</v>
      </c>
      <c r="U309" t="s">
        <v>122</v>
      </c>
      <c r="V309" t="s">
        <v>176</v>
      </c>
      <c r="W309" t="s">
        <v>177</v>
      </c>
      <c r="X309" t="s">
        <v>152</v>
      </c>
      <c r="Z309">
        <v>171</v>
      </c>
      <c r="AA309" t="s">
        <v>1008</v>
      </c>
      <c r="AB309" t="s">
        <v>1009</v>
      </c>
      <c r="AC309">
        <v>2604000083</v>
      </c>
      <c r="AE309">
        <v>0</v>
      </c>
      <c r="AF309">
        <v>1</v>
      </c>
      <c r="AG309">
        <v>0</v>
      </c>
      <c r="AH309">
        <v>1.04</v>
      </c>
      <c r="AI309" t="s">
        <v>56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 t="s">
        <v>57</v>
      </c>
      <c r="AS309" t="s">
        <v>1010</v>
      </c>
      <c r="AT309" t="s">
        <v>1010</v>
      </c>
      <c r="AU309" t="s">
        <v>1009</v>
      </c>
      <c r="AV309" t="s">
        <v>890</v>
      </c>
      <c r="AW309" t="s">
        <v>891</v>
      </c>
      <c r="AZ309">
        <v>13500</v>
      </c>
      <c r="BA309" t="s">
        <v>892</v>
      </c>
      <c r="BB309" t="s">
        <v>61</v>
      </c>
      <c r="BC309" t="s">
        <v>62</v>
      </c>
    </row>
    <row r="310" spans="1:55" x14ac:dyDescent="0.25">
      <c r="A310" s="1" t="str">
        <f>IF(COUNTIF(Catégories!A:A,X310)=0,"catégorie inconnue",_xlfn.XLOOKUP(X310,Catégories!A:A,Catégories!B:B))</f>
        <v>Frêt</v>
      </c>
      <c r="B310" s="1">
        <f t="shared" si="12"/>
        <v>0</v>
      </c>
      <c r="C310" s="1">
        <f t="shared" si="13"/>
        <v>0</v>
      </c>
      <c r="D310" s="1">
        <f t="shared" si="14"/>
        <v>0</v>
      </c>
      <c r="E310" s="20">
        <f>IF(AH310&lt;&gt;0,ROUNDUP(AH310,0),IF(BB310&lt;&gt;"FR","hors France",IF(AH310&lt;&gt;0,ROUNDUP(AH310,0),_xlfn.XLOOKUP(AJ310,'PA GLS'!B:B,'PA GLS'!A:A))))</f>
        <v>2</v>
      </c>
      <c r="F310">
        <v>2501382993</v>
      </c>
      <c r="G310">
        <v>1030233784</v>
      </c>
      <c r="H310" t="s">
        <v>366</v>
      </c>
      <c r="I310">
        <v>2500034092</v>
      </c>
      <c r="J310" t="s">
        <v>50</v>
      </c>
      <c r="K310">
        <v>9000009190</v>
      </c>
      <c r="L310">
        <v>46946</v>
      </c>
      <c r="M310" t="s">
        <v>51</v>
      </c>
      <c r="N310">
        <v>9000037814</v>
      </c>
      <c r="O310" t="s">
        <v>51</v>
      </c>
      <c r="S310">
        <v>2507012387</v>
      </c>
      <c r="T310" t="s">
        <v>50</v>
      </c>
      <c r="U310" t="s">
        <v>122</v>
      </c>
      <c r="V310" t="s">
        <v>176</v>
      </c>
      <c r="W310" t="s">
        <v>177</v>
      </c>
      <c r="X310" t="s">
        <v>152</v>
      </c>
      <c r="Z310">
        <v>171</v>
      </c>
      <c r="AA310" t="s">
        <v>1008</v>
      </c>
      <c r="AB310" t="s">
        <v>1011</v>
      </c>
      <c r="AC310">
        <v>2604000082</v>
      </c>
      <c r="AE310">
        <v>0</v>
      </c>
      <c r="AF310">
        <v>1</v>
      </c>
      <c r="AG310">
        <v>0</v>
      </c>
      <c r="AH310">
        <v>1.04</v>
      </c>
      <c r="AI310" t="s">
        <v>56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 t="s">
        <v>57</v>
      </c>
      <c r="AS310" t="s">
        <v>1012</v>
      </c>
      <c r="AT310" t="s">
        <v>1012</v>
      </c>
      <c r="AU310" t="s">
        <v>1011</v>
      </c>
      <c r="AV310" t="s">
        <v>1013</v>
      </c>
      <c r="AW310" t="s">
        <v>1014</v>
      </c>
      <c r="AZ310">
        <v>91430</v>
      </c>
      <c r="BA310" t="s">
        <v>1015</v>
      </c>
      <c r="BB310" t="s">
        <v>61</v>
      </c>
      <c r="BC310" t="s">
        <v>62</v>
      </c>
    </row>
    <row r="311" spans="1:55" x14ac:dyDescent="0.25">
      <c r="A311" s="1" t="str">
        <f>IF(COUNTIF(Catégories!A:A,X311)=0,"catégorie inconnue",_xlfn.XLOOKUP(X311,Catégories!A:A,Catégories!B:B))</f>
        <v>Frêt</v>
      </c>
      <c r="B311" s="1">
        <f t="shared" si="12"/>
        <v>0</v>
      </c>
      <c r="C311" s="1">
        <f t="shared" si="13"/>
        <v>0</v>
      </c>
      <c r="D311" s="1">
        <f t="shared" si="14"/>
        <v>0</v>
      </c>
      <c r="E311" s="20">
        <f>IF(AH311&lt;&gt;0,ROUNDUP(AH311,0),IF(BB311&lt;&gt;"FR","hors France",IF(AH311&lt;&gt;0,ROUNDUP(AH311,0),_xlfn.XLOOKUP(AJ311,'PA GLS'!B:B,'PA GLS'!A:A))))</f>
        <v>1</v>
      </c>
      <c r="F311">
        <v>2501382993</v>
      </c>
      <c r="G311">
        <v>1030233784</v>
      </c>
      <c r="H311" t="s">
        <v>366</v>
      </c>
      <c r="I311">
        <v>2500034092</v>
      </c>
      <c r="J311" t="s">
        <v>50</v>
      </c>
      <c r="K311">
        <v>9000009190</v>
      </c>
      <c r="L311">
        <v>46946</v>
      </c>
      <c r="M311" t="s">
        <v>51</v>
      </c>
      <c r="N311">
        <v>9000037814</v>
      </c>
      <c r="O311" t="s">
        <v>51</v>
      </c>
      <c r="S311">
        <v>2507012387</v>
      </c>
      <c r="T311" t="s">
        <v>50</v>
      </c>
      <c r="U311" t="s">
        <v>122</v>
      </c>
      <c r="V311" t="s">
        <v>176</v>
      </c>
      <c r="W311" t="s">
        <v>177</v>
      </c>
      <c r="X311" t="s">
        <v>152</v>
      </c>
      <c r="Z311">
        <v>171</v>
      </c>
      <c r="AA311" t="s">
        <v>1008</v>
      </c>
      <c r="AB311" t="s">
        <v>1016</v>
      </c>
      <c r="AC311">
        <v>2604000081</v>
      </c>
      <c r="AE311">
        <v>0</v>
      </c>
      <c r="AF311">
        <v>1</v>
      </c>
      <c r="AG311">
        <v>0</v>
      </c>
      <c r="AH311">
        <v>1</v>
      </c>
      <c r="AI311" t="s">
        <v>56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 t="s">
        <v>57</v>
      </c>
      <c r="AS311" t="s">
        <v>1017</v>
      </c>
      <c r="AT311" t="s">
        <v>1017</v>
      </c>
      <c r="AU311" t="s">
        <v>1016</v>
      </c>
      <c r="AV311" t="s">
        <v>681</v>
      </c>
      <c r="AW311" t="s">
        <v>682</v>
      </c>
      <c r="AZ311">
        <v>49300</v>
      </c>
      <c r="BA311" t="s">
        <v>683</v>
      </c>
      <c r="BB311" t="s">
        <v>61</v>
      </c>
      <c r="BC311" t="s">
        <v>62</v>
      </c>
    </row>
    <row r="312" spans="1:55" x14ac:dyDescent="0.25">
      <c r="A312" s="1" t="str">
        <f>IF(COUNTIF(Catégories!A:A,X312)=0,"catégorie inconnue",_xlfn.XLOOKUP(X312,Catégories!A:A,Catégories!B:B))</f>
        <v>Frêt</v>
      </c>
      <c r="B312" s="1">
        <f t="shared" si="12"/>
        <v>0</v>
      </c>
      <c r="C312" s="1">
        <f t="shared" si="13"/>
        <v>0</v>
      </c>
      <c r="D312" s="1">
        <f t="shared" si="14"/>
        <v>0</v>
      </c>
      <c r="E312" s="20">
        <f>IF(AH312&lt;&gt;0,ROUNDUP(AH312,0),IF(BB312&lt;&gt;"FR","hors France",IF(AH312&lt;&gt;0,ROUNDUP(AH312,0),_xlfn.XLOOKUP(AJ312,'PA GLS'!B:B,'PA GLS'!A:A))))</f>
        <v>1</v>
      </c>
      <c r="F312">
        <v>2501382993</v>
      </c>
      <c r="G312">
        <v>1030233784</v>
      </c>
      <c r="H312" t="s">
        <v>366</v>
      </c>
      <c r="I312">
        <v>2500034092</v>
      </c>
      <c r="J312" t="s">
        <v>50</v>
      </c>
      <c r="K312">
        <v>9000009190</v>
      </c>
      <c r="L312">
        <v>46946</v>
      </c>
      <c r="M312" t="s">
        <v>51</v>
      </c>
      <c r="N312">
        <v>9000037814</v>
      </c>
      <c r="O312" t="s">
        <v>51</v>
      </c>
      <c r="S312">
        <v>2507012387</v>
      </c>
      <c r="T312" t="s">
        <v>50</v>
      </c>
      <c r="U312" t="s">
        <v>122</v>
      </c>
      <c r="V312" t="s">
        <v>176</v>
      </c>
      <c r="W312" t="s">
        <v>177</v>
      </c>
      <c r="X312" t="s">
        <v>152</v>
      </c>
      <c r="Z312">
        <v>171</v>
      </c>
      <c r="AA312" t="s">
        <v>1008</v>
      </c>
      <c r="AB312" t="s">
        <v>1018</v>
      </c>
      <c r="AC312">
        <v>2604000080</v>
      </c>
      <c r="AE312">
        <v>0</v>
      </c>
      <c r="AF312">
        <v>1</v>
      </c>
      <c r="AG312">
        <v>0</v>
      </c>
      <c r="AH312">
        <v>0.74</v>
      </c>
      <c r="AI312" t="s">
        <v>56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 t="s">
        <v>57</v>
      </c>
      <c r="AS312" t="s">
        <v>1019</v>
      </c>
      <c r="AT312" t="s">
        <v>1019</v>
      </c>
      <c r="AU312" t="s">
        <v>1018</v>
      </c>
      <c r="AV312" t="s">
        <v>1020</v>
      </c>
      <c r="AW312" t="s">
        <v>1021</v>
      </c>
      <c r="AZ312">
        <v>75012</v>
      </c>
      <c r="BA312" t="s">
        <v>65</v>
      </c>
      <c r="BB312" t="s">
        <v>61</v>
      </c>
      <c r="BC312" t="s">
        <v>62</v>
      </c>
    </row>
    <row r="313" spans="1:55" x14ac:dyDescent="0.25">
      <c r="A313" s="1" t="str">
        <f>IF(COUNTIF(Catégories!A:A,X313)=0,"catégorie inconnue",_xlfn.XLOOKUP(X313,Catégories!A:A,Catégories!B:B))</f>
        <v>Frêt</v>
      </c>
      <c r="B313" s="1">
        <f t="shared" si="12"/>
        <v>0</v>
      </c>
      <c r="C313" s="1">
        <f t="shared" si="13"/>
        <v>0</v>
      </c>
      <c r="D313" s="1">
        <f t="shared" si="14"/>
        <v>0</v>
      </c>
      <c r="E313" s="20">
        <f>IF(AH313&lt;&gt;0,ROUNDUP(AH313,0),IF(BB313&lt;&gt;"FR","hors France",IF(AH313&lt;&gt;0,ROUNDUP(AH313,0),_xlfn.XLOOKUP(AJ313,'PA GLS'!B:B,'PA GLS'!A:A))))</f>
        <v>1</v>
      </c>
      <c r="F313">
        <v>2501382993</v>
      </c>
      <c r="G313">
        <v>1030233784</v>
      </c>
      <c r="H313" t="s">
        <v>366</v>
      </c>
      <c r="I313">
        <v>2500034092</v>
      </c>
      <c r="J313" t="s">
        <v>50</v>
      </c>
      <c r="K313">
        <v>9000009190</v>
      </c>
      <c r="L313">
        <v>46946</v>
      </c>
      <c r="M313" t="s">
        <v>51</v>
      </c>
      <c r="N313">
        <v>9000037814</v>
      </c>
      <c r="O313" t="s">
        <v>51</v>
      </c>
      <c r="S313">
        <v>2507012387</v>
      </c>
      <c r="T313" t="s">
        <v>50</v>
      </c>
      <c r="U313" t="s">
        <v>122</v>
      </c>
      <c r="V313" t="s">
        <v>176</v>
      </c>
      <c r="W313" t="s">
        <v>177</v>
      </c>
      <c r="X313" t="s">
        <v>152</v>
      </c>
      <c r="Z313">
        <v>171</v>
      </c>
      <c r="AA313" t="s">
        <v>1008</v>
      </c>
      <c r="AB313" t="s">
        <v>1022</v>
      </c>
      <c r="AC313">
        <v>2604000079</v>
      </c>
      <c r="AE313">
        <v>0</v>
      </c>
      <c r="AF313">
        <v>1</v>
      </c>
      <c r="AG313">
        <v>0</v>
      </c>
      <c r="AH313">
        <v>0.44</v>
      </c>
      <c r="AI313" t="s">
        <v>56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 t="s">
        <v>57</v>
      </c>
      <c r="AS313" t="s">
        <v>1023</v>
      </c>
      <c r="AT313" t="s">
        <v>1023</v>
      </c>
      <c r="AU313" t="s">
        <v>1022</v>
      </c>
      <c r="AV313" t="s">
        <v>1024</v>
      </c>
      <c r="AW313" t="s">
        <v>1025</v>
      </c>
      <c r="AZ313">
        <v>56170</v>
      </c>
      <c r="BA313" t="s">
        <v>1026</v>
      </c>
      <c r="BB313" t="s">
        <v>61</v>
      </c>
      <c r="BC313" t="s">
        <v>62</v>
      </c>
    </row>
    <row r="314" spans="1:55" x14ac:dyDescent="0.25">
      <c r="A314" s="1" t="str">
        <f>IF(COUNTIF(Catégories!A:A,X314)=0,"catégorie inconnue",_xlfn.XLOOKUP(X314,Catégories!A:A,Catégories!B:B))</f>
        <v>Frêt</v>
      </c>
      <c r="B314" s="1">
        <f t="shared" si="12"/>
        <v>0</v>
      </c>
      <c r="C314" s="1">
        <f t="shared" si="13"/>
        <v>0</v>
      </c>
      <c r="D314" s="1">
        <f t="shared" si="14"/>
        <v>0</v>
      </c>
      <c r="E314" s="20">
        <f>IF(AH314&lt;&gt;0,ROUNDUP(AH314,0),IF(BB314&lt;&gt;"FR","hors France",IF(AH314&lt;&gt;0,ROUNDUP(AH314,0),_xlfn.XLOOKUP(AJ314,'PA GLS'!B:B,'PA GLS'!A:A))))</f>
        <v>1</v>
      </c>
      <c r="F314">
        <v>2501382993</v>
      </c>
      <c r="G314">
        <v>1030233784</v>
      </c>
      <c r="H314" t="s">
        <v>366</v>
      </c>
      <c r="I314">
        <v>2500034092</v>
      </c>
      <c r="J314" t="s">
        <v>50</v>
      </c>
      <c r="K314">
        <v>9000009190</v>
      </c>
      <c r="L314">
        <v>46946</v>
      </c>
      <c r="M314" t="s">
        <v>51</v>
      </c>
      <c r="N314">
        <v>9000037814</v>
      </c>
      <c r="O314" t="s">
        <v>51</v>
      </c>
      <c r="S314">
        <v>2507012387</v>
      </c>
      <c r="T314" t="s">
        <v>50</v>
      </c>
      <c r="U314" t="s">
        <v>122</v>
      </c>
      <c r="V314" t="s">
        <v>176</v>
      </c>
      <c r="W314" t="s">
        <v>177</v>
      </c>
      <c r="X314" t="s">
        <v>152</v>
      </c>
      <c r="Z314">
        <v>171</v>
      </c>
      <c r="AA314" t="s">
        <v>1008</v>
      </c>
      <c r="AB314" t="s">
        <v>1027</v>
      </c>
      <c r="AC314">
        <v>2604000078</v>
      </c>
      <c r="AE314">
        <v>0</v>
      </c>
      <c r="AF314">
        <v>1</v>
      </c>
      <c r="AG314">
        <v>0</v>
      </c>
      <c r="AH314">
        <v>0.5</v>
      </c>
      <c r="AI314" t="s">
        <v>56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 t="s">
        <v>57</v>
      </c>
      <c r="AS314" t="s">
        <v>1028</v>
      </c>
      <c r="AT314" t="s">
        <v>1028</v>
      </c>
      <c r="AU314" t="s">
        <v>1027</v>
      </c>
      <c r="AV314" t="s">
        <v>1029</v>
      </c>
      <c r="AW314" t="s">
        <v>1030</v>
      </c>
      <c r="AZ314">
        <v>49260</v>
      </c>
      <c r="BA314" t="s">
        <v>1031</v>
      </c>
      <c r="BB314" t="s">
        <v>61</v>
      </c>
      <c r="BC314" t="s">
        <v>62</v>
      </c>
    </row>
    <row r="315" spans="1:55" x14ac:dyDescent="0.25">
      <c r="A315" s="1" t="str">
        <f>IF(COUNTIF(Catégories!A:A,X315)=0,"catégorie inconnue",_xlfn.XLOOKUP(X315,Catégories!A:A,Catégories!B:B))</f>
        <v>Frêt</v>
      </c>
      <c r="B315" s="1">
        <f t="shared" si="12"/>
        <v>8.870000000000001</v>
      </c>
      <c r="C315" s="1">
        <f t="shared" si="13"/>
        <v>1.96</v>
      </c>
      <c r="D315" s="1">
        <f t="shared" si="14"/>
        <v>6.910000000000001</v>
      </c>
      <c r="E315" s="20">
        <f>IF(AH315&lt;&gt;0,ROUNDUP(AH315,0),IF(BB315&lt;&gt;"FR","hors France",IF(AH315&lt;&gt;0,ROUNDUP(AH315,0),_xlfn.XLOOKUP(AJ315,'PA GLS'!B:B,'PA GLS'!A:A))))</f>
        <v>5</v>
      </c>
      <c r="F315">
        <v>2501382993</v>
      </c>
      <c r="G315">
        <v>1030230070</v>
      </c>
      <c r="H315" t="s">
        <v>366</v>
      </c>
      <c r="I315">
        <v>2500034092</v>
      </c>
      <c r="J315" t="s">
        <v>50</v>
      </c>
      <c r="K315">
        <v>9000009190</v>
      </c>
      <c r="L315">
        <v>46946</v>
      </c>
      <c r="M315" t="s">
        <v>51</v>
      </c>
      <c r="N315">
        <v>9000082814</v>
      </c>
      <c r="O315" t="s">
        <v>184</v>
      </c>
      <c r="S315">
        <v>2507012387</v>
      </c>
      <c r="T315" t="s">
        <v>50</v>
      </c>
      <c r="U315" t="s">
        <v>122</v>
      </c>
      <c r="V315" t="s">
        <v>265</v>
      </c>
      <c r="W315" t="s">
        <v>266</v>
      </c>
      <c r="X315" t="s">
        <v>60</v>
      </c>
      <c r="Z315">
        <v>108</v>
      </c>
      <c r="AA315" t="s">
        <v>1008</v>
      </c>
      <c r="AB315" t="s">
        <v>1032</v>
      </c>
      <c r="AC315">
        <v>6879217</v>
      </c>
      <c r="AE315">
        <v>0</v>
      </c>
      <c r="AF315">
        <v>0</v>
      </c>
      <c r="AG315">
        <v>0</v>
      </c>
      <c r="AH315">
        <v>0</v>
      </c>
      <c r="AI315" t="s">
        <v>56</v>
      </c>
      <c r="AJ315">
        <v>5.86</v>
      </c>
      <c r="AK315">
        <v>0.9</v>
      </c>
      <c r="AL315">
        <v>0.15</v>
      </c>
      <c r="AM315">
        <v>29.1</v>
      </c>
      <c r="AN315">
        <v>1.96</v>
      </c>
      <c r="AO315">
        <v>0</v>
      </c>
      <c r="AP315">
        <v>0</v>
      </c>
      <c r="AQ315" t="s">
        <v>57</v>
      </c>
      <c r="AS315" t="s">
        <v>1033</v>
      </c>
      <c r="AU315" t="s">
        <v>1032</v>
      </c>
      <c r="AV315" t="s">
        <v>283</v>
      </c>
      <c r="AW315" t="s">
        <v>284</v>
      </c>
      <c r="AX315" t="s">
        <v>285</v>
      </c>
      <c r="AY315" t="s">
        <v>283</v>
      </c>
      <c r="AZ315">
        <v>60452</v>
      </c>
      <c r="BA315" t="s">
        <v>286</v>
      </c>
      <c r="BB315" t="s">
        <v>61</v>
      </c>
      <c r="BC315" t="s">
        <v>62</v>
      </c>
    </row>
    <row r="316" spans="1:55" x14ac:dyDescent="0.25">
      <c r="A316" s="1" t="str">
        <f>IF(COUNTIF(Catégories!A:A,X316)=0,"catégorie inconnue",_xlfn.XLOOKUP(X316,Catégories!A:A,Catégories!B:B))</f>
        <v>Frêt</v>
      </c>
      <c r="B316" s="1">
        <f t="shared" si="12"/>
        <v>0</v>
      </c>
      <c r="C316" s="1">
        <f t="shared" si="13"/>
        <v>0</v>
      </c>
      <c r="D316" s="1">
        <f t="shared" si="14"/>
        <v>0</v>
      </c>
      <c r="E316" s="20">
        <f>IF(AH316&lt;&gt;0,ROUNDUP(AH316,0),IF(BB316&lt;&gt;"FR","hors France",IF(AH316&lt;&gt;0,ROUNDUP(AH316,0),_xlfn.XLOOKUP(AJ316,'PA GLS'!B:B,'PA GLS'!A:A))))</f>
        <v>5</v>
      </c>
      <c r="F316">
        <v>2501382993</v>
      </c>
      <c r="G316">
        <v>1030230070</v>
      </c>
      <c r="H316" t="s">
        <v>366</v>
      </c>
      <c r="I316">
        <v>2500034092</v>
      </c>
      <c r="J316" t="s">
        <v>50</v>
      </c>
      <c r="K316">
        <v>9000009190</v>
      </c>
      <c r="L316">
        <v>46946</v>
      </c>
      <c r="M316" t="s">
        <v>51</v>
      </c>
      <c r="N316">
        <v>9000082814</v>
      </c>
      <c r="O316" t="s">
        <v>184</v>
      </c>
      <c r="S316">
        <v>2507012387</v>
      </c>
      <c r="T316" t="s">
        <v>50</v>
      </c>
      <c r="U316" t="s">
        <v>122</v>
      </c>
      <c r="V316" t="s">
        <v>176</v>
      </c>
      <c r="W316" t="s">
        <v>177</v>
      </c>
      <c r="X316" t="s">
        <v>152</v>
      </c>
      <c r="Z316">
        <v>107</v>
      </c>
      <c r="AA316" t="s">
        <v>1008</v>
      </c>
      <c r="AB316" t="s">
        <v>1032</v>
      </c>
      <c r="AC316">
        <v>6879217</v>
      </c>
      <c r="AE316">
        <v>0</v>
      </c>
      <c r="AF316">
        <v>1</v>
      </c>
      <c r="AG316">
        <v>0</v>
      </c>
      <c r="AH316">
        <v>4.55</v>
      </c>
      <c r="AI316" t="s">
        <v>56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 t="s">
        <v>57</v>
      </c>
      <c r="AS316" t="s">
        <v>1033</v>
      </c>
      <c r="AU316" t="s">
        <v>1032</v>
      </c>
      <c r="AV316" t="s">
        <v>283</v>
      </c>
      <c r="AW316" t="s">
        <v>284</v>
      </c>
      <c r="AX316" t="s">
        <v>285</v>
      </c>
      <c r="AY316" t="s">
        <v>283</v>
      </c>
      <c r="AZ316">
        <v>60452</v>
      </c>
      <c r="BA316" t="s">
        <v>286</v>
      </c>
      <c r="BB316" t="s">
        <v>61</v>
      </c>
      <c r="BC316" t="s">
        <v>62</v>
      </c>
    </row>
    <row r="317" spans="1:55" x14ac:dyDescent="0.25">
      <c r="A317" s="1" t="str">
        <f>IF(COUNTIF(Catégories!A:A,X317)=0,"catégorie inconnue",_xlfn.XLOOKUP(X317,Catégories!A:A,Catégories!B:B))</f>
        <v>Frêt</v>
      </c>
      <c r="B317" s="1">
        <f t="shared" si="12"/>
        <v>0</v>
      </c>
      <c r="C317" s="1">
        <f t="shared" si="13"/>
        <v>0</v>
      </c>
      <c r="D317" s="1">
        <f t="shared" si="14"/>
        <v>0</v>
      </c>
      <c r="E317" s="20">
        <f>IF(AH317&lt;&gt;0,ROUNDUP(AH317,0),IF(BB317&lt;&gt;"FR","hors France",IF(AH317&lt;&gt;0,ROUNDUP(AH317,0),_xlfn.XLOOKUP(AJ317,'PA GLS'!B:B,'PA GLS'!A:A))))</f>
        <v>2</v>
      </c>
      <c r="F317">
        <v>2501382993</v>
      </c>
      <c r="G317">
        <v>1030233784</v>
      </c>
      <c r="H317" t="s">
        <v>366</v>
      </c>
      <c r="I317">
        <v>2500034092</v>
      </c>
      <c r="J317" t="s">
        <v>50</v>
      </c>
      <c r="K317">
        <v>9000009190</v>
      </c>
      <c r="L317">
        <v>46946</v>
      </c>
      <c r="M317" t="s">
        <v>51</v>
      </c>
      <c r="N317">
        <v>9000037814</v>
      </c>
      <c r="O317" t="s">
        <v>51</v>
      </c>
      <c r="S317">
        <v>2507012387</v>
      </c>
      <c r="T317" t="s">
        <v>50</v>
      </c>
      <c r="U317" t="s">
        <v>122</v>
      </c>
      <c r="V317" t="s">
        <v>176</v>
      </c>
      <c r="W317" t="s">
        <v>177</v>
      </c>
      <c r="X317" t="s">
        <v>152</v>
      </c>
      <c r="Z317">
        <v>171</v>
      </c>
      <c r="AA317" t="s">
        <v>1008</v>
      </c>
      <c r="AB317" t="s">
        <v>1034</v>
      </c>
      <c r="AC317">
        <v>2604000084</v>
      </c>
      <c r="AE317">
        <v>0</v>
      </c>
      <c r="AF317">
        <v>1</v>
      </c>
      <c r="AG317">
        <v>0</v>
      </c>
      <c r="AH317">
        <v>1.76</v>
      </c>
      <c r="AI317" t="s">
        <v>56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 t="s">
        <v>57</v>
      </c>
      <c r="AS317" t="s">
        <v>1035</v>
      </c>
      <c r="AT317" t="s">
        <v>1035</v>
      </c>
      <c r="AU317" t="s">
        <v>1034</v>
      </c>
      <c r="AV317" t="s">
        <v>1036</v>
      </c>
      <c r="AW317" t="s">
        <v>1037</v>
      </c>
      <c r="AZ317">
        <v>69006</v>
      </c>
      <c r="BA317" t="s">
        <v>151</v>
      </c>
      <c r="BB317" t="s">
        <v>61</v>
      </c>
      <c r="BC317" t="s">
        <v>62</v>
      </c>
    </row>
    <row r="318" spans="1:55" x14ac:dyDescent="0.25">
      <c r="A318" s="1" t="str">
        <f>IF(COUNTIF(Catégories!A:A,X318)=0,"catégorie inconnue",_xlfn.XLOOKUP(X318,Catégories!A:A,Catégories!B:B))</f>
        <v>Frêt</v>
      </c>
      <c r="B318" s="1">
        <f t="shared" si="12"/>
        <v>0</v>
      </c>
      <c r="C318" s="1">
        <f t="shared" si="13"/>
        <v>0</v>
      </c>
      <c r="D318" s="1">
        <f t="shared" si="14"/>
        <v>0</v>
      </c>
      <c r="E318" s="20">
        <f>IF(AH318&lt;&gt;0,ROUNDUP(AH318,0),IF(BB318&lt;&gt;"FR","hors France",IF(AH318&lt;&gt;0,ROUNDUP(AH318,0),_xlfn.XLOOKUP(AJ318,'PA GLS'!B:B,'PA GLS'!A:A))))</f>
        <v>1</v>
      </c>
      <c r="F318">
        <v>2501382993</v>
      </c>
      <c r="G318">
        <v>1030233784</v>
      </c>
      <c r="H318" t="s">
        <v>366</v>
      </c>
      <c r="I318">
        <v>2500034092</v>
      </c>
      <c r="J318" t="s">
        <v>50</v>
      </c>
      <c r="K318">
        <v>9000009190</v>
      </c>
      <c r="L318">
        <v>46946</v>
      </c>
      <c r="M318" t="s">
        <v>51</v>
      </c>
      <c r="N318">
        <v>9000037814</v>
      </c>
      <c r="O318" t="s">
        <v>51</v>
      </c>
      <c r="S318">
        <v>2507012387</v>
      </c>
      <c r="T318" t="s">
        <v>50</v>
      </c>
      <c r="U318" t="s">
        <v>122</v>
      </c>
      <c r="V318" t="s">
        <v>176</v>
      </c>
      <c r="W318" t="s">
        <v>177</v>
      </c>
      <c r="X318" t="s">
        <v>152</v>
      </c>
      <c r="Z318">
        <v>171</v>
      </c>
      <c r="AA318" t="s">
        <v>1008</v>
      </c>
      <c r="AB318" t="s">
        <v>1038</v>
      </c>
      <c r="AC318">
        <v>2604000085</v>
      </c>
      <c r="AE318">
        <v>0</v>
      </c>
      <c r="AF318">
        <v>1</v>
      </c>
      <c r="AG318">
        <v>0</v>
      </c>
      <c r="AH318">
        <v>0.26</v>
      </c>
      <c r="AI318" t="s">
        <v>56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 t="s">
        <v>57</v>
      </c>
      <c r="AS318" t="s">
        <v>1039</v>
      </c>
      <c r="AT318" t="s">
        <v>1039</v>
      </c>
      <c r="AU318" t="s">
        <v>1038</v>
      </c>
      <c r="AV318" t="s">
        <v>1040</v>
      </c>
      <c r="AW318" t="s">
        <v>1041</v>
      </c>
      <c r="AZ318">
        <v>93400</v>
      </c>
      <c r="BA318" t="s">
        <v>1042</v>
      </c>
      <c r="BB318" t="s">
        <v>61</v>
      </c>
      <c r="BC318" t="s">
        <v>62</v>
      </c>
    </row>
    <row r="319" spans="1:55" x14ac:dyDescent="0.25">
      <c r="A319" s="1" t="str">
        <f>IF(COUNTIF(Catégories!A:A,X319)=0,"catégorie inconnue",_xlfn.XLOOKUP(X319,Catégories!A:A,Catégories!B:B))</f>
        <v>Frêt</v>
      </c>
      <c r="B319" s="1">
        <f t="shared" si="12"/>
        <v>0</v>
      </c>
      <c r="C319" s="1">
        <f t="shared" si="13"/>
        <v>0</v>
      </c>
      <c r="D319" s="1">
        <f t="shared" si="14"/>
        <v>0</v>
      </c>
      <c r="E319" s="20">
        <f>IF(AH319&lt;&gt;0,ROUNDUP(AH319,0),IF(BB319&lt;&gt;"FR","hors France",IF(AH319&lt;&gt;0,ROUNDUP(AH319,0),_xlfn.XLOOKUP(AJ319,'PA GLS'!B:B,'PA GLS'!A:A))))</f>
        <v>1</v>
      </c>
      <c r="F319">
        <v>2501382993</v>
      </c>
      <c r="G319">
        <v>1030233784</v>
      </c>
      <c r="H319" t="s">
        <v>366</v>
      </c>
      <c r="I319">
        <v>2500034092</v>
      </c>
      <c r="J319" t="s">
        <v>50</v>
      </c>
      <c r="K319">
        <v>9000009190</v>
      </c>
      <c r="L319">
        <v>46946</v>
      </c>
      <c r="M319" t="s">
        <v>51</v>
      </c>
      <c r="N319">
        <v>9000037814</v>
      </c>
      <c r="O319" t="s">
        <v>51</v>
      </c>
      <c r="S319">
        <v>2507012387</v>
      </c>
      <c r="T319" t="s">
        <v>50</v>
      </c>
      <c r="U319" t="s">
        <v>122</v>
      </c>
      <c r="V319" t="s">
        <v>176</v>
      </c>
      <c r="W319" t="s">
        <v>177</v>
      </c>
      <c r="X319" t="s">
        <v>152</v>
      </c>
      <c r="Z319">
        <v>171</v>
      </c>
      <c r="AA319" t="s">
        <v>1008</v>
      </c>
      <c r="AB319" t="s">
        <v>1043</v>
      </c>
      <c r="AC319">
        <v>2604000086</v>
      </c>
      <c r="AE319">
        <v>0</v>
      </c>
      <c r="AF319">
        <v>1</v>
      </c>
      <c r="AG319">
        <v>0</v>
      </c>
      <c r="AH319">
        <v>0.28000000000000003</v>
      </c>
      <c r="AI319" t="s">
        <v>56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 t="s">
        <v>57</v>
      </c>
      <c r="AS319" t="s">
        <v>1044</v>
      </c>
      <c r="AT319" t="s">
        <v>1044</v>
      </c>
      <c r="AU319" t="s">
        <v>1043</v>
      </c>
      <c r="AV319" t="s">
        <v>1045</v>
      </c>
      <c r="AW319" t="s">
        <v>1046</v>
      </c>
      <c r="AZ319">
        <v>92100</v>
      </c>
      <c r="BA319" t="s">
        <v>789</v>
      </c>
      <c r="BB319" t="s">
        <v>61</v>
      </c>
      <c r="BC319" t="s">
        <v>62</v>
      </c>
    </row>
    <row r="320" spans="1:55" x14ac:dyDescent="0.25">
      <c r="A320" s="1" t="str">
        <f>IF(COUNTIF(Catégories!A:A,X320)=0,"catégorie inconnue",_xlfn.XLOOKUP(X320,Catégories!A:A,Catégories!B:B))</f>
        <v>Frêt</v>
      </c>
      <c r="B320" s="1">
        <f t="shared" si="12"/>
        <v>0</v>
      </c>
      <c r="C320" s="1">
        <f t="shared" si="13"/>
        <v>0</v>
      </c>
      <c r="D320" s="1">
        <f t="shared" si="14"/>
        <v>0</v>
      </c>
      <c r="E320" s="20">
        <f>IF(AH320&lt;&gt;0,ROUNDUP(AH320,0),IF(BB320&lt;&gt;"FR","hors France",IF(AH320&lt;&gt;0,ROUNDUP(AH320,0),_xlfn.XLOOKUP(AJ320,'PA GLS'!B:B,'PA GLS'!A:A))))</f>
        <v>3</v>
      </c>
      <c r="F320">
        <v>2501382993</v>
      </c>
      <c r="G320">
        <v>1030233784</v>
      </c>
      <c r="H320" t="s">
        <v>366</v>
      </c>
      <c r="I320">
        <v>2500034092</v>
      </c>
      <c r="J320" t="s">
        <v>50</v>
      </c>
      <c r="K320">
        <v>9000009190</v>
      </c>
      <c r="L320">
        <v>46946</v>
      </c>
      <c r="M320" t="s">
        <v>51</v>
      </c>
      <c r="N320">
        <v>9000037814</v>
      </c>
      <c r="O320" t="s">
        <v>51</v>
      </c>
      <c r="S320">
        <v>2507012387</v>
      </c>
      <c r="T320" t="s">
        <v>50</v>
      </c>
      <c r="U320" t="s">
        <v>122</v>
      </c>
      <c r="V320" t="s">
        <v>176</v>
      </c>
      <c r="W320" t="s">
        <v>177</v>
      </c>
      <c r="X320" t="s">
        <v>152</v>
      </c>
      <c r="Z320">
        <v>171</v>
      </c>
      <c r="AA320" t="s">
        <v>1008</v>
      </c>
      <c r="AB320" t="s">
        <v>1047</v>
      </c>
      <c r="AC320">
        <v>2604000087</v>
      </c>
      <c r="AE320">
        <v>0</v>
      </c>
      <c r="AF320">
        <v>1</v>
      </c>
      <c r="AG320">
        <v>0</v>
      </c>
      <c r="AH320">
        <v>2.44</v>
      </c>
      <c r="AI320" t="s">
        <v>56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 t="s">
        <v>57</v>
      </c>
      <c r="AS320" t="s">
        <v>1048</v>
      </c>
      <c r="AT320" t="s">
        <v>1048</v>
      </c>
      <c r="AU320" t="s">
        <v>1047</v>
      </c>
      <c r="AV320" t="s">
        <v>1049</v>
      </c>
      <c r="AW320" t="s">
        <v>1050</v>
      </c>
      <c r="AZ320">
        <v>35260</v>
      </c>
      <c r="BA320" t="s">
        <v>1051</v>
      </c>
      <c r="BB320" t="s">
        <v>61</v>
      </c>
      <c r="BC320" t="s">
        <v>62</v>
      </c>
    </row>
    <row r="321" spans="1:55" x14ac:dyDescent="0.25">
      <c r="A321" s="1" t="str">
        <f>IF(COUNTIF(Catégories!A:A,X321)=0,"catégorie inconnue",_xlfn.XLOOKUP(X321,Catégories!A:A,Catégories!B:B))</f>
        <v>Frêt</v>
      </c>
      <c r="B321" s="1">
        <f t="shared" si="12"/>
        <v>0</v>
      </c>
      <c r="C321" s="1">
        <f t="shared" si="13"/>
        <v>0</v>
      </c>
      <c r="D321" s="1">
        <f t="shared" si="14"/>
        <v>0</v>
      </c>
      <c r="E321" s="20">
        <f>IF(AH321&lt;&gt;0,ROUNDUP(AH321,0),IF(BB321&lt;&gt;"FR","hors France",IF(AH321&lt;&gt;0,ROUNDUP(AH321,0),_xlfn.XLOOKUP(AJ321,'PA GLS'!B:B,'PA GLS'!A:A))))</f>
        <v>1</v>
      </c>
      <c r="F321">
        <v>2501382993</v>
      </c>
      <c r="G321">
        <v>1030233784</v>
      </c>
      <c r="H321" t="s">
        <v>366</v>
      </c>
      <c r="I321">
        <v>2500034092</v>
      </c>
      <c r="J321" t="s">
        <v>50</v>
      </c>
      <c r="K321">
        <v>9000009190</v>
      </c>
      <c r="L321">
        <v>46946</v>
      </c>
      <c r="M321" t="s">
        <v>51</v>
      </c>
      <c r="N321">
        <v>9000037814</v>
      </c>
      <c r="O321" t="s">
        <v>51</v>
      </c>
      <c r="S321">
        <v>2507012387</v>
      </c>
      <c r="T321" t="s">
        <v>50</v>
      </c>
      <c r="U321" t="s">
        <v>122</v>
      </c>
      <c r="V321" t="s">
        <v>176</v>
      </c>
      <c r="W321" t="s">
        <v>177</v>
      </c>
      <c r="X321" t="s">
        <v>152</v>
      </c>
      <c r="Z321">
        <v>171</v>
      </c>
      <c r="AA321" t="s">
        <v>1008</v>
      </c>
      <c r="AB321" t="s">
        <v>1052</v>
      </c>
      <c r="AC321">
        <v>2604000088</v>
      </c>
      <c r="AE321">
        <v>0</v>
      </c>
      <c r="AF321">
        <v>1</v>
      </c>
      <c r="AG321">
        <v>0</v>
      </c>
      <c r="AH321">
        <v>0.54</v>
      </c>
      <c r="AI321" t="s">
        <v>56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 t="s">
        <v>57</v>
      </c>
      <c r="AS321" t="s">
        <v>1053</v>
      </c>
      <c r="AT321" t="s">
        <v>1053</v>
      </c>
      <c r="AU321" t="s">
        <v>1052</v>
      </c>
      <c r="AV321" t="s">
        <v>325</v>
      </c>
      <c r="AW321" t="s">
        <v>1054</v>
      </c>
      <c r="AZ321">
        <v>6130</v>
      </c>
      <c r="BA321" t="s">
        <v>272</v>
      </c>
      <c r="BB321" t="s">
        <v>61</v>
      </c>
      <c r="BC321" t="s">
        <v>62</v>
      </c>
    </row>
    <row r="322" spans="1:55" x14ac:dyDescent="0.25">
      <c r="A322" s="1" t="str">
        <f>IF(COUNTIF(Catégories!A:A,X322)=0,"catégorie inconnue",_xlfn.XLOOKUP(X322,Catégories!A:A,Catégories!B:B))</f>
        <v>Frêt</v>
      </c>
      <c r="B322" s="1">
        <f t="shared" si="12"/>
        <v>0</v>
      </c>
      <c r="C322" s="1">
        <f t="shared" si="13"/>
        <v>0</v>
      </c>
      <c r="D322" s="1">
        <f t="shared" si="14"/>
        <v>0</v>
      </c>
      <c r="E322" s="20">
        <f>IF(AH322&lt;&gt;0,ROUNDUP(AH322,0),IF(BB322&lt;&gt;"FR","hors France",IF(AH322&lt;&gt;0,ROUNDUP(AH322,0),_xlfn.XLOOKUP(AJ322,'PA GLS'!B:B,'PA GLS'!A:A))))</f>
        <v>2</v>
      </c>
      <c r="F322">
        <v>2501382993</v>
      </c>
      <c r="G322">
        <v>1030233784</v>
      </c>
      <c r="H322" t="s">
        <v>366</v>
      </c>
      <c r="I322">
        <v>2500034092</v>
      </c>
      <c r="J322" t="s">
        <v>50</v>
      </c>
      <c r="K322">
        <v>9000009190</v>
      </c>
      <c r="L322">
        <v>46946</v>
      </c>
      <c r="M322" t="s">
        <v>51</v>
      </c>
      <c r="N322">
        <v>9000037814</v>
      </c>
      <c r="O322" t="s">
        <v>51</v>
      </c>
      <c r="S322">
        <v>2507012387</v>
      </c>
      <c r="T322" t="s">
        <v>50</v>
      </c>
      <c r="U322" t="s">
        <v>122</v>
      </c>
      <c r="V322" t="s">
        <v>176</v>
      </c>
      <c r="W322" t="s">
        <v>177</v>
      </c>
      <c r="X322" t="s">
        <v>152</v>
      </c>
      <c r="Z322">
        <v>171</v>
      </c>
      <c r="AA322" t="s">
        <v>1008</v>
      </c>
      <c r="AB322" t="s">
        <v>1055</v>
      </c>
      <c r="AC322">
        <v>2604000089</v>
      </c>
      <c r="AE322">
        <v>0</v>
      </c>
      <c r="AF322">
        <v>1</v>
      </c>
      <c r="AG322">
        <v>0</v>
      </c>
      <c r="AH322">
        <v>1.88</v>
      </c>
      <c r="AI322" t="s">
        <v>56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 t="s">
        <v>57</v>
      </c>
      <c r="AS322" t="s">
        <v>1056</v>
      </c>
      <c r="AT322" t="s">
        <v>1056</v>
      </c>
      <c r="AU322" t="s">
        <v>1055</v>
      </c>
      <c r="AV322" t="s">
        <v>1057</v>
      </c>
      <c r="AW322" t="s">
        <v>1058</v>
      </c>
      <c r="AZ322">
        <v>46130</v>
      </c>
      <c r="BA322" t="s">
        <v>1059</v>
      </c>
      <c r="BB322" t="s">
        <v>61</v>
      </c>
      <c r="BC322" t="s">
        <v>62</v>
      </c>
    </row>
    <row r="323" spans="1:55" x14ac:dyDescent="0.25">
      <c r="A323" s="1" t="str">
        <f>IF(COUNTIF(Catégories!A:A,X323)=0,"catégorie inconnue",_xlfn.XLOOKUP(X323,Catégories!A:A,Catégories!B:B))</f>
        <v>Frêt</v>
      </c>
      <c r="B323" s="1">
        <f t="shared" ref="B323:B386" si="15">SUM(AJ323:AL323)+SUM(AN323:AP323)</f>
        <v>0</v>
      </c>
      <c r="C323" s="1">
        <f t="shared" ref="C323:C386" si="16">AN323</f>
        <v>0</v>
      </c>
      <c r="D323" s="1">
        <f t="shared" ref="D323:D386" si="17">B323-C323</f>
        <v>0</v>
      </c>
      <c r="E323" s="20">
        <f>IF(AH323&lt;&gt;0,ROUNDUP(AH323,0),IF(BB323&lt;&gt;"FR","hors France",IF(AH323&lt;&gt;0,ROUNDUP(AH323,0),_xlfn.XLOOKUP(AJ323,'PA GLS'!B:B,'PA GLS'!A:A))))</f>
        <v>1</v>
      </c>
      <c r="F323">
        <v>2501382993</v>
      </c>
      <c r="G323">
        <v>1030233784</v>
      </c>
      <c r="H323" t="s">
        <v>366</v>
      </c>
      <c r="I323">
        <v>2500034092</v>
      </c>
      <c r="J323" t="s">
        <v>50</v>
      </c>
      <c r="K323">
        <v>9000009190</v>
      </c>
      <c r="L323">
        <v>46946</v>
      </c>
      <c r="M323" t="s">
        <v>51</v>
      </c>
      <c r="N323">
        <v>9000037814</v>
      </c>
      <c r="O323" t="s">
        <v>51</v>
      </c>
      <c r="S323">
        <v>2507012387</v>
      </c>
      <c r="T323" t="s">
        <v>50</v>
      </c>
      <c r="U323" t="s">
        <v>122</v>
      </c>
      <c r="V323" t="s">
        <v>176</v>
      </c>
      <c r="W323" t="s">
        <v>177</v>
      </c>
      <c r="X323" t="s">
        <v>152</v>
      </c>
      <c r="Z323">
        <v>171</v>
      </c>
      <c r="AA323" t="s">
        <v>1008</v>
      </c>
      <c r="AB323" t="s">
        <v>1060</v>
      </c>
      <c r="AC323">
        <v>2604000090</v>
      </c>
      <c r="AE323">
        <v>0</v>
      </c>
      <c r="AF323">
        <v>1</v>
      </c>
      <c r="AG323">
        <v>0</v>
      </c>
      <c r="AH323">
        <v>0.54</v>
      </c>
      <c r="AI323" t="s">
        <v>56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 t="s">
        <v>57</v>
      </c>
      <c r="AS323" t="s">
        <v>1061</v>
      </c>
      <c r="AT323" t="s">
        <v>1061</v>
      </c>
      <c r="AU323" t="s">
        <v>1060</v>
      </c>
      <c r="AV323" t="s">
        <v>299</v>
      </c>
      <c r="AW323" t="s">
        <v>1062</v>
      </c>
      <c r="AZ323">
        <v>75008</v>
      </c>
      <c r="BA323" t="s">
        <v>65</v>
      </c>
      <c r="BB323" t="s">
        <v>61</v>
      </c>
      <c r="BC323" t="s">
        <v>62</v>
      </c>
    </row>
    <row r="324" spans="1:55" x14ac:dyDescent="0.25">
      <c r="A324" s="1" t="str">
        <f>IF(COUNTIF(Catégories!A:A,X324)=0,"catégorie inconnue",_xlfn.XLOOKUP(X324,Catégories!A:A,Catégories!B:B))</f>
        <v>Frêt</v>
      </c>
      <c r="B324" s="1">
        <f t="shared" si="15"/>
        <v>8.15</v>
      </c>
      <c r="C324" s="1">
        <f t="shared" si="16"/>
        <v>1.8</v>
      </c>
      <c r="D324" s="1">
        <f t="shared" si="17"/>
        <v>6.3500000000000005</v>
      </c>
      <c r="E324" s="20">
        <f>IF(AH324&lt;&gt;0,ROUNDUP(AH324,0),IF(BB324&lt;&gt;"FR","hors France",IF(AH324&lt;&gt;0,ROUNDUP(AH324,0),_xlfn.XLOOKUP(AJ324,'PA GLS'!B:B,'PA GLS'!A:A))))</f>
        <v>4</v>
      </c>
      <c r="F324">
        <v>2501382993</v>
      </c>
      <c r="G324">
        <v>1030223434</v>
      </c>
      <c r="H324" t="s">
        <v>366</v>
      </c>
      <c r="I324">
        <v>2500034092</v>
      </c>
      <c r="J324" t="s">
        <v>50</v>
      </c>
      <c r="K324">
        <v>9000009190</v>
      </c>
      <c r="L324">
        <v>46946</v>
      </c>
      <c r="M324" t="s">
        <v>51</v>
      </c>
      <c r="N324">
        <v>9000079830</v>
      </c>
      <c r="O324" t="s">
        <v>187</v>
      </c>
      <c r="S324">
        <v>2507012387</v>
      </c>
      <c r="T324" t="s">
        <v>50</v>
      </c>
      <c r="U324" t="s">
        <v>122</v>
      </c>
      <c r="V324" t="s">
        <v>231</v>
      </c>
      <c r="W324" t="s">
        <v>232</v>
      </c>
      <c r="X324" t="s">
        <v>60</v>
      </c>
      <c r="Z324">
        <v>100</v>
      </c>
      <c r="AA324" t="s">
        <v>1008</v>
      </c>
      <c r="AB324" t="s">
        <v>1063</v>
      </c>
      <c r="AC324">
        <v>2604000093</v>
      </c>
      <c r="AE324">
        <v>0</v>
      </c>
      <c r="AF324">
        <v>0</v>
      </c>
      <c r="AG324">
        <v>0</v>
      </c>
      <c r="AH324">
        <v>0</v>
      </c>
      <c r="AI324" t="s">
        <v>56</v>
      </c>
      <c r="AJ324">
        <v>5.3</v>
      </c>
      <c r="AK324">
        <v>0.9</v>
      </c>
      <c r="AL324">
        <v>0.15</v>
      </c>
      <c r="AM324">
        <v>29.1</v>
      </c>
      <c r="AN324">
        <v>1.8</v>
      </c>
      <c r="AO324">
        <v>0</v>
      </c>
      <c r="AP324">
        <v>0</v>
      </c>
      <c r="AQ324" t="s">
        <v>57</v>
      </c>
      <c r="AS324" t="s">
        <v>1064</v>
      </c>
      <c r="AT324" t="s">
        <v>1064</v>
      </c>
      <c r="AU324" t="s">
        <v>1063</v>
      </c>
      <c r="AV324" t="s">
        <v>1065</v>
      </c>
      <c r="AW324" t="s">
        <v>1066</v>
      </c>
      <c r="AZ324">
        <v>31000</v>
      </c>
      <c r="BA324" t="s">
        <v>218</v>
      </c>
      <c r="BB324" t="s">
        <v>61</v>
      </c>
      <c r="BC324" t="s">
        <v>62</v>
      </c>
    </row>
    <row r="325" spans="1:55" x14ac:dyDescent="0.25">
      <c r="A325" s="1" t="str">
        <f>IF(COUNTIF(Catégories!A:A,X325)=0,"catégorie inconnue",_xlfn.XLOOKUP(X325,Catégories!A:A,Catégories!B:B))</f>
        <v>Frêt</v>
      </c>
      <c r="B325" s="1">
        <f t="shared" si="15"/>
        <v>7.0100000000000007</v>
      </c>
      <c r="C325" s="1">
        <f t="shared" si="16"/>
        <v>1.54</v>
      </c>
      <c r="D325" s="1">
        <f t="shared" si="17"/>
        <v>5.4700000000000006</v>
      </c>
      <c r="E325" s="20">
        <f>IF(AH325&lt;&gt;0,ROUNDUP(AH325,0),IF(BB325&lt;&gt;"FR","hors France",IF(AH325&lt;&gt;0,ROUNDUP(AH325,0),_xlfn.XLOOKUP(AJ325,'PA GLS'!B:B,'PA GLS'!A:A))))</f>
        <v>2</v>
      </c>
      <c r="F325">
        <v>2501382993</v>
      </c>
      <c r="G325">
        <v>1030223434</v>
      </c>
      <c r="H325" t="s">
        <v>366</v>
      </c>
      <c r="I325">
        <v>2500034092</v>
      </c>
      <c r="J325" t="s">
        <v>50</v>
      </c>
      <c r="K325">
        <v>9000009190</v>
      </c>
      <c r="L325">
        <v>46946</v>
      </c>
      <c r="M325" t="s">
        <v>51</v>
      </c>
      <c r="N325">
        <v>9000079830</v>
      </c>
      <c r="O325" t="s">
        <v>187</v>
      </c>
      <c r="S325">
        <v>2507012387</v>
      </c>
      <c r="T325" t="s">
        <v>50</v>
      </c>
      <c r="U325" t="s">
        <v>122</v>
      </c>
      <c r="V325" t="s">
        <v>77</v>
      </c>
      <c r="W325" t="s">
        <v>78</v>
      </c>
      <c r="X325" t="s">
        <v>60</v>
      </c>
      <c r="Z325">
        <v>99</v>
      </c>
      <c r="AA325" t="s">
        <v>1008</v>
      </c>
      <c r="AB325" t="s">
        <v>1067</v>
      </c>
      <c r="AC325">
        <v>2604000094</v>
      </c>
      <c r="AE325">
        <v>0</v>
      </c>
      <c r="AF325">
        <v>0</v>
      </c>
      <c r="AG325">
        <v>0</v>
      </c>
      <c r="AH325">
        <v>0</v>
      </c>
      <c r="AI325" t="s">
        <v>56</v>
      </c>
      <c r="AJ325">
        <v>4.42</v>
      </c>
      <c r="AK325">
        <v>0.9</v>
      </c>
      <c r="AL325">
        <v>0.15</v>
      </c>
      <c r="AM325">
        <v>29.1</v>
      </c>
      <c r="AN325">
        <v>1.54</v>
      </c>
      <c r="AO325">
        <v>0</v>
      </c>
      <c r="AP325">
        <v>0</v>
      </c>
      <c r="AQ325" t="s">
        <v>57</v>
      </c>
      <c r="AS325" t="s">
        <v>1068</v>
      </c>
      <c r="AT325" t="s">
        <v>1068</v>
      </c>
      <c r="AU325" t="s">
        <v>1067</v>
      </c>
      <c r="AV325" t="s">
        <v>1069</v>
      </c>
      <c r="AW325" t="s">
        <v>1070</v>
      </c>
      <c r="AZ325">
        <v>51460</v>
      </c>
      <c r="BA325" t="s">
        <v>1071</v>
      </c>
      <c r="BB325" t="s">
        <v>61</v>
      </c>
      <c r="BC325" t="s">
        <v>62</v>
      </c>
    </row>
    <row r="326" spans="1:55" x14ac:dyDescent="0.25">
      <c r="A326" s="1" t="str">
        <f>IF(COUNTIF(Catégories!A:A,X326)=0,"catégorie inconnue",_xlfn.XLOOKUP(X326,Catégories!A:A,Catégories!B:B))</f>
        <v>Frêt</v>
      </c>
      <c r="B326" s="1">
        <f t="shared" si="15"/>
        <v>0</v>
      </c>
      <c r="C326" s="1">
        <f t="shared" si="16"/>
        <v>0</v>
      </c>
      <c r="D326" s="1">
        <f t="shared" si="17"/>
        <v>0</v>
      </c>
      <c r="E326" s="20">
        <f>IF(AH326&lt;&gt;0,ROUNDUP(AH326,0),IF(BB326&lt;&gt;"FR","hors France",IF(AH326&lt;&gt;0,ROUNDUP(AH326,0),_xlfn.XLOOKUP(AJ326,'PA GLS'!B:B,'PA GLS'!A:A))))</f>
        <v>2</v>
      </c>
      <c r="F326">
        <v>2501382993</v>
      </c>
      <c r="G326">
        <v>1030223434</v>
      </c>
      <c r="H326" t="s">
        <v>366</v>
      </c>
      <c r="I326">
        <v>2500034092</v>
      </c>
      <c r="J326" t="s">
        <v>50</v>
      </c>
      <c r="K326">
        <v>9000009190</v>
      </c>
      <c r="L326">
        <v>46946</v>
      </c>
      <c r="M326" t="s">
        <v>51</v>
      </c>
      <c r="N326">
        <v>9000079830</v>
      </c>
      <c r="O326" t="s">
        <v>187</v>
      </c>
      <c r="S326">
        <v>2507012387</v>
      </c>
      <c r="T326" t="s">
        <v>50</v>
      </c>
      <c r="U326" t="s">
        <v>122</v>
      </c>
      <c r="V326" t="s">
        <v>176</v>
      </c>
      <c r="W326" t="s">
        <v>177</v>
      </c>
      <c r="X326" t="s">
        <v>152</v>
      </c>
      <c r="Z326">
        <v>98</v>
      </c>
      <c r="AA326" t="s">
        <v>1008</v>
      </c>
      <c r="AB326" t="s">
        <v>1067</v>
      </c>
      <c r="AC326">
        <v>2604000094</v>
      </c>
      <c r="AE326">
        <v>0</v>
      </c>
      <c r="AF326">
        <v>1</v>
      </c>
      <c r="AG326">
        <v>0</v>
      </c>
      <c r="AH326">
        <v>2</v>
      </c>
      <c r="AI326" t="s">
        <v>56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 t="s">
        <v>57</v>
      </c>
      <c r="AS326" t="s">
        <v>1068</v>
      </c>
      <c r="AT326" t="s">
        <v>1068</v>
      </c>
      <c r="AU326" t="s">
        <v>1067</v>
      </c>
      <c r="AV326" t="s">
        <v>1069</v>
      </c>
      <c r="AW326" t="s">
        <v>1070</v>
      </c>
      <c r="AZ326">
        <v>51460</v>
      </c>
      <c r="BA326" t="s">
        <v>1071</v>
      </c>
      <c r="BB326" t="s">
        <v>61</v>
      </c>
      <c r="BC326" t="s">
        <v>62</v>
      </c>
    </row>
    <row r="327" spans="1:55" x14ac:dyDescent="0.25">
      <c r="A327" s="1" t="str">
        <f>IF(COUNTIF(Catégories!A:A,X327)=0,"catégorie inconnue",_xlfn.XLOOKUP(X327,Catégories!A:A,Catégories!B:B))</f>
        <v>Frêt</v>
      </c>
      <c r="B327" s="1">
        <f t="shared" si="15"/>
        <v>0</v>
      </c>
      <c r="C327" s="1">
        <f t="shared" si="16"/>
        <v>0</v>
      </c>
      <c r="D327" s="1">
        <f t="shared" si="17"/>
        <v>0</v>
      </c>
      <c r="E327" s="20">
        <f>IF(AH327&lt;&gt;0,ROUNDUP(AH327,0),IF(BB327&lt;&gt;"FR","hors France",IF(AH327&lt;&gt;0,ROUNDUP(AH327,0),_xlfn.XLOOKUP(AJ327,'PA GLS'!B:B,'PA GLS'!A:A))))</f>
        <v>4</v>
      </c>
      <c r="F327">
        <v>2501382993</v>
      </c>
      <c r="G327">
        <v>1030223434</v>
      </c>
      <c r="H327" t="s">
        <v>366</v>
      </c>
      <c r="I327">
        <v>2500034092</v>
      </c>
      <c r="J327" t="s">
        <v>50</v>
      </c>
      <c r="K327">
        <v>9000009190</v>
      </c>
      <c r="L327">
        <v>46946</v>
      </c>
      <c r="M327" t="s">
        <v>51</v>
      </c>
      <c r="N327">
        <v>9000079830</v>
      </c>
      <c r="O327" t="s">
        <v>187</v>
      </c>
      <c r="S327">
        <v>2507012387</v>
      </c>
      <c r="T327" t="s">
        <v>50</v>
      </c>
      <c r="U327" t="s">
        <v>122</v>
      </c>
      <c r="V327" t="s">
        <v>176</v>
      </c>
      <c r="W327" t="s">
        <v>177</v>
      </c>
      <c r="X327" t="s">
        <v>152</v>
      </c>
      <c r="Z327">
        <v>98</v>
      </c>
      <c r="AA327" t="s">
        <v>1008</v>
      </c>
      <c r="AB327" t="s">
        <v>1063</v>
      </c>
      <c r="AC327">
        <v>2604000093</v>
      </c>
      <c r="AE327">
        <v>0</v>
      </c>
      <c r="AF327">
        <v>1</v>
      </c>
      <c r="AG327">
        <v>0</v>
      </c>
      <c r="AH327">
        <v>3.76</v>
      </c>
      <c r="AI327" t="s">
        <v>56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 t="s">
        <v>57</v>
      </c>
      <c r="AS327" t="s">
        <v>1064</v>
      </c>
      <c r="AT327" t="s">
        <v>1064</v>
      </c>
      <c r="AU327" t="s">
        <v>1063</v>
      </c>
      <c r="AV327" t="s">
        <v>1065</v>
      </c>
      <c r="AW327" t="s">
        <v>1066</v>
      </c>
      <c r="AZ327">
        <v>31000</v>
      </c>
      <c r="BA327" t="s">
        <v>218</v>
      </c>
      <c r="BB327" t="s">
        <v>61</v>
      </c>
      <c r="BC327" t="s">
        <v>62</v>
      </c>
    </row>
    <row r="328" spans="1:55" x14ac:dyDescent="0.25">
      <c r="A328" s="1" t="str">
        <f>IF(COUNTIF(Catégories!A:A,X328)=0,"catégorie inconnue",_xlfn.XLOOKUP(X328,Catégories!A:A,Catégories!B:B))</f>
        <v>Frêt - retour</v>
      </c>
      <c r="B328" s="1">
        <f t="shared" si="15"/>
        <v>4.8600000000000003</v>
      </c>
      <c r="C328" s="1">
        <f t="shared" si="16"/>
        <v>1.0900000000000001</v>
      </c>
      <c r="D328" s="1">
        <f t="shared" si="17"/>
        <v>3.7700000000000005</v>
      </c>
      <c r="E328" s="20">
        <f>IF(AH328&lt;&gt;0,ROUNDUP(AH328,0),IF(BB328&lt;&gt;"FR","hors France",IF(AH328&lt;&gt;0,ROUNDUP(AH328,0),_xlfn.XLOOKUP(AJ328,'PA GLS'!B:B,'PA GLS'!A:A))))</f>
        <v>0.5</v>
      </c>
      <c r="F328">
        <v>2501382993</v>
      </c>
      <c r="G328">
        <v>1030233784</v>
      </c>
      <c r="H328" t="s">
        <v>366</v>
      </c>
      <c r="I328">
        <v>2500034092</v>
      </c>
      <c r="J328" t="s">
        <v>50</v>
      </c>
      <c r="K328">
        <v>9000009190</v>
      </c>
      <c r="L328">
        <v>46946</v>
      </c>
      <c r="M328" t="s">
        <v>51</v>
      </c>
      <c r="N328">
        <v>9000037814</v>
      </c>
      <c r="O328" t="s">
        <v>51</v>
      </c>
      <c r="S328">
        <v>2507012387</v>
      </c>
      <c r="T328" t="s">
        <v>50</v>
      </c>
      <c r="U328" t="s">
        <v>122</v>
      </c>
      <c r="V328" t="s">
        <v>226</v>
      </c>
      <c r="W328" t="s">
        <v>227</v>
      </c>
      <c r="X328" t="s">
        <v>119</v>
      </c>
      <c r="Z328">
        <v>180</v>
      </c>
      <c r="AA328" t="s">
        <v>1008</v>
      </c>
      <c r="AB328" t="s">
        <v>543</v>
      </c>
      <c r="AC328">
        <v>2604000020</v>
      </c>
      <c r="AE328">
        <v>0</v>
      </c>
      <c r="AF328">
        <v>0</v>
      </c>
      <c r="AG328">
        <v>0</v>
      </c>
      <c r="AH328">
        <v>0</v>
      </c>
      <c r="AI328" t="s">
        <v>56</v>
      </c>
      <c r="AJ328">
        <v>3.77</v>
      </c>
      <c r="AK328">
        <v>0</v>
      </c>
      <c r="AL328">
        <v>0</v>
      </c>
      <c r="AM328">
        <v>29.1</v>
      </c>
      <c r="AN328">
        <v>1.0900000000000001</v>
      </c>
      <c r="AO328">
        <v>0</v>
      </c>
      <c r="AP328">
        <v>0</v>
      </c>
      <c r="AQ328" t="s">
        <v>57</v>
      </c>
      <c r="AS328" t="s">
        <v>544</v>
      </c>
      <c r="AT328" t="s">
        <v>544</v>
      </c>
      <c r="AU328" t="s">
        <v>543</v>
      </c>
      <c r="AV328" t="s">
        <v>545</v>
      </c>
      <c r="AW328" t="s">
        <v>546</v>
      </c>
      <c r="AZ328">
        <v>13008</v>
      </c>
      <c r="BA328" t="s">
        <v>68</v>
      </c>
      <c r="BB328" t="s">
        <v>61</v>
      </c>
      <c r="BC328" t="s">
        <v>62</v>
      </c>
    </row>
    <row r="329" spans="1:55" x14ac:dyDescent="0.25">
      <c r="A329" s="1" t="str">
        <f>IF(COUNTIF(Catégories!A:A,X329)=0,"catégorie inconnue",_xlfn.XLOOKUP(X329,Catégories!A:A,Catégories!B:B))</f>
        <v>Frêt</v>
      </c>
      <c r="B329" s="1">
        <f t="shared" si="15"/>
        <v>8.15</v>
      </c>
      <c r="C329" s="1">
        <f t="shared" si="16"/>
        <v>1.8</v>
      </c>
      <c r="D329" s="1">
        <f t="shared" si="17"/>
        <v>6.3500000000000005</v>
      </c>
      <c r="E329" s="20">
        <f>IF(AH329&lt;&gt;0,ROUNDUP(AH329,0),IF(BB329&lt;&gt;"FR","hors France",IF(AH329&lt;&gt;0,ROUNDUP(AH329,0),_xlfn.XLOOKUP(AJ329,'PA GLS'!B:B,'PA GLS'!A:A))))</f>
        <v>4</v>
      </c>
      <c r="F329">
        <v>2501382993</v>
      </c>
      <c r="G329">
        <v>1030233784</v>
      </c>
      <c r="H329" t="s">
        <v>366</v>
      </c>
      <c r="I329">
        <v>2500034092</v>
      </c>
      <c r="J329" t="s">
        <v>50</v>
      </c>
      <c r="K329">
        <v>9000009190</v>
      </c>
      <c r="L329">
        <v>46946</v>
      </c>
      <c r="M329" t="s">
        <v>51</v>
      </c>
      <c r="N329">
        <v>9000037814</v>
      </c>
      <c r="O329" t="s">
        <v>51</v>
      </c>
      <c r="S329">
        <v>2507012387</v>
      </c>
      <c r="T329" t="s">
        <v>50</v>
      </c>
      <c r="U329" t="s">
        <v>122</v>
      </c>
      <c r="V329" t="s">
        <v>231</v>
      </c>
      <c r="W329" t="s">
        <v>232</v>
      </c>
      <c r="X329" t="s">
        <v>60</v>
      </c>
      <c r="Z329">
        <v>179</v>
      </c>
      <c r="AA329" t="s">
        <v>1008</v>
      </c>
      <c r="AB329" t="s">
        <v>1072</v>
      </c>
      <c r="AC329">
        <v>2604000096</v>
      </c>
      <c r="AE329">
        <v>0</v>
      </c>
      <c r="AF329">
        <v>0</v>
      </c>
      <c r="AG329">
        <v>0</v>
      </c>
      <c r="AH329">
        <v>0</v>
      </c>
      <c r="AI329" t="s">
        <v>56</v>
      </c>
      <c r="AJ329">
        <v>5.3</v>
      </c>
      <c r="AK329">
        <v>0.9</v>
      </c>
      <c r="AL329">
        <v>0.15</v>
      </c>
      <c r="AM329">
        <v>29.1</v>
      </c>
      <c r="AN329">
        <v>1.8</v>
      </c>
      <c r="AO329">
        <v>0</v>
      </c>
      <c r="AP329">
        <v>0</v>
      </c>
      <c r="AQ329" t="s">
        <v>57</v>
      </c>
      <c r="AS329" t="s">
        <v>1073</v>
      </c>
      <c r="AT329" t="s">
        <v>1073</v>
      </c>
      <c r="AU329" t="s">
        <v>1072</v>
      </c>
      <c r="AV329" t="s">
        <v>1074</v>
      </c>
      <c r="AW329" t="s">
        <v>1075</v>
      </c>
      <c r="AZ329">
        <v>33380</v>
      </c>
      <c r="BA329" t="s">
        <v>1076</v>
      </c>
      <c r="BB329" t="s">
        <v>61</v>
      </c>
      <c r="BC329" t="s">
        <v>62</v>
      </c>
    </row>
    <row r="330" spans="1:55" x14ac:dyDescent="0.25">
      <c r="A330" s="1" t="str">
        <f>IF(COUNTIF(Catégories!A:A,X330)=0,"catégorie inconnue",_xlfn.XLOOKUP(X330,Catégories!A:A,Catégories!B:B))</f>
        <v>Frêt</v>
      </c>
      <c r="B330" s="1">
        <f t="shared" si="15"/>
        <v>7.4300000000000006</v>
      </c>
      <c r="C330" s="1">
        <f t="shared" si="16"/>
        <v>1.64</v>
      </c>
      <c r="D330" s="1">
        <f t="shared" si="17"/>
        <v>5.7900000000000009</v>
      </c>
      <c r="E330" s="20">
        <f>IF(AH330&lt;&gt;0,ROUNDUP(AH330,0),IF(BB330&lt;&gt;"FR","hors France",IF(AH330&lt;&gt;0,ROUNDUP(AH330,0),_xlfn.XLOOKUP(AJ330,'PA GLS'!B:B,'PA GLS'!A:A))))</f>
        <v>3</v>
      </c>
      <c r="F330">
        <v>2501382993</v>
      </c>
      <c r="G330">
        <v>1030233784</v>
      </c>
      <c r="H330" t="s">
        <v>366</v>
      </c>
      <c r="I330">
        <v>2500034092</v>
      </c>
      <c r="J330" t="s">
        <v>50</v>
      </c>
      <c r="K330">
        <v>9000009190</v>
      </c>
      <c r="L330">
        <v>46946</v>
      </c>
      <c r="M330" t="s">
        <v>51</v>
      </c>
      <c r="N330">
        <v>9000037814</v>
      </c>
      <c r="O330" t="s">
        <v>51</v>
      </c>
      <c r="S330">
        <v>2507012387</v>
      </c>
      <c r="T330" t="s">
        <v>50</v>
      </c>
      <c r="U330" t="s">
        <v>122</v>
      </c>
      <c r="V330" t="s">
        <v>58</v>
      </c>
      <c r="W330" t="s">
        <v>59</v>
      </c>
      <c r="X330" t="s">
        <v>60</v>
      </c>
      <c r="Z330">
        <v>178</v>
      </c>
      <c r="AA330" t="s">
        <v>1008</v>
      </c>
      <c r="AB330" t="s">
        <v>1047</v>
      </c>
      <c r="AC330">
        <v>2604000087</v>
      </c>
      <c r="AE330">
        <v>0</v>
      </c>
      <c r="AF330">
        <v>0</v>
      </c>
      <c r="AG330">
        <v>0</v>
      </c>
      <c r="AH330">
        <v>0</v>
      </c>
      <c r="AI330" t="s">
        <v>56</v>
      </c>
      <c r="AJ330">
        <v>4.74</v>
      </c>
      <c r="AK330">
        <v>0.9</v>
      </c>
      <c r="AL330">
        <v>0.15</v>
      </c>
      <c r="AM330">
        <v>29.1</v>
      </c>
      <c r="AN330">
        <v>1.64</v>
      </c>
      <c r="AO330">
        <v>0</v>
      </c>
      <c r="AP330">
        <v>0</v>
      </c>
      <c r="AQ330" t="s">
        <v>57</v>
      </c>
      <c r="AS330" t="s">
        <v>1048</v>
      </c>
      <c r="AT330" t="s">
        <v>1048</v>
      </c>
      <c r="AU330" t="s">
        <v>1047</v>
      </c>
      <c r="AV330" t="s">
        <v>1049</v>
      </c>
      <c r="AW330" t="s">
        <v>1050</v>
      </c>
      <c r="AZ330">
        <v>35260</v>
      </c>
      <c r="BA330" t="s">
        <v>1051</v>
      </c>
      <c r="BB330" t="s">
        <v>61</v>
      </c>
      <c r="BC330" t="s">
        <v>62</v>
      </c>
    </row>
    <row r="331" spans="1:55" x14ac:dyDescent="0.25">
      <c r="A331" s="1" t="str">
        <f>IF(COUNTIF(Catégories!A:A,X331)=0,"catégorie inconnue",_xlfn.XLOOKUP(X331,Catégories!A:A,Catégories!B:B))</f>
        <v>Frêt</v>
      </c>
      <c r="B331" s="1">
        <f t="shared" si="15"/>
        <v>7.0100000000000007</v>
      </c>
      <c r="C331" s="1">
        <f t="shared" si="16"/>
        <v>1.54</v>
      </c>
      <c r="D331" s="1">
        <f t="shared" si="17"/>
        <v>5.4700000000000006</v>
      </c>
      <c r="E331" s="20">
        <f>IF(AH331&lt;&gt;0,ROUNDUP(AH331,0),IF(BB331&lt;&gt;"FR","hors France",IF(AH331&lt;&gt;0,ROUNDUP(AH331,0),_xlfn.XLOOKUP(AJ331,'PA GLS'!B:B,'PA GLS'!A:A))))</f>
        <v>2</v>
      </c>
      <c r="F331">
        <v>2501382993</v>
      </c>
      <c r="G331">
        <v>1030233784</v>
      </c>
      <c r="H331" t="s">
        <v>366</v>
      </c>
      <c r="I331">
        <v>2500034092</v>
      </c>
      <c r="J331" t="s">
        <v>50</v>
      </c>
      <c r="K331">
        <v>9000009190</v>
      </c>
      <c r="L331">
        <v>46946</v>
      </c>
      <c r="M331" t="s">
        <v>51</v>
      </c>
      <c r="N331">
        <v>9000037814</v>
      </c>
      <c r="O331" t="s">
        <v>51</v>
      </c>
      <c r="S331">
        <v>2507012387</v>
      </c>
      <c r="T331" t="s">
        <v>50</v>
      </c>
      <c r="U331" t="s">
        <v>122</v>
      </c>
      <c r="V331" t="s">
        <v>77</v>
      </c>
      <c r="W331" t="s">
        <v>78</v>
      </c>
      <c r="X331" t="s">
        <v>60</v>
      </c>
      <c r="Z331">
        <v>177</v>
      </c>
      <c r="AA331" t="s">
        <v>1008</v>
      </c>
      <c r="AB331" t="s">
        <v>1055</v>
      </c>
      <c r="AC331">
        <v>2604000089</v>
      </c>
      <c r="AE331">
        <v>0</v>
      </c>
      <c r="AF331">
        <v>0</v>
      </c>
      <c r="AG331">
        <v>0</v>
      </c>
      <c r="AH331">
        <v>0</v>
      </c>
      <c r="AI331" t="s">
        <v>56</v>
      </c>
      <c r="AJ331">
        <v>4.42</v>
      </c>
      <c r="AK331">
        <v>0.9</v>
      </c>
      <c r="AL331">
        <v>0.15</v>
      </c>
      <c r="AM331">
        <v>29.1</v>
      </c>
      <c r="AN331">
        <v>1.54</v>
      </c>
      <c r="AO331">
        <v>0</v>
      </c>
      <c r="AP331">
        <v>0</v>
      </c>
      <c r="AQ331" t="s">
        <v>57</v>
      </c>
      <c r="AS331" t="s">
        <v>1056</v>
      </c>
      <c r="AT331" t="s">
        <v>1056</v>
      </c>
      <c r="AU331" t="s">
        <v>1055</v>
      </c>
      <c r="AV331" t="s">
        <v>1057</v>
      </c>
      <c r="AW331" t="s">
        <v>1058</v>
      </c>
      <c r="AZ331">
        <v>46130</v>
      </c>
      <c r="BA331" t="s">
        <v>1059</v>
      </c>
      <c r="BB331" t="s">
        <v>61</v>
      </c>
      <c r="BC331" t="s">
        <v>62</v>
      </c>
    </row>
    <row r="332" spans="1:55" x14ac:dyDescent="0.25">
      <c r="A332" s="1" t="str">
        <f>IF(COUNTIF(Catégories!A:A,X332)=0,"catégorie inconnue",_xlfn.XLOOKUP(X332,Catégories!A:A,Catégories!B:B))</f>
        <v>Frêt</v>
      </c>
      <c r="B332" s="1">
        <f t="shared" si="15"/>
        <v>7.0100000000000007</v>
      </c>
      <c r="C332" s="1">
        <f t="shared" si="16"/>
        <v>1.54</v>
      </c>
      <c r="D332" s="1">
        <f t="shared" si="17"/>
        <v>5.4700000000000006</v>
      </c>
      <c r="E332" s="20">
        <f>IF(AH332&lt;&gt;0,ROUNDUP(AH332,0),IF(BB332&lt;&gt;"FR","hors France",IF(AH332&lt;&gt;0,ROUNDUP(AH332,0),_xlfn.XLOOKUP(AJ332,'PA GLS'!B:B,'PA GLS'!A:A))))</f>
        <v>2</v>
      </c>
      <c r="F332">
        <v>2501382993</v>
      </c>
      <c r="G332">
        <v>1030233784</v>
      </c>
      <c r="H332" t="s">
        <v>366</v>
      </c>
      <c r="I332">
        <v>2500034092</v>
      </c>
      <c r="J332" t="s">
        <v>50</v>
      </c>
      <c r="K332">
        <v>9000009190</v>
      </c>
      <c r="L332">
        <v>46946</v>
      </c>
      <c r="M332" t="s">
        <v>51</v>
      </c>
      <c r="N332">
        <v>9000037814</v>
      </c>
      <c r="O332" t="s">
        <v>51</v>
      </c>
      <c r="S332">
        <v>2507012387</v>
      </c>
      <c r="T332" t="s">
        <v>50</v>
      </c>
      <c r="U332" t="s">
        <v>122</v>
      </c>
      <c r="V332" t="s">
        <v>77</v>
      </c>
      <c r="W332" t="s">
        <v>78</v>
      </c>
      <c r="X332" t="s">
        <v>60</v>
      </c>
      <c r="Z332">
        <v>177</v>
      </c>
      <c r="AA332" t="s">
        <v>1008</v>
      </c>
      <c r="AB332" t="s">
        <v>1034</v>
      </c>
      <c r="AC332">
        <v>2604000084</v>
      </c>
      <c r="AE332">
        <v>0</v>
      </c>
      <c r="AF332">
        <v>0</v>
      </c>
      <c r="AG332">
        <v>0</v>
      </c>
      <c r="AH332">
        <v>0</v>
      </c>
      <c r="AI332" t="s">
        <v>56</v>
      </c>
      <c r="AJ332">
        <v>4.42</v>
      </c>
      <c r="AK332">
        <v>0.9</v>
      </c>
      <c r="AL332">
        <v>0.15</v>
      </c>
      <c r="AM332">
        <v>29.1</v>
      </c>
      <c r="AN332">
        <v>1.54</v>
      </c>
      <c r="AO332">
        <v>0</v>
      </c>
      <c r="AP332">
        <v>0</v>
      </c>
      <c r="AQ332" t="s">
        <v>57</v>
      </c>
      <c r="AS332" t="s">
        <v>1035</v>
      </c>
      <c r="AT332" t="s">
        <v>1035</v>
      </c>
      <c r="AU332" t="s">
        <v>1034</v>
      </c>
      <c r="AV332" t="s">
        <v>1036</v>
      </c>
      <c r="AW332" t="s">
        <v>1037</v>
      </c>
      <c r="AZ332">
        <v>69006</v>
      </c>
      <c r="BA332" t="s">
        <v>151</v>
      </c>
      <c r="BB332" t="s">
        <v>61</v>
      </c>
      <c r="BC332" t="s">
        <v>62</v>
      </c>
    </row>
    <row r="333" spans="1:55" x14ac:dyDescent="0.25">
      <c r="A333" s="1" t="str">
        <f>IF(COUNTIF(Catégories!A:A,X333)=0,"catégorie inconnue",_xlfn.XLOOKUP(X333,Catégories!A:A,Catégories!B:B))</f>
        <v>Frêt</v>
      </c>
      <c r="B333" s="1">
        <f t="shared" si="15"/>
        <v>7.0100000000000007</v>
      </c>
      <c r="C333" s="1">
        <f t="shared" si="16"/>
        <v>1.54</v>
      </c>
      <c r="D333" s="1">
        <f t="shared" si="17"/>
        <v>5.4700000000000006</v>
      </c>
      <c r="E333" s="20">
        <f>IF(AH333&lt;&gt;0,ROUNDUP(AH333,0),IF(BB333&lt;&gt;"FR","hors France",IF(AH333&lt;&gt;0,ROUNDUP(AH333,0),_xlfn.XLOOKUP(AJ333,'PA GLS'!B:B,'PA GLS'!A:A))))</f>
        <v>2</v>
      </c>
      <c r="F333">
        <v>2501382993</v>
      </c>
      <c r="G333">
        <v>1030233784</v>
      </c>
      <c r="H333" t="s">
        <v>366</v>
      </c>
      <c r="I333">
        <v>2500034092</v>
      </c>
      <c r="J333" t="s">
        <v>50</v>
      </c>
      <c r="K333">
        <v>9000009190</v>
      </c>
      <c r="L333">
        <v>46946</v>
      </c>
      <c r="M333" t="s">
        <v>51</v>
      </c>
      <c r="N333">
        <v>9000037814</v>
      </c>
      <c r="O333" t="s">
        <v>51</v>
      </c>
      <c r="S333">
        <v>2507012387</v>
      </c>
      <c r="T333" t="s">
        <v>50</v>
      </c>
      <c r="U333" t="s">
        <v>122</v>
      </c>
      <c r="V333" t="s">
        <v>63</v>
      </c>
      <c r="W333" t="s">
        <v>64</v>
      </c>
      <c r="X333" t="s">
        <v>60</v>
      </c>
      <c r="Z333">
        <v>176</v>
      </c>
      <c r="AA333" t="s">
        <v>1008</v>
      </c>
      <c r="AB333" t="s">
        <v>1009</v>
      </c>
      <c r="AC333">
        <v>2604000083</v>
      </c>
      <c r="AE333">
        <v>0</v>
      </c>
      <c r="AF333">
        <v>0</v>
      </c>
      <c r="AG333">
        <v>0</v>
      </c>
      <c r="AH333">
        <v>0</v>
      </c>
      <c r="AI333" t="s">
        <v>56</v>
      </c>
      <c r="AJ333">
        <v>4.42</v>
      </c>
      <c r="AK333">
        <v>0.9</v>
      </c>
      <c r="AL333">
        <v>0.15</v>
      </c>
      <c r="AM333">
        <v>29.1</v>
      </c>
      <c r="AN333">
        <v>1.54</v>
      </c>
      <c r="AO333">
        <v>0</v>
      </c>
      <c r="AP333">
        <v>0</v>
      </c>
      <c r="AQ333" t="s">
        <v>57</v>
      </c>
      <c r="AS333" t="s">
        <v>1010</v>
      </c>
      <c r="AT333" t="s">
        <v>1010</v>
      </c>
      <c r="AU333" t="s">
        <v>1009</v>
      </c>
      <c r="AV333" t="s">
        <v>890</v>
      </c>
      <c r="AW333" t="s">
        <v>891</v>
      </c>
      <c r="AZ333">
        <v>13500</v>
      </c>
      <c r="BA333" t="s">
        <v>892</v>
      </c>
      <c r="BB333" t="s">
        <v>61</v>
      </c>
      <c r="BC333" t="s">
        <v>62</v>
      </c>
    </row>
    <row r="334" spans="1:55" x14ac:dyDescent="0.25">
      <c r="A334" s="1" t="str">
        <f>IF(COUNTIF(Catégories!A:A,X334)=0,"catégorie inconnue",_xlfn.XLOOKUP(X334,Catégories!A:A,Catégories!B:B))</f>
        <v>Frêt</v>
      </c>
      <c r="B334" s="1">
        <f t="shared" si="15"/>
        <v>7.0100000000000007</v>
      </c>
      <c r="C334" s="1">
        <f t="shared" si="16"/>
        <v>1.54</v>
      </c>
      <c r="D334" s="1">
        <f t="shared" si="17"/>
        <v>5.4700000000000006</v>
      </c>
      <c r="E334" s="20">
        <f>IF(AH334&lt;&gt;0,ROUNDUP(AH334,0),IF(BB334&lt;&gt;"FR","hors France",IF(AH334&lt;&gt;0,ROUNDUP(AH334,0),_xlfn.XLOOKUP(AJ334,'PA GLS'!B:B,'PA GLS'!A:A))))</f>
        <v>2</v>
      </c>
      <c r="F334">
        <v>2501382993</v>
      </c>
      <c r="G334">
        <v>1030233784</v>
      </c>
      <c r="H334" t="s">
        <v>366</v>
      </c>
      <c r="I334">
        <v>2500034092</v>
      </c>
      <c r="J334" t="s">
        <v>50</v>
      </c>
      <c r="K334">
        <v>9000009190</v>
      </c>
      <c r="L334">
        <v>46946</v>
      </c>
      <c r="M334" t="s">
        <v>51</v>
      </c>
      <c r="N334">
        <v>9000037814</v>
      </c>
      <c r="O334" t="s">
        <v>51</v>
      </c>
      <c r="S334">
        <v>2507012387</v>
      </c>
      <c r="T334" t="s">
        <v>50</v>
      </c>
      <c r="U334" t="s">
        <v>122</v>
      </c>
      <c r="V334" t="s">
        <v>63</v>
      </c>
      <c r="W334" t="s">
        <v>64</v>
      </c>
      <c r="X334" t="s">
        <v>60</v>
      </c>
      <c r="Z334">
        <v>176</v>
      </c>
      <c r="AA334" t="s">
        <v>1008</v>
      </c>
      <c r="AB334" t="s">
        <v>1011</v>
      </c>
      <c r="AC334">
        <v>2604000082</v>
      </c>
      <c r="AE334">
        <v>0</v>
      </c>
      <c r="AF334">
        <v>0</v>
      </c>
      <c r="AG334">
        <v>0</v>
      </c>
      <c r="AH334">
        <v>0</v>
      </c>
      <c r="AI334" t="s">
        <v>56</v>
      </c>
      <c r="AJ334">
        <v>4.42</v>
      </c>
      <c r="AK334">
        <v>0.9</v>
      </c>
      <c r="AL334">
        <v>0.15</v>
      </c>
      <c r="AM334">
        <v>29.1</v>
      </c>
      <c r="AN334">
        <v>1.54</v>
      </c>
      <c r="AO334">
        <v>0</v>
      </c>
      <c r="AP334">
        <v>0</v>
      </c>
      <c r="AQ334" t="s">
        <v>57</v>
      </c>
      <c r="AS334" t="s">
        <v>1012</v>
      </c>
      <c r="AT334" t="s">
        <v>1012</v>
      </c>
      <c r="AU334" t="s">
        <v>1011</v>
      </c>
      <c r="AV334" t="s">
        <v>1013</v>
      </c>
      <c r="AW334" t="s">
        <v>1014</v>
      </c>
      <c r="AZ334">
        <v>91430</v>
      </c>
      <c r="BA334" t="s">
        <v>1015</v>
      </c>
      <c r="BB334" t="s">
        <v>61</v>
      </c>
      <c r="BC334" t="s">
        <v>62</v>
      </c>
    </row>
    <row r="335" spans="1:55" x14ac:dyDescent="0.25">
      <c r="A335" s="1" t="str">
        <f>IF(COUNTIF(Catégories!A:A,X335)=0,"catégorie inconnue",_xlfn.XLOOKUP(X335,Catégories!A:A,Catégories!B:B))</f>
        <v>Frêt</v>
      </c>
      <c r="B335" s="1">
        <f t="shared" si="15"/>
        <v>6.6000000000000005</v>
      </c>
      <c r="C335" s="1">
        <f t="shared" si="16"/>
        <v>1.45</v>
      </c>
      <c r="D335" s="1">
        <f t="shared" si="17"/>
        <v>5.15</v>
      </c>
      <c r="E335" s="20">
        <f>IF(AH335&lt;&gt;0,ROUNDUP(AH335,0),IF(BB335&lt;&gt;"FR","hors France",IF(AH335&lt;&gt;0,ROUNDUP(AH335,0),_xlfn.XLOOKUP(AJ335,'PA GLS'!B:B,'PA GLS'!A:A))))</f>
        <v>1</v>
      </c>
      <c r="F335">
        <v>2501382993</v>
      </c>
      <c r="G335">
        <v>1030233784</v>
      </c>
      <c r="H335" t="s">
        <v>366</v>
      </c>
      <c r="I335">
        <v>2500034092</v>
      </c>
      <c r="J335" t="s">
        <v>50</v>
      </c>
      <c r="K335">
        <v>9000009190</v>
      </c>
      <c r="L335">
        <v>46946</v>
      </c>
      <c r="M335" t="s">
        <v>51</v>
      </c>
      <c r="N335">
        <v>9000037814</v>
      </c>
      <c r="O335" t="s">
        <v>51</v>
      </c>
      <c r="S335">
        <v>2507012387</v>
      </c>
      <c r="T335" t="s">
        <v>50</v>
      </c>
      <c r="U335" t="s">
        <v>122</v>
      </c>
      <c r="V335" t="s">
        <v>66</v>
      </c>
      <c r="W335" t="s">
        <v>67</v>
      </c>
      <c r="X335" t="s">
        <v>60</v>
      </c>
      <c r="Z335">
        <v>175</v>
      </c>
      <c r="AA335" t="s">
        <v>1008</v>
      </c>
      <c r="AB335" t="s">
        <v>1016</v>
      </c>
      <c r="AC335">
        <v>2604000081</v>
      </c>
      <c r="AE335">
        <v>0</v>
      </c>
      <c r="AF335">
        <v>0</v>
      </c>
      <c r="AG335">
        <v>0</v>
      </c>
      <c r="AH335">
        <v>0</v>
      </c>
      <c r="AI335" t="s">
        <v>56</v>
      </c>
      <c r="AJ335">
        <v>4.0999999999999996</v>
      </c>
      <c r="AK335">
        <v>0.9</v>
      </c>
      <c r="AL335">
        <v>0.15</v>
      </c>
      <c r="AM335">
        <v>29.1</v>
      </c>
      <c r="AN335">
        <v>1.45</v>
      </c>
      <c r="AO335">
        <v>0</v>
      </c>
      <c r="AP335">
        <v>0</v>
      </c>
      <c r="AQ335" t="s">
        <v>57</v>
      </c>
      <c r="AS335" t="s">
        <v>1017</v>
      </c>
      <c r="AT335" t="s">
        <v>1017</v>
      </c>
      <c r="AU335" t="s">
        <v>1016</v>
      </c>
      <c r="AV335" t="s">
        <v>681</v>
      </c>
      <c r="AW335" t="s">
        <v>682</v>
      </c>
      <c r="AZ335">
        <v>49300</v>
      </c>
      <c r="BA335" t="s">
        <v>683</v>
      </c>
      <c r="BB335" t="s">
        <v>61</v>
      </c>
      <c r="BC335" t="s">
        <v>62</v>
      </c>
    </row>
    <row r="336" spans="1:55" x14ac:dyDescent="0.25">
      <c r="A336" s="1" t="str">
        <f>IF(COUNTIF(Catégories!A:A,X336)=0,"catégorie inconnue",_xlfn.XLOOKUP(X336,Catégories!A:A,Catégories!B:B))</f>
        <v>Frêt</v>
      </c>
      <c r="B336" s="1">
        <f t="shared" si="15"/>
        <v>6.6000000000000005</v>
      </c>
      <c r="C336" s="1">
        <f t="shared" si="16"/>
        <v>1.45</v>
      </c>
      <c r="D336" s="1">
        <f t="shared" si="17"/>
        <v>5.15</v>
      </c>
      <c r="E336" s="20">
        <f>IF(AH336&lt;&gt;0,ROUNDUP(AH336,0),IF(BB336&lt;&gt;"FR","hors France",IF(AH336&lt;&gt;0,ROUNDUP(AH336,0),_xlfn.XLOOKUP(AJ336,'PA GLS'!B:B,'PA GLS'!A:A))))</f>
        <v>1</v>
      </c>
      <c r="F336">
        <v>2501382993</v>
      </c>
      <c r="G336">
        <v>1030233784</v>
      </c>
      <c r="H336" t="s">
        <v>366</v>
      </c>
      <c r="I336">
        <v>2500034092</v>
      </c>
      <c r="J336" t="s">
        <v>50</v>
      </c>
      <c r="K336">
        <v>9000009190</v>
      </c>
      <c r="L336">
        <v>46946</v>
      </c>
      <c r="M336" t="s">
        <v>51</v>
      </c>
      <c r="N336">
        <v>9000037814</v>
      </c>
      <c r="O336" t="s">
        <v>51</v>
      </c>
      <c r="S336">
        <v>2507012387</v>
      </c>
      <c r="T336" t="s">
        <v>50</v>
      </c>
      <c r="U336" t="s">
        <v>122</v>
      </c>
      <c r="V336" t="s">
        <v>69</v>
      </c>
      <c r="W336" t="s">
        <v>70</v>
      </c>
      <c r="X336" t="s">
        <v>60</v>
      </c>
      <c r="Z336">
        <v>174</v>
      </c>
      <c r="AA336" t="s">
        <v>1008</v>
      </c>
      <c r="AB336" t="s">
        <v>1077</v>
      </c>
      <c r="AC336">
        <v>2604000098</v>
      </c>
      <c r="AE336">
        <v>0</v>
      </c>
      <c r="AF336">
        <v>0</v>
      </c>
      <c r="AG336">
        <v>0</v>
      </c>
      <c r="AH336">
        <v>0</v>
      </c>
      <c r="AI336" t="s">
        <v>56</v>
      </c>
      <c r="AJ336">
        <v>4.0999999999999996</v>
      </c>
      <c r="AK336">
        <v>0.9</v>
      </c>
      <c r="AL336">
        <v>0.15</v>
      </c>
      <c r="AM336">
        <v>29.1</v>
      </c>
      <c r="AN336">
        <v>1.45</v>
      </c>
      <c r="AO336">
        <v>0</v>
      </c>
      <c r="AP336">
        <v>0</v>
      </c>
      <c r="AQ336" t="s">
        <v>57</v>
      </c>
      <c r="AS336" t="s">
        <v>1078</v>
      </c>
      <c r="AT336" t="s">
        <v>1078</v>
      </c>
      <c r="AU336" t="s">
        <v>1077</v>
      </c>
      <c r="AV336" t="s">
        <v>1079</v>
      </c>
      <c r="AW336" t="s">
        <v>1080</v>
      </c>
      <c r="AZ336">
        <v>92200</v>
      </c>
      <c r="BA336" t="s">
        <v>298</v>
      </c>
      <c r="BB336" t="s">
        <v>61</v>
      </c>
      <c r="BC336" t="s">
        <v>62</v>
      </c>
    </row>
    <row r="337" spans="1:55" x14ac:dyDescent="0.25">
      <c r="A337" s="1" t="str">
        <f>IF(COUNTIF(Catégories!A:A,X337)=0,"catégorie inconnue",_xlfn.XLOOKUP(X337,Catégories!A:A,Catégories!B:B))</f>
        <v>Frêt</v>
      </c>
      <c r="B337" s="1">
        <f t="shared" si="15"/>
        <v>6.6000000000000005</v>
      </c>
      <c r="C337" s="1">
        <f t="shared" si="16"/>
        <v>1.45</v>
      </c>
      <c r="D337" s="1">
        <f t="shared" si="17"/>
        <v>5.15</v>
      </c>
      <c r="E337" s="20">
        <f>IF(AH337&lt;&gt;0,ROUNDUP(AH337,0),IF(BB337&lt;&gt;"FR","hors France",IF(AH337&lt;&gt;0,ROUNDUP(AH337,0),_xlfn.XLOOKUP(AJ337,'PA GLS'!B:B,'PA GLS'!A:A))))</f>
        <v>1</v>
      </c>
      <c r="F337">
        <v>2501382993</v>
      </c>
      <c r="G337">
        <v>1030233784</v>
      </c>
      <c r="H337" t="s">
        <v>366</v>
      </c>
      <c r="I337">
        <v>2500034092</v>
      </c>
      <c r="J337" t="s">
        <v>50</v>
      </c>
      <c r="K337">
        <v>9000009190</v>
      </c>
      <c r="L337">
        <v>46946</v>
      </c>
      <c r="M337" t="s">
        <v>51</v>
      </c>
      <c r="N337">
        <v>9000037814</v>
      </c>
      <c r="O337" t="s">
        <v>51</v>
      </c>
      <c r="S337">
        <v>2507012387</v>
      </c>
      <c r="T337" t="s">
        <v>50</v>
      </c>
      <c r="U337" t="s">
        <v>122</v>
      </c>
      <c r="V337" t="s">
        <v>69</v>
      </c>
      <c r="W337" t="s">
        <v>70</v>
      </c>
      <c r="X337" t="s">
        <v>60</v>
      </c>
      <c r="Z337">
        <v>174</v>
      </c>
      <c r="AA337" t="s">
        <v>1008</v>
      </c>
      <c r="AB337" t="s">
        <v>1081</v>
      </c>
      <c r="AC337">
        <v>2604000091</v>
      </c>
      <c r="AE337">
        <v>0</v>
      </c>
      <c r="AF337">
        <v>0</v>
      </c>
      <c r="AG337">
        <v>0</v>
      </c>
      <c r="AH337">
        <v>0</v>
      </c>
      <c r="AI337" t="s">
        <v>56</v>
      </c>
      <c r="AJ337">
        <v>4.0999999999999996</v>
      </c>
      <c r="AK337">
        <v>0.9</v>
      </c>
      <c r="AL337">
        <v>0.15</v>
      </c>
      <c r="AM337">
        <v>29.1</v>
      </c>
      <c r="AN337">
        <v>1.45</v>
      </c>
      <c r="AO337">
        <v>0</v>
      </c>
      <c r="AP337">
        <v>0</v>
      </c>
      <c r="AQ337" t="s">
        <v>57</v>
      </c>
      <c r="AS337" t="s">
        <v>1082</v>
      </c>
      <c r="AT337" t="s">
        <v>1082</v>
      </c>
      <c r="AU337" t="s">
        <v>1081</v>
      </c>
      <c r="AV337" t="s">
        <v>1083</v>
      </c>
      <c r="AW337" t="s">
        <v>860</v>
      </c>
      <c r="AZ337">
        <v>34160</v>
      </c>
      <c r="BA337" t="s">
        <v>861</v>
      </c>
      <c r="BB337" t="s">
        <v>61</v>
      </c>
      <c r="BC337" t="s">
        <v>62</v>
      </c>
    </row>
    <row r="338" spans="1:55" x14ac:dyDescent="0.25">
      <c r="A338" s="1" t="str">
        <f>IF(COUNTIF(Catégories!A:A,X338)=0,"catégorie inconnue",_xlfn.XLOOKUP(X338,Catégories!A:A,Catégories!B:B))</f>
        <v>Frêt</v>
      </c>
      <c r="B338" s="1">
        <f t="shared" si="15"/>
        <v>6.6000000000000005</v>
      </c>
      <c r="C338" s="1">
        <f t="shared" si="16"/>
        <v>1.45</v>
      </c>
      <c r="D338" s="1">
        <f t="shared" si="17"/>
        <v>5.15</v>
      </c>
      <c r="E338" s="20">
        <f>IF(AH338&lt;&gt;0,ROUNDUP(AH338,0),IF(BB338&lt;&gt;"FR","hors France",IF(AH338&lt;&gt;0,ROUNDUP(AH338,0),_xlfn.XLOOKUP(AJ338,'PA GLS'!B:B,'PA GLS'!A:A))))</f>
        <v>1</v>
      </c>
      <c r="F338">
        <v>2501382993</v>
      </c>
      <c r="G338">
        <v>1030233784</v>
      </c>
      <c r="H338" t="s">
        <v>366</v>
      </c>
      <c r="I338">
        <v>2500034092</v>
      </c>
      <c r="J338" t="s">
        <v>50</v>
      </c>
      <c r="K338">
        <v>9000009190</v>
      </c>
      <c r="L338">
        <v>46946</v>
      </c>
      <c r="M338" t="s">
        <v>51</v>
      </c>
      <c r="N338">
        <v>9000037814</v>
      </c>
      <c r="O338" t="s">
        <v>51</v>
      </c>
      <c r="S338">
        <v>2507012387</v>
      </c>
      <c r="T338" t="s">
        <v>50</v>
      </c>
      <c r="U338" t="s">
        <v>122</v>
      </c>
      <c r="V338" t="s">
        <v>69</v>
      </c>
      <c r="W338" t="s">
        <v>70</v>
      </c>
      <c r="X338" t="s">
        <v>60</v>
      </c>
      <c r="Z338">
        <v>174</v>
      </c>
      <c r="AA338" t="s">
        <v>1008</v>
      </c>
      <c r="AB338" t="s">
        <v>1060</v>
      </c>
      <c r="AC338">
        <v>2604000090</v>
      </c>
      <c r="AE338">
        <v>0</v>
      </c>
      <c r="AF338">
        <v>0</v>
      </c>
      <c r="AG338">
        <v>0</v>
      </c>
      <c r="AH338">
        <v>0</v>
      </c>
      <c r="AI338" t="s">
        <v>56</v>
      </c>
      <c r="AJ338">
        <v>4.0999999999999996</v>
      </c>
      <c r="AK338">
        <v>0.9</v>
      </c>
      <c r="AL338">
        <v>0.15</v>
      </c>
      <c r="AM338">
        <v>29.1</v>
      </c>
      <c r="AN338">
        <v>1.45</v>
      </c>
      <c r="AO338">
        <v>0</v>
      </c>
      <c r="AP338">
        <v>0</v>
      </c>
      <c r="AQ338" t="s">
        <v>57</v>
      </c>
      <c r="AS338" t="s">
        <v>1061</v>
      </c>
      <c r="AT338" t="s">
        <v>1061</v>
      </c>
      <c r="AU338" t="s">
        <v>1060</v>
      </c>
      <c r="AV338" t="s">
        <v>299</v>
      </c>
      <c r="AW338" t="s">
        <v>1062</v>
      </c>
      <c r="AZ338">
        <v>75008</v>
      </c>
      <c r="BA338" t="s">
        <v>65</v>
      </c>
      <c r="BB338" t="s">
        <v>61</v>
      </c>
      <c r="BC338" t="s">
        <v>62</v>
      </c>
    </row>
    <row r="339" spans="1:55" x14ac:dyDescent="0.25">
      <c r="A339" s="1" t="str">
        <f>IF(COUNTIF(Catégories!A:A,X339)=0,"catégorie inconnue",_xlfn.XLOOKUP(X339,Catégories!A:A,Catégories!B:B))</f>
        <v>Frêt</v>
      </c>
      <c r="B339" s="1">
        <f t="shared" si="15"/>
        <v>6.6000000000000005</v>
      </c>
      <c r="C339" s="1">
        <f t="shared" si="16"/>
        <v>1.45</v>
      </c>
      <c r="D339" s="1">
        <f t="shared" si="17"/>
        <v>5.15</v>
      </c>
      <c r="E339" s="20">
        <f>IF(AH339&lt;&gt;0,ROUNDUP(AH339,0),IF(BB339&lt;&gt;"FR","hors France",IF(AH339&lt;&gt;0,ROUNDUP(AH339,0),_xlfn.XLOOKUP(AJ339,'PA GLS'!B:B,'PA GLS'!A:A))))</f>
        <v>1</v>
      </c>
      <c r="F339">
        <v>2501382993</v>
      </c>
      <c r="G339">
        <v>1030233784</v>
      </c>
      <c r="H339" t="s">
        <v>366</v>
      </c>
      <c r="I339">
        <v>2500034092</v>
      </c>
      <c r="J339" t="s">
        <v>50</v>
      </c>
      <c r="K339">
        <v>9000009190</v>
      </c>
      <c r="L339">
        <v>46946</v>
      </c>
      <c r="M339" t="s">
        <v>51</v>
      </c>
      <c r="N339">
        <v>9000037814</v>
      </c>
      <c r="O339" t="s">
        <v>51</v>
      </c>
      <c r="S339">
        <v>2507012387</v>
      </c>
      <c r="T339" t="s">
        <v>50</v>
      </c>
      <c r="U339" t="s">
        <v>122</v>
      </c>
      <c r="V339" t="s">
        <v>69</v>
      </c>
      <c r="W339" t="s">
        <v>70</v>
      </c>
      <c r="X339" t="s">
        <v>60</v>
      </c>
      <c r="Z339">
        <v>174</v>
      </c>
      <c r="AA339" t="s">
        <v>1008</v>
      </c>
      <c r="AB339" t="s">
        <v>1052</v>
      </c>
      <c r="AC339">
        <v>2604000088</v>
      </c>
      <c r="AE339">
        <v>0</v>
      </c>
      <c r="AF339">
        <v>0</v>
      </c>
      <c r="AG339">
        <v>0</v>
      </c>
      <c r="AH339">
        <v>0</v>
      </c>
      <c r="AI339" t="s">
        <v>56</v>
      </c>
      <c r="AJ339">
        <v>4.0999999999999996</v>
      </c>
      <c r="AK339">
        <v>0.9</v>
      </c>
      <c r="AL339">
        <v>0.15</v>
      </c>
      <c r="AM339">
        <v>29.1</v>
      </c>
      <c r="AN339">
        <v>1.45</v>
      </c>
      <c r="AO339">
        <v>0</v>
      </c>
      <c r="AP339">
        <v>0</v>
      </c>
      <c r="AQ339" t="s">
        <v>57</v>
      </c>
      <c r="AS339" t="s">
        <v>1053</v>
      </c>
      <c r="AT339" t="s">
        <v>1053</v>
      </c>
      <c r="AU339" t="s">
        <v>1052</v>
      </c>
      <c r="AV339" t="s">
        <v>325</v>
      </c>
      <c r="AW339" t="s">
        <v>1054</v>
      </c>
      <c r="AZ339">
        <v>6130</v>
      </c>
      <c r="BA339" t="s">
        <v>272</v>
      </c>
      <c r="BB339" t="s">
        <v>61</v>
      </c>
      <c r="BC339" t="s">
        <v>62</v>
      </c>
    </row>
    <row r="340" spans="1:55" x14ac:dyDescent="0.25">
      <c r="A340" s="1" t="str">
        <f>IF(COUNTIF(Catégories!A:A,X340)=0,"catégorie inconnue",_xlfn.XLOOKUP(X340,Catégories!A:A,Catégories!B:B))</f>
        <v>Frêt</v>
      </c>
      <c r="B340" s="1">
        <f t="shared" si="15"/>
        <v>6.6000000000000005</v>
      </c>
      <c r="C340" s="1">
        <f t="shared" si="16"/>
        <v>1.45</v>
      </c>
      <c r="D340" s="1">
        <f t="shared" si="17"/>
        <v>5.15</v>
      </c>
      <c r="E340" s="20">
        <f>IF(AH340&lt;&gt;0,ROUNDUP(AH340,0),IF(BB340&lt;&gt;"FR","hors France",IF(AH340&lt;&gt;0,ROUNDUP(AH340,0),_xlfn.XLOOKUP(AJ340,'PA GLS'!B:B,'PA GLS'!A:A))))</f>
        <v>1</v>
      </c>
      <c r="F340">
        <v>2501382993</v>
      </c>
      <c r="G340">
        <v>1030233784</v>
      </c>
      <c r="H340" t="s">
        <v>366</v>
      </c>
      <c r="I340">
        <v>2500034092</v>
      </c>
      <c r="J340" t="s">
        <v>50</v>
      </c>
      <c r="K340">
        <v>9000009190</v>
      </c>
      <c r="L340">
        <v>46946</v>
      </c>
      <c r="M340" t="s">
        <v>51</v>
      </c>
      <c r="N340">
        <v>9000037814</v>
      </c>
      <c r="O340" t="s">
        <v>51</v>
      </c>
      <c r="S340">
        <v>2507012387</v>
      </c>
      <c r="T340" t="s">
        <v>50</v>
      </c>
      <c r="U340" t="s">
        <v>122</v>
      </c>
      <c r="V340" t="s">
        <v>69</v>
      </c>
      <c r="W340" t="s">
        <v>70</v>
      </c>
      <c r="X340" t="s">
        <v>60</v>
      </c>
      <c r="Z340">
        <v>174</v>
      </c>
      <c r="AA340" t="s">
        <v>1008</v>
      </c>
      <c r="AB340" t="s">
        <v>1018</v>
      </c>
      <c r="AC340">
        <v>2604000080</v>
      </c>
      <c r="AE340">
        <v>0</v>
      </c>
      <c r="AF340">
        <v>0</v>
      </c>
      <c r="AG340">
        <v>0</v>
      </c>
      <c r="AH340">
        <v>0</v>
      </c>
      <c r="AI340" t="s">
        <v>56</v>
      </c>
      <c r="AJ340">
        <v>4.0999999999999996</v>
      </c>
      <c r="AK340">
        <v>0.9</v>
      </c>
      <c r="AL340">
        <v>0.15</v>
      </c>
      <c r="AM340">
        <v>29.1</v>
      </c>
      <c r="AN340">
        <v>1.45</v>
      </c>
      <c r="AO340">
        <v>0</v>
      </c>
      <c r="AP340">
        <v>0</v>
      </c>
      <c r="AQ340" t="s">
        <v>57</v>
      </c>
      <c r="AS340" t="s">
        <v>1019</v>
      </c>
      <c r="AT340" t="s">
        <v>1019</v>
      </c>
      <c r="AU340" t="s">
        <v>1018</v>
      </c>
      <c r="AV340" t="s">
        <v>1020</v>
      </c>
      <c r="AW340" t="s">
        <v>1021</v>
      </c>
      <c r="AZ340">
        <v>75012</v>
      </c>
      <c r="BA340" t="s">
        <v>65</v>
      </c>
      <c r="BB340" t="s">
        <v>61</v>
      </c>
      <c r="BC340" t="s">
        <v>62</v>
      </c>
    </row>
    <row r="341" spans="1:55" x14ac:dyDescent="0.25">
      <c r="A341" s="1" t="str">
        <f>IF(COUNTIF(Catégories!A:A,X341)=0,"catégorie inconnue",_xlfn.XLOOKUP(X341,Catégories!A:A,Catégories!B:B))</f>
        <v>Frêt</v>
      </c>
      <c r="B341" s="1">
        <f t="shared" si="15"/>
        <v>6.17</v>
      </c>
      <c r="C341" s="1">
        <f t="shared" si="16"/>
        <v>1.35</v>
      </c>
      <c r="D341" s="1">
        <f t="shared" si="17"/>
        <v>4.82</v>
      </c>
      <c r="E341" s="20">
        <f>IF(AH341&lt;&gt;0,ROUNDUP(AH341,0),IF(BB341&lt;&gt;"FR","hors France",IF(AH341&lt;&gt;0,ROUNDUP(AH341,0),_xlfn.XLOOKUP(AJ341,'PA GLS'!B:B,'PA GLS'!A:A))))</f>
        <v>0.5</v>
      </c>
      <c r="F341">
        <v>2501382993</v>
      </c>
      <c r="G341">
        <v>1030233784</v>
      </c>
      <c r="H341" t="s">
        <v>366</v>
      </c>
      <c r="I341">
        <v>2500034092</v>
      </c>
      <c r="J341" t="s">
        <v>50</v>
      </c>
      <c r="K341">
        <v>9000009190</v>
      </c>
      <c r="L341">
        <v>46946</v>
      </c>
      <c r="M341" t="s">
        <v>51</v>
      </c>
      <c r="N341">
        <v>9000037814</v>
      </c>
      <c r="O341" t="s">
        <v>51</v>
      </c>
      <c r="S341">
        <v>2507012387</v>
      </c>
      <c r="T341" t="s">
        <v>50</v>
      </c>
      <c r="U341" t="s">
        <v>122</v>
      </c>
      <c r="V341" t="s">
        <v>71</v>
      </c>
      <c r="W341" t="s">
        <v>72</v>
      </c>
      <c r="X341" t="s">
        <v>60</v>
      </c>
      <c r="Z341">
        <v>173</v>
      </c>
      <c r="AA341" t="s">
        <v>1008</v>
      </c>
      <c r="AB341" t="s">
        <v>1084</v>
      </c>
      <c r="AC341">
        <v>2604000097</v>
      </c>
      <c r="AE341">
        <v>0</v>
      </c>
      <c r="AF341">
        <v>0</v>
      </c>
      <c r="AG341">
        <v>0</v>
      </c>
      <c r="AH341">
        <v>0</v>
      </c>
      <c r="AI341" t="s">
        <v>56</v>
      </c>
      <c r="AJ341">
        <v>3.77</v>
      </c>
      <c r="AK341">
        <v>0.9</v>
      </c>
      <c r="AL341">
        <v>0.15</v>
      </c>
      <c r="AM341">
        <v>29.1</v>
      </c>
      <c r="AN341">
        <v>1.35</v>
      </c>
      <c r="AO341">
        <v>0</v>
      </c>
      <c r="AP341">
        <v>0</v>
      </c>
      <c r="AQ341" t="s">
        <v>57</v>
      </c>
      <c r="AS341" t="s">
        <v>1085</v>
      </c>
      <c r="AT341" t="s">
        <v>1085</v>
      </c>
      <c r="AU341" t="s">
        <v>1084</v>
      </c>
      <c r="AV341" t="s">
        <v>1086</v>
      </c>
      <c r="AW341" t="s">
        <v>1087</v>
      </c>
      <c r="AZ341">
        <v>34070</v>
      </c>
      <c r="BA341" t="s">
        <v>230</v>
      </c>
      <c r="BB341" t="s">
        <v>61</v>
      </c>
      <c r="BC341" t="s">
        <v>62</v>
      </c>
    </row>
    <row r="342" spans="1:55" x14ac:dyDescent="0.25">
      <c r="A342" s="1" t="str">
        <f>IF(COUNTIF(Catégories!A:A,X342)=0,"catégorie inconnue",_xlfn.XLOOKUP(X342,Catégories!A:A,Catégories!B:B))</f>
        <v>Frêt</v>
      </c>
      <c r="B342" s="1">
        <f t="shared" si="15"/>
        <v>6.17</v>
      </c>
      <c r="C342" s="1">
        <f t="shared" si="16"/>
        <v>1.35</v>
      </c>
      <c r="D342" s="1">
        <f t="shared" si="17"/>
        <v>4.82</v>
      </c>
      <c r="E342" s="20">
        <f>IF(AH342&lt;&gt;0,ROUNDUP(AH342,0),IF(BB342&lt;&gt;"FR","hors France",IF(AH342&lt;&gt;0,ROUNDUP(AH342,0),_xlfn.XLOOKUP(AJ342,'PA GLS'!B:B,'PA GLS'!A:A))))</f>
        <v>0.5</v>
      </c>
      <c r="F342">
        <v>2501382993</v>
      </c>
      <c r="G342">
        <v>1030233784</v>
      </c>
      <c r="H342" t="s">
        <v>366</v>
      </c>
      <c r="I342">
        <v>2500034092</v>
      </c>
      <c r="J342" t="s">
        <v>50</v>
      </c>
      <c r="K342">
        <v>9000009190</v>
      </c>
      <c r="L342">
        <v>46946</v>
      </c>
      <c r="M342" t="s">
        <v>51</v>
      </c>
      <c r="N342">
        <v>9000037814</v>
      </c>
      <c r="O342" t="s">
        <v>51</v>
      </c>
      <c r="S342">
        <v>2507012387</v>
      </c>
      <c r="T342" t="s">
        <v>50</v>
      </c>
      <c r="U342" t="s">
        <v>122</v>
      </c>
      <c r="V342" t="s">
        <v>71</v>
      </c>
      <c r="W342" t="s">
        <v>72</v>
      </c>
      <c r="X342" t="s">
        <v>60</v>
      </c>
      <c r="Z342">
        <v>173</v>
      </c>
      <c r="AA342" t="s">
        <v>1008</v>
      </c>
      <c r="AB342" t="s">
        <v>1088</v>
      </c>
      <c r="AC342">
        <v>2604000095</v>
      </c>
      <c r="AE342">
        <v>0</v>
      </c>
      <c r="AF342">
        <v>0</v>
      </c>
      <c r="AG342">
        <v>0</v>
      </c>
      <c r="AH342">
        <v>0</v>
      </c>
      <c r="AI342" t="s">
        <v>56</v>
      </c>
      <c r="AJ342">
        <v>3.77</v>
      </c>
      <c r="AK342">
        <v>0.9</v>
      </c>
      <c r="AL342">
        <v>0.15</v>
      </c>
      <c r="AM342">
        <v>29.1</v>
      </c>
      <c r="AN342">
        <v>1.35</v>
      </c>
      <c r="AO342">
        <v>0</v>
      </c>
      <c r="AP342">
        <v>0</v>
      </c>
      <c r="AQ342" t="s">
        <v>57</v>
      </c>
      <c r="AS342" t="s">
        <v>1089</v>
      </c>
      <c r="AT342" t="s">
        <v>1089</v>
      </c>
      <c r="AU342" t="s">
        <v>1088</v>
      </c>
      <c r="AV342" t="s">
        <v>1090</v>
      </c>
      <c r="AW342" t="s">
        <v>1091</v>
      </c>
      <c r="AZ342">
        <v>77320</v>
      </c>
      <c r="BA342" t="s">
        <v>1092</v>
      </c>
      <c r="BB342" t="s">
        <v>61</v>
      </c>
      <c r="BC342" t="s">
        <v>62</v>
      </c>
    </row>
    <row r="343" spans="1:55" x14ac:dyDescent="0.25">
      <c r="A343" s="1" t="str">
        <f>IF(COUNTIF(Catégories!A:A,X343)=0,"catégorie inconnue",_xlfn.XLOOKUP(X343,Catégories!A:A,Catégories!B:B))</f>
        <v>Frêt</v>
      </c>
      <c r="B343" s="1">
        <f t="shared" si="15"/>
        <v>6.17</v>
      </c>
      <c r="C343" s="1">
        <f t="shared" si="16"/>
        <v>1.35</v>
      </c>
      <c r="D343" s="1">
        <f t="shared" si="17"/>
        <v>4.82</v>
      </c>
      <c r="E343" s="20">
        <f>IF(AH343&lt;&gt;0,ROUNDUP(AH343,0),IF(BB343&lt;&gt;"FR","hors France",IF(AH343&lt;&gt;0,ROUNDUP(AH343,0),_xlfn.XLOOKUP(AJ343,'PA GLS'!B:B,'PA GLS'!A:A))))</f>
        <v>0.5</v>
      </c>
      <c r="F343">
        <v>2501382993</v>
      </c>
      <c r="G343">
        <v>1030233784</v>
      </c>
      <c r="H343" t="s">
        <v>366</v>
      </c>
      <c r="I343">
        <v>2500034092</v>
      </c>
      <c r="J343" t="s">
        <v>50</v>
      </c>
      <c r="K343">
        <v>9000009190</v>
      </c>
      <c r="L343">
        <v>46946</v>
      </c>
      <c r="M343" t="s">
        <v>51</v>
      </c>
      <c r="N343">
        <v>9000037814</v>
      </c>
      <c r="O343" t="s">
        <v>51</v>
      </c>
      <c r="S343">
        <v>2507012387</v>
      </c>
      <c r="T343" t="s">
        <v>50</v>
      </c>
      <c r="U343" t="s">
        <v>122</v>
      </c>
      <c r="V343" t="s">
        <v>71</v>
      </c>
      <c r="W343" t="s">
        <v>72</v>
      </c>
      <c r="X343" t="s">
        <v>60</v>
      </c>
      <c r="Z343">
        <v>173</v>
      </c>
      <c r="AA343" t="s">
        <v>1008</v>
      </c>
      <c r="AB343" t="s">
        <v>1093</v>
      </c>
      <c r="AC343">
        <v>2604000094</v>
      </c>
      <c r="AE343">
        <v>0</v>
      </c>
      <c r="AF343">
        <v>0</v>
      </c>
      <c r="AG343">
        <v>0</v>
      </c>
      <c r="AH343">
        <v>0</v>
      </c>
      <c r="AI343" t="s">
        <v>56</v>
      </c>
      <c r="AJ343">
        <v>3.77</v>
      </c>
      <c r="AK343">
        <v>0.9</v>
      </c>
      <c r="AL343">
        <v>0.15</v>
      </c>
      <c r="AM343">
        <v>29.1</v>
      </c>
      <c r="AN343">
        <v>1.35</v>
      </c>
      <c r="AO343">
        <v>0</v>
      </c>
      <c r="AP343">
        <v>0</v>
      </c>
      <c r="AQ343" t="s">
        <v>57</v>
      </c>
      <c r="AS343" t="s">
        <v>1094</v>
      </c>
      <c r="AT343" t="s">
        <v>1094</v>
      </c>
      <c r="AU343" t="s">
        <v>1093</v>
      </c>
      <c r="AV343" t="s">
        <v>1095</v>
      </c>
      <c r="AW343" t="s">
        <v>1096</v>
      </c>
      <c r="AZ343">
        <v>92100</v>
      </c>
      <c r="BA343" t="s">
        <v>789</v>
      </c>
      <c r="BB343" t="s">
        <v>61</v>
      </c>
      <c r="BC343" t="s">
        <v>62</v>
      </c>
    </row>
    <row r="344" spans="1:55" x14ac:dyDescent="0.25">
      <c r="A344" s="1" t="str">
        <f>IF(COUNTIF(Catégories!A:A,X344)=0,"catégorie inconnue",_xlfn.XLOOKUP(X344,Catégories!A:A,Catégories!B:B))</f>
        <v>Frêt</v>
      </c>
      <c r="B344" s="1">
        <f t="shared" si="15"/>
        <v>6.17</v>
      </c>
      <c r="C344" s="1">
        <f t="shared" si="16"/>
        <v>1.35</v>
      </c>
      <c r="D344" s="1">
        <f t="shared" si="17"/>
        <v>4.82</v>
      </c>
      <c r="E344" s="20">
        <f>IF(AH344&lt;&gt;0,ROUNDUP(AH344,0),IF(BB344&lt;&gt;"FR","hors France",IF(AH344&lt;&gt;0,ROUNDUP(AH344,0),_xlfn.XLOOKUP(AJ344,'PA GLS'!B:B,'PA GLS'!A:A))))</f>
        <v>0.5</v>
      </c>
      <c r="F344">
        <v>2501382993</v>
      </c>
      <c r="G344">
        <v>1030233784</v>
      </c>
      <c r="H344" t="s">
        <v>366</v>
      </c>
      <c r="I344">
        <v>2500034092</v>
      </c>
      <c r="J344" t="s">
        <v>50</v>
      </c>
      <c r="K344">
        <v>9000009190</v>
      </c>
      <c r="L344">
        <v>46946</v>
      </c>
      <c r="M344" t="s">
        <v>51</v>
      </c>
      <c r="N344">
        <v>9000037814</v>
      </c>
      <c r="O344" t="s">
        <v>51</v>
      </c>
      <c r="S344">
        <v>2507012387</v>
      </c>
      <c r="T344" t="s">
        <v>50</v>
      </c>
      <c r="U344" t="s">
        <v>122</v>
      </c>
      <c r="V344" t="s">
        <v>71</v>
      </c>
      <c r="W344" t="s">
        <v>72</v>
      </c>
      <c r="X344" t="s">
        <v>60</v>
      </c>
      <c r="Z344">
        <v>173</v>
      </c>
      <c r="AA344" t="s">
        <v>1008</v>
      </c>
      <c r="AB344" t="s">
        <v>1097</v>
      </c>
      <c r="AC344">
        <v>2604000093</v>
      </c>
      <c r="AE344">
        <v>0</v>
      </c>
      <c r="AF344">
        <v>0</v>
      </c>
      <c r="AG344">
        <v>0</v>
      </c>
      <c r="AH344">
        <v>0</v>
      </c>
      <c r="AI344" t="s">
        <v>56</v>
      </c>
      <c r="AJ344">
        <v>3.77</v>
      </c>
      <c r="AK344">
        <v>0.9</v>
      </c>
      <c r="AL344">
        <v>0.15</v>
      </c>
      <c r="AM344">
        <v>29.1</v>
      </c>
      <c r="AN344">
        <v>1.35</v>
      </c>
      <c r="AO344">
        <v>0</v>
      </c>
      <c r="AP344">
        <v>0</v>
      </c>
      <c r="AQ344" t="s">
        <v>57</v>
      </c>
      <c r="AS344" t="s">
        <v>1098</v>
      </c>
      <c r="AT344" t="s">
        <v>1098</v>
      </c>
      <c r="AU344" t="s">
        <v>1097</v>
      </c>
      <c r="AV344" t="s">
        <v>1099</v>
      </c>
      <c r="AW344" t="s">
        <v>1100</v>
      </c>
      <c r="AZ344">
        <v>49100</v>
      </c>
      <c r="BA344" t="s">
        <v>234</v>
      </c>
      <c r="BB344" t="s">
        <v>61</v>
      </c>
      <c r="BC344" t="s">
        <v>62</v>
      </c>
    </row>
    <row r="345" spans="1:55" x14ac:dyDescent="0.25">
      <c r="A345" s="1" t="str">
        <f>IF(COUNTIF(Catégories!A:A,X345)=0,"catégorie inconnue",_xlfn.XLOOKUP(X345,Catégories!A:A,Catégories!B:B))</f>
        <v>Frêt</v>
      </c>
      <c r="B345" s="1">
        <f t="shared" si="15"/>
        <v>6.17</v>
      </c>
      <c r="C345" s="1">
        <f t="shared" si="16"/>
        <v>1.35</v>
      </c>
      <c r="D345" s="1">
        <f t="shared" si="17"/>
        <v>4.82</v>
      </c>
      <c r="E345" s="20">
        <f>IF(AH345&lt;&gt;0,ROUNDUP(AH345,0),IF(BB345&lt;&gt;"FR","hors France",IF(AH345&lt;&gt;0,ROUNDUP(AH345,0),_xlfn.XLOOKUP(AJ345,'PA GLS'!B:B,'PA GLS'!A:A))))</f>
        <v>0.5</v>
      </c>
      <c r="F345">
        <v>2501382993</v>
      </c>
      <c r="G345">
        <v>1030233784</v>
      </c>
      <c r="H345" t="s">
        <v>366</v>
      </c>
      <c r="I345">
        <v>2500034092</v>
      </c>
      <c r="J345" t="s">
        <v>50</v>
      </c>
      <c r="K345">
        <v>9000009190</v>
      </c>
      <c r="L345">
        <v>46946</v>
      </c>
      <c r="M345" t="s">
        <v>51</v>
      </c>
      <c r="N345">
        <v>9000037814</v>
      </c>
      <c r="O345" t="s">
        <v>51</v>
      </c>
      <c r="S345">
        <v>2507012387</v>
      </c>
      <c r="T345" t="s">
        <v>50</v>
      </c>
      <c r="U345" t="s">
        <v>122</v>
      </c>
      <c r="V345" t="s">
        <v>71</v>
      </c>
      <c r="W345" t="s">
        <v>72</v>
      </c>
      <c r="X345" t="s">
        <v>60</v>
      </c>
      <c r="Z345">
        <v>173</v>
      </c>
      <c r="AA345" t="s">
        <v>1008</v>
      </c>
      <c r="AB345" t="s">
        <v>1043</v>
      </c>
      <c r="AC345">
        <v>2604000086</v>
      </c>
      <c r="AE345">
        <v>0</v>
      </c>
      <c r="AF345">
        <v>0</v>
      </c>
      <c r="AG345">
        <v>0</v>
      </c>
      <c r="AH345">
        <v>0</v>
      </c>
      <c r="AI345" t="s">
        <v>56</v>
      </c>
      <c r="AJ345">
        <v>3.77</v>
      </c>
      <c r="AK345">
        <v>0.9</v>
      </c>
      <c r="AL345">
        <v>0.15</v>
      </c>
      <c r="AM345">
        <v>29.1</v>
      </c>
      <c r="AN345">
        <v>1.35</v>
      </c>
      <c r="AO345">
        <v>0</v>
      </c>
      <c r="AP345">
        <v>0</v>
      </c>
      <c r="AQ345" t="s">
        <v>57</v>
      </c>
      <c r="AS345" t="s">
        <v>1044</v>
      </c>
      <c r="AT345" t="s">
        <v>1044</v>
      </c>
      <c r="AU345" t="s">
        <v>1043</v>
      </c>
      <c r="AV345" t="s">
        <v>1045</v>
      </c>
      <c r="AW345" t="s">
        <v>1046</v>
      </c>
      <c r="AZ345">
        <v>92100</v>
      </c>
      <c r="BA345" t="s">
        <v>789</v>
      </c>
      <c r="BB345" t="s">
        <v>61</v>
      </c>
      <c r="BC345" t="s">
        <v>62</v>
      </c>
    </row>
    <row r="346" spans="1:55" x14ac:dyDescent="0.25">
      <c r="A346" s="1" t="str">
        <f>IF(COUNTIF(Catégories!A:A,X346)=0,"catégorie inconnue",_xlfn.XLOOKUP(X346,Catégories!A:A,Catégories!B:B))</f>
        <v>Frêt</v>
      </c>
      <c r="B346" s="1">
        <f t="shared" si="15"/>
        <v>6.17</v>
      </c>
      <c r="C346" s="1">
        <f t="shared" si="16"/>
        <v>1.35</v>
      </c>
      <c r="D346" s="1">
        <f t="shared" si="17"/>
        <v>4.82</v>
      </c>
      <c r="E346" s="20">
        <f>IF(AH346&lt;&gt;0,ROUNDUP(AH346,0),IF(BB346&lt;&gt;"FR","hors France",IF(AH346&lt;&gt;0,ROUNDUP(AH346,0),_xlfn.XLOOKUP(AJ346,'PA GLS'!B:B,'PA GLS'!A:A))))</f>
        <v>0.5</v>
      </c>
      <c r="F346">
        <v>2501382993</v>
      </c>
      <c r="G346">
        <v>1030233784</v>
      </c>
      <c r="H346" t="s">
        <v>366</v>
      </c>
      <c r="I346">
        <v>2500034092</v>
      </c>
      <c r="J346" t="s">
        <v>50</v>
      </c>
      <c r="K346">
        <v>9000009190</v>
      </c>
      <c r="L346">
        <v>46946</v>
      </c>
      <c r="M346" t="s">
        <v>51</v>
      </c>
      <c r="N346">
        <v>9000037814</v>
      </c>
      <c r="O346" t="s">
        <v>51</v>
      </c>
      <c r="S346">
        <v>2507012387</v>
      </c>
      <c r="T346" t="s">
        <v>50</v>
      </c>
      <c r="U346" t="s">
        <v>122</v>
      </c>
      <c r="V346" t="s">
        <v>71</v>
      </c>
      <c r="W346" t="s">
        <v>72</v>
      </c>
      <c r="X346" t="s">
        <v>60</v>
      </c>
      <c r="Z346">
        <v>173</v>
      </c>
      <c r="AA346" t="s">
        <v>1008</v>
      </c>
      <c r="AB346" t="s">
        <v>1038</v>
      </c>
      <c r="AC346">
        <v>2604000085</v>
      </c>
      <c r="AE346">
        <v>0</v>
      </c>
      <c r="AF346">
        <v>0</v>
      </c>
      <c r="AG346">
        <v>0</v>
      </c>
      <c r="AH346">
        <v>0</v>
      </c>
      <c r="AI346" t="s">
        <v>56</v>
      </c>
      <c r="AJ346">
        <v>3.77</v>
      </c>
      <c r="AK346">
        <v>0.9</v>
      </c>
      <c r="AL346">
        <v>0.15</v>
      </c>
      <c r="AM346">
        <v>29.1</v>
      </c>
      <c r="AN346">
        <v>1.35</v>
      </c>
      <c r="AO346">
        <v>0</v>
      </c>
      <c r="AP346">
        <v>0</v>
      </c>
      <c r="AQ346" t="s">
        <v>57</v>
      </c>
      <c r="AS346" t="s">
        <v>1039</v>
      </c>
      <c r="AT346" t="s">
        <v>1039</v>
      </c>
      <c r="AU346" t="s">
        <v>1038</v>
      </c>
      <c r="AV346" t="s">
        <v>1040</v>
      </c>
      <c r="AW346" t="s">
        <v>1041</v>
      </c>
      <c r="AZ346">
        <v>93400</v>
      </c>
      <c r="BA346" t="s">
        <v>1042</v>
      </c>
      <c r="BB346" t="s">
        <v>61</v>
      </c>
      <c r="BC346" t="s">
        <v>62</v>
      </c>
    </row>
    <row r="347" spans="1:55" x14ac:dyDescent="0.25">
      <c r="A347" s="1" t="str">
        <f>IF(COUNTIF(Catégories!A:A,X347)=0,"catégorie inconnue",_xlfn.XLOOKUP(X347,Catégories!A:A,Catégories!B:B))</f>
        <v>Frêt</v>
      </c>
      <c r="B347" s="1">
        <f t="shared" si="15"/>
        <v>6.17</v>
      </c>
      <c r="C347" s="1">
        <f t="shared" si="16"/>
        <v>1.35</v>
      </c>
      <c r="D347" s="1">
        <f t="shared" si="17"/>
        <v>4.82</v>
      </c>
      <c r="E347" s="20">
        <f>IF(AH347&lt;&gt;0,ROUNDUP(AH347,0),IF(BB347&lt;&gt;"FR","hors France",IF(AH347&lt;&gt;0,ROUNDUP(AH347,0),_xlfn.XLOOKUP(AJ347,'PA GLS'!B:B,'PA GLS'!A:A))))</f>
        <v>0.5</v>
      </c>
      <c r="F347">
        <v>2501382993</v>
      </c>
      <c r="G347">
        <v>1030233784</v>
      </c>
      <c r="H347" t="s">
        <v>366</v>
      </c>
      <c r="I347">
        <v>2500034092</v>
      </c>
      <c r="J347" t="s">
        <v>50</v>
      </c>
      <c r="K347">
        <v>9000009190</v>
      </c>
      <c r="L347">
        <v>46946</v>
      </c>
      <c r="M347" t="s">
        <v>51</v>
      </c>
      <c r="N347">
        <v>9000037814</v>
      </c>
      <c r="O347" t="s">
        <v>51</v>
      </c>
      <c r="S347">
        <v>2507012387</v>
      </c>
      <c r="T347" t="s">
        <v>50</v>
      </c>
      <c r="U347" t="s">
        <v>122</v>
      </c>
      <c r="V347" t="s">
        <v>71</v>
      </c>
      <c r="W347" t="s">
        <v>72</v>
      </c>
      <c r="X347" t="s">
        <v>60</v>
      </c>
      <c r="Z347">
        <v>173</v>
      </c>
      <c r="AA347" t="s">
        <v>1008</v>
      </c>
      <c r="AB347" t="s">
        <v>1022</v>
      </c>
      <c r="AC347">
        <v>2604000079</v>
      </c>
      <c r="AE347">
        <v>0</v>
      </c>
      <c r="AF347">
        <v>0</v>
      </c>
      <c r="AG347">
        <v>0</v>
      </c>
      <c r="AH347">
        <v>0</v>
      </c>
      <c r="AI347" t="s">
        <v>56</v>
      </c>
      <c r="AJ347">
        <v>3.77</v>
      </c>
      <c r="AK347">
        <v>0.9</v>
      </c>
      <c r="AL347">
        <v>0.15</v>
      </c>
      <c r="AM347">
        <v>29.1</v>
      </c>
      <c r="AN347">
        <v>1.35</v>
      </c>
      <c r="AO347">
        <v>0</v>
      </c>
      <c r="AP347">
        <v>0</v>
      </c>
      <c r="AQ347" t="s">
        <v>57</v>
      </c>
      <c r="AS347" t="s">
        <v>1023</v>
      </c>
      <c r="AT347" t="s">
        <v>1023</v>
      </c>
      <c r="AU347" t="s">
        <v>1022</v>
      </c>
      <c r="AV347" t="s">
        <v>1024</v>
      </c>
      <c r="AW347" t="s">
        <v>1025</v>
      </c>
      <c r="AZ347">
        <v>56170</v>
      </c>
      <c r="BA347" t="s">
        <v>1026</v>
      </c>
      <c r="BB347" t="s">
        <v>61</v>
      </c>
      <c r="BC347" t="s">
        <v>62</v>
      </c>
    </row>
    <row r="348" spans="1:55" x14ac:dyDescent="0.25">
      <c r="A348" s="1" t="str">
        <f>IF(COUNTIF(Catégories!A:A,X348)=0,"catégorie inconnue",_xlfn.XLOOKUP(X348,Catégories!A:A,Catégories!B:B))</f>
        <v>Frêt</v>
      </c>
      <c r="B348" s="1">
        <f t="shared" si="15"/>
        <v>6.17</v>
      </c>
      <c r="C348" s="1">
        <f t="shared" si="16"/>
        <v>1.35</v>
      </c>
      <c r="D348" s="1">
        <f t="shared" si="17"/>
        <v>4.82</v>
      </c>
      <c r="E348" s="20">
        <f>IF(AH348&lt;&gt;0,ROUNDUP(AH348,0),IF(BB348&lt;&gt;"FR","hors France",IF(AH348&lt;&gt;0,ROUNDUP(AH348,0),_xlfn.XLOOKUP(AJ348,'PA GLS'!B:B,'PA GLS'!A:A))))</f>
        <v>0.5</v>
      </c>
      <c r="F348">
        <v>2501382993</v>
      </c>
      <c r="G348">
        <v>1030233784</v>
      </c>
      <c r="H348" t="s">
        <v>366</v>
      </c>
      <c r="I348">
        <v>2500034092</v>
      </c>
      <c r="J348" t="s">
        <v>50</v>
      </c>
      <c r="K348">
        <v>9000009190</v>
      </c>
      <c r="L348">
        <v>46946</v>
      </c>
      <c r="M348" t="s">
        <v>51</v>
      </c>
      <c r="N348">
        <v>9000037814</v>
      </c>
      <c r="O348" t="s">
        <v>51</v>
      </c>
      <c r="S348">
        <v>2507012387</v>
      </c>
      <c r="T348" t="s">
        <v>50</v>
      </c>
      <c r="U348" t="s">
        <v>122</v>
      </c>
      <c r="V348" t="s">
        <v>71</v>
      </c>
      <c r="W348" t="s">
        <v>72</v>
      </c>
      <c r="X348" t="s">
        <v>60</v>
      </c>
      <c r="Z348">
        <v>173</v>
      </c>
      <c r="AA348" t="s">
        <v>1008</v>
      </c>
      <c r="AB348" t="s">
        <v>1027</v>
      </c>
      <c r="AC348">
        <v>2604000078</v>
      </c>
      <c r="AE348">
        <v>0</v>
      </c>
      <c r="AF348">
        <v>0</v>
      </c>
      <c r="AG348">
        <v>0</v>
      </c>
      <c r="AH348">
        <v>0</v>
      </c>
      <c r="AI348" t="s">
        <v>56</v>
      </c>
      <c r="AJ348">
        <v>3.77</v>
      </c>
      <c r="AK348">
        <v>0.9</v>
      </c>
      <c r="AL348">
        <v>0.15</v>
      </c>
      <c r="AM348">
        <v>29.1</v>
      </c>
      <c r="AN348">
        <v>1.35</v>
      </c>
      <c r="AO348">
        <v>0</v>
      </c>
      <c r="AP348">
        <v>0</v>
      </c>
      <c r="AQ348" t="s">
        <v>57</v>
      </c>
      <c r="AS348" t="s">
        <v>1028</v>
      </c>
      <c r="AT348" t="s">
        <v>1028</v>
      </c>
      <c r="AU348" t="s">
        <v>1027</v>
      </c>
      <c r="AV348" t="s">
        <v>1029</v>
      </c>
      <c r="AW348" t="s">
        <v>1030</v>
      </c>
      <c r="AZ348">
        <v>49260</v>
      </c>
      <c r="BA348" t="s">
        <v>1031</v>
      </c>
      <c r="BB348" t="s">
        <v>61</v>
      </c>
      <c r="BC348" t="s">
        <v>62</v>
      </c>
    </row>
    <row r="349" spans="1:55" x14ac:dyDescent="0.25">
      <c r="A349" s="1" t="str">
        <f>IF(COUNTIF(Catégories!A:A,X349)=0,"catégorie inconnue",_xlfn.XLOOKUP(X349,Catégories!A:A,Catégories!B:B))</f>
        <v>Frêt</v>
      </c>
      <c r="B349" s="1">
        <f t="shared" si="15"/>
        <v>6.17</v>
      </c>
      <c r="C349" s="1">
        <f t="shared" si="16"/>
        <v>1.35</v>
      </c>
      <c r="D349" s="1">
        <f t="shared" si="17"/>
        <v>4.82</v>
      </c>
      <c r="E349" s="20">
        <f>IF(AH349&lt;&gt;0,ROUNDUP(AH349,0),IF(BB349&lt;&gt;"FR","hors France",IF(AH349&lt;&gt;0,ROUNDUP(AH349,0),_xlfn.XLOOKUP(AJ349,'PA GLS'!B:B,'PA GLS'!A:A))))</f>
        <v>0.5</v>
      </c>
      <c r="F349">
        <v>2501382993</v>
      </c>
      <c r="G349">
        <v>1030233784</v>
      </c>
      <c r="H349" t="s">
        <v>366</v>
      </c>
      <c r="I349">
        <v>2500034092</v>
      </c>
      <c r="J349" t="s">
        <v>50</v>
      </c>
      <c r="K349">
        <v>9000009190</v>
      </c>
      <c r="L349">
        <v>46946</v>
      </c>
      <c r="M349" t="s">
        <v>51</v>
      </c>
      <c r="N349">
        <v>9000037814</v>
      </c>
      <c r="O349" t="s">
        <v>51</v>
      </c>
      <c r="S349">
        <v>2507012387</v>
      </c>
      <c r="T349" t="s">
        <v>50</v>
      </c>
      <c r="U349" t="s">
        <v>122</v>
      </c>
      <c r="V349" t="s">
        <v>73</v>
      </c>
      <c r="W349" t="s">
        <v>74</v>
      </c>
      <c r="X349" t="s">
        <v>60</v>
      </c>
      <c r="Z349">
        <v>172</v>
      </c>
      <c r="AA349" t="s">
        <v>1008</v>
      </c>
      <c r="AB349" t="s">
        <v>1101</v>
      </c>
      <c r="AC349">
        <v>2604000092</v>
      </c>
      <c r="AE349">
        <v>0</v>
      </c>
      <c r="AF349">
        <v>0</v>
      </c>
      <c r="AG349">
        <v>0</v>
      </c>
      <c r="AH349">
        <v>0</v>
      </c>
      <c r="AI349" t="s">
        <v>56</v>
      </c>
      <c r="AJ349">
        <v>3.77</v>
      </c>
      <c r="AK349">
        <v>0.9</v>
      </c>
      <c r="AL349">
        <v>0.15</v>
      </c>
      <c r="AM349">
        <v>29.1</v>
      </c>
      <c r="AN349">
        <v>1.35</v>
      </c>
      <c r="AO349">
        <v>0</v>
      </c>
      <c r="AP349">
        <v>0</v>
      </c>
      <c r="AQ349" t="s">
        <v>57</v>
      </c>
      <c r="AS349" t="s">
        <v>1102</v>
      </c>
      <c r="AT349" t="s">
        <v>1102</v>
      </c>
      <c r="AU349" t="s">
        <v>1101</v>
      </c>
      <c r="AV349" t="s">
        <v>1103</v>
      </c>
      <c r="AW349" t="s">
        <v>1104</v>
      </c>
      <c r="AZ349">
        <v>6320</v>
      </c>
      <c r="BA349" t="s">
        <v>1105</v>
      </c>
      <c r="BB349" t="s">
        <v>61</v>
      </c>
      <c r="BC349" t="s">
        <v>62</v>
      </c>
    </row>
    <row r="350" spans="1:55" x14ac:dyDescent="0.25">
      <c r="A350" s="1" t="str">
        <f>IF(COUNTIF(Catégories!A:A,X350)=0,"catégorie inconnue",_xlfn.XLOOKUP(X350,Catégories!A:A,Catégories!B:B))</f>
        <v>Frêt</v>
      </c>
      <c r="B350" s="1">
        <f t="shared" si="15"/>
        <v>0</v>
      </c>
      <c r="C350" s="1">
        <f t="shared" si="16"/>
        <v>0</v>
      </c>
      <c r="D350" s="1">
        <f t="shared" si="17"/>
        <v>0</v>
      </c>
      <c r="E350" s="20">
        <f>IF(AH350&lt;&gt;0,ROUNDUP(AH350,0),IF(BB350&lt;&gt;"FR","hors France",IF(AH350&lt;&gt;0,ROUNDUP(AH350,0),_xlfn.XLOOKUP(AJ350,'PA GLS'!B:B,'PA GLS'!A:A))))</f>
        <v>1</v>
      </c>
      <c r="F350">
        <v>2501382993</v>
      </c>
      <c r="G350">
        <v>1030233784</v>
      </c>
      <c r="H350" t="s">
        <v>366</v>
      </c>
      <c r="I350">
        <v>2500034092</v>
      </c>
      <c r="J350" t="s">
        <v>50</v>
      </c>
      <c r="K350">
        <v>9000009190</v>
      </c>
      <c r="L350">
        <v>46946</v>
      </c>
      <c r="M350" t="s">
        <v>51</v>
      </c>
      <c r="N350">
        <v>9000037814</v>
      </c>
      <c r="O350" t="s">
        <v>51</v>
      </c>
      <c r="S350">
        <v>2507012387</v>
      </c>
      <c r="T350" t="s">
        <v>50</v>
      </c>
      <c r="U350" t="s">
        <v>122</v>
      </c>
      <c r="V350" t="s">
        <v>176</v>
      </c>
      <c r="W350" t="s">
        <v>177</v>
      </c>
      <c r="X350" t="s">
        <v>152</v>
      </c>
      <c r="Z350">
        <v>171</v>
      </c>
      <c r="AA350" t="s">
        <v>1008</v>
      </c>
      <c r="AB350" t="s">
        <v>1077</v>
      </c>
      <c r="AC350">
        <v>2604000098</v>
      </c>
      <c r="AE350">
        <v>0</v>
      </c>
      <c r="AF350">
        <v>1</v>
      </c>
      <c r="AG350">
        <v>0</v>
      </c>
      <c r="AH350">
        <v>0.55000000000000004</v>
      </c>
      <c r="AI350" t="s">
        <v>56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 t="s">
        <v>57</v>
      </c>
      <c r="AS350" t="s">
        <v>1078</v>
      </c>
      <c r="AT350" t="s">
        <v>1078</v>
      </c>
      <c r="AU350" t="s">
        <v>1077</v>
      </c>
      <c r="AV350" t="s">
        <v>1079</v>
      </c>
      <c r="AW350" t="s">
        <v>1080</v>
      </c>
      <c r="AZ350">
        <v>92200</v>
      </c>
      <c r="BA350" t="s">
        <v>298</v>
      </c>
      <c r="BB350" t="s">
        <v>61</v>
      </c>
      <c r="BC350" t="s">
        <v>62</v>
      </c>
    </row>
    <row r="351" spans="1:55" x14ac:dyDescent="0.25">
      <c r="A351" s="1" t="str">
        <f>IF(COUNTIF(Catégories!A:A,X351)=0,"catégorie inconnue",_xlfn.XLOOKUP(X351,Catégories!A:A,Catégories!B:B))</f>
        <v>Frêt</v>
      </c>
      <c r="B351" s="1">
        <f t="shared" si="15"/>
        <v>0</v>
      </c>
      <c r="C351" s="1">
        <f t="shared" si="16"/>
        <v>0</v>
      </c>
      <c r="D351" s="1">
        <f t="shared" si="17"/>
        <v>0</v>
      </c>
      <c r="E351" s="20">
        <f>IF(AH351&lt;&gt;0,ROUNDUP(AH351,0),IF(BB351&lt;&gt;"FR","hors France",IF(AH351&lt;&gt;0,ROUNDUP(AH351,0),_xlfn.XLOOKUP(AJ351,'PA GLS'!B:B,'PA GLS'!A:A))))</f>
        <v>1</v>
      </c>
      <c r="F351">
        <v>2501382993</v>
      </c>
      <c r="G351">
        <v>1030233784</v>
      </c>
      <c r="H351" t="s">
        <v>366</v>
      </c>
      <c r="I351">
        <v>2500034092</v>
      </c>
      <c r="J351" t="s">
        <v>50</v>
      </c>
      <c r="K351">
        <v>9000009190</v>
      </c>
      <c r="L351">
        <v>46946</v>
      </c>
      <c r="M351" t="s">
        <v>51</v>
      </c>
      <c r="N351">
        <v>9000037814</v>
      </c>
      <c r="O351" t="s">
        <v>51</v>
      </c>
      <c r="S351">
        <v>2507012387</v>
      </c>
      <c r="T351" t="s">
        <v>50</v>
      </c>
      <c r="U351" t="s">
        <v>122</v>
      </c>
      <c r="V351" t="s">
        <v>176</v>
      </c>
      <c r="W351" t="s">
        <v>177</v>
      </c>
      <c r="X351" t="s">
        <v>152</v>
      </c>
      <c r="Z351">
        <v>171</v>
      </c>
      <c r="AA351" t="s">
        <v>1008</v>
      </c>
      <c r="AB351" t="s">
        <v>1084</v>
      </c>
      <c r="AC351">
        <v>2604000097</v>
      </c>
      <c r="AE351">
        <v>0</v>
      </c>
      <c r="AF351">
        <v>1</v>
      </c>
      <c r="AG351">
        <v>0</v>
      </c>
      <c r="AH351">
        <v>0.35</v>
      </c>
      <c r="AI351" t="s">
        <v>56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 t="s">
        <v>57</v>
      </c>
      <c r="AS351" t="s">
        <v>1085</v>
      </c>
      <c r="AT351" t="s">
        <v>1085</v>
      </c>
      <c r="AU351" t="s">
        <v>1084</v>
      </c>
      <c r="AV351" t="s">
        <v>1086</v>
      </c>
      <c r="AW351" t="s">
        <v>1087</v>
      </c>
      <c r="AZ351">
        <v>34070</v>
      </c>
      <c r="BA351" t="s">
        <v>230</v>
      </c>
      <c r="BB351" t="s">
        <v>61</v>
      </c>
      <c r="BC351" t="s">
        <v>62</v>
      </c>
    </row>
    <row r="352" spans="1:55" x14ac:dyDescent="0.25">
      <c r="A352" s="1" t="str">
        <f>IF(COUNTIF(Catégories!A:A,X352)=0,"catégorie inconnue",_xlfn.XLOOKUP(X352,Catégories!A:A,Catégories!B:B))</f>
        <v>Frêt</v>
      </c>
      <c r="B352" s="1">
        <f t="shared" si="15"/>
        <v>0</v>
      </c>
      <c r="C352" s="1">
        <f t="shared" si="16"/>
        <v>0</v>
      </c>
      <c r="D352" s="1">
        <f t="shared" si="17"/>
        <v>0</v>
      </c>
      <c r="E352" s="20">
        <f>IF(AH352&lt;&gt;0,ROUNDUP(AH352,0),IF(BB352&lt;&gt;"FR","hors France",IF(AH352&lt;&gt;0,ROUNDUP(AH352,0),_xlfn.XLOOKUP(AJ352,'PA GLS'!B:B,'PA GLS'!A:A))))</f>
        <v>4</v>
      </c>
      <c r="F352">
        <v>2501382993</v>
      </c>
      <c r="G352">
        <v>1030233784</v>
      </c>
      <c r="H352" t="s">
        <v>366</v>
      </c>
      <c r="I352">
        <v>2500034092</v>
      </c>
      <c r="J352" t="s">
        <v>50</v>
      </c>
      <c r="K352">
        <v>9000009190</v>
      </c>
      <c r="L352">
        <v>46946</v>
      </c>
      <c r="M352" t="s">
        <v>51</v>
      </c>
      <c r="N352">
        <v>9000037814</v>
      </c>
      <c r="O352" t="s">
        <v>51</v>
      </c>
      <c r="S352">
        <v>2507012387</v>
      </c>
      <c r="T352" t="s">
        <v>50</v>
      </c>
      <c r="U352" t="s">
        <v>122</v>
      </c>
      <c r="V352" t="s">
        <v>176</v>
      </c>
      <c r="W352" t="s">
        <v>177</v>
      </c>
      <c r="X352" t="s">
        <v>152</v>
      </c>
      <c r="Z352">
        <v>171</v>
      </c>
      <c r="AA352" t="s">
        <v>1008</v>
      </c>
      <c r="AB352" t="s">
        <v>1072</v>
      </c>
      <c r="AC352">
        <v>2604000096</v>
      </c>
      <c r="AE352">
        <v>0</v>
      </c>
      <c r="AF352">
        <v>1</v>
      </c>
      <c r="AG352">
        <v>0</v>
      </c>
      <c r="AH352">
        <v>3.16</v>
      </c>
      <c r="AI352" t="s">
        <v>56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 t="s">
        <v>57</v>
      </c>
      <c r="AS352" t="s">
        <v>1073</v>
      </c>
      <c r="AT352" t="s">
        <v>1073</v>
      </c>
      <c r="AU352" t="s">
        <v>1072</v>
      </c>
      <c r="AV352" t="s">
        <v>1074</v>
      </c>
      <c r="AW352" t="s">
        <v>1075</v>
      </c>
      <c r="AZ352">
        <v>33380</v>
      </c>
      <c r="BA352" t="s">
        <v>1076</v>
      </c>
      <c r="BB352" t="s">
        <v>61</v>
      </c>
      <c r="BC352" t="s">
        <v>62</v>
      </c>
    </row>
    <row r="353" spans="1:55" x14ac:dyDescent="0.25">
      <c r="A353" s="1" t="str">
        <f>IF(COUNTIF(Catégories!A:A,X353)=0,"catégorie inconnue",_xlfn.XLOOKUP(X353,Catégories!A:A,Catégories!B:B))</f>
        <v>Frêt</v>
      </c>
      <c r="B353" s="1">
        <f t="shared" si="15"/>
        <v>0</v>
      </c>
      <c r="C353" s="1">
        <f t="shared" si="16"/>
        <v>0</v>
      </c>
      <c r="D353" s="1">
        <f t="shared" si="17"/>
        <v>0</v>
      </c>
      <c r="E353" s="20">
        <f>IF(AH353&lt;&gt;0,ROUNDUP(AH353,0),IF(BB353&lt;&gt;"FR","hors France",IF(AH353&lt;&gt;0,ROUNDUP(AH353,0),_xlfn.XLOOKUP(AJ353,'PA GLS'!B:B,'PA GLS'!A:A))))</f>
        <v>1</v>
      </c>
      <c r="F353">
        <v>2501382993</v>
      </c>
      <c r="G353">
        <v>1030233784</v>
      </c>
      <c r="H353" t="s">
        <v>366</v>
      </c>
      <c r="I353">
        <v>2500034092</v>
      </c>
      <c r="J353" t="s">
        <v>50</v>
      </c>
      <c r="K353">
        <v>9000009190</v>
      </c>
      <c r="L353">
        <v>46946</v>
      </c>
      <c r="M353" t="s">
        <v>51</v>
      </c>
      <c r="N353">
        <v>9000037814</v>
      </c>
      <c r="O353" t="s">
        <v>51</v>
      </c>
      <c r="S353">
        <v>2507012387</v>
      </c>
      <c r="T353" t="s">
        <v>50</v>
      </c>
      <c r="U353" t="s">
        <v>122</v>
      </c>
      <c r="V353" t="s">
        <v>176</v>
      </c>
      <c r="W353" t="s">
        <v>177</v>
      </c>
      <c r="X353" t="s">
        <v>152</v>
      </c>
      <c r="Z353">
        <v>171</v>
      </c>
      <c r="AA353" t="s">
        <v>1008</v>
      </c>
      <c r="AB353" t="s">
        <v>1088</v>
      </c>
      <c r="AC353">
        <v>2604000095</v>
      </c>
      <c r="AE353">
        <v>0</v>
      </c>
      <c r="AF353">
        <v>1</v>
      </c>
      <c r="AG353">
        <v>0</v>
      </c>
      <c r="AH353">
        <v>0.3</v>
      </c>
      <c r="AI353" t="s">
        <v>56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 t="s">
        <v>57</v>
      </c>
      <c r="AS353" t="s">
        <v>1089</v>
      </c>
      <c r="AT353" t="s">
        <v>1089</v>
      </c>
      <c r="AU353" t="s">
        <v>1088</v>
      </c>
      <c r="AV353" t="s">
        <v>1090</v>
      </c>
      <c r="AW353" t="s">
        <v>1091</v>
      </c>
      <c r="AZ353">
        <v>77320</v>
      </c>
      <c r="BA353" t="s">
        <v>1092</v>
      </c>
      <c r="BB353" t="s">
        <v>61</v>
      </c>
      <c r="BC353" t="s">
        <v>62</v>
      </c>
    </row>
    <row r="354" spans="1:55" x14ac:dyDescent="0.25">
      <c r="A354" s="1" t="str">
        <f>IF(COUNTIF(Catégories!A:A,X354)=0,"catégorie inconnue",_xlfn.XLOOKUP(X354,Catégories!A:A,Catégories!B:B))</f>
        <v>Frêt</v>
      </c>
      <c r="B354" s="1">
        <f t="shared" si="15"/>
        <v>0</v>
      </c>
      <c r="C354" s="1">
        <f t="shared" si="16"/>
        <v>0</v>
      </c>
      <c r="D354" s="1">
        <f t="shared" si="17"/>
        <v>0</v>
      </c>
      <c r="E354" s="20">
        <f>IF(AH354&lt;&gt;0,ROUNDUP(AH354,0),IF(BB354&lt;&gt;"FR","hors France",IF(AH354&lt;&gt;0,ROUNDUP(AH354,0),_xlfn.XLOOKUP(AJ354,'PA GLS'!B:B,'PA GLS'!A:A))))</f>
        <v>1</v>
      </c>
      <c r="F354">
        <v>2501382993</v>
      </c>
      <c r="G354">
        <v>1030233784</v>
      </c>
      <c r="H354" t="s">
        <v>366</v>
      </c>
      <c r="I354">
        <v>2500034092</v>
      </c>
      <c r="J354" t="s">
        <v>50</v>
      </c>
      <c r="K354">
        <v>9000009190</v>
      </c>
      <c r="L354">
        <v>46946</v>
      </c>
      <c r="M354" t="s">
        <v>51</v>
      </c>
      <c r="N354">
        <v>9000037814</v>
      </c>
      <c r="O354" t="s">
        <v>51</v>
      </c>
      <c r="S354">
        <v>2507012387</v>
      </c>
      <c r="T354" t="s">
        <v>50</v>
      </c>
      <c r="U354" t="s">
        <v>122</v>
      </c>
      <c r="V354" t="s">
        <v>176</v>
      </c>
      <c r="W354" t="s">
        <v>177</v>
      </c>
      <c r="X354" t="s">
        <v>152</v>
      </c>
      <c r="Z354">
        <v>171</v>
      </c>
      <c r="AA354" t="s">
        <v>1008</v>
      </c>
      <c r="AB354" t="s">
        <v>1093</v>
      </c>
      <c r="AC354">
        <v>2604000094</v>
      </c>
      <c r="AE354">
        <v>0</v>
      </c>
      <c r="AF354">
        <v>1</v>
      </c>
      <c r="AG354">
        <v>0</v>
      </c>
      <c r="AH354">
        <v>0.3</v>
      </c>
      <c r="AI354" t="s">
        <v>56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 t="s">
        <v>57</v>
      </c>
      <c r="AS354" t="s">
        <v>1094</v>
      </c>
      <c r="AT354" t="s">
        <v>1094</v>
      </c>
      <c r="AU354" t="s">
        <v>1093</v>
      </c>
      <c r="AV354" t="s">
        <v>1095</v>
      </c>
      <c r="AW354" t="s">
        <v>1096</v>
      </c>
      <c r="AZ354">
        <v>92100</v>
      </c>
      <c r="BA354" t="s">
        <v>789</v>
      </c>
      <c r="BB354" t="s">
        <v>61</v>
      </c>
      <c r="BC354" t="s">
        <v>62</v>
      </c>
    </row>
    <row r="355" spans="1:55" x14ac:dyDescent="0.25">
      <c r="A355" s="1" t="str">
        <f>IF(COUNTIF(Catégories!A:A,X355)=0,"catégorie inconnue",_xlfn.XLOOKUP(X355,Catégories!A:A,Catégories!B:B))</f>
        <v>Frêt</v>
      </c>
      <c r="B355" s="1">
        <f t="shared" si="15"/>
        <v>0</v>
      </c>
      <c r="C355" s="1">
        <f t="shared" si="16"/>
        <v>0</v>
      </c>
      <c r="D355" s="1">
        <f t="shared" si="17"/>
        <v>0</v>
      </c>
      <c r="E355" s="20">
        <f>IF(AH355&lt;&gt;0,ROUNDUP(AH355,0),IF(BB355&lt;&gt;"FR","hors France",IF(AH355&lt;&gt;0,ROUNDUP(AH355,0),_xlfn.XLOOKUP(AJ355,'PA GLS'!B:B,'PA GLS'!A:A))))</f>
        <v>1</v>
      </c>
      <c r="F355">
        <v>2501382993</v>
      </c>
      <c r="G355">
        <v>1030233784</v>
      </c>
      <c r="H355" t="s">
        <v>366</v>
      </c>
      <c r="I355">
        <v>2500034092</v>
      </c>
      <c r="J355" t="s">
        <v>50</v>
      </c>
      <c r="K355">
        <v>9000009190</v>
      </c>
      <c r="L355">
        <v>46946</v>
      </c>
      <c r="M355" t="s">
        <v>51</v>
      </c>
      <c r="N355">
        <v>9000037814</v>
      </c>
      <c r="O355" t="s">
        <v>51</v>
      </c>
      <c r="S355">
        <v>2507012387</v>
      </c>
      <c r="T355" t="s">
        <v>50</v>
      </c>
      <c r="U355" t="s">
        <v>122</v>
      </c>
      <c r="V355" t="s">
        <v>176</v>
      </c>
      <c r="W355" t="s">
        <v>177</v>
      </c>
      <c r="X355" t="s">
        <v>152</v>
      </c>
      <c r="Z355">
        <v>171</v>
      </c>
      <c r="AA355" t="s">
        <v>1008</v>
      </c>
      <c r="AB355" t="s">
        <v>1097</v>
      </c>
      <c r="AC355">
        <v>2604000093</v>
      </c>
      <c r="AE355">
        <v>0</v>
      </c>
      <c r="AF355">
        <v>1</v>
      </c>
      <c r="AG355">
        <v>0</v>
      </c>
      <c r="AH355">
        <v>0.28000000000000003</v>
      </c>
      <c r="AI355" t="s">
        <v>56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 t="s">
        <v>57</v>
      </c>
      <c r="AS355" t="s">
        <v>1098</v>
      </c>
      <c r="AT355" t="s">
        <v>1098</v>
      </c>
      <c r="AU355" t="s">
        <v>1097</v>
      </c>
      <c r="AV355" t="s">
        <v>1099</v>
      </c>
      <c r="AW355" t="s">
        <v>1100</v>
      </c>
      <c r="AZ355">
        <v>49100</v>
      </c>
      <c r="BA355" t="s">
        <v>234</v>
      </c>
      <c r="BB355" t="s">
        <v>61</v>
      </c>
      <c r="BC355" t="s">
        <v>62</v>
      </c>
    </row>
    <row r="356" spans="1:55" x14ac:dyDescent="0.25">
      <c r="A356" s="1" t="str">
        <f>IF(COUNTIF(Catégories!A:A,X356)=0,"catégorie inconnue",_xlfn.XLOOKUP(X356,Catégories!A:A,Catégories!B:B))</f>
        <v>Frêt</v>
      </c>
      <c r="B356" s="1">
        <f t="shared" si="15"/>
        <v>0</v>
      </c>
      <c r="C356" s="1">
        <f t="shared" si="16"/>
        <v>0</v>
      </c>
      <c r="D356" s="1">
        <f t="shared" si="17"/>
        <v>0</v>
      </c>
      <c r="E356" s="20">
        <f>IF(AH356&lt;&gt;0,ROUNDUP(AH356,0),IF(BB356&lt;&gt;"FR","hors France",IF(AH356&lt;&gt;0,ROUNDUP(AH356,0),_xlfn.XLOOKUP(AJ356,'PA GLS'!B:B,'PA GLS'!A:A))))</f>
        <v>1</v>
      </c>
      <c r="F356">
        <v>2501382993</v>
      </c>
      <c r="G356">
        <v>1030233784</v>
      </c>
      <c r="H356" t="s">
        <v>366</v>
      </c>
      <c r="I356">
        <v>2500034092</v>
      </c>
      <c r="J356" t="s">
        <v>50</v>
      </c>
      <c r="K356">
        <v>9000009190</v>
      </c>
      <c r="L356">
        <v>46946</v>
      </c>
      <c r="M356" t="s">
        <v>51</v>
      </c>
      <c r="N356">
        <v>9000037814</v>
      </c>
      <c r="O356" t="s">
        <v>51</v>
      </c>
      <c r="S356">
        <v>2507012387</v>
      </c>
      <c r="T356" t="s">
        <v>50</v>
      </c>
      <c r="U356" t="s">
        <v>122</v>
      </c>
      <c r="V356" t="s">
        <v>176</v>
      </c>
      <c r="W356" t="s">
        <v>177</v>
      </c>
      <c r="X356" t="s">
        <v>152</v>
      </c>
      <c r="Z356">
        <v>171</v>
      </c>
      <c r="AA356" t="s">
        <v>1008</v>
      </c>
      <c r="AB356" t="s">
        <v>1081</v>
      </c>
      <c r="AC356">
        <v>2604000091</v>
      </c>
      <c r="AE356">
        <v>0</v>
      </c>
      <c r="AF356">
        <v>1</v>
      </c>
      <c r="AG356">
        <v>0</v>
      </c>
      <c r="AH356">
        <v>0.54</v>
      </c>
      <c r="AI356" t="s">
        <v>56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 t="s">
        <v>57</v>
      </c>
      <c r="AS356" t="s">
        <v>1082</v>
      </c>
      <c r="AT356" t="s">
        <v>1082</v>
      </c>
      <c r="AU356" t="s">
        <v>1081</v>
      </c>
      <c r="AV356" t="s">
        <v>1083</v>
      </c>
      <c r="AW356" t="s">
        <v>860</v>
      </c>
      <c r="AZ356">
        <v>34160</v>
      </c>
      <c r="BA356" t="s">
        <v>861</v>
      </c>
      <c r="BB356" t="s">
        <v>61</v>
      </c>
      <c r="BC356" t="s">
        <v>62</v>
      </c>
    </row>
    <row r="357" spans="1:55" x14ac:dyDescent="0.25">
      <c r="A357" s="1" t="str">
        <f>IF(COUNTIF(Catégories!A:A,X357)=0,"catégorie inconnue",_xlfn.XLOOKUP(X357,Catégories!A:A,Catégories!B:B))</f>
        <v>Frêt</v>
      </c>
      <c r="B357" s="1">
        <f t="shared" si="15"/>
        <v>0</v>
      </c>
      <c r="C357" s="1">
        <f t="shared" si="16"/>
        <v>0</v>
      </c>
      <c r="D357" s="1">
        <f t="shared" si="17"/>
        <v>0</v>
      </c>
      <c r="E357" s="20">
        <f>IF(AH357&lt;&gt;0,ROUNDUP(AH357,0),IF(BB357&lt;&gt;"FR","hors France",IF(AH357&lt;&gt;0,ROUNDUP(AH357,0),_xlfn.XLOOKUP(AJ357,'PA GLS'!B:B,'PA GLS'!A:A))))</f>
        <v>1</v>
      </c>
      <c r="F357">
        <v>2501382993</v>
      </c>
      <c r="G357">
        <v>1030233784</v>
      </c>
      <c r="H357" t="s">
        <v>366</v>
      </c>
      <c r="I357">
        <v>2500034092</v>
      </c>
      <c r="J357" t="s">
        <v>50</v>
      </c>
      <c r="K357">
        <v>9000009190</v>
      </c>
      <c r="L357">
        <v>46946</v>
      </c>
      <c r="M357" t="s">
        <v>51</v>
      </c>
      <c r="N357">
        <v>9000037814</v>
      </c>
      <c r="O357" t="s">
        <v>51</v>
      </c>
      <c r="S357">
        <v>2507012387</v>
      </c>
      <c r="T357" t="s">
        <v>50</v>
      </c>
      <c r="U357" t="s">
        <v>122</v>
      </c>
      <c r="V357" t="s">
        <v>176</v>
      </c>
      <c r="W357" t="s">
        <v>177</v>
      </c>
      <c r="X357" t="s">
        <v>152</v>
      </c>
      <c r="Z357">
        <v>171</v>
      </c>
      <c r="AA357" t="s">
        <v>1008</v>
      </c>
      <c r="AB357" t="s">
        <v>1101</v>
      </c>
      <c r="AC357">
        <v>2604000092</v>
      </c>
      <c r="AE357">
        <v>0</v>
      </c>
      <c r="AF357">
        <v>1</v>
      </c>
      <c r="AG357">
        <v>0</v>
      </c>
      <c r="AH357">
        <v>0.2</v>
      </c>
      <c r="AI357" t="s">
        <v>56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 t="s">
        <v>57</v>
      </c>
      <c r="AS357" t="s">
        <v>1102</v>
      </c>
      <c r="AT357" t="s">
        <v>1102</v>
      </c>
      <c r="AU357" t="s">
        <v>1101</v>
      </c>
      <c r="AV357" t="s">
        <v>1103</v>
      </c>
      <c r="AW357" t="s">
        <v>1104</v>
      </c>
      <c r="AZ357">
        <v>6320</v>
      </c>
      <c r="BA357" t="s">
        <v>1105</v>
      </c>
      <c r="BB357" t="s">
        <v>61</v>
      </c>
      <c r="BC357" t="s">
        <v>62</v>
      </c>
    </row>
    <row r="358" spans="1:55" x14ac:dyDescent="0.25">
      <c r="A358" s="1" t="str">
        <f>IF(COUNTIF(Catégories!A:A,X358)=0,"catégorie inconnue",_xlfn.XLOOKUP(X358,Catégories!A:A,Catégories!B:B))</f>
        <v>Frêt</v>
      </c>
      <c r="B358" s="1">
        <f t="shared" si="15"/>
        <v>0</v>
      </c>
      <c r="C358" s="1">
        <f t="shared" si="16"/>
        <v>0</v>
      </c>
      <c r="D358" s="1">
        <f t="shared" si="17"/>
        <v>0</v>
      </c>
      <c r="E358" s="20">
        <f>IF(AH358&lt;&gt;0,ROUNDUP(AH358,0),IF(BB358&lt;&gt;"FR","hors France",IF(AH358&lt;&gt;0,ROUNDUP(AH358,0),_xlfn.XLOOKUP(AJ358,'PA GLS'!B:B,'PA GLS'!A:A))))</f>
        <v>1</v>
      </c>
      <c r="F358">
        <v>2501382993</v>
      </c>
      <c r="G358">
        <v>1030231264</v>
      </c>
      <c r="H358" t="s">
        <v>366</v>
      </c>
      <c r="I358">
        <v>2500034092</v>
      </c>
      <c r="J358" t="s">
        <v>50</v>
      </c>
      <c r="K358">
        <v>9000009190</v>
      </c>
      <c r="L358">
        <v>46946</v>
      </c>
      <c r="M358" t="s">
        <v>51</v>
      </c>
      <c r="N358">
        <v>9000037814</v>
      </c>
      <c r="O358" t="s">
        <v>51</v>
      </c>
      <c r="S358">
        <v>2507012387</v>
      </c>
      <c r="T358" t="s">
        <v>50</v>
      </c>
      <c r="U358" t="s">
        <v>122</v>
      </c>
      <c r="V358" t="s">
        <v>176</v>
      </c>
      <c r="W358" t="s">
        <v>177</v>
      </c>
      <c r="X358" t="s">
        <v>152</v>
      </c>
      <c r="Z358">
        <v>131</v>
      </c>
      <c r="AA358" t="s">
        <v>1106</v>
      </c>
      <c r="AB358" t="s">
        <v>1107</v>
      </c>
      <c r="AC358">
        <v>2604000099</v>
      </c>
      <c r="AE358">
        <v>0</v>
      </c>
      <c r="AF358">
        <v>1</v>
      </c>
      <c r="AG358">
        <v>0</v>
      </c>
      <c r="AH358">
        <v>0.38</v>
      </c>
      <c r="AI358" t="s">
        <v>56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 t="s">
        <v>57</v>
      </c>
      <c r="AS358" t="s">
        <v>1108</v>
      </c>
      <c r="AT358" t="s">
        <v>1108</v>
      </c>
      <c r="AU358" t="s">
        <v>1107</v>
      </c>
      <c r="AV358" t="s">
        <v>1109</v>
      </c>
      <c r="AW358" t="s">
        <v>1110</v>
      </c>
      <c r="AZ358">
        <v>49070</v>
      </c>
      <c r="BA358" t="s">
        <v>1111</v>
      </c>
      <c r="BB358" t="s">
        <v>61</v>
      </c>
      <c r="BC358" t="s">
        <v>62</v>
      </c>
    </row>
    <row r="359" spans="1:55" x14ac:dyDescent="0.25">
      <c r="A359" s="1" t="str">
        <f>IF(COUNTIF(Catégories!A:A,X359)=0,"catégorie inconnue",_xlfn.XLOOKUP(X359,Catégories!A:A,Catégories!B:B))</f>
        <v>Frêt</v>
      </c>
      <c r="B359" s="1">
        <f t="shared" si="15"/>
        <v>0</v>
      </c>
      <c r="C359" s="1">
        <f t="shared" si="16"/>
        <v>0</v>
      </c>
      <c r="D359" s="1">
        <f t="shared" si="17"/>
        <v>0</v>
      </c>
      <c r="E359" s="20">
        <f>IF(AH359&lt;&gt;0,ROUNDUP(AH359,0),IF(BB359&lt;&gt;"FR","hors France",IF(AH359&lt;&gt;0,ROUNDUP(AH359,0),_xlfn.XLOOKUP(AJ359,'PA GLS'!B:B,'PA GLS'!A:A))))</f>
        <v>1</v>
      </c>
      <c r="F359">
        <v>2501382993</v>
      </c>
      <c r="G359">
        <v>1030231264</v>
      </c>
      <c r="H359" t="s">
        <v>366</v>
      </c>
      <c r="I359">
        <v>2500034092</v>
      </c>
      <c r="J359" t="s">
        <v>50</v>
      </c>
      <c r="K359">
        <v>9000009190</v>
      </c>
      <c r="L359">
        <v>46946</v>
      </c>
      <c r="M359" t="s">
        <v>51</v>
      </c>
      <c r="N359">
        <v>9000037814</v>
      </c>
      <c r="O359" t="s">
        <v>51</v>
      </c>
      <c r="S359">
        <v>2507012387</v>
      </c>
      <c r="T359" t="s">
        <v>50</v>
      </c>
      <c r="U359" t="s">
        <v>122</v>
      </c>
      <c r="V359" t="s">
        <v>176</v>
      </c>
      <c r="W359" t="s">
        <v>177</v>
      </c>
      <c r="X359" t="s">
        <v>152</v>
      </c>
      <c r="Z359">
        <v>131</v>
      </c>
      <c r="AA359" t="s">
        <v>1106</v>
      </c>
      <c r="AB359" t="s">
        <v>1112</v>
      </c>
      <c r="AC359">
        <v>2604000100</v>
      </c>
      <c r="AE359">
        <v>0</v>
      </c>
      <c r="AF359">
        <v>1</v>
      </c>
      <c r="AG359">
        <v>0</v>
      </c>
      <c r="AH359">
        <v>0.42</v>
      </c>
      <c r="AI359" t="s">
        <v>56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 t="s">
        <v>57</v>
      </c>
      <c r="AS359" t="s">
        <v>1113</v>
      </c>
      <c r="AT359" t="s">
        <v>1113</v>
      </c>
      <c r="AU359" t="s">
        <v>1112</v>
      </c>
      <c r="AV359" t="s">
        <v>1114</v>
      </c>
      <c r="AW359" t="s">
        <v>1115</v>
      </c>
      <c r="AZ359">
        <v>92200</v>
      </c>
      <c r="BA359" t="s">
        <v>298</v>
      </c>
      <c r="BB359" t="s">
        <v>61</v>
      </c>
      <c r="BC359" t="s">
        <v>62</v>
      </c>
    </row>
    <row r="360" spans="1:55" x14ac:dyDescent="0.25">
      <c r="A360" s="1" t="str">
        <f>IF(COUNTIF(Catégories!A:A,X360)=0,"catégorie inconnue",_xlfn.XLOOKUP(X360,Catégories!A:A,Catégories!B:B))</f>
        <v>Frêt</v>
      </c>
      <c r="B360" s="1">
        <f t="shared" si="15"/>
        <v>0</v>
      </c>
      <c r="C360" s="1">
        <f t="shared" si="16"/>
        <v>0</v>
      </c>
      <c r="D360" s="1">
        <f t="shared" si="17"/>
        <v>0</v>
      </c>
      <c r="E360" s="20">
        <f>IF(AH360&lt;&gt;0,ROUNDUP(AH360,0),IF(BB360&lt;&gt;"FR","hors France",IF(AH360&lt;&gt;0,ROUNDUP(AH360,0),_xlfn.XLOOKUP(AJ360,'PA GLS'!B:B,'PA GLS'!A:A))))</f>
        <v>1</v>
      </c>
      <c r="F360">
        <v>2501382993</v>
      </c>
      <c r="G360">
        <v>1030231264</v>
      </c>
      <c r="H360" t="s">
        <v>366</v>
      </c>
      <c r="I360">
        <v>2500034092</v>
      </c>
      <c r="J360" t="s">
        <v>50</v>
      </c>
      <c r="K360">
        <v>9000009190</v>
      </c>
      <c r="L360">
        <v>46946</v>
      </c>
      <c r="M360" t="s">
        <v>51</v>
      </c>
      <c r="N360">
        <v>9000037814</v>
      </c>
      <c r="O360" t="s">
        <v>51</v>
      </c>
      <c r="S360">
        <v>2507012387</v>
      </c>
      <c r="T360" t="s">
        <v>50</v>
      </c>
      <c r="U360" t="s">
        <v>122</v>
      </c>
      <c r="V360" t="s">
        <v>176</v>
      </c>
      <c r="W360" t="s">
        <v>177</v>
      </c>
      <c r="X360" t="s">
        <v>152</v>
      </c>
      <c r="Z360">
        <v>131</v>
      </c>
      <c r="AA360" t="s">
        <v>1106</v>
      </c>
      <c r="AB360" t="s">
        <v>1116</v>
      </c>
      <c r="AC360">
        <v>2604000101</v>
      </c>
      <c r="AE360">
        <v>0</v>
      </c>
      <c r="AF360">
        <v>1</v>
      </c>
      <c r="AG360">
        <v>0</v>
      </c>
      <c r="AH360">
        <v>0.34</v>
      </c>
      <c r="AI360" t="s">
        <v>56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 t="s">
        <v>57</v>
      </c>
      <c r="AS360" t="s">
        <v>1117</v>
      </c>
      <c r="AT360" t="s">
        <v>1117</v>
      </c>
      <c r="AU360" t="s">
        <v>1116</v>
      </c>
      <c r="AV360" t="s">
        <v>1118</v>
      </c>
      <c r="AW360" t="s">
        <v>1119</v>
      </c>
      <c r="AZ360">
        <v>75016</v>
      </c>
      <c r="BA360" t="s">
        <v>65</v>
      </c>
      <c r="BB360" t="s">
        <v>61</v>
      </c>
      <c r="BC360" t="s">
        <v>62</v>
      </c>
    </row>
    <row r="361" spans="1:55" x14ac:dyDescent="0.25">
      <c r="A361" s="1" t="str">
        <f>IF(COUNTIF(Catégories!A:A,X361)=0,"catégorie inconnue",_xlfn.XLOOKUP(X361,Catégories!A:A,Catégories!B:B))</f>
        <v>Frêt</v>
      </c>
      <c r="B361" s="1">
        <f t="shared" si="15"/>
        <v>0</v>
      </c>
      <c r="C361" s="1">
        <f t="shared" si="16"/>
        <v>0</v>
      </c>
      <c r="D361" s="1">
        <f t="shared" si="17"/>
        <v>0</v>
      </c>
      <c r="E361" s="20">
        <f>IF(AH361&lt;&gt;0,ROUNDUP(AH361,0),IF(BB361&lt;&gt;"FR","hors France",IF(AH361&lt;&gt;0,ROUNDUP(AH361,0),_xlfn.XLOOKUP(AJ361,'PA GLS'!B:B,'PA GLS'!A:A))))</f>
        <v>1</v>
      </c>
      <c r="F361">
        <v>2501382993</v>
      </c>
      <c r="G361">
        <v>1030231264</v>
      </c>
      <c r="H361" t="s">
        <v>366</v>
      </c>
      <c r="I361">
        <v>2500034092</v>
      </c>
      <c r="J361" t="s">
        <v>50</v>
      </c>
      <c r="K361">
        <v>9000009190</v>
      </c>
      <c r="L361">
        <v>46946</v>
      </c>
      <c r="M361" t="s">
        <v>51</v>
      </c>
      <c r="N361">
        <v>9000037814</v>
      </c>
      <c r="O361" t="s">
        <v>51</v>
      </c>
      <c r="S361">
        <v>2507012387</v>
      </c>
      <c r="T361" t="s">
        <v>50</v>
      </c>
      <c r="U361" t="s">
        <v>122</v>
      </c>
      <c r="V361" t="s">
        <v>176</v>
      </c>
      <c r="W361" t="s">
        <v>177</v>
      </c>
      <c r="X361" t="s">
        <v>152</v>
      </c>
      <c r="Z361">
        <v>131</v>
      </c>
      <c r="AA361" t="s">
        <v>1106</v>
      </c>
      <c r="AB361" t="s">
        <v>1120</v>
      </c>
      <c r="AC361">
        <v>2604000102</v>
      </c>
      <c r="AE361">
        <v>0</v>
      </c>
      <c r="AF361">
        <v>1</v>
      </c>
      <c r="AG361">
        <v>0</v>
      </c>
      <c r="AH361">
        <v>0.56000000000000005</v>
      </c>
      <c r="AI361" t="s">
        <v>56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 t="s">
        <v>57</v>
      </c>
      <c r="AS361" t="s">
        <v>1121</v>
      </c>
      <c r="AT361" t="s">
        <v>1121</v>
      </c>
      <c r="AU361" t="s">
        <v>1120</v>
      </c>
      <c r="AV361" t="s">
        <v>1122</v>
      </c>
      <c r="AW361" t="s">
        <v>1123</v>
      </c>
      <c r="AZ361">
        <v>44810</v>
      </c>
      <c r="BA361" t="s">
        <v>1124</v>
      </c>
      <c r="BB361" t="s">
        <v>61</v>
      </c>
      <c r="BC361" t="s">
        <v>62</v>
      </c>
    </row>
    <row r="362" spans="1:55" x14ac:dyDescent="0.25">
      <c r="A362" s="1" t="str">
        <f>IF(COUNTIF(Catégories!A:A,X362)=0,"catégorie inconnue",_xlfn.XLOOKUP(X362,Catégories!A:A,Catégories!B:B))</f>
        <v>Frêt</v>
      </c>
      <c r="B362" s="1">
        <f t="shared" si="15"/>
        <v>0</v>
      </c>
      <c r="C362" s="1">
        <f t="shared" si="16"/>
        <v>0</v>
      </c>
      <c r="D362" s="1">
        <f t="shared" si="17"/>
        <v>0</v>
      </c>
      <c r="E362" s="20">
        <f>IF(AH362&lt;&gt;0,ROUNDUP(AH362,0),IF(BB362&lt;&gt;"FR","hors France",IF(AH362&lt;&gt;0,ROUNDUP(AH362,0),_xlfn.XLOOKUP(AJ362,'PA GLS'!B:B,'PA GLS'!A:A))))</f>
        <v>1</v>
      </c>
      <c r="F362">
        <v>2501382993</v>
      </c>
      <c r="G362">
        <v>1030231264</v>
      </c>
      <c r="H362" t="s">
        <v>366</v>
      </c>
      <c r="I362">
        <v>2500034092</v>
      </c>
      <c r="J362" t="s">
        <v>50</v>
      </c>
      <c r="K362">
        <v>9000009190</v>
      </c>
      <c r="L362">
        <v>46946</v>
      </c>
      <c r="M362" t="s">
        <v>51</v>
      </c>
      <c r="N362">
        <v>9000037814</v>
      </c>
      <c r="O362" t="s">
        <v>51</v>
      </c>
      <c r="S362">
        <v>2507012387</v>
      </c>
      <c r="T362" t="s">
        <v>50</v>
      </c>
      <c r="U362" t="s">
        <v>122</v>
      </c>
      <c r="V362" t="s">
        <v>176</v>
      </c>
      <c r="W362" t="s">
        <v>177</v>
      </c>
      <c r="X362" t="s">
        <v>152</v>
      </c>
      <c r="Z362">
        <v>131</v>
      </c>
      <c r="AA362" t="s">
        <v>1106</v>
      </c>
      <c r="AB362" t="s">
        <v>1125</v>
      </c>
      <c r="AC362">
        <v>2604000103</v>
      </c>
      <c r="AE362">
        <v>0</v>
      </c>
      <c r="AF362">
        <v>1</v>
      </c>
      <c r="AG362">
        <v>0</v>
      </c>
      <c r="AH362">
        <v>0.55000000000000004</v>
      </c>
      <c r="AI362" t="s">
        <v>56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 t="s">
        <v>57</v>
      </c>
      <c r="AS362" t="s">
        <v>1126</v>
      </c>
      <c r="AT362" t="s">
        <v>1126</v>
      </c>
      <c r="AU362" t="s">
        <v>1125</v>
      </c>
      <c r="AV362" t="s">
        <v>1127</v>
      </c>
      <c r="AW362" t="s">
        <v>1128</v>
      </c>
      <c r="AZ362">
        <v>95600</v>
      </c>
      <c r="BA362" t="s">
        <v>947</v>
      </c>
      <c r="BB362" t="s">
        <v>61</v>
      </c>
      <c r="BC362" t="s">
        <v>62</v>
      </c>
    </row>
    <row r="363" spans="1:55" x14ac:dyDescent="0.25">
      <c r="A363" s="1" t="str">
        <f>IF(COUNTIF(Catégories!A:A,X363)=0,"catégorie inconnue",_xlfn.XLOOKUP(X363,Catégories!A:A,Catégories!B:B))</f>
        <v>Frêt</v>
      </c>
      <c r="B363" s="1">
        <f t="shared" si="15"/>
        <v>0</v>
      </c>
      <c r="C363" s="1">
        <f t="shared" si="16"/>
        <v>0</v>
      </c>
      <c r="D363" s="1">
        <f t="shared" si="17"/>
        <v>0</v>
      </c>
      <c r="E363" s="20">
        <f>IF(AH363&lt;&gt;0,ROUNDUP(AH363,0),IF(BB363&lt;&gt;"FR","hors France",IF(AH363&lt;&gt;0,ROUNDUP(AH363,0),_xlfn.XLOOKUP(AJ363,'PA GLS'!B:B,'PA GLS'!A:A))))</f>
        <v>1</v>
      </c>
      <c r="F363">
        <v>2501382993</v>
      </c>
      <c r="G363">
        <v>1030231264</v>
      </c>
      <c r="H363" t="s">
        <v>366</v>
      </c>
      <c r="I363">
        <v>2500034092</v>
      </c>
      <c r="J363" t="s">
        <v>50</v>
      </c>
      <c r="K363">
        <v>9000009190</v>
      </c>
      <c r="L363">
        <v>46946</v>
      </c>
      <c r="M363" t="s">
        <v>51</v>
      </c>
      <c r="N363">
        <v>9000037814</v>
      </c>
      <c r="O363" t="s">
        <v>51</v>
      </c>
      <c r="S363">
        <v>2507012387</v>
      </c>
      <c r="T363" t="s">
        <v>50</v>
      </c>
      <c r="U363" t="s">
        <v>122</v>
      </c>
      <c r="V363" t="s">
        <v>176</v>
      </c>
      <c r="W363" t="s">
        <v>177</v>
      </c>
      <c r="X363" t="s">
        <v>152</v>
      </c>
      <c r="Z363">
        <v>131</v>
      </c>
      <c r="AA363" t="s">
        <v>1106</v>
      </c>
      <c r="AB363" t="s">
        <v>1129</v>
      </c>
      <c r="AC363">
        <v>2604000104</v>
      </c>
      <c r="AE363">
        <v>0</v>
      </c>
      <c r="AF363">
        <v>1</v>
      </c>
      <c r="AG363">
        <v>0</v>
      </c>
      <c r="AH363">
        <v>0.68</v>
      </c>
      <c r="AI363" t="s">
        <v>56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 t="s">
        <v>57</v>
      </c>
      <c r="AS363" t="s">
        <v>1130</v>
      </c>
      <c r="AT363" t="s">
        <v>1130</v>
      </c>
      <c r="AU363" t="s">
        <v>1129</v>
      </c>
      <c r="AV363" t="s">
        <v>1131</v>
      </c>
      <c r="AW363" t="s">
        <v>1132</v>
      </c>
      <c r="AZ363">
        <v>75003</v>
      </c>
      <c r="BA363" t="s">
        <v>65</v>
      </c>
      <c r="BB363" t="s">
        <v>61</v>
      </c>
      <c r="BC363" t="s">
        <v>62</v>
      </c>
    </row>
    <row r="364" spans="1:55" x14ac:dyDescent="0.25">
      <c r="A364" s="1" t="str">
        <f>IF(COUNTIF(Catégories!A:A,X364)=0,"catégorie inconnue",_xlfn.XLOOKUP(X364,Catégories!A:A,Catégories!B:B))</f>
        <v>Frêt</v>
      </c>
      <c r="B364" s="1">
        <f t="shared" si="15"/>
        <v>6.17</v>
      </c>
      <c r="C364" s="1">
        <f t="shared" si="16"/>
        <v>1.35</v>
      </c>
      <c r="D364" s="1">
        <f t="shared" si="17"/>
        <v>4.82</v>
      </c>
      <c r="E364" s="20">
        <f>IF(AH364&lt;&gt;0,ROUNDUP(AH364,0),IF(BB364&lt;&gt;"FR","hors France",IF(AH364&lt;&gt;0,ROUNDUP(AH364,0),_xlfn.XLOOKUP(AJ364,'PA GLS'!B:B,'PA GLS'!A:A))))</f>
        <v>0.5</v>
      </c>
      <c r="F364">
        <v>2501382993</v>
      </c>
      <c r="G364">
        <v>1030231264</v>
      </c>
      <c r="H364" t="s">
        <v>366</v>
      </c>
      <c r="I364">
        <v>2500034092</v>
      </c>
      <c r="J364" t="s">
        <v>50</v>
      </c>
      <c r="K364">
        <v>9000009190</v>
      </c>
      <c r="L364">
        <v>46946</v>
      </c>
      <c r="M364" t="s">
        <v>51</v>
      </c>
      <c r="N364">
        <v>9000037814</v>
      </c>
      <c r="O364" t="s">
        <v>51</v>
      </c>
      <c r="S364">
        <v>2507012387</v>
      </c>
      <c r="T364" t="s">
        <v>50</v>
      </c>
      <c r="U364" t="s">
        <v>122</v>
      </c>
      <c r="V364" t="s">
        <v>71</v>
      </c>
      <c r="W364" t="s">
        <v>72</v>
      </c>
      <c r="X364" t="s">
        <v>60</v>
      </c>
      <c r="Z364">
        <v>132</v>
      </c>
      <c r="AA364" t="s">
        <v>1106</v>
      </c>
      <c r="AB364" t="s">
        <v>1107</v>
      </c>
      <c r="AC364">
        <v>2604000099</v>
      </c>
      <c r="AE364">
        <v>0</v>
      </c>
      <c r="AF364">
        <v>0</v>
      </c>
      <c r="AG364">
        <v>0</v>
      </c>
      <c r="AH364">
        <v>0</v>
      </c>
      <c r="AI364" t="s">
        <v>56</v>
      </c>
      <c r="AJ364">
        <v>3.77</v>
      </c>
      <c r="AK364">
        <v>0.9</v>
      </c>
      <c r="AL364">
        <v>0.15</v>
      </c>
      <c r="AM364">
        <v>29.1</v>
      </c>
      <c r="AN364">
        <v>1.35</v>
      </c>
      <c r="AO364">
        <v>0</v>
      </c>
      <c r="AP364">
        <v>0</v>
      </c>
      <c r="AQ364" t="s">
        <v>57</v>
      </c>
      <c r="AS364" t="s">
        <v>1108</v>
      </c>
      <c r="AT364" t="s">
        <v>1108</v>
      </c>
      <c r="AU364" t="s">
        <v>1107</v>
      </c>
      <c r="AV364" t="s">
        <v>1109</v>
      </c>
      <c r="AW364" t="s">
        <v>1110</v>
      </c>
      <c r="AZ364">
        <v>49070</v>
      </c>
      <c r="BA364" t="s">
        <v>1111</v>
      </c>
      <c r="BB364" t="s">
        <v>61</v>
      </c>
      <c r="BC364" t="s">
        <v>62</v>
      </c>
    </row>
    <row r="365" spans="1:55" x14ac:dyDescent="0.25">
      <c r="A365" s="1" t="str">
        <f>IF(COUNTIF(Catégories!A:A,X365)=0,"catégorie inconnue",_xlfn.XLOOKUP(X365,Catégories!A:A,Catégories!B:B))</f>
        <v>Frêt</v>
      </c>
      <c r="B365" s="1">
        <f t="shared" si="15"/>
        <v>6.17</v>
      </c>
      <c r="C365" s="1">
        <f t="shared" si="16"/>
        <v>1.35</v>
      </c>
      <c r="D365" s="1">
        <f t="shared" si="17"/>
        <v>4.82</v>
      </c>
      <c r="E365" s="20">
        <f>IF(AH365&lt;&gt;0,ROUNDUP(AH365,0),IF(BB365&lt;&gt;"FR","hors France",IF(AH365&lt;&gt;0,ROUNDUP(AH365,0),_xlfn.XLOOKUP(AJ365,'PA GLS'!B:B,'PA GLS'!A:A))))</f>
        <v>0.5</v>
      </c>
      <c r="F365">
        <v>2501382993</v>
      </c>
      <c r="G365">
        <v>1030231264</v>
      </c>
      <c r="H365" t="s">
        <v>366</v>
      </c>
      <c r="I365">
        <v>2500034092</v>
      </c>
      <c r="J365" t="s">
        <v>50</v>
      </c>
      <c r="K365">
        <v>9000009190</v>
      </c>
      <c r="L365">
        <v>46946</v>
      </c>
      <c r="M365" t="s">
        <v>51</v>
      </c>
      <c r="N365">
        <v>9000037814</v>
      </c>
      <c r="O365" t="s">
        <v>51</v>
      </c>
      <c r="S365">
        <v>2507012387</v>
      </c>
      <c r="T365" t="s">
        <v>50</v>
      </c>
      <c r="U365" t="s">
        <v>122</v>
      </c>
      <c r="V365" t="s">
        <v>71</v>
      </c>
      <c r="W365" t="s">
        <v>72</v>
      </c>
      <c r="X365" t="s">
        <v>60</v>
      </c>
      <c r="Z365">
        <v>132</v>
      </c>
      <c r="AA365" t="s">
        <v>1106</v>
      </c>
      <c r="AB365" t="s">
        <v>1112</v>
      </c>
      <c r="AC365">
        <v>2604000100</v>
      </c>
      <c r="AE365">
        <v>0</v>
      </c>
      <c r="AF365">
        <v>0</v>
      </c>
      <c r="AG365">
        <v>0</v>
      </c>
      <c r="AH365">
        <v>0</v>
      </c>
      <c r="AI365" t="s">
        <v>56</v>
      </c>
      <c r="AJ365">
        <v>3.77</v>
      </c>
      <c r="AK365">
        <v>0.9</v>
      </c>
      <c r="AL365">
        <v>0.15</v>
      </c>
      <c r="AM365">
        <v>29.1</v>
      </c>
      <c r="AN365">
        <v>1.35</v>
      </c>
      <c r="AO365">
        <v>0</v>
      </c>
      <c r="AP365">
        <v>0</v>
      </c>
      <c r="AQ365" t="s">
        <v>57</v>
      </c>
      <c r="AS365" t="s">
        <v>1113</v>
      </c>
      <c r="AT365" t="s">
        <v>1113</v>
      </c>
      <c r="AU365" t="s">
        <v>1112</v>
      </c>
      <c r="AV365" t="s">
        <v>1114</v>
      </c>
      <c r="AW365" t="s">
        <v>1115</v>
      </c>
      <c r="AZ365">
        <v>92200</v>
      </c>
      <c r="BA365" t="s">
        <v>298</v>
      </c>
      <c r="BB365" t="s">
        <v>61</v>
      </c>
      <c r="BC365" t="s">
        <v>62</v>
      </c>
    </row>
    <row r="366" spans="1:55" x14ac:dyDescent="0.25">
      <c r="A366" s="1" t="str">
        <f>IF(COUNTIF(Catégories!A:A,X366)=0,"catégorie inconnue",_xlfn.XLOOKUP(X366,Catégories!A:A,Catégories!B:B))</f>
        <v>Frêt</v>
      </c>
      <c r="B366" s="1">
        <f t="shared" si="15"/>
        <v>14.420000000000002</v>
      </c>
      <c r="C366" s="1">
        <f t="shared" si="16"/>
        <v>3.21</v>
      </c>
      <c r="D366" s="1">
        <f t="shared" si="17"/>
        <v>11.21</v>
      </c>
      <c r="E366" s="20">
        <f>IF(AH366&lt;&gt;0,ROUNDUP(AH366,0),IF(BB366&lt;&gt;"FR","hors France",IF(AH366&lt;&gt;0,ROUNDUP(AH366,0),_xlfn.XLOOKUP(AJ366,'PA GLS'!B:B,'PA GLS'!A:A))))</f>
        <v>12</v>
      </c>
      <c r="F366">
        <v>2501382993</v>
      </c>
      <c r="G366">
        <v>1030233320</v>
      </c>
      <c r="H366" t="s">
        <v>366</v>
      </c>
      <c r="I366">
        <v>2500034092</v>
      </c>
      <c r="J366" t="s">
        <v>50</v>
      </c>
      <c r="K366">
        <v>9000009190</v>
      </c>
      <c r="L366">
        <v>46946</v>
      </c>
      <c r="M366" t="s">
        <v>51</v>
      </c>
      <c r="N366">
        <v>9000082822</v>
      </c>
      <c r="O366" t="s">
        <v>175</v>
      </c>
      <c r="S366">
        <v>2507012387</v>
      </c>
      <c r="T366" t="s">
        <v>50</v>
      </c>
      <c r="U366" t="s">
        <v>122</v>
      </c>
      <c r="V366" t="s">
        <v>329</v>
      </c>
      <c r="W366" t="s">
        <v>330</v>
      </c>
      <c r="X366" t="s">
        <v>60</v>
      </c>
      <c r="Z366">
        <v>165</v>
      </c>
      <c r="AA366" t="s">
        <v>1106</v>
      </c>
      <c r="AB366" t="s">
        <v>1133</v>
      </c>
      <c r="AC366">
        <v>6906604</v>
      </c>
      <c r="AE366">
        <v>0</v>
      </c>
      <c r="AF366">
        <v>0</v>
      </c>
      <c r="AG366">
        <v>0</v>
      </c>
      <c r="AH366">
        <v>0</v>
      </c>
      <c r="AI366" t="s">
        <v>56</v>
      </c>
      <c r="AJ366">
        <v>10.16</v>
      </c>
      <c r="AK366">
        <v>0.9</v>
      </c>
      <c r="AL366">
        <v>0.15</v>
      </c>
      <c r="AM366">
        <v>29.1</v>
      </c>
      <c r="AN366">
        <v>3.21</v>
      </c>
      <c r="AO366">
        <v>0</v>
      </c>
      <c r="AP366">
        <v>0</v>
      </c>
      <c r="AQ366" t="s">
        <v>57</v>
      </c>
      <c r="AS366" t="s">
        <v>1134</v>
      </c>
      <c r="AU366" t="s">
        <v>1133</v>
      </c>
      <c r="AV366" t="s">
        <v>1135</v>
      </c>
      <c r="AW366" t="s">
        <v>1136</v>
      </c>
      <c r="AX366" t="s">
        <v>1137</v>
      </c>
      <c r="AZ366">
        <v>90150</v>
      </c>
      <c r="BA366" t="s">
        <v>1138</v>
      </c>
      <c r="BB366" t="s">
        <v>61</v>
      </c>
      <c r="BC366" t="s">
        <v>62</v>
      </c>
    </row>
    <row r="367" spans="1:55" x14ac:dyDescent="0.25">
      <c r="A367" s="1" t="str">
        <f>IF(COUNTIF(Catégories!A:A,X367)=0,"catégorie inconnue",_xlfn.XLOOKUP(X367,Catégories!A:A,Catégories!B:B))</f>
        <v>Frêt</v>
      </c>
      <c r="B367" s="1">
        <f t="shared" si="15"/>
        <v>13.61</v>
      </c>
      <c r="C367" s="1">
        <f t="shared" si="16"/>
        <v>3.03</v>
      </c>
      <c r="D367" s="1">
        <f t="shared" si="17"/>
        <v>10.58</v>
      </c>
      <c r="E367" s="20">
        <f>IF(AH367&lt;&gt;0,ROUNDUP(AH367,0),IF(BB367&lt;&gt;"FR","hors France",IF(AH367&lt;&gt;0,ROUNDUP(AH367,0),_xlfn.XLOOKUP(AJ367,'PA GLS'!B:B,'PA GLS'!A:A))))</f>
        <v>11</v>
      </c>
      <c r="F367">
        <v>2501382993</v>
      </c>
      <c r="G367">
        <v>1030233320</v>
      </c>
      <c r="H367" t="s">
        <v>366</v>
      </c>
      <c r="I367">
        <v>2500034092</v>
      </c>
      <c r="J367" t="s">
        <v>50</v>
      </c>
      <c r="K367">
        <v>9000009190</v>
      </c>
      <c r="L367">
        <v>46946</v>
      </c>
      <c r="M367" t="s">
        <v>51</v>
      </c>
      <c r="N367">
        <v>9000082822</v>
      </c>
      <c r="O367" t="s">
        <v>175</v>
      </c>
      <c r="S367">
        <v>2507012387</v>
      </c>
      <c r="T367" t="s">
        <v>50</v>
      </c>
      <c r="U367" t="s">
        <v>122</v>
      </c>
      <c r="V367" t="s">
        <v>1139</v>
      </c>
      <c r="W367" t="s">
        <v>1140</v>
      </c>
      <c r="X367" t="s">
        <v>60</v>
      </c>
      <c r="Z367">
        <v>164</v>
      </c>
      <c r="AA367" t="s">
        <v>1106</v>
      </c>
      <c r="AB367" t="s">
        <v>1141</v>
      </c>
      <c r="AC367">
        <v>6906603</v>
      </c>
      <c r="AE367">
        <v>0</v>
      </c>
      <c r="AF367">
        <v>0</v>
      </c>
      <c r="AG367">
        <v>0</v>
      </c>
      <c r="AH367">
        <v>0</v>
      </c>
      <c r="AI367" t="s">
        <v>56</v>
      </c>
      <c r="AJ367">
        <v>9.5299999999999994</v>
      </c>
      <c r="AK367">
        <v>0.9</v>
      </c>
      <c r="AL367">
        <v>0.15</v>
      </c>
      <c r="AM367">
        <v>29.1</v>
      </c>
      <c r="AN367">
        <v>3.03</v>
      </c>
      <c r="AO367">
        <v>0</v>
      </c>
      <c r="AP367">
        <v>0</v>
      </c>
      <c r="AQ367" t="s">
        <v>57</v>
      </c>
      <c r="AS367" t="s">
        <v>1134</v>
      </c>
      <c r="AU367" t="s">
        <v>1141</v>
      </c>
      <c r="AV367" t="s">
        <v>1135</v>
      </c>
      <c r="AW367" t="s">
        <v>1136</v>
      </c>
      <c r="AX367" t="s">
        <v>1137</v>
      </c>
      <c r="AZ367">
        <v>90150</v>
      </c>
      <c r="BA367" t="s">
        <v>1138</v>
      </c>
      <c r="BB367" t="s">
        <v>61</v>
      </c>
      <c r="BC367" t="s">
        <v>62</v>
      </c>
    </row>
    <row r="368" spans="1:55" x14ac:dyDescent="0.25">
      <c r="A368" s="1" t="str">
        <f>IF(COUNTIF(Catégories!A:A,X368)=0,"catégorie inconnue",_xlfn.XLOOKUP(X368,Catégories!A:A,Catégories!B:B))</f>
        <v>Frêt</v>
      </c>
      <c r="B368" s="1">
        <f t="shared" si="15"/>
        <v>8.870000000000001</v>
      </c>
      <c r="C368" s="1">
        <f t="shared" si="16"/>
        <v>1.96</v>
      </c>
      <c r="D368" s="1">
        <f t="shared" si="17"/>
        <v>6.910000000000001</v>
      </c>
      <c r="E368" s="20">
        <f>IF(AH368&lt;&gt;0,ROUNDUP(AH368,0),IF(BB368&lt;&gt;"FR","hors France",IF(AH368&lt;&gt;0,ROUNDUP(AH368,0),_xlfn.XLOOKUP(AJ368,'PA GLS'!B:B,'PA GLS'!A:A))))</f>
        <v>5</v>
      </c>
      <c r="F368">
        <v>2501382993</v>
      </c>
      <c r="G368">
        <v>1030233320</v>
      </c>
      <c r="H368" t="s">
        <v>366</v>
      </c>
      <c r="I368">
        <v>2500034092</v>
      </c>
      <c r="J368" t="s">
        <v>50</v>
      </c>
      <c r="K368">
        <v>9000009190</v>
      </c>
      <c r="L368">
        <v>46946</v>
      </c>
      <c r="M368" t="s">
        <v>51</v>
      </c>
      <c r="N368">
        <v>9000082822</v>
      </c>
      <c r="O368" t="s">
        <v>175</v>
      </c>
      <c r="S368">
        <v>2507012387</v>
      </c>
      <c r="T368" t="s">
        <v>50</v>
      </c>
      <c r="U368" t="s">
        <v>122</v>
      </c>
      <c r="V368" t="s">
        <v>265</v>
      </c>
      <c r="W368" t="s">
        <v>266</v>
      </c>
      <c r="X368" t="s">
        <v>60</v>
      </c>
      <c r="Z368">
        <v>163</v>
      </c>
      <c r="AA368" t="s">
        <v>1106</v>
      </c>
      <c r="AB368" t="s">
        <v>1142</v>
      </c>
      <c r="AC368">
        <v>6908022</v>
      </c>
      <c r="AE368">
        <v>0</v>
      </c>
      <c r="AF368">
        <v>0</v>
      </c>
      <c r="AG368">
        <v>0</v>
      </c>
      <c r="AH368">
        <v>0</v>
      </c>
      <c r="AI368" t="s">
        <v>56</v>
      </c>
      <c r="AJ368">
        <v>5.86</v>
      </c>
      <c r="AK368">
        <v>0.9</v>
      </c>
      <c r="AL368">
        <v>0.15</v>
      </c>
      <c r="AM368">
        <v>29.1</v>
      </c>
      <c r="AN368">
        <v>1.96</v>
      </c>
      <c r="AO368">
        <v>0</v>
      </c>
      <c r="AP368">
        <v>0</v>
      </c>
      <c r="AQ368" t="s">
        <v>57</v>
      </c>
      <c r="AS368" t="s">
        <v>1143</v>
      </c>
      <c r="AU368" t="s">
        <v>1142</v>
      </c>
      <c r="AV368" t="s">
        <v>190</v>
      </c>
      <c r="AW368" t="s">
        <v>198</v>
      </c>
      <c r="AX368" t="s">
        <v>191</v>
      </c>
      <c r="AZ368">
        <v>44000</v>
      </c>
      <c r="BA368" t="s">
        <v>80</v>
      </c>
      <c r="BB368" t="s">
        <v>61</v>
      </c>
      <c r="BC368" t="s">
        <v>62</v>
      </c>
    </row>
    <row r="369" spans="1:55" x14ac:dyDescent="0.25">
      <c r="A369" s="1" t="str">
        <f>IF(COUNTIF(Catégories!A:A,X369)=0,"catégorie inconnue",_xlfn.XLOOKUP(X369,Catégories!A:A,Catégories!B:B))</f>
        <v>Frêt</v>
      </c>
      <c r="B369" s="1">
        <f t="shared" si="15"/>
        <v>0</v>
      </c>
      <c r="C369" s="1">
        <f t="shared" si="16"/>
        <v>0</v>
      </c>
      <c r="D369" s="1">
        <f t="shared" si="17"/>
        <v>0</v>
      </c>
      <c r="E369" s="20">
        <f>IF(AH369&lt;&gt;0,ROUNDUP(AH369,0),IF(BB369&lt;&gt;"FR","hors France",IF(AH369&lt;&gt;0,ROUNDUP(AH369,0),_xlfn.XLOOKUP(AJ369,'PA GLS'!B:B,'PA GLS'!A:A))))</f>
        <v>5</v>
      </c>
      <c r="F369">
        <v>2501382993</v>
      </c>
      <c r="G369">
        <v>1030233320</v>
      </c>
      <c r="H369" t="s">
        <v>366</v>
      </c>
      <c r="I369">
        <v>2500034092</v>
      </c>
      <c r="J369" t="s">
        <v>50</v>
      </c>
      <c r="K369">
        <v>9000009190</v>
      </c>
      <c r="L369">
        <v>46946</v>
      </c>
      <c r="M369" t="s">
        <v>51</v>
      </c>
      <c r="N369">
        <v>9000082822</v>
      </c>
      <c r="O369" t="s">
        <v>175</v>
      </c>
      <c r="S369">
        <v>2507012387</v>
      </c>
      <c r="T369" t="s">
        <v>50</v>
      </c>
      <c r="U369" t="s">
        <v>122</v>
      </c>
      <c r="V369" t="s">
        <v>176</v>
      </c>
      <c r="W369" t="s">
        <v>177</v>
      </c>
      <c r="X369" t="s">
        <v>152</v>
      </c>
      <c r="Z369">
        <v>162</v>
      </c>
      <c r="AA369" t="s">
        <v>1106</v>
      </c>
      <c r="AB369" t="s">
        <v>1142</v>
      </c>
      <c r="AC369">
        <v>6908022</v>
      </c>
      <c r="AE369">
        <v>0</v>
      </c>
      <c r="AF369">
        <v>1</v>
      </c>
      <c r="AG369">
        <v>0</v>
      </c>
      <c r="AH369">
        <v>4.88</v>
      </c>
      <c r="AI369" t="s">
        <v>56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 t="s">
        <v>57</v>
      </c>
      <c r="AS369" t="s">
        <v>1143</v>
      </c>
      <c r="AU369" t="s">
        <v>1142</v>
      </c>
      <c r="AV369" t="s">
        <v>190</v>
      </c>
      <c r="AW369" t="s">
        <v>198</v>
      </c>
      <c r="AX369" t="s">
        <v>191</v>
      </c>
      <c r="AZ369">
        <v>44000</v>
      </c>
      <c r="BA369" t="s">
        <v>80</v>
      </c>
      <c r="BB369" t="s">
        <v>61</v>
      </c>
      <c r="BC369" t="s">
        <v>62</v>
      </c>
    </row>
    <row r="370" spans="1:55" x14ac:dyDescent="0.25">
      <c r="A370" s="1" t="str">
        <f>IF(COUNTIF(Catégories!A:A,X370)=0,"catégorie inconnue",_xlfn.XLOOKUP(X370,Catégories!A:A,Catégories!B:B))</f>
        <v>Frêt</v>
      </c>
      <c r="B370" s="1">
        <f t="shared" si="15"/>
        <v>0</v>
      </c>
      <c r="C370" s="1">
        <f t="shared" si="16"/>
        <v>0</v>
      </c>
      <c r="D370" s="1">
        <f t="shared" si="17"/>
        <v>0</v>
      </c>
      <c r="E370" s="20">
        <f>IF(AH370&lt;&gt;0,ROUNDUP(AH370,0),IF(BB370&lt;&gt;"FR","hors France",IF(AH370&lt;&gt;0,ROUNDUP(AH370,0),_xlfn.XLOOKUP(AJ370,'PA GLS'!B:B,'PA GLS'!A:A))))</f>
        <v>12</v>
      </c>
      <c r="F370">
        <v>2501382993</v>
      </c>
      <c r="G370">
        <v>1030233320</v>
      </c>
      <c r="H370" t="s">
        <v>366</v>
      </c>
      <c r="I370">
        <v>2500034092</v>
      </c>
      <c r="J370" t="s">
        <v>50</v>
      </c>
      <c r="K370">
        <v>9000009190</v>
      </c>
      <c r="L370">
        <v>46946</v>
      </c>
      <c r="M370" t="s">
        <v>51</v>
      </c>
      <c r="N370">
        <v>9000082822</v>
      </c>
      <c r="O370" t="s">
        <v>175</v>
      </c>
      <c r="S370">
        <v>2507012387</v>
      </c>
      <c r="T370" t="s">
        <v>50</v>
      </c>
      <c r="U370" t="s">
        <v>122</v>
      </c>
      <c r="V370" t="s">
        <v>176</v>
      </c>
      <c r="W370" t="s">
        <v>177</v>
      </c>
      <c r="X370" t="s">
        <v>152</v>
      </c>
      <c r="Z370">
        <v>162</v>
      </c>
      <c r="AA370" t="s">
        <v>1106</v>
      </c>
      <c r="AB370" t="s">
        <v>1133</v>
      </c>
      <c r="AC370">
        <v>6906604</v>
      </c>
      <c r="AE370">
        <v>0</v>
      </c>
      <c r="AF370">
        <v>1</v>
      </c>
      <c r="AG370">
        <v>0</v>
      </c>
      <c r="AH370">
        <v>11.86</v>
      </c>
      <c r="AI370" t="s">
        <v>56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 t="s">
        <v>57</v>
      </c>
      <c r="AS370" t="s">
        <v>1134</v>
      </c>
      <c r="AU370" t="s">
        <v>1133</v>
      </c>
      <c r="AV370" t="s">
        <v>1135</v>
      </c>
      <c r="AW370" t="s">
        <v>1136</v>
      </c>
      <c r="AX370" t="s">
        <v>1137</v>
      </c>
      <c r="AZ370">
        <v>90150</v>
      </c>
      <c r="BA370" t="s">
        <v>1138</v>
      </c>
      <c r="BB370" t="s">
        <v>61</v>
      </c>
      <c r="BC370" t="s">
        <v>62</v>
      </c>
    </row>
    <row r="371" spans="1:55" x14ac:dyDescent="0.25">
      <c r="A371" s="1" t="str">
        <f>IF(COUNTIF(Catégories!A:A,X371)=0,"catégorie inconnue",_xlfn.XLOOKUP(X371,Catégories!A:A,Catégories!B:B))</f>
        <v>Frêt</v>
      </c>
      <c r="B371" s="1">
        <f t="shared" si="15"/>
        <v>0</v>
      </c>
      <c r="C371" s="1">
        <f t="shared" si="16"/>
        <v>0</v>
      </c>
      <c r="D371" s="1">
        <f t="shared" si="17"/>
        <v>0</v>
      </c>
      <c r="E371" s="20">
        <f>IF(AH371&lt;&gt;0,ROUNDUP(AH371,0),IF(BB371&lt;&gt;"FR","hors France",IF(AH371&lt;&gt;0,ROUNDUP(AH371,0),_xlfn.XLOOKUP(AJ371,'PA GLS'!B:B,'PA GLS'!A:A))))</f>
        <v>11</v>
      </c>
      <c r="F371">
        <v>2501382993</v>
      </c>
      <c r="G371">
        <v>1030233320</v>
      </c>
      <c r="H371" t="s">
        <v>366</v>
      </c>
      <c r="I371">
        <v>2500034092</v>
      </c>
      <c r="J371" t="s">
        <v>50</v>
      </c>
      <c r="K371">
        <v>9000009190</v>
      </c>
      <c r="L371">
        <v>46946</v>
      </c>
      <c r="M371" t="s">
        <v>51</v>
      </c>
      <c r="N371">
        <v>9000082822</v>
      </c>
      <c r="O371" t="s">
        <v>175</v>
      </c>
      <c r="S371">
        <v>2507012387</v>
      </c>
      <c r="T371" t="s">
        <v>50</v>
      </c>
      <c r="U371" t="s">
        <v>122</v>
      </c>
      <c r="V371" t="s">
        <v>176</v>
      </c>
      <c r="W371" t="s">
        <v>177</v>
      </c>
      <c r="X371" t="s">
        <v>152</v>
      </c>
      <c r="Z371">
        <v>162</v>
      </c>
      <c r="AA371" t="s">
        <v>1106</v>
      </c>
      <c r="AB371" t="s">
        <v>1141</v>
      </c>
      <c r="AC371">
        <v>6906603</v>
      </c>
      <c r="AE371">
        <v>0</v>
      </c>
      <c r="AF371">
        <v>1</v>
      </c>
      <c r="AG371">
        <v>0</v>
      </c>
      <c r="AH371">
        <v>10.58</v>
      </c>
      <c r="AI371" t="s">
        <v>56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 t="s">
        <v>57</v>
      </c>
      <c r="AS371" t="s">
        <v>1134</v>
      </c>
      <c r="AU371" t="s">
        <v>1141</v>
      </c>
      <c r="AV371" t="s">
        <v>1135</v>
      </c>
      <c r="AW371" t="s">
        <v>1136</v>
      </c>
      <c r="AX371" t="s">
        <v>1137</v>
      </c>
      <c r="AZ371">
        <v>90150</v>
      </c>
      <c r="BA371" t="s">
        <v>1138</v>
      </c>
      <c r="BB371" t="s">
        <v>61</v>
      </c>
      <c r="BC371" t="s">
        <v>62</v>
      </c>
    </row>
    <row r="372" spans="1:55" x14ac:dyDescent="0.25">
      <c r="A372" s="1" t="str">
        <f>IF(COUNTIF(Catégories!A:A,X372)=0,"catégorie inconnue",_xlfn.XLOOKUP(X372,Catégories!A:A,Catégories!B:B))</f>
        <v>Frêt</v>
      </c>
      <c r="B372" s="1">
        <f t="shared" si="15"/>
        <v>6.17</v>
      </c>
      <c r="C372" s="1">
        <f t="shared" si="16"/>
        <v>1.35</v>
      </c>
      <c r="D372" s="1">
        <f t="shared" si="17"/>
        <v>4.82</v>
      </c>
      <c r="E372" s="20">
        <f>IF(AH372&lt;&gt;0,ROUNDUP(AH372,0),IF(BB372&lt;&gt;"FR","hors France",IF(AH372&lt;&gt;0,ROUNDUP(AH372,0),_xlfn.XLOOKUP(AJ372,'PA GLS'!B:B,'PA GLS'!A:A))))</f>
        <v>0.5</v>
      </c>
      <c r="F372">
        <v>2501382993</v>
      </c>
      <c r="G372">
        <v>1030231264</v>
      </c>
      <c r="H372" t="s">
        <v>366</v>
      </c>
      <c r="I372">
        <v>2500034092</v>
      </c>
      <c r="J372" t="s">
        <v>50</v>
      </c>
      <c r="K372">
        <v>9000009190</v>
      </c>
      <c r="L372">
        <v>46946</v>
      </c>
      <c r="M372" t="s">
        <v>51</v>
      </c>
      <c r="N372">
        <v>9000037814</v>
      </c>
      <c r="O372" t="s">
        <v>51</v>
      </c>
      <c r="S372">
        <v>2507012387</v>
      </c>
      <c r="T372" t="s">
        <v>50</v>
      </c>
      <c r="U372" t="s">
        <v>122</v>
      </c>
      <c r="V372" t="s">
        <v>71</v>
      </c>
      <c r="W372" t="s">
        <v>72</v>
      </c>
      <c r="X372" t="s">
        <v>60</v>
      </c>
      <c r="Z372">
        <v>132</v>
      </c>
      <c r="AA372" t="s">
        <v>1106</v>
      </c>
      <c r="AB372" t="s">
        <v>1116</v>
      </c>
      <c r="AC372">
        <v>2604000101</v>
      </c>
      <c r="AE372">
        <v>0</v>
      </c>
      <c r="AF372">
        <v>0</v>
      </c>
      <c r="AG372">
        <v>0</v>
      </c>
      <c r="AH372">
        <v>0</v>
      </c>
      <c r="AI372" t="s">
        <v>56</v>
      </c>
      <c r="AJ372">
        <v>3.77</v>
      </c>
      <c r="AK372">
        <v>0.9</v>
      </c>
      <c r="AL372">
        <v>0.15</v>
      </c>
      <c r="AM372">
        <v>29.1</v>
      </c>
      <c r="AN372">
        <v>1.35</v>
      </c>
      <c r="AO372">
        <v>0</v>
      </c>
      <c r="AP372">
        <v>0</v>
      </c>
      <c r="AQ372" t="s">
        <v>57</v>
      </c>
      <c r="AS372" t="s">
        <v>1117</v>
      </c>
      <c r="AT372" t="s">
        <v>1117</v>
      </c>
      <c r="AU372" t="s">
        <v>1116</v>
      </c>
      <c r="AV372" t="s">
        <v>1118</v>
      </c>
      <c r="AW372" t="s">
        <v>1119</v>
      </c>
      <c r="AZ372">
        <v>75016</v>
      </c>
      <c r="BA372" t="s">
        <v>65</v>
      </c>
      <c r="BB372" t="s">
        <v>61</v>
      </c>
      <c r="BC372" t="s">
        <v>62</v>
      </c>
    </row>
    <row r="373" spans="1:55" x14ac:dyDescent="0.25">
      <c r="A373" s="1" t="str">
        <f>IF(COUNTIF(Catégories!A:A,X373)=0,"catégorie inconnue",_xlfn.XLOOKUP(X373,Catégories!A:A,Catégories!B:B))</f>
        <v>Frêt</v>
      </c>
      <c r="B373" s="1">
        <f t="shared" si="15"/>
        <v>6.6000000000000005</v>
      </c>
      <c r="C373" s="1">
        <f t="shared" si="16"/>
        <v>1.45</v>
      </c>
      <c r="D373" s="1">
        <f t="shared" si="17"/>
        <v>5.15</v>
      </c>
      <c r="E373" s="20">
        <f>IF(AH373&lt;&gt;0,ROUNDUP(AH373,0),IF(BB373&lt;&gt;"FR","hors France",IF(AH373&lt;&gt;0,ROUNDUP(AH373,0),_xlfn.XLOOKUP(AJ373,'PA GLS'!B:B,'PA GLS'!A:A))))</f>
        <v>1</v>
      </c>
      <c r="F373">
        <v>2501382993</v>
      </c>
      <c r="G373">
        <v>1030231264</v>
      </c>
      <c r="H373" t="s">
        <v>366</v>
      </c>
      <c r="I373">
        <v>2500034092</v>
      </c>
      <c r="J373" t="s">
        <v>50</v>
      </c>
      <c r="K373">
        <v>9000009190</v>
      </c>
      <c r="L373">
        <v>46946</v>
      </c>
      <c r="M373" t="s">
        <v>51</v>
      </c>
      <c r="N373">
        <v>9000037814</v>
      </c>
      <c r="O373" t="s">
        <v>51</v>
      </c>
      <c r="S373">
        <v>2507012387</v>
      </c>
      <c r="T373" t="s">
        <v>50</v>
      </c>
      <c r="U373" t="s">
        <v>122</v>
      </c>
      <c r="V373" t="s">
        <v>69</v>
      </c>
      <c r="W373" t="s">
        <v>70</v>
      </c>
      <c r="X373" t="s">
        <v>60</v>
      </c>
      <c r="Z373">
        <v>133</v>
      </c>
      <c r="AA373" t="s">
        <v>1106</v>
      </c>
      <c r="AB373" t="s">
        <v>1120</v>
      </c>
      <c r="AC373">
        <v>2604000102</v>
      </c>
      <c r="AE373">
        <v>0</v>
      </c>
      <c r="AF373">
        <v>0</v>
      </c>
      <c r="AG373">
        <v>0</v>
      </c>
      <c r="AH373">
        <v>0</v>
      </c>
      <c r="AI373" t="s">
        <v>56</v>
      </c>
      <c r="AJ373">
        <v>4.0999999999999996</v>
      </c>
      <c r="AK373">
        <v>0.9</v>
      </c>
      <c r="AL373">
        <v>0.15</v>
      </c>
      <c r="AM373">
        <v>29.1</v>
      </c>
      <c r="AN373">
        <v>1.45</v>
      </c>
      <c r="AO373">
        <v>0</v>
      </c>
      <c r="AP373">
        <v>0</v>
      </c>
      <c r="AQ373" t="s">
        <v>57</v>
      </c>
      <c r="AS373" t="s">
        <v>1121</v>
      </c>
      <c r="AT373" t="s">
        <v>1121</v>
      </c>
      <c r="AU373" t="s">
        <v>1120</v>
      </c>
      <c r="AV373" t="s">
        <v>1122</v>
      </c>
      <c r="AW373" t="s">
        <v>1123</v>
      </c>
      <c r="AZ373">
        <v>44810</v>
      </c>
      <c r="BA373" t="s">
        <v>1124</v>
      </c>
      <c r="BB373" t="s">
        <v>61</v>
      </c>
      <c r="BC373" t="s">
        <v>62</v>
      </c>
    </row>
    <row r="374" spans="1:55" x14ac:dyDescent="0.25">
      <c r="A374" s="1" t="str">
        <f>IF(COUNTIF(Catégories!A:A,X374)=0,"catégorie inconnue",_xlfn.XLOOKUP(X374,Catégories!A:A,Catégories!B:B))</f>
        <v>Frêt - avisé</v>
      </c>
      <c r="B374" s="1">
        <f t="shared" si="15"/>
        <v>0</v>
      </c>
      <c r="C374" s="1">
        <f t="shared" si="16"/>
        <v>0</v>
      </c>
      <c r="D374" s="1">
        <f t="shared" si="17"/>
        <v>0</v>
      </c>
      <c r="E374" s="20" t="e">
        <f>IF(AH374&lt;&gt;0,ROUNDUP(AH374,0),IF(BB374&lt;&gt;"FR","hors France",IF(AH374&lt;&gt;0,ROUNDUP(AH374,0),_xlfn.XLOOKUP(AJ374,'PA GLS'!B:B,'PA GLS'!A:A))))</f>
        <v>#N/A</v>
      </c>
      <c r="F374">
        <v>2501382993</v>
      </c>
      <c r="G374">
        <v>1030231264</v>
      </c>
      <c r="H374" t="s">
        <v>366</v>
      </c>
      <c r="I374">
        <v>2500034092</v>
      </c>
      <c r="J374" t="s">
        <v>50</v>
      </c>
      <c r="K374">
        <v>9000009190</v>
      </c>
      <c r="L374">
        <v>46946</v>
      </c>
      <c r="M374" t="s">
        <v>51</v>
      </c>
      <c r="N374">
        <v>9000037814</v>
      </c>
      <c r="O374" t="s">
        <v>51</v>
      </c>
      <c r="S374">
        <v>2507012387</v>
      </c>
      <c r="T374" t="s">
        <v>50</v>
      </c>
      <c r="U374" t="s">
        <v>122</v>
      </c>
      <c r="V374" t="s">
        <v>178</v>
      </c>
      <c r="W374" t="s">
        <v>179</v>
      </c>
      <c r="X374" t="s">
        <v>79</v>
      </c>
      <c r="Z374">
        <v>135</v>
      </c>
      <c r="AA374" t="s">
        <v>1106</v>
      </c>
      <c r="AB374" t="s">
        <v>1047</v>
      </c>
      <c r="AC374">
        <v>2604000087</v>
      </c>
      <c r="AE374">
        <v>0</v>
      </c>
      <c r="AF374">
        <v>0</v>
      </c>
      <c r="AG374">
        <v>0</v>
      </c>
      <c r="AH374">
        <v>0</v>
      </c>
      <c r="AI374" t="s">
        <v>56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 t="s">
        <v>57</v>
      </c>
      <c r="AS374" t="s">
        <v>1048</v>
      </c>
      <c r="AT374" t="s">
        <v>1048</v>
      </c>
      <c r="AU374" t="s">
        <v>1047</v>
      </c>
      <c r="AV374" t="s">
        <v>1049</v>
      </c>
      <c r="AW374" t="s">
        <v>1050</v>
      </c>
      <c r="AZ374">
        <v>35260</v>
      </c>
      <c r="BA374" t="s">
        <v>1051</v>
      </c>
      <c r="BB374" t="s">
        <v>61</v>
      </c>
      <c r="BC374" t="s">
        <v>62</v>
      </c>
    </row>
    <row r="375" spans="1:55" x14ac:dyDescent="0.25">
      <c r="A375" s="1" t="str">
        <f>IF(COUNTIF(Catégories!A:A,X375)=0,"catégorie inconnue",_xlfn.XLOOKUP(X375,Catégories!A:A,Catégories!B:B))</f>
        <v>Adresse</v>
      </c>
      <c r="B375" s="1">
        <f t="shared" si="15"/>
        <v>3.04</v>
      </c>
      <c r="C375" s="1">
        <f t="shared" si="16"/>
        <v>0.68</v>
      </c>
      <c r="D375" s="1">
        <f t="shared" si="17"/>
        <v>2.36</v>
      </c>
      <c r="E375" s="20" t="e">
        <f>IF(AH375&lt;&gt;0,ROUNDUP(AH375,0),IF(BB375&lt;&gt;"FR","hors France",IF(AH375&lt;&gt;0,ROUNDUP(AH375,0),_xlfn.XLOOKUP(AJ375,'PA GLS'!B:B,'PA GLS'!A:A))))</f>
        <v>#N/A</v>
      </c>
      <c r="F375">
        <v>2501382993</v>
      </c>
      <c r="G375">
        <v>1030231264</v>
      </c>
      <c r="H375" t="s">
        <v>366</v>
      </c>
      <c r="I375">
        <v>2500034092</v>
      </c>
      <c r="J375" t="s">
        <v>50</v>
      </c>
      <c r="K375">
        <v>9000009190</v>
      </c>
      <c r="L375">
        <v>46946</v>
      </c>
      <c r="M375" t="s">
        <v>51</v>
      </c>
      <c r="N375">
        <v>9000037814</v>
      </c>
      <c r="O375" t="s">
        <v>51</v>
      </c>
      <c r="S375">
        <v>2507012387</v>
      </c>
      <c r="T375" t="s">
        <v>50</v>
      </c>
      <c r="U375" t="s">
        <v>122</v>
      </c>
      <c r="V375" t="s">
        <v>651</v>
      </c>
      <c r="W375" t="s">
        <v>233</v>
      </c>
      <c r="X375" t="s">
        <v>163</v>
      </c>
      <c r="Z375">
        <v>134</v>
      </c>
      <c r="AA375" t="s">
        <v>1106</v>
      </c>
      <c r="AB375" t="s">
        <v>1047</v>
      </c>
      <c r="AC375">
        <v>2604000087</v>
      </c>
      <c r="AE375">
        <v>0</v>
      </c>
      <c r="AF375">
        <v>0</v>
      </c>
      <c r="AG375">
        <v>0</v>
      </c>
      <c r="AH375">
        <v>0</v>
      </c>
      <c r="AI375" t="s">
        <v>56</v>
      </c>
      <c r="AJ375">
        <v>2.36</v>
      </c>
      <c r="AK375">
        <v>0</v>
      </c>
      <c r="AL375">
        <v>0</v>
      </c>
      <c r="AM375">
        <v>29.1</v>
      </c>
      <c r="AN375">
        <v>0.68</v>
      </c>
      <c r="AO375">
        <v>0</v>
      </c>
      <c r="AP375">
        <v>0</v>
      </c>
      <c r="AQ375" t="s">
        <v>57</v>
      </c>
      <c r="AS375" t="s">
        <v>1048</v>
      </c>
      <c r="AT375" t="s">
        <v>1048</v>
      </c>
      <c r="AU375" t="s">
        <v>1047</v>
      </c>
      <c r="AV375" t="s">
        <v>1049</v>
      </c>
      <c r="AW375" t="s">
        <v>1050</v>
      </c>
      <c r="AZ375">
        <v>35260</v>
      </c>
      <c r="BA375" t="s">
        <v>1051</v>
      </c>
      <c r="BB375" t="s">
        <v>61</v>
      </c>
      <c r="BC375" t="s">
        <v>62</v>
      </c>
    </row>
    <row r="376" spans="1:55" x14ac:dyDescent="0.25">
      <c r="A376" s="1" t="str">
        <f>IF(COUNTIF(Catégories!A:A,X376)=0,"catégorie inconnue",_xlfn.XLOOKUP(X376,Catégories!A:A,Catégories!B:B))</f>
        <v>Frêt</v>
      </c>
      <c r="B376" s="1">
        <f t="shared" si="15"/>
        <v>6.6000000000000005</v>
      </c>
      <c r="C376" s="1">
        <f t="shared" si="16"/>
        <v>1.45</v>
      </c>
      <c r="D376" s="1">
        <f t="shared" si="17"/>
        <v>5.15</v>
      </c>
      <c r="E376" s="20">
        <f>IF(AH376&lt;&gt;0,ROUNDUP(AH376,0),IF(BB376&lt;&gt;"FR","hors France",IF(AH376&lt;&gt;0,ROUNDUP(AH376,0),_xlfn.XLOOKUP(AJ376,'PA GLS'!B:B,'PA GLS'!A:A))))</f>
        <v>1</v>
      </c>
      <c r="F376">
        <v>2501382993</v>
      </c>
      <c r="G376">
        <v>1030231264</v>
      </c>
      <c r="H376" t="s">
        <v>366</v>
      </c>
      <c r="I376">
        <v>2500034092</v>
      </c>
      <c r="J376" t="s">
        <v>50</v>
      </c>
      <c r="K376">
        <v>9000009190</v>
      </c>
      <c r="L376">
        <v>46946</v>
      </c>
      <c r="M376" t="s">
        <v>51</v>
      </c>
      <c r="N376">
        <v>9000037814</v>
      </c>
      <c r="O376" t="s">
        <v>51</v>
      </c>
      <c r="S376">
        <v>2507012387</v>
      </c>
      <c r="T376" t="s">
        <v>50</v>
      </c>
      <c r="U376" t="s">
        <v>122</v>
      </c>
      <c r="V376" t="s">
        <v>69</v>
      </c>
      <c r="W376" t="s">
        <v>70</v>
      </c>
      <c r="X376" t="s">
        <v>60</v>
      </c>
      <c r="Z376">
        <v>133</v>
      </c>
      <c r="AA376" t="s">
        <v>1106</v>
      </c>
      <c r="AB376" t="s">
        <v>1129</v>
      </c>
      <c r="AC376">
        <v>2604000104</v>
      </c>
      <c r="AE376">
        <v>0</v>
      </c>
      <c r="AF376">
        <v>0</v>
      </c>
      <c r="AG376">
        <v>0</v>
      </c>
      <c r="AH376">
        <v>0</v>
      </c>
      <c r="AI376" t="s">
        <v>56</v>
      </c>
      <c r="AJ376">
        <v>4.0999999999999996</v>
      </c>
      <c r="AK376">
        <v>0.9</v>
      </c>
      <c r="AL376">
        <v>0.15</v>
      </c>
      <c r="AM376">
        <v>29.1</v>
      </c>
      <c r="AN376">
        <v>1.45</v>
      </c>
      <c r="AO376">
        <v>0</v>
      </c>
      <c r="AP376">
        <v>0</v>
      </c>
      <c r="AQ376" t="s">
        <v>57</v>
      </c>
      <c r="AS376" t="s">
        <v>1130</v>
      </c>
      <c r="AT376" t="s">
        <v>1130</v>
      </c>
      <c r="AU376" t="s">
        <v>1129</v>
      </c>
      <c r="AV376" t="s">
        <v>1131</v>
      </c>
      <c r="AW376" t="s">
        <v>1132</v>
      </c>
      <c r="AZ376">
        <v>75003</v>
      </c>
      <c r="BA376" t="s">
        <v>65</v>
      </c>
      <c r="BB376" t="s">
        <v>61</v>
      </c>
      <c r="BC376" t="s">
        <v>62</v>
      </c>
    </row>
    <row r="377" spans="1:55" x14ac:dyDescent="0.25">
      <c r="A377" s="1" t="str">
        <f>IF(COUNTIF(Catégories!A:A,X377)=0,"catégorie inconnue",_xlfn.XLOOKUP(X377,Catégories!A:A,Catégories!B:B))</f>
        <v>Frêt</v>
      </c>
      <c r="B377" s="1">
        <f t="shared" si="15"/>
        <v>6.6000000000000005</v>
      </c>
      <c r="C377" s="1">
        <f t="shared" si="16"/>
        <v>1.45</v>
      </c>
      <c r="D377" s="1">
        <f t="shared" si="17"/>
        <v>5.15</v>
      </c>
      <c r="E377" s="20">
        <f>IF(AH377&lt;&gt;0,ROUNDUP(AH377,0),IF(BB377&lt;&gt;"FR","hors France",IF(AH377&lt;&gt;0,ROUNDUP(AH377,0),_xlfn.XLOOKUP(AJ377,'PA GLS'!B:B,'PA GLS'!A:A))))</f>
        <v>1</v>
      </c>
      <c r="F377">
        <v>2501382993</v>
      </c>
      <c r="G377">
        <v>1030231264</v>
      </c>
      <c r="H377" t="s">
        <v>366</v>
      </c>
      <c r="I377">
        <v>2500034092</v>
      </c>
      <c r="J377" t="s">
        <v>50</v>
      </c>
      <c r="K377">
        <v>9000009190</v>
      </c>
      <c r="L377">
        <v>46946</v>
      </c>
      <c r="M377" t="s">
        <v>51</v>
      </c>
      <c r="N377">
        <v>9000037814</v>
      </c>
      <c r="O377" t="s">
        <v>51</v>
      </c>
      <c r="S377">
        <v>2507012387</v>
      </c>
      <c r="T377" t="s">
        <v>50</v>
      </c>
      <c r="U377" t="s">
        <v>122</v>
      </c>
      <c r="V377" t="s">
        <v>69</v>
      </c>
      <c r="W377" t="s">
        <v>70</v>
      </c>
      <c r="X377" t="s">
        <v>60</v>
      </c>
      <c r="Z377">
        <v>133</v>
      </c>
      <c r="AA377" t="s">
        <v>1106</v>
      </c>
      <c r="AB377" t="s">
        <v>1125</v>
      </c>
      <c r="AC377">
        <v>2604000103</v>
      </c>
      <c r="AE377">
        <v>0</v>
      </c>
      <c r="AF377">
        <v>0</v>
      </c>
      <c r="AG377">
        <v>0</v>
      </c>
      <c r="AH377">
        <v>0</v>
      </c>
      <c r="AI377" t="s">
        <v>56</v>
      </c>
      <c r="AJ377">
        <v>4.0999999999999996</v>
      </c>
      <c r="AK377">
        <v>0.9</v>
      </c>
      <c r="AL377">
        <v>0.15</v>
      </c>
      <c r="AM377">
        <v>29.1</v>
      </c>
      <c r="AN377">
        <v>1.45</v>
      </c>
      <c r="AO377">
        <v>0</v>
      </c>
      <c r="AP377">
        <v>0</v>
      </c>
      <c r="AQ377" t="s">
        <v>57</v>
      </c>
      <c r="AS377" t="s">
        <v>1126</v>
      </c>
      <c r="AT377" t="s">
        <v>1126</v>
      </c>
      <c r="AU377" t="s">
        <v>1125</v>
      </c>
      <c r="AV377" t="s">
        <v>1127</v>
      </c>
      <c r="AW377" t="s">
        <v>1128</v>
      </c>
      <c r="AZ377">
        <v>95600</v>
      </c>
      <c r="BA377" t="s">
        <v>947</v>
      </c>
      <c r="BB377" t="s">
        <v>61</v>
      </c>
      <c r="BC377" t="s">
        <v>62</v>
      </c>
    </row>
    <row r="378" spans="1:55" x14ac:dyDescent="0.25">
      <c r="A378" s="1" t="str">
        <f>IF(COUNTIF(Catégories!A:A,X378)=0,"catégorie inconnue",_xlfn.XLOOKUP(X378,Catégories!A:A,Catégories!B:B))</f>
        <v>Frêt</v>
      </c>
      <c r="B378" s="1">
        <f t="shared" si="15"/>
        <v>0</v>
      </c>
      <c r="C378" s="1">
        <f t="shared" si="16"/>
        <v>0</v>
      </c>
      <c r="D378" s="1">
        <f t="shared" si="17"/>
        <v>0</v>
      </c>
      <c r="E378" s="20">
        <f>IF(AH378&lt;&gt;0,ROUNDUP(AH378,0),IF(BB378&lt;&gt;"FR","hors France",IF(AH378&lt;&gt;0,ROUNDUP(AH378,0),_xlfn.XLOOKUP(AJ378,'PA GLS'!B:B,'PA GLS'!A:A))))</f>
        <v>2</v>
      </c>
      <c r="F378">
        <v>2501382993</v>
      </c>
      <c r="G378">
        <v>1030220462</v>
      </c>
      <c r="H378" t="s">
        <v>366</v>
      </c>
      <c r="I378">
        <v>2500034092</v>
      </c>
      <c r="J378" t="s">
        <v>50</v>
      </c>
      <c r="K378">
        <v>9000009190</v>
      </c>
      <c r="L378">
        <v>46946</v>
      </c>
      <c r="M378" t="s">
        <v>51</v>
      </c>
      <c r="N378">
        <v>9000079830</v>
      </c>
      <c r="O378" t="s">
        <v>187</v>
      </c>
      <c r="S378">
        <v>2507012387</v>
      </c>
      <c r="T378" t="s">
        <v>50</v>
      </c>
      <c r="U378" t="s">
        <v>122</v>
      </c>
      <c r="V378" t="s">
        <v>176</v>
      </c>
      <c r="W378" t="s">
        <v>177</v>
      </c>
      <c r="X378" t="s">
        <v>152</v>
      </c>
      <c r="Z378">
        <v>77</v>
      </c>
      <c r="AA378" t="s">
        <v>1106</v>
      </c>
      <c r="AB378" t="s">
        <v>1144</v>
      </c>
      <c r="AC378">
        <v>2604000097</v>
      </c>
      <c r="AE378">
        <v>0</v>
      </c>
      <c r="AF378">
        <v>1</v>
      </c>
      <c r="AG378">
        <v>0</v>
      </c>
      <c r="AH378">
        <v>1.68</v>
      </c>
      <c r="AI378" t="s">
        <v>56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 t="s">
        <v>57</v>
      </c>
      <c r="AS378" t="s">
        <v>1145</v>
      </c>
      <c r="AT378" t="s">
        <v>1145</v>
      </c>
      <c r="AU378" t="s">
        <v>1144</v>
      </c>
      <c r="AV378" t="s">
        <v>1146</v>
      </c>
      <c r="AW378" t="s">
        <v>1147</v>
      </c>
      <c r="AZ378">
        <v>6580</v>
      </c>
      <c r="BA378" t="s">
        <v>1148</v>
      </c>
      <c r="BB378" t="s">
        <v>61</v>
      </c>
      <c r="BC378" t="s">
        <v>62</v>
      </c>
    </row>
    <row r="379" spans="1:55" x14ac:dyDescent="0.25">
      <c r="A379" s="1" t="str">
        <f>IF(COUNTIF(Catégories!A:A,X379)=0,"catégorie inconnue",_xlfn.XLOOKUP(X379,Catégories!A:A,Catégories!B:B))</f>
        <v>Frêt</v>
      </c>
      <c r="B379" s="1">
        <f t="shared" si="15"/>
        <v>6.6000000000000005</v>
      </c>
      <c r="C379" s="1">
        <f t="shared" si="16"/>
        <v>1.45</v>
      </c>
      <c r="D379" s="1">
        <f t="shared" si="17"/>
        <v>5.15</v>
      </c>
      <c r="E379" s="20">
        <f>IF(AH379&lt;&gt;0,ROUNDUP(AH379,0),IF(BB379&lt;&gt;"FR","hors France",IF(AH379&lt;&gt;0,ROUNDUP(AH379,0),_xlfn.XLOOKUP(AJ379,'PA GLS'!B:B,'PA GLS'!A:A))))</f>
        <v>1</v>
      </c>
      <c r="F379">
        <v>2501382993</v>
      </c>
      <c r="G379">
        <v>1030220462</v>
      </c>
      <c r="H379" t="s">
        <v>366</v>
      </c>
      <c r="I379">
        <v>2500034092</v>
      </c>
      <c r="J379" t="s">
        <v>50</v>
      </c>
      <c r="K379">
        <v>9000009190</v>
      </c>
      <c r="L379">
        <v>46946</v>
      </c>
      <c r="M379" t="s">
        <v>51</v>
      </c>
      <c r="N379">
        <v>9000079830</v>
      </c>
      <c r="O379" t="s">
        <v>187</v>
      </c>
      <c r="S379">
        <v>2507012387</v>
      </c>
      <c r="T379" t="s">
        <v>50</v>
      </c>
      <c r="U379" t="s">
        <v>122</v>
      </c>
      <c r="V379" t="s">
        <v>69</v>
      </c>
      <c r="W379" t="s">
        <v>70</v>
      </c>
      <c r="X379" t="s">
        <v>60</v>
      </c>
      <c r="Z379">
        <v>78</v>
      </c>
      <c r="AA379" t="s">
        <v>1106</v>
      </c>
      <c r="AB379" t="s">
        <v>1149</v>
      </c>
      <c r="AC379">
        <v>2604000096</v>
      </c>
      <c r="AE379">
        <v>0</v>
      </c>
      <c r="AF379">
        <v>0</v>
      </c>
      <c r="AG379">
        <v>0</v>
      </c>
      <c r="AH379">
        <v>0</v>
      </c>
      <c r="AI379" t="s">
        <v>56</v>
      </c>
      <c r="AJ379">
        <v>4.0999999999999996</v>
      </c>
      <c r="AK379">
        <v>0.9</v>
      </c>
      <c r="AL379">
        <v>0.15</v>
      </c>
      <c r="AM379">
        <v>29.1</v>
      </c>
      <c r="AN379">
        <v>1.45</v>
      </c>
      <c r="AO379">
        <v>0</v>
      </c>
      <c r="AP379">
        <v>0</v>
      </c>
      <c r="AQ379" t="s">
        <v>57</v>
      </c>
      <c r="AS379" t="s">
        <v>1150</v>
      </c>
      <c r="AT379" t="s">
        <v>1150</v>
      </c>
      <c r="AU379" t="s">
        <v>1149</v>
      </c>
      <c r="AV379" t="s">
        <v>1151</v>
      </c>
      <c r="AW379" t="s">
        <v>1152</v>
      </c>
      <c r="AZ379">
        <v>75017</v>
      </c>
      <c r="BA379" t="s">
        <v>65</v>
      </c>
      <c r="BB379" t="s">
        <v>61</v>
      </c>
      <c r="BC379" t="s">
        <v>62</v>
      </c>
    </row>
    <row r="380" spans="1:55" x14ac:dyDescent="0.25">
      <c r="A380" s="1" t="str">
        <f>IF(COUNTIF(Catégories!A:A,X380)=0,"catégorie inconnue",_xlfn.XLOOKUP(X380,Catégories!A:A,Catégories!B:B))</f>
        <v>Frêt</v>
      </c>
      <c r="B380" s="1">
        <f t="shared" si="15"/>
        <v>7.0100000000000007</v>
      </c>
      <c r="C380" s="1">
        <f t="shared" si="16"/>
        <v>1.54</v>
      </c>
      <c r="D380" s="1">
        <f t="shared" si="17"/>
        <v>5.4700000000000006</v>
      </c>
      <c r="E380" s="20">
        <f>IF(AH380&lt;&gt;0,ROUNDUP(AH380,0),IF(BB380&lt;&gt;"FR","hors France",IF(AH380&lt;&gt;0,ROUNDUP(AH380,0),_xlfn.XLOOKUP(AJ380,'PA GLS'!B:B,'PA GLS'!A:A))))</f>
        <v>2</v>
      </c>
      <c r="F380">
        <v>2501382993</v>
      </c>
      <c r="G380">
        <v>1030220462</v>
      </c>
      <c r="H380" t="s">
        <v>366</v>
      </c>
      <c r="I380">
        <v>2500034092</v>
      </c>
      <c r="J380" t="s">
        <v>50</v>
      </c>
      <c r="K380">
        <v>9000009190</v>
      </c>
      <c r="L380">
        <v>46946</v>
      </c>
      <c r="M380" t="s">
        <v>51</v>
      </c>
      <c r="N380">
        <v>9000079830</v>
      </c>
      <c r="O380" t="s">
        <v>187</v>
      </c>
      <c r="S380">
        <v>2507012387</v>
      </c>
      <c r="T380" t="s">
        <v>50</v>
      </c>
      <c r="U380" t="s">
        <v>122</v>
      </c>
      <c r="V380" t="s">
        <v>77</v>
      </c>
      <c r="W380" t="s">
        <v>78</v>
      </c>
      <c r="X380" t="s">
        <v>60</v>
      </c>
      <c r="Z380">
        <v>79</v>
      </c>
      <c r="AA380" t="s">
        <v>1106</v>
      </c>
      <c r="AB380" t="s">
        <v>1144</v>
      </c>
      <c r="AC380">
        <v>2604000097</v>
      </c>
      <c r="AE380">
        <v>0</v>
      </c>
      <c r="AF380">
        <v>0</v>
      </c>
      <c r="AG380">
        <v>0</v>
      </c>
      <c r="AH380">
        <v>0</v>
      </c>
      <c r="AI380" t="s">
        <v>56</v>
      </c>
      <c r="AJ380">
        <v>4.42</v>
      </c>
      <c r="AK380">
        <v>0.9</v>
      </c>
      <c r="AL380">
        <v>0.15</v>
      </c>
      <c r="AM380">
        <v>29.1</v>
      </c>
      <c r="AN380">
        <v>1.54</v>
      </c>
      <c r="AO380">
        <v>0</v>
      </c>
      <c r="AP380">
        <v>0</v>
      </c>
      <c r="AQ380" t="s">
        <v>57</v>
      </c>
      <c r="AS380" t="s">
        <v>1145</v>
      </c>
      <c r="AT380" t="s">
        <v>1145</v>
      </c>
      <c r="AU380" t="s">
        <v>1144</v>
      </c>
      <c r="AV380" t="s">
        <v>1146</v>
      </c>
      <c r="AW380" t="s">
        <v>1147</v>
      </c>
      <c r="AZ380">
        <v>6580</v>
      </c>
      <c r="BA380" t="s">
        <v>1148</v>
      </c>
      <c r="BB380" t="s">
        <v>61</v>
      </c>
      <c r="BC380" t="s">
        <v>62</v>
      </c>
    </row>
    <row r="381" spans="1:55" x14ac:dyDescent="0.25">
      <c r="A381" s="1" t="str">
        <f>IF(COUNTIF(Catégories!A:A,X381)=0,"catégorie inconnue",_xlfn.XLOOKUP(X381,Catégories!A:A,Catégories!B:B))</f>
        <v>Frêt</v>
      </c>
      <c r="B381" s="1">
        <f t="shared" si="15"/>
        <v>9.6000000000000014</v>
      </c>
      <c r="C381" s="1">
        <f t="shared" si="16"/>
        <v>2.13</v>
      </c>
      <c r="D381" s="1">
        <f t="shared" si="17"/>
        <v>7.4700000000000015</v>
      </c>
      <c r="E381" s="20">
        <f>IF(AH381&lt;&gt;0,ROUNDUP(AH381,0),IF(BB381&lt;&gt;"FR","hors France",IF(AH381&lt;&gt;0,ROUNDUP(AH381,0),_xlfn.XLOOKUP(AJ381,'PA GLS'!B:B,'PA GLS'!A:A))))</f>
        <v>6</v>
      </c>
      <c r="F381">
        <v>2501382993</v>
      </c>
      <c r="G381">
        <v>1030220462</v>
      </c>
      <c r="H381" t="s">
        <v>366</v>
      </c>
      <c r="I381">
        <v>2500034092</v>
      </c>
      <c r="J381" t="s">
        <v>50</v>
      </c>
      <c r="K381">
        <v>9000009190</v>
      </c>
      <c r="L381">
        <v>46946</v>
      </c>
      <c r="M381" t="s">
        <v>51</v>
      </c>
      <c r="N381">
        <v>9000079830</v>
      </c>
      <c r="O381" t="s">
        <v>187</v>
      </c>
      <c r="S381">
        <v>2507012387</v>
      </c>
      <c r="T381" t="s">
        <v>50</v>
      </c>
      <c r="U381" t="s">
        <v>122</v>
      </c>
      <c r="V381" t="s">
        <v>275</v>
      </c>
      <c r="W381" t="s">
        <v>276</v>
      </c>
      <c r="X381" t="s">
        <v>60</v>
      </c>
      <c r="Z381">
        <v>80</v>
      </c>
      <c r="AA381" t="s">
        <v>1106</v>
      </c>
      <c r="AB381" t="s">
        <v>1153</v>
      </c>
      <c r="AC381">
        <v>2604000095</v>
      </c>
      <c r="AE381">
        <v>0</v>
      </c>
      <c r="AF381">
        <v>0</v>
      </c>
      <c r="AG381">
        <v>0</v>
      </c>
      <c r="AH381">
        <v>0</v>
      </c>
      <c r="AI381" t="s">
        <v>56</v>
      </c>
      <c r="AJ381">
        <v>6.42</v>
      </c>
      <c r="AK381">
        <v>0.9</v>
      </c>
      <c r="AL381">
        <v>0.15</v>
      </c>
      <c r="AM381">
        <v>29.1</v>
      </c>
      <c r="AN381">
        <v>2.13</v>
      </c>
      <c r="AO381">
        <v>0</v>
      </c>
      <c r="AP381">
        <v>0</v>
      </c>
      <c r="AQ381" t="s">
        <v>57</v>
      </c>
      <c r="AS381" t="s">
        <v>1154</v>
      </c>
      <c r="AT381" t="s">
        <v>1154</v>
      </c>
      <c r="AU381" t="s">
        <v>1153</v>
      </c>
      <c r="AV381" t="s">
        <v>1155</v>
      </c>
      <c r="AW381" t="s">
        <v>1156</v>
      </c>
      <c r="AZ381">
        <v>17590</v>
      </c>
      <c r="BA381" t="s">
        <v>1157</v>
      </c>
      <c r="BB381" t="s">
        <v>61</v>
      </c>
      <c r="BC381" t="s">
        <v>62</v>
      </c>
    </row>
    <row r="382" spans="1:55" x14ac:dyDescent="0.25">
      <c r="A382" s="1" t="str">
        <f>IF(COUNTIF(Catégories!A:A,X382)=0,"catégorie inconnue",_xlfn.XLOOKUP(X382,Catégories!A:A,Catégories!B:B))</f>
        <v>Frêt</v>
      </c>
      <c r="B382" s="1">
        <f t="shared" si="15"/>
        <v>0</v>
      </c>
      <c r="C382" s="1">
        <f t="shared" si="16"/>
        <v>0</v>
      </c>
      <c r="D382" s="1">
        <f t="shared" si="17"/>
        <v>0</v>
      </c>
      <c r="E382" s="20">
        <f>IF(AH382&lt;&gt;0,ROUNDUP(AH382,0),IF(BB382&lt;&gt;"FR","hors France",IF(AH382&lt;&gt;0,ROUNDUP(AH382,0),_xlfn.XLOOKUP(AJ382,'PA GLS'!B:B,'PA GLS'!A:A))))</f>
        <v>1</v>
      </c>
      <c r="F382">
        <v>2501382993</v>
      </c>
      <c r="G382">
        <v>1030220462</v>
      </c>
      <c r="H382" t="s">
        <v>366</v>
      </c>
      <c r="I382">
        <v>2500034092</v>
      </c>
      <c r="J382" t="s">
        <v>50</v>
      </c>
      <c r="K382">
        <v>9000009190</v>
      </c>
      <c r="L382">
        <v>46946</v>
      </c>
      <c r="M382" t="s">
        <v>51</v>
      </c>
      <c r="N382">
        <v>9000079830</v>
      </c>
      <c r="O382" t="s">
        <v>187</v>
      </c>
      <c r="S382">
        <v>2507012387</v>
      </c>
      <c r="T382" t="s">
        <v>50</v>
      </c>
      <c r="U382" t="s">
        <v>122</v>
      </c>
      <c r="V382" t="s">
        <v>176</v>
      </c>
      <c r="W382" t="s">
        <v>177</v>
      </c>
      <c r="X382" t="s">
        <v>152</v>
      </c>
      <c r="Z382">
        <v>77</v>
      </c>
      <c r="AA382" t="s">
        <v>1106</v>
      </c>
      <c r="AB382" t="s">
        <v>1149</v>
      </c>
      <c r="AC382">
        <v>2604000096</v>
      </c>
      <c r="AE382">
        <v>0</v>
      </c>
      <c r="AF382">
        <v>1</v>
      </c>
      <c r="AG382">
        <v>0</v>
      </c>
      <c r="AH382">
        <v>0.54</v>
      </c>
      <c r="AI382" t="s">
        <v>56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 t="s">
        <v>57</v>
      </c>
      <c r="AS382" t="s">
        <v>1150</v>
      </c>
      <c r="AT382" t="s">
        <v>1150</v>
      </c>
      <c r="AU382" t="s">
        <v>1149</v>
      </c>
      <c r="AV382" t="s">
        <v>1151</v>
      </c>
      <c r="AW382" t="s">
        <v>1152</v>
      </c>
      <c r="AZ382">
        <v>75017</v>
      </c>
      <c r="BA382" t="s">
        <v>65</v>
      </c>
      <c r="BB382" t="s">
        <v>61</v>
      </c>
      <c r="BC382" t="s">
        <v>62</v>
      </c>
    </row>
    <row r="383" spans="1:55" x14ac:dyDescent="0.25">
      <c r="A383" s="1" t="str">
        <f>IF(COUNTIF(Catégories!A:A,X383)=0,"catégorie inconnue",_xlfn.XLOOKUP(X383,Catégories!A:A,Catégories!B:B))</f>
        <v>Frêt</v>
      </c>
      <c r="B383" s="1">
        <f t="shared" si="15"/>
        <v>0</v>
      </c>
      <c r="C383" s="1">
        <f t="shared" si="16"/>
        <v>0</v>
      </c>
      <c r="D383" s="1">
        <f t="shared" si="17"/>
        <v>0</v>
      </c>
      <c r="E383" s="20">
        <f>IF(AH383&lt;&gt;0,ROUNDUP(AH383,0),IF(BB383&lt;&gt;"FR","hors France",IF(AH383&lt;&gt;0,ROUNDUP(AH383,0),_xlfn.XLOOKUP(AJ383,'PA GLS'!B:B,'PA GLS'!A:A))))</f>
        <v>6</v>
      </c>
      <c r="F383">
        <v>2501382993</v>
      </c>
      <c r="G383">
        <v>1030220462</v>
      </c>
      <c r="H383" t="s">
        <v>366</v>
      </c>
      <c r="I383">
        <v>2500034092</v>
      </c>
      <c r="J383" t="s">
        <v>50</v>
      </c>
      <c r="K383">
        <v>9000009190</v>
      </c>
      <c r="L383">
        <v>46946</v>
      </c>
      <c r="M383" t="s">
        <v>51</v>
      </c>
      <c r="N383">
        <v>9000079830</v>
      </c>
      <c r="O383" t="s">
        <v>187</v>
      </c>
      <c r="S383">
        <v>2507012387</v>
      </c>
      <c r="T383" t="s">
        <v>50</v>
      </c>
      <c r="U383" t="s">
        <v>122</v>
      </c>
      <c r="V383" t="s">
        <v>176</v>
      </c>
      <c r="W383" t="s">
        <v>177</v>
      </c>
      <c r="X383" t="s">
        <v>152</v>
      </c>
      <c r="Z383">
        <v>77</v>
      </c>
      <c r="AA383" t="s">
        <v>1106</v>
      </c>
      <c r="AB383" t="s">
        <v>1153</v>
      </c>
      <c r="AC383">
        <v>2604000095</v>
      </c>
      <c r="AE383">
        <v>0</v>
      </c>
      <c r="AF383">
        <v>1</v>
      </c>
      <c r="AG383">
        <v>0</v>
      </c>
      <c r="AH383">
        <v>5.16</v>
      </c>
      <c r="AI383" t="s">
        <v>56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 t="s">
        <v>57</v>
      </c>
      <c r="AS383" t="s">
        <v>1154</v>
      </c>
      <c r="AT383" t="s">
        <v>1154</v>
      </c>
      <c r="AU383" t="s">
        <v>1153</v>
      </c>
      <c r="AV383" t="s">
        <v>1155</v>
      </c>
      <c r="AW383" t="s">
        <v>1156</v>
      </c>
      <c r="AZ383">
        <v>17590</v>
      </c>
      <c r="BA383" t="s">
        <v>1157</v>
      </c>
      <c r="BB383" t="s">
        <v>61</v>
      </c>
      <c r="BC383" t="s">
        <v>62</v>
      </c>
    </row>
    <row r="384" spans="1:55" x14ac:dyDescent="0.25">
      <c r="A384" s="1" t="str">
        <f>IF(COUNTIF(Catégories!A:A,X384)=0,"catégorie inconnue",_xlfn.XLOOKUP(X384,Catégories!A:A,Catégories!B:B))</f>
        <v>Frêt</v>
      </c>
      <c r="B384" s="1">
        <f t="shared" si="15"/>
        <v>6.17</v>
      </c>
      <c r="C384" s="1">
        <f t="shared" si="16"/>
        <v>1.35</v>
      </c>
      <c r="D384" s="1">
        <f t="shared" si="17"/>
        <v>4.82</v>
      </c>
      <c r="E384" s="20">
        <f>IF(AH384&lt;&gt;0,ROUNDUP(AH384,0),IF(BB384&lt;&gt;"FR","hors France",IF(AH384&lt;&gt;0,ROUNDUP(AH384,0),_xlfn.XLOOKUP(AJ384,'PA GLS'!B:B,'PA GLS'!A:A))))</f>
        <v>0.5</v>
      </c>
      <c r="F384">
        <v>2501382993</v>
      </c>
      <c r="G384">
        <v>1030220461</v>
      </c>
      <c r="H384" t="s">
        <v>366</v>
      </c>
      <c r="I384">
        <v>2500034092</v>
      </c>
      <c r="J384" t="s">
        <v>50</v>
      </c>
      <c r="K384">
        <v>9000009190</v>
      </c>
      <c r="L384">
        <v>46946</v>
      </c>
      <c r="M384" t="s">
        <v>51</v>
      </c>
      <c r="N384">
        <v>9000037814</v>
      </c>
      <c r="O384" t="s">
        <v>51</v>
      </c>
      <c r="S384">
        <v>2507012387</v>
      </c>
      <c r="T384" t="s">
        <v>50</v>
      </c>
      <c r="U384" t="s">
        <v>122</v>
      </c>
      <c r="V384" t="s">
        <v>71</v>
      </c>
      <c r="W384" t="s">
        <v>72</v>
      </c>
      <c r="X384" t="s">
        <v>60</v>
      </c>
      <c r="Z384">
        <v>76</v>
      </c>
      <c r="AA384" t="s">
        <v>1158</v>
      </c>
      <c r="AB384" t="s">
        <v>1159</v>
      </c>
      <c r="AC384">
        <v>2604000106</v>
      </c>
      <c r="AE384">
        <v>0</v>
      </c>
      <c r="AF384">
        <v>0</v>
      </c>
      <c r="AG384">
        <v>0</v>
      </c>
      <c r="AH384">
        <v>0</v>
      </c>
      <c r="AI384" t="s">
        <v>56</v>
      </c>
      <c r="AJ384">
        <v>3.77</v>
      </c>
      <c r="AK384">
        <v>0.9</v>
      </c>
      <c r="AL384">
        <v>0.15</v>
      </c>
      <c r="AM384">
        <v>29.1</v>
      </c>
      <c r="AN384">
        <v>1.35</v>
      </c>
      <c r="AO384">
        <v>0</v>
      </c>
      <c r="AP384">
        <v>0</v>
      </c>
      <c r="AQ384" t="s">
        <v>57</v>
      </c>
      <c r="AS384" t="s">
        <v>1160</v>
      </c>
      <c r="AT384" t="s">
        <v>1160</v>
      </c>
      <c r="AU384" t="s">
        <v>1159</v>
      </c>
      <c r="AV384" t="s">
        <v>1161</v>
      </c>
      <c r="AW384" t="s">
        <v>1162</v>
      </c>
      <c r="AZ384">
        <v>75002</v>
      </c>
      <c r="BA384" t="s">
        <v>65</v>
      </c>
      <c r="BB384" t="s">
        <v>61</v>
      </c>
      <c r="BC384" t="s">
        <v>62</v>
      </c>
    </row>
    <row r="385" spans="1:55" x14ac:dyDescent="0.25">
      <c r="A385" s="1" t="str">
        <f>IF(COUNTIF(Catégories!A:A,X385)=0,"catégorie inconnue",_xlfn.XLOOKUP(X385,Catégories!A:A,Catégories!B:B))</f>
        <v>Frêt</v>
      </c>
      <c r="B385" s="1">
        <f t="shared" si="15"/>
        <v>6.17</v>
      </c>
      <c r="C385" s="1">
        <f t="shared" si="16"/>
        <v>1.35</v>
      </c>
      <c r="D385" s="1">
        <f t="shared" si="17"/>
        <v>4.82</v>
      </c>
      <c r="E385" s="20">
        <f>IF(AH385&lt;&gt;0,ROUNDUP(AH385,0),IF(BB385&lt;&gt;"FR","hors France",IF(AH385&lt;&gt;0,ROUNDUP(AH385,0),_xlfn.XLOOKUP(AJ385,'PA GLS'!B:B,'PA GLS'!A:A))))</f>
        <v>0.5</v>
      </c>
      <c r="F385">
        <v>2501382993</v>
      </c>
      <c r="G385">
        <v>1030220461</v>
      </c>
      <c r="H385" t="s">
        <v>366</v>
      </c>
      <c r="I385">
        <v>2500034092</v>
      </c>
      <c r="J385" t="s">
        <v>50</v>
      </c>
      <c r="K385">
        <v>9000009190</v>
      </c>
      <c r="L385">
        <v>46946</v>
      </c>
      <c r="M385" t="s">
        <v>51</v>
      </c>
      <c r="N385">
        <v>9000037814</v>
      </c>
      <c r="O385" t="s">
        <v>51</v>
      </c>
      <c r="S385">
        <v>2507012387</v>
      </c>
      <c r="T385" t="s">
        <v>50</v>
      </c>
      <c r="U385" t="s">
        <v>122</v>
      </c>
      <c r="V385" t="s">
        <v>71</v>
      </c>
      <c r="W385" t="s">
        <v>72</v>
      </c>
      <c r="X385" t="s">
        <v>60</v>
      </c>
      <c r="Z385">
        <v>76</v>
      </c>
      <c r="AA385" t="s">
        <v>1158</v>
      </c>
      <c r="AB385" t="s">
        <v>1163</v>
      </c>
      <c r="AC385">
        <v>2604000105</v>
      </c>
      <c r="AE385">
        <v>0</v>
      </c>
      <c r="AF385">
        <v>0</v>
      </c>
      <c r="AG385">
        <v>0</v>
      </c>
      <c r="AH385">
        <v>0</v>
      </c>
      <c r="AI385" t="s">
        <v>56</v>
      </c>
      <c r="AJ385">
        <v>3.77</v>
      </c>
      <c r="AK385">
        <v>0.9</v>
      </c>
      <c r="AL385">
        <v>0.15</v>
      </c>
      <c r="AM385">
        <v>29.1</v>
      </c>
      <c r="AN385">
        <v>1.35</v>
      </c>
      <c r="AO385">
        <v>0</v>
      </c>
      <c r="AP385">
        <v>0</v>
      </c>
      <c r="AQ385" t="s">
        <v>57</v>
      </c>
      <c r="AS385" t="s">
        <v>1164</v>
      </c>
      <c r="AT385" t="s">
        <v>1164</v>
      </c>
      <c r="AU385" t="s">
        <v>1163</v>
      </c>
      <c r="AV385" t="s">
        <v>1165</v>
      </c>
      <c r="AW385" t="s">
        <v>1166</v>
      </c>
      <c r="AZ385">
        <v>54770</v>
      </c>
      <c r="BA385" t="s">
        <v>1167</v>
      </c>
      <c r="BB385" t="s">
        <v>61</v>
      </c>
      <c r="BC385" t="s">
        <v>62</v>
      </c>
    </row>
    <row r="386" spans="1:55" x14ac:dyDescent="0.25">
      <c r="A386" s="1" t="str">
        <f>IF(COUNTIF(Catégories!A:A,X386)=0,"catégorie inconnue",_xlfn.XLOOKUP(X386,Catégories!A:A,Catégories!B:B))</f>
        <v>Frêt</v>
      </c>
      <c r="B386" s="1">
        <f t="shared" si="15"/>
        <v>0</v>
      </c>
      <c r="C386" s="1">
        <f t="shared" si="16"/>
        <v>0</v>
      </c>
      <c r="D386" s="1">
        <f t="shared" si="17"/>
        <v>0</v>
      </c>
      <c r="E386" s="20">
        <f>IF(AH386&lt;&gt;0,ROUNDUP(AH386,0),IF(BB386&lt;&gt;"FR","hors France",IF(AH386&lt;&gt;0,ROUNDUP(AH386,0),_xlfn.XLOOKUP(AJ386,'PA GLS'!B:B,'PA GLS'!A:A))))</f>
        <v>1</v>
      </c>
      <c r="F386">
        <v>2501382993</v>
      </c>
      <c r="G386">
        <v>1030220461</v>
      </c>
      <c r="H386" t="s">
        <v>366</v>
      </c>
      <c r="I386">
        <v>2500034092</v>
      </c>
      <c r="J386" t="s">
        <v>50</v>
      </c>
      <c r="K386">
        <v>9000009190</v>
      </c>
      <c r="L386">
        <v>46946</v>
      </c>
      <c r="M386" t="s">
        <v>51</v>
      </c>
      <c r="N386">
        <v>9000037814</v>
      </c>
      <c r="O386" t="s">
        <v>51</v>
      </c>
      <c r="S386">
        <v>2507012387</v>
      </c>
      <c r="T386" t="s">
        <v>50</v>
      </c>
      <c r="U386" t="s">
        <v>122</v>
      </c>
      <c r="V386" t="s">
        <v>176</v>
      </c>
      <c r="W386" t="s">
        <v>177</v>
      </c>
      <c r="X386" t="s">
        <v>152</v>
      </c>
      <c r="Z386">
        <v>75</v>
      </c>
      <c r="AA386" t="s">
        <v>1158</v>
      </c>
      <c r="AB386" t="s">
        <v>1159</v>
      </c>
      <c r="AC386">
        <v>2604000106</v>
      </c>
      <c r="AE386">
        <v>0</v>
      </c>
      <c r="AF386">
        <v>1</v>
      </c>
      <c r="AG386">
        <v>0</v>
      </c>
      <c r="AH386">
        <v>0.32</v>
      </c>
      <c r="AI386" t="s">
        <v>56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 t="s">
        <v>57</v>
      </c>
      <c r="AS386" t="s">
        <v>1160</v>
      </c>
      <c r="AT386" t="s">
        <v>1160</v>
      </c>
      <c r="AU386" t="s">
        <v>1159</v>
      </c>
      <c r="AV386" t="s">
        <v>1161</v>
      </c>
      <c r="AW386" t="s">
        <v>1162</v>
      </c>
      <c r="AZ386">
        <v>75002</v>
      </c>
      <c r="BA386" t="s">
        <v>65</v>
      </c>
      <c r="BB386" t="s">
        <v>61</v>
      </c>
      <c r="BC386" t="s">
        <v>62</v>
      </c>
    </row>
    <row r="387" spans="1:55" x14ac:dyDescent="0.25">
      <c r="A387" s="1" t="str">
        <f>IF(COUNTIF(Catégories!A:A,X387)=0,"catégorie inconnue",_xlfn.XLOOKUP(X387,Catégories!A:A,Catégories!B:B))</f>
        <v>Frêt</v>
      </c>
      <c r="B387" s="1">
        <f t="shared" ref="B387:B450" si="18">SUM(AJ387:AL387)+SUM(AN387:AP387)</f>
        <v>0</v>
      </c>
      <c r="C387" s="1">
        <f t="shared" ref="C387:C450" si="19">AN387</f>
        <v>0</v>
      </c>
      <c r="D387" s="1">
        <f t="shared" ref="D387:D450" si="20">B387-C387</f>
        <v>0</v>
      </c>
      <c r="E387" s="20">
        <f>IF(AH387&lt;&gt;0,ROUNDUP(AH387,0),IF(BB387&lt;&gt;"FR","hors France",IF(AH387&lt;&gt;0,ROUNDUP(AH387,0),_xlfn.XLOOKUP(AJ387,'PA GLS'!B:B,'PA GLS'!A:A))))</f>
        <v>1</v>
      </c>
      <c r="F387">
        <v>2501382993</v>
      </c>
      <c r="G387">
        <v>1030220461</v>
      </c>
      <c r="H387" t="s">
        <v>366</v>
      </c>
      <c r="I387">
        <v>2500034092</v>
      </c>
      <c r="J387" t="s">
        <v>50</v>
      </c>
      <c r="K387">
        <v>9000009190</v>
      </c>
      <c r="L387">
        <v>46946</v>
      </c>
      <c r="M387" t="s">
        <v>51</v>
      </c>
      <c r="N387">
        <v>9000037814</v>
      </c>
      <c r="O387" t="s">
        <v>51</v>
      </c>
      <c r="S387">
        <v>2507012387</v>
      </c>
      <c r="T387" t="s">
        <v>50</v>
      </c>
      <c r="U387" t="s">
        <v>122</v>
      </c>
      <c r="V387" t="s">
        <v>176</v>
      </c>
      <c r="W387" t="s">
        <v>177</v>
      </c>
      <c r="X387" t="s">
        <v>152</v>
      </c>
      <c r="Z387">
        <v>75</v>
      </c>
      <c r="AA387" t="s">
        <v>1158</v>
      </c>
      <c r="AB387" t="s">
        <v>1163</v>
      </c>
      <c r="AC387">
        <v>2604000105</v>
      </c>
      <c r="AE387">
        <v>0</v>
      </c>
      <c r="AF387">
        <v>1</v>
      </c>
      <c r="AG387">
        <v>0</v>
      </c>
      <c r="AH387">
        <v>0.38</v>
      </c>
      <c r="AI387" t="s">
        <v>56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 t="s">
        <v>57</v>
      </c>
      <c r="AS387" t="s">
        <v>1164</v>
      </c>
      <c r="AT387" t="s">
        <v>1164</v>
      </c>
      <c r="AU387" t="s">
        <v>1163</v>
      </c>
      <c r="AV387" t="s">
        <v>1165</v>
      </c>
      <c r="AW387" t="s">
        <v>1166</v>
      </c>
      <c r="AZ387">
        <v>54770</v>
      </c>
      <c r="BA387" t="s">
        <v>1167</v>
      </c>
      <c r="BB387" t="s">
        <v>61</v>
      </c>
      <c r="BC387" t="s">
        <v>62</v>
      </c>
    </row>
    <row r="388" spans="1:55" x14ac:dyDescent="0.25">
      <c r="A388" s="1" t="str">
        <f>IF(COUNTIF(Catégories!A:A,X388)=0,"catégorie inconnue",_xlfn.XLOOKUP(X388,Catégories!A:A,Catégories!B:B))</f>
        <v>Frêt</v>
      </c>
      <c r="B388" s="1">
        <f t="shared" si="18"/>
        <v>11.13</v>
      </c>
      <c r="C388" s="1">
        <f t="shared" si="19"/>
        <v>2.4700000000000002</v>
      </c>
      <c r="D388" s="1">
        <f t="shared" si="20"/>
        <v>8.66</v>
      </c>
      <c r="E388" s="20">
        <f>IF(AH388&lt;&gt;0,ROUNDUP(AH388,0),IF(BB388&lt;&gt;"FR","hors France",IF(AH388&lt;&gt;0,ROUNDUP(AH388,0),_xlfn.XLOOKUP(AJ388,'PA GLS'!B:B,'PA GLS'!A:A))))</f>
        <v>8</v>
      </c>
      <c r="F388">
        <v>2501382993</v>
      </c>
      <c r="G388">
        <v>1030232957</v>
      </c>
      <c r="H388" t="s">
        <v>366</v>
      </c>
      <c r="I388">
        <v>2500034092</v>
      </c>
      <c r="J388" t="s">
        <v>50</v>
      </c>
      <c r="K388">
        <v>9000009190</v>
      </c>
      <c r="L388">
        <v>46946</v>
      </c>
      <c r="M388" t="s">
        <v>51</v>
      </c>
      <c r="N388">
        <v>9000037814</v>
      </c>
      <c r="O388" t="s">
        <v>51</v>
      </c>
      <c r="S388">
        <v>2507012387</v>
      </c>
      <c r="T388" t="s">
        <v>50</v>
      </c>
      <c r="U388" t="s">
        <v>122</v>
      </c>
      <c r="V388" t="s">
        <v>311</v>
      </c>
      <c r="W388" t="s">
        <v>312</v>
      </c>
      <c r="X388" t="s">
        <v>60</v>
      </c>
      <c r="Z388">
        <v>161</v>
      </c>
      <c r="AA388" t="s">
        <v>1168</v>
      </c>
      <c r="AB388" t="s">
        <v>1169</v>
      </c>
      <c r="AC388">
        <v>2604000111</v>
      </c>
      <c r="AE388">
        <v>0</v>
      </c>
      <c r="AF388">
        <v>0</v>
      </c>
      <c r="AG388">
        <v>0</v>
      </c>
      <c r="AH388">
        <v>0</v>
      </c>
      <c r="AI388" t="s">
        <v>56</v>
      </c>
      <c r="AJ388">
        <v>7.61</v>
      </c>
      <c r="AK388">
        <v>0.9</v>
      </c>
      <c r="AL388">
        <v>0.15</v>
      </c>
      <c r="AM388">
        <v>29.1</v>
      </c>
      <c r="AN388">
        <v>2.4700000000000002</v>
      </c>
      <c r="AO388">
        <v>0</v>
      </c>
      <c r="AP388">
        <v>0</v>
      </c>
      <c r="AQ388" t="s">
        <v>57</v>
      </c>
      <c r="AS388" t="s">
        <v>1170</v>
      </c>
      <c r="AT388" t="s">
        <v>1170</v>
      </c>
      <c r="AU388" t="s">
        <v>1169</v>
      </c>
      <c r="AV388" t="s">
        <v>1171</v>
      </c>
      <c r="AW388" t="s">
        <v>1172</v>
      </c>
      <c r="AZ388">
        <v>65200</v>
      </c>
      <c r="BA388" t="s">
        <v>1173</v>
      </c>
      <c r="BB388" t="s">
        <v>61</v>
      </c>
      <c r="BC388" t="s">
        <v>62</v>
      </c>
    </row>
    <row r="389" spans="1:55" x14ac:dyDescent="0.25">
      <c r="A389" s="1" t="str">
        <f>IF(COUNTIF(Catégories!A:A,X389)=0,"catégorie inconnue",_xlfn.XLOOKUP(X389,Catégories!A:A,Catégories!B:B))</f>
        <v>Frêt</v>
      </c>
      <c r="B389" s="1">
        <f t="shared" si="18"/>
        <v>7.0100000000000007</v>
      </c>
      <c r="C389" s="1">
        <f t="shared" si="19"/>
        <v>1.54</v>
      </c>
      <c r="D389" s="1">
        <f t="shared" si="20"/>
        <v>5.4700000000000006</v>
      </c>
      <c r="E389" s="20">
        <f>IF(AH389&lt;&gt;0,ROUNDUP(AH389,0),IF(BB389&lt;&gt;"FR","hors France",IF(AH389&lt;&gt;0,ROUNDUP(AH389,0),_xlfn.XLOOKUP(AJ389,'PA GLS'!B:B,'PA GLS'!A:A))))</f>
        <v>2</v>
      </c>
      <c r="F389">
        <v>2501382993</v>
      </c>
      <c r="G389">
        <v>1030232957</v>
      </c>
      <c r="H389" t="s">
        <v>366</v>
      </c>
      <c r="I389">
        <v>2500034092</v>
      </c>
      <c r="J389" t="s">
        <v>50</v>
      </c>
      <c r="K389">
        <v>9000009190</v>
      </c>
      <c r="L389">
        <v>46946</v>
      </c>
      <c r="M389" t="s">
        <v>51</v>
      </c>
      <c r="N389">
        <v>9000037814</v>
      </c>
      <c r="O389" t="s">
        <v>51</v>
      </c>
      <c r="S389">
        <v>2507012387</v>
      </c>
      <c r="T389" t="s">
        <v>50</v>
      </c>
      <c r="U389" t="s">
        <v>122</v>
      </c>
      <c r="V389" t="s">
        <v>77</v>
      </c>
      <c r="W389" t="s">
        <v>78</v>
      </c>
      <c r="X389" t="s">
        <v>60</v>
      </c>
      <c r="Z389">
        <v>160</v>
      </c>
      <c r="AA389" t="s">
        <v>1168</v>
      </c>
      <c r="AB389" t="s">
        <v>1174</v>
      </c>
      <c r="AC389">
        <v>2604000107</v>
      </c>
      <c r="AE389">
        <v>0</v>
      </c>
      <c r="AF389">
        <v>0</v>
      </c>
      <c r="AG389">
        <v>0</v>
      </c>
      <c r="AH389">
        <v>0</v>
      </c>
      <c r="AI389" t="s">
        <v>56</v>
      </c>
      <c r="AJ389">
        <v>4.42</v>
      </c>
      <c r="AK389">
        <v>0.9</v>
      </c>
      <c r="AL389">
        <v>0.15</v>
      </c>
      <c r="AM389">
        <v>29.1</v>
      </c>
      <c r="AN389">
        <v>1.54</v>
      </c>
      <c r="AO389">
        <v>0</v>
      </c>
      <c r="AP389">
        <v>0</v>
      </c>
      <c r="AQ389" t="s">
        <v>57</v>
      </c>
      <c r="AS389" t="s">
        <v>1175</v>
      </c>
      <c r="AT389" t="s">
        <v>1175</v>
      </c>
      <c r="AU389" t="s">
        <v>1174</v>
      </c>
      <c r="AV389" t="s">
        <v>331</v>
      </c>
      <c r="AW389" t="s">
        <v>332</v>
      </c>
      <c r="AZ389">
        <v>6250</v>
      </c>
      <c r="BA389" t="s">
        <v>333</v>
      </c>
      <c r="BB389" t="s">
        <v>61</v>
      </c>
      <c r="BC389" t="s">
        <v>62</v>
      </c>
    </row>
    <row r="390" spans="1:55" x14ac:dyDescent="0.25">
      <c r="A390" s="1" t="str">
        <f>IF(COUNTIF(Catégories!A:A,X390)=0,"catégorie inconnue",_xlfn.XLOOKUP(X390,Catégories!A:A,Catégories!B:B))</f>
        <v>Frêt</v>
      </c>
      <c r="B390" s="1">
        <f t="shared" si="18"/>
        <v>7.0100000000000007</v>
      </c>
      <c r="C390" s="1">
        <f t="shared" si="19"/>
        <v>1.54</v>
      </c>
      <c r="D390" s="1">
        <f t="shared" si="20"/>
        <v>5.4700000000000006</v>
      </c>
      <c r="E390" s="20">
        <f>IF(AH390&lt;&gt;0,ROUNDUP(AH390,0),IF(BB390&lt;&gt;"FR","hors France",IF(AH390&lt;&gt;0,ROUNDUP(AH390,0),_xlfn.XLOOKUP(AJ390,'PA GLS'!B:B,'PA GLS'!A:A))))</f>
        <v>2</v>
      </c>
      <c r="F390">
        <v>2501382993</v>
      </c>
      <c r="G390">
        <v>1030232957</v>
      </c>
      <c r="H390" t="s">
        <v>366</v>
      </c>
      <c r="I390">
        <v>2500034092</v>
      </c>
      <c r="J390" t="s">
        <v>50</v>
      </c>
      <c r="K390">
        <v>9000009190</v>
      </c>
      <c r="L390">
        <v>46946</v>
      </c>
      <c r="M390" t="s">
        <v>51</v>
      </c>
      <c r="N390">
        <v>9000037814</v>
      </c>
      <c r="O390" t="s">
        <v>51</v>
      </c>
      <c r="S390">
        <v>2507012387</v>
      </c>
      <c r="T390" t="s">
        <v>50</v>
      </c>
      <c r="U390" t="s">
        <v>122</v>
      </c>
      <c r="V390" t="s">
        <v>63</v>
      </c>
      <c r="W390" t="s">
        <v>64</v>
      </c>
      <c r="X390" t="s">
        <v>60</v>
      </c>
      <c r="Z390">
        <v>159</v>
      </c>
      <c r="AA390" t="s">
        <v>1168</v>
      </c>
      <c r="AB390" t="s">
        <v>1176</v>
      </c>
      <c r="AC390">
        <v>2604000108</v>
      </c>
      <c r="AE390">
        <v>0</v>
      </c>
      <c r="AF390">
        <v>0</v>
      </c>
      <c r="AG390">
        <v>0</v>
      </c>
      <c r="AH390">
        <v>0</v>
      </c>
      <c r="AI390" t="s">
        <v>56</v>
      </c>
      <c r="AJ390">
        <v>4.42</v>
      </c>
      <c r="AK390">
        <v>0.9</v>
      </c>
      <c r="AL390">
        <v>0.15</v>
      </c>
      <c r="AM390">
        <v>29.1</v>
      </c>
      <c r="AN390">
        <v>1.54</v>
      </c>
      <c r="AO390">
        <v>0</v>
      </c>
      <c r="AP390">
        <v>0</v>
      </c>
      <c r="AQ390" t="s">
        <v>57</v>
      </c>
      <c r="AS390" t="s">
        <v>1177</v>
      </c>
      <c r="AT390" t="s">
        <v>1177</v>
      </c>
      <c r="AU390" t="s">
        <v>1176</v>
      </c>
      <c r="AV390" t="s">
        <v>1178</v>
      </c>
      <c r="AW390" t="s">
        <v>1179</v>
      </c>
      <c r="AZ390">
        <v>56400</v>
      </c>
      <c r="BA390" t="s">
        <v>313</v>
      </c>
      <c r="BB390" t="s">
        <v>61</v>
      </c>
      <c r="BC390" t="s">
        <v>62</v>
      </c>
    </row>
    <row r="391" spans="1:55" x14ac:dyDescent="0.25">
      <c r="A391" s="1" t="str">
        <f>IF(COUNTIF(Catégories!A:A,X391)=0,"catégorie inconnue",_xlfn.XLOOKUP(X391,Catégories!A:A,Catégories!B:B))</f>
        <v>Frêt</v>
      </c>
      <c r="B391" s="1">
        <f t="shared" si="18"/>
        <v>8.15</v>
      </c>
      <c r="C391" s="1">
        <f t="shared" si="19"/>
        <v>1.8</v>
      </c>
      <c r="D391" s="1">
        <f t="shared" si="20"/>
        <v>6.3500000000000005</v>
      </c>
      <c r="E391" s="20">
        <f>IF(AH391&lt;&gt;0,ROUNDUP(AH391,0),IF(BB391&lt;&gt;"FR","hors France",IF(AH391&lt;&gt;0,ROUNDUP(AH391,0),_xlfn.XLOOKUP(AJ391,'PA GLS'!B:B,'PA GLS'!A:A))))</f>
        <v>4</v>
      </c>
      <c r="F391">
        <v>2501382993</v>
      </c>
      <c r="G391">
        <v>1030234701</v>
      </c>
      <c r="H391" t="s">
        <v>366</v>
      </c>
      <c r="I391">
        <v>2500034092</v>
      </c>
      <c r="J391" t="s">
        <v>50</v>
      </c>
      <c r="K391">
        <v>9000009190</v>
      </c>
      <c r="L391">
        <v>46946</v>
      </c>
      <c r="M391" t="s">
        <v>51</v>
      </c>
      <c r="N391">
        <v>9000079830</v>
      </c>
      <c r="O391" t="s">
        <v>187</v>
      </c>
      <c r="S391">
        <v>2507012387</v>
      </c>
      <c r="T391" t="s">
        <v>50</v>
      </c>
      <c r="U391" t="s">
        <v>122</v>
      </c>
      <c r="V391" t="s">
        <v>231</v>
      </c>
      <c r="W391" t="s">
        <v>232</v>
      </c>
      <c r="X391" t="s">
        <v>60</v>
      </c>
      <c r="Z391">
        <v>205</v>
      </c>
      <c r="AA391" t="s">
        <v>1168</v>
      </c>
      <c r="AB391" t="s">
        <v>1180</v>
      </c>
      <c r="AC391">
        <v>2604000098</v>
      </c>
      <c r="AE391">
        <v>0</v>
      </c>
      <c r="AF391">
        <v>0</v>
      </c>
      <c r="AG391">
        <v>0</v>
      </c>
      <c r="AH391">
        <v>0</v>
      </c>
      <c r="AI391" t="s">
        <v>56</v>
      </c>
      <c r="AJ391">
        <v>5.3</v>
      </c>
      <c r="AK391">
        <v>0.9</v>
      </c>
      <c r="AL391">
        <v>0.15</v>
      </c>
      <c r="AM391">
        <v>29.1</v>
      </c>
      <c r="AN391">
        <v>1.8</v>
      </c>
      <c r="AO391">
        <v>0</v>
      </c>
      <c r="AP391">
        <v>0</v>
      </c>
      <c r="AQ391" t="s">
        <v>57</v>
      </c>
      <c r="AS391" t="s">
        <v>1181</v>
      </c>
      <c r="AT391" t="s">
        <v>1181</v>
      </c>
      <c r="AU391" t="s">
        <v>1180</v>
      </c>
      <c r="AV391" t="s">
        <v>1182</v>
      </c>
      <c r="AW391" t="s">
        <v>1183</v>
      </c>
      <c r="AZ391">
        <v>78510</v>
      </c>
      <c r="BA391" t="s">
        <v>1184</v>
      </c>
      <c r="BB391" t="s">
        <v>61</v>
      </c>
      <c r="BC391" t="s">
        <v>62</v>
      </c>
    </row>
    <row r="392" spans="1:55" x14ac:dyDescent="0.25">
      <c r="A392" s="1" t="str">
        <f>IF(COUNTIF(Catégories!A:A,X392)=0,"catégorie inconnue",_xlfn.XLOOKUP(X392,Catégories!A:A,Catégories!B:B))</f>
        <v>Frêt</v>
      </c>
      <c r="B392" s="1">
        <f t="shared" si="18"/>
        <v>0</v>
      </c>
      <c r="C392" s="1">
        <f t="shared" si="19"/>
        <v>0</v>
      </c>
      <c r="D392" s="1">
        <f t="shared" si="20"/>
        <v>0</v>
      </c>
      <c r="E392" s="20">
        <f>IF(AH392&lt;&gt;0,ROUNDUP(AH392,0),IF(BB392&lt;&gt;"FR","hors France",IF(AH392&lt;&gt;0,ROUNDUP(AH392,0),_xlfn.XLOOKUP(AJ392,'PA GLS'!B:B,'PA GLS'!A:A))))</f>
        <v>4</v>
      </c>
      <c r="F392">
        <v>2501382993</v>
      </c>
      <c r="G392">
        <v>1030234701</v>
      </c>
      <c r="H392" t="s">
        <v>366</v>
      </c>
      <c r="I392">
        <v>2500034092</v>
      </c>
      <c r="J392" t="s">
        <v>50</v>
      </c>
      <c r="K392">
        <v>9000009190</v>
      </c>
      <c r="L392">
        <v>46946</v>
      </c>
      <c r="M392" t="s">
        <v>51</v>
      </c>
      <c r="N392">
        <v>9000079830</v>
      </c>
      <c r="O392" t="s">
        <v>187</v>
      </c>
      <c r="S392">
        <v>2507012387</v>
      </c>
      <c r="T392" t="s">
        <v>50</v>
      </c>
      <c r="U392" t="s">
        <v>122</v>
      </c>
      <c r="V392" t="s">
        <v>176</v>
      </c>
      <c r="W392" t="s">
        <v>177</v>
      </c>
      <c r="X392" t="s">
        <v>152</v>
      </c>
      <c r="Z392">
        <v>204</v>
      </c>
      <c r="AA392" t="s">
        <v>1168</v>
      </c>
      <c r="AB392" t="s">
        <v>1180</v>
      </c>
      <c r="AC392">
        <v>2604000098</v>
      </c>
      <c r="AE392">
        <v>0</v>
      </c>
      <c r="AF392">
        <v>1</v>
      </c>
      <c r="AG392">
        <v>0</v>
      </c>
      <c r="AH392">
        <v>3.45</v>
      </c>
      <c r="AI392" t="s">
        <v>56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 t="s">
        <v>57</v>
      </c>
      <c r="AS392" t="s">
        <v>1181</v>
      </c>
      <c r="AT392" t="s">
        <v>1181</v>
      </c>
      <c r="AU392" t="s">
        <v>1180</v>
      </c>
      <c r="AV392" t="s">
        <v>1182</v>
      </c>
      <c r="AW392" t="s">
        <v>1183</v>
      </c>
      <c r="AZ392">
        <v>78510</v>
      </c>
      <c r="BA392" t="s">
        <v>1184</v>
      </c>
      <c r="BB392" t="s">
        <v>61</v>
      </c>
      <c r="BC392" t="s">
        <v>62</v>
      </c>
    </row>
    <row r="393" spans="1:55" x14ac:dyDescent="0.25">
      <c r="A393" s="1" t="str">
        <f>IF(COUNTIF(Catégories!A:A,X393)=0,"catégorie inconnue",_xlfn.XLOOKUP(X393,Catégories!A:A,Catégories!B:B))</f>
        <v>Frêt</v>
      </c>
      <c r="B393" s="1">
        <f t="shared" si="18"/>
        <v>7.0100000000000007</v>
      </c>
      <c r="C393" s="1">
        <f t="shared" si="19"/>
        <v>1.54</v>
      </c>
      <c r="D393" s="1">
        <f t="shared" si="20"/>
        <v>5.4700000000000006</v>
      </c>
      <c r="E393" s="20">
        <f>IF(AH393&lt;&gt;0,ROUNDUP(AH393,0),IF(BB393&lt;&gt;"FR","hors France",IF(AH393&lt;&gt;0,ROUNDUP(AH393,0),_xlfn.XLOOKUP(AJ393,'PA GLS'!B:B,'PA GLS'!A:A))))</f>
        <v>2</v>
      </c>
      <c r="F393">
        <v>2501382993</v>
      </c>
      <c r="G393">
        <v>1030229835</v>
      </c>
      <c r="H393" t="s">
        <v>366</v>
      </c>
      <c r="I393">
        <v>2500034092</v>
      </c>
      <c r="J393" t="s">
        <v>50</v>
      </c>
      <c r="K393">
        <v>9000009190</v>
      </c>
      <c r="L393">
        <v>46946</v>
      </c>
      <c r="M393" t="s">
        <v>51</v>
      </c>
      <c r="N393">
        <v>9000082822</v>
      </c>
      <c r="O393" t="s">
        <v>175</v>
      </c>
      <c r="S393">
        <v>2507012387</v>
      </c>
      <c r="T393" t="s">
        <v>50</v>
      </c>
      <c r="U393" t="s">
        <v>122</v>
      </c>
      <c r="V393" t="s">
        <v>77</v>
      </c>
      <c r="W393" t="s">
        <v>78</v>
      </c>
      <c r="X393" t="s">
        <v>60</v>
      </c>
      <c r="Z393">
        <v>106</v>
      </c>
      <c r="AA393" t="s">
        <v>1168</v>
      </c>
      <c r="AB393" t="s">
        <v>1185</v>
      </c>
      <c r="AC393">
        <v>6923122</v>
      </c>
      <c r="AE393">
        <v>0</v>
      </c>
      <c r="AF393">
        <v>0</v>
      </c>
      <c r="AG393">
        <v>0</v>
      </c>
      <c r="AH393">
        <v>0</v>
      </c>
      <c r="AI393" t="s">
        <v>56</v>
      </c>
      <c r="AJ393">
        <v>4.42</v>
      </c>
      <c r="AK393">
        <v>0.9</v>
      </c>
      <c r="AL393">
        <v>0.15</v>
      </c>
      <c r="AM393">
        <v>29.1</v>
      </c>
      <c r="AN393">
        <v>1.54</v>
      </c>
      <c r="AO393">
        <v>0</v>
      </c>
      <c r="AP393">
        <v>0</v>
      </c>
      <c r="AQ393" t="s">
        <v>57</v>
      </c>
      <c r="AS393" t="s">
        <v>1186</v>
      </c>
      <c r="AU393" t="s">
        <v>1185</v>
      </c>
      <c r="AV393" t="s">
        <v>1187</v>
      </c>
      <c r="AW393" t="s">
        <v>1188</v>
      </c>
      <c r="AZ393">
        <v>13400</v>
      </c>
      <c r="BA393" t="s">
        <v>1189</v>
      </c>
      <c r="BB393" t="s">
        <v>61</v>
      </c>
      <c r="BC393" t="s">
        <v>62</v>
      </c>
    </row>
    <row r="394" spans="1:55" x14ac:dyDescent="0.25">
      <c r="A394" s="1" t="str">
        <f>IF(COUNTIF(Catégories!A:A,X394)=0,"catégorie inconnue",_xlfn.XLOOKUP(X394,Catégories!A:A,Catégories!B:B))</f>
        <v>Frêt</v>
      </c>
      <c r="B394" s="1">
        <f t="shared" si="18"/>
        <v>0</v>
      </c>
      <c r="C394" s="1">
        <f t="shared" si="19"/>
        <v>0</v>
      </c>
      <c r="D394" s="1">
        <f t="shared" si="20"/>
        <v>0</v>
      </c>
      <c r="E394" s="20">
        <f>IF(AH394&lt;&gt;0,ROUNDUP(AH394,0),IF(BB394&lt;&gt;"FR","hors France",IF(AH394&lt;&gt;0,ROUNDUP(AH394,0),_xlfn.XLOOKUP(AJ394,'PA GLS'!B:B,'PA GLS'!A:A))))</f>
        <v>2</v>
      </c>
      <c r="F394">
        <v>2501382993</v>
      </c>
      <c r="G394">
        <v>1030229835</v>
      </c>
      <c r="H394" t="s">
        <v>366</v>
      </c>
      <c r="I394">
        <v>2500034092</v>
      </c>
      <c r="J394" t="s">
        <v>50</v>
      </c>
      <c r="K394">
        <v>9000009190</v>
      </c>
      <c r="L394">
        <v>46946</v>
      </c>
      <c r="M394" t="s">
        <v>51</v>
      </c>
      <c r="N394">
        <v>9000082822</v>
      </c>
      <c r="O394" t="s">
        <v>175</v>
      </c>
      <c r="S394">
        <v>2507012387</v>
      </c>
      <c r="T394" t="s">
        <v>50</v>
      </c>
      <c r="U394" t="s">
        <v>122</v>
      </c>
      <c r="V394" t="s">
        <v>176</v>
      </c>
      <c r="W394" t="s">
        <v>177</v>
      </c>
      <c r="X394" t="s">
        <v>152</v>
      </c>
      <c r="Z394">
        <v>105</v>
      </c>
      <c r="AA394" t="s">
        <v>1168</v>
      </c>
      <c r="AB394" t="s">
        <v>1185</v>
      </c>
      <c r="AC394">
        <v>6923122</v>
      </c>
      <c r="AE394">
        <v>0</v>
      </c>
      <c r="AF394">
        <v>1</v>
      </c>
      <c r="AG394">
        <v>0</v>
      </c>
      <c r="AH394">
        <v>1.71</v>
      </c>
      <c r="AI394" t="s">
        <v>56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 t="s">
        <v>57</v>
      </c>
      <c r="AS394" t="s">
        <v>1186</v>
      </c>
      <c r="AU394" t="s">
        <v>1185</v>
      </c>
      <c r="AV394" t="s">
        <v>1187</v>
      </c>
      <c r="AW394" t="s">
        <v>1188</v>
      </c>
      <c r="AZ394">
        <v>13400</v>
      </c>
      <c r="BA394" t="s">
        <v>1189</v>
      </c>
      <c r="BB394" t="s">
        <v>61</v>
      </c>
      <c r="BC394" t="s">
        <v>62</v>
      </c>
    </row>
    <row r="395" spans="1:55" x14ac:dyDescent="0.25">
      <c r="A395" s="1" t="str">
        <f>IF(COUNTIF(Catégories!A:A,X395)=0,"catégorie inconnue",_xlfn.XLOOKUP(X395,Catégories!A:A,Catégories!B:B))</f>
        <v>Frêt</v>
      </c>
      <c r="B395" s="1">
        <f t="shared" si="18"/>
        <v>6.17</v>
      </c>
      <c r="C395" s="1">
        <f t="shared" si="19"/>
        <v>1.35</v>
      </c>
      <c r="D395" s="1">
        <f t="shared" si="20"/>
        <v>4.82</v>
      </c>
      <c r="E395" s="20">
        <f>IF(AH395&lt;&gt;0,ROUNDUP(AH395,0),IF(BB395&lt;&gt;"FR","hors France",IF(AH395&lt;&gt;0,ROUNDUP(AH395,0),_xlfn.XLOOKUP(AJ395,'PA GLS'!B:B,'PA GLS'!A:A))))</f>
        <v>0.5</v>
      </c>
      <c r="F395">
        <v>2501382993</v>
      </c>
      <c r="G395">
        <v>1030232957</v>
      </c>
      <c r="H395" t="s">
        <v>366</v>
      </c>
      <c r="I395">
        <v>2500034092</v>
      </c>
      <c r="J395" t="s">
        <v>50</v>
      </c>
      <c r="K395">
        <v>9000009190</v>
      </c>
      <c r="L395">
        <v>46946</v>
      </c>
      <c r="M395" t="s">
        <v>51</v>
      </c>
      <c r="N395">
        <v>9000037814</v>
      </c>
      <c r="O395" t="s">
        <v>51</v>
      </c>
      <c r="S395">
        <v>2507012387</v>
      </c>
      <c r="T395" t="s">
        <v>50</v>
      </c>
      <c r="U395" t="s">
        <v>122</v>
      </c>
      <c r="V395" t="s">
        <v>71</v>
      </c>
      <c r="W395" t="s">
        <v>72</v>
      </c>
      <c r="X395" t="s">
        <v>60</v>
      </c>
      <c r="Z395">
        <v>158</v>
      </c>
      <c r="AA395" t="s">
        <v>1168</v>
      </c>
      <c r="AB395" t="s">
        <v>1190</v>
      </c>
      <c r="AC395">
        <v>2604000110</v>
      </c>
      <c r="AE395">
        <v>0</v>
      </c>
      <c r="AF395">
        <v>0</v>
      </c>
      <c r="AG395">
        <v>0</v>
      </c>
      <c r="AH395">
        <v>0</v>
      </c>
      <c r="AI395" t="s">
        <v>56</v>
      </c>
      <c r="AJ395">
        <v>3.77</v>
      </c>
      <c r="AK395">
        <v>0.9</v>
      </c>
      <c r="AL395">
        <v>0.15</v>
      </c>
      <c r="AM395">
        <v>29.1</v>
      </c>
      <c r="AN395">
        <v>1.35</v>
      </c>
      <c r="AO395">
        <v>0</v>
      </c>
      <c r="AP395">
        <v>0</v>
      </c>
      <c r="AQ395" t="s">
        <v>57</v>
      </c>
      <c r="AS395" t="s">
        <v>1191</v>
      </c>
      <c r="AT395" t="s">
        <v>1191</v>
      </c>
      <c r="AU395" t="s">
        <v>1190</v>
      </c>
      <c r="AV395" t="s">
        <v>1192</v>
      </c>
      <c r="AW395" t="s">
        <v>1193</v>
      </c>
      <c r="AZ395">
        <v>1170</v>
      </c>
      <c r="BA395" t="s">
        <v>1194</v>
      </c>
      <c r="BB395" t="s">
        <v>61</v>
      </c>
      <c r="BC395" t="s">
        <v>62</v>
      </c>
    </row>
    <row r="396" spans="1:55" x14ac:dyDescent="0.25">
      <c r="A396" s="1" t="str">
        <f>IF(COUNTIF(Catégories!A:A,X396)=0,"catégorie inconnue",_xlfn.XLOOKUP(X396,Catégories!A:A,Catégories!B:B))</f>
        <v>Frêt</v>
      </c>
      <c r="B396" s="1">
        <f t="shared" si="18"/>
        <v>6.17</v>
      </c>
      <c r="C396" s="1">
        <f t="shared" si="19"/>
        <v>1.35</v>
      </c>
      <c r="D396" s="1">
        <f t="shared" si="20"/>
        <v>4.82</v>
      </c>
      <c r="E396" s="20">
        <f>IF(AH396&lt;&gt;0,ROUNDUP(AH396,0),IF(BB396&lt;&gt;"FR","hors France",IF(AH396&lt;&gt;0,ROUNDUP(AH396,0),_xlfn.XLOOKUP(AJ396,'PA GLS'!B:B,'PA GLS'!A:A))))</f>
        <v>0.5</v>
      </c>
      <c r="F396">
        <v>2501382993</v>
      </c>
      <c r="G396">
        <v>1030232957</v>
      </c>
      <c r="H396" t="s">
        <v>366</v>
      </c>
      <c r="I396">
        <v>2500034092</v>
      </c>
      <c r="J396" t="s">
        <v>50</v>
      </c>
      <c r="K396">
        <v>9000009190</v>
      </c>
      <c r="L396">
        <v>46946</v>
      </c>
      <c r="M396" t="s">
        <v>51</v>
      </c>
      <c r="N396">
        <v>9000037814</v>
      </c>
      <c r="O396" t="s">
        <v>51</v>
      </c>
      <c r="S396">
        <v>2507012387</v>
      </c>
      <c r="T396" t="s">
        <v>50</v>
      </c>
      <c r="U396" t="s">
        <v>122</v>
      </c>
      <c r="V396" t="s">
        <v>71</v>
      </c>
      <c r="W396" t="s">
        <v>72</v>
      </c>
      <c r="X396" t="s">
        <v>60</v>
      </c>
      <c r="Z396">
        <v>158</v>
      </c>
      <c r="AA396" t="s">
        <v>1168</v>
      </c>
      <c r="AB396" t="s">
        <v>1195</v>
      </c>
      <c r="AC396">
        <v>2604000109</v>
      </c>
      <c r="AE396">
        <v>0</v>
      </c>
      <c r="AF396">
        <v>0</v>
      </c>
      <c r="AG396">
        <v>0</v>
      </c>
      <c r="AH396">
        <v>0</v>
      </c>
      <c r="AI396" t="s">
        <v>56</v>
      </c>
      <c r="AJ396">
        <v>3.77</v>
      </c>
      <c r="AK396">
        <v>0.9</v>
      </c>
      <c r="AL396">
        <v>0.15</v>
      </c>
      <c r="AM396">
        <v>29.1</v>
      </c>
      <c r="AN396">
        <v>1.35</v>
      </c>
      <c r="AO396">
        <v>0</v>
      </c>
      <c r="AP396">
        <v>0</v>
      </c>
      <c r="AQ396" t="s">
        <v>57</v>
      </c>
      <c r="AS396" t="s">
        <v>1196</v>
      </c>
      <c r="AT396" t="s">
        <v>1196</v>
      </c>
      <c r="AU396" t="s">
        <v>1195</v>
      </c>
      <c r="AV396" t="s">
        <v>1197</v>
      </c>
      <c r="AW396" t="s">
        <v>1198</v>
      </c>
      <c r="AZ396">
        <v>75008</v>
      </c>
      <c r="BA396" t="s">
        <v>65</v>
      </c>
      <c r="BB396" t="s">
        <v>61</v>
      </c>
      <c r="BC396" t="s">
        <v>62</v>
      </c>
    </row>
    <row r="397" spans="1:55" x14ac:dyDescent="0.25">
      <c r="A397" s="1" t="str">
        <f>IF(COUNTIF(Catégories!A:A,X397)=0,"catégorie inconnue",_xlfn.XLOOKUP(X397,Catégories!A:A,Catégories!B:B))</f>
        <v>Frêt</v>
      </c>
      <c r="B397" s="1">
        <f t="shared" si="18"/>
        <v>0</v>
      </c>
      <c r="C397" s="1">
        <f t="shared" si="19"/>
        <v>0</v>
      </c>
      <c r="D397" s="1">
        <f t="shared" si="20"/>
        <v>0</v>
      </c>
      <c r="E397" s="20">
        <f>IF(AH397&lt;&gt;0,ROUNDUP(AH397,0),IF(BB397&lt;&gt;"FR","hors France",IF(AH397&lt;&gt;0,ROUNDUP(AH397,0),_xlfn.XLOOKUP(AJ397,'PA GLS'!B:B,'PA GLS'!A:A))))</f>
        <v>8</v>
      </c>
      <c r="F397">
        <v>2501382993</v>
      </c>
      <c r="G397">
        <v>1030232957</v>
      </c>
      <c r="H397" t="s">
        <v>366</v>
      </c>
      <c r="I397">
        <v>2500034092</v>
      </c>
      <c r="J397" t="s">
        <v>50</v>
      </c>
      <c r="K397">
        <v>9000009190</v>
      </c>
      <c r="L397">
        <v>46946</v>
      </c>
      <c r="M397" t="s">
        <v>51</v>
      </c>
      <c r="N397">
        <v>9000037814</v>
      </c>
      <c r="O397" t="s">
        <v>51</v>
      </c>
      <c r="S397">
        <v>2507012387</v>
      </c>
      <c r="T397" t="s">
        <v>50</v>
      </c>
      <c r="U397" t="s">
        <v>122</v>
      </c>
      <c r="V397" t="s">
        <v>176</v>
      </c>
      <c r="W397" t="s">
        <v>177</v>
      </c>
      <c r="X397" t="s">
        <v>152</v>
      </c>
      <c r="Z397">
        <v>157</v>
      </c>
      <c r="AA397" t="s">
        <v>1168</v>
      </c>
      <c r="AB397" t="s">
        <v>1169</v>
      </c>
      <c r="AC397">
        <v>2604000111</v>
      </c>
      <c r="AE397">
        <v>0</v>
      </c>
      <c r="AF397">
        <v>1</v>
      </c>
      <c r="AG397">
        <v>0</v>
      </c>
      <c r="AH397">
        <v>7.77</v>
      </c>
      <c r="AI397" t="s">
        <v>56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 t="s">
        <v>57</v>
      </c>
      <c r="AS397" t="s">
        <v>1170</v>
      </c>
      <c r="AT397" t="s">
        <v>1170</v>
      </c>
      <c r="AU397" t="s">
        <v>1169</v>
      </c>
      <c r="AV397" t="s">
        <v>1171</v>
      </c>
      <c r="AW397" t="s">
        <v>1172</v>
      </c>
      <c r="AZ397">
        <v>65200</v>
      </c>
      <c r="BA397" t="s">
        <v>1173</v>
      </c>
      <c r="BB397" t="s">
        <v>61</v>
      </c>
      <c r="BC397" t="s">
        <v>62</v>
      </c>
    </row>
    <row r="398" spans="1:55" x14ac:dyDescent="0.25">
      <c r="A398" s="1" t="str">
        <f>IF(COUNTIF(Catégories!A:A,X398)=0,"catégorie inconnue",_xlfn.XLOOKUP(X398,Catégories!A:A,Catégories!B:B))</f>
        <v>Frêt</v>
      </c>
      <c r="B398" s="1">
        <f t="shared" si="18"/>
        <v>0</v>
      </c>
      <c r="C398" s="1">
        <f t="shared" si="19"/>
        <v>0</v>
      </c>
      <c r="D398" s="1">
        <f t="shared" si="20"/>
        <v>0</v>
      </c>
      <c r="E398" s="20">
        <f>IF(AH398&lt;&gt;0,ROUNDUP(AH398,0),IF(BB398&lt;&gt;"FR","hors France",IF(AH398&lt;&gt;0,ROUNDUP(AH398,0),_xlfn.XLOOKUP(AJ398,'PA GLS'!B:B,'PA GLS'!A:A))))</f>
        <v>1</v>
      </c>
      <c r="F398">
        <v>2501382993</v>
      </c>
      <c r="G398">
        <v>1030232957</v>
      </c>
      <c r="H398" t="s">
        <v>366</v>
      </c>
      <c r="I398">
        <v>2500034092</v>
      </c>
      <c r="J398" t="s">
        <v>50</v>
      </c>
      <c r="K398">
        <v>9000009190</v>
      </c>
      <c r="L398">
        <v>46946</v>
      </c>
      <c r="M398" t="s">
        <v>51</v>
      </c>
      <c r="N398">
        <v>9000037814</v>
      </c>
      <c r="O398" t="s">
        <v>51</v>
      </c>
      <c r="S398">
        <v>2507012387</v>
      </c>
      <c r="T398" t="s">
        <v>50</v>
      </c>
      <c r="U398" t="s">
        <v>122</v>
      </c>
      <c r="V398" t="s">
        <v>176</v>
      </c>
      <c r="W398" t="s">
        <v>177</v>
      </c>
      <c r="X398" t="s">
        <v>152</v>
      </c>
      <c r="Z398">
        <v>157</v>
      </c>
      <c r="AA398" t="s">
        <v>1168</v>
      </c>
      <c r="AB398" t="s">
        <v>1190</v>
      </c>
      <c r="AC398">
        <v>2604000110</v>
      </c>
      <c r="AE398">
        <v>0</v>
      </c>
      <c r="AF398">
        <v>1</v>
      </c>
      <c r="AG398">
        <v>0</v>
      </c>
      <c r="AH398">
        <v>0.27</v>
      </c>
      <c r="AI398" t="s">
        <v>56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 t="s">
        <v>57</v>
      </c>
      <c r="AS398" t="s">
        <v>1191</v>
      </c>
      <c r="AT398" t="s">
        <v>1191</v>
      </c>
      <c r="AU398" t="s">
        <v>1190</v>
      </c>
      <c r="AV398" t="s">
        <v>1192</v>
      </c>
      <c r="AW398" t="s">
        <v>1193</v>
      </c>
      <c r="AZ398">
        <v>1170</v>
      </c>
      <c r="BA398" t="s">
        <v>1194</v>
      </c>
      <c r="BB398" t="s">
        <v>61</v>
      </c>
      <c r="BC398" t="s">
        <v>62</v>
      </c>
    </row>
    <row r="399" spans="1:55" x14ac:dyDescent="0.25">
      <c r="A399" s="1" t="str">
        <f>IF(COUNTIF(Catégories!A:A,X399)=0,"catégorie inconnue",_xlfn.XLOOKUP(X399,Catégories!A:A,Catégories!B:B))</f>
        <v>Frêt</v>
      </c>
      <c r="B399" s="1">
        <f t="shared" si="18"/>
        <v>0</v>
      </c>
      <c r="C399" s="1">
        <f t="shared" si="19"/>
        <v>0</v>
      </c>
      <c r="D399" s="1">
        <f t="shared" si="20"/>
        <v>0</v>
      </c>
      <c r="E399" s="20">
        <f>IF(AH399&lt;&gt;0,ROUNDUP(AH399,0),IF(BB399&lt;&gt;"FR","hors France",IF(AH399&lt;&gt;0,ROUNDUP(AH399,0),_xlfn.XLOOKUP(AJ399,'PA GLS'!B:B,'PA GLS'!A:A))))</f>
        <v>1</v>
      </c>
      <c r="F399">
        <v>2501382993</v>
      </c>
      <c r="G399">
        <v>1030232957</v>
      </c>
      <c r="H399" t="s">
        <v>366</v>
      </c>
      <c r="I399">
        <v>2500034092</v>
      </c>
      <c r="J399" t="s">
        <v>50</v>
      </c>
      <c r="K399">
        <v>9000009190</v>
      </c>
      <c r="L399">
        <v>46946</v>
      </c>
      <c r="M399" t="s">
        <v>51</v>
      </c>
      <c r="N399">
        <v>9000037814</v>
      </c>
      <c r="O399" t="s">
        <v>51</v>
      </c>
      <c r="S399">
        <v>2507012387</v>
      </c>
      <c r="T399" t="s">
        <v>50</v>
      </c>
      <c r="U399" t="s">
        <v>122</v>
      </c>
      <c r="V399" t="s">
        <v>176</v>
      </c>
      <c r="W399" t="s">
        <v>177</v>
      </c>
      <c r="X399" t="s">
        <v>152</v>
      </c>
      <c r="Z399">
        <v>157</v>
      </c>
      <c r="AA399" t="s">
        <v>1168</v>
      </c>
      <c r="AB399" t="s">
        <v>1195</v>
      </c>
      <c r="AC399">
        <v>2604000109</v>
      </c>
      <c r="AE399">
        <v>0</v>
      </c>
      <c r="AF399">
        <v>1</v>
      </c>
      <c r="AG399">
        <v>0</v>
      </c>
      <c r="AH399">
        <v>0.5</v>
      </c>
      <c r="AI399" t="s">
        <v>56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 t="s">
        <v>57</v>
      </c>
      <c r="AS399" t="s">
        <v>1196</v>
      </c>
      <c r="AT399" t="s">
        <v>1196</v>
      </c>
      <c r="AU399" t="s">
        <v>1195</v>
      </c>
      <c r="AV399" t="s">
        <v>1197</v>
      </c>
      <c r="AW399" t="s">
        <v>1198</v>
      </c>
      <c r="AZ399">
        <v>75008</v>
      </c>
      <c r="BA399" t="s">
        <v>65</v>
      </c>
      <c r="BB399" t="s">
        <v>61</v>
      </c>
      <c r="BC399" t="s">
        <v>62</v>
      </c>
    </row>
    <row r="400" spans="1:55" x14ac:dyDescent="0.25">
      <c r="A400" s="1" t="str">
        <f>IF(COUNTIF(Catégories!A:A,X400)=0,"catégorie inconnue",_xlfn.XLOOKUP(X400,Catégories!A:A,Catégories!B:B))</f>
        <v>Frêt</v>
      </c>
      <c r="B400" s="1">
        <f t="shared" si="18"/>
        <v>0</v>
      </c>
      <c r="C400" s="1">
        <f t="shared" si="19"/>
        <v>0</v>
      </c>
      <c r="D400" s="1">
        <f t="shared" si="20"/>
        <v>0</v>
      </c>
      <c r="E400" s="20">
        <f>IF(AH400&lt;&gt;0,ROUNDUP(AH400,0),IF(BB400&lt;&gt;"FR","hors France",IF(AH400&lt;&gt;0,ROUNDUP(AH400,0),_xlfn.XLOOKUP(AJ400,'PA GLS'!B:B,'PA GLS'!A:A))))</f>
        <v>2</v>
      </c>
      <c r="F400">
        <v>2501382993</v>
      </c>
      <c r="G400">
        <v>1030232957</v>
      </c>
      <c r="H400" t="s">
        <v>366</v>
      </c>
      <c r="I400">
        <v>2500034092</v>
      </c>
      <c r="J400" t="s">
        <v>50</v>
      </c>
      <c r="K400">
        <v>9000009190</v>
      </c>
      <c r="L400">
        <v>46946</v>
      </c>
      <c r="M400" t="s">
        <v>51</v>
      </c>
      <c r="N400">
        <v>9000037814</v>
      </c>
      <c r="O400" t="s">
        <v>51</v>
      </c>
      <c r="S400">
        <v>2507012387</v>
      </c>
      <c r="T400" t="s">
        <v>50</v>
      </c>
      <c r="U400" t="s">
        <v>122</v>
      </c>
      <c r="V400" t="s">
        <v>176</v>
      </c>
      <c r="W400" t="s">
        <v>177</v>
      </c>
      <c r="X400" t="s">
        <v>152</v>
      </c>
      <c r="Z400">
        <v>157</v>
      </c>
      <c r="AA400" t="s">
        <v>1168</v>
      </c>
      <c r="AB400" t="s">
        <v>1176</v>
      </c>
      <c r="AC400">
        <v>2604000108</v>
      </c>
      <c r="AE400">
        <v>0</v>
      </c>
      <c r="AF400">
        <v>1</v>
      </c>
      <c r="AG400">
        <v>0</v>
      </c>
      <c r="AH400">
        <v>1.04</v>
      </c>
      <c r="AI400" t="s">
        <v>56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 t="s">
        <v>57</v>
      </c>
      <c r="AS400" t="s">
        <v>1177</v>
      </c>
      <c r="AT400" t="s">
        <v>1177</v>
      </c>
      <c r="AU400" t="s">
        <v>1176</v>
      </c>
      <c r="AV400" t="s">
        <v>1178</v>
      </c>
      <c r="AW400" t="s">
        <v>1179</v>
      </c>
      <c r="AZ400">
        <v>56400</v>
      </c>
      <c r="BA400" t="s">
        <v>313</v>
      </c>
      <c r="BB400" t="s">
        <v>61</v>
      </c>
      <c r="BC400" t="s">
        <v>62</v>
      </c>
    </row>
    <row r="401" spans="1:55" x14ac:dyDescent="0.25">
      <c r="A401" s="1" t="str">
        <f>IF(COUNTIF(Catégories!A:A,X401)=0,"catégorie inconnue",_xlfn.XLOOKUP(X401,Catégories!A:A,Catégories!B:B))</f>
        <v>Frêt</v>
      </c>
      <c r="B401" s="1">
        <f t="shared" si="18"/>
        <v>0</v>
      </c>
      <c r="C401" s="1">
        <f t="shared" si="19"/>
        <v>0</v>
      </c>
      <c r="D401" s="1">
        <f t="shared" si="20"/>
        <v>0</v>
      </c>
      <c r="E401" s="20">
        <f>IF(AH401&lt;&gt;0,ROUNDUP(AH401,0),IF(BB401&lt;&gt;"FR","hors France",IF(AH401&lt;&gt;0,ROUNDUP(AH401,0),_xlfn.XLOOKUP(AJ401,'PA GLS'!B:B,'PA GLS'!A:A))))</f>
        <v>2</v>
      </c>
      <c r="F401">
        <v>2501382993</v>
      </c>
      <c r="G401">
        <v>1030232957</v>
      </c>
      <c r="H401" t="s">
        <v>366</v>
      </c>
      <c r="I401">
        <v>2500034092</v>
      </c>
      <c r="J401" t="s">
        <v>50</v>
      </c>
      <c r="K401">
        <v>9000009190</v>
      </c>
      <c r="L401">
        <v>46946</v>
      </c>
      <c r="M401" t="s">
        <v>51</v>
      </c>
      <c r="N401">
        <v>9000037814</v>
      </c>
      <c r="O401" t="s">
        <v>51</v>
      </c>
      <c r="S401">
        <v>2507012387</v>
      </c>
      <c r="T401" t="s">
        <v>50</v>
      </c>
      <c r="U401" t="s">
        <v>122</v>
      </c>
      <c r="V401" t="s">
        <v>176</v>
      </c>
      <c r="W401" t="s">
        <v>177</v>
      </c>
      <c r="X401" t="s">
        <v>152</v>
      </c>
      <c r="Z401">
        <v>157</v>
      </c>
      <c r="AA401" t="s">
        <v>1168</v>
      </c>
      <c r="AB401" t="s">
        <v>1174</v>
      </c>
      <c r="AC401">
        <v>2604000107</v>
      </c>
      <c r="AE401">
        <v>0</v>
      </c>
      <c r="AF401">
        <v>1</v>
      </c>
      <c r="AG401">
        <v>0</v>
      </c>
      <c r="AH401">
        <v>1.88</v>
      </c>
      <c r="AI401" t="s">
        <v>56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 t="s">
        <v>57</v>
      </c>
      <c r="AS401" t="s">
        <v>1175</v>
      </c>
      <c r="AT401" t="s">
        <v>1175</v>
      </c>
      <c r="AU401" t="s">
        <v>1174</v>
      </c>
      <c r="AV401" t="s">
        <v>331</v>
      </c>
      <c r="AW401" t="s">
        <v>332</v>
      </c>
      <c r="AZ401">
        <v>6250</v>
      </c>
      <c r="BA401" t="s">
        <v>333</v>
      </c>
      <c r="BB401" t="s">
        <v>61</v>
      </c>
      <c r="BC401" t="s">
        <v>62</v>
      </c>
    </row>
    <row r="402" spans="1:55" x14ac:dyDescent="0.25">
      <c r="A402" s="1" t="str">
        <f>IF(COUNTIF(Catégories!A:A,X402)=0,"catégorie inconnue",_xlfn.XLOOKUP(X402,Catégories!A:A,Catégories!B:B))</f>
        <v>Frêt</v>
      </c>
      <c r="B402" s="1">
        <f t="shared" si="18"/>
        <v>0</v>
      </c>
      <c r="C402" s="1">
        <f t="shared" si="19"/>
        <v>0</v>
      </c>
      <c r="D402" s="1">
        <f t="shared" si="20"/>
        <v>0</v>
      </c>
      <c r="E402" s="20">
        <f>IF(AH402&lt;&gt;0,ROUNDUP(AH402,0),IF(BB402&lt;&gt;"FR","hors France",IF(AH402&lt;&gt;0,ROUNDUP(AH402,0),_xlfn.XLOOKUP(AJ402,'PA GLS'!B:B,'PA GLS'!A:A))))</f>
        <v>1</v>
      </c>
      <c r="F402">
        <v>2501382993</v>
      </c>
      <c r="G402">
        <v>1030219782</v>
      </c>
      <c r="H402" t="s">
        <v>366</v>
      </c>
      <c r="I402">
        <v>2500034092</v>
      </c>
      <c r="J402" t="s">
        <v>50</v>
      </c>
      <c r="K402">
        <v>9000009190</v>
      </c>
      <c r="L402">
        <v>46946</v>
      </c>
      <c r="M402" t="s">
        <v>51</v>
      </c>
      <c r="N402">
        <v>9000079830</v>
      </c>
      <c r="O402" t="s">
        <v>187</v>
      </c>
      <c r="S402">
        <v>2507012387</v>
      </c>
      <c r="T402" t="s">
        <v>50</v>
      </c>
      <c r="U402" t="s">
        <v>122</v>
      </c>
      <c r="V402" t="s">
        <v>176</v>
      </c>
      <c r="W402" t="s">
        <v>177</v>
      </c>
      <c r="X402" t="s">
        <v>152</v>
      </c>
      <c r="Z402">
        <v>48</v>
      </c>
      <c r="AA402" t="s">
        <v>1199</v>
      </c>
      <c r="AB402" t="s">
        <v>1200</v>
      </c>
      <c r="AC402">
        <v>2604000131</v>
      </c>
      <c r="AE402">
        <v>0</v>
      </c>
      <c r="AF402">
        <v>1</v>
      </c>
      <c r="AG402">
        <v>0</v>
      </c>
      <c r="AH402">
        <v>0.84</v>
      </c>
      <c r="AI402" t="s">
        <v>56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 t="s">
        <v>57</v>
      </c>
      <c r="AS402" t="s">
        <v>1201</v>
      </c>
      <c r="AT402" t="s">
        <v>1201</v>
      </c>
      <c r="AU402" t="s">
        <v>1200</v>
      </c>
      <c r="AV402" t="s">
        <v>1202</v>
      </c>
      <c r="AW402" t="s">
        <v>1203</v>
      </c>
      <c r="AZ402">
        <v>34130</v>
      </c>
      <c r="BA402" t="s">
        <v>1204</v>
      </c>
      <c r="BB402" t="s">
        <v>61</v>
      </c>
      <c r="BC402" t="s">
        <v>62</v>
      </c>
    </row>
    <row r="403" spans="1:55" x14ac:dyDescent="0.25">
      <c r="A403" s="1" t="str">
        <f>IF(COUNTIF(Catégories!A:A,X403)=0,"catégorie inconnue",_xlfn.XLOOKUP(X403,Catégories!A:A,Catégories!B:B))</f>
        <v>Frêt</v>
      </c>
      <c r="B403" s="1">
        <f t="shared" si="18"/>
        <v>0</v>
      </c>
      <c r="C403" s="1">
        <f t="shared" si="19"/>
        <v>0</v>
      </c>
      <c r="D403" s="1">
        <f t="shared" si="20"/>
        <v>0</v>
      </c>
      <c r="E403" s="20">
        <f>IF(AH403&lt;&gt;0,ROUNDUP(AH403,0),IF(BB403&lt;&gt;"FR","hors France",IF(AH403&lt;&gt;0,ROUNDUP(AH403,0),_xlfn.XLOOKUP(AJ403,'PA GLS'!B:B,'PA GLS'!A:A))))</f>
        <v>2</v>
      </c>
      <c r="F403">
        <v>2501382993</v>
      </c>
      <c r="G403">
        <v>1030219782</v>
      </c>
      <c r="H403" t="s">
        <v>366</v>
      </c>
      <c r="I403">
        <v>2500034092</v>
      </c>
      <c r="J403" t="s">
        <v>50</v>
      </c>
      <c r="K403">
        <v>9000009190</v>
      </c>
      <c r="L403">
        <v>46946</v>
      </c>
      <c r="M403" t="s">
        <v>51</v>
      </c>
      <c r="N403">
        <v>9000079830</v>
      </c>
      <c r="O403" t="s">
        <v>187</v>
      </c>
      <c r="S403">
        <v>2507012387</v>
      </c>
      <c r="T403" t="s">
        <v>50</v>
      </c>
      <c r="U403" t="s">
        <v>122</v>
      </c>
      <c r="V403" t="s">
        <v>176</v>
      </c>
      <c r="W403" t="s">
        <v>177</v>
      </c>
      <c r="X403" t="s">
        <v>152</v>
      </c>
      <c r="Z403">
        <v>48</v>
      </c>
      <c r="AA403" t="s">
        <v>1199</v>
      </c>
      <c r="AB403" t="s">
        <v>1205</v>
      </c>
      <c r="AC403">
        <v>2604000130</v>
      </c>
      <c r="AE403">
        <v>0</v>
      </c>
      <c r="AF403">
        <v>1</v>
      </c>
      <c r="AG403">
        <v>0</v>
      </c>
      <c r="AH403">
        <v>1.1100000000000001</v>
      </c>
      <c r="AI403" t="s">
        <v>56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 t="s">
        <v>57</v>
      </c>
      <c r="AS403" t="s">
        <v>1206</v>
      </c>
      <c r="AT403" t="s">
        <v>1206</v>
      </c>
      <c r="AU403" t="s">
        <v>1205</v>
      </c>
      <c r="AV403" t="s">
        <v>1207</v>
      </c>
      <c r="AW403" t="s">
        <v>1208</v>
      </c>
      <c r="AZ403">
        <v>77420</v>
      </c>
      <c r="BA403" t="s">
        <v>1209</v>
      </c>
      <c r="BB403" t="s">
        <v>61</v>
      </c>
      <c r="BC403" t="s">
        <v>62</v>
      </c>
    </row>
    <row r="404" spans="1:55" x14ac:dyDescent="0.25">
      <c r="A404" s="1" t="str">
        <f>IF(COUNTIF(Catégories!A:A,X404)=0,"catégorie inconnue",_xlfn.XLOOKUP(X404,Catégories!A:A,Catégories!B:B))</f>
        <v>Frêt</v>
      </c>
      <c r="B404" s="1">
        <f t="shared" si="18"/>
        <v>0</v>
      </c>
      <c r="C404" s="1">
        <f t="shared" si="19"/>
        <v>0</v>
      </c>
      <c r="D404" s="1">
        <f t="shared" si="20"/>
        <v>0</v>
      </c>
      <c r="E404" s="20">
        <f>IF(AH404&lt;&gt;0,ROUNDUP(AH404,0),IF(BB404&lt;&gt;"FR","hors France",IF(AH404&lt;&gt;0,ROUNDUP(AH404,0),_xlfn.XLOOKUP(AJ404,'PA GLS'!B:B,'PA GLS'!A:A))))</f>
        <v>1</v>
      </c>
      <c r="F404">
        <v>2501382993</v>
      </c>
      <c r="G404">
        <v>1030219782</v>
      </c>
      <c r="H404" t="s">
        <v>366</v>
      </c>
      <c r="I404">
        <v>2500034092</v>
      </c>
      <c r="J404" t="s">
        <v>50</v>
      </c>
      <c r="K404">
        <v>9000009190</v>
      </c>
      <c r="L404">
        <v>46946</v>
      </c>
      <c r="M404" t="s">
        <v>51</v>
      </c>
      <c r="N404">
        <v>9000079830</v>
      </c>
      <c r="O404" t="s">
        <v>187</v>
      </c>
      <c r="S404">
        <v>2507012387</v>
      </c>
      <c r="T404" t="s">
        <v>50</v>
      </c>
      <c r="U404" t="s">
        <v>122</v>
      </c>
      <c r="V404" t="s">
        <v>176</v>
      </c>
      <c r="W404" t="s">
        <v>177</v>
      </c>
      <c r="X404" t="s">
        <v>152</v>
      </c>
      <c r="Z404">
        <v>48</v>
      </c>
      <c r="AA404" t="s">
        <v>1199</v>
      </c>
      <c r="AB404" t="s">
        <v>1210</v>
      </c>
      <c r="AC404">
        <v>2604000129</v>
      </c>
      <c r="AE404">
        <v>0</v>
      </c>
      <c r="AF404">
        <v>1</v>
      </c>
      <c r="AG404">
        <v>0</v>
      </c>
      <c r="AH404">
        <v>0.86</v>
      </c>
      <c r="AI404" t="s">
        <v>56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 t="s">
        <v>57</v>
      </c>
      <c r="AS404" t="s">
        <v>1211</v>
      </c>
      <c r="AT404" t="s">
        <v>1211</v>
      </c>
      <c r="AU404" t="s">
        <v>1210</v>
      </c>
      <c r="AV404" t="s">
        <v>1212</v>
      </c>
      <c r="AW404" t="s">
        <v>1213</v>
      </c>
      <c r="AZ404">
        <v>79000</v>
      </c>
      <c r="BA404" t="s">
        <v>1214</v>
      </c>
      <c r="BB404" t="s">
        <v>61</v>
      </c>
      <c r="BC404" t="s">
        <v>62</v>
      </c>
    </row>
    <row r="405" spans="1:55" x14ac:dyDescent="0.25">
      <c r="A405" s="1" t="str">
        <f>IF(COUNTIF(Catégories!A:A,X405)=0,"catégorie inconnue",_xlfn.XLOOKUP(X405,Catégories!A:A,Catégories!B:B))</f>
        <v>Frêt</v>
      </c>
      <c r="B405" s="1">
        <f t="shared" si="18"/>
        <v>0</v>
      </c>
      <c r="C405" s="1">
        <f t="shared" si="19"/>
        <v>0</v>
      </c>
      <c r="D405" s="1">
        <f t="shared" si="20"/>
        <v>0</v>
      </c>
      <c r="E405" s="20">
        <f>IF(AH405&lt;&gt;0,ROUNDUP(AH405,0),IF(BB405&lt;&gt;"FR","hors France",IF(AH405&lt;&gt;0,ROUNDUP(AH405,0),_xlfn.XLOOKUP(AJ405,'PA GLS'!B:B,'PA GLS'!A:A))))</f>
        <v>1</v>
      </c>
      <c r="F405">
        <v>2501382993</v>
      </c>
      <c r="G405">
        <v>1030232937</v>
      </c>
      <c r="H405" t="s">
        <v>366</v>
      </c>
      <c r="I405">
        <v>2500034092</v>
      </c>
      <c r="J405" t="s">
        <v>50</v>
      </c>
      <c r="K405">
        <v>9000009190</v>
      </c>
      <c r="L405">
        <v>46946</v>
      </c>
      <c r="M405" t="s">
        <v>51</v>
      </c>
      <c r="N405">
        <v>9000037814</v>
      </c>
      <c r="O405" t="s">
        <v>51</v>
      </c>
      <c r="S405">
        <v>2507012387</v>
      </c>
      <c r="T405" t="s">
        <v>50</v>
      </c>
      <c r="U405" t="s">
        <v>122</v>
      </c>
      <c r="V405" t="s">
        <v>176</v>
      </c>
      <c r="W405" t="s">
        <v>177</v>
      </c>
      <c r="X405" t="s">
        <v>152</v>
      </c>
      <c r="Z405">
        <v>148</v>
      </c>
      <c r="AA405" t="s">
        <v>1199</v>
      </c>
      <c r="AB405" t="s">
        <v>1215</v>
      </c>
      <c r="AC405">
        <v>2604000112</v>
      </c>
      <c r="AE405">
        <v>0</v>
      </c>
      <c r="AF405">
        <v>1</v>
      </c>
      <c r="AG405">
        <v>0</v>
      </c>
      <c r="AH405">
        <v>0.22</v>
      </c>
      <c r="AI405" t="s">
        <v>56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 t="s">
        <v>57</v>
      </c>
      <c r="AS405" t="s">
        <v>1216</v>
      </c>
      <c r="AT405" t="s">
        <v>1216</v>
      </c>
      <c r="AU405" t="s">
        <v>1215</v>
      </c>
      <c r="AV405" t="s">
        <v>1217</v>
      </c>
      <c r="AW405" t="s">
        <v>1218</v>
      </c>
      <c r="AZ405">
        <v>29350</v>
      </c>
      <c r="BA405" t="s">
        <v>1219</v>
      </c>
      <c r="BB405" t="s">
        <v>61</v>
      </c>
      <c r="BC405" t="s">
        <v>62</v>
      </c>
    </row>
    <row r="406" spans="1:55" x14ac:dyDescent="0.25">
      <c r="A406" s="1" t="str">
        <f>IF(COUNTIF(Catégories!A:A,X406)=0,"catégorie inconnue",_xlfn.XLOOKUP(X406,Catégories!A:A,Catégories!B:B))</f>
        <v>Frêt</v>
      </c>
      <c r="B406" s="1">
        <f t="shared" si="18"/>
        <v>0</v>
      </c>
      <c r="C406" s="1">
        <f t="shared" si="19"/>
        <v>0</v>
      </c>
      <c r="D406" s="1">
        <f t="shared" si="20"/>
        <v>0</v>
      </c>
      <c r="E406" s="20">
        <f>IF(AH406&lt;&gt;0,ROUNDUP(AH406,0),IF(BB406&lt;&gt;"FR","hors France",IF(AH406&lt;&gt;0,ROUNDUP(AH406,0),_xlfn.XLOOKUP(AJ406,'PA GLS'!B:B,'PA GLS'!A:A))))</f>
        <v>20</v>
      </c>
      <c r="F406">
        <v>2501382993</v>
      </c>
      <c r="G406">
        <v>1030232937</v>
      </c>
      <c r="H406" t="s">
        <v>366</v>
      </c>
      <c r="I406">
        <v>2500034092</v>
      </c>
      <c r="J406" t="s">
        <v>50</v>
      </c>
      <c r="K406">
        <v>9000009190</v>
      </c>
      <c r="L406">
        <v>46946</v>
      </c>
      <c r="M406" t="s">
        <v>51</v>
      </c>
      <c r="N406">
        <v>9000037814</v>
      </c>
      <c r="O406" t="s">
        <v>51</v>
      </c>
      <c r="S406">
        <v>2507012387</v>
      </c>
      <c r="T406" t="s">
        <v>50</v>
      </c>
      <c r="U406" t="s">
        <v>267</v>
      </c>
      <c r="V406" t="s">
        <v>268</v>
      </c>
      <c r="W406" t="s">
        <v>241</v>
      </c>
      <c r="X406" t="s">
        <v>154</v>
      </c>
      <c r="Z406">
        <v>149</v>
      </c>
      <c r="AA406" t="s">
        <v>1199</v>
      </c>
      <c r="AB406" t="s">
        <v>1220</v>
      </c>
      <c r="AC406">
        <v>2604000113</v>
      </c>
      <c r="AE406">
        <v>0</v>
      </c>
      <c r="AF406">
        <v>1</v>
      </c>
      <c r="AG406">
        <v>0</v>
      </c>
      <c r="AH406">
        <v>19.559999999999999</v>
      </c>
      <c r="AI406" t="s">
        <v>56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 t="s">
        <v>57</v>
      </c>
      <c r="AS406" t="s">
        <v>1221</v>
      </c>
      <c r="AT406" t="s">
        <v>1221</v>
      </c>
      <c r="AU406" t="s">
        <v>1220</v>
      </c>
      <c r="AV406" t="s">
        <v>1222</v>
      </c>
      <c r="AW406" t="s">
        <v>1223</v>
      </c>
      <c r="AZ406">
        <v>14467</v>
      </c>
      <c r="BA406" t="s">
        <v>1224</v>
      </c>
      <c r="BB406" t="s">
        <v>129</v>
      </c>
      <c r="BC406" t="s">
        <v>317</v>
      </c>
    </row>
    <row r="407" spans="1:55" x14ac:dyDescent="0.25">
      <c r="A407" s="1" t="str">
        <f>IF(COUNTIF(Catégories!A:A,X407)=0,"catégorie inconnue",_xlfn.XLOOKUP(X407,Catégories!A:A,Catégories!B:B))</f>
        <v>Frêt</v>
      </c>
      <c r="B407" s="1">
        <f t="shared" si="18"/>
        <v>6.17</v>
      </c>
      <c r="C407" s="1">
        <f t="shared" si="19"/>
        <v>1.35</v>
      </c>
      <c r="D407" s="1">
        <f t="shared" si="20"/>
        <v>4.82</v>
      </c>
      <c r="E407" s="20">
        <f>IF(AH407&lt;&gt;0,ROUNDUP(AH407,0),IF(BB407&lt;&gt;"FR","hors France",IF(AH407&lt;&gt;0,ROUNDUP(AH407,0),_xlfn.XLOOKUP(AJ407,'PA GLS'!B:B,'PA GLS'!A:A))))</f>
        <v>0.5</v>
      </c>
      <c r="F407">
        <v>2501382993</v>
      </c>
      <c r="G407">
        <v>1030232937</v>
      </c>
      <c r="H407" t="s">
        <v>366</v>
      </c>
      <c r="I407">
        <v>2500034092</v>
      </c>
      <c r="J407" t="s">
        <v>50</v>
      </c>
      <c r="K407">
        <v>9000009190</v>
      </c>
      <c r="L407">
        <v>46946</v>
      </c>
      <c r="M407" t="s">
        <v>51</v>
      </c>
      <c r="N407">
        <v>9000037814</v>
      </c>
      <c r="O407" t="s">
        <v>51</v>
      </c>
      <c r="S407">
        <v>2507012387</v>
      </c>
      <c r="T407" t="s">
        <v>50</v>
      </c>
      <c r="U407" t="s">
        <v>122</v>
      </c>
      <c r="V407" t="s">
        <v>73</v>
      </c>
      <c r="W407" t="s">
        <v>74</v>
      </c>
      <c r="X407" t="s">
        <v>60</v>
      </c>
      <c r="Z407">
        <v>150</v>
      </c>
      <c r="AA407" t="s">
        <v>1199</v>
      </c>
      <c r="AB407" t="s">
        <v>1215</v>
      </c>
      <c r="AC407">
        <v>2604000112</v>
      </c>
      <c r="AE407">
        <v>0</v>
      </c>
      <c r="AF407">
        <v>0</v>
      </c>
      <c r="AG407">
        <v>0</v>
      </c>
      <c r="AH407">
        <v>0</v>
      </c>
      <c r="AI407" t="s">
        <v>56</v>
      </c>
      <c r="AJ407">
        <v>3.77</v>
      </c>
      <c r="AK407">
        <v>0.9</v>
      </c>
      <c r="AL407">
        <v>0.15</v>
      </c>
      <c r="AM407">
        <v>29.1</v>
      </c>
      <c r="AN407">
        <v>1.35</v>
      </c>
      <c r="AO407">
        <v>0</v>
      </c>
      <c r="AP407">
        <v>0</v>
      </c>
      <c r="AQ407" t="s">
        <v>57</v>
      </c>
      <c r="AS407" t="s">
        <v>1216</v>
      </c>
      <c r="AT407" t="s">
        <v>1216</v>
      </c>
      <c r="AU407" t="s">
        <v>1215</v>
      </c>
      <c r="AV407" t="s">
        <v>1217</v>
      </c>
      <c r="AW407" t="s">
        <v>1218</v>
      </c>
      <c r="AZ407">
        <v>29350</v>
      </c>
      <c r="BA407" t="s">
        <v>1219</v>
      </c>
      <c r="BB407" t="s">
        <v>61</v>
      </c>
      <c r="BC407" t="s">
        <v>62</v>
      </c>
    </row>
    <row r="408" spans="1:55" x14ac:dyDescent="0.25">
      <c r="A408" s="1" t="str">
        <f>IF(COUNTIF(Catégories!A:A,X408)=0,"catégorie inconnue",_xlfn.XLOOKUP(X408,Catégories!A:A,Catégories!B:B))</f>
        <v>Frêt</v>
      </c>
      <c r="B408" s="1">
        <f t="shared" si="18"/>
        <v>23.619999999999997</v>
      </c>
      <c r="C408" s="1">
        <f t="shared" si="19"/>
        <v>5.29</v>
      </c>
      <c r="D408" s="1">
        <f t="shared" si="20"/>
        <v>18.329999999999998</v>
      </c>
      <c r="E408" s="20" t="str">
        <f>IF(AH408&lt;&gt;0,ROUNDUP(AH408,0),IF(BB408&lt;&gt;"FR","hors France",IF(AH408&lt;&gt;0,ROUNDUP(AH408,0),_xlfn.XLOOKUP(AJ408,'PA GLS'!B:B,'PA GLS'!A:A))))</f>
        <v>hors France</v>
      </c>
      <c r="F408">
        <v>2501382993</v>
      </c>
      <c r="G408">
        <v>1030232937</v>
      </c>
      <c r="H408" t="s">
        <v>366</v>
      </c>
      <c r="I408">
        <v>2500034092</v>
      </c>
      <c r="J408" t="s">
        <v>50</v>
      </c>
      <c r="K408">
        <v>9000009190</v>
      </c>
      <c r="L408">
        <v>46946</v>
      </c>
      <c r="M408" t="s">
        <v>51</v>
      </c>
      <c r="N408">
        <v>9000037814</v>
      </c>
      <c r="O408" t="s">
        <v>51</v>
      </c>
      <c r="S408">
        <v>2507012387</v>
      </c>
      <c r="T408" t="s">
        <v>50</v>
      </c>
      <c r="U408" t="s">
        <v>267</v>
      </c>
      <c r="V408" t="s">
        <v>1225</v>
      </c>
      <c r="W408" t="s">
        <v>1226</v>
      </c>
      <c r="X408" t="s">
        <v>131</v>
      </c>
      <c r="Z408">
        <v>151</v>
      </c>
      <c r="AA408" t="s">
        <v>1199</v>
      </c>
      <c r="AB408" t="s">
        <v>1220</v>
      </c>
      <c r="AC408">
        <v>2604000113</v>
      </c>
      <c r="AE408">
        <v>0</v>
      </c>
      <c r="AF408">
        <v>0</v>
      </c>
      <c r="AG408">
        <v>0</v>
      </c>
      <c r="AH408">
        <v>0</v>
      </c>
      <c r="AI408" t="s">
        <v>56</v>
      </c>
      <c r="AJ408">
        <v>17.28</v>
      </c>
      <c r="AK408">
        <v>0.9</v>
      </c>
      <c r="AL408">
        <v>0.15</v>
      </c>
      <c r="AM408">
        <v>29.1</v>
      </c>
      <c r="AN408">
        <v>5.29</v>
      </c>
      <c r="AO408">
        <v>0</v>
      </c>
      <c r="AP408">
        <v>0</v>
      </c>
      <c r="AQ408" t="s">
        <v>57</v>
      </c>
      <c r="AS408" t="s">
        <v>1221</v>
      </c>
      <c r="AT408" t="s">
        <v>1221</v>
      </c>
      <c r="AU408" t="s">
        <v>1220</v>
      </c>
      <c r="AV408" t="s">
        <v>1222</v>
      </c>
      <c r="AW408" t="s">
        <v>1223</v>
      </c>
      <c r="AZ408">
        <v>14467</v>
      </c>
      <c r="BA408" t="s">
        <v>1224</v>
      </c>
      <c r="BB408" t="s">
        <v>129</v>
      </c>
      <c r="BC408" t="s">
        <v>317</v>
      </c>
    </row>
    <row r="409" spans="1:55" x14ac:dyDescent="0.25">
      <c r="A409" s="1" t="str">
        <f>IF(COUNTIF(Catégories!A:A,X409)=0,"catégorie inconnue",_xlfn.XLOOKUP(X409,Catégories!A:A,Catégories!B:B))</f>
        <v>Frêt</v>
      </c>
      <c r="B409" s="1">
        <f t="shared" si="18"/>
        <v>0</v>
      </c>
      <c r="C409" s="1">
        <f t="shared" si="19"/>
        <v>0</v>
      </c>
      <c r="D409" s="1">
        <f t="shared" si="20"/>
        <v>0</v>
      </c>
      <c r="E409" s="20">
        <f>IF(AH409&lt;&gt;0,ROUNDUP(AH409,0),IF(BB409&lt;&gt;"FR","hors France",IF(AH409&lt;&gt;0,ROUNDUP(AH409,0),_xlfn.XLOOKUP(AJ409,'PA GLS'!B:B,'PA GLS'!A:A))))</f>
        <v>1</v>
      </c>
      <c r="F409">
        <v>2501382993</v>
      </c>
      <c r="G409">
        <v>1030219782</v>
      </c>
      <c r="H409" t="s">
        <v>366</v>
      </c>
      <c r="I409">
        <v>2500034092</v>
      </c>
      <c r="J409" t="s">
        <v>50</v>
      </c>
      <c r="K409">
        <v>9000009190</v>
      </c>
      <c r="L409">
        <v>46946</v>
      </c>
      <c r="M409" t="s">
        <v>51</v>
      </c>
      <c r="N409">
        <v>9000079830</v>
      </c>
      <c r="O409" t="s">
        <v>187</v>
      </c>
      <c r="S409">
        <v>2507012387</v>
      </c>
      <c r="T409" t="s">
        <v>50</v>
      </c>
      <c r="U409" t="s">
        <v>122</v>
      </c>
      <c r="V409" t="s">
        <v>176</v>
      </c>
      <c r="W409" t="s">
        <v>177</v>
      </c>
      <c r="X409" t="s">
        <v>152</v>
      </c>
      <c r="Z409">
        <v>48</v>
      </c>
      <c r="AA409" t="s">
        <v>1199</v>
      </c>
      <c r="AB409" t="s">
        <v>1227</v>
      </c>
      <c r="AC409">
        <v>2604000128</v>
      </c>
      <c r="AE409">
        <v>0</v>
      </c>
      <c r="AF409">
        <v>1</v>
      </c>
      <c r="AG409">
        <v>0</v>
      </c>
      <c r="AH409">
        <v>0.46</v>
      </c>
      <c r="AI409" t="s">
        <v>56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 t="s">
        <v>57</v>
      </c>
      <c r="AS409" t="s">
        <v>1228</v>
      </c>
      <c r="AT409" t="s">
        <v>1228</v>
      </c>
      <c r="AU409" t="s">
        <v>1227</v>
      </c>
      <c r="AV409" t="s">
        <v>1229</v>
      </c>
      <c r="AW409" t="s">
        <v>1230</v>
      </c>
      <c r="AZ409">
        <v>59800</v>
      </c>
      <c r="BA409" t="s">
        <v>264</v>
      </c>
      <c r="BB409" t="s">
        <v>61</v>
      </c>
      <c r="BC409" t="s">
        <v>62</v>
      </c>
    </row>
    <row r="410" spans="1:55" x14ac:dyDescent="0.25">
      <c r="A410" s="1" t="str">
        <f>IF(COUNTIF(Catégories!A:A,X410)=0,"catégorie inconnue",_xlfn.XLOOKUP(X410,Catégories!A:A,Catégories!B:B))</f>
        <v>Frêt</v>
      </c>
      <c r="B410" s="1">
        <f t="shared" si="18"/>
        <v>0</v>
      </c>
      <c r="C410" s="1">
        <f t="shared" si="19"/>
        <v>0</v>
      </c>
      <c r="D410" s="1">
        <f t="shared" si="20"/>
        <v>0</v>
      </c>
      <c r="E410" s="20">
        <f>IF(AH410&lt;&gt;0,ROUNDUP(AH410,0),IF(BB410&lt;&gt;"FR","hors France",IF(AH410&lt;&gt;0,ROUNDUP(AH410,0),_xlfn.XLOOKUP(AJ410,'PA GLS'!B:B,'PA GLS'!A:A))))</f>
        <v>5</v>
      </c>
      <c r="F410">
        <v>2501382993</v>
      </c>
      <c r="G410">
        <v>1030219782</v>
      </c>
      <c r="H410" t="s">
        <v>366</v>
      </c>
      <c r="I410">
        <v>2500034092</v>
      </c>
      <c r="J410" t="s">
        <v>50</v>
      </c>
      <c r="K410">
        <v>9000009190</v>
      </c>
      <c r="L410">
        <v>46946</v>
      </c>
      <c r="M410" t="s">
        <v>51</v>
      </c>
      <c r="N410">
        <v>9000079830</v>
      </c>
      <c r="O410" t="s">
        <v>187</v>
      </c>
      <c r="S410">
        <v>2507012387</v>
      </c>
      <c r="T410" t="s">
        <v>50</v>
      </c>
      <c r="U410" t="s">
        <v>122</v>
      </c>
      <c r="V410" t="s">
        <v>176</v>
      </c>
      <c r="W410" t="s">
        <v>177</v>
      </c>
      <c r="X410" t="s">
        <v>152</v>
      </c>
      <c r="Z410">
        <v>48</v>
      </c>
      <c r="AA410" t="s">
        <v>1199</v>
      </c>
      <c r="AB410" t="s">
        <v>1231</v>
      </c>
      <c r="AC410">
        <v>2604000127</v>
      </c>
      <c r="AE410">
        <v>0</v>
      </c>
      <c r="AF410">
        <v>1</v>
      </c>
      <c r="AG410">
        <v>0</v>
      </c>
      <c r="AH410">
        <v>4.9000000000000004</v>
      </c>
      <c r="AI410" t="s">
        <v>56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 t="s">
        <v>57</v>
      </c>
      <c r="AS410" t="s">
        <v>1232</v>
      </c>
      <c r="AT410" t="s">
        <v>1232</v>
      </c>
      <c r="AU410" t="s">
        <v>1231</v>
      </c>
      <c r="AV410" t="s">
        <v>1233</v>
      </c>
      <c r="AW410" t="s">
        <v>1234</v>
      </c>
      <c r="AZ410">
        <v>84500</v>
      </c>
      <c r="BA410" t="s">
        <v>1235</v>
      </c>
      <c r="BB410" t="s">
        <v>61</v>
      </c>
      <c r="BC410" t="s">
        <v>62</v>
      </c>
    </row>
    <row r="411" spans="1:55" x14ac:dyDescent="0.25">
      <c r="A411" s="1" t="str">
        <f>IF(COUNTIF(Catégories!A:A,X411)=0,"catégorie inconnue",_xlfn.XLOOKUP(X411,Catégories!A:A,Catégories!B:B))</f>
        <v>Frêt</v>
      </c>
      <c r="B411" s="1">
        <f t="shared" si="18"/>
        <v>0</v>
      </c>
      <c r="C411" s="1">
        <f t="shared" si="19"/>
        <v>0</v>
      </c>
      <c r="D411" s="1">
        <f t="shared" si="20"/>
        <v>0</v>
      </c>
      <c r="E411" s="20">
        <f>IF(AH411&lt;&gt;0,ROUNDUP(AH411,0),IF(BB411&lt;&gt;"FR","hors France",IF(AH411&lt;&gt;0,ROUNDUP(AH411,0),_xlfn.XLOOKUP(AJ411,'PA GLS'!B:B,'PA GLS'!A:A))))</f>
        <v>2</v>
      </c>
      <c r="F411">
        <v>2501382993</v>
      </c>
      <c r="G411">
        <v>1030219782</v>
      </c>
      <c r="H411" t="s">
        <v>366</v>
      </c>
      <c r="I411">
        <v>2500034092</v>
      </c>
      <c r="J411" t="s">
        <v>50</v>
      </c>
      <c r="K411">
        <v>9000009190</v>
      </c>
      <c r="L411">
        <v>46946</v>
      </c>
      <c r="M411" t="s">
        <v>51</v>
      </c>
      <c r="N411">
        <v>9000079830</v>
      </c>
      <c r="O411" t="s">
        <v>187</v>
      </c>
      <c r="S411">
        <v>2507012387</v>
      </c>
      <c r="T411" t="s">
        <v>50</v>
      </c>
      <c r="U411" t="s">
        <v>122</v>
      </c>
      <c r="V411" t="s">
        <v>176</v>
      </c>
      <c r="W411" t="s">
        <v>177</v>
      </c>
      <c r="X411" t="s">
        <v>152</v>
      </c>
      <c r="Z411">
        <v>48</v>
      </c>
      <c r="AA411" t="s">
        <v>1199</v>
      </c>
      <c r="AB411" t="s">
        <v>1236</v>
      </c>
      <c r="AC411">
        <v>2604000126</v>
      </c>
      <c r="AE411">
        <v>0</v>
      </c>
      <c r="AF411">
        <v>1</v>
      </c>
      <c r="AG411">
        <v>0</v>
      </c>
      <c r="AH411">
        <v>1.1499999999999999</v>
      </c>
      <c r="AI411" t="s">
        <v>56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 t="s">
        <v>57</v>
      </c>
      <c r="AS411" t="s">
        <v>1237</v>
      </c>
      <c r="AT411" t="s">
        <v>1237</v>
      </c>
      <c r="AU411" t="s">
        <v>1236</v>
      </c>
      <c r="AV411" t="s">
        <v>1238</v>
      </c>
      <c r="AW411" t="s">
        <v>1239</v>
      </c>
      <c r="AZ411">
        <v>95360</v>
      </c>
      <c r="BA411" t="s">
        <v>1240</v>
      </c>
      <c r="BB411" t="s">
        <v>61</v>
      </c>
      <c r="BC411" t="s">
        <v>62</v>
      </c>
    </row>
    <row r="412" spans="1:55" x14ac:dyDescent="0.25">
      <c r="A412" s="1" t="str">
        <f>IF(COUNTIF(Catégories!A:A,X412)=0,"catégorie inconnue",_xlfn.XLOOKUP(X412,Catégories!A:A,Catégories!B:B))</f>
        <v>Frêt</v>
      </c>
      <c r="B412" s="1">
        <f t="shared" si="18"/>
        <v>0</v>
      </c>
      <c r="C412" s="1">
        <f t="shared" si="19"/>
        <v>0</v>
      </c>
      <c r="D412" s="1">
        <f t="shared" si="20"/>
        <v>0</v>
      </c>
      <c r="E412" s="20">
        <f>IF(AH412&lt;&gt;0,ROUNDUP(AH412,0),IF(BB412&lt;&gt;"FR","hors France",IF(AH412&lt;&gt;0,ROUNDUP(AH412,0),_xlfn.XLOOKUP(AJ412,'PA GLS'!B:B,'PA GLS'!A:A))))</f>
        <v>2</v>
      </c>
      <c r="F412">
        <v>2501382993</v>
      </c>
      <c r="G412">
        <v>1030219782</v>
      </c>
      <c r="H412" t="s">
        <v>366</v>
      </c>
      <c r="I412">
        <v>2500034092</v>
      </c>
      <c r="J412" t="s">
        <v>50</v>
      </c>
      <c r="K412">
        <v>9000009190</v>
      </c>
      <c r="L412">
        <v>46946</v>
      </c>
      <c r="M412" t="s">
        <v>51</v>
      </c>
      <c r="N412">
        <v>9000079830</v>
      </c>
      <c r="O412" t="s">
        <v>187</v>
      </c>
      <c r="S412">
        <v>2507012387</v>
      </c>
      <c r="T412" t="s">
        <v>50</v>
      </c>
      <c r="U412" t="s">
        <v>122</v>
      </c>
      <c r="V412" t="s">
        <v>176</v>
      </c>
      <c r="W412" t="s">
        <v>177</v>
      </c>
      <c r="X412" t="s">
        <v>152</v>
      </c>
      <c r="Z412">
        <v>48</v>
      </c>
      <c r="AA412" t="s">
        <v>1199</v>
      </c>
      <c r="AB412" t="s">
        <v>1241</v>
      </c>
      <c r="AC412">
        <v>2604000125</v>
      </c>
      <c r="AE412">
        <v>0</v>
      </c>
      <c r="AF412">
        <v>1</v>
      </c>
      <c r="AG412">
        <v>0</v>
      </c>
      <c r="AH412">
        <v>1.8</v>
      </c>
      <c r="AI412" t="s">
        <v>56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 t="s">
        <v>57</v>
      </c>
      <c r="AS412" t="s">
        <v>1242</v>
      </c>
      <c r="AT412" t="s">
        <v>1242</v>
      </c>
      <c r="AU412" t="s">
        <v>1241</v>
      </c>
      <c r="AV412" t="s">
        <v>1243</v>
      </c>
      <c r="AW412" t="s">
        <v>1244</v>
      </c>
      <c r="AZ412">
        <v>56000</v>
      </c>
      <c r="BA412" t="s">
        <v>1245</v>
      </c>
      <c r="BB412" t="s">
        <v>61</v>
      </c>
      <c r="BC412" t="s">
        <v>62</v>
      </c>
    </row>
    <row r="413" spans="1:55" x14ac:dyDescent="0.25">
      <c r="A413" s="1" t="str">
        <f>IF(COUNTIF(Catégories!A:A,X413)=0,"catégorie inconnue",_xlfn.XLOOKUP(X413,Catégories!A:A,Catégories!B:B))</f>
        <v>Frêt</v>
      </c>
      <c r="B413" s="1">
        <f t="shared" si="18"/>
        <v>0</v>
      </c>
      <c r="C413" s="1">
        <f t="shared" si="19"/>
        <v>0</v>
      </c>
      <c r="D413" s="1">
        <f t="shared" si="20"/>
        <v>0</v>
      </c>
      <c r="E413" s="20">
        <f>IF(AH413&lt;&gt;0,ROUNDUP(AH413,0),IF(BB413&lt;&gt;"FR","hors France",IF(AH413&lt;&gt;0,ROUNDUP(AH413,0),_xlfn.XLOOKUP(AJ413,'PA GLS'!B:B,'PA GLS'!A:A))))</f>
        <v>3</v>
      </c>
      <c r="F413">
        <v>2501382993</v>
      </c>
      <c r="G413">
        <v>1030219782</v>
      </c>
      <c r="H413" t="s">
        <v>366</v>
      </c>
      <c r="I413">
        <v>2500034092</v>
      </c>
      <c r="J413" t="s">
        <v>50</v>
      </c>
      <c r="K413">
        <v>9000009190</v>
      </c>
      <c r="L413">
        <v>46946</v>
      </c>
      <c r="M413" t="s">
        <v>51</v>
      </c>
      <c r="N413">
        <v>9000079830</v>
      </c>
      <c r="O413" t="s">
        <v>187</v>
      </c>
      <c r="S413">
        <v>2507012387</v>
      </c>
      <c r="T413" t="s">
        <v>50</v>
      </c>
      <c r="U413" t="s">
        <v>122</v>
      </c>
      <c r="V413" t="s">
        <v>176</v>
      </c>
      <c r="W413" t="s">
        <v>177</v>
      </c>
      <c r="X413" t="s">
        <v>152</v>
      </c>
      <c r="Z413">
        <v>48</v>
      </c>
      <c r="AA413" t="s">
        <v>1199</v>
      </c>
      <c r="AB413" t="s">
        <v>1246</v>
      </c>
      <c r="AC413">
        <v>2604000124</v>
      </c>
      <c r="AE413">
        <v>0</v>
      </c>
      <c r="AF413">
        <v>1</v>
      </c>
      <c r="AG413">
        <v>0</v>
      </c>
      <c r="AH413">
        <v>2.35</v>
      </c>
      <c r="AI413" t="s">
        <v>56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 t="s">
        <v>57</v>
      </c>
      <c r="AS413" t="s">
        <v>1247</v>
      </c>
      <c r="AT413" t="s">
        <v>1247</v>
      </c>
      <c r="AU413" t="s">
        <v>1246</v>
      </c>
      <c r="AV413" t="s">
        <v>1248</v>
      </c>
      <c r="AW413" t="s">
        <v>1249</v>
      </c>
      <c r="AZ413">
        <v>92800</v>
      </c>
      <c r="BA413" t="s">
        <v>309</v>
      </c>
      <c r="BB413" t="s">
        <v>61</v>
      </c>
      <c r="BC413" t="s">
        <v>62</v>
      </c>
    </row>
    <row r="414" spans="1:55" x14ac:dyDescent="0.25">
      <c r="A414" s="1" t="str">
        <f>IF(COUNTIF(Catégories!A:A,X414)=0,"catégorie inconnue",_xlfn.XLOOKUP(X414,Catégories!A:A,Catégories!B:B))</f>
        <v>Frêt</v>
      </c>
      <c r="B414" s="1">
        <f t="shared" si="18"/>
        <v>0</v>
      </c>
      <c r="C414" s="1">
        <f t="shared" si="19"/>
        <v>0</v>
      </c>
      <c r="D414" s="1">
        <f t="shared" si="20"/>
        <v>0</v>
      </c>
      <c r="E414" s="20">
        <f>IF(AH414&lt;&gt;0,ROUNDUP(AH414,0),IF(BB414&lt;&gt;"FR","hors France",IF(AH414&lt;&gt;0,ROUNDUP(AH414,0),_xlfn.XLOOKUP(AJ414,'PA GLS'!B:B,'PA GLS'!A:A))))</f>
        <v>4</v>
      </c>
      <c r="F414">
        <v>2501382993</v>
      </c>
      <c r="G414">
        <v>1030219782</v>
      </c>
      <c r="H414" t="s">
        <v>366</v>
      </c>
      <c r="I414">
        <v>2500034092</v>
      </c>
      <c r="J414" t="s">
        <v>50</v>
      </c>
      <c r="K414">
        <v>9000009190</v>
      </c>
      <c r="L414">
        <v>46946</v>
      </c>
      <c r="M414" t="s">
        <v>51</v>
      </c>
      <c r="N414">
        <v>9000079830</v>
      </c>
      <c r="O414" t="s">
        <v>187</v>
      </c>
      <c r="S414">
        <v>2507012387</v>
      </c>
      <c r="T414" t="s">
        <v>50</v>
      </c>
      <c r="U414" t="s">
        <v>122</v>
      </c>
      <c r="V414" t="s">
        <v>176</v>
      </c>
      <c r="W414" t="s">
        <v>177</v>
      </c>
      <c r="X414" t="s">
        <v>152</v>
      </c>
      <c r="Z414">
        <v>48</v>
      </c>
      <c r="AA414" t="s">
        <v>1199</v>
      </c>
      <c r="AB414" t="s">
        <v>1250</v>
      </c>
      <c r="AC414">
        <v>2604000123</v>
      </c>
      <c r="AE414">
        <v>0</v>
      </c>
      <c r="AF414">
        <v>1</v>
      </c>
      <c r="AG414">
        <v>0</v>
      </c>
      <c r="AH414">
        <v>3.78</v>
      </c>
      <c r="AI414" t="s">
        <v>56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 t="s">
        <v>57</v>
      </c>
      <c r="AS414" t="s">
        <v>1251</v>
      </c>
      <c r="AT414" t="s">
        <v>1251</v>
      </c>
      <c r="AU414" t="s">
        <v>1250</v>
      </c>
      <c r="AV414" t="s">
        <v>1252</v>
      </c>
      <c r="AW414" t="s">
        <v>1253</v>
      </c>
      <c r="AZ414">
        <v>49300</v>
      </c>
      <c r="BA414" t="s">
        <v>683</v>
      </c>
      <c r="BB414" t="s">
        <v>61</v>
      </c>
      <c r="BC414" t="s">
        <v>62</v>
      </c>
    </row>
    <row r="415" spans="1:55" x14ac:dyDescent="0.25">
      <c r="A415" s="1" t="str">
        <f>IF(COUNTIF(Catégories!A:A,X415)=0,"catégorie inconnue",_xlfn.XLOOKUP(X415,Catégories!A:A,Catégories!B:B))</f>
        <v>Frêt</v>
      </c>
      <c r="B415" s="1">
        <f t="shared" si="18"/>
        <v>0</v>
      </c>
      <c r="C415" s="1">
        <f t="shared" si="19"/>
        <v>0</v>
      </c>
      <c r="D415" s="1">
        <f t="shared" si="20"/>
        <v>0</v>
      </c>
      <c r="E415" s="20">
        <f>IF(AH415&lt;&gt;0,ROUNDUP(AH415,0),IF(BB415&lt;&gt;"FR","hors France",IF(AH415&lt;&gt;0,ROUNDUP(AH415,0),_xlfn.XLOOKUP(AJ415,'PA GLS'!B:B,'PA GLS'!A:A))))</f>
        <v>2</v>
      </c>
      <c r="F415">
        <v>2501382993</v>
      </c>
      <c r="G415">
        <v>1030219782</v>
      </c>
      <c r="H415" t="s">
        <v>366</v>
      </c>
      <c r="I415">
        <v>2500034092</v>
      </c>
      <c r="J415" t="s">
        <v>50</v>
      </c>
      <c r="K415">
        <v>9000009190</v>
      </c>
      <c r="L415">
        <v>46946</v>
      </c>
      <c r="M415" t="s">
        <v>51</v>
      </c>
      <c r="N415">
        <v>9000079830</v>
      </c>
      <c r="O415" t="s">
        <v>187</v>
      </c>
      <c r="S415">
        <v>2507012387</v>
      </c>
      <c r="T415" t="s">
        <v>50</v>
      </c>
      <c r="U415" t="s">
        <v>122</v>
      </c>
      <c r="V415" t="s">
        <v>176</v>
      </c>
      <c r="W415" t="s">
        <v>177</v>
      </c>
      <c r="X415" t="s">
        <v>152</v>
      </c>
      <c r="Z415">
        <v>48</v>
      </c>
      <c r="AA415" t="s">
        <v>1199</v>
      </c>
      <c r="AB415" t="s">
        <v>1254</v>
      </c>
      <c r="AC415">
        <v>2604000122</v>
      </c>
      <c r="AE415">
        <v>0</v>
      </c>
      <c r="AF415">
        <v>1</v>
      </c>
      <c r="AG415">
        <v>0</v>
      </c>
      <c r="AH415">
        <v>1.1100000000000001</v>
      </c>
      <c r="AI415" t="s">
        <v>56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 t="s">
        <v>57</v>
      </c>
      <c r="AS415" t="s">
        <v>1255</v>
      </c>
      <c r="AT415" t="s">
        <v>1255</v>
      </c>
      <c r="AU415" t="s">
        <v>1254</v>
      </c>
      <c r="AV415" t="s">
        <v>1256</v>
      </c>
      <c r="AW415" t="s">
        <v>1257</v>
      </c>
      <c r="AZ415">
        <v>33000</v>
      </c>
      <c r="BA415" t="s">
        <v>228</v>
      </c>
      <c r="BB415" t="s">
        <v>61</v>
      </c>
      <c r="BC415" t="s">
        <v>62</v>
      </c>
    </row>
    <row r="416" spans="1:55" x14ac:dyDescent="0.25">
      <c r="A416" s="1" t="str">
        <f>IF(COUNTIF(Catégories!A:A,X416)=0,"catégorie inconnue",_xlfn.XLOOKUP(X416,Catégories!A:A,Catégories!B:B))</f>
        <v>Frêt</v>
      </c>
      <c r="B416" s="1">
        <f t="shared" si="18"/>
        <v>0</v>
      </c>
      <c r="C416" s="1">
        <f t="shared" si="19"/>
        <v>0</v>
      </c>
      <c r="D416" s="1">
        <f t="shared" si="20"/>
        <v>0</v>
      </c>
      <c r="E416" s="20">
        <f>IF(AH416&lt;&gt;0,ROUNDUP(AH416,0),IF(BB416&lt;&gt;"FR","hors France",IF(AH416&lt;&gt;0,ROUNDUP(AH416,0),_xlfn.XLOOKUP(AJ416,'PA GLS'!B:B,'PA GLS'!A:A))))</f>
        <v>2</v>
      </c>
      <c r="F416">
        <v>2501382993</v>
      </c>
      <c r="G416">
        <v>1030219782</v>
      </c>
      <c r="H416" t="s">
        <v>366</v>
      </c>
      <c r="I416">
        <v>2500034092</v>
      </c>
      <c r="J416" t="s">
        <v>50</v>
      </c>
      <c r="K416">
        <v>9000009190</v>
      </c>
      <c r="L416">
        <v>46946</v>
      </c>
      <c r="M416" t="s">
        <v>51</v>
      </c>
      <c r="N416">
        <v>9000079830</v>
      </c>
      <c r="O416" t="s">
        <v>187</v>
      </c>
      <c r="S416">
        <v>2507012387</v>
      </c>
      <c r="T416" t="s">
        <v>50</v>
      </c>
      <c r="U416" t="s">
        <v>122</v>
      </c>
      <c r="V416" t="s">
        <v>176</v>
      </c>
      <c r="W416" t="s">
        <v>177</v>
      </c>
      <c r="X416" t="s">
        <v>152</v>
      </c>
      <c r="Z416">
        <v>48</v>
      </c>
      <c r="AA416" t="s">
        <v>1199</v>
      </c>
      <c r="AB416" t="s">
        <v>1258</v>
      </c>
      <c r="AC416">
        <v>2604000121</v>
      </c>
      <c r="AE416">
        <v>0</v>
      </c>
      <c r="AF416">
        <v>1</v>
      </c>
      <c r="AG416">
        <v>0</v>
      </c>
      <c r="AH416">
        <v>1.86</v>
      </c>
      <c r="AI416" t="s">
        <v>56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 t="s">
        <v>57</v>
      </c>
      <c r="AS416" t="s">
        <v>1259</v>
      </c>
      <c r="AT416" t="s">
        <v>1259</v>
      </c>
      <c r="AU416" t="s">
        <v>1258</v>
      </c>
      <c r="AV416" t="s">
        <v>1260</v>
      </c>
      <c r="AW416" t="s">
        <v>1261</v>
      </c>
      <c r="AZ416">
        <v>30290</v>
      </c>
      <c r="BA416" t="s">
        <v>1262</v>
      </c>
      <c r="BB416" t="s">
        <v>61</v>
      </c>
      <c r="BC416" t="s">
        <v>62</v>
      </c>
    </row>
    <row r="417" spans="1:55" x14ac:dyDescent="0.25">
      <c r="A417" s="1" t="str">
        <f>IF(COUNTIF(Catégories!A:A,X417)=0,"catégorie inconnue",_xlfn.XLOOKUP(X417,Catégories!A:A,Catégories!B:B))</f>
        <v>Frêt</v>
      </c>
      <c r="B417" s="1">
        <f t="shared" si="18"/>
        <v>0</v>
      </c>
      <c r="C417" s="1">
        <f t="shared" si="19"/>
        <v>0</v>
      </c>
      <c r="D417" s="1">
        <f t="shared" si="20"/>
        <v>0</v>
      </c>
      <c r="E417" s="20">
        <f>IF(AH417&lt;&gt;0,ROUNDUP(AH417,0),IF(BB417&lt;&gt;"FR","hors France",IF(AH417&lt;&gt;0,ROUNDUP(AH417,0),_xlfn.XLOOKUP(AJ417,'PA GLS'!B:B,'PA GLS'!A:A))))</f>
        <v>4</v>
      </c>
      <c r="F417">
        <v>2501382993</v>
      </c>
      <c r="G417">
        <v>1030219782</v>
      </c>
      <c r="H417" t="s">
        <v>366</v>
      </c>
      <c r="I417">
        <v>2500034092</v>
      </c>
      <c r="J417" t="s">
        <v>50</v>
      </c>
      <c r="K417">
        <v>9000009190</v>
      </c>
      <c r="L417">
        <v>46946</v>
      </c>
      <c r="M417" t="s">
        <v>51</v>
      </c>
      <c r="N417">
        <v>9000079830</v>
      </c>
      <c r="O417" t="s">
        <v>187</v>
      </c>
      <c r="S417">
        <v>2507012387</v>
      </c>
      <c r="T417" t="s">
        <v>50</v>
      </c>
      <c r="U417" t="s">
        <v>122</v>
      </c>
      <c r="V417" t="s">
        <v>176</v>
      </c>
      <c r="W417" t="s">
        <v>177</v>
      </c>
      <c r="X417" t="s">
        <v>152</v>
      </c>
      <c r="Z417">
        <v>48</v>
      </c>
      <c r="AA417" t="s">
        <v>1199</v>
      </c>
      <c r="AB417" t="s">
        <v>1263</v>
      </c>
      <c r="AC417">
        <v>2604000120</v>
      </c>
      <c r="AE417">
        <v>0</v>
      </c>
      <c r="AF417">
        <v>1</v>
      </c>
      <c r="AG417">
        <v>0</v>
      </c>
      <c r="AH417">
        <v>3.58</v>
      </c>
      <c r="AI417" t="s">
        <v>56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 t="s">
        <v>57</v>
      </c>
      <c r="AS417" t="s">
        <v>1264</v>
      </c>
      <c r="AT417" t="s">
        <v>1264</v>
      </c>
      <c r="AU417" t="s">
        <v>1263</v>
      </c>
      <c r="AV417" t="s">
        <v>1265</v>
      </c>
      <c r="AW417" t="s">
        <v>1266</v>
      </c>
      <c r="AZ417">
        <v>74960</v>
      </c>
      <c r="BA417" t="s">
        <v>274</v>
      </c>
      <c r="BB417" t="s">
        <v>61</v>
      </c>
      <c r="BC417" t="s">
        <v>62</v>
      </c>
    </row>
    <row r="418" spans="1:55" x14ac:dyDescent="0.25">
      <c r="A418" s="1" t="str">
        <f>IF(COUNTIF(Catégories!A:A,X418)=0,"catégorie inconnue",_xlfn.XLOOKUP(X418,Catégories!A:A,Catégories!B:B))</f>
        <v>Frêt</v>
      </c>
      <c r="B418" s="1">
        <f t="shared" si="18"/>
        <v>0</v>
      </c>
      <c r="C418" s="1">
        <f t="shared" si="19"/>
        <v>0</v>
      </c>
      <c r="D418" s="1">
        <f t="shared" si="20"/>
        <v>0</v>
      </c>
      <c r="E418" s="20">
        <f>IF(AH418&lt;&gt;0,ROUNDUP(AH418,0),IF(BB418&lt;&gt;"FR","hors France",IF(AH418&lt;&gt;0,ROUNDUP(AH418,0),_xlfn.XLOOKUP(AJ418,'PA GLS'!B:B,'PA GLS'!A:A))))</f>
        <v>6</v>
      </c>
      <c r="F418">
        <v>2501382993</v>
      </c>
      <c r="G418">
        <v>1030219782</v>
      </c>
      <c r="H418" t="s">
        <v>366</v>
      </c>
      <c r="I418">
        <v>2500034092</v>
      </c>
      <c r="J418" t="s">
        <v>50</v>
      </c>
      <c r="K418">
        <v>9000009190</v>
      </c>
      <c r="L418">
        <v>46946</v>
      </c>
      <c r="M418" t="s">
        <v>51</v>
      </c>
      <c r="N418">
        <v>9000079830</v>
      </c>
      <c r="O418" t="s">
        <v>187</v>
      </c>
      <c r="S418">
        <v>2507012387</v>
      </c>
      <c r="T418" t="s">
        <v>50</v>
      </c>
      <c r="U418" t="s">
        <v>122</v>
      </c>
      <c r="V418" t="s">
        <v>176</v>
      </c>
      <c r="W418" t="s">
        <v>177</v>
      </c>
      <c r="X418" t="s">
        <v>152</v>
      </c>
      <c r="Z418">
        <v>48</v>
      </c>
      <c r="AA418" t="s">
        <v>1199</v>
      </c>
      <c r="AB418" t="s">
        <v>1267</v>
      </c>
      <c r="AC418">
        <v>2604000119</v>
      </c>
      <c r="AE418">
        <v>0</v>
      </c>
      <c r="AF418">
        <v>1</v>
      </c>
      <c r="AG418">
        <v>0</v>
      </c>
      <c r="AH418">
        <v>5.0599999999999996</v>
      </c>
      <c r="AI418" t="s">
        <v>56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 t="s">
        <v>57</v>
      </c>
      <c r="AS418" t="s">
        <v>1268</v>
      </c>
      <c r="AT418" t="s">
        <v>1268</v>
      </c>
      <c r="AU418" t="s">
        <v>1267</v>
      </c>
      <c r="AV418" t="s">
        <v>1269</v>
      </c>
      <c r="AW418" t="s">
        <v>1270</v>
      </c>
      <c r="AZ418">
        <v>69160</v>
      </c>
      <c r="BA418" t="s">
        <v>334</v>
      </c>
      <c r="BB418" t="s">
        <v>61</v>
      </c>
      <c r="BC418" t="s">
        <v>62</v>
      </c>
    </row>
    <row r="419" spans="1:55" x14ac:dyDescent="0.25">
      <c r="A419" s="1" t="str">
        <f>IF(COUNTIF(Catégories!A:A,X419)=0,"catégorie inconnue",_xlfn.XLOOKUP(X419,Catégories!A:A,Catégories!B:B))</f>
        <v>Frêt</v>
      </c>
      <c r="B419" s="1">
        <f t="shared" si="18"/>
        <v>0</v>
      </c>
      <c r="C419" s="1">
        <f t="shared" si="19"/>
        <v>0</v>
      </c>
      <c r="D419" s="1">
        <f t="shared" si="20"/>
        <v>0</v>
      </c>
      <c r="E419" s="20">
        <f>IF(AH419&lt;&gt;0,ROUNDUP(AH419,0),IF(BB419&lt;&gt;"FR","hors France",IF(AH419&lt;&gt;0,ROUNDUP(AH419,0),_xlfn.XLOOKUP(AJ419,'PA GLS'!B:B,'PA GLS'!A:A))))</f>
        <v>1</v>
      </c>
      <c r="F419">
        <v>2501382993</v>
      </c>
      <c r="G419">
        <v>1030219782</v>
      </c>
      <c r="H419" t="s">
        <v>366</v>
      </c>
      <c r="I419">
        <v>2500034092</v>
      </c>
      <c r="J419" t="s">
        <v>50</v>
      </c>
      <c r="K419">
        <v>9000009190</v>
      </c>
      <c r="L419">
        <v>46946</v>
      </c>
      <c r="M419" t="s">
        <v>51</v>
      </c>
      <c r="N419">
        <v>9000079830</v>
      </c>
      <c r="O419" t="s">
        <v>187</v>
      </c>
      <c r="S419">
        <v>2507012387</v>
      </c>
      <c r="T419" t="s">
        <v>50</v>
      </c>
      <c r="U419" t="s">
        <v>122</v>
      </c>
      <c r="V419" t="s">
        <v>176</v>
      </c>
      <c r="W419" t="s">
        <v>177</v>
      </c>
      <c r="X419" t="s">
        <v>152</v>
      </c>
      <c r="Z419">
        <v>48</v>
      </c>
      <c r="AA419" t="s">
        <v>1199</v>
      </c>
      <c r="AB419" t="s">
        <v>1271</v>
      </c>
      <c r="AC419">
        <v>2604000099</v>
      </c>
      <c r="AE419">
        <v>0</v>
      </c>
      <c r="AF419">
        <v>1</v>
      </c>
      <c r="AG419">
        <v>0</v>
      </c>
      <c r="AH419">
        <v>0.42</v>
      </c>
      <c r="AI419" t="s">
        <v>56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 t="s">
        <v>57</v>
      </c>
      <c r="AS419" t="s">
        <v>1272</v>
      </c>
      <c r="AT419" t="s">
        <v>1272</v>
      </c>
      <c r="AU419" t="s">
        <v>1271</v>
      </c>
      <c r="AV419" t="s">
        <v>1273</v>
      </c>
      <c r="AW419" t="s">
        <v>1274</v>
      </c>
      <c r="AZ419">
        <v>29560</v>
      </c>
      <c r="BA419" t="s">
        <v>1275</v>
      </c>
      <c r="BB419" t="s">
        <v>61</v>
      </c>
      <c r="BC419" t="s">
        <v>62</v>
      </c>
    </row>
    <row r="420" spans="1:55" x14ac:dyDescent="0.25">
      <c r="A420" s="1" t="str">
        <f>IF(COUNTIF(Catégories!A:A,X420)=0,"catégorie inconnue",_xlfn.XLOOKUP(X420,Catégories!A:A,Catégories!B:B))</f>
        <v>Frêt</v>
      </c>
      <c r="B420" s="1">
        <f t="shared" si="18"/>
        <v>0</v>
      </c>
      <c r="C420" s="1">
        <f t="shared" si="19"/>
        <v>0</v>
      </c>
      <c r="D420" s="1">
        <f t="shared" si="20"/>
        <v>0</v>
      </c>
      <c r="E420" s="20">
        <f>IF(AH420&lt;&gt;0,ROUNDUP(AH420,0),IF(BB420&lt;&gt;"FR","hors France",IF(AH420&lt;&gt;0,ROUNDUP(AH420,0),_xlfn.XLOOKUP(AJ420,'PA GLS'!B:B,'PA GLS'!A:A))))</f>
        <v>3</v>
      </c>
      <c r="F420">
        <v>2501382993</v>
      </c>
      <c r="G420">
        <v>1030219782</v>
      </c>
      <c r="H420" t="s">
        <v>366</v>
      </c>
      <c r="I420">
        <v>2500034092</v>
      </c>
      <c r="J420" t="s">
        <v>50</v>
      </c>
      <c r="K420">
        <v>9000009190</v>
      </c>
      <c r="L420">
        <v>46946</v>
      </c>
      <c r="M420" t="s">
        <v>51</v>
      </c>
      <c r="N420">
        <v>9000079830</v>
      </c>
      <c r="O420" t="s">
        <v>187</v>
      </c>
      <c r="S420">
        <v>2507012387</v>
      </c>
      <c r="T420" t="s">
        <v>50</v>
      </c>
      <c r="U420" t="s">
        <v>122</v>
      </c>
      <c r="V420" t="s">
        <v>176</v>
      </c>
      <c r="W420" t="s">
        <v>177</v>
      </c>
      <c r="X420" t="s">
        <v>152</v>
      </c>
      <c r="Z420">
        <v>48</v>
      </c>
      <c r="AA420" t="s">
        <v>1199</v>
      </c>
      <c r="AB420" t="s">
        <v>1276</v>
      </c>
      <c r="AC420">
        <v>2604000100</v>
      </c>
      <c r="AE420">
        <v>0</v>
      </c>
      <c r="AF420">
        <v>1</v>
      </c>
      <c r="AG420">
        <v>0</v>
      </c>
      <c r="AH420">
        <v>2.2200000000000002</v>
      </c>
      <c r="AI420" t="s">
        <v>56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 t="s">
        <v>57</v>
      </c>
      <c r="AS420" t="s">
        <v>1277</v>
      </c>
      <c r="AT420" t="s">
        <v>1277</v>
      </c>
      <c r="AU420" t="s">
        <v>1276</v>
      </c>
      <c r="AV420" t="s">
        <v>1278</v>
      </c>
      <c r="AW420" t="s">
        <v>1279</v>
      </c>
      <c r="AZ420">
        <v>84330</v>
      </c>
      <c r="BA420" t="s">
        <v>1280</v>
      </c>
      <c r="BB420" t="s">
        <v>61</v>
      </c>
      <c r="BC420" t="s">
        <v>62</v>
      </c>
    </row>
    <row r="421" spans="1:55" x14ac:dyDescent="0.25">
      <c r="A421" s="1" t="str">
        <f>IF(COUNTIF(Catégories!A:A,X421)=0,"catégorie inconnue",_xlfn.XLOOKUP(X421,Catégories!A:A,Catégories!B:B))</f>
        <v>Frêt</v>
      </c>
      <c r="B421" s="1">
        <f t="shared" si="18"/>
        <v>0</v>
      </c>
      <c r="C421" s="1">
        <f t="shared" si="19"/>
        <v>0</v>
      </c>
      <c r="D421" s="1">
        <f t="shared" si="20"/>
        <v>0</v>
      </c>
      <c r="E421" s="20">
        <f>IF(AH421&lt;&gt;0,ROUNDUP(AH421,0),IF(BB421&lt;&gt;"FR","hors France",IF(AH421&lt;&gt;0,ROUNDUP(AH421,0),_xlfn.XLOOKUP(AJ421,'PA GLS'!B:B,'PA GLS'!A:A))))</f>
        <v>2</v>
      </c>
      <c r="F421">
        <v>2501382993</v>
      </c>
      <c r="G421">
        <v>1030219782</v>
      </c>
      <c r="H421" t="s">
        <v>366</v>
      </c>
      <c r="I421">
        <v>2500034092</v>
      </c>
      <c r="J421" t="s">
        <v>50</v>
      </c>
      <c r="K421">
        <v>9000009190</v>
      </c>
      <c r="L421">
        <v>46946</v>
      </c>
      <c r="M421" t="s">
        <v>51</v>
      </c>
      <c r="N421">
        <v>9000079830</v>
      </c>
      <c r="O421" t="s">
        <v>187</v>
      </c>
      <c r="S421">
        <v>2507012387</v>
      </c>
      <c r="T421" t="s">
        <v>50</v>
      </c>
      <c r="U421" t="s">
        <v>122</v>
      </c>
      <c r="V421" t="s">
        <v>176</v>
      </c>
      <c r="W421" t="s">
        <v>177</v>
      </c>
      <c r="X421" t="s">
        <v>152</v>
      </c>
      <c r="Z421">
        <v>48</v>
      </c>
      <c r="AA421" t="s">
        <v>1199</v>
      </c>
      <c r="AB421" t="s">
        <v>1281</v>
      </c>
      <c r="AC421">
        <v>2604000101</v>
      </c>
      <c r="AE421">
        <v>0</v>
      </c>
      <c r="AF421">
        <v>1</v>
      </c>
      <c r="AG421">
        <v>0</v>
      </c>
      <c r="AH421">
        <v>1.1599999999999999</v>
      </c>
      <c r="AI421" t="s">
        <v>56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 t="s">
        <v>57</v>
      </c>
      <c r="AS421" t="s">
        <v>1282</v>
      </c>
      <c r="AT421" t="s">
        <v>1282</v>
      </c>
      <c r="AU421" t="s">
        <v>1281</v>
      </c>
      <c r="AV421" t="s">
        <v>1283</v>
      </c>
      <c r="AW421" t="s">
        <v>1284</v>
      </c>
      <c r="AZ421">
        <v>76750</v>
      </c>
      <c r="BA421" t="s">
        <v>1285</v>
      </c>
      <c r="BB421" t="s">
        <v>61</v>
      </c>
      <c r="BC421" t="s">
        <v>62</v>
      </c>
    </row>
    <row r="422" spans="1:55" x14ac:dyDescent="0.25">
      <c r="A422" s="1" t="str">
        <f>IF(COUNTIF(Catégories!A:A,X422)=0,"catégorie inconnue",_xlfn.XLOOKUP(X422,Catégories!A:A,Catégories!B:B))</f>
        <v>Frêt</v>
      </c>
      <c r="B422" s="1">
        <f t="shared" si="18"/>
        <v>0</v>
      </c>
      <c r="C422" s="1">
        <f t="shared" si="19"/>
        <v>0</v>
      </c>
      <c r="D422" s="1">
        <f t="shared" si="20"/>
        <v>0</v>
      </c>
      <c r="E422" s="20">
        <f>IF(AH422&lt;&gt;0,ROUNDUP(AH422,0),IF(BB422&lt;&gt;"FR","hors France",IF(AH422&lt;&gt;0,ROUNDUP(AH422,0),_xlfn.XLOOKUP(AJ422,'PA GLS'!B:B,'PA GLS'!A:A))))</f>
        <v>1</v>
      </c>
      <c r="F422">
        <v>2501382993</v>
      </c>
      <c r="G422">
        <v>1030219782</v>
      </c>
      <c r="H422" t="s">
        <v>366</v>
      </c>
      <c r="I422">
        <v>2500034092</v>
      </c>
      <c r="J422" t="s">
        <v>50</v>
      </c>
      <c r="K422">
        <v>9000009190</v>
      </c>
      <c r="L422">
        <v>46946</v>
      </c>
      <c r="M422" t="s">
        <v>51</v>
      </c>
      <c r="N422">
        <v>9000079830</v>
      </c>
      <c r="O422" t="s">
        <v>187</v>
      </c>
      <c r="S422">
        <v>2507012387</v>
      </c>
      <c r="T422" t="s">
        <v>50</v>
      </c>
      <c r="U422" t="s">
        <v>122</v>
      </c>
      <c r="V422" t="s">
        <v>176</v>
      </c>
      <c r="W422" t="s">
        <v>177</v>
      </c>
      <c r="X422" t="s">
        <v>152</v>
      </c>
      <c r="Z422">
        <v>48</v>
      </c>
      <c r="AA422" t="s">
        <v>1199</v>
      </c>
      <c r="AB422" t="s">
        <v>1286</v>
      </c>
      <c r="AC422">
        <v>2604000102</v>
      </c>
      <c r="AE422">
        <v>0</v>
      </c>
      <c r="AF422">
        <v>1</v>
      </c>
      <c r="AG422">
        <v>0</v>
      </c>
      <c r="AH422">
        <v>0.6</v>
      </c>
      <c r="AI422" t="s">
        <v>56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 t="s">
        <v>57</v>
      </c>
      <c r="AS422" t="s">
        <v>1287</v>
      </c>
      <c r="AT422" t="s">
        <v>1287</v>
      </c>
      <c r="AU422" t="s">
        <v>1286</v>
      </c>
      <c r="AV422" t="s">
        <v>1288</v>
      </c>
      <c r="AW422" t="s">
        <v>1289</v>
      </c>
      <c r="AZ422">
        <v>91210</v>
      </c>
      <c r="BA422" t="s">
        <v>287</v>
      </c>
      <c r="BB422" t="s">
        <v>61</v>
      </c>
      <c r="BC422" t="s">
        <v>62</v>
      </c>
    </row>
    <row r="423" spans="1:55" x14ac:dyDescent="0.25">
      <c r="A423" s="1" t="str">
        <f>IF(COUNTIF(Catégories!A:A,X423)=0,"catégorie inconnue",_xlfn.XLOOKUP(X423,Catégories!A:A,Catégories!B:B))</f>
        <v>Frêt</v>
      </c>
      <c r="B423" s="1">
        <f t="shared" si="18"/>
        <v>0</v>
      </c>
      <c r="C423" s="1">
        <f t="shared" si="19"/>
        <v>0</v>
      </c>
      <c r="D423" s="1">
        <f t="shared" si="20"/>
        <v>0</v>
      </c>
      <c r="E423" s="20">
        <f>IF(AH423&lt;&gt;0,ROUNDUP(AH423,0),IF(BB423&lt;&gt;"FR","hors France",IF(AH423&lt;&gt;0,ROUNDUP(AH423,0),_xlfn.XLOOKUP(AJ423,'PA GLS'!B:B,'PA GLS'!A:A))))</f>
        <v>1</v>
      </c>
      <c r="F423">
        <v>2501382993</v>
      </c>
      <c r="G423">
        <v>1030219782</v>
      </c>
      <c r="H423" t="s">
        <v>366</v>
      </c>
      <c r="I423">
        <v>2500034092</v>
      </c>
      <c r="J423" t="s">
        <v>50</v>
      </c>
      <c r="K423">
        <v>9000009190</v>
      </c>
      <c r="L423">
        <v>46946</v>
      </c>
      <c r="M423" t="s">
        <v>51</v>
      </c>
      <c r="N423">
        <v>9000079830</v>
      </c>
      <c r="O423" t="s">
        <v>187</v>
      </c>
      <c r="S423">
        <v>2507012387</v>
      </c>
      <c r="T423" t="s">
        <v>50</v>
      </c>
      <c r="U423" t="s">
        <v>122</v>
      </c>
      <c r="V423" t="s">
        <v>176</v>
      </c>
      <c r="W423" t="s">
        <v>177</v>
      </c>
      <c r="X423" t="s">
        <v>152</v>
      </c>
      <c r="Z423">
        <v>48</v>
      </c>
      <c r="AA423" t="s">
        <v>1199</v>
      </c>
      <c r="AB423" t="s">
        <v>1290</v>
      </c>
      <c r="AC423">
        <v>2604000103</v>
      </c>
      <c r="AE423">
        <v>0</v>
      </c>
      <c r="AF423">
        <v>1</v>
      </c>
      <c r="AG423">
        <v>0</v>
      </c>
      <c r="AH423">
        <v>0.57999999999999996</v>
      </c>
      <c r="AI423" t="s">
        <v>56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 t="s">
        <v>57</v>
      </c>
      <c r="AS423" t="s">
        <v>1291</v>
      </c>
      <c r="AT423" t="s">
        <v>1291</v>
      </c>
      <c r="AU423" t="s">
        <v>1290</v>
      </c>
      <c r="AV423" t="s">
        <v>1292</v>
      </c>
      <c r="AW423" t="s">
        <v>1293</v>
      </c>
      <c r="AZ423">
        <v>94000</v>
      </c>
      <c r="BA423" t="s">
        <v>1294</v>
      </c>
      <c r="BB423" t="s">
        <v>61</v>
      </c>
      <c r="BC423" t="s">
        <v>62</v>
      </c>
    </row>
    <row r="424" spans="1:55" x14ac:dyDescent="0.25">
      <c r="A424" s="1" t="str">
        <f>IF(COUNTIF(Catégories!A:A,X424)=0,"catégorie inconnue",_xlfn.XLOOKUP(X424,Catégories!A:A,Catégories!B:B))</f>
        <v>Frêt</v>
      </c>
      <c r="B424" s="1">
        <f t="shared" si="18"/>
        <v>0</v>
      </c>
      <c r="C424" s="1">
        <f t="shared" si="19"/>
        <v>0</v>
      </c>
      <c r="D424" s="1">
        <f t="shared" si="20"/>
        <v>0</v>
      </c>
      <c r="E424" s="20">
        <f>IF(AH424&lt;&gt;0,ROUNDUP(AH424,0),IF(BB424&lt;&gt;"FR","hors France",IF(AH424&lt;&gt;0,ROUNDUP(AH424,0),_xlfn.XLOOKUP(AJ424,'PA GLS'!B:B,'PA GLS'!A:A))))</f>
        <v>2</v>
      </c>
      <c r="F424">
        <v>2501382993</v>
      </c>
      <c r="G424">
        <v>1030219782</v>
      </c>
      <c r="H424" t="s">
        <v>366</v>
      </c>
      <c r="I424">
        <v>2500034092</v>
      </c>
      <c r="J424" t="s">
        <v>50</v>
      </c>
      <c r="K424">
        <v>9000009190</v>
      </c>
      <c r="L424">
        <v>46946</v>
      </c>
      <c r="M424" t="s">
        <v>51</v>
      </c>
      <c r="N424">
        <v>9000079830</v>
      </c>
      <c r="O424" t="s">
        <v>187</v>
      </c>
      <c r="S424">
        <v>2507012387</v>
      </c>
      <c r="T424" t="s">
        <v>50</v>
      </c>
      <c r="U424" t="s">
        <v>122</v>
      </c>
      <c r="V424" t="s">
        <v>176</v>
      </c>
      <c r="W424" t="s">
        <v>177</v>
      </c>
      <c r="X424" t="s">
        <v>152</v>
      </c>
      <c r="Z424">
        <v>48</v>
      </c>
      <c r="AA424" t="s">
        <v>1199</v>
      </c>
      <c r="AB424" t="s">
        <v>1295</v>
      </c>
      <c r="AC424">
        <v>2604000104</v>
      </c>
      <c r="AE424">
        <v>0</v>
      </c>
      <c r="AF424">
        <v>1</v>
      </c>
      <c r="AG424">
        <v>0</v>
      </c>
      <c r="AH424">
        <v>1.26</v>
      </c>
      <c r="AI424" t="s">
        <v>56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 t="s">
        <v>57</v>
      </c>
      <c r="AS424" t="s">
        <v>1296</v>
      </c>
      <c r="AT424" t="s">
        <v>1296</v>
      </c>
      <c r="AU424" t="s">
        <v>1295</v>
      </c>
      <c r="AV424" t="s">
        <v>1297</v>
      </c>
      <c r="AW424" t="s">
        <v>1298</v>
      </c>
      <c r="AZ424">
        <v>56310</v>
      </c>
      <c r="BA424" t="s">
        <v>1299</v>
      </c>
      <c r="BB424" t="s">
        <v>61</v>
      </c>
      <c r="BC424" t="s">
        <v>62</v>
      </c>
    </row>
    <row r="425" spans="1:55" x14ac:dyDescent="0.25">
      <c r="A425" s="1" t="str">
        <f>IF(COUNTIF(Catégories!A:A,X425)=0,"catégorie inconnue",_xlfn.XLOOKUP(X425,Catégories!A:A,Catégories!B:B))</f>
        <v>Frêt</v>
      </c>
      <c r="B425" s="1">
        <f t="shared" si="18"/>
        <v>0</v>
      </c>
      <c r="C425" s="1">
        <f t="shared" si="19"/>
        <v>0</v>
      </c>
      <c r="D425" s="1">
        <f t="shared" si="20"/>
        <v>0</v>
      </c>
      <c r="E425" s="20">
        <f>IF(AH425&lt;&gt;0,ROUNDUP(AH425,0),IF(BB425&lt;&gt;"FR","hors France",IF(AH425&lt;&gt;0,ROUNDUP(AH425,0),_xlfn.XLOOKUP(AJ425,'PA GLS'!B:B,'PA GLS'!A:A))))</f>
        <v>4</v>
      </c>
      <c r="F425">
        <v>2501382993</v>
      </c>
      <c r="G425">
        <v>1030219782</v>
      </c>
      <c r="H425" t="s">
        <v>366</v>
      </c>
      <c r="I425">
        <v>2500034092</v>
      </c>
      <c r="J425" t="s">
        <v>50</v>
      </c>
      <c r="K425">
        <v>9000009190</v>
      </c>
      <c r="L425">
        <v>46946</v>
      </c>
      <c r="M425" t="s">
        <v>51</v>
      </c>
      <c r="N425">
        <v>9000079830</v>
      </c>
      <c r="O425" t="s">
        <v>187</v>
      </c>
      <c r="S425">
        <v>2507012387</v>
      </c>
      <c r="T425" t="s">
        <v>50</v>
      </c>
      <c r="U425" t="s">
        <v>122</v>
      </c>
      <c r="V425" t="s">
        <v>176</v>
      </c>
      <c r="W425" t="s">
        <v>177</v>
      </c>
      <c r="X425" t="s">
        <v>152</v>
      </c>
      <c r="Z425">
        <v>48</v>
      </c>
      <c r="AA425" t="s">
        <v>1199</v>
      </c>
      <c r="AB425" t="s">
        <v>1300</v>
      </c>
      <c r="AC425">
        <v>2604000105</v>
      </c>
      <c r="AE425">
        <v>0</v>
      </c>
      <c r="AF425">
        <v>1</v>
      </c>
      <c r="AG425">
        <v>0</v>
      </c>
      <c r="AH425">
        <v>3.98</v>
      </c>
      <c r="AI425" t="s">
        <v>56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 t="s">
        <v>57</v>
      </c>
      <c r="AS425" t="s">
        <v>1301</v>
      </c>
      <c r="AT425" t="s">
        <v>1301</v>
      </c>
      <c r="AU425" t="s">
        <v>1300</v>
      </c>
      <c r="AV425" t="s">
        <v>1302</v>
      </c>
      <c r="AW425" t="s">
        <v>1303</v>
      </c>
      <c r="AZ425">
        <v>74380</v>
      </c>
      <c r="BA425" t="s">
        <v>1304</v>
      </c>
      <c r="BB425" t="s">
        <v>61</v>
      </c>
      <c r="BC425" t="s">
        <v>62</v>
      </c>
    </row>
    <row r="426" spans="1:55" x14ac:dyDescent="0.25">
      <c r="A426" s="1" t="str">
        <f>IF(COUNTIF(Catégories!A:A,X426)=0,"catégorie inconnue",_xlfn.XLOOKUP(X426,Catégories!A:A,Catégories!B:B))</f>
        <v>Frêt</v>
      </c>
      <c r="B426" s="1">
        <f t="shared" si="18"/>
        <v>0</v>
      </c>
      <c r="C426" s="1">
        <f t="shared" si="19"/>
        <v>0</v>
      </c>
      <c r="D426" s="1">
        <f t="shared" si="20"/>
        <v>0</v>
      </c>
      <c r="E426" s="20">
        <f>IF(AH426&lt;&gt;0,ROUNDUP(AH426,0),IF(BB426&lt;&gt;"FR","hors France",IF(AH426&lt;&gt;0,ROUNDUP(AH426,0),_xlfn.XLOOKUP(AJ426,'PA GLS'!B:B,'PA GLS'!A:A))))</f>
        <v>1</v>
      </c>
      <c r="F426">
        <v>2501382993</v>
      </c>
      <c r="G426">
        <v>1030219782</v>
      </c>
      <c r="H426" t="s">
        <v>366</v>
      </c>
      <c r="I426">
        <v>2500034092</v>
      </c>
      <c r="J426" t="s">
        <v>50</v>
      </c>
      <c r="K426">
        <v>9000009190</v>
      </c>
      <c r="L426">
        <v>46946</v>
      </c>
      <c r="M426" t="s">
        <v>51</v>
      </c>
      <c r="N426">
        <v>9000079830</v>
      </c>
      <c r="O426" t="s">
        <v>187</v>
      </c>
      <c r="S426">
        <v>2507012387</v>
      </c>
      <c r="T426" t="s">
        <v>50</v>
      </c>
      <c r="U426" t="s">
        <v>122</v>
      </c>
      <c r="V426" t="s">
        <v>176</v>
      </c>
      <c r="W426" t="s">
        <v>177</v>
      </c>
      <c r="X426" t="s">
        <v>152</v>
      </c>
      <c r="Z426">
        <v>48</v>
      </c>
      <c r="AA426" t="s">
        <v>1199</v>
      </c>
      <c r="AB426" t="s">
        <v>1305</v>
      </c>
      <c r="AC426">
        <v>2604000106</v>
      </c>
      <c r="AE426">
        <v>0</v>
      </c>
      <c r="AF426">
        <v>1</v>
      </c>
      <c r="AG426">
        <v>0</v>
      </c>
      <c r="AH426">
        <v>0.44</v>
      </c>
      <c r="AI426" t="s">
        <v>56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 t="s">
        <v>57</v>
      </c>
      <c r="AS426" t="s">
        <v>1306</v>
      </c>
      <c r="AT426" t="s">
        <v>1306</v>
      </c>
      <c r="AU426" t="s">
        <v>1305</v>
      </c>
      <c r="AV426" t="s">
        <v>1307</v>
      </c>
      <c r="AW426" t="s">
        <v>1308</v>
      </c>
      <c r="AZ426">
        <v>59170</v>
      </c>
      <c r="BA426" t="s">
        <v>1309</v>
      </c>
      <c r="BB426" t="s">
        <v>61</v>
      </c>
      <c r="BC426" t="s">
        <v>62</v>
      </c>
    </row>
    <row r="427" spans="1:55" x14ac:dyDescent="0.25">
      <c r="A427" s="1" t="str">
        <f>IF(COUNTIF(Catégories!A:A,X427)=0,"catégorie inconnue",_xlfn.XLOOKUP(X427,Catégories!A:A,Catégories!B:B))</f>
        <v>Frêt</v>
      </c>
      <c r="B427" s="1">
        <f t="shared" si="18"/>
        <v>0</v>
      </c>
      <c r="C427" s="1">
        <f t="shared" si="19"/>
        <v>0</v>
      </c>
      <c r="D427" s="1">
        <f t="shared" si="20"/>
        <v>0</v>
      </c>
      <c r="E427" s="20">
        <f>IF(AH427&lt;&gt;0,ROUNDUP(AH427,0),IF(BB427&lt;&gt;"FR","hors France",IF(AH427&lt;&gt;0,ROUNDUP(AH427,0),_xlfn.XLOOKUP(AJ427,'PA GLS'!B:B,'PA GLS'!A:A))))</f>
        <v>1</v>
      </c>
      <c r="F427">
        <v>2501382993</v>
      </c>
      <c r="G427">
        <v>1030219782</v>
      </c>
      <c r="H427" t="s">
        <v>366</v>
      </c>
      <c r="I427">
        <v>2500034092</v>
      </c>
      <c r="J427" t="s">
        <v>50</v>
      </c>
      <c r="K427">
        <v>9000009190</v>
      </c>
      <c r="L427">
        <v>46946</v>
      </c>
      <c r="M427" t="s">
        <v>51</v>
      </c>
      <c r="N427">
        <v>9000079830</v>
      </c>
      <c r="O427" t="s">
        <v>187</v>
      </c>
      <c r="S427">
        <v>2507012387</v>
      </c>
      <c r="T427" t="s">
        <v>50</v>
      </c>
      <c r="U427" t="s">
        <v>122</v>
      </c>
      <c r="V427" t="s">
        <v>176</v>
      </c>
      <c r="W427" t="s">
        <v>177</v>
      </c>
      <c r="X427" t="s">
        <v>152</v>
      </c>
      <c r="Z427">
        <v>48</v>
      </c>
      <c r="AA427" t="s">
        <v>1199</v>
      </c>
      <c r="AB427" t="s">
        <v>1310</v>
      </c>
      <c r="AC427">
        <v>2604000107</v>
      </c>
      <c r="AE427">
        <v>0</v>
      </c>
      <c r="AF427">
        <v>1</v>
      </c>
      <c r="AG427">
        <v>0</v>
      </c>
      <c r="AH427">
        <v>0.46</v>
      </c>
      <c r="AI427" t="s">
        <v>56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 t="s">
        <v>57</v>
      </c>
      <c r="AS427" t="s">
        <v>1311</v>
      </c>
      <c r="AT427" t="s">
        <v>1311</v>
      </c>
      <c r="AU427" t="s">
        <v>1310</v>
      </c>
      <c r="AV427" t="s">
        <v>1312</v>
      </c>
      <c r="AW427" t="s">
        <v>1313</v>
      </c>
      <c r="AZ427">
        <v>33000</v>
      </c>
      <c r="BA427" t="s">
        <v>228</v>
      </c>
      <c r="BB427" t="s">
        <v>61</v>
      </c>
      <c r="BC427" t="s">
        <v>62</v>
      </c>
    </row>
    <row r="428" spans="1:55" x14ac:dyDescent="0.25">
      <c r="A428" s="1" t="str">
        <f>IF(COUNTIF(Catégories!A:A,X428)=0,"catégorie inconnue",_xlfn.XLOOKUP(X428,Catégories!A:A,Catégories!B:B))</f>
        <v>Frêt</v>
      </c>
      <c r="B428" s="1">
        <f t="shared" si="18"/>
        <v>0</v>
      </c>
      <c r="C428" s="1">
        <f t="shared" si="19"/>
        <v>0</v>
      </c>
      <c r="D428" s="1">
        <f t="shared" si="20"/>
        <v>0</v>
      </c>
      <c r="E428" s="20">
        <f>IF(AH428&lt;&gt;0,ROUNDUP(AH428,0),IF(BB428&lt;&gt;"FR","hors France",IF(AH428&lt;&gt;0,ROUNDUP(AH428,0),_xlfn.XLOOKUP(AJ428,'PA GLS'!B:B,'PA GLS'!A:A))))</f>
        <v>1</v>
      </c>
      <c r="F428">
        <v>2501382993</v>
      </c>
      <c r="G428">
        <v>1030219782</v>
      </c>
      <c r="H428" t="s">
        <v>366</v>
      </c>
      <c r="I428">
        <v>2500034092</v>
      </c>
      <c r="J428" t="s">
        <v>50</v>
      </c>
      <c r="K428">
        <v>9000009190</v>
      </c>
      <c r="L428">
        <v>46946</v>
      </c>
      <c r="M428" t="s">
        <v>51</v>
      </c>
      <c r="N428">
        <v>9000079830</v>
      </c>
      <c r="O428" t="s">
        <v>187</v>
      </c>
      <c r="S428">
        <v>2507012387</v>
      </c>
      <c r="T428" t="s">
        <v>50</v>
      </c>
      <c r="U428" t="s">
        <v>122</v>
      </c>
      <c r="V428" t="s">
        <v>176</v>
      </c>
      <c r="W428" t="s">
        <v>177</v>
      </c>
      <c r="X428" t="s">
        <v>152</v>
      </c>
      <c r="Z428">
        <v>48</v>
      </c>
      <c r="AA428" t="s">
        <v>1199</v>
      </c>
      <c r="AB428" t="s">
        <v>1314</v>
      </c>
      <c r="AC428">
        <v>2604000108</v>
      </c>
      <c r="AE428">
        <v>0</v>
      </c>
      <c r="AF428">
        <v>1</v>
      </c>
      <c r="AG428">
        <v>0</v>
      </c>
      <c r="AH428">
        <v>0.84</v>
      </c>
      <c r="AI428" t="s">
        <v>56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 t="s">
        <v>57</v>
      </c>
      <c r="AS428" t="s">
        <v>1315</v>
      </c>
      <c r="AT428" t="s">
        <v>1315</v>
      </c>
      <c r="AU428" t="s">
        <v>1314</v>
      </c>
      <c r="AV428" t="s">
        <v>1316</v>
      </c>
      <c r="AW428" t="s">
        <v>1317</v>
      </c>
      <c r="AZ428">
        <v>80600</v>
      </c>
      <c r="BA428" t="s">
        <v>1318</v>
      </c>
      <c r="BB428" t="s">
        <v>61</v>
      </c>
      <c r="BC428" t="s">
        <v>62</v>
      </c>
    </row>
    <row r="429" spans="1:55" x14ac:dyDescent="0.25">
      <c r="A429" s="1" t="str">
        <f>IF(COUNTIF(Catégories!A:A,X429)=0,"catégorie inconnue",_xlfn.XLOOKUP(X429,Catégories!A:A,Catégories!B:B))</f>
        <v>Frêt</v>
      </c>
      <c r="B429" s="1">
        <f t="shared" si="18"/>
        <v>0</v>
      </c>
      <c r="C429" s="1">
        <f t="shared" si="19"/>
        <v>0</v>
      </c>
      <c r="D429" s="1">
        <f t="shared" si="20"/>
        <v>0</v>
      </c>
      <c r="E429" s="20">
        <f>IF(AH429&lt;&gt;0,ROUNDUP(AH429,0),IF(BB429&lt;&gt;"FR","hors France",IF(AH429&lt;&gt;0,ROUNDUP(AH429,0),_xlfn.XLOOKUP(AJ429,'PA GLS'!B:B,'PA GLS'!A:A))))</f>
        <v>2</v>
      </c>
      <c r="F429">
        <v>2501382993</v>
      </c>
      <c r="G429">
        <v>1030219782</v>
      </c>
      <c r="H429" t="s">
        <v>366</v>
      </c>
      <c r="I429">
        <v>2500034092</v>
      </c>
      <c r="J429" t="s">
        <v>50</v>
      </c>
      <c r="K429">
        <v>9000009190</v>
      </c>
      <c r="L429">
        <v>46946</v>
      </c>
      <c r="M429" t="s">
        <v>51</v>
      </c>
      <c r="N429">
        <v>9000079830</v>
      </c>
      <c r="O429" t="s">
        <v>187</v>
      </c>
      <c r="S429">
        <v>2507012387</v>
      </c>
      <c r="T429" t="s">
        <v>50</v>
      </c>
      <c r="U429" t="s">
        <v>122</v>
      </c>
      <c r="V429" t="s">
        <v>176</v>
      </c>
      <c r="W429" t="s">
        <v>177</v>
      </c>
      <c r="X429" t="s">
        <v>152</v>
      </c>
      <c r="Z429">
        <v>48</v>
      </c>
      <c r="AA429" t="s">
        <v>1199</v>
      </c>
      <c r="AB429" t="s">
        <v>1319</v>
      </c>
      <c r="AC429">
        <v>2604000109</v>
      </c>
      <c r="AE429">
        <v>0</v>
      </c>
      <c r="AF429">
        <v>1</v>
      </c>
      <c r="AG429">
        <v>0</v>
      </c>
      <c r="AH429">
        <v>1.1599999999999999</v>
      </c>
      <c r="AI429" t="s">
        <v>56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 t="s">
        <v>57</v>
      </c>
      <c r="AS429" t="s">
        <v>1320</v>
      </c>
      <c r="AT429" t="s">
        <v>1320</v>
      </c>
      <c r="AU429" t="s">
        <v>1319</v>
      </c>
      <c r="AV429" t="s">
        <v>1321</v>
      </c>
      <c r="AW429" t="s">
        <v>1322</v>
      </c>
      <c r="AZ429">
        <v>31600</v>
      </c>
      <c r="BA429" t="s">
        <v>1323</v>
      </c>
      <c r="BB429" t="s">
        <v>61</v>
      </c>
      <c r="BC429" t="s">
        <v>62</v>
      </c>
    </row>
    <row r="430" spans="1:55" x14ac:dyDescent="0.25">
      <c r="A430" s="1" t="str">
        <f>IF(COUNTIF(Catégories!A:A,X430)=0,"catégorie inconnue",_xlfn.XLOOKUP(X430,Catégories!A:A,Catégories!B:B))</f>
        <v>Frêt</v>
      </c>
      <c r="B430" s="1">
        <f t="shared" si="18"/>
        <v>0</v>
      </c>
      <c r="C430" s="1">
        <f t="shared" si="19"/>
        <v>0</v>
      </c>
      <c r="D430" s="1">
        <f t="shared" si="20"/>
        <v>0</v>
      </c>
      <c r="E430" s="20">
        <f>IF(AH430&lt;&gt;0,ROUNDUP(AH430,0),IF(BB430&lt;&gt;"FR","hors France",IF(AH430&lt;&gt;0,ROUNDUP(AH430,0),_xlfn.XLOOKUP(AJ430,'PA GLS'!B:B,'PA GLS'!A:A))))</f>
        <v>3</v>
      </c>
      <c r="F430">
        <v>2501382993</v>
      </c>
      <c r="G430">
        <v>1030219782</v>
      </c>
      <c r="H430" t="s">
        <v>366</v>
      </c>
      <c r="I430">
        <v>2500034092</v>
      </c>
      <c r="J430" t="s">
        <v>50</v>
      </c>
      <c r="K430">
        <v>9000009190</v>
      </c>
      <c r="L430">
        <v>46946</v>
      </c>
      <c r="M430" t="s">
        <v>51</v>
      </c>
      <c r="N430">
        <v>9000079830</v>
      </c>
      <c r="O430" t="s">
        <v>187</v>
      </c>
      <c r="S430">
        <v>2507012387</v>
      </c>
      <c r="T430" t="s">
        <v>50</v>
      </c>
      <c r="U430" t="s">
        <v>122</v>
      </c>
      <c r="V430" t="s">
        <v>176</v>
      </c>
      <c r="W430" t="s">
        <v>177</v>
      </c>
      <c r="X430" t="s">
        <v>152</v>
      </c>
      <c r="Z430">
        <v>48</v>
      </c>
      <c r="AA430" t="s">
        <v>1199</v>
      </c>
      <c r="AB430" t="s">
        <v>1324</v>
      </c>
      <c r="AC430">
        <v>2604000110</v>
      </c>
      <c r="AE430">
        <v>0</v>
      </c>
      <c r="AF430">
        <v>1</v>
      </c>
      <c r="AG430">
        <v>0</v>
      </c>
      <c r="AH430">
        <v>2.2999999999999998</v>
      </c>
      <c r="AI430" t="s">
        <v>56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 t="s">
        <v>57</v>
      </c>
      <c r="AS430" t="s">
        <v>1325</v>
      </c>
      <c r="AT430" t="s">
        <v>1325</v>
      </c>
      <c r="AU430" t="s">
        <v>1324</v>
      </c>
      <c r="AV430" t="s">
        <v>1326</v>
      </c>
      <c r="AW430" t="s">
        <v>1327</v>
      </c>
      <c r="AZ430">
        <v>26210</v>
      </c>
      <c r="BA430" t="s">
        <v>1328</v>
      </c>
      <c r="BB430" t="s">
        <v>61</v>
      </c>
      <c r="BC430" t="s">
        <v>62</v>
      </c>
    </row>
    <row r="431" spans="1:55" x14ac:dyDescent="0.25">
      <c r="A431" s="1" t="str">
        <f>IF(COUNTIF(Catégories!A:A,X431)=0,"catégorie inconnue",_xlfn.XLOOKUP(X431,Catégories!A:A,Catégories!B:B))</f>
        <v>Frêt</v>
      </c>
      <c r="B431" s="1">
        <f t="shared" si="18"/>
        <v>0</v>
      </c>
      <c r="C431" s="1">
        <f t="shared" si="19"/>
        <v>0</v>
      </c>
      <c r="D431" s="1">
        <f t="shared" si="20"/>
        <v>0</v>
      </c>
      <c r="E431" s="20">
        <f>IF(AH431&lt;&gt;0,ROUNDUP(AH431,0),IF(BB431&lt;&gt;"FR","hors France",IF(AH431&lt;&gt;0,ROUNDUP(AH431,0),_xlfn.XLOOKUP(AJ431,'PA GLS'!B:B,'PA GLS'!A:A))))</f>
        <v>2</v>
      </c>
      <c r="F431">
        <v>2501382993</v>
      </c>
      <c r="G431">
        <v>1030219782</v>
      </c>
      <c r="H431" t="s">
        <v>366</v>
      </c>
      <c r="I431">
        <v>2500034092</v>
      </c>
      <c r="J431" t="s">
        <v>50</v>
      </c>
      <c r="K431">
        <v>9000009190</v>
      </c>
      <c r="L431">
        <v>46946</v>
      </c>
      <c r="M431" t="s">
        <v>51</v>
      </c>
      <c r="N431">
        <v>9000079830</v>
      </c>
      <c r="O431" t="s">
        <v>187</v>
      </c>
      <c r="S431">
        <v>2507012387</v>
      </c>
      <c r="T431" t="s">
        <v>50</v>
      </c>
      <c r="U431" t="s">
        <v>122</v>
      </c>
      <c r="V431" t="s">
        <v>176</v>
      </c>
      <c r="W431" t="s">
        <v>177</v>
      </c>
      <c r="X431" t="s">
        <v>152</v>
      </c>
      <c r="Z431">
        <v>48</v>
      </c>
      <c r="AA431" t="s">
        <v>1199</v>
      </c>
      <c r="AB431" t="s">
        <v>1329</v>
      </c>
      <c r="AC431">
        <v>2604000111</v>
      </c>
      <c r="AE431">
        <v>0</v>
      </c>
      <c r="AF431">
        <v>1</v>
      </c>
      <c r="AG431">
        <v>0</v>
      </c>
      <c r="AH431">
        <v>1.1200000000000001</v>
      </c>
      <c r="AI431" t="s">
        <v>56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 t="s">
        <v>57</v>
      </c>
      <c r="AS431" t="s">
        <v>1330</v>
      </c>
      <c r="AT431" t="s">
        <v>1330</v>
      </c>
      <c r="AU431" t="s">
        <v>1329</v>
      </c>
      <c r="AV431" t="s">
        <v>1331</v>
      </c>
      <c r="AW431" t="s">
        <v>1332</v>
      </c>
      <c r="AZ431">
        <v>80000</v>
      </c>
      <c r="BA431" t="s">
        <v>295</v>
      </c>
      <c r="BB431" t="s">
        <v>61</v>
      </c>
      <c r="BC431" t="s">
        <v>62</v>
      </c>
    </row>
    <row r="432" spans="1:55" x14ac:dyDescent="0.25">
      <c r="A432" s="1" t="str">
        <f>IF(COUNTIF(Catégories!A:A,X432)=0,"catégorie inconnue",_xlfn.XLOOKUP(X432,Catégories!A:A,Catégories!B:B))</f>
        <v>Frêt</v>
      </c>
      <c r="B432" s="1">
        <f t="shared" si="18"/>
        <v>0</v>
      </c>
      <c r="C432" s="1">
        <f t="shared" si="19"/>
        <v>0</v>
      </c>
      <c r="D432" s="1">
        <f t="shared" si="20"/>
        <v>0</v>
      </c>
      <c r="E432" s="20">
        <f>IF(AH432&lt;&gt;0,ROUNDUP(AH432,0),IF(BB432&lt;&gt;"FR","hors France",IF(AH432&lt;&gt;0,ROUNDUP(AH432,0),_xlfn.XLOOKUP(AJ432,'PA GLS'!B:B,'PA GLS'!A:A))))</f>
        <v>2</v>
      </c>
      <c r="F432">
        <v>2501382993</v>
      </c>
      <c r="G432">
        <v>1030219782</v>
      </c>
      <c r="H432" t="s">
        <v>366</v>
      </c>
      <c r="I432">
        <v>2500034092</v>
      </c>
      <c r="J432" t="s">
        <v>50</v>
      </c>
      <c r="K432">
        <v>9000009190</v>
      </c>
      <c r="L432">
        <v>46946</v>
      </c>
      <c r="M432" t="s">
        <v>51</v>
      </c>
      <c r="N432">
        <v>9000079830</v>
      </c>
      <c r="O432" t="s">
        <v>187</v>
      </c>
      <c r="S432">
        <v>2507012387</v>
      </c>
      <c r="T432" t="s">
        <v>50</v>
      </c>
      <c r="U432" t="s">
        <v>122</v>
      </c>
      <c r="V432" t="s">
        <v>176</v>
      </c>
      <c r="W432" t="s">
        <v>177</v>
      </c>
      <c r="X432" t="s">
        <v>152</v>
      </c>
      <c r="Z432">
        <v>48</v>
      </c>
      <c r="AA432" t="s">
        <v>1199</v>
      </c>
      <c r="AB432" t="s">
        <v>1333</v>
      </c>
      <c r="AC432">
        <v>2604000112</v>
      </c>
      <c r="AE432">
        <v>0</v>
      </c>
      <c r="AF432">
        <v>1</v>
      </c>
      <c r="AG432">
        <v>0</v>
      </c>
      <c r="AH432">
        <v>1.65</v>
      </c>
      <c r="AI432" t="s">
        <v>56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 t="s">
        <v>57</v>
      </c>
      <c r="AS432" t="s">
        <v>1334</v>
      </c>
      <c r="AT432" t="s">
        <v>1334</v>
      </c>
      <c r="AU432" t="s">
        <v>1333</v>
      </c>
      <c r="AV432" t="s">
        <v>1335</v>
      </c>
      <c r="AW432" t="s">
        <v>1336</v>
      </c>
      <c r="AZ432">
        <v>94120</v>
      </c>
      <c r="BA432" t="s">
        <v>621</v>
      </c>
      <c r="BB432" t="s">
        <v>61</v>
      </c>
      <c r="BC432" t="s">
        <v>62</v>
      </c>
    </row>
    <row r="433" spans="1:55" x14ac:dyDescent="0.25">
      <c r="A433" s="1" t="str">
        <f>IF(COUNTIF(Catégories!A:A,X433)=0,"catégorie inconnue",_xlfn.XLOOKUP(X433,Catégories!A:A,Catégories!B:B))</f>
        <v>Frêt</v>
      </c>
      <c r="B433" s="1">
        <f t="shared" si="18"/>
        <v>0</v>
      </c>
      <c r="C433" s="1">
        <f t="shared" si="19"/>
        <v>0</v>
      </c>
      <c r="D433" s="1">
        <f t="shared" si="20"/>
        <v>0</v>
      </c>
      <c r="E433" s="20">
        <f>IF(AH433&lt;&gt;0,ROUNDUP(AH433,0),IF(BB433&lt;&gt;"FR","hors France",IF(AH433&lt;&gt;0,ROUNDUP(AH433,0),_xlfn.XLOOKUP(AJ433,'PA GLS'!B:B,'PA GLS'!A:A))))</f>
        <v>2</v>
      </c>
      <c r="F433">
        <v>2501382993</v>
      </c>
      <c r="G433">
        <v>1030219782</v>
      </c>
      <c r="H433" t="s">
        <v>366</v>
      </c>
      <c r="I433">
        <v>2500034092</v>
      </c>
      <c r="J433" t="s">
        <v>50</v>
      </c>
      <c r="K433">
        <v>9000009190</v>
      </c>
      <c r="L433">
        <v>46946</v>
      </c>
      <c r="M433" t="s">
        <v>51</v>
      </c>
      <c r="N433">
        <v>9000079830</v>
      </c>
      <c r="O433" t="s">
        <v>187</v>
      </c>
      <c r="S433">
        <v>2507012387</v>
      </c>
      <c r="T433" t="s">
        <v>50</v>
      </c>
      <c r="U433" t="s">
        <v>122</v>
      </c>
      <c r="V433" t="s">
        <v>176</v>
      </c>
      <c r="W433" t="s">
        <v>177</v>
      </c>
      <c r="X433" t="s">
        <v>152</v>
      </c>
      <c r="Z433">
        <v>48</v>
      </c>
      <c r="AA433" t="s">
        <v>1199</v>
      </c>
      <c r="AB433" t="s">
        <v>1337</v>
      </c>
      <c r="AC433">
        <v>2604000113</v>
      </c>
      <c r="AE433">
        <v>0</v>
      </c>
      <c r="AF433">
        <v>1</v>
      </c>
      <c r="AG433">
        <v>0</v>
      </c>
      <c r="AH433">
        <v>1.98</v>
      </c>
      <c r="AI433" t="s">
        <v>56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 t="s">
        <v>57</v>
      </c>
      <c r="AS433" t="s">
        <v>1338</v>
      </c>
      <c r="AT433" t="s">
        <v>1338</v>
      </c>
      <c r="AU433" t="s">
        <v>1337</v>
      </c>
      <c r="AV433" t="s">
        <v>1339</v>
      </c>
      <c r="AW433" t="s">
        <v>1340</v>
      </c>
      <c r="AZ433">
        <v>83190</v>
      </c>
      <c r="BA433" t="s">
        <v>1341</v>
      </c>
      <c r="BB433" t="s">
        <v>61</v>
      </c>
      <c r="BC433" t="s">
        <v>62</v>
      </c>
    </row>
    <row r="434" spans="1:55" x14ac:dyDescent="0.25">
      <c r="A434" s="1" t="str">
        <f>IF(COUNTIF(Catégories!A:A,X434)=0,"catégorie inconnue",_xlfn.XLOOKUP(X434,Catégories!A:A,Catégories!B:B))</f>
        <v>Frêt</v>
      </c>
      <c r="B434" s="1">
        <f t="shared" si="18"/>
        <v>0</v>
      </c>
      <c r="C434" s="1">
        <f t="shared" si="19"/>
        <v>0</v>
      </c>
      <c r="D434" s="1">
        <f t="shared" si="20"/>
        <v>0</v>
      </c>
      <c r="E434" s="20">
        <f>IF(AH434&lt;&gt;0,ROUNDUP(AH434,0),IF(BB434&lt;&gt;"FR","hors France",IF(AH434&lt;&gt;0,ROUNDUP(AH434,0),_xlfn.XLOOKUP(AJ434,'PA GLS'!B:B,'PA GLS'!A:A))))</f>
        <v>1</v>
      </c>
      <c r="F434">
        <v>2501382993</v>
      </c>
      <c r="G434">
        <v>1030219782</v>
      </c>
      <c r="H434" t="s">
        <v>366</v>
      </c>
      <c r="I434">
        <v>2500034092</v>
      </c>
      <c r="J434" t="s">
        <v>50</v>
      </c>
      <c r="K434">
        <v>9000009190</v>
      </c>
      <c r="L434">
        <v>46946</v>
      </c>
      <c r="M434" t="s">
        <v>51</v>
      </c>
      <c r="N434">
        <v>9000079830</v>
      </c>
      <c r="O434" t="s">
        <v>187</v>
      </c>
      <c r="S434">
        <v>2507012387</v>
      </c>
      <c r="T434" t="s">
        <v>50</v>
      </c>
      <c r="U434" t="s">
        <v>122</v>
      </c>
      <c r="V434" t="s">
        <v>176</v>
      </c>
      <c r="W434" t="s">
        <v>177</v>
      </c>
      <c r="X434" t="s">
        <v>152</v>
      </c>
      <c r="Z434">
        <v>48</v>
      </c>
      <c r="AA434" t="s">
        <v>1199</v>
      </c>
      <c r="AB434" t="s">
        <v>1342</v>
      </c>
      <c r="AC434">
        <v>2604000114</v>
      </c>
      <c r="AE434">
        <v>0</v>
      </c>
      <c r="AF434">
        <v>1</v>
      </c>
      <c r="AG434">
        <v>0</v>
      </c>
      <c r="AH434">
        <v>0.5</v>
      </c>
      <c r="AI434" t="s">
        <v>56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 t="s">
        <v>57</v>
      </c>
      <c r="AS434" t="s">
        <v>1343</v>
      </c>
      <c r="AT434" t="s">
        <v>1343</v>
      </c>
      <c r="AU434" t="s">
        <v>1342</v>
      </c>
      <c r="AV434" t="s">
        <v>1344</v>
      </c>
      <c r="AW434" t="s">
        <v>1345</v>
      </c>
      <c r="AZ434">
        <v>78580</v>
      </c>
      <c r="BA434" t="s">
        <v>1346</v>
      </c>
      <c r="BB434" t="s">
        <v>61</v>
      </c>
      <c r="BC434" t="s">
        <v>62</v>
      </c>
    </row>
    <row r="435" spans="1:55" x14ac:dyDescent="0.25">
      <c r="A435" s="1" t="str">
        <f>IF(COUNTIF(Catégories!A:A,X435)=0,"catégorie inconnue",_xlfn.XLOOKUP(X435,Catégories!A:A,Catégories!B:B))</f>
        <v>Frêt</v>
      </c>
      <c r="B435" s="1">
        <f t="shared" si="18"/>
        <v>0</v>
      </c>
      <c r="C435" s="1">
        <f t="shared" si="19"/>
        <v>0</v>
      </c>
      <c r="D435" s="1">
        <f t="shared" si="20"/>
        <v>0</v>
      </c>
      <c r="E435" s="20">
        <f>IF(AH435&lt;&gt;0,ROUNDUP(AH435,0),IF(BB435&lt;&gt;"FR","hors France",IF(AH435&lt;&gt;0,ROUNDUP(AH435,0),_xlfn.XLOOKUP(AJ435,'PA GLS'!B:B,'PA GLS'!A:A))))</f>
        <v>4</v>
      </c>
      <c r="F435">
        <v>2501382993</v>
      </c>
      <c r="G435">
        <v>1030219782</v>
      </c>
      <c r="H435" t="s">
        <v>366</v>
      </c>
      <c r="I435">
        <v>2500034092</v>
      </c>
      <c r="J435" t="s">
        <v>50</v>
      </c>
      <c r="K435">
        <v>9000009190</v>
      </c>
      <c r="L435">
        <v>46946</v>
      </c>
      <c r="M435" t="s">
        <v>51</v>
      </c>
      <c r="N435">
        <v>9000079830</v>
      </c>
      <c r="O435" t="s">
        <v>187</v>
      </c>
      <c r="S435">
        <v>2507012387</v>
      </c>
      <c r="T435" t="s">
        <v>50</v>
      </c>
      <c r="U435" t="s">
        <v>122</v>
      </c>
      <c r="V435" t="s">
        <v>176</v>
      </c>
      <c r="W435" t="s">
        <v>177</v>
      </c>
      <c r="X435" t="s">
        <v>152</v>
      </c>
      <c r="Z435">
        <v>48</v>
      </c>
      <c r="AA435" t="s">
        <v>1199</v>
      </c>
      <c r="AB435" t="s">
        <v>1347</v>
      </c>
      <c r="AC435">
        <v>2604000115</v>
      </c>
      <c r="AE435">
        <v>0</v>
      </c>
      <c r="AF435">
        <v>1</v>
      </c>
      <c r="AG435">
        <v>0</v>
      </c>
      <c r="AH435">
        <v>3.98</v>
      </c>
      <c r="AI435" t="s">
        <v>56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 t="s">
        <v>57</v>
      </c>
      <c r="AS435" t="s">
        <v>1348</v>
      </c>
      <c r="AT435" t="s">
        <v>1348</v>
      </c>
      <c r="AU435" t="s">
        <v>1347</v>
      </c>
      <c r="AV435" t="s">
        <v>1349</v>
      </c>
      <c r="AW435" t="s">
        <v>1350</v>
      </c>
      <c r="AZ435">
        <v>56680</v>
      </c>
      <c r="BA435" t="s">
        <v>635</v>
      </c>
      <c r="BB435" t="s">
        <v>61</v>
      </c>
      <c r="BC435" t="s">
        <v>62</v>
      </c>
    </row>
    <row r="436" spans="1:55" x14ac:dyDescent="0.25">
      <c r="A436" s="1" t="str">
        <f>IF(COUNTIF(Catégories!A:A,X436)=0,"catégorie inconnue",_xlfn.XLOOKUP(X436,Catégories!A:A,Catégories!B:B))</f>
        <v>Frêt</v>
      </c>
      <c r="B436" s="1">
        <f t="shared" si="18"/>
        <v>0</v>
      </c>
      <c r="C436" s="1">
        <f t="shared" si="19"/>
        <v>0</v>
      </c>
      <c r="D436" s="1">
        <f t="shared" si="20"/>
        <v>0</v>
      </c>
      <c r="E436" s="20">
        <f>IF(AH436&lt;&gt;0,ROUNDUP(AH436,0),IF(BB436&lt;&gt;"FR","hors France",IF(AH436&lt;&gt;0,ROUNDUP(AH436,0),_xlfn.XLOOKUP(AJ436,'PA GLS'!B:B,'PA GLS'!A:A))))</f>
        <v>1</v>
      </c>
      <c r="F436">
        <v>2501382993</v>
      </c>
      <c r="G436">
        <v>1030219782</v>
      </c>
      <c r="H436" t="s">
        <v>366</v>
      </c>
      <c r="I436">
        <v>2500034092</v>
      </c>
      <c r="J436" t="s">
        <v>50</v>
      </c>
      <c r="K436">
        <v>9000009190</v>
      </c>
      <c r="L436">
        <v>46946</v>
      </c>
      <c r="M436" t="s">
        <v>51</v>
      </c>
      <c r="N436">
        <v>9000079830</v>
      </c>
      <c r="O436" t="s">
        <v>187</v>
      </c>
      <c r="S436">
        <v>2507012387</v>
      </c>
      <c r="T436" t="s">
        <v>50</v>
      </c>
      <c r="U436" t="s">
        <v>122</v>
      </c>
      <c r="V436" t="s">
        <v>176</v>
      </c>
      <c r="W436" t="s">
        <v>177</v>
      </c>
      <c r="X436" t="s">
        <v>152</v>
      </c>
      <c r="Z436">
        <v>48</v>
      </c>
      <c r="AA436" t="s">
        <v>1199</v>
      </c>
      <c r="AB436" t="s">
        <v>1351</v>
      </c>
      <c r="AC436">
        <v>2604000116</v>
      </c>
      <c r="AE436">
        <v>0</v>
      </c>
      <c r="AF436">
        <v>1</v>
      </c>
      <c r="AG436">
        <v>0</v>
      </c>
      <c r="AH436">
        <v>0.42</v>
      </c>
      <c r="AI436" t="s">
        <v>56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 t="s">
        <v>57</v>
      </c>
      <c r="AS436" t="s">
        <v>1352</v>
      </c>
      <c r="AT436" t="s">
        <v>1352</v>
      </c>
      <c r="AU436" t="s">
        <v>1351</v>
      </c>
      <c r="AV436" t="s">
        <v>1353</v>
      </c>
      <c r="AW436" t="s">
        <v>1354</v>
      </c>
      <c r="AZ436">
        <v>77340</v>
      </c>
      <c r="BA436" t="s">
        <v>1355</v>
      </c>
      <c r="BB436" t="s">
        <v>61</v>
      </c>
      <c r="BC436" t="s">
        <v>62</v>
      </c>
    </row>
    <row r="437" spans="1:55" x14ac:dyDescent="0.25">
      <c r="A437" s="1" t="str">
        <f>IF(COUNTIF(Catégories!A:A,X437)=0,"catégorie inconnue",_xlfn.XLOOKUP(X437,Catégories!A:A,Catégories!B:B))</f>
        <v>Frêt</v>
      </c>
      <c r="B437" s="1">
        <f t="shared" si="18"/>
        <v>0</v>
      </c>
      <c r="C437" s="1">
        <f t="shared" si="19"/>
        <v>0</v>
      </c>
      <c r="D437" s="1">
        <f t="shared" si="20"/>
        <v>0</v>
      </c>
      <c r="E437" s="20">
        <f>IF(AH437&lt;&gt;0,ROUNDUP(AH437,0),IF(BB437&lt;&gt;"FR","hors France",IF(AH437&lt;&gt;0,ROUNDUP(AH437,0),_xlfn.XLOOKUP(AJ437,'PA GLS'!B:B,'PA GLS'!A:A))))</f>
        <v>2</v>
      </c>
      <c r="F437">
        <v>2501382993</v>
      </c>
      <c r="G437">
        <v>1030219782</v>
      </c>
      <c r="H437" t="s">
        <v>366</v>
      </c>
      <c r="I437">
        <v>2500034092</v>
      </c>
      <c r="J437" t="s">
        <v>50</v>
      </c>
      <c r="K437">
        <v>9000009190</v>
      </c>
      <c r="L437">
        <v>46946</v>
      </c>
      <c r="M437" t="s">
        <v>51</v>
      </c>
      <c r="N437">
        <v>9000079830</v>
      </c>
      <c r="O437" t="s">
        <v>187</v>
      </c>
      <c r="S437">
        <v>2507012387</v>
      </c>
      <c r="T437" t="s">
        <v>50</v>
      </c>
      <c r="U437" t="s">
        <v>122</v>
      </c>
      <c r="V437" t="s">
        <v>176</v>
      </c>
      <c r="W437" t="s">
        <v>177</v>
      </c>
      <c r="X437" t="s">
        <v>152</v>
      </c>
      <c r="Z437">
        <v>48</v>
      </c>
      <c r="AA437" t="s">
        <v>1199</v>
      </c>
      <c r="AB437" t="s">
        <v>1356</v>
      </c>
      <c r="AC437">
        <v>2604000117</v>
      </c>
      <c r="AE437">
        <v>0</v>
      </c>
      <c r="AF437">
        <v>1</v>
      </c>
      <c r="AG437">
        <v>0</v>
      </c>
      <c r="AH437">
        <v>1.1100000000000001</v>
      </c>
      <c r="AI437" t="s">
        <v>56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 t="s">
        <v>57</v>
      </c>
      <c r="AS437" t="s">
        <v>1357</v>
      </c>
      <c r="AT437" t="s">
        <v>1357</v>
      </c>
      <c r="AU437" t="s">
        <v>1356</v>
      </c>
      <c r="AV437" t="s">
        <v>1358</v>
      </c>
      <c r="AW437" t="s">
        <v>1359</v>
      </c>
      <c r="AZ437">
        <v>68640</v>
      </c>
      <c r="BA437" t="s">
        <v>1360</v>
      </c>
      <c r="BB437" t="s">
        <v>61</v>
      </c>
      <c r="BC437" t="s">
        <v>62</v>
      </c>
    </row>
    <row r="438" spans="1:55" x14ac:dyDescent="0.25">
      <c r="A438" s="1" t="str">
        <f>IF(COUNTIF(Catégories!A:A,X438)=0,"catégorie inconnue",_xlfn.XLOOKUP(X438,Catégories!A:A,Catégories!B:B))</f>
        <v>Frêt</v>
      </c>
      <c r="B438" s="1">
        <f t="shared" si="18"/>
        <v>0</v>
      </c>
      <c r="C438" s="1">
        <f t="shared" si="19"/>
        <v>0</v>
      </c>
      <c r="D438" s="1">
        <f t="shared" si="20"/>
        <v>0</v>
      </c>
      <c r="E438" s="20">
        <f>IF(AH438&lt;&gt;0,ROUNDUP(AH438,0),IF(BB438&lt;&gt;"FR","hors France",IF(AH438&lt;&gt;0,ROUNDUP(AH438,0),_xlfn.XLOOKUP(AJ438,'PA GLS'!B:B,'PA GLS'!A:A))))</f>
        <v>4</v>
      </c>
      <c r="F438">
        <v>2501382993</v>
      </c>
      <c r="G438">
        <v>1030219782</v>
      </c>
      <c r="H438" t="s">
        <v>366</v>
      </c>
      <c r="I438">
        <v>2500034092</v>
      </c>
      <c r="J438" t="s">
        <v>50</v>
      </c>
      <c r="K438">
        <v>9000009190</v>
      </c>
      <c r="L438">
        <v>46946</v>
      </c>
      <c r="M438" t="s">
        <v>51</v>
      </c>
      <c r="N438">
        <v>9000079830</v>
      </c>
      <c r="O438" t="s">
        <v>187</v>
      </c>
      <c r="S438">
        <v>2507012387</v>
      </c>
      <c r="T438" t="s">
        <v>50</v>
      </c>
      <c r="U438" t="s">
        <v>122</v>
      </c>
      <c r="V438" t="s">
        <v>176</v>
      </c>
      <c r="W438" t="s">
        <v>177</v>
      </c>
      <c r="X438" t="s">
        <v>152</v>
      </c>
      <c r="Z438">
        <v>48</v>
      </c>
      <c r="AA438" t="s">
        <v>1199</v>
      </c>
      <c r="AB438" t="s">
        <v>1361</v>
      </c>
      <c r="AC438">
        <v>2604000118</v>
      </c>
      <c r="AE438">
        <v>0</v>
      </c>
      <c r="AF438">
        <v>1</v>
      </c>
      <c r="AG438">
        <v>0</v>
      </c>
      <c r="AH438">
        <v>3.56</v>
      </c>
      <c r="AI438" t="s">
        <v>56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 t="s">
        <v>57</v>
      </c>
      <c r="AS438" t="s">
        <v>1362</v>
      </c>
      <c r="AT438" t="s">
        <v>1362</v>
      </c>
      <c r="AU438" t="s">
        <v>1361</v>
      </c>
      <c r="AV438" t="s">
        <v>1065</v>
      </c>
      <c r="AW438" t="s">
        <v>1066</v>
      </c>
      <c r="AZ438">
        <v>31000</v>
      </c>
      <c r="BA438" t="s">
        <v>218</v>
      </c>
      <c r="BB438" t="s">
        <v>61</v>
      </c>
      <c r="BC438" t="s">
        <v>62</v>
      </c>
    </row>
    <row r="439" spans="1:55" x14ac:dyDescent="0.25">
      <c r="A439" s="1" t="str">
        <f>IF(COUNTIF(Catégories!A:A,X439)=0,"catégorie inconnue",_xlfn.XLOOKUP(X439,Catégories!A:A,Catégories!B:B))</f>
        <v>Frêt</v>
      </c>
      <c r="B439" s="1">
        <f t="shared" si="18"/>
        <v>8.870000000000001</v>
      </c>
      <c r="C439" s="1">
        <f t="shared" si="19"/>
        <v>1.96</v>
      </c>
      <c r="D439" s="1">
        <f t="shared" si="20"/>
        <v>6.910000000000001</v>
      </c>
      <c r="E439" s="20">
        <f>IF(AH439&lt;&gt;0,ROUNDUP(AH439,0),IF(BB439&lt;&gt;"FR","hors France",IF(AH439&lt;&gt;0,ROUNDUP(AH439,0),_xlfn.XLOOKUP(AJ439,'PA GLS'!B:B,'PA GLS'!A:A))))</f>
        <v>5</v>
      </c>
      <c r="F439">
        <v>2501382993</v>
      </c>
      <c r="G439">
        <v>1030219782</v>
      </c>
      <c r="H439" t="s">
        <v>366</v>
      </c>
      <c r="I439">
        <v>2500034092</v>
      </c>
      <c r="J439" t="s">
        <v>50</v>
      </c>
      <c r="K439">
        <v>9000009190</v>
      </c>
      <c r="L439">
        <v>46946</v>
      </c>
      <c r="M439" t="s">
        <v>51</v>
      </c>
      <c r="N439">
        <v>9000079830</v>
      </c>
      <c r="O439" t="s">
        <v>187</v>
      </c>
      <c r="S439">
        <v>2507012387</v>
      </c>
      <c r="T439" t="s">
        <v>50</v>
      </c>
      <c r="U439" t="s">
        <v>122</v>
      </c>
      <c r="V439" t="s">
        <v>265</v>
      </c>
      <c r="W439" t="s">
        <v>266</v>
      </c>
      <c r="X439" t="s">
        <v>60</v>
      </c>
      <c r="Z439">
        <v>56</v>
      </c>
      <c r="AA439" t="s">
        <v>1199</v>
      </c>
      <c r="AB439" t="s">
        <v>1231</v>
      </c>
      <c r="AC439">
        <v>2604000127</v>
      </c>
      <c r="AE439">
        <v>0</v>
      </c>
      <c r="AF439">
        <v>0</v>
      </c>
      <c r="AG439">
        <v>0</v>
      </c>
      <c r="AH439">
        <v>0</v>
      </c>
      <c r="AI439" t="s">
        <v>56</v>
      </c>
      <c r="AJ439">
        <v>5.86</v>
      </c>
      <c r="AK439">
        <v>0.9</v>
      </c>
      <c r="AL439">
        <v>0.15</v>
      </c>
      <c r="AM439">
        <v>29.1</v>
      </c>
      <c r="AN439">
        <v>1.96</v>
      </c>
      <c r="AO439">
        <v>0</v>
      </c>
      <c r="AP439">
        <v>0</v>
      </c>
      <c r="AQ439" t="s">
        <v>57</v>
      </c>
      <c r="AS439" t="s">
        <v>1232</v>
      </c>
      <c r="AT439" t="s">
        <v>1232</v>
      </c>
      <c r="AU439" t="s">
        <v>1231</v>
      </c>
      <c r="AV439" t="s">
        <v>1233</v>
      </c>
      <c r="AW439" t="s">
        <v>1234</v>
      </c>
      <c r="AZ439">
        <v>84500</v>
      </c>
      <c r="BA439" t="s">
        <v>1235</v>
      </c>
      <c r="BB439" t="s">
        <v>61</v>
      </c>
      <c r="BC439" t="s">
        <v>62</v>
      </c>
    </row>
    <row r="440" spans="1:55" x14ac:dyDescent="0.25">
      <c r="A440" s="1" t="str">
        <f>IF(COUNTIF(Catégories!A:A,X440)=0,"catégorie inconnue",_xlfn.XLOOKUP(X440,Catégories!A:A,Catégories!B:B))</f>
        <v>Frêt</v>
      </c>
      <c r="B440" s="1">
        <f t="shared" si="18"/>
        <v>8.15</v>
      </c>
      <c r="C440" s="1">
        <f t="shared" si="19"/>
        <v>1.8</v>
      </c>
      <c r="D440" s="1">
        <f t="shared" si="20"/>
        <v>6.3500000000000005</v>
      </c>
      <c r="E440" s="20">
        <f>IF(AH440&lt;&gt;0,ROUNDUP(AH440,0),IF(BB440&lt;&gt;"FR","hors France",IF(AH440&lt;&gt;0,ROUNDUP(AH440,0),_xlfn.XLOOKUP(AJ440,'PA GLS'!B:B,'PA GLS'!A:A))))</f>
        <v>4</v>
      </c>
      <c r="F440">
        <v>2501382993</v>
      </c>
      <c r="G440">
        <v>1030219782</v>
      </c>
      <c r="H440" t="s">
        <v>366</v>
      </c>
      <c r="I440">
        <v>2500034092</v>
      </c>
      <c r="J440" t="s">
        <v>50</v>
      </c>
      <c r="K440">
        <v>9000009190</v>
      </c>
      <c r="L440">
        <v>46946</v>
      </c>
      <c r="M440" t="s">
        <v>51</v>
      </c>
      <c r="N440">
        <v>9000079830</v>
      </c>
      <c r="O440" t="s">
        <v>187</v>
      </c>
      <c r="S440">
        <v>2507012387</v>
      </c>
      <c r="T440" t="s">
        <v>50</v>
      </c>
      <c r="U440" t="s">
        <v>122</v>
      </c>
      <c r="V440" t="s">
        <v>231</v>
      </c>
      <c r="W440" t="s">
        <v>232</v>
      </c>
      <c r="X440" t="s">
        <v>60</v>
      </c>
      <c r="Z440">
        <v>55</v>
      </c>
      <c r="AA440" t="s">
        <v>1199</v>
      </c>
      <c r="AB440" t="s">
        <v>1250</v>
      </c>
      <c r="AC440">
        <v>2604000123</v>
      </c>
      <c r="AE440">
        <v>0</v>
      </c>
      <c r="AF440">
        <v>0</v>
      </c>
      <c r="AG440">
        <v>0</v>
      </c>
      <c r="AH440">
        <v>0</v>
      </c>
      <c r="AI440" t="s">
        <v>56</v>
      </c>
      <c r="AJ440">
        <v>5.3</v>
      </c>
      <c r="AK440">
        <v>0.9</v>
      </c>
      <c r="AL440">
        <v>0.15</v>
      </c>
      <c r="AM440">
        <v>29.1</v>
      </c>
      <c r="AN440">
        <v>1.8</v>
      </c>
      <c r="AO440">
        <v>0</v>
      </c>
      <c r="AP440">
        <v>0</v>
      </c>
      <c r="AQ440" t="s">
        <v>57</v>
      </c>
      <c r="AS440" t="s">
        <v>1251</v>
      </c>
      <c r="AT440" t="s">
        <v>1251</v>
      </c>
      <c r="AU440" t="s">
        <v>1250</v>
      </c>
      <c r="AV440" t="s">
        <v>1252</v>
      </c>
      <c r="AW440" t="s">
        <v>1253</v>
      </c>
      <c r="AZ440">
        <v>49300</v>
      </c>
      <c r="BA440" t="s">
        <v>683</v>
      </c>
      <c r="BB440" t="s">
        <v>61</v>
      </c>
      <c r="BC440" t="s">
        <v>62</v>
      </c>
    </row>
    <row r="441" spans="1:55" x14ac:dyDescent="0.25">
      <c r="A441" s="1" t="str">
        <f>IF(COUNTIF(Catégories!A:A,X441)=0,"catégorie inconnue",_xlfn.XLOOKUP(X441,Catégories!A:A,Catégories!B:B))</f>
        <v>Frêt</v>
      </c>
      <c r="B441" s="1">
        <f t="shared" si="18"/>
        <v>8.15</v>
      </c>
      <c r="C441" s="1">
        <f t="shared" si="19"/>
        <v>1.8</v>
      </c>
      <c r="D441" s="1">
        <f t="shared" si="20"/>
        <v>6.3500000000000005</v>
      </c>
      <c r="E441" s="20">
        <f>IF(AH441&lt;&gt;0,ROUNDUP(AH441,0),IF(BB441&lt;&gt;"FR","hors France",IF(AH441&lt;&gt;0,ROUNDUP(AH441,0),_xlfn.XLOOKUP(AJ441,'PA GLS'!B:B,'PA GLS'!A:A))))</f>
        <v>4</v>
      </c>
      <c r="F441">
        <v>2501382993</v>
      </c>
      <c r="G441">
        <v>1030219782</v>
      </c>
      <c r="H441" t="s">
        <v>366</v>
      </c>
      <c r="I441">
        <v>2500034092</v>
      </c>
      <c r="J441" t="s">
        <v>50</v>
      </c>
      <c r="K441">
        <v>9000009190</v>
      </c>
      <c r="L441">
        <v>46946</v>
      </c>
      <c r="M441" t="s">
        <v>51</v>
      </c>
      <c r="N441">
        <v>9000079830</v>
      </c>
      <c r="O441" t="s">
        <v>187</v>
      </c>
      <c r="S441">
        <v>2507012387</v>
      </c>
      <c r="T441" t="s">
        <v>50</v>
      </c>
      <c r="U441" t="s">
        <v>122</v>
      </c>
      <c r="V441" t="s">
        <v>231</v>
      </c>
      <c r="W441" t="s">
        <v>232</v>
      </c>
      <c r="X441" t="s">
        <v>60</v>
      </c>
      <c r="Z441">
        <v>55</v>
      </c>
      <c r="AA441" t="s">
        <v>1199</v>
      </c>
      <c r="AB441" t="s">
        <v>1263</v>
      </c>
      <c r="AC441">
        <v>2604000120</v>
      </c>
      <c r="AE441">
        <v>0</v>
      </c>
      <c r="AF441">
        <v>0</v>
      </c>
      <c r="AG441">
        <v>0</v>
      </c>
      <c r="AH441">
        <v>0</v>
      </c>
      <c r="AI441" t="s">
        <v>56</v>
      </c>
      <c r="AJ441">
        <v>5.3</v>
      </c>
      <c r="AK441">
        <v>0.9</v>
      </c>
      <c r="AL441">
        <v>0.15</v>
      </c>
      <c r="AM441">
        <v>29.1</v>
      </c>
      <c r="AN441">
        <v>1.8</v>
      </c>
      <c r="AO441">
        <v>0</v>
      </c>
      <c r="AP441">
        <v>0</v>
      </c>
      <c r="AQ441" t="s">
        <v>57</v>
      </c>
      <c r="AS441" t="s">
        <v>1264</v>
      </c>
      <c r="AT441" t="s">
        <v>1264</v>
      </c>
      <c r="AU441" t="s">
        <v>1263</v>
      </c>
      <c r="AV441" t="s">
        <v>1265</v>
      </c>
      <c r="AW441" t="s">
        <v>1266</v>
      </c>
      <c r="AZ441">
        <v>74960</v>
      </c>
      <c r="BA441" t="s">
        <v>274</v>
      </c>
      <c r="BB441" t="s">
        <v>61</v>
      </c>
      <c r="BC441" t="s">
        <v>62</v>
      </c>
    </row>
    <row r="442" spans="1:55" x14ac:dyDescent="0.25">
      <c r="A442" s="1" t="str">
        <f>IF(COUNTIF(Catégories!A:A,X442)=0,"catégorie inconnue",_xlfn.XLOOKUP(X442,Catégories!A:A,Catégories!B:B))</f>
        <v>Frêt</v>
      </c>
      <c r="B442" s="1">
        <f t="shared" si="18"/>
        <v>8.15</v>
      </c>
      <c r="C442" s="1">
        <f t="shared" si="19"/>
        <v>1.8</v>
      </c>
      <c r="D442" s="1">
        <f t="shared" si="20"/>
        <v>6.3500000000000005</v>
      </c>
      <c r="E442" s="20">
        <f>IF(AH442&lt;&gt;0,ROUNDUP(AH442,0),IF(BB442&lt;&gt;"FR","hors France",IF(AH442&lt;&gt;0,ROUNDUP(AH442,0),_xlfn.XLOOKUP(AJ442,'PA GLS'!B:B,'PA GLS'!A:A))))</f>
        <v>4</v>
      </c>
      <c r="F442">
        <v>2501382993</v>
      </c>
      <c r="G442">
        <v>1030219782</v>
      </c>
      <c r="H442" t="s">
        <v>366</v>
      </c>
      <c r="I442">
        <v>2500034092</v>
      </c>
      <c r="J442" t="s">
        <v>50</v>
      </c>
      <c r="K442">
        <v>9000009190</v>
      </c>
      <c r="L442">
        <v>46946</v>
      </c>
      <c r="M442" t="s">
        <v>51</v>
      </c>
      <c r="N442">
        <v>9000079830</v>
      </c>
      <c r="O442" t="s">
        <v>187</v>
      </c>
      <c r="S442">
        <v>2507012387</v>
      </c>
      <c r="T442" t="s">
        <v>50</v>
      </c>
      <c r="U442" t="s">
        <v>122</v>
      </c>
      <c r="V442" t="s">
        <v>231</v>
      </c>
      <c r="W442" t="s">
        <v>232</v>
      </c>
      <c r="X442" t="s">
        <v>60</v>
      </c>
      <c r="Z442">
        <v>55</v>
      </c>
      <c r="AA442" t="s">
        <v>1199</v>
      </c>
      <c r="AB442" t="s">
        <v>1361</v>
      </c>
      <c r="AC442">
        <v>2604000118</v>
      </c>
      <c r="AE442">
        <v>0</v>
      </c>
      <c r="AF442">
        <v>0</v>
      </c>
      <c r="AG442">
        <v>0</v>
      </c>
      <c r="AH442">
        <v>0</v>
      </c>
      <c r="AI442" t="s">
        <v>56</v>
      </c>
      <c r="AJ442">
        <v>5.3</v>
      </c>
      <c r="AK442">
        <v>0.9</v>
      </c>
      <c r="AL442">
        <v>0.15</v>
      </c>
      <c r="AM442">
        <v>29.1</v>
      </c>
      <c r="AN442">
        <v>1.8</v>
      </c>
      <c r="AO442">
        <v>0</v>
      </c>
      <c r="AP442">
        <v>0</v>
      </c>
      <c r="AQ442" t="s">
        <v>57</v>
      </c>
      <c r="AS442" t="s">
        <v>1362</v>
      </c>
      <c r="AT442" t="s">
        <v>1362</v>
      </c>
      <c r="AU442" t="s">
        <v>1361</v>
      </c>
      <c r="AV442" t="s">
        <v>1065</v>
      </c>
      <c r="AW442" t="s">
        <v>1066</v>
      </c>
      <c r="AZ442">
        <v>31000</v>
      </c>
      <c r="BA442" t="s">
        <v>218</v>
      </c>
      <c r="BB442" t="s">
        <v>61</v>
      </c>
      <c r="BC442" t="s">
        <v>62</v>
      </c>
    </row>
    <row r="443" spans="1:55" x14ac:dyDescent="0.25">
      <c r="A443" s="1" t="str">
        <f>IF(COUNTIF(Catégories!A:A,X443)=0,"catégorie inconnue",_xlfn.XLOOKUP(X443,Catégories!A:A,Catégories!B:B))</f>
        <v>Frêt</v>
      </c>
      <c r="B443" s="1">
        <f t="shared" si="18"/>
        <v>8.15</v>
      </c>
      <c r="C443" s="1">
        <f t="shared" si="19"/>
        <v>1.8</v>
      </c>
      <c r="D443" s="1">
        <f t="shared" si="20"/>
        <v>6.3500000000000005</v>
      </c>
      <c r="E443" s="20">
        <f>IF(AH443&lt;&gt;0,ROUNDUP(AH443,0),IF(BB443&lt;&gt;"FR","hors France",IF(AH443&lt;&gt;0,ROUNDUP(AH443,0),_xlfn.XLOOKUP(AJ443,'PA GLS'!B:B,'PA GLS'!A:A))))</f>
        <v>4</v>
      </c>
      <c r="F443">
        <v>2501382993</v>
      </c>
      <c r="G443">
        <v>1030219782</v>
      </c>
      <c r="H443" t="s">
        <v>366</v>
      </c>
      <c r="I443">
        <v>2500034092</v>
      </c>
      <c r="J443" t="s">
        <v>50</v>
      </c>
      <c r="K443">
        <v>9000009190</v>
      </c>
      <c r="L443">
        <v>46946</v>
      </c>
      <c r="M443" t="s">
        <v>51</v>
      </c>
      <c r="N443">
        <v>9000079830</v>
      </c>
      <c r="O443" t="s">
        <v>187</v>
      </c>
      <c r="S443">
        <v>2507012387</v>
      </c>
      <c r="T443" t="s">
        <v>50</v>
      </c>
      <c r="U443" t="s">
        <v>122</v>
      </c>
      <c r="V443" t="s">
        <v>231</v>
      </c>
      <c r="W443" t="s">
        <v>232</v>
      </c>
      <c r="X443" t="s">
        <v>60</v>
      </c>
      <c r="Z443">
        <v>55</v>
      </c>
      <c r="AA443" t="s">
        <v>1199</v>
      </c>
      <c r="AB443" t="s">
        <v>1347</v>
      </c>
      <c r="AC443">
        <v>2604000115</v>
      </c>
      <c r="AE443">
        <v>0</v>
      </c>
      <c r="AF443">
        <v>0</v>
      </c>
      <c r="AG443">
        <v>0</v>
      </c>
      <c r="AH443">
        <v>0</v>
      </c>
      <c r="AI443" t="s">
        <v>56</v>
      </c>
      <c r="AJ443">
        <v>5.3</v>
      </c>
      <c r="AK443">
        <v>0.9</v>
      </c>
      <c r="AL443">
        <v>0.15</v>
      </c>
      <c r="AM443">
        <v>29.1</v>
      </c>
      <c r="AN443">
        <v>1.8</v>
      </c>
      <c r="AO443">
        <v>0</v>
      </c>
      <c r="AP443">
        <v>0</v>
      </c>
      <c r="AQ443" t="s">
        <v>57</v>
      </c>
      <c r="AS443" t="s">
        <v>1348</v>
      </c>
      <c r="AT443" t="s">
        <v>1348</v>
      </c>
      <c r="AU443" t="s">
        <v>1347</v>
      </c>
      <c r="AV443" t="s">
        <v>1349</v>
      </c>
      <c r="AW443" t="s">
        <v>1350</v>
      </c>
      <c r="AZ443">
        <v>56680</v>
      </c>
      <c r="BA443" t="s">
        <v>635</v>
      </c>
      <c r="BB443" t="s">
        <v>61</v>
      </c>
      <c r="BC443" t="s">
        <v>62</v>
      </c>
    </row>
    <row r="444" spans="1:55" x14ac:dyDescent="0.25">
      <c r="A444" s="1" t="str">
        <f>IF(COUNTIF(Catégories!A:A,X444)=0,"catégorie inconnue",_xlfn.XLOOKUP(X444,Catégories!A:A,Catégories!B:B))</f>
        <v>Frêt</v>
      </c>
      <c r="B444" s="1">
        <f t="shared" si="18"/>
        <v>8.15</v>
      </c>
      <c r="C444" s="1">
        <f t="shared" si="19"/>
        <v>1.8</v>
      </c>
      <c r="D444" s="1">
        <f t="shared" si="20"/>
        <v>6.3500000000000005</v>
      </c>
      <c r="E444" s="20">
        <f>IF(AH444&lt;&gt;0,ROUNDUP(AH444,0),IF(BB444&lt;&gt;"FR","hors France",IF(AH444&lt;&gt;0,ROUNDUP(AH444,0),_xlfn.XLOOKUP(AJ444,'PA GLS'!B:B,'PA GLS'!A:A))))</f>
        <v>4</v>
      </c>
      <c r="F444">
        <v>2501382993</v>
      </c>
      <c r="G444">
        <v>1030219782</v>
      </c>
      <c r="H444" t="s">
        <v>366</v>
      </c>
      <c r="I444">
        <v>2500034092</v>
      </c>
      <c r="J444" t="s">
        <v>50</v>
      </c>
      <c r="K444">
        <v>9000009190</v>
      </c>
      <c r="L444">
        <v>46946</v>
      </c>
      <c r="M444" t="s">
        <v>51</v>
      </c>
      <c r="N444">
        <v>9000079830</v>
      </c>
      <c r="O444" t="s">
        <v>187</v>
      </c>
      <c r="S444">
        <v>2507012387</v>
      </c>
      <c r="T444" t="s">
        <v>50</v>
      </c>
      <c r="U444" t="s">
        <v>122</v>
      </c>
      <c r="V444" t="s">
        <v>231</v>
      </c>
      <c r="W444" t="s">
        <v>232</v>
      </c>
      <c r="X444" t="s">
        <v>60</v>
      </c>
      <c r="Z444">
        <v>55</v>
      </c>
      <c r="AA444" t="s">
        <v>1199</v>
      </c>
      <c r="AB444" t="s">
        <v>1300</v>
      </c>
      <c r="AC444">
        <v>2604000105</v>
      </c>
      <c r="AE444">
        <v>0</v>
      </c>
      <c r="AF444">
        <v>0</v>
      </c>
      <c r="AG444">
        <v>0</v>
      </c>
      <c r="AH444">
        <v>0</v>
      </c>
      <c r="AI444" t="s">
        <v>56</v>
      </c>
      <c r="AJ444">
        <v>5.3</v>
      </c>
      <c r="AK444">
        <v>0.9</v>
      </c>
      <c r="AL444">
        <v>0.15</v>
      </c>
      <c r="AM444">
        <v>29.1</v>
      </c>
      <c r="AN444">
        <v>1.8</v>
      </c>
      <c r="AO444">
        <v>0</v>
      </c>
      <c r="AP444">
        <v>0</v>
      </c>
      <c r="AQ444" t="s">
        <v>57</v>
      </c>
      <c r="AS444" t="s">
        <v>1301</v>
      </c>
      <c r="AT444" t="s">
        <v>1301</v>
      </c>
      <c r="AU444" t="s">
        <v>1300</v>
      </c>
      <c r="AV444" t="s">
        <v>1302</v>
      </c>
      <c r="AW444" t="s">
        <v>1303</v>
      </c>
      <c r="AZ444">
        <v>74380</v>
      </c>
      <c r="BA444" t="s">
        <v>1304</v>
      </c>
      <c r="BB444" t="s">
        <v>61</v>
      </c>
      <c r="BC444" t="s">
        <v>62</v>
      </c>
    </row>
    <row r="445" spans="1:55" x14ac:dyDescent="0.25">
      <c r="A445" s="1" t="str">
        <f>IF(COUNTIF(Catégories!A:A,X445)=0,"catégorie inconnue",_xlfn.XLOOKUP(X445,Catégories!A:A,Catégories!B:B))</f>
        <v>Frêt</v>
      </c>
      <c r="B445" s="1">
        <f t="shared" si="18"/>
        <v>7.4300000000000006</v>
      </c>
      <c r="C445" s="1">
        <f t="shared" si="19"/>
        <v>1.64</v>
      </c>
      <c r="D445" s="1">
        <f t="shared" si="20"/>
        <v>5.7900000000000009</v>
      </c>
      <c r="E445" s="20">
        <f>IF(AH445&lt;&gt;0,ROUNDUP(AH445,0),IF(BB445&lt;&gt;"FR","hors France",IF(AH445&lt;&gt;0,ROUNDUP(AH445,0),_xlfn.XLOOKUP(AJ445,'PA GLS'!B:B,'PA GLS'!A:A))))</f>
        <v>3</v>
      </c>
      <c r="F445">
        <v>2501382993</v>
      </c>
      <c r="G445">
        <v>1030219782</v>
      </c>
      <c r="H445" t="s">
        <v>366</v>
      </c>
      <c r="I445">
        <v>2500034092</v>
      </c>
      <c r="J445" t="s">
        <v>50</v>
      </c>
      <c r="K445">
        <v>9000009190</v>
      </c>
      <c r="L445">
        <v>46946</v>
      </c>
      <c r="M445" t="s">
        <v>51</v>
      </c>
      <c r="N445">
        <v>9000079830</v>
      </c>
      <c r="O445" t="s">
        <v>187</v>
      </c>
      <c r="S445">
        <v>2507012387</v>
      </c>
      <c r="T445" t="s">
        <v>50</v>
      </c>
      <c r="U445" t="s">
        <v>122</v>
      </c>
      <c r="V445" t="s">
        <v>58</v>
      </c>
      <c r="W445" t="s">
        <v>59</v>
      </c>
      <c r="X445" t="s">
        <v>60</v>
      </c>
      <c r="Z445">
        <v>54</v>
      </c>
      <c r="AA445" t="s">
        <v>1199</v>
      </c>
      <c r="AB445" t="s">
        <v>1246</v>
      </c>
      <c r="AC445">
        <v>2604000124</v>
      </c>
      <c r="AE445">
        <v>0</v>
      </c>
      <c r="AF445">
        <v>0</v>
      </c>
      <c r="AG445">
        <v>0</v>
      </c>
      <c r="AH445">
        <v>0</v>
      </c>
      <c r="AI445" t="s">
        <v>56</v>
      </c>
      <c r="AJ445">
        <v>4.74</v>
      </c>
      <c r="AK445">
        <v>0.9</v>
      </c>
      <c r="AL445">
        <v>0.15</v>
      </c>
      <c r="AM445">
        <v>29.1</v>
      </c>
      <c r="AN445">
        <v>1.64</v>
      </c>
      <c r="AO445">
        <v>0</v>
      </c>
      <c r="AP445">
        <v>0</v>
      </c>
      <c r="AQ445" t="s">
        <v>57</v>
      </c>
      <c r="AS445" t="s">
        <v>1247</v>
      </c>
      <c r="AT445" t="s">
        <v>1247</v>
      </c>
      <c r="AU445" t="s">
        <v>1246</v>
      </c>
      <c r="AV445" t="s">
        <v>1248</v>
      </c>
      <c r="AW445" t="s">
        <v>1249</v>
      </c>
      <c r="AZ445">
        <v>92800</v>
      </c>
      <c r="BA445" t="s">
        <v>309</v>
      </c>
      <c r="BB445" t="s">
        <v>61</v>
      </c>
      <c r="BC445" t="s">
        <v>62</v>
      </c>
    </row>
    <row r="446" spans="1:55" x14ac:dyDescent="0.25">
      <c r="A446" s="1" t="str">
        <f>IF(COUNTIF(Catégories!A:A,X446)=0,"catégorie inconnue",_xlfn.XLOOKUP(X446,Catégories!A:A,Catégories!B:B))</f>
        <v>Frêt</v>
      </c>
      <c r="B446" s="1">
        <f t="shared" si="18"/>
        <v>7.4300000000000006</v>
      </c>
      <c r="C446" s="1">
        <f t="shared" si="19"/>
        <v>1.64</v>
      </c>
      <c r="D446" s="1">
        <f t="shared" si="20"/>
        <v>5.7900000000000009</v>
      </c>
      <c r="E446" s="20">
        <f>IF(AH446&lt;&gt;0,ROUNDUP(AH446,0),IF(BB446&lt;&gt;"FR","hors France",IF(AH446&lt;&gt;0,ROUNDUP(AH446,0),_xlfn.XLOOKUP(AJ446,'PA GLS'!B:B,'PA GLS'!A:A))))</f>
        <v>3</v>
      </c>
      <c r="F446">
        <v>2501382993</v>
      </c>
      <c r="G446">
        <v>1030219782</v>
      </c>
      <c r="H446" t="s">
        <v>366</v>
      </c>
      <c r="I446">
        <v>2500034092</v>
      </c>
      <c r="J446" t="s">
        <v>50</v>
      </c>
      <c r="K446">
        <v>9000009190</v>
      </c>
      <c r="L446">
        <v>46946</v>
      </c>
      <c r="M446" t="s">
        <v>51</v>
      </c>
      <c r="N446">
        <v>9000079830</v>
      </c>
      <c r="O446" t="s">
        <v>187</v>
      </c>
      <c r="S446">
        <v>2507012387</v>
      </c>
      <c r="T446" t="s">
        <v>50</v>
      </c>
      <c r="U446" t="s">
        <v>122</v>
      </c>
      <c r="V446" t="s">
        <v>58</v>
      </c>
      <c r="W446" t="s">
        <v>59</v>
      </c>
      <c r="X446" t="s">
        <v>60</v>
      </c>
      <c r="Z446">
        <v>54</v>
      </c>
      <c r="AA446" t="s">
        <v>1199</v>
      </c>
      <c r="AB446" t="s">
        <v>1324</v>
      </c>
      <c r="AC446">
        <v>2604000110</v>
      </c>
      <c r="AE446">
        <v>0</v>
      </c>
      <c r="AF446">
        <v>0</v>
      </c>
      <c r="AG446">
        <v>0</v>
      </c>
      <c r="AH446">
        <v>0</v>
      </c>
      <c r="AI446" t="s">
        <v>56</v>
      </c>
      <c r="AJ446">
        <v>4.74</v>
      </c>
      <c r="AK446">
        <v>0.9</v>
      </c>
      <c r="AL446">
        <v>0.15</v>
      </c>
      <c r="AM446">
        <v>29.1</v>
      </c>
      <c r="AN446">
        <v>1.64</v>
      </c>
      <c r="AO446">
        <v>0</v>
      </c>
      <c r="AP446">
        <v>0</v>
      </c>
      <c r="AQ446" t="s">
        <v>57</v>
      </c>
      <c r="AS446" t="s">
        <v>1325</v>
      </c>
      <c r="AT446" t="s">
        <v>1325</v>
      </c>
      <c r="AU446" t="s">
        <v>1324</v>
      </c>
      <c r="AV446" t="s">
        <v>1326</v>
      </c>
      <c r="AW446" t="s">
        <v>1327</v>
      </c>
      <c r="AZ446">
        <v>26210</v>
      </c>
      <c r="BA446" t="s">
        <v>1328</v>
      </c>
      <c r="BB446" t="s">
        <v>61</v>
      </c>
      <c r="BC446" t="s">
        <v>62</v>
      </c>
    </row>
    <row r="447" spans="1:55" x14ac:dyDescent="0.25">
      <c r="A447" s="1" t="str">
        <f>IF(COUNTIF(Catégories!A:A,X447)=0,"catégorie inconnue",_xlfn.XLOOKUP(X447,Catégories!A:A,Catégories!B:B))</f>
        <v>Frêt</v>
      </c>
      <c r="B447" s="1">
        <f t="shared" si="18"/>
        <v>7.4300000000000006</v>
      </c>
      <c r="C447" s="1">
        <f t="shared" si="19"/>
        <v>1.64</v>
      </c>
      <c r="D447" s="1">
        <f t="shared" si="20"/>
        <v>5.7900000000000009</v>
      </c>
      <c r="E447" s="20">
        <f>IF(AH447&lt;&gt;0,ROUNDUP(AH447,0),IF(BB447&lt;&gt;"FR","hors France",IF(AH447&lt;&gt;0,ROUNDUP(AH447,0),_xlfn.XLOOKUP(AJ447,'PA GLS'!B:B,'PA GLS'!A:A))))</f>
        <v>3</v>
      </c>
      <c r="F447">
        <v>2501382993</v>
      </c>
      <c r="G447">
        <v>1030219782</v>
      </c>
      <c r="H447" t="s">
        <v>366</v>
      </c>
      <c r="I447">
        <v>2500034092</v>
      </c>
      <c r="J447" t="s">
        <v>50</v>
      </c>
      <c r="K447">
        <v>9000009190</v>
      </c>
      <c r="L447">
        <v>46946</v>
      </c>
      <c r="M447" t="s">
        <v>51</v>
      </c>
      <c r="N447">
        <v>9000079830</v>
      </c>
      <c r="O447" t="s">
        <v>187</v>
      </c>
      <c r="S447">
        <v>2507012387</v>
      </c>
      <c r="T447" t="s">
        <v>50</v>
      </c>
      <c r="U447" t="s">
        <v>122</v>
      </c>
      <c r="V447" t="s">
        <v>58</v>
      </c>
      <c r="W447" t="s">
        <v>59</v>
      </c>
      <c r="X447" t="s">
        <v>60</v>
      </c>
      <c r="Z447">
        <v>54</v>
      </c>
      <c r="AA447" t="s">
        <v>1199</v>
      </c>
      <c r="AB447" t="s">
        <v>1276</v>
      </c>
      <c r="AC447">
        <v>2604000100</v>
      </c>
      <c r="AE447">
        <v>0</v>
      </c>
      <c r="AF447">
        <v>0</v>
      </c>
      <c r="AG447">
        <v>0</v>
      </c>
      <c r="AH447">
        <v>0</v>
      </c>
      <c r="AI447" t="s">
        <v>56</v>
      </c>
      <c r="AJ447">
        <v>4.74</v>
      </c>
      <c r="AK447">
        <v>0.9</v>
      </c>
      <c r="AL447">
        <v>0.15</v>
      </c>
      <c r="AM447">
        <v>29.1</v>
      </c>
      <c r="AN447">
        <v>1.64</v>
      </c>
      <c r="AO447">
        <v>0</v>
      </c>
      <c r="AP447">
        <v>0</v>
      </c>
      <c r="AQ447" t="s">
        <v>57</v>
      </c>
      <c r="AS447" t="s">
        <v>1277</v>
      </c>
      <c r="AT447" t="s">
        <v>1277</v>
      </c>
      <c r="AU447" t="s">
        <v>1276</v>
      </c>
      <c r="AV447" t="s">
        <v>1278</v>
      </c>
      <c r="AW447" t="s">
        <v>1279</v>
      </c>
      <c r="AZ447">
        <v>84330</v>
      </c>
      <c r="BA447" t="s">
        <v>1280</v>
      </c>
      <c r="BB447" t="s">
        <v>61</v>
      </c>
      <c r="BC447" t="s">
        <v>62</v>
      </c>
    </row>
    <row r="448" spans="1:55" x14ac:dyDescent="0.25">
      <c r="A448" s="1" t="str">
        <f>IF(COUNTIF(Catégories!A:A,X448)=0,"catégorie inconnue",_xlfn.XLOOKUP(X448,Catégories!A:A,Catégories!B:B))</f>
        <v>Frêt</v>
      </c>
      <c r="B448" s="1">
        <f t="shared" si="18"/>
        <v>7.0100000000000007</v>
      </c>
      <c r="C448" s="1">
        <f t="shared" si="19"/>
        <v>1.54</v>
      </c>
      <c r="D448" s="1">
        <f t="shared" si="20"/>
        <v>5.4700000000000006</v>
      </c>
      <c r="E448" s="20">
        <f>IF(AH448&lt;&gt;0,ROUNDUP(AH448,0),IF(BB448&lt;&gt;"FR","hors France",IF(AH448&lt;&gt;0,ROUNDUP(AH448,0),_xlfn.XLOOKUP(AJ448,'PA GLS'!B:B,'PA GLS'!A:A))))</f>
        <v>2</v>
      </c>
      <c r="F448">
        <v>2501382993</v>
      </c>
      <c r="G448">
        <v>1030219782</v>
      </c>
      <c r="H448" t="s">
        <v>366</v>
      </c>
      <c r="I448">
        <v>2500034092</v>
      </c>
      <c r="J448" t="s">
        <v>50</v>
      </c>
      <c r="K448">
        <v>9000009190</v>
      </c>
      <c r="L448">
        <v>46946</v>
      </c>
      <c r="M448" t="s">
        <v>51</v>
      </c>
      <c r="N448">
        <v>9000079830</v>
      </c>
      <c r="O448" t="s">
        <v>187</v>
      </c>
      <c r="S448">
        <v>2507012387</v>
      </c>
      <c r="T448" t="s">
        <v>50</v>
      </c>
      <c r="U448" t="s">
        <v>122</v>
      </c>
      <c r="V448" t="s">
        <v>77</v>
      </c>
      <c r="W448" t="s">
        <v>78</v>
      </c>
      <c r="X448" t="s">
        <v>60</v>
      </c>
      <c r="Z448">
        <v>53</v>
      </c>
      <c r="AA448" t="s">
        <v>1199</v>
      </c>
      <c r="AB448" t="s">
        <v>1363</v>
      </c>
      <c r="AC448">
        <v>2604000134</v>
      </c>
      <c r="AE448">
        <v>0</v>
      </c>
      <c r="AF448">
        <v>0</v>
      </c>
      <c r="AG448">
        <v>0</v>
      </c>
      <c r="AH448">
        <v>0</v>
      </c>
      <c r="AI448" t="s">
        <v>56</v>
      </c>
      <c r="AJ448">
        <v>4.42</v>
      </c>
      <c r="AK448">
        <v>0.9</v>
      </c>
      <c r="AL448">
        <v>0.15</v>
      </c>
      <c r="AM448">
        <v>29.1</v>
      </c>
      <c r="AN448">
        <v>1.54</v>
      </c>
      <c r="AO448">
        <v>0</v>
      </c>
      <c r="AP448">
        <v>0</v>
      </c>
      <c r="AQ448" t="s">
        <v>57</v>
      </c>
      <c r="AS448" t="s">
        <v>1364</v>
      </c>
      <c r="AT448" t="s">
        <v>1364</v>
      </c>
      <c r="AU448" t="s">
        <v>1363</v>
      </c>
      <c r="AV448" t="s">
        <v>1365</v>
      </c>
      <c r="AW448" t="s">
        <v>1366</v>
      </c>
      <c r="AZ448">
        <v>37320</v>
      </c>
      <c r="BA448" t="s">
        <v>1367</v>
      </c>
      <c r="BB448" t="s">
        <v>61</v>
      </c>
      <c r="BC448" t="s">
        <v>62</v>
      </c>
    </row>
    <row r="449" spans="1:55" x14ac:dyDescent="0.25">
      <c r="A449" s="1" t="str">
        <f>IF(COUNTIF(Catégories!A:A,X449)=0,"catégorie inconnue",_xlfn.XLOOKUP(X449,Catégories!A:A,Catégories!B:B))</f>
        <v>Frêt</v>
      </c>
      <c r="B449" s="1">
        <f t="shared" si="18"/>
        <v>7.0100000000000007</v>
      </c>
      <c r="C449" s="1">
        <f t="shared" si="19"/>
        <v>1.54</v>
      </c>
      <c r="D449" s="1">
        <f t="shared" si="20"/>
        <v>5.4700000000000006</v>
      </c>
      <c r="E449" s="20">
        <f>IF(AH449&lt;&gt;0,ROUNDUP(AH449,0),IF(BB449&lt;&gt;"FR","hors France",IF(AH449&lt;&gt;0,ROUNDUP(AH449,0),_xlfn.XLOOKUP(AJ449,'PA GLS'!B:B,'PA GLS'!A:A))))</f>
        <v>2</v>
      </c>
      <c r="F449">
        <v>2501382993</v>
      </c>
      <c r="G449">
        <v>1030219782</v>
      </c>
      <c r="H449" t="s">
        <v>366</v>
      </c>
      <c r="I449">
        <v>2500034092</v>
      </c>
      <c r="J449" t="s">
        <v>50</v>
      </c>
      <c r="K449">
        <v>9000009190</v>
      </c>
      <c r="L449">
        <v>46946</v>
      </c>
      <c r="M449" t="s">
        <v>51</v>
      </c>
      <c r="N449">
        <v>9000079830</v>
      </c>
      <c r="O449" t="s">
        <v>187</v>
      </c>
      <c r="S449">
        <v>2507012387</v>
      </c>
      <c r="T449" t="s">
        <v>50</v>
      </c>
      <c r="U449" t="s">
        <v>122</v>
      </c>
      <c r="V449" t="s">
        <v>77</v>
      </c>
      <c r="W449" t="s">
        <v>78</v>
      </c>
      <c r="X449" t="s">
        <v>60</v>
      </c>
      <c r="Z449">
        <v>53</v>
      </c>
      <c r="AA449" t="s">
        <v>1199</v>
      </c>
      <c r="AB449" t="s">
        <v>1241</v>
      </c>
      <c r="AC449">
        <v>2604000125</v>
      </c>
      <c r="AE449">
        <v>0</v>
      </c>
      <c r="AF449">
        <v>0</v>
      </c>
      <c r="AG449">
        <v>0</v>
      </c>
      <c r="AH449">
        <v>0</v>
      </c>
      <c r="AI449" t="s">
        <v>56</v>
      </c>
      <c r="AJ449">
        <v>4.42</v>
      </c>
      <c r="AK449">
        <v>0.9</v>
      </c>
      <c r="AL449">
        <v>0.15</v>
      </c>
      <c r="AM449">
        <v>29.1</v>
      </c>
      <c r="AN449">
        <v>1.54</v>
      </c>
      <c r="AO449">
        <v>0</v>
      </c>
      <c r="AP449">
        <v>0</v>
      </c>
      <c r="AQ449" t="s">
        <v>57</v>
      </c>
      <c r="AS449" t="s">
        <v>1242</v>
      </c>
      <c r="AT449" t="s">
        <v>1242</v>
      </c>
      <c r="AU449" t="s">
        <v>1241</v>
      </c>
      <c r="AV449" t="s">
        <v>1243</v>
      </c>
      <c r="AW449" t="s">
        <v>1244</v>
      </c>
      <c r="AZ449">
        <v>56000</v>
      </c>
      <c r="BA449" t="s">
        <v>1245</v>
      </c>
      <c r="BB449" t="s">
        <v>61</v>
      </c>
      <c r="BC449" t="s">
        <v>62</v>
      </c>
    </row>
    <row r="450" spans="1:55" x14ac:dyDescent="0.25">
      <c r="A450" s="1" t="str">
        <f>IF(COUNTIF(Catégories!A:A,X450)=0,"catégorie inconnue",_xlfn.XLOOKUP(X450,Catégories!A:A,Catégories!B:B))</f>
        <v>Frêt</v>
      </c>
      <c r="B450" s="1">
        <f t="shared" si="18"/>
        <v>7.0100000000000007</v>
      </c>
      <c r="C450" s="1">
        <f t="shared" si="19"/>
        <v>1.54</v>
      </c>
      <c r="D450" s="1">
        <f t="shared" si="20"/>
        <v>5.4700000000000006</v>
      </c>
      <c r="E450" s="20">
        <f>IF(AH450&lt;&gt;0,ROUNDUP(AH450,0),IF(BB450&lt;&gt;"FR","hors France",IF(AH450&lt;&gt;0,ROUNDUP(AH450,0),_xlfn.XLOOKUP(AJ450,'PA GLS'!B:B,'PA GLS'!A:A))))</f>
        <v>2</v>
      </c>
      <c r="F450">
        <v>2501382993</v>
      </c>
      <c r="G450">
        <v>1030219782</v>
      </c>
      <c r="H450" t="s">
        <v>366</v>
      </c>
      <c r="I450">
        <v>2500034092</v>
      </c>
      <c r="J450" t="s">
        <v>50</v>
      </c>
      <c r="K450">
        <v>9000009190</v>
      </c>
      <c r="L450">
        <v>46946</v>
      </c>
      <c r="M450" t="s">
        <v>51</v>
      </c>
      <c r="N450">
        <v>9000079830</v>
      </c>
      <c r="O450" t="s">
        <v>187</v>
      </c>
      <c r="S450">
        <v>2507012387</v>
      </c>
      <c r="T450" t="s">
        <v>50</v>
      </c>
      <c r="U450" t="s">
        <v>122</v>
      </c>
      <c r="V450" t="s">
        <v>77</v>
      </c>
      <c r="W450" t="s">
        <v>78</v>
      </c>
      <c r="X450" t="s">
        <v>60</v>
      </c>
      <c r="Z450">
        <v>53</v>
      </c>
      <c r="AA450" t="s">
        <v>1199</v>
      </c>
      <c r="AB450" t="s">
        <v>1258</v>
      </c>
      <c r="AC450">
        <v>2604000121</v>
      </c>
      <c r="AE450">
        <v>0</v>
      </c>
      <c r="AF450">
        <v>0</v>
      </c>
      <c r="AG450">
        <v>0</v>
      </c>
      <c r="AH450">
        <v>0</v>
      </c>
      <c r="AI450" t="s">
        <v>56</v>
      </c>
      <c r="AJ450">
        <v>4.42</v>
      </c>
      <c r="AK450">
        <v>0.9</v>
      </c>
      <c r="AL450">
        <v>0.15</v>
      </c>
      <c r="AM450">
        <v>29.1</v>
      </c>
      <c r="AN450">
        <v>1.54</v>
      </c>
      <c r="AO450">
        <v>0</v>
      </c>
      <c r="AP450">
        <v>0</v>
      </c>
      <c r="AQ450" t="s">
        <v>57</v>
      </c>
      <c r="AS450" t="s">
        <v>1259</v>
      </c>
      <c r="AT450" t="s">
        <v>1259</v>
      </c>
      <c r="AU450" t="s">
        <v>1258</v>
      </c>
      <c r="AV450" t="s">
        <v>1260</v>
      </c>
      <c r="AW450" t="s">
        <v>1261</v>
      </c>
      <c r="AZ450">
        <v>30290</v>
      </c>
      <c r="BA450" t="s">
        <v>1262</v>
      </c>
      <c r="BB450" t="s">
        <v>61</v>
      </c>
      <c r="BC450" t="s">
        <v>62</v>
      </c>
    </row>
    <row r="451" spans="1:55" x14ac:dyDescent="0.25">
      <c r="A451" s="1" t="str">
        <f>IF(COUNTIF(Catégories!A:A,X451)=0,"catégorie inconnue",_xlfn.XLOOKUP(X451,Catégories!A:A,Catégories!B:B))</f>
        <v>Frêt</v>
      </c>
      <c r="B451" s="1">
        <f t="shared" ref="B451:B514" si="21">SUM(AJ451:AL451)+SUM(AN451:AP451)</f>
        <v>7.0100000000000007</v>
      </c>
      <c r="C451" s="1">
        <f t="shared" ref="C451:C514" si="22">AN451</f>
        <v>1.54</v>
      </c>
      <c r="D451" s="1">
        <f t="shared" ref="D451:D514" si="23">B451-C451</f>
        <v>5.4700000000000006</v>
      </c>
      <c r="E451" s="20">
        <f>IF(AH451&lt;&gt;0,ROUNDUP(AH451,0),IF(BB451&lt;&gt;"FR","hors France",IF(AH451&lt;&gt;0,ROUNDUP(AH451,0),_xlfn.XLOOKUP(AJ451,'PA GLS'!B:B,'PA GLS'!A:A))))</f>
        <v>2</v>
      </c>
      <c r="F451">
        <v>2501382993</v>
      </c>
      <c r="G451">
        <v>1030219782</v>
      </c>
      <c r="H451" t="s">
        <v>366</v>
      </c>
      <c r="I451">
        <v>2500034092</v>
      </c>
      <c r="J451" t="s">
        <v>50</v>
      </c>
      <c r="K451">
        <v>9000009190</v>
      </c>
      <c r="L451">
        <v>46946</v>
      </c>
      <c r="M451" t="s">
        <v>51</v>
      </c>
      <c r="N451">
        <v>9000079830</v>
      </c>
      <c r="O451" t="s">
        <v>187</v>
      </c>
      <c r="S451">
        <v>2507012387</v>
      </c>
      <c r="T451" t="s">
        <v>50</v>
      </c>
      <c r="U451" t="s">
        <v>122</v>
      </c>
      <c r="V451" t="s">
        <v>77</v>
      </c>
      <c r="W451" t="s">
        <v>78</v>
      </c>
      <c r="X451" t="s">
        <v>60</v>
      </c>
      <c r="Z451">
        <v>53</v>
      </c>
      <c r="AA451" t="s">
        <v>1199</v>
      </c>
      <c r="AB451" t="s">
        <v>1337</v>
      </c>
      <c r="AC451">
        <v>2604000113</v>
      </c>
      <c r="AE451">
        <v>0</v>
      </c>
      <c r="AF451">
        <v>0</v>
      </c>
      <c r="AG451">
        <v>0</v>
      </c>
      <c r="AH451">
        <v>0</v>
      </c>
      <c r="AI451" t="s">
        <v>56</v>
      </c>
      <c r="AJ451">
        <v>4.42</v>
      </c>
      <c r="AK451">
        <v>0.9</v>
      </c>
      <c r="AL451">
        <v>0.15</v>
      </c>
      <c r="AM451">
        <v>29.1</v>
      </c>
      <c r="AN451">
        <v>1.54</v>
      </c>
      <c r="AO451">
        <v>0</v>
      </c>
      <c r="AP451">
        <v>0</v>
      </c>
      <c r="AQ451" t="s">
        <v>57</v>
      </c>
      <c r="AS451" t="s">
        <v>1338</v>
      </c>
      <c r="AT451" t="s">
        <v>1338</v>
      </c>
      <c r="AU451" t="s">
        <v>1337</v>
      </c>
      <c r="AV451" t="s">
        <v>1339</v>
      </c>
      <c r="AW451" t="s">
        <v>1340</v>
      </c>
      <c r="AZ451">
        <v>83190</v>
      </c>
      <c r="BA451" t="s">
        <v>1341</v>
      </c>
      <c r="BB451" t="s">
        <v>61</v>
      </c>
      <c r="BC451" t="s">
        <v>62</v>
      </c>
    </row>
    <row r="452" spans="1:55" x14ac:dyDescent="0.25">
      <c r="A452" s="1" t="str">
        <f>IF(COUNTIF(Catégories!A:A,X452)=0,"catégorie inconnue",_xlfn.XLOOKUP(X452,Catégories!A:A,Catégories!B:B))</f>
        <v>Frêt</v>
      </c>
      <c r="B452" s="1">
        <f t="shared" si="21"/>
        <v>7.0100000000000007</v>
      </c>
      <c r="C452" s="1">
        <f t="shared" si="22"/>
        <v>1.54</v>
      </c>
      <c r="D452" s="1">
        <f t="shared" si="23"/>
        <v>5.4700000000000006</v>
      </c>
      <c r="E452" s="20">
        <f>IF(AH452&lt;&gt;0,ROUNDUP(AH452,0),IF(BB452&lt;&gt;"FR","hors France",IF(AH452&lt;&gt;0,ROUNDUP(AH452,0),_xlfn.XLOOKUP(AJ452,'PA GLS'!B:B,'PA GLS'!A:A))))</f>
        <v>2</v>
      </c>
      <c r="F452">
        <v>2501382993</v>
      </c>
      <c r="G452">
        <v>1030219782</v>
      </c>
      <c r="H452" t="s">
        <v>366</v>
      </c>
      <c r="I452">
        <v>2500034092</v>
      </c>
      <c r="J452" t="s">
        <v>50</v>
      </c>
      <c r="K452">
        <v>9000009190</v>
      </c>
      <c r="L452">
        <v>46946</v>
      </c>
      <c r="M452" t="s">
        <v>51</v>
      </c>
      <c r="N452">
        <v>9000079830</v>
      </c>
      <c r="O452" t="s">
        <v>187</v>
      </c>
      <c r="S452">
        <v>2507012387</v>
      </c>
      <c r="T452" t="s">
        <v>50</v>
      </c>
      <c r="U452" t="s">
        <v>122</v>
      </c>
      <c r="V452" t="s">
        <v>77</v>
      </c>
      <c r="W452" t="s">
        <v>78</v>
      </c>
      <c r="X452" t="s">
        <v>60</v>
      </c>
      <c r="Z452">
        <v>53</v>
      </c>
      <c r="AA452" t="s">
        <v>1199</v>
      </c>
      <c r="AB452" t="s">
        <v>1333</v>
      </c>
      <c r="AC452">
        <v>2604000112</v>
      </c>
      <c r="AE452">
        <v>0</v>
      </c>
      <c r="AF452">
        <v>0</v>
      </c>
      <c r="AG452">
        <v>0</v>
      </c>
      <c r="AH452">
        <v>0</v>
      </c>
      <c r="AI452" t="s">
        <v>56</v>
      </c>
      <c r="AJ452">
        <v>4.42</v>
      </c>
      <c r="AK452">
        <v>0.9</v>
      </c>
      <c r="AL452">
        <v>0.15</v>
      </c>
      <c r="AM452">
        <v>29.1</v>
      </c>
      <c r="AN452">
        <v>1.54</v>
      </c>
      <c r="AO452">
        <v>0</v>
      </c>
      <c r="AP452">
        <v>0</v>
      </c>
      <c r="AQ452" t="s">
        <v>57</v>
      </c>
      <c r="AS452" t="s">
        <v>1334</v>
      </c>
      <c r="AT452" t="s">
        <v>1334</v>
      </c>
      <c r="AU452" t="s">
        <v>1333</v>
      </c>
      <c r="AV452" t="s">
        <v>1335</v>
      </c>
      <c r="AW452" t="s">
        <v>1336</v>
      </c>
      <c r="AZ452">
        <v>94120</v>
      </c>
      <c r="BA452" t="s">
        <v>621</v>
      </c>
      <c r="BB452" t="s">
        <v>61</v>
      </c>
      <c r="BC452" t="s">
        <v>62</v>
      </c>
    </row>
    <row r="453" spans="1:55" x14ac:dyDescent="0.25">
      <c r="A453" s="1" t="str">
        <f>IF(COUNTIF(Catégories!A:A,X453)=0,"catégorie inconnue",_xlfn.XLOOKUP(X453,Catégories!A:A,Catégories!B:B))</f>
        <v>Frêt</v>
      </c>
      <c r="B453" s="1">
        <f t="shared" si="21"/>
        <v>9.6000000000000014</v>
      </c>
      <c r="C453" s="1">
        <f t="shared" si="22"/>
        <v>2.13</v>
      </c>
      <c r="D453" s="1">
        <f t="shared" si="23"/>
        <v>7.4700000000000015</v>
      </c>
      <c r="E453" s="20">
        <f>IF(AH453&lt;&gt;0,ROUNDUP(AH453,0),IF(BB453&lt;&gt;"FR","hors France",IF(AH453&lt;&gt;0,ROUNDUP(AH453,0),_xlfn.XLOOKUP(AJ453,'PA GLS'!B:B,'PA GLS'!A:A))))</f>
        <v>6</v>
      </c>
      <c r="F453">
        <v>2501382993</v>
      </c>
      <c r="G453">
        <v>1030219782</v>
      </c>
      <c r="H453" t="s">
        <v>366</v>
      </c>
      <c r="I453">
        <v>2500034092</v>
      </c>
      <c r="J453" t="s">
        <v>50</v>
      </c>
      <c r="K453">
        <v>9000009190</v>
      </c>
      <c r="L453">
        <v>46946</v>
      </c>
      <c r="M453" t="s">
        <v>51</v>
      </c>
      <c r="N453">
        <v>9000079830</v>
      </c>
      <c r="O453" t="s">
        <v>187</v>
      </c>
      <c r="S453">
        <v>2507012387</v>
      </c>
      <c r="T453" t="s">
        <v>50</v>
      </c>
      <c r="U453" t="s">
        <v>122</v>
      </c>
      <c r="V453" t="s">
        <v>275</v>
      </c>
      <c r="W453" t="s">
        <v>276</v>
      </c>
      <c r="X453" t="s">
        <v>60</v>
      </c>
      <c r="Z453">
        <v>57</v>
      </c>
      <c r="AA453" t="s">
        <v>1199</v>
      </c>
      <c r="AB453" t="s">
        <v>1267</v>
      </c>
      <c r="AC453">
        <v>2604000119</v>
      </c>
      <c r="AE453">
        <v>0</v>
      </c>
      <c r="AF453">
        <v>0</v>
      </c>
      <c r="AG453">
        <v>0</v>
      </c>
      <c r="AH453">
        <v>0</v>
      </c>
      <c r="AI453" t="s">
        <v>56</v>
      </c>
      <c r="AJ453">
        <v>6.42</v>
      </c>
      <c r="AK453">
        <v>0.9</v>
      </c>
      <c r="AL453">
        <v>0.15</v>
      </c>
      <c r="AM453">
        <v>29.1</v>
      </c>
      <c r="AN453">
        <v>2.13</v>
      </c>
      <c r="AO453">
        <v>0</v>
      </c>
      <c r="AP453">
        <v>0</v>
      </c>
      <c r="AQ453" t="s">
        <v>57</v>
      </c>
      <c r="AS453" t="s">
        <v>1268</v>
      </c>
      <c r="AT453" t="s">
        <v>1268</v>
      </c>
      <c r="AU453" t="s">
        <v>1267</v>
      </c>
      <c r="AV453" t="s">
        <v>1269</v>
      </c>
      <c r="AW453" t="s">
        <v>1270</v>
      </c>
      <c r="AZ453">
        <v>69160</v>
      </c>
      <c r="BA453" t="s">
        <v>334</v>
      </c>
      <c r="BB453" t="s">
        <v>61</v>
      </c>
      <c r="BC453" t="s">
        <v>62</v>
      </c>
    </row>
    <row r="454" spans="1:55" x14ac:dyDescent="0.25">
      <c r="A454" s="1" t="str">
        <f>IF(COUNTIF(Catégories!A:A,X454)=0,"catégorie inconnue",_xlfn.XLOOKUP(X454,Catégories!A:A,Catégories!B:B))</f>
        <v>Frêt - retour</v>
      </c>
      <c r="B454" s="1">
        <f t="shared" si="21"/>
        <v>5.7</v>
      </c>
      <c r="C454" s="1">
        <f t="shared" si="22"/>
        <v>1.28</v>
      </c>
      <c r="D454" s="1">
        <f t="shared" si="23"/>
        <v>4.42</v>
      </c>
      <c r="E454" s="20">
        <f>IF(AH454&lt;&gt;0,ROUNDUP(AH454,0),IF(BB454&lt;&gt;"FR","hors France",IF(AH454&lt;&gt;0,ROUNDUP(AH454,0),_xlfn.XLOOKUP(AJ454,'PA GLS'!B:B,'PA GLS'!A:A))))</f>
        <v>2</v>
      </c>
      <c r="F454">
        <v>2501382993</v>
      </c>
      <c r="G454">
        <v>1030219782</v>
      </c>
      <c r="H454" t="s">
        <v>366</v>
      </c>
      <c r="I454">
        <v>2500034092</v>
      </c>
      <c r="J454" t="s">
        <v>50</v>
      </c>
      <c r="K454">
        <v>9000009190</v>
      </c>
      <c r="L454">
        <v>46946</v>
      </c>
      <c r="M454" t="s">
        <v>51</v>
      </c>
      <c r="N454">
        <v>9000079830</v>
      </c>
      <c r="O454" t="s">
        <v>187</v>
      </c>
      <c r="S454">
        <v>2507012387</v>
      </c>
      <c r="T454" t="s">
        <v>50</v>
      </c>
      <c r="U454" t="s">
        <v>122</v>
      </c>
      <c r="V454" t="s">
        <v>226</v>
      </c>
      <c r="W454" t="s">
        <v>227</v>
      </c>
      <c r="X454" t="s">
        <v>119</v>
      </c>
      <c r="Z454">
        <v>58</v>
      </c>
      <c r="AA454" t="s">
        <v>1199</v>
      </c>
      <c r="AB454" t="s">
        <v>387</v>
      </c>
      <c r="AC454">
        <v>2604000031</v>
      </c>
      <c r="AE454">
        <v>0</v>
      </c>
      <c r="AF454">
        <v>0</v>
      </c>
      <c r="AG454">
        <v>0</v>
      </c>
      <c r="AH454">
        <v>0</v>
      </c>
      <c r="AI454" t="s">
        <v>56</v>
      </c>
      <c r="AJ454">
        <v>4.42</v>
      </c>
      <c r="AK454">
        <v>0</v>
      </c>
      <c r="AL454">
        <v>0</v>
      </c>
      <c r="AM454">
        <v>29.1</v>
      </c>
      <c r="AN454">
        <v>1.28</v>
      </c>
      <c r="AO454">
        <v>0</v>
      </c>
      <c r="AP454">
        <v>0</v>
      </c>
      <c r="AQ454" t="s">
        <v>57</v>
      </c>
      <c r="AS454" t="s">
        <v>388</v>
      </c>
      <c r="AT454" t="s">
        <v>388</v>
      </c>
      <c r="AU454" t="s">
        <v>387</v>
      </c>
      <c r="AV454" t="s">
        <v>389</v>
      </c>
      <c r="AW454" t="s">
        <v>390</v>
      </c>
      <c r="AZ454">
        <v>75017</v>
      </c>
      <c r="BA454" t="s">
        <v>65</v>
      </c>
      <c r="BB454" t="s">
        <v>61</v>
      </c>
      <c r="BC454" t="s">
        <v>62</v>
      </c>
    </row>
    <row r="455" spans="1:55" x14ac:dyDescent="0.25">
      <c r="A455" s="1" t="str">
        <f>IF(COUNTIF(Catégories!A:A,X455)=0,"catégorie inconnue",_xlfn.XLOOKUP(X455,Catégories!A:A,Catégories!B:B))</f>
        <v>Frêt</v>
      </c>
      <c r="B455" s="1">
        <f t="shared" si="21"/>
        <v>7.0100000000000007</v>
      </c>
      <c r="C455" s="1">
        <f t="shared" si="22"/>
        <v>1.54</v>
      </c>
      <c r="D455" s="1">
        <f t="shared" si="23"/>
        <v>5.4700000000000006</v>
      </c>
      <c r="E455" s="20">
        <f>IF(AH455&lt;&gt;0,ROUNDUP(AH455,0),IF(BB455&lt;&gt;"FR","hors France",IF(AH455&lt;&gt;0,ROUNDUP(AH455,0),_xlfn.XLOOKUP(AJ455,'PA GLS'!B:B,'PA GLS'!A:A))))</f>
        <v>2</v>
      </c>
      <c r="F455">
        <v>2501382993</v>
      </c>
      <c r="G455">
        <v>1030219782</v>
      </c>
      <c r="H455" t="s">
        <v>366</v>
      </c>
      <c r="I455">
        <v>2500034092</v>
      </c>
      <c r="J455" t="s">
        <v>50</v>
      </c>
      <c r="K455">
        <v>9000009190</v>
      </c>
      <c r="L455">
        <v>46946</v>
      </c>
      <c r="M455" t="s">
        <v>51</v>
      </c>
      <c r="N455">
        <v>9000079830</v>
      </c>
      <c r="O455" t="s">
        <v>187</v>
      </c>
      <c r="S455">
        <v>2507012387</v>
      </c>
      <c r="T455" t="s">
        <v>50</v>
      </c>
      <c r="U455" t="s">
        <v>122</v>
      </c>
      <c r="V455" t="s">
        <v>63</v>
      </c>
      <c r="W455" t="s">
        <v>64</v>
      </c>
      <c r="X455" t="s">
        <v>60</v>
      </c>
      <c r="Z455">
        <v>52</v>
      </c>
      <c r="AA455" t="s">
        <v>1199</v>
      </c>
      <c r="AB455" t="s">
        <v>1368</v>
      </c>
      <c r="AC455">
        <v>2604000133</v>
      </c>
      <c r="AE455">
        <v>0</v>
      </c>
      <c r="AF455">
        <v>0</v>
      </c>
      <c r="AG455">
        <v>0</v>
      </c>
      <c r="AH455">
        <v>0</v>
      </c>
      <c r="AI455" t="s">
        <v>56</v>
      </c>
      <c r="AJ455">
        <v>4.42</v>
      </c>
      <c r="AK455">
        <v>0.9</v>
      </c>
      <c r="AL455">
        <v>0.15</v>
      </c>
      <c r="AM455">
        <v>29.1</v>
      </c>
      <c r="AN455">
        <v>1.54</v>
      </c>
      <c r="AO455">
        <v>0</v>
      </c>
      <c r="AP455">
        <v>0</v>
      </c>
      <c r="AQ455" t="s">
        <v>57</v>
      </c>
      <c r="AS455" t="s">
        <v>1369</v>
      </c>
      <c r="AT455" t="s">
        <v>1369</v>
      </c>
      <c r="AU455" t="s">
        <v>1368</v>
      </c>
      <c r="AV455" t="s">
        <v>1370</v>
      </c>
      <c r="AW455" t="s">
        <v>1371</v>
      </c>
      <c r="AZ455">
        <v>44119</v>
      </c>
      <c r="BA455" t="s">
        <v>1372</v>
      </c>
      <c r="BB455" t="s">
        <v>61</v>
      </c>
      <c r="BC455" t="s">
        <v>62</v>
      </c>
    </row>
    <row r="456" spans="1:55" x14ac:dyDescent="0.25">
      <c r="A456" s="1" t="str">
        <f>IF(COUNTIF(Catégories!A:A,X456)=0,"catégorie inconnue",_xlfn.XLOOKUP(X456,Catégories!A:A,Catégories!B:B))</f>
        <v>Frêt</v>
      </c>
      <c r="B456" s="1">
        <f t="shared" si="21"/>
        <v>7.0100000000000007</v>
      </c>
      <c r="C456" s="1">
        <f t="shared" si="22"/>
        <v>1.54</v>
      </c>
      <c r="D456" s="1">
        <f t="shared" si="23"/>
        <v>5.4700000000000006</v>
      </c>
      <c r="E456" s="20">
        <f>IF(AH456&lt;&gt;0,ROUNDUP(AH456,0),IF(BB456&lt;&gt;"FR","hors France",IF(AH456&lt;&gt;0,ROUNDUP(AH456,0),_xlfn.XLOOKUP(AJ456,'PA GLS'!B:B,'PA GLS'!A:A))))</f>
        <v>2</v>
      </c>
      <c r="F456">
        <v>2501382993</v>
      </c>
      <c r="G456">
        <v>1030219782</v>
      </c>
      <c r="H456" t="s">
        <v>366</v>
      </c>
      <c r="I456">
        <v>2500034092</v>
      </c>
      <c r="J456" t="s">
        <v>50</v>
      </c>
      <c r="K456">
        <v>9000009190</v>
      </c>
      <c r="L456">
        <v>46946</v>
      </c>
      <c r="M456" t="s">
        <v>51</v>
      </c>
      <c r="N456">
        <v>9000079830</v>
      </c>
      <c r="O456" t="s">
        <v>187</v>
      </c>
      <c r="S456">
        <v>2507012387</v>
      </c>
      <c r="T456" t="s">
        <v>50</v>
      </c>
      <c r="U456" t="s">
        <v>122</v>
      </c>
      <c r="V456" t="s">
        <v>63</v>
      </c>
      <c r="W456" t="s">
        <v>64</v>
      </c>
      <c r="X456" t="s">
        <v>60</v>
      </c>
      <c r="Z456">
        <v>52</v>
      </c>
      <c r="AA456" t="s">
        <v>1199</v>
      </c>
      <c r="AB456" t="s">
        <v>1373</v>
      </c>
      <c r="AC456">
        <v>2604000132</v>
      </c>
      <c r="AE456">
        <v>0</v>
      </c>
      <c r="AF456">
        <v>0</v>
      </c>
      <c r="AG456">
        <v>0</v>
      </c>
      <c r="AH456">
        <v>0</v>
      </c>
      <c r="AI456" t="s">
        <v>56</v>
      </c>
      <c r="AJ456">
        <v>4.42</v>
      </c>
      <c r="AK456">
        <v>0.9</v>
      </c>
      <c r="AL456">
        <v>0.15</v>
      </c>
      <c r="AM456">
        <v>29.1</v>
      </c>
      <c r="AN456">
        <v>1.54</v>
      </c>
      <c r="AO456">
        <v>0</v>
      </c>
      <c r="AP456">
        <v>0</v>
      </c>
      <c r="AQ456" t="s">
        <v>57</v>
      </c>
      <c r="AS456" t="s">
        <v>1374</v>
      </c>
      <c r="AT456" t="s">
        <v>1374</v>
      </c>
      <c r="AU456" t="s">
        <v>1373</v>
      </c>
      <c r="AV456" t="s">
        <v>1375</v>
      </c>
      <c r="AW456" t="s">
        <v>1376</v>
      </c>
      <c r="AZ456">
        <v>68118</v>
      </c>
      <c r="BA456" t="s">
        <v>1377</v>
      </c>
      <c r="BB456" t="s">
        <v>61</v>
      </c>
      <c r="BC456" t="s">
        <v>62</v>
      </c>
    </row>
    <row r="457" spans="1:55" x14ac:dyDescent="0.25">
      <c r="A457" s="1" t="str">
        <f>IF(COUNTIF(Catégories!A:A,X457)=0,"catégorie inconnue",_xlfn.XLOOKUP(X457,Catégories!A:A,Catégories!B:B))</f>
        <v>Frêt</v>
      </c>
      <c r="B457" s="1">
        <f t="shared" si="21"/>
        <v>7.0100000000000007</v>
      </c>
      <c r="C457" s="1">
        <f t="shared" si="22"/>
        <v>1.54</v>
      </c>
      <c r="D457" s="1">
        <f t="shared" si="23"/>
        <v>5.4700000000000006</v>
      </c>
      <c r="E457" s="20">
        <f>IF(AH457&lt;&gt;0,ROUNDUP(AH457,0),IF(BB457&lt;&gt;"FR","hors France",IF(AH457&lt;&gt;0,ROUNDUP(AH457,0),_xlfn.XLOOKUP(AJ457,'PA GLS'!B:B,'PA GLS'!A:A))))</f>
        <v>2</v>
      </c>
      <c r="F457">
        <v>2501382993</v>
      </c>
      <c r="G457">
        <v>1030219782</v>
      </c>
      <c r="H457" t="s">
        <v>366</v>
      </c>
      <c r="I457">
        <v>2500034092</v>
      </c>
      <c r="J457" t="s">
        <v>50</v>
      </c>
      <c r="K457">
        <v>9000009190</v>
      </c>
      <c r="L457">
        <v>46946</v>
      </c>
      <c r="M457" t="s">
        <v>51</v>
      </c>
      <c r="N457">
        <v>9000079830</v>
      </c>
      <c r="O457" t="s">
        <v>187</v>
      </c>
      <c r="S457">
        <v>2507012387</v>
      </c>
      <c r="T457" t="s">
        <v>50</v>
      </c>
      <c r="U457" t="s">
        <v>122</v>
      </c>
      <c r="V457" t="s">
        <v>63</v>
      </c>
      <c r="W457" t="s">
        <v>64</v>
      </c>
      <c r="X457" t="s">
        <v>60</v>
      </c>
      <c r="Z457">
        <v>52</v>
      </c>
      <c r="AA457" t="s">
        <v>1199</v>
      </c>
      <c r="AB457" t="s">
        <v>1205</v>
      </c>
      <c r="AC457">
        <v>2604000130</v>
      </c>
      <c r="AE457">
        <v>0</v>
      </c>
      <c r="AF457">
        <v>0</v>
      </c>
      <c r="AG457">
        <v>0</v>
      </c>
      <c r="AH457">
        <v>0</v>
      </c>
      <c r="AI457" t="s">
        <v>56</v>
      </c>
      <c r="AJ457">
        <v>4.42</v>
      </c>
      <c r="AK457">
        <v>0.9</v>
      </c>
      <c r="AL457">
        <v>0.15</v>
      </c>
      <c r="AM457">
        <v>29.1</v>
      </c>
      <c r="AN457">
        <v>1.54</v>
      </c>
      <c r="AO457">
        <v>0</v>
      </c>
      <c r="AP457">
        <v>0</v>
      </c>
      <c r="AQ457" t="s">
        <v>57</v>
      </c>
      <c r="AS457" t="s">
        <v>1206</v>
      </c>
      <c r="AT457" t="s">
        <v>1206</v>
      </c>
      <c r="AU457" t="s">
        <v>1205</v>
      </c>
      <c r="AV457" t="s">
        <v>1207</v>
      </c>
      <c r="AW457" t="s">
        <v>1208</v>
      </c>
      <c r="AZ457">
        <v>77420</v>
      </c>
      <c r="BA457" t="s">
        <v>1209</v>
      </c>
      <c r="BB457" t="s">
        <v>61</v>
      </c>
      <c r="BC457" t="s">
        <v>62</v>
      </c>
    </row>
    <row r="458" spans="1:55" x14ac:dyDescent="0.25">
      <c r="A458" s="1" t="str">
        <f>IF(COUNTIF(Catégories!A:A,X458)=0,"catégorie inconnue",_xlfn.XLOOKUP(X458,Catégories!A:A,Catégories!B:B))</f>
        <v>Frêt</v>
      </c>
      <c r="B458" s="1">
        <f t="shared" si="21"/>
        <v>7.0100000000000007</v>
      </c>
      <c r="C458" s="1">
        <f t="shared" si="22"/>
        <v>1.54</v>
      </c>
      <c r="D458" s="1">
        <f t="shared" si="23"/>
        <v>5.4700000000000006</v>
      </c>
      <c r="E458" s="20">
        <f>IF(AH458&lt;&gt;0,ROUNDUP(AH458,0),IF(BB458&lt;&gt;"FR","hors France",IF(AH458&lt;&gt;0,ROUNDUP(AH458,0),_xlfn.XLOOKUP(AJ458,'PA GLS'!B:B,'PA GLS'!A:A))))</f>
        <v>2</v>
      </c>
      <c r="F458">
        <v>2501382993</v>
      </c>
      <c r="G458">
        <v>1030219782</v>
      </c>
      <c r="H458" t="s">
        <v>366</v>
      </c>
      <c r="I458">
        <v>2500034092</v>
      </c>
      <c r="J458" t="s">
        <v>50</v>
      </c>
      <c r="K458">
        <v>9000009190</v>
      </c>
      <c r="L458">
        <v>46946</v>
      </c>
      <c r="M458" t="s">
        <v>51</v>
      </c>
      <c r="N458">
        <v>9000079830</v>
      </c>
      <c r="O458" t="s">
        <v>187</v>
      </c>
      <c r="S458">
        <v>2507012387</v>
      </c>
      <c r="T458" t="s">
        <v>50</v>
      </c>
      <c r="U458" t="s">
        <v>122</v>
      </c>
      <c r="V458" t="s">
        <v>63</v>
      </c>
      <c r="W458" t="s">
        <v>64</v>
      </c>
      <c r="X458" t="s">
        <v>60</v>
      </c>
      <c r="Z458">
        <v>52</v>
      </c>
      <c r="AA458" t="s">
        <v>1199</v>
      </c>
      <c r="AB458" t="s">
        <v>1236</v>
      </c>
      <c r="AC458">
        <v>2604000126</v>
      </c>
      <c r="AE458">
        <v>0</v>
      </c>
      <c r="AF458">
        <v>0</v>
      </c>
      <c r="AG458">
        <v>0</v>
      </c>
      <c r="AH458">
        <v>0</v>
      </c>
      <c r="AI458" t="s">
        <v>56</v>
      </c>
      <c r="AJ458">
        <v>4.42</v>
      </c>
      <c r="AK458">
        <v>0.9</v>
      </c>
      <c r="AL458">
        <v>0.15</v>
      </c>
      <c r="AM458">
        <v>29.1</v>
      </c>
      <c r="AN458">
        <v>1.54</v>
      </c>
      <c r="AO458">
        <v>0</v>
      </c>
      <c r="AP458">
        <v>0</v>
      </c>
      <c r="AQ458" t="s">
        <v>57</v>
      </c>
      <c r="AS458" t="s">
        <v>1237</v>
      </c>
      <c r="AT458" t="s">
        <v>1237</v>
      </c>
      <c r="AU458" t="s">
        <v>1236</v>
      </c>
      <c r="AV458" t="s">
        <v>1238</v>
      </c>
      <c r="AW458" t="s">
        <v>1239</v>
      </c>
      <c r="AZ458">
        <v>95360</v>
      </c>
      <c r="BA458" t="s">
        <v>1240</v>
      </c>
      <c r="BB458" t="s">
        <v>61</v>
      </c>
      <c r="BC458" t="s">
        <v>62</v>
      </c>
    </row>
    <row r="459" spans="1:55" x14ac:dyDescent="0.25">
      <c r="A459" s="1" t="str">
        <f>IF(COUNTIF(Catégories!A:A,X459)=0,"catégorie inconnue",_xlfn.XLOOKUP(X459,Catégories!A:A,Catégories!B:B))</f>
        <v>Frêt</v>
      </c>
      <c r="B459" s="1">
        <f t="shared" si="21"/>
        <v>0</v>
      </c>
      <c r="C459" s="1">
        <f t="shared" si="22"/>
        <v>0</v>
      </c>
      <c r="D459" s="1">
        <f t="shared" si="23"/>
        <v>0</v>
      </c>
      <c r="E459" s="20">
        <f>IF(AH459&lt;&gt;0,ROUNDUP(AH459,0),IF(BB459&lt;&gt;"FR","hors France",IF(AH459&lt;&gt;0,ROUNDUP(AH459,0),_xlfn.XLOOKUP(AJ459,'PA GLS'!B:B,'PA GLS'!A:A))))</f>
        <v>2</v>
      </c>
      <c r="F459">
        <v>2501382993</v>
      </c>
      <c r="G459">
        <v>1030219782</v>
      </c>
      <c r="H459" t="s">
        <v>366</v>
      </c>
      <c r="I459">
        <v>2500034092</v>
      </c>
      <c r="J459" t="s">
        <v>50</v>
      </c>
      <c r="K459">
        <v>9000009190</v>
      </c>
      <c r="L459">
        <v>46946</v>
      </c>
      <c r="M459" t="s">
        <v>51</v>
      </c>
      <c r="N459">
        <v>9000079830</v>
      </c>
      <c r="O459" t="s">
        <v>187</v>
      </c>
      <c r="S459">
        <v>2507012387</v>
      </c>
      <c r="T459" t="s">
        <v>50</v>
      </c>
      <c r="U459" t="s">
        <v>122</v>
      </c>
      <c r="V459" t="s">
        <v>176</v>
      </c>
      <c r="W459" t="s">
        <v>177</v>
      </c>
      <c r="X459" t="s">
        <v>152</v>
      </c>
      <c r="Z459">
        <v>48</v>
      </c>
      <c r="AA459" t="s">
        <v>1199</v>
      </c>
      <c r="AB459" t="s">
        <v>1373</v>
      </c>
      <c r="AC459">
        <v>2604000132</v>
      </c>
      <c r="AE459">
        <v>0</v>
      </c>
      <c r="AF459">
        <v>1</v>
      </c>
      <c r="AG459">
        <v>0</v>
      </c>
      <c r="AH459">
        <v>1.1399999999999999</v>
      </c>
      <c r="AI459" t="s">
        <v>56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 t="s">
        <v>57</v>
      </c>
      <c r="AS459" t="s">
        <v>1374</v>
      </c>
      <c r="AT459" t="s">
        <v>1374</v>
      </c>
      <c r="AU459" t="s">
        <v>1373</v>
      </c>
      <c r="AV459" t="s">
        <v>1375</v>
      </c>
      <c r="AW459" t="s">
        <v>1376</v>
      </c>
      <c r="AZ459">
        <v>68118</v>
      </c>
      <c r="BA459" t="s">
        <v>1377</v>
      </c>
      <c r="BB459" t="s">
        <v>61</v>
      </c>
      <c r="BC459" t="s">
        <v>62</v>
      </c>
    </row>
    <row r="460" spans="1:55" x14ac:dyDescent="0.25">
      <c r="A460" s="1" t="str">
        <f>IF(COUNTIF(Catégories!A:A,X460)=0,"catégorie inconnue",_xlfn.XLOOKUP(X460,Catégories!A:A,Catégories!B:B))</f>
        <v>Frêt</v>
      </c>
      <c r="B460" s="1">
        <f t="shared" si="21"/>
        <v>0</v>
      </c>
      <c r="C460" s="1">
        <f t="shared" si="22"/>
        <v>0</v>
      </c>
      <c r="D460" s="1">
        <f t="shared" si="23"/>
        <v>0</v>
      </c>
      <c r="E460" s="20">
        <f>IF(AH460&lt;&gt;0,ROUNDUP(AH460,0),IF(BB460&lt;&gt;"FR","hors France",IF(AH460&lt;&gt;0,ROUNDUP(AH460,0),_xlfn.XLOOKUP(AJ460,'PA GLS'!B:B,'PA GLS'!A:A))))</f>
        <v>2</v>
      </c>
      <c r="F460">
        <v>2501382993</v>
      </c>
      <c r="G460">
        <v>1030219782</v>
      </c>
      <c r="H460" t="s">
        <v>366</v>
      </c>
      <c r="I460">
        <v>2500034092</v>
      </c>
      <c r="J460" t="s">
        <v>50</v>
      </c>
      <c r="K460">
        <v>9000009190</v>
      </c>
      <c r="L460">
        <v>46946</v>
      </c>
      <c r="M460" t="s">
        <v>51</v>
      </c>
      <c r="N460">
        <v>9000079830</v>
      </c>
      <c r="O460" t="s">
        <v>187</v>
      </c>
      <c r="S460">
        <v>2507012387</v>
      </c>
      <c r="T460" t="s">
        <v>50</v>
      </c>
      <c r="U460" t="s">
        <v>122</v>
      </c>
      <c r="V460" t="s">
        <v>176</v>
      </c>
      <c r="W460" t="s">
        <v>177</v>
      </c>
      <c r="X460" t="s">
        <v>152</v>
      </c>
      <c r="Z460">
        <v>48</v>
      </c>
      <c r="AA460" t="s">
        <v>1199</v>
      </c>
      <c r="AB460" t="s">
        <v>1368</v>
      </c>
      <c r="AC460">
        <v>2604000133</v>
      </c>
      <c r="AE460">
        <v>0</v>
      </c>
      <c r="AF460">
        <v>1</v>
      </c>
      <c r="AG460">
        <v>0</v>
      </c>
      <c r="AH460">
        <v>1.1399999999999999</v>
      </c>
      <c r="AI460" t="s">
        <v>56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 t="s">
        <v>57</v>
      </c>
      <c r="AS460" t="s">
        <v>1369</v>
      </c>
      <c r="AT460" t="s">
        <v>1369</v>
      </c>
      <c r="AU460" t="s">
        <v>1368</v>
      </c>
      <c r="AV460" t="s">
        <v>1370</v>
      </c>
      <c r="AW460" t="s">
        <v>1371</v>
      </c>
      <c r="AZ460">
        <v>44119</v>
      </c>
      <c r="BA460" t="s">
        <v>1372</v>
      </c>
      <c r="BB460" t="s">
        <v>61</v>
      </c>
      <c r="BC460" t="s">
        <v>62</v>
      </c>
    </row>
    <row r="461" spans="1:55" x14ac:dyDescent="0.25">
      <c r="A461" s="1" t="str">
        <f>IF(COUNTIF(Catégories!A:A,X461)=0,"catégorie inconnue",_xlfn.XLOOKUP(X461,Catégories!A:A,Catégories!B:B))</f>
        <v>Frêt</v>
      </c>
      <c r="B461" s="1">
        <f t="shared" si="21"/>
        <v>0</v>
      </c>
      <c r="C461" s="1">
        <f t="shared" si="22"/>
        <v>0</v>
      </c>
      <c r="D461" s="1">
        <f t="shared" si="23"/>
        <v>0</v>
      </c>
      <c r="E461" s="20">
        <f>IF(AH461&lt;&gt;0,ROUNDUP(AH461,0),IF(BB461&lt;&gt;"FR","hors France",IF(AH461&lt;&gt;0,ROUNDUP(AH461,0),_xlfn.XLOOKUP(AJ461,'PA GLS'!B:B,'PA GLS'!A:A))))</f>
        <v>2</v>
      </c>
      <c r="F461">
        <v>2501382993</v>
      </c>
      <c r="G461">
        <v>1030219782</v>
      </c>
      <c r="H461" t="s">
        <v>366</v>
      </c>
      <c r="I461">
        <v>2500034092</v>
      </c>
      <c r="J461" t="s">
        <v>50</v>
      </c>
      <c r="K461">
        <v>9000009190</v>
      </c>
      <c r="L461">
        <v>46946</v>
      </c>
      <c r="M461" t="s">
        <v>51</v>
      </c>
      <c r="N461">
        <v>9000079830</v>
      </c>
      <c r="O461" t="s">
        <v>187</v>
      </c>
      <c r="S461">
        <v>2507012387</v>
      </c>
      <c r="T461" t="s">
        <v>50</v>
      </c>
      <c r="U461" t="s">
        <v>122</v>
      </c>
      <c r="V461" t="s">
        <v>176</v>
      </c>
      <c r="W461" t="s">
        <v>177</v>
      </c>
      <c r="X461" t="s">
        <v>152</v>
      </c>
      <c r="Z461">
        <v>48</v>
      </c>
      <c r="AA461" t="s">
        <v>1199</v>
      </c>
      <c r="AB461" t="s">
        <v>1363</v>
      </c>
      <c r="AC461">
        <v>2604000134</v>
      </c>
      <c r="AE461">
        <v>0</v>
      </c>
      <c r="AF461">
        <v>1</v>
      </c>
      <c r="AG461">
        <v>0</v>
      </c>
      <c r="AH461">
        <v>1.8</v>
      </c>
      <c r="AI461" t="s">
        <v>56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 t="s">
        <v>57</v>
      </c>
      <c r="AS461" t="s">
        <v>1364</v>
      </c>
      <c r="AT461" t="s">
        <v>1364</v>
      </c>
      <c r="AU461" t="s">
        <v>1363</v>
      </c>
      <c r="AV461" t="s">
        <v>1365</v>
      </c>
      <c r="AW461" t="s">
        <v>1366</v>
      </c>
      <c r="AZ461">
        <v>37320</v>
      </c>
      <c r="BA461" t="s">
        <v>1367</v>
      </c>
      <c r="BB461" t="s">
        <v>61</v>
      </c>
      <c r="BC461" t="s">
        <v>62</v>
      </c>
    </row>
    <row r="462" spans="1:55" x14ac:dyDescent="0.25">
      <c r="A462" s="1" t="str">
        <f>IF(COUNTIF(Catégories!A:A,X462)=0,"catégorie inconnue",_xlfn.XLOOKUP(X462,Catégories!A:A,Catégories!B:B))</f>
        <v>Frêt</v>
      </c>
      <c r="B462" s="1">
        <f t="shared" si="21"/>
        <v>6.17</v>
      </c>
      <c r="C462" s="1">
        <f t="shared" si="22"/>
        <v>1.35</v>
      </c>
      <c r="D462" s="1">
        <f t="shared" si="23"/>
        <v>4.82</v>
      </c>
      <c r="E462" s="20">
        <f>IF(AH462&lt;&gt;0,ROUNDUP(AH462,0),IF(BB462&lt;&gt;"FR","hors France",IF(AH462&lt;&gt;0,ROUNDUP(AH462,0),_xlfn.XLOOKUP(AJ462,'PA GLS'!B:B,'PA GLS'!A:A))))</f>
        <v>0.5</v>
      </c>
      <c r="F462">
        <v>2501382993</v>
      </c>
      <c r="G462">
        <v>1030219782</v>
      </c>
      <c r="H462" t="s">
        <v>366</v>
      </c>
      <c r="I462">
        <v>2500034092</v>
      </c>
      <c r="J462" t="s">
        <v>50</v>
      </c>
      <c r="K462">
        <v>9000009190</v>
      </c>
      <c r="L462">
        <v>46946</v>
      </c>
      <c r="M462" t="s">
        <v>51</v>
      </c>
      <c r="N462">
        <v>9000079830</v>
      </c>
      <c r="O462" t="s">
        <v>187</v>
      </c>
      <c r="S462">
        <v>2507012387</v>
      </c>
      <c r="T462" t="s">
        <v>50</v>
      </c>
      <c r="U462" t="s">
        <v>122</v>
      </c>
      <c r="V462" t="s">
        <v>71</v>
      </c>
      <c r="W462" t="s">
        <v>72</v>
      </c>
      <c r="X462" t="s">
        <v>60</v>
      </c>
      <c r="Z462">
        <v>49</v>
      </c>
      <c r="AA462" t="s">
        <v>1199</v>
      </c>
      <c r="AB462" t="s">
        <v>1271</v>
      </c>
      <c r="AC462">
        <v>2604000099</v>
      </c>
      <c r="AE462">
        <v>0</v>
      </c>
      <c r="AF462">
        <v>0</v>
      </c>
      <c r="AG462">
        <v>0</v>
      </c>
      <c r="AH462">
        <v>0</v>
      </c>
      <c r="AI462" t="s">
        <v>56</v>
      </c>
      <c r="AJ462">
        <v>3.77</v>
      </c>
      <c r="AK462">
        <v>0.9</v>
      </c>
      <c r="AL462">
        <v>0.15</v>
      </c>
      <c r="AM462">
        <v>29.1</v>
      </c>
      <c r="AN462">
        <v>1.35</v>
      </c>
      <c r="AO462">
        <v>0</v>
      </c>
      <c r="AP462">
        <v>0</v>
      </c>
      <c r="AQ462" t="s">
        <v>57</v>
      </c>
      <c r="AS462" t="s">
        <v>1272</v>
      </c>
      <c r="AT462" t="s">
        <v>1272</v>
      </c>
      <c r="AU462" t="s">
        <v>1271</v>
      </c>
      <c r="AV462" t="s">
        <v>1273</v>
      </c>
      <c r="AW462" t="s">
        <v>1274</v>
      </c>
      <c r="AZ462">
        <v>29560</v>
      </c>
      <c r="BA462" t="s">
        <v>1275</v>
      </c>
      <c r="BB462" t="s">
        <v>61</v>
      </c>
      <c r="BC462" t="s">
        <v>62</v>
      </c>
    </row>
    <row r="463" spans="1:55" x14ac:dyDescent="0.25">
      <c r="A463" s="1" t="str">
        <f>IF(COUNTIF(Catégories!A:A,X463)=0,"catégorie inconnue",_xlfn.XLOOKUP(X463,Catégories!A:A,Catégories!B:B))</f>
        <v>Frêt</v>
      </c>
      <c r="B463" s="1">
        <f t="shared" si="21"/>
        <v>6.17</v>
      </c>
      <c r="C463" s="1">
        <f t="shared" si="22"/>
        <v>1.35</v>
      </c>
      <c r="D463" s="1">
        <f t="shared" si="23"/>
        <v>4.82</v>
      </c>
      <c r="E463" s="20">
        <f>IF(AH463&lt;&gt;0,ROUNDUP(AH463,0),IF(BB463&lt;&gt;"FR","hors France",IF(AH463&lt;&gt;0,ROUNDUP(AH463,0),_xlfn.XLOOKUP(AJ463,'PA GLS'!B:B,'PA GLS'!A:A))))</f>
        <v>0.5</v>
      </c>
      <c r="F463">
        <v>2501382993</v>
      </c>
      <c r="G463">
        <v>1030219782</v>
      </c>
      <c r="H463" t="s">
        <v>366</v>
      </c>
      <c r="I463">
        <v>2500034092</v>
      </c>
      <c r="J463" t="s">
        <v>50</v>
      </c>
      <c r="K463">
        <v>9000009190</v>
      </c>
      <c r="L463">
        <v>46946</v>
      </c>
      <c r="M463" t="s">
        <v>51</v>
      </c>
      <c r="N463">
        <v>9000079830</v>
      </c>
      <c r="O463" t="s">
        <v>187</v>
      </c>
      <c r="S463">
        <v>2507012387</v>
      </c>
      <c r="T463" t="s">
        <v>50</v>
      </c>
      <c r="U463" t="s">
        <v>122</v>
      </c>
      <c r="V463" t="s">
        <v>71</v>
      </c>
      <c r="W463" t="s">
        <v>72</v>
      </c>
      <c r="X463" t="s">
        <v>60</v>
      </c>
      <c r="Z463">
        <v>49</v>
      </c>
      <c r="AA463" t="s">
        <v>1199</v>
      </c>
      <c r="AB463" t="s">
        <v>1305</v>
      </c>
      <c r="AC463">
        <v>2604000106</v>
      </c>
      <c r="AE463">
        <v>0</v>
      </c>
      <c r="AF463">
        <v>0</v>
      </c>
      <c r="AG463">
        <v>0</v>
      </c>
      <c r="AH463">
        <v>0</v>
      </c>
      <c r="AI463" t="s">
        <v>56</v>
      </c>
      <c r="AJ463">
        <v>3.77</v>
      </c>
      <c r="AK463">
        <v>0.9</v>
      </c>
      <c r="AL463">
        <v>0.15</v>
      </c>
      <c r="AM463">
        <v>29.1</v>
      </c>
      <c r="AN463">
        <v>1.35</v>
      </c>
      <c r="AO463">
        <v>0</v>
      </c>
      <c r="AP463">
        <v>0</v>
      </c>
      <c r="AQ463" t="s">
        <v>57</v>
      </c>
      <c r="AS463" t="s">
        <v>1306</v>
      </c>
      <c r="AT463" t="s">
        <v>1306</v>
      </c>
      <c r="AU463" t="s">
        <v>1305</v>
      </c>
      <c r="AV463" t="s">
        <v>1307</v>
      </c>
      <c r="AW463" t="s">
        <v>1308</v>
      </c>
      <c r="AZ463">
        <v>59170</v>
      </c>
      <c r="BA463" t="s">
        <v>1309</v>
      </c>
      <c r="BB463" t="s">
        <v>61</v>
      </c>
      <c r="BC463" t="s">
        <v>62</v>
      </c>
    </row>
    <row r="464" spans="1:55" x14ac:dyDescent="0.25">
      <c r="A464" s="1" t="str">
        <f>IF(COUNTIF(Catégories!A:A,X464)=0,"catégorie inconnue",_xlfn.XLOOKUP(X464,Catégories!A:A,Catégories!B:B))</f>
        <v>Frêt</v>
      </c>
      <c r="B464" s="1">
        <f t="shared" si="21"/>
        <v>6.17</v>
      </c>
      <c r="C464" s="1">
        <f t="shared" si="22"/>
        <v>1.35</v>
      </c>
      <c r="D464" s="1">
        <f t="shared" si="23"/>
        <v>4.82</v>
      </c>
      <c r="E464" s="20">
        <f>IF(AH464&lt;&gt;0,ROUNDUP(AH464,0),IF(BB464&lt;&gt;"FR","hors France",IF(AH464&lt;&gt;0,ROUNDUP(AH464,0),_xlfn.XLOOKUP(AJ464,'PA GLS'!B:B,'PA GLS'!A:A))))</f>
        <v>0.5</v>
      </c>
      <c r="F464">
        <v>2501382993</v>
      </c>
      <c r="G464">
        <v>1030219782</v>
      </c>
      <c r="H464" t="s">
        <v>366</v>
      </c>
      <c r="I464">
        <v>2500034092</v>
      </c>
      <c r="J464" t="s">
        <v>50</v>
      </c>
      <c r="K464">
        <v>9000009190</v>
      </c>
      <c r="L464">
        <v>46946</v>
      </c>
      <c r="M464" t="s">
        <v>51</v>
      </c>
      <c r="N464">
        <v>9000079830</v>
      </c>
      <c r="O464" t="s">
        <v>187</v>
      </c>
      <c r="S464">
        <v>2507012387</v>
      </c>
      <c r="T464" t="s">
        <v>50</v>
      </c>
      <c r="U464" t="s">
        <v>122</v>
      </c>
      <c r="V464" t="s">
        <v>71</v>
      </c>
      <c r="W464" t="s">
        <v>72</v>
      </c>
      <c r="X464" t="s">
        <v>60</v>
      </c>
      <c r="Z464">
        <v>49</v>
      </c>
      <c r="AA464" t="s">
        <v>1199</v>
      </c>
      <c r="AB464" t="s">
        <v>1310</v>
      </c>
      <c r="AC464">
        <v>2604000107</v>
      </c>
      <c r="AE464">
        <v>0</v>
      </c>
      <c r="AF464">
        <v>0</v>
      </c>
      <c r="AG464">
        <v>0</v>
      </c>
      <c r="AH464">
        <v>0</v>
      </c>
      <c r="AI464" t="s">
        <v>56</v>
      </c>
      <c r="AJ464">
        <v>3.77</v>
      </c>
      <c r="AK464">
        <v>0.9</v>
      </c>
      <c r="AL464">
        <v>0.15</v>
      </c>
      <c r="AM464">
        <v>29.1</v>
      </c>
      <c r="AN464">
        <v>1.35</v>
      </c>
      <c r="AO464">
        <v>0</v>
      </c>
      <c r="AP464">
        <v>0</v>
      </c>
      <c r="AQ464" t="s">
        <v>57</v>
      </c>
      <c r="AS464" t="s">
        <v>1311</v>
      </c>
      <c r="AT464" t="s">
        <v>1311</v>
      </c>
      <c r="AU464" t="s">
        <v>1310</v>
      </c>
      <c r="AV464" t="s">
        <v>1312</v>
      </c>
      <c r="AW464" t="s">
        <v>1313</v>
      </c>
      <c r="AZ464">
        <v>33000</v>
      </c>
      <c r="BA464" t="s">
        <v>228</v>
      </c>
      <c r="BB464" t="s">
        <v>61</v>
      </c>
      <c r="BC464" t="s">
        <v>62</v>
      </c>
    </row>
    <row r="465" spans="1:55" x14ac:dyDescent="0.25">
      <c r="A465" s="1" t="str">
        <f>IF(COUNTIF(Catégories!A:A,X465)=0,"catégorie inconnue",_xlfn.XLOOKUP(X465,Catégories!A:A,Catégories!B:B))</f>
        <v>Frêt</v>
      </c>
      <c r="B465" s="1">
        <f t="shared" si="21"/>
        <v>6.17</v>
      </c>
      <c r="C465" s="1">
        <f t="shared" si="22"/>
        <v>1.35</v>
      </c>
      <c r="D465" s="1">
        <f t="shared" si="23"/>
        <v>4.82</v>
      </c>
      <c r="E465" s="20">
        <f>IF(AH465&lt;&gt;0,ROUNDUP(AH465,0),IF(BB465&lt;&gt;"FR","hors France",IF(AH465&lt;&gt;0,ROUNDUP(AH465,0),_xlfn.XLOOKUP(AJ465,'PA GLS'!B:B,'PA GLS'!A:A))))</f>
        <v>0.5</v>
      </c>
      <c r="F465">
        <v>2501382993</v>
      </c>
      <c r="G465">
        <v>1030219782</v>
      </c>
      <c r="H465" t="s">
        <v>366</v>
      </c>
      <c r="I465">
        <v>2500034092</v>
      </c>
      <c r="J465" t="s">
        <v>50</v>
      </c>
      <c r="K465">
        <v>9000009190</v>
      </c>
      <c r="L465">
        <v>46946</v>
      </c>
      <c r="M465" t="s">
        <v>51</v>
      </c>
      <c r="N465">
        <v>9000079830</v>
      </c>
      <c r="O465" t="s">
        <v>187</v>
      </c>
      <c r="S465">
        <v>2507012387</v>
      </c>
      <c r="T465" t="s">
        <v>50</v>
      </c>
      <c r="U465" t="s">
        <v>122</v>
      </c>
      <c r="V465" t="s">
        <v>71</v>
      </c>
      <c r="W465" t="s">
        <v>72</v>
      </c>
      <c r="X465" t="s">
        <v>60</v>
      </c>
      <c r="Z465">
        <v>49</v>
      </c>
      <c r="AA465" t="s">
        <v>1199</v>
      </c>
      <c r="AB465" t="s">
        <v>1342</v>
      </c>
      <c r="AC465">
        <v>2604000114</v>
      </c>
      <c r="AE465">
        <v>0</v>
      </c>
      <c r="AF465">
        <v>0</v>
      </c>
      <c r="AG465">
        <v>0</v>
      </c>
      <c r="AH465">
        <v>0</v>
      </c>
      <c r="AI465" t="s">
        <v>56</v>
      </c>
      <c r="AJ465">
        <v>3.77</v>
      </c>
      <c r="AK465">
        <v>0.9</v>
      </c>
      <c r="AL465">
        <v>0.15</v>
      </c>
      <c r="AM465">
        <v>29.1</v>
      </c>
      <c r="AN465">
        <v>1.35</v>
      </c>
      <c r="AO465">
        <v>0</v>
      </c>
      <c r="AP465">
        <v>0</v>
      </c>
      <c r="AQ465" t="s">
        <v>57</v>
      </c>
      <c r="AS465" t="s">
        <v>1343</v>
      </c>
      <c r="AT465" t="s">
        <v>1343</v>
      </c>
      <c r="AU465" t="s">
        <v>1342</v>
      </c>
      <c r="AV465" t="s">
        <v>1344</v>
      </c>
      <c r="AW465" t="s">
        <v>1345</v>
      </c>
      <c r="AZ465">
        <v>78580</v>
      </c>
      <c r="BA465" t="s">
        <v>1346</v>
      </c>
      <c r="BB465" t="s">
        <v>61</v>
      </c>
      <c r="BC465" t="s">
        <v>62</v>
      </c>
    </row>
    <row r="466" spans="1:55" x14ac:dyDescent="0.25">
      <c r="A466" s="1" t="str">
        <f>IF(COUNTIF(Catégories!A:A,X466)=0,"catégorie inconnue",_xlfn.XLOOKUP(X466,Catégories!A:A,Catégories!B:B))</f>
        <v>Frêt</v>
      </c>
      <c r="B466" s="1">
        <f t="shared" si="21"/>
        <v>6.17</v>
      </c>
      <c r="C466" s="1">
        <f t="shared" si="22"/>
        <v>1.35</v>
      </c>
      <c r="D466" s="1">
        <f t="shared" si="23"/>
        <v>4.82</v>
      </c>
      <c r="E466" s="20">
        <f>IF(AH466&lt;&gt;0,ROUNDUP(AH466,0),IF(BB466&lt;&gt;"FR","hors France",IF(AH466&lt;&gt;0,ROUNDUP(AH466,0),_xlfn.XLOOKUP(AJ466,'PA GLS'!B:B,'PA GLS'!A:A))))</f>
        <v>0.5</v>
      </c>
      <c r="F466">
        <v>2501382993</v>
      </c>
      <c r="G466">
        <v>1030219782</v>
      </c>
      <c r="H466" t="s">
        <v>366</v>
      </c>
      <c r="I466">
        <v>2500034092</v>
      </c>
      <c r="J466" t="s">
        <v>50</v>
      </c>
      <c r="K466">
        <v>9000009190</v>
      </c>
      <c r="L466">
        <v>46946</v>
      </c>
      <c r="M466" t="s">
        <v>51</v>
      </c>
      <c r="N466">
        <v>9000079830</v>
      </c>
      <c r="O466" t="s">
        <v>187</v>
      </c>
      <c r="S466">
        <v>2507012387</v>
      </c>
      <c r="T466" t="s">
        <v>50</v>
      </c>
      <c r="U466" t="s">
        <v>122</v>
      </c>
      <c r="V466" t="s">
        <v>71</v>
      </c>
      <c r="W466" t="s">
        <v>72</v>
      </c>
      <c r="X466" t="s">
        <v>60</v>
      </c>
      <c r="Z466">
        <v>49</v>
      </c>
      <c r="AA466" t="s">
        <v>1199</v>
      </c>
      <c r="AB466" t="s">
        <v>1351</v>
      </c>
      <c r="AC466">
        <v>2604000116</v>
      </c>
      <c r="AE466">
        <v>0</v>
      </c>
      <c r="AF466">
        <v>0</v>
      </c>
      <c r="AG466">
        <v>0</v>
      </c>
      <c r="AH466">
        <v>0</v>
      </c>
      <c r="AI466" t="s">
        <v>56</v>
      </c>
      <c r="AJ466">
        <v>3.77</v>
      </c>
      <c r="AK466">
        <v>0.9</v>
      </c>
      <c r="AL466">
        <v>0.15</v>
      </c>
      <c r="AM466">
        <v>29.1</v>
      </c>
      <c r="AN466">
        <v>1.35</v>
      </c>
      <c r="AO466">
        <v>0</v>
      </c>
      <c r="AP466">
        <v>0</v>
      </c>
      <c r="AQ466" t="s">
        <v>57</v>
      </c>
      <c r="AS466" t="s">
        <v>1352</v>
      </c>
      <c r="AT466" t="s">
        <v>1352</v>
      </c>
      <c r="AU466" t="s">
        <v>1351</v>
      </c>
      <c r="AV466" t="s">
        <v>1353</v>
      </c>
      <c r="AW466" t="s">
        <v>1354</v>
      </c>
      <c r="AZ466">
        <v>77340</v>
      </c>
      <c r="BA466" t="s">
        <v>1355</v>
      </c>
      <c r="BB466" t="s">
        <v>61</v>
      </c>
      <c r="BC466" t="s">
        <v>62</v>
      </c>
    </row>
    <row r="467" spans="1:55" x14ac:dyDescent="0.25">
      <c r="A467" s="1" t="str">
        <f>IF(COUNTIF(Catégories!A:A,X467)=0,"catégorie inconnue",_xlfn.XLOOKUP(X467,Catégories!A:A,Catégories!B:B))</f>
        <v>Frêt</v>
      </c>
      <c r="B467" s="1">
        <f t="shared" si="21"/>
        <v>6.17</v>
      </c>
      <c r="C467" s="1">
        <f t="shared" si="22"/>
        <v>1.35</v>
      </c>
      <c r="D467" s="1">
        <f t="shared" si="23"/>
        <v>4.82</v>
      </c>
      <c r="E467" s="20">
        <f>IF(AH467&lt;&gt;0,ROUNDUP(AH467,0),IF(BB467&lt;&gt;"FR","hors France",IF(AH467&lt;&gt;0,ROUNDUP(AH467,0),_xlfn.XLOOKUP(AJ467,'PA GLS'!B:B,'PA GLS'!A:A))))</f>
        <v>0.5</v>
      </c>
      <c r="F467">
        <v>2501382993</v>
      </c>
      <c r="G467">
        <v>1030219782</v>
      </c>
      <c r="H467" t="s">
        <v>366</v>
      </c>
      <c r="I467">
        <v>2500034092</v>
      </c>
      <c r="J467" t="s">
        <v>50</v>
      </c>
      <c r="K467">
        <v>9000009190</v>
      </c>
      <c r="L467">
        <v>46946</v>
      </c>
      <c r="M467" t="s">
        <v>51</v>
      </c>
      <c r="N467">
        <v>9000079830</v>
      </c>
      <c r="O467" t="s">
        <v>187</v>
      </c>
      <c r="S467">
        <v>2507012387</v>
      </c>
      <c r="T467" t="s">
        <v>50</v>
      </c>
      <c r="U467" t="s">
        <v>122</v>
      </c>
      <c r="V467" t="s">
        <v>71</v>
      </c>
      <c r="W467" t="s">
        <v>72</v>
      </c>
      <c r="X467" t="s">
        <v>60</v>
      </c>
      <c r="Z467">
        <v>49</v>
      </c>
      <c r="AA467" t="s">
        <v>1199</v>
      </c>
      <c r="AB467" t="s">
        <v>1227</v>
      </c>
      <c r="AC467">
        <v>2604000128</v>
      </c>
      <c r="AE467">
        <v>0</v>
      </c>
      <c r="AF467">
        <v>0</v>
      </c>
      <c r="AG467">
        <v>0</v>
      </c>
      <c r="AH467">
        <v>0</v>
      </c>
      <c r="AI467" t="s">
        <v>56</v>
      </c>
      <c r="AJ467">
        <v>3.77</v>
      </c>
      <c r="AK467">
        <v>0.9</v>
      </c>
      <c r="AL467">
        <v>0.15</v>
      </c>
      <c r="AM467">
        <v>29.1</v>
      </c>
      <c r="AN467">
        <v>1.35</v>
      </c>
      <c r="AO467">
        <v>0</v>
      </c>
      <c r="AP467">
        <v>0</v>
      </c>
      <c r="AQ467" t="s">
        <v>57</v>
      </c>
      <c r="AS467" t="s">
        <v>1228</v>
      </c>
      <c r="AT467" t="s">
        <v>1228</v>
      </c>
      <c r="AU467" t="s">
        <v>1227</v>
      </c>
      <c r="AV467" t="s">
        <v>1229</v>
      </c>
      <c r="AW467" t="s">
        <v>1230</v>
      </c>
      <c r="AZ467">
        <v>59800</v>
      </c>
      <c r="BA467" t="s">
        <v>264</v>
      </c>
      <c r="BB467" t="s">
        <v>61</v>
      </c>
      <c r="BC467" t="s">
        <v>62</v>
      </c>
    </row>
    <row r="468" spans="1:55" x14ac:dyDescent="0.25">
      <c r="A468" s="1" t="str">
        <f>IF(COUNTIF(Catégories!A:A,X468)=0,"catégorie inconnue",_xlfn.XLOOKUP(X468,Catégories!A:A,Catégories!B:B))</f>
        <v>Frêt</v>
      </c>
      <c r="B468" s="1">
        <f t="shared" si="21"/>
        <v>6.6000000000000005</v>
      </c>
      <c r="C468" s="1">
        <f t="shared" si="22"/>
        <v>1.45</v>
      </c>
      <c r="D468" s="1">
        <f t="shared" si="23"/>
        <v>5.15</v>
      </c>
      <c r="E468" s="20">
        <f>IF(AH468&lt;&gt;0,ROUNDUP(AH468,0),IF(BB468&lt;&gt;"FR","hors France",IF(AH468&lt;&gt;0,ROUNDUP(AH468,0),_xlfn.XLOOKUP(AJ468,'PA GLS'!B:B,'PA GLS'!A:A))))</f>
        <v>1</v>
      </c>
      <c r="F468">
        <v>2501382993</v>
      </c>
      <c r="G468">
        <v>1030219782</v>
      </c>
      <c r="H468" t="s">
        <v>366</v>
      </c>
      <c r="I468">
        <v>2500034092</v>
      </c>
      <c r="J468" t="s">
        <v>50</v>
      </c>
      <c r="K468">
        <v>9000009190</v>
      </c>
      <c r="L468">
        <v>46946</v>
      </c>
      <c r="M468" t="s">
        <v>51</v>
      </c>
      <c r="N468">
        <v>9000079830</v>
      </c>
      <c r="O468" t="s">
        <v>187</v>
      </c>
      <c r="S468">
        <v>2507012387</v>
      </c>
      <c r="T468" t="s">
        <v>50</v>
      </c>
      <c r="U468" t="s">
        <v>122</v>
      </c>
      <c r="V468" t="s">
        <v>69</v>
      </c>
      <c r="W468" t="s">
        <v>70</v>
      </c>
      <c r="X468" t="s">
        <v>60</v>
      </c>
      <c r="Z468">
        <v>50</v>
      </c>
      <c r="AA468" t="s">
        <v>1199</v>
      </c>
      <c r="AB468" t="s">
        <v>1286</v>
      </c>
      <c r="AC468">
        <v>2604000102</v>
      </c>
      <c r="AE468">
        <v>0</v>
      </c>
      <c r="AF468">
        <v>0</v>
      </c>
      <c r="AG468">
        <v>0</v>
      </c>
      <c r="AH468">
        <v>0</v>
      </c>
      <c r="AI468" t="s">
        <v>56</v>
      </c>
      <c r="AJ468">
        <v>4.0999999999999996</v>
      </c>
      <c r="AK468">
        <v>0.9</v>
      </c>
      <c r="AL468">
        <v>0.15</v>
      </c>
      <c r="AM468">
        <v>29.1</v>
      </c>
      <c r="AN468">
        <v>1.45</v>
      </c>
      <c r="AO468">
        <v>0</v>
      </c>
      <c r="AP468">
        <v>0</v>
      </c>
      <c r="AQ468" t="s">
        <v>57</v>
      </c>
      <c r="AS468" t="s">
        <v>1287</v>
      </c>
      <c r="AT468" t="s">
        <v>1287</v>
      </c>
      <c r="AU468" t="s">
        <v>1286</v>
      </c>
      <c r="AV468" t="s">
        <v>1288</v>
      </c>
      <c r="AW468" t="s">
        <v>1289</v>
      </c>
      <c r="AZ468">
        <v>91210</v>
      </c>
      <c r="BA468" t="s">
        <v>287</v>
      </c>
      <c r="BB468" t="s">
        <v>61</v>
      </c>
      <c r="BC468" t="s">
        <v>62</v>
      </c>
    </row>
    <row r="469" spans="1:55" x14ac:dyDescent="0.25">
      <c r="A469" s="1" t="str">
        <f>IF(COUNTIF(Catégories!A:A,X469)=0,"catégorie inconnue",_xlfn.XLOOKUP(X469,Catégories!A:A,Catégories!B:B))</f>
        <v>Frêt</v>
      </c>
      <c r="B469" s="1">
        <f t="shared" si="21"/>
        <v>6.6000000000000005</v>
      </c>
      <c r="C469" s="1">
        <f t="shared" si="22"/>
        <v>1.45</v>
      </c>
      <c r="D469" s="1">
        <f t="shared" si="23"/>
        <v>5.15</v>
      </c>
      <c r="E469" s="20">
        <f>IF(AH469&lt;&gt;0,ROUNDUP(AH469,0),IF(BB469&lt;&gt;"FR","hors France",IF(AH469&lt;&gt;0,ROUNDUP(AH469,0),_xlfn.XLOOKUP(AJ469,'PA GLS'!B:B,'PA GLS'!A:A))))</f>
        <v>1</v>
      </c>
      <c r="F469">
        <v>2501382993</v>
      </c>
      <c r="G469">
        <v>1030219782</v>
      </c>
      <c r="H469" t="s">
        <v>366</v>
      </c>
      <c r="I469">
        <v>2500034092</v>
      </c>
      <c r="J469" t="s">
        <v>50</v>
      </c>
      <c r="K469">
        <v>9000009190</v>
      </c>
      <c r="L469">
        <v>46946</v>
      </c>
      <c r="M469" t="s">
        <v>51</v>
      </c>
      <c r="N469">
        <v>9000079830</v>
      </c>
      <c r="O469" t="s">
        <v>187</v>
      </c>
      <c r="S469">
        <v>2507012387</v>
      </c>
      <c r="T469" t="s">
        <v>50</v>
      </c>
      <c r="U469" t="s">
        <v>122</v>
      </c>
      <c r="V469" t="s">
        <v>69</v>
      </c>
      <c r="W469" t="s">
        <v>70</v>
      </c>
      <c r="X469" t="s">
        <v>60</v>
      </c>
      <c r="Z469">
        <v>50</v>
      </c>
      <c r="AA469" t="s">
        <v>1199</v>
      </c>
      <c r="AB469" t="s">
        <v>1290</v>
      </c>
      <c r="AC469">
        <v>2604000103</v>
      </c>
      <c r="AE469">
        <v>0</v>
      </c>
      <c r="AF469">
        <v>0</v>
      </c>
      <c r="AG469">
        <v>0</v>
      </c>
      <c r="AH469">
        <v>0</v>
      </c>
      <c r="AI469" t="s">
        <v>56</v>
      </c>
      <c r="AJ469">
        <v>4.0999999999999996</v>
      </c>
      <c r="AK469">
        <v>0.9</v>
      </c>
      <c r="AL469">
        <v>0.15</v>
      </c>
      <c r="AM469">
        <v>29.1</v>
      </c>
      <c r="AN469">
        <v>1.45</v>
      </c>
      <c r="AO469">
        <v>0</v>
      </c>
      <c r="AP469">
        <v>0</v>
      </c>
      <c r="AQ469" t="s">
        <v>57</v>
      </c>
      <c r="AS469" t="s">
        <v>1291</v>
      </c>
      <c r="AT469" t="s">
        <v>1291</v>
      </c>
      <c r="AU469" t="s">
        <v>1290</v>
      </c>
      <c r="AV469" t="s">
        <v>1292</v>
      </c>
      <c r="AW469" t="s">
        <v>1293</v>
      </c>
      <c r="AZ469">
        <v>94000</v>
      </c>
      <c r="BA469" t="s">
        <v>1294</v>
      </c>
      <c r="BB469" t="s">
        <v>61</v>
      </c>
      <c r="BC469" t="s">
        <v>62</v>
      </c>
    </row>
    <row r="470" spans="1:55" x14ac:dyDescent="0.25">
      <c r="A470" s="1" t="str">
        <f>IF(COUNTIF(Catégories!A:A,X470)=0,"catégorie inconnue",_xlfn.XLOOKUP(X470,Catégories!A:A,Catégories!B:B))</f>
        <v>Frêt</v>
      </c>
      <c r="B470" s="1">
        <f t="shared" si="21"/>
        <v>6.6000000000000005</v>
      </c>
      <c r="C470" s="1">
        <f t="shared" si="22"/>
        <v>1.45</v>
      </c>
      <c r="D470" s="1">
        <f t="shared" si="23"/>
        <v>5.15</v>
      </c>
      <c r="E470" s="20">
        <f>IF(AH470&lt;&gt;0,ROUNDUP(AH470,0),IF(BB470&lt;&gt;"FR","hors France",IF(AH470&lt;&gt;0,ROUNDUP(AH470,0),_xlfn.XLOOKUP(AJ470,'PA GLS'!B:B,'PA GLS'!A:A))))</f>
        <v>1</v>
      </c>
      <c r="F470">
        <v>2501382993</v>
      </c>
      <c r="G470">
        <v>1030219782</v>
      </c>
      <c r="H470" t="s">
        <v>366</v>
      </c>
      <c r="I470">
        <v>2500034092</v>
      </c>
      <c r="J470" t="s">
        <v>50</v>
      </c>
      <c r="K470">
        <v>9000009190</v>
      </c>
      <c r="L470">
        <v>46946</v>
      </c>
      <c r="M470" t="s">
        <v>51</v>
      </c>
      <c r="N470">
        <v>9000079830</v>
      </c>
      <c r="O470" t="s">
        <v>187</v>
      </c>
      <c r="S470">
        <v>2507012387</v>
      </c>
      <c r="T470" t="s">
        <v>50</v>
      </c>
      <c r="U470" t="s">
        <v>122</v>
      </c>
      <c r="V470" t="s">
        <v>66</v>
      </c>
      <c r="W470" t="s">
        <v>67</v>
      </c>
      <c r="X470" t="s">
        <v>60</v>
      </c>
      <c r="Z470">
        <v>51</v>
      </c>
      <c r="AA470" t="s">
        <v>1199</v>
      </c>
      <c r="AB470" t="s">
        <v>1314</v>
      </c>
      <c r="AC470">
        <v>2604000108</v>
      </c>
      <c r="AE470">
        <v>0</v>
      </c>
      <c r="AF470">
        <v>0</v>
      </c>
      <c r="AG470">
        <v>0</v>
      </c>
      <c r="AH470">
        <v>0</v>
      </c>
      <c r="AI470" t="s">
        <v>56</v>
      </c>
      <c r="AJ470">
        <v>4.0999999999999996</v>
      </c>
      <c r="AK470">
        <v>0.9</v>
      </c>
      <c r="AL470">
        <v>0.15</v>
      </c>
      <c r="AM470">
        <v>29.1</v>
      </c>
      <c r="AN470">
        <v>1.45</v>
      </c>
      <c r="AO470">
        <v>0</v>
      </c>
      <c r="AP470">
        <v>0</v>
      </c>
      <c r="AQ470" t="s">
        <v>57</v>
      </c>
      <c r="AS470" t="s">
        <v>1315</v>
      </c>
      <c r="AT470" t="s">
        <v>1315</v>
      </c>
      <c r="AU470" t="s">
        <v>1314</v>
      </c>
      <c r="AV470" t="s">
        <v>1316</v>
      </c>
      <c r="AW470" t="s">
        <v>1317</v>
      </c>
      <c r="AZ470">
        <v>80600</v>
      </c>
      <c r="BA470" t="s">
        <v>1318</v>
      </c>
      <c r="BB470" t="s">
        <v>61</v>
      </c>
      <c r="BC470" t="s">
        <v>62</v>
      </c>
    </row>
    <row r="471" spans="1:55" x14ac:dyDescent="0.25">
      <c r="A471" s="1" t="str">
        <f>IF(COUNTIF(Catégories!A:A,X471)=0,"catégorie inconnue",_xlfn.XLOOKUP(X471,Catégories!A:A,Catégories!B:B))</f>
        <v>Frêt</v>
      </c>
      <c r="B471" s="1">
        <f t="shared" si="21"/>
        <v>6.6000000000000005</v>
      </c>
      <c r="C471" s="1">
        <f t="shared" si="22"/>
        <v>1.45</v>
      </c>
      <c r="D471" s="1">
        <f t="shared" si="23"/>
        <v>5.15</v>
      </c>
      <c r="E471" s="20">
        <f>IF(AH471&lt;&gt;0,ROUNDUP(AH471,0),IF(BB471&lt;&gt;"FR","hors France",IF(AH471&lt;&gt;0,ROUNDUP(AH471,0),_xlfn.XLOOKUP(AJ471,'PA GLS'!B:B,'PA GLS'!A:A))))</f>
        <v>1</v>
      </c>
      <c r="F471">
        <v>2501382993</v>
      </c>
      <c r="G471">
        <v>1030219782</v>
      </c>
      <c r="H471" t="s">
        <v>366</v>
      </c>
      <c r="I471">
        <v>2500034092</v>
      </c>
      <c r="J471" t="s">
        <v>50</v>
      </c>
      <c r="K471">
        <v>9000009190</v>
      </c>
      <c r="L471">
        <v>46946</v>
      </c>
      <c r="M471" t="s">
        <v>51</v>
      </c>
      <c r="N471">
        <v>9000079830</v>
      </c>
      <c r="O471" t="s">
        <v>187</v>
      </c>
      <c r="S471">
        <v>2507012387</v>
      </c>
      <c r="T471" t="s">
        <v>50</v>
      </c>
      <c r="U471" t="s">
        <v>122</v>
      </c>
      <c r="V471" t="s">
        <v>66</v>
      </c>
      <c r="W471" t="s">
        <v>67</v>
      </c>
      <c r="X471" t="s">
        <v>60</v>
      </c>
      <c r="Z471">
        <v>51</v>
      </c>
      <c r="AA471" t="s">
        <v>1199</v>
      </c>
      <c r="AB471" t="s">
        <v>1210</v>
      </c>
      <c r="AC471">
        <v>2604000129</v>
      </c>
      <c r="AE471">
        <v>0</v>
      </c>
      <c r="AF471">
        <v>0</v>
      </c>
      <c r="AG471">
        <v>0</v>
      </c>
      <c r="AH471">
        <v>0</v>
      </c>
      <c r="AI471" t="s">
        <v>56</v>
      </c>
      <c r="AJ471">
        <v>4.0999999999999996</v>
      </c>
      <c r="AK471">
        <v>0.9</v>
      </c>
      <c r="AL471">
        <v>0.15</v>
      </c>
      <c r="AM471">
        <v>29.1</v>
      </c>
      <c r="AN471">
        <v>1.45</v>
      </c>
      <c r="AO471">
        <v>0</v>
      </c>
      <c r="AP471">
        <v>0</v>
      </c>
      <c r="AQ471" t="s">
        <v>57</v>
      </c>
      <c r="AS471" t="s">
        <v>1211</v>
      </c>
      <c r="AT471" t="s">
        <v>1211</v>
      </c>
      <c r="AU471" t="s">
        <v>1210</v>
      </c>
      <c r="AV471" t="s">
        <v>1212</v>
      </c>
      <c r="AW471" t="s">
        <v>1213</v>
      </c>
      <c r="AZ471">
        <v>79000</v>
      </c>
      <c r="BA471" t="s">
        <v>1214</v>
      </c>
      <c r="BB471" t="s">
        <v>61</v>
      </c>
      <c r="BC471" t="s">
        <v>62</v>
      </c>
    </row>
    <row r="472" spans="1:55" x14ac:dyDescent="0.25">
      <c r="A472" s="1" t="str">
        <f>IF(COUNTIF(Catégories!A:A,X472)=0,"catégorie inconnue",_xlfn.XLOOKUP(X472,Catégories!A:A,Catégories!B:B))</f>
        <v>Frêt</v>
      </c>
      <c r="B472" s="1">
        <f t="shared" si="21"/>
        <v>6.6000000000000005</v>
      </c>
      <c r="C472" s="1">
        <f t="shared" si="22"/>
        <v>1.45</v>
      </c>
      <c r="D472" s="1">
        <f t="shared" si="23"/>
        <v>5.15</v>
      </c>
      <c r="E472" s="20">
        <f>IF(AH472&lt;&gt;0,ROUNDUP(AH472,0),IF(BB472&lt;&gt;"FR","hors France",IF(AH472&lt;&gt;0,ROUNDUP(AH472,0),_xlfn.XLOOKUP(AJ472,'PA GLS'!B:B,'PA GLS'!A:A))))</f>
        <v>1</v>
      </c>
      <c r="F472">
        <v>2501382993</v>
      </c>
      <c r="G472">
        <v>1030219782</v>
      </c>
      <c r="H472" t="s">
        <v>366</v>
      </c>
      <c r="I472">
        <v>2500034092</v>
      </c>
      <c r="J472" t="s">
        <v>50</v>
      </c>
      <c r="K472">
        <v>9000009190</v>
      </c>
      <c r="L472">
        <v>46946</v>
      </c>
      <c r="M472" t="s">
        <v>51</v>
      </c>
      <c r="N472">
        <v>9000079830</v>
      </c>
      <c r="O472" t="s">
        <v>187</v>
      </c>
      <c r="S472">
        <v>2507012387</v>
      </c>
      <c r="T472" t="s">
        <v>50</v>
      </c>
      <c r="U472" t="s">
        <v>122</v>
      </c>
      <c r="V472" t="s">
        <v>66</v>
      </c>
      <c r="W472" t="s">
        <v>67</v>
      </c>
      <c r="X472" t="s">
        <v>60</v>
      </c>
      <c r="Z472">
        <v>51</v>
      </c>
      <c r="AA472" t="s">
        <v>1199</v>
      </c>
      <c r="AB472" t="s">
        <v>1200</v>
      </c>
      <c r="AC472">
        <v>2604000131</v>
      </c>
      <c r="AE472">
        <v>0</v>
      </c>
      <c r="AF472">
        <v>0</v>
      </c>
      <c r="AG472">
        <v>0</v>
      </c>
      <c r="AH472">
        <v>0</v>
      </c>
      <c r="AI472" t="s">
        <v>56</v>
      </c>
      <c r="AJ472">
        <v>4.0999999999999996</v>
      </c>
      <c r="AK472">
        <v>0.9</v>
      </c>
      <c r="AL472">
        <v>0.15</v>
      </c>
      <c r="AM472">
        <v>29.1</v>
      </c>
      <c r="AN472">
        <v>1.45</v>
      </c>
      <c r="AO472">
        <v>0</v>
      </c>
      <c r="AP472">
        <v>0</v>
      </c>
      <c r="AQ472" t="s">
        <v>57</v>
      </c>
      <c r="AS472" t="s">
        <v>1201</v>
      </c>
      <c r="AT472" t="s">
        <v>1201</v>
      </c>
      <c r="AU472" t="s">
        <v>1200</v>
      </c>
      <c r="AV472" t="s">
        <v>1202</v>
      </c>
      <c r="AW472" t="s">
        <v>1203</v>
      </c>
      <c r="AZ472">
        <v>34130</v>
      </c>
      <c r="BA472" t="s">
        <v>1204</v>
      </c>
      <c r="BB472" t="s">
        <v>61</v>
      </c>
      <c r="BC472" t="s">
        <v>62</v>
      </c>
    </row>
    <row r="473" spans="1:55" x14ac:dyDescent="0.25">
      <c r="A473" s="1" t="str">
        <f>IF(COUNTIF(Catégories!A:A,X473)=0,"catégorie inconnue",_xlfn.XLOOKUP(X473,Catégories!A:A,Catégories!B:B))</f>
        <v>Frêt</v>
      </c>
      <c r="B473" s="1">
        <f t="shared" si="21"/>
        <v>7.0100000000000007</v>
      </c>
      <c r="C473" s="1">
        <f t="shared" si="22"/>
        <v>1.54</v>
      </c>
      <c r="D473" s="1">
        <f t="shared" si="23"/>
        <v>5.4700000000000006</v>
      </c>
      <c r="E473" s="20">
        <f>IF(AH473&lt;&gt;0,ROUNDUP(AH473,0),IF(BB473&lt;&gt;"FR","hors France",IF(AH473&lt;&gt;0,ROUNDUP(AH473,0),_xlfn.XLOOKUP(AJ473,'PA GLS'!B:B,'PA GLS'!A:A))))</f>
        <v>2</v>
      </c>
      <c r="F473">
        <v>2501382993</v>
      </c>
      <c r="G473">
        <v>1030219782</v>
      </c>
      <c r="H473" t="s">
        <v>366</v>
      </c>
      <c r="I473">
        <v>2500034092</v>
      </c>
      <c r="J473" t="s">
        <v>50</v>
      </c>
      <c r="K473">
        <v>9000009190</v>
      </c>
      <c r="L473">
        <v>46946</v>
      </c>
      <c r="M473" t="s">
        <v>51</v>
      </c>
      <c r="N473">
        <v>9000079830</v>
      </c>
      <c r="O473" t="s">
        <v>187</v>
      </c>
      <c r="S473">
        <v>2507012387</v>
      </c>
      <c r="T473" t="s">
        <v>50</v>
      </c>
      <c r="U473" t="s">
        <v>122</v>
      </c>
      <c r="V473" t="s">
        <v>63</v>
      </c>
      <c r="W473" t="s">
        <v>64</v>
      </c>
      <c r="X473" t="s">
        <v>60</v>
      </c>
      <c r="Z473">
        <v>52</v>
      </c>
      <c r="AA473" t="s">
        <v>1199</v>
      </c>
      <c r="AB473" t="s">
        <v>1281</v>
      </c>
      <c r="AC473">
        <v>2604000101</v>
      </c>
      <c r="AE473">
        <v>0</v>
      </c>
      <c r="AF473">
        <v>0</v>
      </c>
      <c r="AG473">
        <v>0</v>
      </c>
      <c r="AH473">
        <v>0</v>
      </c>
      <c r="AI473" t="s">
        <v>56</v>
      </c>
      <c r="AJ473">
        <v>4.42</v>
      </c>
      <c r="AK473">
        <v>0.9</v>
      </c>
      <c r="AL473">
        <v>0.15</v>
      </c>
      <c r="AM473">
        <v>29.1</v>
      </c>
      <c r="AN473">
        <v>1.54</v>
      </c>
      <c r="AO473">
        <v>0</v>
      </c>
      <c r="AP473">
        <v>0</v>
      </c>
      <c r="AQ473" t="s">
        <v>57</v>
      </c>
      <c r="AS473" t="s">
        <v>1282</v>
      </c>
      <c r="AT473" t="s">
        <v>1282</v>
      </c>
      <c r="AU473" t="s">
        <v>1281</v>
      </c>
      <c r="AV473" t="s">
        <v>1283</v>
      </c>
      <c r="AW473" t="s">
        <v>1284</v>
      </c>
      <c r="AZ473">
        <v>76750</v>
      </c>
      <c r="BA473" t="s">
        <v>1285</v>
      </c>
      <c r="BB473" t="s">
        <v>61</v>
      </c>
      <c r="BC473" t="s">
        <v>62</v>
      </c>
    </row>
    <row r="474" spans="1:55" x14ac:dyDescent="0.25">
      <c r="A474" s="1" t="str">
        <f>IF(COUNTIF(Catégories!A:A,X474)=0,"catégorie inconnue",_xlfn.XLOOKUP(X474,Catégories!A:A,Catégories!B:B))</f>
        <v>Frêt</v>
      </c>
      <c r="B474" s="1">
        <f t="shared" si="21"/>
        <v>7.0100000000000007</v>
      </c>
      <c r="C474" s="1">
        <f t="shared" si="22"/>
        <v>1.54</v>
      </c>
      <c r="D474" s="1">
        <f t="shared" si="23"/>
        <v>5.4700000000000006</v>
      </c>
      <c r="E474" s="20">
        <f>IF(AH474&lt;&gt;0,ROUNDUP(AH474,0),IF(BB474&lt;&gt;"FR","hors France",IF(AH474&lt;&gt;0,ROUNDUP(AH474,0),_xlfn.XLOOKUP(AJ474,'PA GLS'!B:B,'PA GLS'!A:A))))</f>
        <v>2</v>
      </c>
      <c r="F474">
        <v>2501382993</v>
      </c>
      <c r="G474">
        <v>1030219782</v>
      </c>
      <c r="H474" t="s">
        <v>366</v>
      </c>
      <c r="I474">
        <v>2500034092</v>
      </c>
      <c r="J474" t="s">
        <v>50</v>
      </c>
      <c r="K474">
        <v>9000009190</v>
      </c>
      <c r="L474">
        <v>46946</v>
      </c>
      <c r="M474" t="s">
        <v>51</v>
      </c>
      <c r="N474">
        <v>9000079830</v>
      </c>
      <c r="O474" t="s">
        <v>187</v>
      </c>
      <c r="S474">
        <v>2507012387</v>
      </c>
      <c r="T474" t="s">
        <v>50</v>
      </c>
      <c r="U474" t="s">
        <v>122</v>
      </c>
      <c r="V474" t="s">
        <v>63</v>
      </c>
      <c r="W474" t="s">
        <v>64</v>
      </c>
      <c r="X474" t="s">
        <v>60</v>
      </c>
      <c r="Z474">
        <v>52</v>
      </c>
      <c r="AA474" t="s">
        <v>1199</v>
      </c>
      <c r="AB474" t="s">
        <v>1295</v>
      </c>
      <c r="AC474">
        <v>2604000104</v>
      </c>
      <c r="AE474">
        <v>0</v>
      </c>
      <c r="AF474">
        <v>0</v>
      </c>
      <c r="AG474">
        <v>0</v>
      </c>
      <c r="AH474">
        <v>0</v>
      </c>
      <c r="AI474" t="s">
        <v>56</v>
      </c>
      <c r="AJ474">
        <v>4.42</v>
      </c>
      <c r="AK474">
        <v>0.9</v>
      </c>
      <c r="AL474">
        <v>0.15</v>
      </c>
      <c r="AM474">
        <v>29.1</v>
      </c>
      <c r="AN474">
        <v>1.54</v>
      </c>
      <c r="AO474">
        <v>0</v>
      </c>
      <c r="AP474">
        <v>0</v>
      </c>
      <c r="AQ474" t="s">
        <v>57</v>
      </c>
      <c r="AS474" t="s">
        <v>1296</v>
      </c>
      <c r="AT474" t="s">
        <v>1296</v>
      </c>
      <c r="AU474" t="s">
        <v>1295</v>
      </c>
      <c r="AV474" t="s">
        <v>1297</v>
      </c>
      <c r="AW474" t="s">
        <v>1298</v>
      </c>
      <c r="AZ474">
        <v>56310</v>
      </c>
      <c r="BA474" t="s">
        <v>1299</v>
      </c>
      <c r="BB474" t="s">
        <v>61</v>
      </c>
      <c r="BC474" t="s">
        <v>62</v>
      </c>
    </row>
    <row r="475" spans="1:55" x14ac:dyDescent="0.25">
      <c r="A475" s="1" t="str">
        <f>IF(COUNTIF(Catégories!A:A,X475)=0,"catégorie inconnue",_xlfn.XLOOKUP(X475,Catégories!A:A,Catégories!B:B))</f>
        <v>Frêt</v>
      </c>
      <c r="B475" s="1">
        <f t="shared" si="21"/>
        <v>7.0100000000000007</v>
      </c>
      <c r="C475" s="1">
        <f t="shared" si="22"/>
        <v>1.54</v>
      </c>
      <c r="D475" s="1">
        <f t="shared" si="23"/>
        <v>5.4700000000000006</v>
      </c>
      <c r="E475" s="20">
        <f>IF(AH475&lt;&gt;0,ROUNDUP(AH475,0),IF(BB475&lt;&gt;"FR","hors France",IF(AH475&lt;&gt;0,ROUNDUP(AH475,0),_xlfn.XLOOKUP(AJ475,'PA GLS'!B:B,'PA GLS'!A:A))))</f>
        <v>2</v>
      </c>
      <c r="F475">
        <v>2501382993</v>
      </c>
      <c r="G475">
        <v>1030219782</v>
      </c>
      <c r="H475" t="s">
        <v>366</v>
      </c>
      <c r="I475">
        <v>2500034092</v>
      </c>
      <c r="J475" t="s">
        <v>50</v>
      </c>
      <c r="K475">
        <v>9000009190</v>
      </c>
      <c r="L475">
        <v>46946</v>
      </c>
      <c r="M475" t="s">
        <v>51</v>
      </c>
      <c r="N475">
        <v>9000079830</v>
      </c>
      <c r="O475" t="s">
        <v>187</v>
      </c>
      <c r="S475">
        <v>2507012387</v>
      </c>
      <c r="T475" t="s">
        <v>50</v>
      </c>
      <c r="U475" t="s">
        <v>122</v>
      </c>
      <c r="V475" t="s">
        <v>63</v>
      </c>
      <c r="W475" t="s">
        <v>64</v>
      </c>
      <c r="X475" t="s">
        <v>60</v>
      </c>
      <c r="Z475">
        <v>52</v>
      </c>
      <c r="AA475" t="s">
        <v>1199</v>
      </c>
      <c r="AB475" t="s">
        <v>1319</v>
      </c>
      <c r="AC475">
        <v>2604000109</v>
      </c>
      <c r="AE475">
        <v>0</v>
      </c>
      <c r="AF475">
        <v>0</v>
      </c>
      <c r="AG475">
        <v>0</v>
      </c>
      <c r="AH475">
        <v>0</v>
      </c>
      <c r="AI475" t="s">
        <v>56</v>
      </c>
      <c r="AJ475">
        <v>4.42</v>
      </c>
      <c r="AK475">
        <v>0.9</v>
      </c>
      <c r="AL475">
        <v>0.15</v>
      </c>
      <c r="AM475">
        <v>29.1</v>
      </c>
      <c r="AN475">
        <v>1.54</v>
      </c>
      <c r="AO475">
        <v>0</v>
      </c>
      <c r="AP475">
        <v>0</v>
      </c>
      <c r="AQ475" t="s">
        <v>57</v>
      </c>
      <c r="AS475" t="s">
        <v>1320</v>
      </c>
      <c r="AT475" t="s">
        <v>1320</v>
      </c>
      <c r="AU475" t="s">
        <v>1319</v>
      </c>
      <c r="AV475" t="s">
        <v>1321</v>
      </c>
      <c r="AW475" t="s">
        <v>1322</v>
      </c>
      <c r="AZ475">
        <v>31600</v>
      </c>
      <c r="BA475" t="s">
        <v>1323</v>
      </c>
      <c r="BB475" t="s">
        <v>61</v>
      </c>
      <c r="BC475" t="s">
        <v>62</v>
      </c>
    </row>
    <row r="476" spans="1:55" x14ac:dyDescent="0.25">
      <c r="A476" s="1" t="str">
        <f>IF(COUNTIF(Catégories!A:A,X476)=0,"catégorie inconnue",_xlfn.XLOOKUP(X476,Catégories!A:A,Catégories!B:B))</f>
        <v>Frêt</v>
      </c>
      <c r="B476" s="1">
        <f t="shared" si="21"/>
        <v>7.0100000000000007</v>
      </c>
      <c r="C476" s="1">
        <f t="shared" si="22"/>
        <v>1.54</v>
      </c>
      <c r="D476" s="1">
        <f t="shared" si="23"/>
        <v>5.4700000000000006</v>
      </c>
      <c r="E476" s="20">
        <f>IF(AH476&lt;&gt;0,ROUNDUP(AH476,0),IF(BB476&lt;&gt;"FR","hors France",IF(AH476&lt;&gt;0,ROUNDUP(AH476,0),_xlfn.XLOOKUP(AJ476,'PA GLS'!B:B,'PA GLS'!A:A))))</f>
        <v>2</v>
      </c>
      <c r="F476">
        <v>2501382993</v>
      </c>
      <c r="G476">
        <v>1030219782</v>
      </c>
      <c r="H476" t="s">
        <v>366</v>
      </c>
      <c r="I476">
        <v>2500034092</v>
      </c>
      <c r="J476" t="s">
        <v>50</v>
      </c>
      <c r="K476">
        <v>9000009190</v>
      </c>
      <c r="L476">
        <v>46946</v>
      </c>
      <c r="M476" t="s">
        <v>51</v>
      </c>
      <c r="N476">
        <v>9000079830</v>
      </c>
      <c r="O476" t="s">
        <v>187</v>
      </c>
      <c r="S476">
        <v>2507012387</v>
      </c>
      <c r="T476" t="s">
        <v>50</v>
      </c>
      <c r="U476" t="s">
        <v>122</v>
      </c>
      <c r="V476" t="s">
        <v>63</v>
      </c>
      <c r="W476" t="s">
        <v>64</v>
      </c>
      <c r="X476" t="s">
        <v>60</v>
      </c>
      <c r="Z476">
        <v>52</v>
      </c>
      <c r="AA476" t="s">
        <v>1199</v>
      </c>
      <c r="AB476" t="s">
        <v>1329</v>
      </c>
      <c r="AC476">
        <v>2604000111</v>
      </c>
      <c r="AE476">
        <v>0</v>
      </c>
      <c r="AF476">
        <v>0</v>
      </c>
      <c r="AG476">
        <v>0</v>
      </c>
      <c r="AH476">
        <v>0</v>
      </c>
      <c r="AI476" t="s">
        <v>56</v>
      </c>
      <c r="AJ476">
        <v>4.42</v>
      </c>
      <c r="AK476">
        <v>0.9</v>
      </c>
      <c r="AL476">
        <v>0.15</v>
      </c>
      <c r="AM476">
        <v>29.1</v>
      </c>
      <c r="AN476">
        <v>1.54</v>
      </c>
      <c r="AO476">
        <v>0</v>
      </c>
      <c r="AP476">
        <v>0</v>
      </c>
      <c r="AQ476" t="s">
        <v>57</v>
      </c>
      <c r="AS476" t="s">
        <v>1330</v>
      </c>
      <c r="AT476" t="s">
        <v>1330</v>
      </c>
      <c r="AU476" t="s">
        <v>1329</v>
      </c>
      <c r="AV476" t="s">
        <v>1331</v>
      </c>
      <c r="AW476" t="s">
        <v>1332</v>
      </c>
      <c r="AZ476">
        <v>80000</v>
      </c>
      <c r="BA476" t="s">
        <v>295</v>
      </c>
      <c r="BB476" t="s">
        <v>61</v>
      </c>
      <c r="BC476" t="s">
        <v>62</v>
      </c>
    </row>
    <row r="477" spans="1:55" x14ac:dyDescent="0.25">
      <c r="A477" s="1" t="str">
        <f>IF(COUNTIF(Catégories!A:A,X477)=0,"catégorie inconnue",_xlfn.XLOOKUP(X477,Catégories!A:A,Catégories!B:B))</f>
        <v>Frêt</v>
      </c>
      <c r="B477" s="1">
        <f t="shared" si="21"/>
        <v>7.0100000000000007</v>
      </c>
      <c r="C477" s="1">
        <f t="shared" si="22"/>
        <v>1.54</v>
      </c>
      <c r="D477" s="1">
        <f t="shared" si="23"/>
        <v>5.4700000000000006</v>
      </c>
      <c r="E477" s="20">
        <f>IF(AH477&lt;&gt;0,ROUNDUP(AH477,0),IF(BB477&lt;&gt;"FR","hors France",IF(AH477&lt;&gt;0,ROUNDUP(AH477,0),_xlfn.XLOOKUP(AJ477,'PA GLS'!B:B,'PA GLS'!A:A))))</f>
        <v>2</v>
      </c>
      <c r="F477">
        <v>2501382993</v>
      </c>
      <c r="G477">
        <v>1030219782</v>
      </c>
      <c r="H477" t="s">
        <v>366</v>
      </c>
      <c r="I477">
        <v>2500034092</v>
      </c>
      <c r="J477" t="s">
        <v>50</v>
      </c>
      <c r="K477">
        <v>9000009190</v>
      </c>
      <c r="L477">
        <v>46946</v>
      </c>
      <c r="M477" t="s">
        <v>51</v>
      </c>
      <c r="N477">
        <v>9000079830</v>
      </c>
      <c r="O477" t="s">
        <v>187</v>
      </c>
      <c r="S477">
        <v>2507012387</v>
      </c>
      <c r="T477" t="s">
        <v>50</v>
      </c>
      <c r="U477" t="s">
        <v>122</v>
      </c>
      <c r="V477" t="s">
        <v>63</v>
      </c>
      <c r="W477" t="s">
        <v>64</v>
      </c>
      <c r="X477" t="s">
        <v>60</v>
      </c>
      <c r="Z477">
        <v>52</v>
      </c>
      <c r="AA477" t="s">
        <v>1199</v>
      </c>
      <c r="AB477" t="s">
        <v>1356</v>
      </c>
      <c r="AC477">
        <v>2604000117</v>
      </c>
      <c r="AE477">
        <v>0</v>
      </c>
      <c r="AF477">
        <v>0</v>
      </c>
      <c r="AG477">
        <v>0</v>
      </c>
      <c r="AH477">
        <v>0</v>
      </c>
      <c r="AI477" t="s">
        <v>56</v>
      </c>
      <c r="AJ477">
        <v>4.42</v>
      </c>
      <c r="AK477">
        <v>0.9</v>
      </c>
      <c r="AL477">
        <v>0.15</v>
      </c>
      <c r="AM477">
        <v>29.1</v>
      </c>
      <c r="AN477">
        <v>1.54</v>
      </c>
      <c r="AO477">
        <v>0</v>
      </c>
      <c r="AP477">
        <v>0</v>
      </c>
      <c r="AQ477" t="s">
        <v>57</v>
      </c>
      <c r="AS477" t="s">
        <v>1357</v>
      </c>
      <c r="AT477" t="s">
        <v>1357</v>
      </c>
      <c r="AU477" t="s">
        <v>1356</v>
      </c>
      <c r="AV477" t="s">
        <v>1358</v>
      </c>
      <c r="AW477" t="s">
        <v>1359</v>
      </c>
      <c r="AZ477">
        <v>68640</v>
      </c>
      <c r="BA477" t="s">
        <v>1360</v>
      </c>
      <c r="BB477" t="s">
        <v>61</v>
      </c>
      <c r="BC477" t="s">
        <v>62</v>
      </c>
    </row>
    <row r="478" spans="1:55" x14ac:dyDescent="0.25">
      <c r="A478" s="1" t="str">
        <f>IF(COUNTIF(Catégories!A:A,X478)=0,"catégorie inconnue",_xlfn.XLOOKUP(X478,Catégories!A:A,Catégories!B:B))</f>
        <v>Frêt</v>
      </c>
      <c r="B478" s="1">
        <f t="shared" si="21"/>
        <v>7.0100000000000007</v>
      </c>
      <c r="C478" s="1">
        <f t="shared" si="22"/>
        <v>1.54</v>
      </c>
      <c r="D478" s="1">
        <f t="shared" si="23"/>
        <v>5.4700000000000006</v>
      </c>
      <c r="E478" s="20">
        <f>IF(AH478&lt;&gt;0,ROUNDUP(AH478,0),IF(BB478&lt;&gt;"FR","hors France",IF(AH478&lt;&gt;0,ROUNDUP(AH478,0),_xlfn.XLOOKUP(AJ478,'PA GLS'!B:B,'PA GLS'!A:A))))</f>
        <v>2</v>
      </c>
      <c r="F478">
        <v>2501382993</v>
      </c>
      <c r="G478">
        <v>1030219782</v>
      </c>
      <c r="H478" t="s">
        <v>366</v>
      </c>
      <c r="I478">
        <v>2500034092</v>
      </c>
      <c r="J478" t="s">
        <v>50</v>
      </c>
      <c r="K478">
        <v>9000009190</v>
      </c>
      <c r="L478">
        <v>46946</v>
      </c>
      <c r="M478" t="s">
        <v>51</v>
      </c>
      <c r="N478">
        <v>9000079830</v>
      </c>
      <c r="O478" t="s">
        <v>187</v>
      </c>
      <c r="S478">
        <v>2507012387</v>
      </c>
      <c r="T478" t="s">
        <v>50</v>
      </c>
      <c r="U478" t="s">
        <v>122</v>
      </c>
      <c r="V478" t="s">
        <v>63</v>
      </c>
      <c r="W478" t="s">
        <v>64</v>
      </c>
      <c r="X478" t="s">
        <v>60</v>
      </c>
      <c r="Z478">
        <v>52</v>
      </c>
      <c r="AA478" t="s">
        <v>1199</v>
      </c>
      <c r="AB478" t="s">
        <v>1254</v>
      </c>
      <c r="AC478">
        <v>2604000122</v>
      </c>
      <c r="AE478">
        <v>0</v>
      </c>
      <c r="AF478">
        <v>0</v>
      </c>
      <c r="AG478">
        <v>0</v>
      </c>
      <c r="AH478">
        <v>0</v>
      </c>
      <c r="AI478" t="s">
        <v>56</v>
      </c>
      <c r="AJ478">
        <v>4.42</v>
      </c>
      <c r="AK478">
        <v>0.9</v>
      </c>
      <c r="AL478">
        <v>0.15</v>
      </c>
      <c r="AM478">
        <v>29.1</v>
      </c>
      <c r="AN478">
        <v>1.54</v>
      </c>
      <c r="AO478">
        <v>0</v>
      </c>
      <c r="AP478">
        <v>0</v>
      </c>
      <c r="AQ478" t="s">
        <v>57</v>
      </c>
      <c r="AS478" t="s">
        <v>1255</v>
      </c>
      <c r="AT478" t="s">
        <v>1255</v>
      </c>
      <c r="AU478" t="s">
        <v>1254</v>
      </c>
      <c r="AV478" t="s">
        <v>1256</v>
      </c>
      <c r="AW478" t="s">
        <v>1257</v>
      </c>
      <c r="AZ478">
        <v>33000</v>
      </c>
      <c r="BA478" t="s">
        <v>228</v>
      </c>
      <c r="BB478" t="s">
        <v>61</v>
      </c>
      <c r="BC478" t="s">
        <v>62</v>
      </c>
    </row>
    <row r="479" spans="1:55" x14ac:dyDescent="0.25">
      <c r="A479" s="1" t="str">
        <f>IF(COUNTIF(Catégories!A:A,X479)=0,"catégorie inconnue",_xlfn.XLOOKUP(X479,Catégories!A:A,Catégories!B:B))</f>
        <v>Frêt</v>
      </c>
      <c r="B479" s="1">
        <f t="shared" si="21"/>
        <v>6.17</v>
      </c>
      <c r="C479" s="1">
        <f t="shared" si="22"/>
        <v>1.35</v>
      </c>
      <c r="D479" s="1">
        <f t="shared" si="23"/>
        <v>4.82</v>
      </c>
      <c r="E479" s="20">
        <f>IF(AH479&lt;&gt;0,ROUNDUP(AH479,0),IF(BB479&lt;&gt;"FR","hors France",IF(AH479&lt;&gt;0,ROUNDUP(AH479,0),_xlfn.XLOOKUP(AJ479,'PA GLS'!B:B,'PA GLS'!A:A))))</f>
        <v>0.5</v>
      </c>
      <c r="F479">
        <v>2501382993</v>
      </c>
      <c r="G479">
        <v>1030240312</v>
      </c>
      <c r="H479" t="s">
        <v>366</v>
      </c>
      <c r="I479">
        <v>2500034092</v>
      </c>
      <c r="J479" t="s">
        <v>50</v>
      </c>
      <c r="K479">
        <v>9000009190</v>
      </c>
      <c r="L479">
        <v>46946</v>
      </c>
      <c r="M479" t="s">
        <v>51</v>
      </c>
      <c r="N479">
        <v>9000037814</v>
      </c>
      <c r="O479" t="s">
        <v>51</v>
      </c>
      <c r="S479">
        <v>2507012387</v>
      </c>
      <c r="T479" t="s">
        <v>50</v>
      </c>
      <c r="U479" t="s">
        <v>122</v>
      </c>
      <c r="V479" t="s">
        <v>71</v>
      </c>
      <c r="W479" t="s">
        <v>72</v>
      </c>
      <c r="X479" t="s">
        <v>60</v>
      </c>
      <c r="Z479">
        <v>214</v>
      </c>
      <c r="AA479" t="s">
        <v>1378</v>
      </c>
      <c r="AB479" t="s">
        <v>1379</v>
      </c>
      <c r="AC479">
        <v>2604000117</v>
      </c>
      <c r="AE479">
        <v>0</v>
      </c>
      <c r="AF479">
        <v>0</v>
      </c>
      <c r="AG479">
        <v>0</v>
      </c>
      <c r="AH479">
        <v>0</v>
      </c>
      <c r="AI479" t="s">
        <v>56</v>
      </c>
      <c r="AJ479">
        <v>3.77</v>
      </c>
      <c r="AK479">
        <v>0.9</v>
      </c>
      <c r="AL479">
        <v>0.15</v>
      </c>
      <c r="AM479">
        <v>29.1</v>
      </c>
      <c r="AN479">
        <v>1.35</v>
      </c>
      <c r="AO479">
        <v>0</v>
      </c>
      <c r="AP479">
        <v>0</v>
      </c>
      <c r="AQ479" t="s">
        <v>57</v>
      </c>
      <c r="AS479" t="s">
        <v>1380</v>
      </c>
      <c r="AT479" t="s">
        <v>1380</v>
      </c>
      <c r="AU479" t="s">
        <v>1379</v>
      </c>
      <c r="AV479" t="s">
        <v>1381</v>
      </c>
      <c r="AW479" t="s">
        <v>1382</v>
      </c>
      <c r="AZ479">
        <v>95300</v>
      </c>
      <c r="BA479" t="s">
        <v>1383</v>
      </c>
      <c r="BB479" t="s">
        <v>61</v>
      </c>
      <c r="BC479" t="s">
        <v>62</v>
      </c>
    </row>
    <row r="480" spans="1:55" x14ac:dyDescent="0.25">
      <c r="A480" s="1" t="str">
        <f>IF(COUNTIF(Catégories!A:A,X480)=0,"catégorie inconnue",_xlfn.XLOOKUP(X480,Catégories!A:A,Catégories!B:B))</f>
        <v>Frêt</v>
      </c>
      <c r="B480" s="1">
        <f t="shared" si="21"/>
        <v>0</v>
      </c>
      <c r="C480" s="1">
        <f t="shared" si="22"/>
        <v>0</v>
      </c>
      <c r="D480" s="1">
        <f t="shared" si="23"/>
        <v>0</v>
      </c>
      <c r="E480" s="20">
        <f>IF(AH480&lt;&gt;0,ROUNDUP(AH480,0),IF(BB480&lt;&gt;"FR","hors France",IF(AH480&lt;&gt;0,ROUNDUP(AH480,0),_xlfn.XLOOKUP(AJ480,'PA GLS'!B:B,'PA GLS'!A:A))))</f>
        <v>1</v>
      </c>
      <c r="F480">
        <v>2501382993</v>
      </c>
      <c r="G480">
        <v>1030240312</v>
      </c>
      <c r="H480" t="s">
        <v>366</v>
      </c>
      <c r="I480">
        <v>2500034092</v>
      </c>
      <c r="J480" t="s">
        <v>50</v>
      </c>
      <c r="K480">
        <v>9000009190</v>
      </c>
      <c r="L480">
        <v>46946</v>
      </c>
      <c r="M480" t="s">
        <v>51</v>
      </c>
      <c r="N480">
        <v>9000037814</v>
      </c>
      <c r="O480" t="s">
        <v>51</v>
      </c>
      <c r="S480">
        <v>2507012387</v>
      </c>
      <c r="T480" t="s">
        <v>50</v>
      </c>
      <c r="U480" t="s">
        <v>122</v>
      </c>
      <c r="V480" t="s">
        <v>176</v>
      </c>
      <c r="W480" t="s">
        <v>177</v>
      </c>
      <c r="X480" t="s">
        <v>152</v>
      </c>
      <c r="Z480">
        <v>213</v>
      </c>
      <c r="AA480" t="s">
        <v>1378</v>
      </c>
      <c r="AB480" t="s">
        <v>1384</v>
      </c>
      <c r="AC480">
        <v>2604000118</v>
      </c>
      <c r="AE480">
        <v>0</v>
      </c>
      <c r="AF480">
        <v>1</v>
      </c>
      <c r="AG480">
        <v>0</v>
      </c>
      <c r="AH480">
        <v>0.44</v>
      </c>
      <c r="AI480" t="s">
        <v>56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 t="s">
        <v>57</v>
      </c>
      <c r="AS480" t="s">
        <v>1385</v>
      </c>
      <c r="AT480" t="s">
        <v>1385</v>
      </c>
      <c r="AU480" t="s">
        <v>1384</v>
      </c>
      <c r="AV480" t="s">
        <v>1386</v>
      </c>
      <c r="AW480" t="s">
        <v>1387</v>
      </c>
      <c r="AZ480">
        <v>46000</v>
      </c>
      <c r="BA480" t="s">
        <v>1388</v>
      </c>
      <c r="BB480" t="s">
        <v>61</v>
      </c>
      <c r="BC480" t="s">
        <v>62</v>
      </c>
    </row>
    <row r="481" spans="1:55" x14ac:dyDescent="0.25">
      <c r="A481" s="1" t="str">
        <f>IF(COUNTIF(Catégories!A:A,X481)=0,"catégorie inconnue",_xlfn.XLOOKUP(X481,Catégories!A:A,Catégories!B:B))</f>
        <v>Frêt</v>
      </c>
      <c r="B481" s="1">
        <f t="shared" si="21"/>
        <v>0</v>
      </c>
      <c r="C481" s="1">
        <f t="shared" si="22"/>
        <v>0</v>
      </c>
      <c r="D481" s="1">
        <f t="shared" si="23"/>
        <v>0</v>
      </c>
      <c r="E481" s="20">
        <f>IF(AH481&lt;&gt;0,ROUNDUP(AH481,0),IF(BB481&lt;&gt;"FR","hors France",IF(AH481&lt;&gt;0,ROUNDUP(AH481,0),_xlfn.XLOOKUP(AJ481,'PA GLS'!B:B,'PA GLS'!A:A))))</f>
        <v>1</v>
      </c>
      <c r="F481">
        <v>2501382993</v>
      </c>
      <c r="G481">
        <v>1030240312</v>
      </c>
      <c r="H481" t="s">
        <v>366</v>
      </c>
      <c r="I481">
        <v>2500034092</v>
      </c>
      <c r="J481" t="s">
        <v>50</v>
      </c>
      <c r="K481">
        <v>9000009190</v>
      </c>
      <c r="L481">
        <v>46946</v>
      </c>
      <c r="M481" t="s">
        <v>51</v>
      </c>
      <c r="N481">
        <v>9000037814</v>
      </c>
      <c r="O481" t="s">
        <v>51</v>
      </c>
      <c r="S481">
        <v>2507012387</v>
      </c>
      <c r="T481" t="s">
        <v>50</v>
      </c>
      <c r="U481" t="s">
        <v>122</v>
      </c>
      <c r="V481" t="s">
        <v>176</v>
      </c>
      <c r="W481" t="s">
        <v>177</v>
      </c>
      <c r="X481" t="s">
        <v>152</v>
      </c>
      <c r="Z481">
        <v>213</v>
      </c>
      <c r="AA481" t="s">
        <v>1378</v>
      </c>
      <c r="AB481" t="s">
        <v>1389</v>
      </c>
      <c r="AC481">
        <v>2604000119</v>
      </c>
      <c r="AE481">
        <v>0</v>
      </c>
      <c r="AF481">
        <v>1</v>
      </c>
      <c r="AG481">
        <v>0</v>
      </c>
      <c r="AH481">
        <v>0.42</v>
      </c>
      <c r="AI481" t="s">
        <v>56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 t="s">
        <v>57</v>
      </c>
      <c r="AS481" t="s">
        <v>1390</v>
      </c>
      <c r="AT481" t="s">
        <v>1390</v>
      </c>
      <c r="AU481" t="s">
        <v>1389</v>
      </c>
      <c r="AV481" t="s">
        <v>1391</v>
      </c>
      <c r="AW481" t="s">
        <v>1392</v>
      </c>
      <c r="AZ481">
        <v>33000</v>
      </c>
      <c r="BA481" t="s">
        <v>228</v>
      </c>
      <c r="BB481" t="s">
        <v>61</v>
      </c>
      <c r="BC481" t="s">
        <v>62</v>
      </c>
    </row>
    <row r="482" spans="1:55" x14ac:dyDescent="0.25">
      <c r="A482" s="1" t="str">
        <f>IF(COUNTIF(Catégories!A:A,X482)=0,"catégorie inconnue",_xlfn.XLOOKUP(X482,Catégories!A:A,Catégories!B:B))</f>
        <v>Frêt</v>
      </c>
      <c r="B482" s="1">
        <f t="shared" si="21"/>
        <v>0</v>
      </c>
      <c r="C482" s="1">
        <f t="shared" si="22"/>
        <v>0</v>
      </c>
      <c r="D482" s="1">
        <f t="shared" si="23"/>
        <v>0</v>
      </c>
      <c r="E482" s="20">
        <f>IF(AH482&lt;&gt;0,ROUNDUP(AH482,0),IF(BB482&lt;&gt;"FR","hors France",IF(AH482&lt;&gt;0,ROUNDUP(AH482,0),_xlfn.XLOOKUP(AJ482,'PA GLS'!B:B,'PA GLS'!A:A))))</f>
        <v>1</v>
      </c>
      <c r="F482">
        <v>2501382993</v>
      </c>
      <c r="G482">
        <v>1030240312</v>
      </c>
      <c r="H482" t="s">
        <v>366</v>
      </c>
      <c r="I482">
        <v>2500034092</v>
      </c>
      <c r="J482" t="s">
        <v>50</v>
      </c>
      <c r="K482">
        <v>9000009190</v>
      </c>
      <c r="L482">
        <v>46946</v>
      </c>
      <c r="M482" t="s">
        <v>51</v>
      </c>
      <c r="N482">
        <v>9000037814</v>
      </c>
      <c r="O482" t="s">
        <v>51</v>
      </c>
      <c r="S482">
        <v>2507012387</v>
      </c>
      <c r="T482" t="s">
        <v>50</v>
      </c>
      <c r="U482" t="s">
        <v>122</v>
      </c>
      <c r="V482" t="s">
        <v>176</v>
      </c>
      <c r="W482" t="s">
        <v>177</v>
      </c>
      <c r="X482" t="s">
        <v>152</v>
      </c>
      <c r="Z482">
        <v>213</v>
      </c>
      <c r="AA482" t="s">
        <v>1378</v>
      </c>
      <c r="AB482" t="s">
        <v>1393</v>
      </c>
      <c r="AC482">
        <v>2604000120</v>
      </c>
      <c r="AE482">
        <v>0</v>
      </c>
      <c r="AF482">
        <v>1</v>
      </c>
      <c r="AG482">
        <v>0</v>
      </c>
      <c r="AH482">
        <v>0.56000000000000005</v>
      </c>
      <c r="AI482" t="s">
        <v>56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 t="s">
        <v>57</v>
      </c>
      <c r="AS482" t="s">
        <v>1394</v>
      </c>
      <c r="AT482" t="s">
        <v>1394</v>
      </c>
      <c r="AU482" t="s">
        <v>1393</v>
      </c>
      <c r="AV482" t="s">
        <v>341</v>
      </c>
      <c r="AW482" t="s">
        <v>342</v>
      </c>
      <c r="AZ482">
        <v>75012</v>
      </c>
      <c r="BA482" t="s">
        <v>65</v>
      </c>
      <c r="BB482" t="s">
        <v>61</v>
      </c>
      <c r="BC482" t="s">
        <v>62</v>
      </c>
    </row>
    <row r="483" spans="1:55" x14ac:dyDescent="0.25">
      <c r="A483" s="1" t="str">
        <f>IF(COUNTIF(Catégories!A:A,X483)=0,"catégorie inconnue",_xlfn.XLOOKUP(X483,Catégories!A:A,Catégories!B:B))</f>
        <v>Frêt</v>
      </c>
      <c r="B483" s="1">
        <f t="shared" si="21"/>
        <v>6.17</v>
      </c>
      <c r="C483" s="1">
        <f t="shared" si="22"/>
        <v>1.35</v>
      </c>
      <c r="D483" s="1">
        <f t="shared" si="23"/>
        <v>4.82</v>
      </c>
      <c r="E483" s="20">
        <f>IF(AH483&lt;&gt;0,ROUNDUP(AH483,0),IF(BB483&lt;&gt;"FR","hors France",IF(AH483&lt;&gt;0,ROUNDUP(AH483,0),_xlfn.XLOOKUP(AJ483,'PA GLS'!B:B,'PA GLS'!A:A))))</f>
        <v>0.5</v>
      </c>
      <c r="F483">
        <v>2501382993</v>
      </c>
      <c r="G483">
        <v>1030240312</v>
      </c>
      <c r="H483" t="s">
        <v>366</v>
      </c>
      <c r="I483">
        <v>2500034092</v>
      </c>
      <c r="J483" t="s">
        <v>50</v>
      </c>
      <c r="K483">
        <v>9000009190</v>
      </c>
      <c r="L483">
        <v>46946</v>
      </c>
      <c r="M483" t="s">
        <v>51</v>
      </c>
      <c r="N483">
        <v>9000037814</v>
      </c>
      <c r="O483" t="s">
        <v>51</v>
      </c>
      <c r="S483">
        <v>2507012387</v>
      </c>
      <c r="T483" t="s">
        <v>50</v>
      </c>
      <c r="U483" t="s">
        <v>122</v>
      </c>
      <c r="V483" t="s">
        <v>71</v>
      </c>
      <c r="W483" t="s">
        <v>72</v>
      </c>
      <c r="X483" t="s">
        <v>60</v>
      </c>
      <c r="Z483">
        <v>214</v>
      </c>
      <c r="AA483" t="s">
        <v>1378</v>
      </c>
      <c r="AB483" t="s">
        <v>1384</v>
      </c>
      <c r="AC483">
        <v>2604000118</v>
      </c>
      <c r="AE483">
        <v>0</v>
      </c>
      <c r="AF483">
        <v>0</v>
      </c>
      <c r="AG483">
        <v>0</v>
      </c>
      <c r="AH483">
        <v>0</v>
      </c>
      <c r="AI483" t="s">
        <v>56</v>
      </c>
      <c r="AJ483">
        <v>3.77</v>
      </c>
      <c r="AK483">
        <v>0.9</v>
      </c>
      <c r="AL483">
        <v>0.15</v>
      </c>
      <c r="AM483">
        <v>29.1</v>
      </c>
      <c r="AN483">
        <v>1.35</v>
      </c>
      <c r="AO483">
        <v>0</v>
      </c>
      <c r="AP483">
        <v>0</v>
      </c>
      <c r="AQ483" t="s">
        <v>57</v>
      </c>
      <c r="AS483" t="s">
        <v>1385</v>
      </c>
      <c r="AT483" t="s">
        <v>1385</v>
      </c>
      <c r="AU483" t="s">
        <v>1384</v>
      </c>
      <c r="AV483" t="s">
        <v>1386</v>
      </c>
      <c r="AW483" t="s">
        <v>1387</v>
      </c>
      <c r="AZ483">
        <v>46000</v>
      </c>
      <c r="BA483" t="s">
        <v>1388</v>
      </c>
      <c r="BB483" t="s">
        <v>61</v>
      </c>
      <c r="BC483" t="s">
        <v>62</v>
      </c>
    </row>
    <row r="484" spans="1:55" x14ac:dyDescent="0.25">
      <c r="A484" s="1" t="str">
        <f>IF(COUNTIF(Catégories!A:A,X484)=0,"catégorie inconnue",_xlfn.XLOOKUP(X484,Catégories!A:A,Catégories!B:B))</f>
        <v>Frêt</v>
      </c>
      <c r="B484" s="1">
        <f t="shared" si="21"/>
        <v>6.17</v>
      </c>
      <c r="C484" s="1">
        <f t="shared" si="22"/>
        <v>1.35</v>
      </c>
      <c r="D484" s="1">
        <f t="shared" si="23"/>
        <v>4.82</v>
      </c>
      <c r="E484" s="20">
        <f>IF(AH484&lt;&gt;0,ROUNDUP(AH484,0),IF(BB484&lt;&gt;"FR","hors France",IF(AH484&lt;&gt;0,ROUNDUP(AH484,0),_xlfn.XLOOKUP(AJ484,'PA GLS'!B:B,'PA GLS'!A:A))))</f>
        <v>0.5</v>
      </c>
      <c r="F484">
        <v>2501382993</v>
      </c>
      <c r="G484">
        <v>1030240312</v>
      </c>
      <c r="H484" t="s">
        <v>366</v>
      </c>
      <c r="I484">
        <v>2500034092</v>
      </c>
      <c r="J484" t="s">
        <v>50</v>
      </c>
      <c r="K484">
        <v>9000009190</v>
      </c>
      <c r="L484">
        <v>46946</v>
      </c>
      <c r="M484" t="s">
        <v>51</v>
      </c>
      <c r="N484">
        <v>9000037814</v>
      </c>
      <c r="O484" t="s">
        <v>51</v>
      </c>
      <c r="S484">
        <v>2507012387</v>
      </c>
      <c r="T484" t="s">
        <v>50</v>
      </c>
      <c r="U484" t="s">
        <v>122</v>
      </c>
      <c r="V484" t="s">
        <v>71</v>
      </c>
      <c r="W484" t="s">
        <v>72</v>
      </c>
      <c r="X484" t="s">
        <v>60</v>
      </c>
      <c r="Z484">
        <v>214</v>
      </c>
      <c r="AA484" t="s">
        <v>1378</v>
      </c>
      <c r="AB484" t="s">
        <v>1389</v>
      </c>
      <c r="AC484">
        <v>2604000119</v>
      </c>
      <c r="AE484">
        <v>0</v>
      </c>
      <c r="AF484">
        <v>0</v>
      </c>
      <c r="AG484">
        <v>0</v>
      </c>
      <c r="AH484">
        <v>0</v>
      </c>
      <c r="AI484" t="s">
        <v>56</v>
      </c>
      <c r="AJ484">
        <v>3.77</v>
      </c>
      <c r="AK484">
        <v>0.9</v>
      </c>
      <c r="AL484">
        <v>0.15</v>
      </c>
      <c r="AM484">
        <v>29.1</v>
      </c>
      <c r="AN484">
        <v>1.35</v>
      </c>
      <c r="AO484">
        <v>0</v>
      </c>
      <c r="AP484">
        <v>0</v>
      </c>
      <c r="AQ484" t="s">
        <v>57</v>
      </c>
      <c r="AS484" t="s">
        <v>1390</v>
      </c>
      <c r="AT484" t="s">
        <v>1390</v>
      </c>
      <c r="AU484" t="s">
        <v>1389</v>
      </c>
      <c r="AV484" t="s">
        <v>1391</v>
      </c>
      <c r="AW484" t="s">
        <v>1392</v>
      </c>
      <c r="AZ484">
        <v>33000</v>
      </c>
      <c r="BA484" t="s">
        <v>228</v>
      </c>
      <c r="BB484" t="s">
        <v>61</v>
      </c>
      <c r="BC484" t="s">
        <v>62</v>
      </c>
    </row>
    <row r="485" spans="1:55" x14ac:dyDescent="0.25">
      <c r="A485" s="1" t="str">
        <f>IF(COUNTIF(Catégories!A:A,X485)=0,"catégorie inconnue",_xlfn.XLOOKUP(X485,Catégories!A:A,Catégories!B:B))</f>
        <v>Frêt</v>
      </c>
      <c r="B485" s="1">
        <f t="shared" si="21"/>
        <v>6.17</v>
      </c>
      <c r="C485" s="1">
        <f t="shared" si="22"/>
        <v>1.35</v>
      </c>
      <c r="D485" s="1">
        <f t="shared" si="23"/>
        <v>4.82</v>
      </c>
      <c r="E485" s="20">
        <f>IF(AH485&lt;&gt;0,ROUNDUP(AH485,0),IF(BB485&lt;&gt;"FR","hors France",IF(AH485&lt;&gt;0,ROUNDUP(AH485,0),_xlfn.XLOOKUP(AJ485,'PA GLS'!B:B,'PA GLS'!A:A))))</f>
        <v>0.5</v>
      </c>
      <c r="F485">
        <v>2501382993</v>
      </c>
      <c r="G485">
        <v>1030240312</v>
      </c>
      <c r="H485" t="s">
        <v>366</v>
      </c>
      <c r="I485">
        <v>2500034092</v>
      </c>
      <c r="J485" t="s">
        <v>50</v>
      </c>
      <c r="K485">
        <v>9000009190</v>
      </c>
      <c r="L485">
        <v>46946</v>
      </c>
      <c r="M485" t="s">
        <v>51</v>
      </c>
      <c r="N485">
        <v>9000037814</v>
      </c>
      <c r="O485" t="s">
        <v>51</v>
      </c>
      <c r="S485">
        <v>2507012387</v>
      </c>
      <c r="T485" t="s">
        <v>50</v>
      </c>
      <c r="U485" t="s">
        <v>122</v>
      </c>
      <c r="V485" t="s">
        <v>71</v>
      </c>
      <c r="W485" t="s">
        <v>72</v>
      </c>
      <c r="X485" t="s">
        <v>60</v>
      </c>
      <c r="Z485">
        <v>214</v>
      </c>
      <c r="AA485" t="s">
        <v>1378</v>
      </c>
      <c r="AB485" t="s">
        <v>1395</v>
      </c>
      <c r="AC485">
        <v>2604000121</v>
      </c>
      <c r="AE485">
        <v>0</v>
      </c>
      <c r="AF485">
        <v>0</v>
      </c>
      <c r="AG485">
        <v>0</v>
      </c>
      <c r="AH485">
        <v>0</v>
      </c>
      <c r="AI485" t="s">
        <v>56</v>
      </c>
      <c r="AJ485">
        <v>3.77</v>
      </c>
      <c r="AK485">
        <v>0.9</v>
      </c>
      <c r="AL485">
        <v>0.15</v>
      </c>
      <c r="AM485">
        <v>29.1</v>
      </c>
      <c r="AN485">
        <v>1.35</v>
      </c>
      <c r="AO485">
        <v>0</v>
      </c>
      <c r="AP485">
        <v>0</v>
      </c>
      <c r="AQ485" t="s">
        <v>57</v>
      </c>
      <c r="AS485" t="s">
        <v>1396</v>
      </c>
      <c r="AT485" t="s">
        <v>1396</v>
      </c>
      <c r="AU485" t="s">
        <v>1395</v>
      </c>
      <c r="AV485" t="s">
        <v>1397</v>
      </c>
      <c r="AW485" t="s">
        <v>1398</v>
      </c>
      <c r="AZ485">
        <v>94000</v>
      </c>
      <c r="BA485" t="s">
        <v>1294</v>
      </c>
      <c r="BB485" t="s">
        <v>61</v>
      </c>
      <c r="BC485" t="s">
        <v>62</v>
      </c>
    </row>
    <row r="486" spans="1:55" x14ac:dyDescent="0.25">
      <c r="A486" s="1" t="str">
        <f>IF(COUNTIF(Catégories!A:A,X486)=0,"catégorie inconnue",_xlfn.XLOOKUP(X486,Catégories!A:A,Catégories!B:B))</f>
        <v>Frêt</v>
      </c>
      <c r="B486" s="1">
        <f t="shared" si="21"/>
        <v>6.6000000000000005</v>
      </c>
      <c r="C486" s="1">
        <f t="shared" si="22"/>
        <v>1.45</v>
      </c>
      <c r="D486" s="1">
        <f t="shared" si="23"/>
        <v>5.15</v>
      </c>
      <c r="E486" s="20">
        <f>IF(AH486&lt;&gt;0,ROUNDUP(AH486,0),IF(BB486&lt;&gt;"FR","hors France",IF(AH486&lt;&gt;0,ROUNDUP(AH486,0),_xlfn.XLOOKUP(AJ486,'PA GLS'!B:B,'PA GLS'!A:A))))</f>
        <v>1</v>
      </c>
      <c r="F486">
        <v>2501382993</v>
      </c>
      <c r="G486">
        <v>1030240312</v>
      </c>
      <c r="H486" t="s">
        <v>366</v>
      </c>
      <c r="I486">
        <v>2500034092</v>
      </c>
      <c r="J486" t="s">
        <v>50</v>
      </c>
      <c r="K486">
        <v>9000009190</v>
      </c>
      <c r="L486">
        <v>46946</v>
      </c>
      <c r="M486" t="s">
        <v>51</v>
      </c>
      <c r="N486">
        <v>9000037814</v>
      </c>
      <c r="O486" t="s">
        <v>51</v>
      </c>
      <c r="S486">
        <v>2507012387</v>
      </c>
      <c r="T486" t="s">
        <v>50</v>
      </c>
      <c r="U486" t="s">
        <v>122</v>
      </c>
      <c r="V486" t="s">
        <v>69</v>
      </c>
      <c r="W486" t="s">
        <v>70</v>
      </c>
      <c r="X486" t="s">
        <v>60</v>
      </c>
      <c r="Z486">
        <v>215</v>
      </c>
      <c r="AA486" t="s">
        <v>1378</v>
      </c>
      <c r="AB486" t="s">
        <v>1399</v>
      </c>
      <c r="AC486">
        <v>2604000115</v>
      </c>
      <c r="AE486">
        <v>0</v>
      </c>
      <c r="AF486">
        <v>0</v>
      </c>
      <c r="AG486">
        <v>0</v>
      </c>
      <c r="AH486">
        <v>0</v>
      </c>
      <c r="AI486" t="s">
        <v>56</v>
      </c>
      <c r="AJ486">
        <v>4.0999999999999996</v>
      </c>
      <c r="AK486">
        <v>0.9</v>
      </c>
      <c r="AL486">
        <v>0.15</v>
      </c>
      <c r="AM486">
        <v>29.1</v>
      </c>
      <c r="AN486">
        <v>1.45</v>
      </c>
      <c r="AO486">
        <v>0</v>
      </c>
      <c r="AP486">
        <v>0</v>
      </c>
      <c r="AQ486" t="s">
        <v>57</v>
      </c>
      <c r="AS486" t="s">
        <v>1400</v>
      </c>
      <c r="AT486" t="s">
        <v>1400</v>
      </c>
      <c r="AU486" t="s">
        <v>1399</v>
      </c>
      <c r="AV486" t="s">
        <v>1401</v>
      </c>
      <c r="AW486" t="s">
        <v>1402</v>
      </c>
      <c r="AZ486">
        <v>78860</v>
      </c>
      <c r="BA486" t="s">
        <v>703</v>
      </c>
      <c r="BB486" t="s">
        <v>61</v>
      </c>
      <c r="BC486" t="s">
        <v>62</v>
      </c>
    </row>
    <row r="487" spans="1:55" x14ac:dyDescent="0.25">
      <c r="A487" s="1" t="str">
        <f>IF(COUNTIF(Catégories!A:A,X487)=0,"catégorie inconnue",_xlfn.XLOOKUP(X487,Catégories!A:A,Catégories!B:B))</f>
        <v>Frêt</v>
      </c>
      <c r="B487" s="1">
        <f t="shared" si="21"/>
        <v>6.6000000000000005</v>
      </c>
      <c r="C487" s="1">
        <f t="shared" si="22"/>
        <v>1.45</v>
      </c>
      <c r="D487" s="1">
        <f t="shared" si="23"/>
        <v>5.15</v>
      </c>
      <c r="E487" s="20">
        <f>IF(AH487&lt;&gt;0,ROUNDUP(AH487,0),IF(BB487&lt;&gt;"FR","hors France",IF(AH487&lt;&gt;0,ROUNDUP(AH487,0),_xlfn.XLOOKUP(AJ487,'PA GLS'!B:B,'PA GLS'!A:A))))</f>
        <v>1</v>
      </c>
      <c r="F487">
        <v>2501382993</v>
      </c>
      <c r="G487">
        <v>1030240312</v>
      </c>
      <c r="H487" t="s">
        <v>366</v>
      </c>
      <c r="I487">
        <v>2500034092</v>
      </c>
      <c r="J487" t="s">
        <v>50</v>
      </c>
      <c r="K487">
        <v>9000009190</v>
      </c>
      <c r="L487">
        <v>46946</v>
      </c>
      <c r="M487" t="s">
        <v>51</v>
      </c>
      <c r="N487">
        <v>9000037814</v>
      </c>
      <c r="O487" t="s">
        <v>51</v>
      </c>
      <c r="S487">
        <v>2507012387</v>
      </c>
      <c r="T487" t="s">
        <v>50</v>
      </c>
      <c r="U487" t="s">
        <v>122</v>
      </c>
      <c r="V487" t="s">
        <v>69</v>
      </c>
      <c r="W487" t="s">
        <v>70</v>
      </c>
      <c r="X487" t="s">
        <v>60</v>
      </c>
      <c r="Z487">
        <v>215</v>
      </c>
      <c r="AA487" t="s">
        <v>1378</v>
      </c>
      <c r="AB487" t="s">
        <v>1393</v>
      </c>
      <c r="AC487">
        <v>2604000120</v>
      </c>
      <c r="AE487">
        <v>0</v>
      </c>
      <c r="AF487">
        <v>0</v>
      </c>
      <c r="AG487">
        <v>0</v>
      </c>
      <c r="AH487">
        <v>0</v>
      </c>
      <c r="AI487" t="s">
        <v>56</v>
      </c>
      <c r="AJ487">
        <v>4.0999999999999996</v>
      </c>
      <c r="AK487">
        <v>0.9</v>
      </c>
      <c r="AL487">
        <v>0.15</v>
      </c>
      <c r="AM487">
        <v>29.1</v>
      </c>
      <c r="AN487">
        <v>1.45</v>
      </c>
      <c r="AO487">
        <v>0</v>
      </c>
      <c r="AP487">
        <v>0</v>
      </c>
      <c r="AQ487" t="s">
        <v>57</v>
      </c>
      <c r="AS487" t="s">
        <v>1394</v>
      </c>
      <c r="AT487" t="s">
        <v>1394</v>
      </c>
      <c r="AU487" t="s">
        <v>1393</v>
      </c>
      <c r="AV487" t="s">
        <v>341</v>
      </c>
      <c r="AW487" t="s">
        <v>342</v>
      </c>
      <c r="AZ487">
        <v>75012</v>
      </c>
      <c r="BA487" t="s">
        <v>65</v>
      </c>
      <c r="BB487" t="s">
        <v>61</v>
      </c>
      <c r="BC487" t="s">
        <v>62</v>
      </c>
    </row>
    <row r="488" spans="1:55" x14ac:dyDescent="0.25">
      <c r="A488" s="1" t="str">
        <f>IF(COUNTIF(Catégories!A:A,X488)=0,"catégorie inconnue",_xlfn.XLOOKUP(X488,Catégories!A:A,Catégories!B:B))</f>
        <v>Frêt</v>
      </c>
      <c r="B488" s="1">
        <f t="shared" si="21"/>
        <v>6.6000000000000005</v>
      </c>
      <c r="C488" s="1">
        <f t="shared" si="22"/>
        <v>1.45</v>
      </c>
      <c r="D488" s="1">
        <f t="shared" si="23"/>
        <v>5.15</v>
      </c>
      <c r="E488" s="20">
        <f>IF(AH488&lt;&gt;0,ROUNDUP(AH488,0),IF(BB488&lt;&gt;"FR","hors France",IF(AH488&lt;&gt;0,ROUNDUP(AH488,0),_xlfn.XLOOKUP(AJ488,'PA GLS'!B:B,'PA GLS'!A:A))))</f>
        <v>1</v>
      </c>
      <c r="F488">
        <v>2501382993</v>
      </c>
      <c r="G488">
        <v>1030240312</v>
      </c>
      <c r="H488" t="s">
        <v>366</v>
      </c>
      <c r="I488">
        <v>2500034092</v>
      </c>
      <c r="J488" t="s">
        <v>50</v>
      </c>
      <c r="K488">
        <v>9000009190</v>
      </c>
      <c r="L488">
        <v>46946</v>
      </c>
      <c r="M488" t="s">
        <v>51</v>
      </c>
      <c r="N488">
        <v>9000037814</v>
      </c>
      <c r="O488" t="s">
        <v>51</v>
      </c>
      <c r="S488">
        <v>2507012387</v>
      </c>
      <c r="T488" t="s">
        <v>50</v>
      </c>
      <c r="U488" t="s">
        <v>122</v>
      </c>
      <c r="V488" t="s">
        <v>69</v>
      </c>
      <c r="W488" t="s">
        <v>70</v>
      </c>
      <c r="X488" t="s">
        <v>60</v>
      </c>
      <c r="Z488">
        <v>215</v>
      </c>
      <c r="AA488" t="s">
        <v>1378</v>
      </c>
      <c r="AB488" t="s">
        <v>1403</v>
      </c>
      <c r="AC488">
        <v>2604000122</v>
      </c>
      <c r="AE488">
        <v>0</v>
      </c>
      <c r="AF488">
        <v>0</v>
      </c>
      <c r="AG488">
        <v>0</v>
      </c>
      <c r="AH488">
        <v>0</v>
      </c>
      <c r="AI488" t="s">
        <v>56</v>
      </c>
      <c r="AJ488">
        <v>4.0999999999999996</v>
      </c>
      <c r="AK488">
        <v>0.9</v>
      </c>
      <c r="AL488">
        <v>0.15</v>
      </c>
      <c r="AM488">
        <v>29.1</v>
      </c>
      <c r="AN488">
        <v>1.45</v>
      </c>
      <c r="AO488">
        <v>0</v>
      </c>
      <c r="AP488">
        <v>0</v>
      </c>
      <c r="AQ488" t="s">
        <v>57</v>
      </c>
      <c r="AS488" t="s">
        <v>1404</v>
      </c>
      <c r="AT488" t="s">
        <v>1404</v>
      </c>
      <c r="AU488" t="s">
        <v>1403</v>
      </c>
      <c r="AV488" t="s">
        <v>1405</v>
      </c>
      <c r="AW488" t="s">
        <v>1406</v>
      </c>
      <c r="AZ488">
        <v>75013</v>
      </c>
      <c r="BA488" t="s">
        <v>65</v>
      </c>
      <c r="BB488" t="s">
        <v>61</v>
      </c>
      <c r="BC488" t="s">
        <v>62</v>
      </c>
    </row>
    <row r="489" spans="1:55" x14ac:dyDescent="0.25">
      <c r="A489" s="1" t="str">
        <f>IF(COUNTIF(Catégories!A:A,X489)=0,"catégorie inconnue",_xlfn.XLOOKUP(X489,Catégories!A:A,Catégories!B:B))</f>
        <v>Frêt</v>
      </c>
      <c r="B489" s="1">
        <f t="shared" si="21"/>
        <v>0</v>
      </c>
      <c r="C489" s="1">
        <f t="shared" si="22"/>
        <v>0</v>
      </c>
      <c r="D489" s="1">
        <f t="shared" si="23"/>
        <v>0</v>
      </c>
      <c r="E489" s="20">
        <f>IF(AH489&lt;&gt;0,ROUNDUP(AH489,0),IF(BB489&lt;&gt;"FR","hors France",IF(AH489&lt;&gt;0,ROUNDUP(AH489,0),_xlfn.XLOOKUP(AJ489,'PA GLS'!B:B,'PA GLS'!A:A))))</f>
        <v>1</v>
      </c>
      <c r="F489">
        <v>2501382993</v>
      </c>
      <c r="G489">
        <v>1030240312</v>
      </c>
      <c r="H489" t="s">
        <v>366</v>
      </c>
      <c r="I489">
        <v>2500034092</v>
      </c>
      <c r="J489" t="s">
        <v>50</v>
      </c>
      <c r="K489">
        <v>9000009190</v>
      </c>
      <c r="L489">
        <v>46946</v>
      </c>
      <c r="M489" t="s">
        <v>51</v>
      </c>
      <c r="N489">
        <v>9000037814</v>
      </c>
      <c r="O489" t="s">
        <v>51</v>
      </c>
      <c r="S489">
        <v>2507012387</v>
      </c>
      <c r="T489" t="s">
        <v>50</v>
      </c>
      <c r="U489" t="s">
        <v>122</v>
      </c>
      <c r="V489" t="s">
        <v>176</v>
      </c>
      <c r="W489" t="s">
        <v>177</v>
      </c>
      <c r="X489" t="s">
        <v>152</v>
      </c>
      <c r="Z489">
        <v>213</v>
      </c>
      <c r="AA489" t="s">
        <v>1378</v>
      </c>
      <c r="AB489" t="s">
        <v>1395</v>
      </c>
      <c r="AC489">
        <v>2604000121</v>
      </c>
      <c r="AE489">
        <v>0</v>
      </c>
      <c r="AF489">
        <v>1</v>
      </c>
      <c r="AG489">
        <v>0</v>
      </c>
      <c r="AH489">
        <v>0.34</v>
      </c>
      <c r="AI489" t="s">
        <v>56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 t="s">
        <v>57</v>
      </c>
      <c r="AS489" t="s">
        <v>1396</v>
      </c>
      <c r="AT489" t="s">
        <v>1396</v>
      </c>
      <c r="AU489" t="s">
        <v>1395</v>
      </c>
      <c r="AV489" t="s">
        <v>1397</v>
      </c>
      <c r="AW489" t="s">
        <v>1398</v>
      </c>
      <c r="AZ489">
        <v>94000</v>
      </c>
      <c r="BA489" t="s">
        <v>1294</v>
      </c>
      <c r="BB489" t="s">
        <v>61</v>
      </c>
      <c r="BC489" t="s">
        <v>62</v>
      </c>
    </row>
    <row r="490" spans="1:55" x14ac:dyDescent="0.25">
      <c r="A490" s="1" t="str">
        <f>IF(COUNTIF(Catégories!A:A,X490)=0,"catégorie inconnue",_xlfn.XLOOKUP(X490,Catégories!A:A,Catégories!B:B))</f>
        <v>Frêt</v>
      </c>
      <c r="B490" s="1">
        <f t="shared" si="21"/>
        <v>0</v>
      </c>
      <c r="C490" s="1">
        <f t="shared" si="22"/>
        <v>0</v>
      </c>
      <c r="D490" s="1">
        <f t="shared" si="23"/>
        <v>0</v>
      </c>
      <c r="E490" s="20">
        <f>IF(AH490&lt;&gt;0,ROUNDUP(AH490,0),IF(BB490&lt;&gt;"FR","hors France",IF(AH490&lt;&gt;0,ROUNDUP(AH490,0),_xlfn.XLOOKUP(AJ490,'PA GLS'!B:B,'PA GLS'!A:A))))</f>
        <v>1</v>
      </c>
      <c r="F490">
        <v>2501382993</v>
      </c>
      <c r="G490">
        <v>1030240312</v>
      </c>
      <c r="H490" t="s">
        <v>366</v>
      </c>
      <c r="I490">
        <v>2500034092</v>
      </c>
      <c r="J490" t="s">
        <v>50</v>
      </c>
      <c r="K490">
        <v>9000009190</v>
      </c>
      <c r="L490">
        <v>46946</v>
      </c>
      <c r="M490" t="s">
        <v>51</v>
      </c>
      <c r="N490">
        <v>9000037814</v>
      </c>
      <c r="O490" t="s">
        <v>51</v>
      </c>
      <c r="S490">
        <v>2507012387</v>
      </c>
      <c r="T490" t="s">
        <v>50</v>
      </c>
      <c r="U490" t="s">
        <v>122</v>
      </c>
      <c r="V490" t="s">
        <v>176</v>
      </c>
      <c r="W490" t="s">
        <v>177</v>
      </c>
      <c r="X490" t="s">
        <v>152</v>
      </c>
      <c r="Z490">
        <v>213</v>
      </c>
      <c r="AA490" t="s">
        <v>1378</v>
      </c>
      <c r="AB490" t="s">
        <v>1403</v>
      </c>
      <c r="AC490">
        <v>2604000122</v>
      </c>
      <c r="AE490">
        <v>0</v>
      </c>
      <c r="AF490">
        <v>1</v>
      </c>
      <c r="AG490">
        <v>0</v>
      </c>
      <c r="AH490">
        <v>0.56000000000000005</v>
      </c>
      <c r="AI490" t="s">
        <v>56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 t="s">
        <v>57</v>
      </c>
      <c r="AS490" t="s">
        <v>1404</v>
      </c>
      <c r="AT490" t="s">
        <v>1404</v>
      </c>
      <c r="AU490" t="s">
        <v>1403</v>
      </c>
      <c r="AV490" t="s">
        <v>1405</v>
      </c>
      <c r="AW490" t="s">
        <v>1406</v>
      </c>
      <c r="AZ490">
        <v>75013</v>
      </c>
      <c r="BA490" t="s">
        <v>65</v>
      </c>
      <c r="BB490" t="s">
        <v>61</v>
      </c>
      <c r="BC490" t="s">
        <v>62</v>
      </c>
    </row>
    <row r="491" spans="1:55" x14ac:dyDescent="0.25">
      <c r="A491" s="1" t="str">
        <f>IF(COUNTIF(Catégories!A:A,X491)=0,"catégorie inconnue",_xlfn.XLOOKUP(X491,Catégories!A:A,Catégories!B:B))</f>
        <v>Frêt</v>
      </c>
      <c r="B491" s="1">
        <f t="shared" si="21"/>
        <v>6.17</v>
      </c>
      <c r="C491" s="1">
        <f t="shared" si="22"/>
        <v>1.35</v>
      </c>
      <c r="D491" s="1">
        <f t="shared" si="23"/>
        <v>4.82</v>
      </c>
      <c r="E491" s="20">
        <f>IF(AH491&lt;&gt;0,ROUNDUP(AH491,0),IF(BB491&lt;&gt;"FR","hors France",IF(AH491&lt;&gt;0,ROUNDUP(AH491,0),_xlfn.XLOOKUP(AJ491,'PA GLS'!B:B,'PA GLS'!A:A))))</f>
        <v>0.5</v>
      </c>
      <c r="F491">
        <v>2501382993</v>
      </c>
      <c r="G491">
        <v>1030240312</v>
      </c>
      <c r="H491" t="s">
        <v>366</v>
      </c>
      <c r="I491">
        <v>2500034092</v>
      </c>
      <c r="J491" t="s">
        <v>50</v>
      </c>
      <c r="K491">
        <v>9000009190</v>
      </c>
      <c r="L491">
        <v>46946</v>
      </c>
      <c r="M491" t="s">
        <v>51</v>
      </c>
      <c r="N491">
        <v>9000037814</v>
      </c>
      <c r="O491" t="s">
        <v>51</v>
      </c>
      <c r="S491">
        <v>2507012387</v>
      </c>
      <c r="T491" t="s">
        <v>50</v>
      </c>
      <c r="U491" t="s">
        <v>122</v>
      </c>
      <c r="V491" t="s">
        <v>71</v>
      </c>
      <c r="W491" t="s">
        <v>72</v>
      </c>
      <c r="X491" t="s">
        <v>60</v>
      </c>
      <c r="Z491">
        <v>214</v>
      </c>
      <c r="AA491" t="s">
        <v>1378</v>
      </c>
      <c r="AB491" t="s">
        <v>1407</v>
      </c>
      <c r="AC491">
        <v>2604000114</v>
      </c>
      <c r="AE491">
        <v>0</v>
      </c>
      <c r="AF491">
        <v>0</v>
      </c>
      <c r="AG491">
        <v>0</v>
      </c>
      <c r="AH491">
        <v>0</v>
      </c>
      <c r="AI491" t="s">
        <v>56</v>
      </c>
      <c r="AJ491">
        <v>3.77</v>
      </c>
      <c r="AK491">
        <v>0.9</v>
      </c>
      <c r="AL491">
        <v>0.15</v>
      </c>
      <c r="AM491">
        <v>29.1</v>
      </c>
      <c r="AN491">
        <v>1.35</v>
      </c>
      <c r="AO491">
        <v>0</v>
      </c>
      <c r="AP491">
        <v>0</v>
      </c>
      <c r="AQ491" t="s">
        <v>57</v>
      </c>
      <c r="AS491" t="s">
        <v>1408</v>
      </c>
      <c r="AT491" t="s">
        <v>1408</v>
      </c>
      <c r="AU491" t="s">
        <v>1407</v>
      </c>
      <c r="AV491" t="s">
        <v>1409</v>
      </c>
      <c r="AW491" t="s">
        <v>1410</v>
      </c>
      <c r="AZ491">
        <v>92200</v>
      </c>
      <c r="BA491" t="s">
        <v>298</v>
      </c>
      <c r="BB491" t="s">
        <v>61</v>
      </c>
      <c r="BC491" t="s">
        <v>62</v>
      </c>
    </row>
    <row r="492" spans="1:55" x14ac:dyDescent="0.25">
      <c r="A492" s="1" t="str">
        <f>IF(COUNTIF(Catégories!A:A,X492)=0,"catégorie inconnue",_xlfn.XLOOKUP(X492,Catégories!A:A,Catégories!B:B))</f>
        <v>Frêt</v>
      </c>
      <c r="B492" s="1">
        <f t="shared" si="21"/>
        <v>6.17</v>
      </c>
      <c r="C492" s="1">
        <f t="shared" si="22"/>
        <v>1.35</v>
      </c>
      <c r="D492" s="1">
        <f t="shared" si="23"/>
        <v>4.82</v>
      </c>
      <c r="E492" s="20">
        <f>IF(AH492&lt;&gt;0,ROUNDUP(AH492,0),IF(BB492&lt;&gt;"FR","hors France",IF(AH492&lt;&gt;0,ROUNDUP(AH492,0),_xlfn.XLOOKUP(AJ492,'PA GLS'!B:B,'PA GLS'!A:A))))</f>
        <v>0.5</v>
      </c>
      <c r="F492">
        <v>2501382993</v>
      </c>
      <c r="G492">
        <v>1030240312</v>
      </c>
      <c r="H492" t="s">
        <v>366</v>
      </c>
      <c r="I492">
        <v>2500034092</v>
      </c>
      <c r="J492" t="s">
        <v>50</v>
      </c>
      <c r="K492">
        <v>9000009190</v>
      </c>
      <c r="L492">
        <v>46946</v>
      </c>
      <c r="M492" t="s">
        <v>51</v>
      </c>
      <c r="N492">
        <v>9000037814</v>
      </c>
      <c r="O492" t="s">
        <v>51</v>
      </c>
      <c r="S492">
        <v>2507012387</v>
      </c>
      <c r="T492" t="s">
        <v>50</v>
      </c>
      <c r="U492" t="s">
        <v>122</v>
      </c>
      <c r="V492" t="s">
        <v>71</v>
      </c>
      <c r="W492" t="s">
        <v>72</v>
      </c>
      <c r="X492" t="s">
        <v>60</v>
      </c>
      <c r="Z492">
        <v>214</v>
      </c>
      <c r="AA492" t="s">
        <v>1378</v>
      </c>
      <c r="AB492" t="s">
        <v>1411</v>
      </c>
      <c r="AC492">
        <v>2604000116</v>
      </c>
      <c r="AE492">
        <v>0</v>
      </c>
      <c r="AF492">
        <v>0</v>
      </c>
      <c r="AG492">
        <v>0</v>
      </c>
      <c r="AH492">
        <v>0</v>
      </c>
      <c r="AI492" t="s">
        <v>56</v>
      </c>
      <c r="AJ492">
        <v>3.77</v>
      </c>
      <c r="AK492">
        <v>0.9</v>
      </c>
      <c r="AL492">
        <v>0.15</v>
      </c>
      <c r="AM492">
        <v>29.1</v>
      </c>
      <c r="AN492">
        <v>1.35</v>
      </c>
      <c r="AO492">
        <v>0</v>
      </c>
      <c r="AP492">
        <v>0</v>
      </c>
      <c r="AQ492" t="s">
        <v>57</v>
      </c>
      <c r="AS492" t="s">
        <v>1412</v>
      </c>
      <c r="AT492" t="s">
        <v>1412</v>
      </c>
      <c r="AU492" t="s">
        <v>1411</v>
      </c>
      <c r="AV492" t="s">
        <v>1413</v>
      </c>
      <c r="AW492" t="s">
        <v>1414</v>
      </c>
      <c r="AZ492">
        <v>75013</v>
      </c>
      <c r="BA492" t="s">
        <v>65</v>
      </c>
      <c r="BB492" t="s">
        <v>61</v>
      </c>
      <c r="BC492" t="s">
        <v>62</v>
      </c>
    </row>
    <row r="493" spans="1:55" x14ac:dyDescent="0.25">
      <c r="A493" s="1" t="str">
        <f>IF(COUNTIF(Catégories!A:A,X493)=0,"catégorie inconnue",_xlfn.XLOOKUP(X493,Catégories!A:A,Catégories!B:B))</f>
        <v>Frêt</v>
      </c>
      <c r="B493" s="1">
        <f t="shared" si="21"/>
        <v>0</v>
      </c>
      <c r="C493" s="1">
        <f t="shared" si="22"/>
        <v>0</v>
      </c>
      <c r="D493" s="1">
        <f t="shared" si="23"/>
        <v>0</v>
      </c>
      <c r="E493" s="20">
        <f>IF(AH493&lt;&gt;0,ROUNDUP(AH493,0),IF(BB493&lt;&gt;"FR","hors France",IF(AH493&lt;&gt;0,ROUNDUP(AH493,0),_xlfn.XLOOKUP(AJ493,'PA GLS'!B:B,'PA GLS'!A:A))))</f>
        <v>1</v>
      </c>
      <c r="F493">
        <v>2501382993</v>
      </c>
      <c r="G493">
        <v>1030240312</v>
      </c>
      <c r="H493" t="s">
        <v>366</v>
      </c>
      <c r="I493">
        <v>2500034092</v>
      </c>
      <c r="J493" t="s">
        <v>50</v>
      </c>
      <c r="K493">
        <v>9000009190</v>
      </c>
      <c r="L493">
        <v>46946</v>
      </c>
      <c r="M493" t="s">
        <v>51</v>
      </c>
      <c r="N493">
        <v>9000037814</v>
      </c>
      <c r="O493" t="s">
        <v>51</v>
      </c>
      <c r="S493">
        <v>2507012387</v>
      </c>
      <c r="T493" t="s">
        <v>50</v>
      </c>
      <c r="U493" t="s">
        <v>122</v>
      </c>
      <c r="V493" t="s">
        <v>176</v>
      </c>
      <c r="W493" t="s">
        <v>177</v>
      </c>
      <c r="X493" t="s">
        <v>152</v>
      </c>
      <c r="Z493">
        <v>213</v>
      </c>
      <c r="AA493" t="s">
        <v>1378</v>
      </c>
      <c r="AB493" t="s">
        <v>1379</v>
      </c>
      <c r="AC493">
        <v>2604000117</v>
      </c>
      <c r="AE493">
        <v>0</v>
      </c>
      <c r="AF493">
        <v>1</v>
      </c>
      <c r="AG493">
        <v>0</v>
      </c>
      <c r="AH493">
        <v>0.48</v>
      </c>
      <c r="AI493" t="s">
        <v>56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 t="s">
        <v>57</v>
      </c>
      <c r="AS493" t="s">
        <v>1380</v>
      </c>
      <c r="AT493" t="s">
        <v>1380</v>
      </c>
      <c r="AU493" t="s">
        <v>1379</v>
      </c>
      <c r="AV493" t="s">
        <v>1381</v>
      </c>
      <c r="AW493" t="s">
        <v>1382</v>
      </c>
      <c r="AZ493">
        <v>95300</v>
      </c>
      <c r="BA493" t="s">
        <v>1383</v>
      </c>
      <c r="BB493" t="s">
        <v>61</v>
      </c>
      <c r="BC493" t="s">
        <v>62</v>
      </c>
    </row>
    <row r="494" spans="1:55" x14ac:dyDescent="0.25">
      <c r="A494" s="1" t="str">
        <f>IF(COUNTIF(Catégories!A:A,X494)=0,"catégorie inconnue",_xlfn.XLOOKUP(X494,Catégories!A:A,Catégories!B:B))</f>
        <v>Frêt</v>
      </c>
      <c r="B494" s="1">
        <f t="shared" si="21"/>
        <v>0</v>
      </c>
      <c r="C494" s="1">
        <f t="shared" si="22"/>
        <v>0</v>
      </c>
      <c r="D494" s="1">
        <f t="shared" si="23"/>
        <v>0</v>
      </c>
      <c r="E494" s="20">
        <f>IF(AH494&lt;&gt;0,ROUNDUP(AH494,0),IF(BB494&lt;&gt;"FR","hors France",IF(AH494&lt;&gt;0,ROUNDUP(AH494,0),_xlfn.XLOOKUP(AJ494,'PA GLS'!B:B,'PA GLS'!A:A))))</f>
        <v>1</v>
      </c>
      <c r="F494">
        <v>2501382993</v>
      </c>
      <c r="G494">
        <v>1030240312</v>
      </c>
      <c r="H494" t="s">
        <v>366</v>
      </c>
      <c r="I494">
        <v>2500034092</v>
      </c>
      <c r="J494" t="s">
        <v>50</v>
      </c>
      <c r="K494">
        <v>9000009190</v>
      </c>
      <c r="L494">
        <v>46946</v>
      </c>
      <c r="M494" t="s">
        <v>51</v>
      </c>
      <c r="N494">
        <v>9000037814</v>
      </c>
      <c r="O494" t="s">
        <v>51</v>
      </c>
      <c r="S494">
        <v>2507012387</v>
      </c>
      <c r="T494" t="s">
        <v>50</v>
      </c>
      <c r="U494" t="s">
        <v>122</v>
      </c>
      <c r="V494" t="s">
        <v>176</v>
      </c>
      <c r="W494" t="s">
        <v>177</v>
      </c>
      <c r="X494" t="s">
        <v>152</v>
      </c>
      <c r="Z494">
        <v>213</v>
      </c>
      <c r="AA494" t="s">
        <v>1378</v>
      </c>
      <c r="AB494" t="s">
        <v>1411</v>
      </c>
      <c r="AC494">
        <v>2604000116</v>
      </c>
      <c r="AE494">
        <v>0</v>
      </c>
      <c r="AF494">
        <v>1</v>
      </c>
      <c r="AG494">
        <v>0</v>
      </c>
      <c r="AH494">
        <v>0.34</v>
      </c>
      <c r="AI494" t="s">
        <v>56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 t="s">
        <v>57</v>
      </c>
      <c r="AS494" t="s">
        <v>1412</v>
      </c>
      <c r="AT494" t="s">
        <v>1412</v>
      </c>
      <c r="AU494" t="s">
        <v>1411</v>
      </c>
      <c r="AV494" t="s">
        <v>1413</v>
      </c>
      <c r="AW494" t="s">
        <v>1414</v>
      </c>
      <c r="AZ494">
        <v>75013</v>
      </c>
      <c r="BA494" t="s">
        <v>65</v>
      </c>
      <c r="BB494" t="s">
        <v>61</v>
      </c>
      <c r="BC494" t="s">
        <v>62</v>
      </c>
    </row>
    <row r="495" spans="1:55" x14ac:dyDescent="0.25">
      <c r="A495" s="1" t="str">
        <f>IF(COUNTIF(Catégories!A:A,X495)=0,"catégorie inconnue",_xlfn.XLOOKUP(X495,Catégories!A:A,Catégories!B:B))</f>
        <v>Frêt</v>
      </c>
      <c r="B495" s="1">
        <f t="shared" si="21"/>
        <v>0</v>
      </c>
      <c r="C495" s="1">
        <f t="shared" si="22"/>
        <v>0</v>
      </c>
      <c r="D495" s="1">
        <f t="shared" si="23"/>
        <v>0</v>
      </c>
      <c r="E495" s="20">
        <f>IF(AH495&lt;&gt;0,ROUNDUP(AH495,0),IF(BB495&lt;&gt;"FR","hors France",IF(AH495&lt;&gt;0,ROUNDUP(AH495,0),_xlfn.XLOOKUP(AJ495,'PA GLS'!B:B,'PA GLS'!A:A))))</f>
        <v>1</v>
      </c>
      <c r="F495">
        <v>2501382993</v>
      </c>
      <c r="G495">
        <v>1030240312</v>
      </c>
      <c r="H495" t="s">
        <v>366</v>
      </c>
      <c r="I495">
        <v>2500034092</v>
      </c>
      <c r="J495" t="s">
        <v>50</v>
      </c>
      <c r="K495">
        <v>9000009190</v>
      </c>
      <c r="L495">
        <v>46946</v>
      </c>
      <c r="M495" t="s">
        <v>51</v>
      </c>
      <c r="N495">
        <v>9000037814</v>
      </c>
      <c r="O495" t="s">
        <v>51</v>
      </c>
      <c r="S495">
        <v>2507012387</v>
      </c>
      <c r="T495" t="s">
        <v>50</v>
      </c>
      <c r="U495" t="s">
        <v>122</v>
      </c>
      <c r="V495" t="s">
        <v>176</v>
      </c>
      <c r="W495" t="s">
        <v>177</v>
      </c>
      <c r="X495" t="s">
        <v>152</v>
      </c>
      <c r="Z495">
        <v>213</v>
      </c>
      <c r="AA495" t="s">
        <v>1378</v>
      </c>
      <c r="AB495" t="s">
        <v>1399</v>
      </c>
      <c r="AC495">
        <v>2604000115</v>
      </c>
      <c r="AE495">
        <v>0</v>
      </c>
      <c r="AF495">
        <v>1</v>
      </c>
      <c r="AG495">
        <v>0</v>
      </c>
      <c r="AH495">
        <v>0.56000000000000005</v>
      </c>
      <c r="AI495" t="s">
        <v>56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 t="s">
        <v>57</v>
      </c>
      <c r="AS495" t="s">
        <v>1400</v>
      </c>
      <c r="AT495" t="s">
        <v>1400</v>
      </c>
      <c r="AU495" t="s">
        <v>1399</v>
      </c>
      <c r="AV495" t="s">
        <v>1401</v>
      </c>
      <c r="AW495" t="s">
        <v>1402</v>
      </c>
      <c r="AZ495">
        <v>78860</v>
      </c>
      <c r="BA495" t="s">
        <v>703</v>
      </c>
      <c r="BB495" t="s">
        <v>61</v>
      </c>
      <c r="BC495" t="s">
        <v>62</v>
      </c>
    </row>
    <row r="496" spans="1:55" x14ac:dyDescent="0.25">
      <c r="A496" s="1" t="str">
        <f>IF(COUNTIF(Catégories!A:A,X496)=0,"catégorie inconnue",_xlfn.XLOOKUP(X496,Catégories!A:A,Catégories!B:B))</f>
        <v>Frêt</v>
      </c>
      <c r="B496" s="1">
        <f t="shared" si="21"/>
        <v>0</v>
      </c>
      <c r="C496" s="1">
        <f t="shared" si="22"/>
        <v>0</v>
      </c>
      <c r="D496" s="1">
        <f t="shared" si="23"/>
        <v>0</v>
      </c>
      <c r="E496" s="20">
        <f>IF(AH496&lt;&gt;0,ROUNDUP(AH496,0),IF(BB496&lt;&gt;"FR","hors France",IF(AH496&lt;&gt;0,ROUNDUP(AH496,0),_xlfn.XLOOKUP(AJ496,'PA GLS'!B:B,'PA GLS'!A:A))))</f>
        <v>1</v>
      </c>
      <c r="F496">
        <v>2501382993</v>
      </c>
      <c r="G496">
        <v>1030240312</v>
      </c>
      <c r="H496" t="s">
        <v>366</v>
      </c>
      <c r="I496">
        <v>2500034092</v>
      </c>
      <c r="J496" t="s">
        <v>50</v>
      </c>
      <c r="K496">
        <v>9000009190</v>
      </c>
      <c r="L496">
        <v>46946</v>
      </c>
      <c r="M496" t="s">
        <v>51</v>
      </c>
      <c r="N496">
        <v>9000037814</v>
      </c>
      <c r="O496" t="s">
        <v>51</v>
      </c>
      <c r="S496">
        <v>2507012387</v>
      </c>
      <c r="T496" t="s">
        <v>50</v>
      </c>
      <c r="U496" t="s">
        <v>122</v>
      </c>
      <c r="V496" t="s">
        <v>176</v>
      </c>
      <c r="W496" t="s">
        <v>177</v>
      </c>
      <c r="X496" t="s">
        <v>152</v>
      </c>
      <c r="Z496">
        <v>213</v>
      </c>
      <c r="AA496" t="s">
        <v>1378</v>
      </c>
      <c r="AB496" t="s">
        <v>1407</v>
      </c>
      <c r="AC496">
        <v>2604000114</v>
      </c>
      <c r="AE496">
        <v>0</v>
      </c>
      <c r="AF496">
        <v>1</v>
      </c>
      <c r="AG496">
        <v>0</v>
      </c>
      <c r="AH496">
        <v>0.26</v>
      </c>
      <c r="AI496" t="s">
        <v>56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 t="s">
        <v>57</v>
      </c>
      <c r="AS496" t="s">
        <v>1408</v>
      </c>
      <c r="AT496" t="s">
        <v>1408</v>
      </c>
      <c r="AU496" t="s">
        <v>1407</v>
      </c>
      <c r="AV496" t="s">
        <v>1409</v>
      </c>
      <c r="AW496" t="s">
        <v>1410</v>
      </c>
      <c r="AZ496">
        <v>92200</v>
      </c>
      <c r="BA496" t="s">
        <v>298</v>
      </c>
      <c r="BB496" t="s">
        <v>61</v>
      </c>
      <c r="BC496" t="s">
        <v>62</v>
      </c>
    </row>
    <row r="497" spans="1:55" x14ac:dyDescent="0.25">
      <c r="A497" s="1" t="str">
        <f>IF(COUNTIF(Catégories!A:A,X497)=0,"catégorie inconnue",_xlfn.XLOOKUP(X497,Catégories!A:A,Catégories!B:B))</f>
        <v>Frêt</v>
      </c>
      <c r="B497" s="1">
        <f t="shared" si="21"/>
        <v>6.17</v>
      </c>
      <c r="C497" s="1">
        <f t="shared" si="22"/>
        <v>1.35</v>
      </c>
      <c r="D497" s="1">
        <f t="shared" si="23"/>
        <v>4.82</v>
      </c>
      <c r="E497" s="20">
        <f>IF(AH497&lt;&gt;0,ROUNDUP(AH497,0),IF(BB497&lt;&gt;"FR","hors France",IF(AH497&lt;&gt;0,ROUNDUP(AH497,0),_xlfn.XLOOKUP(AJ497,'PA GLS'!B:B,'PA GLS'!A:A))))</f>
        <v>0.5</v>
      </c>
      <c r="F497">
        <v>2501382993</v>
      </c>
      <c r="G497">
        <v>1030234833</v>
      </c>
      <c r="H497" t="s">
        <v>366</v>
      </c>
      <c r="I497">
        <v>2500034092</v>
      </c>
      <c r="J497" t="s">
        <v>50</v>
      </c>
      <c r="K497">
        <v>9000009190</v>
      </c>
      <c r="L497">
        <v>46946</v>
      </c>
      <c r="M497" t="s">
        <v>51</v>
      </c>
      <c r="N497">
        <v>9000079829</v>
      </c>
      <c r="O497" t="s">
        <v>156</v>
      </c>
      <c r="S497">
        <v>2507012387</v>
      </c>
      <c r="T497" t="s">
        <v>50</v>
      </c>
      <c r="U497" t="s">
        <v>122</v>
      </c>
      <c r="V497" t="s">
        <v>73</v>
      </c>
      <c r="W497" t="s">
        <v>74</v>
      </c>
      <c r="X497" t="s">
        <v>60</v>
      </c>
      <c r="Z497">
        <v>212</v>
      </c>
      <c r="AA497" t="s">
        <v>1378</v>
      </c>
      <c r="AB497" t="s">
        <v>1415</v>
      </c>
      <c r="AC497">
        <v>6981914</v>
      </c>
      <c r="AE497">
        <v>0</v>
      </c>
      <c r="AF497">
        <v>0</v>
      </c>
      <c r="AG497">
        <v>0</v>
      </c>
      <c r="AH497">
        <v>0</v>
      </c>
      <c r="AI497" t="s">
        <v>56</v>
      </c>
      <c r="AJ497">
        <v>3.77</v>
      </c>
      <c r="AK497">
        <v>0.9</v>
      </c>
      <c r="AL497">
        <v>0.15</v>
      </c>
      <c r="AM497">
        <v>29.1</v>
      </c>
      <c r="AN497">
        <v>1.35</v>
      </c>
      <c r="AO497">
        <v>0</v>
      </c>
      <c r="AP497">
        <v>0</v>
      </c>
      <c r="AQ497" t="s">
        <v>57</v>
      </c>
      <c r="AS497" t="s">
        <v>1416</v>
      </c>
      <c r="AU497" t="s">
        <v>1415</v>
      </c>
      <c r="AV497" t="s">
        <v>1417</v>
      </c>
      <c r="AW497" t="s">
        <v>1418</v>
      </c>
      <c r="AZ497">
        <v>2720</v>
      </c>
      <c r="BA497" t="s">
        <v>1419</v>
      </c>
      <c r="BB497" t="s">
        <v>61</v>
      </c>
      <c r="BC497" t="s">
        <v>62</v>
      </c>
    </row>
    <row r="498" spans="1:55" x14ac:dyDescent="0.25">
      <c r="A498" s="1" t="str">
        <f>IF(COUNTIF(Catégories!A:A,X498)=0,"catégorie inconnue",_xlfn.XLOOKUP(X498,Catégories!A:A,Catégories!B:B))</f>
        <v>Frêt</v>
      </c>
      <c r="B498" s="1">
        <f t="shared" si="21"/>
        <v>0</v>
      </c>
      <c r="C498" s="1">
        <f t="shared" si="22"/>
        <v>0</v>
      </c>
      <c r="D498" s="1">
        <f t="shared" si="23"/>
        <v>0</v>
      </c>
      <c r="E498" s="20">
        <f>IF(AH498&lt;&gt;0,ROUNDUP(AH498,0),IF(BB498&lt;&gt;"FR","hors France",IF(AH498&lt;&gt;0,ROUNDUP(AH498,0),_xlfn.XLOOKUP(AJ498,'PA GLS'!B:B,'PA GLS'!A:A))))</f>
        <v>1</v>
      </c>
      <c r="F498">
        <v>2501382993</v>
      </c>
      <c r="G498">
        <v>1030234833</v>
      </c>
      <c r="H498" t="s">
        <v>366</v>
      </c>
      <c r="I498">
        <v>2500034092</v>
      </c>
      <c r="J498" t="s">
        <v>50</v>
      </c>
      <c r="K498">
        <v>9000009190</v>
      </c>
      <c r="L498">
        <v>46946</v>
      </c>
      <c r="M498" t="s">
        <v>51</v>
      </c>
      <c r="N498">
        <v>9000079829</v>
      </c>
      <c r="O498" t="s">
        <v>156</v>
      </c>
      <c r="S498">
        <v>2507012387</v>
      </c>
      <c r="T498" t="s">
        <v>50</v>
      </c>
      <c r="U498" t="s">
        <v>122</v>
      </c>
      <c r="V498" t="s">
        <v>176</v>
      </c>
      <c r="W498" t="s">
        <v>177</v>
      </c>
      <c r="X498" t="s">
        <v>152</v>
      </c>
      <c r="Z498">
        <v>211</v>
      </c>
      <c r="AA498" t="s">
        <v>1378</v>
      </c>
      <c r="AB498" t="s">
        <v>1415</v>
      </c>
      <c r="AC498">
        <v>6981914</v>
      </c>
      <c r="AE498">
        <v>0</v>
      </c>
      <c r="AF498">
        <v>1</v>
      </c>
      <c r="AG498">
        <v>0</v>
      </c>
      <c r="AH498">
        <v>0.14000000000000001</v>
      </c>
      <c r="AI498" t="s">
        <v>56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 t="s">
        <v>57</v>
      </c>
      <c r="AS498" t="s">
        <v>1416</v>
      </c>
      <c r="AU498" t="s">
        <v>1415</v>
      </c>
      <c r="AV498" t="s">
        <v>1417</v>
      </c>
      <c r="AW498" t="s">
        <v>1418</v>
      </c>
      <c r="AZ498">
        <v>2720</v>
      </c>
      <c r="BA498" t="s">
        <v>1419</v>
      </c>
      <c r="BB498" t="s">
        <v>61</v>
      </c>
      <c r="BC498" t="s">
        <v>62</v>
      </c>
    </row>
    <row r="499" spans="1:55" x14ac:dyDescent="0.25">
      <c r="A499" s="1" t="str">
        <f>IF(COUNTIF(Catégories!A:A,X499)=0,"catégorie inconnue",_xlfn.XLOOKUP(X499,Catégories!A:A,Catégories!B:B))</f>
        <v>Frêt</v>
      </c>
      <c r="B499" s="1">
        <f t="shared" si="21"/>
        <v>0</v>
      </c>
      <c r="C499" s="1">
        <f t="shared" si="22"/>
        <v>0</v>
      </c>
      <c r="D499" s="1">
        <f t="shared" si="23"/>
        <v>0</v>
      </c>
      <c r="E499" s="20">
        <f>IF(AH499&lt;&gt;0,ROUNDUP(AH499,0),IF(BB499&lt;&gt;"FR","hors France",IF(AH499&lt;&gt;0,ROUNDUP(AH499,0),_xlfn.XLOOKUP(AJ499,'PA GLS'!B:B,'PA GLS'!A:A))))</f>
        <v>1</v>
      </c>
      <c r="F499">
        <v>2501382993</v>
      </c>
      <c r="G499">
        <v>1030220043</v>
      </c>
      <c r="H499" t="s">
        <v>366</v>
      </c>
      <c r="I499">
        <v>2500034092</v>
      </c>
      <c r="J499" t="s">
        <v>50</v>
      </c>
      <c r="K499">
        <v>9000009190</v>
      </c>
      <c r="L499">
        <v>46946</v>
      </c>
      <c r="M499" t="s">
        <v>51</v>
      </c>
      <c r="N499">
        <v>9000079830</v>
      </c>
      <c r="O499" t="s">
        <v>187</v>
      </c>
      <c r="S499">
        <v>2507012387</v>
      </c>
      <c r="T499" t="s">
        <v>50</v>
      </c>
      <c r="U499" t="s">
        <v>122</v>
      </c>
      <c r="V499" t="s">
        <v>176</v>
      </c>
      <c r="W499" t="s">
        <v>177</v>
      </c>
      <c r="X499" t="s">
        <v>152</v>
      </c>
      <c r="Z499">
        <v>59</v>
      </c>
      <c r="AA499" t="s">
        <v>1378</v>
      </c>
      <c r="AB499" t="s">
        <v>1420</v>
      </c>
      <c r="AC499">
        <v>2604000160</v>
      </c>
      <c r="AE499">
        <v>0</v>
      </c>
      <c r="AF499">
        <v>1</v>
      </c>
      <c r="AG499">
        <v>0</v>
      </c>
      <c r="AH499">
        <v>0.42</v>
      </c>
      <c r="AI499" t="s">
        <v>56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 t="s">
        <v>57</v>
      </c>
      <c r="AS499" t="s">
        <v>1421</v>
      </c>
      <c r="AT499" t="s">
        <v>1421</v>
      </c>
      <c r="AU499" t="s">
        <v>1420</v>
      </c>
      <c r="AV499" t="s">
        <v>1422</v>
      </c>
      <c r="AW499" t="s">
        <v>1423</v>
      </c>
      <c r="AZ499">
        <v>9700</v>
      </c>
      <c r="BA499" t="s">
        <v>1424</v>
      </c>
      <c r="BB499" t="s">
        <v>61</v>
      </c>
      <c r="BC499" t="s">
        <v>62</v>
      </c>
    </row>
    <row r="500" spans="1:55" x14ac:dyDescent="0.25">
      <c r="A500" s="1" t="str">
        <f>IF(COUNTIF(Catégories!A:A,X500)=0,"catégorie inconnue",_xlfn.XLOOKUP(X500,Catégories!A:A,Catégories!B:B))</f>
        <v>Frêt</v>
      </c>
      <c r="B500" s="1">
        <f t="shared" si="21"/>
        <v>0</v>
      </c>
      <c r="C500" s="1">
        <f t="shared" si="22"/>
        <v>0</v>
      </c>
      <c r="D500" s="1">
        <f t="shared" si="23"/>
        <v>0</v>
      </c>
      <c r="E500" s="20">
        <f>IF(AH500&lt;&gt;0,ROUNDUP(AH500,0),IF(BB500&lt;&gt;"FR","hors France",IF(AH500&lt;&gt;0,ROUNDUP(AH500,0),_xlfn.XLOOKUP(AJ500,'PA GLS'!B:B,'PA GLS'!A:A))))</f>
        <v>1</v>
      </c>
      <c r="F500">
        <v>2501382993</v>
      </c>
      <c r="G500">
        <v>1030220043</v>
      </c>
      <c r="H500" t="s">
        <v>366</v>
      </c>
      <c r="I500">
        <v>2500034092</v>
      </c>
      <c r="J500" t="s">
        <v>50</v>
      </c>
      <c r="K500">
        <v>9000009190</v>
      </c>
      <c r="L500">
        <v>46946</v>
      </c>
      <c r="M500" t="s">
        <v>51</v>
      </c>
      <c r="N500">
        <v>9000079830</v>
      </c>
      <c r="O500" t="s">
        <v>187</v>
      </c>
      <c r="S500">
        <v>2507012387</v>
      </c>
      <c r="T500" t="s">
        <v>50</v>
      </c>
      <c r="U500" t="s">
        <v>122</v>
      </c>
      <c r="V500" t="s">
        <v>176</v>
      </c>
      <c r="W500" t="s">
        <v>177</v>
      </c>
      <c r="X500" t="s">
        <v>152</v>
      </c>
      <c r="Z500">
        <v>59</v>
      </c>
      <c r="AA500" t="s">
        <v>1378</v>
      </c>
      <c r="AB500" t="s">
        <v>1425</v>
      </c>
      <c r="AC500">
        <v>2604000161</v>
      </c>
      <c r="AE500">
        <v>0</v>
      </c>
      <c r="AF500">
        <v>1</v>
      </c>
      <c r="AG500">
        <v>0</v>
      </c>
      <c r="AH500">
        <v>0.83</v>
      </c>
      <c r="AI500" t="s">
        <v>56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 t="s">
        <v>57</v>
      </c>
      <c r="AS500" t="s">
        <v>1426</v>
      </c>
      <c r="AT500" t="s">
        <v>1426</v>
      </c>
      <c r="AU500" t="s">
        <v>1425</v>
      </c>
      <c r="AV500" t="s">
        <v>1427</v>
      </c>
      <c r="AW500" t="s">
        <v>1428</v>
      </c>
      <c r="AZ500">
        <v>71100</v>
      </c>
      <c r="BA500" t="s">
        <v>310</v>
      </c>
      <c r="BB500" t="s">
        <v>61</v>
      </c>
      <c r="BC500" t="s">
        <v>62</v>
      </c>
    </row>
    <row r="501" spans="1:55" x14ac:dyDescent="0.25">
      <c r="A501" s="1" t="str">
        <f>IF(COUNTIF(Catégories!A:A,X501)=0,"catégorie inconnue",_xlfn.XLOOKUP(X501,Catégories!A:A,Catégories!B:B))</f>
        <v>Frêt</v>
      </c>
      <c r="B501" s="1">
        <f t="shared" si="21"/>
        <v>0</v>
      </c>
      <c r="C501" s="1">
        <f t="shared" si="22"/>
        <v>0</v>
      </c>
      <c r="D501" s="1">
        <f t="shared" si="23"/>
        <v>0</v>
      </c>
      <c r="E501" s="20">
        <f>IF(AH501&lt;&gt;0,ROUNDUP(AH501,0),IF(BB501&lt;&gt;"FR","hors France",IF(AH501&lt;&gt;0,ROUNDUP(AH501,0),_xlfn.XLOOKUP(AJ501,'PA GLS'!B:B,'PA GLS'!A:A))))</f>
        <v>2</v>
      </c>
      <c r="F501">
        <v>2501382993</v>
      </c>
      <c r="G501">
        <v>1030220043</v>
      </c>
      <c r="H501" t="s">
        <v>366</v>
      </c>
      <c r="I501">
        <v>2500034092</v>
      </c>
      <c r="J501" t="s">
        <v>50</v>
      </c>
      <c r="K501">
        <v>9000009190</v>
      </c>
      <c r="L501">
        <v>46946</v>
      </c>
      <c r="M501" t="s">
        <v>51</v>
      </c>
      <c r="N501">
        <v>9000079830</v>
      </c>
      <c r="O501" t="s">
        <v>187</v>
      </c>
      <c r="S501">
        <v>2507012387</v>
      </c>
      <c r="T501" t="s">
        <v>50</v>
      </c>
      <c r="U501" t="s">
        <v>122</v>
      </c>
      <c r="V501" t="s">
        <v>176</v>
      </c>
      <c r="W501" t="s">
        <v>177</v>
      </c>
      <c r="X501" t="s">
        <v>152</v>
      </c>
      <c r="Z501">
        <v>59</v>
      </c>
      <c r="AA501" t="s">
        <v>1378</v>
      </c>
      <c r="AB501" t="s">
        <v>1429</v>
      </c>
      <c r="AC501">
        <v>2604000162</v>
      </c>
      <c r="AE501">
        <v>0</v>
      </c>
      <c r="AF501">
        <v>1</v>
      </c>
      <c r="AG501">
        <v>0</v>
      </c>
      <c r="AH501">
        <v>1.9</v>
      </c>
      <c r="AI501" t="s">
        <v>56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 t="s">
        <v>57</v>
      </c>
      <c r="AS501" t="s">
        <v>1430</v>
      </c>
      <c r="AT501" t="s">
        <v>1430</v>
      </c>
      <c r="AU501" t="s">
        <v>1429</v>
      </c>
      <c r="AV501" t="s">
        <v>1431</v>
      </c>
      <c r="AW501" t="s">
        <v>1432</v>
      </c>
      <c r="AZ501">
        <v>85800</v>
      </c>
      <c r="BA501" t="s">
        <v>1433</v>
      </c>
      <c r="BB501" t="s">
        <v>61</v>
      </c>
      <c r="BC501" t="s">
        <v>62</v>
      </c>
    </row>
    <row r="502" spans="1:55" x14ac:dyDescent="0.25">
      <c r="A502" s="1" t="str">
        <f>IF(COUNTIF(Catégories!A:A,X502)=0,"catégorie inconnue",_xlfn.XLOOKUP(X502,Catégories!A:A,Catégories!B:B))</f>
        <v>Frêt</v>
      </c>
      <c r="B502" s="1">
        <f t="shared" si="21"/>
        <v>0</v>
      </c>
      <c r="C502" s="1">
        <f t="shared" si="22"/>
        <v>0</v>
      </c>
      <c r="D502" s="1">
        <f t="shared" si="23"/>
        <v>0</v>
      </c>
      <c r="E502" s="20">
        <f>IF(AH502&lt;&gt;0,ROUNDUP(AH502,0),IF(BB502&lt;&gt;"FR","hors France",IF(AH502&lt;&gt;0,ROUNDUP(AH502,0),_xlfn.XLOOKUP(AJ502,'PA GLS'!B:B,'PA GLS'!A:A))))</f>
        <v>1</v>
      </c>
      <c r="F502">
        <v>2501382993</v>
      </c>
      <c r="G502">
        <v>1030220043</v>
      </c>
      <c r="H502" t="s">
        <v>366</v>
      </c>
      <c r="I502">
        <v>2500034092</v>
      </c>
      <c r="J502" t="s">
        <v>50</v>
      </c>
      <c r="K502">
        <v>9000009190</v>
      </c>
      <c r="L502">
        <v>46946</v>
      </c>
      <c r="M502" t="s">
        <v>51</v>
      </c>
      <c r="N502">
        <v>9000079830</v>
      </c>
      <c r="O502" t="s">
        <v>187</v>
      </c>
      <c r="S502">
        <v>2507012387</v>
      </c>
      <c r="T502" t="s">
        <v>50</v>
      </c>
      <c r="U502" t="s">
        <v>122</v>
      </c>
      <c r="V502" t="s">
        <v>176</v>
      </c>
      <c r="W502" t="s">
        <v>177</v>
      </c>
      <c r="X502" t="s">
        <v>152</v>
      </c>
      <c r="Z502">
        <v>59</v>
      </c>
      <c r="AA502" t="s">
        <v>1378</v>
      </c>
      <c r="AB502" t="s">
        <v>1434</v>
      </c>
      <c r="AC502">
        <v>2604000163</v>
      </c>
      <c r="AE502">
        <v>0</v>
      </c>
      <c r="AF502">
        <v>1</v>
      </c>
      <c r="AG502">
        <v>0</v>
      </c>
      <c r="AH502">
        <v>0.57999999999999996</v>
      </c>
      <c r="AI502" t="s">
        <v>56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 t="s">
        <v>57</v>
      </c>
      <c r="AS502" t="s">
        <v>1435</v>
      </c>
      <c r="AT502" t="s">
        <v>1435</v>
      </c>
      <c r="AU502" t="s">
        <v>1434</v>
      </c>
      <c r="AV502" t="s">
        <v>1436</v>
      </c>
      <c r="AW502" t="s">
        <v>1437</v>
      </c>
      <c r="AZ502">
        <v>69006</v>
      </c>
      <c r="BA502" t="s">
        <v>151</v>
      </c>
      <c r="BB502" t="s">
        <v>61</v>
      </c>
      <c r="BC502" t="s">
        <v>62</v>
      </c>
    </row>
    <row r="503" spans="1:55" x14ac:dyDescent="0.25">
      <c r="A503" s="1" t="str">
        <f>IF(COUNTIF(Catégories!A:A,X503)=0,"catégorie inconnue",_xlfn.XLOOKUP(X503,Catégories!A:A,Catégories!B:B))</f>
        <v>Frêt</v>
      </c>
      <c r="B503" s="1">
        <f t="shared" si="21"/>
        <v>0</v>
      </c>
      <c r="C503" s="1">
        <f t="shared" si="22"/>
        <v>0</v>
      </c>
      <c r="D503" s="1">
        <f t="shared" si="23"/>
        <v>0</v>
      </c>
      <c r="E503" s="20">
        <f>IF(AH503&lt;&gt;0,ROUNDUP(AH503,0),IF(BB503&lt;&gt;"FR","hors France",IF(AH503&lt;&gt;0,ROUNDUP(AH503,0),_xlfn.XLOOKUP(AJ503,'PA GLS'!B:B,'PA GLS'!A:A))))</f>
        <v>4</v>
      </c>
      <c r="F503">
        <v>2501382993</v>
      </c>
      <c r="G503">
        <v>1030220043</v>
      </c>
      <c r="H503" t="s">
        <v>366</v>
      </c>
      <c r="I503">
        <v>2500034092</v>
      </c>
      <c r="J503" t="s">
        <v>50</v>
      </c>
      <c r="K503">
        <v>9000009190</v>
      </c>
      <c r="L503">
        <v>46946</v>
      </c>
      <c r="M503" t="s">
        <v>51</v>
      </c>
      <c r="N503">
        <v>9000079830</v>
      </c>
      <c r="O503" t="s">
        <v>187</v>
      </c>
      <c r="S503">
        <v>2507012387</v>
      </c>
      <c r="T503" t="s">
        <v>50</v>
      </c>
      <c r="U503" t="s">
        <v>122</v>
      </c>
      <c r="V503" t="s">
        <v>176</v>
      </c>
      <c r="W503" t="s">
        <v>177</v>
      </c>
      <c r="X503" t="s">
        <v>152</v>
      </c>
      <c r="Z503">
        <v>59</v>
      </c>
      <c r="AA503" t="s">
        <v>1378</v>
      </c>
      <c r="AB503" t="s">
        <v>1438</v>
      </c>
      <c r="AC503">
        <v>2604000164</v>
      </c>
      <c r="AE503">
        <v>0</v>
      </c>
      <c r="AF503">
        <v>1</v>
      </c>
      <c r="AG503">
        <v>0</v>
      </c>
      <c r="AH503">
        <v>3.01</v>
      </c>
      <c r="AI503" t="s">
        <v>56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 t="s">
        <v>57</v>
      </c>
      <c r="AS503" t="s">
        <v>1439</v>
      </c>
      <c r="AT503" t="s">
        <v>1439</v>
      </c>
      <c r="AU503" t="s">
        <v>1438</v>
      </c>
      <c r="AV503" t="s">
        <v>1440</v>
      </c>
      <c r="AW503" t="s">
        <v>1441</v>
      </c>
      <c r="AZ503">
        <v>41500</v>
      </c>
      <c r="BA503" t="s">
        <v>1442</v>
      </c>
      <c r="BB503" t="s">
        <v>61</v>
      </c>
      <c r="BC503" t="s">
        <v>62</v>
      </c>
    </row>
    <row r="504" spans="1:55" x14ac:dyDescent="0.25">
      <c r="A504" s="1" t="str">
        <f>IF(COUNTIF(Catégories!A:A,X504)=0,"catégorie inconnue",_xlfn.XLOOKUP(X504,Catégories!A:A,Catégories!B:B))</f>
        <v>Frêt</v>
      </c>
      <c r="B504" s="1">
        <f t="shared" si="21"/>
        <v>0</v>
      </c>
      <c r="C504" s="1">
        <f t="shared" si="22"/>
        <v>0</v>
      </c>
      <c r="D504" s="1">
        <f t="shared" si="23"/>
        <v>0</v>
      </c>
      <c r="E504" s="20">
        <f>IF(AH504&lt;&gt;0,ROUNDUP(AH504,0),IF(BB504&lt;&gt;"FR","hors France",IF(AH504&lt;&gt;0,ROUNDUP(AH504,0),_xlfn.XLOOKUP(AJ504,'PA GLS'!B:B,'PA GLS'!A:A))))</f>
        <v>1</v>
      </c>
      <c r="F504">
        <v>2501382993</v>
      </c>
      <c r="G504">
        <v>1030220043</v>
      </c>
      <c r="H504" t="s">
        <v>366</v>
      </c>
      <c r="I504">
        <v>2500034092</v>
      </c>
      <c r="J504" t="s">
        <v>50</v>
      </c>
      <c r="K504">
        <v>9000009190</v>
      </c>
      <c r="L504">
        <v>46946</v>
      </c>
      <c r="M504" t="s">
        <v>51</v>
      </c>
      <c r="N504">
        <v>9000079830</v>
      </c>
      <c r="O504" t="s">
        <v>187</v>
      </c>
      <c r="S504">
        <v>2507012387</v>
      </c>
      <c r="T504" t="s">
        <v>50</v>
      </c>
      <c r="U504" t="s">
        <v>122</v>
      </c>
      <c r="V504" t="s">
        <v>176</v>
      </c>
      <c r="W504" t="s">
        <v>177</v>
      </c>
      <c r="X504" t="s">
        <v>152</v>
      </c>
      <c r="Z504">
        <v>59</v>
      </c>
      <c r="AA504" t="s">
        <v>1378</v>
      </c>
      <c r="AB504" t="s">
        <v>1443</v>
      </c>
      <c r="AC504">
        <v>2604000165</v>
      </c>
      <c r="AE504">
        <v>0</v>
      </c>
      <c r="AF504">
        <v>1</v>
      </c>
      <c r="AG504">
        <v>0</v>
      </c>
      <c r="AH504">
        <v>0.84</v>
      </c>
      <c r="AI504" t="s">
        <v>56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 t="s">
        <v>57</v>
      </c>
      <c r="AS504" t="s">
        <v>1444</v>
      </c>
      <c r="AT504" t="s">
        <v>1444</v>
      </c>
      <c r="AU504" t="s">
        <v>1443</v>
      </c>
      <c r="AV504" t="s">
        <v>1445</v>
      </c>
      <c r="AW504" t="s">
        <v>1446</v>
      </c>
      <c r="AZ504">
        <v>33000</v>
      </c>
      <c r="BA504" t="s">
        <v>228</v>
      </c>
      <c r="BB504" t="s">
        <v>61</v>
      </c>
      <c r="BC504" t="s">
        <v>62</v>
      </c>
    </row>
    <row r="505" spans="1:55" x14ac:dyDescent="0.25">
      <c r="A505" s="1" t="str">
        <f>IF(COUNTIF(Catégories!A:A,X505)=0,"catégorie inconnue",_xlfn.XLOOKUP(X505,Catégories!A:A,Catégories!B:B))</f>
        <v>Frêt</v>
      </c>
      <c r="B505" s="1">
        <f t="shared" si="21"/>
        <v>0</v>
      </c>
      <c r="C505" s="1">
        <f t="shared" si="22"/>
        <v>0</v>
      </c>
      <c r="D505" s="1">
        <f t="shared" si="23"/>
        <v>0</v>
      </c>
      <c r="E505" s="20">
        <f>IF(AH505&lt;&gt;0,ROUNDUP(AH505,0),IF(BB505&lt;&gt;"FR","hors France",IF(AH505&lt;&gt;0,ROUNDUP(AH505,0),_xlfn.XLOOKUP(AJ505,'PA GLS'!B:B,'PA GLS'!A:A))))</f>
        <v>1</v>
      </c>
      <c r="F505">
        <v>2501382993</v>
      </c>
      <c r="G505">
        <v>1030220043</v>
      </c>
      <c r="H505" t="s">
        <v>366</v>
      </c>
      <c r="I505">
        <v>2500034092</v>
      </c>
      <c r="J505" t="s">
        <v>50</v>
      </c>
      <c r="K505">
        <v>9000009190</v>
      </c>
      <c r="L505">
        <v>46946</v>
      </c>
      <c r="M505" t="s">
        <v>51</v>
      </c>
      <c r="N505">
        <v>9000079830</v>
      </c>
      <c r="O505" t="s">
        <v>187</v>
      </c>
      <c r="S505">
        <v>2507012387</v>
      </c>
      <c r="T505" t="s">
        <v>50</v>
      </c>
      <c r="U505" t="s">
        <v>122</v>
      </c>
      <c r="V505" t="s">
        <v>176</v>
      </c>
      <c r="W505" t="s">
        <v>177</v>
      </c>
      <c r="X505" t="s">
        <v>152</v>
      </c>
      <c r="Z505">
        <v>59</v>
      </c>
      <c r="AA505" t="s">
        <v>1378</v>
      </c>
      <c r="AB505" t="s">
        <v>1447</v>
      </c>
      <c r="AC505">
        <v>2604000166</v>
      </c>
      <c r="AE505">
        <v>0</v>
      </c>
      <c r="AF505">
        <v>1</v>
      </c>
      <c r="AG505">
        <v>0</v>
      </c>
      <c r="AH505">
        <v>0.42</v>
      </c>
      <c r="AI505" t="s">
        <v>56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 t="s">
        <v>57</v>
      </c>
      <c r="AS505" t="s">
        <v>1448</v>
      </c>
      <c r="AT505" t="s">
        <v>1448</v>
      </c>
      <c r="AU505" t="s">
        <v>1447</v>
      </c>
      <c r="AV505" t="s">
        <v>1449</v>
      </c>
      <c r="AW505" t="s">
        <v>1450</v>
      </c>
      <c r="AZ505">
        <v>75008</v>
      </c>
      <c r="BA505" t="s">
        <v>65</v>
      </c>
      <c r="BB505" t="s">
        <v>61</v>
      </c>
      <c r="BC505" t="s">
        <v>62</v>
      </c>
    </row>
    <row r="506" spans="1:55" x14ac:dyDescent="0.25">
      <c r="A506" s="1" t="str">
        <f>IF(COUNTIF(Catégories!A:A,X506)=0,"catégorie inconnue",_xlfn.XLOOKUP(X506,Catégories!A:A,Catégories!B:B))</f>
        <v>Frêt</v>
      </c>
      <c r="B506" s="1">
        <f t="shared" si="21"/>
        <v>0</v>
      </c>
      <c r="C506" s="1">
        <f t="shared" si="22"/>
        <v>0</v>
      </c>
      <c r="D506" s="1">
        <f t="shared" si="23"/>
        <v>0</v>
      </c>
      <c r="E506" s="20">
        <f>IF(AH506&lt;&gt;0,ROUNDUP(AH506,0),IF(BB506&lt;&gt;"FR","hors France",IF(AH506&lt;&gt;0,ROUNDUP(AH506,0),_xlfn.XLOOKUP(AJ506,'PA GLS'!B:B,'PA GLS'!A:A))))</f>
        <v>1</v>
      </c>
      <c r="F506">
        <v>2501382993</v>
      </c>
      <c r="G506">
        <v>1030220043</v>
      </c>
      <c r="H506" t="s">
        <v>366</v>
      </c>
      <c r="I506">
        <v>2500034092</v>
      </c>
      <c r="J506" t="s">
        <v>50</v>
      </c>
      <c r="K506">
        <v>9000009190</v>
      </c>
      <c r="L506">
        <v>46946</v>
      </c>
      <c r="M506" t="s">
        <v>51</v>
      </c>
      <c r="N506">
        <v>9000079830</v>
      </c>
      <c r="O506" t="s">
        <v>187</v>
      </c>
      <c r="S506">
        <v>2507012387</v>
      </c>
      <c r="T506" t="s">
        <v>50</v>
      </c>
      <c r="U506" t="s">
        <v>122</v>
      </c>
      <c r="V506" t="s">
        <v>176</v>
      </c>
      <c r="W506" t="s">
        <v>177</v>
      </c>
      <c r="X506" t="s">
        <v>152</v>
      </c>
      <c r="Z506">
        <v>59</v>
      </c>
      <c r="AA506" t="s">
        <v>1378</v>
      </c>
      <c r="AB506" t="s">
        <v>1451</v>
      </c>
      <c r="AC506">
        <v>2604000167</v>
      </c>
      <c r="AE506">
        <v>0</v>
      </c>
      <c r="AF506">
        <v>1</v>
      </c>
      <c r="AG506">
        <v>0</v>
      </c>
      <c r="AH506">
        <v>0.56000000000000005</v>
      </c>
      <c r="AI506" t="s">
        <v>56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 t="s">
        <v>57</v>
      </c>
      <c r="AS506" t="s">
        <v>1452</v>
      </c>
      <c r="AT506" t="s">
        <v>1452</v>
      </c>
      <c r="AU506" t="s">
        <v>1451</v>
      </c>
      <c r="AV506" t="s">
        <v>1453</v>
      </c>
      <c r="AW506" t="s">
        <v>1454</v>
      </c>
      <c r="AZ506">
        <v>74330</v>
      </c>
      <c r="BA506" t="s">
        <v>1455</v>
      </c>
      <c r="BB506" t="s">
        <v>61</v>
      </c>
      <c r="BC506" t="s">
        <v>62</v>
      </c>
    </row>
    <row r="507" spans="1:55" x14ac:dyDescent="0.25">
      <c r="A507" s="1" t="str">
        <f>IF(COUNTIF(Catégories!A:A,X507)=0,"catégorie inconnue",_xlfn.XLOOKUP(X507,Catégories!A:A,Catégories!B:B))</f>
        <v>Frêt</v>
      </c>
      <c r="B507" s="1">
        <f t="shared" si="21"/>
        <v>0</v>
      </c>
      <c r="C507" s="1">
        <f t="shared" si="22"/>
        <v>0</v>
      </c>
      <c r="D507" s="1">
        <f t="shared" si="23"/>
        <v>0</v>
      </c>
      <c r="E507" s="20">
        <f>IF(AH507&lt;&gt;0,ROUNDUP(AH507,0),IF(BB507&lt;&gt;"FR","hors France",IF(AH507&lt;&gt;0,ROUNDUP(AH507,0),_xlfn.XLOOKUP(AJ507,'PA GLS'!B:B,'PA GLS'!A:A))))</f>
        <v>3</v>
      </c>
      <c r="F507">
        <v>2501382993</v>
      </c>
      <c r="G507">
        <v>1030220043</v>
      </c>
      <c r="H507" t="s">
        <v>366</v>
      </c>
      <c r="I507">
        <v>2500034092</v>
      </c>
      <c r="J507" t="s">
        <v>50</v>
      </c>
      <c r="K507">
        <v>9000009190</v>
      </c>
      <c r="L507">
        <v>46946</v>
      </c>
      <c r="M507" t="s">
        <v>51</v>
      </c>
      <c r="N507">
        <v>9000079830</v>
      </c>
      <c r="O507" t="s">
        <v>187</v>
      </c>
      <c r="S507">
        <v>2507012387</v>
      </c>
      <c r="T507" t="s">
        <v>50</v>
      </c>
      <c r="U507" t="s">
        <v>122</v>
      </c>
      <c r="V507" t="s">
        <v>176</v>
      </c>
      <c r="W507" t="s">
        <v>177</v>
      </c>
      <c r="X507" t="s">
        <v>152</v>
      </c>
      <c r="Z507">
        <v>59</v>
      </c>
      <c r="AA507" t="s">
        <v>1378</v>
      </c>
      <c r="AB507" t="s">
        <v>1456</v>
      </c>
      <c r="AC507">
        <v>2604000168</v>
      </c>
      <c r="AE507">
        <v>0</v>
      </c>
      <c r="AF507">
        <v>1</v>
      </c>
      <c r="AG507">
        <v>0</v>
      </c>
      <c r="AH507">
        <v>2.36</v>
      </c>
      <c r="AI507" t="s">
        <v>56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 t="s">
        <v>57</v>
      </c>
      <c r="AS507" t="s">
        <v>1457</v>
      </c>
      <c r="AT507" t="s">
        <v>1457</v>
      </c>
      <c r="AU507" t="s">
        <v>1456</v>
      </c>
      <c r="AV507" t="s">
        <v>1458</v>
      </c>
      <c r="AW507" t="s">
        <v>1459</v>
      </c>
      <c r="AZ507">
        <v>85610</v>
      </c>
      <c r="BA507" t="s">
        <v>1460</v>
      </c>
      <c r="BB507" t="s">
        <v>61</v>
      </c>
      <c r="BC507" t="s">
        <v>62</v>
      </c>
    </row>
    <row r="508" spans="1:55" x14ac:dyDescent="0.25">
      <c r="A508" s="1" t="str">
        <f>IF(COUNTIF(Catégories!A:A,X508)=0,"catégorie inconnue",_xlfn.XLOOKUP(X508,Catégories!A:A,Catégories!B:B))</f>
        <v>Frêt</v>
      </c>
      <c r="B508" s="1">
        <f t="shared" si="21"/>
        <v>0</v>
      </c>
      <c r="C508" s="1">
        <f t="shared" si="22"/>
        <v>0</v>
      </c>
      <c r="D508" s="1">
        <f t="shared" si="23"/>
        <v>0</v>
      </c>
      <c r="E508" s="20">
        <f>IF(AH508&lt;&gt;0,ROUNDUP(AH508,0),IF(BB508&lt;&gt;"FR","hors France",IF(AH508&lt;&gt;0,ROUNDUP(AH508,0),_xlfn.XLOOKUP(AJ508,'PA GLS'!B:B,'PA GLS'!A:A))))</f>
        <v>3</v>
      </c>
      <c r="F508">
        <v>2501382993</v>
      </c>
      <c r="G508">
        <v>1030220043</v>
      </c>
      <c r="H508" t="s">
        <v>366</v>
      </c>
      <c r="I508">
        <v>2500034092</v>
      </c>
      <c r="J508" t="s">
        <v>50</v>
      </c>
      <c r="K508">
        <v>9000009190</v>
      </c>
      <c r="L508">
        <v>46946</v>
      </c>
      <c r="M508" t="s">
        <v>51</v>
      </c>
      <c r="N508">
        <v>9000079830</v>
      </c>
      <c r="O508" t="s">
        <v>187</v>
      </c>
      <c r="S508">
        <v>2507012387</v>
      </c>
      <c r="T508" t="s">
        <v>50</v>
      </c>
      <c r="U508" t="s">
        <v>122</v>
      </c>
      <c r="V508" t="s">
        <v>176</v>
      </c>
      <c r="W508" t="s">
        <v>177</v>
      </c>
      <c r="X508" t="s">
        <v>152</v>
      </c>
      <c r="Z508">
        <v>59</v>
      </c>
      <c r="AA508" t="s">
        <v>1378</v>
      </c>
      <c r="AB508" t="s">
        <v>1461</v>
      </c>
      <c r="AC508">
        <v>2604000169</v>
      </c>
      <c r="AE508">
        <v>0</v>
      </c>
      <c r="AF508">
        <v>1</v>
      </c>
      <c r="AG508">
        <v>0</v>
      </c>
      <c r="AH508">
        <v>2.62</v>
      </c>
      <c r="AI508" t="s">
        <v>56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 t="s">
        <v>57</v>
      </c>
      <c r="AS508" t="s">
        <v>1462</v>
      </c>
      <c r="AT508" t="s">
        <v>1462</v>
      </c>
      <c r="AU508" t="s">
        <v>1461</v>
      </c>
      <c r="AV508" t="s">
        <v>1463</v>
      </c>
      <c r="AW508" t="s">
        <v>1464</v>
      </c>
      <c r="AZ508">
        <v>44980</v>
      </c>
      <c r="BA508" t="s">
        <v>1465</v>
      </c>
      <c r="BB508" t="s">
        <v>61</v>
      </c>
      <c r="BC508" t="s">
        <v>62</v>
      </c>
    </row>
    <row r="509" spans="1:55" x14ac:dyDescent="0.25">
      <c r="A509" s="1" t="str">
        <f>IF(COUNTIF(Catégories!A:A,X509)=0,"catégorie inconnue",_xlfn.XLOOKUP(X509,Catégories!A:A,Catégories!B:B))</f>
        <v>Frêt</v>
      </c>
      <c r="B509" s="1">
        <f t="shared" si="21"/>
        <v>0</v>
      </c>
      <c r="C509" s="1">
        <f t="shared" si="22"/>
        <v>0</v>
      </c>
      <c r="D509" s="1">
        <f t="shared" si="23"/>
        <v>0</v>
      </c>
      <c r="E509" s="20">
        <f>IF(AH509&lt;&gt;0,ROUNDUP(AH509,0),IF(BB509&lt;&gt;"FR","hors France",IF(AH509&lt;&gt;0,ROUNDUP(AH509,0),_xlfn.XLOOKUP(AJ509,'PA GLS'!B:B,'PA GLS'!A:A))))</f>
        <v>2</v>
      </c>
      <c r="F509">
        <v>2501382993</v>
      </c>
      <c r="G509">
        <v>1030220043</v>
      </c>
      <c r="H509" t="s">
        <v>366</v>
      </c>
      <c r="I509">
        <v>2500034092</v>
      </c>
      <c r="J509" t="s">
        <v>50</v>
      </c>
      <c r="K509">
        <v>9000009190</v>
      </c>
      <c r="L509">
        <v>46946</v>
      </c>
      <c r="M509" t="s">
        <v>51</v>
      </c>
      <c r="N509">
        <v>9000079830</v>
      </c>
      <c r="O509" t="s">
        <v>187</v>
      </c>
      <c r="S509">
        <v>2507012387</v>
      </c>
      <c r="T509" t="s">
        <v>50</v>
      </c>
      <c r="U509" t="s">
        <v>122</v>
      </c>
      <c r="V509" t="s">
        <v>176</v>
      </c>
      <c r="W509" t="s">
        <v>177</v>
      </c>
      <c r="X509" t="s">
        <v>152</v>
      </c>
      <c r="Z509">
        <v>59</v>
      </c>
      <c r="AA509" t="s">
        <v>1378</v>
      </c>
      <c r="AB509" t="s">
        <v>1466</v>
      </c>
      <c r="AC509">
        <v>2604000170</v>
      </c>
      <c r="AE509">
        <v>0</v>
      </c>
      <c r="AF509">
        <v>1</v>
      </c>
      <c r="AG509">
        <v>0</v>
      </c>
      <c r="AH509">
        <v>1.1599999999999999</v>
      </c>
      <c r="AI509" t="s">
        <v>56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 t="s">
        <v>57</v>
      </c>
      <c r="AS509" t="s">
        <v>1467</v>
      </c>
      <c r="AT509" t="s">
        <v>1467</v>
      </c>
      <c r="AU509" t="s">
        <v>1466</v>
      </c>
      <c r="AV509" t="s">
        <v>1468</v>
      </c>
      <c r="AW509" t="s">
        <v>1469</v>
      </c>
      <c r="AZ509">
        <v>33000</v>
      </c>
      <c r="BA509" t="s">
        <v>228</v>
      </c>
      <c r="BB509" t="s">
        <v>61</v>
      </c>
      <c r="BC509" t="s">
        <v>62</v>
      </c>
    </row>
    <row r="510" spans="1:55" x14ac:dyDescent="0.25">
      <c r="A510" s="1" t="str">
        <f>IF(COUNTIF(Catégories!A:A,X510)=0,"catégorie inconnue",_xlfn.XLOOKUP(X510,Catégories!A:A,Catégories!B:B))</f>
        <v>Frêt</v>
      </c>
      <c r="B510" s="1">
        <f t="shared" si="21"/>
        <v>0</v>
      </c>
      <c r="C510" s="1">
        <f t="shared" si="22"/>
        <v>0</v>
      </c>
      <c r="D510" s="1">
        <f t="shared" si="23"/>
        <v>0</v>
      </c>
      <c r="E510" s="20">
        <f>IF(AH510&lt;&gt;0,ROUNDUP(AH510,0),IF(BB510&lt;&gt;"FR","hors France",IF(AH510&lt;&gt;0,ROUNDUP(AH510,0),_xlfn.XLOOKUP(AJ510,'PA GLS'!B:B,'PA GLS'!A:A))))</f>
        <v>2</v>
      </c>
      <c r="F510">
        <v>2501382993</v>
      </c>
      <c r="G510">
        <v>1030220043</v>
      </c>
      <c r="H510" t="s">
        <v>366</v>
      </c>
      <c r="I510">
        <v>2500034092</v>
      </c>
      <c r="J510" t="s">
        <v>50</v>
      </c>
      <c r="K510">
        <v>9000009190</v>
      </c>
      <c r="L510">
        <v>46946</v>
      </c>
      <c r="M510" t="s">
        <v>51</v>
      </c>
      <c r="N510">
        <v>9000079830</v>
      </c>
      <c r="O510" t="s">
        <v>187</v>
      </c>
      <c r="S510">
        <v>2507012387</v>
      </c>
      <c r="T510" t="s">
        <v>50</v>
      </c>
      <c r="U510" t="s">
        <v>122</v>
      </c>
      <c r="V510" t="s">
        <v>176</v>
      </c>
      <c r="W510" t="s">
        <v>177</v>
      </c>
      <c r="X510" t="s">
        <v>152</v>
      </c>
      <c r="Z510">
        <v>59</v>
      </c>
      <c r="AA510" t="s">
        <v>1378</v>
      </c>
      <c r="AB510" t="s">
        <v>1470</v>
      </c>
      <c r="AC510">
        <v>2604000171</v>
      </c>
      <c r="AE510">
        <v>0</v>
      </c>
      <c r="AF510">
        <v>1</v>
      </c>
      <c r="AG510">
        <v>0</v>
      </c>
      <c r="AH510">
        <v>1.1100000000000001</v>
      </c>
      <c r="AI510" t="s">
        <v>56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 t="s">
        <v>57</v>
      </c>
      <c r="AS510" t="s">
        <v>1471</v>
      </c>
      <c r="AT510" t="s">
        <v>1471</v>
      </c>
      <c r="AU510" t="s">
        <v>1470</v>
      </c>
      <c r="AV510" t="s">
        <v>1472</v>
      </c>
      <c r="AW510" t="s">
        <v>1473</v>
      </c>
      <c r="AZ510">
        <v>19330</v>
      </c>
      <c r="BA510" t="s">
        <v>1474</v>
      </c>
      <c r="BB510" t="s">
        <v>61</v>
      </c>
      <c r="BC510" t="s">
        <v>62</v>
      </c>
    </row>
    <row r="511" spans="1:55" x14ac:dyDescent="0.25">
      <c r="A511" s="1" t="str">
        <f>IF(COUNTIF(Catégories!A:A,X511)=0,"catégorie inconnue",_xlfn.XLOOKUP(X511,Catégories!A:A,Catégories!B:B))</f>
        <v>Frêt</v>
      </c>
      <c r="B511" s="1">
        <f t="shared" si="21"/>
        <v>0</v>
      </c>
      <c r="C511" s="1">
        <f t="shared" si="22"/>
        <v>0</v>
      </c>
      <c r="D511" s="1">
        <f t="shared" si="23"/>
        <v>0</v>
      </c>
      <c r="E511" s="20">
        <f>IF(AH511&lt;&gt;0,ROUNDUP(AH511,0),IF(BB511&lt;&gt;"FR","hors France",IF(AH511&lt;&gt;0,ROUNDUP(AH511,0),_xlfn.XLOOKUP(AJ511,'PA GLS'!B:B,'PA GLS'!A:A))))</f>
        <v>1</v>
      </c>
      <c r="F511">
        <v>2501382993</v>
      </c>
      <c r="G511">
        <v>1030220043</v>
      </c>
      <c r="H511" t="s">
        <v>366</v>
      </c>
      <c r="I511">
        <v>2500034092</v>
      </c>
      <c r="J511" t="s">
        <v>50</v>
      </c>
      <c r="K511">
        <v>9000009190</v>
      </c>
      <c r="L511">
        <v>46946</v>
      </c>
      <c r="M511" t="s">
        <v>51</v>
      </c>
      <c r="N511">
        <v>9000079830</v>
      </c>
      <c r="O511" t="s">
        <v>187</v>
      </c>
      <c r="S511">
        <v>2507012387</v>
      </c>
      <c r="T511" t="s">
        <v>50</v>
      </c>
      <c r="U511" t="s">
        <v>122</v>
      </c>
      <c r="V511" t="s">
        <v>176</v>
      </c>
      <c r="W511" t="s">
        <v>177</v>
      </c>
      <c r="X511" t="s">
        <v>152</v>
      </c>
      <c r="Z511">
        <v>59</v>
      </c>
      <c r="AA511" t="s">
        <v>1378</v>
      </c>
      <c r="AB511" t="s">
        <v>1475</v>
      </c>
      <c r="AC511">
        <v>2604000172</v>
      </c>
      <c r="AE511">
        <v>0</v>
      </c>
      <c r="AF511">
        <v>1</v>
      </c>
      <c r="AG511">
        <v>0</v>
      </c>
      <c r="AH511">
        <v>0.45</v>
      </c>
      <c r="AI511" t="s">
        <v>56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 t="s">
        <v>57</v>
      </c>
      <c r="AS511" t="s">
        <v>1476</v>
      </c>
      <c r="AT511" t="s">
        <v>1476</v>
      </c>
      <c r="AU511" t="s">
        <v>1475</v>
      </c>
      <c r="AV511" t="s">
        <v>1477</v>
      </c>
      <c r="AW511" t="s">
        <v>1478</v>
      </c>
      <c r="AZ511">
        <v>75018</v>
      </c>
      <c r="BA511" t="s">
        <v>65</v>
      </c>
      <c r="BB511" t="s">
        <v>61</v>
      </c>
      <c r="BC511" t="s">
        <v>62</v>
      </c>
    </row>
    <row r="512" spans="1:55" x14ac:dyDescent="0.25">
      <c r="A512" s="1" t="str">
        <f>IF(COUNTIF(Catégories!A:A,X512)=0,"catégorie inconnue",_xlfn.XLOOKUP(X512,Catégories!A:A,Catégories!B:B))</f>
        <v>Frêt</v>
      </c>
      <c r="B512" s="1">
        <f t="shared" si="21"/>
        <v>0</v>
      </c>
      <c r="C512" s="1">
        <f t="shared" si="22"/>
        <v>0</v>
      </c>
      <c r="D512" s="1">
        <f t="shared" si="23"/>
        <v>0</v>
      </c>
      <c r="E512" s="20">
        <f>IF(AH512&lt;&gt;0,ROUNDUP(AH512,0),IF(BB512&lt;&gt;"FR","hors France",IF(AH512&lt;&gt;0,ROUNDUP(AH512,0),_xlfn.XLOOKUP(AJ512,'PA GLS'!B:B,'PA GLS'!A:A))))</f>
        <v>1</v>
      </c>
      <c r="F512">
        <v>2501382993</v>
      </c>
      <c r="G512">
        <v>1030220043</v>
      </c>
      <c r="H512" t="s">
        <v>366</v>
      </c>
      <c r="I512">
        <v>2500034092</v>
      </c>
      <c r="J512" t="s">
        <v>50</v>
      </c>
      <c r="K512">
        <v>9000009190</v>
      </c>
      <c r="L512">
        <v>46946</v>
      </c>
      <c r="M512" t="s">
        <v>51</v>
      </c>
      <c r="N512">
        <v>9000079830</v>
      </c>
      <c r="O512" t="s">
        <v>187</v>
      </c>
      <c r="S512">
        <v>2507012387</v>
      </c>
      <c r="T512" t="s">
        <v>50</v>
      </c>
      <c r="U512" t="s">
        <v>122</v>
      </c>
      <c r="V512" t="s">
        <v>176</v>
      </c>
      <c r="W512" t="s">
        <v>177</v>
      </c>
      <c r="X512" t="s">
        <v>152</v>
      </c>
      <c r="Z512">
        <v>59</v>
      </c>
      <c r="AA512" t="s">
        <v>1378</v>
      </c>
      <c r="AB512" t="s">
        <v>1479</v>
      </c>
      <c r="AC512">
        <v>2604000173</v>
      </c>
      <c r="AE512">
        <v>0</v>
      </c>
      <c r="AF512">
        <v>1</v>
      </c>
      <c r="AG512">
        <v>0</v>
      </c>
      <c r="AH512">
        <v>0.44</v>
      </c>
      <c r="AI512" t="s">
        <v>56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 t="s">
        <v>57</v>
      </c>
      <c r="AS512" t="s">
        <v>1480</v>
      </c>
      <c r="AT512" t="s">
        <v>1480</v>
      </c>
      <c r="AU512" t="s">
        <v>1479</v>
      </c>
      <c r="AV512" t="s">
        <v>1481</v>
      </c>
      <c r="AW512" t="s">
        <v>1482</v>
      </c>
      <c r="AZ512">
        <v>69630</v>
      </c>
      <c r="BA512" t="s">
        <v>1483</v>
      </c>
      <c r="BB512" t="s">
        <v>61</v>
      </c>
      <c r="BC512" t="s">
        <v>62</v>
      </c>
    </row>
    <row r="513" spans="1:55" x14ac:dyDescent="0.25">
      <c r="A513" s="1" t="str">
        <f>IF(COUNTIF(Catégories!A:A,X513)=0,"catégorie inconnue",_xlfn.XLOOKUP(X513,Catégories!A:A,Catégories!B:B))</f>
        <v>Frêt</v>
      </c>
      <c r="B513" s="1">
        <f t="shared" si="21"/>
        <v>0</v>
      </c>
      <c r="C513" s="1">
        <f t="shared" si="22"/>
        <v>0</v>
      </c>
      <c r="D513" s="1">
        <f t="shared" si="23"/>
        <v>0</v>
      </c>
      <c r="E513" s="20">
        <f>IF(AH513&lt;&gt;0,ROUNDUP(AH513,0),IF(BB513&lt;&gt;"FR","hors France",IF(AH513&lt;&gt;0,ROUNDUP(AH513,0),_xlfn.XLOOKUP(AJ513,'PA GLS'!B:B,'PA GLS'!A:A))))</f>
        <v>3</v>
      </c>
      <c r="F513">
        <v>2501382993</v>
      </c>
      <c r="G513">
        <v>1030220043</v>
      </c>
      <c r="H513" t="s">
        <v>366</v>
      </c>
      <c r="I513">
        <v>2500034092</v>
      </c>
      <c r="J513" t="s">
        <v>50</v>
      </c>
      <c r="K513">
        <v>9000009190</v>
      </c>
      <c r="L513">
        <v>46946</v>
      </c>
      <c r="M513" t="s">
        <v>51</v>
      </c>
      <c r="N513">
        <v>9000079830</v>
      </c>
      <c r="O513" t="s">
        <v>187</v>
      </c>
      <c r="S513">
        <v>2507012387</v>
      </c>
      <c r="T513" t="s">
        <v>50</v>
      </c>
      <c r="U513" t="s">
        <v>122</v>
      </c>
      <c r="V513" t="s">
        <v>176</v>
      </c>
      <c r="W513" t="s">
        <v>177</v>
      </c>
      <c r="X513" t="s">
        <v>152</v>
      </c>
      <c r="Z513">
        <v>59</v>
      </c>
      <c r="AA513" t="s">
        <v>1378</v>
      </c>
      <c r="AB513" t="s">
        <v>1484</v>
      </c>
      <c r="AC513">
        <v>2604000174</v>
      </c>
      <c r="AE513">
        <v>0</v>
      </c>
      <c r="AF513">
        <v>1</v>
      </c>
      <c r="AG513">
        <v>0</v>
      </c>
      <c r="AH513">
        <v>2.3199999999999998</v>
      </c>
      <c r="AI513" t="s">
        <v>56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 t="s">
        <v>57</v>
      </c>
      <c r="AS513" t="s">
        <v>1485</v>
      </c>
      <c r="AT513" t="s">
        <v>1485</v>
      </c>
      <c r="AU513" t="s">
        <v>1484</v>
      </c>
      <c r="AV513" t="s">
        <v>1486</v>
      </c>
      <c r="AW513" t="s">
        <v>1487</v>
      </c>
      <c r="AZ513">
        <v>31500</v>
      </c>
      <c r="BA513" t="s">
        <v>218</v>
      </c>
      <c r="BB513" t="s">
        <v>61</v>
      </c>
      <c r="BC513" t="s">
        <v>62</v>
      </c>
    </row>
    <row r="514" spans="1:55" x14ac:dyDescent="0.25">
      <c r="A514" s="1" t="str">
        <f>IF(COUNTIF(Catégories!A:A,X514)=0,"catégorie inconnue",_xlfn.XLOOKUP(X514,Catégories!A:A,Catégories!B:B))</f>
        <v>Frêt</v>
      </c>
      <c r="B514" s="1">
        <f t="shared" si="21"/>
        <v>0</v>
      </c>
      <c r="C514" s="1">
        <f t="shared" si="22"/>
        <v>0</v>
      </c>
      <c r="D514" s="1">
        <f t="shared" si="23"/>
        <v>0</v>
      </c>
      <c r="E514" s="20">
        <f>IF(AH514&lt;&gt;0,ROUNDUP(AH514,0),IF(BB514&lt;&gt;"FR","hors France",IF(AH514&lt;&gt;0,ROUNDUP(AH514,0),_xlfn.XLOOKUP(AJ514,'PA GLS'!B:B,'PA GLS'!A:A))))</f>
        <v>3</v>
      </c>
      <c r="F514">
        <v>2501382993</v>
      </c>
      <c r="G514">
        <v>1030220043</v>
      </c>
      <c r="H514" t="s">
        <v>366</v>
      </c>
      <c r="I514">
        <v>2500034092</v>
      </c>
      <c r="J514" t="s">
        <v>50</v>
      </c>
      <c r="K514">
        <v>9000009190</v>
      </c>
      <c r="L514">
        <v>46946</v>
      </c>
      <c r="M514" t="s">
        <v>51</v>
      </c>
      <c r="N514">
        <v>9000079830</v>
      </c>
      <c r="O514" t="s">
        <v>187</v>
      </c>
      <c r="S514">
        <v>2507012387</v>
      </c>
      <c r="T514" t="s">
        <v>50</v>
      </c>
      <c r="U514" t="s">
        <v>122</v>
      </c>
      <c r="V514" t="s">
        <v>176</v>
      </c>
      <c r="W514" t="s">
        <v>177</v>
      </c>
      <c r="X514" t="s">
        <v>152</v>
      </c>
      <c r="Z514">
        <v>59</v>
      </c>
      <c r="AA514" t="s">
        <v>1378</v>
      </c>
      <c r="AB514" t="s">
        <v>1488</v>
      </c>
      <c r="AC514">
        <v>2604000175</v>
      </c>
      <c r="AE514">
        <v>0</v>
      </c>
      <c r="AF514">
        <v>1</v>
      </c>
      <c r="AG514">
        <v>0</v>
      </c>
      <c r="AH514">
        <v>2.2999999999999998</v>
      </c>
      <c r="AI514" t="s">
        <v>56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 t="s">
        <v>57</v>
      </c>
      <c r="AS514" t="s">
        <v>1489</v>
      </c>
      <c r="AT514" t="s">
        <v>1489</v>
      </c>
      <c r="AU514" t="s">
        <v>1488</v>
      </c>
      <c r="AV514" t="s">
        <v>1490</v>
      </c>
      <c r="AW514" t="s">
        <v>1491</v>
      </c>
      <c r="AZ514">
        <v>69003</v>
      </c>
      <c r="BA514" t="s">
        <v>151</v>
      </c>
      <c r="BB514" t="s">
        <v>61</v>
      </c>
      <c r="BC514" t="s">
        <v>62</v>
      </c>
    </row>
    <row r="515" spans="1:55" x14ac:dyDescent="0.25">
      <c r="A515" s="1" t="str">
        <f>IF(COUNTIF(Catégories!A:A,X515)=0,"catégorie inconnue",_xlfn.XLOOKUP(X515,Catégories!A:A,Catégories!B:B))</f>
        <v>Frêt</v>
      </c>
      <c r="B515" s="1">
        <f t="shared" ref="B515:B578" si="24">SUM(AJ515:AL515)+SUM(AN515:AP515)</f>
        <v>0</v>
      </c>
      <c r="C515" s="1">
        <f t="shared" ref="C515:C578" si="25">AN515</f>
        <v>0</v>
      </c>
      <c r="D515" s="1">
        <f t="shared" ref="D515:D578" si="26">B515-C515</f>
        <v>0</v>
      </c>
      <c r="E515" s="20">
        <f>IF(AH515&lt;&gt;0,ROUNDUP(AH515,0),IF(BB515&lt;&gt;"FR","hors France",IF(AH515&lt;&gt;0,ROUNDUP(AH515,0),_xlfn.XLOOKUP(AJ515,'PA GLS'!B:B,'PA GLS'!A:A))))</f>
        <v>1</v>
      </c>
      <c r="F515">
        <v>2501382993</v>
      </c>
      <c r="G515">
        <v>1030220043</v>
      </c>
      <c r="H515" t="s">
        <v>366</v>
      </c>
      <c r="I515">
        <v>2500034092</v>
      </c>
      <c r="J515" t="s">
        <v>50</v>
      </c>
      <c r="K515">
        <v>9000009190</v>
      </c>
      <c r="L515">
        <v>46946</v>
      </c>
      <c r="M515" t="s">
        <v>51</v>
      </c>
      <c r="N515">
        <v>9000079830</v>
      </c>
      <c r="O515" t="s">
        <v>187</v>
      </c>
      <c r="S515">
        <v>2507012387</v>
      </c>
      <c r="T515" t="s">
        <v>50</v>
      </c>
      <c r="U515" t="s">
        <v>122</v>
      </c>
      <c r="V515" t="s">
        <v>176</v>
      </c>
      <c r="W515" t="s">
        <v>177</v>
      </c>
      <c r="X515" t="s">
        <v>152</v>
      </c>
      <c r="Z515">
        <v>59</v>
      </c>
      <c r="AA515" t="s">
        <v>1378</v>
      </c>
      <c r="AB515" t="s">
        <v>1492</v>
      </c>
      <c r="AC515">
        <v>2604000176</v>
      </c>
      <c r="AE515">
        <v>0</v>
      </c>
      <c r="AF515">
        <v>1</v>
      </c>
      <c r="AG515">
        <v>0</v>
      </c>
      <c r="AH515">
        <v>0.9</v>
      </c>
      <c r="AI515" t="s">
        <v>56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 t="s">
        <v>57</v>
      </c>
      <c r="AS515" t="s">
        <v>1493</v>
      </c>
      <c r="AT515" t="s">
        <v>1493</v>
      </c>
      <c r="AU515" t="s">
        <v>1492</v>
      </c>
      <c r="AV515" t="s">
        <v>1494</v>
      </c>
      <c r="AW515" t="s">
        <v>1495</v>
      </c>
      <c r="AZ515">
        <v>34000</v>
      </c>
      <c r="BA515" t="s">
        <v>230</v>
      </c>
      <c r="BB515" t="s">
        <v>61</v>
      </c>
      <c r="BC515" t="s">
        <v>62</v>
      </c>
    </row>
    <row r="516" spans="1:55" x14ac:dyDescent="0.25">
      <c r="A516" s="1" t="str">
        <f>IF(COUNTIF(Catégories!A:A,X516)=0,"catégorie inconnue",_xlfn.XLOOKUP(X516,Catégories!A:A,Catégories!B:B))</f>
        <v>Frêt</v>
      </c>
      <c r="B516" s="1">
        <f t="shared" si="24"/>
        <v>0</v>
      </c>
      <c r="C516" s="1">
        <f t="shared" si="25"/>
        <v>0</v>
      </c>
      <c r="D516" s="1">
        <f t="shared" si="26"/>
        <v>0</v>
      </c>
      <c r="E516" s="20">
        <f>IF(AH516&lt;&gt;0,ROUNDUP(AH516,0),IF(BB516&lt;&gt;"FR","hors France",IF(AH516&lt;&gt;0,ROUNDUP(AH516,0),_xlfn.XLOOKUP(AJ516,'PA GLS'!B:B,'PA GLS'!A:A))))</f>
        <v>3</v>
      </c>
      <c r="F516">
        <v>2501382993</v>
      </c>
      <c r="G516">
        <v>1030220043</v>
      </c>
      <c r="H516" t="s">
        <v>366</v>
      </c>
      <c r="I516">
        <v>2500034092</v>
      </c>
      <c r="J516" t="s">
        <v>50</v>
      </c>
      <c r="K516">
        <v>9000009190</v>
      </c>
      <c r="L516">
        <v>46946</v>
      </c>
      <c r="M516" t="s">
        <v>51</v>
      </c>
      <c r="N516">
        <v>9000079830</v>
      </c>
      <c r="O516" t="s">
        <v>187</v>
      </c>
      <c r="S516">
        <v>2507012387</v>
      </c>
      <c r="T516" t="s">
        <v>50</v>
      </c>
      <c r="U516" t="s">
        <v>122</v>
      </c>
      <c r="V516" t="s">
        <v>176</v>
      </c>
      <c r="W516" t="s">
        <v>177</v>
      </c>
      <c r="X516" t="s">
        <v>152</v>
      </c>
      <c r="Z516">
        <v>59</v>
      </c>
      <c r="AA516" t="s">
        <v>1378</v>
      </c>
      <c r="AB516" t="s">
        <v>1496</v>
      </c>
      <c r="AC516">
        <v>2604000177</v>
      </c>
      <c r="AE516">
        <v>0</v>
      </c>
      <c r="AF516">
        <v>1</v>
      </c>
      <c r="AG516">
        <v>0</v>
      </c>
      <c r="AH516">
        <v>2.62</v>
      </c>
      <c r="AI516" t="s">
        <v>56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 t="s">
        <v>57</v>
      </c>
      <c r="AS516" t="s">
        <v>1497</v>
      </c>
      <c r="AT516" t="s">
        <v>1497</v>
      </c>
      <c r="AU516" t="s">
        <v>1496</v>
      </c>
      <c r="AV516" t="s">
        <v>1498</v>
      </c>
      <c r="AW516" t="s">
        <v>1499</v>
      </c>
      <c r="AZ516">
        <v>69006</v>
      </c>
      <c r="BA516" t="s">
        <v>151</v>
      </c>
      <c r="BB516" t="s">
        <v>61</v>
      </c>
      <c r="BC516" t="s">
        <v>62</v>
      </c>
    </row>
    <row r="517" spans="1:55" x14ac:dyDescent="0.25">
      <c r="A517" s="1" t="str">
        <f>IF(COUNTIF(Catégories!A:A,X517)=0,"catégorie inconnue",_xlfn.XLOOKUP(X517,Catégories!A:A,Catégories!B:B))</f>
        <v>Frêt</v>
      </c>
      <c r="B517" s="1">
        <f t="shared" si="24"/>
        <v>0</v>
      </c>
      <c r="C517" s="1">
        <f t="shared" si="25"/>
        <v>0</v>
      </c>
      <c r="D517" s="1">
        <f t="shared" si="26"/>
        <v>0</v>
      </c>
      <c r="E517" s="20">
        <f>IF(AH517&lt;&gt;0,ROUNDUP(AH517,0),IF(BB517&lt;&gt;"FR","hors France",IF(AH517&lt;&gt;0,ROUNDUP(AH517,0),_xlfn.XLOOKUP(AJ517,'PA GLS'!B:B,'PA GLS'!A:A))))</f>
        <v>1</v>
      </c>
      <c r="F517">
        <v>2501382993</v>
      </c>
      <c r="G517">
        <v>1030220043</v>
      </c>
      <c r="H517" t="s">
        <v>366</v>
      </c>
      <c r="I517">
        <v>2500034092</v>
      </c>
      <c r="J517" t="s">
        <v>50</v>
      </c>
      <c r="K517">
        <v>9000009190</v>
      </c>
      <c r="L517">
        <v>46946</v>
      </c>
      <c r="M517" t="s">
        <v>51</v>
      </c>
      <c r="N517">
        <v>9000079830</v>
      </c>
      <c r="O517" t="s">
        <v>187</v>
      </c>
      <c r="S517">
        <v>2507012387</v>
      </c>
      <c r="T517" t="s">
        <v>50</v>
      </c>
      <c r="U517" t="s">
        <v>122</v>
      </c>
      <c r="V517" t="s">
        <v>176</v>
      </c>
      <c r="W517" t="s">
        <v>177</v>
      </c>
      <c r="X517" t="s">
        <v>152</v>
      </c>
      <c r="Z517">
        <v>59</v>
      </c>
      <c r="AA517" t="s">
        <v>1378</v>
      </c>
      <c r="AB517" t="s">
        <v>1500</v>
      </c>
      <c r="AC517">
        <v>2604000178</v>
      </c>
      <c r="AE517">
        <v>0</v>
      </c>
      <c r="AF517">
        <v>1</v>
      </c>
      <c r="AG517">
        <v>0</v>
      </c>
      <c r="AH517">
        <v>0.88</v>
      </c>
      <c r="AI517" t="s">
        <v>56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 t="s">
        <v>57</v>
      </c>
      <c r="AS517" t="s">
        <v>1501</v>
      </c>
      <c r="AT517" t="s">
        <v>1501</v>
      </c>
      <c r="AU517" t="s">
        <v>1500</v>
      </c>
      <c r="AV517" t="s">
        <v>1502</v>
      </c>
      <c r="AW517" t="s">
        <v>1503</v>
      </c>
      <c r="AZ517">
        <v>44120</v>
      </c>
      <c r="BA517" t="s">
        <v>403</v>
      </c>
      <c r="BB517" t="s">
        <v>61</v>
      </c>
      <c r="BC517" t="s">
        <v>62</v>
      </c>
    </row>
    <row r="518" spans="1:55" x14ac:dyDescent="0.25">
      <c r="A518" s="1" t="str">
        <f>IF(COUNTIF(Catégories!A:A,X518)=0,"catégorie inconnue",_xlfn.XLOOKUP(X518,Catégories!A:A,Catégories!B:B))</f>
        <v>Frêt</v>
      </c>
      <c r="B518" s="1">
        <f t="shared" si="24"/>
        <v>0</v>
      </c>
      <c r="C518" s="1">
        <f t="shared" si="25"/>
        <v>0</v>
      </c>
      <c r="D518" s="1">
        <f t="shared" si="26"/>
        <v>0</v>
      </c>
      <c r="E518" s="20">
        <f>IF(AH518&lt;&gt;0,ROUNDUP(AH518,0),IF(BB518&lt;&gt;"FR","hors France",IF(AH518&lt;&gt;0,ROUNDUP(AH518,0),_xlfn.XLOOKUP(AJ518,'PA GLS'!B:B,'PA GLS'!A:A))))</f>
        <v>3</v>
      </c>
      <c r="F518">
        <v>2501382993</v>
      </c>
      <c r="G518">
        <v>1030220043</v>
      </c>
      <c r="H518" t="s">
        <v>366</v>
      </c>
      <c r="I518">
        <v>2500034092</v>
      </c>
      <c r="J518" t="s">
        <v>50</v>
      </c>
      <c r="K518">
        <v>9000009190</v>
      </c>
      <c r="L518">
        <v>46946</v>
      </c>
      <c r="M518" t="s">
        <v>51</v>
      </c>
      <c r="N518">
        <v>9000079830</v>
      </c>
      <c r="O518" t="s">
        <v>187</v>
      </c>
      <c r="S518">
        <v>2507012387</v>
      </c>
      <c r="T518" t="s">
        <v>50</v>
      </c>
      <c r="U518" t="s">
        <v>122</v>
      </c>
      <c r="V518" t="s">
        <v>176</v>
      </c>
      <c r="W518" t="s">
        <v>177</v>
      </c>
      <c r="X518" t="s">
        <v>152</v>
      </c>
      <c r="Z518">
        <v>59</v>
      </c>
      <c r="AA518" t="s">
        <v>1378</v>
      </c>
      <c r="AB518" t="s">
        <v>1504</v>
      </c>
      <c r="AC518">
        <v>2604000179</v>
      </c>
      <c r="AE518">
        <v>0</v>
      </c>
      <c r="AF518">
        <v>1</v>
      </c>
      <c r="AG518">
        <v>0</v>
      </c>
      <c r="AH518">
        <v>2.56</v>
      </c>
      <c r="AI518" t="s">
        <v>56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 t="s">
        <v>57</v>
      </c>
      <c r="AS518" t="s">
        <v>1505</v>
      </c>
      <c r="AT518" t="s">
        <v>1505</v>
      </c>
      <c r="AU518" t="s">
        <v>1504</v>
      </c>
      <c r="AV518" t="s">
        <v>1506</v>
      </c>
      <c r="AW518" t="s">
        <v>1507</v>
      </c>
      <c r="AZ518">
        <v>33170</v>
      </c>
      <c r="BA518" t="s">
        <v>1508</v>
      </c>
      <c r="BB518" t="s">
        <v>61</v>
      </c>
      <c r="BC518" t="s">
        <v>62</v>
      </c>
    </row>
    <row r="519" spans="1:55" x14ac:dyDescent="0.25">
      <c r="A519" s="1" t="str">
        <f>IF(COUNTIF(Catégories!A:A,X519)=0,"catégorie inconnue",_xlfn.XLOOKUP(X519,Catégories!A:A,Catégories!B:B))</f>
        <v>Frêt</v>
      </c>
      <c r="B519" s="1">
        <f t="shared" si="24"/>
        <v>0</v>
      </c>
      <c r="C519" s="1">
        <f t="shared" si="25"/>
        <v>0</v>
      </c>
      <c r="D519" s="1">
        <f t="shared" si="26"/>
        <v>0</v>
      </c>
      <c r="E519" s="20">
        <f>IF(AH519&lt;&gt;0,ROUNDUP(AH519,0),IF(BB519&lt;&gt;"FR","hors France",IF(AH519&lt;&gt;0,ROUNDUP(AH519,0),_xlfn.XLOOKUP(AJ519,'PA GLS'!B:B,'PA GLS'!A:A))))</f>
        <v>1</v>
      </c>
      <c r="F519">
        <v>2501382993</v>
      </c>
      <c r="G519">
        <v>1030220043</v>
      </c>
      <c r="H519" t="s">
        <v>366</v>
      </c>
      <c r="I519">
        <v>2500034092</v>
      </c>
      <c r="J519" t="s">
        <v>50</v>
      </c>
      <c r="K519">
        <v>9000009190</v>
      </c>
      <c r="L519">
        <v>46946</v>
      </c>
      <c r="M519" t="s">
        <v>51</v>
      </c>
      <c r="N519">
        <v>9000079830</v>
      </c>
      <c r="O519" t="s">
        <v>187</v>
      </c>
      <c r="S519">
        <v>2507012387</v>
      </c>
      <c r="T519" t="s">
        <v>50</v>
      </c>
      <c r="U519" t="s">
        <v>122</v>
      </c>
      <c r="V519" t="s">
        <v>176</v>
      </c>
      <c r="W519" t="s">
        <v>177</v>
      </c>
      <c r="X519" t="s">
        <v>152</v>
      </c>
      <c r="Z519">
        <v>59</v>
      </c>
      <c r="AA519" t="s">
        <v>1378</v>
      </c>
      <c r="AB519" t="s">
        <v>1509</v>
      </c>
      <c r="AC519">
        <v>2604000180</v>
      </c>
      <c r="AE519">
        <v>0</v>
      </c>
      <c r="AF519">
        <v>1</v>
      </c>
      <c r="AG519">
        <v>0</v>
      </c>
      <c r="AH519">
        <v>0.85</v>
      </c>
      <c r="AI519" t="s">
        <v>56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 t="s">
        <v>57</v>
      </c>
      <c r="AS519" t="s">
        <v>1510</v>
      </c>
      <c r="AT519" t="s">
        <v>1510</v>
      </c>
      <c r="AU519" t="s">
        <v>1509</v>
      </c>
      <c r="AV519" t="s">
        <v>1511</v>
      </c>
      <c r="AW519" t="s">
        <v>1512</v>
      </c>
      <c r="AZ519">
        <v>94160</v>
      </c>
      <c r="BA519" t="s">
        <v>1513</v>
      </c>
      <c r="BB519" t="s">
        <v>61</v>
      </c>
      <c r="BC519" t="s">
        <v>62</v>
      </c>
    </row>
    <row r="520" spans="1:55" x14ac:dyDescent="0.25">
      <c r="A520" s="1" t="str">
        <f>IF(COUNTIF(Catégories!A:A,X520)=0,"catégorie inconnue",_xlfn.XLOOKUP(X520,Catégories!A:A,Catégories!B:B))</f>
        <v>Frêt</v>
      </c>
      <c r="B520" s="1">
        <f t="shared" si="24"/>
        <v>0</v>
      </c>
      <c r="C520" s="1">
        <f t="shared" si="25"/>
        <v>0</v>
      </c>
      <c r="D520" s="1">
        <f t="shared" si="26"/>
        <v>0</v>
      </c>
      <c r="E520" s="20">
        <f>IF(AH520&lt;&gt;0,ROUNDUP(AH520,0),IF(BB520&lt;&gt;"FR","hors France",IF(AH520&lt;&gt;0,ROUNDUP(AH520,0),_xlfn.XLOOKUP(AJ520,'PA GLS'!B:B,'PA GLS'!A:A))))</f>
        <v>2</v>
      </c>
      <c r="F520">
        <v>2501382993</v>
      </c>
      <c r="G520">
        <v>1030220043</v>
      </c>
      <c r="H520" t="s">
        <v>366</v>
      </c>
      <c r="I520">
        <v>2500034092</v>
      </c>
      <c r="J520" t="s">
        <v>50</v>
      </c>
      <c r="K520">
        <v>9000009190</v>
      </c>
      <c r="L520">
        <v>46946</v>
      </c>
      <c r="M520" t="s">
        <v>51</v>
      </c>
      <c r="N520">
        <v>9000079830</v>
      </c>
      <c r="O520" t="s">
        <v>187</v>
      </c>
      <c r="S520">
        <v>2507012387</v>
      </c>
      <c r="T520" t="s">
        <v>50</v>
      </c>
      <c r="U520" t="s">
        <v>122</v>
      </c>
      <c r="V520" t="s">
        <v>176</v>
      </c>
      <c r="W520" t="s">
        <v>177</v>
      </c>
      <c r="X520" t="s">
        <v>152</v>
      </c>
      <c r="Z520">
        <v>59</v>
      </c>
      <c r="AA520" t="s">
        <v>1378</v>
      </c>
      <c r="AB520" t="s">
        <v>1514</v>
      </c>
      <c r="AC520">
        <v>2604000181</v>
      </c>
      <c r="AE520">
        <v>0</v>
      </c>
      <c r="AF520">
        <v>1</v>
      </c>
      <c r="AG520">
        <v>0</v>
      </c>
      <c r="AH520">
        <v>1.1100000000000001</v>
      </c>
      <c r="AI520" t="s">
        <v>56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 t="s">
        <v>57</v>
      </c>
      <c r="AS520" t="s">
        <v>1515</v>
      </c>
      <c r="AT520" t="s">
        <v>1515</v>
      </c>
      <c r="AU520" t="s">
        <v>1514</v>
      </c>
      <c r="AV520" t="s">
        <v>1516</v>
      </c>
      <c r="AW520" t="s">
        <v>1517</v>
      </c>
      <c r="AZ520">
        <v>33000</v>
      </c>
      <c r="BA520" t="s">
        <v>228</v>
      </c>
      <c r="BB520" t="s">
        <v>61</v>
      </c>
      <c r="BC520" t="s">
        <v>62</v>
      </c>
    </row>
    <row r="521" spans="1:55" x14ac:dyDescent="0.25">
      <c r="A521" s="1" t="str">
        <f>IF(COUNTIF(Catégories!A:A,X521)=0,"catégorie inconnue",_xlfn.XLOOKUP(X521,Catégories!A:A,Catégories!B:B))</f>
        <v>Frêt</v>
      </c>
      <c r="B521" s="1">
        <f t="shared" si="24"/>
        <v>0</v>
      </c>
      <c r="C521" s="1">
        <f t="shared" si="25"/>
        <v>0</v>
      </c>
      <c r="D521" s="1">
        <f t="shared" si="26"/>
        <v>0</v>
      </c>
      <c r="E521" s="20">
        <f>IF(AH521&lt;&gt;0,ROUNDUP(AH521,0),IF(BB521&lt;&gt;"FR","hors France",IF(AH521&lt;&gt;0,ROUNDUP(AH521,0),_xlfn.XLOOKUP(AJ521,'PA GLS'!B:B,'PA GLS'!A:A))))</f>
        <v>3</v>
      </c>
      <c r="F521">
        <v>2501382993</v>
      </c>
      <c r="G521">
        <v>1030220043</v>
      </c>
      <c r="H521" t="s">
        <v>366</v>
      </c>
      <c r="I521">
        <v>2500034092</v>
      </c>
      <c r="J521" t="s">
        <v>50</v>
      </c>
      <c r="K521">
        <v>9000009190</v>
      </c>
      <c r="L521">
        <v>46946</v>
      </c>
      <c r="M521" t="s">
        <v>51</v>
      </c>
      <c r="N521">
        <v>9000079830</v>
      </c>
      <c r="O521" t="s">
        <v>187</v>
      </c>
      <c r="S521">
        <v>2507012387</v>
      </c>
      <c r="T521" t="s">
        <v>50</v>
      </c>
      <c r="U521" t="s">
        <v>122</v>
      </c>
      <c r="V521" t="s">
        <v>176</v>
      </c>
      <c r="W521" t="s">
        <v>177</v>
      </c>
      <c r="X521" t="s">
        <v>152</v>
      </c>
      <c r="Z521">
        <v>59</v>
      </c>
      <c r="AA521" t="s">
        <v>1378</v>
      </c>
      <c r="AB521" t="s">
        <v>1518</v>
      </c>
      <c r="AC521">
        <v>2604000182</v>
      </c>
      <c r="AE521">
        <v>0</v>
      </c>
      <c r="AF521">
        <v>1</v>
      </c>
      <c r="AG521">
        <v>0</v>
      </c>
      <c r="AH521">
        <v>2.58</v>
      </c>
      <c r="AI521" t="s">
        <v>56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 t="s">
        <v>57</v>
      </c>
      <c r="AS521" t="s">
        <v>1519</v>
      </c>
      <c r="AT521" t="s">
        <v>1519</v>
      </c>
      <c r="AU521" t="s">
        <v>1518</v>
      </c>
      <c r="AV521" t="s">
        <v>1520</v>
      </c>
      <c r="AW521" t="s">
        <v>1521</v>
      </c>
      <c r="AZ521">
        <v>85000</v>
      </c>
      <c r="BA521" t="s">
        <v>1522</v>
      </c>
      <c r="BB521" t="s">
        <v>61</v>
      </c>
      <c r="BC521" t="s">
        <v>62</v>
      </c>
    </row>
    <row r="522" spans="1:55" x14ac:dyDescent="0.25">
      <c r="A522" s="1" t="str">
        <f>IF(COUNTIF(Catégories!A:A,X522)=0,"catégorie inconnue",_xlfn.XLOOKUP(X522,Catégories!A:A,Catégories!B:B))</f>
        <v>Frêt</v>
      </c>
      <c r="B522" s="1">
        <f t="shared" si="24"/>
        <v>0</v>
      </c>
      <c r="C522" s="1">
        <f t="shared" si="25"/>
        <v>0</v>
      </c>
      <c r="D522" s="1">
        <f t="shared" si="26"/>
        <v>0</v>
      </c>
      <c r="E522" s="20">
        <f>IF(AH522&lt;&gt;0,ROUNDUP(AH522,0),IF(BB522&lt;&gt;"FR","hors France",IF(AH522&lt;&gt;0,ROUNDUP(AH522,0),_xlfn.XLOOKUP(AJ522,'PA GLS'!B:B,'PA GLS'!A:A))))</f>
        <v>2</v>
      </c>
      <c r="F522">
        <v>2501382993</v>
      </c>
      <c r="G522">
        <v>1030220043</v>
      </c>
      <c r="H522" t="s">
        <v>366</v>
      </c>
      <c r="I522">
        <v>2500034092</v>
      </c>
      <c r="J522" t="s">
        <v>50</v>
      </c>
      <c r="K522">
        <v>9000009190</v>
      </c>
      <c r="L522">
        <v>46946</v>
      </c>
      <c r="M522" t="s">
        <v>51</v>
      </c>
      <c r="N522">
        <v>9000079830</v>
      </c>
      <c r="O522" t="s">
        <v>187</v>
      </c>
      <c r="S522">
        <v>2507012387</v>
      </c>
      <c r="T522" t="s">
        <v>50</v>
      </c>
      <c r="U522" t="s">
        <v>122</v>
      </c>
      <c r="V522" t="s">
        <v>176</v>
      </c>
      <c r="W522" t="s">
        <v>177</v>
      </c>
      <c r="X522" t="s">
        <v>152</v>
      </c>
      <c r="Z522">
        <v>59</v>
      </c>
      <c r="AA522" t="s">
        <v>1378</v>
      </c>
      <c r="AB522" t="s">
        <v>1523</v>
      </c>
      <c r="AC522">
        <v>2604000183</v>
      </c>
      <c r="AE522">
        <v>0</v>
      </c>
      <c r="AF522">
        <v>1</v>
      </c>
      <c r="AG522">
        <v>0</v>
      </c>
      <c r="AH522">
        <v>1.21</v>
      </c>
      <c r="AI522" t="s">
        <v>56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 t="s">
        <v>57</v>
      </c>
      <c r="AS522" t="s">
        <v>1524</v>
      </c>
      <c r="AT522" t="s">
        <v>1524</v>
      </c>
      <c r="AU522" t="s">
        <v>1523</v>
      </c>
      <c r="AV522" t="s">
        <v>1525</v>
      </c>
      <c r="AW522" t="s">
        <v>1526</v>
      </c>
      <c r="AZ522">
        <v>69003</v>
      </c>
      <c r="BA522" t="s">
        <v>151</v>
      </c>
      <c r="BB522" t="s">
        <v>61</v>
      </c>
      <c r="BC522" t="s">
        <v>62</v>
      </c>
    </row>
    <row r="523" spans="1:55" x14ac:dyDescent="0.25">
      <c r="A523" s="1" t="str">
        <f>IF(COUNTIF(Catégories!A:A,X523)=0,"catégorie inconnue",_xlfn.XLOOKUP(X523,Catégories!A:A,Catégories!B:B))</f>
        <v>Frêt</v>
      </c>
      <c r="B523" s="1">
        <f t="shared" si="24"/>
        <v>6.17</v>
      </c>
      <c r="C523" s="1">
        <f t="shared" si="25"/>
        <v>1.35</v>
      </c>
      <c r="D523" s="1">
        <f t="shared" si="26"/>
        <v>4.82</v>
      </c>
      <c r="E523" s="20">
        <f>IF(AH523&lt;&gt;0,ROUNDUP(AH523,0),IF(BB523&lt;&gt;"FR","hors France",IF(AH523&lt;&gt;0,ROUNDUP(AH523,0),_xlfn.XLOOKUP(AJ523,'PA GLS'!B:B,'PA GLS'!A:A))))</f>
        <v>0.5</v>
      </c>
      <c r="F523">
        <v>2501382993</v>
      </c>
      <c r="G523">
        <v>1030220043</v>
      </c>
      <c r="H523" t="s">
        <v>366</v>
      </c>
      <c r="I523">
        <v>2500034092</v>
      </c>
      <c r="J523" t="s">
        <v>50</v>
      </c>
      <c r="K523">
        <v>9000009190</v>
      </c>
      <c r="L523">
        <v>46946</v>
      </c>
      <c r="M523" t="s">
        <v>51</v>
      </c>
      <c r="N523">
        <v>9000079830</v>
      </c>
      <c r="O523" t="s">
        <v>187</v>
      </c>
      <c r="S523">
        <v>2507012387</v>
      </c>
      <c r="T523" t="s">
        <v>50</v>
      </c>
      <c r="U523" t="s">
        <v>122</v>
      </c>
      <c r="V523" t="s">
        <v>71</v>
      </c>
      <c r="W523" t="s">
        <v>72</v>
      </c>
      <c r="X523" t="s">
        <v>60</v>
      </c>
      <c r="Z523">
        <v>60</v>
      </c>
      <c r="AA523" t="s">
        <v>1378</v>
      </c>
      <c r="AB523" t="s">
        <v>1527</v>
      </c>
      <c r="AC523">
        <v>2604000136</v>
      </c>
      <c r="AE523">
        <v>0</v>
      </c>
      <c r="AF523">
        <v>0</v>
      </c>
      <c r="AG523">
        <v>0</v>
      </c>
      <c r="AH523">
        <v>0</v>
      </c>
      <c r="AI523" t="s">
        <v>56</v>
      </c>
      <c r="AJ523">
        <v>3.77</v>
      </c>
      <c r="AK523">
        <v>0.9</v>
      </c>
      <c r="AL523">
        <v>0.15</v>
      </c>
      <c r="AM523">
        <v>29.1</v>
      </c>
      <c r="AN523">
        <v>1.35</v>
      </c>
      <c r="AO523">
        <v>0</v>
      </c>
      <c r="AP523">
        <v>0</v>
      </c>
      <c r="AQ523" t="s">
        <v>57</v>
      </c>
      <c r="AS523" t="s">
        <v>1528</v>
      </c>
      <c r="AT523" t="s">
        <v>1528</v>
      </c>
      <c r="AU523" t="s">
        <v>1527</v>
      </c>
      <c r="AV523" t="s">
        <v>1529</v>
      </c>
      <c r="AW523" t="s">
        <v>1530</v>
      </c>
      <c r="AZ523">
        <v>67300</v>
      </c>
      <c r="BA523" t="s">
        <v>1531</v>
      </c>
      <c r="BB523" t="s">
        <v>61</v>
      </c>
      <c r="BC523" t="s">
        <v>62</v>
      </c>
    </row>
    <row r="524" spans="1:55" x14ac:dyDescent="0.25">
      <c r="A524" s="1" t="str">
        <f>IF(COUNTIF(Catégories!A:A,X524)=0,"catégorie inconnue",_xlfn.XLOOKUP(X524,Catégories!A:A,Catégories!B:B))</f>
        <v>Frêt</v>
      </c>
      <c r="B524" s="1">
        <f t="shared" si="24"/>
        <v>0</v>
      </c>
      <c r="C524" s="1">
        <f t="shared" si="25"/>
        <v>0</v>
      </c>
      <c r="D524" s="1">
        <f t="shared" si="26"/>
        <v>0</v>
      </c>
      <c r="E524" s="20">
        <f>IF(AH524&lt;&gt;0,ROUNDUP(AH524,0),IF(BB524&lt;&gt;"FR","hors France",IF(AH524&lt;&gt;0,ROUNDUP(AH524,0),_xlfn.XLOOKUP(AJ524,'PA GLS'!B:B,'PA GLS'!A:A))))</f>
        <v>3</v>
      </c>
      <c r="F524">
        <v>2501382993</v>
      </c>
      <c r="G524">
        <v>1030220043</v>
      </c>
      <c r="H524" t="s">
        <v>366</v>
      </c>
      <c r="I524">
        <v>2500034092</v>
      </c>
      <c r="J524" t="s">
        <v>50</v>
      </c>
      <c r="K524">
        <v>9000009190</v>
      </c>
      <c r="L524">
        <v>46946</v>
      </c>
      <c r="M524" t="s">
        <v>51</v>
      </c>
      <c r="N524">
        <v>9000079830</v>
      </c>
      <c r="O524" t="s">
        <v>187</v>
      </c>
      <c r="S524">
        <v>2507012387</v>
      </c>
      <c r="T524" t="s">
        <v>50</v>
      </c>
      <c r="U524" t="s">
        <v>122</v>
      </c>
      <c r="V524" t="s">
        <v>176</v>
      </c>
      <c r="W524" t="s">
        <v>177</v>
      </c>
      <c r="X524" t="s">
        <v>152</v>
      </c>
      <c r="Z524">
        <v>59</v>
      </c>
      <c r="AA524" t="s">
        <v>1378</v>
      </c>
      <c r="AB524" t="s">
        <v>1532</v>
      </c>
      <c r="AC524">
        <v>2604000135</v>
      </c>
      <c r="AE524">
        <v>0</v>
      </c>
      <c r="AF524">
        <v>1</v>
      </c>
      <c r="AG524">
        <v>0</v>
      </c>
      <c r="AH524">
        <v>2.2400000000000002</v>
      </c>
      <c r="AI524" t="s">
        <v>56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 t="s">
        <v>57</v>
      </c>
      <c r="AS524" t="s">
        <v>1533</v>
      </c>
      <c r="AT524" t="s">
        <v>1533</v>
      </c>
      <c r="AU524" t="s">
        <v>1532</v>
      </c>
      <c r="AV524" t="s">
        <v>1534</v>
      </c>
      <c r="AW524" t="s">
        <v>1535</v>
      </c>
      <c r="AZ524">
        <v>69130</v>
      </c>
      <c r="BA524" t="s">
        <v>347</v>
      </c>
      <c r="BB524" t="s">
        <v>61</v>
      </c>
      <c r="BC524" t="s">
        <v>62</v>
      </c>
    </row>
    <row r="525" spans="1:55" x14ac:dyDescent="0.25">
      <c r="A525" s="1" t="str">
        <f>IF(COUNTIF(Catégories!A:A,X525)=0,"catégorie inconnue",_xlfn.XLOOKUP(X525,Catégories!A:A,Catégories!B:B))</f>
        <v>Frêt</v>
      </c>
      <c r="B525" s="1">
        <f t="shared" si="24"/>
        <v>0</v>
      </c>
      <c r="C525" s="1">
        <f t="shared" si="25"/>
        <v>0</v>
      </c>
      <c r="D525" s="1">
        <f t="shared" si="26"/>
        <v>0</v>
      </c>
      <c r="E525" s="20">
        <f>IF(AH525&lt;&gt;0,ROUNDUP(AH525,0),IF(BB525&lt;&gt;"FR","hors France",IF(AH525&lt;&gt;0,ROUNDUP(AH525,0),_xlfn.XLOOKUP(AJ525,'PA GLS'!B:B,'PA GLS'!A:A))))</f>
        <v>1</v>
      </c>
      <c r="F525">
        <v>2501382993</v>
      </c>
      <c r="G525">
        <v>1030220043</v>
      </c>
      <c r="H525" t="s">
        <v>366</v>
      </c>
      <c r="I525">
        <v>2500034092</v>
      </c>
      <c r="J525" t="s">
        <v>50</v>
      </c>
      <c r="K525">
        <v>9000009190</v>
      </c>
      <c r="L525">
        <v>46946</v>
      </c>
      <c r="M525" t="s">
        <v>51</v>
      </c>
      <c r="N525">
        <v>9000079830</v>
      </c>
      <c r="O525" t="s">
        <v>187</v>
      </c>
      <c r="S525">
        <v>2507012387</v>
      </c>
      <c r="T525" t="s">
        <v>50</v>
      </c>
      <c r="U525" t="s">
        <v>122</v>
      </c>
      <c r="V525" t="s">
        <v>176</v>
      </c>
      <c r="W525" t="s">
        <v>177</v>
      </c>
      <c r="X525" t="s">
        <v>152</v>
      </c>
      <c r="Z525">
        <v>59</v>
      </c>
      <c r="AA525" t="s">
        <v>1378</v>
      </c>
      <c r="AB525" t="s">
        <v>1527</v>
      </c>
      <c r="AC525">
        <v>2604000136</v>
      </c>
      <c r="AE525">
        <v>0</v>
      </c>
      <c r="AF525">
        <v>1</v>
      </c>
      <c r="AG525">
        <v>0</v>
      </c>
      <c r="AH525">
        <v>0.42</v>
      </c>
      <c r="AI525" t="s">
        <v>56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 t="s">
        <v>57</v>
      </c>
      <c r="AS525" t="s">
        <v>1528</v>
      </c>
      <c r="AT525" t="s">
        <v>1528</v>
      </c>
      <c r="AU525" t="s">
        <v>1527</v>
      </c>
      <c r="AV525" t="s">
        <v>1529</v>
      </c>
      <c r="AW525" t="s">
        <v>1530</v>
      </c>
      <c r="AZ525">
        <v>67300</v>
      </c>
      <c r="BA525" t="s">
        <v>1531</v>
      </c>
      <c r="BB525" t="s">
        <v>61</v>
      </c>
      <c r="BC525" t="s">
        <v>62</v>
      </c>
    </row>
    <row r="526" spans="1:55" x14ac:dyDescent="0.25">
      <c r="A526" s="1" t="str">
        <f>IF(COUNTIF(Catégories!A:A,X526)=0,"catégorie inconnue",_xlfn.XLOOKUP(X526,Catégories!A:A,Catégories!B:B))</f>
        <v>Frêt</v>
      </c>
      <c r="B526" s="1">
        <f t="shared" si="24"/>
        <v>0</v>
      </c>
      <c r="C526" s="1">
        <f t="shared" si="25"/>
        <v>0</v>
      </c>
      <c r="D526" s="1">
        <f t="shared" si="26"/>
        <v>0</v>
      </c>
      <c r="E526" s="20">
        <f>IF(AH526&lt;&gt;0,ROUNDUP(AH526,0),IF(BB526&lt;&gt;"FR","hors France",IF(AH526&lt;&gt;0,ROUNDUP(AH526,0),_xlfn.XLOOKUP(AJ526,'PA GLS'!B:B,'PA GLS'!A:A))))</f>
        <v>2</v>
      </c>
      <c r="F526">
        <v>2501382993</v>
      </c>
      <c r="G526">
        <v>1030220043</v>
      </c>
      <c r="H526" t="s">
        <v>366</v>
      </c>
      <c r="I526">
        <v>2500034092</v>
      </c>
      <c r="J526" t="s">
        <v>50</v>
      </c>
      <c r="K526">
        <v>9000009190</v>
      </c>
      <c r="L526">
        <v>46946</v>
      </c>
      <c r="M526" t="s">
        <v>51</v>
      </c>
      <c r="N526">
        <v>9000079830</v>
      </c>
      <c r="O526" t="s">
        <v>187</v>
      </c>
      <c r="S526">
        <v>2507012387</v>
      </c>
      <c r="T526" t="s">
        <v>50</v>
      </c>
      <c r="U526" t="s">
        <v>122</v>
      </c>
      <c r="V526" t="s">
        <v>176</v>
      </c>
      <c r="W526" t="s">
        <v>177</v>
      </c>
      <c r="X526" t="s">
        <v>152</v>
      </c>
      <c r="Z526">
        <v>59</v>
      </c>
      <c r="AA526" t="s">
        <v>1378</v>
      </c>
      <c r="AB526" t="s">
        <v>1536</v>
      </c>
      <c r="AC526">
        <v>2604000137</v>
      </c>
      <c r="AE526">
        <v>0</v>
      </c>
      <c r="AF526">
        <v>1</v>
      </c>
      <c r="AG526">
        <v>0</v>
      </c>
      <c r="AH526">
        <v>1.56</v>
      </c>
      <c r="AI526" t="s">
        <v>56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 t="s">
        <v>57</v>
      </c>
      <c r="AS526" t="s">
        <v>1537</v>
      </c>
      <c r="AT526" t="s">
        <v>1537</v>
      </c>
      <c r="AU526" t="s">
        <v>1536</v>
      </c>
      <c r="AV526" t="s">
        <v>1538</v>
      </c>
      <c r="AW526" t="s">
        <v>1539</v>
      </c>
      <c r="AZ526">
        <v>31400</v>
      </c>
      <c r="BA526" t="s">
        <v>218</v>
      </c>
      <c r="BB526" t="s">
        <v>61</v>
      </c>
      <c r="BC526" t="s">
        <v>62</v>
      </c>
    </row>
    <row r="527" spans="1:55" x14ac:dyDescent="0.25">
      <c r="A527" s="1" t="str">
        <f>IF(COUNTIF(Catégories!A:A,X527)=0,"catégorie inconnue",_xlfn.XLOOKUP(X527,Catégories!A:A,Catégories!B:B))</f>
        <v>Frêt</v>
      </c>
      <c r="B527" s="1">
        <f t="shared" si="24"/>
        <v>0</v>
      </c>
      <c r="C527" s="1">
        <f t="shared" si="25"/>
        <v>0</v>
      </c>
      <c r="D527" s="1">
        <f t="shared" si="26"/>
        <v>0</v>
      </c>
      <c r="E527" s="20">
        <f>IF(AH527&lt;&gt;0,ROUNDUP(AH527,0),IF(BB527&lt;&gt;"FR","hors France",IF(AH527&lt;&gt;0,ROUNDUP(AH527,0),_xlfn.XLOOKUP(AJ527,'PA GLS'!B:B,'PA GLS'!A:A))))</f>
        <v>1</v>
      </c>
      <c r="F527">
        <v>2501382993</v>
      </c>
      <c r="G527">
        <v>1030220043</v>
      </c>
      <c r="H527" t="s">
        <v>366</v>
      </c>
      <c r="I527">
        <v>2500034092</v>
      </c>
      <c r="J527" t="s">
        <v>50</v>
      </c>
      <c r="K527">
        <v>9000009190</v>
      </c>
      <c r="L527">
        <v>46946</v>
      </c>
      <c r="M527" t="s">
        <v>51</v>
      </c>
      <c r="N527">
        <v>9000079830</v>
      </c>
      <c r="O527" t="s">
        <v>187</v>
      </c>
      <c r="S527">
        <v>2507012387</v>
      </c>
      <c r="T527" t="s">
        <v>50</v>
      </c>
      <c r="U527" t="s">
        <v>122</v>
      </c>
      <c r="V527" t="s">
        <v>176</v>
      </c>
      <c r="W527" t="s">
        <v>177</v>
      </c>
      <c r="X527" t="s">
        <v>152</v>
      </c>
      <c r="Z527">
        <v>59</v>
      </c>
      <c r="AA527" t="s">
        <v>1378</v>
      </c>
      <c r="AB527" t="s">
        <v>1540</v>
      </c>
      <c r="AC527">
        <v>2604000138</v>
      </c>
      <c r="AE527">
        <v>0</v>
      </c>
      <c r="AF527">
        <v>1</v>
      </c>
      <c r="AG527">
        <v>0</v>
      </c>
      <c r="AH527">
        <v>0.41</v>
      </c>
      <c r="AI527" t="s">
        <v>56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 t="s">
        <v>57</v>
      </c>
      <c r="AS527" t="s">
        <v>1541</v>
      </c>
      <c r="AT527" t="s">
        <v>1541</v>
      </c>
      <c r="AU527" t="s">
        <v>1540</v>
      </c>
      <c r="AV527" t="s">
        <v>1542</v>
      </c>
      <c r="AW527" t="s">
        <v>1543</v>
      </c>
      <c r="AZ527">
        <v>91150</v>
      </c>
      <c r="BA527" t="s">
        <v>1544</v>
      </c>
      <c r="BB527" t="s">
        <v>61</v>
      </c>
      <c r="BC527" t="s">
        <v>62</v>
      </c>
    </row>
    <row r="528" spans="1:55" x14ac:dyDescent="0.25">
      <c r="A528" s="1" t="str">
        <f>IF(COUNTIF(Catégories!A:A,X528)=0,"catégorie inconnue",_xlfn.XLOOKUP(X528,Catégories!A:A,Catégories!B:B))</f>
        <v>Frêt</v>
      </c>
      <c r="B528" s="1">
        <f t="shared" si="24"/>
        <v>0</v>
      </c>
      <c r="C528" s="1">
        <f t="shared" si="25"/>
        <v>0</v>
      </c>
      <c r="D528" s="1">
        <f t="shared" si="26"/>
        <v>0</v>
      </c>
      <c r="E528" s="20">
        <f>IF(AH528&lt;&gt;0,ROUNDUP(AH528,0),IF(BB528&lt;&gt;"FR","hors France",IF(AH528&lt;&gt;0,ROUNDUP(AH528,0),_xlfn.XLOOKUP(AJ528,'PA GLS'!B:B,'PA GLS'!A:A))))</f>
        <v>1</v>
      </c>
      <c r="F528">
        <v>2501382993</v>
      </c>
      <c r="G528">
        <v>1030220043</v>
      </c>
      <c r="H528" t="s">
        <v>366</v>
      </c>
      <c r="I528">
        <v>2500034092</v>
      </c>
      <c r="J528" t="s">
        <v>50</v>
      </c>
      <c r="K528">
        <v>9000009190</v>
      </c>
      <c r="L528">
        <v>46946</v>
      </c>
      <c r="M528" t="s">
        <v>51</v>
      </c>
      <c r="N528">
        <v>9000079830</v>
      </c>
      <c r="O528" t="s">
        <v>187</v>
      </c>
      <c r="S528">
        <v>2507012387</v>
      </c>
      <c r="T528" t="s">
        <v>50</v>
      </c>
      <c r="U528" t="s">
        <v>122</v>
      </c>
      <c r="V528" t="s">
        <v>176</v>
      </c>
      <c r="W528" t="s">
        <v>177</v>
      </c>
      <c r="X528" t="s">
        <v>152</v>
      </c>
      <c r="Z528">
        <v>59</v>
      </c>
      <c r="AA528" t="s">
        <v>1378</v>
      </c>
      <c r="AB528" t="s">
        <v>1545</v>
      </c>
      <c r="AC528">
        <v>2604000139</v>
      </c>
      <c r="AE528">
        <v>0</v>
      </c>
      <c r="AF528">
        <v>1</v>
      </c>
      <c r="AG528">
        <v>0</v>
      </c>
      <c r="AH528">
        <v>0.42</v>
      </c>
      <c r="AI528" t="s">
        <v>56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 t="s">
        <v>57</v>
      </c>
      <c r="AS528" t="s">
        <v>1546</v>
      </c>
      <c r="AT528" t="s">
        <v>1546</v>
      </c>
      <c r="AU528" t="s">
        <v>1545</v>
      </c>
      <c r="AV528" t="s">
        <v>1547</v>
      </c>
      <c r="AW528" t="s">
        <v>1548</v>
      </c>
      <c r="AZ528">
        <v>33800</v>
      </c>
      <c r="BA528" t="s">
        <v>228</v>
      </c>
      <c r="BB528" t="s">
        <v>61</v>
      </c>
      <c r="BC528" t="s">
        <v>62</v>
      </c>
    </row>
    <row r="529" spans="1:55" x14ac:dyDescent="0.25">
      <c r="A529" s="1" t="str">
        <f>IF(COUNTIF(Catégories!A:A,X529)=0,"catégorie inconnue",_xlfn.XLOOKUP(X529,Catégories!A:A,Catégories!B:B))</f>
        <v>Frêt</v>
      </c>
      <c r="B529" s="1">
        <f t="shared" si="24"/>
        <v>0</v>
      </c>
      <c r="C529" s="1">
        <f t="shared" si="25"/>
        <v>0</v>
      </c>
      <c r="D529" s="1">
        <f t="shared" si="26"/>
        <v>0</v>
      </c>
      <c r="E529" s="20">
        <f>IF(AH529&lt;&gt;0,ROUNDUP(AH529,0),IF(BB529&lt;&gt;"FR","hors France",IF(AH529&lt;&gt;0,ROUNDUP(AH529,0),_xlfn.XLOOKUP(AJ529,'PA GLS'!B:B,'PA GLS'!A:A))))</f>
        <v>2</v>
      </c>
      <c r="F529">
        <v>2501382993</v>
      </c>
      <c r="G529">
        <v>1030220043</v>
      </c>
      <c r="H529" t="s">
        <v>366</v>
      </c>
      <c r="I529">
        <v>2500034092</v>
      </c>
      <c r="J529" t="s">
        <v>50</v>
      </c>
      <c r="K529">
        <v>9000009190</v>
      </c>
      <c r="L529">
        <v>46946</v>
      </c>
      <c r="M529" t="s">
        <v>51</v>
      </c>
      <c r="N529">
        <v>9000079830</v>
      </c>
      <c r="O529" t="s">
        <v>187</v>
      </c>
      <c r="S529">
        <v>2507012387</v>
      </c>
      <c r="T529" t="s">
        <v>50</v>
      </c>
      <c r="U529" t="s">
        <v>122</v>
      </c>
      <c r="V529" t="s">
        <v>176</v>
      </c>
      <c r="W529" t="s">
        <v>177</v>
      </c>
      <c r="X529" t="s">
        <v>152</v>
      </c>
      <c r="Z529">
        <v>59</v>
      </c>
      <c r="AA529" t="s">
        <v>1378</v>
      </c>
      <c r="AB529" t="s">
        <v>1549</v>
      </c>
      <c r="AC529">
        <v>2604000140</v>
      </c>
      <c r="AE529">
        <v>0</v>
      </c>
      <c r="AF529">
        <v>1</v>
      </c>
      <c r="AG529">
        <v>0</v>
      </c>
      <c r="AH529">
        <v>1.1200000000000001</v>
      </c>
      <c r="AI529" t="s">
        <v>56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 t="s">
        <v>57</v>
      </c>
      <c r="AS529" t="s">
        <v>1550</v>
      </c>
      <c r="AT529" t="s">
        <v>1550</v>
      </c>
      <c r="AU529" t="s">
        <v>1549</v>
      </c>
      <c r="AV529" t="s">
        <v>1551</v>
      </c>
      <c r="AW529" t="s">
        <v>1552</v>
      </c>
      <c r="AZ529">
        <v>16210</v>
      </c>
      <c r="BA529" t="s">
        <v>1553</v>
      </c>
      <c r="BB529" t="s">
        <v>61</v>
      </c>
      <c r="BC529" t="s">
        <v>62</v>
      </c>
    </row>
    <row r="530" spans="1:55" x14ac:dyDescent="0.25">
      <c r="A530" s="1" t="str">
        <f>IF(COUNTIF(Catégories!A:A,X530)=0,"catégorie inconnue",_xlfn.XLOOKUP(X530,Catégories!A:A,Catégories!B:B))</f>
        <v>Frêt</v>
      </c>
      <c r="B530" s="1">
        <f t="shared" si="24"/>
        <v>0</v>
      </c>
      <c r="C530" s="1">
        <f t="shared" si="25"/>
        <v>0</v>
      </c>
      <c r="D530" s="1">
        <f t="shared" si="26"/>
        <v>0</v>
      </c>
      <c r="E530" s="20">
        <f>IF(AH530&lt;&gt;0,ROUNDUP(AH530,0),IF(BB530&lt;&gt;"FR","hors France",IF(AH530&lt;&gt;0,ROUNDUP(AH530,0),_xlfn.XLOOKUP(AJ530,'PA GLS'!B:B,'PA GLS'!A:A))))</f>
        <v>1</v>
      </c>
      <c r="F530">
        <v>2501382993</v>
      </c>
      <c r="G530">
        <v>1030220043</v>
      </c>
      <c r="H530" t="s">
        <v>366</v>
      </c>
      <c r="I530">
        <v>2500034092</v>
      </c>
      <c r="J530" t="s">
        <v>50</v>
      </c>
      <c r="K530">
        <v>9000009190</v>
      </c>
      <c r="L530">
        <v>46946</v>
      </c>
      <c r="M530" t="s">
        <v>51</v>
      </c>
      <c r="N530">
        <v>9000079830</v>
      </c>
      <c r="O530" t="s">
        <v>187</v>
      </c>
      <c r="S530">
        <v>2507012387</v>
      </c>
      <c r="T530" t="s">
        <v>50</v>
      </c>
      <c r="U530" t="s">
        <v>122</v>
      </c>
      <c r="V530" t="s">
        <v>176</v>
      </c>
      <c r="W530" t="s">
        <v>177</v>
      </c>
      <c r="X530" t="s">
        <v>152</v>
      </c>
      <c r="Z530">
        <v>59</v>
      </c>
      <c r="AA530" t="s">
        <v>1378</v>
      </c>
      <c r="AB530" t="s">
        <v>1554</v>
      </c>
      <c r="AC530">
        <v>2604000141</v>
      </c>
      <c r="AE530">
        <v>0</v>
      </c>
      <c r="AF530">
        <v>1</v>
      </c>
      <c r="AG530">
        <v>0</v>
      </c>
      <c r="AH530">
        <v>0.81</v>
      </c>
      <c r="AI530" t="s">
        <v>56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 t="s">
        <v>57</v>
      </c>
      <c r="AS530" t="s">
        <v>1555</v>
      </c>
      <c r="AT530" t="s">
        <v>1555</v>
      </c>
      <c r="AU530" t="s">
        <v>1554</v>
      </c>
      <c r="AV530" t="s">
        <v>1556</v>
      </c>
      <c r="AW530" t="s">
        <v>1557</v>
      </c>
      <c r="AZ530">
        <v>80000</v>
      </c>
      <c r="BA530" t="s">
        <v>295</v>
      </c>
      <c r="BB530" t="s">
        <v>61</v>
      </c>
      <c r="BC530" t="s">
        <v>62</v>
      </c>
    </row>
    <row r="531" spans="1:55" x14ac:dyDescent="0.25">
      <c r="A531" s="1" t="str">
        <f>IF(COUNTIF(Catégories!A:A,X531)=0,"catégorie inconnue",_xlfn.XLOOKUP(X531,Catégories!A:A,Catégories!B:B))</f>
        <v>Frêt</v>
      </c>
      <c r="B531" s="1">
        <f t="shared" si="24"/>
        <v>0</v>
      </c>
      <c r="C531" s="1">
        <f t="shared" si="25"/>
        <v>0</v>
      </c>
      <c r="D531" s="1">
        <f t="shared" si="26"/>
        <v>0</v>
      </c>
      <c r="E531" s="20">
        <f>IF(AH531&lt;&gt;0,ROUNDUP(AH531,0),IF(BB531&lt;&gt;"FR","hors France",IF(AH531&lt;&gt;0,ROUNDUP(AH531,0),_xlfn.XLOOKUP(AJ531,'PA GLS'!B:B,'PA GLS'!A:A))))</f>
        <v>2</v>
      </c>
      <c r="F531">
        <v>2501382993</v>
      </c>
      <c r="G531">
        <v>1030220043</v>
      </c>
      <c r="H531" t="s">
        <v>366</v>
      </c>
      <c r="I531">
        <v>2500034092</v>
      </c>
      <c r="J531" t="s">
        <v>50</v>
      </c>
      <c r="K531">
        <v>9000009190</v>
      </c>
      <c r="L531">
        <v>46946</v>
      </c>
      <c r="M531" t="s">
        <v>51</v>
      </c>
      <c r="N531">
        <v>9000079830</v>
      </c>
      <c r="O531" t="s">
        <v>187</v>
      </c>
      <c r="S531">
        <v>2507012387</v>
      </c>
      <c r="T531" t="s">
        <v>50</v>
      </c>
      <c r="U531" t="s">
        <v>122</v>
      </c>
      <c r="V531" t="s">
        <v>176</v>
      </c>
      <c r="W531" t="s">
        <v>177</v>
      </c>
      <c r="X531" t="s">
        <v>152</v>
      </c>
      <c r="Z531">
        <v>59</v>
      </c>
      <c r="AA531" t="s">
        <v>1378</v>
      </c>
      <c r="AB531" t="s">
        <v>1558</v>
      </c>
      <c r="AC531">
        <v>2604000142</v>
      </c>
      <c r="AE531">
        <v>0</v>
      </c>
      <c r="AF531">
        <v>1</v>
      </c>
      <c r="AG531">
        <v>0</v>
      </c>
      <c r="AH531">
        <v>1.1599999999999999</v>
      </c>
      <c r="AI531" t="s">
        <v>56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57</v>
      </c>
      <c r="AS531" t="s">
        <v>1559</v>
      </c>
      <c r="AT531" t="s">
        <v>1559</v>
      </c>
      <c r="AU531" t="s">
        <v>1558</v>
      </c>
      <c r="AV531" t="s">
        <v>1560</v>
      </c>
      <c r="AW531" t="s">
        <v>1561</v>
      </c>
      <c r="AZ531">
        <v>14000</v>
      </c>
      <c r="BA531" t="s">
        <v>854</v>
      </c>
      <c r="BB531" t="s">
        <v>61</v>
      </c>
      <c r="BC531" t="s">
        <v>62</v>
      </c>
    </row>
    <row r="532" spans="1:55" x14ac:dyDescent="0.25">
      <c r="A532" s="1" t="str">
        <f>IF(COUNTIF(Catégories!A:A,X532)=0,"catégorie inconnue",_xlfn.XLOOKUP(X532,Catégories!A:A,Catégories!B:B))</f>
        <v>Frêt</v>
      </c>
      <c r="B532" s="1">
        <f t="shared" si="24"/>
        <v>0</v>
      </c>
      <c r="C532" s="1">
        <f t="shared" si="25"/>
        <v>0</v>
      </c>
      <c r="D532" s="1">
        <f t="shared" si="26"/>
        <v>0</v>
      </c>
      <c r="E532" s="20">
        <f>IF(AH532&lt;&gt;0,ROUNDUP(AH532,0),IF(BB532&lt;&gt;"FR","hors France",IF(AH532&lt;&gt;0,ROUNDUP(AH532,0),_xlfn.XLOOKUP(AJ532,'PA GLS'!B:B,'PA GLS'!A:A))))</f>
        <v>2</v>
      </c>
      <c r="F532">
        <v>2501382993</v>
      </c>
      <c r="G532">
        <v>1030220043</v>
      </c>
      <c r="H532" t="s">
        <v>366</v>
      </c>
      <c r="I532">
        <v>2500034092</v>
      </c>
      <c r="J532" t="s">
        <v>50</v>
      </c>
      <c r="K532">
        <v>9000009190</v>
      </c>
      <c r="L532">
        <v>46946</v>
      </c>
      <c r="M532" t="s">
        <v>51</v>
      </c>
      <c r="N532">
        <v>9000079830</v>
      </c>
      <c r="O532" t="s">
        <v>187</v>
      </c>
      <c r="S532">
        <v>2507012387</v>
      </c>
      <c r="T532" t="s">
        <v>50</v>
      </c>
      <c r="U532" t="s">
        <v>122</v>
      </c>
      <c r="V532" t="s">
        <v>176</v>
      </c>
      <c r="W532" t="s">
        <v>177</v>
      </c>
      <c r="X532" t="s">
        <v>152</v>
      </c>
      <c r="Z532">
        <v>59</v>
      </c>
      <c r="AA532" t="s">
        <v>1378</v>
      </c>
      <c r="AB532" t="s">
        <v>1562</v>
      </c>
      <c r="AC532">
        <v>2604000143</v>
      </c>
      <c r="AE532">
        <v>0</v>
      </c>
      <c r="AF532">
        <v>1</v>
      </c>
      <c r="AG532">
        <v>0</v>
      </c>
      <c r="AH532">
        <v>1.21</v>
      </c>
      <c r="AI532" t="s">
        <v>56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 t="s">
        <v>57</v>
      </c>
      <c r="AS532" t="s">
        <v>1563</v>
      </c>
      <c r="AT532" t="s">
        <v>1563</v>
      </c>
      <c r="AU532" t="s">
        <v>1562</v>
      </c>
      <c r="AV532" t="s">
        <v>1564</v>
      </c>
      <c r="AW532" t="s">
        <v>1565</v>
      </c>
      <c r="AZ532">
        <v>29600</v>
      </c>
      <c r="BA532" t="s">
        <v>1566</v>
      </c>
      <c r="BB532" t="s">
        <v>61</v>
      </c>
      <c r="BC532" t="s">
        <v>62</v>
      </c>
    </row>
    <row r="533" spans="1:55" x14ac:dyDescent="0.25">
      <c r="A533" s="1" t="str">
        <f>IF(COUNTIF(Catégories!A:A,X533)=0,"catégorie inconnue",_xlfn.XLOOKUP(X533,Catégories!A:A,Catégories!B:B))</f>
        <v>Frêt</v>
      </c>
      <c r="B533" s="1">
        <f t="shared" si="24"/>
        <v>0</v>
      </c>
      <c r="C533" s="1">
        <f t="shared" si="25"/>
        <v>0</v>
      </c>
      <c r="D533" s="1">
        <f t="shared" si="26"/>
        <v>0</v>
      </c>
      <c r="E533" s="20">
        <f>IF(AH533&lt;&gt;0,ROUNDUP(AH533,0),IF(BB533&lt;&gt;"FR","hors France",IF(AH533&lt;&gt;0,ROUNDUP(AH533,0),_xlfn.XLOOKUP(AJ533,'PA GLS'!B:B,'PA GLS'!A:A))))</f>
        <v>2</v>
      </c>
      <c r="F533">
        <v>2501382993</v>
      </c>
      <c r="G533">
        <v>1030220043</v>
      </c>
      <c r="H533" t="s">
        <v>366</v>
      </c>
      <c r="I533">
        <v>2500034092</v>
      </c>
      <c r="J533" t="s">
        <v>50</v>
      </c>
      <c r="K533">
        <v>9000009190</v>
      </c>
      <c r="L533">
        <v>46946</v>
      </c>
      <c r="M533" t="s">
        <v>51</v>
      </c>
      <c r="N533">
        <v>9000079830</v>
      </c>
      <c r="O533" t="s">
        <v>187</v>
      </c>
      <c r="S533">
        <v>2507012387</v>
      </c>
      <c r="T533" t="s">
        <v>50</v>
      </c>
      <c r="U533" t="s">
        <v>122</v>
      </c>
      <c r="V533" t="s">
        <v>176</v>
      </c>
      <c r="W533" t="s">
        <v>177</v>
      </c>
      <c r="X533" t="s">
        <v>152</v>
      </c>
      <c r="Z533">
        <v>59</v>
      </c>
      <c r="AA533" t="s">
        <v>1378</v>
      </c>
      <c r="AB533" t="s">
        <v>1567</v>
      </c>
      <c r="AC533">
        <v>2604000144</v>
      </c>
      <c r="AE533">
        <v>0</v>
      </c>
      <c r="AF533">
        <v>1</v>
      </c>
      <c r="AG533">
        <v>0</v>
      </c>
      <c r="AH533">
        <v>1.1599999999999999</v>
      </c>
      <c r="AI533" t="s">
        <v>56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 t="s">
        <v>57</v>
      </c>
      <c r="AS533" t="s">
        <v>1568</v>
      </c>
      <c r="AT533" t="s">
        <v>1568</v>
      </c>
      <c r="AU533" t="s">
        <v>1567</v>
      </c>
      <c r="AV533" t="s">
        <v>1569</v>
      </c>
      <c r="AW533" t="s">
        <v>1570</v>
      </c>
      <c r="AZ533">
        <v>57700</v>
      </c>
      <c r="BA533" t="s">
        <v>1571</v>
      </c>
      <c r="BB533" t="s">
        <v>61</v>
      </c>
      <c r="BC533" t="s">
        <v>62</v>
      </c>
    </row>
    <row r="534" spans="1:55" x14ac:dyDescent="0.25">
      <c r="A534" s="1" t="str">
        <f>IF(COUNTIF(Catégories!A:A,X534)=0,"catégorie inconnue",_xlfn.XLOOKUP(X534,Catégories!A:A,Catégories!B:B))</f>
        <v>Frêt</v>
      </c>
      <c r="B534" s="1">
        <f t="shared" si="24"/>
        <v>0</v>
      </c>
      <c r="C534" s="1">
        <f t="shared" si="25"/>
        <v>0</v>
      </c>
      <c r="D534" s="1">
        <f t="shared" si="26"/>
        <v>0</v>
      </c>
      <c r="E534" s="20">
        <f>IF(AH534&lt;&gt;0,ROUNDUP(AH534,0),IF(BB534&lt;&gt;"FR","hors France",IF(AH534&lt;&gt;0,ROUNDUP(AH534,0),_xlfn.XLOOKUP(AJ534,'PA GLS'!B:B,'PA GLS'!A:A))))</f>
        <v>3</v>
      </c>
      <c r="F534">
        <v>2501382993</v>
      </c>
      <c r="G534">
        <v>1030220043</v>
      </c>
      <c r="H534" t="s">
        <v>366</v>
      </c>
      <c r="I534">
        <v>2500034092</v>
      </c>
      <c r="J534" t="s">
        <v>50</v>
      </c>
      <c r="K534">
        <v>9000009190</v>
      </c>
      <c r="L534">
        <v>46946</v>
      </c>
      <c r="M534" t="s">
        <v>51</v>
      </c>
      <c r="N534">
        <v>9000079830</v>
      </c>
      <c r="O534" t="s">
        <v>187</v>
      </c>
      <c r="S534">
        <v>2507012387</v>
      </c>
      <c r="T534" t="s">
        <v>50</v>
      </c>
      <c r="U534" t="s">
        <v>122</v>
      </c>
      <c r="V534" t="s">
        <v>176</v>
      </c>
      <c r="W534" t="s">
        <v>177</v>
      </c>
      <c r="X534" t="s">
        <v>152</v>
      </c>
      <c r="Z534">
        <v>59</v>
      </c>
      <c r="AA534" t="s">
        <v>1378</v>
      </c>
      <c r="AB534" t="s">
        <v>1572</v>
      </c>
      <c r="AC534">
        <v>2604000145</v>
      </c>
      <c r="AE534">
        <v>0</v>
      </c>
      <c r="AF534">
        <v>1</v>
      </c>
      <c r="AG534">
        <v>0</v>
      </c>
      <c r="AH534">
        <v>2.2599999999999998</v>
      </c>
      <c r="AI534" t="s">
        <v>56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 t="s">
        <v>57</v>
      </c>
      <c r="AS534" t="s">
        <v>1573</v>
      </c>
      <c r="AT534" t="s">
        <v>1573</v>
      </c>
      <c r="AU534" t="s">
        <v>1572</v>
      </c>
      <c r="AV534" t="s">
        <v>1574</v>
      </c>
      <c r="AW534" t="s">
        <v>1575</v>
      </c>
      <c r="AZ534">
        <v>34500</v>
      </c>
      <c r="BA534" t="s">
        <v>1576</v>
      </c>
      <c r="BB534" t="s">
        <v>61</v>
      </c>
      <c r="BC534" t="s">
        <v>62</v>
      </c>
    </row>
    <row r="535" spans="1:55" x14ac:dyDescent="0.25">
      <c r="A535" s="1" t="str">
        <f>IF(COUNTIF(Catégories!A:A,X535)=0,"catégorie inconnue",_xlfn.XLOOKUP(X535,Catégories!A:A,Catégories!B:B))</f>
        <v>Frêt</v>
      </c>
      <c r="B535" s="1">
        <f t="shared" si="24"/>
        <v>0</v>
      </c>
      <c r="C535" s="1">
        <f t="shared" si="25"/>
        <v>0</v>
      </c>
      <c r="D535" s="1">
        <f t="shared" si="26"/>
        <v>0</v>
      </c>
      <c r="E535" s="20">
        <f>IF(AH535&lt;&gt;0,ROUNDUP(AH535,0),IF(BB535&lt;&gt;"FR","hors France",IF(AH535&lt;&gt;0,ROUNDUP(AH535,0),_xlfn.XLOOKUP(AJ535,'PA GLS'!B:B,'PA GLS'!A:A))))</f>
        <v>1</v>
      </c>
      <c r="F535">
        <v>2501382993</v>
      </c>
      <c r="G535">
        <v>1030220043</v>
      </c>
      <c r="H535" t="s">
        <v>366</v>
      </c>
      <c r="I535">
        <v>2500034092</v>
      </c>
      <c r="J535" t="s">
        <v>50</v>
      </c>
      <c r="K535">
        <v>9000009190</v>
      </c>
      <c r="L535">
        <v>46946</v>
      </c>
      <c r="M535" t="s">
        <v>51</v>
      </c>
      <c r="N535">
        <v>9000079830</v>
      </c>
      <c r="O535" t="s">
        <v>187</v>
      </c>
      <c r="S535">
        <v>2507012387</v>
      </c>
      <c r="T535" t="s">
        <v>50</v>
      </c>
      <c r="U535" t="s">
        <v>122</v>
      </c>
      <c r="V535" t="s">
        <v>176</v>
      </c>
      <c r="W535" t="s">
        <v>177</v>
      </c>
      <c r="X535" t="s">
        <v>152</v>
      </c>
      <c r="Z535">
        <v>59</v>
      </c>
      <c r="AA535" t="s">
        <v>1378</v>
      </c>
      <c r="AB535" t="s">
        <v>1577</v>
      </c>
      <c r="AC535">
        <v>2604000146</v>
      </c>
      <c r="AE535">
        <v>0</v>
      </c>
      <c r="AF535">
        <v>1</v>
      </c>
      <c r="AG535">
        <v>0</v>
      </c>
      <c r="AH535">
        <v>0.5</v>
      </c>
      <c r="AI535" t="s">
        <v>56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 t="s">
        <v>57</v>
      </c>
      <c r="AS535" t="s">
        <v>1578</v>
      </c>
      <c r="AT535" t="s">
        <v>1578</v>
      </c>
      <c r="AU535" t="s">
        <v>1577</v>
      </c>
      <c r="AV535" t="s">
        <v>1579</v>
      </c>
      <c r="AW535" t="s">
        <v>1580</v>
      </c>
      <c r="AZ535">
        <v>33000</v>
      </c>
      <c r="BA535" t="s">
        <v>228</v>
      </c>
      <c r="BB535" t="s">
        <v>61</v>
      </c>
      <c r="BC535" t="s">
        <v>62</v>
      </c>
    </row>
    <row r="536" spans="1:55" x14ac:dyDescent="0.25">
      <c r="A536" s="1" t="str">
        <f>IF(COUNTIF(Catégories!A:A,X536)=0,"catégorie inconnue",_xlfn.XLOOKUP(X536,Catégories!A:A,Catégories!B:B))</f>
        <v>Frêt</v>
      </c>
      <c r="B536" s="1">
        <f t="shared" si="24"/>
        <v>0</v>
      </c>
      <c r="C536" s="1">
        <f t="shared" si="25"/>
        <v>0</v>
      </c>
      <c r="D536" s="1">
        <f t="shared" si="26"/>
        <v>0</v>
      </c>
      <c r="E536" s="20">
        <f>IF(AH536&lt;&gt;0,ROUNDUP(AH536,0),IF(BB536&lt;&gt;"FR","hors France",IF(AH536&lt;&gt;0,ROUNDUP(AH536,0),_xlfn.XLOOKUP(AJ536,'PA GLS'!B:B,'PA GLS'!A:A))))</f>
        <v>1</v>
      </c>
      <c r="F536">
        <v>2501382993</v>
      </c>
      <c r="G536">
        <v>1030220043</v>
      </c>
      <c r="H536" t="s">
        <v>366</v>
      </c>
      <c r="I536">
        <v>2500034092</v>
      </c>
      <c r="J536" t="s">
        <v>50</v>
      </c>
      <c r="K536">
        <v>9000009190</v>
      </c>
      <c r="L536">
        <v>46946</v>
      </c>
      <c r="M536" t="s">
        <v>51</v>
      </c>
      <c r="N536">
        <v>9000079830</v>
      </c>
      <c r="O536" t="s">
        <v>187</v>
      </c>
      <c r="S536">
        <v>2507012387</v>
      </c>
      <c r="T536" t="s">
        <v>50</v>
      </c>
      <c r="U536" t="s">
        <v>122</v>
      </c>
      <c r="V536" t="s">
        <v>176</v>
      </c>
      <c r="W536" t="s">
        <v>177</v>
      </c>
      <c r="X536" t="s">
        <v>152</v>
      </c>
      <c r="Z536">
        <v>59</v>
      </c>
      <c r="AA536" t="s">
        <v>1378</v>
      </c>
      <c r="AB536" t="s">
        <v>1581</v>
      </c>
      <c r="AC536">
        <v>2604000147</v>
      </c>
      <c r="AE536">
        <v>0</v>
      </c>
      <c r="AF536">
        <v>1</v>
      </c>
      <c r="AG536">
        <v>0</v>
      </c>
      <c r="AH536">
        <v>0.54</v>
      </c>
      <c r="AI536" t="s">
        <v>56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 t="s">
        <v>57</v>
      </c>
      <c r="AS536" t="s">
        <v>1582</v>
      </c>
      <c r="AT536" t="s">
        <v>1582</v>
      </c>
      <c r="AU536" t="s">
        <v>1581</v>
      </c>
      <c r="AV536" t="s">
        <v>1583</v>
      </c>
      <c r="AW536" t="s">
        <v>1584</v>
      </c>
      <c r="AZ536">
        <v>13290</v>
      </c>
      <c r="BA536" t="s">
        <v>235</v>
      </c>
      <c r="BB536" t="s">
        <v>61</v>
      </c>
      <c r="BC536" t="s">
        <v>62</v>
      </c>
    </row>
    <row r="537" spans="1:55" x14ac:dyDescent="0.25">
      <c r="A537" s="1" t="str">
        <f>IF(COUNTIF(Catégories!A:A,X537)=0,"catégorie inconnue",_xlfn.XLOOKUP(X537,Catégories!A:A,Catégories!B:B))</f>
        <v>Frêt</v>
      </c>
      <c r="B537" s="1">
        <f t="shared" si="24"/>
        <v>0</v>
      </c>
      <c r="C537" s="1">
        <f t="shared" si="25"/>
        <v>0</v>
      </c>
      <c r="D537" s="1">
        <f t="shared" si="26"/>
        <v>0</v>
      </c>
      <c r="E537" s="20">
        <f>IF(AH537&lt;&gt;0,ROUNDUP(AH537,0),IF(BB537&lt;&gt;"FR","hors France",IF(AH537&lt;&gt;0,ROUNDUP(AH537,0),_xlfn.XLOOKUP(AJ537,'PA GLS'!B:B,'PA GLS'!A:A))))</f>
        <v>2</v>
      </c>
      <c r="F537">
        <v>2501382993</v>
      </c>
      <c r="G537">
        <v>1030220043</v>
      </c>
      <c r="H537" t="s">
        <v>366</v>
      </c>
      <c r="I537">
        <v>2500034092</v>
      </c>
      <c r="J537" t="s">
        <v>50</v>
      </c>
      <c r="K537">
        <v>9000009190</v>
      </c>
      <c r="L537">
        <v>46946</v>
      </c>
      <c r="M537" t="s">
        <v>51</v>
      </c>
      <c r="N537">
        <v>9000079830</v>
      </c>
      <c r="O537" t="s">
        <v>187</v>
      </c>
      <c r="S537">
        <v>2507012387</v>
      </c>
      <c r="T537" t="s">
        <v>50</v>
      </c>
      <c r="U537" t="s">
        <v>122</v>
      </c>
      <c r="V537" t="s">
        <v>176</v>
      </c>
      <c r="W537" t="s">
        <v>177</v>
      </c>
      <c r="X537" t="s">
        <v>152</v>
      </c>
      <c r="Z537">
        <v>59</v>
      </c>
      <c r="AA537" t="s">
        <v>1378</v>
      </c>
      <c r="AB537" t="s">
        <v>1585</v>
      </c>
      <c r="AC537">
        <v>2604000148</v>
      </c>
      <c r="AE537">
        <v>0</v>
      </c>
      <c r="AF537">
        <v>1</v>
      </c>
      <c r="AG537">
        <v>0</v>
      </c>
      <c r="AH537">
        <v>1.1100000000000001</v>
      </c>
      <c r="AI537" t="s">
        <v>56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 t="s">
        <v>57</v>
      </c>
      <c r="AS537" t="s">
        <v>1586</v>
      </c>
      <c r="AT537" t="s">
        <v>1586</v>
      </c>
      <c r="AU537" t="s">
        <v>1585</v>
      </c>
      <c r="AV537" t="s">
        <v>1587</v>
      </c>
      <c r="AW537" t="s">
        <v>1588</v>
      </c>
      <c r="AZ537">
        <v>94300</v>
      </c>
      <c r="BA537" t="s">
        <v>616</v>
      </c>
      <c r="BB537" t="s">
        <v>61</v>
      </c>
      <c r="BC537" t="s">
        <v>62</v>
      </c>
    </row>
    <row r="538" spans="1:55" x14ac:dyDescent="0.25">
      <c r="A538" s="1" t="str">
        <f>IF(COUNTIF(Catégories!A:A,X538)=0,"catégorie inconnue",_xlfn.XLOOKUP(X538,Catégories!A:A,Catégories!B:B))</f>
        <v>Frêt</v>
      </c>
      <c r="B538" s="1">
        <f t="shared" si="24"/>
        <v>0</v>
      </c>
      <c r="C538" s="1">
        <f t="shared" si="25"/>
        <v>0</v>
      </c>
      <c r="D538" s="1">
        <f t="shared" si="26"/>
        <v>0</v>
      </c>
      <c r="E538" s="20">
        <f>IF(AH538&lt;&gt;0,ROUNDUP(AH538,0),IF(BB538&lt;&gt;"FR","hors France",IF(AH538&lt;&gt;0,ROUNDUP(AH538,0),_xlfn.XLOOKUP(AJ538,'PA GLS'!B:B,'PA GLS'!A:A))))</f>
        <v>2</v>
      </c>
      <c r="F538">
        <v>2501382993</v>
      </c>
      <c r="G538">
        <v>1030220043</v>
      </c>
      <c r="H538" t="s">
        <v>366</v>
      </c>
      <c r="I538">
        <v>2500034092</v>
      </c>
      <c r="J538" t="s">
        <v>50</v>
      </c>
      <c r="K538">
        <v>9000009190</v>
      </c>
      <c r="L538">
        <v>46946</v>
      </c>
      <c r="M538" t="s">
        <v>51</v>
      </c>
      <c r="N538">
        <v>9000079830</v>
      </c>
      <c r="O538" t="s">
        <v>187</v>
      </c>
      <c r="S538">
        <v>2507012387</v>
      </c>
      <c r="T538" t="s">
        <v>50</v>
      </c>
      <c r="U538" t="s">
        <v>122</v>
      </c>
      <c r="V538" t="s">
        <v>176</v>
      </c>
      <c r="W538" t="s">
        <v>177</v>
      </c>
      <c r="X538" t="s">
        <v>152</v>
      </c>
      <c r="Z538">
        <v>59</v>
      </c>
      <c r="AA538" t="s">
        <v>1378</v>
      </c>
      <c r="AB538" t="s">
        <v>1589</v>
      </c>
      <c r="AC538">
        <v>2604000149</v>
      </c>
      <c r="AE538">
        <v>0</v>
      </c>
      <c r="AF538">
        <v>1</v>
      </c>
      <c r="AG538">
        <v>0</v>
      </c>
      <c r="AH538">
        <v>1.1599999999999999</v>
      </c>
      <c r="AI538" t="s">
        <v>56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 t="s">
        <v>57</v>
      </c>
      <c r="AS538" t="s">
        <v>1590</v>
      </c>
      <c r="AT538" t="s">
        <v>1590</v>
      </c>
      <c r="AU538" t="s">
        <v>1589</v>
      </c>
      <c r="AV538" t="s">
        <v>1591</v>
      </c>
      <c r="AW538" t="s">
        <v>1592</v>
      </c>
      <c r="AZ538">
        <v>8000</v>
      </c>
      <c r="BA538" t="s">
        <v>1593</v>
      </c>
      <c r="BB538" t="s">
        <v>61</v>
      </c>
      <c r="BC538" t="s">
        <v>62</v>
      </c>
    </row>
    <row r="539" spans="1:55" x14ac:dyDescent="0.25">
      <c r="A539" s="1" t="str">
        <f>IF(COUNTIF(Catégories!A:A,X539)=0,"catégorie inconnue",_xlfn.XLOOKUP(X539,Catégories!A:A,Catégories!B:B))</f>
        <v>Frêt</v>
      </c>
      <c r="B539" s="1">
        <f t="shared" si="24"/>
        <v>0</v>
      </c>
      <c r="C539" s="1">
        <f t="shared" si="25"/>
        <v>0</v>
      </c>
      <c r="D539" s="1">
        <f t="shared" si="26"/>
        <v>0</v>
      </c>
      <c r="E539" s="20">
        <f>IF(AH539&lt;&gt;0,ROUNDUP(AH539,0),IF(BB539&lt;&gt;"FR","hors France",IF(AH539&lt;&gt;0,ROUNDUP(AH539,0),_xlfn.XLOOKUP(AJ539,'PA GLS'!B:B,'PA GLS'!A:A))))</f>
        <v>1</v>
      </c>
      <c r="F539">
        <v>2501382993</v>
      </c>
      <c r="G539">
        <v>1030220043</v>
      </c>
      <c r="H539" t="s">
        <v>366</v>
      </c>
      <c r="I539">
        <v>2500034092</v>
      </c>
      <c r="J539" t="s">
        <v>50</v>
      </c>
      <c r="K539">
        <v>9000009190</v>
      </c>
      <c r="L539">
        <v>46946</v>
      </c>
      <c r="M539" t="s">
        <v>51</v>
      </c>
      <c r="N539">
        <v>9000079830</v>
      </c>
      <c r="O539" t="s">
        <v>187</v>
      </c>
      <c r="S539">
        <v>2507012387</v>
      </c>
      <c r="T539" t="s">
        <v>50</v>
      </c>
      <c r="U539" t="s">
        <v>122</v>
      </c>
      <c r="V539" t="s">
        <v>176</v>
      </c>
      <c r="W539" t="s">
        <v>177</v>
      </c>
      <c r="X539" t="s">
        <v>152</v>
      </c>
      <c r="Z539">
        <v>59</v>
      </c>
      <c r="AA539" t="s">
        <v>1378</v>
      </c>
      <c r="AB539" t="s">
        <v>1594</v>
      </c>
      <c r="AC539">
        <v>2604000150</v>
      </c>
      <c r="AE539">
        <v>0</v>
      </c>
      <c r="AF539">
        <v>1</v>
      </c>
      <c r="AG539">
        <v>0</v>
      </c>
      <c r="AH539">
        <v>0.46</v>
      </c>
      <c r="AI539" t="s">
        <v>56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 t="s">
        <v>57</v>
      </c>
      <c r="AS539" t="s">
        <v>1595</v>
      </c>
      <c r="AT539" t="s">
        <v>1595</v>
      </c>
      <c r="AU539" t="s">
        <v>1594</v>
      </c>
      <c r="AV539" t="s">
        <v>1596</v>
      </c>
      <c r="AW539" t="s">
        <v>1597</v>
      </c>
      <c r="AZ539">
        <v>13005</v>
      </c>
      <c r="BA539" t="s">
        <v>68</v>
      </c>
      <c r="BB539" t="s">
        <v>61</v>
      </c>
      <c r="BC539" t="s">
        <v>62</v>
      </c>
    </row>
    <row r="540" spans="1:55" x14ac:dyDescent="0.25">
      <c r="A540" s="1" t="str">
        <f>IF(COUNTIF(Catégories!A:A,X540)=0,"catégorie inconnue",_xlfn.XLOOKUP(X540,Catégories!A:A,Catégories!B:B))</f>
        <v>Frêt</v>
      </c>
      <c r="B540" s="1">
        <f t="shared" si="24"/>
        <v>0</v>
      </c>
      <c r="C540" s="1">
        <f t="shared" si="25"/>
        <v>0</v>
      </c>
      <c r="D540" s="1">
        <f t="shared" si="26"/>
        <v>0</v>
      </c>
      <c r="E540" s="20">
        <f>IF(AH540&lt;&gt;0,ROUNDUP(AH540,0),IF(BB540&lt;&gt;"FR","hors France",IF(AH540&lt;&gt;0,ROUNDUP(AH540,0),_xlfn.XLOOKUP(AJ540,'PA GLS'!B:B,'PA GLS'!A:A))))</f>
        <v>7</v>
      </c>
      <c r="F540">
        <v>2501382993</v>
      </c>
      <c r="G540">
        <v>1030220043</v>
      </c>
      <c r="H540" t="s">
        <v>366</v>
      </c>
      <c r="I540">
        <v>2500034092</v>
      </c>
      <c r="J540" t="s">
        <v>50</v>
      </c>
      <c r="K540">
        <v>9000009190</v>
      </c>
      <c r="L540">
        <v>46946</v>
      </c>
      <c r="M540" t="s">
        <v>51</v>
      </c>
      <c r="N540">
        <v>9000079830</v>
      </c>
      <c r="O540" t="s">
        <v>187</v>
      </c>
      <c r="S540">
        <v>2507012387</v>
      </c>
      <c r="T540" t="s">
        <v>50</v>
      </c>
      <c r="U540" t="s">
        <v>122</v>
      </c>
      <c r="V540" t="s">
        <v>176</v>
      </c>
      <c r="W540" t="s">
        <v>177</v>
      </c>
      <c r="X540" t="s">
        <v>152</v>
      </c>
      <c r="Z540">
        <v>59</v>
      </c>
      <c r="AA540" t="s">
        <v>1378</v>
      </c>
      <c r="AB540" t="s">
        <v>1598</v>
      </c>
      <c r="AC540">
        <v>2604000151</v>
      </c>
      <c r="AE540">
        <v>0</v>
      </c>
      <c r="AF540">
        <v>1</v>
      </c>
      <c r="AG540">
        <v>0</v>
      </c>
      <c r="AH540">
        <v>6.08</v>
      </c>
      <c r="AI540" t="s">
        <v>56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 t="s">
        <v>57</v>
      </c>
      <c r="AS540" t="s">
        <v>1599</v>
      </c>
      <c r="AT540" t="s">
        <v>1599</v>
      </c>
      <c r="AU540" t="s">
        <v>1598</v>
      </c>
      <c r="AV540" t="s">
        <v>1600</v>
      </c>
      <c r="AW540" t="s">
        <v>1601</v>
      </c>
      <c r="AZ540">
        <v>78125</v>
      </c>
      <c r="BA540" t="s">
        <v>1602</v>
      </c>
      <c r="BB540" t="s">
        <v>61</v>
      </c>
      <c r="BC540" t="s">
        <v>62</v>
      </c>
    </row>
    <row r="541" spans="1:55" x14ac:dyDescent="0.25">
      <c r="A541" s="1" t="str">
        <f>IF(COUNTIF(Catégories!A:A,X541)=0,"catégorie inconnue",_xlfn.XLOOKUP(X541,Catégories!A:A,Catégories!B:B))</f>
        <v>Frêt</v>
      </c>
      <c r="B541" s="1">
        <f t="shared" si="24"/>
        <v>0</v>
      </c>
      <c r="C541" s="1">
        <f t="shared" si="25"/>
        <v>0</v>
      </c>
      <c r="D541" s="1">
        <f t="shared" si="26"/>
        <v>0</v>
      </c>
      <c r="E541" s="20">
        <f>IF(AH541&lt;&gt;0,ROUNDUP(AH541,0),IF(BB541&lt;&gt;"FR","hors France",IF(AH541&lt;&gt;0,ROUNDUP(AH541,0),_xlfn.XLOOKUP(AJ541,'PA GLS'!B:B,'PA GLS'!A:A))))</f>
        <v>1</v>
      </c>
      <c r="F541">
        <v>2501382993</v>
      </c>
      <c r="G541">
        <v>1030220043</v>
      </c>
      <c r="H541" t="s">
        <v>366</v>
      </c>
      <c r="I541">
        <v>2500034092</v>
      </c>
      <c r="J541" t="s">
        <v>50</v>
      </c>
      <c r="K541">
        <v>9000009190</v>
      </c>
      <c r="L541">
        <v>46946</v>
      </c>
      <c r="M541" t="s">
        <v>51</v>
      </c>
      <c r="N541">
        <v>9000079830</v>
      </c>
      <c r="O541" t="s">
        <v>187</v>
      </c>
      <c r="S541">
        <v>2507012387</v>
      </c>
      <c r="T541" t="s">
        <v>50</v>
      </c>
      <c r="U541" t="s">
        <v>122</v>
      </c>
      <c r="V541" t="s">
        <v>176</v>
      </c>
      <c r="W541" t="s">
        <v>177</v>
      </c>
      <c r="X541" t="s">
        <v>152</v>
      </c>
      <c r="Z541">
        <v>59</v>
      </c>
      <c r="AA541" t="s">
        <v>1378</v>
      </c>
      <c r="AB541" t="s">
        <v>1603</v>
      </c>
      <c r="AC541">
        <v>2604000152</v>
      </c>
      <c r="AE541">
        <v>0</v>
      </c>
      <c r="AF541">
        <v>1</v>
      </c>
      <c r="AG541">
        <v>0</v>
      </c>
      <c r="AH541">
        <v>0.57999999999999996</v>
      </c>
      <c r="AI541" t="s">
        <v>56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 t="s">
        <v>57</v>
      </c>
      <c r="AS541" t="s">
        <v>1604</v>
      </c>
      <c r="AT541" t="s">
        <v>1604</v>
      </c>
      <c r="AU541" t="s">
        <v>1603</v>
      </c>
      <c r="AV541" t="s">
        <v>1605</v>
      </c>
      <c r="AW541" t="s">
        <v>1606</v>
      </c>
      <c r="AZ541">
        <v>44450</v>
      </c>
      <c r="BA541" t="s">
        <v>1607</v>
      </c>
      <c r="BB541" t="s">
        <v>61</v>
      </c>
      <c r="BC541" t="s">
        <v>62</v>
      </c>
    </row>
    <row r="542" spans="1:55" x14ac:dyDescent="0.25">
      <c r="A542" s="1" t="str">
        <f>IF(COUNTIF(Catégories!A:A,X542)=0,"catégorie inconnue",_xlfn.XLOOKUP(X542,Catégories!A:A,Catégories!B:B))</f>
        <v>Frêt</v>
      </c>
      <c r="B542" s="1">
        <f t="shared" si="24"/>
        <v>0</v>
      </c>
      <c r="C542" s="1">
        <f t="shared" si="25"/>
        <v>0</v>
      </c>
      <c r="D542" s="1">
        <f t="shared" si="26"/>
        <v>0</v>
      </c>
      <c r="E542" s="20">
        <f>IF(AH542&lt;&gt;0,ROUNDUP(AH542,0),IF(BB542&lt;&gt;"FR","hors France",IF(AH542&lt;&gt;0,ROUNDUP(AH542,0),_xlfn.XLOOKUP(AJ542,'PA GLS'!B:B,'PA GLS'!A:A))))</f>
        <v>2</v>
      </c>
      <c r="F542">
        <v>2501382993</v>
      </c>
      <c r="G542">
        <v>1030220043</v>
      </c>
      <c r="H542" t="s">
        <v>366</v>
      </c>
      <c r="I542">
        <v>2500034092</v>
      </c>
      <c r="J542" t="s">
        <v>50</v>
      </c>
      <c r="K542">
        <v>9000009190</v>
      </c>
      <c r="L542">
        <v>46946</v>
      </c>
      <c r="M542" t="s">
        <v>51</v>
      </c>
      <c r="N542">
        <v>9000079830</v>
      </c>
      <c r="O542" t="s">
        <v>187</v>
      </c>
      <c r="S542">
        <v>2507012387</v>
      </c>
      <c r="T542" t="s">
        <v>50</v>
      </c>
      <c r="U542" t="s">
        <v>122</v>
      </c>
      <c r="V542" t="s">
        <v>176</v>
      </c>
      <c r="W542" t="s">
        <v>177</v>
      </c>
      <c r="X542" t="s">
        <v>152</v>
      </c>
      <c r="Z542">
        <v>59</v>
      </c>
      <c r="AA542" t="s">
        <v>1378</v>
      </c>
      <c r="AB542" t="s">
        <v>1608</v>
      </c>
      <c r="AC542">
        <v>2604000153</v>
      </c>
      <c r="AE542">
        <v>0</v>
      </c>
      <c r="AF542">
        <v>1</v>
      </c>
      <c r="AG542">
        <v>0</v>
      </c>
      <c r="AH542">
        <v>1.21</v>
      </c>
      <c r="AI542" t="s">
        <v>56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 t="s">
        <v>57</v>
      </c>
      <c r="AS542" t="s">
        <v>1609</v>
      </c>
      <c r="AT542" t="s">
        <v>1609</v>
      </c>
      <c r="AU542" t="s">
        <v>1608</v>
      </c>
      <c r="AV542" t="s">
        <v>1610</v>
      </c>
      <c r="AW542" t="s">
        <v>1611</v>
      </c>
      <c r="AZ542">
        <v>76770</v>
      </c>
      <c r="BA542" t="s">
        <v>1612</v>
      </c>
      <c r="BB542" t="s">
        <v>61</v>
      </c>
      <c r="BC542" t="s">
        <v>62</v>
      </c>
    </row>
    <row r="543" spans="1:55" x14ac:dyDescent="0.25">
      <c r="A543" s="1" t="str">
        <f>IF(COUNTIF(Catégories!A:A,X543)=0,"catégorie inconnue",_xlfn.XLOOKUP(X543,Catégories!A:A,Catégories!B:B))</f>
        <v>Frêt</v>
      </c>
      <c r="B543" s="1">
        <f t="shared" si="24"/>
        <v>0</v>
      </c>
      <c r="C543" s="1">
        <f t="shared" si="25"/>
        <v>0</v>
      </c>
      <c r="D543" s="1">
        <f t="shared" si="26"/>
        <v>0</v>
      </c>
      <c r="E543" s="20">
        <f>IF(AH543&lt;&gt;0,ROUNDUP(AH543,0),IF(BB543&lt;&gt;"FR","hors France",IF(AH543&lt;&gt;0,ROUNDUP(AH543,0),_xlfn.XLOOKUP(AJ543,'PA GLS'!B:B,'PA GLS'!A:A))))</f>
        <v>2</v>
      </c>
      <c r="F543">
        <v>2501382993</v>
      </c>
      <c r="G543">
        <v>1030220043</v>
      </c>
      <c r="H543" t="s">
        <v>366</v>
      </c>
      <c r="I543">
        <v>2500034092</v>
      </c>
      <c r="J543" t="s">
        <v>50</v>
      </c>
      <c r="K543">
        <v>9000009190</v>
      </c>
      <c r="L543">
        <v>46946</v>
      </c>
      <c r="M543" t="s">
        <v>51</v>
      </c>
      <c r="N543">
        <v>9000079830</v>
      </c>
      <c r="O543" t="s">
        <v>187</v>
      </c>
      <c r="S543">
        <v>2507012387</v>
      </c>
      <c r="T543" t="s">
        <v>50</v>
      </c>
      <c r="U543" t="s">
        <v>122</v>
      </c>
      <c r="V543" t="s">
        <v>176</v>
      </c>
      <c r="W543" t="s">
        <v>177</v>
      </c>
      <c r="X543" t="s">
        <v>152</v>
      </c>
      <c r="Z543">
        <v>59</v>
      </c>
      <c r="AA543" t="s">
        <v>1378</v>
      </c>
      <c r="AB543" t="s">
        <v>1613</v>
      </c>
      <c r="AC543">
        <v>2604000154</v>
      </c>
      <c r="AE543">
        <v>0</v>
      </c>
      <c r="AF543">
        <v>1</v>
      </c>
      <c r="AG543">
        <v>0</v>
      </c>
      <c r="AH543">
        <v>1.1499999999999999</v>
      </c>
      <c r="AI543" t="s">
        <v>56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 t="s">
        <v>57</v>
      </c>
      <c r="AS543" t="s">
        <v>1614</v>
      </c>
      <c r="AT543" t="s">
        <v>1614</v>
      </c>
      <c r="AU543" t="s">
        <v>1613</v>
      </c>
      <c r="AV543" t="s">
        <v>1615</v>
      </c>
      <c r="AW543" t="s">
        <v>1616</v>
      </c>
      <c r="AZ543">
        <v>92800</v>
      </c>
      <c r="BA543" t="s">
        <v>309</v>
      </c>
      <c r="BB543" t="s">
        <v>61</v>
      </c>
      <c r="BC543" t="s">
        <v>62</v>
      </c>
    </row>
    <row r="544" spans="1:55" x14ac:dyDescent="0.25">
      <c r="A544" s="1" t="str">
        <f>IF(COUNTIF(Catégories!A:A,X544)=0,"catégorie inconnue",_xlfn.XLOOKUP(X544,Catégories!A:A,Catégories!B:B))</f>
        <v>Frêt</v>
      </c>
      <c r="B544" s="1">
        <f t="shared" si="24"/>
        <v>0</v>
      </c>
      <c r="C544" s="1">
        <f t="shared" si="25"/>
        <v>0</v>
      </c>
      <c r="D544" s="1">
        <f t="shared" si="26"/>
        <v>0</v>
      </c>
      <c r="E544" s="20">
        <f>IF(AH544&lt;&gt;0,ROUNDUP(AH544,0),IF(BB544&lt;&gt;"FR","hors France",IF(AH544&lt;&gt;0,ROUNDUP(AH544,0),_xlfn.XLOOKUP(AJ544,'PA GLS'!B:B,'PA GLS'!A:A))))</f>
        <v>1</v>
      </c>
      <c r="F544">
        <v>2501382993</v>
      </c>
      <c r="G544">
        <v>1030220043</v>
      </c>
      <c r="H544" t="s">
        <v>366</v>
      </c>
      <c r="I544">
        <v>2500034092</v>
      </c>
      <c r="J544" t="s">
        <v>50</v>
      </c>
      <c r="K544">
        <v>9000009190</v>
      </c>
      <c r="L544">
        <v>46946</v>
      </c>
      <c r="M544" t="s">
        <v>51</v>
      </c>
      <c r="N544">
        <v>9000079830</v>
      </c>
      <c r="O544" t="s">
        <v>187</v>
      </c>
      <c r="S544">
        <v>2507012387</v>
      </c>
      <c r="T544" t="s">
        <v>50</v>
      </c>
      <c r="U544" t="s">
        <v>122</v>
      </c>
      <c r="V544" t="s">
        <v>176</v>
      </c>
      <c r="W544" t="s">
        <v>177</v>
      </c>
      <c r="X544" t="s">
        <v>152</v>
      </c>
      <c r="Z544">
        <v>59</v>
      </c>
      <c r="AA544" t="s">
        <v>1378</v>
      </c>
      <c r="AB544" t="s">
        <v>1617</v>
      </c>
      <c r="AC544">
        <v>2604000155</v>
      </c>
      <c r="AE544">
        <v>0</v>
      </c>
      <c r="AF544">
        <v>1</v>
      </c>
      <c r="AG544">
        <v>0</v>
      </c>
      <c r="AH544">
        <v>0.82</v>
      </c>
      <c r="AI544" t="s">
        <v>56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 t="s">
        <v>57</v>
      </c>
      <c r="AS544" t="s">
        <v>1618</v>
      </c>
      <c r="AT544" t="s">
        <v>1618</v>
      </c>
      <c r="AU544" t="s">
        <v>1617</v>
      </c>
      <c r="AV544" t="s">
        <v>1619</v>
      </c>
      <c r="AW544" t="s">
        <v>1620</v>
      </c>
      <c r="AZ544">
        <v>35200</v>
      </c>
      <c r="BA544" t="s">
        <v>386</v>
      </c>
      <c r="BB544" t="s">
        <v>61</v>
      </c>
      <c r="BC544" t="s">
        <v>62</v>
      </c>
    </row>
    <row r="545" spans="1:55" x14ac:dyDescent="0.25">
      <c r="A545" s="1" t="str">
        <f>IF(COUNTIF(Catégories!A:A,X545)=0,"catégorie inconnue",_xlfn.XLOOKUP(X545,Catégories!A:A,Catégories!B:B))</f>
        <v>Frêt</v>
      </c>
      <c r="B545" s="1">
        <f t="shared" si="24"/>
        <v>0</v>
      </c>
      <c r="C545" s="1">
        <f t="shared" si="25"/>
        <v>0</v>
      </c>
      <c r="D545" s="1">
        <f t="shared" si="26"/>
        <v>0</v>
      </c>
      <c r="E545" s="20">
        <f>IF(AH545&lt;&gt;0,ROUNDUP(AH545,0),IF(BB545&lt;&gt;"FR","hors France",IF(AH545&lt;&gt;0,ROUNDUP(AH545,0),_xlfn.XLOOKUP(AJ545,'PA GLS'!B:B,'PA GLS'!A:A))))</f>
        <v>1</v>
      </c>
      <c r="F545">
        <v>2501382993</v>
      </c>
      <c r="G545">
        <v>1030220043</v>
      </c>
      <c r="H545" t="s">
        <v>366</v>
      </c>
      <c r="I545">
        <v>2500034092</v>
      </c>
      <c r="J545" t="s">
        <v>50</v>
      </c>
      <c r="K545">
        <v>9000009190</v>
      </c>
      <c r="L545">
        <v>46946</v>
      </c>
      <c r="M545" t="s">
        <v>51</v>
      </c>
      <c r="N545">
        <v>9000079830</v>
      </c>
      <c r="O545" t="s">
        <v>187</v>
      </c>
      <c r="S545">
        <v>2507012387</v>
      </c>
      <c r="T545" t="s">
        <v>50</v>
      </c>
      <c r="U545" t="s">
        <v>122</v>
      </c>
      <c r="V545" t="s">
        <v>176</v>
      </c>
      <c r="W545" t="s">
        <v>177</v>
      </c>
      <c r="X545" t="s">
        <v>152</v>
      </c>
      <c r="Z545">
        <v>59</v>
      </c>
      <c r="AA545" t="s">
        <v>1378</v>
      </c>
      <c r="AB545" t="s">
        <v>1621</v>
      </c>
      <c r="AC545">
        <v>2604000156</v>
      </c>
      <c r="AE545">
        <v>0</v>
      </c>
      <c r="AF545">
        <v>1</v>
      </c>
      <c r="AG545">
        <v>0</v>
      </c>
      <c r="AH545">
        <v>0.81</v>
      </c>
      <c r="AI545" t="s">
        <v>56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 t="s">
        <v>57</v>
      </c>
      <c r="AS545" t="s">
        <v>1622</v>
      </c>
      <c r="AT545" t="s">
        <v>1622</v>
      </c>
      <c r="AU545" t="s">
        <v>1621</v>
      </c>
      <c r="AV545" t="s">
        <v>1623</v>
      </c>
      <c r="AW545" t="s">
        <v>1624</v>
      </c>
      <c r="AZ545">
        <v>18230</v>
      </c>
      <c r="BA545" t="s">
        <v>1625</v>
      </c>
      <c r="BB545" t="s">
        <v>61</v>
      </c>
      <c r="BC545" t="s">
        <v>62</v>
      </c>
    </row>
    <row r="546" spans="1:55" x14ac:dyDescent="0.25">
      <c r="A546" s="1" t="str">
        <f>IF(COUNTIF(Catégories!A:A,X546)=0,"catégorie inconnue",_xlfn.XLOOKUP(X546,Catégories!A:A,Catégories!B:B))</f>
        <v>Frêt</v>
      </c>
      <c r="B546" s="1">
        <f t="shared" si="24"/>
        <v>0</v>
      </c>
      <c r="C546" s="1">
        <f t="shared" si="25"/>
        <v>0</v>
      </c>
      <c r="D546" s="1">
        <f t="shared" si="26"/>
        <v>0</v>
      </c>
      <c r="E546" s="20">
        <f>IF(AH546&lt;&gt;0,ROUNDUP(AH546,0),IF(BB546&lt;&gt;"FR","hors France",IF(AH546&lt;&gt;0,ROUNDUP(AH546,0),_xlfn.XLOOKUP(AJ546,'PA GLS'!B:B,'PA GLS'!A:A))))</f>
        <v>1</v>
      </c>
      <c r="F546">
        <v>2501382993</v>
      </c>
      <c r="G546">
        <v>1030220043</v>
      </c>
      <c r="H546" t="s">
        <v>366</v>
      </c>
      <c r="I546">
        <v>2500034092</v>
      </c>
      <c r="J546" t="s">
        <v>50</v>
      </c>
      <c r="K546">
        <v>9000009190</v>
      </c>
      <c r="L546">
        <v>46946</v>
      </c>
      <c r="M546" t="s">
        <v>51</v>
      </c>
      <c r="N546">
        <v>9000079830</v>
      </c>
      <c r="O546" t="s">
        <v>187</v>
      </c>
      <c r="S546">
        <v>2507012387</v>
      </c>
      <c r="T546" t="s">
        <v>50</v>
      </c>
      <c r="U546" t="s">
        <v>122</v>
      </c>
      <c r="V546" t="s">
        <v>176</v>
      </c>
      <c r="W546" t="s">
        <v>177</v>
      </c>
      <c r="X546" t="s">
        <v>152</v>
      </c>
      <c r="Z546">
        <v>59</v>
      </c>
      <c r="AA546" t="s">
        <v>1378</v>
      </c>
      <c r="AB546" t="s">
        <v>1626</v>
      </c>
      <c r="AC546">
        <v>2604000157</v>
      </c>
      <c r="AE546">
        <v>0</v>
      </c>
      <c r="AF546">
        <v>1</v>
      </c>
      <c r="AG546">
        <v>0</v>
      </c>
      <c r="AH546">
        <v>0.83</v>
      </c>
      <c r="AI546" t="s">
        <v>56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 t="s">
        <v>57</v>
      </c>
      <c r="AS546" t="s">
        <v>1627</v>
      </c>
      <c r="AT546" t="s">
        <v>1627</v>
      </c>
      <c r="AU546" t="s">
        <v>1626</v>
      </c>
      <c r="AV546" t="s">
        <v>1628</v>
      </c>
      <c r="AW546" t="s">
        <v>1629</v>
      </c>
      <c r="AZ546">
        <v>33700</v>
      </c>
      <c r="BA546" t="s">
        <v>324</v>
      </c>
      <c r="BB546" t="s">
        <v>61</v>
      </c>
      <c r="BC546" t="s">
        <v>62</v>
      </c>
    </row>
    <row r="547" spans="1:55" x14ac:dyDescent="0.25">
      <c r="A547" s="1" t="str">
        <f>IF(COUNTIF(Catégories!A:A,X547)=0,"catégorie inconnue",_xlfn.XLOOKUP(X547,Catégories!A:A,Catégories!B:B))</f>
        <v>Frêt</v>
      </c>
      <c r="B547" s="1">
        <f t="shared" si="24"/>
        <v>0</v>
      </c>
      <c r="C547" s="1">
        <f t="shared" si="25"/>
        <v>0</v>
      </c>
      <c r="D547" s="1">
        <f t="shared" si="26"/>
        <v>0</v>
      </c>
      <c r="E547" s="20">
        <f>IF(AH547&lt;&gt;0,ROUNDUP(AH547,0),IF(BB547&lt;&gt;"FR","hors France",IF(AH547&lt;&gt;0,ROUNDUP(AH547,0),_xlfn.XLOOKUP(AJ547,'PA GLS'!B:B,'PA GLS'!A:A))))</f>
        <v>2</v>
      </c>
      <c r="F547">
        <v>2501382993</v>
      </c>
      <c r="G547">
        <v>1030220043</v>
      </c>
      <c r="H547" t="s">
        <v>366</v>
      </c>
      <c r="I547">
        <v>2500034092</v>
      </c>
      <c r="J547" t="s">
        <v>50</v>
      </c>
      <c r="K547">
        <v>9000009190</v>
      </c>
      <c r="L547">
        <v>46946</v>
      </c>
      <c r="M547" t="s">
        <v>51</v>
      </c>
      <c r="N547">
        <v>9000079830</v>
      </c>
      <c r="O547" t="s">
        <v>187</v>
      </c>
      <c r="S547">
        <v>2507012387</v>
      </c>
      <c r="T547" t="s">
        <v>50</v>
      </c>
      <c r="U547" t="s">
        <v>122</v>
      </c>
      <c r="V547" t="s">
        <v>176</v>
      </c>
      <c r="W547" t="s">
        <v>177</v>
      </c>
      <c r="X547" t="s">
        <v>152</v>
      </c>
      <c r="Z547">
        <v>59</v>
      </c>
      <c r="AA547" t="s">
        <v>1378</v>
      </c>
      <c r="AB547" t="s">
        <v>1630</v>
      </c>
      <c r="AC547">
        <v>2604000158</v>
      </c>
      <c r="AE547">
        <v>0</v>
      </c>
      <c r="AF547">
        <v>1</v>
      </c>
      <c r="AG547">
        <v>0</v>
      </c>
      <c r="AH547">
        <v>1.78</v>
      </c>
      <c r="AI547" t="s">
        <v>56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 t="s">
        <v>57</v>
      </c>
      <c r="AS547" t="s">
        <v>1631</v>
      </c>
      <c r="AT547" t="s">
        <v>1631</v>
      </c>
      <c r="AU547" t="s">
        <v>1630</v>
      </c>
      <c r="AV547" t="s">
        <v>1632</v>
      </c>
      <c r="AW547" t="s">
        <v>1633</v>
      </c>
      <c r="AZ547">
        <v>49270</v>
      </c>
      <c r="BA547" t="s">
        <v>1634</v>
      </c>
      <c r="BB547" t="s">
        <v>61</v>
      </c>
      <c r="BC547" t="s">
        <v>62</v>
      </c>
    </row>
    <row r="548" spans="1:55" x14ac:dyDescent="0.25">
      <c r="A548" s="1" t="str">
        <f>IF(COUNTIF(Catégories!A:A,X548)=0,"catégorie inconnue",_xlfn.XLOOKUP(X548,Catégories!A:A,Catégories!B:B))</f>
        <v>Frêt</v>
      </c>
      <c r="B548" s="1">
        <f t="shared" si="24"/>
        <v>0</v>
      </c>
      <c r="C548" s="1">
        <f t="shared" si="25"/>
        <v>0</v>
      </c>
      <c r="D548" s="1">
        <f t="shared" si="26"/>
        <v>0</v>
      </c>
      <c r="E548" s="20">
        <f>IF(AH548&lt;&gt;0,ROUNDUP(AH548,0),IF(BB548&lt;&gt;"FR","hors France",IF(AH548&lt;&gt;0,ROUNDUP(AH548,0),_xlfn.XLOOKUP(AJ548,'PA GLS'!B:B,'PA GLS'!A:A))))</f>
        <v>2</v>
      </c>
      <c r="F548">
        <v>2501382993</v>
      </c>
      <c r="G548">
        <v>1030220043</v>
      </c>
      <c r="H548" t="s">
        <v>366</v>
      </c>
      <c r="I548">
        <v>2500034092</v>
      </c>
      <c r="J548" t="s">
        <v>50</v>
      </c>
      <c r="K548">
        <v>9000009190</v>
      </c>
      <c r="L548">
        <v>46946</v>
      </c>
      <c r="M548" t="s">
        <v>51</v>
      </c>
      <c r="N548">
        <v>9000079830</v>
      </c>
      <c r="O548" t="s">
        <v>187</v>
      </c>
      <c r="S548">
        <v>2507012387</v>
      </c>
      <c r="T548" t="s">
        <v>50</v>
      </c>
      <c r="U548" t="s">
        <v>122</v>
      </c>
      <c r="V548" t="s">
        <v>176</v>
      </c>
      <c r="W548" t="s">
        <v>177</v>
      </c>
      <c r="X548" t="s">
        <v>152</v>
      </c>
      <c r="Z548">
        <v>59</v>
      </c>
      <c r="AA548" t="s">
        <v>1378</v>
      </c>
      <c r="AB548" t="s">
        <v>1635</v>
      </c>
      <c r="AC548">
        <v>2604000159</v>
      </c>
      <c r="AE548">
        <v>0</v>
      </c>
      <c r="AF548">
        <v>1</v>
      </c>
      <c r="AG548">
        <v>0</v>
      </c>
      <c r="AH548">
        <v>1.1100000000000001</v>
      </c>
      <c r="AI548" t="s">
        <v>56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 t="s">
        <v>57</v>
      </c>
      <c r="AS548" t="s">
        <v>1636</v>
      </c>
      <c r="AT548" t="s">
        <v>1636</v>
      </c>
      <c r="AU548" t="s">
        <v>1635</v>
      </c>
      <c r="AV548" t="s">
        <v>1637</v>
      </c>
      <c r="AW548" t="s">
        <v>1638</v>
      </c>
      <c r="AZ548">
        <v>75009</v>
      </c>
      <c r="BA548" t="s">
        <v>65</v>
      </c>
      <c r="BB548" t="s">
        <v>61</v>
      </c>
      <c r="BC548" t="s">
        <v>62</v>
      </c>
    </row>
    <row r="549" spans="1:55" x14ac:dyDescent="0.25">
      <c r="A549" s="1" t="str">
        <f>IF(COUNTIF(Catégories!A:A,X549)=0,"catégorie inconnue",_xlfn.XLOOKUP(X549,Catégories!A:A,Catégories!B:B))</f>
        <v>Frêt</v>
      </c>
      <c r="B549" s="1">
        <f t="shared" si="24"/>
        <v>7.0100000000000007</v>
      </c>
      <c r="C549" s="1">
        <f t="shared" si="25"/>
        <v>1.54</v>
      </c>
      <c r="D549" s="1">
        <f t="shared" si="26"/>
        <v>5.4700000000000006</v>
      </c>
      <c r="E549" s="20">
        <f>IF(AH549&lt;&gt;0,ROUNDUP(AH549,0),IF(BB549&lt;&gt;"FR","hors France",IF(AH549&lt;&gt;0,ROUNDUP(AH549,0),_xlfn.XLOOKUP(AJ549,'PA GLS'!B:B,'PA GLS'!A:A))))</f>
        <v>2</v>
      </c>
      <c r="F549">
        <v>2501382993</v>
      </c>
      <c r="G549">
        <v>1030220043</v>
      </c>
      <c r="H549" t="s">
        <v>366</v>
      </c>
      <c r="I549">
        <v>2500034092</v>
      </c>
      <c r="J549" t="s">
        <v>50</v>
      </c>
      <c r="K549">
        <v>9000009190</v>
      </c>
      <c r="L549">
        <v>46946</v>
      </c>
      <c r="M549" t="s">
        <v>51</v>
      </c>
      <c r="N549">
        <v>9000079830</v>
      </c>
      <c r="O549" t="s">
        <v>187</v>
      </c>
      <c r="S549">
        <v>2507012387</v>
      </c>
      <c r="T549" t="s">
        <v>50</v>
      </c>
      <c r="U549" t="s">
        <v>122</v>
      </c>
      <c r="V549" t="s">
        <v>63</v>
      </c>
      <c r="W549" t="s">
        <v>64</v>
      </c>
      <c r="X549" t="s">
        <v>60</v>
      </c>
      <c r="Z549">
        <v>63</v>
      </c>
      <c r="AA549" t="s">
        <v>1378</v>
      </c>
      <c r="AB549" t="s">
        <v>1585</v>
      </c>
      <c r="AC549">
        <v>2604000148</v>
      </c>
      <c r="AE549">
        <v>0</v>
      </c>
      <c r="AF549">
        <v>0</v>
      </c>
      <c r="AG549">
        <v>0</v>
      </c>
      <c r="AH549">
        <v>0</v>
      </c>
      <c r="AI549" t="s">
        <v>56</v>
      </c>
      <c r="AJ549">
        <v>4.42</v>
      </c>
      <c r="AK549">
        <v>0.9</v>
      </c>
      <c r="AL549">
        <v>0.15</v>
      </c>
      <c r="AM549">
        <v>29.1</v>
      </c>
      <c r="AN549">
        <v>1.54</v>
      </c>
      <c r="AO549">
        <v>0</v>
      </c>
      <c r="AP549">
        <v>0</v>
      </c>
      <c r="AQ549" t="s">
        <v>57</v>
      </c>
      <c r="AS549" t="s">
        <v>1586</v>
      </c>
      <c r="AT549" t="s">
        <v>1586</v>
      </c>
      <c r="AU549" t="s">
        <v>1585</v>
      </c>
      <c r="AV549" t="s">
        <v>1587</v>
      </c>
      <c r="AW549" t="s">
        <v>1588</v>
      </c>
      <c r="AZ549">
        <v>94300</v>
      </c>
      <c r="BA549" t="s">
        <v>616</v>
      </c>
      <c r="BB549" t="s">
        <v>61</v>
      </c>
      <c r="BC549" t="s">
        <v>62</v>
      </c>
    </row>
    <row r="550" spans="1:55" x14ac:dyDescent="0.25">
      <c r="A550" s="1" t="str">
        <f>IF(COUNTIF(Catégories!A:A,X550)=0,"catégorie inconnue",_xlfn.XLOOKUP(X550,Catégories!A:A,Catégories!B:B))</f>
        <v>Frêt</v>
      </c>
      <c r="B550" s="1">
        <f t="shared" si="24"/>
        <v>7.0100000000000007</v>
      </c>
      <c r="C550" s="1">
        <f t="shared" si="25"/>
        <v>1.54</v>
      </c>
      <c r="D550" s="1">
        <f t="shared" si="26"/>
        <v>5.4700000000000006</v>
      </c>
      <c r="E550" s="20">
        <f>IF(AH550&lt;&gt;0,ROUNDUP(AH550,0),IF(BB550&lt;&gt;"FR","hors France",IF(AH550&lt;&gt;0,ROUNDUP(AH550,0),_xlfn.XLOOKUP(AJ550,'PA GLS'!B:B,'PA GLS'!A:A))))</f>
        <v>2</v>
      </c>
      <c r="F550">
        <v>2501382993</v>
      </c>
      <c r="G550">
        <v>1030220043</v>
      </c>
      <c r="H550" t="s">
        <v>366</v>
      </c>
      <c r="I550">
        <v>2500034092</v>
      </c>
      <c r="J550" t="s">
        <v>50</v>
      </c>
      <c r="K550">
        <v>9000009190</v>
      </c>
      <c r="L550">
        <v>46946</v>
      </c>
      <c r="M550" t="s">
        <v>51</v>
      </c>
      <c r="N550">
        <v>9000079830</v>
      </c>
      <c r="O550" t="s">
        <v>187</v>
      </c>
      <c r="S550">
        <v>2507012387</v>
      </c>
      <c r="T550" t="s">
        <v>50</v>
      </c>
      <c r="U550" t="s">
        <v>122</v>
      </c>
      <c r="V550" t="s">
        <v>63</v>
      </c>
      <c r="W550" t="s">
        <v>64</v>
      </c>
      <c r="X550" t="s">
        <v>60</v>
      </c>
      <c r="Z550">
        <v>63</v>
      </c>
      <c r="AA550" t="s">
        <v>1378</v>
      </c>
      <c r="AB550" t="s">
        <v>1589</v>
      </c>
      <c r="AC550">
        <v>2604000149</v>
      </c>
      <c r="AE550">
        <v>0</v>
      </c>
      <c r="AF550">
        <v>0</v>
      </c>
      <c r="AG550">
        <v>0</v>
      </c>
      <c r="AH550">
        <v>0</v>
      </c>
      <c r="AI550" t="s">
        <v>56</v>
      </c>
      <c r="AJ550">
        <v>4.42</v>
      </c>
      <c r="AK550">
        <v>0.9</v>
      </c>
      <c r="AL550">
        <v>0.15</v>
      </c>
      <c r="AM550">
        <v>29.1</v>
      </c>
      <c r="AN550">
        <v>1.54</v>
      </c>
      <c r="AO550">
        <v>0</v>
      </c>
      <c r="AP550">
        <v>0</v>
      </c>
      <c r="AQ550" t="s">
        <v>57</v>
      </c>
      <c r="AS550" t="s">
        <v>1590</v>
      </c>
      <c r="AT550" t="s">
        <v>1590</v>
      </c>
      <c r="AU550" t="s">
        <v>1589</v>
      </c>
      <c r="AV550" t="s">
        <v>1591</v>
      </c>
      <c r="AW550" t="s">
        <v>1592</v>
      </c>
      <c r="AZ550">
        <v>8000</v>
      </c>
      <c r="BA550" t="s">
        <v>1593</v>
      </c>
      <c r="BB550" t="s">
        <v>61</v>
      </c>
      <c r="BC550" t="s">
        <v>62</v>
      </c>
    </row>
    <row r="551" spans="1:55" x14ac:dyDescent="0.25">
      <c r="A551" s="1" t="str">
        <f>IF(COUNTIF(Catégories!A:A,X551)=0,"catégorie inconnue",_xlfn.XLOOKUP(X551,Catégories!A:A,Catégories!B:B))</f>
        <v>Frêt</v>
      </c>
      <c r="B551" s="1">
        <f t="shared" si="24"/>
        <v>7.0100000000000007</v>
      </c>
      <c r="C551" s="1">
        <f t="shared" si="25"/>
        <v>1.54</v>
      </c>
      <c r="D551" s="1">
        <f t="shared" si="26"/>
        <v>5.4700000000000006</v>
      </c>
      <c r="E551" s="20">
        <f>IF(AH551&lt;&gt;0,ROUNDUP(AH551,0),IF(BB551&lt;&gt;"FR","hors France",IF(AH551&lt;&gt;0,ROUNDUP(AH551,0),_xlfn.XLOOKUP(AJ551,'PA GLS'!B:B,'PA GLS'!A:A))))</f>
        <v>2</v>
      </c>
      <c r="F551">
        <v>2501382993</v>
      </c>
      <c r="G551">
        <v>1030220043</v>
      </c>
      <c r="H551" t="s">
        <v>366</v>
      </c>
      <c r="I551">
        <v>2500034092</v>
      </c>
      <c r="J551" t="s">
        <v>50</v>
      </c>
      <c r="K551">
        <v>9000009190</v>
      </c>
      <c r="L551">
        <v>46946</v>
      </c>
      <c r="M551" t="s">
        <v>51</v>
      </c>
      <c r="N551">
        <v>9000079830</v>
      </c>
      <c r="O551" t="s">
        <v>187</v>
      </c>
      <c r="S551">
        <v>2507012387</v>
      </c>
      <c r="T551" t="s">
        <v>50</v>
      </c>
      <c r="U551" t="s">
        <v>122</v>
      </c>
      <c r="V551" t="s">
        <v>63</v>
      </c>
      <c r="W551" t="s">
        <v>64</v>
      </c>
      <c r="X551" t="s">
        <v>60</v>
      </c>
      <c r="Z551">
        <v>63</v>
      </c>
      <c r="AA551" t="s">
        <v>1378</v>
      </c>
      <c r="AB551" t="s">
        <v>1608</v>
      </c>
      <c r="AC551">
        <v>2604000153</v>
      </c>
      <c r="AE551">
        <v>0</v>
      </c>
      <c r="AF551">
        <v>0</v>
      </c>
      <c r="AG551">
        <v>0</v>
      </c>
      <c r="AH551">
        <v>0</v>
      </c>
      <c r="AI551" t="s">
        <v>56</v>
      </c>
      <c r="AJ551">
        <v>4.42</v>
      </c>
      <c r="AK551">
        <v>0.9</v>
      </c>
      <c r="AL551">
        <v>0.15</v>
      </c>
      <c r="AM551">
        <v>29.1</v>
      </c>
      <c r="AN551">
        <v>1.54</v>
      </c>
      <c r="AO551">
        <v>0</v>
      </c>
      <c r="AP551">
        <v>0</v>
      </c>
      <c r="AQ551" t="s">
        <v>57</v>
      </c>
      <c r="AS551" t="s">
        <v>1609</v>
      </c>
      <c r="AT551" t="s">
        <v>1609</v>
      </c>
      <c r="AU551" t="s">
        <v>1608</v>
      </c>
      <c r="AV551" t="s">
        <v>1610</v>
      </c>
      <c r="AW551" t="s">
        <v>1611</v>
      </c>
      <c r="AZ551">
        <v>76770</v>
      </c>
      <c r="BA551" t="s">
        <v>1612</v>
      </c>
      <c r="BB551" t="s">
        <v>61</v>
      </c>
      <c r="BC551" t="s">
        <v>62</v>
      </c>
    </row>
    <row r="552" spans="1:55" x14ac:dyDescent="0.25">
      <c r="A552" s="1" t="str">
        <f>IF(COUNTIF(Catégories!A:A,X552)=0,"catégorie inconnue",_xlfn.XLOOKUP(X552,Catégories!A:A,Catégories!B:B))</f>
        <v>Frêt</v>
      </c>
      <c r="B552" s="1">
        <f t="shared" si="24"/>
        <v>7.0100000000000007</v>
      </c>
      <c r="C552" s="1">
        <f t="shared" si="25"/>
        <v>1.54</v>
      </c>
      <c r="D552" s="1">
        <f t="shared" si="26"/>
        <v>5.4700000000000006</v>
      </c>
      <c r="E552" s="20">
        <f>IF(AH552&lt;&gt;0,ROUNDUP(AH552,0),IF(BB552&lt;&gt;"FR","hors France",IF(AH552&lt;&gt;0,ROUNDUP(AH552,0),_xlfn.XLOOKUP(AJ552,'PA GLS'!B:B,'PA GLS'!A:A))))</f>
        <v>2</v>
      </c>
      <c r="F552">
        <v>2501382993</v>
      </c>
      <c r="G552">
        <v>1030220043</v>
      </c>
      <c r="H552" t="s">
        <v>366</v>
      </c>
      <c r="I552">
        <v>2500034092</v>
      </c>
      <c r="J552" t="s">
        <v>50</v>
      </c>
      <c r="K552">
        <v>9000009190</v>
      </c>
      <c r="L552">
        <v>46946</v>
      </c>
      <c r="M552" t="s">
        <v>51</v>
      </c>
      <c r="N552">
        <v>9000079830</v>
      </c>
      <c r="O552" t="s">
        <v>187</v>
      </c>
      <c r="S552">
        <v>2507012387</v>
      </c>
      <c r="T552" t="s">
        <v>50</v>
      </c>
      <c r="U552" t="s">
        <v>122</v>
      </c>
      <c r="V552" t="s">
        <v>63</v>
      </c>
      <c r="W552" t="s">
        <v>64</v>
      </c>
      <c r="X552" t="s">
        <v>60</v>
      </c>
      <c r="Z552">
        <v>63</v>
      </c>
      <c r="AA552" t="s">
        <v>1378</v>
      </c>
      <c r="AB552" t="s">
        <v>1613</v>
      </c>
      <c r="AC552">
        <v>2604000154</v>
      </c>
      <c r="AE552">
        <v>0</v>
      </c>
      <c r="AF552">
        <v>0</v>
      </c>
      <c r="AG552">
        <v>0</v>
      </c>
      <c r="AH552">
        <v>0</v>
      </c>
      <c r="AI552" t="s">
        <v>56</v>
      </c>
      <c r="AJ552">
        <v>4.42</v>
      </c>
      <c r="AK552">
        <v>0.9</v>
      </c>
      <c r="AL552">
        <v>0.15</v>
      </c>
      <c r="AM552">
        <v>29.1</v>
      </c>
      <c r="AN552">
        <v>1.54</v>
      </c>
      <c r="AO552">
        <v>0</v>
      </c>
      <c r="AP552">
        <v>0</v>
      </c>
      <c r="AQ552" t="s">
        <v>57</v>
      </c>
      <c r="AS552" t="s">
        <v>1614</v>
      </c>
      <c r="AT552" t="s">
        <v>1614</v>
      </c>
      <c r="AU552" t="s">
        <v>1613</v>
      </c>
      <c r="AV552" t="s">
        <v>1615</v>
      </c>
      <c r="AW552" t="s">
        <v>1616</v>
      </c>
      <c r="AZ552">
        <v>92800</v>
      </c>
      <c r="BA552" t="s">
        <v>309</v>
      </c>
      <c r="BB552" t="s">
        <v>61</v>
      </c>
      <c r="BC552" t="s">
        <v>62</v>
      </c>
    </row>
    <row r="553" spans="1:55" x14ac:dyDescent="0.25">
      <c r="A553" s="1" t="str">
        <f>IF(COUNTIF(Catégories!A:A,X553)=0,"catégorie inconnue",_xlfn.XLOOKUP(X553,Catégories!A:A,Catégories!B:B))</f>
        <v>Frêt</v>
      </c>
      <c r="B553" s="1">
        <f t="shared" si="24"/>
        <v>7.0100000000000007</v>
      </c>
      <c r="C553" s="1">
        <f t="shared" si="25"/>
        <v>1.54</v>
      </c>
      <c r="D553" s="1">
        <f t="shared" si="26"/>
        <v>5.4700000000000006</v>
      </c>
      <c r="E553" s="20">
        <f>IF(AH553&lt;&gt;0,ROUNDUP(AH553,0),IF(BB553&lt;&gt;"FR","hors France",IF(AH553&lt;&gt;0,ROUNDUP(AH553,0),_xlfn.XLOOKUP(AJ553,'PA GLS'!B:B,'PA GLS'!A:A))))</f>
        <v>2</v>
      </c>
      <c r="F553">
        <v>2501382993</v>
      </c>
      <c r="G553">
        <v>1030220043</v>
      </c>
      <c r="H553" t="s">
        <v>366</v>
      </c>
      <c r="I553">
        <v>2500034092</v>
      </c>
      <c r="J553" t="s">
        <v>50</v>
      </c>
      <c r="K553">
        <v>9000009190</v>
      </c>
      <c r="L553">
        <v>46946</v>
      </c>
      <c r="M553" t="s">
        <v>51</v>
      </c>
      <c r="N553">
        <v>9000079830</v>
      </c>
      <c r="O553" t="s">
        <v>187</v>
      </c>
      <c r="S553">
        <v>2507012387</v>
      </c>
      <c r="T553" t="s">
        <v>50</v>
      </c>
      <c r="U553" t="s">
        <v>122</v>
      </c>
      <c r="V553" t="s">
        <v>63</v>
      </c>
      <c r="W553" t="s">
        <v>64</v>
      </c>
      <c r="X553" t="s">
        <v>60</v>
      </c>
      <c r="Z553">
        <v>63</v>
      </c>
      <c r="AA553" t="s">
        <v>1378</v>
      </c>
      <c r="AB553" t="s">
        <v>1635</v>
      </c>
      <c r="AC553">
        <v>2604000159</v>
      </c>
      <c r="AE553">
        <v>0</v>
      </c>
      <c r="AF553">
        <v>0</v>
      </c>
      <c r="AG553">
        <v>0</v>
      </c>
      <c r="AH553">
        <v>0</v>
      </c>
      <c r="AI553" t="s">
        <v>56</v>
      </c>
      <c r="AJ553">
        <v>4.42</v>
      </c>
      <c r="AK553">
        <v>0.9</v>
      </c>
      <c r="AL553">
        <v>0.15</v>
      </c>
      <c r="AM553">
        <v>29.1</v>
      </c>
      <c r="AN553">
        <v>1.54</v>
      </c>
      <c r="AO553">
        <v>0</v>
      </c>
      <c r="AP553">
        <v>0</v>
      </c>
      <c r="AQ553" t="s">
        <v>57</v>
      </c>
      <c r="AS553" t="s">
        <v>1636</v>
      </c>
      <c r="AT553" t="s">
        <v>1636</v>
      </c>
      <c r="AU553" t="s">
        <v>1635</v>
      </c>
      <c r="AV553" t="s">
        <v>1637</v>
      </c>
      <c r="AW553" t="s">
        <v>1638</v>
      </c>
      <c r="AZ553">
        <v>75009</v>
      </c>
      <c r="BA553" t="s">
        <v>65</v>
      </c>
      <c r="BB553" t="s">
        <v>61</v>
      </c>
      <c r="BC553" t="s">
        <v>62</v>
      </c>
    </row>
    <row r="554" spans="1:55" x14ac:dyDescent="0.25">
      <c r="A554" s="1" t="str">
        <f>IF(COUNTIF(Catégories!A:A,X554)=0,"catégorie inconnue",_xlfn.XLOOKUP(X554,Catégories!A:A,Catégories!B:B))</f>
        <v>Frêt</v>
      </c>
      <c r="B554" s="1">
        <f t="shared" si="24"/>
        <v>7.0100000000000007</v>
      </c>
      <c r="C554" s="1">
        <f t="shared" si="25"/>
        <v>1.54</v>
      </c>
      <c r="D554" s="1">
        <f t="shared" si="26"/>
        <v>5.4700000000000006</v>
      </c>
      <c r="E554" s="20">
        <f>IF(AH554&lt;&gt;0,ROUNDUP(AH554,0),IF(BB554&lt;&gt;"FR","hors France",IF(AH554&lt;&gt;0,ROUNDUP(AH554,0),_xlfn.XLOOKUP(AJ554,'PA GLS'!B:B,'PA GLS'!A:A))))</f>
        <v>2</v>
      </c>
      <c r="F554">
        <v>2501382993</v>
      </c>
      <c r="G554">
        <v>1030220043</v>
      </c>
      <c r="H554" t="s">
        <v>366</v>
      </c>
      <c r="I554">
        <v>2500034092</v>
      </c>
      <c r="J554" t="s">
        <v>50</v>
      </c>
      <c r="K554">
        <v>9000009190</v>
      </c>
      <c r="L554">
        <v>46946</v>
      </c>
      <c r="M554" t="s">
        <v>51</v>
      </c>
      <c r="N554">
        <v>9000079830</v>
      </c>
      <c r="O554" t="s">
        <v>187</v>
      </c>
      <c r="S554">
        <v>2507012387</v>
      </c>
      <c r="T554" t="s">
        <v>50</v>
      </c>
      <c r="U554" t="s">
        <v>122</v>
      </c>
      <c r="V554" t="s">
        <v>63</v>
      </c>
      <c r="W554" t="s">
        <v>64</v>
      </c>
      <c r="X554" t="s">
        <v>60</v>
      </c>
      <c r="Z554">
        <v>63</v>
      </c>
      <c r="AA554" t="s">
        <v>1378</v>
      </c>
      <c r="AB554" t="s">
        <v>1466</v>
      </c>
      <c r="AC554">
        <v>2604000170</v>
      </c>
      <c r="AE554">
        <v>0</v>
      </c>
      <c r="AF554">
        <v>0</v>
      </c>
      <c r="AG554">
        <v>0</v>
      </c>
      <c r="AH554">
        <v>0</v>
      </c>
      <c r="AI554" t="s">
        <v>56</v>
      </c>
      <c r="AJ554">
        <v>4.42</v>
      </c>
      <c r="AK554">
        <v>0.9</v>
      </c>
      <c r="AL554">
        <v>0.15</v>
      </c>
      <c r="AM554">
        <v>29.1</v>
      </c>
      <c r="AN554">
        <v>1.54</v>
      </c>
      <c r="AO554">
        <v>0</v>
      </c>
      <c r="AP554">
        <v>0</v>
      </c>
      <c r="AQ554" t="s">
        <v>57</v>
      </c>
      <c r="AS554" t="s">
        <v>1467</v>
      </c>
      <c r="AT554" t="s">
        <v>1467</v>
      </c>
      <c r="AU554" t="s">
        <v>1466</v>
      </c>
      <c r="AV554" t="s">
        <v>1468</v>
      </c>
      <c r="AW554" t="s">
        <v>1469</v>
      </c>
      <c r="AZ554">
        <v>33000</v>
      </c>
      <c r="BA554" t="s">
        <v>228</v>
      </c>
      <c r="BB554" t="s">
        <v>61</v>
      </c>
      <c r="BC554" t="s">
        <v>62</v>
      </c>
    </row>
    <row r="555" spans="1:55" x14ac:dyDescent="0.25">
      <c r="A555" s="1" t="str">
        <f>IF(COUNTIF(Catégories!A:A,X555)=0,"catégorie inconnue",_xlfn.XLOOKUP(X555,Catégories!A:A,Catégories!B:B))</f>
        <v>Frêt</v>
      </c>
      <c r="B555" s="1">
        <f t="shared" si="24"/>
        <v>7.0100000000000007</v>
      </c>
      <c r="C555" s="1">
        <f t="shared" si="25"/>
        <v>1.54</v>
      </c>
      <c r="D555" s="1">
        <f t="shared" si="26"/>
        <v>5.4700000000000006</v>
      </c>
      <c r="E555" s="20">
        <f>IF(AH555&lt;&gt;0,ROUNDUP(AH555,0),IF(BB555&lt;&gt;"FR","hors France",IF(AH555&lt;&gt;0,ROUNDUP(AH555,0),_xlfn.XLOOKUP(AJ555,'PA GLS'!B:B,'PA GLS'!A:A))))</f>
        <v>2</v>
      </c>
      <c r="F555">
        <v>2501382993</v>
      </c>
      <c r="G555">
        <v>1030220043</v>
      </c>
      <c r="H555" t="s">
        <v>366</v>
      </c>
      <c r="I555">
        <v>2500034092</v>
      </c>
      <c r="J555" t="s">
        <v>50</v>
      </c>
      <c r="K555">
        <v>9000009190</v>
      </c>
      <c r="L555">
        <v>46946</v>
      </c>
      <c r="M555" t="s">
        <v>51</v>
      </c>
      <c r="N555">
        <v>9000079830</v>
      </c>
      <c r="O555" t="s">
        <v>187</v>
      </c>
      <c r="S555">
        <v>2507012387</v>
      </c>
      <c r="T555" t="s">
        <v>50</v>
      </c>
      <c r="U555" t="s">
        <v>122</v>
      </c>
      <c r="V555" t="s">
        <v>63</v>
      </c>
      <c r="W555" t="s">
        <v>64</v>
      </c>
      <c r="X555" t="s">
        <v>60</v>
      </c>
      <c r="Z555">
        <v>63</v>
      </c>
      <c r="AA555" t="s">
        <v>1378</v>
      </c>
      <c r="AB555" t="s">
        <v>1470</v>
      </c>
      <c r="AC555">
        <v>2604000171</v>
      </c>
      <c r="AE555">
        <v>0</v>
      </c>
      <c r="AF555">
        <v>0</v>
      </c>
      <c r="AG555">
        <v>0</v>
      </c>
      <c r="AH555">
        <v>0</v>
      </c>
      <c r="AI555" t="s">
        <v>56</v>
      </c>
      <c r="AJ555">
        <v>4.42</v>
      </c>
      <c r="AK555">
        <v>0.9</v>
      </c>
      <c r="AL555">
        <v>0.15</v>
      </c>
      <c r="AM555">
        <v>29.1</v>
      </c>
      <c r="AN555">
        <v>1.54</v>
      </c>
      <c r="AO555">
        <v>0</v>
      </c>
      <c r="AP555">
        <v>0</v>
      </c>
      <c r="AQ555" t="s">
        <v>57</v>
      </c>
      <c r="AS555" t="s">
        <v>1471</v>
      </c>
      <c r="AT555" t="s">
        <v>1471</v>
      </c>
      <c r="AU555" t="s">
        <v>1470</v>
      </c>
      <c r="AV555" t="s">
        <v>1472</v>
      </c>
      <c r="AW555" t="s">
        <v>1473</v>
      </c>
      <c r="AZ555">
        <v>19330</v>
      </c>
      <c r="BA555" t="s">
        <v>1474</v>
      </c>
      <c r="BB555" t="s">
        <v>61</v>
      </c>
      <c r="BC555" t="s">
        <v>62</v>
      </c>
    </row>
    <row r="556" spans="1:55" x14ac:dyDescent="0.25">
      <c r="A556" s="1" t="str">
        <f>IF(COUNTIF(Catégories!A:A,X556)=0,"catégorie inconnue",_xlfn.XLOOKUP(X556,Catégories!A:A,Catégories!B:B))</f>
        <v>Frêt</v>
      </c>
      <c r="B556" s="1">
        <f t="shared" si="24"/>
        <v>7.0100000000000007</v>
      </c>
      <c r="C556" s="1">
        <f t="shared" si="25"/>
        <v>1.54</v>
      </c>
      <c r="D556" s="1">
        <f t="shared" si="26"/>
        <v>5.4700000000000006</v>
      </c>
      <c r="E556" s="20">
        <f>IF(AH556&lt;&gt;0,ROUNDUP(AH556,0),IF(BB556&lt;&gt;"FR","hors France",IF(AH556&lt;&gt;0,ROUNDUP(AH556,0),_xlfn.XLOOKUP(AJ556,'PA GLS'!B:B,'PA GLS'!A:A))))</f>
        <v>2</v>
      </c>
      <c r="F556">
        <v>2501382993</v>
      </c>
      <c r="G556">
        <v>1030220043</v>
      </c>
      <c r="H556" t="s">
        <v>366</v>
      </c>
      <c r="I556">
        <v>2500034092</v>
      </c>
      <c r="J556" t="s">
        <v>50</v>
      </c>
      <c r="K556">
        <v>9000009190</v>
      </c>
      <c r="L556">
        <v>46946</v>
      </c>
      <c r="M556" t="s">
        <v>51</v>
      </c>
      <c r="N556">
        <v>9000079830</v>
      </c>
      <c r="O556" t="s">
        <v>187</v>
      </c>
      <c r="S556">
        <v>2507012387</v>
      </c>
      <c r="T556" t="s">
        <v>50</v>
      </c>
      <c r="U556" t="s">
        <v>122</v>
      </c>
      <c r="V556" t="s">
        <v>63</v>
      </c>
      <c r="W556" t="s">
        <v>64</v>
      </c>
      <c r="X556" t="s">
        <v>60</v>
      </c>
      <c r="Z556">
        <v>63</v>
      </c>
      <c r="AA556" t="s">
        <v>1378</v>
      </c>
      <c r="AB556" t="s">
        <v>1514</v>
      </c>
      <c r="AC556">
        <v>2604000181</v>
      </c>
      <c r="AE556">
        <v>0</v>
      </c>
      <c r="AF556">
        <v>0</v>
      </c>
      <c r="AG556">
        <v>0</v>
      </c>
      <c r="AH556">
        <v>0</v>
      </c>
      <c r="AI556" t="s">
        <v>56</v>
      </c>
      <c r="AJ556">
        <v>4.42</v>
      </c>
      <c r="AK556">
        <v>0.9</v>
      </c>
      <c r="AL556">
        <v>0.15</v>
      </c>
      <c r="AM556">
        <v>29.1</v>
      </c>
      <c r="AN556">
        <v>1.54</v>
      </c>
      <c r="AO556">
        <v>0</v>
      </c>
      <c r="AP556">
        <v>0</v>
      </c>
      <c r="AQ556" t="s">
        <v>57</v>
      </c>
      <c r="AS556" t="s">
        <v>1515</v>
      </c>
      <c r="AT556" t="s">
        <v>1515</v>
      </c>
      <c r="AU556" t="s">
        <v>1514</v>
      </c>
      <c r="AV556" t="s">
        <v>1516</v>
      </c>
      <c r="AW556" t="s">
        <v>1517</v>
      </c>
      <c r="AZ556">
        <v>33000</v>
      </c>
      <c r="BA556" t="s">
        <v>228</v>
      </c>
      <c r="BB556" t="s">
        <v>61</v>
      </c>
      <c r="BC556" t="s">
        <v>62</v>
      </c>
    </row>
    <row r="557" spans="1:55" x14ac:dyDescent="0.25">
      <c r="A557" s="1" t="str">
        <f>IF(COUNTIF(Catégories!A:A,X557)=0,"catégorie inconnue",_xlfn.XLOOKUP(X557,Catégories!A:A,Catégories!B:B))</f>
        <v>Frêt</v>
      </c>
      <c r="B557" s="1">
        <f t="shared" si="24"/>
        <v>7.0100000000000007</v>
      </c>
      <c r="C557" s="1">
        <f t="shared" si="25"/>
        <v>1.54</v>
      </c>
      <c r="D557" s="1">
        <f t="shared" si="26"/>
        <v>5.4700000000000006</v>
      </c>
      <c r="E557" s="20">
        <f>IF(AH557&lt;&gt;0,ROUNDUP(AH557,0),IF(BB557&lt;&gt;"FR","hors France",IF(AH557&lt;&gt;0,ROUNDUP(AH557,0),_xlfn.XLOOKUP(AJ557,'PA GLS'!B:B,'PA GLS'!A:A))))</f>
        <v>2</v>
      </c>
      <c r="F557">
        <v>2501382993</v>
      </c>
      <c r="G557">
        <v>1030220043</v>
      </c>
      <c r="H557" t="s">
        <v>366</v>
      </c>
      <c r="I557">
        <v>2500034092</v>
      </c>
      <c r="J557" t="s">
        <v>50</v>
      </c>
      <c r="K557">
        <v>9000009190</v>
      </c>
      <c r="L557">
        <v>46946</v>
      </c>
      <c r="M557" t="s">
        <v>51</v>
      </c>
      <c r="N557">
        <v>9000079830</v>
      </c>
      <c r="O557" t="s">
        <v>187</v>
      </c>
      <c r="S557">
        <v>2507012387</v>
      </c>
      <c r="T557" t="s">
        <v>50</v>
      </c>
      <c r="U557" t="s">
        <v>122</v>
      </c>
      <c r="V557" t="s">
        <v>63</v>
      </c>
      <c r="W557" t="s">
        <v>64</v>
      </c>
      <c r="X557" t="s">
        <v>60</v>
      </c>
      <c r="Z557">
        <v>63</v>
      </c>
      <c r="AA557" t="s">
        <v>1378</v>
      </c>
      <c r="AB557" t="s">
        <v>1523</v>
      </c>
      <c r="AC557">
        <v>2604000183</v>
      </c>
      <c r="AE557">
        <v>0</v>
      </c>
      <c r="AF557">
        <v>0</v>
      </c>
      <c r="AG557">
        <v>0</v>
      </c>
      <c r="AH557">
        <v>0</v>
      </c>
      <c r="AI557" t="s">
        <v>56</v>
      </c>
      <c r="AJ557">
        <v>4.42</v>
      </c>
      <c r="AK557">
        <v>0.9</v>
      </c>
      <c r="AL557">
        <v>0.15</v>
      </c>
      <c r="AM557">
        <v>29.1</v>
      </c>
      <c r="AN557">
        <v>1.54</v>
      </c>
      <c r="AO557">
        <v>0</v>
      </c>
      <c r="AP557">
        <v>0</v>
      </c>
      <c r="AQ557" t="s">
        <v>57</v>
      </c>
      <c r="AS557" t="s">
        <v>1524</v>
      </c>
      <c r="AT557" t="s">
        <v>1524</v>
      </c>
      <c r="AU557" t="s">
        <v>1523</v>
      </c>
      <c r="AV557" t="s">
        <v>1525</v>
      </c>
      <c r="AW557" t="s">
        <v>1526</v>
      </c>
      <c r="AZ557">
        <v>69003</v>
      </c>
      <c r="BA557" t="s">
        <v>151</v>
      </c>
      <c r="BB557" t="s">
        <v>61</v>
      </c>
      <c r="BC557" t="s">
        <v>62</v>
      </c>
    </row>
    <row r="558" spans="1:55" x14ac:dyDescent="0.25">
      <c r="A558" s="1" t="str">
        <f>IF(COUNTIF(Catégories!A:A,X558)=0,"catégorie inconnue",_xlfn.XLOOKUP(X558,Catégories!A:A,Catégories!B:B))</f>
        <v>Frêt</v>
      </c>
      <c r="B558" s="1">
        <f t="shared" si="24"/>
        <v>7.0100000000000007</v>
      </c>
      <c r="C558" s="1">
        <f t="shared" si="25"/>
        <v>1.54</v>
      </c>
      <c r="D558" s="1">
        <f t="shared" si="26"/>
        <v>5.4700000000000006</v>
      </c>
      <c r="E558" s="20">
        <f>IF(AH558&lt;&gt;0,ROUNDUP(AH558,0),IF(BB558&lt;&gt;"FR","hors France",IF(AH558&lt;&gt;0,ROUNDUP(AH558,0),_xlfn.XLOOKUP(AJ558,'PA GLS'!B:B,'PA GLS'!A:A))))</f>
        <v>2</v>
      </c>
      <c r="F558">
        <v>2501382993</v>
      </c>
      <c r="G558">
        <v>1030220043</v>
      </c>
      <c r="H558" t="s">
        <v>366</v>
      </c>
      <c r="I558">
        <v>2500034092</v>
      </c>
      <c r="J558" t="s">
        <v>50</v>
      </c>
      <c r="K558">
        <v>9000009190</v>
      </c>
      <c r="L558">
        <v>46946</v>
      </c>
      <c r="M558" t="s">
        <v>51</v>
      </c>
      <c r="N558">
        <v>9000079830</v>
      </c>
      <c r="O558" t="s">
        <v>187</v>
      </c>
      <c r="S558">
        <v>2507012387</v>
      </c>
      <c r="T558" t="s">
        <v>50</v>
      </c>
      <c r="U558" t="s">
        <v>122</v>
      </c>
      <c r="V558" t="s">
        <v>77</v>
      </c>
      <c r="W558" t="s">
        <v>78</v>
      </c>
      <c r="X558" t="s">
        <v>60</v>
      </c>
      <c r="Z558">
        <v>64</v>
      </c>
      <c r="AA558" t="s">
        <v>1378</v>
      </c>
      <c r="AB558" t="s">
        <v>1536</v>
      </c>
      <c r="AC558">
        <v>2604000137</v>
      </c>
      <c r="AE558">
        <v>0</v>
      </c>
      <c r="AF558">
        <v>0</v>
      </c>
      <c r="AG558">
        <v>0</v>
      </c>
      <c r="AH558">
        <v>0</v>
      </c>
      <c r="AI558" t="s">
        <v>56</v>
      </c>
      <c r="AJ558">
        <v>4.42</v>
      </c>
      <c r="AK558">
        <v>0.9</v>
      </c>
      <c r="AL558">
        <v>0.15</v>
      </c>
      <c r="AM558">
        <v>29.1</v>
      </c>
      <c r="AN558">
        <v>1.54</v>
      </c>
      <c r="AO558">
        <v>0</v>
      </c>
      <c r="AP558">
        <v>0</v>
      </c>
      <c r="AQ558" t="s">
        <v>57</v>
      </c>
      <c r="AS558" t="s">
        <v>1537</v>
      </c>
      <c r="AT558" t="s">
        <v>1537</v>
      </c>
      <c r="AU558" t="s">
        <v>1536</v>
      </c>
      <c r="AV558" t="s">
        <v>1538</v>
      </c>
      <c r="AW558" t="s">
        <v>1539</v>
      </c>
      <c r="AZ558">
        <v>31400</v>
      </c>
      <c r="BA558" t="s">
        <v>218</v>
      </c>
      <c r="BB558" t="s">
        <v>61</v>
      </c>
      <c r="BC558" t="s">
        <v>62</v>
      </c>
    </row>
    <row r="559" spans="1:55" x14ac:dyDescent="0.25">
      <c r="A559" s="1" t="str">
        <f>IF(COUNTIF(Catégories!A:A,X559)=0,"catégorie inconnue",_xlfn.XLOOKUP(X559,Catégories!A:A,Catégories!B:B))</f>
        <v>Frêt</v>
      </c>
      <c r="B559" s="1">
        <f t="shared" si="24"/>
        <v>7.0100000000000007</v>
      </c>
      <c r="C559" s="1">
        <f t="shared" si="25"/>
        <v>1.54</v>
      </c>
      <c r="D559" s="1">
        <f t="shared" si="26"/>
        <v>5.4700000000000006</v>
      </c>
      <c r="E559" s="20">
        <f>IF(AH559&lt;&gt;0,ROUNDUP(AH559,0),IF(BB559&lt;&gt;"FR","hors France",IF(AH559&lt;&gt;0,ROUNDUP(AH559,0),_xlfn.XLOOKUP(AJ559,'PA GLS'!B:B,'PA GLS'!A:A))))</f>
        <v>2</v>
      </c>
      <c r="F559">
        <v>2501382993</v>
      </c>
      <c r="G559">
        <v>1030220043</v>
      </c>
      <c r="H559" t="s">
        <v>366</v>
      </c>
      <c r="I559">
        <v>2500034092</v>
      </c>
      <c r="J559" t="s">
        <v>50</v>
      </c>
      <c r="K559">
        <v>9000009190</v>
      </c>
      <c r="L559">
        <v>46946</v>
      </c>
      <c r="M559" t="s">
        <v>51</v>
      </c>
      <c r="N559">
        <v>9000079830</v>
      </c>
      <c r="O559" t="s">
        <v>187</v>
      </c>
      <c r="S559">
        <v>2507012387</v>
      </c>
      <c r="T559" t="s">
        <v>50</v>
      </c>
      <c r="U559" t="s">
        <v>122</v>
      </c>
      <c r="V559" t="s">
        <v>77</v>
      </c>
      <c r="W559" t="s">
        <v>78</v>
      </c>
      <c r="X559" t="s">
        <v>60</v>
      </c>
      <c r="Z559">
        <v>64</v>
      </c>
      <c r="AA559" t="s">
        <v>1378</v>
      </c>
      <c r="AB559" t="s">
        <v>1630</v>
      </c>
      <c r="AC559">
        <v>2604000158</v>
      </c>
      <c r="AE559">
        <v>0</v>
      </c>
      <c r="AF559">
        <v>0</v>
      </c>
      <c r="AG559">
        <v>0</v>
      </c>
      <c r="AH559">
        <v>0</v>
      </c>
      <c r="AI559" t="s">
        <v>56</v>
      </c>
      <c r="AJ559">
        <v>4.42</v>
      </c>
      <c r="AK559">
        <v>0.9</v>
      </c>
      <c r="AL559">
        <v>0.15</v>
      </c>
      <c r="AM559">
        <v>29.1</v>
      </c>
      <c r="AN559">
        <v>1.54</v>
      </c>
      <c r="AO559">
        <v>0</v>
      </c>
      <c r="AP559">
        <v>0</v>
      </c>
      <c r="AQ559" t="s">
        <v>57</v>
      </c>
      <c r="AS559" t="s">
        <v>1631</v>
      </c>
      <c r="AT559" t="s">
        <v>1631</v>
      </c>
      <c r="AU559" t="s">
        <v>1630</v>
      </c>
      <c r="AV559" t="s">
        <v>1632</v>
      </c>
      <c r="AW559" t="s">
        <v>1633</v>
      </c>
      <c r="AZ559">
        <v>49270</v>
      </c>
      <c r="BA559" t="s">
        <v>1634</v>
      </c>
      <c r="BB559" t="s">
        <v>61</v>
      </c>
      <c r="BC559" t="s">
        <v>62</v>
      </c>
    </row>
    <row r="560" spans="1:55" x14ac:dyDescent="0.25">
      <c r="A560" s="1" t="str">
        <f>IF(COUNTIF(Catégories!A:A,X560)=0,"catégorie inconnue",_xlfn.XLOOKUP(X560,Catégories!A:A,Catégories!B:B))</f>
        <v>Frêt</v>
      </c>
      <c r="B560" s="1">
        <f t="shared" si="24"/>
        <v>7.0100000000000007</v>
      </c>
      <c r="C560" s="1">
        <f t="shared" si="25"/>
        <v>1.54</v>
      </c>
      <c r="D560" s="1">
        <f t="shared" si="26"/>
        <v>5.4700000000000006</v>
      </c>
      <c r="E560" s="20">
        <f>IF(AH560&lt;&gt;0,ROUNDUP(AH560,0),IF(BB560&lt;&gt;"FR","hors France",IF(AH560&lt;&gt;0,ROUNDUP(AH560,0),_xlfn.XLOOKUP(AJ560,'PA GLS'!B:B,'PA GLS'!A:A))))</f>
        <v>2</v>
      </c>
      <c r="F560">
        <v>2501382993</v>
      </c>
      <c r="G560">
        <v>1030220043</v>
      </c>
      <c r="H560" t="s">
        <v>366</v>
      </c>
      <c r="I560">
        <v>2500034092</v>
      </c>
      <c r="J560" t="s">
        <v>50</v>
      </c>
      <c r="K560">
        <v>9000009190</v>
      </c>
      <c r="L560">
        <v>46946</v>
      </c>
      <c r="M560" t="s">
        <v>51</v>
      </c>
      <c r="N560">
        <v>9000079830</v>
      </c>
      <c r="O560" t="s">
        <v>187</v>
      </c>
      <c r="S560">
        <v>2507012387</v>
      </c>
      <c r="T560" t="s">
        <v>50</v>
      </c>
      <c r="U560" t="s">
        <v>122</v>
      </c>
      <c r="V560" t="s">
        <v>77</v>
      </c>
      <c r="W560" t="s">
        <v>78</v>
      </c>
      <c r="X560" t="s">
        <v>60</v>
      </c>
      <c r="Z560">
        <v>64</v>
      </c>
      <c r="AA560" t="s">
        <v>1378</v>
      </c>
      <c r="AB560" t="s">
        <v>1429</v>
      </c>
      <c r="AC560">
        <v>2604000162</v>
      </c>
      <c r="AE560">
        <v>0</v>
      </c>
      <c r="AF560">
        <v>0</v>
      </c>
      <c r="AG560">
        <v>0</v>
      </c>
      <c r="AH560">
        <v>0</v>
      </c>
      <c r="AI560" t="s">
        <v>56</v>
      </c>
      <c r="AJ560">
        <v>4.42</v>
      </c>
      <c r="AK560">
        <v>0.9</v>
      </c>
      <c r="AL560">
        <v>0.15</v>
      </c>
      <c r="AM560">
        <v>29.1</v>
      </c>
      <c r="AN560">
        <v>1.54</v>
      </c>
      <c r="AO560">
        <v>0</v>
      </c>
      <c r="AP560">
        <v>0</v>
      </c>
      <c r="AQ560" t="s">
        <v>57</v>
      </c>
      <c r="AS560" t="s">
        <v>1430</v>
      </c>
      <c r="AT560" t="s">
        <v>1430</v>
      </c>
      <c r="AU560" t="s">
        <v>1429</v>
      </c>
      <c r="AV560" t="s">
        <v>1431</v>
      </c>
      <c r="AW560" t="s">
        <v>1432</v>
      </c>
      <c r="AZ560">
        <v>85800</v>
      </c>
      <c r="BA560" t="s">
        <v>1433</v>
      </c>
      <c r="BB560" t="s">
        <v>61</v>
      </c>
      <c r="BC560" t="s">
        <v>62</v>
      </c>
    </row>
    <row r="561" spans="1:55" x14ac:dyDescent="0.25">
      <c r="A561" s="1" t="str">
        <f>IF(COUNTIF(Catégories!A:A,X561)=0,"catégorie inconnue",_xlfn.XLOOKUP(X561,Catégories!A:A,Catégories!B:B))</f>
        <v>Frêt</v>
      </c>
      <c r="B561" s="1">
        <f t="shared" si="24"/>
        <v>7.4300000000000006</v>
      </c>
      <c r="C561" s="1">
        <f t="shared" si="25"/>
        <v>1.64</v>
      </c>
      <c r="D561" s="1">
        <f t="shared" si="26"/>
        <v>5.7900000000000009</v>
      </c>
      <c r="E561" s="20">
        <f>IF(AH561&lt;&gt;0,ROUNDUP(AH561,0),IF(BB561&lt;&gt;"FR","hors France",IF(AH561&lt;&gt;0,ROUNDUP(AH561,0),_xlfn.XLOOKUP(AJ561,'PA GLS'!B:B,'PA GLS'!A:A))))</f>
        <v>3</v>
      </c>
      <c r="F561">
        <v>2501382993</v>
      </c>
      <c r="G561">
        <v>1030220043</v>
      </c>
      <c r="H561" t="s">
        <v>366</v>
      </c>
      <c r="I561">
        <v>2500034092</v>
      </c>
      <c r="J561" t="s">
        <v>50</v>
      </c>
      <c r="K561">
        <v>9000009190</v>
      </c>
      <c r="L561">
        <v>46946</v>
      </c>
      <c r="M561" t="s">
        <v>51</v>
      </c>
      <c r="N561">
        <v>9000079830</v>
      </c>
      <c r="O561" t="s">
        <v>187</v>
      </c>
      <c r="S561">
        <v>2507012387</v>
      </c>
      <c r="T561" t="s">
        <v>50</v>
      </c>
      <c r="U561" t="s">
        <v>122</v>
      </c>
      <c r="V561" t="s">
        <v>58</v>
      </c>
      <c r="W561" t="s">
        <v>59</v>
      </c>
      <c r="X561" t="s">
        <v>60</v>
      </c>
      <c r="Z561">
        <v>65</v>
      </c>
      <c r="AA561" t="s">
        <v>1378</v>
      </c>
      <c r="AB561" t="s">
        <v>1532</v>
      </c>
      <c r="AC561">
        <v>2604000135</v>
      </c>
      <c r="AE561">
        <v>0</v>
      </c>
      <c r="AF561">
        <v>0</v>
      </c>
      <c r="AG561">
        <v>0</v>
      </c>
      <c r="AH561">
        <v>0</v>
      </c>
      <c r="AI561" t="s">
        <v>56</v>
      </c>
      <c r="AJ561">
        <v>4.74</v>
      </c>
      <c r="AK561">
        <v>0.9</v>
      </c>
      <c r="AL561">
        <v>0.15</v>
      </c>
      <c r="AM561">
        <v>29.1</v>
      </c>
      <c r="AN561">
        <v>1.64</v>
      </c>
      <c r="AO561">
        <v>0</v>
      </c>
      <c r="AP561">
        <v>0</v>
      </c>
      <c r="AQ561" t="s">
        <v>57</v>
      </c>
      <c r="AS561" t="s">
        <v>1533</v>
      </c>
      <c r="AT561" t="s">
        <v>1533</v>
      </c>
      <c r="AU561" t="s">
        <v>1532</v>
      </c>
      <c r="AV561" t="s">
        <v>1534</v>
      </c>
      <c r="AW561" t="s">
        <v>1535</v>
      </c>
      <c r="AZ561">
        <v>69130</v>
      </c>
      <c r="BA561" t="s">
        <v>347</v>
      </c>
      <c r="BB561" t="s">
        <v>61</v>
      </c>
      <c r="BC561" t="s">
        <v>62</v>
      </c>
    </row>
    <row r="562" spans="1:55" x14ac:dyDescent="0.25">
      <c r="A562" s="1" t="str">
        <f>IF(COUNTIF(Catégories!A:A,X562)=0,"catégorie inconnue",_xlfn.XLOOKUP(X562,Catégories!A:A,Catégories!B:B))</f>
        <v>Frêt</v>
      </c>
      <c r="B562" s="1">
        <f t="shared" si="24"/>
        <v>7.4300000000000006</v>
      </c>
      <c r="C562" s="1">
        <f t="shared" si="25"/>
        <v>1.64</v>
      </c>
      <c r="D562" s="1">
        <f t="shared" si="26"/>
        <v>5.7900000000000009</v>
      </c>
      <c r="E562" s="20">
        <f>IF(AH562&lt;&gt;0,ROUNDUP(AH562,0),IF(BB562&lt;&gt;"FR","hors France",IF(AH562&lt;&gt;0,ROUNDUP(AH562,0),_xlfn.XLOOKUP(AJ562,'PA GLS'!B:B,'PA GLS'!A:A))))</f>
        <v>3</v>
      </c>
      <c r="F562">
        <v>2501382993</v>
      </c>
      <c r="G562">
        <v>1030220043</v>
      </c>
      <c r="H562" t="s">
        <v>366</v>
      </c>
      <c r="I562">
        <v>2500034092</v>
      </c>
      <c r="J562" t="s">
        <v>50</v>
      </c>
      <c r="K562">
        <v>9000009190</v>
      </c>
      <c r="L562">
        <v>46946</v>
      </c>
      <c r="M562" t="s">
        <v>51</v>
      </c>
      <c r="N562">
        <v>9000079830</v>
      </c>
      <c r="O562" t="s">
        <v>187</v>
      </c>
      <c r="S562">
        <v>2507012387</v>
      </c>
      <c r="T562" t="s">
        <v>50</v>
      </c>
      <c r="U562" t="s">
        <v>122</v>
      </c>
      <c r="V562" t="s">
        <v>58</v>
      </c>
      <c r="W562" t="s">
        <v>59</v>
      </c>
      <c r="X562" t="s">
        <v>60</v>
      </c>
      <c r="Z562">
        <v>65</v>
      </c>
      <c r="AA562" t="s">
        <v>1378</v>
      </c>
      <c r="AB562" t="s">
        <v>1572</v>
      </c>
      <c r="AC562">
        <v>2604000145</v>
      </c>
      <c r="AE562">
        <v>0</v>
      </c>
      <c r="AF562">
        <v>0</v>
      </c>
      <c r="AG562">
        <v>0</v>
      </c>
      <c r="AH562">
        <v>0</v>
      </c>
      <c r="AI562" t="s">
        <v>56</v>
      </c>
      <c r="AJ562">
        <v>4.74</v>
      </c>
      <c r="AK562">
        <v>0.9</v>
      </c>
      <c r="AL562">
        <v>0.15</v>
      </c>
      <c r="AM562">
        <v>29.1</v>
      </c>
      <c r="AN562">
        <v>1.64</v>
      </c>
      <c r="AO562">
        <v>0</v>
      </c>
      <c r="AP562">
        <v>0</v>
      </c>
      <c r="AQ562" t="s">
        <v>57</v>
      </c>
      <c r="AS562" t="s">
        <v>1573</v>
      </c>
      <c r="AT562" t="s">
        <v>1573</v>
      </c>
      <c r="AU562" t="s">
        <v>1572</v>
      </c>
      <c r="AV562" t="s">
        <v>1574</v>
      </c>
      <c r="AW562" t="s">
        <v>1575</v>
      </c>
      <c r="AZ562">
        <v>34500</v>
      </c>
      <c r="BA562" t="s">
        <v>1576</v>
      </c>
      <c r="BB562" t="s">
        <v>61</v>
      </c>
      <c r="BC562" t="s">
        <v>62</v>
      </c>
    </row>
    <row r="563" spans="1:55" x14ac:dyDescent="0.25">
      <c r="A563" s="1" t="str">
        <f>IF(COUNTIF(Catégories!A:A,X563)=0,"catégorie inconnue",_xlfn.XLOOKUP(X563,Catégories!A:A,Catégories!B:B))</f>
        <v>Frêt</v>
      </c>
      <c r="B563" s="1">
        <f t="shared" si="24"/>
        <v>7.4300000000000006</v>
      </c>
      <c r="C563" s="1">
        <f t="shared" si="25"/>
        <v>1.64</v>
      </c>
      <c r="D563" s="1">
        <f t="shared" si="26"/>
        <v>5.7900000000000009</v>
      </c>
      <c r="E563" s="20">
        <f>IF(AH563&lt;&gt;0,ROUNDUP(AH563,0),IF(BB563&lt;&gt;"FR","hors France",IF(AH563&lt;&gt;0,ROUNDUP(AH563,0),_xlfn.XLOOKUP(AJ563,'PA GLS'!B:B,'PA GLS'!A:A))))</f>
        <v>3</v>
      </c>
      <c r="F563">
        <v>2501382993</v>
      </c>
      <c r="G563">
        <v>1030220043</v>
      </c>
      <c r="H563" t="s">
        <v>366</v>
      </c>
      <c r="I563">
        <v>2500034092</v>
      </c>
      <c r="J563" t="s">
        <v>50</v>
      </c>
      <c r="K563">
        <v>9000009190</v>
      </c>
      <c r="L563">
        <v>46946</v>
      </c>
      <c r="M563" t="s">
        <v>51</v>
      </c>
      <c r="N563">
        <v>9000079830</v>
      </c>
      <c r="O563" t="s">
        <v>187</v>
      </c>
      <c r="S563">
        <v>2507012387</v>
      </c>
      <c r="T563" t="s">
        <v>50</v>
      </c>
      <c r="U563" t="s">
        <v>122</v>
      </c>
      <c r="V563" t="s">
        <v>58</v>
      </c>
      <c r="W563" t="s">
        <v>59</v>
      </c>
      <c r="X563" t="s">
        <v>60</v>
      </c>
      <c r="Z563">
        <v>65</v>
      </c>
      <c r="AA563" t="s">
        <v>1378</v>
      </c>
      <c r="AB563" t="s">
        <v>1456</v>
      </c>
      <c r="AC563">
        <v>2604000168</v>
      </c>
      <c r="AE563">
        <v>0</v>
      </c>
      <c r="AF563">
        <v>0</v>
      </c>
      <c r="AG563">
        <v>0</v>
      </c>
      <c r="AH563">
        <v>0</v>
      </c>
      <c r="AI563" t="s">
        <v>56</v>
      </c>
      <c r="AJ563">
        <v>4.74</v>
      </c>
      <c r="AK563">
        <v>0.9</v>
      </c>
      <c r="AL563">
        <v>0.15</v>
      </c>
      <c r="AM563">
        <v>29.1</v>
      </c>
      <c r="AN563">
        <v>1.64</v>
      </c>
      <c r="AO563">
        <v>0</v>
      </c>
      <c r="AP563">
        <v>0</v>
      </c>
      <c r="AQ563" t="s">
        <v>57</v>
      </c>
      <c r="AS563" t="s">
        <v>1457</v>
      </c>
      <c r="AT563" t="s">
        <v>1457</v>
      </c>
      <c r="AU563" t="s">
        <v>1456</v>
      </c>
      <c r="AV563" t="s">
        <v>1458</v>
      </c>
      <c r="AW563" t="s">
        <v>1459</v>
      </c>
      <c r="AZ563">
        <v>85610</v>
      </c>
      <c r="BA563" t="s">
        <v>1460</v>
      </c>
      <c r="BB563" t="s">
        <v>61</v>
      </c>
      <c r="BC563" t="s">
        <v>62</v>
      </c>
    </row>
    <row r="564" spans="1:55" x14ac:dyDescent="0.25">
      <c r="A564" s="1" t="str">
        <f>IF(COUNTIF(Catégories!A:A,X564)=0,"catégorie inconnue",_xlfn.XLOOKUP(X564,Catégories!A:A,Catégories!B:B))</f>
        <v>Frêt</v>
      </c>
      <c r="B564" s="1">
        <f t="shared" si="24"/>
        <v>7.4300000000000006</v>
      </c>
      <c r="C564" s="1">
        <f t="shared" si="25"/>
        <v>1.64</v>
      </c>
      <c r="D564" s="1">
        <f t="shared" si="26"/>
        <v>5.7900000000000009</v>
      </c>
      <c r="E564" s="20">
        <f>IF(AH564&lt;&gt;0,ROUNDUP(AH564,0),IF(BB564&lt;&gt;"FR","hors France",IF(AH564&lt;&gt;0,ROUNDUP(AH564,0),_xlfn.XLOOKUP(AJ564,'PA GLS'!B:B,'PA GLS'!A:A))))</f>
        <v>3</v>
      </c>
      <c r="F564">
        <v>2501382993</v>
      </c>
      <c r="G564">
        <v>1030220043</v>
      </c>
      <c r="H564" t="s">
        <v>366</v>
      </c>
      <c r="I564">
        <v>2500034092</v>
      </c>
      <c r="J564" t="s">
        <v>50</v>
      </c>
      <c r="K564">
        <v>9000009190</v>
      </c>
      <c r="L564">
        <v>46946</v>
      </c>
      <c r="M564" t="s">
        <v>51</v>
      </c>
      <c r="N564">
        <v>9000079830</v>
      </c>
      <c r="O564" t="s">
        <v>187</v>
      </c>
      <c r="S564">
        <v>2507012387</v>
      </c>
      <c r="T564" t="s">
        <v>50</v>
      </c>
      <c r="U564" t="s">
        <v>122</v>
      </c>
      <c r="V564" t="s">
        <v>58</v>
      </c>
      <c r="W564" t="s">
        <v>59</v>
      </c>
      <c r="X564" t="s">
        <v>60</v>
      </c>
      <c r="Z564">
        <v>65</v>
      </c>
      <c r="AA564" t="s">
        <v>1378</v>
      </c>
      <c r="AB564" t="s">
        <v>1461</v>
      </c>
      <c r="AC564">
        <v>2604000169</v>
      </c>
      <c r="AE564">
        <v>0</v>
      </c>
      <c r="AF564">
        <v>0</v>
      </c>
      <c r="AG564">
        <v>0</v>
      </c>
      <c r="AH564">
        <v>0</v>
      </c>
      <c r="AI564" t="s">
        <v>56</v>
      </c>
      <c r="AJ564">
        <v>4.74</v>
      </c>
      <c r="AK564">
        <v>0.9</v>
      </c>
      <c r="AL564">
        <v>0.15</v>
      </c>
      <c r="AM564">
        <v>29.1</v>
      </c>
      <c r="AN564">
        <v>1.64</v>
      </c>
      <c r="AO564">
        <v>0</v>
      </c>
      <c r="AP564">
        <v>0</v>
      </c>
      <c r="AQ564" t="s">
        <v>57</v>
      </c>
      <c r="AS564" t="s">
        <v>1462</v>
      </c>
      <c r="AT564" t="s">
        <v>1462</v>
      </c>
      <c r="AU564" t="s">
        <v>1461</v>
      </c>
      <c r="AV564" t="s">
        <v>1463</v>
      </c>
      <c r="AW564" t="s">
        <v>1464</v>
      </c>
      <c r="AZ564">
        <v>44980</v>
      </c>
      <c r="BA564" t="s">
        <v>1465</v>
      </c>
      <c r="BB564" t="s">
        <v>61</v>
      </c>
      <c r="BC564" t="s">
        <v>62</v>
      </c>
    </row>
    <row r="565" spans="1:55" x14ac:dyDescent="0.25">
      <c r="A565" s="1" t="str">
        <f>IF(COUNTIF(Catégories!A:A,X565)=0,"catégorie inconnue",_xlfn.XLOOKUP(X565,Catégories!A:A,Catégories!B:B))</f>
        <v>Frêt</v>
      </c>
      <c r="B565" s="1">
        <f t="shared" si="24"/>
        <v>7.4300000000000006</v>
      </c>
      <c r="C565" s="1">
        <f t="shared" si="25"/>
        <v>1.64</v>
      </c>
      <c r="D565" s="1">
        <f t="shared" si="26"/>
        <v>5.7900000000000009</v>
      </c>
      <c r="E565" s="20">
        <f>IF(AH565&lt;&gt;0,ROUNDUP(AH565,0),IF(BB565&lt;&gt;"FR","hors France",IF(AH565&lt;&gt;0,ROUNDUP(AH565,0),_xlfn.XLOOKUP(AJ565,'PA GLS'!B:B,'PA GLS'!A:A))))</f>
        <v>3</v>
      </c>
      <c r="F565">
        <v>2501382993</v>
      </c>
      <c r="G565">
        <v>1030220043</v>
      </c>
      <c r="H565" t="s">
        <v>366</v>
      </c>
      <c r="I565">
        <v>2500034092</v>
      </c>
      <c r="J565" t="s">
        <v>50</v>
      </c>
      <c r="K565">
        <v>9000009190</v>
      </c>
      <c r="L565">
        <v>46946</v>
      </c>
      <c r="M565" t="s">
        <v>51</v>
      </c>
      <c r="N565">
        <v>9000079830</v>
      </c>
      <c r="O565" t="s">
        <v>187</v>
      </c>
      <c r="S565">
        <v>2507012387</v>
      </c>
      <c r="T565" t="s">
        <v>50</v>
      </c>
      <c r="U565" t="s">
        <v>122</v>
      </c>
      <c r="V565" t="s">
        <v>58</v>
      </c>
      <c r="W565" t="s">
        <v>59</v>
      </c>
      <c r="X565" t="s">
        <v>60</v>
      </c>
      <c r="Z565">
        <v>65</v>
      </c>
      <c r="AA565" t="s">
        <v>1378</v>
      </c>
      <c r="AB565" t="s">
        <v>1484</v>
      </c>
      <c r="AC565">
        <v>2604000174</v>
      </c>
      <c r="AE565">
        <v>0</v>
      </c>
      <c r="AF565">
        <v>0</v>
      </c>
      <c r="AG565">
        <v>0</v>
      </c>
      <c r="AH565">
        <v>0</v>
      </c>
      <c r="AI565" t="s">
        <v>56</v>
      </c>
      <c r="AJ565">
        <v>4.74</v>
      </c>
      <c r="AK565">
        <v>0.9</v>
      </c>
      <c r="AL565">
        <v>0.15</v>
      </c>
      <c r="AM565">
        <v>29.1</v>
      </c>
      <c r="AN565">
        <v>1.64</v>
      </c>
      <c r="AO565">
        <v>0</v>
      </c>
      <c r="AP565">
        <v>0</v>
      </c>
      <c r="AQ565" t="s">
        <v>57</v>
      </c>
      <c r="AS565" t="s">
        <v>1485</v>
      </c>
      <c r="AT565" t="s">
        <v>1485</v>
      </c>
      <c r="AU565" t="s">
        <v>1484</v>
      </c>
      <c r="AV565" t="s">
        <v>1486</v>
      </c>
      <c r="AW565" t="s">
        <v>1487</v>
      </c>
      <c r="AZ565">
        <v>31500</v>
      </c>
      <c r="BA565" t="s">
        <v>218</v>
      </c>
      <c r="BB565" t="s">
        <v>61</v>
      </c>
      <c r="BC565" t="s">
        <v>62</v>
      </c>
    </row>
    <row r="566" spans="1:55" x14ac:dyDescent="0.25">
      <c r="A566" s="1" t="str">
        <f>IF(COUNTIF(Catégories!A:A,X566)=0,"catégorie inconnue",_xlfn.XLOOKUP(X566,Catégories!A:A,Catégories!B:B))</f>
        <v>Frêt</v>
      </c>
      <c r="B566" s="1">
        <f t="shared" si="24"/>
        <v>7.4300000000000006</v>
      </c>
      <c r="C566" s="1">
        <f t="shared" si="25"/>
        <v>1.64</v>
      </c>
      <c r="D566" s="1">
        <f t="shared" si="26"/>
        <v>5.7900000000000009</v>
      </c>
      <c r="E566" s="20">
        <f>IF(AH566&lt;&gt;0,ROUNDUP(AH566,0),IF(BB566&lt;&gt;"FR","hors France",IF(AH566&lt;&gt;0,ROUNDUP(AH566,0),_xlfn.XLOOKUP(AJ566,'PA GLS'!B:B,'PA GLS'!A:A))))</f>
        <v>3</v>
      </c>
      <c r="F566">
        <v>2501382993</v>
      </c>
      <c r="G566">
        <v>1030220043</v>
      </c>
      <c r="H566" t="s">
        <v>366</v>
      </c>
      <c r="I566">
        <v>2500034092</v>
      </c>
      <c r="J566" t="s">
        <v>50</v>
      </c>
      <c r="K566">
        <v>9000009190</v>
      </c>
      <c r="L566">
        <v>46946</v>
      </c>
      <c r="M566" t="s">
        <v>51</v>
      </c>
      <c r="N566">
        <v>9000079830</v>
      </c>
      <c r="O566" t="s">
        <v>187</v>
      </c>
      <c r="S566">
        <v>2507012387</v>
      </c>
      <c r="T566" t="s">
        <v>50</v>
      </c>
      <c r="U566" t="s">
        <v>122</v>
      </c>
      <c r="V566" t="s">
        <v>58</v>
      </c>
      <c r="W566" t="s">
        <v>59</v>
      </c>
      <c r="X566" t="s">
        <v>60</v>
      </c>
      <c r="Z566">
        <v>65</v>
      </c>
      <c r="AA566" t="s">
        <v>1378</v>
      </c>
      <c r="AB566" t="s">
        <v>1488</v>
      </c>
      <c r="AC566">
        <v>2604000175</v>
      </c>
      <c r="AE566">
        <v>0</v>
      </c>
      <c r="AF566">
        <v>0</v>
      </c>
      <c r="AG566">
        <v>0</v>
      </c>
      <c r="AH566">
        <v>0</v>
      </c>
      <c r="AI566" t="s">
        <v>56</v>
      </c>
      <c r="AJ566">
        <v>4.74</v>
      </c>
      <c r="AK566">
        <v>0.9</v>
      </c>
      <c r="AL566">
        <v>0.15</v>
      </c>
      <c r="AM566">
        <v>29.1</v>
      </c>
      <c r="AN566">
        <v>1.64</v>
      </c>
      <c r="AO566">
        <v>0</v>
      </c>
      <c r="AP566">
        <v>0</v>
      </c>
      <c r="AQ566" t="s">
        <v>57</v>
      </c>
      <c r="AS566" t="s">
        <v>1489</v>
      </c>
      <c r="AT566" t="s">
        <v>1489</v>
      </c>
      <c r="AU566" t="s">
        <v>1488</v>
      </c>
      <c r="AV566" t="s">
        <v>1490</v>
      </c>
      <c r="AW566" t="s">
        <v>1491</v>
      </c>
      <c r="AZ566">
        <v>69003</v>
      </c>
      <c r="BA566" t="s">
        <v>151</v>
      </c>
      <c r="BB566" t="s">
        <v>61</v>
      </c>
      <c r="BC566" t="s">
        <v>62</v>
      </c>
    </row>
    <row r="567" spans="1:55" x14ac:dyDescent="0.25">
      <c r="A567" s="1" t="str">
        <f>IF(COUNTIF(Catégories!A:A,X567)=0,"catégorie inconnue",_xlfn.XLOOKUP(X567,Catégories!A:A,Catégories!B:B))</f>
        <v>Frêt</v>
      </c>
      <c r="B567" s="1">
        <f t="shared" si="24"/>
        <v>7.4300000000000006</v>
      </c>
      <c r="C567" s="1">
        <f t="shared" si="25"/>
        <v>1.64</v>
      </c>
      <c r="D567" s="1">
        <f t="shared" si="26"/>
        <v>5.7900000000000009</v>
      </c>
      <c r="E567" s="20">
        <f>IF(AH567&lt;&gt;0,ROUNDUP(AH567,0),IF(BB567&lt;&gt;"FR","hors France",IF(AH567&lt;&gt;0,ROUNDUP(AH567,0),_xlfn.XLOOKUP(AJ567,'PA GLS'!B:B,'PA GLS'!A:A))))</f>
        <v>3</v>
      </c>
      <c r="F567">
        <v>2501382993</v>
      </c>
      <c r="G567">
        <v>1030220043</v>
      </c>
      <c r="H567" t="s">
        <v>366</v>
      </c>
      <c r="I567">
        <v>2500034092</v>
      </c>
      <c r="J567" t="s">
        <v>50</v>
      </c>
      <c r="K567">
        <v>9000009190</v>
      </c>
      <c r="L567">
        <v>46946</v>
      </c>
      <c r="M567" t="s">
        <v>51</v>
      </c>
      <c r="N567">
        <v>9000079830</v>
      </c>
      <c r="O567" t="s">
        <v>187</v>
      </c>
      <c r="S567">
        <v>2507012387</v>
      </c>
      <c r="T567" t="s">
        <v>50</v>
      </c>
      <c r="U567" t="s">
        <v>122</v>
      </c>
      <c r="V567" t="s">
        <v>58</v>
      </c>
      <c r="W567" t="s">
        <v>59</v>
      </c>
      <c r="X567" t="s">
        <v>60</v>
      </c>
      <c r="Z567">
        <v>65</v>
      </c>
      <c r="AA567" t="s">
        <v>1378</v>
      </c>
      <c r="AB567" t="s">
        <v>1496</v>
      </c>
      <c r="AC567">
        <v>2604000177</v>
      </c>
      <c r="AE567">
        <v>0</v>
      </c>
      <c r="AF567">
        <v>0</v>
      </c>
      <c r="AG567">
        <v>0</v>
      </c>
      <c r="AH567">
        <v>0</v>
      </c>
      <c r="AI567" t="s">
        <v>56</v>
      </c>
      <c r="AJ567">
        <v>4.74</v>
      </c>
      <c r="AK567">
        <v>0.9</v>
      </c>
      <c r="AL567">
        <v>0.15</v>
      </c>
      <c r="AM567">
        <v>29.1</v>
      </c>
      <c r="AN567">
        <v>1.64</v>
      </c>
      <c r="AO567">
        <v>0</v>
      </c>
      <c r="AP567">
        <v>0</v>
      </c>
      <c r="AQ567" t="s">
        <v>57</v>
      </c>
      <c r="AS567" t="s">
        <v>1497</v>
      </c>
      <c r="AT567" t="s">
        <v>1497</v>
      </c>
      <c r="AU567" t="s">
        <v>1496</v>
      </c>
      <c r="AV567" t="s">
        <v>1498</v>
      </c>
      <c r="AW567" t="s">
        <v>1499</v>
      </c>
      <c r="AZ567">
        <v>69006</v>
      </c>
      <c r="BA567" t="s">
        <v>151</v>
      </c>
      <c r="BB567" t="s">
        <v>61</v>
      </c>
      <c r="BC567" t="s">
        <v>62</v>
      </c>
    </row>
    <row r="568" spans="1:55" x14ac:dyDescent="0.25">
      <c r="A568" s="1" t="str">
        <f>IF(COUNTIF(Catégories!A:A,X568)=0,"catégorie inconnue",_xlfn.XLOOKUP(X568,Catégories!A:A,Catégories!B:B))</f>
        <v>Frêt</v>
      </c>
      <c r="B568" s="1">
        <f t="shared" si="24"/>
        <v>7.4300000000000006</v>
      </c>
      <c r="C568" s="1">
        <f t="shared" si="25"/>
        <v>1.64</v>
      </c>
      <c r="D568" s="1">
        <f t="shared" si="26"/>
        <v>5.7900000000000009</v>
      </c>
      <c r="E568" s="20">
        <f>IF(AH568&lt;&gt;0,ROUNDUP(AH568,0),IF(BB568&lt;&gt;"FR","hors France",IF(AH568&lt;&gt;0,ROUNDUP(AH568,0),_xlfn.XLOOKUP(AJ568,'PA GLS'!B:B,'PA GLS'!A:A))))</f>
        <v>3</v>
      </c>
      <c r="F568">
        <v>2501382993</v>
      </c>
      <c r="G568">
        <v>1030220043</v>
      </c>
      <c r="H568" t="s">
        <v>366</v>
      </c>
      <c r="I568">
        <v>2500034092</v>
      </c>
      <c r="J568" t="s">
        <v>50</v>
      </c>
      <c r="K568">
        <v>9000009190</v>
      </c>
      <c r="L568">
        <v>46946</v>
      </c>
      <c r="M568" t="s">
        <v>51</v>
      </c>
      <c r="N568">
        <v>9000079830</v>
      </c>
      <c r="O568" t="s">
        <v>187</v>
      </c>
      <c r="S568">
        <v>2507012387</v>
      </c>
      <c r="T568" t="s">
        <v>50</v>
      </c>
      <c r="U568" t="s">
        <v>122</v>
      </c>
      <c r="V568" t="s">
        <v>58</v>
      </c>
      <c r="W568" t="s">
        <v>59</v>
      </c>
      <c r="X568" t="s">
        <v>60</v>
      </c>
      <c r="Z568">
        <v>65</v>
      </c>
      <c r="AA568" t="s">
        <v>1378</v>
      </c>
      <c r="AB568" t="s">
        <v>1504</v>
      </c>
      <c r="AC568">
        <v>2604000179</v>
      </c>
      <c r="AE568">
        <v>0</v>
      </c>
      <c r="AF568">
        <v>0</v>
      </c>
      <c r="AG568">
        <v>0</v>
      </c>
      <c r="AH568">
        <v>0</v>
      </c>
      <c r="AI568" t="s">
        <v>56</v>
      </c>
      <c r="AJ568">
        <v>4.74</v>
      </c>
      <c r="AK568">
        <v>0.9</v>
      </c>
      <c r="AL568">
        <v>0.15</v>
      </c>
      <c r="AM568">
        <v>29.1</v>
      </c>
      <c r="AN568">
        <v>1.64</v>
      </c>
      <c r="AO568">
        <v>0</v>
      </c>
      <c r="AP568">
        <v>0</v>
      </c>
      <c r="AQ568" t="s">
        <v>57</v>
      </c>
      <c r="AS568" t="s">
        <v>1505</v>
      </c>
      <c r="AT568" t="s">
        <v>1505</v>
      </c>
      <c r="AU568" t="s">
        <v>1504</v>
      </c>
      <c r="AV568" t="s">
        <v>1506</v>
      </c>
      <c r="AW568" t="s">
        <v>1507</v>
      </c>
      <c r="AZ568">
        <v>33170</v>
      </c>
      <c r="BA568" t="s">
        <v>1508</v>
      </c>
      <c r="BB568" t="s">
        <v>61</v>
      </c>
      <c r="BC568" t="s">
        <v>62</v>
      </c>
    </row>
    <row r="569" spans="1:55" x14ac:dyDescent="0.25">
      <c r="A569" s="1" t="str">
        <f>IF(COUNTIF(Catégories!A:A,X569)=0,"catégorie inconnue",_xlfn.XLOOKUP(X569,Catégories!A:A,Catégories!B:B))</f>
        <v>Frêt</v>
      </c>
      <c r="B569" s="1">
        <f t="shared" si="24"/>
        <v>7.4300000000000006</v>
      </c>
      <c r="C569" s="1">
        <f t="shared" si="25"/>
        <v>1.64</v>
      </c>
      <c r="D569" s="1">
        <f t="shared" si="26"/>
        <v>5.7900000000000009</v>
      </c>
      <c r="E569" s="20">
        <f>IF(AH569&lt;&gt;0,ROUNDUP(AH569,0),IF(BB569&lt;&gt;"FR","hors France",IF(AH569&lt;&gt;0,ROUNDUP(AH569,0),_xlfn.XLOOKUP(AJ569,'PA GLS'!B:B,'PA GLS'!A:A))))</f>
        <v>3</v>
      </c>
      <c r="F569">
        <v>2501382993</v>
      </c>
      <c r="G569">
        <v>1030220043</v>
      </c>
      <c r="H569" t="s">
        <v>366</v>
      </c>
      <c r="I569">
        <v>2500034092</v>
      </c>
      <c r="J569" t="s">
        <v>50</v>
      </c>
      <c r="K569">
        <v>9000009190</v>
      </c>
      <c r="L569">
        <v>46946</v>
      </c>
      <c r="M569" t="s">
        <v>51</v>
      </c>
      <c r="N569">
        <v>9000079830</v>
      </c>
      <c r="O569" t="s">
        <v>187</v>
      </c>
      <c r="S569">
        <v>2507012387</v>
      </c>
      <c r="T569" t="s">
        <v>50</v>
      </c>
      <c r="U569" t="s">
        <v>122</v>
      </c>
      <c r="V569" t="s">
        <v>58</v>
      </c>
      <c r="W569" t="s">
        <v>59</v>
      </c>
      <c r="X569" t="s">
        <v>60</v>
      </c>
      <c r="Z569">
        <v>65</v>
      </c>
      <c r="AA569" t="s">
        <v>1378</v>
      </c>
      <c r="AB569" t="s">
        <v>1518</v>
      </c>
      <c r="AC569">
        <v>2604000182</v>
      </c>
      <c r="AE569">
        <v>0</v>
      </c>
      <c r="AF569">
        <v>0</v>
      </c>
      <c r="AG569">
        <v>0</v>
      </c>
      <c r="AH569">
        <v>0</v>
      </c>
      <c r="AI569" t="s">
        <v>56</v>
      </c>
      <c r="AJ569">
        <v>4.74</v>
      </c>
      <c r="AK569">
        <v>0.9</v>
      </c>
      <c r="AL569">
        <v>0.15</v>
      </c>
      <c r="AM569">
        <v>29.1</v>
      </c>
      <c r="AN569">
        <v>1.64</v>
      </c>
      <c r="AO569">
        <v>0</v>
      </c>
      <c r="AP569">
        <v>0</v>
      </c>
      <c r="AQ569" t="s">
        <v>57</v>
      </c>
      <c r="AS569" t="s">
        <v>1519</v>
      </c>
      <c r="AT569" t="s">
        <v>1519</v>
      </c>
      <c r="AU569" t="s">
        <v>1518</v>
      </c>
      <c r="AV569" t="s">
        <v>1520</v>
      </c>
      <c r="AW569" t="s">
        <v>1521</v>
      </c>
      <c r="AZ569">
        <v>85000</v>
      </c>
      <c r="BA569" t="s">
        <v>1522</v>
      </c>
      <c r="BB569" t="s">
        <v>61</v>
      </c>
      <c r="BC569" t="s">
        <v>62</v>
      </c>
    </row>
    <row r="570" spans="1:55" x14ac:dyDescent="0.25">
      <c r="A570" s="1" t="str">
        <f>IF(COUNTIF(Catégories!A:A,X570)=0,"catégorie inconnue",_xlfn.XLOOKUP(X570,Catégories!A:A,Catégories!B:B))</f>
        <v>Frêt</v>
      </c>
      <c r="B570" s="1">
        <f t="shared" si="24"/>
        <v>8.15</v>
      </c>
      <c r="C570" s="1">
        <f t="shared" si="25"/>
        <v>1.8</v>
      </c>
      <c r="D570" s="1">
        <f t="shared" si="26"/>
        <v>6.3500000000000005</v>
      </c>
      <c r="E570" s="20">
        <f>IF(AH570&lt;&gt;0,ROUNDUP(AH570,0),IF(BB570&lt;&gt;"FR","hors France",IF(AH570&lt;&gt;0,ROUNDUP(AH570,0),_xlfn.XLOOKUP(AJ570,'PA GLS'!B:B,'PA GLS'!A:A))))</f>
        <v>4</v>
      </c>
      <c r="F570">
        <v>2501382993</v>
      </c>
      <c r="G570">
        <v>1030220043</v>
      </c>
      <c r="H570" t="s">
        <v>366</v>
      </c>
      <c r="I570">
        <v>2500034092</v>
      </c>
      <c r="J570" t="s">
        <v>50</v>
      </c>
      <c r="K570">
        <v>9000009190</v>
      </c>
      <c r="L570">
        <v>46946</v>
      </c>
      <c r="M570" t="s">
        <v>51</v>
      </c>
      <c r="N570">
        <v>9000079830</v>
      </c>
      <c r="O570" t="s">
        <v>187</v>
      </c>
      <c r="S570">
        <v>2507012387</v>
      </c>
      <c r="T570" t="s">
        <v>50</v>
      </c>
      <c r="U570" t="s">
        <v>122</v>
      </c>
      <c r="V570" t="s">
        <v>231</v>
      </c>
      <c r="W570" t="s">
        <v>232</v>
      </c>
      <c r="X570" t="s">
        <v>60</v>
      </c>
      <c r="Z570">
        <v>66</v>
      </c>
      <c r="AA570" t="s">
        <v>1378</v>
      </c>
      <c r="AB570" t="s">
        <v>1438</v>
      </c>
      <c r="AC570">
        <v>2604000164</v>
      </c>
      <c r="AE570">
        <v>0</v>
      </c>
      <c r="AF570">
        <v>0</v>
      </c>
      <c r="AG570">
        <v>0</v>
      </c>
      <c r="AH570">
        <v>0</v>
      </c>
      <c r="AI570" t="s">
        <v>56</v>
      </c>
      <c r="AJ570">
        <v>5.3</v>
      </c>
      <c r="AK570">
        <v>0.9</v>
      </c>
      <c r="AL570">
        <v>0.15</v>
      </c>
      <c r="AM570">
        <v>29.1</v>
      </c>
      <c r="AN570">
        <v>1.8</v>
      </c>
      <c r="AO570">
        <v>0</v>
      </c>
      <c r="AP570">
        <v>0</v>
      </c>
      <c r="AQ570" t="s">
        <v>57</v>
      </c>
      <c r="AS570" t="s">
        <v>1439</v>
      </c>
      <c r="AT570" t="s">
        <v>1439</v>
      </c>
      <c r="AU570" t="s">
        <v>1438</v>
      </c>
      <c r="AV570" t="s">
        <v>1440</v>
      </c>
      <c r="AW570" t="s">
        <v>1441</v>
      </c>
      <c r="AZ570">
        <v>41500</v>
      </c>
      <c r="BA570" t="s">
        <v>1442</v>
      </c>
      <c r="BB570" t="s">
        <v>61</v>
      </c>
      <c r="BC570" t="s">
        <v>62</v>
      </c>
    </row>
    <row r="571" spans="1:55" x14ac:dyDescent="0.25">
      <c r="A571" s="1" t="str">
        <f>IF(COUNTIF(Catégories!A:A,X571)=0,"catégorie inconnue",_xlfn.XLOOKUP(X571,Catégories!A:A,Catégories!B:B))</f>
        <v>Frêt</v>
      </c>
      <c r="B571" s="1">
        <f t="shared" si="24"/>
        <v>10.32</v>
      </c>
      <c r="C571" s="1">
        <f t="shared" si="25"/>
        <v>2.29</v>
      </c>
      <c r="D571" s="1">
        <f t="shared" si="26"/>
        <v>8.0300000000000011</v>
      </c>
      <c r="E571" s="20">
        <f>IF(AH571&lt;&gt;0,ROUNDUP(AH571,0),IF(BB571&lt;&gt;"FR","hors France",IF(AH571&lt;&gt;0,ROUNDUP(AH571,0),_xlfn.XLOOKUP(AJ571,'PA GLS'!B:B,'PA GLS'!A:A))))</f>
        <v>7</v>
      </c>
      <c r="F571">
        <v>2501382993</v>
      </c>
      <c r="G571">
        <v>1030220043</v>
      </c>
      <c r="H571" t="s">
        <v>366</v>
      </c>
      <c r="I571">
        <v>2500034092</v>
      </c>
      <c r="J571" t="s">
        <v>50</v>
      </c>
      <c r="K571">
        <v>9000009190</v>
      </c>
      <c r="L571">
        <v>46946</v>
      </c>
      <c r="M571" t="s">
        <v>51</v>
      </c>
      <c r="N571">
        <v>9000079830</v>
      </c>
      <c r="O571" t="s">
        <v>187</v>
      </c>
      <c r="S571">
        <v>2507012387</v>
      </c>
      <c r="T571" t="s">
        <v>50</v>
      </c>
      <c r="U571" t="s">
        <v>122</v>
      </c>
      <c r="V571" t="s">
        <v>348</v>
      </c>
      <c r="W571" t="s">
        <v>349</v>
      </c>
      <c r="X571" t="s">
        <v>60</v>
      </c>
      <c r="Z571">
        <v>67</v>
      </c>
      <c r="AA571" t="s">
        <v>1378</v>
      </c>
      <c r="AB571" t="s">
        <v>1598</v>
      </c>
      <c r="AC571">
        <v>2604000151</v>
      </c>
      <c r="AE571">
        <v>0</v>
      </c>
      <c r="AF571">
        <v>0</v>
      </c>
      <c r="AG571">
        <v>0</v>
      </c>
      <c r="AH571">
        <v>0</v>
      </c>
      <c r="AI571" t="s">
        <v>56</v>
      </c>
      <c r="AJ571">
        <v>6.98</v>
      </c>
      <c r="AK571">
        <v>0.9</v>
      </c>
      <c r="AL571">
        <v>0.15</v>
      </c>
      <c r="AM571">
        <v>29.1</v>
      </c>
      <c r="AN571">
        <v>2.29</v>
      </c>
      <c r="AO571">
        <v>0</v>
      </c>
      <c r="AP571">
        <v>0</v>
      </c>
      <c r="AQ571" t="s">
        <v>57</v>
      </c>
      <c r="AS571" t="s">
        <v>1599</v>
      </c>
      <c r="AT571" t="s">
        <v>1599</v>
      </c>
      <c r="AU571" t="s">
        <v>1598</v>
      </c>
      <c r="AV571" t="s">
        <v>1600</v>
      </c>
      <c r="AW571" t="s">
        <v>1601</v>
      </c>
      <c r="AZ571">
        <v>78125</v>
      </c>
      <c r="BA571" t="s">
        <v>1602</v>
      </c>
      <c r="BB571" t="s">
        <v>61</v>
      </c>
      <c r="BC571" t="s">
        <v>62</v>
      </c>
    </row>
    <row r="572" spans="1:55" x14ac:dyDescent="0.25">
      <c r="A572" s="1" t="str">
        <f>IF(COUNTIF(Catégories!A:A,X572)=0,"catégorie inconnue",_xlfn.XLOOKUP(X572,Catégories!A:A,Catégories!B:B))</f>
        <v>Frêt</v>
      </c>
      <c r="B572" s="1">
        <f t="shared" si="24"/>
        <v>0</v>
      </c>
      <c r="C572" s="1">
        <f t="shared" si="25"/>
        <v>0</v>
      </c>
      <c r="D572" s="1">
        <f t="shared" si="26"/>
        <v>0</v>
      </c>
      <c r="E572" s="20">
        <f>IF(AH572&lt;&gt;0,ROUNDUP(AH572,0),IF(BB572&lt;&gt;"FR","hors France",IF(AH572&lt;&gt;0,ROUNDUP(AH572,0),_xlfn.XLOOKUP(AJ572,'PA GLS'!B:B,'PA GLS'!A:A))))</f>
        <v>4</v>
      </c>
      <c r="F572">
        <v>2501382993</v>
      </c>
      <c r="G572">
        <v>1030222388</v>
      </c>
      <c r="H572" t="s">
        <v>366</v>
      </c>
      <c r="I572">
        <v>2500034092</v>
      </c>
      <c r="J572" t="s">
        <v>50</v>
      </c>
      <c r="K572">
        <v>9000009190</v>
      </c>
      <c r="L572">
        <v>46946</v>
      </c>
      <c r="M572" t="s">
        <v>51</v>
      </c>
      <c r="N572">
        <v>9000082822</v>
      </c>
      <c r="O572" t="s">
        <v>175</v>
      </c>
      <c r="S572">
        <v>2507012387</v>
      </c>
      <c r="T572" t="s">
        <v>50</v>
      </c>
      <c r="U572" t="s">
        <v>122</v>
      </c>
      <c r="V572" t="s">
        <v>176</v>
      </c>
      <c r="W572" t="s">
        <v>177</v>
      </c>
      <c r="X572" t="s">
        <v>152</v>
      </c>
      <c r="Z572">
        <v>83</v>
      </c>
      <c r="AA572" t="s">
        <v>1378</v>
      </c>
      <c r="AB572" t="s">
        <v>1639</v>
      </c>
      <c r="AC572">
        <v>6982537</v>
      </c>
      <c r="AE572">
        <v>0</v>
      </c>
      <c r="AF572">
        <v>1</v>
      </c>
      <c r="AG572">
        <v>0</v>
      </c>
      <c r="AH572">
        <v>3.2</v>
      </c>
      <c r="AI572" t="s">
        <v>56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 t="s">
        <v>57</v>
      </c>
      <c r="AS572" t="s">
        <v>1640</v>
      </c>
      <c r="AU572" t="s">
        <v>1639</v>
      </c>
      <c r="AV572" t="s">
        <v>238</v>
      </c>
      <c r="AW572" t="s">
        <v>239</v>
      </c>
      <c r="AX572" t="s">
        <v>260</v>
      </c>
      <c r="AZ572">
        <v>26300</v>
      </c>
      <c r="BA572" t="s">
        <v>243</v>
      </c>
      <c r="BB572" t="s">
        <v>61</v>
      </c>
      <c r="BC572" t="s">
        <v>62</v>
      </c>
    </row>
    <row r="573" spans="1:55" x14ac:dyDescent="0.25">
      <c r="A573" s="1" t="str">
        <f>IF(COUNTIF(Catégories!A:A,X573)=0,"catégorie inconnue",_xlfn.XLOOKUP(X573,Catégories!A:A,Catégories!B:B))</f>
        <v>Frêt</v>
      </c>
      <c r="B573" s="1">
        <f t="shared" si="24"/>
        <v>8.15</v>
      </c>
      <c r="C573" s="1">
        <f t="shared" si="25"/>
        <v>1.8</v>
      </c>
      <c r="D573" s="1">
        <f t="shared" si="26"/>
        <v>6.3500000000000005</v>
      </c>
      <c r="E573" s="20">
        <f>IF(AH573&lt;&gt;0,ROUNDUP(AH573,0),IF(BB573&lt;&gt;"FR","hors France",IF(AH573&lt;&gt;0,ROUNDUP(AH573,0),_xlfn.XLOOKUP(AJ573,'PA GLS'!B:B,'PA GLS'!A:A))))</f>
        <v>4</v>
      </c>
      <c r="F573">
        <v>2501382993</v>
      </c>
      <c r="G573">
        <v>1030222388</v>
      </c>
      <c r="H573" t="s">
        <v>366</v>
      </c>
      <c r="I573">
        <v>2500034092</v>
      </c>
      <c r="J573" t="s">
        <v>50</v>
      </c>
      <c r="K573">
        <v>9000009190</v>
      </c>
      <c r="L573">
        <v>46946</v>
      </c>
      <c r="M573" t="s">
        <v>51</v>
      </c>
      <c r="N573">
        <v>9000082822</v>
      </c>
      <c r="O573" t="s">
        <v>175</v>
      </c>
      <c r="S573">
        <v>2507012387</v>
      </c>
      <c r="T573" t="s">
        <v>50</v>
      </c>
      <c r="U573" t="s">
        <v>122</v>
      </c>
      <c r="V573" t="s">
        <v>231</v>
      </c>
      <c r="W573" t="s">
        <v>232</v>
      </c>
      <c r="X573" t="s">
        <v>60</v>
      </c>
      <c r="Z573">
        <v>84</v>
      </c>
      <c r="AA573" t="s">
        <v>1378</v>
      </c>
      <c r="AB573" t="s">
        <v>1639</v>
      </c>
      <c r="AC573">
        <v>6982537</v>
      </c>
      <c r="AE573">
        <v>0</v>
      </c>
      <c r="AF573">
        <v>0</v>
      </c>
      <c r="AG573">
        <v>0</v>
      </c>
      <c r="AH573">
        <v>0</v>
      </c>
      <c r="AI573" t="s">
        <v>56</v>
      </c>
      <c r="AJ573">
        <v>5.3</v>
      </c>
      <c r="AK573">
        <v>0.9</v>
      </c>
      <c r="AL573">
        <v>0.15</v>
      </c>
      <c r="AM573">
        <v>29.1</v>
      </c>
      <c r="AN573">
        <v>1.8</v>
      </c>
      <c r="AO573">
        <v>0</v>
      </c>
      <c r="AP573">
        <v>0</v>
      </c>
      <c r="AQ573" t="s">
        <v>57</v>
      </c>
      <c r="AS573" t="s">
        <v>1640</v>
      </c>
      <c r="AU573" t="s">
        <v>1639</v>
      </c>
      <c r="AV573" t="s">
        <v>238</v>
      </c>
      <c r="AW573" t="s">
        <v>239</v>
      </c>
      <c r="AX573" t="s">
        <v>260</v>
      </c>
      <c r="AZ573">
        <v>26300</v>
      </c>
      <c r="BA573" t="s">
        <v>243</v>
      </c>
      <c r="BB573" t="s">
        <v>61</v>
      </c>
      <c r="BC573" t="s">
        <v>62</v>
      </c>
    </row>
    <row r="574" spans="1:55" x14ac:dyDescent="0.25">
      <c r="A574" s="1" t="str">
        <f>IF(COUNTIF(Catégories!A:A,X574)=0,"catégorie inconnue",_xlfn.XLOOKUP(X574,Catégories!A:A,Catégories!B:B))</f>
        <v>Frêt</v>
      </c>
      <c r="B574" s="1">
        <f t="shared" si="24"/>
        <v>6.17</v>
      </c>
      <c r="C574" s="1">
        <f t="shared" si="25"/>
        <v>1.35</v>
      </c>
      <c r="D574" s="1">
        <f t="shared" si="26"/>
        <v>4.82</v>
      </c>
      <c r="E574" s="20">
        <f>IF(AH574&lt;&gt;0,ROUNDUP(AH574,0),IF(BB574&lt;&gt;"FR","hors France",IF(AH574&lt;&gt;0,ROUNDUP(AH574,0),_xlfn.XLOOKUP(AJ574,'PA GLS'!B:B,'PA GLS'!A:A))))</f>
        <v>0.5</v>
      </c>
      <c r="F574">
        <v>2501382993</v>
      </c>
      <c r="G574">
        <v>1030220043</v>
      </c>
      <c r="H574" t="s">
        <v>366</v>
      </c>
      <c r="I574">
        <v>2500034092</v>
      </c>
      <c r="J574" t="s">
        <v>50</v>
      </c>
      <c r="K574">
        <v>9000009190</v>
      </c>
      <c r="L574">
        <v>46946</v>
      </c>
      <c r="M574" t="s">
        <v>51</v>
      </c>
      <c r="N574">
        <v>9000079830</v>
      </c>
      <c r="O574" t="s">
        <v>187</v>
      </c>
      <c r="S574">
        <v>2507012387</v>
      </c>
      <c r="T574" t="s">
        <v>50</v>
      </c>
      <c r="U574" t="s">
        <v>122</v>
      </c>
      <c r="V574" t="s">
        <v>71</v>
      </c>
      <c r="W574" t="s">
        <v>72</v>
      </c>
      <c r="X574" t="s">
        <v>60</v>
      </c>
      <c r="Z574">
        <v>60</v>
      </c>
      <c r="AA574" t="s">
        <v>1378</v>
      </c>
      <c r="AB574" t="s">
        <v>1540</v>
      </c>
      <c r="AC574">
        <v>2604000138</v>
      </c>
      <c r="AE574">
        <v>0</v>
      </c>
      <c r="AF574">
        <v>0</v>
      </c>
      <c r="AG574">
        <v>0</v>
      </c>
      <c r="AH574">
        <v>0</v>
      </c>
      <c r="AI574" t="s">
        <v>56</v>
      </c>
      <c r="AJ574">
        <v>3.77</v>
      </c>
      <c r="AK574">
        <v>0.9</v>
      </c>
      <c r="AL574">
        <v>0.15</v>
      </c>
      <c r="AM574">
        <v>29.1</v>
      </c>
      <c r="AN574">
        <v>1.35</v>
      </c>
      <c r="AO574">
        <v>0</v>
      </c>
      <c r="AP574">
        <v>0</v>
      </c>
      <c r="AQ574" t="s">
        <v>57</v>
      </c>
      <c r="AS574" t="s">
        <v>1541</v>
      </c>
      <c r="AT574" t="s">
        <v>1541</v>
      </c>
      <c r="AU574" t="s">
        <v>1540</v>
      </c>
      <c r="AV574" t="s">
        <v>1542</v>
      </c>
      <c r="AW574" t="s">
        <v>1543</v>
      </c>
      <c r="AZ574">
        <v>91150</v>
      </c>
      <c r="BA574" t="s">
        <v>1544</v>
      </c>
      <c r="BB574" t="s">
        <v>61</v>
      </c>
      <c r="BC574" t="s">
        <v>62</v>
      </c>
    </row>
    <row r="575" spans="1:55" x14ac:dyDescent="0.25">
      <c r="A575" s="1" t="str">
        <f>IF(COUNTIF(Catégories!A:A,X575)=0,"catégorie inconnue",_xlfn.XLOOKUP(X575,Catégories!A:A,Catégories!B:B))</f>
        <v>Frêt</v>
      </c>
      <c r="B575" s="1">
        <f t="shared" si="24"/>
        <v>6.17</v>
      </c>
      <c r="C575" s="1">
        <f t="shared" si="25"/>
        <v>1.35</v>
      </c>
      <c r="D575" s="1">
        <f t="shared" si="26"/>
        <v>4.82</v>
      </c>
      <c r="E575" s="20">
        <f>IF(AH575&lt;&gt;0,ROUNDUP(AH575,0),IF(BB575&lt;&gt;"FR","hors France",IF(AH575&lt;&gt;0,ROUNDUP(AH575,0),_xlfn.XLOOKUP(AJ575,'PA GLS'!B:B,'PA GLS'!A:A))))</f>
        <v>0.5</v>
      </c>
      <c r="F575">
        <v>2501382993</v>
      </c>
      <c r="G575">
        <v>1030220043</v>
      </c>
      <c r="H575" t="s">
        <v>366</v>
      </c>
      <c r="I575">
        <v>2500034092</v>
      </c>
      <c r="J575" t="s">
        <v>50</v>
      </c>
      <c r="K575">
        <v>9000009190</v>
      </c>
      <c r="L575">
        <v>46946</v>
      </c>
      <c r="M575" t="s">
        <v>51</v>
      </c>
      <c r="N575">
        <v>9000079830</v>
      </c>
      <c r="O575" t="s">
        <v>187</v>
      </c>
      <c r="S575">
        <v>2507012387</v>
      </c>
      <c r="T575" t="s">
        <v>50</v>
      </c>
      <c r="U575" t="s">
        <v>122</v>
      </c>
      <c r="V575" t="s">
        <v>71</v>
      </c>
      <c r="W575" t="s">
        <v>72</v>
      </c>
      <c r="X575" t="s">
        <v>60</v>
      </c>
      <c r="Z575">
        <v>60</v>
      </c>
      <c r="AA575" t="s">
        <v>1378</v>
      </c>
      <c r="AB575" t="s">
        <v>1545</v>
      </c>
      <c r="AC575">
        <v>2604000139</v>
      </c>
      <c r="AE575">
        <v>0</v>
      </c>
      <c r="AF575">
        <v>0</v>
      </c>
      <c r="AG575">
        <v>0</v>
      </c>
      <c r="AH575">
        <v>0</v>
      </c>
      <c r="AI575" t="s">
        <v>56</v>
      </c>
      <c r="AJ575">
        <v>3.77</v>
      </c>
      <c r="AK575">
        <v>0.9</v>
      </c>
      <c r="AL575">
        <v>0.15</v>
      </c>
      <c r="AM575">
        <v>29.1</v>
      </c>
      <c r="AN575">
        <v>1.35</v>
      </c>
      <c r="AO575">
        <v>0</v>
      </c>
      <c r="AP575">
        <v>0</v>
      </c>
      <c r="AQ575" t="s">
        <v>57</v>
      </c>
      <c r="AS575" t="s">
        <v>1546</v>
      </c>
      <c r="AT575" t="s">
        <v>1546</v>
      </c>
      <c r="AU575" t="s">
        <v>1545</v>
      </c>
      <c r="AV575" t="s">
        <v>1547</v>
      </c>
      <c r="AW575" t="s">
        <v>1548</v>
      </c>
      <c r="AZ575">
        <v>33800</v>
      </c>
      <c r="BA575" t="s">
        <v>228</v>
      </c>
      <c r="BB575" t="s">
        <v>61</v>
      </c>
      <c r="BC575" t="s">
        <v>62</v>
      </c>
    </row>
    <row r="576" spans="1:55" x14ac:dyDescent="0.25">
      <c r="A576" s="1" t="str">
        <f>IF(COUNTIF(Catégories!A:A,X576)=0,"catégorie inconnue",_xlfn.XLOOKUP(X576,Catégories!A:A,Catégories!B:B))</f>
        <v>Frêt</v>
      </c>
      <c r="B576" s="1">
        <f t="shared" si="24"/>
        <v>6.17</v>
      </c>
      <c r="C576" s="1">
        <f t="shared" si="25"/>
        <v>1.35</v>
      </c>
      <c r="D576" s="1">
        <f t="shared" si="26"/>
        <v>4.82</v>
      </c>
      <c r="E576" s="20">
        <f>IF(AH576&lt;&gt;0,ROUNDUP(AH576,0),IF(BB576&lt;&gt;"FR","hors France",IF(AH576&lt;&gt;0,ROUNDUP(AH576,0),_xlfn.XLOOKUP(AJ576,'PA GLS'!B:B,'PA GLS'!A:A))))</f>
        <v>0.5</v>
      </c>
      <c r="F576">
        <v>2501382993</v>
      </c>
      <c r="G576">
        <v>1030220043</v>
      </c>
      <c r="H576" t="s">
        <v>366</v>
      </c>
      <c r="I576">
        <v>2500034092</v>
      </c>
      <c r="J576" t="s">
        <v>50</v>
      </c>
      <c r="K576">
        <v>9000009190</v>
      </c>
      <c r="L576">
        <v>46946</v>
      </c>
      <c r="M576" t="s">
        <v>51</v>
      </c>
      <c r="N576">
        <v>9000079830</v>
      </c>
      <c r="O576" t="s">
        <v>187</v>
      </c>
      <c r="S576">
        <v>2507012387</v>
      </c>
      <c r="T576" t="s">
        <v>50</v>
      </c>
      <c r="U576" t="s">
        <v>122</v>
      </c>
      <c r="V576" t="s">
        <v>71</v>
      </c>
      <c r="W576" t="s">
        <v>72</v>
      </c>
      <c r="X576" t="s">
        <v>60</v>
      </c>
      <c r="Z576">
        <v>60</v>
      </c>
      <c r="AA576" t="s">
        <v>1378</v>
      </c>
      <c r="AB576" t="s">
        <v>1577</v>
      </c>
      <c r="AC576">
        <v>2604000146</v>
      </c>
      <c r="AE576">
        <v>0</v>
      </c>
      <c r="AF576">
        <v>0</v>
      </c>
      <c r="AG576">
        <v>0</v>
      </c>
      <c r="AH576">
        <v>0</v>
      </c>
      <c r="AI576" t="s">
        <v>56</v>
      </c>
      <c r="AJ576">
        <v>3.77</v>
      </c>
      <c r="AK576">
        <v>0.9</v>
      </c>
      <c r="AL576">
        <v>0.15</v>
      </c>
      <c r="AM576">
        <v>29.1</v>
      </c>
      <c r="AN576">
        <v>1.35</v>
      </c>
      <c r="AO576">
        <v>0</v>
      </c>
      <c r="AP576">
        <v>0</v>
      </c>
      <c r="AQ576" t="s">
        <v>57</v>
      </c>
      <c r="AS576" t="s">
        <v>1578</v>
      </c>
      <c r="AT576" t="s">
        <v>1578</v>
      </c>
      <c r="AU576" t="s">
        <v>1577</v>
      </c>
      <c r="AV576" t="s">
        <v>1579</v>
      </c>
      <c r="AW576" t="s">
        <v>1580</v>
      </c>
      <c r="AZ576">
        <v>33000</v>
      </c>
      <c r="BA576" t="s">
        <v>228</v>
      </c>
      <c r="BB576" t="s">
        <v>61</v>
      </c>
      <c r="BC576" t="s">
        <v>62</v>
      </c>
    </row>
    <row r="577" spans="1:55" x14ac:dyDescent="0.25">
      <c r="A577" s="1" t="str">
        <f>IF(COUNTIF(Catégories!A:A,X577)=0,"catégorie inconnue",_xlfn.XLOOKUP(X577,Catégories!A:A,Catégories!B:B))</f>
        <v>Frêt</v>
      </c>
      <c r="B577" s="1">
        <f t="shared" si="24"/>
        <v>6.17</v>
      </c>
      <c r="C577" s="1">
        <f t="shared" si="25"/>
        <v>1.35</v>
      </c>
      <c r="D577" s="1">
        <f t="shared" si="26"/>
        <v>4.82</v>
      </c>
      <c r="E577" s="20">
        <f>IF(AH577&lt;&gt;0,ROUNDUP(AH577,0),IF(BB577&lt;&gt;"FR","hors France",IF(AH577&lt;&gt;0,ROUNDUP(AH577,0),_xlfn.XLOOKUP(AJ577,'PA GLS'!B:B,'PA GLS'!A:A))))</f>
        <v>0.5</v>
      </c>
      <c r="F577">
        <v>2501382993</v>
      </c>
      <c r="G577">
        <v>1030220043</v>
      </c>
      <c r="H577" t="s">
        <v>366</v>
      </c>
      <c r="I577">
        <v>2500034092</v>
      </c>
      <c r="J577" t="s">
        <v>50</v>
      </c>
      <c r="K577">
        <v>9000009190</v>
      </c>
      <c r="L577">
        <v>46946</v>
      </c>
      <c r="M577" t="s">
        <v>51</v>
      </c>
      <c r="N577">
        <v>9000079830</v>
      </c>
      <c r="O577" t="s">
        <v>187</v>
      </c>
      <c r="S577">
        <v>2507012387</v>
      </c>
      <c r="T577" t="s">
        <v>50</v>
      </c>
      <c r="U577" t="s">
        <v>122</v>
      </c>
      <c r="V577" t="s">
        <v>71</v>
      </c>
      <c r="W577" t="s">
        <v>72</v>
      </c>
      <c r="X577" t="s">
        <v>60</v>
      </c>
      <c r="Z577">
        <v>60</v>
      </c>
      <c r="AA577" t="s">
        <v>1378</v>
      </c>
      <c r="AB577" t="s">
        <v>1594</v>
      </c>
      <c r="AC577">
        <v>2604000150</v>
      </c>
      <c r="AE577">
        <v>0</v>
      </c>
      <c r="AF577">
        <v>0</v>
      </c>
      <c r="AG577">
        <v>0</v>
      </c>
      <c r="AH577">
        <v>0</v>
      </c>
      <c r="AI577" t="s">
        <v>56</v>
      </c>
      <c r="AJ577">
        <v>3.77</v>
      </c>
      <c r="AK577">
        <v>0.9</v>
      </c>
      <c r="AL577">
        <v>0.15</v>
      </c>
      <c r="AM577">
        <v>29.1</v>
      </c>
      <c r="AN577">
        <v>1.35</v>
      </c>
      <c r="AO577">
        <v>0</v>
      </c>
      <c r="AP577">
        <v>0</v>
      </c>
      <c r="AQ577" t="s">
        <v>57</v>
      </c>
      <c r="AS577" t="s">
        <v>1595</v>
      </c>
      <c r="AT577" t="s">
        <v>1595</v>
      </c>
      <c r="AU577" t="s">
        <v>1594</v>
      </c>
      <c r="AV577" t="s">
        <v>1596</v>
      </c>
      <c r="AW577" t="s">
        <v>1597</v>
      </c>
      <c r="AZ577">
        <v>13005</v>
      </c>
      <c r="BA577" t="s">
        <v>68</v>
      </c>
      <c r="BB577" t="s">
        <v>61</v>
      </c>
      <c r="BC577" t="s">
        <v>62</v>
      </c>
    </row>
    <row r="578" spans="1:55" x14ac:dyDescent="0.25">
      <c r="A578" s="1" t="str">
        <f>IF(COUNTIF(Catégories!A:A,X578)=0,"catégorie inconnue",_xlfn.XLOOKUP(X578,Catégories!A:A,Catégories!B:B))</f>
        <v>Frêt</v>
      </c>
      <c r="B578" s="1">
        <f t="shared" si="24"/>
        <v>6.17</v>
      </c>
      <c r="C578" s="1">
        <f t="shared" si="25"/>
        <v>1.35</v>
      </c>
      <c r="D578" s="1">
        <f t="shared" si="26"/>
        <v>4.82</v>
      </c>
      <c r="E578" s="20">
        <f>IF(AH578&lt;&gt;0,ROUNDUP(AH578,0),IF(BB578&lt;&gt;"FR","hors France",IF(AH578&lt;&gt;0,ROUNDUP(AH578,0),_xlfn.XLOOKUP(AJ578,'PA GLS'!B:B,'PA GLS'!A:A))))</f>
        <v>0.5</v>
      </c>
      <c r="F578">
        <v>2501382993</v>
      </c>
      <c r="G578">
        <v>1030220043</v>
      </c>
      <c r="H578" t="s">
        <v>366</v>
      </c>
      <c r="I578">
        <v>2500034092</v>
      </c>
      <c r="J578" t="s">
        <v>50</v>
      </c>
      <c r="K578">
        <v>9000009190</v>
      </c>
      <c r="L578">
        <v>46946</v>
      </c>
      <c r="M578" t="s">
        <v>51</v>
      </c>
      <c r="N578">
        <v>9000079830</v>
      </c>
      <c r="O578" t="s">
        <v>187</v>
      </c>
      <c r="S578">
        <v>2507012387</v>
      </c>
      <c r="T578" t="s">
        <v>50</v>
      </c>
      <c r="U578" t="s">
        <v>122</v>
      </c>
      <c r="V578" t="s">
        <v>71</v>
      </c>
      <c r="W578" t="s">
        <v>72</v>
      </c>
      <c r="X578" t="s">
        <v>60</v>
      </c>
      <c r="Z578">
        <v>60</v>
      </c>
      <c r="AA578" t="s">
        <v>1378</v>
      </c>
      <c r="AB578" t="s">
        <v>1420</v>
      </c>
      <c r="AC578">
        <v>2604000160</v>
      </c>
      <c r="AE578">
        <v>0</v>
      </c>
      <c r="AF578">
        <v>0</v>
      </c>
      <c r="AG578">
        <v>0</v>
      </c>
      <c r="AH578">
        <v>0</v>
      </c>
      <c r="AI578" t="s">
        <v>56</v>
      </c>
      <c r="AJ578">
        <v>3.77</v>
      </c>
      <c r="AK578">
        <v>0.9</v>
      </c>
      <c r="AL578">
        <v>0.15</v>
      </c>
      <c r="AM578">
        <v>29.1</v>
      </c>
      <c r="AN578">
        <v>1.35</v>
      </c>
      <c r="AO578">
        <v>0</v>
      </c>
      <c r="AP578">
        <v>0</v>
      </c>
      <c r="AQ578" t="s">
        <v>57</v>
      </c>
      <c r="AS578" t="s">
        <v>1421</v>
      </c>
      <c r="AT578" t="s">
        <v>1421</v>
      </c>
      <c r="AU578" t="s">
        <v>1420</v>
      </c>
      <c r="AV578" t="s">
        <v>1422</v>
      </c>
      <c r="AW578" t="s">
        <v>1423</v>
      </c>
      <c r="AZ578">
        <v>9700</v>
      </c>
      <c r="BA578" t="s">
        <v>1424</v>
      </c>
      <c r="BB578" t="s">
        <v>61</v>
      </c>
      <c r="BC578" t="s">
        <v>62</v>
      </c>
    </row>
    <row r="579" spans="1:55" x14ac:dyDescent="0.25">
      <c r="A579" s="1" t="str">
        <f>IF(COUNTIF(Catégories!A:A,X579)=0,"catégorie inconnue",_xlfn.XLOOKUP(X579,Catégories!A:A,Catégories!B:B))</f>
        <v>Frêt</v>
      </c>
      <c r="B579" s="1">
        <f t="shared" ref="B579:B642" si="27">SUM(AJ579:AL579)+SUM(AN579:AP579)</f>
        <v>6.17</v>
      </c>
      <c r="C579" s="1">
        <f t="shared" ref="C579:C642" si="28">AN579</f>
        <v>1.35</v>
      </c>
      <c r="D579" s="1">
        <f t="shared" ref="D579:D642" si="29">B579-C579</f>
        <v>4.82</v>
      </c>
      <c r="E579" s="20">
        <f>IF(AH579&lt;&gt;0,ROUNDUP(AH579,0),IF(BB579&lt;&gt;"FR","hors France",IF(AH579&lt;&gt;0,ROUNDUP(AH579,0),_xlfn.XLOOKUP(AJ579,'PA GLS'!B:B,'PA GLS'!A:A))))</f>
        <v>0.5</v>
      </c>
      <c r="F579">
        <v>2501382993</v>
      </c>
      <c r="G579">
        <v>1030220043</v>
      </c>
      <c r="H579" t="s">
        <v>366</v>
      </c>
      <c r="I579">
        <v>2500034092</v>
      </c>
      <c r="J579" t="s">
        <v>50</v>
      </c>
      <c r="K579">
        <v>9000009190</v>
      </c>
      <c r="L579">
        <v>46946</v>
      </c>
      <c r="M579" t="s">
        <v>51</v>
      </c>
      <c r="N579">
        <v>9000079830</v>
      </c>
      <c r="O579" t="s">
        <v>187</v>
      </c>
      <c r="S579">
        <v>2507012387</v>
      </c>
      <c r="T579" t="s">
        <v>50</v>
      </c>
      <c r="U579" t="s">
        <v>122</v>
      </c>
      <c r="V579" t="s">
        <v>71</v>
      </c>
      <c r="W579" t="s">
        <v>72</v>
      </c>
      <c r="X579" t="s">
        <v>60</v>
      </c>
      <c r="Z579">
        <v>60</v>
      </c>
      <c r="AA579" t="s">
        <v>1378</v>
      </c>
      <c r="AB579" t="s">
        <v>1447</v>
      </c>
      <c r="AC579">
        <v>2604000166</v>
      </c>
      <c r="AE579">
        <v>0</v>
      </c>
      <c r="AF579">
        <v>0</v>
      </c>
      <c r="AG579">
        <v>0</v>
      </c>
      <c r="AH579">
        <v>0</v>
      </c>
      <c r="AI579" t="s">
        <v>56</v>
      </c>
      <c r="AJ579">
        <v>3.77</v>
      </c>
      <c r="AK579">
        <v>0.9</v>
      </c>
      <c r="AL579">
        <v>0.15</v>
      </c>
      <c r="AM579">
        <v>29.1</v>
      </c>
      <c r="AN579">
        <v>1.35</v>
      </c>
      <c r="AO579">
        <v>0</v>
      </c>
      <c r="AP579">
        <v>0</v>
      </c>
      <c r="AQ579" t="s">
        <v>57</v>
      </c>
      <c r="AS579" t="s">
        <v>1448</v>
      </c>
      <c r="AT579" t="s">
        <v>1448</v>
      </c>
      <c r="AU579" t="s">
        <v>1447</v>
      </c>
      <c r="AV579" t="s">
        <v>1449</v>
      </c>
      <c r="AW579" t="s">
        <v>1450</v>
      </c>
      <c r="AZ579">
        <v>75008</v>
      </c>
      <c r="BA579" t="s">
        <v>65</v>
      </c>
      <c r="BB579" t="s">
        <v>61</v>
      </c>
      <c r="BC579" t="s">
        <v>62</v>
      </c>
    </row>
    <row r="580" spans="1:55" x14ac:dyDescent="0.25">
      <c r="A580" s="1" t="str">
        <f>IF(COUNTIF(Catégories!A:A,X580)=0,"catégorie inconnue",_xlfn.XLOOKUP(X580,Catégories!A:A,Catégories!B:B))</f>
        <v>Frêt</v>
      </c>
      <c r="B580" s="1">
        <f t="shared" si="27"/>
        <v>6.17</v>
      </c>
      <c r="C580" s="1">
        <f t="shared" si="28"/>
        <v>1.35</v>
      </c>
      <c r="D580" s="1">
        <f t="shared" si="29"/>
        <v>4.82</v>
      </c>
      <c r="E580" s="20">
        <f>IF(AH580&lt;&gt;0,ROUNDUP(AH580,0),IF(BB580&lt;&gt;"FR","hors France",IF(AH580&lt;&gt;0,ROUNDUP(AH580,0),_xlfn.XLOOKUP(AJ580,'PA GLS'!B:B,'PA GLS'!A:A))))</f>
        <v>0.5</v>
      </c>
      <c r="F580">
        <v>2501382993</v>
      </c>
      <c r="G580">
        <v>1030220043</v>
      </c>
      <c r="H580" t="s">
        <v>366</v>
      </c>
      <c r="I580">
        <v>2500034092</v>
      </c>
      <c r="J580" t="s">
        <v>50</v>
      </c>
      <c r="K580">
        <v>9000009190</v>
      </c>
      <c r="L580">
        <v>46946</v>
      </c>
      <c r="M580" t="s">
        <v>51</v>
      </c>
      <c r="N580">
        <v>9000079830</v>
      </c>
      <c r="O580" t="s">
        <v>187</v>
      </c>
      <c r="S580">
        <v>2507012387</v>
      </c>
      <c r="T580" t="s">
        <v>50</v>
      </c>
      <c r="U580" t="s">
        <v>122</v>
      </c>
      <c r="V580" t="s">
        <v>71</v>
      </c>
      <c r="W580" t="s">
        <v>72</v>
      </c>
      <c r="X580" t="s">
        <v>60</v>
      </c>
      <c r="Z580">
        <v>60</v>
      </c>
      <c r="AA580" t="s">
        <v>1378</v>
      </c>
      <c r="AB580" t="s">
        <v>1475</v>
      </c>
      <c r="AC580">
        <v>2604000172</v>
      </c>
      <c r="AE580">
        <v>0</v>
      </c>
      <c r="AF580">
        <v>0</v>
      </c>
      <c r="AG580">
        <v>0</v>
      </c>
      <c r="AH580">
        <v>0</v>
      </c>
      <c r="AI580" t="s">
        <v>56</v>
      </c>
      <c r="AJ580">
        <v>3.77</v>
      </c>
      <c r="AK580">
        <v>0.9</v>
      </c>
      <c r="AL580">
        <v>0.15</v>
      </c>
      <c r="AM580">
        <v>29.1</v>
      </c>
      <c r="AN580">
        <v>1.35</v>
      </c>
      <c r="AO580">
        <v>0</v>
      </c>
      <c r="AP580">
        <v>0</v>
      </c>
      <c r="AQ580" t="s">
        <v>57</v>
      </c>
      <c r="AS580" t="s">
        <v>1476</v>
      </c>
      <c r="AT580" t="s">
        <v>1476</v>
      </c>
      <c r="AU580" t="s">
        <v>1475</v>
      </c>
      <c r="AV580" t="s">
        <v>1477</v>
      </c>
      <c r="AW580" t="s">
        <v>1478</v>
      </c>
      <c r="AZ580">
        <v>75018</v>
      </c>
      <c r="BA580" t="s">
        <v>65</v>
      </c>
      <c r="BB580" t="s">
        <v>61</v>
      </c>
      <c r="BC580" t="s">
        <v>62</v>
      </c>
    </row>
    <row r="581" spans="1:55" x14ac:dyDescent="0.25">
      <c r="A581" s="1" t="str">
        <f>IF(COUNTIF(Catégories!A:A,X581)=0,"catégorie inconnue",_xlfn.XLOOKUP(X581,Catégories!A:A,Catégories!B:B))</f>
        <v>Frêt</v>
      </c>
      <c r="B581" s="1">
        <f t="shared" si="27"/>
        <v>6.17</v>
      </c>
      <c r="C581" s="1">
        <f t="shared" si="28"/>
        <v>1.35</v>
      </c>
      <c r="D581" s="1">
        <f t="shared" si="29"/>
        <v>4.82</v>
      </c>
      <c r="E581" s="20">
        <f>IF(AH581&lt;&gt;0,ROUNDUP(AH581,0),IF(BB581&lt;&gt;"FR","hors France",IF(AH581&lt;&gt;0,ROUNDUP(AH581,0),_xlfn.XLOOKUP(AJ581,'PA GLS'!B:B,'PA GLS'!A:A))))</f>
        <v>0.5</v>
      </c>
      <c r="F581">
        <v>2501382993</v>
      </c>
      <c r="G581">
        <v>1030220043</v>
      </c>
      <c r="H581" t="s">
        <v>366</v>
      </c>
      <c r="I581">
        <v>2500034092</v>
      </c>
      <c r="J581" t="s">
        <v>50</v>
      </c>
      <c r="K581">
        <v>9000009190</v>
      </c>
      <c r="L581">
        <v>46946</v>
      </c>
      <c r="M581" t="s">
        <v>51</v>
      </c>
      <c r="N581">
        <v>9000079830</v>
      </c>
      <c r="O581" t="s">
        <v>187</v>
      </c>
      <c r="S581">
        <v>2507012387</v>
      </c>
      <c r="T581" t="s">
        <v>50</v>
      </c>
      <c r="U581" t="s">
        <v>122</v>
      </c>
      <c r="V581" t="s">
        <v>71</v>
      </c>
      <c r="W581" t="s">
        <v>72</v>
      </c>
      <c r="X581" t="s">
        <v>60</v>
      </c>
      <c r="Z581">
        <v>60</v>
      </c>
      <c r="AA581" t="s">
        <v>1378</v>
      </c>
      <c r="AB581" t="s">
        <v>1479</v>
      </c>
      <c r="AC581">
        <v>2604000173</v>
      </c>
      <c r="AE581">
        <v>0</v>
      </c>
      <c r="AF581">
        <v>0</v>
      </c>
      <c r="AG581">
        <v>0</v>
      </c>
      <c r="AH581">
        <v>0</v>
      </c>
      <c r="AI581" t="s">
        <v>56</v>
      </c>
      <c r="AJ581">
        <v>3.77</v>
      </c>
      <c r="AK581">
        <v>0.9</v>
      </c>
      <c r="AL581">
        <v>0.15</v>
      </c>
      <c r="AM581">
        <v>29.1</v>
      </c>
      <c r="AN581">
        <v>1.35</v>
      </c>
      <c r="AO581">
        <v>0</v>
      </c>
      <c r="AP581">
        <v>0</v>
      </c>
      <c r="AQ581" t="s">
        <v>57</v>
      </c>
      <c r="AS581" t="s">
        <v>1480</v>
      </c>
      <c r="AT581" t="s">
        <v>1480</v>
      </c>
      <c r="AU581" t="s">
        <v>1479</v>
      </c>
      <c r="AV581" t="s">
        <v>1481</v>
      </c>
      <c r="AW581" t="s">
        <v>1482</v>
      </c>
      <c r="AZ581">
        <v>69630</v>
      </c>
      <c r="BA581" t="s">
        <v>1483</v>
      </c>
      <c r="BB581" t="s">
        <v>61</v>
      </c>
      <c r="BC581" t="s">
        <v>62</v>
      </c>
    </row>
    <row r="582" spans="1:55" x14ac:dyDescent="0.25">
      <c r="A582" s="1" t="str">
        <f>IF(COUNTIF(Catégories!A:A,X582)=0,"catégorie inconnue",_xlfn.XLOOKUP(X582,Catégories!A:A,Catégories!B:B))</f>
        <v>Frêt</v>
      </c>
      <c r="B582" s="1">
        <f t="shared" si="27"/>
        <v>6.6000000000000005</v>
      </c>
      <c r="C582" s="1">
        <f t="shared" si="28"/>
        <v>1.45</v>
      </c>
      <c r="D582" s="1">
        <f t="shared" si="29"/>
        <v>5.15</v>
      </c>
      <c r="E582" s="20">
        <f>IF(AH582&lt;&gt;0,ROUNDUP(AH582,0),IF(BB582&lt;&gt;"FR","hors France",IF(AH582&lt;&gt;0,ROUNDUP(AH582,0),_xlfn.XLOOKUP(AJ582,'PA GLS'!B:B,'PA GLS'!A:A))))</f>
        <v>1</v>
      </c>
      <c r="F582">
        <v>2501382993</v>
      </c>
      <c r="G582">
        <v>1030220043</v>
      </c>
      <c r="H582" t="s">
        <v>366</v>
      </c>
      <c r="I582">
        <v>2500034092</v>
      </c>
      <c r="J582" t="s">
        <v>50</v>
      </c>
      <c r="K582">
        <v>9000009190</v>
      </c>
      <c r="L582">
        <v>46946</v>
      </c>
      <c r="M582" t="s">
        <v>51</v>
      </c>
      <c r="N582">
        <v>9000079830</v>
      </c>
      <c r="O582" t="s">
        <v>187</v>
      </c>
      <c r="S582">
        <v>2507012387</v>
      </c>
      <c r="T582" t="s">
        <v>50</v>
      </c>
      <c r="U582" t="s">
        <v>122</v>
      </c>
      <c r="V582" t="s">
        <v>69</v>
      </c>
      <c r="W582" t="s">
        <v>70</v>
      </c>
      <c r="X582" t="s">
        <v>60</v>
      </c>
      <c r="Z582">
        <v>61</v>
      </c>
      <c r="AA582" t="s">
        <v>1378</v>
      </c>
      <c r="AB582" t="s">
        <v>1581</v>
      </c>
      <c r="AC582">
        <v>2604000147</v>
      </c>
      <c r="AE582">
        <v>0</v>
      </c>
      <c r="AF582">
        <v>0</v>
      </c>
      <c r="AG582">
        <v>0</v>
      </c>
      <c r="AH582">
        <v>0</v>
      </c>
      <c r="AI582" t="s">
        <v>56</v>
      </c>
      <c r="AJ582">
        <v>4.0999999999999996</v>
      </c>
      <c r="AK582">
        <v>0.9</v>
      </c>
      <c r="AL582">
        <v>0.15</v>
      </c>
      <c r="AM582">
        <v>29.1</v>
      </c>
      <c r="AN582">
        <v>1.45</v>
      </c>
      <c r="AO582">
        <v>0</v>
      </c>
      <c r="AP582">
        <v>0</v>
      </c>
      <c r="AQ582" t="s">
        <v>57</v>
      </c>
      <c r="AS582" t="s">
        <v>1582</v>
      </c>
      <c r="AT582" t="s">
        <v>1582</v>
      </c>
      <c r="AU582" t="s">
        <v>1581</v>
      </c>
      <c r="AV582" t="s">
        <v>1583</v>
      </c>
      <c r="AW582" t="s">
        <v>1584</v>
      </c>
      <c r="AZ582">
        <v>13290</v>
      </c>
      <c r="BA582" t="s">
        <v>235</v>
      </c>
      <c r="BB582" t="s">
        <v>61</v>
      </c>
      <c r="BC582" t="s">
        <v>62</v>
      </c>
    </row>
    <row r="583" spans="1:55" x14ac:dyDescent="0.25">
      <c r="A583" s="1" t="str">
        <f>IF(COUNTIF(Catégories!A:A,X583)=0,"catégorie inconnue",_xlfn.XLOOKUP(X583,Catégories!A:A,Catégories!B:B))</f>
        <v>Frêt</v>
      </c>
      <c r="B583" s="1">
        <f t="shared" si="27"/>
        <v>6.6000000000000005</v>
      </c>
      <c r="C583" s="1">
        <f t="shared" si="28"/>
        <v>1.45</v>
      </c>
      <c r="D583" s="1">
        <f t="shared" si="29"/>
        <v>5.15</v>
      </c>
      <c r="E583" s="20">
        <f>IF(AH583&lt;&gt;0,ROUNDUP(AH583,0),IF(BB583&lt;&gt;"FR","hors France",IF(AH583&lt;&gt;0,ROUNDUP(AH583,0),_xlfn.XLOOKUP(AJ583,'PA GLS'!B:B,'PA GLS'!A:A))))</f>
        <v>1</v>
      </c>
      <c r="F583">
        <v>2501382993</v>
      </c>
      <c r="G583">
        <v>1030220043</v>
      </c>
      <c r="H583" t="s">
        <v>366</v>
      </c>
      <c r="I583">
        <v>2500034092</v>
      </c>
      <c r="J583" t="s">
        <v>50</v>
      </c>
      <c r="K583">
        <v>9000009190</v>
      </c>
      <c r="L583">
        <v>46946</v>
      </c>
      <c r="M583" t="s">
        <v>51</v>
      </c>
      <c r="N583">
        <v>9000079830</v>
      </c>
      <c r="O583" t="s">
        <v>187</v>
      </c>
      <c r="S583">
        <v>2507012387</v>
      </c>
      <c r="T583" t="s">
        <v>50</v>
      </c>
      <c r="U583" t="s">
        <v>122</v>
      </c>
      <c r="V583" t="s">
        <v>69</v>
      </c>
      <c r="W583" t="s">
        <v>70</v>
      </c>
      <c r="X583" t="s">
        <v>60</v>
      </c>
      <c r="Z583">
        <v>61</v>
      </c>
      <c r="AA583" t="s">
        <v>1378</v>
      </c>
      <c r="AB583" t="s">
        <v>1603</v>
      </c>
      <c r="AC583">
        <v>2604000152</v>
      </c>
      <c r="AE583">
        <v>0</v>
      </c>
      <c r="AF583">
        <v>0</v>
      </c>
      <c r="AG583">
        <v>0</v>
      </c>
      <c r="AH583">
        <v>0</v>
      </c>
      <c r="AI583" t="s">
        <v>56</v>
      </c>
      <c r="AJ583">
        <v>4.0999999999999996</v>
      </c>
      <c r="AK583">
        <v>0.9</v>
      </c>
      <c r="AL583">
        <v>0.15</v>
      </c>
      <c r="AM583">
        <v>29.1</v>
      </c>
      <c r="AN583">
        <v>1.45</v>
      </c>
      <c r="AO583">
        <v>0</v>
      </c>
      <c r="AP583">
        <v>0</v>
      </c>
      <c r="AQ583" t="s">
        <v>57</v>
      </c>
      <c r="AS583" t="s">
        <v>1604</v>
      </c>
      <c r="AT583" t="s">
        <v>1604</v>
      </c>
      <c r="AU583" t="s">
        <v>1603</v>
      </c>
      <c r="AV583" t="s">
        <v>1605</v>
      </c>
      <c r="AW583" t="s">
        <v>1606</v>
      </c>
      <c r="AZ583">
        <v>44450</v>
      </c>
      <c r="BA583" t="s">
        <v>1607</v>
      </c>
      <c r="BB583" t="s">
        <v>61</v>
      </c>
      <c r="BC583" t="s">
        <v>62</v>
      </c>
    </row>
    <row r="584" spans="1:55" x14ac:dyDescent="0.25">
      <c r="A584" s="1" t="str">
        <f>IF(COUNTIF(Catégories!A:A,X584)=0,"catégorie inconnue",_xlfn.XLOOKUP(X584,Catégories!A:A,Catégories!B:B))</f>
        <v>Frêt</v>
      </c>
      <c r="B584" s="1">
        <f t="shared" si="27"/>
        <v>6.6000000000000005</v>
      </c>
      <c r="C584" s="1">
        <f t="shared" si="28"/>
        <v>1.45</v>
      </c>
      <c r="D584" s="1">
        <f t="shared" si="29"/>
        <v>5.15</v>
      </c>
      <c r="E584" s="20">
        <f>IF(AH584&lt;&gt;0,ROUNDUP(AH584,0),IF(BB584&lt;&gt;"FR","hors France",IF(AH584&lt;&gt;0,ROUNDUP(AH584,0),_xlfn.XLOOKUP(AJ584,'PA GLS'!B:B,'PA GLS'!A:A))))</f>
        <v>1</v>
      </c>
      <c r="F584">
        <v>2501382993</v>
      </c>
      <c r="G584">
        <v>1030220043</v>
      </c>
      <c r="H584" t="s">
        <v>366</v>
      </c>
      <c r="I584">
        <v>2500034092</v>
      </c>
      <c r="J584" t="s">
        <v>50</v>
      </c>
      <c r="K584">
        <v>9000009190</v>
      </c>
      <c r="L584">
        <v>46946</v>
      </c>
      <c r="M584" t="s">
        <v>51</v>
      </c>
      <c r="N584">
        <v>9000079830</v>
      </c>
      <c r="O584" t="s">
        <v>187</v>
      </c>
      <c r="S584">
        <v>2507012387</v>
      </c>
      <c r="T584" t="s">
        <v>50</v>
      </c>
      <c r="U584" t="s">
        <v>122</v>
      </c>
      <c r="V584" t="s">
        <v>69</v>
      </c>
      <c r="W584" t="s">
        <v>70</v>
      </c>
      <c r="X584" t="s">
        <v>60</v>
      </c>
      <c r="Z584">
        <v>61</v>
      </c>
      <c r="AA584" t="s">
        <v>1378</v>
      </c>
      <c r="AB584" t="s">
        <v>1434</v>
      </c>
      <c r="AC584">
        <v>2604000163</v>
      </c>
      <c r="AE584">
        <v>0</v>
      </c>
      <c r="AF584">
        <v>0</v>
      </c>
      <c r="AG584">
        <v>0</v>
      </c>
      <c r="AH584">
        <v>0</v>
      </c>
      <c r="AI584" t="s">
        <v>56</v>
      </c>
      <c r="AJ584">
        <v>4.0999999999999996</v>
      </c>
      <c r="AK584">
        <v>0.9</v>
      </c>
      <c r="AL584">
        <v>0.15</v>
      </c>
      <c r="AM584">
        <v>29.1</v>
      </c>
      <c r="AN584">
        <v>1.45</v>
      </c>
      <c r="AO584">
        <v>0</v>
      </c>
      <c r="AP584">
        <v>0</v>
      </c>
      <c r="AQ584" t="s">
        <v>57</v>
      </c>
      <c r="AS584" t="s">
        <v>1435</v>
      </c>
      <c r="AT584" t="s">
        <v>1435</v>
      </c>
      <c r="AU584" t="s">
        <v>1434</v>
      </c>
      <c r="AV584" t="s">
        <v>1436</v>
      </c>
      <c r="AW584" t="s">
        <v>1437</v>
      </c>
      <c r="AZ584">
        <v>69006</v>
      </c>
      <c r="BA584" t="s">
        <v>151</v>
      </c>
      <c r="BB584" t="s">
        <v>61</v>
      </c>
      <c r="BC584" t="s">
        <v>62</v>
      </c>
    </row>
    <row r="585" spans="1:55" x14ac:dyDescent="0.25">
      <c r="A585" s="1" t="str">
        <f>IF(COUNTIF(Catégories!A:A,X585)=0,"catégorie inconnue",_xlfn.XLOOKUP(X585,Catégories!A:A,Catégories!B:B))</f>
        <v>Frêt</v>
      </c>
      <c r="B585" s="1">
        <f t="shared" si="27"/>
        <v>6.6000000000000005</v>
      </c>
      <c r="C585" s="1">
        <f t="shared" si="28"/>
        <v>1.45</v>
      </c>
      <c r="D585" s="1">
        <f t="shared" si="29"/>
        <v>5.15</v>
      </c>
      <c r="E585" s="20">
        <f>IF(AH585&lt;&gt;0,ROUNDUP(AH585,0),IF(BB585&lt;&gt;"FR","hors France",IF(AH585&lt;&gt;0,ROUNDUP(AH585,0),_xlfn.XLOOKUP(AJ585,'PA GLS'!B:B,'PA GLS'!A:A))))</f>
        <v>1</v>
      </c>
      <c r="F585">
        <v>2501382993</v>
      </c>
      <c r="G585">
        <v>1030220043</v>
      </c>
      <c r="H585" t="s">
        <v>366</v>
      </c>
      <c r="I585">
        <v>2500034092</v>
      </c>
      <c r="J585" t="s">
        <v>50</v>
      </c>
      <c r="K585">
        <v>9000009190</v>
      </c>
      <c r="L585">
        <v>46946</v>
      </c>
      <c r="M585" t="s">
        <v>51</v>
      </c>
      <c r="N585">
        <v>9000079830</v>
      </c>
      <c r="O585" t="s">
        <v>187</v>
      </c>
      <c r="S585">
        <v>2507012387</v>
      </c>
      <c r="T585" t="s">
        <v>50</v>
      </c>
      <c r="U585" t="s">
        <v>122</v>
      </c>
      <c r="V585" t="s">
        <v>69</v>
      </c>
      <c r="W585" t="s">
        <v>70</v>
      </c>
      <c r="X585" t="s">
        <v>60</v>
      </c>
      <c r="Z585">
        <v>61</v>
      </c>
      <c r="AA585" t="s">
        <v>1378</v>
      </c>
      <c r="AB585" t="s">
        <v>1451</v>
      </c>
      <c r="AC585">
        <v>2604000167</v>
      </c>
      <c r="AE585">
        <v>0</v>
      </c>
      <c r="AF585">
        <v>0</v>
      </c>
      <c r="AG585">
        <v>0</v>
      </c>
      <c r="AH585">
        <v>0</v>
      </c>
      <c r="AI585" t="s">
        <v>56</v>
      </c>
      <c r="AJ585">
        <v>4.0999999999999996</v>
      </c>
      <c r="AK585">
        <v>0.9</v>
      </c>
      <c r="AL585">
        <v>0.15</v>
      </c>
      <c r="AM585">
        <v>29.1</v>
      </c>
      <c r="AN585">
        <v>1.45</v>
      </c>
      <c r="AO585">
        <v>0</v>
      </c>
      <c r="AP585">
        <v>0</v>
      </c>
      <c r="AQ585" t="s">
        <v>57</v>
      </c>
      <c r="AS585" t="s">
        <v>1452</v>
      </c>
      <c r="AT585" t="s">
        <v>1452</v>
      </c>
      <c r="AU585" t="s">
        <v>1451</v>
      </c>
      <c r="AV585" t="s">
        <v>1453</v>
      </c>
      <c r="AW585" t="s">
        <v>1454</v>
      </c>
      <c r="AZ585">
        <v>74330</v>
      </c>
      <c r="BA585" t="s">
        <v>1455</v>
      </c>
      <c r="BB585" t="s">
        <v>61</v>
      </c>
      <c r="BC585" t="s">
        <v>62</v>
      </c>
    </row>
    <row r="586" spans="1:55" x14ac:dyDescent="0.25">
      <c r="A586" s="1" t="str">
        <f>IF(COUNTIF(Catégories!A:A,X586)=0,"catégorie inconnue",_xlfn.XLOOKUP(X586,Catégories!A:A,Catégories!B:B))</f>
        <v>Frêt</v>
      </c>
      <c r="B586" s="1">
        <f t="shared" si="27"/>
        <v>6.6000000000000005</v>
      </c>
      <c r="C586" s="1">
        <f t="shared" si="28"/>
        <v>1.45</v>
      </c>
      <c r="D586" s="1">
        <f t="shared" si="29"/>
        <v>5.15</v>
      </c>
      <c r="E586" s="20">
        <f>IF(AH586&lt;&gt;0,ROUNDUP(AH586,0),IF(BB586&lt;&gt;"FR","hors France",IF(AH586&lt;&gt;0,ROUNDUP(AH586,0),_xlfn.XLOOKUP(AJ586,'PA GLS'!B:B,'PA GLS'!A:A))))</f>
        <v>1</v>
      </c>
      <c r="F586">
        <v>2501382993</v>
      </c>
      <c r="G586">
        <v>1030220043</v>
      </c>
      <c r="H586" t="s">
        <v>366</v>
      </c>
      <c r="I586">
        <v>2500034092</v>
      </c>
      <c r="J586" t="s">
        <v>50</v>
      </c>
      <c r="K586">
        <v>9000009190</v>
      </c>
      <c r="L586">
        <v>46946</v>
      </c>
      <c r="M586" t="s">
        <v>51</v>
      </c>
      <c r="N586">
        <v>9000079830</v>
      </c>
      <c r="O586" t="s">
        <v>187</v>
      </c>
      <c r="S586">
        <v>2507012387</v>
      </c>
      <c r="T586" t="s">
        <v>50</v>
      </c>
      <c r="U586" t="s">
        <v>122</v>
      </c>
      <c r="V586" t="s">
        <v>66</v>
      </c>
      <c r="W586" t="s">
        <v>67</v>
      </c>
      <c r="X586" t="s">
        <v>60</v>
      </c>
      <c r="Z586">
        <v>62</v>
      </c>
      <c r="AA586" t="s">
        <v>1378</v>
      </c>
      <c r="AB586" t="s">
        <v>1554</v>
      </c>
      <c r="AC586">
        <v>2604000141</v>
      </c>
      <c r="AE586">
        <v>0</v>
      </c>
      <c r="AF586">
        <v>0</v>
      </c>
      <c r="AG586">
        <v>0</v>
      </c>
      <c r="AH586">
        <v>0</v>
      </c>
      <c r="AI586" t="s">
        <v>56</v>
      </c>
      <c r="AJ586">
        <v>4.0999999999999996</v>
      </c>
      <c r="AK586">
        <v>0.9</v>
      </c>
      <c r="AL586">
        <v>0.15</v>
      </c>
      <c r="AM586">
        <v>29.1</v>
      </c>
      <c r="AN586">
        <v>1.45</v>
      </c>
      <c r="AO586">
        <v>0</v>
      </c>
      <c r="AP586">
        <v>0</v>
      </c>
      <c r="AQ586" t="s">
        <v>57</v>
      </c>
      <c r="AS586" t="s">
        <v>1555</v>
      </c>
      <c r="AT586" t="s">
        <v>1555</v>
      </c>
      <c r="AU586" t="s">
        <v>1554</v>
      </c>
      <c r="AV586" t="s">
        <v>1556</v>
      </c>
      <c r="AW586" t="s">
        <v>1557</v>
      </c>
      <c r="AZ586">
        <v>80000</v>
      </c>
      <c r="BA586" t="s">
        <v>295</v>
      </c>
      <c r="BB586" t="s">
        <v>61</v>
      </c>
      <c r="BC586" t="s">
        <v>62</v>
      </c>
    </row>
    <row r="587" spans="1:55" x14ac:dyDescent="0.25">
      <c r="A587" s="1" t="str">
        <f>IF(COUNTIF(Catégories!A:A,X587)=0,"catégorie inconnue",_xlfn.XLOOKUP(X587,Catégories!A:A,Catégories!B:B))</f>
        <v>Frêt</v>
      </c>
      <c r="B587" s="1">
        <f t="shared" si="27"/>
        <v>7.0100000000000007</v>
      </c>
      <c r="C587" s="1">
        <f t="shared" si="28"/>
        <v>1.54</v>
      </c>
      <c r="D587" s="1">
        <f t="shared" si="29"/>
        <v>5.4700000000000006</v>
      </c>
      <c r="E587" s="20">
        <f>IF(AH587&lt;&gt;0,ROUNDUP(AH587,0),IF(BB587&lt;&gt;"FR","hors France",IF(AH587&lt;&gt;0,ROUNDUP(AH587,0),_xlfn.XLOOKUP(AJ587,'PA GLS'!B:B,'PA GLS'!A:A))))</f>
        <v>2</v>
      </c>
      <c r="F587">
        <v>2501382993</v>
      </c>
      <c r="G587">
        <v>1030220043</v>
      </c>
      <c r="H587" t="s">
        <v>366</v>
      </c>
      <c r="I587">
        <v>2500034092</v>
      </c>
      <c r="J587" t="s">
        <v>50</v>
      </c>
      <c r="K587">
        <v>9000009190</v>
      </c>
      <c r="L587">
        <v>46946</v>
      </c>
      <c r="M587" t="s">
        <v>51</v>
      </c>
      <c r="N587">
        <v>9000079830</v>
      </c>
      <c r="O587" t="s">
        <v>187</v>
      </c>
      <c r="S587">
        <v>2507012387</v>
      </c>
      <c r="T587" t="s">
        <v>50</v>
      </c>
      <c r="U587" t="s">
        <v>122</v>
      </c>
      <c r="V587" t="s">
        <v>63</v>
      </c>
      <c r="W587" t="s">
        <v>64</v>
      </c>
      <c r="X587" t="s">
        <v>60</v>
      </c>
      <c r="Z587">
        <v>63</v>
      </c>
      <c r="AA587" t="s">
        <v>1378</v>
      </c>
      <c r="AB587" t="s">
        <v>1567</v>
      </c>
      <c r="AC587">
        <v>2604000144</v>
      </c>
      <c r="AE587">
        <v>0</v>
      </c>
      <c r="AF587">
        <v>0</v>
      </c>
      <c r="AG587">
        <v>0</v>
      </c>
      <c r="AH587">
        <v>0</v>
      </c>
      <c r="AI587" t="s">
        <v>56</v>
      </c>
      <c r="AJ587">
        <v>4.42</v>
      </c>
      <c r="AK587">
        <v>0.9</v>
      </c>
      <c r="AL587">
        <v>0.15</v>
      </c>
      <c r="AM587">
        <v>29.1</v>
      </c>
      <c r="AN587">
        <v>1.54</v>
      </c>
      <c r="AO587">
        <v>0</v>
      </c>
      <c r="AP587">
        <v>0</v>
      </c>
      <c r="AQ587" t="s">
        <v>57</v>
      </c>
      <c r="AS587" t="s">
        <v>1568</v>
      </c>
      <c r="AT587" t="s">
        <v>1568</v>
      </c>
      <c r="AU587" t="s">
        <v>1567</v>
      </c>
      <c r="AV587" t="s">
        <v>1569</v>
      </c>
      <c r="AW587" t="s">
        <v>1570</v>
      </c>
      <c r="AZ587">
        <v>57700</v>
      </c>
      <c r="BA587" t="s">
        <v>1571</v>
      </c>
      <c r="BB587" t="s">
        <v>61</v>
      </c>
      <c r="BC587" t="s">
        <v>62</v>
      </c>
    </row>
    <row r="588" spans="1:55" x14ac:dyDescent="0.25">
      <c r="A588" s="1" t="str">
        <f>IF(COUNTIF(Catégories!A:A,X588)=0,"catégorie inconnue",_xlfn.XLOOKUP(X588,Catégories!A:A,Catégories!B:B))</f>
        <v>Frêt</v>
      </c>
      <c r="B588" s="1">
        <f t="shared" si="27"/>
        <v>7.0100000000000007</v>
      </c>
      <c r="C588" s="1">
        <f t="shared" si="28"/>
        <v>1.54</v>
      </c>
      <c r="D588" s="1">
        <f t="shared" si="29"/>
        <v>5.4700000000000006</v>
      </c>
      <c r="E588" s="20">
        <f>IF(AH588&lt;&gt;0,ROUNDUP(AH588,0),IF(BB588&lt;&gt;"FR","hors France",IF(AH588&lt;&gt;0,ROUNDUP(AH588,0),_xlfn.XLOOKUP(AJ588,'PA GLS'!B:B,'PA GLS'!A:A))))</f>
        <v>2</v>
      </c>
      <c r="F588">
        <v>2501382993</v>
      </c>
      <c r="G588">
        <v>1030220043</v>
      </c>
      <c r="H588" t="s">
        <v>366</v>
      </c>
      <c r="I588">
        <v>2500034092</v>
      </c>
      <c r="J588" t="s">
        <v>50</v>
      </c>
      <c r="K588">
        <v>9000009190</v>
      </c>
      <c r="L588">
        <v>46946</v>
      </c>
      <c r="M588" t="s">
        <v>51</v>
      </c>
      <c r="N588">
        <v>9000079830</v>
      </c>
      <c r="O588" t="s">
        <v>187</v>
      </c>
      <c r="S588">
        <v>2507012387</v>
      </c>
      <c r="T588" t="s">
        <v>50</v>
      </c>
      <c r="U588" t="s">
        <v>122</v>
      </c>
      <c r="V588" t="s">
        <v>63</v>
      </c>
      <c r="W588" t="s">
        <v>64</v>
      </c>
      <c r="X588" t="s">
        <v>60</v>
      </c>
      <c r="Z588">
        <v>63</v>
      </c>
      <c r="AA588" t="s">
        <v>1378</v>
      </c>
      <c r="AB588" t="s">
        <v>1562</v>
      </c>
      <c r="AC588">
        <v>2604000143</v>
      </c>
      <c r="AE588">
        <v>0</v>
      </c>
      <c r="AF588">
        <v>0</v>
      </c>
      <c r="AG588">
        <v>0</v>
      </c>
      <c r="AH588">
        <v>0</v>
      </c>
      <c r="AI588" t="s">
        <v>56</v>
      </c>
      <c r="AJ588">
        <v>4.42</v>
      </c>
      <c r="AK588">
        <v>0.9</v>
      </c>
      <c r="AL588">
        <v>0.15</v>
      </c>
      <c r="AM588">
        <v>29.1</v>
      </c>
      <c r="AN588">
        <v>1.54</v>
      </c>
      <c r="AO588">
        <v>0</v>
      </c>
      <c r="AP588">
        <v>0</v>
      </c>
      <c r="AQ588" t="s">
        <v>57</v>
      </c>
      <c r="AS588" t="s">
        <v>1563</v>
      </c>
      <c r="AT588" t="s">
        <v>1563</v>
      </c>
      <c r="AU588" t="s">
        <v>1562</v>
      </c>
      <c r="AV588" t="s">
        <v>1564</v>
      </c>
      <c r="AW588" t="s">
        <v>1565</v>
      </c>
      <c r="AZ588">
        <v>29600</v>
      </c>
      <c r="BA588" t="s">
        <v>1566</v>
      </c>
      <c r="BB588" t="s">
        <v>61</v>
      </c>
      <c r="BC588" t="s">
        <v>62</v>
      </c>
    </row>
    <row r="589" spans="1:55" x14ac:dyDescent="0.25">
      <c r="A589" s="1" t="str">
        <f>IF(COUNTIF(Catégories!A:A,X589)=0,"catégorie inconnue",_xlfn.XLOOKUP(X589,Catégories!A:A,Catégories!B:B))</f>
        <v>Frêt</v>
      </c>
      <c r="B589" s="1">
        <f t="shared" si="27"/>
        <v>7.0100000000000007</v>
      </c>
      <c r="C589" s="1">
        <f t="shared" si="28"/>
        <v>1.54</v>
      </c>
      <c r="D589" s="1">
        <f t="shared" si="29"/>
        <v>5.4700000000000006</v>
      </c>
      <c r="E589" s="20">
        <f>IF(AH589&lt;&gt;0,ROUNDUP(AH589,0),IF(BB589&lt;&gt;"FR","hors France",IF(AH589&lt;&gt;0,ROUNDUP(AH589,0),_xlfn.XLOOKUP(AJ589,'PA GLS'!B:B,'PA GLS'!A:A))))</f>
        <v>2</v>
      </c>
      <c r="F589">
        <v>2501382993</v>
      </c>
      <c r="G589">
        <v>1030220043</v>
      </c>
      <c r="H589" t="s">
        <v>366</v>
      </c>
      <c r="I589">
        <v>2500034092</v>
      </c>
      <c r="J589" t="s">
        <v>50</v>
      </c>
      <c r="K589">
        <v>9000009190</v>
      </c>
      <c r="L589">
        <v>46946</v>
      </c>
      <c r="M589" t="s">
        <v>51</v>
      </c>
      <c r="N589">
        <v>9000079830</v>
      </c>
      <c r="O589" t="s">
        <v>187</v>
      </c>
      <c r="S589">
        <v>2507012387</v>
      </c>
      <c r="T589" t="s">
        <v>50</v>
      </c>
      <c r="U589" t="s">
        <v>122</v>
      </c>
      <c r="V589" t="s">
        <v>63</v>
      </c>
      <c r="W589" t="s">
        <v>64</v>
      </c>
      <c r="X589" t="s">
        <v>60</v>
      </c>
      <c r="Z589">
        <v>63</v>
      </c>
      <c r="AA589" t="s">
        <v>1378</v>
      </c>
      <c r="AB589" t="s">
        <v>1558</v>
      </c>
      <c r="AC589">
        <v>2604000142</v>
      </c>
      <c r="AE589">
        <v>0</v>
      </c>
      <c r="AF589">
        <v>0</v>
      </c>
      <c r="AG589">
        <v>0</v>
      </c>
      <c r="AH589">
        <v>0</v>
      </c>
      <c r="AI589" t="s">
        <v>56</v>
      </c>
      <c r="AJ589">
        <v>4.42</v>
      </c>
      <c r="AK589">
        <v>0.9</v>
      </c>
      <c r="AL589">
        <v>0.15</v>
      </c>
      <c r="AM589">
        <v>29.1</v>
      </c>
      <c r="AN589">
        <v>1.54</v>
      </c>
      <c r="AO589">
        <v>0</v>
      </c>
      <c r="AP589">
        <v>0</v>
      </c>
      <c r="AQ589" t="s">
        <v>57</v>
      </c>
      <c r="AS589" t="s">
        <v>1559</v>
      </c>
      <c r="AT589" t="s">
        <v>1559</v>
      </c>
      <c r="AU589" t="s">
        <v>1558</v>
      </c>
      <c r="AV589" t="s">
        <v>1560</v>
      </c>
      <c r="AW589" t="s">
        <v>1561</v>
      </c>
      <c r="AZ589">
        <v>14000</v>
      </c>
      <c r="BA589" t="s">
        <v>854</v>
      </c>
      <c r="BB589" t="s">
        <v>61</v>
      </c>
      <c r="BC589" t="s">
        <v>62</v>
      </c>
    </row>
    <row r="590" spans="1:55" x14ac:dyDescent="0.25">
      <c r="A590" s="1" t="str">
        <f>IF(COUNTIF(Catégories!A:A,X590)=0,"catégorie inconnue",_xlfn.XLOOKUP(X590,Catégories!A:A,Catégories!B:B))</f>
        <v>Frêt</v>
      </c>
      <c r="B590" s="1">
        <f t="shared" si="27"/>
        <v>7.0100000000000007</v>
      </c>
      <c r="C590" s="1">
        <f t="shared" si="28"/>
        <v>1.54</v>
      </c>
      <c r="D590" s="1">
        <f t="shared" si="29"/>
        <v>5.4700000000000006</v>
      </c>
      <c r="E590" s="20">
        <f>IF(AH590&lt;&gt;0,ROUNDUP(AH590,0),IF(BB590&lt;&gt;"FR","hors France",IF(AH590&lt;&gt;0,ROUNDUP(AH590,0),_xlfn.XLOOKUP(AJ590,'PA GLS'!B:B,'PA GLS'!A:A))))</f>
        <v>2</v>
      </c>
      <c r="F590">
        <v>2501382993</v>
      </c>
      <c r="G590">
        <v>1030220043</v>
      </c>
      <c r="H590" t="s">
        <v>366</v>
      </c>
      <c r="I590">
        <v>2500034092</v>
      </c>
      <c r="J590" t="s">
        <v>50</v>
      </c>
      <c r="K590">
        <v>9000009190</v>
      </c>
      <c r="L590">
        <v>46946</v>
      </c>
      <c r="M590" t="s">
        <v>51</v>
      </c>
      <c r="N590">
        <v>9000079830</v>
      </c>
      <c r="O590" t="s">
        <v>187</v>
      </c>
      <c r="S590">
        <v>2507012387</v>
      </c>
      <c r="T590" t="s">
        <v>50</v>
      </c>
      <c r="U590" t="s">
        <v>122</v>
      </c>
      <c r="V590" t="s">
        <v>63</v>
      </c>
      <c r="W590" t="s">
        <v>64</v>
      </c>
      <c r="X590" t="s">
        <v>60</v>
      </c>
      <c r="Z590">
        <v>63</v>
      </c>
      <c r="AA590" t="s">
        <v>1378</v>
      </c>
      <c r="AB590" t="s">
        <v>1549</v>
      </c>
      <c r="AC590">
        <v>2604000140</v>
      </c>
      <c r="AE590">
        <v>0</v>
      </c>
      <c r="AF590">
        <v>0</v>
      </c>
      <c r="AG590">
        <v>0</v>
      </c>
      <c r="AH590">
        <v>0</v>
      </c>
      <c r="AI590" t="s">
        <v>56</v>
      </c>
      <c r="AJ590">
        <v>4.42</v>
      </c>
      <c r="AK590">
        <v>0.9</v>
      </c>
      <c r="AL590">
        <v>0.15</v>
      </c>
      <c r="AM590">
        <v>29.1</v>
      </c>
      <c r="AN590">
        <v>1.54</v>
      </c>
      <c r="AO590">
        <v>0</v>
      </c>
      <c r="AP590">
        <v>0</v>
      </c>
      <c r="AQ590" t="s">
        <v>57</v>
      </c>
      <c r="AS590" t="s">
        <v>1550</v>
      </c>
      <c r="AT590" t="s">
        <v>1550</v>
      </c>
      <c r="AU590" t="s">
        <v>1549</v>
      </c>
      <c r="AV590" t="s">
        <v>1551</v>
      </c>
      <c r="AW590" t="s">
        <v>1552</v>
      </c>
      <c r="AZ590">
        <v>16210</v>
      </c>
      <c r="BA590" t="s">
        <v>1553</v>
      </c>
      <c r="BB590" t="s">
        <v>61</v>
      </c>
      <c r="BC590" t="s">
        <v>62</v>
      </c>
    </row>
    <row r="591" spans="1:55" x14ac:dyDescent="0.25">
      <c r="A591" s="1" t="str">
        <f>IF(COUNTIF(Catégories!A:A,X591)=0,"catégorie inconnue",_xlfn.XLOOKUP(X591,Catégories!A:A,Catégories!B:B))</f>
        <v>Frêt</v>
      </c>
      <c r="B591" s="1">
        <f t="shared" si="27"/>
        <v>6.6000000000000005</v>
      </c>
      <c r="C591" s="1">
        <f t="shared" si="28"/>
        <v>1.45</v>
      </c>
      <c r="D591" s="1">
        <f t="shared" si="29"/>
        <v>5.15</v>
      </c>
      <c r="E591" s="20">
        <f>IF(AH591&lt;&gt;0,ROUNDUP(AH591,0),IF(BB591&lt;&gt;"FR","hors France",IF(AH591&lt;&gt;0,ROUNDUP(AH591,0),_xlfn.XLOOKUP(AJ591,'PA GLS'!B:B,'PA GLS'!A:A))))</f>
        <v>1</v>
      </c>
      <c r="F591">
        <v>2501382993</v>
      </c>
      <c r="G591">
        <v>1030220043</v>
      </c>
      <c r="H591" t="s">
        <v>366</v>
      </c>
      <c r="I591">
        <v>2500034092</v>
      </c>
      <c r="J591" t="s">
        <v>50</v>
      </c>
      <c r="K591">
        <v>9000009190</v>
      </c>
      <c r="L591">
        <v>46946</v>
      </c>
      <c r="M591" t="s">
        <v>51</v>
      </c>
      <c r="N591">
        <v>9000079830</v>
      </c>
      <c r="O591" t="s">
        <v>187</v>
      </c>
      <c r="S591">
        <v>2507012387</v>
      </c>
      <c r="T591" t="s">
        <v>50</v>
      </c>
      <c r="U591" t="s">
        <v>122</v>
      </c>
      <c r="V591" t="s">
        <v>66</v>
      </c>
      <c r="W591" t="s">
        <v>67</v>
      </c>
      <c r="X591" t="s">
        <v>60</v>
      </c>
      <c r="Z591">
        <v>62</v>
      </c>
      <c r="AA591" t="s">
        <v>1378</v>
      </c>
      <c r="AB591" t="s">
        <v>1509</v>
      </c>
      <c r="AC591">
        <v>2604000180</v>
      </c>
      <c r="AE591">
        <v>0</v>
      </c>
      <c r="AF591">
        <v>0</v>
      </c>
      <c r="AG591">
        <v>0</v>
      </c>
      <c r="AH591">
        <v>0</v>
      </c>
      <c r="AI591" t="s">
        <v>56</v>
      </c>
      <c r="AJ591">
        <v>4.0999999999999996</v>
      </c>
      <c r="AK591">
        <v>0.9</v>
      </c>
      <c r="AL591">
        <v>0.15</v>
      </c>
      <c r="AM591">
        <v>29.1</v>
      </c>
      <c r="AN591">
        <v>1.45</v>
      </c>
      <c r="AO591">
        <v>0</v>
      </c>
      <c r="AP591">
        <v>0</v>
      </c>
      <c r="AQ591" t="s">
        <v>57</v>
      </c>
      <c r="AS591" t="s">
        <v>1510</v>
      </c>
      <c r="AT591" t="s">
        <v>1510</v>
      </c>
      <c r="AU591" t="s">
        <v>1509</v>
      </c>
      <c r="AV591" t="s">
        <v>1511</v>
      </c>
      <c r="AW591" t="s">
        <v>1512</v>
      </c>
      <c r="AZ591">
        <v>94160</v>
      </c>
      <c r="BA591" t="s">
        <v>1513</v>
      </c>
      <c r="BB591" t="s">
        <v>61</v>
      </c>
      <c r="BC591" t="s">
        <v>62</v>
      </c>
    </row>
    <row r="592" spans="1:55" x14ac:dyDescent="0.25">
      <c r="A592" s="1" t="str">
        <f>IF(COUNTIF(Catégories!A:A,X592)=0,"catégorie inconnue",_xlfn.XLOOKUP(X592,Catégories!A:A,Catégories!B:B))</f>
        <v>Frêt</v>
      </c>
      <c r="B592" s="1">
        <f t="shared" si="27"/>
        <v>6.6000000000000005</v>
      </c>
      <c r="C592" s="1">
        <f t="shared" si="28"/>
        <v>1.45</v>
      </c>
      <c r="D592" s="1">
        <f t="shared" si="29"/>
        <v>5.15</v>
      </c>
      <c r="E592" s="20">
        <f>IF(AH592&lt;&gt;0,ROUNDUP(AH592,0),IF(BB592&lt;&gt;"FR","hors France",IF(AH592&lt;&gt;0,ROUNDUP(AH592,0),_xlfn.XLOOKUP(AJ592,'PA GLS'!B:B,'PA GLS'!A:A))))</f>
        <v>1</v>
      </c>
      <c r="F592">
        <v>2501382993</v>
      </c>
      <c r="G592">
        <v>1030220043</v>
      </c>
      <c r="H592" t="s">
        <v>366</v>
      </c>
      <c r="I592">
        <v>2500034092</v>
      </c>
      <c r="J592" t="s">
        <v>50</v>
      </c>
      <c r="K592">
        <v>9000009190</v>
      </c>
      <c r="L592">
        <v>46946</v>
      </c>
      <c r="M592" t="s">
        <v>51</v>
      </c>
      <c r="N592">
        <v>9000079830</v>
      </c>
      <c r="O592" t="s">
        <v>187</v>
      </c>
      <c r="S592">
        <v>2507012387</v>
      </c>
      <c r="T592" t="s">
        <v>50</v>
      </c>
      <c r="U592" t="s">
        <v>122</v>
      </c>
      <c r="V592" t="s">
        <v>66</v>
      </c>
      <c r="W592" t="s">
        <v>67</v>
      </c>
      <c r="X592" t="s">
        <v>60</v>
      </c>
      <c r="Z592">
        <v>62</v>
      </c>
      <c r="AA592" t="s">
        <v>1378</v>
      </c>
      <c r="AB592" t="s">
        <v>1500</v>
      </c>
      <c r="AC592">
        <v>2604000178</v>
      </c>
      <c r="AE592">
        <v>0</v>
      </c>
      <c r="AF592">
        <v>0</v>
      </c>
      <c r="AG592">
        <v>0</v>
      </c>
      <c r="AH592">
        <v>0</v>
      </c>
      <c r="AI592" t="s">
        <v>56</v>
      </c>
      <c r="AJ592">
        <v>4.0999999999999996</v>
      </c>
      <c r="AK592">
        <v>0.9</v>
      </c>
      <c r="AL592">
        <v>0.15</v>
      </c>
      <c r="AM592">
        <v>29.1</v>
      </c>
      <c r="AN592">
        <v>1.45</v>
      </c>
      <c r="AO592">
        <v>0</v>
      </c>
      <c r="AP592">
        <v>0</v>
      </c>
      <c r="AQ592" t="s">
        <v>57</v>
      </c>
      <c r="AS592" t="s">
        <v>1501</v>
      </c>
      <c r="AT592" t="s">
        <v>1501</v>
      </c>
      <c r="AU592" t="s">
        <v>1500</v>
      </c>
      <c r="AV592" t="s">
        <v>1502</v>
      </c>
      <c r="AW592" t="s">
        <v>1503</v>
      </c>
      <c r="AZ592">
        <v>44120</v>
      </c>
      <c r="BA592" t="s">
        <v>403</v>
      </c>
      <c r="BB592" t="s">
        <v>61</v>
      </c>
      <c r="BC592" t="s">
        <v>62</v>
      </c>
    </row>
    <row r="593" spans="1:55" x14ac:dyDescent="0.25">
      <c r="A593" s="1" t="str">
        <f>IF(COUNTIF(Catégories!A:A,X593)=0,"catégorie inconnue",_xlfn.XLOOKUP(X593,Catégories!A:A,Catégories!B:B))</f>
        <v>Frêt</v>
      </c>
      <c r="B593" s="1">
        <f t="shared" si="27"/>
        <v>6.6000000000000005</v>
      </c>
      <c r="C593" s="1">
        <f t="shared" si="28"/>
        <v>1.45</v>
      </c>
      <c r="D593" s="1">
        <f t="shared" si="29"/>
        <v>5.15</v>
      </c>
      <c r="E593" s="20">
        <f>IF(AH593&lt;&gt;0,ROUNDUP(AH593,0),IF(BB593&lt;&gt;"FR","hors France",IF(AH593&lt;&gt;0,ROUNDUP(AH593,0),_xlfn.XLOOKUP(AJ593,'PA GLS'!B:B,'PA GLS'!A:A))))</f>
        <v>1</v>
      </c>
      <c r="F593">
        <v>2501382993</v>
      </c>
      <c r="G593">
        <v>1030220043</v>
      </c>
      <c r="H593" t="s">
        <v>366</v>
      </c>
      <c r="I593">
        <v>2500034092</v>
      </c>
      <c r="J593" t="s">
        <v>50</v>
      </c>
      <c r="K593">
        <v>9000009190</v>
      </c>
      <c r="L593">
        <v>46946</v>
      </c>
      <c r="M593" t="s">
        <v>51</v>
      </c>
      <c r="N593">
        <v>9000079830</v>
      </c>
      <c r="O593" t="s">
        <v>187</v>
      </c>
      <c r="S593">
        <v>2507012387</v>
      </c>
      <c r="T593" t="s">
        <v>50</v>
      </c>
      <c r="U593" t="s">
        <v>122</v>
      </c>
      <c r="V593" t="s">
        <v>66</v>
      </c>
      <c r="W593" t="s">
        <v>67</v>
      </c>
      <c r="X593" t="s">
        <v>60</v>
      </c>
      <c r="Z593">
        <v>62</v>
      </c>
      <c r="AA593" t="s">
        <v>1378</v>
      </c>
      <c r="AB593" t="s">
        <v>1492</v>
      </c>
      <c r="AC593">
        <v>2604000176</v>
      </c>
      <c r="AE593">
        <v>0</v>
      </c>
      <c r="AF593">
        <v>0</v>
      </c>
      <c r="AG593">
        <v>0</v>
      </c>
      <c r="AH593">
        <v>0</v>
      </c>
      <c r="AI593" t="s">
        <v>56</v>
      </c>
      <c r="AJ593">
        <v>4.0999999999999996</v>
      </c>
      <c r="AK593">
        <v>0.9</v>
      </c>
      <c r="AL593">
        <v>0.15</v>
      </c>
      <c r="AM593">
        <v>29.1</v>
      </c>
      <c r="AN593">
        <v>1.45</v>
      </c>
      <c r="AO593">
        <v>0</v>
      </c>
      <c r="AP593">
        <v>0</v>
      </c>
      <c r="AQ593" t="s">
        <v>57</v>
      </c>
      <c r="AS593" t="s">
        <v>1493</v>
      </c>
      <c r="AT593" t="s">
        <v>1493</v>
      </c>
      <c r="AU593" t="s">
        <v>1492</v>
      </c>
      <c r="AV593" t="s">
        <v>1494</v>
      </c>
      <c r="AW593" t="s">
        <v>1495</v>
      </c>
      <c r="AZ593">
        <v>34000</v>
      </c>
      <c r="BA593" t="s">
        <v>230</v>
      </c>
      <c r="BB593" t="s">
        <v>61</v>
      </c>
      <c r="BC593" t="s">
        <v>62</v>
      </c>
    </row>
    <row r="594" spans="1:55" x14ac:dyDescent="0.25">
      <c r="A594" s="1" t="str">
        <f>IF(COUNTIF(Catégories!A:A,X594)=0,"catégorie inconnue",_xlfn.XLOOKUP(X594,Catégories!A:A,Catégories!B:B))</f>
        <v>Frêt</v>
      </c>
      <c r="B594" s="1">
        <f t="shared" si="27"/>
        <v>6.6000000000000005</v>
      </c>
      <c r="C594" s="1">
        <f t="shared" si="28"/>
        <v>1.45</v>
      </c>
      <c r="D594" s="1">
        <f t="shared" si="29"/>
        <v>5.15</v>
      </c>
      <c r="E594" s="20">
        <f>IF(AH594&lt;&gt;0,ROUNDUP(AH594,0),IF(BB594&lt;&gt;"FR","hors France",IF(AH594&lt;&gt;0,ROUNDUP(AH594,0),_xlfn.XLOOKUP(AJ594,'PA GLS'!B:B,'PA GLS'!A:A))))</f>
        <v>1</v>
      </c>
      <c r="F594">
        <v>2501382993</v>
      </c>
      <c r="G594">
        <v>1030220043</v>
      </c>
      <c r="H594" t="s">
        <v>366</v>
      </c>
      <c r="I594">
        <v>2500034092</v>
      </c>
      <c r="J594" t="s">
        <v>50</v>
      </c>
      <c r="K594">
        <v>9000009190</v>
      </c>
      <c r="L594">
        <v>46946</v>
      </c>
      <c r="M594" t="s">
        <v>51</v>
      </c>
      <c r="N594">
        <v>9000079830</v>
      </c>
      <c r="O594" t="s">
        <v>187</v>
      </c>
      <c r="S594">
        <v>2507012387</v>
      </c>
      <c r="T594" t="s">
        <v>50</v>
      </c>
      <c r="U594" t="s">
        <v>122</v>
      </c>
      <c r="V594" t="s">
        <v>66</v>
      </c>
      <c r="W594" t="s">
        <v>67</v>
      </c>
      <c r="X594" t="s">
        <v>60</v>
      </c>
      <c r="Z594">
        <v>62</v>
      </c>
      <c r="AA594" t="s">
        <v>1378</v>
      </c>
      <c r="AB594" t="s">
        <v>1443</v>
      </c>
      <c r="AC594">
        <v>2604000165</v>
      </c>
      <c r="AE594">
        <v>0</v>
      </c>
      <c r="AF594">
        <v>0</v>
      </c>
      <c r="AG594">
        <v>0</v>
      </c>
      <c r="AH594">
        <v>0</v>
      </c>
      <c r="AI594" t="s">
        <v>56</v>
      </c>
      <c r="AJ594">
        <v>4.0999999999999996</v>
      </c>
      <c r="AK594">
        <v>0.9</v>
      </c>
      <c r="AL594">
        <v>0.15</v>
      </c>
      <c r="AM594">
        <v>29.1</v>
      </c>
      <c r="AN594">
        <v>1.45</v>
      </c>
      <c r="AO594">
        <v>0</v>
      </c>
      <c r="AP594">
        <v>0</v>
      </c>
      <c r="AQ594" t="s">
        <v>57</v>
      </c>
      <c r="AS594" t="s">
        <v>1444</v>
      </c>
      <c r="AT594" t="s">
        <v>1444</v>
      </c>
      <c r="AU594" t="s">
        <v>1443</v>
      </c>
      <c r="AV594" t="s">
        <v>1445</v>
      </c>
      <c r="AW594" t="s">
        <v>1446</v>
      </c>
      <c r="AZ594">
        <v>33000</v>
      </c>
      <c r="BA594" t="s">
        <v>228</v>
      </c>
      <c r="BB594" t="s">
        <v>61</v>
      </c>
      <c r="BC594" t="s">
        <v>62</v>
      </c>
    </row>
    <row r="595" spans="1:55" x14ac:dyDescent="0.25">
      <c r="A595" s="1" t="str">
        <f>IF(COUNTIF(Catégories!A:A,X595)=0,"catégorie inconnue",_xlfn.XLOOKUP(X595,Catégories!A:A,Catégories!B:B))</f>
        <v>Frêt</v>
      </c>
      <c r="B595" s="1">
        <f t="shared" si="27"/>
        <v>6.6000000000000005</v>
      </c>
      <c r="C595" s="1">
        <f t="shared" si="28"/>
        <v>1.45</v>
      </c>
      <c r="D595" s="1">
        <f t="shared" si="29"/>
        <v>5.15</v>
      </c>
      <c r="E595" s="20">
        <f>IF(AH595&lt;&gt;0,ROUNDUP(AH595,0),IF(BB595&lt;&gt;"FR","hors France",IF(AH595&lt;&gt;0,ROUNDUP(AH595,0),_xlfn.XLOOKUP(AJ595,'PA GLS'!B:B,'PA GLS'!A:A))))</f>
        <v>1</v>
      </c>
      <c r="F595">
        <v>2501382993</v>
      </c>
      <c r="G595">
        <v>1030220043</v>
      </c>
      <c r="H595" t="s">
        <v>366</v>
      </c>
      <c r="I595">
        <v>2500034092</v>
      </c>
      <c r="J595" t="s">
        <v>50</v>
      </c>
      <c r="K595">
        <v>9000009190</v>
      </c>
      <c r="L595">
        <v>46946</v>
      </c>
      <c r="M595" t="s">
        <v>51</v>
      </c>
      <c r="N595">
        <v>9000079830</v>
      </c>
      <c r="O595" t="s">
        <v>187</v>
      </c>
      <c r="S595">
        <v>2507012387</v>
      </c>
      <c r="T595" t="s">
        <v>50</v>
      </c>
      <c r="U595" t="s">
        <v>122</v>
      </c>
      <c r="V595" t="s">
        <v>66</v>
      </c>
      <c r="W595" t="s">
        <v>67</v>
      </c>
      <c r="X595" t="s">
        <v>60</v>
      </c>
      <c r="Z595">
        <v>62</v>
      </c>
      <c r="AA595" t="s">
        <v>1378</v>
      </c>
      <c r="AB595" t="s">
        <v>1425</v>
      </c>
      <c r="AC595">
        <v>2604000161</v>
      </c>
      <c r="AE595">
        <v>0</v>
      </c>
      <c r="AF595">
        <v>0</v>
      </c>
      <c r="AG595">
        <v>0</v>
      </c>
      <c r="AH595">
        <v>0</v>
      </c>
      <c r="AI595" t="s">
        <v>56</v>
      </c>
      <c r="AJ595">
        <v>4.0999999999999996</v>
      </c>
      <c r="AK595">
        <v>0.9</v>
      </c>
      <c r="AL595">
        <v>0.15</v>
      </c>
      <c r="AM595">
        <v>29.1</v>
      </c>
      <c r="AN595">
        <v>1.45</v>
      </c>
      <c r="AO595">
        <v>0</v>
      </c>
      <c r="AP595">
        <v>0</v>
      </c>
      <c r="AQ595" t="s">
        <v>57</v>
      </c>
      <c r="AS595" t="s">
        <v>1426</v>
      </c>
      <c r="AT595" t="s">
        <v>1426</v>
      </c>
      <c r="AU595" t="s">
        <v>1425</v>
      </c>
      <c r="AV595" t="s">
        <v>1427</v>
      </c>
      <c r="AW595" t="s">
        <v>1428</v>
      </c>
      <c r="AZ595">
        <v>71100</v>
      </c>
      <c r="BA595" t="s">
        <v>310</v>
      </c>
      <c r="BB595" t="s">
        <v>61</v>
      </c>
      <c r="BC595" t="s">
        <v>62</v>
      </c>
    </row>
    <row r="596" spans="1:55" x14ac:dyDescent="0.25">
      <c r="A596" s="1" t="str">
        <f>IF(COUNTIF(Catégories!A:A,X596)=0,"catégorie inconnue",_xlfn.XLOOKUP(X596,Catégories!A:A,Catégories!B:B))</f>
        <v>Frêt</v>
      </c>
      <c r="B596" s="1">
        <f t="shared" si="27"/>
        <v>6.6000000000000005</v>
      </c>
      <c r="C596" s="1">
        <f t="shared" si="28"/>
        <v>1.45</v>
      </c>
      <c r="D596" s="1">
        <f t="shared" si="29"/>
        <v>5.15</v>
      </c>
      <c r="E596" s="20">
        <f>IF(AH596&lt;&gt;0,ROUNDUP(AH596,0),IF(BB596&lt;&gt;"FR","hors France",IF(AH596&lt;&gt;0,ROUNDUP(AH596,0),_xlfn.XLOOKUP(AJ596,'PA GLS'!B:B,'PA GLS'!A:A))))</f>
        <v>1</v>
      </c>
      <c r="F596">
        <v>2501382993</v>
      </c>
      <c r="G596">
        <v>1030220043</v>
      </c>
      <c r="H596" t="s">
        <v>366</v>
      </c>
      <c r="I596">
        <v>2500034092</v>
      </c>
      <c r="J596" t="s">
        <v>50</v>
      </c>
      <c r="K596">
        <v>9000009190</v>
      </c>
      <c r="L596">
        <v>46946</v>
      </c>
      <c r="M596" t="s">
        <v>51</v>
      </c>
      <c r="N596">
        <v>9000079830</v>
      </c>
      <c r="O596" t="s">
        <v>187</v>
      </c>
      <c r="S596">
        <v>2507012387</v>
      </c>
      <c r="T596" t="s">
        <v>50</v>
      </c>
      <c r="U596" t="s">
        <v>122</v>
      </c>
      <c r="V596" t="s">
        <v>66</v>
      </c>
      <c r="W596" t="s">
        <v>67</v>
      </c>
      <c r="X596" t="s">
        <v>60</v>
      </c>
      <c r="Z596">
        <v>62</v>
      </c>
      <c r="AA596" t="s">
        <v>1378</v>
      </c>
      <c r="AB596" t="s">
        <v>1626</v>
      </c>
      <c r="AC596">
        <v>2604000157</v>
      </c>
      <c r="AE596">
        <v>0</v>
      </c>
      <c r="AF596">
        <v>0</v>
      </c>
      <c r="AG596">
        <v>0</v>
      </c>
      <c r="AH596">
        <v>0</v>
      </c>
      <c r="AI596" t="s">
        <v>56</v>
      </c>
      <c r="AJ596">
        <v>4.0999999999999996</v>
      </c>
      <c r="AK596">
        <v>0.9</v>
      </c>
      <c r="AL596">
        <v>0.15</v>
      </c>
      <c r="AM596">
        <v>29.1</v>
      </c>
      <c r="AN596">
        <v>1.45</v>
      </c>
      <c r="AO596">
        <v>0</v>
      </c>
      <c r="AP596">
        <v>0</v>
      </c>
      <c r="AQ596" t="s">
        <v>57</v>
      </c>
      <c r="AS596" t="s">
        <v>1627</v>
      </c>
      <c r="AT596" t="s">
        <v>1627</v>
      </c>
      <c r="AU596" t="s">
        <v>1626</v>
      </c>
      <c r="AV596" t="s">
        <v>1628</v>
      </c>
      <c r="AW596" t="s">
        <v>1629</v>
      </c>
      <c r="AZ596">
        <v>33700</v>
      </c>
      <c r="BA596" t="s">
        <v>324</v>
      </c>
      <c r="BB596" t="s">
        <v>61</v>
      </c>
      <c r="BC596" t="s">
        <v>62</v>
      </c>
    </row>
    <row r="597" spans="1:55" x14ac:dyDescent="0.25">
      <c r="A597" s="1" t="str">
        <f>IF(COUNTIF(Catégories!A:A,X597)=0,"catégorie inconnue",_xlfn.XLOOKUP(X597,Catégories!A:A,Catégories!B:B))</f>
        <v>Frêt</v>
      </c>
      <c r="B597" s="1">
        <f t="shared" si="27"/>
        <v>6.6000000000000005</v>
      </c>
      <c r="C597" s="1">
        <f t="shared" si="28"/>
        <v>1.45</v>
      </c>
      <c r="D597" s="1">
        <f t="shared" si="29"/>
        <v>5.15</v>
      </c>
      <c r="E597" s="20">
        <f>IF(AH597&lt;&gt;0,ROUNDUP(AH597,0),IF(BB597&lt;&gt;"FR","hors France",IF(AH597&lt;&gt;0,ROUNDUP(AH597,0),_xlfn.XLOOKUP(AJ597,'PA GLS'!B:B,'PA GLS'!A:A))))</f>
        <v>1</v>
      </c>
      <c r="F597">
        <v>2501382993</v>
      </c>
      <c r="G597">
        <v>1030220043</v>
      </c>
      <c r="H597" t="s">
        <v>366</v>
      </c>
      <c r="I597">
        <v>2500034092</v>
      </c>
      <c r="J597" t="s">
        <v>50</v>
      </c>
      <c r="K597">
        <v>9000009190</v>
      </c>
      <c r="L597">
        <v>46946</v>
      </c>
      <c r="M597" t="s">
        <v>51</v>
      </c>
      <c r="N597">
        <v>9000079830</v>
      </c>
      <c r="O597" t="s">
        <v>187</v>
      </c>
      <c r="S597">
        <v>2507012387</v>
      </c>
      <c r="T597" t="s">
        <v>50</v>
      </c>
      <c r="U597" t="s">
        <v>122</v>
      </c>
      <c r="V597" t="s">
        <v>66</v>
      </c>
      <c r="W597" t="s">
        <v>67</v>
      </c>
      <c r="X597" t="s">
        <v>60</v>
      </c>
      <c r="Z597">
        <v>62</v>
      </c>
      <c r="AA597" t="s">
        <v>1378</v>
      </c>
      <c r="AB597" t="s">
        <v>1621</v>
      </c>
      <c r="AC597">
        <v>2604000156</v>
      </c>
      <c r="AE597">
        <v>0</v>
      </c>
      <c r="AF597">
        <v>0</v>
      </c>
      <c r="AG597">
        <v>0</v>
      </c>
      <c r="AH597">
        <v>0</v>
      </c>
      <c r="AI597" t="s">
        <v>56</v>
      </c>
      <c r="AJ597">
        <v>4.0999999999999996</v>
      </c>
      <c r="AK597">
        <v>0.9</v>
      </c>
      <c r="AL597">
        <v>0.15</v>
      </c>
      <c r="AM597">
        <v>29.1</v>
      </c>
      <c r="AN597">
        <v>1.45</v>
      </c>
      <c r="AO597">
        <v>0</v>
      </c>
      <c r="AP597">
        <v>0</v>
      </c>
      <c r="AQ597" t="s">
        <v>57</v>
      </c>
      <c r="AS597" t="s">
        <v>1622</v>
      </c>
      <c r="AT597" t="s">
        <v>1622</v>
      </c>
      <c r="AU597" t="s">
        <v>1621</v>
      </c>
      <c r="AV597" t="s">
        <v>1623</v>
      </c>
      <c r="AW597" t="s">
        <v>1624</v>
      </c>
      <c r="AZ597">
        <v>18230</v>
      </c>
      <c r="BA597" t="s">
        <v>1625</v>
      </c>
      <c r="BB597" t="s">
        <v>61</v>
      </c>
      <c r="BC597" t="s">
        <v>62</v>
      </c>
    </row>
    <row r="598" spans="1:55" x14ac:dyDescent="0.25">
      <c r="A598" s="1" t="str">
        <f>IF(COUNTIF(Catégories!A:A,X598)=0,"catégorie inconnue",_xlfn.XLOOKUP(X598,Catégories!A:A,Catégories!B:B))</f>
        <v>Frêt</v>
      </c>
      <c r="B598" s="1">
        <f t="shared" si="27"/>
        <v>6.6000000000000005</v>
      </c>
      <c r="C598" s="1">
        <f t="shared" si="28"/>
        <v>1.45</v>
      </c>
      <c r="D598" s="1">
        <f t="shared" si="29"/>
        <v>5.15</v>
      </c>
      <c r="E598" s="20">
        <f>IF(AH598&lt;&gt;0,ROUNDUP(AH598,0),IF(BB598&lt;&gt;"FR","hors France",IF(AH598&lt;&gt;0,ROUNDUP(AH598,0),_xlfn.XLOOKUP(AJ598,'PA GLS'!B:B,'PA GLS'!A:A))))</f>
        <v>1</v>
      </c>
      <c r="F598">
        <v>2501382993</v>
      </c>
      <c r="G598">
        <v>1030220043</v>
      </c>
      <c r="H598" t="s">
        <v>366</v>
      </c>
      <c r="I598">
        <v>2500034092</v>
      </c>
      <c r="J598" t="s">
        <v>50</v>
      </c>
      <c r="K598">
        <v>9000009190</v>
      </c>
      <c r="L598">
        <v>46946</v>
      </c>
      <c r="M598" t="s">
        <v>51</v>
      </c>
      <c r="N598">
        <v>9000079830</v>
      </c>
      <c r="O598" t="s">
        <v>187</v>
      </c>
      <c r="S598">
        <v>2507012387</v>
      </c>
      <c r="T598" t="s">
        <v>50</v>
      </c>
      <c r="U598" t="s">
        <v>122</v>
      </c>
      <c r="V598" t="s">
        <v>66</v>
      </c>
      <c r="W598" t="s">
        <v>67</v>
      </c>
      <c r="X598" t="s">
        <v>60</v>
      </c>
      <c r="Z598">
        <v>62</v>
      </c>
      <c r="AA598" t="s">
        <v>1378</v>
      </c>
      <c r="AB598" t="s">
        <v>1617</v>
      </c>
      <c r="AC598">
        <v>2604000155</v>
      </c>
      <c r="AE598">
        <v>0</v>
      </c>
      <c r="AF598">
        <v>0</v>
      </c>
      <c r="AG598">
        <v>0</v>
      </c>
      <c r="AH598">
        <v>0</v>
      </c>
      <c r="AI598" t="s">
        <v>56</v>
      </c>
      <c r="AJ598">
        <v>4.0999999999999996</v>
      </c>
      <c r="AK598">
        <v>0.9</v>
      </c>
      <c r="AL598">
        <v>0.15</v>
      </c>
      <c r="AM598">
        <v>29.1</v>
      </c>
      <c r="AN598">
        <v>1.45</v>
      </c>
      <c r="AO598">
        <v>0</v>
      </c>
      <c r="AP598">
        <v>0</v>
      </c>
      <c r="AQ598" t="s">
        <v>57</v>
      </c>
      <c r="AS598" t="s">
        <v>1618</v>
      </c>
      <c r="AT598" t="s">
        <v>1618</v>
      </c>
      <c r="AU598" t="s">
        <v>1617</v>
      </c>
      <c r="AV598" t="s">
        <v>1619</v>
      </c>
      <c r="AW598" t="s">
        <v>1620</v>
      </c>
      <c r="AZ598">
        <v>35200</v>
      </c>
      <c r="BA598" t="s">
        <v>386</v>
      </c>
      <c r="BB598" t="s">
        <v>61</v>
      </c>
      <c r="BC598" t="s">
        <v>62</v>
      </c>
    </row>
    <row r="599" spans="1:55" x14ac:dyDescent="0.25">
      <c r="A599" s="1" t="str">
        <f>IF(COUNTIF(Catégories!A:A,X599)=0,"catégorie inconnue",_xlfn.XLOOKUP(X599,Catégories!A:A,Catégories!B:B))</f>
        <v>Frêt</v>
      </c>
      <c r="B599" s="1">
        <f t="shared" si="27"/>
        <v>7.0100000000000007</v>
      </c>
      <c r="C599" s="1">
        <f t="shared" si="28"/>
        <v>1.54</v>
      </c>
      <c r="D599" s="1">
        <f t="shared" si="29"/>
        <v>5.4700000000000006</v>
      </c>
      <c r="E599" s="20">
        <f>IF(AH599&lt;&gt;0,ROUNDUP(AH599,0),IF(BB599&lt;&gt;"FR","hors France",IF(AH599&lt;&gt;0,ROUNDUP(AH599,0),_xlfn.XLOOKUP(AJ599,'PA GLS'!B:B,'PA GLS'!A:A))))</f>
        <v>2</v>
      </c>
      <c r="F599">
        <v>2501382993</v>
      </c>
      <c r="G599">
        <v>1030264735</v>
      </c>
      <c r="H599" t="s">
        <v>366</v>
      </c>
      <c r="I599">
        <v>2500034092</v>
      </c>
      <c r="J599" t="s">
        <v>50</v>
      </c>
      <c r="K599">
        <v>9000009190</v>
      </c>
      <c r="L599">
        <v>46946</v>
      </c>
      <c r="M599" t="s">
        <v>51</v>
      </c>
      <c r="N599">
        <v>9000079830</v>
      </c>
      <c r="O599" t="s">
        <v>187</v>
      </c>
      <c r="S599">
        <v>2507012387</v>
      </c>
      <c r="T599" t="s">
        <v>50</v>
      </c>
      <c r="U599" t="s">
        <v>122</v>
      </c>
      <c r="V599" t="s">
        <v>63</v>
      </c>
      <c r="W599" t="s">
        <v>64</v>
      </c>
      <c r="X599" t="s">
        <v>60</v>
      </c>
      <c r="Z599">
        <v>224</v>
      </c>
      <c r="AA599" t="s">
        <v>1641</v>
      </c>
      <c r="AB599" t="s">
        <v>1642</v>
      </c>
      <c r="AC599">
        <v>2604000211</v>
      </c>
      <c r="AE599">
        <v>0</v>
      </c>
      <c r="AF599">
        <v>0</v>
      </c>
      <c r="AG599">
        <v>0</v>
      </c>
      <c r="AH599">
        <v>0</v>
      </c>
      <c r="AI599" t="s">
        <v>56</v>
      </c>
      <c r="AJ599">
        <v>4.42</v>
      </c>
      <c r="AK599">
        <v>0.9</v>
      </c>
      <c r="AL599">
        <v>0.15</v>
      </c>
      <c r="AM599">
        <v>29.1</v>
      </c>
      <c r="AN599">
        <v>1.54</v>
      </c>
      <c r="AO599">
        <v>0</v>
      </c>
      <c r="AP599">
        <v>0</v>
      </c>
      <c r="AQ599" t="s">
        <v>57</v>
      </c>
      <c r="AS599" t="s">
        <v>1643</v>
      </c>
      <c r="AT599" t="s">
        <v>1643</v>
      </c>
      <c r="AU599" t="s">
        <v>1642</v>
      </c>
      <c r="AV599" t="s">
        <v>1644</v>
      </c>
      <c r="AW599" t="s">
        <v>1645</v>
      </c>
      <c r="AZ599">
        <v>34170</v>
      </c>
      <c r="BA599" t="s">
        <v>1646</v>
      </c>
      <c r="BB599" t="s">
        <v>61</v>
      </c>
      <c r="BC599" t="s">
        <v>62</v>
      </c>
    </row>
    <row r="600" spans="1:55" x14ac:dyDescent="0.25">
      <c r="A600" s="1" t="str">
        <f>IF(COUNTIF(Catégories!A:A,X600)=0,"catégorie inconnue",_xlfn.XLOOKUP(X600,Catégories!A:A,Catégories!B:B))</f>
        <v>Frêt</v>
      </c>
      <c r="B600" s="1">
        <f t="shared" si="27"/>
        <v>7.0100000000000007</v>
      </c>
      <c r="C600" s="1">
        <f t="shared" si="28"/>
        <v>1.54</v>
      </c>
      <c r="D600" s="1">
        <f t="shared" si="29"/>
        <v>5.4700000000000006</v>
      </c>
      <c r="E600" s="20">
        <f>IF(AH600&lt;&gt;0,ROUNDUP(AH600,0),IF(BB600&lt;&gt;"FR","hors France",IF(AH600&lt;&gt;0,ROUNDUP(AH600,0),_xlfn.XLOOKUP(AJ600,'PA GLS'!B:B,'PA GLS'!A:A))))</f>
        <v>2</v>
      </c>
      <c r="F600">
        <v>2501382993</v>
      </c>
      <c r="G600">
        <v>1030264735</v>
      </c>
      <c r="H600" t="s">
        <v>366</v>
      </c>
      <c r="I600">
        <v>2500034092</v>
      </c>
      <c r="J600" t="s">
        <v>50</v>
      </c>
      <c r="K600">
        <v>9000009190</v>
      </c>
      <c r="L600">
        <v>46946</v>
      </c>
      <c r="M600" t="s">
        <v>51</v>
      </c>
      <c r="N600">
        <v>9000079830</v>
      </c>
      <c r="O600" t="s">
        <v>187</v>
      </c>
      <c r="S600">
        <v>2507012387</v>
      </c>
      <c r="T600" t="s">
        <v>50</v>
      </c>
      <c r="U600" t="s">
        <v>122</v>
      </c>
      <c r="V600" t="s">
        <v>63</v>
      </c>
      <c r="W600" t="s">
        <v>64</v>
      </c>
      <c r="X600" t="s">
        <v>60</v>
      </c>
      <c r="Z600">
        <v>224</v>
      </c>
      <c r="AA600" t="s">
        <v>1641</v>
      </c>
      <c r="AB600" t="s">
        <v>1647</v>
      </c>
      <c r="AC600">
        <v>2604000208</v>
      </c>
      <c r="AE600">
        <v>0</v>
      </c>
      <c r="AF600">
        <v>0</v>
      </c>
      <c r="AG600">
        <v>0</v>
      </c>
      <c r="AH600">
        <v>0</v>
      </c>
      <c r="AI600" t="s">
        <v>56</v>
      </c>
      <c r="AJ600">
        <v>4.42</v>
      </c>
      <c r="AK600">
        <v>0.9</v>
      </c>
      <c r="AL600">
        <v>0.15</v>
      </c>
      <c r="AM600">
        <v>29.1</v>
      </c>
      <c r="AN600">
        <v>1.54</v>
      </c>
      <c r="AO600">
        <v>0</v>
      </c>
      <c r="AP600">
        <v>0</v>
      </c>
      <c r="AQ600" t="s">
        <v>57</v>
      </c>
      <c r="AS600" t="s">
        <v>1648</v>
      </c>
      <c r="AT600" t="s">
        <v>1648</v>
      </c>
      <c r="AU600" t="s">
        <v>1647</v>
      </c>
      <c r="AV600" t="s">
        <v>1649</v>
      </c>
      <c r="AW600" t="s">
        <v>1650</v>
      </c>
      <c r="AZ600">
        <v>75015</v>
      </c>
      <c r="BA600" t="s">
        <v>65</v>
      </c>
      <c r="BB600" t="s">
        <v>61</v>
      </c>
      <c r="BC600" t="s">
        <v>62</v>
      </c>
    </row>
    <row r="601" spans="1:55" x14ac:dyDescent="0.25">
      <c r="A601" s="1" t="str">
        <f>IF(COUNTIF(Catégories!A:A,X601)=0,"catégorie inconnue",_xlfn.XLOOKUP(X601,Catégories!A:A,Catégories!B:B))</f>
        <v>Frêt</v>
      </c>
      <c r="B601" s="1">
        <f t="shared" si="27"/>
        <v>7.0100000000000007</v>
      </c>
      <c r="C601" s="1">
        <f t="shared" si="28"/>
        <v>1.54</v>
      </c>
      <c r="D601" s="1">
        <f t="shared" si="29"/>
        <v>5.4700000000000006</v>
      </c>
      <c r="E601" s="20">
        <f>IF(AH601&lt;&gt;0,ROUNDUP(AH601,0),IF(BB601&lt;&gt;"FR","hors France",IF(AH601&lt;&gt;0,ROUNDUP(AH601,0),_xlfn.XLOOKUP(AJ601,'PA GLS'!B:B,'PA GLS'!A:A))))</f>
        <v>2</v>
      </c>
      <c r="F601">
        <v>2501382993</v>
      </c>
      <c r="G601">
        <v>1030264735</v>
      </c>
      <c r="H601" t="s">
        <v>366</v>
      </c>
      <c r="I601">
        <v>2500034092</v>
      </c>
      <c r="J601" t="s">
        <v>50</v>
      </c>
      <c r="K601">
        <v>9000009190</v>
      </c>
      <c r="L601">
        <v>46946</v>
      </c>
      <c r="M601" t="s">
        <v>51</v>
      </c>
      <c r="N601">
        <v>9000079830</v>
      </c>
      <c r="O601" t="s">
        <v>187</v>
      </c>
      <c r="S601">
        <v>2507012387</v>
      </c>
      <c r="T601" t="s">
        <v>50</v>
      </c>
      <c r="U601" t="s">
        <v>122</v>
      </c>
      <c r="V601" t="s">
        <v>63</v>
      </c>
      <c r="W601" t="s">
        <v>64</v>
      </c>
      <c r="X601" t="s">
        <v>60</v>
      </c>
      <c r="Z601">
        <v>224</v>
      </c>
      <c r="AA601" t="s">
        <v>1641</v>
      </c>
      <c r="AB601" t="s">
        <v>1651</v>
      </c>
      <c r="AC601">
        <v>2604000203</v>
      </c>
      <c r="AE601">
        <v>0</v>
      </c>
      <c r="AF601">
        <v>0</v>
      </c>
      <c r="AG601">
        <v>0</v>
      </c>
      <c r="AH601">
        <v>0</v>
      </c>
      <c r="AI601" t="s">
        <v>56</v>
      </c>
      <c r="AJ601">
        <v>4.42</v>
      </c>
      <c r="AK601">
        <v>0.9</v>
      </c>
      <c r="AL601">
        <v>0.15</v>
      </c>
      <c r="AM601">
        <v>29.1</v>
      </c>
      <c r="AN601">
        <v>1.54</v>
      </c>
      <c r="AO601">
        <v>0</v>
      </c>
      <c r="AP601">
        <v>0</v>
      </c>
      <c r="AQ601" t="s">
        <v>57</v>
      </c>
      <c r="AS601" t="s">
        <v>1652</v>
      </c>
      <c r="AT601" t="s">
        <v>1652</v>
      </c>
      <c r="AU601" t="s">
        <v>1651</v>
      </c>
      <c r="AV601" t="s">
        <v>1653</v>
      </c>
      <c r="AW601" t="s">
        <v>1654</v>
      </c>
      <c r="AZ601">
        <v>35000</v>
      </c>
      <c r="BA601" t="s">
        <v>386</v>
      </c>
      <c r="BB601" t="s">
        <v>61</v>
      </c>
      <c r="BC601" t="s">
        <v>62</v>
      </c>
    </row>
    <row r="602" spans="1:55" x14ac:dyDescent="0.25">
      <c r="A602" s="1" t="str">
        <f>IF(COUNTIF(Catégories!A:A,X602)=0,"catégorie inconnue",_xlfn.XLOOKUP(X602,Catégories!A:A,Catégories!B:B))</f>
        <v>Frêt</v>
      </c>
      <c r="B602" s="1">
        <f t="shared" si="27"/>
        <v>7.0100000000000007</v>
      </c>
      <c r="C602" s="1">
        <f t="shared" si="28"/>
        <v>1.54</v>
      </c>
      <c r="D602" s="1">
        <f t="shared" si="29"/>
        <v>5.4700000000000006</v>
      </c>
      <c r="E602" s="20">
        <f>IF(AH602&lt;&gt;0,ROUNDUP(AH602,0),IF(BB602&lt;&gt;"FR","hors France",IF(AH602&lt;&gt;0,ROUNDUP(AH602,0),_xlfn.XLOOKUP(AJ602,'PA GLS'!B:B,'PA GLS'!A:A))))</f>
        <v>2</v>
      </c>
      <c r="F602">
        <v>2501382993</v>
      </c>
      <c r="G602">
        <v>1030264735</v>
      </c>
      <c r="H602" t="s">
        <v>366</v>
      </c>
      <c r="I602">
        <v>2500034092</v>
      </c>
      <c r="J602" t="s">
        <v>50</v>
      </c>
      <c r="K602">
        <v>9000009190</v>
      </c>
      <c r="L602">
        <v>46946</v>
      </c>
      <c r="M602" t="s">
        <v>51</v>
      </c>
      <c r="N602">
        <v>9000079830</v>
      </c>
      <c r="O602" t="s">
        <v>187</v>
      </c>
      <c r="S602">
        <v>2507012387</v>
      </c>
      <c r="T602" t="s">
        <v>50</v>
      </c>
      <c r="U602" t="s">
        <v>122</v>
      </c>
      <c r="V602" t="s">
        <v>63</v>
      </c>
      <c r="W602" t="s">
        <v>64</v>
      </c>
      <c r="X602" t="s">
        <v>60</v>
      </c>
      <c r="Z602">
        <v>224</v>
      </c>
      <c r="AA602" t="s">
        <v>1641</v>
      </c>
      <c r="AB602" t="s">
        <v>1655</v>
      </c>
      <c r="AC602">
        <v>2604000201</v>
      </c>
      <c r="AE602">
        <v>0</v>
      </c>
      <c r="AF602">
        <v>0</v>
      </c>
      <c r="AG602">
        <v>0</v>
      </c>
      <c r="AH602">
        <v>0</v>
      </c>
      <c r="AI602" t="s">
        <v>56</v>
      </c>
      <c r="AJ602">
        <v>4.42</v>
      </c>
      <c r="AK602">
        <v>0.9</v>
      </c>
      <c r="AL602">
        <v>0.15</v>
      </c>
      <c r="AM602">
        <v>29.1</v>
      </c>
      <c r="AN602">
        <v>1.54</v>
      </c>
      <c r="AO602">
        <v>0</v>
      </c>
      <c r="AP602">
        <v>0</v>
      </c>
      <c r="AQ602" t="s">
        <v>57</v>
      </c>
      <c r="AS602" t="s">
        <v>1656</v>
      </c>
      <c r="AT602" t="s">
        <v>1656</v>
      </c>
      <c r="AU602" t="s">
        <v>1655</v>
      </c>
      <c r="AV602" t="s">
        <v>1657</v>
      </c>
      <c r="AW602" t="s">
        <v>1658</v>
      </c>
      <c r="AZ602">
        <v>25210</v>
      </c>
      <c r="BA602" t="s">
        <v>1659</v>
      </c>
      <c r="BB602" t="s">
        <v>61</v>
      </c>
      <c r="BC602" t="s">
        <v>62</v>
      </c>
    </row>
    <row r="603" spans="1:55" x14ac:dyDescent="0.25">
      <c r="A603" s="1" t="str">
        <f>IF(COUNTIF(Catégories!A:A,X603)=0,"catégorie inconnue",_xlfn.XLOOKUP(X603,Catégories!A:A,Catégories!B:B))</f>
        <v>Frêt</v>
      </c>
      <c r="B603" s="1">
        <f t="shared" si="27"/>
        <v>7.0100000000000007</v>
      </c>
      <c r="C603" s="1">
        <f t="shared" si="28"/>
        <v>1.54</v>
      </c>
      <c r="D603" s="1">
        <f t="shared" si="29"/>
        <v>5.4700000000000006</v>
      </c>
      <c r="E603" s="20">
        <f>IF(AH603&lt;&gt;0,ROUNDUP(AH603,0),IF(BB603&lt;&gt;"FR","hors France",IF(AH603&lt;&gt;0,ROUNDUP(AH603,0),_xlfn.XLOOKUP(AJ603,'PA GLS'!B:B,'PA GLS'!A:A))))</f>
        <v>2</v>
      </c>
      <c r="F603">
        <v>2501382993</v>
      </c>
      <c r="G603">
        <v>1030264735</v>
      </c>
      <c r="H603" t="s">
        <v>366</v>
      </c>
      <c r="I603">
        <v>2500034092</v>
      </c>
      <c r="J603" t="s">
        <v>50</v>
      </c>
      <c r="K603">
        <v>9000009190</v>
      </c>
      <c r="L603">
        <v>46946</v>
      </c>
      <c r="M603" t="s">
        <v>51</v>
      </c>
      <c r="N603">
        <v>9000079830</v>
      </c>
      <c r="O603" t="s">
        <v>187</v>
      </c>
      <c r="S603">
        <v>2507012387</v>
      </c>
      <c r="T603" t="s">
        <v>50</v>
      </c>
      <c r="U603" t="s">
        <v>122</v>
      </c>
      <c r="V603" t="s">
        <v>63</v>
      </c>
      <c r="W603" t="s">
        <v>64</v>
      </c>
      <c r="X603" t="s">
        <v>60</v>
      </c>
      <c r="Z603">
        <v>224</v>
      </c>
      <c r="AA603" t="s">
        <v>1641</v>
      </c>
      <c r="AB603" t="s">
        <v>1660</v>
      </c>
      <c r="AC603">
        <v>2604000200</v>
      </c>
      <c r="AE603">
        <v>0</v>
      </c>
      <c r="AF603">
        <v>0</v>
      </c>
      <c r="AG603">
        <v>0</v>
      </c>
      <c r="AH603">
        <v>0</v>
      </c>
      <c r="AI603" t="s">
        <v>56</v>
      </c>
      <c r="AJ603">
        <v>4.42</v>
      </c>
      <c r="AK603">
        <v>0.9</v>
      </c>
      <c r="AL603">
        <v>0.15</v>
      </c>
      <c r="AM603">
        <v>29.1</v>
      </c>
      <c r="AN603">
        <v>1.54</v>
      </c>
      <c r="AO603">
        <v>0</v>
      </c>
      <c r="AP603">
        <v>0</v>
      </c>
      <c r="AQ603" t="s">
        <v>57</v>
      </c>
      <c r="AS603" t="s">
        <v>1661</v>
      </c>
      <c r="AT603" t="s">
        <v>1661</v>
      </c>
      <c r="AU603" t="s">
        <v>1660</v>
      </c>
      <c r="AV603" t="s">
        <v>1662</v>
      </c>
      <c r="AW603" t="s">
        <v>1663</v>
      </c>
      <c r="AZ603">
        <v>75007</v>
      </c>
      <c r="BA603" t="s">
        <v>65</v>
      </c>
      <c r="BB603" t="s">
        <v>61</v>
      </c>
      <c r="BC603" t="s">
        <v>62</v>
      </c>
    </row>
    <row r="604" spans="1:55" x14ac:dyDescent="0.25">
      <c r="A604" s="1" t="str">
        <f>IF(COUNTIF(Catégories!A:A,X604)=0,"catégorie inconnue",_xlfn.XLOOKUP(X604,Catégories!A:A,Catégories!B:B))</f>
        <v>Frêt</v>
      </c>
      <c r="B604" s="1">
        <f t="shared" si="27"/>
        <v>7.0100000000000007</v>
      </c>
      <c r="C604" s="1">
        <f t="shared" si="28"/>
        <v>1.54</v>
      </c>
      <c r="D604" s="1">
        <f t="shared" si="29"/>
        <v>5.4700000000000006</v>
      </c>
      <c r="E604" s="20">
        <f>IF(AH604&lt;&gt;0,ROUNDUP(AH604,0),IF(BB604&lt;&gt;"FR","hors France",IF(AH604&lt;&gt;0,ROUNDUP(AH604,0),_xlfn.XLOOKUP(AJ604,'PA GLS'!B:B,'PA GLS'!A:A))))</f>
        <v>2</v>
      </c>
      <c r="F604">
        <v>2501382993</v>
      </c>
      <c r="G604">
        <v>1030264735</v>
      </c>
      <c r="H604" t="s">
        <v>366</v>
      </c>
      <c r="I604">
        <v>2500034092</v>
      </c>
      <c r="J604" t="s">
        <v>50</v>
      </c>
      <c r="K604">
        <v>9000009190</v>
      </c>
      <c r="L604">
        <v>46946</v>
      </c>
      <c r="M604" t="s">
        <v>51</v>
      </c>
      <c r="N604">
        <v>9000079830</v>
      </c>
      <c r="O604" t="s">
        <v>187</v>
      </c>
      <c r="S604">
        <v>2507012387</v>
      </c>
      <c r="T604" t="s">
        <v>50</v>
      </c>
      <c r="U604" t="s">
        <v>122</v>
      </c>
      <c r="V604" t="s">
        <v>63</v>
      </c>
      <c r="W604" t="s">
        <v>64</v>
      </c>
      <c r="X604" t="s">
        <v>60</v>
      </c>
      <c r="Z604">
        <v>224</v>
      </c>
      <c r="AA604" t="s">
        <v>1641</v>
      </c>
      <c r="AB604" t="s">
        <v>1664</v>
      </c>
      <c r="AC604">
        <v>2604000184</v>
      </c>
      <c r="AE604">
        <v>0</v>
      </c>
      <c r="AF604">
        <v>0</v>
      </c>
      <c r="AG604">
        <v>0</v>
      </c>
      <c r="AH604">
        <v>0</v>
      </c>
      <c r="AI604" t="s">
        <v>56</v>
      </c>
      <c r="AJ604">
        <v>4.42</v>
      </c>
      <c r="AK604">
        <v>0.9</v>
      </c>
      <c r="AL604">
        <v>0.15</v>
      </c>
      <c r="AM604">
        <v>29.1</v>
      </c>
      <c r="AN604">
        <v>1.54</v>
      </c>
      <c r="AO604">
        <v>0</v>
      </c>
      <c r="AP604">
        <v>0</v>
      </c>
      <c r="AQ604" t="s">
        <v>57</v>
      </c>
      <c r="AS604" t="s">
        <v>1665</v>
      </c>
      <c r="AT604" t="s">
        <v>1665</v>
      </c>
      <c r="AU604" t="s">
        <v>1664</v>
      </c>
      <c r="AV604" t="s">
        <v>1666</v>
      </c>
      <c r="AW604" t="s">
        <v>1667</v>
      </c>
      <c r="AZ604">
        <v>75008</v>
      </c>
      <c r="BA604" t="s">
        <v>65</v>
      </c>
      <c r="BB604" t="s">
        <v>61</v>
      </c>
      <c r="BC604" t="s">
        <v>62</v>
      </c>
    </row>
    <row r="605" spans="1:55" x14ac:dyDescent="0.25">
      <c r="A605" s="1" t="str">
        <f>IF(COUNTIF(Catégories!A:A,X605)=0,"catégorie inconnue",_xlfn.XLOOKUP(X605,Catégories!A:A,Catégories!B:B))</f>
        <v>Frêt</v>
      </c>
      <c r="B605" s="1">
        <f t="shared" si="27"/>
        <v>6.6000000000000005</v>
      </c>
      <c r="C605" s="1">
        <f t="shared" si="28"/>
        <v>1.45</v>
      </c>
      <c r="D605" s="1">
        <f t="shared" si="29"/>
        <v>5.15</v>
      </c>
      <c r="E605" s="20">
        <f>IF(AH605&lt;&gt;0,ROUNDUP(AH605,0),IF(BB605&lt;&gt;"FR","hors France",IF(AH605&lt;&gt;0,ROUNDUP(AH605,0),_xlfn.XLOOKUP(AJ605,'PA GLS'!B:B,'PA GLS'!A:A))))</f>
        <v>1</v>
      </c>
      <c r="F605">
        <v>2501382993</v>
      </c>
      <c r="G605">
        <v>1030264735</v>
      </c>
      <c r="H605" t="s">
        <v>366</v>
      </c>
      <c r="I605">
        <v>2500034092</v>
      </c>
      <c r="J605" t="s">
        <v>50</v>
      </c>
      <c r="K605">
        <v>9000009190</v>
      </c>
      <c r="L605">
        <v>46946</v>
      </c>
      <c r="M605" t="s">
        <v>51</v>
      </c>
      <c r="N605">
        <v>9000079830</v>
      </c>
      <c r="O605" t="s">
        <v>187</v>
      </c>
      <c r="S605">
        <v>2507012387</v>
      </c>
      <c r="T605" t="s">
        <v>50</v>
      </c>
      <c r="U605" t="s">
        <v>122</v>
      </c>
      <c r="V605" t="s">
        <v>66</v>
      </c>
      <c r="W605" t="s">
        <v>67</v>
      </c>
      <c r="X605" t="s">
        <v>60</v>
      </c>
      <c r="Z605">
        <v>223</v>
      </c>
      <c r="AA605" t="s">
        <v>1641</v>
      </c>
      <c r="AB605" t="s">
        <v>1668</v>
      </c>
      <c r="AC605">
        <v>2604000213</v>
      </c>
      <c r="AE605">
        <v>0</v>
      </c>
      <c r="AF605">
        <v>0</v>
      </c>
      <c r="AG605">
        <v>0</v>
      </c>
      <c r="AH605">
        <v>0</v>
      </c>
      <c r="AI605" t="s">
        <v>56</v>
      </c>
      <c r="AJ605">
        <v>4.0999999999999996</v>
      </c>
      <c r="AK605">
        <v>0.9</v>
      </c>
      <c r="AL605">
        <v>0.15</v>
      </c>
      <c r="AM605">
        <v>29.1</v>
      </c>
      <c r="AN605">
        <v>1.45</v>
      </c>
      <c r="AO605">
        <v>0</v>
      </c>
      <c r="AP605">
        <v>0</v>
      </c>
      <c r="AQ605" t="s">
        <v>57</v>
      </c>
      <c r="AS605" t="s">
        <v>1669</v>
      </c>
      <c r="AT605" t="s">
        <v>1669</v>
      </c>
      <c r="AU605" t="s">
        <v>1668</v>
      </c>
      <c r="AV605" t="s">
        <v>1670</v>
      </c>
      <c r="AW605" t="s">
        <v>1671</v>
      </c>
      <c r="AZ605">
        <v>69003</v>
      </c>
      <c r="BA605" t="s">
        <v>151</v>
      </c>
      <c r="BB605" t="s">
        <v>61</v>
      </c>
      <c r="BC605" t="s">
        <v>62</v>
      </c>
    </row>
    <row r="606" spans="1:55" x14ac:dyDescent="0.25">
      <c r="A606" s="1" t="str">
        <f>IF(COUNTIF(Catégories!A:A,X606)=0,"catégorie inconnue",_xlfn.XLOOKUP(X606,Catégories!A:A,Catégories!B:B))</f>
        <v>Frêt</v>
      </c>
      <c r="B606" s="1">
        <f t="shared" si="27"/>
        <v>6.6000000000000005</v>
      </c>
      <c r="C606" s="1">
        <f t="shared" si="28"/>
        <v>1.45</v>
      </c>
      <c r="D606" s="1">
        <f t="shared" si="29"/>
        <v>5.15</v>
      </c>
      <c r="E606" s="20">
        <f>IF(AH606&lt;&gt;0,ROUNDUP(AH606,0),IF(BB606&lt;&gt;"FR","hors France",IF(AH606&lt;&gt;0,ROUNDUP(AH606,0),_xlfn.XLOOKUP(AJ606,'PA GLS'!B:B,'PA GLS'!A:A))))</f>
        <v>1</v>
      </c>
      <c r="F606">
        <v>2501382993</v>
      </c>
      <c r="G606">
        <v>1030264735</v>
      </c>
      <c r="H606" t="s">
        <v>366</v>
      </c>
      <c r="I606">
        <v>2500034092</v>
      </c>
      <c r="J606" t="s">
        <v>50</v>
      </c>
      <c r="K606">
        <v>9000009190</v>
      </c>
      <c r="L606">
        <v>46946</v>
      </c>
      <c r="M606" t="s">
        <v>51</v>
      </c>
      <c r="N606">
        <v>9000079830</v>
      </c>
      <c r="O606" t="s">
        <v>187</v>
      </c>
      <c r="S606">
        <v>2507012387</v>
      </c>
      <c r="T606" t="s">
        <v>50</v>
      </c>
      <c r="U606" t="s">
        <v>122</v>
      </c>
      <c r="V606" t="s">
        <v>66</v>
      </c>
      <c r="W606" t="s">
        <v>67</v>
      </c>
      <c r="X606" t="s">
        <v>60</v>
      </c>
      <c r="Z606">
        <v>223</v>
      </c>
      <c r="AA606" t="s">
        <v>1641</v>
      </c>
      <c r="AB606" t="s">
        <v>1672</v>
      </c>
      <c r="AC606">
        <v>2604000206</v>
      </c>
      <c r="AE606">
        <v>0</v>
      </c>
      <c r="AF606">
        <v>0</v>
      </c>
      <c r="AG606">
        <v>0</v>
      </c>
      <c r="AH606">
        <v>0</v>
      </c>
      <c r="AI606" t="s">
        <v>56</v>
      </c>
      <c r="AJ606">
        <v>4.0999999999999996</v>
      </c>
      <c r="AK606">
        <v>0.9</v>
      </c>
      <c r="AL606">
        <v>0.15</v>
      </c>
      <c r="AM606">
        <v>29.1</v>
      </c>
      <c r="AN606">
        <v>1.45</v>
      </c>
      <c r="AO606">
        <v>0</v>
      </c>
      <c r="AP606">
        <v>0</v>
      </c>
      <c r="AQ606" t="s">
        <v>57</v>
      </c>
      <c r="AS606" t="s">
        <v>1673</v>
      </c>
      <c r="AT606" t="s">
        <v>1673</v>
      </c>
      <c r="AU606" t="s">
        <v>1672</v>
      </c>
      <c r="AV606" t="s">
        <v>1674</v>
      </c>
      <c r="AW606" t="s">
        <v>1675</v>
      </c>
      <c r="AZ606">
        <v>64600</v>
      </c>
      <c r="BA606" t="s">
        <v>263</v>
      </c>
      <c r="BB606" t="s">
        <v>61</v>
      </c>
      <c r="BC606" t="s">
        <v>62</v>
      </c>
    </row>
    <row r="607" spans="1:55" x14ac:dyDescent="0.25">
      <c r="A607" s="1" t="str">
        <f>IF(COUNTIF(Catégories!A:A,X607)=0,"catégorie inconnue",_xlfn.XLOOKUP(X607,Catégories!A:A,Catégories!B:B))</f>
        <v>Frêt</v>
      </c>
      <c r="B607" s="1">
        <f t="shared" si="27"/>
        <v>6.6000000000000005</v>
      </c>
      <c r="C607" s="1">
        <f t="shared" si="28"/>
        <v>1.45</v>
      </c>
      <c r="D607" s="1">
        <f t="shared" si="29"/>
        <v>5.15</v>
      </c>
      <c r="E607" s="20">
        <f>IF(AH607&lt;&gt;0,ROUNDUP(AH607,0),IF(BB607&lt;&gt;"FR","hors France",IF(AH607&lt;&gt;0,ROUNDUP(AH607,0),_xlfn.XLOOKUP(AJ607,'PA GLS'!B:B,'PA GLS'!A:A))))</f>
        <v>1</v>
      </c>
      <c r="F607">
        <v>2501382993</v>
      </c>
      <c r="G607">
        <v>1030264735</v>
      </c>
      <c r="H607" t="s">
        <v>366</v>
      </c>
      <c r="I607">
        <v>2500034092</v>
      </c>
      <c r="J607" t="s">
        <v>50</v>
      </c>
      <c r="K607">
        <v>9000009190</v>
      </c>
      <c r="L607">
        <v>46946</v>
      </c>
      <c r="M607" t="s">
        <v>51</v>
      </c>
      <c r="N607">
        <v>9000079830</v>
      </c>
      <c r="O607" t="s">
        <v>187</v>
      </c>
      <c r="S607">
        <v>2507012387</v>
      </c>
      <c r="T607" t="s">
        <v>50</v>
      </c>
      <c r="U607" t="s">
        <v>122</v>
      </c>
      <c r="V607" t="s">
        <v>66</v>
      </c>
      <c r="W607" t="s">
        <v>67</v>
      </c>
      <c r="X607" t="s">
        <v>60</v>
      </c>
      <c r="Z607">
        <v>223</v>
      </c>
      <c r="AA607" t="s">
        <v>1641</v>
      </c>
      <c r="AB607" t="s">
        <v>1676</v>
      </c>
      <c r="AC607">
        <v>2604000204</v>
      </c>
      <c r="AE607">
        <v>0</v>
      </c>
      <c r="AF607">
        <v>0</v>
      </c>
      <c r="AG607">
        <v>0</v>
      </c>
      <c r="AH607">
        <v>0</v>
      </c>
      <c r="AI607" t="s">
        <v>56</v>
      </c>
      <c r="AJ607">
        <v>4.0999999999999996</v>
      </c>
      <c r="AK607">
        <v>0.9</v>
      </c>
      <c r="AL607">
        <v>0.15</v>
      </c>
      <c r="AM607">
        <v>29.1</v>
      </c>
      <c r="AN607">
        <v>1.45</v>
      </c>
      <c r="AO607">
        <v>0</v>
      </c>
      <c r="AP607">
        <v>0</v>
      </c>
      <c r="AQ607" t="s">
        <v>57</v>
      </c>
      <c r="AS607" t="s">
        <v>1677</v>
      </c>
      <c r="AT607" t="s">
        <v>1677</v>
      </c>
      <c r="AU607" t="s">
        <v>1676</v>
      </c>
      <c r="AV607" t="s">
        <v>1678</v>
      </c>
      <c r="AW607" t="s">
        <v>1679</v>
      </c>
      <c r="AZ607">
        <v>75019</v>
      </c>
      <c r="BA607" t="s">
        <v>65</v>
      </c>
      <c r="BB607" t="s">
        <v>61</v>
      </c>
      <c r="BC607" t="s">
        <v>62</v>
      </c>
    </row>
    <row r="608" spans="1:55" x14ac:dyDescent="0.25">
      <c r="A608" s="1" t="str">
        <f>IF(COUNTIF(Catégories!A:A,X608)=0,"catégorie inconnue",_xlfn.XLOOKUP(X608,Catégories!A:A,Catégories!B:B))</f>
        <v>Frêt</v>
      </c>
      <c r="B608" s="1">
        <f t="shared" si="27"/>
        <v>6.6000000000000005</v>
      </c>
      <c r="C608" s="1">
        <f t="shared" si="28"/>
        <v>1.45</v>
      </c>
      <c r="D608" s="1">
        <f t="shared" si="29"/>
        <v>5.15</v>
      </c>
      <c r="E608" s="20">
        <f>IF(AH608&lt;&gt;0,ROUNDUP(AH608,0),IF(BB608&lt;&gt;"FR","hors France",IF(AH608&lt;&gt;0,ROUNDUP(AH608,0),_xlfn.XLOOKUP(AJ608,'PA GLS'!B:B,'PA GLS'!A:A))))</f>
        <v>1</v>
      </c>
      <c r="F608">
        <v>2501382993</v>
      </c>
      <c r="G608">
        <v>1030264735</v>
      </c>
      <c r="H608" t="s">
        <v>366</v>
      </c>
      <c r="I608">
        <v>2500034092</v>
      </c>
      <c r="J608" t="s">
        <v>50</v>
      </c>
      <c r="K608">
        <v>9000009190</v>
      </c>
      <c r="L608">
        <v>46946</v>
      </c>
      <c r="M608" t="s">
        <v>51</v>
      </c>
      <c r="N608">
        <v>9000079830</v>
      </c>
      <c r="O608" t="s">
        <v>187</v>
      </c>
      <c r="S608">
        <v>2507012387</v>
      </c>
      <c r="T608" t="s">
        <v>50</v>
      </c>
      <c r="U608" t="s">
        <v>122</v>
      </c>
      <c r="V608" t="s">
        <v>66</v>
      </c>
      <c r="W608" t="s">
        <v>67</v>
      </c>
      <c r="X608" t="s">
        <v>60</v>
      </c>
      <c r="Z608">
        <v>223</v>
      </c>
      <c r="AA608" t="s">
        <v>1641</v>
      </c>
      <c r="AB608" t="s">
        <v>1680</v>
      </c>
      <c r="AC608">
        <v>2604000202</v>
      </c>
      <c r="AE608">
        <v>0</v>
      </c>
      <c r="AF608">
        <v>0</v>
      </c>
      <c r="AG608">
        <v>0</v>
      </c>
      <c r="AH608">
        <v>0</v>
      </c>
      <c r="AI608" t="s">
        <v>56</v>
      </c>
      <c r="AJ608">
        <v>4.0999999999999996</v>
      </c>
      <c r="AK608">
        <v>0.9</v>
      </c>
      <c r="AL608">
        <v>0.15</v>
      </c>
      <c r="AM608">
        <v>29.1</v>
      </c>
      <c r="AN608">
        <v>1.45</v>
      </c>
      <c r="AO608">
        <v>0</v>
      </c>
      <c r="AP608">
        <v>0</v>
      </c>
      <c r="AQ608" t="s">
        <v>57</v>
      </c>
      <c r="AS608" t="s">
        <v>1681</v>
      </c>
      <c r="AT608" t="s">
        <v>1681</v>
      </c>
      <c r="AU608" t="s">
        <v>1680</v>
      </c>
      <c r="AV608" t="s">
        <v>1682</v>
      </c>
      <c r="AW608" t="s">
        <v>1683</v>
      </c>
      <c r="AZ608">
        <v>6570</v>
      </c>
      <c r="BA608" t="s">
        <v>1684</v>
      </c>
      <c r="BB608" t="s">
        <v>61</v>
      </c>
      <c r="BC608" t="s">
        <v>62</v>
      </c>
    </row>
    <row r="609" spans="1:55" x14ac:dyDescent="0.25">
      <c r="A609" s="1" t="str">
        <f>IF(COUNTIF(Catégories!A:A,X609)=0,"catégorie inconnue",_xlfn.XLOOKUP(X609,Catégories!A:A,Catégories!B:B))</f>
        <v>Frêt</v>
      </c>
      <c r="B609" s="1">
        <f t="shared" si="27"/>
        <v>6.6000000000000005</v>
      </c>
      <c r="C609" s="1">
        <f t="shared" si="28"/>
        <v>1.45</v>
      </c>
      <c r="D609" s="1">
        <f t="shared" si="29"/>
        <v>5.15</v>
      </c>
      <c r="E609" s="20">
        <f>IF(AH609&lt;&gt;0,ROUNDUP(AH609,0),IF(BB609&lt;&gt;"FR","hors France",IF(AH609&lt;&gt;0,ROUNDUP(AH609,0),_xlfn.XLOOKUP(AJ609,'PA GLS'!B:B,'PA GLS'!A:A))))</f>
        <v>1</v>
      </c>
      <c r="F609">
        <v>2501382993</v>
      </c>
      <c r="G609">
        <v>1030264735</v>
      </c>
      <c r="H609" t="s">
        <v>366</v>
      </c>
      <c r="I609">
        <v>2500034092</v>
      </c>
      <c r="J609" t="s">
        <v>50</v>
      </c>
      <c r="K609">
        <v>9000009190</v>
      </c>
      <c r="L609">
        <v>46946</v>
      </c>
      <c r="M609" t="s">
        <v>51</v>
      </c>
      <c r="N609">
        <v>9000079830</v>
      </c>
      <c r="O609" t="s">
        <v>187</v>
      </c>
      <c r="S609">
        <v>2507012387</v>
      </c>
      <c r="T609" t="s">
        <v>50</v>
      </c>
      <c r="U609" t="s">
        <v>122</v>
      </c>
      <c r="V609" t="s">
        <v>66</v>
      </c>
      <c r="W609" t="s">
        <v>67</v>
      </c>
      <c r="X609" t="s">
        <v>60</v>
      </c>
      <c r="Z609">
        <v>223</v>
      </c>
      <c r="AA609" t="s">
        <v>1641</v>
      </c>
      <c r="AB609" t="s">
        <v>1685</v>
      </c>
      <c r="AC609">
        <v>2604000197</v>
      </c>
      <c r="AE609">
        <v>0</v>
      </c>
      <c r="AF609">
        <v>0</v>
      </c>
      <c r="AG609">
        <v>0</v>
      </c>
      <c r="AH609">
        <v>0</v>
      </c>
      <c r="AI609" t="s">
        <v>56</v>
      </c>
      <c r="AJ609">
        <v>4.0999999999999996</v>
      </c>
      <c r="AK609">
        <v>0.9</v>
      </c>
      <c r="AL609">
        <v>0.15</v>
      </c>
      <c r="AM609">
        <v>29.1</v>
      </c>
      <c r="AN609">
        <v>1.45</v>
      </c>
      <c r="AO609">
        <v>0</v>
      </c>
      <c r="AP609">
        <v>0</v>
      </c>
      <c r="AQ609" t="s">
        <v>57</v>
      </c>
      <c r="AS609" t="s">
        <v>1686</v>
      </c>
      <c r="AT609" t="s">
        <v>1686</v>
      </c>
      <c r="AU609" t="s">
        <v>1685</v>
      </c>
      <c r="AV609" t="s">
        <v>1687</v>
      </c>
      <c r="AW609" t="s">
        <v>1688</v>
      </c>
      <c r="AZ609">
        <v>69007</v>
      </c>
      <c r="BA609" t="s">
        <v>151</v>
      </c>
      <c r="BB609" t="s">
        <v>61</v>
      </c>
      <c r="BC609" t="s">
        <v>62</v>
      </c>
    </row>
    <row r="610" spans="1:55" x14ac:dyDescent="0.25">
      <c r="A610" s="1" t="str">
        <f>IF(COUNTIF(Catégories!A:A,X610)=0,"catégorie inconnue",_xlfn.XLOOKUP(X610,Catégories!A:A,Catégories!B:B))</f>
        <v>Frêt</v>
      </c>
      <c r="B610" s="1">
        <f t="shared" si="27"/>
        <v>6.6000000000000005</v>
      </c>
      <c r="C610" s="1">
        <f t="shared" si="28"/>
        <v>1.45</v>
      </c>
      <c r="D610" s="1">
        <f t="shared" si="29"/>
        <v>5.15</v>
      </c>
      <c r="E610" s="20">
        <f>IF(AH610&lt;&gt;0,ROUNDUP(AH610,0),IF(BB610&lt;&gt;"FR","hors France",IF(AH610&lt;&gt;0,ROUNDUP(AH610,0),_xlfn.XLOOKUP(AJ610,'PA GLS'!B:B,'PA GLS'!A:A))))</f>
        <v>1</v>
      </c>
      <c r="F610">
        <v>2501382993</v>
      </c>
      <c r="G610">
        <v>1030264735</v>
      </c>
      <c r="H610" t="s">
        <v>366</v>
      </c>
      <c r="I610">
        <v>2500034092</v>
      </c>
      <c r="J610" t="s">
        <v>50</v>
      </c>
      <c r="K610">
        <v>9000009190</v>
      </c>
      <c r="L610">
        <v>46946</v>
      </c>
      <c r="M610" t="s">
        <v>51</v>
      </c>
      <c r="N610">
        <v>9000079830</v>
      </c>
      <c r="O610" t="s">
        <v>187</v>
      </c>
      <c r="S610">
        <v>2507012387</v>
      </c>
      <c r="T610" t="s">
        <v>50</v>
      </c>
      <c r="U610" t="s">
        <v>122</v>
      </c>
      <c r="V610" t="s">
        <v>66</v>
      </c>
      <c r="W610" t="s">
        <v>67</v>
      </c>
      <c r="X610" t="s">
        <v>60</v>
      </c>
      <c r="Z610">
        <v>223</v>
      </c>
      <c r="AA610" t="s">
        <v>1641</v>
      </c>
      <c r="AB610" t="s">
        <v>1689</v>
      </c>
      <c r="AC610">
        <v>2604000191</v>
      </c>
      <c r="AE610">
        <v>0</v>
      </c>
      <c r="AF610">
        <v>0</v>
      </c>
      <c r="AG610">
        <v>0</v>
      </c>
      <c r="AH610">
        <v>0</v>
      </c>
      <c r="AI610" t="s">
        <v>56</v>
      </c>
      <c r="AJ610">
        <v>4.0999999999999996</v>
      </c>
      <c r="AK610">
        <v>0.9</v>
      </c>
      <c r="AL610">
        <v>0.15</v>
      </c>
      <c r="AM610">
        <v>29.1</v>
      </c>
      <c r="AN610">
        <v>1.45</v>
      </c>
      <c r="AO610">
        <v>0</v>
      </c>
      <c r="AP610">
        <v>0</v>
      </c>
      <c r="AQ610" t="s">
        <v>57</v>
      </c>
      <c r="AS610" t="s">
        <v>1690</v>
      </c>
      <c r="AT610" t="s">
        <v>1690</v>
      </c>
      <c r="AU610" t="s">
        <v>1689</v>
      </c>
      <c r="AV610" t="s">
        <v>1691</v>
      </c>
      <c r="AW610" t="s">
        <v>1692</v>
      </c>
      <c r="AZ610">
        <v>69760</v>
      </c>
      <c r="BA610" t="s">
        <v>1693</v>
      </c>
      <c r="BB610" t="s">
        <v>61</v>
      </c>
      <c r="BC610" t="s">
        <v>62</v>
      </c>
    </row>
    <row r="611" spans="1:55" x14ac:dyDescent="0.25">
      <c r="A611" s="1" t="str">
        <f>IF(COUNTIF(Catégories!A:A,X611)=0,"catégorie inconnue",_xlfn.XLOOKUP(X611,Catégories!A:A,Catégories!B:B))</f>
        <v>Frêt</v>
      </c>
      <c r="B611" s="1">
        <f t="shared" si="27"/>
        <v>6.6000000000000005</v>
      </c>
      <c r="C611" s="1">
        <f t="shared" si="28"/>
        <v>1.45</v>
      </c>
      <c r="D611" s="1">
        <f t="shared" si="29"/>
        <v>5.15</v>
      </c>
      <c r="E611" s="20">
        <f>IF(AH611&lt;&gt;0,ROUNDUP(AH611,0),IF(BB611&lt;&gt;"FR","hors France",IF(AH611&lt;&gt;0,ROUNDUP(AH611,0),_xlfn.XLOOKUP(AJ611,'PA GLS'!B:B,'PA GLS'!A:A))))</f>
        <v>1</v>
      </c>
      <c r="F611">
        <v>2501382993</v>
      </c>
      <c r="G611">
        <v>1030264735</v>
      </c>
      <c r="H611" t="s">
        <v>366</v>
      </c>
      <c r="I611">
        <v>2500034092</v>
      </c>
      <c r="J611" t="s">
        <v>50</v>
      </c>
      <c r="K611">
        <v>9000009190</v>
      </c>
      <c r="L611">
        <v>46946</v>
      </c>
      <c r="M611" t="s">
        <v>51</v>
      </c>
      <c r="N611">
        <v>9000079830</v>
      </c>
      <c r="O611" t="s">
        <v>187</v>
      </c>
      <c r="S611">
        <v>2507012387</v>
      </c>
      <c r="T611" t="s">
        <v>50</v>
      </c>
      <c r="U611" t="s">
        <v>122</v>
      </c>
      <c r="V611" t="s">
        <v>69</v>
      </c>
      <c r="W611" t="s">
        <v>70</v>
      </c>
      <c r="X611" t="s">
        <v>60</v>
      </c>
      <c r="Z611">
        <v>222</v>
      </c>
      <c r="AA611" t="s">
        <v>1641</v>
      </c>
      <c r="AB611" t="s">
        <v>1694</v>
      </c>
      <c r="AC611">
        <v>2604000214</v>
      </c>
      <c r="AE611">
        <v>0</v>
      </c>
      <c r="AF611">
        <v>0</v>
      </c>
      <c r="AG611">
        <v>0</v>
      </c>
      <c r="AH611">
        <v>0</v>
      </c>
      <c r="AI611" t="s">
        <v>56</v>
      </c>
      <c r="AJ611">
        <v>4.0999999999999996</v>
      </c>
      <c r="AK611">
        <v>0.9</v>
      </c>
      <c r="AL611">
        <v>0.15</v>
      </c>
      <c r="AM611">
        <v>29.1</v>
      </c>
      <c r="AN611">
        <v>1.45</v>
      </c>
      <c r="AO611">
        <v>0</v>
      </c>
      <c r="AP611">
        <v>0</v>
      </c>
      <c r="AQ611" t="s">
        <v>57</v>
      </c>
      <c r="AS611" t="s">
        <v>1695</v>
      </c>
      <c r="AT611" t="s">
        <v>1695</v>
      </c>
      <c r="AU611" t="s">
        <v>1694</v>
      </c>
      <c r="AV611" t="s">
        <v>1696</v>
      </c>
      <c r="AW611" t="s">
        <v>1697</v>
      </c>
      <c r="AZ611">
        <v>75020</v>
      </c>
      <c r="BA611" t="s">
        <v>65</v>
      </c>
      <c r="BB611" t="s">
        <v>61</v>
      </c>
      <c r="BC611" t="s">
        <v>62</v>
      </c>
    </row>
    <row r="612" spans="1:55" x14ac:dyDescent="0.25">
      <c r="A612" s="1" t="str">
        <f>IF(COUNTIF(Catégories!A:A,X612)=0,"catégorie inconnue",_xlfn.XLOOKUP(X612,Catégories!A:A,Catégories!B:B))</f>
        <v>Frêt</v>
      </c>
      <c r="B612" s="1">
        <f t="shared" si="27"/>
        <v>6.17</v>
      </c>
      <c r="C612" s="1">
        <f t="shared" si="28"/>
        <v>1.35</v>
      </c>
      <c r="D612" s="1">
        <f t="shared" si="29"/>
        <v>4.82</v>
      </c>
      <c r="E612" s="20">
        <f>IF(AH612&lt;&gt;0,ROUNDUP(AH612,0),IF(BB612&lt;&gt;"FR","hors France",IF(AH612&lt;&gt;0,ROUNDUP(AH612,0),_xlfn.XLOOKUP(AJ612,'PA GLS'!B:B,'PA GLS'!A:A))))</f>
        <v>0.5</v>
      </c>
      <c r="F612">
        <v>2501382993</v>
      </c>
      <c r="G612">
        <v>1030264735</v>
      </c>
      <c r="H612" t="s">
        <v>366</v>
      </c>
      <c r="I612">
        <v>2500034092</v>
      </c>
      <c r="J612" t="s">
        <v>50</v>
      </c>
      <c r="K612">
        <v>9000009190</v>
      </c>
      <c r="L612">
        <v>46946</v>
      </c>
      <c r="M612" t="s">
        <v>51</v>
      </c>
      <c r="N612">
        <v>9000079830</v>
      </c>
      <c r="O612" t="s">
        <v>187</v>
      </c>
      <c r="S612">
        <v>2507012387</v>
      </c>
      <c r="T612" t="s">
        <v>50</v>
      </c>
      <c r="U612" t="s">
        <v>122</v>
      </c>
      <c r="V612" t="s">
        <v>71</v>
      </c>
      <c r="W612" t="s">
        <v>72</v>
      </c>
      <c r="X612" t="s">
        <v>60</v>
      </c>
      <c r="Z612">
        <v>221</v>
      </c>
      <c r="AA612" t="s">
        <v>1641</v>
      </c>
      <c r="AB612" t="s">
        <v>1698</v>
      </c>
      <c r="AC612">
        <v>2604000196</v>
      </c>
      <c r="AE612">
        <v>0</v>
      </c>
      <c r="AF612">
        <v>0</v>
      </c>
      <c r="AG612">
        <v>0</v>
      </c>
      <c r="AH612">
        <v>0</v>
      </c>
      <c r="AI612" t="s">
        <v>56</v>
      </c>
      <c r="AJ612">
        <v>3.77</v>
      </c>
      <c r="AK612">
        <v>0.9</v>
      </c>
      <c r="AL612">
        <v>0.15</v>
      </c>
      <c r="AM612">
        <v>29.1</v>
      </c>
      <c r="AN612">
        <v>1.35</v>
      </c>
      <c r="AO612">
        <v>0</v>
      </c>
      <c r="AP612">
        <v>0</v>
      </c>
      <c r="AQ612" t="s">
        <v>57</v>
      </c>
      <c r="AS612" t="s">
        <v>1699</v>
      </c>
      <c r="AT612" t="s">
        <v>1699</v>
      </c>
      <c r="AU612" t="s">
        <v>1698</v>
      </c>
      <c r="AV612" t="s">
        <v>1700</v>
      </c>
      <c r="AW612" t="s">
        <v>1701</v>
      </c>
      <c r="AZ612">
        <v>35000</v>
      </c>
      <c r="BA612" t="s">
        <v>386</v>
      </c>
      <c r="BB612" t="s">
        <v>61</v>
      </c>
      <c r="BC612" t="s">
        <v>62</v>
      </c>
    </row>
    <row r="613" spans="1:55" x14ac:dyDescent="0.25">
      <c r="A613" s="1" t="str">
        <f>IF(COUNTIF(Catégories!A:A,X613)=0,"catégorie inconnue",_xlfn.XLOOKUP(X613,Catégories!A:A,Catégories!B:B))</f>
        <v>Frêt</v>
      </c>
      <c r="B613" s="1">
        <f t="shared" si="27"/>
        <v>6.17</v>
      </c>
      <c r="C613" s="1">
        <f t="shared" si="28"/>
        <v>1.35</v>
      </c>
      <c r="D613" s="1">
        <f t="shared" si="29"/>
        <v>4.82</v>
      </c>
      <c r="E613" s="20">
        <f>IF(AH613&lt;&gt;0,ROUNDUP(AH613,0),IF(BB613&lt;&gt;"FR","hors France",IF(AH613&lt;&gt;0,ROUNDUP(AH613,0),_xlfn.XLOOKUP(AJ613,'PA GLS'!B:B,'PA GLS'!A:A))))</f>
        <v>0.5</v>
      </c>
      <c r="F613">
        <v>2501382993</v>
      </c>
      <c r="G613">
        <v>1030264735</v>
      </c>
      <c r="H613" t="s">
        <v>366</v>
      </c>
      <c r="I613">
        <v>2500034092</v>
      </c>
      <c r="J613" t="s">
        <v>50</v>
      </c>
      <c r="K613">
        <v>9000009190</v>
      </c>
      <c r="L613">
        <v>46946</v>
      </c>
      <c r="M613" t="s">
        <v>51</v>
      </c>
      <c r="N613">
        <v>9000079830</v>
      </c>
      <c r="O613" t="s">
        <v>187</v>
      </c>
      <c r="S613">
        <v>2507012387</v>
      </c>
      <c r="T613" t="s">
        <v>50</v>
      </c>
      <c r="U613" t="s">
        <v>122</v>
      </c>
      <c r="V613" t="s">
        <v>71</v>
      </c>
      <c r="W613" t="s">
        <v>72</v>
      </c>
      <c r="X613" t="s">
        <v>60</v>
      </c>
      <c r="Z613">
        <v>221</v>
      </c>
      <c r="AA613" t="s">
        <v>1641</v>
      </c>
      <c r="AB613" t="s">
        <v>1702</v>
      </c>
      <c r="AC613">
        <v>2604000195</v>
      </c>
      <c r="AE613">
        <v>0</v>
      </c>
      <c r="AF613">
        <v>0</v>
      </c>
      <c r="AG613">
        <v>0</v>
      </c>
      <c r="AH613">
        <v>0</v>
      </c>
      <c r="AI613" t="s">
        <v>56</v>
      </c>
      <c r="AJ613">
        <v>3.77</v>
      </c>
      <c r="AK613">
        <v>0.9</v>
      </c>
      <c r="AL613">
        <v>0.15</v>
      </c>
      <c r="AM613">
        <v>29.1</v>
      </c>
      <c r="AN613">
        <v>1.35</v>
      </c>
      <c r="AO613">
        <v>0</v>
      </c>
      <c r="AP613">
        <v>0</v>
      </c>
      <c r="AQ613" t="s">
        <v>57</v>
      </c>
      <c r="AS613" t="s">
        <v>1703</v>
      </c>
      <c r="AT613" t="s">
        <v>1703</v>
      </c>
      <c r="AU613" t="s">
        <v>1702</v>
      </c>
      <c r="AV613" t="s">
        <v>1704</v>
      </c>
      <c r="AW613" t="s">
        <v>1705</v>
      </c>
      <c r="AZ613">
        <v>34130</v>
      </c>
      <c r="BA613" t="s">
        <v>1706</v>
      </c>
      <c r="BB613" t="s">
        <v>61</v>
      </c>
      <c r="BC613" t="s">
        <v>62</v>
      </c>
    </row>
    <row r="614" spans="1:55" x14ac:dyDescent="0.25">
      <c r="A614" s="1" t="str">
        <f>IF(COUNTIF(Catégories!A:A,X614)=0,"catégorie inconnue",_xlfn.XLOOKUP(X614,Catégories!A:A,Catégories!B:B))</f>
        <v>Frêt</v>
      </c>
      <c r="B614" s="1">
        <f t="shared" si="27"/>
        <v>6.17</v>
      </c>
      <c r="C614" s="1">
        <f t="shared" si="28"/>
        <v>1.35</v>
      </c>
      <c r="D614" s="1">
        <f t="shared" si="29"/>
        <v>4.82</v>
      </c>
      <c r="E614" s="20">
        <f>IF(AH614&lt;&gt;0,ROUNDUP(AH614,0),IF(BB614&lt;&gt;"FR","hors France",IF(AH614&lt;&gt;0,ROUNDUP(AH614,0),_xlfn.XLOOKUP(AJ614,'PA GLS'!B:B,'PA GLS'!A:A))))</f>
        <v>0.5</v>
      </c>
      <c r="F614">
        <v>2501382993</v>
      </c>
      <c r="G614">
        <v>1030264735</v>
      </c>
      <c r="H614" t="s">
        <v>366</v>
      </c>
      <c r="I614">
        <v>2500034092</v>
      </c>
      <c r="J614" t="s">
        <v>50</v>
      </c>
      <c r="K614">
        <v>9000009190</v>
      </c>
      <c r="L614">
        <v>46946</v>
      </c>
      <c r="M614" t="s">
        <v>51</v>
      </c>
      <c r="N614">
        <v>9000079830</v>
      </c>
      <c r="O614" t="s">
        <v>187</v>
      </c>
      <c r="S614">
        <v>2507012387</v>
      </c>
      <c r="T614" t="s">
        <v>50</v>
      </c>
      <c r="U614" t="s">
        <v>122</v>
      </c>
      <c r="V614" t="s">
        <v>71</v>
      </c>
      <c r="W614" t="s">
        <v>72</v>
      </c>
      <c r="X614" t="s">
        <v>60</v>
      </c>
      <c r="Z614">
        <v>221</v>
      </c>
      <c r="AA614" t="s">
        <v>1641</v>
      </c>
      <c r="AB614" t="s">
        <v>1707</v>
      </c>
      <c r="AC614">
        <v>2604000192</v>
      </c>
      <c r="AE614">
        <v>0</v>
      </c>
      <c r="AF614">
        <v>0</v>
      </c>
      <c r="AG614">
        <v>0</v>
      </c>
      <c r="AH614">
        <v>0</v>
      </c>
      <c r="AI614" t="s">
        <v>56</v>
      </c>
      <c r="AJ614">
        <v>3.77</v>
      </c>
      <c r="AK614">
        <v>0.9</v>
      </c>
      <c r="AL614">
        <v>0.15</v>
      </c>
      <c r="AM614">
        <v>29.1</v>
      </c>
      <c r="AN614">
        <v>1.35</v>
      </c>
      <c r="AO614">
        <v>0</v>
      </c>
      <c r="AP614">
        <v>0</v>
      </c>
      <c r="AQ614" t="s">
        <v>57</v>
      </c>
      <c r="AS614" t="s">
        <v>1708</v>
      </c>
      <c r="AT614" t="s">
        <v>1708</v>
      </c>
      <c r="AU614" t="s">
        <v>1707</v>
      </c>
      <c r="AV614" t="s">
        <v>1709</v>
      </c>
      <c r="AW614" t="s">
        <v>1710</v>
      </c>
      <c r="AZ614">
        <v>37100</v>
      </c>
      <c r="BA614" t="s">
        <v>352</v>
      </c>
      <c r="BB614" t="s">
        <v>61</v>
      </c>
      <c r="BC614" t="s">
        <v>62</v>
      </c>
    </row>
    <row r="615" spans="1:55" x14ac:dyDescent="0.25">
      <c r="A615" s="1" t="str">
        <f>IF(COUNTIF(Catégories!A:A,X615)=0,"catégorie inconnue",_xlfn.XLOOKUP(X615,Catégories!A:A,Catégories!B:B))</f>
        <v>Frêt</v>
      </c>
      <c r="B615" s="1">
        <f t="shared" si="27"/>
        <v>0</v>
      </c>
      <c r="C615" s="1">
        <f t="shared" si="28"/>
        <v>0</v>
      </c>
      <c r="D615" s="1">
        <f t="shared" si="29"/>
        <v>0</v>
      </c>
      <c r="E615" s="20">
        <f>IF(AH615&lt;&gt;0,ROUNDUP(AH615,0),IF(BB615&lt;&gt;"FR","hors France",IF(AH615&lt;&gt;0,ROUNDUP(AH615,0),_xlfn.XLOOKUP(AJ615,'PA GLS'!B:B,'PA GLS'!A:A))))</f>
        <v>1</v>
      </c>
      <c r="F615">
        <v>2501382993</v>
      </c>
      <c r="G615">
        <v>1030264735</v>
      </c>
      <c r="H615" t="s">
        <v>366</v>
      </c>
      <c r="I615">
        <v>2500034092</v>
      </c>
      <c r="J615" t="s">
        <v>50</v>
      </c>
      <c r="K615">
        <v>9000009190</v>
      </c>
      <c r="L615">
        <v>46946</v>
      </c>
      <c r="M615" t="s">
        <v>51</v>
      </c>
      <c r="N615">
        <v>9000079830</v>
      </c>
      <c r="O615" t="s">
        <v>187</v>
      </c>
      <c r="S615">
        <v>2507012387</v>
      </c>
      <c r="T615" t="s">
        <v>50</v>
      </c>
      <c r="U615" t="s">
        <v>122</v>
      </c>
      <c r="V615" t="s">
        <v>176</v>
      </c>
      <c r="W615" t="s">
        <v>177</v>
      </c>
      <c r="X615" t="s">
        <v>152</v>
      </c>
      <c r="Z615">
        <v>220</v>
      </c>
      <c r="AA615" t="s">
        <v>1641</v>
      </c>
      <c r="AB615" t="s">
        <v>1694</v>
      </c>
      <c r="AC615">
        <v>2604000214</v>
      </c>
      <c r="AE615">
        <v>0</v>
      </c>
      <c r="AF615">
        <v>1</v>
      </c>
      <c r="AG615">
        <v>0</v>
      </c>
      <c r="AH615">
        <v>0.56000000000000005</v>
      </c>
      <c r="AI615" t="s">
        <v>56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 t="s">
        <v>57</v>
      </c>
      <c r="AS615" t="s">
        <v>1695</v>
      </c>
      <c r="AT615" t="s">
        <v>1695</v>
      </c>
      <c r="AU615" t="s">
        <v>1694</v>
      </c>
      <c r="AV615" t="s">
        <v>1696</v>
      </c>
      <c r="AW615" t="s">
        <v>1697</v>
      </c>
      <c r="AZ615">
        <v>75020</v>
      </c>
      <c r="BA615" t="s">
        <v>65</v>
      </c>
      <c r="BB615" t="s">
        <v>61</v>
      </c>
      <c r="BC615" t="s">
        <v>62</v>
      </c>
    </row>
    <row r="616" spans="1:55" x14ac:dyDescent="0.25">
      <c r="A616" s="1" t="str">
        <f>IF(COUNTIF(Catégories!A:A,X616)=0,"catégorie inconnue",_xlfn.XLOOKUP(X616,Catégories!A:A,Catégories!B:B))</f>
        <v>Frêt</v>
      </c>
      <c r="B616" s="1">
        <f t="shared" si="27"/>
        <v>0</v>
      </c>
      <c r="C616" s="1">
        <f t="shared" si="28"/>
        <v>0</v>
      </c>
      <c r="D616" s="1">
        <f t="shared" si="29"/>
        <v>0</v>
      </c>
      <c r="E616" s="20">
        <f>IF(AH616&lt;&gt;0,ROUNDUP(AH616,0),IF(BB616&lt;&gt;"FR","hors France",IF(AH616&lt;&gt;0,ROUNDUP(AH616,0),_xlfn.XLOOKUP(AJ616,'PA GLS'!B:B,'PA GLS'!A:A))))</f>
        <v>1</v>
      </c>
      <c r="F616">
        <v>2501382993</v>
      </c>
      <c r="G616">
        <v>1030264735</v>
      </c>
      <c r="H616" t="s">
        <v>366</v>
      </c>
      <c r="I616">
        <v>2500034092</v>
      </c>
      <c r="J616" t="s">
        <v>50</v>
      </c>
      <c r="K616">
        <v>9000009190</v>
      </c>
      <c r="L616">
        <v>46946</v>
      </c>
      <c r="M616" t="s">
        <v>51</v>
      </c>
      <c r="N616">
        <v>9000079830</v>
      </c>
      <c r="O616" t="s">
        <v>187</v>
      </c>
      <c r="S616">
        <v>2507012387</v>
      </c>
      <c r="T616" t="s">
        <v>50</v>
      </c>
      <c r="U616" t="s">
        <v>122</v>
      </c>
      <c r="V616" t="s">
        <v>176</v>
      </c>
      <c r="W616" t="s">
        <v>177</v>
      </c>
      <c r="X616" t="s">
        <v>152</v>
      </c>
      <c r="Z616">
        <v>220</v>
      </c>
      <c r="AA616" t="s">
        <v>1641</v>
      </c>
      <c r="AB616" t="s">
        <v>1668</v>
      </c>
      <c r="AC616">
        <v>2604000213</v>
      </c>
      <c r="AE616">
        <v>0</v>
      </c>
      <c r="AF616">
        <v>1</v>
      </c>
      <c r="AG616">
        <v>0</v>
      </c>
      <c r="AH616">
        <v>0.84</v>
      </c>
      <c r="AI616" t="s">
        <v>56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 t="s">
        <v>57</v>
      </c>
      <c r="AS616" t="s">
        <v>1669</v>
      </c>
      <c r="AT616" t="s">
        <v>1669</v>
      </c>
      <c r="AU616" t="s">
        <v>1668</v>
      </c>
      <c r="AV616" t="s">
        <v>1670</v>
      </c>
      <c r="AW616" t="s">
        <v>1671</v>
      </c>
      <c r="AZ616">
        <v>69003</v>
      </c>
      <c r="BA616" t="s">
        <v>151</v>
      </c>
      <c r="BB616" t="s">
        <v>61</v>
      </c>
      <c r="BC616" t="s">
        <v>62</v>
      </c>
    </row>
    <row r="617" spans="1:55" x14ac:dyDescent="0.25">
      <c r="A617" s="1" t="str">
        <f>IF(COUNTIF(Catégories!A:A,X617)=0,"catégorie inconnue",_xlfn.XLOOKUP(X617,Catégories!A:A,Catégories!B:B))</f>
        <v>Frêt</v>
      </c>
      <c r="B617" s="1">
        <f t="shared" si="27"/>
        <v>0</v>
      </c>
      <c r="C617" s="1">
        <f t="shared" si="28"/>
        <v>0</v>
      </c>
      <c r="D617" s="1">
        <f t="shared" si="29"/>
        <v>0</v>
      </c>
      <c r="E617" s="20">
        <f>IF(AH617&lt;&gt;0,ROUNDUP(AH617,0),IF(BB617&lt;&gt;"FR","hors France",IF(AH617&lt;&gt;0,ROUNDUP(AH617,0),_xlfn.XLOOKUP(AJ617,'PA GLS'!B:B,'PA GLS'!A:A))))</f>
        <v>3</v>
      </c>
      <c r="F617">
        <v>2501382993</v>
      </c>
      <c r="G617">
        <v>1030264735</v>
      </c>
      <c r="H617" t="s">
        <v>366</v>
      </c>
      <c r="I617">
        <v>2500034092</v>
      </c>
      <c r="J617" t="s">
        <v>50</v>
      </c>
      <c r="K617">
        <v>9000009190</v>
      </c>
      <c r="L617">
        <v>46946</v>
      </c>
      <c r="M617" t="s">
        <v>51</v>
      </c>
      <c r="N617">
        <v>9000079830</v>
      </c>
      <c r="O617" t="s">
        <v>187</v>
      </c>
      <c r="S617">
        <v>2507012387</v>
      </c>
      <c r="T617" t="s">
        <v>50</v>
      </c>
      <c r="U617" t="s">
        <v>122</v>
      </c>
      <c r="V617" t="s">
        <v>176</v>
      </c>
      <c r="W617" t="s">
        <v>177</v>
      </c>
      <c r="X617" t="s">
        <v>152</v>
      </c>
      <c r="Z617">
        <v>220</v>
      </c>
      <c r="AA617" t="s">
        <v>1641</v>
      </c>
      <c r="AB617" t="s">
        <v>1711</v>
      </c>
      <c r="AC617">
        <v>2604000212</v>
      </c>
      <c r="AE617">
        <v>0</v>
      </c>
      <c r="AF617">
        <v>1</v>
      </c>
      <c r="AG617">
        <v>0</v>
      </c>
      <c r="AH617">
        <v>2.5</v>
      </c>
      <c r="AI617" t="s">
        <v>56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 t="s">
        <v>57</v>
      </c>
      <c r="AS617" t="s">
        <v>1712</v>
      </c>
      <c r="AT617" t="s">
        <v>1712</v>
      </c>
      <c r="AU617" t="s">
        <v>1711</v>
      </c>
      <c r="AV617" t="s">
        <v>1713</v>
      </c>
      <c r="AW617" t="s">
        <v>1714</v>
      </c>
      <c r="AZ617">
        <v>92200</v>
      </c>
      <c r="BA617" t="s">
        <v>297</v>
      </c>
      <c r="BB617" t="s">
        <v>61</v>
      </c>
      <c r="BC617" t="s">
        <v>62</v>
      </c>
    </row>
    <row r="618" spans="1:55" x14ac:dyDescent="0.25">
      <c r="A618" s="1" t="str">
        <f>IF(COUNTIF(Catégories!A:A,X618)=0,"catégorie inconnue",_xlfn.XLOOKUP(X618,Catégories!A:A,Catégories!B:B))</f>
        <v>Frêt</v>
      </c>
      <c r="B618" s="1">
        <f t="shared" si="27"/>
        <v>0</v>
      </c>
      <c r="C618" s="1">
        <f t="shared" si="28"/>
        <v>0</v>
      </c>
      <c r="D618" s="1">
        <f t="shared" si="29"/>
        <v>0</v>
      </c>
      <c r="E618" s="20">
        <f>IF(AH618&lt;&gt;0,ROUNDUP(AH618,0),IF(BB618&lt;&gt;"FR","hors France",IF(AH618&lt;&gt;0,ROUNDUP(AH618,0),_xlfn.XLOOKUP(AJ618,'PA GLS'!B:B,'PA GLS'!A:A))))</f>
        <v>2</v>
      </c>
      <c r="F618">
        <v>2501382993</v>
      </c>
      <c r="G618">
        <v>1030264735</v>
      </c>
      <c r="H618" t="s">
        <v>366</v>
      </c>
      <c r="I618">
        <v>2500034092</v>
      </c>
      <c r="J618" t="s">
        <v>50</v>
      </c>
      <c r="K618">
        <v>9000009190</v>
      </c>
      <c r="L618">
        <v>46946</v>
      </c>
      <c r="M618" t="s">
        <v>51</v>
      </c>
      <c r="N618">
        <v>9000079830</v>
      </c>
      <c r="O618" t="s">
        <v>187</v>
      </c>
      <c r="S618">
        <v>2507012387</v>
      </c>
      <c r="T618" t="s">
        <v>50</v>
      </c>
      <c r="U618" t="s">
        <v>122</v>
      </c>
      <c r="V618" t="s">
        <v>176</v>
      </c>
      <c r="W618" t="s">
        <v>177</v>
      </c>
      <c r="X618" t="s">
        <v>152</v>
      </c>
      <c r="Z618">
        <v>220</v>
      </c>
      <c r="AA618" t="s">
        <v>1641</v>
      </c>
      <c r="AB618" t="s">
        <v>1642</v>
      </c>
      <c r="AC618">
        <v>2604000211</v>
      </c>
      <c r="AE618">
        <v>0</v>
      </c>
      <c r="AF618">
        <v>1</v>
      </c>
      <c r="AG618">
        <v>0</v>
      </c>
      <c r="AH618">
        <v>1.1200000000000001</v>
      </c>
      <c r="AI618" t="s">
        <v>56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 t="s">
        <v>57</v>
      </c>
      <c r="AS618" t="s">
        <v>1643</v>
      </c>
      <c r="AT618" t="s">
        <v>1643</v>
      </c>
      <c r="AU618" t="s">
        <v>1642</v>
      </c>
      <c r="AV618" t="s">
        <v>1644</v>
      </c>
      <c r="AW618" t="s">
        <v>1645</v>
      </c>
      <c r="AZ618">
        <v>34170</v>
      </c>
      <c r="BA618" t="s">
        <v>1646</v>
      </c>
      <c r="BB618" t="s">
        <v>61</v>
      </c>
      <c r="BC618" t="s">
        <v>62</v>
      </c>
    </row>
    <row r="619" spans="1:55" x14ac:dyDescent="0.25">
      <c r="A619" s="1" t="str">
        <f>IF(COUNTIF(Catégories!A:A,X619)=0,"catégorie inconnue",_xlfn.XLOOKUP(X619,Catégories!A:A,Catégories!B:B))</f>
        <v>Frêt</v>
      </c>
      <c r="B619" s="1">
        <f t="shared" si="27"/>
        <v>0</v>
      </c>
      <c r="C619" s="1">
        <f t="shared" si="28"/>
        <v>0</v>
      </c>
      <c r="D619" s="1">
        <f t="shared" si="29"/>
        <v>0</v>
      </c>
      <c r="E619" s="20">
        <f>IF(AH619&lt;&gt;0,ROUNDUP(AH619,0),IF(BB619&lt;&gt;"FR","hors France",IF(AH619&lt;&gt;0,ROUNDUP(AH619,0),_xlfn.XLOOKUP(AJ619,'PA GLS'!B:B,'PA GLS'!A:A))))</f>
        <v>4</v>
      </c>
      <c r="F619">
        <v>2501382993</v>
      </c>
      <c r="G619">
        <v>1030264735</v>
      </c>
      <c r="H619" t="s">
        <v>366</v>
      </c>
      <c r="I619">
        <v>2500034092</v>
      </c>
      <c r="J619" t="s">
        <v>50</v>
      </c>
      <c r="K619">
        <v>9000009190</v>
      </c>
      <c r="L619">
        <v>46946</v>
      </c>
      <c r="M619" t="s">
        <v>51</v>
      </c>
      <c r="N619">
        <v>9000079830</v>
      </c>
      <c r="O619" t="s">
        <v>187</v>
      </c>
      <c r="S619">
        <v>2507012387</v>
      </c>
      <c r="T619" t="s">
        <v>50</v>
      </c>
      <c r="U619" t="s">
        <v>122</v>
      </c>
      <c r="V619" t="s">
        <v>176</v>
      </c>
      <c r="W619" t="s">
        <v>177</v>
      </c>
      <c r="X619" t="s">
        <v>152</v>
      </c>
      <c r="Z619">
        <v>220</v>
      </c>
      <c r="AA619" t="s">
        <v>1641</v>
      </c>
      <c r="AB619" t="s">
        <v>1715</v>
      </c>
      <c r="AC619">
        <v>2604000210</v>
      </c>
      <c r="AE619">
        <v>0</v>
      </c>
      <c r="AF619">
        <v>1</v>
      </c>
      <c r="AG619">
        <v>0</v>
      </c>
      <c r="AH619">
        <v>3.6</v>
      </c>
      <c r="AI619" t="s">
        <v>56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 t="s">
        <v>57</v>
      </c>
      <c r="AS619" t="s">
        <v>1716</v>
      </c>
      <c r="AT619" t="s">
        <v>1716</v>
      </c>
      <c r="AU619" t="s">
        <v>1715</v>
      </c>
      <c r="AV619" t="s">
        <v>1717</v>
      </c>
      <c r="AW619" t="s">
        <v>1718</v>
      </c>
      <c r="AZ619">
        <v>33120</v>
      </c>
      <c r="BA619" t="s">
        <v>1719</v>
      </c>
      <c r="BB619" t="s">
        <v>61</v>
      </c>
      <c r="BC619" t="s">
        <v>62</v>
      </c>
    </row>
    <row r="620" spans="1:55" x14ac:dyDescent="0.25">
      <c r="A620" s="1" t="str">
        <f>IF(COUNTIF(Catégories!A:A,X620)=0,"catégorie inconnue",_xlfn.XLOOKUP(X620,Catégories!A:A,Catégories!B:B))</f>
        <v>Frêt</v>
      </c>
      <c r="B620" s="1">
        <f t="shared" si="27"/>
        <v>0</v>
      </c>
      <c r="C620" s="1">
        <f t="shared" si="28"/>
        <v>0</v>
      </c>
      <c r="D620" s="1">
        <f t="shared" si="29"/>
        <v>0</v>
      </c>
      <c r="E620" s="20">
        <f>IF(AH620&lt;&gt;0,ROUNDUP(AH620,0),IF(BB620&lt;&gt;"FR","hors France",IF(AH620&lt;&gt;0,ROUNDUP(AH620,0),_xlfn.XLOOKUP(AJ620,'PA GLS'!B:B,'PA GLS'!A:A))))</f>
        <v>3</v>
      </c>
      <c r="F620">
        <v>2501382993</v>
      </c>
      <c r="G620">
        <v>1030264735</v>
      </c>
      <c r="H620" t="s">
        <v>366</v>
      </c>
      <c r="I620">
        <v>2500034092</v>
      </c>
      <c r="J620" t="s">
        <v>50</v>
      </c>
      <c r="K620">
        <v>9000009190</v>
      </c>
      <c r="L620">
        <v>46946</v>
      </c>
      <c r="M620" t="s">
        <v>51</v>
      </c>
      <c r="N620">
        <v>9000079830</v>
      </c>
      <c r="O620" t="s">
        <v>187</v>
      </c>
      <c r="S620">
        <v>2507012387</v>
      </c>
      <c r="T620" t="s">
        <v>50</v>
      </c>
      <c r="U620" t="s">
        <v>122</v>
      </c>
      <c r="V620" t="s">
        <v>176</v>
      </c>
      <c r="W620" t="s">
        <v>177</v>
      </c>
      <c r="X620" t="s">
        <v>152</v>
      </c>
      <c r="Z620">
        <v>220</v>
      </c>
      <c r="AA620" t="s">
        <v>1641</v>
      </c>
      <c r="AB620" t="s">
        <v>1720</v>
      </c>
      <c r="AC620">
        <v>2604000209</v>
      </c>
      <c r="AE620">
        <v>0</v>
      </c>
      <c r="AF620">
        <v>1</v>
      </c>
      <c r="AG620">
        <v>0</v>
      </c>
      <c r="AH620">
        <v>2.2200000000000002</v>
      </c>
      <c r="AI620" t="s">
        <v>56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 t="s">
        <v>57</v>
      </c>
      <c r="AS620" t="s">
        <v>1721</v>
      </c>
      <c r="AT620" t="s">
        <v>1721</v>
      </c>
      <c r="AU620" t="s">
        <v>1720</v>
      </c>
      <c r="AV620" t="s">
        <v>1722</v>
      </c>
      <c r="AW620" t="s">
        <v>1723</v>
      </c>
      <c r="AZ620">
        <v>91240</v>
      </c>
      <c r="BA620" t="s">
        <v>1724</v>
      </c>
      <c r="BB620" t="s">
        <v>61</v>
      </c>
      <c r="BC620" t="s">
        <v>62</v>
      </c>
    </row>
    <row r="621" spans="1:55" x14ac:dyDescent="0.25">
      <c r="A621" s="1" t="str">
        <f>IF(COUNTIF(Catégories!A:A,X621)=0,"catégorie inconnue",_xlfn.XLOOKUP(X621,Catégories!A:A,Catégories!B:B))</f>
        <v>Adresse</v>
      </c>
      <c r="B621" s="1">
        <f t="shared" si="27"/>
        <v>3.04</v>
      </c>
      <c r="C621" s="1">
        <f t="shared" si="28"/>
        <v>0.68</v>
      </c>
      <c r="D621" s="1">
        <f t="shared" si="29"/>
        <v>2.36</v>
      </c>
      <c r="E621" s="20" t="e">
        <f>IF(AH621&lt;&gt;0,ROUNDUP(AH621,0),IF(BB621&lt;&gt;"FR","hors France",IF(AH621&lt;&gt;0,ROUNDUP(AH621,0),_xlfn.XLOOKUP(AJ621,'PA GLS'!B:B,'PA GLS'!A:A))))</f>
        <v>#N/A</v>
      </c>
      <c r="F621">
        <v>2501382993</v>
      </c>
      <c r="G621">
        <v>1030264735</v>
      </c>
      <c r="H621" t="s">
        <v>366</v>
      </c>
      <c r="I621">
        <v>2500034092</v>
      </c>
      <c r="J621" t="s">
        <v>50</v>
      </c>
      <c r="K621">
        <v>9000009190</v>
      </c>
      <c r="L621">
        <v>46946</v>
      </c>
      <c r="M621" t="s">
        <v>51</v>
      </c>
      <c r="N621">
        <v>9000079830</v>
      </c>
      <c r="O621" t="s">
        <v>187</v>
      </c>
      <c r="S621">
        <v>2507012387</v>
      </c>
      <c r="T621" t="s">
        <v>50</v>
      </c>
      <c r="U621" t="s">
        <v>122</v>
      </c>
      <c r="V621" t="s">
        <v>651</v>
      </c>
      <c r="W621" t="s">
        <v>233</v>
      </c>
      <c r="X621" t="s">
        <v>163</v>
      </c>
      <c r="Z621">
        <v>229</v>
      </c>
      <c r="AA621" t="s">
        <v>1641</v>
      </c>
      <c r="AB621" t="s">
        <v>1581</v>
      </c>
      <c r="AC621">
        <v>2604000147</v>
      </c>
      <c r="AE621">
        <v>0</v>
      </c>
      <c r="AF621">
        <v>0</v>
      </c>
      <c r="AG621">
        <v>0</v>
      </c>
      <c r="AH621">
        <v>0</v>
      </c>
      <c r="AI621" t="s">
        <v>56</v>
      </c>
      <c r="AJ621">
        <v>2.36</v>
      </c>
      <c r="AK621">
        <v>0</v>
      </c>
      <c r="AL621">
        <v>0</v>
      </c>
      <c r="AM621">
        <v>29.1</v>
      </c>
      <c r="AN621">
        <v>0.68</v>
      </c>
      <c r="AO621">
        <v>0</v>
      </c>
      <c r="AP621">
        <v>0</v>
      </c>
      <c r="AQ621" t="s">
        <v>57</v>
      </c>
      <c r="AS621" t="s">
        <v>1582</v>
      </c>
      <c r="AT621" t="s">
        <v>1582</v>
      </c>
      <c r="AU621" t="s">
        <v>1581</v>
      </c>
      <c r="AV621" t="s">
        <v>1583</v>
      </c>
      <c r="AW621" t="s">
        <v>1584</v>
      </c>
      <c r="AZ621">
        <v>13290</v>
      </c>
      <c r="BA621" t="s">
        <v>235</v>
      </c>
      <c r="BB621" t="s">
        <v>61</v>
      </c>
      <c r="BC621" t="s">
        <v>62</v>
      </c>
    </row>
    <row r="622" spans="1:55" x14ac:dyDescent="0.25">
      <c r="A622" s="1" t="str">
        <f>IF(COUNTIF(Catégories!A:A,X622)=0,"catégorie inconnue",_xlfn.XLOOKUP(X622,Catégories!A:A,Catégories!B:B))</f>
        <v>Adresse</v>
      </c>
      <c r="B622" s="1">
        <f t="shared" si="27"/>
        <v>3.04</v>
      </c>
      <c r="C622" s="1">
        <f t="shared" si="28"/>
        <v>0.68</v>
      </c>
      <c r="D622" s="1">
        <f t="shared" si="29"/>
        <v>2.36</v>
      </c>
      <c r="E622" s="20" t="e">
        <f>IF(AH622&lt;&gt;0,ROUNDUP(AH622,0),IF(BB622&lt;&gt;"FR","hors France",IF(AH622&lt;&gt;0,ROUNDUP(AH622,0),_xlfn.XLOOKUP(AJ622,'PA GLS'!B:B,'PA GLS'!A:A))))</f>
        <v>#N/A</v>
      </c>
      <c r="F622">
        <v>2501382993</v>
      </c>
      <c r="G622">
        <v>1030264735</v>
      </c>
      <c r="H622" t="s">
        <v>366</v>
      </c>
      <c r="I622">
        <v>2500034092</v>
      </c>
      <c r="J622" t="s">
        <v>50</v>
      </c>
      <c r="K622">
        <v>9000009190</v>
      </c>
      <c r="L622">
        <v>46946</v>
      </c>
      <c r="M622" t="s">
        <v>51</v>
      </c>
      <c r="N622">
        <v>9000079830</v>
      </c>
      <c r="O622" t="s">
        <v>187</v>
      </c>
      <c r="S622">
        <v>2507012387</v>
      </c>
      <c r="T622" t="s">
        <v>50</v>
      </c>
      <c r="U622" t="s">
        <v>122</v>
      </c>
      <c r="V622" t="s">
        <v>651</v>
      </c>
      <c r="W622" t="s">
        <v>233</v>
      </c>
      <c r="X622" t="s">
        <v>163</v>
      </c>
      <c r="Z622">
        <v>229</v>
      </c>
      <c r="AA622" t="s">
        <v>1641</v>
      </c>
      <c r="AB622" t="s">
        <v>1475</v>
      </c>
      <c r="AC622">
        <v>2604000172</v>
      </c>
      <c r="AE622">
        <v>0</v>
      </c>
      <c r="AF622">
        <v>0</v>
      </c>
      <c r="AG622">
        <v>0</v>
      </c>
      <c r="AH622">
        <v>0</v>
      </c>
      <c r="AI622" t="s">
        <v>56</v>
      </c>
      <c r="AJ622">
        <v>2.36</v>
      </c>
      <c r="AK622">
        <v>0</v>
      </c>
      <c r="AL622">
        <v>0</v>
      </c>
      <c r="AM622">
        <v>29.1</v>
      </c>
      <c r="AN622">
        <v>0.68</v>
      </c>
      <c r="AO622">
        <v>0</v>
      </c>
      <c r="AP622">
        <v>0</v>
      </c>
      <c r="AQ622" t="s">
        <v>57</v>
      </c>
      <c r="AS622" t="s">
        <v>1476</v>
      </c>
      <c r="AT622" t="s">
        <v>1476</v>
      </c>
      <c r="AU622" t="s">
        <v>1475</v>
      </c>
      <c r="AV622" t="s">
        <v>1477</v>
      </c>
      <c r="AW622" t="s">
        <v>1478</v>
      </c>
      <c r="AZ622">
        <v>75018</v>
      </c>
      <c r="BA622" t="s">
        <v>65</v>
      </c>
      <c r="BB622" t="s">
        <v>61</v>
      </c>
      <c r="BC622" t="s">
        <v>62</v>
      </c>
    </row>
    <row r="623" spans="1:55" x14ac:dyDescent="0.25">
      <c r="A623" s="1" t="str">
        <f>IF(COUNTIF(Catégories!A:A,X623)=0,"catégorie inconnue",_xlfn.XLOOKUP(X623,Catégories!A:A,Catégories!B:B))</f>
        <v>Adresse</v>
      </c>
      <c r="B623" s="1">
        <f t="shared" si="27"/>
        <v>3.04</v>
      </c>
      <c r="C623" s="1">
        <f t="shared" si="28"/>
        <v>0.68</v>
      </c>
      <c r="D623" s="1">
        <f t="shared" si="29"/>
        <v>2.36</v>
      </c>
      <c r="E623" s="20" t="e">
        <f>IF(AH623&lt;&gt;0,ROUNDUP(AH623,0),IF(BB623&lt;&gt;"FR","hors France",IF(AH623&lt;&gt;0,ROUNDUP(AH623,0),_xlfn.XLOOKUP(AJ623,'PA GLS'!B:B,'PA GLS'!A:A))))</f>
        <v>#N/A</v>
      </c>
      <c r="F623">
        <v>2501382993</v>
      </c>
      <c r="G623">
        <v>1030264735</v>
      </c>
      <c r="H623" t="s">
        <v>366</v>
      </c>
      <c r="I623">
        <v>2500034092</v>
      </c>
      <c r="J623" t="s">
        <v>50</v>
      </c>
      <c r="K623">
        <v>9000009190</v>
      </c>
      <c r="L623">
        <v>46946</v>
      </c>
      <c r="M623" t="s">
        <v>51</v>
      </c>
      <c r="N623">
        <v>9000079830</v>
      </c>
      <c r="O623" t="s">
        <v>187</v>
      </c>
      <c r="S623">
        <v>2507012387</v>
      </c>
      <c r="T623" t="s">
        <v>50</v>
      </c>
      <c r="U623" t="s">
        <v>122</v>
      </c>
      <c r="V623" t="s">
        <v>651</v>
      </c>
      <c r="W623" t="s">
        <v>233</v>
      </c>
      <c r="X623" t="s">
        <v>163</v>
      </c>
      <c r="Z623">
        <v>229</v>
      </c>
      <c r="AA623" t="s">
        <v>1641</v>
      </c>
      <c r="AB623" t="s">
        <v>1523</v>
      </c>
      <c r="AC623">
        <v>2604000183</v>
      </c>
      <c r="AE623">
        <v>0</v>
      </c>
      <c r="AF623">
        <v>0</v>
      </c>
      <c r="AG623">
        <v>0</v>
      </c>
      <c r="AH623">
        <v>0</v>
      </c>
      <c r="AI623" t="s">
        <v>56</v>
      </c>
      <c r="AJ623">
        <v>2.36</v>
      </c>
      <c r="AK623">
        <v>0</v>
      </c>
      <c r="AL623">
        <v>0</v>
      </c>
      <c r="AM623">
        <v>29.1</v>
      </c>
      <c r="AN623">
        <v>0.68</v>
      </c>
      <c r="AO623">
        <v>0</v>
      </c>
      <c r="AP623">
        <v>0</v>
      </c>
      <c r="AQ623" t="s">
        <v>57</v>
      </c>
      <c r="AS623" t="s">
        <v>1524</v>
      </c>
      <c r="AT623" t="s">
        <v>1524</v>
      </c>
      <c r="AU623" t="s">
        <v>1523</v>
      </c>
      <c r="AV623" t="s">
        <v>1525</v>
      </c>
      <c r="AW623" t="s">
        <v>1526</v>
      </c>
      <c r="AZ623">
        <v>69003</v>
      </c>
      <c r="BA623" t="s">
        <v>151</v>
      </c>
      <c r="BB623" t="s">
        <v>61</v>
      </c>
      <c r="BC623" t="s">
        <v>62</v>
      </c>
    </row>
    <row r="624" spans="1:55" x14ac:dyDescent="0.25">
      <c r="A624" s="1" t="str">
        <f>IF(COUNTIF(Catégories!A:A,X624)=0,"catégorie inconnue",_xlfn.XLOOKUP(X624,Catégories!A:A,Catégories!B:B))</f>
        <v>Frêt - avisé</v>
      </c>
      <c r="B624" s="1">
        <f t="shared" si="27"/>
        <v>0</v>
      </c>
      <c r="C624" s="1">
        <f t="shared" si="28"/>
        <v>0</v>
      </c>
      <c r="D624" s="1">
        <f t="shared" si="29"/>
        <v>0</v>
      </c>
      <c r="E624" s="20" t="e">
        <f>IF(AH624&lt;&gt;0,ROUNDUP(AH624,0),IF(BB624&lt;&gt;"FR","hors France",IF(AH624&lt;&gt;0,ROUNDUP(AH624,0),_xlfn.XLOOKUP(AJ624,'PA GLS'!B:B,'PA GLS'!A:A))))</f>
        <v>#N/A</v>
      </c>
      <c r="F624">
        <v>2501382993</v>
      </c>
      <c r="G624">
        <v>1030264735</v>
      </c>
      <c r="H624" t="s">
        <v>366</v>
      </c>
      <c r="I624">
        <v>2500034092</v>
      </c>
      <c r="J624" t="s">
        <v>50</v>
      </c>
      <c r="K624">
        <v>9000009190</v>
      </c>
      <c r="L624">
        <v>46946</v>
      </c>
      <c r="M624" t="s">
        <v>51</v>
      </c>
      <c r="N624">
        <v>9000079830</v>
      </c>
      <c r="O624" t="s">
        <v>187</v>
      </c>
      <c r="S624">
        <v>2507012387</v>
      </c>
      <c r="T624" t="s">
        <v>50</v>
      </c>
      <c r="U624" t="s">
        <v>122</v>
      </c>
      <c r="V624" t="s">
        <v>178</v>
      </c>
      <c r="W624" t="s">
        <v>179</v>
      </c>
      <c r="X624" t="s">
        <v>79</v>
      </c>
      <c r="Z624">
        <v>230</v>
      </c>
      <c r="AA624" t="s">
        <v>1641</v>
      </c>
      <c r="AB624" t="s">
        <v>1536</v>
      </c>
      <c r="AC624">
        <v>2604000137</v>
      </c>
      <c r="AE624">
        <v>0</v>
      </c>
      <c r="AF624">
        <v>0</v>
      </c>
      <c r="AG624">
        <v>0</v>
      </c>
      <c r="AH624">
        <v>0</v>
      </c>
      <c r="AI624" t="s">
        <v>56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 t="s">
        <v>57</v>
      </c>
      <c r="AS624" t="s">
        <v>1537</v>
      </c>
      <c r="AT624" t="s">
        <v>1537</v>
      </c>
      <c r="AU624" t="s">
        <v>1536</v>
      </c>
      <c r="AV624" t="s">
        <v>1538</v>
      </c>
      <c r="AW624" t="s">
        <v>1539</v>
      </c>
      <c r="AZ624">
        <v>31400</v>
      </c>
      <c r="BA624" t="s">
        <v>218</v>
      </c>
      <c r="BB624" t="s">
        <v>61</v>
      </c>
      <c r="BC624" t="s">
        <v>62</v>
      </c>
    </row>
    <row r="625" spans="1:55" x14ac:dyDescent="0.25">
      <c r="A625" s="1" t="str">
        <f>IF(COUNTIF(Catégories!A:A,X625)=0,"catégorie inconnue",_xlfn.XLOOKUP(X625,Catégories!A:A,Catégories!B:B))</f>
        <v>Frêt - avisé</v>
      </c>
      <c r="B625" s="1">
        <f t="shared" si="27"/>
        <v>0</v>
      </c>
      <c r="C625" s="1">
        <f t="shared" si="28"/>
        <v>0</v>
      </c>
      <c r="D625" s="1">
        <f t="shared" si="29"/>
        <v>0</v>
      </c>
      <c r="E625" s="20" t="e">
        <f>IF(AH625&lt;&gt;0,ROUNDUP(AH625,0),IF(BB625&lt;&gt;"FR","hors France",IF(AH625&lt;&gt;0,ROUNDUP(AH625,0),_xlfn.XLOOKUP(AJ625,'PA GLS'!B:B,'PA GLS'!A:A))))</f>
        <v>#N/A</v>
      </c>
      <c r="F625">
        <v>2501382993</v>
      </c>
      <c r="G625">
        <v>1030264735</v>
      </c>
      <c r="H625" t="s">
        <v>366</v>
      </c>
      <c r="I625">
        <v>2500034092</v>
      </c>
      <c r="J625" t="s">
        <v>50</v>
      </c>
      <c r="K625">
        <v>9000009190</v>
      </c>
      <c r="L625">
        <v>46946</v>
      </c>
      <c r="M625" t="s">
        <v>51</v>
      </c>
      <c r="N625">
        <v>9000079830</v>
      </c>
      <c r="O625" t="s">
        <v>187</v>
      </c>
      <c r="S625">
        <v>2507012387</v>
      </c>
      <c r="T625" t="s">
        <v>50</v>
      </c>
      <c r="U625" t="s">
        <v>122</v>
      </c>
      <c r="V625" t="s">
        <v>178</v>
      </c>
      <c r="W625" t="s">
        <v>179</v>
      </c>
      <c r="X625" t="s">
        <v>79</v>
      </c>
      <c r="Z625">
        <v>230</v>
      </c>
      <c r="AA625" t="s">
        <v>1641</v>
      </c>
      <c r="AB625" t="s">
        <v>1581</v>
      </c>
      <c r="AC625">
        <v>2604000147</v>
      </c>
      <c r="AE625">
        <v>0</v>
      </c>
      <c r="AF625">
        <v>0</v>
      </c>
      <c r="AG625">
        <v>0</v>
      </c>
      <c r="AH625">
        <v>0</v>
      </c>
      <c r="AI625" t="s">
        <v>56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 t="s">
        <v>57</v>
      </c>
      <c r="AS625" t="s">
        <v>1582</v>
      </c>
      <c r="AT625" t="s">
        <v>1582</v>
      </c>
      <c r="AU625" t="s">
        <v>1581</v>
      </c>
      <c r="AV625" t="s">
        <v>1583</v>
      </c>
      <c r="AW625" t="s">
        <v>1584</v>
      </c>
      <c r="AZ625">
        <v>13290</v>
      </c>
      <c r="BA625" t="s">
        <v>235</v>
      </c>
      <c r="BB625" t="s">
        <v>61</v>
      </c>
      <c r="BC625" t="s">
        <v>62</v>
      </c>
    </row>
    <row r="626" spans="1:55" x14ac:dyDescent="0.25">
      <c r="A626" s="1" t="str">
        <f>IF(COUNTIF(Catégories!A:A,X626)=0,"catégorie inconnue",_xlfn.XLOOKUP(X626,Catégories!A:A,Catégories!B:B))</f>
        <v>Frêt - avisé</v>
      </c>
      <c r="B626" s="1">
        <f t="shared" si="27"/>
        <v>0</v>
      </c>
      <c r="C626" s="1">
        <f t="shared" si="28"/>
        <v>0</v>
      </c>
      <c r="D626" s="1">
        <f t="shared" si="29"/>
        <v>0</v>
      </c>
      <c r="E626" s="20" t="e">
        <f>IF(AH626&lt;&gt;0,ROUNDUP(AH626,0),IF(BB626&lt;&gt;"FR","hors France",IF(AH626&lt;&gt;0,ROUNDUP(AH626,0),_xlfn.XLOOKUP(AJ626,'PA GLS'!B:B,'PA GLS'!A:A))))</f>
        <v>#N/A</v>
      </c>
      <c r="F626">
        <v>2501382993</v>
      </c>
      <c r="G626">
        <v>1030264735</v>
      </c>
      <c r="H626" t="s">
        <v>366</v>
      </c>
      <c r="I626">
        <v>2500034092</v>
      </c>
      <c r="J626" t="s">
        <v>50</v>
      </c>
      <c r="K626">
        <v>9000009190</v>
      </c>
      <c r="L626">
        <v>46946</v>
      </c>
      <c r="M626" t="s">
        <v>51</v>
      </c>
      <c r="N626">
        <v>9000079830</v>
      </c>
      <c r="O626" t="s">
        <v>187</v>
      </c>
      <c r="S626">
        <v>2507012387</v>
      </c>
      <c r="T626" t="s">
        <v>50</v>
      </c>
      <c r="U626" t="s">
        <v>122</v>
      </c>
      <c r="V626" t="s">
        <v>178</v>
      </c>
      <c r="W626" t="s">
        <v>179</v>
      </c>
      <c r="X626" t="s">
        <v>79</v>
      </c>
      <c r="Z626">
        <v>230</v>
      </c>
      <c r="AA626" t="s">
        <v>1641</v>
      </c>
      <c r="AB626" t="s">
        <v>1475</v>
      </c>
      <c r="AC626">
        <v>2604000172</v>
      </c>
      <c r="AE626">
        <v>0</v>
      </c>
      <c r="AF626">
        <v>0</v>
      </c>
      <c r="AG626">
        <v>0</v>
      </c>
      <c r="AH626">
        <v>0</v>
      </c>
      <c r="AI626" t="s">
        <v>56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 t="s">
        <v>57</v>
      </c>
      <c r="AS626" t="s">
        <v>1476</v>
      </c>
      <c r="AT626" t="s">
        <v>1476</v>
      </c>
      <c r="AU626" t="s">
        <v>1475</v>
      </c>
      <c r="AV626" t="s">
        <v>1477</v>
      </c>
      <c r="AW626" t="s">
        <v>1478</v>
      </c>
      <c r="AZ626">
        <v>75018</v>
      </c>
      <c r="BA626" t="s">
        <v>65</v>
      </c>
      <c r="BB626" t="s">
        <v>61</v>
      </c>
      <c r="BC626" t="s">
        <v>62</v>
      </c>
    </row>
    <row r="627" spans="1:55" x14ac:dyDescent="0.25">
      <c r="A627" s="1" t="str">
        <f>IF(COUNTIF(Catégories!A:A,X627)=0,"catégorie inconnue",_xlfn.XLOOKUP(X627,Catégories!A:A,Catégories!B:B))</f>
        <v>Frêt - avisé</v>
      </c>
      <c r="B627" s="1">
        <f t="shared" si="27"/>
        <v>0</v>
      </c>
      <c r="C627" s="1">
        <f t="shared" si="28"/>
        <v>0</v>
      </c>
      <c r="D627" s="1">
        <f t="shared" si="29"/>
        <v>0</v>
      </c>
      <c r="E627" s="20" t="e">
        <f>IF(AH627&lt;&gt;0,ROUNDUP(AH627,0),IF(BB627&lt;&gt;"FR","hors France",IF(AH627&lt;&gt;0,ROUNDUP(AH627,0),_xlfn.XLOOKUP(AJ627,'PA GLS'!B:B,'PA GLS'!A:A))))</f>
        <v>#N/A</v>
      </c>
      <c r="F627">
        <v>2501382993</v>
      </c>
      <c r="G627">
        <v>1030264735</v>
      </c>
      <c r="H627" t="s">
        <v>366</v>
      </c>
      <c r="I627">
        <v>2500034092</v>
      </c>
      <c r="J627" t="s">
        <v>50</v>
      </c>
      <c r="K627">
        <v>9000009190</v>
      </c>
      <c r="L627">
        <v>46946</v>
      </c>
      <c r="M627" t="s">
        <v>51</v>
      </c>
      <c r="N627">
        <v>9000079830</v>
      </c>
      <c r="O627" t="s">
        <v>187</v>
      </c>
      <c r="S627">
        <v>2507012387</v>
      </c>
      <c r="T627" t="s">
        <v>50</v>
      </c>
      <c r="U627" t="s">
        <v>122</v>
      </c>
      <c r="V627" t="s">
        <v>178</v>
      </c>
      <c r="W627" t="s">
        <v>179</v>
      </c>
      <c r="X627" t="s">
        <v>79</v>
      </c>
      <c r="Z627">
        <v>230</v>
      </c>
      <c r="AA627" t="s">
        <v>1641</v>
      </c>
      <c r="AB627" t="s">
        <v>1523</v>
      </c>
      <c r="AC627">
        <v>2604000183</v>
      </c>
      <c r="AE627">
        <v>0</v>
      </c>
      <c r="AF627">
        <v>0</v>
      </c>
      <c r="AG627">
        <v>0</v>
      </c>
      <c r="AH627">
        <v>0</v>
      </c>
      <c r="AI627" t="s">
        <v>56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 t="s">
        <v>57</v>
      </c>
      <c r="AS627" t="s">
        <v>1524</v>
      </c>
      <c r="AT627" t="s">
        <v>1524</v>
      </c>
      <c r="AU627" t="s">
        <v>1523</v>
      </c>
      <c r="AV627" t="s">
        <v>1525</v>
      </c>
      <c r="AW627" t="s">
        <v>1526</v>
      </c>
      <c r="AZ627">
        <v>69003</v>
      </c>
      <c r="BA627" t="s">
        <v>151</v>
      </c>
      <c r="BB627" t="s">
        <v>61</v>
      </c>
      <c r="BC627" t="s">
        <v>62</v>
      </c>
    </row>
    <row r="628" spans="1:55" x14ac:dyDescent="0.25">
      <c r="A628" s="1" t="str">
        <f>IF(COUNTIF(Catégories!A:A,X628)=0,"catégorie inconnue",_xlfn.XLOOKUP(X628,Catégories!A:A,Catégories!B:B))</f>
        <v>Frêt</v>
      </c>
      <c r="B628" s="1">
        <f t="shared" si="27"/>
        <v>10.32</v>
      </c>
      <c r="C628" s="1">
        <f t="shared" si="28"/>
        <v>2.29</v>
      </c>
      <c r="D628" s="1">
        <f t="shared" si="29"/>
        <v>8.0300000000000011</v>
      </c>
      <c r="E628" s="20">
        <f>IF(AH628&lt;&gt;0,ROUNDUP(AH628,0),IF(BB628&lt;&gt;"FR","hors France",IF(AH628&lt;&gt;0,ROUNDUP(AH628,0),_xlfn.XLOOKUP(AJ628,'PA GLS'!B:B,'PA GLS'!A:A))))</f>
        <v>7</v>
      </c>
      <c r="F628">
        <v>2501382993</v>
      </c>
      <c r="G628">
        <v>1030264735</v>
      </c>
      <c r="H628" t="s">
        <v>366</v>
      </c>
      <c r="I628">
        <v>2500034092</v>
      </c>
      <c r="J628" t="s">
        <v>50</v>
      </c>
      <c r="K628">
        <v>9000009190</v>
      </c>
      <c r="L628">
        <v>46946</v>
      </c>
      <c r="M628" t="s">
        <v>51</v>
      </c>
      <c r="N628">
        <v>9000079830</v>
      </c>
      <c r="O628" t="s">
        <v>187</v>
      </c>
      <c r="S628">
        <v>2507012387</v>
      </c>
      <c r="T628" t="s">
        <v>50</v>
      </c>
      <c r="U628" t="s">
        <v>122</v>
      </c>
      <c r="V628" t="s">
        <v>348</v>
      </c>
      <c r="W628" t="s">
        <v>349</v>
      </c>
      <c r="X628" t="s">
        <v>60</v>
      </c>
      <c r="Z628">
        <v>228</v>
      </c>
      <c r="AA628" t="s">
        <v>1641</v>
      </c>
      <c r="AB628" t="s">
        <v>1725</v>
      </c>
      <c r="AC628">
        <v>2604000194</v>
      </c>
      <c r="AE628">
        <v>0</v>
      </c>
      <c r="AF628">
        <v>0</v>
      </c>
      <c r="AG628">
        <v>0</v>
      </c>
      <c r="AH628">
        <v>0</v>
      </c>
      <c r="AI628" t="s">
        <v>56</v>
      </c>
      <c r="AJ628">
        <v>6.98</v>
      </c>
      <c r="AK628">
        <v>0.9</v>
      </c>
      <c r="AL628">
        <v>0.15</v>
      </c>
      <c r="AM628">
        <v>29.1</v>
      </c>
      <c r="AN628">
        <v>2.29</v>
      </c>
      <c r="AO628">
        <v>0</v>
      </c>
      <c r="AP628">
        <v>0</v>
      </c>
      <c r="AQ628" t="s">
        <v>57</v>
      </c>
      <c r="AS628" t="s">
        <v>1726</v>
      </c>
      <c r="AT628" t="s">
        <v>1726</v>
      </c>
      <c r="AU628" t="s">
        <v>1725</v>
      </c>
      <c r="AV628" t="s">
        <v>1727</v>
      </c>
      <c r="AW628" t="s">
        <v>1728</v>
      </c>
      <c r="AZ628">
        <v>14800</v>
      </c>
      <c r="BA628" t="s">
        <v>1729</v>
      </c>
      <c r="BB628" t="s">
        <v>61</v>
      </c>
      <c r="BC628" t="s">
        <v>62</v>
      </c>
    </row>
    <row r="629" spans="1:55" x14ac:dyDescent="0.25">
      <c r="A629" s="1" t="str">
        <f>IF(COUNTIF(Catégories!A:A,X629)=0,"catégorie inconnue",_xlfn.XLOOKUP(X629,Catégories!A:A,Catégories!B:B))</f>
        <v>Frêt</v>
      </c>
      <c r="B629" s="1">
        <f t="shared" si="27"/>
        <v>8.15</v>
      </c>
      <c r="C629" s="1">
        <f t="shared" si="28"/>
        <v>1.8</v>
      </c>
      <c r="D629" s="1">
        <f t="shared" si="29"/>
        <v>6.3500000000000005</v>
      </c>
      <c r="E629" s="20">
        <f>IF(AH629&lt;&gt;0,ROUNDUP(AH629,0),IF(BB629&lt;&gt;"FR","hors France",IF(AH629&lt;&gt;0,ROUNDUP(AH629,0),_xlfn.XLOOKUP(AJ629,'PA GLS'!B:B,'PA GLS'!A:A))))</f>
        <v>4</v>
      </c>
      <c r="F629">
        <v>2501382993</v>
      </c>
      <c r="G629">
        <v>1030264735</v>
      </c>
      <c r="H629" t="s">
        <v>366</v>
      </c>
      <c r="I629">
        <v>2500034092</v>
      </c>
      <c r="J629" t="s">
        <v>50</v>
      </c>
      <c r="K629">
        <v>9000009190</v>
      </c>
      <c r="L629">
        <v>46946</v>
      </c>
      <c r="M629" t="s">
        <v>51</v>
      </c>
      <c r="N629">
        <v>9000079830</v>
      </c>
      <c r="O629" t="s">
        <v>187</v>
      </c>
      <c r="S629">
        <v>2507012387</v>
      </c>
      <c r="T629" t="s">
        <v>50</v>
      </c>
      <c r="U629" t="s">
        <v>122</v>
      </c>
      <c r="V629" t="s">
        <v>231</v>
      </c>
      <c r="W629" t="s">
        <v>232</v>
      </c>
      <c r="X629" t="s">
        <v>60</v>
      </c>
      <c r="Z629">
        <v>227</v>
      </c>
      <c r="AA629" t="s">
        <v>1641</v>
      </c>
      <c r="AB629" t="s">
        <v>1715</v>
      </c>
      <c r="AC629">
        <v>2604000210</v>
      </c>
      <c r="AE629">
        <v>0</v>
      </c>
      <c r="AF629">
        <v>0</v>
      </c>
      <c r="AG629">
        <v>0</v>
      </c>
      <c r="AH629">
        <v>0</v>
      </c>
      <c r="AI629" t="s">
        <v>56</v>
      </c>
      <c r="AJ629">
        <v>5.3</v>
      </c>
      <c r="AK629">
        <v>0.9</v>
      </c>
      <c r="AL629">
        <v>0.15</v>
      </c>
      <c r="AM629">
        <v>29.1</v>
      </c>
      <c r="AN629">
        <v>1.8</v>
      </c>
      <c r="AO629">
        <v>0</v>
      </c>
      <c r="AP629">
        <v>0</v>
      </c>
      <c r="AQ629" t="s">
        <v>57</v>
      </c>
      <c r="AS629" t="s">
        <v>1716</v>
      </c>
      <c r="AT629" t="s">
        <v>1716</v>
      </c>
      <c r="AU629" t="s">
        <v>1715</v>
      </c>
      <c r="AV629" t="s">
        <v>1717</v>
      </c>
      <c r="AW629" t="s">
        <v>1718</v>
      </c>
      <c r="AZ629">
        <v>33120</v>
      </c>
      <c r="BA629" t="s">
        <v>1719</v>
      </c>
      <c r="BB629" t="s">
        <v>61</v>
      </c>
      <c r="BC629" t="s">
        <v>62</v>
      </c>
    </row>
    <row r="630" spans="1:55" x14ac:dyDescent="0.25">
      <c r="A630" s="1" t="str">
        <f>IF(COUNTIF(Catégories!A:A,X630)=0,"catégorie inconnue",_xlfn.XLOOKUP(X630,Catégories!A:A,Catégories!B:B))</f>
        <v>Frêt</v>
      </c>
      <c r="B630" s="1">
        <f t="shared" si="27"/>
        <v>7.4300000000000006</v>
      </c>
      <c r="C630" s="1">
        <f t="shared" si="28"/>
        <v>1.64</v>
      </c>
      <c r="D630" s="1">
        <f t="shared" si="29"/>
        <v>5.7900000000000009</v>
      </c>
      <c r="E630" s="20">
        <f>IF(AH630&lt;&gt;0,ROUNDUP(AH630,0),IF(BB630&lt;&gt;"FR","hors France",IF(AH630&lt;&gt;0,ROUNDUP(AH630,0),_xlfn.XLOOKUP(AJ630,'PA GLS'!B:B,'PA GLS'!A:A))))</f>
        <v>3</v>
      </c>
      <c r="F630">
        <v>2501382993</v>
      </c>
      <c r="G630">
        <v>1030264735</v>
      </c>
      <c r="H630" t="s">
        <v>366</v>
      </c>
      <c r="I630">
        <v>2500034092</v>
      </c>
      <c r="J630" t="s">
        <v>50</v>
      </c>
      <c r="K630">
        <v>9000009190</v>
      </c>
      <c r="L630">
        <v>46946</v>
      </c>
      <c r="M630" t="s">
        <v>51</v>
      </c>
      <c r="N630">
        <v>9000079830</v>
      </c>
      <c r="O630" t="s">
        <v>187</v>
      </c>
      <c r="S630">
        <v>2507012387</v>
      </c>
      <c r="T630" t="s">
        <v>50</v>
      </c>
      <c r="U630" t="s">
        <v>122</v>
      </c>
      <c r="V630" t="s">
        <v>58</v>
      </c>
      <c r="W630" t="s">
        <v>59</v>
      </c>
      <c r="X630" t="s">
        <v>60</v>
      </c>
      <c r="Z630">
        <v>226</v>
      </c>
      <c r="AA630" t="s">
        <v>1641</v>
      </c>
      <c r="AB630" t="s">
        <v>1711</v>
      </c>
      <c r="AC630">
        <v>2604000212</v>
      </c>
      <c r="AE630">
        <v>0</v>
      </c>
      <c r="AF630">
        <v>0</v>
      </c>
      <c r="AG630">
        <v>0</v>
      </c>
      <c r="AH630">
        <v>0</v>
      </c>
      <c r="AI630" t="s">
        <v>56</v>
      </c>
      <c r="AJ630">
        <v>4.74</v>
      </c>
      <c r="AK630">
        <v>0.9</v>
      </c>
      <c r="AL630">
        <v>0.15</v>
      </c>
      <c r="AM630">
        <v>29.1</v>
      </c>
      <c r="AN630">
        <v>1.64</v>
      </c>
      <c r="AO630">
        <v>0</v>
      </c>
      <c r="AP630">
        <v>0</v>
      </c>
      <c r="AQ630" t="s">
        <v>57</v>
      </c>
      <c r="AS630" t="s">
        <v>1712</v>
      </c>
      <c r="AT630" t="s">
        <v>1712</v>
      </c>
      <c r="AU630" t="s">
        <v>1711</v>
      </c>
      <c r="AV630" t="s">
        <v>1713</v>
      </c>
      <c r="AW630" t="s">
        <v>1714</v>
      </c>
      <c r="AZ630">
        <v>92200</v>
      </c>
      <c r="BA630" t="s">
        <v>297</v>
      </c>
      <c r="BB630" t="s">
        <v>61</v>
      </c>
      <c r="BC630" t="s">
        <v>62</v>
      </c>
    </row>
    <row r="631" spans="1:55" x14ac:dyDescent="0.25">
      <c r="A631" s="1" t="str">
        <f>IF(COUNTIF(Catégories!A:A,X631)=0,"catégorie inconnue",_xlfn.XLOOKUP(X631,Catégories!A:A,Catégories!B:B))</f>
        <v>Frêt</v>
      </c>
      <c r="B631" s="1">
        <f t="shared" si="27"/>
        <v>7.4300000000000006</v>
      </c>
      <c r="C631" s="1">
        <f t="shared" si="28"/>
        <v>1.64</v>
      </c>
      <c r="D631" s="1">
        <f t="shared" si="29"/>
        <v>5.7900000000000009</v>
      </c>
      <c r="E631" s="20">
        <f>IF(AH631&lt;&gt;0,ROUNDUP(AH631,0),IF(BB631&lt;&gt;"FR","hors France",IF(AH631&lt;&gt;0,ROUNDUP(AH631,0),_xlfn.XLOOKUP(AJ631,'PA GLS'!B:B,'PA GLS'!A:A))))</f>
        <v>3</v>
      </c>
      <c r="F631">
        <v>2501382993</v>
      </c>
      <c r="G631">
        <v>1030264735</v>
      </c>
      <c r="H631" t="s">
        <v>366</v>
      </c>
      <c r="I631">
        <v>2500034092</v>
      </c>
      <c r="J631" t="s">
        <v>50</v>
      </c>
      <c r="K631">
        <v>9000009190</v>
      </c>
      <c r="L631">
        <v>46946</v>
      </c>
      <c r="M631" t="s">
        <v>51</v>
      </c>
      <c r="N631">
        <v>9000079830</v>
      </c>
      <c r="O631" t="s">
        <v>187</v>
      </c>
      <c r="S631">
        <v>2507012387</v>
      </c>
      <c r="T631" t="s">
        <v>50</v>
      </c>
      <c r="U631" t="s">
        <v>122</v>
      </c>
      <c r="V631" t="s">
        <v>58</v>
      </c>
      <c r="W631" t="s">
        <v>59</v>
      </c>
      <c r="X631" t="s">
        <v>60</v>
      </c>
      <c r="Z631">
        <v>226</v>
      </c>
      <c r="AA631" t="s">
        <v>1641</v>
      </c>
      <c r="AB631" t="s">
        <v>1720</v>
      </c>
      <c r="AC631">
        <v>2604000209</v>
      </c>
      <c r="AE631">
        <v>0</v>
      </c>
      <c r="AF631">
        <v>0</v>
      </c>
      <c r="AG631">
        <v>0</v>
      </c>
      <c r="AH631">
        <v>0</v>
      </c>
      <c r="AI631" t="s">
        <v>56</v>
      </c>
      <c r="AJ631">
        <v>4.74</v>
      </c>
      <c r="AK631">
        <v>0.9</v>
      </c>
      <c r="AL631">
        <v>0.15</v>
      </c>
      <c r="AM631">
        <v>29.1</v>
      </c>
      <c r="AN631">
        <v>1.64</v>
      </c>
      <c r="AO631">
        <v>0</v>
      </c>
      <c r="AP631">
        <v>0</v>
      </c>
      <c r="AQ631" t="s">
        <v>57</v>
      </c>
      <c r="AS631" t="s">
        <v>1721</v>
      </c>
      <c r="AT631" t="s">
        <v>1721</v>
      </c>
      <c r="AU631" t="s">
        <v>1720</v>
      </c>
      <c r="AV631" t="s">
        <v>1722</v>
      </c>
      <c r="AW631" t="s">
        <v>1723</v>
      </c>
      <c r="AZ631">
        <v>91240</v>
      </c>
      <c r="BA631" t="s">
        <v>1724</v>
      </c>
      <c r="BB631" t="s">
        <v>61</v>
      </c>
      <c r="BC631" t="s">
        <v>62</v>
      </c>
    </row>
    <row r="632" spans="1:55" x14ac:dyDescent="0.25">
      <c r="A632" s="1" t="str">
        <f>IF(COUNTIF(Catégories!A:A,X632)=0,"catégorie inconnue",_xlfn.XLOOKUP(X632,Catégories!A:A,Catégories!B:B))</f>
        <v>Frêt</v>
      </c>
      <c r="B632" s="1">
        <f t="shared" si="27"/>
        <v>7.4300000000000006</v>
      </c>
      <c r="C632" s="1">
        <f t="shared" si="28"/>
        <v>1.64</v>
      </c>
      <c r="D632" s="1">
        <f t="shared" si="29"/>
        <v>5.7900000000000009</v>
      </c>
      <c r="E632" s="20">
        <f>IF(AH632&lt;&gt;0,ROUNDUP(AH632,0),IF(BB632&lt;&gt;"FR","hors France",IF(AH632&lt;&gt;0,ROUNDUP(AH632,0),_xlfn.XLOOKUP(AJ632,'PA GLS'!B:B,'PA GLS'!A:A))))</f>
        <v>3</v>
      </c>
      <c r="F632">
        <v>2501382993</v>
      </c>
      <c r="G632">
        <v>1030264735</v>
      </c>
      <c r="H632" t="s">
        <v>366</v>
      </c>
      <c r="I632">
        <v>2500034092</v>
      </c>
      <c r="J632" t="s">
        <v>50</v>
      </c>
      <c r="K632">
        <v>9000009190</v>
      </c>
      <c r="L632">
        <v>46946</v>
      </c>
      <c r="M632" t="s">
        <v>51</v>
      </c>
      <c r="N632">
        <v>9000079830</v>
      </c>
      <c r="O632" t="s">
        <v>187</v>
      </c>
      <c r="S632">
        <v>2507012387</v>
      </c>
      <c r="T632" t="s">
        <v>50</v>
      </c>
      <c r="U632" t="s">
        <v>122</v>
      </c>
      <c r="V632" t="s">
        <v>58</v>
      </c>
      <c r="W632" t="s">
        <v>59</v>
      </c>
      <c r="X632" t="s">
        <v>60</v>
      </c>
      <c r="Z632">
        <v>226</v>
      </c>
      <c r="AA632" t="s">
        <v>1641</v>
      </c>
      <c r="AB632" t="s">
        <v>1730</v>
      </c>
      <c r="AC632">
        <v>2604000198</v>
      </c>
      <c r="AE632">
        <v>0</v>
      </c>
      <c r="AF632">
        <v>0</v>
      </c>
      <c r="AG632">
        <v>0</v>
      </c>
      <c r="AH632">
        <v>0</v>
      </c>
      <c r="AI632" t="s">
        <v>56</v>
      </c>
      <c r="AJ632">
        <v>4.74</v>
      </c>
      <c r="AK632">
        <v>0.9</v>
      </c>
      <c r="AL632">
        <v>0.15</v>
      </c>
      <c r="AM632">
        <v>29.1</v>
      </c>
      <c r="AN632">
        <v>1.64</v>
      </c>
      <c r="AO632">
        <v>0</v>
      </c>
      <c r="AP632">
        <v>0</v>
      </c>
      <c r="AQ632" t="s">
        <v>57</v>
      </c>
      <c r="AS632" t="s">
        <v>1731</v>
      </c>
      <c r="AT632" t="s">
        <v>1731</v>
      </c>
      <c r="AU632" t="s">
        <v>1730</v>
      </c>
      <c r="AV632" t="s">
        <v>1732</v>
      </c>
      <c r="AW632" t="s">
        <v>1733</v>
      </c>
      <c r="AZ632">
        <v>13960</v>
      </c>
      <c r="BA632" t="s">
        <v>1734</v>
      </c>
      <c r="BB632" t="s">
        <v>61</v>
      </c>
      <c r="BC632" t="s">
        <v>62</v>
      </c>
    </row>
    <row r="633" spans="1:55" x14ac:dyDescent="0.25">
      <c r="A633" s="1" t="str">
        <f>IF(COUNTIF(Catégories!A:A,X633)=0,"catégorie inconnue",_xlfn.XLOOKUP(X633,Catégories!A:A,Catégories!B:B))</f>
        <v>Frêt</v>
      </c>
      <c r="B633" s="1">
        <f t="shared" si="27"/>
        <v>7.4300000000000006</v>
      </c>
      <c r="C633" s="1">
        <f t="shared" si="28"/>
        <v>1.64</v>
      </c>
      <c r="D633" s="1">
        <f t="shared" si="29"/>
        <v>5.7900000000000009</v>
      </c>
      <c r="E633" s="20">
        <f>IF(AH633&lt;&gt;0,ROUNDUP(AH633,0),IF(BB633&lt;&gt;"FR","hors France",IF(AH633&lt;&gt;0,ROUNDUP(AH633,0),_xlfn.XLOOKUP(AJ633,'PA GLS'!B:B,'PA GLS'!A:A))))</f>
        <v>3</v>
      </c>
      <c r="F633">
        <v>2501382993</v>
      </c>
      <c r="G633">
        <v>1030264735</v>
      </c>
      <c r="H633" t="s">
        <v>366</v>
      </c>
      <c r="I633">
        <v>2500034092</v>
      </c>
      <c r="J633" t="s">
        <v>50</v>
      </c>
      <c r="K633">
        <v>9000009190</v>
      </c>
      <c r="L633">
        <v>46946</v>
      </c>
      <c r="M633" t="s">
        <v>51</v>
      </c>
      <c r="N633">
        <v>9000079830</v>
      </c>
      <c r="O633" t="s">
        <v>187</v>
      </c>
      <c r="S633">
        <v>2507012387</v>
      </c>
      <c r="T633" t="s">
        <v>50</v>
      </c>
      <c r="U633" t="s">
        <v>122</v>
      </c>
      <c r="V633" t="s">
        <v>58</v>
      </c>
      <c r="W633" t="s">
        <v>59</v>
      </c>
      <c r="X633" t="s">
        <v>60</v>
      </c>
      <c r="Z633">
        <v>226</v>
      </c>
      <c r="AA633" t="s">
        <v>1641</v>
      </c>
      <c r="AB633" t="s">
        <v>1735</v>
      </c>
      <c r="AC633">
        <v>2604000190</v>
      </c>
      <c r="AE633">
        <v>0</v>
      </c>
      <c r="AF633">
        <v>0</v>
      </c>
      <c r="AG633">
        <v>0</v>
      </c>
      <c r="AH633">
        <v>0</v>
      </c>
      <c r="AI633" t="s">
        <v>56</v>
      </c>
      <c r="AJ633">
        <v>4.74</v>
      </c>
      <c r="AK633">
        <v>0.9</v>
      </c>
      <c r="AL633">
        <v>0.15</v>
      </c>
      <c r="AM633">
        <v>29.1</v>
      </c>
      <c r="AN633">
        <v>1.64</v>
      </c>
      <c r="AO633">
        <v>0</v>
      </c>
      <c r="AP633">
        <v>0</v>
      </c>
      <c r="AQ633" t="s">
        <v>57</v>
      </c>
      <c r="AS633" t="s">
        <v>1736</v>
      </c>
      <c r="AT633" t="s">
        <v>1736</v>
      </c>
      <c r="AU633" t="s">
        <v>1735</v>
      </c>
      <c r="AV633" t="s">
        <v>1737</v>
      </c>
      <c r="AW633" t="s">
        <v>1738</v>
      </c>
      <c r="AZ633">
        <v>58240</v>
      </c>
      <c r="BA633" t="s">
        <v>1739</v>
      </c>
      <c r="BB633" t="s">
        <v>61</v>
      </c>
      <c r="BC633" t="s">
        <v>62</v>
      </c>
    </row>
    <row r="634" spans="1:55" x14ac:dyDescent="0.25">
      <c r="A634" s="1" t="str">
        <f>IF(COUNTIF(Catégories!A:A,X634)=0,"catégorie inconnue",_xlfn.XLOOKUP(X634,Catégories!A:A,Catégories!B:B))</f>
        <v>Frêt</v>
      </c>
      <c r="B634" s="1">
        <f t="shared" si="27"/>
        <v>7.4300000000000006</v>
      </c>
      <c r="C634" s="1">
        <f t="shared" si="28"/>
        <v>1.64</v>
      </c>
      <c r="D634" s="1">
        <f t="shared" si="29"/>
        <v>5.7900000000000009</v>
      </c>
      <c r="E634" s="20">
        <f>IF(AH634&lt;&gt;0,ROUNDUP(AH634,0),IF(BB634&lt;&gt;"FR","hors France",IF(AH634&lt;&gt;0,ROUNDUP(AH634,0),_xlfn.XLOOKUP(AJ634,'PA GLS'!B:B,'PA GLS'!A:A))))</f>
        <v>3</v>
      </c>
      <c r="F634">
        <v>2501382993</v>
      </c>
      <c r="G634">
        <v>1030264735</v>
      </c>
      <c r="H634" t="s">
        <v>366</v>
      </c>
      <c r="I634">
        <v>2500034092</v>
      </c>
      <c r="J634" t="s">
        <v>50</v>
      </c>
      <c r="K634">
        <v>9000009190</v>
      </c>
      <c r="L634">
        <v>46946</v>
      </c>
      <c r="M634" t="s">
        <v>51</v>
      </c>
      <c r="N634">
        <v>9000079830</v>
      </c>
      <c r="O634" t="s">
        <v>187</v>
      </c>
      <c r="S634">
        <v>2507012387</v>
      </c>
      <c r="T634" t="s">
        <v>50</v>
      </c>
      <c r="U634" t="s">
        <v>122</v>
      </c>
      <c r="V634" t="s">
        <v>58</v>
      </c>
      <c r="W634" t="s">
        <v>59</v>
      </c>
      <c r="X634" t="s">
        <v>60</v>
      </c>
      <c r="Z634">
        <v>226</v>
      </c>
      <c r="AA634" t="s">
        <v>1641</v>
      </c>
      <c r="AB634" t="s">
        <v>1740</v>
      </c>
      <c r="AC634">
        <v>2604000186</v>
      </c>
      <c r="AE634">
        <v>0</v>
      </c>
      <c r="AF634">
        <v>0</v>
      </c>
      <c r="AG634">
        <v>0</v>
      </c>
      <c r="AH634">
        <v>0</v>
      </c>
      <c r="AI634" t="s">
        <v>56</v>
      </c>
      <c r="AJ634">
        <v>4.74</v>
      </c>
      <c r="AK634">
        <v>0.9</v>
      </c>
      <c r="AL634">
        <v>0.15</v>
      </c>
      <c r="AM634">
        <v>29.1</v>
      </c>
      <c r="AN634">
        <v>1.64</v>
      </c>
      <c r="AO634">
        <v>0</v>
      </c>
      <c r="AP634">
        <v>0</v>
      </c>
      <c r="AQ634" t="s">
        <v>57</v>
      </c>
      <c r="AS634" t="s">
        <v>1741</v>
      </c>
      <c r="AT634" t="s">
        <v>1741</v>
      </c>
      <c r="AU634" t="s">
        <v>1740</v>
      </c>
      <c r="AV634" t="s">
        <v>1742</v>
      </c>
      <c r="AW634" t="s">
        <v>1743</v>
      </c>
      <c r="AZ634">
        <v>75011</v>
      </c>
      <c r="BA634" t="s">
        <v>65</v>
      </c>
      <c r="BB634" t="s">
        <v>61</v>
      </c>
      <c r="BC634" t="s">
        <v>62</v>
      </c>
    </row>
    <row r="635" spans="1:55" x14ac:dyDescent="0.25">
      <c r="A635" s="1" t="str">
        <f>IF(COUNTIF(Catégories!A:A,X635)=0,"catégorie inconnue",_xlfn.XLOOKUP(X635,Catégories!A:A,Catégories!B:B))</f>
        <v>Frêt</v>
      </c>
      <c r="B635" s="1">
        <f t="shared" si="27"/>
        <v>7.0100000000000007</v>
      </c>
      <c r="C635" s="1">
        <f t="shared" si="28"/>
        <v>1.54</v>
      </c>
      <c r="D635" s="1">
        <f t="shared" si="29"/>
        <v>5.4700000000000006</v>
      </c>
      <c r="E635" s="20">
        <f>IF(AH635&lt;&gt;0,ROUNDUP(AH635,0),IF(BB635&lt;&gt;"FR","hors France",IF(AH635&lt;&gt;0,ROUNDUP(AH635,0),_xlfn.XLOOKUP(AJ635,'PA GLS'!B:B,'PA GLS'!A:A))))</f>
        <v>2</v>
      </c>
      <c r="F635">
        <v>2501382993</v>
      </c>
      <c r="G635">
        <v>1030264735</v>
      </c>
      <c r="H635" t="s">
        <v>366</v>
      </c>
      <c r="I635">
        <v>2500034092</v>
      </c>
      <c r="J635" t="s">
        <v>50</v>
      </c>
      <c r="K635">
        <v>9000009190</v>
      </c>
      <c r="L635">
        <v>46946</v>
      </c>
      <c r="M635" t="s">
        <v>51</v>
      </c>
      <c r="N635">
        <v>9000079830</v>
      </c>
      <c r="O635" t="s">
        <v>187</v>
      </c>
      <c r="S635">
        <v>2507012387</v>
      </c>
      <c r="T635" t="s">
        <v>50</v>
      </c>
      <c r="U635" t="s">
        <v>122</v>
      </c>
      <c r="V635" t="s">
        <v>77</v>
      </c>
      <c r="W635" t="s">
        <v>78</v>
      </c>
      <c r="X635" t="s">
        <v>60</v>
      </c>
      <c r="Z635">
        <v>225</v>
      </c>
      <c r="AA635" t="s">
        <v>1641</v>
      </c>
      <c r="AB635" t="s">
        <v>1744</v>
      </c>
      <c r="AC635">
        <v>2604000207</v>
      </c>
      <c r="AE635">
        <v>0</v>
      </c>
      <c r="AF635">
        <v>0</v>
      </c>
      <c r="AG635">
        <v>0</v>
      </c>
      <c r="AH635">
        <v>0</v>
      </c>
      <c r="AI635" t="s">
        <v>56</v>
      </c>
      <c r="AJ635">
        <v>4.42</v>
      </c>
      <c r="AK635">
        <v>0.9</v>
      </c>
      <c r="AL635">
        <v>0.15</v>
      </c>
      <c r="AM635">
        <v>29.1</v>
      </c>
      <c r="AN635">
        <v>1.54</v>
      </c>
      <c r="AO635">
        <v>0</v>
      </c>
      <c r="AP635">
        <v>0</v>
      </c>
      <c r="AQ635" t="s">
        <v>57</v>
      </c>
      <c r="AS635" t="s">
        <v>1745</v>
      </c>
      <c r="AT635" t="s">
        <v>1745</v>
      </c>
      <c r="AU635" t="s">
        <v>1744</v>
      </c>
      <c r="AV635" t="s">
        <v>1746</v>
      </c>
      <c r="AW635" t="s">
        <v>1747</v>
      </c>
      <c r="AZ635">
        <v>83210</v>
      </c>
      <c r="BA635" t="s">
        <v>1748</v>
      </c>
      <c r="BB635" t="s">
        <v>61</v>
      </c>
      <c r="BC635" t="s">
        <v>62</v>
      </c>
    </row>
    <row r="636" spans="1:55" x14ac:dyDescent="0.25">
      <c r="A636" s="1" t="str">
        <f>IF(COUNTIF(Catégories!A:A,X636)=0,"catégorie inconnue",_xlfn.XLOOKUP(X636,Catégories!A:A,Catégories!B:B))</f>
        <v>Frêt</v>
      </c>
      <c r="B636" s="1">
        <f t="shared" si="27"/>
        <v>7.0100000000000007</v>
      </c>
      <c r="C636" s="1">
        <f t="shared" si="28"/>
        <v>1.54</v>
      </c>
      <c r="D636" s="1">
        <f t="shared" si="29"/>
        <v>5.4700000000000006</v>
      </c>
      <c r="E636" s="20">
        <f>IF(AH636&lt;&gt;0,ROUNDUP(AH636,0),IF(BB636&lt;&gt;"FR","hors France",IF(AH636&lt;&gt;0,ROUNDUP(AH636,0),_xlfn.XLOOKUP(AJ636,'PA GLS'!B:B,'PA GLS'!A:A))))</f>
        <v>2</v>
      </c>
      <c r="F636">
        <v>2501382993</v>
      </c>
      <c r="G636">
        <v>1030264735</v>
      </c>
      <c r="H636" t="s">
        <v>366</v>
      </c>
      <c r="I636">
        <v>2500034092</v>
      </c>
      <c r="J636" t="s">
        <v>50</v>
      </c>
      <c r="K636">
        <v>9000009190</v>
      </c>
      <c r="L636">
        <v>46946</v>
      </c>
      <c r="M636" t="s">
        <v>51</v>
      </c>
      <c r="N636">
        <v>9000079830</v>
      </c>
      <c r="O636" t="s">
        <v>187</v>
      </c>
      <c r="S636">
        <v>2507012387</v>
      </c>
      <c r="T636" t="s">
        <v>50</v>
      </c>
      <c r="U636" t="s">
        <v>122</v>
      </c>
      <c r="V636" t="s">
        <v>77</v>
      </c>
      <c r="W636" t="s">
        <v>78</v>
      </c>
      <c r="X636" t="s">
        <v>60</v>
      </c>
      <c r="Z636">
        <v>225</v>
      </c>
      <c r="AA636" t="s">
        <v>1641</v>
      </c>
      <c r="AB636" t="s">
        <v>1749</v>
      </c>
      <c r="AC636">
        <v>2604000205</v>
      </c>
      <c r="AE636">
        <v>0</v>
      </c>
      <c r="AF636">
        <v>0</v>
      </c>
      <c r="AG636">
        <v>0</v>
      </c>
      <c r="AH636">
        <v>0</v>
      </c>
      <c r="AI636" t="s">
        <v>56</v>
      </c>
      <c r="AJ636">
        <v>4.42</v>
      </c>
      <c r="AK636">
        <v>0.9</v>
      </c>
      <c r="AL636">
        <v>0.15</v>
      </c>
      <c r="AM636">
        <v>29.1</v>
      </c>
      <c r="AN636">
        <v>1.54</v>
      </c>
      <c r="AO636">
        <v>0</v>
      </c>
      <c r="AP636">
        <v>0</v>
      </c>
      <c r="AQ636" t="s">
        <v>57</v>
      </c>
      <c r="AS636" t="s">
        <v>1750</v>
      </c>
      <c r="AT636" t="s">
        <v>1750</v>
      </c>
      <c r="AU636" t="s">
        <v>1749</v>
      </c>
      <c r="AV636" t="s">
        <v>1751</v>
      </c>
      <c r="AW636" t="s">
        <v>1752</v>
      </c>
      <c r="AZ636">
        <v>56170</v>
      </c>
      <c r="BA636" t="s">
        <v>1026</v>
      </c>
      <c r="BB636" t="s">
        <v>61</v>
      </c>
      <c r="BC636" t="s">
        <v>62</v>
      </c>
    </row>
    <row r="637" spans="1:55" x14ac:dyDescent="0.25">
      <c r="A637" s="1" t="str">
        <f>IF(COUNTIF(Catégories!A:A,X637)=0,"catégorie inconnue",_xlfn.XLOOKUP(X637,Catégories!A:A,Catégories!B:B))</f>
        <v>Frêt</v>
      </c>
      <c r="B637" s="1">
        <f t="shared" si="27"/>
        <v>7.0100000000000007</v>
      </c>
      <c r="C637" s="1">
        <f t="shared" si="28"/>
        <v>1.54</v>
      </c>
      <c r="D637" s="1">
        <f t="shared" si="29"/>
        <v>5.4700000000000006</v>
      </c>
      <c r="E637" s="20">
        <f>IF(AH637&lt;&gt;0,ROUNDUP(AH637,0),IF(BB637&lt;&gt;"FR","hors France",IF(AH637&lt;&gt;0,ROUNDUP(AH637,0),_xlfn.XLOOKUP(AJ637,'PA GLS'!B:B,'PA GLS'!A:A))))</f>
        <v>2</v>
      </c>
      <c r="F637">
        <v>2501382993</v>
      </c>
      <c r="G637">
        <v>1030264735</v>
      </c>
      <c r="H637" t="s">
        <v>366</v>
      </c>
      <c r="I637">
        <v>2500034092</v>
      </c>
      <c r="J637" t="s">
        <v>50</v>
      </c>
      <c r="K637">
        <v>9000009190</v>
      </c>
      <c r="L637">
        <v>46946</v>
      </c>
      <c r="M637" t="s">
        <v>51</v>
      </c>
      <c r="N637">
        <v>9000079830</v>
      </c>
      <c r="O637" t="s">
        <v>187</v>
      </c>
      <c r="S637">
        <v>2507012387</v>
      </c>
      <c r="T637" t="s">
        <v>50</v>
      </c>
      <c r="U637" t="s">
        <v>122</v>
      </c>
      <c r="V637" t="s">
        <v>77</v>
      </c>
      <c r="W637" t="s">
        <v>78</v>
      </c>
      <c r="X637" t="s">
        <v>60</v>
      </c>
      <c r="Z637">
        <v>225</v>
      </c>
      <c r="AA637" t="s">
        <v>1641</v>
      </c>
      <c r="AB637" t="s">
        <v>1753</v>
      </c>
      <c r="AC637">
        <v>2604000199</v>
      </c>
      <c r="AE637">
        <v>0</v>
      </c>
      <c r="AF637">
        <v>0</v>
      </c>
      <c r="AG637">
        <v>0</v>
      </c>
      <c r="AH637">
        <v>0</v>
      </c>
      <c r="AI637" t="s">
        <v>56</v>
      </c>
      <c r="AJ637">
        <v>4.42</v>
      </c>
      <c r="AK637">
        <v>0.9</v>
      </c>
      <c r="AL637">
        <v>0.15</v>
      </c>
      <c r="AM637">
        <v>29.1</v>
      </c>
      <c r="AN637">
        <v>1.54</v>
      </c>
      <c r="AO637">
        <v>0</v>
      </c>
      <c r="AP637">
        <v>0</v>
      </c>
      <c r="AQ637" t="s">
        <v>57</v>
      </c>
      <c r="AS637" t="s">
        <v>1754</v>
      </c>
      <c r="AT637" t="s">
        <v>1754</v>
      </c>
      <c r="AU637" t="s">
        <v>1753</v>
      </c>
      <c r="AV637" t="s">
        <v>1755</v>
      </c>
      <c r="AW637" t="s">
        <v>1756</v>
      </c>
      <c r="AZ637">
        <v>31600</v>
      </c>
      <c r="BA637" t="s">
        <v>1757</v>
      </c>
      <c r="BB637" t="s">
        <v>61</v>
      </c>
      <c r="BC637" t="s">
        <v>62</v>
      </c>
    </row>
    <row r="638" spans="1:55" x14ac:dyDescent="0.25">
      <c r="A638" s="1" t="str">
        <f>IF(COUNTIF(Catégories!A:A,X638)=0,"catégorie inconnue",_xlfn.XLOOKUP(X638,Catégories!A:A,Catégories!B:B))</f>
        <v>Frêt</v>
      </c>
      <c r="B638" s="1">
        <f t="shared" si="27"/>
        <v>7.0100000000000007</v>
      </c>
      <c r="C638" s="1">
        <f t="shared" si="28"/>
        <v>1.54</v>
      </c>
      <c r="D638" s="1">
        <f t="shared" si="29"/>
        <v>5.4700000000000006</v>
      </c>
      <c r="E638" s="20">
        <f>IF(AH638&lt;&gt;0,ROUNDUP(AH638,0),IF(BB638&lt;&gt;"FR","hors France",IF(AH638&lt;&gt;0,ROUNDUP(AH638,0),_xlfn.XLOOKUP(AJ638,'PA GLS'!B:B,'PA GLS'!A:A))))</f>
        <v>2</v>
      </c>
      <c r="F638">
        <v>2501382993</v>
      </c>
      <c r="G638">
        <v>1030264735</v>
      </c>
      <c r="H638" t="s">
        <v>366</v>
      </c>
      <c r="I638">
        <v>2500034092</v>
      </c>
      <c r="J638" t="s">
        <v>50</v>
      </c>
      <c r="K638">
        <v>9000009190</v>
      </c>
      <c r="L638">
        <v>46946</v>
      </c>
      <c r="M638" t="s">
        <v>51</v>
      </c>
      <c r="N638">
        <v>9000079830</v>
      </c>
      <c r="O638" t="s">
        <v>187</v>
      </c>
      <c r="S638">
        <v>2507012387</v>
      </c>
      <c r="T638" t="s">
        <v>50</v>
      </c>
      <c r="U638" t="s">
        <v>122</v>
      </c>
      <c r="V638" t="s">
        <v>77</v>
      </c>
      <c r="W638" t="s">
        <v>78</v>
      </c>
      <c r="X638" t="s">
        <v>60</v>
      </c>
      <c r="Z638">
        <v>225</v>
      </c>
      <c r="AA638" t="s">
        <v>1641</v>
      </c>
      <c r="AB638" t="s">
        <v>1758</v>
      </c>
      <c r="AC638">
        <v>2604000193</v>
      </c>
      <c r="AE638">
        <v>0</v>
      </c>
      <c r="AF638">
        <v>0</v>
      </c>
      <c r="AG638">
        <v>0</v>
      </c>
      <c r="AH638">
        <v>0</v>
      </c>
      <c r="AI638" t="s">
        <v>56</v>
      </c>
      <c r="AJ638">
        <v>4.42</v>
      </c>
      <c r="AK638">
        <v>0.9</v>
      </c>
      <c r="AL638">
        <v>0.15</v>
      </c>
      <c r="AM638">
        <v>29.1</v>
      </c>
      <c r="AN638">
        <v>1.54</v>
      </c>
      <c r="AO638">
        <v>0</v>
      </c>
      <c r="AP638">
        <v>0</v>
      </c>
      <c r="AQ638" t="s">
        <v>57</v>
      </c>
      <c r="AS638" t="s">
        <v>1759</v>
      </c>
      <c r="AT638" t="s">
        <v>1759</v>
      </c>
      <c r="AU638" t="s">
        <v>1758</v>
      </c>
      <c r="AV638" t="s">
        <v>1760</v>
      </c>
      <c r="AW638" t="s">
        <v>1761</v>
      </c>
      <c r="AZ638">
        <v>34280</v>
      </c>
      <c r="BA638" t="s">
        <v>1762</v>
      </c>
      <c r="BB638" t="s">
        <v>61</v>
      </c>
      <c r="BC638" t="s">
        <v>62</v>
      </c>
    </row>
    <row r="639" spans="1:55" x14ac:dyDescent="0.25">
      <c r="A639" s="1" t="str">
        <f>IF(COUNTIF(Catégories!A:A,X639)=0,"catégorie inconnue",_xlfn.XLOOKUP(X639,Catégories!A:A,Catégories!B:B))</f>
        <v>Frêt</v>
      </c>
      <c r="B639" s="1">
        <f t="shared" si="27"/>
        <v>7.0100000000000007</v>
      </c>
      <c r="C639" s="1">
        <f t="shared" si="28"/>
        <v>1.54</v>
      </c>
      <c r="D639" s="1">
        <f t="shared" si="29"/>
        <v>5.4700000000000006</v>
      </c>
      <c r="E639" s="20">
        <f>IF(AH639&lt;&gt;0,ROUNDUP(AH639,0),IF(BB639&lt;&gt;"FR","hors France",IF(AH639&lt;&gt;0,ROUNDUP(AH639,0),_xlfn.XLOOKUP(AJ639,'PA GLS'!B:B,'PA GLS'!A:A))))</f>
        <v>2</v>
      </c>
      <c r="F639">
        <v>2501382993</v>
      </c>
      <c r="G639">
        <v>1030264735</v>
      </c>
      <c r="H639" t="s">
        <v>366</v>
      </c>
      <c r="I639">
        <v>2500034092</v>
      </c>
      <c r="J639" t="s">
        <v>50</v>
      </c>
      <c r="K639">
        <v>9000009190</v>
      </c>
      <c r="L639">
        <v>46946</v>
      </c>
      <c r="M639" t="s">
        <v>51</v>
      </c>
      <c r="N639">
        <v>9000079830</v>
      </c>
      <c r="O639" t="s">
        <v>187</v>
      </c>
      <c r="S639">
        <v>2507012387</v>
      </c>
      <c r="T639" t="s">
        <v>50</v>
      </c>
      <c r="U639" t="s">
        <v>122</v>
      </c>
      <c r="V639" t="s">
        <v>77</v>
      </c>
      <c r="W639" t="s">
        <v>78</v>
      </c>
      <c r="X639" t="s">
        <v>60</v>
      </c>
      <c r="Z639">
        <v>225</v>
      </c>
      <c r="AA639" t="s">
        <v>1641</v>
      </c>
      <c r="AB639" t="s">
        <v>1763</v>
      </c>
      <c r="AC639">
        <v>2604000189</v>
      </c>
      <c r="AE639">
        <v>0</v>
      </c>
      <c r="AF639">
        <v>0</v>
      </c>
      <c r="AG639">
        <v>0</v>
      </c>
      <c r="AH639">
        <v>0</v>
      </c>
      <c r="AI639" t="s">
        <v>56</v>
      </c>
      <c r="AJ639">
        <v>4.42</v>
      </c>
      <c r="AK639">
        <v>0.9</v>
      </c>
      <c r="AL639">
        <v>0.15</v>
      </c>
      <c r="AM639">
        <v>29.1</v>
      </c>
      <c r="AN639">
        <v>1.54</v>
      </c>
      <c r="AO639">
        <v>0</v>
      </c>
      <c r="AP639">
        <v>0</v>
      </c>
      <c r="AQ639" t="s">
        <v>57</v>
      </c>
      <c r="AS639" t="s">
        <v>1764</v>
      </c>
      <c r="AT639" t="s">
        <v>1764</v>
      </c>
      <c r="AU639" t="s">
        <v>1763</v>
      </c>
      <c r="AV639" t="s">
        <v>1765</v>
      </c>
      <c r="AW639" t="s">
        <v>1766</v>
      </c>
      <c r="AZ639">
        <v>69006</v>
      </c>
      <c r="BA639" t="s">
        <v>1767</v>
      </c>
      <c r="BB639" t="s">
        <v>61</v>
      </c>
      <c r="BC639" t="s">
        <v>62</v>
      </c>
    </row>
    <row r="640" spans="1:55" x14ac:dyDescent="0.25">
      <c r="A640" s="1" t="str">
        <f>IF(COUNTIF(Catégories!A:A,X640)=0,"catégorie inconnue",_xlfn.XLOOKUP(X640,Catégories!A:A,Catégories!B:B))</f>
        <v>Frêt</v>
      </c>
      <c r="B640" s="1">
        <f t="shared" si="27"/>
        <v>7.0100000000000007</v>
      </c>
      <c r="C640" s="1">
        <f t="shared" si="28"/>
        <v>1.54</v>
      </c>
      <c r="D640" s="1">
        <f t="shared" si="29"/>
        <v>5.4700000000000006</v>
      </c>
      <c r="E640" s="20">
        <f>IF(AH640&lt;&gt;0,ROUNDUP(AH640,0),IF(BB640&lt;&gt;"FR","hors France",IF(AH640&lt;&gt;0,ROUNDUP(AH640,0),_xlfn.XLOOKUP(AJ640,'PA GLS'!B:B,'PA GLS'!A:A))))</f>
        <v>2</v>
      </c>
      <c r="F640">
        <v>2501382993</v>
      </c>
      <c r="G640">
        <v>1030264735</v>
      </c>
      <c r="H640" t="s">
        <v>366</v>
      </c>
      <c r="I640">
        <v>2500034092</v>
      </c>
      <c r="J640" t="s">
        <v>50</v>
      </c>
      <c r="K640">
        <v>9000009190</v>
      </c>
      <c r="L640">
        <v>46946</v>
      </c>
      <c r="M640" t="s">
        <v>51</v>
      </c>
      <c r="N640">
        <v>9000079830</v>
      </c>
      <c r="O640" t="s">
        <v>187</v>
      </c>
      <c r="S640">
        <v>2507012387</v>
      </c>
      <c r="T640" t="s">
        <v>50</v>
      </c>
      <c r="U640" t="s">
        <v>122</v>
      </c>
      <c r="V640" t="s">
        <v>77</v>
      </c>
      <c r="W640" t="s">
        <v>78</v>
      </c>
      <c r="X640" t="s">
        <v>60</v>
      </c>
      <c r="Z640">
        <v>225</v>
      </c>
      <c r="AA640" t="s">
        <v>1641</v>
      </c>
      <c r="AB640" t="s">
        <v>1768</v>
      </c>
      <c r="AC640">
        <v>2604000188</v>
      </c>
      <c r="AE640">
        <v>0</v>
      </c>
      <c r="AF640">
        <v>0</v>
      </c>
      <c r="AG640">
        <v>0</v>
      </c>
      <c r="AH640">
        <v>0</v>
      </c>
      <c r="AI640" t="s">
        <v>56</v>
      </c>
      <c r="AJ640">
        <v>4.42</v>
      </c>
      <c r="AK640">
        <v>0.9</v>
      </c>
      <c r="AL640">
        <v>0.15</v>
      </c>
      <c r="AM640">
        <v>29.1</v>
      </c>
      <c r="AN640">
        <v>1.54</v>
      </c>
      <c r="AO640">
        <v>0</v>
      </c>
      <c r="AP640">
        <v>0</v>
      </c>
      <c r="AQ640" t="s">
        <v>57</v>
      </c>
      <c r="AS640" t="s">
        <v>1769</v>
      </c>
      <c r="AT640" t="s">
        <v>1769</v>
      </c>
      <c r="AU640" t="s">
        <v>1768</v>
      </c>
      <c r="AV640" t="s">
        <v>1770</v>
      </c>
      <c r="AW640" t="s">
        <v>1771</v>
      </c>
      <c r="AZ640">
        <v>33450</v>
      </c>
      <c r="BA640" t="s">
        <v>1772</v>
      </c>
      <c r="BB640" t="s">
        <v>61</v>
      </c>
      <c r="BC640" t="s">
        <v>62</v>
      </c>
    </row>
    <row r="641" spans="1:55" x14ac:dyDescent="0.25">
      <c r="A641" s="1" t="str">
        <f>IF(COUNTIF(Catégories!A:A,X641)=0,"catégorie inconnue",_xlfn.XLOOKUP(X641,Catégories!A:A,Catégories!B:B))</f>
        <v>Frêt</v>
      </c>
      <c r="B641" s="1">
        <f t="shared" si="27"/>
        <v>7.0100000000000007</v>
      </c>
      <c r="C641" s="1">
        <f t="shared" si="28"/>
        <v>1.54</v>
      </c>
      <c r="D641" s="1">
        <f t="shared" si="29"/>
        <v>5.4700000000000006</v>
      </c>
      <c r="E641" s="20">
        <f>IF(AH641&lt;&gt;0,ROUNDUP(AH641,0),IF(BB641&lt;&gt;"FR","hors France",IF(AH641&lt;&gt;0,ROUNDUP(AH641,0),_xlfn.XLOOKUP(AJ641,'PA GLS'!B:B,'PA GLS'!A:A))))</f>
        <v>2</v>
      </c>
      <c r="F641">
        <v>2501382993</v>
      </c>
      <c r="G641">
        <v>1030264735</v>
      </c>
      <c r="H641" t="s">
        <v>366</v>
      </c>
      <c r="I641">
        <v>2500034092</v>
      </c>
      <c r="J641" t="s">
        <v>50</v>
      </c>
      <c r="K641">
        <v>9000009190</v>
      </c>
      <c r="L641">
        <v>46946</v>
      </c>
      <c r="M641" t="s">
        <v>51</v>
      </c>
      <c r="N641">
        <v>9000079830</v>
      </c>
      <c r="O641" t="s">
        <v>187</v>
      </c>
      <c r="S641">
        <v>2507012387</v>
      </c>
      <c r="T641" t="s">
        <v>50</v>
      </c>
      <c r="U641" t="s">
        <v>122</v>
      </c>
      <c r="V641" t="s">
        <v>77</v>
      </c>
      <c r="W641" t="s">
        <v>78</v>
      </c>
      <c r="X641" t="s">
        <v>60</v>
      </c>
      <c r="Z641">
        <v>225</v>
      </c>
      <c r="AA641" t="s">
        <v>1641</v>
      </c>
      <c r="AB641" t="s">
        <v>1773</v>
      </c>
      <c r="AC641">
        <v>2604000187</v>
      </c>
      <c r="AE641">
        <v>0</v>
      </c>
      <c r="AF641">
        <v>0</v>
      </c>
      <c r="AG641">
        <v>0</v>
      </c>
      <c r="AH641">
        <v>0</v>
      </c>
      <c r="AI641" t="s">
        <v>56</v>
      </c>
      <c r="AJ641">
        <v>4.42</v>
      </c>
      <c r="AK641">
        <v>0.9</v>
      </c>
      <c r="AL641">
        <v>0.15</v>
      </c>
      <c r="AM641">
        <v>29.1</v>
      </c>
      <c r="AN641">
        <v>1.54</v>
      </c>
      <c r="AO641">
        <v>0</v>
      </c>
      <c r="AP641">
        <v>0</v>
      </c>
      <c r="AQ641" t="s">
        <v>57</v>
      </c>
      <c r="AS641" t="s">
        <v>1774</v>
      </c>
      <c r="AT641" t="s">
        <v>1774</v>
      </c>
      <c r="AU641" t="s">
        <v>1773</v>
      </c>
      <c r="AV641" t="s">
        <v>1775</v>
      </c>
      <c r="AW641" t="s">
        <v>1776</v>
      </c>
      <c r="AZ641">
        <v>17640</v>
      </c>
      <c r="BA641" t="s">
        <v>1777</v>
      </c>
      <c r="BB641" t="s">
        <v>61</v>
      </c>
      <c r="BC641" t="s">
        <v>62</v>
      </c>
    </row>
    <row r="642" spans="1:55" x14ac:dyDescent="0.25">
      <c r="A642" s="1" t="str">
        <f>IF(COUNTIF(Catégories!A:A,X642)=0,"catégorie inconnue",_xlfn.XLOOKUP(X642,Catégories!A:A,Catégories!B:B))</f>
        <v>Frêt</v>
      </c>
      <c r="B642" s="1">
        <f t="shared" si="27"/>
        <v>7.0100000000000007</v>
      </c>
      <c r="C642" s="1">
        <f t="shared" si="28"/>
        <v>1.54</v>
      </c>
      <c r="D642" s="1">
        <f t="shared" si="29"/>
        <v>5.4700000000000006</v>
      </c>
      <c r="E642" s="20">
        <f>IF(AH642&lt;&gt;0,ROUNDUP(AH642,0),IF(BB642&lt;&gt;"FR","hors France",IF(AH642&lt;&gt;0,ROUNDUP(AH642,0),_xlfn.XLOOKUP(AJ642,'PA GLS'!B:B,'PA GLS'!A:A))))</f>
        <v>2</v>
      </c>
      <c r="F642">
        <v>2501382993</v>
      </c>
      <c r="G642">
        <v>1030264735</v>
      </c>
      <c r="H642" t="s">
        <v>366</v>
      </c>
      <c r="I642">
        <v>2500034092</v>
      </c>
      <c r="J642" t="s">
        <v>50</v>
      </c>
      <c r="K642">
        <v>9000009190</v>
      </c>
      <c r="L642">
        <v>46946</v>
      </c>
      <c r="M642" t="s">
        <v>51</v>
      </c>
      <c r="N642">
        <v>9000079830</v>
      </c>
      <c r="O642" t="s">
        <v>187</v>
      </c>
      <c r="S642">
        <v>2507012387</v>
      </c>
      <c r="T642" t="s">
        <v>50</v>
      </c>
      <c r="U642" t="s">
        <v>122</v>
      </c>
      <c r="V642" t="s">
        <v>77</v>
      </c>
      <c r="W642" t="s">
        <v>78</v>
      </c>
      <c r="X642" t="s">
        <v>60</v>
      </c>
      <c r="Z642">
        <v>225</v>
      </c>
      <c r="AA642" t="s">
        <v>1641</v>
      </c>
      <c r="AB642" t="s">
        <v>1778</v>
      </c>
      <c r="AC642">
        <v>2604000185</v>
      </c>
      <c r="AE642">
        <v>0</v>
      </c>
      <c r="AF642">
        <v>0</v>
      </c>
      <c r="AG642">
        <v>0</v>
      </c>
      <c r="AH642">
        <v>0</v>
      </c>
      <c r="AI642" t="s">
        <v>56</v>
      </c>
      <c r="AJ642">
        <v>4.42</v>
      </c>
      <c r="AK642">
        <v>0.9</v>
      </c>
      <c r="AL642">
        <v>0.15</v>
      </c>
      <c r="AM642">
        <v>29.1</v>
      </c>
      <c r="AN642">
        <v>1.54</v>
      </c>
      <c r="AO642">
        <v>0</v>
      </c>
      <c r="AP642">
        <v>0</v>
      </c>
      <c r="AQ642" t="s">
        <v>57</v>
      </c>
      <c r="AS642" t="s">
        <v>1779</v>
      </c>
      <c r="AT642" t="s">
        <v>1779</v>
      </c>
      <c r="AU642" t="s">
        <v>1778</v>
      </c>
      <c r="AV642" t="s">
        <v>1780</v>
      </c>
      <c r="AW642" t="s">
        <v>1781</v>
      </c>
      <c r="AZ642">
        <v>35580</v>
      </c>
      <c r="BA642" t="s">
        <v>1782</v>
      </c>
      <c r="BB642" t="s">
        <v>61</v>
      </c>
      <c r="BC642" t="s">
        <v>62</v>
      </c>
    </row>
    <row r="643" spans="1:55" x14ac:dyDescent="0.25">
      <c r="A643" s="1" t="str">
        <f>IF(COUNTIF(Catégories!A:A,X643)=0,"catégorie inconnue",_xlfn.XLOOKUP(X643,Catégories!A:A,Catégories!B:B))</f>
        <v>Frêt</v>
      </c>
      <c r="B643" s="1">
        <f t="shared" ref="B643:B706" si="30">SUM(AJ643:AL643)+SUM(AN643:AP643)</f>
        <v>0</v>
      </c>
      <c r="C643" s="1">
        <f t="shared" ref="C643:C706" si="31">AN643</f>
        <v>0</v>
      </c>
      <c r="D643" s="1">
        <f t="shared" ref="D643:D706" si="32">B643-C643</f>
        <v>0</v>
      </c>
      <c r="E643" s="20">
        <f>IF(AH643&lt;&gt;0,ROUNDUP(AH643,0),IF(BB643&lt;&gt;"FR","hors France",IF(AH643&lt;&gt;0,ROUNDUP(AH643,0),_xlfn.XLOOKUP(AJ643,'PA GLS'!B:B,'PA GLS'!A:A))))</f>
        <v>1</v>
      </c>
      <c r="F643">
        <v>2501382993</v>
      </c>
      <c r="G643">
        <v>1030263136</v>
      </c>
      <c r="H643" t="s">
        <v>366</v>
      </c>
      <c r="I643">
        <v>2500034092</v>
      </c>
      <c r="J643" t="s">
        <v>50</v>
      </c>
      <c r="K643">
        <v>9000009190</v>
      </c>
      <c r="L643">
        <v>46946</v>
      </c>
      <c r="M643" t="s">
        <v>51</v>
      </c>
      <c r="N643">
        <v>9000037814</v>
      </c>
      <c r="O643" t="s">
        <v>51</v>
      </c>
      <c r="S643">
        <v>2507012387</v>
      </c>
      <c r="T643" t="s">
        <v>50</v>
      </c>
      <c r="U643" t="s">
        <v>122</v>
      </c>
      <c r="V643" t="s">
        <v>176</v>
      </c>
      <c r="W643" t="s">
        <v>177</v>
      </c>
      <c r="X643" t="s">
        <v>152</v>
      </c>
      <c r="Z643">
        <v>216</v>
      </c>
      <c r="AA643" t="s">
        <v>1641</v>
      </c>
      <c r="AB643" t="s">
        <v>1783</v>
      </c>
      <c r="AC643">
        <v>2604000123</v>
      </c>
      <c r="AE643">
        <v>0</v>
      </c>
      <c r="AF643">
        <v>1</v>
      </c>
      <c r="AG643">
        <v>0</v>
      </c>
      <c r="AH643">
        <v>0.72</v>
      </c>
      <c r="AI643" t="s">
        <v>56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 t="s">
        <v>57</v>
      </c>
      <c r="AS643" t="s">
        <v>1784</v>
      </c>
      <c r="AT643" t="s">
        <v>1784</v>
      </c>
      <c r="AU643" t="s">
        <v>1783</v>
      </c>
      <c r="AV643" t="s">
        <v>1785</v>
      </c>
      <c r="AW643" t="s">
        <v>1786</v>
      </c>
      <c r="AZ643">
        <v>31000</v>
      </c>
      <c r="BA643" t="s">
        <v>218</v>
      </c>
      <c r="BB643" t="s">
        <v>61</v>
      </c>
      <c r="BC643" t="s">
        <v>62</v>
      </c>
    </row>
    <row r="644" spans="1:55" x14ac:dyDescent="0.25">
      <c r="A644" s="1" t="str">
        <f>IF(COUNTIF(Catégories!A:A,X644)=0,"catégorie inconnue",_xlfn.XLOOKUP(X644,Catégories!A:A,Catégories!B:B))</f>
        <v>Frêt</v>
      </c>
      <c r="B644" s="1">
        <f t="shared" si="30"/>
        <v>0</v>
      </c>
      <c r="C644" s="1">
        <f t="shared" si="31"/>
        <v>0</v>
      </c>
      <c r="D644" s="1">
        <f t="shared" si="32"/>
        <v>0</v>
      </c>
      <c r="E644" s="20">
        <f>IF(AH644&lt;&gt;0,ROUNDUP(AH644,0),IF(BB644&lt;&gt;"FR","hors France",IF(AH644&lt;&gt;0,ROUNDUP(AH644,0),_xlfn.XLOOKUP(AJ644,'PA GLS'!B:B,'PA GLS'!A:A))))</f>
        <v>1</v>
      </c>
      <c r="F644">
        <v>2501382993</v>
      </c>
      <c r="G644">
        <v>1030263136</v>
      </c>
      <c r="H644" t="s">
        <v>366</v>
      </c>
      <c r="I644">
        <v>2500034092</v>
      </c>
      <c r="J644" t="s">
        <v>50</v>
      </c>
      <c r="K644">
        <v>9000009190</v>
      </c>
      <c r="L644">
        <v>46946</v>
      </c>
      <c r="M644" t="s">
        <v>51</v>
      </c>
      <c r="N644">
        <v>9000037814</v>
      </c>
      <c r="O644" t="s">
        <v>51</v>
      </c>
      <c r="S644">
        <v>2507012387</v>
      </c>
      <c r="T644" t="s">
        <v>50</v>
      </c>
      <c r="U644" t="s">
        <v>122</v>
      </c>
      <c r="V644" t="s">
        <v>176</v>
      </c>
      <c r="W644" t="s">
        <v>177</v>
      </c>
      <c r="X644" t="s">
        <v>152</v>
      </c>
      <c r="Z644">
        <v>216</v>
      </c>
      <c r="AA644" t="s">
        <v>1641</v>
      </c>
      <c r="AB644" t="s">
        <v>1787</v>
      </c>
      <c r="AC644">
        <v>2604000124</v>
      </c>
      <c r="AE644">
        <v>0</v>
      </c>
      <c r="AF644">
        <v>1</v>
      </c>
      <c r="AG644">
        <v>0</v>
      </c>
      <c r="AH644">
        <v>0.32</v>
      </c>
      <c r="AI644" t="s">
        <v>56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 t="s">
        <v>57</v>
      </c>
      <c r="AS644" t="s">
        <v>1788</v>
      </c>
      <c r="AT644" t="s">
        <v>1788</v>
      </c>
      <c r="AU644" t="s">
        <v>1787</v>
      </c>
      <c r="AV644" t="s">
        <v>1789</v>
      </c>
      <c r="AW644" t="s">
        <v>1790</v>
      </c>
      <c r="AZ644">
        <v>77500</v>
      </c>
      <c r="BA644" t="s">
        <v>1791</v>
      </c>
      <c r="BB644" t="s">
        <v>61</v>
      </c>
      <c r="BC644" t="s">
        <v>62</v>
      </c>
    </row>
    <row r="645" spans="1:55" x14ac:dyDescent="0.25">
      <c r="A645" s="1" t="str">
        <f>IF(COUNTIF(Catégories!A:A,X645)=0,"catégorie inconnue",_xlfn.XLOOKUP(X645,Catégories!A:A,Catégories!B:B))</f>
        <v>Frêt</v>
      </c>
      <c r="B645" s="1">
        <f t="shared" si="30"/>
        <v>0</v>
      </c>
      <c r="C645" s="1">
        <f t="shared" si="31"/>
        <v>0</v>
      </c>
      <c r="D645" s="1">
        <f t="shared" si="32"/>
        <v>0</v>
      </c>
      <c r="E645" s="20">
        <f>IF(AH645&lt;&gt;0,ROUNDUP(AH645,0),IF(BB645&lt;&gt;"FR","hors France",IF(AH645&lt;&gt;0,ROUNDUP(AH645,0),_xlfn.XLOOKUP(AJ645,'PA GLS'!B:B,'PA GLS'!A:A))))</f>
        <v>1</v>
      </c>
      <c r="F645">
        <v>2501382993</v>
      </c>
      <c r="G645">
        <v>1030263136</v>
      </c>
      <c r="H645" t="s">
        <v>366</v>
      </c>
      <c r="I645">
        <v>2500034092</v>
      </c>
      <c r="J645" t="s">
        <v>50</v>
      </c>
      <c r="K645">
        <v>9000009190</v>
      </c>
      <c r="L645">
        <v>46946</v>
      </c>
      <c r="M645" t="s">
        <v>51</v>
      </c>
      <c r="N645">
        <v>9000037814</v>
      </c>
      <c r="O645" t="s">
        <v>51</v>
      </c>
      <c r="S645">
        <v>2507012387</v>
      </c>
      <c r="T645" t="s">
        <v>50</v>
      </c>
      <c r="U645" t="s">
        <v>122</v>
      </c>
      <c r="V645" t="s">
        <v>176</v>
      </c>
      <c r="W645" t="s">
        <v>177</v>
      </c>
      <c r="X645" t="s">
        <v>152</v>
      </c>
      <c r="Z645">
        <v>216</v>
      </c>
      <c r="AA645" t="s">
        <v>1641</v>
      </c>
      <c r="AB645" t="s">
        <v>1792</v>
      </c>
      <c r="AC645">
        <v>2604000125</v>
      </c>
      <c r="AE645">
        <v>0</v>
      </c>
      <c r="AF645">
        <v>1</v>
      </c>
      <c r="AG645">
        <v>0</v>
      </c>
      <c r="AH645">
        <v>0.44</v>
      </c>
      <c r="AI645" t="s">
        <v>56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 t="s">
        <v>57</v>
      </c>
      <c r="AS645" t="s">
        <v>1793</v>
      </c>
      <c r="AT645" t="s">
        <v>1793</v>
      </c>
      <c r="AU645" t="s">
        <v>1792</v>
      </c>
      <c r="AV645" t="s">
        <v>1794</v>
      </c>
      <c r="AW645" t="s">
        <v>1795</v>
      </c>
      <c r="AZ645">
        <v>92120</v>
      </c>
      <c r="BA645" t="s">
        <v>1796</v>
      </c>
      <c r="BB645" t="s">
        <v>61</v>
      </c>
      <c r="BC645" t="s">
        <v>62</v>
      </c>
    </row>
    <row r="646" spans="1:55" x14ac:dyDescent="0.25">
      <c r="A646" s="1" t="str">
        <f>IF(COUNTIF(Catégories!A:A,X646)=0,"catégorie inconnue",_xlfn.XLOOKUP(X646,Catégories!A:A,Catégories!B:B))</f>
        <v>Frêt</v>
      </c>
      <c r="B646" s="1">
        <f t="shared" si="30"/>
        <v>0</v>
      </c>
      <c r="C646" s="1">
        <f t="shared" si="31"/>
        <v>0</v>
      </c>
      <c r="D646" s="1">
        <f t="shared" si="32"/>
        <v>0</v>
      </c>
      <c r="E646" s="20">
        <f>IF(AH646&lt;&gt;0,ROUNDUP(AH646,0),IF(BB646&lt;&gt;"FR","hors France",IF(AH646&lt;&gt;0,ROUNDUP(AH646,0),_xlfn.XLOOKUP(AJ646,'PA GLS'!B:B,'PA GLS'!A:A))))</f>
        <v>1</v>
      </c>
      <c r="F646">
        <v>2501382993</v>
      </c>
      <c r="G646">
        <v>1030263136</v>
      </c>
      <c r="H646" t="s">
        <v>366</v>
      </c>
      <c r="I646">
        <v>2500034092</v>
      </c>
      <c r="J646" t="s">
        <v>50</v>
      </c>
      <c r="K646">
        <v>9000009190</v>
      </c>
      <c r="L646">
        <v>46946</v>
      </c>
      <c r="M646" t="s">
        <v>51</v>
      </c>
      <c r="N646">
        <v>9000037814</v>
      </c>
      <c r="O646" t="s">
        <v>51</v>
      </c>
      <c r="S646">
        <v>2507012387</v>
      </c>
      <c r="T646" t="s">
        <v>50</v>
      </c>
      <c r="U646" t="s">
        <v>122</v>
      </c>
      <c r="V646" t="s">
        <v>176</v>
      </c>
      <c r="W646" t="s">
        <v>177</v>
      </c>
      <c r="X646" t="s">
        <v>152</v>
      </c>
      <c r="Z646">
        <v>216</v>
      </c>
      <c r="AA646" t="s">
        <v>1641</v>
      </c>
      <c r="AB646" t="s">
        <v>1797</v>
      </c>
      <c r="AC646">
        <v>2604000126</v>
      </c>
      <c r="AE646">
        <v>0</v>
      </c>
      <c r="AF646">
        <v>1</v>
      </c>
      <c r="AG646">
        <v>0</v>
      </c>
      <c r="AH646">
        <v>0.22</v>
      </c>
      <c r="AI646" t="s">
        <v>56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 t="s">
        <v>57</v>
      </c>
      <c r="AS646" t="s">
        <v>1798</v>
      </c>
      <c r="AT646" t="s">
        <v>1798</v>
      </c>
      <c r="AU646" t="s">
        <v>1797</v>
      </c>
      <c r="AV646" t="s">
        <v>1799</v>
      </c>
      <c r="AW646" t="s">
        <v>1800</v>
      </c>
      <c r="AZ646">
        <v>33300</v>
      </c>
      <c r="BA646" t="s">
        <v>228</v>
      </c>
      <c r="BB646" t="s">
        <v>61</v>
      </c>
      <c r="BC646" t="s">
        <v>62</v>
      </c>
    </row>
    <row r="647" spans="1:55" x14ac:dyDescent="0.25">
      <c r="A647" s="1" t="str">
        <f>IF(COUNTIF(Catégories!A:A,X647)=0,"catégorie inconnue",_xlfn.XLOOKUP(X647,Catégories!A:A,Catégories!B:B))</f>
        <v>Frêt</v>
      </c>
      <c r="B647" s="1">
        <f t="shared" si="30"/>
        <v>0</v>
      </c>
      <c r="C647" s="1">
        <f t="shared" si="31"/>
        <v>0</v>
      </c>
      <c r="D647" s="1">
        <f t="shared" si="32"/>
        <v>0</v>
      </c>
      <c r="E647" s="20">
        <f>IF(AH647&lt;&gt;0,ROUNDUP(AH647,0),IF(BB647&lt;&gt;"FR","hors France",IF(AH647&lt;&gt;0,ROUNDUP(AH647,0),_xlfn.XLOOKUP(AJ647,'PA GLS'!B:B,'PA GLS'!A:A))))</f>
        <v>1</v>
      </c>
      <c r="F647">
        <v>2501382993</v>
      </c>
      <c r="G647">
        <v>1030263136</v>
      </c>
      <c r="H647" t="s">
        <v>366</v>
      </c>
      <c r="I647">
        <v>2500034092</v>
      </c>
      <c r="J647" t="s">
        <v>50</v>
      </c>
      <c r="K647">
        <v>9000009190</v>
      </c>
      <c r="L647">
        <v>46946</v>
      </c>
      <c r="M647" t="s">
        <v>51</v>
      </c>
      <c r="N647">
        <v>9000037814</v>
      </c>
      <c r="O647" t="s">
        <v>51</v>
      </c>
      <c r="S647">
        <v>2507012387</v>
      </c>
      <c r="T647" t="s">
        <v>50</v>
      </c>
      <c r="U647" t="s">
        <v>122</v>
      </c>
      <c r="V647" t="s">
        <v>176</v>
      </c>
      <c r="W647" t="s">
        <v>177</v>
      </c>
      <c r="X647" t="s">
        <v>152</v>
      </c>
      <c r="Z647">
        <v>216</v>
      </c>
      <c r="AA647" t="s">
        <v>1641</v>
      </c>
      <c r="AB647" t="s">
        <v>1801</v>
      </c>
      <c r="AC647">
        <v>2604000127</v>
      </c>
      <c r="AE647">
        <v>0</v>
      </c>
      <c r="AF647">
        <v>1</v>
      </c>
      <c r="AG647">
        <v>0</v>
      </c>
      <c r="AH647">
        <v>0.28000000000000003</v>
      </c>
      <c r="AI647" t="s">
        <v>56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 t="s">
        <v>57</v>
      </c>
      <c r="AS647" t="s">
        <v>1802</v>
      </c>
      <c r="AT647" t="s">
        <v>1802</v>
      </c>
      <c r="AU647" t="s">
        <v>1801</v>
      </c>
      <c r="AV647" t="s">
        <v>1803</v>
      </c>
      <c r="AW647" t="s">
        <v>1804</v>
      </c>
      <c r="AZ647">
        <v>45140</v>
      </c>
      <c r="BA647" t="s">
        <v>1805</v>
      </c>
      <c r="BB647" t="s">
        <v>61</v>
      </c>
      <c r="BC647" t="s">
        <v>62</v>
      </c>
    </row>
    <row r="648" spans="1:55" x14ac:dyDescent="0.25">
      <c r="A648" s="1" t="str">
        <f>IF(COUNTIF(Catégories!A:A,X648)=0,"catégorie inconnue",_xlfn.XLOOKUP(X648,Catégories!A:A,Catégories!B:B))</f>
        <v>Frêt</v>
      </c>
      <c r="B648" s="1">
        <f t="shared" si="30"/>
        <v>0</v>
      </c>
      <c r="C648" s="1">
        <f t="shared" si="31"/>
        <v>0</v>
      </c>
      <c r="D648" s="1">
        <f t="shared" si="32"/>
        <v>0</v>
      </c>
      <c r="E648" s="20">
        <f>IF(AH648&lt;&gt;0,ROUNDUP(AH648,0),IF(BB648&lt;&gt;"FR","hors France",IF(AH648&lt;&gt;0,ROUNDUP(AH648,0),_xlfn.XLOOKUP(AJ648,'PA GLS'!B:B,'PA GLS'!A:A))))</f>
        <v>1</v>
      </c>
      <c r="F648">
        <v>2501382993</v>
      </c>
      <c r="G648">
        <v>1030263136</v>
      </c>
      <c r="H648" t="s">
        <v>366</v>
      </c>
      <c r="I648">
        <v>2500034092</v>
      </c>
      <c r="J648" t="s">
        <v>50</v>
      </c>
      <c r="K648">
        <v>9000009190</v>
      </c>
      <c r="L648">
        <v>46946</v>
      </c>
      <c r="M648" t="s">
        <v>51</v>
      </c>
      <c r="N648">
        <v>9000037814</v>
      </c>
      <c r="O648" t="s">
        <v>51</v>
      </c>
      <c r="S648">
        <v>2507012387</v>
      </c>
      <c r="T648" t="s">
        <v>50</v>
      </c>
      <c r="U648" t="s">
        <v>122</v>
      </c>
      <c r="V648" t="s">
        <v>176</v>
      </c>
      <c r="W648" t="s">
        <v>177</v>
      </c>
      <c r="X648" t="s">
        <v>152</v>
      </c>
      <c r="Z648">
        <v>216</v>
      </c>
      <c r="AA648" t="s">
        <v>1641</v>
      </c>
      <c r="AB648" t="s">
        <v>1806</v>
      </c>
      <c r="AC648">
        <v>2604000128</v>
      </c>
      <c r="AE648">
        <v>0</v>
      </c>
      <c r="AF648">
        <v>1</v>
      </c>
      <c r="AG648">
        <v>0</v>
      </c>
      <c r="AH648">
        <v>0.24</v>
      </c>
      <c r="AI648" t="s">
        <v>56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 t="s">
        <v>57</v>
      </c>
      <c r="AS648" t="s">
        <v>1807</v>
      </c>
      <c r="AT648" t="s">
        <v>1807</v>
      </c>
      <c r="AU648" t="s">
        <v>1806</v>
      </c>
      <c r="AV648" t="s">
        <v>1808</v>
      </c>
      <c r="AW648" t="s">
        <v>1809</v>
      </c>
      <c r="AZ648">
        <v>13009</v>
      </c>
      <c r="BA648" t="s">
        <v>68</v>
      </c>
      <c r="BB648" t="s">
        <v>61</v>
      </c>
      <c r="BC648" t="s">
        <v>62</v>
      </c>
    </row>
    <row r="649" spans="1:55" x14ac:dyDescent="0.25">
      <c r="A649" s="1" t="str">
        <f>IF(COUNTIF(Catégories!A:A,X649)=0,"catégorie inconnue",_xlfn.XLOOKUP(X649,Catégories!A:A,Catégories!B:B))</f>
        <v>Frêt</v>
      </c>
      <c r="B649" s="1">
        <f t="shared" si="30"/>
        <v>6.17</v>
      </c>
      <c r="C649" s="1">
        <f t="shared" si="31"/>
        <v>1.35</v>
      </c>
      <c r="D649" s="1">
        <f t="shared" si="32"/>
        <v>4.82</v>
      </c>
      <c r="E649" s="20">
        <f>IF(AH649&lt;&gt;0,ROUNDUP(AH649,0),IF(BB649&lt;&gt;"FR","hors France",IF(AH649&lt;&gt;0,ROUNDUP(AH649,0),_xlfn.XLOOKUP(AJ649,'PA GLS'!B:B,'PA GLS'!A:A))))</f>
        <v>0.5</v>
      </c>
      <c r="F649">
        <v>2501382993</v>
      </c>
      <c r="G649">
        <v>1030263136</v>
      </c>
      <c r="H649" t="s">
        <v>366</v>
      </c>
      <c r="I649">
        <v>2500034092</v>
      </c>
      <c r="J649" t="s">
        <v>50</v>
      </c>
      <c r="K649">
        <v>9000009190</v>
      </c>
      <c r="L649">
        <v>46946</v>
      </c>
      <c r="M649" t="s">
        <v>51</v>
      </c>
      <c r="N649">
        <v>9000037814</v>
      </c>
      <c r="O649" t="s">
        <v>51</v>
      </c>
      <c r="S649">
        <v>2507012387</v>
      </c>
      <c r="T649" t="s">
        <v>50</v>
      </c>
      <c r="U649" t="s">
        <v>122</v>
      </c>
      <c r="V649" t="s">
        <v>73</v>
      </c>
      <c r="W649" t="s">
        <v>74</v>
      </c>
      <c r="X649" t="s">
        <v>60</v>
      </c>
      <c r="Z649">
        <v>217</v>
      </c>
      <c r="AA649" t="s">
        <v>1641</v>
      </c>
      <c r="AB649" t="s">
        <v>1797</v>
      </c>
      <c r="AC649">
        <v>2604000126</v>
      </c>
      <c r="AE649">
        <v>0</v>
      </c>
      <c r="AF649">
        <v>0</v>
      </c>
      <c r="AG649">
        <v>0</v>
      </c>
      <c r="AH649">
        <v>0</v>
      </c>
      <c r="AI649" t="s">
        <v>56</v>
      </c>
      <c r="AJ649">
        <v>3.77</v>
      </c>
      <c r="AK649">
        <v>0.9</v>
      </c>
      <c r="AL649">
        <v>0.15</v>
      </c>
      <c r="AM649">
        <v>29.1</v>
      </c>
      <c r="AN649">
        <v>1.35</v>
      </c>
      <c r="AO649">
        <v>0</v>
      </c>
      <c r="AP649">
        <v>0</v>
      </c>
      <c r="AQ649" t="s">
        <v>57</v>
      </c>
      <c r="AS649" t="s">
        <v>1798</v>
      </c>
      <c r="AT649" t="s">
        <v>1798</v>
      </c>
      <c r="AU649" t="s">
        <v>1797</v>
      </c>
      <c r="AV649" t="s">
        <v>1799</v>
      </c>
      <c r="AW649" t="s">
        <v>1800</v>
      </c>
      <c r="AZ649">
        <v>33300</v>
      </c>
      <c r="BA649" t="s">
        <v>228</v>
      </c>
      <c r="BB649" t="s">
        <v>61</v>
      </c>
      <c r="BC649" t="s">
        <v>62</v>
      </c>
    </row>
    <row r="650" spans="1:55" x14ac:dyDescent="0.25">
      <c r="A650" s="1" t="str">
        <f>IF(COUNTIF(Catégories!A:A,X650)=0,"catégorie inconnue",_xlfn.XLOOKUP(X650,Catégories!A:A,Catégories!B:B))</f>
        <v>Frêt</v>
      </c>
      <c r="B650" s="1">
        <f t="shared" si="30"/>
        <v>6.17</v>
      </c>
      <c r="C650" s="1">
        <f t="shared" si="31"/>
        <v>1.35</v>
      </c>
      <c r="D650" s="1">
        <f t="shared" si="32"/>
        <v>4.82</v>
      </c>
      <c r="E650" s="20">
        <f>IF(AH650&lt;&gt;0,ROUNDUP(AH650,0),IF(BB650&lt;&gt;"FR","hors France",IF(AH650&lt;&gt;0,ROUNDUP(AH650,0),_xlfn.XLOOKUP(AJ650,'PA GLS'!B:B,'PA GLS'!A:A))))</f>
        <v>0.5</v>
      </c>
      <c r="F650">
        <v>2501382993</v>
      </c>
      <c r="G650">
        <v>1030263136</v>
      </c>
      <c r="H650" t="s">
        <v>366</v>
      </c>
      <c r="I650">
        <v>2500034092</v>
      </c>
      <c r="J650" t="s">
        <v>50</v>
      </c>
      <c r="K650">
        <v>9000009190</v>
      </c>
      <c r="L650">
        <v>46946</v>
      </c>
      <c r="M650" t="s">
        <v>51</v>
      </c>
      <c r="N650">
        <v>9000037814</v>
      </c>
      <c r="O650" t="s">
        <v>51</v>
      </c>
      <c r="S650">
        <v>2507012387</v>
      </c>
      <c r="T650" t="s">
        <v>50</v>
      </c>
      <c r="U650" t="s">
        <v>122</v>
      </c>
      <c r="V650" t="s">
        <v>73</v>
      </c>
      <c r="W650" t="s">
        <v>74</v>
      </c>
      <c r="X650" t="s">
        <v>60</v>
      </c>
      <c r="Z650">
        <v>217</v>
      </c>
      <c r="AA650" t="s">
        <v>1641</v>
      </c>
      <c r="AB650" t="s">
        <v>1806</v>
      </c>
      <c r="AC650">
        <v>2604000128</v>
      </c>
      <c r="AE650">
        <v>0</v>
      </c>
      <c r="AF650">
        <v>0</v>
      </c>
      <c r="AG650">
        <v>0</v>
      </c>
      <c r="AH650">
        <v>0</v>
      </c>
      <c r="AI650" t="s">
        <v>56</v>
      </c>
      <c r="AJ650">
        <v>3.77</v>
      </c>
      <c r="AK650">
        <v>0.9</v>
      </c>
      <c r="AL650">
        <v>0.15</v>
      </c>
      <c r="AM650">
        <v>29.1</v>
      </c>
      <c r="AN650">
        <v>1.35</v>
      </c>
      <c r="AO650">
        <v>0</v>
      </c>
      <c r="AP650">
        <v>0</v>
      </c>
      <c r="AQ650" t="s">
        <v>57</v>
      </c>
      <c r="AS650" t="s">
        <v>1807</v>
      </c>
      <c r="AT650" t="s">
        <v>1807</v>
      </c>
      <c r="AU650" t="s">
        <v>1806</v>
      </c>
      <c r="AV650" t="s">
        <v>1808</v>
      </c>
      <c r="AW650" t="s">
        <v>1809</v>
      </c>
      <c r="AZ650">
        <v>13009</v>
      </c>
      <c r="BA650" t="s">
        <v>68</v>
      </c>
      <c r="BB650" t="s">
        <v>61</v>
      </c>
      <c r="BC650" t="s">
        <v>62</v>
      </c>
    </row>
    <row r="651" spans="1:55" x14ac:dyDescent="0.25">
      <c r="A651" s="1" t="str">
        <f>IF(COUNTIF(Catégories!A:A,X651)=0,"catégorie inconnue",_xlfn.XLOOKUP(X651,Catégories!A:A,Catégories!B:B))</f>
        <v>Frêt</v>
      </c>
      <c r="B651" s="1">
        <f t="shared" si="30"/>
        <v>6.17</v>
      </c>
      <c r="C651" s="1">
        <f t="shared" si="31"/>
        <v>1.35</v>
      </c>
      <c r="D651" s="1">
        <f t="shared" si="32"/>
        <v>4.82</v>
      </c>
      <c r="E651" s="20">
        <f>IF(AH651&lt;&gt;0,ROUNDUP(AH651,0),IF(BB651&lt;&gt;"FR","hors France",IF(AH651&lt;&gt;0,ROUNDUP(AH651,0),_xlfn.XLOOKUP(AJ651,'PA GLS'!B:B,'PA GLS'!A:A))))</f>
        <v>0.5</v>
      </c>
      <c r="F651">
        <v>2501382993</v>
      </c>
      <c r="G651">
        <v>1030263136</v>
      </c>
      <c r="H651" t="s">
        <v>366</v>
      </c>
      <c r="I651">
        <v>2500034092</v>
      </c>
      <c r="J651" t="s">
        <v>50</v>
      </c>
      <c r="K651">
        <v>9000009190</v>
      </c>
      <c r="L651">
        <v>46946</v>
      </c>
      <c r="M651" t="s">
        <v>51</v>
      </c>
      <c r="N651">
        <v>9000037814</v>
      </c>
      <c r="O651" t="s">
        <v>51</v>
      </c>
      <c r="S651">
        <v>2507012387</v>
      </c>
      <c r="T651" t="s">
        <v>50</v>
      </c>
      <c r="U651" t="s">
        <v>122</v>
      </c>
      <c r="V651" t="s">
        <v>71</v>
      </c>
      <c r="W651" t="s">
        <v>72</v>
      </c>
      <c r="X651" t="s">
        <v>60</v>
      </c>
      <c r="Z651">
        <v>218</v>
      </c>
      <c r="AA651" t="s">
        <v>1641</v>
      </c>
      <c r="AB651" t="s">
        <v>1787</v>
      </c>
      <c r="AC651">
        <v>2604000124</v>
      </c>
      <c r="AE651">
        <v>0</v>
      </c>
      <c r="AF651">
        <v>0</v>
      </c>
      <c r="AG651">
        <v>0</v>
      </c>
      <c r="AH651">
        <v>0</v>
      </c>
      <c r="AI651" t="s">
        <v>56</v>
      </c>
      <c r="AJ651">
        <v>3.77</v>
      </c>
      <c r="AK651">
        <v>0.9</v>
      </c>
      <c r="AL651">
        <v>0.15</v>
      </c>
      <c r="AM651">
        <v>29.1</v>
      </c>
      <c r="AN651">
        <v>1.35</v>
      </c>
      <c r="AO651">
        <v>0</v>
      </c>
      <c r="AP651">
        <v>0</v>
      </c>
      <c r="AQ651" t="s">
        <v>57</v>
      </c>
      <c r="AS651" t="s">
        <v>1788</v>
      </c>
      <c r="AT651" t="s">
        <v>1788</v>
      </c>
      <c r="AU651" t="s">
        <v>1787</v>
      </c>
      <c r="AV651" t="s">
        <v>1789</v>
      </c>
      <c r="AW651" t="s">
        <v>1790</v>
      </c>
      <c r="AZ651">
        <v>77500</v>
      </c>
      <c r="BA651" t="s">
        <v>1791</v>
      </c>
      <c r="BB651" t="s">
        <v>61</v>
      </c>
      <c r="BC651" t="s">
        <v>62</v>
      </c>
    </row>
    <row r="652" spans="1:55" x14ac:dyDescent="0.25">
      <c r="A652" s="1" t="str">
        <f>IF(COUNTIF(Catégories!A:A,X652)=0,"catégorie inconnue",_xlfn.XLOOKUP(X652,Catégories!A:A,Catégories!B:B))</f>
        <v>Frêt</v>
      </c>
      <c r="B652" s="1">
        <f t="shared" si="30"/>
        <v>6.17</v>
      </c>
      <c r="C652" s="1">
        <f t="shared" si="31"/>
        <v>1.35</v>
      </c>
      <c r="D652" s="1">
        <f t="shared" si="32"/>
        <v>4.82</v>
      </c>
      <c r="E652" s="20">
        <f>IF(AH652&lt;&gt;0,ROUNDUP(AH652,0),IF(BB652&lt;&gt;"FR","hors France",IF(AH652&lt;&gt;0,ROUNDUP(AH652,0),_xlfn.XLOOKUP(AJ652,'PA GLS'!B:B,'PA GLS'!A:A))))</f>
        <v>0.5</v>
      </c>
      <c r="F652">
        <v>2501382993</v>
      </c>
      <c r="G652">
        <v>1030263136</v>
      </c>
      <c r="H652" t="s">
        <v>366</v>
      </c>
      <c r="I652">
        <v>2500034092</v>
      </c>
      <c r="J652" t="s">
        <v>50</v>
      </c>
      <c r="K652">
        <v>9000009190</v>
      </c>
      <c r="L652">
        <v>46946</v>
      </c>
      <c r="M652" t="s">
        <v>51</v>
      </c>
      <c r="N652">
        <v>9000037814</v>
      </c>
      <c r="O652" t="s">
        <v>51</v>
      </c>
      <c r="S652">
        <v>2507012387</v>
      </c>
      <c r="T652" t="s">
        <v>50</v>
      </c>
      <c r="U652" t="s">
        <v>122</v>
      </c>
      <c r="V652" t="s">
        <v>71</v>
      </c>
      <c r="W652" t="s">
        <v>72</v>
      </c>
      <c r="X652" t="s">
        <v>60</v>
      </c>
      <c r="Z652">
        <v>218</v>
      </c>
      <c r="AA652" t="s">
        <v>1641</v>
      </c>
      <c r="AB652" t="s">
        <v>1792</v>
      </c>
      <c r="AC652">
        <v>2604000125</v>
      </c>
      <c r="AE652">
        <v>0</v>
      </c>
      <c r="AF652">
        <v>0</v>
      </c>
      <c r="AG652">
        <v>0</v>
      </c>
      <c r="AH652">
        <v>0</v>
      </c>
      <c r="AI652" t="s">
        <v>56</v>
      </c>
      <c r="AJ652">
        <v>3.77</v>
      </c>
      <c r="AK652">
        <v>0.9</v>
      </c>
      <c r="AL652">
        <v>0.15</v>
      </c>
      <c r="AM652">
        <v>29.1</v>
      </c>
      <c r="AN652">
        <v>1.35</v>
      </c>
      <c r="AO652">
        <v>0</v>
      </c>
      <c r="AP652">
        <v>0</v>
      </c>
      <c r="AQ652" t="s">
        <v>57</v>
      </c>
      <c r="AS652" t="s">
        <v>1793</v>
      </c>
      <c r="AT652" t="s">
        <v>1793</v>
      </c>
      <c r="AU652" t="s">
        <v>1792</v>
      </c>
      <c r="AV652" t="s">
        <v>1794</v>
      </c>
      <c r="AW652" t="s">
        <v>1795</v>
      </c>
      <c r="AZ652">
        <v>92120</v>
      </c>
      <c r="BA652" t="s">
        <v>1796</v>
      </c>
      <c r="BB652" t="s">
        <v>61</v>
      </c>
      <c r="BC652" t="s">
        <v>62</v>
      </c>
    </row>
    <row r="653" spans="1:55" x14ac:dyDescent="0.25">
      <c r="A653" s="1" t="str">
        <f>IF(COUNTIF(Catégories!A:A,X653)=0,"catégorie inconnue",_xlfn.XLOOKUP(X653,Catégories!A:A,Catégories!B:B))</f>
        <v>Frêt</v>
      </c>
      <c r="B653" s="1">
        <f t="shared" si="30"/>
        <v>6.17</v>
      </c>
      <c r="C653" s="1">
        <f t="shared" si="31"/>
        <v>1.35</v>
      </c>
      <c r="D653" s="1">
        <f t="shared" si="32"/>
        <v>4.82</v>
      </c>
      <c r="E653" s="20">
        <f>IF(AH653&lt;&gt;0,ROUNDUP(AH653,0),IF(BB653&lt;&gt;"FR","hors France",IF(AH653&lt;&gt;0,ROUNDUP(AH653,0),_xlfn.XLOOKUP(AJ653,'PA GLS'!B:B,'PA GLS'!A:A))))</f>
        <v>0.5</v>
      </c>
      <c r="F653">
        <v>2501382993</v>
      </c>
      <c r="G653">
        <v>1030263136</v>
      </c>
      <c r="H653" t="s">
        <v>366</v>
      </c>
      <c r="I653">
        <v>2500034092</v>
      </c>
      <c r="J653" t="s">
        <v>50</v>
      </c>
      <c r="K653">
        <v>9000009190</v>
      </c>
      <c r="L653">
        <v>46946</v>
      </c>
      <c r="M653" t="s">
        <v>51</v>
      </c>
      <c r="N653">
        <v>9000037814</v>
      </c>
      <c r="O653" t="s">
        <v>51</v>
      </c>
      <c r="S653">
        <v>2507012387</v>
      </c>
      <c r="T653" t="s">
        <v>50</v>
      </c>
      <c r="U653" t="s">
        <v>122</v>
      </c>
      <c r="V653" t="s">
        <v>71</v>
      </c>
      <c r="W653" t="s">
        <v>72</v>
      </c>
      <c r="X653" t="s">
        <v>60</v>
      </c>
      <c r="Z653">
        <v>218</v>
      </c>
      <c r="AA653" t="s">
        <v>1641</v>
      </c>
      <c r="AB653" t="s">
        <v>1801</v>
      </c>
      <c r="AC653">
        <v>2604000127</v>
      </c>
      <c r="AE653">
        <v>0</v>
      </c>
      <c r="AF653">
        <v>0</v>
      </c>
      <c r="AG653">
        <v>0</v>
      </c>
      <c r="AH653">
        <v>0</v>
      </c>
      <c r="AI653" t="s">
        <v>56</v>
      </c>
      <c r="AJ653">
        <v>3.77</v>
      </c>
      <c r="AK653">
        <v>0.9</v>
      </c>
      <c r="AL653">
        <v>0.15</v>
      </c>
      <c r="AM653">
        <v>29.1</v>
      </c>
      <c r="AN653">
        <v>1.35</v>
      </c>
      <c r="AO653">
        <v>0</v>
      </c>
      <c r="AP653">
        <v>0</v>
      </c>
      <c r="AQ653" t="s">
        <v>57</v>
      </c>
      <c r="AS653" t="s">
        <v>1802</v>
      </c>
      <c r="AT653" t="s">
        <v>1802</v>
      </c>
      <c r="AU653" t="s">
        <v>1801</v>
      </c>
      <c r="AV653" t="s">
        <v>1803</v>
      </c>
      <c r="AW653" t="s">
        <v>1804</v>
      </c>
      <c r="AZ653">
        <v>45140</v>
      </c>
      <c r="BA653" t="s">
        <v>1805</v>
      </c>
      <c r="BB653" t="s">
        <v>61</v>
      </c>
      <c r="BC653" t="s">
        <v>62</v>
      </c>
    </row>
    <row r="654" spans="1:55" x14ac:dyDescent="0.25">
      <c r="A654" s="1" t="str">
        <f>IF(COUNTIF(Catégories!A:A,X654)=0,"catégorie inconnue",_xlfn.XLOOKUP(X654,Catégories!A:A,Catégories!B:B))</f>
        <v>Frêt</v>
      </c>
      <c r="B654" s="1">
        <f t="shared" si="30"/>
        <v>6.6000000000000005</v>
      </c>
      <c r="C654" s="1">
        <f t="shared" si="31"/>
        <v>1.45</v>
      </c>
      <c r="D654" s="1">
        <f t="shared" si="32"/>
        <v>5.15</v>
      </c>
      <c r="E654" s="20">
        <f>IF(AH654&lt;&gt;0,ROUNDUP(AH654,0),IF(BB654&lt;&gt;"FR","hors France",IF(AH654&lt;&gt;0,ROUNDUP(AH654,0),_xlfn.XLOOKUP(AJ654,'PA GLS'!B:B,'PA GLS'!A:A))))</f>
        <v>1</v>
      </c>
      <c r="F654">
        <v>2501382993</v>
      </c>
      <c r="G654">
        <v>1030263136</v>
      </c>
      <c r="H654" t="s">
        <v>366</v>
      </c>
      <c r="I654">
        <v>2500034092</v>
      </c>
      <c r="J654" t="s">
        <v>50</v>
      </c>
      <c r="K654">
        <v>9000009190</v>
      </c>
      <c r="L654">
        <v>46946</v>
      </c>
      <c r="M654" t="s">
        <v>51</v>
      </c>
      <c r="N654">
        <v>9000037814</v>
      </c>
      <c r="O654" t="s">
        <v>51</v>
      </c>
      <c r="S654">
        <v>2507012387</v>
      </c>
      <c r="T654" t="s">
        <v>50</v>
      </c>
      <c r="U654" t="s">
        <v>122</v>
      </c>
      <c r="V654" t="s">
        <v>69</v>
      </c>
      <c r="W654" t="s">
        <v>70</v>
      </c>
      <c r="X654" t="s">
        <v>60</v>
      </c>
      <c r="Z654">
        <v>219</v>
      </c>
      <c r="AA654" t="s">
        <v>1641</v>
      </c>
      <c r="AB654" t="s">
        <v>1783</v>
      </c>
      <c r="AC654">
        <v>2604000123</v>
      </c>
      <c r="AE654">
        <v>0</v>
      </c>
      <c r="AF654">
        <v>0</v>
      </c>
      <c r="AG654">
        <v>0</v>
      </c>
      <c r="AH654">
        <v>0</v>
      </c>
      <c r="AI654" t="s">
        <v>56</v>
      </c>
      <c r="AJ654">
        <v>4.0999999999999996</v>
      </c>
      <c r="AK654">
        <v>0.9</v>
      </c>
      <c r="AL654">
        <v>0.15</v>
      </c>
      <c r="AM654">
        <v>29.1</v>
      </c>
      <c r="AN654">
        <v>1.45</v>
      </c>
      <c r="AO654">
        <v>0</v>
      </c>
      <c r="AP654">
        <v>0</v>
      </c>
      <c r="AQ654" t="s">
        <v>57</v>
      </c>
      <c r="AS654" t="s">
        <v>1784</v>
      </c>
      <c r="AT654" t="s">
        <v>1784</v>
      </c>
      <c r="AU654" t="s">
        <v>1783</v>
      </c>
      <c r="AV654" t="s">
        <v>1785</v>
      </c>
      <c r="AW654" t="s">
        <v>1786</v>
      </c>
      <c r="AZ654">
        <v>31000</v>
      </c>
      <c r="BA654" t="s">
        <v>218</v>
      </c>
      <c r="BB654" t="s">
        <v>61</v>
      </c>
      <c r="BC654" t="s">
        <v>62</v>
      </c>
    </row>
    <row r="655" spans="1:55" x14ac:dyDescent="0.25">
      <c r="A655" s="1" t="str">
        <f>IF(COUNTIF(Catégories!A:A,X655)=0,"catégorie inconnue",_xlfn.XLOOKUP(X655,Catégories!A:A,Catégories!B:B))</f>
        <v>Frêt</v>
      </c>
      <c r="B655" s="1">
        <f t="shared" si="30"/>
        <v>0</v>
      </c>
      <c r="C655" s="1">
        <f t="shared" si="31"/>
        <v>0</v>
      </c>
      <c r="D655" s="1">
        <f t="shared" si="32"/>
        <v>0</v>
      </c>
      <c r="E655" s="20">
        <f>IF(AH655&lt;&gt;0,ROUNDUP(AH655,0),IF(BB655&lt;&gt;"FR","hors France",IF(AH655&lt;&gt;0,ROUNDUP(AH655,0),_xlfn.XLOOKUP(AJ655,'PA GLS'!B:B,'PA GLS'!A:A))))</f>
        <v>2</v>
      </c>
      <c r="F655">
        <v>2501382993</v>
      </c>
      <c r="G655">
        <v>1030264735</v>
      </c>
      <c r="H655" t="s">
        <v>366</v>
      </c>
      <c r="I655">
        <v>2500034092</v>
      </c>
      <c r="J655" t="s">
        <v>50</v>
      </c>
      <c r="K655">
        <v>9000009190</v>
      </c>
      <c r="L655">
        <v>46946</v>
      </c>
      <c r="M655" t="s">
        <v>51</v>
      </c>
      <c r="N655">
        <v>9000079830</v>
      </c>
      <c r="O655" t="s">
        <v>187</v>
      </c>
      <c r="S655">
        <v>2507012387</v>
      </c>
      <c r="T655" t="s">
        <v>50</v>
      </c>
      <c r="U655" t="s">
        <v>122</v>
      </c>
      <c r="V655" t="s">
        <v>176</v>
      </c>
      <c r="W655" t="s">
        <v>177</v>
      </c>
      <c r="X655" t="s">
        <v>152</v>
      </c>
      <c r="Z655">
        <v>220</v>
      </c>
      <c r="AA655" t="s">
        <v>1641</v>
      </c>
      <c r="AB655" t="s">
        <v>1664</v>
      </c>
      <c r="AC655">
        <v>2604000184</v>
      </c>
      <c r="AE655">
        <v>0</v>
      </c>
      <c r="AF655">
        <v>1</v>
      </c>
      <c r="AG655">
        <v>0</v>
      </c>
      <c r="AH655">
        <v>1.1499999999999999</v>
      </c>
      <c r="AI655" t="s">
        <v>56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 t="s">
        <v>57</v>
      </c>
      <c r="AS655" t="s">
        <v>1665</v>
      </c>
      <c r="AT655" t="s">
        <v>1665</v>
      </c>
      <c r="AU655" t="s">
        <v>1664</v>
      </c>
      <c r="AV655" t="s">
        <v>1666</v>
      </c>
      <c r="AW655" t="s">
        <v>1667</v>
      </c>
      <c r="AZ655">
        <v>75008</v>
      </c>
      <c r="BA655" t="s">
        <v>65</v>
      </c>
      <c r="BB655" t="s">
        <v>61</v>
      </c>
      <c r="BC655" t="s">
        <v>62</v>
      </c>
    </row>
    <row r="656" spans="1:55" x14ac:dyDescent="0.25">
      <c r="A656" s="1" t="str">
        <f>IF(COUNTIF(Catégories!A:A,X656)=0,"catégorie inconnue",_xlfn.XLOOKUP(X656,Catégories!A:A,Catégories!B:B))</f>
        <v>Frêt</v>
      </c>
      <c r="B656" s="1">
        <f t="shared" si="30"/>
        <v>0</v>
      </c>
      <c r="C656" s="1">
        <f t="shared" si="31"/>
        <v>0</v>
      </c>
      <c r="D656" s="1">
        <f t="shared" si="32"/>
        <v>0</v>
      </c>
      <c r="E656" s="20">
        <f>IF(AH656&lt;&gt;0,ROUNDUP(AH656,0),IF(BB656&lt;&gt;"FR","hors France",IF(AH656&lt;&gt;0,ROUNDUP(AH656,0),_xlfn.XLOOKUP(AJ656,'PA GLS'!B:B,'PA GLS'!A:A))))</f>
        <v>2</v>
      </c>
      <c r="F656">
        <v>2501382993</v>
      </c>
      <c r="G656">
        <v>1030264735</v>
      </c>
      <c r="H656" t="s">
        <v>366</v>
      </c>
      <c r="I656">
        <v>2500034092</v>
      </c>
      <c r="J656" t="s">
        <v>50</v>
      </c>
      <c r="K656">
        <v>9000009190</v>
      </c>
      <c r="L656">
        <v>46946</v>
      </c>
      <c r="M656" t="s">
        <v>51</v>
      </c>
      <c r="N656">
        <v>9000079830</v>
      </c>
      <c r="O656" t="s">
        <v>187</v>
      </c>
      <c r="S656">
        <v>2507012387</v>
      </c>
      <c r="T656" t="s">
        <v>50</v>
      </c>
      <c r="U656" t="s">
        <v>122</v>
      </c>
      <c r="V656" t="s">
        <v>176</v>
      </c>
      <c r="W656" t="s">
        <v>177</v>
      </c>
      <c r="X656" t="s">
        <v>152</v>
      </c>
      <c r="Z656">
        <v>220</v>
      </c>
      <c r="AA656" t="s">
        <v>1641</v>
      </c>
      <c r="AB656" t="s">
        <v>1778</v>
      </c>
      <c r="AC656">
        <v>2604000185</v>
      </c>
      <c r="AE656">
        <v>0</v>
      </c>
      <c r="AF656">
        <v>1</v>
      </c>
      <c r="AG656">
        <v>0</v>
      </c>
      <c r="AH656">
        <v>1.56</v>
      </c>
      <c r="AI656" t="s">
        <v>56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 t="s">
        <v>57</v>
      </c>
      <c r="AS656" t="s">
        <v>1779</v>
      </c>
      <c r="AT656" t="s">
        <v>1779</v>
      </c>
      <c r="AU656" t="s">
        <v>1778</v>
      </c>
      <c r="AV656" t="s">
        <v>1780</v>
      </c>
      <c r="AW656" t="s">
        <v>1781</v>
      </c>
      <c r="AZ656">
        <v>35580</v>
      </c>
      <c r="BA656" t="s">
        <v>1782</v>
      </c>
      <c r="BB656" t="s">
        <v>61</v>
      </c>
      <c r="BC656" t="s">
        <v>62</v>
      </c>
    </row>
    <row r="657" spans="1:55" x14ac:dyDescent="0.25">
      <c r="A657" s="1" t="str">
        <f>IF(COUNTIF(Catégories!A:A,X657)=0,"catégorie inconnue",_xlfn.XLOOKUP(X657,Catégories!A:A,Catégories!B:B))</f>
        <v>Frêt</v>
      </c>
      <c r="B657" s="1">
        <f t="shared" si="30"/>
        <v>0</v>
      </c>
      <c r="C657" s="1">
        <f t="shared" si="31"/>
        <v>0</v>
      </c>
      <c r="D657" s="1">
        <f t="shared" si="32"/>
        <v>0</v>
      </c>
      <c r="E657" s="20">
        <f>IF(AH657&lt;&gt;0,ROUNDUP(AH657,0),IF(BB657&lt;&gt;"FR","hors France",IF(AH657&lt;&gt;0,ROUNDUP(AH657,0),_xlfn.XLOOKUP(AJ657,'PA GLS'!B:B,'PA GLS'!A:A))))</f>
        <v>3</v>
      </c>
      <c r="F657">
        <v>2501382993</v>
      </c>
      <c r="G657">
        <v>1030264735</v>
      </c>
      <c r="H657" t="s">
        <v>366</v>
      </c>
      <c r="I657">
        <v>2500034092</v>
      </c>
      <c r="J657" t="s">
        <v>50</v>
      </c>
      <c r="K657">
        <v>9000009190</v>
      </c>
      <c r="L657">
        <v>46946</v>
      </c>
      <c r="M657" t="s">
        <v>51</v>
      </c>
      <c r="N657">
        <v>9000079830</v>
      </c>
      <c r="O657" t="s">
        <v>187</v>
      </c>
      <c r="S657">
        <v>2507012387</v>
      </c>
      <c r="T657" t="s">
        <v>50</v>
      </c>
      <c r="U657" t="s">
        <v>122</v>
      </c>
      <c r="V657" t="s">
        <v>176</v>
      </c>
      <c r="W657" t="s">
        <v>177</v>
      </c>
      <c r="X657" t="s">
        <v>152</v>
      </c>
      <c r="Z657">
        <v>220</v>
      </c>
      <c r="AA657" t="s">
        <v>1641</v>
      </c>
      <c r="AB657" t="s">
        <v>1740</v>
      </c>
      <c r="AC657">
        <v>2604000186</v>
      </c>
      <c r="AE657">
        <v>0</v>
      </c>
      <c r="AF657">
        <v>1</v>
      </c>
      <c r="AG657">
        <v>0</v>
      </c>
      <c r="AH657">
        <v>2.8</v>
      </c>
      <c r="AI657" t="s">
        <v>56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 t="s">
        <v>57</v>
      </c>
      <c r="AS657" t="s">
        <v>1741</v>
      </c>
      <c r="AT657" t="s">
        <v>1741</v>
      </c>
      <c r="AU657" t="s">
        <v>1740</v>
      </c>
      <c r="AV657" t="s">
        <v>1742</v>
      </c>
      <c r="AW657" t="s">
        <v>1743</v>
      </c>
      <c r="AZ657">
        <v>75011</v>
      </c>
      <c r="BA657" t="s">
        <v>65</v>
      </c>
      <c r="BB657" t="s">
        <v>61</v>
      </c>
      <c r="BC657" t="s">
        <v>62</v>
      </c>
    </row>
    <row r="658" spans="1:55" x14ac:dyDescent="0.25">
      <c r="A658" s="1" t="str">
        <f>IF(COUNTIF(Catégories!A:A,X658)=0,"catégorie inconnue",_xlfn.XLOOKUP(X658,Catégories!A:A,Catégories!B:B))</f>
        <v>Frêt</v>
      </c>
      <c r="B658" s="1">
        <f t="shared" si="30"/>
        <v>0</v>
      </c>
      <c r="C658" s="1">
        <f t="shared" si="31"/>
        <v>0</v>
      </c>
      <c r="D658" s="1">
        <f t="shared" si="32"/>
        <v>0</v>
      </c>
      <c r="E658" s="20">
        <f>IF(AH658&lt;&gt;0,ROUNDUP(AH658,0),IF(BB658&lt;&gt;"FR","hors France",IF(AH658&lt;&gt;0,ROUNDUP(AH658,0),_xlfn.XLOOKUP(AJ658,'PA GLS'!B:B,'PA GLS'!A:A))))</f>
        <v>2</v>
      </c>
      <c r="F658">
        <v>2501382993</v>
      </c>
      <c r="G658">
        <v>1030264735</v>
      </c>
      <c r="H658" t="s">
        <v>366</v>
      </c>
      <c r="I658">
        <v>2500034092</v>
      </c>
      <c r="J658" t="s">
        <v>50</v>
      </c>
      <c r="K658">
        <v>9000009190</v>
      </c>
      <c r="L658">
        <v>46946</v>
      </c>
      <c r="M658" t="s">
        <v>51</v>
      </c>
      <c r="N658">
        <v>9000079830</v>
      </c>
      <c r="O658" t="s">
        <v>187</v>
      </c>
      <c r="S658">
        <v>2507012387</v>
      </c>
      <c r="T658" t="s">
        <v>50</v>
      </c>
      <c r="U658" t="s">
        <v>122</v>
      </c>
      <c r="V658" t="s">
        <v>176</v>
      </c>
      <c r="W658" t="s">
        <v>177</v>
      </c>
      <c r="X658" t="s">
        <v>152</v>
      </c>
      <c r="Z658">
        <v>220</v>
      </c>
      <c r="AA658" t="s">
        <v>1641</v>
      </c>
      <c r="AB658" t="s">
        <v>1773</v>
      </c>
      <c r="AC658">
        <v>2604000187</v>
      </c>
      <c r="AE658">
        <v>0</v>
      </c>
      <c r="AF658">
        <v>1</v>
      </c>
      <c r="AG658">
        <v>0</v>
      </c>
      <c r="AH658">
        <v>1.96</v>
      </c>
      <c r="AI658" t="s">
        <v>56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 t="s">
        <v>57</v>
      </c>
      <c r="AS658" t="s">
        <v>1774</v>
      </c>
      <c r="AT658" t="s">
        <v>1774</v>
      </c>
      <c r="AU658" t="s">
        <v>1773</v>
      </c>
      <c r="AV658" t="s">
        <v>1775</v>
      </c>
      <c r="AW658" t="s">
        <v>1776</v>
      </c>
      <c r="AZ658">
        <v>17640</v>
      </c>
      <c r="BA658" t="s">
        <v>1777</v>
      </c>
      <c r="BB658" t="s">
        <v>61</v>
      </c>
      <c r="BC658" t="s">
        <v>62</v>
      </c>
    </row>
    <row r="659" spans="1:55" x14ac:dyDescent="0.25">
      <c r="A659" s="1" t="str">
        <f>IF(COUNTIF(Catégories!A:A,X659)=0,"catégorie inconnue",_xlfn.XLOOKUP(X659,Catégories!A:A,Catégories!B:B))</f>
        <v>Frêt</v>
      </c>
      <c r="B659" s="1">
        <f t="shared" si="30"/>
        <v>0</v>
      </c>
      <c r="C659" s="1">
        <f t="shared" si="31"/>
        <v>0</v>
      </c>
      <c r="D659" s="1">
        <f t="shared" si="32"/>
        <v>0</v>
      </c>
      <c r="E659" s="20">
        <f>IF(AH659&lt;&gt;0,ROUNDUP(AH659,0),IF(BB659&lt;&gt;"FR","hors France",IF(AH659&lt;&gt;0,ROUNDUP(AH659,0),_xlfn.XLOOKUP(AJ659,'PA GLS'!B:B,'PA GLS'!A:A))))</f>
        <v>2</v>
      </c>
      <c r="F659">
        <v>2501382993</v>
      </c>
      <c r="G659">
        <v>1030264735</v>
      </c>
      <c r="H659" t="s">
        <v>366</v>
      </c>
      <c r="I659">
        <v>2500034092</v>
      </c>
      <c r="J659" t="s">
        <v>50</v>
      </c>
      <c r="K659">
        <v>9000009190</v>
      </c>
      <c r="L659">
        <v>46946</v>
      </c>
      <c r="M659" t="s">
        <v>51</v>
      </c>
      <c r="N659">
        <v>9000079830</v>
      </c>
      <c r="O659" t="s">
        <v>187</v>
      </c>
      <c r="S659">
        <v>2507012387</v>
      </c>
      <c r="T659" t="s">
        <v>50</v>
      </c>
      <c r="U659" t="s">
        <v>122</v>
      </c>
      <c r="V659" t="s">
        <v>176</v>
      </c>
      <c r="W659" t="s">
        <v>177</v>
      </c>
      <c r="X659" t="s">
        <v>152</v>
      </c>
      <c r="Z659">
        <v>220</v>
      </c>
      <c r="AA659" t="s">
        <v>1641</v>
      </c>
      <c r="AB659" t="s">
        <v>1768</v>
      </c>
      <c r="AC659">
        <v>2604000188</v>
      </c>
      <c r="AE659">
        <v>0</v>
      </c>
      <c r="AF659">
        <v>1</v>
      </c>
      <c r="AG659">
        <v>0</v>
      </c>
      <c r="AH659">
        <v>1.74</v>
      </c>
      <c r="AI659" t="s">
        <v>56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 t="s">
        <v>57</v>
      </c>
      <c r="AS659" t="s">
        <v>1769</v>
      </c>
      <c r="AT659" t="s">
        <v>1769</v>
      </c>
      <c r="AU659" t="s">
        <v>1768</v>
      </c>
      <c r="AV659" t="s">
        <v>1770</v>
      </c>
      <c r="AW659" t="s">
        <v>1771</v>
      </c>
      <c r="AZ659">
        <v>33450</v>
      </c>
      <c r="BA659" t="s">
        <v>1772</v>
      </c>
      <c r="BB659" t="s">
        <v>61</v>
      </c>
      <c r="BC659" t="s">
        <v>62</v>
      </c>
    </row>
    <row r="660" spans="1:55" x14ac:dyDescent="0.25">
      <c r="A660" s="1" t="str">
        <f>IF(COUNTIF(Catégories!A:A,X660)=0,"catégorie inconnue",_xlfn.XLOOKUP(X660,Catégories!A:A,Catégories!B:B))</f>
        <v>Frêt</v>
      </c>
      <c r="B660" s="1">
        <f t="shared" si="30"/>
        <v>0</v>
      </c>
      <c r="C660" s="1">
        <f t="shared" si="31"/>
        <v>0</v>
      </c>
      <c r="D660" s="1">
        <f t="shared" si="32"/>
        <v>0</v>
      </c>
      <c r="E660" s="20">
        <f>IF(AH660&lt;&gt;0,ROUNDUP(AH660,0),IF(BB660&lt;&gt;"FR","hors France",IF(AH660&lt;&gt;0,ROUNDUP(AH660,0),_xlfn.XLOOKUP(AJ660,'PA GLS'!B:B,'PA GLS'!A:A))))</f>
        <v>2</v>
      </c>
      <c r="F660">
        <v>2501382993</v>
      </c>
      <c r="G660">
        <v>1030264735</v>
      </c>
      <c r="H660" t="s">
        <v>366</v>
      </c>
      <c r="I660">
        <v>2500034092</v>
      </c>
      <c r="J660" t="s">
        <v>50</v>
      </c>
      <c r="K660">
        <v>9000009190</v>
      </c>
      <c r="L660">
        <v>46946</v>
      </c>
      <c r="M660" t="s">
        <v>51</v>
      </c>
      <c r="N660">
        <v>9000079830</v>
      </c>
      <c r="O660" t="s">
        <v>187</v>
      </c>
      <c r="S660">
        <v>2507012387</v>
      </c>
      <c r="T660" t="s">
        <v>50</v>
      </c>
      <c r="U660" t="s">
        <v>122</v>
      </c>
      <c r="V660" t="s">
        <v>176</v>
      </c>
      <c r="W660" t="s">
        <v>177</v>
      </c>
      <c r="X660" t="s">
        <v>152</v>
      </c>
      <c r="Z660">
        <v>220</v>
      </c>
      <c r="AA660" t="s">
        <v>1641</v>
      </c>
      <c r="AB660" t="s">
        <v>1763</v>
      </c>
      <c r="AC660">
        <v>2604000189</v>
      </c>
      <c r="AE660">
        <v>0</v>
      </c>
      <c r="AF660">
        <v>1</v>
      </c>
      <c r="AG660">
        <v>0</v>
      </c>
      <c r="AH660">
        <v>1.66</v>
      </c>
      <c r="AI660" t="s">
        <v>56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 t="s">
        <v>57</v>
      </c>
      <c r="AS660" t="s">
        <v>1764</v>
      </c>
      <c r="AT660" t="s">
        <v>1764</v>
      </c>
      <c r="AU660" t="s">
        <v>1763</v>
      </c>
      <c r="AV660" t="s">
        <v>1765</v>
      </c>
      <c r="AW660" t="s">
        <v>1766</v>
      </c>
      <c r="AZ660">
        <v>69006</v>
      </c>
      <c r="BA660" t="s">
        <v>1767</v>
      </c>
      <c r="BB660" t="s">
        <v>61</v>
      </c>
      <c r="BC660" t="s">
        <v>62</v>
      </c>
    </row>
    <row r="661" spans="1:55" x14ac:dyDescent="0.25">
      <c r="A661" s="1" t="str">
        <f>IF(COUNTIF(Catégories!A:A,X661)=0,"catégorie inconnue",_xlfn.XLOOKUP(X661,Catégories!A:A,Catégories!B:B))</f>
        <v>Frêt</v>
      </c>
      <c r="B661" s="1">
        <f t="shared" si="30"/>
        <v>0</v>
      </c>
      <c r="C661" s="1">
        <f t="shared" si="31"/>
        <v>0</v>
      </c>
      <c r="D661" s="1">
        <f t="shared" si="32"/>
        <v>0</v>
      </c>
      <c r="E661" s="20">
        <f>IF(AH661&lt;&gt;0,ROUNDUP(AH661,0),IF(BB661&lt;&gt;"FR","hors France",IF(AH661&lt;&gt;0,ROUNDUP(AH661,0),_xlfn.XLOOKUP(AJ661,'PA GLS'!B:B,'PA GLS'!A:A))))</f>
        <v>3</v>
      </c>
      <c r="F661">
        <v>2501382993</v>
      </c>
      <c r="G661">
        <v>1030264735</v>
      </c>
      <c r="H661" t="s">
        <v>366</v>
      </c>
      <c r="I661">
        <v>2500034092</v>
      </c>
      <c r="J661" t="s">
        <v>50</v>
      </c>
      <c r="K661">
        <v>9000009190</v>
      </c>
      <c r="L661">
        <v>46946</v>
      </c>
      <c r="M661" t="s">
        <v>51</v>
      </c>
      <c r="N661">
        <v>9000079830</v>
      </c>
      <c r="O661" t="s">
        <v>187</v>
      </c>
      <c r="S661">
        <v>2507012387</v>
      </c>
      <c r="T661" t="s">
        <v>50</v>
      </c>
      <c r="U661" t="s">
        <v>122</v>
      </c>
      <c r="V661" t="s">
        <v>176</v>
      </c>
      <c r="W661" t="s">
        <v>177</v>
      </c>
      <c r="X661" t="s">
        <v>152</v>
      </c>
      <c r="Z661">
        <v>220</v>
      </c>
      <c r="AA661" t="s">
        <v>1641</v>
      </c>
      <c r="AB661" t="s">
        <v>1735</v>
      </c>
      <c r="AC661">
        <v>2604000190</v>
      </c>
      <c r="AE661">
        <v>0</v>
      </c>
      <c r="AF661">
        <v>1</v>
      </c>
      <c r="AG661">
        <v>0</v>
      </c>
      <c r="AH661">
        <v>2.04</v>
      </c>
      <c r="AI661" t="s">
        <v>56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 t="s">
        <v>57</v>
      </c>
      <c r="AS661" t="s">
        <v>1736</v>
      </c>
      <c r="AT661" t="s">
        <v>1736</v>
      </c>
      <c r="AU661" t="s">
        <v>1735</v>
      </c>
      <c r="AV661" t="s">
        <v>1737</v>
      </c>
      <c r="AW661" t="s">
        <v>1738</v>
      </c>
      <c r="AZ661">
        <v>58240</v>
      </c>
      <c r="BA661" t="s">
        <v>1739</v>
      </c>
      <c r="BB661" t="s">
        <v>61</v>
      </c>
      <c r="BC661" t="s">
        <v>62</v>
      </c>
    </row>
    <row r="662" spans="1:55" x14ac:dyDescent="0.25">
      <c r="A662" s="1" t="str">
        <f>IF(COUNTIF(Catégories!A:A,X662)=0,"catégorie inconnue",_xlfn.XLOOKUP(X662,Catégories!A:A,Catégories!B:B))</f>
        <v>Frêt</v>
      </c>
      <c r="B662" s="1">
        <f t="shared" si="30"/>
        <v>0</v>
      </c>
      <c r="C662" s="1">
        <f t="shared" si="31"/>
        <v>0</v>
      </c>
      <c r="D662" s="1">
        <f t="shared" si="32"/>
        <v>0</v>
      </c>
      <c r="E662" s="20">
        <f>IF(AH662&lt;&gt;0,ROUNDUP(AH662,0),IF(BB662&lt;&gt;"FR","hors France",IF(AH662&lt;&gt;0,ROUNDUP(AH662,0),_xlfn.XLOOKUP(AJ662,'PA GLS'!B:B,'PA GLS'!A:A))))</f>
        <v>2</v>
      </c>
      <c r="F662">
        <v>2501382993</v>
      </c>
      <c r="G662">
        <v>1030264735</v>
      </c>
      <c r="H662" t="s">
        <v>366</v>
      </c>
      <c r="I662">
        <v>2500034092</v>
      </c>
      <c r="J662" t="s">
        <v>50</v>
      </c>
      <c r="K662">
        <v>9000009190</v>
      </c>
      <c r="L662">
        <v>46946</v>
      </c>
      <c r="M662" t="s">
        <v>51</v>
      </c>
      <c r="N662">
        <v>9000079830</v>
      </c>
      <c r="O662" t="s">
        <v>187</v>
      </c>
      <c r="S662">
        <v>2507012387</v>
      </c>
      <c r="T662" t="s">
        <v>50</v>
      </c>
      <c r="U662" t="s">
        <v>122</v>
      </c>
      <c r="V662" t="s">
        <v>176</v>
      </c>
      <c r="W662" t="s">
        <v>177</v>
      </c>
      <c r="X662" t="s">
        <v>152</v>
      </c>
      <c r="Z662">
        <v>220</v>
      </c>
      <c r="AA662" t="s">
        <v>1641</v>
      </c>
      <c r="AB662" t="s">
        <v>1647</v>
      </c>
      <c r="AC662">
        <v>2604000208</v>
      </c>
      <c r="AE662">
        <v>0</v>
      </c>
      <c r="AF662">
        <v>1</v>
      </c>
      <c r="AG662">
        <v>0</v>
      </c>
      <c r="AH662">
        <v>1.1499999999999999</v>
      </c>
      <c r="AI662" t="s">
        <v>56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 t="s">
        <v>57</v>
      </c>
      <c r="AS662" t="s">
        <v>1648</v>
      </c>
      <c r="AT662" t="s">
        <v>1648</v>
      </c>
      <c r="AU662" t="s">
        <v>1647</v>
      </c>
      <c r="AV662" t="s">
        <v>1649</v>
      </c>
      <c r="AW662" t="s">
        <v>1650</v>
      </c>
      <c r="AZ662">
        <v>75015</v>
      </c>
      <c r="BA662" t="s">
        <v>65</v>
      </c>
      <c r="BB662" t="s">
        <v>61</v>
      </c>
      <c r="BC662" t="s">
        <v>62</v>
      </c>
    </row>
    <row r="663" spans="1:55" x14ac:dyDescent="0.25">
      <c r="A663" s="1" t="str">
        <f>IF(COUNTIF(Catégories!A:A,X663)=0,"catégorie inconnue",_xlfn.XLOOKUP(X663,Catégories!A:A,Catégories!B:B))</f>
        <v>Frêt</v>
      </c>
      <c r="B663" s="1">
        <f t="shared" si="30"/>
        <v>0</v>
      </c>
      <c r="C663" s="1">
        <f t="shared" si="31"/>
        <v>0</v>
      </c>
      <c r="D663" s="1">
        <f t="shared" si="32"/>
        <v>0</v>
      </c>
      <c r="E663" s="20">
        <f>IF(AH663&lt;&gt;0,ROUNDUP(AH663,0),IF(BB663&lt;&gt;"FR","hors France",IF(AH663&lt;&gt;0,ROUNDUP(AH663,0),_xlfn.XLOOKUP(AJ663,'PA GLS'!B:B,'PA GLS'!A:A))))</f>
        <v>2</v>
      </c>
      <c r="F663">
        <v>2501382993</v>
      </c>
      <c r="G663">
        <v>1030264735</v>
      </c>
      <c r="H663" t="s">
        <v>366</v>
      </c>
      <c r="I663">
        <v>2500034092</v>
      </c>
      <c r="J663" t="s">
        <v>50</v>
      </c>
      <c r="K663">
        <v>9000009190</v>
      </c>
      <c r="L663">
        <v>46946</v>
      </c>
      <c r="M663" t="s">
        <v>51</v>
      </c>
      <c r="N663">
        <v>9000079830</v>
      </c>
      <c r="O663" t="s">
        <v>187</v>
      </c>
      <c r="S663">
        <v>2507012387</v>
      </c>
      <c r="T663" t="s">
        <v>50</v>
      </c>
      <c r="U663" t="s">
        <v>122</v>
      </c>
      <c r="V663" t="s">
        <v>176</v>
      </c>
      <c r="W663" t="s">
        <v>177</v>
      </c>
      <c r="X663" t="s">
        <v>152</v>
      </c>
      <c r="Z663">
        <v>220</v>
      </c>
      <c r="AA663" t="s">
        <v>1641</v>
      </c>
      <c r="AB663" t="s">
        <v>1744</v>
      </c>
      <c r="AC663">
        <v>2604000207</v>
      </c>
      <c r="AE663">
        <v>0</v>
      </c>
      <c r="AF663">
        <v>1</v>
      </c>
      <c r="AG663">
        <v>0</v>
      </c>
      <c r="AH663">
        <v>1.64</v>
      </c>
      <c r="AI663" t="s">
        <v>56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 t="s">
        <v>57</v>
      </c>
      <c r="AS663" t="s">
        <v>1745</v>
      </c>
      <c r="AT663" t="s">
        <v>1745</v>
      </c>
      <c r="AU663" t="s">
        <v>1744</v>
      </c>
      <c r="AV663" t="s">
        <v>1746</v>
      </c>
      <c r="AW663" t="s">
        <v>1747</v>
      </c>
      <c r="AZ663">
        <v>83210</v>
      </c>
      <c r="BA663" t="s">
        <v>1748</v>
      </c>
      <c r="BB663" t="s">
        <v>61</v>
      </c>
      <c r="BC663" t="s">
        <v>62</v>
      </c>
    </row>
    <row r="664" spans="1:55" x14ac:dyDescent="0.25">
      <c r="A664" s="1" t="str">
        <f>IF(COUNTIF(Catégories!A:A,X664)=0,"catégorie inconnue",_xlfn.XLOOKUP(X664,Catégories!A:A,Catégories!B:B))</f>
        <v>Frêt</v>
      </c>
      <c r="B664" s="1">
        <f t="shared" si="30"/>
        <v>0</v>
      </c>
      <c r="C664" s="1">
        <f t="shared" si="31"/>
        <v>0</v>
      </c>
      <c r="D664" s="1">
        <f t="shared" si="32"/>
        <v>0</v>
      </c>
      <c r="E664" s="20">
        <f>IF(AH664&lt;&gt;0,ROUNDUP(AH664,0),IF(BB664&lt;&gt;"FR","hors France",IF(AH664&lt;&gt;0,ROUNDUP(AH664,0),_xlfn.XLOOKUP(AJ664,'PA GLS'!B:B,'PA GLS'!A:A))))</f>
        <v>1</v>
      </c>
      <c r="F664">
        <v>2501382993</v>
      </c>
      <c r="G664">
        <v>1030264735</v>
      </c>
      <c r="H664" t="s">
        <v>366</v>
      </c>
      <c r="I664">
        <v>2500034092</v>
      </c>
      <c r="J664" t="s">
        <v>50</v>
      </c>
      <c r="K664">
        <v>9000009190</v>
      </c>
      <c r="L664">
        <v>46946</v>
      </c>
      <c r="M664" t="s">
        <v>51</v>
      </c>
      <c r="N664">
        <v>9000079830</v>
      </c>
      <c r="O664" t="s">
        <v>187</v>
      </c>
      <c r="S664">
        <v>2507012387</v>
      </c>
      <c r="T664" t="s">
        <v>50</v>
      </c>
      <c r="U664" t="s">
        <v>122</v>
      </c>
      <c r="V664" t="s">
        <v>176</v>
      </c>
      <c r="W664" t="s">
        <v>177</v>
      </c>
      <c r="X664" t="s">
        <v>152</v>
      </c>
      <c r="Z664">
        <v>220</v>
      </c>
      <c r="AA664" t="s">
        <v>1641</v>
      </c>
      <c r="AB664" t="s">
        <v>1672</v>
      </c>
      <c r="AC664">
        <v>2604000206</v>
      </c>
      <c r="AE664">
        <v>0</v>
      </c>
      <c r="AF664">
        <v>1</v>
      </c>
      <c r="AG664">
        <v>0</v>
      </c>
      <c r="AH664">
        <v>0.9</v>
      </c>
      <c r="AI664" t="s">
        <v>56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 t="s">
        <v>57</v>
      </c>
      <c r="AS664" t="s">
        <v>1673</v>
      </c>
      <c r="AT664" t="s">
        <v>1673</v>
      </c>
      <c r="AU664" t="s">
        <v>1672</v>
      </c>
      <c r="AV664" t="s">
        <v>1674</v>
      </c>
      <c r="AW664" t="s">
        <v>1675</v>
      </c>
      <c r="AZ664">
        <v>64600</v>
      </c>
      <c r="BA664" t="s">
        <v>263</v>
      </c>
      <c r="BB664" t="s">
        <v>61</v>
      </c>
      <c r="BC664" t="s">
        <v>62</v>
      </c>
    </row>
    <row r="665" spans="1:55" x14ac:dyDescent="0.25">
      <c r="A665" s="1" t="str">
        <f>IF(COUNTIF(Catégories!A:A,X665)=0,"catégorie inconnue",_xlfn.XLOOKUP(X665,Catégories!A:A,Catégories!B:B))</f>
        <v>Frêt</v>
      </c>
      <c r="B665" s="1">
        <f t="shared" si="30"/>
        <v>0</v>
      </c>
      <c r="C665" s="1">
        <f t="shared" si="31"/>
        <v>0</v>
      </c>
      <c r="D665" s="1">
        <f t="shared" si="32"/>
        <v>0</v>
      </c>
      <c r="E665" s="20">
        <f>IF(AH665&lt;&gt;0,ROUNDUP(AH665,0),IF(BB665&lt;&gt;"FR","hors France",IF(AH665&lt;&gt;0,ROUNDUP(AH665,0),_xlfn.XLOOKUP(AJ665,'PA GLS'!B:B,'PA GLS'!A:A))))</f>
        <v>2</v>
      </c>
      <c r="F665">
        <v>2501382993</v>
      </c>
      <c r="G665">
        <v>1030264735</v>
      </c>
      <c r="H665" t="s">
        <v>366</v>
      </c>
      <c r="I665">
        <v>2500034092</v>
      </c>
      <c r="J665" t="s">
        <v>50</v>
      </c>
      <c r="K665">
        <v>9000009190</v>
      </c>
      <c r="L665">
        <v>46946</v>
      </c>
      <c r="M665" t="s">
        <v>51</v>
      </c>
      <c r="N665">
        <v>9000079830</v>
      </c>
      <c r="O665" t="s">
        <v>187</v>
      </c>
      <c r="S665">
        <v>2507012387</v>
      </c>
      <c r="T665" t="s">
        <v>50</v>
      </c>
      <c r="U665" t="s">
        <v>122</v>
      </c>
      <c r="V665" t="s">
        <v>176</v>
      </c>
      <c r="W665" t="s">
        <v>177</v>
      </c>
      <c r="X665" t="s">
        <v>152</v>
      </c>
      <c r="Z665">
        <v>220</v>
      </c>
      <c r="AA665" t="s">
        <v>1641</v>
      </c>
      <c r="AB665" t="s">
        <v>1749</v>
      </c>
      <c r="AC665">
        <v>2604000205</v>
      </c>
      <c r="AE665">
        <v>0</v>
      </c>
      <c r="AF665">
        <v>1</v>
      </c>
      <c r="AG665">
        <v>0</v>
      </c>
      <c r="AH665">
        <v>1.68</v>
      </c>
      <c r="AI665" t="s">
        <v>56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 t="s">
        <v>57</v>
      </c>
      <c r="AS665" t="s">
        <v>1750</v>
      </c>
      <c r="AT665" t="s">
        <v>1750</v>
      </c>
      <c r="AU665" t="s">
        <v>1749</v>
      </c>
      <c r="AV665" t="s">
        <v>1751</v>
      </c>
      <c r="AW665" t="s">
        <v>1752</v>
      </c>
      <c r="AZ665">
        <v>56170</v>
      </c>
      <c r="BA665" t="s">
        <v>1026</v>
      </c>
      <c r="BB665" t="s">
        <v>61</v>
      </c>
      <c r="BC665" t="s">
        <v>62</v>
      </c>
    </row>
    <row r="666" spans="1:55" x14ac:dyDescent="0.25">
      <c r="A666" s="1" t="str">
        <f>IF(COUNTIF(Catégories!A:A,X666)=0,"catégorie inconnue",_xlfn.XLOOKUP(X666,Catégories!A:A,Catégories!B:B))</f>
        <v>Frêt</v>
      </c>
      <c r="B666" s="1">
        <f t="shared" si="30"/>
        <v>0</v>
      </c>
      <c r="C666" s="1">
        <f t="shared" si="31"/>
        <v>0</v>
      </c>
      <c r="D666" s="1">
        <f t="shared" si="32"/>
        <v>0</v>
      </c>
      <c r="E666" s="20">
        <f>IF(AH666&lt;&gt;0,ROUNDUP(AH666,0),IF(BB666&lt;&gt;"FR","hors France",IF(AH666&lt;&gt;0,ROUNDUP(AH666,0),_xlfn.XLOOKUP(AJ666,'PA GLS'!B:B,'PA GLS'!A:A))))</f>
        <v>1</v>
      </c>
      <c r="F666">
        <v>2501382993</v>
      </c>
      <c r="G666">
        <v>1030264735</v>
      </c>
      <c r="H666" t="s">
        <v>366</v>
      </c>
      <c r="I666">
        <v>2500034092</v>
      </c>
      <c r="J666" t="s">
        <v>50</v>
      </c>
      <c r="K666">
        <v>9000009190</v>
      </c>
      <c r="L666">
        <v>46946</v>
      </c>
      <c r="M666" t="s">
        <v>51</v>
      </c>
      <c r="N666">
        <v>9000079830</v>
      </c>
      <c r="O666" t="s">
        <v>187</v>
      </c>
      <c r="S666">
        <v>2507012387</v>
      </c>
      <c r="T666" t="s">
        <v>50</v>
      </c>
      <c r="U666" t="s">
        <v>122</v>
      </c>
      <c r="V666" t="s">
        <v>176</v>
      </c>
      <c r="W666" t="s">
        <v>177</v>
      </c>
      <c r="X666" t="s">
        <v>152</v>
      </c>
      <c r="Z666">
        <v>220</v>
      </c>
      <c r="AA666" t="s">
        <v>1641</v>
      </c>
      <c r="AB666" t="s">
        <v>1676</v>
      </c>
      <c r="AC666">
        <v>2604000204</v>
      </c>
      <c r="AE666">
        <v>0</v>
      </c>
      <c r="AF666">
        <v>1</v>
      </c>
      <c r="AG666">
        <v>0</v>
      </c>
      <c r="AH666">
        <v>0.83</v>
      </c>
      <c r="AI666" t="s">
        <v>56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 t="s">
        <v>57</v>
      </c>
      <c r="AS666" t="s">
        <v>1677</v>
      </c>
      <c r="AT666" t="s">
        <v>1677</v>
      </c>
      <c r="AU666" t="s">
        <v>1676</v>
      </c>
      <c r="AV666" t="s">
        <v>1678</v>
      </c>
      <c r="AW666" t="s">
        <v>1679</v>
      </c>
      <c r="AZ666">
        <v>75019</v>
      </c>
      <c r="BA666" t="s">
        <v>65</v>
      </c>
      <c r="BB666" t="s">
        <v>61</v>
      </c>
      <c r="BC666" t="s">
        <v>62</v>
      </c>
    </row>
    <row r="667" spans="1:55" x14ac:dyDescent="0.25">
      <c r="A667" s="1" t="str">
        <f>IF(COUNTIF(Catégories!A:A,X667)=0,"catégorie inconnue",_xlfn.XLOOKUP(X667,Catégories!A:A,Catégories!B:B))</f>
        <v>Frêt</v>
      </c>
      <c r="B667" s="1">
        <f t="shared" si="30"/>
        <v>0</v>
      </c>
      <c r="C667" s="1">
        <f t="shared" si="31"/>
        <v>0</v>
      </c>
      <c r="D667" s="1">
        <f t="shared" si="32"/>
        <v>0</v>
      </c>
      <c r="E667" s="20">
        <f>IF(AH667&lt;&gt;0,ROUNDUP(AH667,0),IF(BB667&lt;&gt;"FR","hors France",IF(AH667&lt;&gt;0,ROUNDUP(AH667,0),_xlfn.XLOOKUP(AJ667,'PA GLS'!B:B,'PA GLS'!A:A))))</f>
        <v>2</v>
      </c>
      <c r="F667">
        <v>2501382993</v>
      </c>
      <c r="G667">
        <v>1030264735</v>
      </c>
      <c r="H667" t="s">
        <v>366</v>
      </c>
      <c r="I667">
        <v>2500034092</v>
      </c>
      <c r="J667" t="s">
        <v>50</v>
      </c>
      <c r="K667">
        <v>9000009190</v>
      </c>
      <c r="L667">
        <v>46946</v>
      </c>
      <c r="M667" t="s">
        <v>51</v>
      </c>
      <c r="N667">
        <v>9000079830</v>
      </c>
      <c r="O667" t="s">
        <v>187</v>
      </c>
      <c r="S667">
        <v>2507012387</v>
      </c>
      <c r="T667" t="s">
        <v>50</v>
      </c>
      <c r="U667" t="s">
        <v>122</v>
      </c>
      <c r="V667" t="s">
        <v>176</v>
      </c>
      <c r="W667" t="s">
        <v>177</v>
      </c>
      <c r="X667" t="s">
        <v>152</v>
      </c>
      <c r="Z667">
        <v>220</v>
      </c>
      <c r="AA667" t="s">
        <v>1641</v>
      </c>
      <c r="AB667" t="s">
        <v>1651</v>
      </c>
      <c r="AC667">
        <v>2604000203</v>
      </c>
      <c r="AE667">
        <v>0</v>
      </c>
      <c r="AF667">
        <v>1</v>
      </c>
      <c r="AG667">
        <v>0</v>
      </c>
      <c r="AH667">
        <v>1.1399999999999999</v>
      </c>
      <c r="AI667" t="s">
        <v>56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 t="s">
        <v>57</v>
      </c>
      <c r="AS667" t="s">
        <v>1652</v>
      </c>
      <c r="AT667" t="s">
        <v>1652</v>
      </c>
      <c r="AU667" t="s">
        <v>1651</v>
      </c>
      <c r="AV667" t="s">
        <v>1653</v>
      </c>
      <c r="AW667" t="s">
        <v>1654</v>
      </c>
      <c r="AZ667">
        <v>35000</v>
      </c>
      <c r="BA667" t="s">
        <v>386</v>
      </c>
      <c r="BB667" t="s">
        <v>61</v>
      </c>
      <c r="BC667" t="s">
        <v>62</v>
      </c>
    </row>
    <row r="668" spans="1:55" x14ac:dyDescent="0.25">
      <c r="A668" s="1" t="str">
        <f>IF(COUNTIF(Catégories!A:A,X668)=0,"catégorie inconnue",_xlfn.XLOOKUP(X668,Catégories!A:A,Catégories!B:B))</f>
        <v>Frêt</v>
      </c>
      <c r="B668" s="1">
        <f t="shared" si="30"/>
        <v>0</v>
      </c>
      <c r="C668" s="1">
        <f t="shared" si="31"/>
        <v>0</v>
      </c>
      <c r="D668" s="1">
        <f t="shared" si="32"/>
        <v>0</v>
      </c>
      <c r="E668" s="20">
        <f>IF(AH668&lt;&gt;0,ROUNDUP(AH668,0),IF(BB668&lt;&gt;"FR","hors France",IF(AH668&lt;&gt;0,ROUNDUP(AH668,0),_xlfn.XLOOKUP(AJ668,'PA GLS'!B:B,'PA GLS'!A:A))))</f>
        <v>1</v>
      </c>
      <c r="F668">
        <v>2501382993</v>
      </c>
      <c r="G668">
        <v>1030264735</v>
      </c>
      <c r="H668" t="s">
        <v>366</v>
      </c>
      <c r="I668">
        <v>2500034092</v>
      </c>
      <c r="J668" t="s">
        <v>50</v>
      </c>
      <c r="K668">
        <v>9000009190</v>
      </c>
      <c r="L668">
        <v>46946</v>
      </c>
      <c r="M668" t="s">
        <v>51</v>
      </c>
      <c r="N668">
        <v>9000079830</v>
      </c>
      <c r="O668" t="s">
        <v>187</v>
      </c>
      <c r="S668">
        <v>2507012387</v>
      </c>
      <c r="T668" t="s">
        <v>50</v>
      </c>
      <c r="U668" t="s">
        <v>122</v>
      </c>
      <c r="V668" t="s">
        <v>176</v>
      </c>
      <c r="W668" t="s">
        <v>177</v>
      </c>
      <c r="X668" t="s">
        <v>152</v>
      </c>
      <c r="Z668">
        <v>220</v>
      </c>
      <c r="AA668" t="s">
        <v>1641</v>
      </c>
      <c r="AB668" t="s">
        <v>1680</v>
      </c>
      <c r="AC668">
        <v>2604000202</v>
      </c>
      <c r="AE668">
        <v>0</v>
      </c>
      <c r="AF668">
        <v>1</v>
      </c>
      <c r="AG668">
        <v>0</v>
      </c>
      <c r="AH668">
        <v>0.9</v>
      </c>
      <c r="AI668" t="s">
        <v>56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 t="s">
        <v>57</v>
      </c>
      <c r="AS668" t="s">
        <v>1681</v>
      </c>
      <c r="AT668" t="s">
        <v>1681</v>
      </c>
      <c r="AU668" t="s">
        <v>1680</v>
      </c>
      <c r="AV668" t="s">
        <v>1682</v>
      </c>
      <c r="AW668" t="s">
        <v>1683</v>
      </c>
      <c r="AZ668">
        <v>6570</v>
      </c>
      <c r="BA668" t="s">
        <v>1684</v>
      </c>
      <c r="BB668" t="s">
        <v>61</v>
      </c>
      <c r="BC668" t="s">
        <v>62</v>
      </c>
    </row>
    <row r="669" spans="1:55" x14ac:dyDescent="0.25">
      <c r="A669" s="1" t="str">
        <f>IF(COUNTIF(Catégories!A:A,X669)=0,"catégorie inconnue",_xlfn.XLOOKUP(X669,Catégories!A:A,Catégories!B:B))</f>
        <v>Frêt</v>
      </c>
      <c r="B669" s="1">
        <f t="shared" si="30"/>
        <v>0</v>
      </c>
      <c r="C669" s="1">
        <f t="shared" si="31"/>
        <v>0</v>
      </c>
      <c r="D669" s="1">
        <f t="shared" si="32"/>
        <v>0</v>
      </c>
      <c r="E669" s="20">
        <f>IF(AH669&lt;&gt;0,ROUNDUP(AH669,0),IF(BB669&lt;&gt;"FR","hors France",IF(AH669&lt;&gt;0,ROUNDUP(AH669,0),_xlfn.XLOOKUP(AJ669,'PA GLS'!B:B,'PA GLS'!A:A))))</f>
        <v>2</v>
      </c>
      <c r="F669">
        <v>2501382993</v>
      </c>
      <c r="G669">
        <v>1030264735</v>
      </c>
      <c r="H669" t="s">
        <v>366</v>
      </c>
      <c r="I669">
        <v>2500034092</v>
      </c>
      <c r="J669" t="s">
        <v>50</v>
      </c>
      <c r="K669">
        <v>9000009190</v>
      </c>
      <c r="L669">
        <v>46946</v>
      </c>
      <c r="M669" t="s">
        <v>51</v>
      </c>
      <c r="N669">
        <v>9000079830</v>
      </c>
      <c r="O669" t="s">
        <v>187</v>
      </c>
      <c r="S669">
        <v>2507012387</v>
      </c>
      <c r="T669" t="s">
        <v>50</v>
      </c>
      <c r="U669" t="s">
        <v>122</v>
      </c>
      <c r="V669" t="s">
        <v>176</v>
      </c>
      <c r="W669" t="s">
        <v>177</v>
      </c>
      <c r="X669" t="s">
        <v>152</v>
      </c>
      <c r="Z669">
        <v>220</v>
      </c>
      <c r="AA669" t="s">
        <v>1641</v>
      </c>
      <c r="AB669" t="s">
        <v>1655</v>
      </c>
      <c r="AC669">
        <v>2604000201</v>
      </c>
      <c r="AE669">
        <v>0</v>
      </c>
      <c r="AF669">
        <v>1</v>
      </c>
      <c r="AG669">
        <v>0</v>
      </c>
      <c r="AH669">
        <v>1.1200000000000001</v>
      </c>
      <c r="AI669" t="s">
        <v>56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 t="s">
        <v>57</v>
      </c>
      <c r="AS669" t="s">
        <v>1656</v>
      </c>
      <c r="AT669" t="s">
        <v>1656</v>
      </c>
      <c r="AU669" t="s">
        <v>1655</v>
      </c>
      <c r="AV669" t="s">
        <v>1657</v>
      </c>
      <c r="AW669" t="s">
        <v>1658</v>
      </c>
      <c r="AZ669">
        <v>25210</v>
      </c>
      <c r="BA669" t="s">
        <v>1659</v>
      </c>
      <c r="BB669" t="s">
        <v>61</v>
      </c>
      <c r="BC669" t="s">
        <v>62</v>
      </c>
    </row>
    <row r="670" spans="1:55" x14ac:dyDescent="0.25">
      <c r="A670" s="1" t="str">
        <f>IF(COUNTIF(Catégories!A:A,X670)=0,"catégorie inconnue",_xlfn.XLOOKUP(X670,Catégories!A:A,Catégories!B:B))</f>
        <v>Frêt</v>
      </c>
      <c r="B670" s="1">
        <f t="shared" si="30"/>
        <v>0</v>
      </c>
      <c r="C670" s="1">
        <f t="shared" si="31"/>
        <v>0</v>
      </c>
      <c r="D670" s="1">
        <f t="shared" si="32"/>
        <v>0</v>
      </c>
      <c r="E670" s="20">
        <f>IF(AH670&lt;&gt;0,ROUNDUP(AH670,0),IF(BB670&lt;&gt;"FR","hors France",IF(AH670&lt;&gt;0,ROUNDUP(AH670,0),_xlfn.XLOOKUP(AJ670,'PA GLS'!B:B,'PA GLS'!A:A))))</f>
        <v>2</v>
      </c>
      <c r="F670">
        <v>2501382993</v>
      </c>
      <c r="G670">
        <v>1030264735</v>
      </c>
      <c r="H670" t="s">
        <v>366</v>
      </c>
      <c r="I670">
        <v>2500034092</v>
      </c>
      <c r="J670" t="s">
        <v>50</v>
      </c>
      <c r="K670">
        <v>9000009190</v>
      </c>
      <c r="L670">
        <v>46946</v>
      </c>
      <c r="M670" t="s">
        <v>51</v>
      </c>
      <c r="N670">
        <v>9000079830</v>
      </c>
      <c r="O670" t="s">
        <v>187</v>
      </c>
      <c r="S670">
        <v>2507012387</v>
      </c>
      <c r="T670" t="s">
        <v>50</v>
      </c>
      <c r="U670" t="s">
        <v>122</v>
      </c>
      <c r="V670" t="s">
        <v>176</v>
      </c>
      <c r="W670" t="s">
        <v>177</v>
      </c>
      <c r="X670" t="s">
        <v>152</v>
      </c>
      <c r="Z670">
        <v>220</v>
      </c>
      <c r="AA670" t="s">
        <v>1641</v>
      </c>
      <c r="AB670" t="s">
        <v>1660</v>
      </c>
      <c r="AC670">
        <v>2604000200</v>
      </c>
      <c r="AE670">
        <v>0</v>
      </c>
      <c r="AF670">
        <v>1</v>
      </c>
      <c r="AG670">
        <v>0</v>
      </c>
      <c r="AH670">
        <v>1.1599999999999999</v>
      </c>
      <c r="AI670" t="s">
        <v>56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 t="s">
        <v>57</v>
      </c>
      <c r="AS670" t="s">
        <v>1661</v>
      </c>
      <c r="AT670" t="s">
        <v>1661</v>
      </c>
      <c r="AU670" t="s">
        <v>1660</v>
      </c>
      <c r="AV670" t="s">
        <v>1662</v>
      </c>
      <c r="AW670" t="s">
        <v>1663</v>
      </c>
      <c r="AZ670">
        <v>75007</v>
      </c>
      <c r="BA670" t="s">
        <v>65</v>
      </c>
      <c r="BB670" t="s">
        <v>61</v>
      </c>
      <c r="BC670" t="s">
        <v>62</v>
      </c>
    </row>
    <row r="671" spans="1:55" x14ac:dyDescent="0.25">
      <c r="A671" s="1" t="str">
        <f>IF(COUNTIF(Catégories!A:A,X671)=0,"catégorie inconnue",_xlfn.XLOOKUP(X671,Catégories!A:A,Catégories!B:B))</f>
        <v>Frêt</v>
      </c>
      <c r="B671" s="1">
        <f t="shared" si="30"/>
        <v>0</v>
      </c>
      <c r="C671" s="1">
        <f t="shared" si="31"/>
        <v>0</v>
      </c>
      <c r="D671" s="1">
        <f t="shared" si="32"/>
        <v>0</v>
      </c>
      <c r="E671" s="20">
        <f>IF(AH671&lt;&gt;0,ROUNDUP(AH671,0),IF(BB671&lt;&gt;"FR","hors France",IF(AH671&lt;&gt;0,ROUNDUP(AH671,0),_xlfn.XLOOKUP(AJ671,'PA GLS'!B:B,'PA GLS'!A:A))))</f>
        <v>2</v>
      </c>
      <c r="F671">
        <v>2501382993</v>
      </c>
      <c r="G671">
        <v>1030264735</v>
      </c>
      <c r="H671" t="s">
        <v>366</v>
      </c>
      <c r="I671">
        <v>2500034092</v>
      </c>
      <c r="J671" t="s">
        <v>50</v>
      </c>
      <c r="K671">
        <v>9000009190</v>
      </c>
      <c r="L671">
        <v>46946</v>
      </c>
      <c r="M671" t="s">
        <v>51</v>
      </c>
      <c r="N671">
        <v>9000079830</v>
      </c>
      <c r="O671" t="s">
        <v>187</v>
      </c>
      <c r="S671">
        <v>2507012387</v>
      </c>
      <c r="T671" t="s">
        <v>50</v>
      </c>
      <c r="U671" t="s">
        <v>122</v>
      </c>
      <c r="V671" t="s">
        <v>176</v>
      </c>
      <c r="W671" t="s">
        <v>177</v>
      </c>
      <c r="X671" t="s">
        <v>152</v>
      </c>
      <c r="Z671">
        <v>220</v>
      </c>
      <c r="AA671" t="s">
        <v>1641</v>
      </c>
      <c r="AB671" t="s">
        <v>1753</v>
      </c>
      <c r="AC671">
        <v>2604000199</v>
      </c>
      <c r="AE671">
        <v>0</v>
      </c>
      <c r="AF671">
        <v>1</v>
      </c>
      <c r="AG671">
        <v>0</v>
      </c>
      <c r="AH671">
        <v>1.94</v>
      </c>
      <c r="AI671" t="s">
        <v>56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 t="s">
        <v>57</v>
      </c>
      <c r="AS671" t="s">
        <v>1754</v>
      </c>
      <c r="AT671" t="s">
        <v>1754</v>
      </c>
      <c r="AU671" t="s">
        <v>1753</v>
      </c>
      <c r="AV671" t="s">
        <v>1755</v>
      </c>
      <c r="AW671" t="s">
        <v>1756</v>
      </c>
      <c r="AZ671">
        <v>31600</v>
      </c>
      <c r="BA671" t="s">
        <v>1757</v>
      </c>
      <c r="BB671" t="s">
        <v>61</v>
      </c>
      <c r="BC671" t="s">
        <v>62</v>
      </c>
    </row>
    <row r="672" spans="1:55" x14ac:dyDescent="0.25">
      <c r="A672" s="1" t="str">
        <f>IF(COUNTIF(Catégories!A:A,X672)=0,"catégorie inconnue",_xlfn.XLOOKUP(X672,Catégories!A:A,Catégories!B:B))</f>
        <v>Frêt</v>
      </c>
      <c r="B672" s="1">
        <f t="shared" si="30"/>
        <v>0</v>
      </c>
      <c r="C672" s="1">
        <f t="shared" si="31"/>
        <v>0</v>
      </c>
      <c r="D672" s="1">
        <f t="shared" si="32"/>
        <v>0</v>
      </c>
      <c r="E672" s="20">
        <f>IF(AH672&lt;&gt;0,ROUNDUP(AH672,0),IF(BB672&lt;&gt;"FR","hors France",IF(AH672&lt;&gt;0,ROUNDUP(AH672,0),_xlfn.XLOOKUP(AJ672,'PA GLS'!B:B,'PA GLS'!A:A))))</f>
        <v>3</v>
      </c>
      <c r="F672">
        <v>2501382993</v>
      </c>
      <c r="G672">
        <v>1030264735</v>
      </c>
      <c r="H672" t="s">
        <v>366</v>
      </c>
      <c r="I672">
        <v>2500034092</v>
      </c>
      <c r="J672" t="s">
        <v>50</v>
      </c>
      <c r="K672">
        <v>9000009190</v>
      </c>
      <c r="L672">
        <v>46946</v>
      </c>
      <c r="M672" t="s">
        <v>51</v>
      </c>
      <c r="N672">
        <v>9000079830</v>
      </c>
      <c r="O672" t="s">
        <v>187</v>
      </c>
      <c r="S672">
        <v>2507012387</v>
      </c>
      <c r="T672" t="s">
        <v>50</v>
      </c>
      <c r="U672" t="s">
        <v>122</v>
      </c>
      <c r="V672" t="s">
        <v>176</v>
      </c>
      <c r="W672" t="s">
        <v>177</v>
      </c>
      <c r="X672" t="s">
        <v>152</v>
      </c>
      <c r="Z672">
        <v>220</v>
      </c>
      <c r="AA672" t="s">
        <v>1641</v>
      </c>
      <c r="AB672" t="s">
        <v>1730</v>
      </c>
      <c r="AC672">
        <v>2604000198</v>
      </c>
      <c r="AE672">
        <v>0</v>
      </c>
      <c r="AF672">
        <v>1</v>
      </c>
      <c r="AG672">
        <v>0</v>
      </c>
      <c r="AH672">
        <v>2.68</v>
      </c>
      <c r="AI672" t="s">
        <v>56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 t="s">
        <v>57</v>
      </c>
      <c r="AS672" t="s">
        <v>1731</v>
      </c>
      <c r="AT672" t="s">
        <v>1731</v>
      </c>
      <c r="AU672" t="s">
        <v>1730</v>
      </c>
      <c r="AV672" t="s">
        <v>1732</v>
      </c>
      <c r="AW672" t="s">
        <v>1733</v>
      </c>
      <c r="AZ672">
        <v>13960</v>
      </c>
      <c r="BA672" t="s">
        <v>1734</v>
      </c>
      <c r="BB672" t="s">
        <v>61</v>
      </c>
      <c r="BC672" t="s">
        <v>62</v>
      </c>
    </row>
    <row r="673" spans="1:55" x14ac:dyDescent="0.25">
      <c r="A673" s="1" t="str">
        <f>IF(COUNTIF(Catégories!A:A,X673)=0,"catégorie inconnue",_xlfn.XLOOKUP(X673,Catégories!A:A,Catégories!B:B))</f>
        <v>Frêt</v>
      </c>
      <c r="B673" s="1">
        <f t="shared" si="30"/>
        <v>0</v>
      </c>
      <c r="C673" s="1">
        <f t="shared" si="31"/>
        <v>0</v>
      </c>
      <c r="D673" s="1">
        <f t="shared" si="32"/>
        <v>0</v>
      </c>
      <c r="E673" s="20">
        <f>IF(AH673&lt;&gt;0,ROUNDUP(AH673,0),IF(BB673&lt;&gt;"FR","hors France",IF(AH673&lt;&gt;0,ROUNDUP(AH673,0),_xlfn.XLOOKUP(AJ673,'PA GLS'!B:B,'PA GLS'!A:A))))</f>
        <v>1</v>
      </c>
      <c r="F673">
        <v>2501382993</v>
      </c>
      <c r="G673">
        <v>1030264735</v>
      </c>
      <c r="H673" t="s">
        <v>366</v>
      </c>
      <c r="I673">
        <v>2500034092</v>
      </c>
      <c r="J673" t="s">
        <v>50</v>
      </c>
      <c r="K673">
        <v>9000009190</v>
      </c>
      <c r="L673">
        <v>46946</v>
      </c>
      <c r="M673" t="s">
        <v>51</v>
      </c>
      <c r="N673">
        <v>9000079830</v>
      </c>
      <c r="O673" t="s">
        <v>187</v>
      </c>
      <c r="S673">
        <v>2507012387</v>
      </c>
      <c r="T673" t="s">
        <v>50</v>
      </c>
      <c r="U673" t="s">
        <v>122</v>
      </c>
      <c r="V673" t="s">
        <v>176</v>
      </c>
      <c r="W673" t="s">
        <v>177</v>
      </c>
      <c r="X673" t="s">
        <v>152</v>
      </c>
      <c r="Z673">
        <v>220</v>
      </c>
      <c r="AA673" t="s">
        <v>1641</v>
      </c>
      <c r="AB673" t="s">
        <v>1685</v>
      </c>
      <c r="AC673">
        <v>2604000197</v>
      </c>
      <c r="AE673">
        <v>0</v>
      </c>
      <c r="AF673">
        <v>1</v>
      </c>
      <c r="AG673">
        <v>0</v>
      </c>
      <c r="AH673">
        <v>0.8</v>
      </c>
      <c r="AI673" t="s">
        <v>56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 t="s">
        <v>57</v>
      </c>
      <c r="AS673" t="s">
        <v>1686</v>
      </c>
      <c r="AT673" t="s">
        <v>1686</v>
      </c>
      <c r="AU673" t="s">
        <v>1685</v>
      </c>
      <c r="AV673" t="s">
        <v>1687</v>
      </c>
      <c r="AW673" t="s">
        <v>1688</v>
      </c>
      <c r="AZ673">
        <v>69007</v>
      </c>
      <c r="BA673" t="s">
        <v>151</v>
      </c>
      <c r="BB673" t="s">
        <v>61</v>
      </c>
      <c r="BC673" t="s">
        <v>62</v>
      </c>
    </row>
    <row r="674" spans="1:55" x14ac:dyDescent="0.25">
      <c r="A674" s="1" t="str">
        <f>IF(COUNTIF(Catégories!A:A,X674)=0,"catégorie inconnue",_xlfn.XLOOKUP(X674,Catégories!A:A,Catégories!B:B))</f>
        <v>Frêt</v>
      </c>
      <c r="B674" s="1">
        <f t="shared" si="30"/>
        <v>0</v>
      </c>
      <c r="C674" s="1">
        <f t="shared" si="31"/>
        <v>0</v>
      </c>
      <c r="D674" s="1">
        <f t="shared" si="32"/>
        <v>0</v>
      </c>
      <c r="E674" s="20">
        <f>IF(AH674&lt;&gt;0,ROUNDUP(AH674,0),IF(BB674&lt;&gt;"FR","hors France",IF(AH674&lt;&gt;0,ROUNDUP(AH674,0),_xlfn.XLOOKUP(AJ674,'PA GLS'!B:B,'PA GLS'!A:A))))</f>
        <v>1</v>
      </c>
      <c r="F674">
        <v>2501382993</v>
      </c>
      <c r="G674">
        <v>1030264735</v>
      </c>
      <c r="H674" t="s">
        <v>366</v>
      </c>
      <c r="I674">
        <v>2500034092</v>
      </c>
      <c r="J674" t="s">
        <v>50</v>
      </c>
      <c r="K674">
        <v>9000009190</v>
      </c>
      <c r="L674">
        <v>46946</v>
      </c>
      <c r="M674" t="s">
        <v>51</v>
      </c>
      <c r="N674">
        <v>9000079830</v>
      </c>
      <c r="O674" t="s">
        <v>187</v>
      </c>
      <c r="S674">
        <v>2507012387</v>
      </c>
      <c r="T674" t="s">
        <v>50</v>
      </c>
      <c r="U674" t="s">
        <v>122</v>
      </c>
      <c r="V674" t="s">
        <v>176</v>
      </c>
      <c r="W674" t="s">
        <v>177</v>
      </c>
      <c r="X674" t="s">
        <v>152</v>
      </c>
      <c r="Z674">
        <v>220</v>
      </c>
      <c r="AA674" t="s">
        <v>1641</v>
      </c>
      <c r="AB674" t="s">
        <v>1698</v>
      </c>
      <c r="AC674">
        <v>2604000196</v>
      </c>
      <c r="AE674">
        <v>0</v>
      </c>
      <c r="AF674">
        <v>1</v>
      </c>
      <c r="AG674">
        <v>0</v>
      </c>
      <c r="AH674">
        <v>0.46</v>
      </c>
      <c r="AI674" t="s">
        <v>56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 t="s">
        <v>57</v>
      </c>
      <c r="AS674" t="s">
        <v>1699</v>
      </c>
      <c r="AT674" t="s">
        <v>1699</v>
      </c>
      <c r="AU674" t="s">
        <v>1698</v>
      </c>
      <c r="AV674" t="s">
        <v>1700</v>
      </c>
      <c r="AW674" t="s">
        <v>1701</v>
      </c>
      <c r="AZ674">
        <v>35000</v>
      </c>
      <c r="BA674" t="s">
        <v>386</v>
      </c>
      <c r="BB674" t="s">
        <v>61</v>
      </c>
      <c r="BC674" t="s">
        <v>62</v>
      </c>
    </row>
    <row r="675" spans="1:55" x14ac:dyDescent="0.25">
      <c r="A675" s="1" t="str">
        <f>IF(COUNTIF(Catégories!A:A,X675)=0,"catégorie inconnue",_xlfn.XLOOKUP(X675,Catégories!A:A,Catégories!B:B))</f>
        <v>Frêt</v>
      </c>
      <c r="B675" s="1">
        <f t="shared" si="30"/>
        <v>0</v>
      </c>
      <c r="C675" s="1">
        <f t="shared" si="31"/>
        <v>0</v>
      </c>
      <c r="D675" s="1">
        <f t="shared" si="32"/>
        <v>0</v>
      </c>
      <c r="E675" s="20">
        <f>IF(AH675&lt;&gt;0,ROUNDUP(AH675,0),IF(BB675&lt;&gt;"FR","hors France",IF(AH675&lt;&gt;0,ROUNDUP(AH675,0),_xlfn.XLOOKUP(AJ675,'PA GLS'!B:B,'PA GLS'!A:A))))</f>
        <v>1</v>
      </c>
      <c r="F675">
        <v>2501382993</v>
      </c>
      <c r="G675">
        <v>1030264735</v>
      </c>
      <c r="H675" t="s">
        <v>366</v>
      </c>
      <c r="I675">
        <v>2500034092</v>
      </c>
      <c r="J675" t="s">
        <v>50</v>
      </c>
      <c r="K675">
        <v>9000009190</v>
      </c>
      <c r="L675">
        <v>46946</v>
      </c>
      <c r="M675" t="s">
        <v>51</v>
      </c>
      <c r="N675">
        <v>9000079830</v>
      </c>
      <c r="O675" t="s">
        <v>187</v>
      </c>
      <c r="S675">
        <v>2507012387</v>
      </c>
      <c r="T675" t="s">
        <v>50</v>
      </c>
      <c r="U675" t="s">
        <v>122</v>
      </c>
      <c r="V675" t="s">
        <v>176</v>
      </c>
      <c r="W675" t="s">
        <v>177</v>
      </c>
      <c r="X675" t="s">
        <v>152</v>
      </c>
      <c r="Z675">
        <v>220</v>
      </c>
      <c r="AA675" t="s">
        <v>1641</v>
      </c>
      <c r="AB675" t="s">
        <v>1702</v>
      </c>
      <c r="AC675">
        <v>2604000195</v>
      </c>
      <c r="AE675">
        <v>0</v>
      </c>
      <c r="AF675">
        <v>1</v>
      </c>
      <c r="AG675">
        <v>0</v>
      </c>
      <c r="AH675">
        <v>0.44</v>
      </c>
      <c r="AI675" t="s">
        <v>56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 t="s">
        <v>57</v>
      </c>
      <c r="AS675" t="s">
        <v>1703</v>
      </c>
      <c r="AT675" t="s">
        <v>1703</v>
      </c>
      <c r="AU675" t="s">
        <v>1702</v>
      </c>
      <c r="AV675" t="s">
        <v>1704</v>
      </c>
      <c r="AW675" t="s">
        <v>1705</v>
      </c>
      <c r="AZ675">
        <v>34130</v>
      </c>
      <c r="BA675" t="s">
        <v>1706</v>
      </c>
      <c r="BB675" t="s">
        <v>61</v>
      </c>
      <c r="BC675" t="s">
        <v>62</v>
      </c>
    </row>
    <row r="676" spans="1:55" x14ac:dyDescent="0.25">
      <c r="A676" s="1" t="str">
        <f>IF(COUNTIF(Catégories!A:A,X676)=0,"catégorie inconnue",_xlfn.XLOOKUP(X676,Catégories!A:A,Catégories!B:B))</f>
        <v>Frêt</v>
      </c>
      <c r="B676" s="1">
        <f t="shared" si="30"/>
        <v>0</v>
      </c>
      <c r="C676" s="1">
        <f t="shared" si="31"/>
        <v>0</v>
      </c>
      <c r="D676" s="1">
        <f t="shared" si="32"/>
        <v>0</v>
      </c>
      <c r="E676" s="20">
        <f>IF(AH676&lt;&gt;0,ROUNDUP(AH676,0),IF(BB676&lt;&gt;"FR","hors France",IF(AH676&lt;&gt;0,ROUNDUP(AH676,0),_xlfn.XLOOKUP(AJ676,'PA GLS'!B:B,'PA GLS'!A:A))))</f>
        <v>7</v>
      </c>
      <c r="F676">
        <v>2501382993</v>
      </c>
      <c r="G676">
        <v>1030264735</v>
      </c>
      <c r="H676" t="s">
        <v>366</v>
      </c>
      <c r="I676">
        <v>2500034092</v>
      </c>
      <c r="J676" t="s">
        <v>50</v>
      </c>
      <c r="K676">
        <v>9000009190</v>
      </c>
      <c r="L676">
        <v>46946</v>
      </c>
      <c r="M676" t="s">
        <v>51</v>
      </c>
      <c r="N676">
        <v>9000079830</v>
      </c>
      <c r="O676" t="s">
        <v>187</v>
      </c>
      <c r="S676">
        <v>2507012387</v>
      </c>
      <c r="T676" t="s">
        <v>50</v>
      </c>
      <c r="U676" t="s">
        <v>122</v>
      </c>
      <c r="V676" t="s">
        <v>176</v>
      </c>
      <c r="W676" t="s">
        <v>177</v>
      </c>
      <c r="X676" t="s">
        <v>152</v>
      </c>
      <c r="Z676">
        <v>220</v>
      </c>
      <c r="AA676" t="s">
        <v>1641</v>
      </c>
      <c r="AB676" t="s">
        <v>1725</v>
      </c>
      <c r="AC676">
        <v>2604000194</v>
      </c>
      <c r="AE676">
        <v>0</v>
      </c>
      <c r="AF676">
        <v>1</v>
      </c>
      <c r="AG676">
        <v>0</v>
      </c>
      <c r="AH676">
        <v>6.12</v>
      </c>
      <c r="AI676" t="s">
        <v>56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 t="s">
        <v>57</v>
      </c>
      <c r="AS676" t="s">
        <v>1726</v>
      </c>
      <c r="AT676" t="s">
        <v>1726</v>
      </c>
      <c r="AU676" t="s">
        <v>1725</v>
      </c>
      <c r="AV676" t="s">
        <v>1727</v>
      </c>
      <c r="AW676" t="s">
        <v>1728</v>
      </c>
      <c r="AZ676">
        <v>14800</v>
      </c>
      <c r="BA676" t="s">
        <v>1729</v>
      </c>
      <c r="BB676" t="s">
        <v>61</v>
      </c>
      <c r="BC676" t="s">
        <v>62</v>
      </c>
    </row>
    <row r="677" spans="1:55" x14ac:dyDescent="0.25">
      <c r="A677" s="1" t="str">
        <f>IF(COUNTIF(Catégories!A:A,X677)=0,"catégorie inconnue",_xlfn.XLOOKUP(X677,Catégories!A:A,Catégories!B:B))</f>
        <v>Frêt</v>
      </c>
      <c r="B677" s="1">
        <f t="shared" si="30"/>
        <v>0</v>
      </c>
      <c r="C677" s="1">
        <f t="shared" si="31"/>
        <v>0</v>
      </c>
      <c r="D677" s="1">
        <f t="shared" si="32"/>
        <v>0</v>
      </c>
      <c r="E677" s="20">
        <f>IF(AH677&lt;&gt;0,ROUNDUP(AH677,0),IF(BB677&lt;&gt;"FR","hors France",IF(AH677&lt;&gt;0,ROUNDUP(AH677,0),_xlfn.XLOOKUP(AJ677,'PA GLS'!B:B,'PA GLS'!A:A))))</f>
        <v>2</v>
      </c>
      <c r="F677">
        <v>2501382993</v>
      </c>
      <c r="G677">
        <v>1030264735</v>
      </c>
      <c r="H677" t="s">
        <v>366</v>
      </c>
      <c r="I677">
        <v>2500034092</v>
      </c>
      <c r="J677" t="s">
        <v>50</v>
      </c>
      <c r="K677">
        <v>9000009190</v>
      </c>
      <c r="L677">
        <v>46946</v>
      </c>
      <c r="M677" t="s">
        <v>51</v>
      </c>
      <c r="N677">
        <v>9000079830</v>
      </c>
      <c r="O677" t="s">
        <v>187</v>
      </c>
      <c r="S677">
        <v>2507012387</v>
      </c>
      <c r="T677" t="s">
        <v>50</v>
      </c>
      <c r="U677" t="s">
        <v>122</v>
      </c>
      <c r="V677" t="s">
        <v>176</v>
      </c>
      <c r="W677" t="s">
        <v>177</v>
      </c>
      <c r="X677" t="s">
        <v>152</v>
      </c>
      <c r="Z677">
        <v>220</v>
      </c>
      <c r="AA677" t="s">
        <v>1641</v>
      </c>
      <c r="AB677" t="s">
        <v>1758</v>
      </c>
      <c r="AC677">
        <v>2604000193</v>
      </c>
      <c r="AE677">
        <v>0</v>
      </c>
      <c r="AF677">
        <v>1</v>
      </c>
      <c r="AG677">
        <v>0</v>
      </c>
      <c r="AH677">
        <v>1.78</v>
      </c>
      <c r="AI677" t="s">
        <v>56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 t="s">
        <v>57</v>
      </c>
      <c r="AS677" t="s">
        <v>1759</v>
      </c>
      <c r="AT677" t="s">
        <v>1759</v>
      </c>
      <c r="AU677" t="s">
        <v>1758</v>
      </c>
      <c r="AV677" t="s">
        <v>1760</v>
      </c>
      <c r="AW677" t="s">
        <v>1761</v>
      </c>
      <c r="AZ677">
        <v>34280</v>
      </c>
      <c r="BA677" t="s">
        <v>1762</v>
      </c>
      <c r="BB677" t="s">
        <v>61</v>
      </c>
      <c r="BC677" t="s">
        <v>62</v>
      </c>
    </row>
    <row r="678" spans="1:55" x14ac:dyDescent="0.25">
      <c r="A678" s="1" t="str">
        <f>IF(COUNTIF(Catégories!A:A,X678)=0,"catégorie inconnue",_xlfn.XLOOKUP(X678,Catégories!A:A,Catégories!B:B))</f>
        <v>Frêt</v>
      </c>
      <c r="B678" s="1">
        <f t="shared" si="30"/>
        <v>0</v>
      </c>
      <c r="C678" s="1">
        <f t="shared" si="31"/>
        <v>0</v>
      </c>
      <c r="D678" s="1">
        <f t="shared" si="32"/>
        <v>0</v>
      </c>
      <c r="E678" s="20">
        <f>IF(AH678&lt;&gt;0,ROUNDUP(AH678,0),IF(BB678&lt;&gt;"FR","hors France",IF(AH678&lt;&gt;0,ROUNDUP(AH678,0),_xlfn.XLOOKUP(AJ678,'PA GLS'!B:B,'PA GLS'!A:A))))</f>
        <v>1</v>
      </c>
      <c r="F678">
        <v>2501382993</v>
      </c>
      <c r="G678">
        <v>1030264735</v>
      </c>
      <c r="H678" t="s">
        <v>366</v>
      </c>
      <c r="I678">
        <v>2500034092</v>
      </c>
      <c r="J678" t="s">
        <v>50</v>
      </c>
      <c r="K678">
        <v>9000009190</v>
      </c>
      <c r="L678">
        <v>46946</v>
      </c>
      <c r="M678" t="s">
        <v>51</v>
      </c>
      <c r="N678">
        <v>9000079830</v>
      </c>
      <c r="O678" t="s">
        <v>187</v>
      </c>
      <c r="S678">
        <v>2507012387</v>
      </c>
      <c r="T678" t="s">
        <v>50</v>
      </c>
      <c r="U678" t="s">
        <v>122</v>
      </c>
      <c r="V678" t="s">
        <v>176</v>
      </c>
      <c r="W678" t="s">
        <v>177</v>
      </c>
      <c r="X678" t="s">
        <v>152</v>
      </c>
      <c r="Z678">
        <v>220</v>
      </c>
      <c r="AA678" t="s">
        <v>1641</v>
      </c>
      <c r="AB678" t="s">
        <v>1707</v>
      </c>
      <c r="AC678">
        <v>2604000192</v>
      </c>
      <c r="AE678">
        <v>0</v>
      </c>
      <c r="AF678">
        <v>1</v>
      </c>
      <c r="AG678">
        <v>0</v>
      </c>
      <c r="AH678">
        <v>0.46</v>
      </c>
      <c r="AI678" t="s">
        <v>56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 t="s">
        <v>57</v>
      </c>
      <c r="AS678" t="s">
        <v>1708</v>
      </c>
      <c r="AT678" t="s">
        <v>1708</v>
      </c>
      <c r="AU678" t="s">
        <v>1707</v>
      </c>
      <c r="AV678" t="s">
        <v>1709</v>
      </c>
      <c r="AW678" t="s">
        <v>1710</v>
      </c>
      <c r="AZ678">
        <v>37100</v>
      </c>
      <c r="BA678" t="s">
        <v>352</v>
      </c>
      <c r="BB678" t="s">
        <v>61</v>
      </c>
      <c r="BC678" t="s">
        <v>62</v>
      </c>
    </row>
    <row r="679" spans="1:55" x14ac:dyDescent="0.25">
      <c r="A679" s="1" t="str">
        <f>IF(COUNTIF(Catégories!A:A,X679)=0,"catégorie inconnue",_xlfn.XLOOKUP(X679,Catégories!A:A,Catégories!B:B))</f>
        <v>Frêt</v>
      </c>
      <c r="B679" s="1">
        <f t="shared" si="30"/>
        <v>0</v>
      </c>
      <c r="C679" s="1">
        <f t="shared" si="31"/>
        <v>0</v>
      </c>
      <c r="D679" s="1">
        <f t="shared" si="32"/>
        <v>0</v>
      </c>
      <c r="E679" s="20">
        <f>IF(AH679&lt;&gt;0,ROUNDUP(AH679,0),IF(BB679&lt;&gt;"FR","hors France",IF(AH679&lt;&gt;0,ROUNDUP(AH679,0),_xlfn.XLOOKUP(AJ679,'PA GLS'!B:B,'PA GLS'!A:A))))</f>
        <v>1</v>
      </c>
      <c r="F679">
        <v>2501382993</v>
      </c>
      <c r="G679">
        <v>1030264735</v>
      </c>
      <c r="H679" t="s">
        <v>366</v>
      </c>
      <c r="I679">
        <v>2500034092</v>
      </c>
      <c r="J679" t="s">
        <v>50</v>
      </c>
      <c r="K679">
        <v>9000009190</v>
      </c>
      <c r="L679">
        <v>46946</v>
      </c>
      <c r="M679" t="s">
        <v>51</v>
      </c>
      <c r="N679">
        <v>9000079830</v>
      </c>
      <c r="O679" t="s">
        <v>187</v>
      </c>
      <c r="S679">
        <v>2507012387</v>
      </c>
      <c r="T679" t="s">
        <v>50</v>
      </c>
      <c r="U679" t="s">
        <v>122</v>
      </c>
      <c r="V679" t="s">
        <v>176</v>
      </c>
      <c r="W679" t="s">
        <v>177</v>
      </c>
      <c r="X679" t="s">
        <v>152</v>
      </c>
      <c r="Z679">
        <v>220</v>
      </c>
      <c r="AA679" t="s">
        <v>1641</v>
      </c>
      <c r="AB679" t="s">
        <v>1689</v>
      </c>
      <c r="AC679">
        <v>2604000191</v>
      </c>
      <c r="AE679">
        <v>0</v>
      </c>
      <c r="AF679">
        <v>1</v>
      </c>
      <c r="AG679">
        <v>0</v>
      </c>
      <c r="AH679">
        <v>0.84</v>
      </c>
      <c r="AI679" t="s">
        <v>56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 t="s">
        <v>57</v>
      </c>
      <c r="AS679" t="s">
        <v>1690</v>
      </c>
      <c r="AT679" t="s">
        <v>1690</v>
      </c>
      <c r="AU679" t="s">
        <v>1689</v>
      </c>
      <c r="AV679" t="s">
        <v>1691</v>
      </c>
      <c r="AW679" t="s">
        <v>1692</v>
      </c>
      <c r="AZ679">
        <v>69760</v>
      </c>
      <c r="BA679" t="s">
        <v>1693</v>
      </c>
      <c r="BB679" t="s">
        <v>61</v>
      </c>
      <c r="BC679" t="s">
        <v>62</v>
      </c>
    </row>
    <row r="680" spans="1:55" x14ac:dyDescent="0.25">
      <c r="A680" s="1" t="str">
        <f>IF(COUNTIF(Catégories!A:A,X680)=0,"catégorie inconnue",_xlfn.XLOOKUP(X680,Catégories!A:A,Catégories!B:B))</f>
        <v>Frêt</v>
      </c>
      <c r="B680" s="1">
        <f t="shared" si="30"/>
        <v>0</v>
      </c>
      <c r="C680" s="1">
        <f t="shared" si="31"/>
        <v>0</v>
      </c>
      <c r="D680" s="1">
        <f t="shared" si="32"/>
        <v>0</v>
      </c>
      <c r="E680" s="20">
        <f>IF(AH680&lt;&gt;0,ROUNDUP(AH680,0),IF(BB680&lt;&gt;"FR","hors France",IF(AH680&lt;&gt;0,ROUNDUP(AH680,0),_xlfn.XLOOKUP(AJ680,'PA GLS'!B:B,'PA GLS'!A:A))))</f>
        <v>2</v>
      </c>
      <c r="F680">
        <v>2501382993</v>
      </c>
      <c r="G680">
        <v>1030316536</v>
      </c>
      <c r="H680" t="s">
        <v>366</v>
      </c>
      <c r="I680">
        <v>2500034092</v>
      </c>
      <c r="J680" t="s">
        <v>50</v>
      </c>
      <c r="K680">
        <v>9000009190</v>
      </c>
      <c r="L680">
        <v>46946</v>
      </c>
      <c r="M680" t="s">
        <v>51</v>
      </c>
      <c r="N680">
        <v>9000079830</v>
      </c>
      <c r="O680" t="s">
        <v>187</v>
      </c>
      <c r="S680">
        <v>2507012387</v>
      </c>
      <c r="T680" t="s">
        <v>50</v>
      </c>
      <c r="U680" t="s">
        <v>122</v>
      </c>
      <c r="V680" t="s">
        <v>176</v>
      </c>
      <c r="W680" t="s">
        <v>177</v>
      </c>
      <c r="X680" t="s">
        <v>152</v>
      </c>
      <c r="Z680">
        <v>246</v>
      </c>
      <c r="AA680" t="s">
        <v>1810</v>
      </c>
      <c r="AB680" t="s">
        <v>1811</v>
      </c>
      <c r="AC680">
        <v>2604000228</v>
      </c>
      <c r="AE680">
        <v>0</v>
      </c>
      <c r="AF680">
        <v>1</v>
      </c>
      <c r="AG680">
        <v>0</v>
      </c>
      <c r="AH680">
        <v>1.1100000000000001</v>
      </c>
      <c r="AI680" t="s">
        <v>56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 t="s">
        <v>57</v>
      </c>
      <c r="AS680" t="s">
        <v>1812</v>
      </c>
      <c r="AT680" t="s">
        <v>1812</v>
      </c>
      <c r="AU680" t="s">
        <v>1811</v>
      </c>
      <c r="AV680" t="s">
        <v>1813</v>
      </c>
      <c r="AW680" t="s">
        <v>1814</v>
      </c>
      <c r="AZ680">
        <v>75019</v>
      </c>
      <c r="BA680" t="s">
        <v>65</v>
      </c>
      <c r="BB680" t="s">
        <v>61</v>
      </c>
      <c r="BC680" t="s">
        <v>62</v>
      </c>
    </row>
    <row r="681" spans="1:55" x14ac:dyDescent="0.25">
      <c r="A681" s="1" t="str">
        <f>IF(COUNTIF(Catégories!A:A,X681)=0,"catégorie inconnue",_xlfn.XLOOKUP(X681,Catégories!A:A,Catégories!B:B))</f>
        <v>Frêt</v>
      </c>
      <c r="B681" s="1">
        <f t="shared" si="30"/>
        <v>0</v>
      </c>
      <c r="C681" s="1">
        <f t="shared" si="31"/>
        <v>0</v>
      </c>
      <c r="D681" s="1">
        <f t="shared" si="32"/>
        <v>0</v>
      </c>
      <c r="E681" s="20">
        <f>IF(AH681&lt;&gt;0,ROUNDUP(AH681,0),IF(BB681&lt;&gt;"FR","hors France",IF(AH681&lt;&gt;0,ROUNDUP(AH681,0),_xlfn.XLOOKUP(AJ681,'PA GLS'!B:B,'PA GLS'!A:A))))</f>
        <v>5</v>
      </c>
      <c r="F681">
        <v>2501382993</v>
      </c>
      <c r="G681">
        <v>1030316536</v>
      </c>
      <c r="H681" t="s">
        <v>366</v>
      </c>
      <c r="I681">
        <v>2500034092</v>
      </c>
      <c r="J681" t="s">
        <v>50</v>
      </c>
      <c r="K681">
        <v>9000009190</v>
      </c>
      <c r="L681">
        <v>46946</v>
      </c>
      <c r="M681" t="s">
        <v>51</v>
      </c>
      <c r="N681">
        <v>9000079830</v>
      </c>
      <c r="O681" t="s">
        <v>187</v>
      </c>
      <c r="S681">
        <v>2507012387</v>
      </c>
      <c r="T681" t="s">
        <v>50</v>
      </c>
      <c r="U681" t="s">
        <v>122</v>
      </c>
      <c r="V681" t="s">
        <v>176</v>
      </c>
      <c r="W681" t="s">
        <v>177</v>
      </c>
      <c r="X681" t="s">
        <v>152</v>
      </c>
      <c r="Z681">
        <v>246</v>
      </c>
      <c r="AA681" t="s">
        <v>1810</v>
      </c>
      <c r="AB681" t="s">
        <v>1815</v>
      </c>
      <c r="AC681">
        <v>2604000227</v>
      </c>
      <c r="AE681">
        <v>0</v>
      </c>
      <c r="AF681">
        <v>1</v>
      </c>
      <c r="AG681">
        <v>0</v>
      </c>
      <c r="AH681">
        <v>4.4000000000000004</v>
      </c>
      <c r="AI681" t="s">
        <v>56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 t="s">
        <v>57</v>
      </c>
      <c r="AS681" t="s">
        <v>1816</v>
      </c>
      <c r="AT681" t="s">
        <v>1816</v>
      </c>
      <c r="AU681" t="s">
        <v>1815</v>
      </c>
      <c r="AV681" t="s">
        <v>1817</v>
      </c>
      <c r="AW681" t="s">
        <v>1818</v>
      </c>
      <c r="AZ681">
        <v>59910</v>
      </c>
      <c r="BA681" t="s">
        <v>1819</v>
      </c>
      <c r="BB681" t="s">
        <v>61</v>
      </c>
      <c r="BC681" t="s">
        <v>62</v>
      </c>
    </row>
    <row r="682" spans="1:55" x14ac:dyDescent="0.25">
      <c r="A682" s="1" t="str">
        <f>IF(COUNTIF(Catégories!A:A,X682)=0,"catégorie inconnue",_xlfn.XLOOKUP(X682,Catégories!A:A,Catégories!B:B))</f>
        <v>Frêt</v>
      </c>
      <c r="B682" s="1">
        <f t="shared" si="30"/>
        <v>0</v>
      </c>
      <c r="C682" s="1">
        <f t="shared" si="31"/>
        <v>0</v>
      </c>
      <c r="D682" s="1">
        <f t="shared" si="32"/>
        <v>0</v>
      </c>
      <c r="E682" s="20">
        <f>IF(AH682&lt;&gt;0,ROUNDUP(AH682,0),IF(BB682&lt;&gt;"FR","hors France",IF(AH682&lt;&gt;0,ROUNDUP(AH682,0),_xlfn.XLOOKUP(AJ682,'PA GLS'!B:B,'PA GLS'!A:A))))</f>
        <v>3</v>
      </c>
      <c r="F682">
        <v>2501382993</v>
      </c>
      <c r="G682">
        <v>1030316536</v>
      </c>
      <c r="H682" t="s">
        <v>366</v>
      </c>
      <c r="I682">
        <v>2500034092</v>
      </c>
      <c r="J682" t="s">
        <v>50</v>
      </c>
      <c r="K682">
        <v>9000009190</v>
      </c>
      <c r="L682">
        <v>46946</v>
      </c>
      <c r="M682" t="s">
        <v>51</v>
      </c>
      <c r="N682">
        <v>9000079830</v>
      </c>
      <c r="O682" t="s">
        <v>187</v>
      </c>
      <c r="S682">
        <v>2507012387</v>
      </c>
      <c r="T682" t="s">
        <v>50</v>
      </c>
      <c r="U682" t="s">
        <v>122</v>
      </c>
      <c r="V682" t="s">
        <v>176</v>
      </c>
      <c r="W682" t="s">
        <v>177</v>
      </c>
      <c r="X682" t="s">
        <v>152</v>
      </c>
      <c r="Z682">
        <v>246</v>
      </c>
      <c r="AA682" t="s">
        <v>1810</v>
      </c>
      <c r="AB682" t="s">
        <v>1820</v>
      </c>
      <c r="AC682">
        <v>2604000226</v>
      </c>
      <c r="AE682">
        <v>0</v>
      </c>
      <c r="AF682">
        <v>1</v>
      </c>
      <c r="AG682">
        <v>0</v>
      </c>
      <c r="AH682">
        <v>2.34</v>
      </c>
      <c r="AI682" t="s">
        <v>56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 t="s">
        <v>57</v>
      </c>
      <c r="AS682" t="s">
        <v>1821</v>
      </c>
      <c r="AT682" t="s">
        <v>1821</v>
      </c>
      <c r="AU682" t="s">
        <v>1820</v>
      </c>
      <c r="AV682" t="s">
        <v>1822</v>
      </c>
      <c r="AW682" t="s">
        <v>1823</v>
      </c>
      <c r="AZ682">
        <v>28000</v>
      </c>
      <c r="BA682" t="s">
        <v>1824</v>
      </c>
      <c r="BB682" t="s">
        <v>61</v>
      </c>
      <c r="BC682" t="s">
        <v>62</v>
      </c>
    </row>
    <row r="683" spans="1:55" x14ac:dyDescent="0.25">
      <c r="A683" s="1" t="str">
        <f>IF(COUNTIF(Catégories!A:A,X683)=0,"catégorie inconnue",_xlfn.XLOOKUP(X683,Catégories!A:A,Catégories!B:B))</f>
        <v>Frêt</v>
      </c>
      <c r="B683" s="1">
        <f t="shared" si="30"/>
        <v>0</v>
      </c>
      <c r="C683" s="1">
        <f t="shared" si="31"/>
        <v>0</v>
      </c>
      <c r="D683" s="1">
        <f t="shared" si="32"/>
        <v>0</v>
      </c>
      <c r="E683" s="20">
        <f>IF(AH683&lt;&gt;0,ROUNDUP(AH683,0),IF(BB683&lt;&gt;"FR","hors France",IF(AH683&lt;&gt;0,ROUNDUP(AH683,0),_xlfn.XLOOKUP(AJ683,'PA GLS'!B:B,'PA GLS'!A:A))))</f>
        <v>2</v>
      </c>
      <c r="F683">
        <v>2501382993</v>
      </c>
      <c r="G683">
        <v>1030316536</v>
      </c>
      <c r="H683" t="s">
        <v>366</v>
      </c>
      <c r="I683">
        <v>2500034092</v>
      </c>
      <c r="J683" t="s">
        <v>50</v>
      </c>
      <c r="K683">
        <v>9000009190</v>
      </c>
      <c r="L683">
        <v>46946</v>
      </c>
      <c r="M683" t="s">
        <v>51</v>
      </c>
      <c r="N683">
        <v>9000079830</v>
      </c>
      <c r="O683" t="s">
        <v>187</v>
      </c>
      <c r="S683">
        <v>2507012387</v>
      </c>
      <c r="T683" t="s">
        <v>50</v>
      </c>
      <c r="U683" t="s">
        <v>122</v>
      </c>
      <c r="V683" t="s">
        <v>176</v>
      </c>
      <c r="W683" t="s">
        <v>177</v>
      </c>
      <c r="X683" t="s">
        <v>152</v>
      </c>
      <c r="Z683">
        <v>246</v>
      </c>
      <c r="AA683" t="s">
        <v>1810</v>
      </c>
      <c r="AB683" t="s">
        <v>1825</v>
      </c>
      <c r="AC683">
        <v>2604000225</v>
      </c>
      <c r="AE683">
        <v>0</v>
      </c>
      <c r="AF683">
        <v>1</v>
      </c>
      <c r="AG683">
        <v>0</v>
      </c>
      <c r="AH683">
        <v>1.22</v>
      </c>
      <c r="AI683" t="s">
        <v>56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 t="s">
        <v>57</v>
      </c>
      <c r="AS683" t="s">
        <v>1826</v>
      </c>
      <c r="AT683" t="s">
        <v>1826</v>
      </c>
      <c r="AU683" t="s">
        <v>1825</v>
      </c>
      <c r="AV683" t="s">
        <v>1827</v>
      </c>
      <c r="AW683" t="s">
        <v>1828</v>
      </c>
      <c r="AZ683">
        <v>70200</v>
      </c>
      <c r="BA683" t="s">
        <v>1829</v>
      </c>
      <c r="BB683" t="s">
        <v>61</v>
      </c>
      <c r="BC683" t="s">
        <v>62</v>
      </c>
    </row>
    <row r="684" spans="1:55" x14ac:dyDescent="0.25">
      <c r="A684" s="1" t="str">
        <f>IF(COUNTIF(Catégories!A:A,X684)=0,"catégorie inconnue",_xlfn.XLOOKUP(X684,Catégories!A:A,Catégories!B:B))</f>
        <v>Frêt</v>
      </c>
      <c r="B684" s="1">
        <f t="shared" si="30"/>
        <v>0</v>
      </c>
      <c r="C684" s="1">
        <f t="shared" si="31"/>
        <v>0</v>
      </c>
      <c r="D684" s="1">
        <f t="shared" si="32"/>
        <v>0</v>
      </c>
      <c r="E684" s="20">
        <f>IF(AH684&lt;&gt;0,ROUNDUP(AH684,0),IF(BB684&lt;&gt;"FR","hors France",IF(AH684&lt;&gt;0,ROUNDUP(AH684,0),_xlfn.XLOOKUP(AJ684,'PA GLS'!B:B,'PA GLS'!A:A))))</f>
        <v>2</v>
      </c>
      <c r="F684">
        <v>2501382993</v>
      </c>
      <c r="G684">
        <v>1030316536</v>
      </c>
      <c r="H684" t="s">
        <v>366</v>
      </c>
      <c r="I684">
        <v>2500034092</v>
      </c>
      <c r="J684" t="s">
        <v>50</v>
      </c>
      <c r="K684">
        <v>9000009190</v>
      </c>
      <c r="L684">
        <v>46946</v>
      </c>
      <c r="M684" t="s">
        <v>51</v>
      </c>
      <c r="N684">
        <v>9000079830</v>
      </c>
      <c r="O684" t="s">
        <v>187</v>
      </c>
      <c r="S684">
        <v>2507012387</v>
      </c>
      <c r="T684" t="s">
        <v>50</v>
      </c>
      <c r="U684" t="s">
        <v>122</v>
      </c>
      <c r="V684" t="s">
        <v>176</v>
      </c>
      <c r="W684" t="s">
        <v>177</v>
      </c>
      <c r="X684" t="s">
        <v>152</v>
      </c>
      <c r="Z684">
        <v>246</v>
      </c>
      <c r="AA684" t="s">
        <v>1810</v>
      </c>
      <c r="AB684" t="s">
        <v>1830</v>
      </c>
      <c r="AC684">
        <v>2604000224</v>
      </c>
      <c r="AE684">
        <v>0</v>
      </c>
      <c r="AF684">
        <v>1</v>
      </c>
      <c r="AG684">
        <v>0</v>
      </c>
      <c r="AH684">
        <v>1.24</v>
      </c>
      <c r="AI684" t="s">
        <v>56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 t="s">
        <v>57</v>
      </c>
      <c r="AS684" t="s">
        <v>1831</v>
      </c>
      <c r="AT684" t="s">
        <v>1831</v>
      </c>
      <c r="AU684" t="s">
        <v>1830</v>
      </c>
      <c r="AV684" t="s">
        <v>1832</v>
      </c>
      <c r="AW684" t="s">
        <v>1833</v>
      </c>
      <c r="AZ684">
        <v>35400</v>
      </c>
      <c r="BA684" t="s">
        <v>315</v>
      </c>
      <c r="BB684" t="s">
        <v>61</v>
      </c>
      <c r="BC684" t="s">
        <v>62</v>
      </c>
    </row>
    <row r="685" spans="1:55" x14ac:dyDescent="0.25">
      <c r="A685" s="1" t="str">
        <f>IF(COUNTIF(Catégories!A:A,X685)=0,"catégorie inconnue",_xlfn.XLOOKUP(X685,Catégories!A:A,Catégories!B:B))</f>
        <v>Frêt</v>
      </c>
      <c r="B685" s="1">
        <f t="shared" si="30"/>
        <v>0</v>
      </c>
      <c r="C685" s="1">
        <f t="shared" si="31"/>
        <v>0</v>
      </c>
      <c r="D685" s="1">
        <f t="shared" si="32"/>
        <v>0</v>
      </c>
      <c r="E685" s="20">
        <f>IF(AH685&lt;&gt;0,ROUNDUP(AH685,0),IF(BB685&lt;&gt;"FR","hors France",IF(AH685&lt;&gt;0,ROUNDUP(AH685,0),_xlfn.XLOOKUP(AJ685,'PA GLS'!B:B,'PA GLS'!A:A))))</f>
        <v>2</v>
      </c>
      <c r="F685">
        <v>2501382993</v>
      </c>
      <c r="G685">
        <v>1030316536</v>
      </c>
      <c r="H685" t="s">
        <v>366</v>
      </c>
      <c r="I685">
        <v>2500034092</v>
      </c>
      <c r="J685" t="s">
        <v>50</v>
      </c>
      <c r="K685">
        <v>9000009190</v>
      </c>
      <c r="L685">
        <v>46946</v>
      </c>
      <c r="M685" t="s">
        <v>51</v>
      </c>
      <c r="N685">
        <v>9000079830</v>
      </c>
      <c r="O685" t="s">
        <v>187</v>
      </c>
      <c r="S685">
        <v>2507012387</v>
      </c>
      <c r="T685" t="s">
        <v>50</v>
      </c>
      <c r="U685" t="s">
        <v>122</v>
      </c>
      <c r="V685" t="s">
        <v>176</v>
      </c>
      <c r="W685" t="s">
        <v>177</v>
      </c>
      <c r="X685" t="s">
        <v>152</v>
      </c>
      <c r="Z685">
        <v>246</v>
      </c>
      <c r="AA685" t="s">
        <v>1810</v>
      </c>
      <c r="AB685" t="s">
        <v>1834</v>
      </c>
      <c r="AC685">
        <v>2604000223</v>
      </c>
      <c r="AE685">
        <v>0</v>
      </c>
      <c r="AF685">
        <v>1</v>
      </c>
      <c r="AG685">
        <v>0</v>
      </c>
      <c r="AH685">
        <v>1.72</v>
      </c>
      <c r="AI685" t="s">
        <v>56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 t="s">
        <v>57</v>
      </c>
      <c r="AS685" t="s">
        <v>1835</v>
      </c>
      <c r="AT685" t="s">
        <v>1835</v>
      </c>
      <c r="AU685" t="s">
        <v>1834</v>
      </c>
      <c r="AV685" t="s">
        <v>1836</v>
      </c>
      <c r="AW685" t="s">
        <v>1837</v>
      </c>
      <c r="AZ685">
        <v>44120</v>
      </c>
      <c r="BA685" t="s">
        <v>403</v>
      </c>
      <c r="BB685" t="s">
        <v>61</v>
      </c>
      <c r="BC685" t="s">
        <v>62</v>
      </c>
    </row>
    <row r="686" spans="1:55" x14ac:dyDescent="0.25">
      <c r="A686" s="1" t="str">
        <f>IF(COUNTIF(Catégories!A:A,X686)=0,"catégorie inconnue",_xlfn.XLOOKUP(X686,Catégories!A:A,Catégories!B:B))</f>
        <v>Frêt</v>
      </c>
      <c r="B686" s="1">
        <f t="shared" si="30"/>
        <v>0</v>
      </c>
      <c r="C686" s="1">
        <f t="shared" si="31"/>
        <v>0</v>
      </c>
      <c r="D686" s="1">
        <f t="shared" si="32"/>
        <v>0</v>
      </c>
      <c r="E686" s="20">
        <f>IF(AH686&lt;&gt;0,ROUNDUP(AH686,0),IF(BB686&lt;&gt;"FR","hors France",IF(AH686&lt;&gt;0,ROUNDUP(AH686,0),_xlfn.XLOOKUP(AJ686,'PA GLS'!B:B,'PA GLS'!A:A))))</f>
        <v>2</v>
      </c>
      <c r="F686">
        <v>2501382993</v>
      </c>
      <c r="G686">
        <v>1030316536</v>
      </c>
      <c r="H686" t="s">
        <v>366</v>
      </c>
      <c r="I686">
        <v>2500034092</v>
      </c>
      <c r="J686" t="s">
        <v>50</v>
      </c>
      <c r="K686">
        <v>9000009190</v>
      </c>
      <c r="L686">
        <v>46946</v>
      </c>
      <c r="M686" t="s">
        <v>51</v>
      </c>
      <c r="N686">
        <v>9000079830</v>
      </c>
      <c r="O686" t="s">
        <v>187</v>
      </c>
      <c r="S686">
        <v>2507012387</v>
      </c>
      <c r="T686" t="s">
        <v>50</v>
      </c>
      <c r="U686" t="s">
        <v>122</v>
      </c>
      <c r="V686" t="s">
        <v>176</v>
      </c>
      <c r="W686" t="s">
        <v>177</v>
      </c>
      <c r="X686" t="s">
        <v>152</v>
      </c>
      <c r="Z686">
        <v>246</v>
      </c>
      <c r="AA686" t="s">
        <v>1810</v>
      </c>
      <c r="AB686" t="s">
        <v>1838</v>
      </c>
      <c r="AC686">
        <v>2604000222</v>
      </c>
      <c r="AE686">
        <v>0</v>
      </c>
      <c r="AF686">
        <v>1</v>
      </c>
      <c r="AG686">
        <v>0</v>
      </c>
      <c r="AH686">
        <v>1.22</v>
      </c>
      <c r="AI686" t="s">
        <v>56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 t="s">
        <v>57</v>
      </c>
      <c r="AS686" t="s">
        <v>1839</v>
      </c>
      <c r="AT686" t="s">
        <v>1839</v>
      </c>
      <c r="AU686" t="s">
        <v>1838</v>
      </c>
      <c r="AV686" t="s">
        <v>1840</v>
      </c>
      <c r="AW686" t="s">
        <v>1841</v>
      </c>
      <c r="AZ686">
        <v>42480</v>
      </c>
      <c r="BA686" t="s">
        <v>1842</v>
      </c>
      <c r="BB686" t="s">
        <v>61</v>
      </c>
      <c r="BC686" t="s">
        <v>62</v>
      </c>
    </row>
    <row r="687" spans="1:55" x14ac:dyDescent="0.25">
      <c r="A687" s="1" t="str">
        <f>IF(COUNTIF(Catégories!A:A,X687)=0,"catégorie inconnue",_xlfn.XLOOKUP(X687,Catégories!A:A,Catégories!B:B))</f>
        <v>Frêt</v>
      </c>
      <c r="B687" s="1">
        <f t="shared" si="30"/>
        <v>0</v>
      </c>
      <c r="C687" s="1">
        <f t="shared" si="31"/>
        <v>0</v>
      </c>
      <c r="D687" s="1">
        <f t="shared" si="32"/>
        <v>0</v>
      </c>
      <c r="E687" s="20">
        <f>IF(AH687&lt;&gt;0,ROUNDUP(AH687,0),IF(BB687&lt;&gt;"FR","hors France",IF(AH687&lt;&gt;0,ROUNDUP(AH687,0),_xlfn.XLOOKUP(AJ687,'PA GLS'!B:B,'PA GLS'!A:A))))</f>
        <v>2</v>
      </c>
      <c r="F687">
        <v>2501382993</v>
      </c>
      <c r="G687">
        <v>1030316536</v>
      </c>
      <c r="H687" t="s">
        <v>366</v>
      </c>
      <c r="I687">
        <v>2500034092</v>
      </c>
      <c r="J687" t="s">
        <v>50</v>
      </c>
      <c r="K687">
        <v>9000009190</v>
      </c>
      <c r="L687">
        <v>46946</v>
      </c>
      <c r="M687" t="s">
        <v>51</v>
      </c>
      <c r="N687">
        <v>9000079830</v>
      </c>
      <c r="O687" t="s">
        <v>187</v>
      </c>
      <c r="S687">
        <v>2507012387</v>
      </c>
      <c r="T687" t="s">
        <v>50</v>
      </c>
      <c r="U687" t="s">
        <v>122</v>
      </c>
      <c r="V687" t="s">
        <v>176</v>
      </c>
      <c r="W687" t="s">
        <v>177</v>
      </c>
      <c r="X687" t="s">
        <v>152</v>
      </c>
      <c r="Z687">
        <v>246</v>
      </c>
      <c r="AA687" t="s">
        <v>1810</v>
      </c>
      <c r="AB687" t="s">
        <v>1843</v>
      </c>
      <c r="AC687">
        <v>2604000221</v>
      </c>
      <c r="AE687">
        <v>0</v>
      </c>
      <c r="AF687">
        <v>1</v>
      </c>
      <c r="AG687">
        <v>0</v>
      </c>
      <c r="AH687">
        <v>1.26</v>
      </c>
      <c r="AI687" t="s">
        <v>56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 t="s">
        <v>57</v>
      </c>
      <c r="AS687" t="s">
        <v>1844</v>
      </c>
      <c r="AT687" t="s">
        <v>1844</v>
      </c>
      <c r="AU687" t="s">
        <v>1843</v>
      </c>
      <c r="AV687" t="s">
        <v>1845</v>
      </c>
      <c r="AW687" t="s">
        <v>1846</v>
      </c>
      <c r="AZ687">
        <v>40230</v>
      </c>
      <c r="BA687" t="s">
        <v>1847</v>
      </c>
      <c r="BB687" t="s">
        <v>61</v>
      </c>
      <c r="BC687" t="s">
        <v>62</v>
      </c>
    </row>
    <row r="688" spans="1:55" x14ac:dyDescent="0.25">
      <c r="A688" s="1" t="str">
        <f>IF(COUNTIF(Catégories!A:A,X688)=0,"catégorie inconnue",_xlfn.XLOOKUP(X688,Catégories!A:A,Catégories!B:B))</f>
        <v>Frêt</v>
      </c>
      <c r="B688" s="1">
        <f t="shared" si="30"/>
        <v>0</v>
      </c>
      <c r="C688" s="1">
        <f t="shared" si="31"/>
        <v>0</v>
      </c>
      <c r="D688" s="1">
        <f t="shared" si="32"/>
        <v>0</v>
      </c>
      <c r="E688" s="20">
        <f>IF(AH688&lt;&gt;0,ROUNDUP(AH688,0),IF(BB688&lt;&gt;"FR","hors France",IF(AH688&lt;&gt;0,ROUNDUP(AH688,0),_xlfn.XLOOKUP(AJ688,'PA GLS'!B:B,'PA GLS'!A:A))))</f>
        <v>2</v>
      </c>
      <c r="F688">
        <v>2501382993</v>
      </c>
      <c r="G688">
        <v>1030316536</v>
      </c>
      <c r="H688" t="s">
        <v>366</v>
      </c>
      <c r="I688">
        <v>2500034092</v>
      </c>
      <c r="J688" t="s">
        <v>50</v>
      </c>
      <c r="K688">
        <v>9000009190</v>
      </c>
      <c r="L688">
        <v>46946</v>
      </c>
      <c r="M688" t="s">
        <v>51</v>
      </c>
      <c r="N688">
        <v>9000079830</v>
      </c>
      <c r="O688" t="s">
        <v>187</v>
      </c>
      <c r="S688">
        <v>2507012387</v>
      </c>
      <c r="T688" t="s">
        <v>50</v>
      </c>
      <c r="U688" t="s">
        <v>122</v>
      </c>
      <c r="V688" t="s">
        <v>176</v>
      </c>
      <c r="W688" t="s">
        <v>177</v>
      </c>
      <c r="X688" t="s">
        <v>152</v>
      </c>
      <c r="Z688">
        <v>246</v>
      </c>
      <c r="AA688" t="s">
        <v>1810</v>
      </c>
      <c r="AB688" t="s">
        <v>1848</v>
      </c>
      <c r="AC688">
        <v>2604000220</v>
      </c>
      <c r="AE688">
        <v>0</v>
      </c>
      <c r="AF688">
        <v>1</v>
      </c>
      <c r="AG688">
        <v>0</v>
      </c>
      <c r="AH688">
        <v>1.1100000000000001</v>
      </c>
      <c r="AI688" t="s">
        <v>56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 t="s">
        <v>57</v>
      </c>
      <c r="AS688" t="s">
        <v>1849</v>
      </c>
      <c r="AT688" t="s">
        <v>1849</v>
      </c>
      <c r="AU688" t="s">
        <v>1848</v>
      </c>
      <c r="AV688" t="s">
        <v>1850</v>
      </c>
      <c r="AW688" t="s">
        <v>1851</v>
      </c>
      <c r="AZ688">
        <v>92100</v>
      </c>
      <c r="BA688" t="s">
        <v>1852</v>
      </c>
      <c r="BB688" t="s">
        <v>61</v>
      </c>
      <c r="BC688" t="s">
        <v>62</v>
      </c>
    </row>
    <row r="689" spans="1:55" x14ac:dyDescent="0.25">
      <c r="A689" s="1" t="str">
        <f>IF(COUNTIF(Catégories!A:A,X689)=0,"catégorie inconnue",_xlfn.XLOOKUP(X689,Catégories!A:A,Catégories!B:B))</f>
        <v>Frêt</v>
      </c>
      <c r="B689" s="1">
        <f t="shared" si="30"/>
        <v>0</v>
      </c>
      <c r="C689" s="1">
        <f t="shared" si="31"/>
        <v>0</v>
      </c>
      <c r="D689" s="1">
        <f t="shared" si="32"/>
        <v>0</v>
      </c>
      <c r="E689" s="20">
        <f>IF(AH689&lt;&gt;0,ROUNDUP(AH689,0),IF(BB689&lt;&gt;"FR","hors France",IF(AH689&lt;&gt;0,ROUNDUP(AH689,0),_xlfn.XLOOKUP(AJ689,'PA GLS'!B:B,'PA GLS'!A:A))))</f>
        <v>3</v>
      </c>
      <c r="F689">
        <v>2501382993</v>
      </c>
      <c r="G689">
        <v>1030316536</v>
      </c>
      <c r="H689" t="s">
        <v>366</v>
      </c>
      <c r="I689">
        <v>2500034092</v>
      </c>
      <c r="J689" t="s">
        <v>50</v>
      </c>
      <c r="K689">
        <v>9000009190</v>
      </c>
      <c r="L689">
        <v>46946</v>
      </c>
      <c r="M689" t="s">
        <v>51</v>
      </c>
      <c r="N689">
        <v>9000079830</v>
      </c>
      <c r="O689" t="s">
        <v>187</v>
      </c>
      <c r="S689">
        <v>2507012387</v>
      </c>
      <c r="T689" t="s">
        <v>50</v>
      </c>
      <c r="U689" t="s">
        <v>122</v>
      </c>
      <c r="V689" t="s">
        <v>176</v>
      </c>
      <c r="W689" t="s">
        <v>177</v>
      </c>
      <c r="X689" t="s">
        <v>152</v>
      </c>
      <c r="Z689">
        <v>246</v>
      </c>
      <c r="AA689" t="s">
        <v>1810</v>
      </c>
      <c r="AB689" t="s">
        <v>1853</v>
      </c>
      <c r="AC689">
        <v>2604000219</v>
      </c>
      <c r="AE689">
        <v>0</v>
      </c>
      <c r="AF689">
        <v>1</v>
      </c>
      <c r="AG689">
        <v>0</v>
      </c>
      <c r="AH689">
        <v>2.36</v>
      </c>
      <c r="AI689" t="s">
        <v>56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 t="s">
        <v>57</v>
      </c>
      <c r="AS689" t="s">
        <v>1854</v>
      </c>
      <c r="AT689" t="s">
        <v>1854</v>
      </c>
      <c r="AU689" t="s">
        <v>1853</v>
      </c>
      <c r="AV689" t="s">
        <v>1855</v>
      </c>
      <c r="AW689" t="s">
        <v>1856</v>
      </c>
      <c r="AZ689">
        <v>24400</v>
      </c>
      <c r="BA689" t="s">
        <v>1857</v>
      </c>
      <c r="BB689" t="s">
        <v>61</v>
      </c>
      <c r="BC689" t="s">
        <v>62</v>
      </c>
    </row>
    <row r="690" spans="1:55" x14ac:dyDescent="0.25">
      <c r="A690" s="1" t="str">
        <f>IF(COUNTIF(Catégories!A:A,X690)=0,"catégorie inconnue",_xlfn.XLOOKUP(X690,Catégories!A:A,Catégories!B:B))</f>
        <v>Frêt</v>
      </c>
      <c r="B690" s="1">
        <f t="shared" si="30"/>
        <v>0</v>
      </c>
      <c r="C690" s="1">
        <f t="shared" si="31"/>
        <v>0</v>
      </c>
      <c r="D690" s="1">
        <f t="shared" si="32"/>
        <v>0</v>
      </c>
      <c r="E690" s="20">
        <f>IF(AH690&lt;&gt;0,ROUNDUP(AH690,0),IF(BB690&lt;&gt;"FR","hors France",IF(AH690&lt;&gt;0,ROUNDUP(AH690,0),_xlfn.XLOOKUP(AJ690,'PA GLS'!B:B,'PA GLS'!A:A))))</f>
        <v>2</v>
      </c>
      <c r="F690">
        <v>2501382993</v>
      </c>
      <c r="G690">
        <v>1030316536</v>
      </c>
      <c r="H690" t="s">
        <v>366</v>
      </c>
      <c r="I690">
        <v>2500034092</v>
      </c>
      <c r="J690" t="s">
        <v>50</v>
      </c>
      <c r="K690">
        <v>9000009190</v>
      </c>
      <c r="L690">
        <v>46946</v>
      </c>
      <c r="M690" t="s">
        <v>51</v>
      </c>
      <c r="N690">
        <v>9000079830</v>
      </c>
      <c r="O690" t="s">
        <v>187</v>
      </c>
      <c r="S690">
        <v>2507012387</v>
      </c>
      <c r="T690" t="s">
        <v>50</v>
      </c>
      <c r="U690" t="s">
        <v>122</v>
      </c>
      <c r="V690" t="s">
        <v>176</v>
      </c>
      <c r="W690" t="s">
        <v>177</v>
      </c>
      <c r="X690" t="s">
        <v>152</v>
      </c>
      <c r="Z690">
        <v>246</v>
      </c>
      <c r="AA690" t="s">
        <v>1810</v>
      </c>
      <c r="AB690" t="s">
        <v>1858</v>
      </c>
      <c r="AC690">
        <v>2604000218</v>
      </c>
      <c r="AE690">
        <v>0</v>
      </c>
      <c r="AF690">
        <v>1</v>
      </c>
      <c r="AG690">
        <v>0</v>
      </c>
      <c r="AH690">
        <v>1.3</v>
      </c>
      <c r="AI690" t="s">
        <v>56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 t="s">
        <v>57</v>
      </c>
      <c r="AS690" t="s">
        <v>1859</v>
      </c>
      <c r="AT690" t="s">
        <v>1859</v>
      </c>
      <c r="AU690" t="s">
        <v>1858</v>
      </c>
      <c r="AV690" t="s">
        <v>1775</v>
      </c>
      <c r="AW690" t="s">
        <v>1776</v>
      </c>
      <c r="AZ690">
        <v>17640</v>
      </c>
      <c r="BA690" t="s">
        <v>1777</v>
      </c>
      <c r="BB690" t="s">
        <v>61</v>
      </c>
      <c r="BC690" t="s">
        <v>62</v>
      </c>
    </row>
    <row r="691" spans="1:55" x14ac:dyDescent="0.25">
      <c r="A691" s="1" t="str">
        <f>IF(COUNTIF(Catégories!A:A,X691)=0,"catégorie inconnue",_xlfn.XLOOKUP(X691,Catégories!A:A,Catégories!B:B))</f>
        <v>Frêt</v>
      </c>
      <c r="B691" s="1">
        <f t="shared" si="30"/>
        <v>0</v>
      </c>
      <c r="C691" s="1">
        <f t="shared" si="31"/>
        <v>0</v>
      </c>
      <c r="D691" s="1">
        <f t="shared" si="32"/>
        <v>0</v>
      </c>
      <c r="E691" s="20">
        <f>IF(AH691&lt;&gt;0,ROUNDUP(AH691,0),IF(BB691&lt;&gt;"FR","hors France",IF(AH691&lt;&gt;0,ROUNDUP(AH691,0),_xlfn.XLOOKUP(AJ691,'PA GLS'!B:B,'PA GLS'!A:A))))</f>
        <v>2</v>
      </c>
      <c r="F691">
        <v>2501382993</v>
      </c>
      <c r="G691">
        <v>1030316536</v>
      </c>
      <c r="H691" t="s">
        <v>366</v>
      </c>
      <c r="I691">
        <v>2500034092</v>
      </c>
      <c r="J691" t="s">
        <v>50</v>
      </c>
      <c r="K691">
        <v>9000009190</v>
      </c>
      <c r="L691">
        <v>46946</v>
      </c>
      <c r="M691" t="s">
        <v>51</v>
      </c>
      <c r="N691">
        <v>9000079830</v>
      </c>
      <c r="O691" t="s">
        <v>187</v>
      </c>
      <c r="S691">
        <v>2507012387</v>
      </c>
      <c r="T691" t="s">
        <v>50</v>
      </c>
      <c r="U691" t="s">
        <v>122</v>
      </c>
      <c r="V691" t="s">
        <v>176</v>
      </c>
      <c r="W691" t="s">
        <v>177</v>
      </c>
      <c r="X691" t="s">
        <v>152</v>
      </c>
      <c r="Z691">
        <v>246</v>
      </c>
      <c r="AA691" t="s">
        <v>1810</v>
      </c>
      <c r="AB691" t="s">
        <v>1860</v>
      </c>
      <c r="AC691">
        <v>2604000217</v>
      </c>
      <c r="AE691">
        <v>0</v>
      </c>
      <c r="AF691">
        <v>1</v>
      </c>
      <c r="AG691">
        <v>0</v>
      </c>
      <c r="AH691">
        <v>1.1100000000000001</v>
      </c>
      <c r="AI691" t="s">
        <v>56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 t="s">
        <v>57</v>
      </c>
      <c r="AS691" t="s">
        <v>1861</v>
      </c>
      <c r="AT691" t="s">
        <v>1861</v>
      </c>
      <c r="AU691" t="s">
        <v>1860</v>
      </c>
      <c r="AV691" t="s">
        <v>1862</v>
      </c>
      <c r="AW691" t="s">
        <v>1863</v>
      </c>
      <c r="AZ691">
        <v>77400</v>
      </c>
      <c r="BA691" t="s">
        <v>1864</v>
      </c>
      <c r="BB691" t="s">
        <v>61</v>
      </c>
      <c r="BC691" t="s">
        <v>62</v>
      </c>
    </row>
    <row r="692" spans="1:55" x14ac:dyDescent="0.25">
      <c r="A692" s="1" t="str">
        <f>IF(COUNTIF(Catégories!A:A,X692)=0,"catégorie inconnue",_xlfn.XLOOKUP(X692,Catégories!A:A,Catégories!B:B))</f>
        <v>Frêt</v>
      </c>
      <c r="B692" s="1">
        <f t="shared" si="30"/>
        <v>0</v>
      </c>
      <c r="C692" s="1">
        <f t="shared" si="31"/>
        <v>0</v>
      </c>
      <c r="D692" s="1">
        <f t="shared" si="32"/>
        <v>0</v>
      </c>
      <c r="E692" s="20">
        <f>IF(AH692&lt;&gt;0,ROUNDUP(AH692,0),IF(BB692&lt;&gt;"FR","hors France",IF(AH692&lt;&gt;0,ROUNDUP(AH692,0),_xlfn.XLOOKUP(AJ692,'PA GLS'!B:B,'PA GLS'!A:A))))</f>
        <v>1</v>
      </c>
      <c r="F692">
        <v>2501382993</v>
      </c>
      <c r="G692">
        <v>1030316536</v>
      </c>
      <c r="H692" t="s">
        <v>366</v>
      </c>
      <c r="I692">
        <v>2500034092</v>
      </c>
      <c r="J692" t="s">
        <v>50</v>
      </c>
      <c r="K692">
        <v>9000009190</v>
      </c>
      <c r="L692">
        <v>46946</v>
      </c>
      <c r="M692" t="s">
        <v>51</v>
      </c>
      <c r="N692">
        <v>9000079830</v>
      </c>
      <c r="O692" t="s">
        <v>187</v>
      </c>
      <c r="S692">
        <v>2507012387</v>
      </c>
      <c r="T692" t="s">
        <v>50</v>
      </c>
      <c r="U692" t="s">
        <v>122</v>
      </c>
      <c r="V692" t="s">
        <v>176</v>
      </c>
      <c r="W692" t="s">
        <v>177</v>
      </c>
      <c r="X692" t="s">
        <v>152</v>
      </c>
      <c r="Z692">
        <v>246</v>
      </c>
      <c r="AA692" t="s">
        <v>1810</v>
      </c>
      <c r="AB692" t="s">
        <v>1865</v>
      </c>
      <c r="AC692">
        <v>2604000216</v>
      </c>
      <c r="AE692">
        <v>0</v>
      </c>
      <c r="AF692">
        <v>1</v>
      </c>
      <c r="AG692">
        <v>0</v>
      </c>
      <c r="AH692">
        <v>0.52</v>
      </c>
      <c r="AI692" t="s">
        <v>56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 t="s">
        <v>57</v>
      </c>
      <c r="AS692" t="s">
        <v>1866</v>
      </c>
      <c r="AT692" t="s">
        <v>1866</v>
      </c>
      <c r="AU692" t="s">
        <v>1865</v>
      </c>
      <c r="AV692" t="s">
        <v>1867</v>
      </c>
      <c r="AW692" t="s">
        <v>1868</v>
      </c>
      <c r="AZ692">
        <v>31250</v>
      </c>
      <c r="BA692" t="s">
        <v>1869</v>
      </c>
      <c r="BB692" t="s">
        <v>61</v>
      </c>
      <c r="BC692" t="s">
        <v>62</v>
      </c>
    </row>
    <row r="693" spans="1:55" x14ac:dyDescent="0.25">
      <c r="A693" s="1" t="str">
        <f>IF(COUNTIF(Catégories!A:A,X693)=0,"catégorie inconnue",_xlfn.XLOOKUP(X693,Catégories!A:A,Catégories!B:B))</f>
        <v>Frêt</v>
      </c>
      <c r="B693" s="1">
        <f t="shared" si="30"/>
        <v>0</v>
      </c>
      <c r="C693" s="1">
        <f t="shared" si="31"/>
        <v>0</v>
      </c>
      <c r="D693" s="1">
        <f t="shared" si="32"/>
        <v>0</v>
      </c>
      <c r="E693" s="20">
        <f>IF(AH693&lt;&gt;0,ROUNDUP(AH693,0),IF(BB693&lt;&gt;"FR","hors France",IF(AH693&lt;&gt;0,ROUNDUP(AH693,0),_xlfn.XLOOKUP(AJ693,'PA GLS'!B:B,'PA GLS'!A:A))))</f>
        <v>1</v>
      </c>
      <c r="F693">
        <v>2501382993</v>
      </c>
      <c r="G693">
        <v>1030316536</v>
      </c>
      <c r="H693" t="s">
        <v>366</v>
      </c>
      <c r="I693">
        <v>2500034092</v>
      </c>
      <c r="J693" t="s">
        <v>50</v>
      </c>
      <c r="K693">
        <v>9000009190</v>
      </c>
      <c r="L693">
        <v>46946</v>
      </c>
      <c r="M693" t="s">
        <v>51</v>
      </c>
      <c r="N693">
        <v>9000079830</v>
      </c>
      <c r="O693" t="s">
        <v>187</v>
      </c>
      <c r="S693">
        <v>2507012387</v>
      </c>
      <c r="T693" t="s">
        <v>50</v>
      </c>
      <c r="U693" t="s">
        <v>122</v>
      </c>
      <c r="V693" t="s">
        <v>176</v>
      </c>
      <c r="W693" t="s">
        <v>177</v>
      </c>
      <c r="X693" t="s">
        <v>152</v>
      </c>
      <c r="Z693">
        <v>246</v>
      </c>
      <c r="AA693" t="s">
        <v>1810</v>
      </c>
      <c r="AB693" t="s">
        <v>1870</v>
      </c>
      <c r="AC693">
        <v>2604000215</v>
      </c>
      <c r="AE693">
        <v>0</v>
      </c>
      <c r="AF693">
        <v>1</v>
      </c>
      <c r="AG693">
        <v>0</v>
      </c>
      <c r="AH693">
        <v>0.84</v>
      </c>
      <c r="AI693" t="s">
        <v>56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 t="s">
        <v>57</v>
      </c>
      <c r="AS693" t="s">
        <v>1871</v>
      </c>
      <c r="AT693" t="s">
        <v>1871</v>
      </c>
      <c r="AU693" t="s">
        <v>1870</v>
      </c>
      <c r="AV693" t="s">
        <v>1872</v>
      </c>
      <c r="AW693" t="s">
        <v>1873</v>
      </c>
      <c r="AZ693">
        <v>76600</v>
      </c>
      <c r="BA693" t="s">
        <v>1874</v>
      </c>
      <c r="BB693" t="s">
        <v>61</v>
      </c>
      <c r="BC693" t="s">
        <v>62</v>
      </c>
    </row>
    <row r="694" spans="1:55" x14ac:dyDescent="0.25">
      <c r="A694" s="1" t="str">
        <f>IF(COUNTIF(Catégories!A:A,X694)=0,"catégorie inconnue",_xlfn.XLOOKUP(X694,Catégories!A:A,Catégories!B:B))</f>
        <v>Frêt</v>
      </c>
      <c r="B694" s="1">
        <f t="shared" si="30"/>
        <v>7.4300000000000006</v>
      </c>
      <c r="C694" s="1">
        <f t="shared" si="31"/>
        <v>1.64</v>
      </c>
      <c r="D694" s="1">
        <f t="shared" si="32"/>
        <v>5.7900000000000009</v>
      </c>
      <c r="E694" s="20">
        <f>IF(AH694&lt;&gt;0,ROUNDUP(AH694,0),IF(BB694&lt;&gt;"FR","hors France",IF(AH694&lt;&gt;0,ROUNDUP(AH694,0),_xlfn.XLOOKUP(AJ694,'PA GLS'!B:B,'PA GLS'!A:A))))</f>
        <v>3</v>
      </c>
      <c r="F694">
        <v>2501382993</v>
      </c>
      <c r="G694">
        <v>1030316536</v>
      </c>
      <c r="H694" t="s">
        <v>366</v>
      </c>
      <c r="I694">
        <v>2500034092</v>
      </c>
      <c r="J694" t="s">
        <v>50</v>
      </c>
      <c r="K694">
        <v>9000009190</v>
      </c>
      <c r="L694">
        <v>46946</v>
      </c>
      <c r="M694" t="s">
        <v>51</v>
      </c>
      <c r="N694">
        <v>9000079830</v>
      </c>
      <c r="O694" t="s">
        <v>187</v>
      </c>
      <c r="S694">
        <v>2507012387</v>
      </c>
      <c r="T694" t="s">
        <v>50</v>
      </c>
      <c r="U694" t="s">
        <v>122</v>
      </c>
      <c r="V694" t="s">
        <v>58</v>
      </c>
      <c r="W694" t="s">
        <v>59</v>
      </c>
      <c r="X694" t="s">
        <v>60</v>
      </c>
      <c r="Z694">
        <v>251</v>
      </c>
      <c r="AA694" t="s">
        <v>1810</v>
      </c>
      <c r="AB694" t="s">
        <v>1875</v>
      </c>
      <c r="AC694">
        <v>2604000236</v>
      </c>
      <c r="AE694">
        <v>0</v>
      </c>
      <c r="AF694">
        <v>0</v>
      </c>
      <c r="AG694">
        <v>0</v>
      </c>
      <c r="AH694">
        <v>0</v>
      </c>
      <c r="AI694" t="s">
        <v>56</v>
      </c>
      <c r="AJ694">
        <v>4.74</v>
      </c>
      <c r="AK694">
        <v>0.9</v>
      </c>
      <c r="AL694">
        <v>0.15</v>
      </c>
      <c r="AM694">
        <v>29.1</v>
      </c>
      <c r="AN694">
        <v>1.64</v>
      </c>
      <c r="AO694">
        <v>0</v>
      </c>
      <c r="AP694">
        <v>0</v>
      </c>
      <c r="AQ694" t="s">
        <v>57</v>
      </c>
      <c r="AS694" t="s">
        <v>1876</v>
      </c>
      <c r="AT694" t="s">
        <v>1876</v>
      </c>
      <c r="AU694" t="s">
        <v>1875</v>
      </c>
      <c r="AV694" t="s">
        <v>1877</v>
      </c>
      <c r="AW694" t="s">
        <v>1878</v>
      </c>
      <c r="AZ694">
        <v>94110</v>
      </c>
      <c r="BA694" t="s">
        <v>1879</v>
      </c>
      <c r="BB694" t="s">
        <v>61</v>
      </c>
      <c r="BC694" t="s">
        <v>62</v>
      </c>
    </row>
    <row r="695" spans="1:55" x14ac:dyDescent="0.25">
      <c r="A695" s="1" t="str">
        <f>IF(COUNTIF(Catégories!A:A,X695)=0,"catégorie inconnue",_xlfn.XLOOKUP(X695,Catégories!A:A,Catégories!B:B))</f>
        <v>Frêt</v>
      </c>
      <c r="B695" s="1">
        <f t="shared" si="30"/>
        <v>8.870000000000001</v>
      </c>
      <c r="C695" s="1">
        <f t="shared" si="31"/>
        <v>1.96</v>
      </c>
      <c r="D695" s="1">
        <f t="shared" si="32"/>
        <v>6.910000000000001</v>
      </c>
      <c r="E695" s="20">
        <f>IF(AH695&lt;&gt;0,ROUNDUP(AH695,0),IF(BB695&lt;&gt;"FR","hors France",IF(AH695&lt;&gt;0,ROUNDUP(AH695,0),_xlfn.XLOOKUP(AJ695,'PA GLS'!B:B,'PA GLS'!A:A))))</f>
        <v>5</v>
      </c>
      <c r="F695">
        <v>2501382993</v>
      </c>
      <c r="G695">
        <v>1030316536</v>
      </c>
      <c r="H695" t="s">
        <v>366</v>
      </c>
      <c r="I695">
        <v>2500034092</v>
      </c>
      <c r="J695" t="s">
        <v>50</v>
      </c>
      <c r="K695">
        <v>9000009190</v>
      </c>
      <c r="L695">
        <v>46946</v>
      </c>
      <c r="M695" t="s">
        <v>51</v>
      </c>
      <c r="N695">
        <v>9000079830</v>
      </c>
      <c r="O695" t="s">
        <v>187</v>
      </c>
      <c r="S695">
        <v>2507012387</v>
      </c>
      <c r="T695" t="s">
        <v>50</v>
      </c>
      <c r="U695" t="s">
        <v>122</v>
      </c>
      <c r="V695" t="s">
        <v>265</v>
      </c>
      <c r="W695" t="s">
        <v>266</v>
      </c>
      <c r="X695" t="s">
        <v>60</v>
      </c>
      <c r="Z695">
        <v>252</v>
      </c>
      <c r="AA695" t="s">
        <v>1810</v>
      </c>
      <c r="AB695" t="s">
        <v>1815</v>
      </c>
      <c r="AC695">
        <v>2604000227</v>
      </c>
      <c r="AE695">
        <v>0</v>
      </c>
      <c r="AF695">
        <v>0</v>
      </c>
      <c r="AG695">
        <v>0</v>
      </c>
      <c r="AH695">
        <v>0</v>
      </c>
      <c r="AI695" t="s">
        <v>56</v>
      </c>
      <c r="AJ695">
        <v>5.86</v>
      </c>
      <c r="AK695">
        <v>0.9</v>
      </c>
      <c r="AL695">
        <v>0.15</v>
      </c>
      <c r="AM695">
        <v>29.1</v>
      </c>
      <c r="AN695">
        <v>1.96</v>
      </c>
      <c r="AO695">
        <v>0</v>
      </c>
      <c r="AP695">
        <v>0</v>
      </c>
      <c r="AQ695" t="s">
        <v>57</v>
      </c>
      <c r="AS695" t="s">
        <v>1816</v>
      </c>
      <c r="AT695" t="s">
        <v>1816</v>
      </c>
      <c r="AU695" t="s">
        <v>1815</v>
      </c>
      <c r="AV695" t="s">
        <v>1817</v>
      </c>
      <c r="AW695" t="s">
        <v>1818</v>
      </c>
      <c r="AZ695">
        <v>59910</v>
      </c>
      <c r="BA695" t="s">
        <v>1819</v>
      </c>
      <c r="BB695" t="s">
        <v>61</v>
      </c>
      <c r="BC695" t="s">
        <v>62</v>
      </c>
    </row>
    <row r="696" spans="1:55" x14ac:dyDescent="0.25">
      <c r="A696" s="1" t="str">
        <f>IF(COUNTIF(Catégories!A:A,X696)=0,"catégorie inconnue",_xlfn.XLOOKUP(X696,Catégories!A:A,Catégories!B:B))</f>
        <v>Frêt</v>
      </c>
      <c r="B696" s="1">
        <f t="shared" si="30"/>
        <v>0</v>
      </c>
      <c r="C696" s="1">
        <f t="shared" si="31"/>
        <v>0</v>
      </c>
      <c r="D696" s="1">
        <f t="shared" si="32"/>
        <v>0</v>
      </c>
      <c r="E696" s="20">
        <f>IF(AH696&lt;&gt;0,ROUNDUP(AH696,0),IF(BB696&lt;&gt;"FR","hors France",IF(AH696&lt;&gt;0,ROUNDUP(AH696,0),_xlfn.XLOOKUP(AJ696,'PA GLS'!B:B,'PA GLS'!A:A))))</f>
        <v>2</v>
      </c>
      <c r="F696">
        <v>2501382993</v>
      </c>
      <c r="G696">
        <v>1030316536</v>
      </c>
      <c r="H696" t="s">
        <v>366</v>
      </c>
      <c r="I696">
        <v>2500034092</v>
      </c>
      <c r="J696" t="s">
        <v>50</v>
      </c>
      <c r="K696">
        <v>9000009190</v>
      </c>
      <c r="L696">
        <v>46946</v>
      </c>
      <c r="M696" t="s">
        <v>51</v>
      </c>
      <c r="N696">
        <v>9000079830</v>
      </c>
      <c r="O696" t="s">
        <v>187</v>
      </c>
      <c r="S696">
        <v>2507012387</v>
      </c>
      <c r="T696" t="s">
        <v>50</v>
      </c>
      <c r="U696" t="s">
        <v>122</v>
      </c>
      <c r="V696" t="s">
        <v>176</v>
      </c>
      <c r="W696" t="s">
        <v>177</v>
      </c>
      <c r="X696" t="s">
        <v>152</v>
      </c>
      <c r="Z696">
        <v>246</v>
      </c>
      <c r="AA696" t="s">
        <v>1810</v>
      </c>
      <c r="AB696" t="s">
        <v>1880</v>
      </c>
      <c r="AC696">
        <v>2604000229</v>
      </c>
      <c r="AE696">
        <v>0</v>
      </c>
      <c r="AF696">
        <v>1</v>
      </c>
      <c r="AG696">
        <v>0</v>
      </c>
      <c r="AH696">
        <v>1.18</v>
      </c>
      <c r="AI696" t="s">
        <v>56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 t="s">
        <v>57</v>
      </c>
      <c r="AS696" t="s">
        <v>1881</v>
      </c>
      <c r="AT696" t="s">
        <v>1881</v>
      </c>
      <c r="AU696" t="s">
        <v>1880</v>
      </c>
      <c r="AV696" t="s">
        <v>1882</v>
      </c>
      <c r="AW696" t="s">
        <v>1883</v>
      </c>
      <c r="AZ696">
        <v>22240</v>
      </c>
      <c r="BA696" t="s">
        <v>1884</v>
      </c>
      <c r="BB696" t="s">
        <v>61</v>
      </c>
      <c r="BC696" t="s">
        <v>62</v>
      </c>
    </row>
    <row r="697" spans="1:55" x14ac:dyDescent="0.25">
      <c r="A697" s="1" t="str">
        <f>IF(COUNTIF(Catégories!A:A,X697)=0,"catégorie inconnue",_xlfn.XLOOKUP(X697,Catégories!A:A,Catégories!B:B))</f>
        <v>Frêt</v>
      </c>
      <c r="B697" s="1">
        <f t="shared" si="30"/>
        <v>0</v>
      </c>
      <c r="C697" s="1">
        <f t="shared" si="31"/>
        <v>0</v>
      </c>
      <c r="D697" s="1">
        <f t="shared" si="32"/>
        <v>0</v>
      </c>
      <c r="E697" s="20">
        <f>IF(AH697&lt;&gt;0,ROUNDUP(AH697,0),IF(BB697&lt;&gt;"FR","hors France",IF(AH697&lt;&gt;0,ROUNDUP(AH697,0),_xlfn.XLOOKUP(AJ697,'PA GLS'!B:B,'PA GLS'!A:A))))</f>
        <v>2</v>
      </c>
      <c r="F697">
        <v>2501382993</v>
      </c>
      <c r="G697">
        <v>1030316536</v>
      </c>
      <c r="H697" t="s">
        <v>366</v>
      </c>
      <c r="I697">
        <v>2500034092</v>
      </c>
      <c r="J697" t="s">
        <v>50</v>
      </c>
      <c r="K697">
        <v>9000009190</v>
      </c>
      <c r="L697">
        <v>46946</v>
      </c>
      <c r="M697" t="s">
        <v>51</v>
      </c>
      <c r="N697">
        <v>9000079830</v>
      </c>
      <c r="O697" t="s">
        <v>187</v>
      </c>
      <c r="S697">
        <v>2507012387</v>
      </c>
      <c r="T697" t="s">
        <v>50</v>
      </c>
      <c r="U697" t="s">
        <v>122</v>
      </c>
      <c r="V697" t="s">
        <v>176</v>
      </c>
      <c r="W697" t="s">
        <v>177</v>
      </c>
      <c r="X697" t="s">
        <v>152</v>
      </c>
      <c r="Z697">
        <v>246</v>
      </c>
      <c r="AA697" t="s">
        <v>1810</v>
      </c>
      <c r="AB697" t="s">
        <v>1885</v>
      </c>
      <c r="AC697">
        <v>2604000230</v>
      </c>
      <c r="AE697">
        <v>0</v>
      </c>
      <c r="AF697">
        <v>1</v>
      </c>
      <c r="AG697">
        <v>0</v>
      </c>
      <c r="AH697">
        <v>1.1599999999999999</v>
      </c>
      <c r="AI697" t="s">
        <v>56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 t="s">
        <v>57</v>
      </c>
      <c r="AS697" t="s">
        <v>1886</v>
      </c>
      <c r="AT697" t="s">
        <v>1886</v>
      </c>
      <c r="AU697" t="s">
        <v>1885</v>
      </c>
      <c r="AV697" t="s">
        <v>1887</v>
      </c>
      <c r="AW697" t="s">
        <v>1888</v>
      </c>
      <c r="AZ697">
        <v>29000</v>
      </c>
      <c r="BA697" t="s">
        <v>357</v>
      </c>
      <c r="BB697" t="s">
        <v>61</v>
      </c>
      <c r="BC697" t="s">
        <v>62</v>
      </c>
    </row>
    <row r="698" spans="1:55" x14ac:dyDescent="0.25">
      <c r="A698" s="1" t="str">
        <f>IF(COUNTIF(Catégories!A:A,X698)=0,"catégorie inconnue",_xlfn.XLOOKUP(X698,Catégories!A:A,Catégories!B:B))</f>
        <v>Frêt</v>
      </c>
      <c r="B698" s="1">
        <f t="shared" si="30"/>
        <v>0</v>
      </c>
      <c r="C698" s="1">
        <f t="shared" si="31"/>
        <v>0</v>
      </c>
      <c r="D698" s="1">
        <f t="shared" si="32"/>
        <v>0</v>
      </c>
      <c r="E698" s="20">
        <f>IF(AH698&lt;&gt;0,ROUNDUP(AH698,0),IF(BB698&lt;&gt;"FR","hors France",IF(AH698&lt;&gt;0,ROUNDUP(AH698,0),_xlfn.XLOOKUP(AJ698,'PA GLS'!B:B,'PA GLS'!A:A))))</f>
        <v>2</v>
      </c>
      <c r="F698">
        <v>2501382993</v>
      </c>
      <c r="G698">
        <v>1030316536</v>
      </c>
      <c r="H698" t="s">
        <v>366</v>
      </c>
      <c r="I698">
        <v>2500034092</v>
      </c>
      <c r="J698" t="s">
        <v>50</v>
      </c>
      <c r="K698">
        <v>9000009190</v>
      </c>
      <c r="L698">
        <v>46946</v>
      </c>
      <c r="M698" t="s">
        <v>51</v>
      </c>
      <c r="N698">
        <v>9000079830</v>
      </c>
      <c r="O698" t="s">
        <v>187</v>
      </c>
      <c r="S698">
        <v>2507012387</v>
      </c>
      <c r="T698" t="s">
        <v>50</v>
      </c>
      <c r="U698" t="s">
        <v>122</v>
      </c>
      <c r="V698" t="s">
        <v>176</v>
      </c>
      <c r="W698" t="s">
        <v>177</v>
      </c>
      <c r="X698" t="s">
        <v>152</v>
      </c>
      <c r="Z698">
        <v>246</v>
      </c>
      <c r="AA698" t="s">
        <v>1810</v>
      </c>
      <c r="AB698" t="s">
        <v>1889</v>
      </c>
      <c r="AC698">
        <v>2604000231</v>
      </c>
      <c r="AE698">
        <v>0</v>
      </c>
      <c r="AF698">
        <v>1</v>
      </c>
      <c r="AG698">
        <v>0</v>
      </c>
      <c r="AH698">
        <v>1.2</v>
      </c>
      <c r="AI698" t="s">
        <v>56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 t="s">
        <v>57</v>
      </c>
      <c r="AS698" t="s">
        <v>1890</v>
      </c>
      <c r="AT698" t="s">
        <v>1890</v>
      </c>
      <c r="AU698" t="s">
        <v>1889</v>
      </c>
      <c r="AV698" t="s">
        <v>1891</v>
      </c>
      <c r="AW698" t="s">
        <v>1892</v>
      </c>
      <c r="AZ698">
        <v>31000</v>
      </c>
      <c r="BA698" t="s">
        <v>218</v>
      </c>
      <c r="BB698" t="s">
        <v>61</v>
      </c>
      <c r="BC698" t="s">
        <v>62</v>
      </c>
    </row>
    <row r="699" spans="1:55" x14ac:dyDescent="0.25">
      <c r="A699" s="1" t="str">
        <f>IF(COUNTIF(Catégories!A:A,X699)=0,"catégorie inconnue",_xlfn.XLOOKUP(X699,Catégories!A:A,Catégories!B:B))</f>
        <v>Frêt</v>
      </c>
      <c r="B699" s="1">
        <f t="shared" si="30"/>
        <v>0</v>
      </c>
      <c r="C699" s="1">
        <f t="shared" si="31"/>
        <v>0</v>
      </c>
      <c r="D699" s="1">
        <f t="shared" si="32"/>
        <v>0</v>
      </c>
      <c r="E699" s="20">
        <f>IF(AH699&lt;&gt;0,ROUNDUP(AH699,0),IF(BB699&lt;&gt;"FR","hors France",IF(AH699&lt;&gt;0,ROUNDUP(AH699,0),_xlfn.XLOOKUP(AJ699,'PA GLS'!B:B,'PA GLS'!A:A))))</f>
        <v>1</v>
      </c>
      <c r="F699">
        <v>2501382993</v>
      </c>
      <c r="G699">
        <v>1030316536</v>
      </c>
      <c r="H699" t="s">
        <v>366</v>
      </c>
      <c r="I699">
        <v>2500034092</v>
      </c>
      <c r="J699" t="s">
        <v>50</v>
      </c>
      <c r="K699">
        <v>9000009190</v>
      </c>
      <c r="L699">
        <v>46946</v>
      </c>
      <c r="M699" t="s">
        <v>51</v>
      </c>
      <c r="N699">
        <v>9000079830</v>
      </c>
      <c r="O699" t="s">
        <v>187</v>
      </c>
      <c r="S699">
        <v>2507012387</v>
      </c>
      <c r="T699" t="s">
        <v>50</v>
      </c>
      <c r="U699" t="s">
        <v>122</v>
      </c>
      <c r="V699" t="s">
        <v>176</v>
      </c>
      <c r="W699" t="s">
        <v>177</v>
      </c>
      <c r="X699" t="s">
        <v>152</v>
      </c>
      <c r="Z699">
        <v>246</v>
      </c>
      <c r="AA699" t="s">
        <v>1810</v>
      </c>
      <c r="AB699" t="s">
        <v>1893</v>
      </c>
      <c r="AC699">
        <v>2604000232</v>
      </c>
      <c r="AE699">
        <v>0</v>
      </c>
      <c r="AF699">
        <v>1</v>
      </c>
      <c r="AG699">
        <v>0</v>
      </c>
      <c r="AH699">
        <v>0.62</v>
      </c>
      <c r="AI699" t="s">
        <v>56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 t="s">
        <v>57</v>
      </c>
      <c r="AS699" t="s">
        <v>1894</v>
      </c>
      <c r="AT699" t="s">
        <v>1894</v>
      </c>
      <c r="AU699" t="s">
        <v>1893</v>
      </c>
      <c r="AV699" t="s">
        <v>1895</v>
      </c>
      <c r="AW699" t="s">
        <v>1896</v>
      </c>
      <c r="AZ699">
        <v>44000</v>
      </c>
      <c r="BA699" t="s">
        <v>80</v>
      </c>
      <c r="BB699" t="s">
        <v>61</v>
      </c>
      <c r="BC699" t="s">
        <v>62</v>
      </c>
    </row>
    <row r="700" spans="1:55" x14ac:dyDescent="0.25">
      <c r="A700" s="1" t="str">
        <f>IF(COUNTIF(Catégories!A:A,X700)=0,"catégorie inconnue",_xlfn.XLOOKUP(X700,Catégories!A:A,Catégories!B:B))</f>
        <v>Frêt</v>
      </c>
      <c r="B700" s="1">
        <f t="shared" si="30"/>
        <v>0</v>
      </c>
      <c r="C700" s="1">
        <f t="shared" si="31"/>
        <v>0</v>
      </c>
      <c r="D700" s="1">
        <f t="shared" si="32"/>
        <v>0</v>
      </c>
      <c r="E700" s="20">
        <f>IF(AH700&lt;&gt;0,ROUNDUP(AH700,0),IF(BB700&lt;&gt;"FR","hors France",IF(AH700&lt;&gt;0,ROUNDUP(AH700,0),_xlfn.XLOOKUP(AJ700,'PA GLS'!B:B,'PA GLS'!A:A))))</f>
        <v>2</v>
      </c>
      <c r="F700">
        <v>2501382993</v>
      </c>
      <c r="G700">
        <v>1030316536</v>
      </c>
      <c r="H700" t="s">
        <v>366</v>
      </c>
      <c r="I700">
        <v>2500034092</v>
      </c>
      <c r="J700" t="s">
        <v>50</v>
      </c>
      <c r="K700">
        <v>9000009190</v>
      </c>
      <c r="L700">
        <v>46946</v>
      </c>
      <c r="M700" t="s">
        <v>51</v>
      </c>
      <c r="N700">
        <v>9000079830</v>
      </c>
      <c r="O700" t="s">
        <v>187</v>
      </c>
      <c r="S700">
        <v>2507012387</v>
      </c>
      <c r="T700" t="s">
        <v>50</v>
      </c>
      <c r="U700" t="s">
        <v>122</v>
      </c>
      <c r="V700" t="s">
        <v>176</v>
      </c>
      <c r="W700" t="s">
        <v>177</v>
      </c>
      <c r="X700" t="s">
        <v>152</v>
      </c>
      <c r="Z700">
        <v>246</v>
      </c>
      <c r="AA700" t="s">
        <v>1810</v>
      </c>
      <c r="AB700" t="s">
        <v>1897</v>
      </c>
      <c r="AC700">
        <v>2604000233</v>
      </c>
      <c r="AE700">
        <v>0</v>
      </c>
      <c r="AF700">
        <v>1</v>
      </c>
      <c r="AG700">
        <v>0</v>
      </c>
      <c r="AH700">
        <v>1.96</v>
      </c>
      <c r="AI700" t="s">
        <v>56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 t="s">
        <v>57</v>
      </c>
      <c r="AS700" t="s">
        <v>1898</v>
      </c>
      <c r="AT700" t="s">
        <v>1898</v>
      </c>
      <c r="AU700" t="s">
        <v>1897</v>
      </c>
      <c r="AV700" t="s">
        <v>1899</v>
      </c>
      <c r="AW700" t="s">
        <v>1900</v>
      </c>
      <c r="AZ700">
        <v>35000</v>
      </c>
      <c r="BA700" t="s">
        <v>386</v>
      </c>
      <c r="BB700" t="s">
        <v>61</v>
      </c>
      <c r="BC700" t="s">
        <v>62</v>
      </c>
    </row>
    <row r="701" spans="1:55" x14ac:dyDescent="0.25">
      <c r="A701" s="1" t="str">
        <f>IF(COUNTIF(Catégories!A:A,X701)=0,"catégorie inconnue",_xlfn.XLOOKUP(X701,Catégories!A:A,Catégories!B:B))</f>
        <v>Frêt</v>
      </c>
      <c r="B701" s="1">
        <f t="shared" si="30"/>
        <v>0</v>
      </c>
      <c r="C701" s="1">
        <f t="shared" si="31"/>
        <v>0</v>
      </c>
      <c r="D701" s="1">
        <f t="shared" si="32"/>
        <v>0</v>
      </c>
      <c r="E701" s="20">
        <f>IF(AH701&lt;&gt;0,ROUNDUP(AH701,0),IF(BB701&lt;&gt;"FR","hors France",IF(AH701&lt;&gt;0,ROUNDUP(AH701,0),_xlfn.XLOOKUP(AJ701,'PA GLS'!B:B,'PA GLS'!A:A))))</f>
        <v>3</v>
      </c>
      <c r="F701">
        <v>2501382993</v>
      </c>
      <c r="G701">
        <v>1030316536</v>
      </c>
      <c r="H701" t="s">
        <v>366</v>
      </c>
      <c r="I701">
        <v>2500034092</v>
      </c>
      <c r="J701" t="s">
        <v>50</v>
      </c>
      <c r="K701">
        <v>9000009190</v>
      </c>
      <c r="L701">
        <v>46946</v>
      </c>
      <c r="M701" t="s">
        <v>51</v>
      </c>
      <c r="N701">
        <v>9000079830</v>
      </c>
      <c r="O701" t="s">
        <v>187</v>
      </c>
      <c r="S701">
        <v>2507012387</v>
      </c>
      <c r="T701" t="s">
        <v>50</v>
      </c>
      <c r="U701" t="s">
        <v>122</v>
      </c>
      <c r="V701" t="s">
        <v>176</v>
      </c>
      <c r="W701" t="s">
        <v>177</v>
      </c>
      <c r="X701" t="s">
        <v>152</v>
      </c>
      <c r="Z701">
        <v>246</v>
      </c>
      <c r="AA701" t="s">
        <v>1810</v>
      </c>
      <c r="AB701" t="s">
        <v>1901</v>
      </c>
      <c r="AC701">
        <v>2604000234</v>
      </c>
      <c r="AE701">
        <v>0</v>
      </c>
      <c r="AF701">
        <v>1</v>
      </c>
      <c r="AG701">
        <v>0</v>
      </c>
      <c r="AH701">
        <v>2.66</v>
      </c>
      <c r="AI701" t="s">
        <v>56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 t="s">
        <v>57</v>
      </c>
      <c r="AS701" t="s">
        <v>1902</v>
      </c>
      <c r="AT701" t="s">
        <v>1902</v>
      </c>
      <c r="AU701" t="s">
        <v>1901</v>
      </c>
      <c r="AV701" t="s">
        <v>1903</v>
      </c>
      <c r="AW701" t="s">
        <v>1904</v>
      </c>
      <c r="AZ701">
        <v>1170</v>
      </c>
      <c r="BA701" t="s">
        <v>1905</v>
      </c>
      <c r="BB701" t="s">
        <v>61</v>
      </c>
      <c r="BC701" t="s">
        <v>62</v>
      </c>
    </row>
    <row r="702" spans="1:55" x14ac:dyDescent="0.25">
      <c r="A702" s="1" t="str">
        <f>IF(COUNTIF(Catégories!A:A,X702)=0,"catégorie inconnue",_xlfn.XLOOKUP(X702,Catégories!A:A,Catégories!B:B))</f>
        <v>Frêt</v>
      </c>
      <c r="B702" s="1">
        <f t="shared" si="30"/>
        <v>0</v>
      </c>
      <c r="C702" s="1">
        <f t="shared" si="31"/>
        <v>0</v>
      </c>
      <c r="D702" s="1">
        <f t="shared" si="32"/>
        <v>0</v>
      </c>
      <c r="E702" s="20">
        <f>IF(AH702&lt;&gt;0,ROUNDUP(AH702,0),IF(BB702&lt;&gt;"FR","hors France",IF(AH702&lt;&gt;0,ROUNDUP(AH702,0),_xlfn.XLOOKUP(AJ702,'PA GLS'!B:B,'PA GLS'!A:A))))</f>
        <v>5</v>
      </c>
      <c r="F702">
        <v>2501382993</v>
      </c>
      <c r="G702">
        <v>1030316536</v>
      </c>
      <c r="H702" t="s">
        <v>366</v>
      </c>
      <c r="I702">
        <v>2500034092</v>
      </c>
      <c r="J702" t="s">
        <v>50</v>
      </c>
      <c r="K702">
        <v>9000009190</v>
      </c>
      <c r="L702">
        <v>46946</v>
      </c>
      <c r="M702" t="s">
        <v>51</v>
      </c>
      <c r="N702">
        <v>9000079830</v>
      </c>
      <c r="O702" t="s">
        <v>187</v>
      </c>
      <c r="S702">
        <v>2507012387</v>
      </c>
      <c r="T702" t="s">
        <v>50</v>
      </c>
      <c r="U702" t="s">
        <v>122</v>
      </c>
      <c r="V702" t="s">
        <v>176</v>
      </c>
      <c r="W702" t="s">
        <v>177</v>
      </c>
      <c r="X702" t="s">
        <v>152</v>
      </c>
      <c r="Z702">
        <v>246</v>
      </c>
      <c r="AA702" t="s">
        <v>1810</v>
      </c>
      <c r="AB702" t="s">
        <v>1906</v>
      </c>
      <c r="AC702">
        <v>2604000235</v>
      </c>
      <c r="AE702">
        <v>0</v>
      </c>
      <c r="AF702">
        <v>1</v>
      </c>
      <c r="AG702">
        <v>0</v>
      </c>
      <c r="AH702">
        <v>5</v>
      </c>
      <c r="AI702" t="s">
        <v>56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 t="s">
        <v>57</v>
      </c>
      <c r="AS702" t="s">
        <v>1907</v>
      </c>
      <c r="AT702" t="s">
        <v>1907</v>
      </c>
      <c r="AU702" t="s">
        <v>1906</v>
      </c>
      <c r="AV702" t="s">
        <v>1908</v>
      </c>
      <c r="AW702" t="s">
        <v>1909</v>
      </c>
      <c r="AZ702">
        <v>33500</v>
      </c>
      <c r="BA702" t="s">
        <v>1910</v>
      </c>
      <c r="BB702" t="s">
        <v>61</v>
      </c>
      <c r="BC702" t="s">
        <v>62</v>
      </c>
    </row>
    <row r="703" spans="1:55" x14ac:dyDescent="0.25">
      <c r="A703" s="1" t="str">
        <f>IF(COUNTIF(Catégories!A:A,X703)=0,"catégorie inconnue",_xlfn.XLOOKUP(X703,Catégories!A:A,Catégories!B:B))</f>
        <v>Frêt</v>
      </c>
      <c r="B703" s="1">
        <f t="shared" si="30"/>
        <v>0</v>
      </c>
      <c r="C703" s="1">
        <f t="shared" si="31"/>
        <v>0</v>
      </c>
      <c r="D703" s="1">
        <f t="shared" si="32"/>
        <v>0</v>
      </c>
      <c r="E703" s="20">
        <f>IF(AH703&lt;&gt;0,ROUNDUP(AH703,0),IF(BB703&lt;&gt;"FR","hors France",IF(AH703&lt;&gt;0,ROUNDUP(AH703,0),_xlfn.XLOOKUP(AJ703,'PA GLS'!B:B,'PA GLS'!A:A))))</f>
        <v>3</v>
      </c>
      <c r="F703">
        <v>2501382993</v>
      </c>
      <c r="G703">
        <v>1030316536</v>
      </c>
      <c r="H703" t="s">
        <v>366</v>
      </c>
      <c r="I703">
        <v>2500034092</v>
      </c>
      <c r="J703" t="s">
        <v>50</v>
      </c>
      <c r="K703">
        <v>9000009190</v>
      </c>
      <c r="L703">
        <v>46946</v>
      </c>
      <c r="M703" t="s">
        <v>51</v>
      </c>
      <c r="N703">
        <v>9000079830</v>
      </c>
      <c r="O703" t="s">
        <v>187</v>
      </c>
      <c r="S703">
        <v>2507012387</v>
      </c>
      <c r="T703" t="s">
        <v>50</v>
      </c>
      <c r="U703" t="s">
        <v>122</v>
      </c>
      <c r="V703" t="s">
        <v>176</v>
      </c>
      <c r="W703" t="s">
        <v>177</v>
      </c>
      <c r="X703" t="s">
        <v>152</v>
      </c>
      <c r="Z703">
        <v>246</v>
      </c>
      <c r="AA703" t="s">
        <v>1810</v>
      </c>
      <c r="AB703" t="s">
        <v>1875</v>
      </c>
      <c r="AC703">
        <v>2604000236</v>
      </c>
      <c r="AE703">
        <v>0</v>
      </c>
      <c r="AF703">
        <v>1</v>
      </c>
      <c r="AG703">
        <v>0</v>
      </c>
      <c r="AH703">
        <v>2.48</v>
      </c>
      <c r="AI703" t="s">
        <v>56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 t="s">
        <v>57</v>
      </c>
      <c r="AS703" t="s">
        <v>1876</v>
      </c>
      <c r="AT703" t="s">
        <v>1876</v>
      </c>
      <c r="AU703" t="s">
        <v>1875</v>
      </c>
      <c r="AV703" t="s">
        <v>1877</v>
      </c>
      <c r="AW703" t="s">
        <v>1878</v>
      </c>
      <c r="AZ703">
        <v>94110</v>
      </c>
      <c r="BA703" t="s">
        <v>1879</v>
      </c>
      <c r="BB703" t="s">
        <v>61</v>
      </c>
      <c r="BC703" t="s">
        <v>62</v>
      </c>
    </row>
    <row r="704" spans="1:55" x14ac:dyDescent="0.25">
      <c r="A704" s="1" t="str">
        <f>IF(COUNTIF(Catégories!A:A,X704)=0,"catégorie inconnue",_xlfn.XLOOKUP(X704,Catégories!A:A,Catégories!B:B))</f>
        <v>Frêt</v>
      </c>
      <c r="B704" s="1">
        <f t="shared" si="30"/>
        <v>0</v>
      </c>
      <c r="C704" s="1">
        <f t="shared" si="31"/>
        <v>0</v>
      </c>
      <c r="D704" s="1">
        <f t="shared" si="32"/>
        <v>0</v>
      </c>
      <c r="E704" s="20">
        <f>IF(AH704&lt;&gt;0,ROUNDUP(AH704,0),IF(BB704&lt;&gt;"FR","hors France",IF(AH704&lt;&gt;0,ROUNDUP(AH704,0),_xlfn.XLOOKUP(AJ704,'PA GLS'!B:B,'PA GLS'!A:A))))</f>
        <v>1</v>
      </c>
      <c r="F704">
        <v>2501382993</v>
      </c>
      <c r="G704">
        <v>1030316536</v>
      </c>
      <c r="H704" t="s">
        <v>366</v>
      </c>
      <c r="I704">
        <v>2500034092</v>
      </c>
      <c r="J704" t="s">
        <v>50</v>
      </c>
      <c r="K704">
        <v>9000009190</v>
      </c>
      <c r="L704">
        <v>46946</v>
      </c>
      <c r="M704" t="s">
        <v>51</v>
      </c>
      <c r="N704">
        <v>9000079830</v>
      </c>
      <c r="O704" t="s">
        <v>187</v>
      </c>
      <c r="S704">
        <v>2507012387</v>
      </c>
      <c r="T704" t="s">
        <v>50</v>
      </c>
      <c r="U704" t="s">
        <v>122</v>
      </c>
      <c r="V704" t="s">
        <v>176</v>
      </c>
      <c r="W704" t="s">
        <v>177</v>
      </c>
      <c r="X704" t="s">
        <v>152</v>
      </c>
      <c r="Z704">
        <v>246</v>
      </c>
      <c r="AA704" t="s">
        <v>1810</v>
      </c>
      <c r="AB704" t="s">
        <v>1911</v>
      </c>
      <c r="AC704">
        <v>2604000237</v>
      </c>
      <c r="AE704">
        <v>0</v>
      </c>
      <c r="AF704">
        <v>1</v>
      </c>
      <c r="AG704">
        <v>0</v>
      </c>
      <c r="AH704">
        <v>0.88</v>
      </c>
      <c r="AI704" t="s">
        <v>56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 t="s">
        <v>57</v>
      </c>
      <c r="AS704" t="s">
        <v>1912</v>
      </c>
      <c r="AT704" t="s">
        <v>1912</v>
      </c>
      <c r="AU704" t="s">
        <v>1911</v>
      </c>
      <c r="AV704" t="s">
        <v>1913</v>
      </c>
      <c r="AW704" t="s">
        <v>1914</v>
      </c>
      <c r="AZ704">
        <v>87000</v>
      </c>
      <c r="BA704" t="s">
        <v>1915</v>
      </c>
      <c r="BB704" t="s">
        <v>61</v>
      </c>
      <c r="BC704" t="s">
        <v>62</v>
      </c>
    </row>
    <row r="705" spans="1:55" x14ac:dyDescent="0.25">
      <c r="A705" s="1" t="str">
        <f>IF(COUNTIF(Catégories!A:A,X705)=0,"catégorie inconnue",_xlfn.XLOOKUP(X705,Catégories!A:A,Catégories!B:B))</f>
        <v>Frêt</v>
      </c>
      <c r="B705" s="1">
        <f t="shared" si="30"/>
        <v>0</v>
      </c>
      <c r="C705" s="1">
        <f t="shared" si="31"/>
        <v>0</v>
      </c>
      <c r="D705" s="1">
        <f t="shared" si="32"/>
        <v>0</v>
      </c>
      <c r="E705" s="20">
        <f>IF(AH705&lt;&gt;0,ROUNDUP(AH705,0),IF(BB705&lt;&gt;"FR","hors France",IF(AH705&lt;&gt;0,ROUNDUP(AH705,0),_xlfn.XLOOKUP(AJ705,'PA GLS'!B:B,'PA GLS'!A:A))))</f>
        <v>2</v>
      </c>
      <c r="F705">
        <v>2501382993</v>
      </c>
      <c r="G705">
        <v>1030316536</v>
      </c>
      <c r="H705" t="s">
        <v>366</v>
      </c>
      <c r="I705">
        <v>2500034092</v>
      </c>
      <c r="J705" t="s">
        <v>50</v>
      </c>
      <c r="K705">
        <v>9000009190</v>
      </c>
      <c r="L705">
        <v>46946</v>
      </c>
      <c r="M705" t="s">
        <v>51</v>
      </c>
      <c r="N705">
        <v>9000079830</v>
      </c>
      <c r="O705" t="s">
        <v>187</v>
      </c>
      <c r="S705">
        <v>2507012387</v>
      </c>
      <c r="T705" t="s">
        <v>50</v>
      </c>
      <c r="U705" t="s">
        <v>122</v>
      </c>
      <c r="V705" t="s">
        <v>176</v>
      </c>
      <c r="W705" t="s">
        <v>177</v>
      </c>
      <c r="X705" t="s">
        <v>152</v>
      </c>
      <c r="Z705">
        <v>246</v>
      </c>
      <c r="AA705" t="s">
        <v>1810</v>
      </c>
      <c r="AB705" t="s">
        <v>1916</v>
      </c>
      <c r="AC705">
        <v>2604000238</v>
      </c>
      <c r="AE705">
        <v>0</v>
      </c>
      <c r="AF705">
        <v>1</v>
      </c>
      <c r="AG705">
        <v>0</v>
      </c>
      <c r="AH705">
        <v>1.86</v>
      </c>
      <c r="AI705" t="s">
        <v>56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 t="s">
        <v>57</v>
      </c>
      <c r="AS705" t="s">
        <v>1917</v>
      </c>
      <c r="AT705" t="s">
        <v>1917</v>
      </c>
      <c r="AU705" t="s">
        <v>1916</v>
      </c>
      <c r="AV705" t="s">
        <v>1918</v>
      </c>
      <c r="AW705" t="s">
        <v>1919</v>
      </c>
      <c r="AZ705">
        <v>38000</v>
      </c>
      <c r="BA705" t="s">
        <v>340</v>
      </c>
      <c r="BB705" t="s">
        <v>61</v>
      </c>
      <c r="BC705" t="s">
        <v>62</v>
      </c>
    </row>
    <row r="706" spans="1:55" x14ac:dyDescent="0.25">
      <c r="A706" s="1" t="str">
        <f>IF(COUNTIF(Catégories!A:A,X706)=0,"catégorie inconnue",_xlfn.XLOOKUP(X706,Catégories!A:A,Catégories!B:B))</f>
        <v>Frêt</v>
      </c>
      <c r="B706" s="1">
        <f t="shared" si="30"/>
        <v>6.6000000000000005</v>
      </c>
      <c r="C706" s="1">
        <f t="shared" si="31"/>
        <v>1.45</v>
      </c>
      <c r="D706" s="1">
        <f t="shared" si="32"/>
        <v>5.15</v>
      </c>
      <c r="E706" s="20">
        <f>IF(AH706&lt;&gt;0,ROUNDUP(AH706,0),IF(BB706&lt;&gt;"FR","hors France",IF(AH706&lt;&gt;0,ROUNDUP(AH706,0),_xlfn.XLOOKUP(AJ706,'PA GLS'!B:B,'PA GLS'!A:A))))</f>
        <v>1</v>
      </c>
      <c r="F706">
        <v>2501382993</v>
      </c>
      <c r="G706">
        <v>1030316536</v>
      </c>
      <c r="H706" t="s">
        <v>366</v>
      </c>
      <c r="I706">
        <v>2500034092</v>
      </c>
      <c r="J706" t="s">
        <v>50</v>
      </c>
      <c r="K706">
        <v>9000009190</v>
      </c>
      <c r="L706">
        <v>46946</v>
      </c>
      <c r="M706" t="s">
        <v>51</v>
      </c>
      <c r="N706">
        <v>9000079830</v>
      </c>
      <c r="O706" t="s">
        <v>187</v>
      </c>
      <c r="S706">
        <v>2507012387</v>
      </c>
      <c r="T706" t="s">
        <v>50</v>
      </c>
      <c r="U706" t="s">
        <v>122</v>
      </c>
      <c r="V706" t="s">
        <v>69</v>
      </c>
      <c r="W706" t="s">
        <v>70</v>
      </c>
      <c r="X706" t="s">
        <v>60</v>
      </c>
      <c r="Z706">
        <v>247</v>
      </c>
      <c r="AA706" t="s">
        <v>1810</v>
      </c>
      <c r="AB706" t="s">
        <v>1865</v>
      </c>
      <c r="AC706">
        <v>2604000216</v>
      </c>
      <c r="AE706">
        <v>0</v>
      </c>
      <c r="AF706">
        <v>0</v>
      </c>
      <c r="AG706">
        <v>0</v>
      </c>
      <c r="AH706">
        <v>0</v>
      </c>
      <c r="AI706" t="s">
        <v>56</v>
      </c>
      <c r="AJ706">
        <v>4.0999999999999996</v>
      </c>
      <c r="AK706">
        <v>0.9</v>
      </c>
      <c r="AL706">
        <v>0.15</v>
      </c>
      <c r="AM706">
        <v>29.1</v>
      </c>
      <c r="AN706">
        <v>1.45</v>
      </c>
      <c r="AO706">
        <v>0</v>
      </c>
      <c r="AP706">
        <v>0</v>
      </c>
      <c r="AQ706" t="s">
        <v>57</v>
      </c>
      <c r="AS706" t="s">
        <v>1866</v>
      </c>
      <c r="AT706" t="s">
        <v>1866</v>
      </c>
      <c r="AU706" t="s">
        <v>1865</v>
      </c>
      <c r="AV706" t="s">
        <v>1867</v>
      </c>
      <c r="AW706" t="s">
        <v>1868</v>
      </c>
      <c r="AZ706">
        <v>31250</v>
      </c>
      <c r="BA706" t="s">
        <v>1869</v>
      </c>
      <c r="BB706" t="s">
        <v>61</v>
      </c>
      <c r="BC706" t="s">
        <v>62</v>
      </c>
    </row>
    <row r="707" spans="1:55" x14ac:dyDescent="0.25">
      <c r="A707" s="1" t="str">
        <f>IF(COUNTIF(Catégories!A:A,X707)=0,"catégorie inconnue",_xlfn.XLOOKUP(X707,Catégories!A:A,Catégories!B:B))</f>
        <v>Frêt</v>
      </c>
      <c r="B707" s="1">
        <f t="shared" ref="B707:B770" si="33">SUM(AJ707:AL707)+SUM(AN707:AP707)</f>
        <v>6.6000000000000005</v>
      </c>
      <c r="C707" s="1">
        <f t="shared" ref="C707:C770" si="34">AN707</f>
        <v>1.45</v>
      </c>
      <c r="D707" s="1">
        <f t="shared" ref="D707:D770" si="35">B707-C707</f>
        <v>5.15</v>
      </c>
      <c r="E707" s="20">
        <f>IF(AH707&lt;&gt;0,ROUNDUP(AH707,0),IF(BB707&lt;&gt;"FR","hors France",IF(AH707&lt;&gt;0,ROUNDUP(AH707,0),_xlfn.XLOOKUP(AJ707,'PA GLS'!B:B,'PA GLS'!A:A))))</f>
        <v>1</v>
      </c>
      <c r="F707">
        <v>2501382993</v>
      </c>
      <c r="G707">
        <v>1030316536</v>
      </c>
      <c r="H707" t="s">
        <v>366</v>
      </c>
      <c r="I707">
        <v>2500034092</v>
      </c>
      <c r="J707" t="s">
        <v>50</v>
      </c>
      <c r="K707">
        <v>9000009190</v>
      </c>
      <c r="L707">
        <v>46946</v>
      </c>
      <c r="M707" t="s">
        <v>51</v>
      </c>
      <c r="N707">
        <v>9000079830</v>
      </c>
      <c r="O707" t="s">
        <v>187</v>
      </c>
      <c r="S707">
        <v>2507012387</v>
      </c>
      <c r="T707" t="s">
        <v>50</v>
      </c>
      <c r="U707" t="s">
        <v>122</v>
      </c>
      <c r="V707" t="s">
        <v>69</v>
      </c>
      <c r="W707" t="s">
        <v>70</v>
      </c>
      <c r="X707" t="s">
        <v>60</v>
      </c>
      <c r="Z707">
        <v>247</v>
      </c>
      <c r="AA707" t="s">
        <v>1810</v>
      </c>
      <c r="AB707" t="s">
        <v>1893</v>
      </c>
      <c r="AC707">
        <v>2604000232</v>
      </c>
      <c r="AE707">
        <v>0</v>
      </c>
      <c r="AF707">
        <v>0</v>
      </c>
      <c r="AG707">
        <v>0</v>
      </c>
      <c r="AH707">
        <v>0</v>
      </c>
      <c r="AI707" t="s">
        <v>56</v>
      </c>
      <c r="AJ707">
        <v>4.0999999999999996</v>
      </c>
      <c r="AK707">
        <v>0.9</v>
      </c>
      <c r="AL707">
        <v>0.15</v>
      </c>
      <c r="AM707">
        <v>29.1</v>
      </c>
      <c r="AN707">
        <v>1.45</v>
      </c>
      <c r="AO707">
        <v>0</v>
      </c>
      <c r="AP707">
        <v>0</v>
      </c>
      <c r="AQ707" t="s">
        <v>57</v>
      </c>
      <c r="AS707" t="s">
        <v>1894</v>
      </c>
      <c r="AT707" t="s">
        <v>1894</v>
      </c>
      <c r="AU707" t="s">
        <v>1893</v>
      </c>
      <c r="AV707" t="s">
        <v>1895</v>
      </c>
      <c r="AW707" t="s">
        <v>1896</v>
      </c>
      <c r="AZ707">
        <v>44000</v>
      </c>
      <c r="BA707" t="s">
        <v>80</v>
      </c>
      <c r="BB707" t="s">
        <v>61</v>
      </c>
      <c r="BC707" t="s">
        <v>62</v>
      </c>
    </row>
    <row r="708" spans="1:55" x14ac:dyDescent="0.25">
      <c r="A708" s="1" t="str">
        <f>IF(COUNTIF(Catégories!A:A,X708)=0,"catégorie inconnue",_xlfn.XLOOKUP(X708,Catégories!A:A,Catégories!B:B))</f>
        <v>Frêt</v>
      </c>
      <c r="B708" s="1">
        <f t="shared" si="33"/>
        <v>6.6000000000000005</v>
      </c>
      <c r="C708" s="1">
        <f t="shared" si="34"/>
        <v>1.45</v>
      </c>
      <c r="D708" s="1">
        <f t="shared" si="35"/>
        <v>5.15</v>
      </c>
      <c r="E708" s="20">
        <f>IF(AH708&lt;&gt;0,ROUNDUP(AH708,0),IF(BB708&lt;&gt;"FR","hors France",IF(AH708&lt;&gt;0,ROUNDUP(AH708,0),_xlfn.XLOOKUP(AJ708,'PA GLS'!B:B,'PA GLS'!A:A))))</f>
        <v>1</v>
      </c>
      <c r="F708">
        <v>2501382993</v>
      </c>
      <c r="G708">
        <v>1030316536</v>
      </c>
      <c r="H708" t="s">
        <v>366</v>
      </c>
      <c r="I708">
        <v>2500034092</v>
      </c>
      <c r="J708" t="s">
        <v>50</v>
      </c>
      <c r="K708">
        <v>9000009190</v>
      </c>
      <c r="L708">
        <v>46946</v>
      </c>
      <c r="M708" t="s">
        <v>51</v>
      </c>
      <c r="N708">
        <v>9000079830</v>
      </c>
      <c r="O708" t="s">
        <v>187</v>
      </c>
      <c r="S708">
        <v>2507012387</v>
      </c>
      <c r="T708" t="s">
        <v>50</v>
      </c>
      <c r="U708" t="s">
        <v>122</v>
      </c>
      <c r="V708" t="s">
        <v>66</v>
      </c>
      <c r="W708" t="s">
        <v>67</v>
      </c>
      <c r="X708" t="s">
        <v>60</v>
      </c>
      <c r="Z708">
        <v>248</v>
      </c>
      <c r="AA708" t="s">
        <v>1810</v>
      </c>
      <c r="AB708" t="s">
        <v>1870</v>
      </c>
      <c r="AC708">
        <v>2604000215</v>
      </c>
      <c r="AE708">
        <v>0</v>
      </c>
      <c r="AF708">
        <v>0</v>
      </c>
      <c r="AG708">
        <v>0</v>
      </c>
      <c r="AH708">
        <v>0</v>
      </c>
      <c r="AI708" t="s">
        <v>56</v>
      </c>
      <c r="AJ708">
        <v>4.0999999999999996</v>
      </c>
      <c r="AK708">
        <v>0.9</v>
      </c>
      <c r="AL708">
        <v>0.15</v>
      </c>
      <c r="AM708">
        <v>29.1</v>
      </c>
      <c r="AN708">
        <v>1.45</v>
      </c>
      <c r="AO708">
        <v>0</v>
      </c>
      <c r="AP708">
        <v>0</v>
      </c>
      <c r="AQ708" t="s">
        <v>57</v>
      </c>
      <c r="AS708" t="s">
        <v>1871</v>
      </c>
      <c r="AT708" t="s">
        <v>1871</v>
      </c>
      <c r="AU708" t="s">
        <v>1870</v>
      </c>
      <c r="AV708" t="s">
        <v>1872</v>
      </c>
      <c r="AW708" t="s">
        <v>1873</v>
      </c>
      <c r="AZ708">
        <v>76600</v>
      </c>
      <c r="BA708" t="s">
        <v>1874</v>
      </c>
      <c r="BB708" t="s">
        <v>61</v>
      </c>
      <c r="BC708" t="s">
        <v>62</v>
      </c>
    </row>
    <row r="709" spans="1:55" x14ac:dyDescent="0.25">
      <c r="A709" s="1" t="str">
        <f>IF(COUNTIF(Catégories!A:A,X709)=0,"catégorie inconnue",_xlfn.XLOOKUP(X709,Catégories!A:A,Catégories!B:B))</f>
        <v>Frêt</v>
      </c>
      <c r="B709" s="1">
        <f t="shared" si="33"/>
        <v>6.6000000000000005</v>
      </c>
      <c r="C709" s="1">
        <f t="shared" si="34"/>
        <v>1.45</v>
      </c>
      <c r="D709" s="1">
        <f t="shared" si="35"/>
        <v>5.15</v>
      </c>
      <c r="E709" s="20">
        <f>IF(AH709&lt;&gt;0,ROUNDUP(AH709,0),IF(BB709&lt;&gt;"FR","hors France",IF(AH709&lt;&gt;0,ROUNDUP(AH709,0),_xlfn.XLOOKUP(AJ709,'PA GLS'!B:B,'PA GLS'!A:A))))</f>
        <v>1</v>
      </c>
      <c r="F709">
        <v>2501382993</v>
      </c>
      <c r="G709">
        <v>1030316536</v>
      </c>
      <c r="H709" t="s">
        <v>366</v>
      </c>
      <c r="I709">
        <v>2500034092</v>
      </c>
      <c r="J709" t="s">
        <v>50</v>
      </c>
      <c r="K709">
        <v>9000009190</v>
      </c>
      <c r="L709">
        <v>46946</v>
      </c>
      <c r="M709" t="s">
        <v>51</v>
      </c>
      <c r="N709">
        <v>9000079830</v>
      </c>
      <c r="O709" t="s">
        <v>187</v>
      </c>
      <c r="S709">
        <v>2507012387</v>
      </c>
      <c r="T709" t="s">
        <v>50</v>
      </c>
      <c r="U709" t="s">
        <v>122</v>
      </c>
      <c r="V709" t="s">
        <v>66</v>
      </c>
      <c r="W709" t="s">
        <v>67</v>
      </c>
      <c r="X709" t="s">
        <v>60</v>
      </c>
      <c r="Z709">
        <v>248</v>
      </c>
      <c r="AA709" t="s">
        <v>1810</v>
      </c>
      <c r="AB709" t="s">
        <v>1911</v>
      </c>
      <c r="AC709">
        <v>2604000237</v>
      </c>
      <c r="AE709">
        <v>0</v>
      </c>
      <c r="AF709">
        <v>0</v>
      </c>
      <c r="AG709">
        <v>0</v>
      </c>
      <c r="AH709">
        <v>0</v>
      </c>
      <c r="AI709" t="s">
        <v>56</v>
      </c>
      <c r="AJ709">
        <v>4.0999999999999996</v>
      </c>
      <c r="AK709">
        <v>0.9</v>
      </c>
      <c r="AL709">
        <v>0.15</v>
      </c>
      <c r="AM709">
        <v>29.1</v>
      </c>
      <c r="AN709">
        <v>1.45</v>
      </c>
      <c r="AO709">
        <v>0</v>
      </c>
      <c r="AP709">
        <v>0</v>
      </c>
      <c r="AQ709" t="s">
        <v>57</v>
      </c>
      <c r="AS709" t="s">
        <v>1912</v>
      </c>
      <c r="AT709" t="s">
        <v>1912</v>
      </c>
      <c r="AU709" t="s">
        <v>1911</v>
      </c>
      <c r="AV709" t="s">
        <v>1913</v>
      </c>
      <c r="AW709" t="s">
        <v>1914</v>
      </c>
      <c r="AZ709">
        <v>87000</v>
      </c>
      <c r="BA709" t="s">
        <v>1915</v>
      </c>
      <c r="BB709" t="s">
        <v>61</v>
      </c>
      <c r="BC709" t="s">
        <v>62</v>
      </c>
    </row>
    <row r="710" spans="1:55" x14ac:dyDescent="0.25">
      <c r="A710" s="1" t="str">
        <f>IF(COUNTIF(Catégories!A:A,X710)=0,"catégorie inconnue",_xlfn.XLOOKUP(X710,Catégories!A:A,Catégories!B:B))</f>
        <v>Frêt</v>
      </c>
      <c r="B710" s="1">
        <f t="shared" si="33"/>
        <v>7.0100000000000007</v>
      </c>
      <c r="C710" s="1">
        <f t="shared" si="34"/>
        <v>1.54</v>
      </c>
      <c r="D710" s="1">
        <f t="shared" si="35"/>
        <v>5.4700000000000006</v>
      </c>
      <c r="E710" s="20">
        <f>IF(AH710&lt;&gt;0,ROUNDUP(AH710,0),IF(BB710&lt;&gt;"FR","hors France",IF(AH710&lt;&gt;0,ROUNDUP(AH710,0),_xlfn.XLOOKUP(AJ710,'PA GLS'!B:B,'PA GLS'!A:A))))</f>
        <v>2</v>
      </c>
      <c r="F710">
        <v>2501382993</v>
      </c>
      <c r="G710">
        <v>1030316536</v>
      </c>
      <c r="H710" t="s">
        <v>366</v>
      </c>
      <c r="I710">
        <v>2500034092</v>
      </c>
      <c r="J710" t="s">
        <v>50</v>
      </c>
      <c r="K710">
        <v>9000009190</v>
      </c>
      <c r="L710">
        <v>46946</v>
      </c>
      <c r="M710" t="s">
        <v>51</v>
      </c>
      <c r="N710">
        <v>9000079830</v>
      </c>
      <c r="O710" t="s">
        <v>187</v>
      </c>
      <c r="S710">
        <v>2507012387</v>
      </c>
      <c r="T710" t="s">
        <v>50</v>
      </c>
      <c r="U710" t="s">
        <v>122</v>
      </c>
      <c r="V710" t="s">
        <v>63</v>
      </c>
      <c r="W710" t="s">
        <v>64</v>
      </c>
      <c r="X710" t="s">
        <v>60</v>
      </c>
      <c r="Z710">
        <v>249</v>
      </c>
      <c r="AA710" t="s">
        <v>1810</v>
      </c>
      <c r="AB710" t="s">
        <v>1860</v>
      </c>
      <c r="AC710">
        <v>2604000217</v>
      </c>
      <c r="AE710">
        <v>0</v>
      </c>
      <c r="AF710">
        <v>0</v>
      </c>
      <c r="AG710">
        <v>0</v>
      </c>
      <c r="AH710">
        <v>0</v>
      </c>
      <c r="AI710" t="s">
        <v>56</v>
      </c>
      <c r="AJ710">
        <v>4.42</v>
      </c>
      <c r="AK710">
        <v>0.9</v>
      </c>
      <c r="AL710">
        <v>0.15</v>
      </c>
      <c r="AM710">
        <v>29.1</v>
      </c>
      <c r="AN710">
        <v>1.54</v>
      </c>
      <c r="AO710">
        <v>0</v>
      </c>
      <c r="AP710">
        <v>0</v>
      </c>
      <c r="AQ710" t="s">
        <v>57</v>
      </c>
      <c r="AS710" t="s">
        <v>1861</v>
      </c>
      <c r="AT710" t="s">
        <v>1861</v>
      </c>
      <c r="AU710" t="s">
        <v>1860</v>
      </c>
      <c r="AV710" t="s">
        <v>1862</v>
      </c>
      <c r="AW710" t="s">
        <v>1863</v>
      </c>
      <c r="AZ710">
        <v>77400</v>
      </c>
      <c r="BA710" t="s">
        <v>1864</v>
      </c>
      <c r="BB710" t="s">
        <v>61</v>
      </c>
      <c r="BC710" t="s">
        <v>62</v>
      </c>
    </row>
    <row r="711" spans="1:55" x14ac:dyDescent="0.25">
      <c r="A711" s="1" t="str">
        <f>IF(COUNTIF(Catégories!A:A,X711)=0,"catégorie inconnue",_xlfn.XLOOKUP(X711,Catégories!A:A,Catégories!B:B))</f>
        <v>Frêt</v>
      </c>
      <c r="B711" s="1">
        <f t="shared" si="33"/>
        <v>7.0100000000000007</v>
      </c>
      <c r="C711" s="1">
        <f t="shared" si="34"/>
        <v>1.54</v>
      </c>
      <c r="D711" s="1">
        <f t="shared" si="35"/>
        <v>5.4700000000000006</v>
      </c>
      <c r="E711" s="20">
        <f>IF(AH711&lt;&gt;0,ROUNDUP(AH711,0),IF(BB711&lt;&gt;"FR","hors France",IF(AH711&lt;&gt;0,ROUNDUP(AH711,0),_xlfn.XLOOKUP(AJ711,'PA GLS'!B:B,'PA GLS'!A:A))))</f>
        <v>2</v>
      </c>
      <c r="F711">
        <v>2501382993</v>
      </c>
      <c r="G711">
        <v>1030316536</v>
      </c>
      <c r="H711" t="s">
        <v>366</v>
      </c>
      <c r="I711">
        <v>2500034092</v>
      </c>
      <c r="J711" t="s">
        <v>50</v>
      </c>
      <c r="K711">
        <v>9000009190</v>
      </c>
      <c r="L711">
        <v>46946</v>
      </c>
      <c r="M711" t="s">
        <v>51</v>
      </c>
      <c r="N711">
        <v>9000079830</v>
      </c>
      <c r="O711" t="s">
        <v>187</v>
      </c>
      <c r="S711">
        <v>2507012387</v>
      </c>
      <c r="T711" t="s">
        <v>50</v>
      </c>
      <c r="U711" t="s">
        <v>122</v>
      </c>
      <c r="V711" t="s">
        <v>63</v>
      </c>
      <c r="W711" t="s">
        <v>64</v>
      </c>
      <c r="X711" t="s">
        <v>60</v>
      </c>
      <c r="Z711">
        <v>249</v>
      </c>
      <c r="AA711" t="s">
        <v>1810</v>
      </c>
      <c r="AB711" t="s">
        <v>1858</v>
      </c>
      <c r="AC711">
        <v>2604000218</v>
      </c>
      <c r="AE711">
        <v>0</v>
      </c>
      <c r="AF711">
        <v>0</v>
      </c>
      <c r="AG711">
        <v>0</v>
      </c>
      <c r="AH711">
        <v>0</v>
      </c>
      <c r="AI711" t="s">
        <v>56</v>
      </c>
      <c r="AJ711">
        <v>4.42</v>
      </c>
      <c r="AK711">
        <v>0.9</v>
      </c>
      <c r="AL711">
        <v>0.15</v>
      </c>
      <c r="AM711">
        <v>29.1</v>
      </c>
      <c r="AN711">
        <v>1.54</v>
      </c>
      <c r="AO711">
        <v>0</v>
      </c>
      <c r="AP711">
        <v>0</v>
      </c>
      <c r="AQ711" t="s">
        <v>57</v>
      </c>
      <c r="AS711" t="s">
        <v>1859</v>
      </c>
      <c r="AT711" t="s">
        <v>1859</v>
      </c>
      <c r="AU711" t="s">
        <v>1858</v>
      </c>
      <c r="AV711" t="s">
        <v>1775</v>
      </c>
      <c r="AW711" t="s">
        <v>1776</v>
      </c>
      <c r="AZ711">
        <v>17640</v>
      </c>
      <c r="BA711" t="s">
        <v>1777</v>
      </c>
      <c r="BB711" t="s">
        <v>61</v>
      </c>
      <c r="BC711" t="s">
        <v>62</v>
      </c>
    </row>
    <row r="712" spans="1:55" x14ac:dyDescent="0.25">
      <c r="A712" s="1" t="str">
        <f>IF(COUNTIF(Catégories!A:A,X712)=0,"catégorie inconnue",_xlfn.XLOOKUP(X712,Catégories!A:A,Catégories!B:B))</f>
        <v>Frêt</v>
      </c>
      <c r="B712" s="1">
        <f t="shared" si="33"/>
        <v>7.0100000000000007</v>
      </c>
      <c r="C712" s="1">
        <f t="shared" si="34"/>
        <v>1.54</v>
      </c>
      <c r="D712" s="1">
        <f t="shared" si="35"/>
        <v>5.4700000000000006</v>
      </c>
      <c r="E712" s="20">
        <f>IF(AH712&lt;&gt;0,ROUNDUP(AH712,0),IF(BB712&lt;&gt;"FR","hors France",IF(AH712&lt;&gt;0,ROUNDUP(AH712,0),_xlfn.XLOOKUP(AJ712,'PA GLS'!B:B,'PA GLS'!A:A))))</f>
        <v>2</v>
      </c>
      <c r="F712">
        <v>2501382993</v>
      </c>
      <c r="G712">
        <v>1030316536</v>
      </c>
      <c r="H712" t="s">
        <v>366</v>
      </c>
      <c r="I712">
        <v>2500034092</v>
      </c>
      <c r="J712" t="s">
        <v>50</v>
      </c>
      <c r="K712">
        <v>9000009190</v>
      </c>
      <c r="L712">
        <v>46946</v>
      </c>
      <c r="M712" t="s">
        <v>51</v>
      </c>
      <c r="N712">
        <v>9000079830</v>
      </c>
      <c r="O712" t="s">
        <v>187</v>
      </c>
      <c r="S712">
        <v>2507012387</v>
      </c>
      <c r="T712" t="s">
        <v>50</v>
      </c>
      <c r="U712" t="s">
        <v>122</v>
      </c>
      <c r="V712" t="s">
        <v>63</v>
      </c>
      <c r="W712" t="s">
        <v>64</v>
      </c>
      <c r="X712" t="s">
        <v>60</v>
      </c>
      <c r="Z712">
        <v>249</v>
      </c>
      <c r="AA712" t="s">
        <v>1810</v>
      </c>
      <c r="AB712" t="s">
        <v>1848</v>
      </c>
      <c r="AC712">
        <v>2604000220</v>
      </c>
      <c r="AE712">
        <v>0</v>
      </c>
      <c r="AF712">
        <v>0</v>
      </c>
      <c r="AG712">
        <v>0</v>
      </c>
      <c r="AH712">
        <v>0</v>
      </c>
      <c r="AI712" t="s">
        <v>56</v>
      </c>
      <c r="AJ712">
        <v>4.42</v>
      </c>
      <c r="AK712">
        <v>0.9</v>
      </c>
      <c r="AL712">
        <v>0.15</v>
      </c>
      <c r="AM712">
        <v>29.1</v>
      </c>
      <c r="AN712">
        <v>1.54</v>
      </c>
      <c r="AO712">
        <v>0</v>
      </c>
      <c r="AP712">
        <v>0</v>
      </c>
      <c r="AQ712" t="s">
        <v>57</v>
      </c>
      <c r="AS712" t="s">
        <v>1849</v>
      </c>
      <c r="AT712" t="s">
        <v>1849</v>
      </c>
      <c r="AU712" t="s">
        <v>1848</v>
      </c>
      <c r="AV712" t="s">
        <v>1850</v>
      </c>
      <c r="AW712" t="s">
        <v>1851</v>
      </c>
      <c r="AZ712">
        <v>92100</v>
      </c>
      <c r="BA712" t="s">
        <v>1852</v>
      </c>
      <c r="BB712" t="s">
        <v>61</v>
      </c>
      <c r="BC712" t="s">
        <v>62</v>
      </c>
    </row>
    <row r="713" spans="1:55" x14ac:dyDescent="0.25">
      <c r="A713" s="1" t="str">
        <f>IF(COUNTIF(Catégories!A:A,X713)=0,"catégorie inconnue",_xlfn.XLOOKUP(X713,Catégories!A:A,Catégories!B:B))</f>
        <v>Frêt</v>
      </c>
      <c r="B713" s="1">
        <f t="shared" si="33"/>
        <v>7.4300000000000006</v>
      </c>
      <c r="C713" s="1">
        <f t="shared" si="34"/>
        <v>1.64</v>
      </c>
      <c r="D713" s="1">
        <f t="shared" si="35"/>
        <v>5.7900000000000009</v>
      </c>
      <c r="E713" s="20">
        <f>IF(AH713&lt;&gt;0,ROUNDUP(AH713,0),IF(BB713&lt;&gt;"FR","hors France",IF(AH713&lt;&gt;0,ROUNDUP(AH713,0),_xlfn.XLOOKUP(AJ713,'PA GLS'!B:B,'PA GLS'!A:A))))</f>
        <v>3</v>
      </c>
      <c r="F713">
        <v>2501382993</v>
      </c>
      <c r="G713">
        <v>1030316536</v>
      </c>
      <c r="H713" t="s">
        <v>366</v>
      </c>
      <c r="I713">
        <v>2500034092</v>
      </c>
      <c r="J713" t="s">
        <v>50</v>
      </c>
      <c r="K713">
        <v>9000009190</v>
      </c>
      <c r="L713">
        <v>46946</v>
      </c>
      <c r="M713" t="s">
        <v>51</v>
      </c>
      <c r="N713">
        <v>9000079830</v>
      </c>
      <c r="O713" t="s">
        <v>187</v>
      </c>
      <c r="S713">
        <v>2507012387</v>
      </c>
      <c r="T713" t="s">
        <v>50</v>
      </c>
      <c r="U713" t="s">
        <v>122</v>
      </c>
      <c r="V713" t="s">
        <v>58</v>
      </c>
      <c r="W713" t="s">
        <v>59</v>
      </c>
      <c r="X713" t="s">
        <v>60</v>
      </c>
      <c r="Z713">
        <v>251</v>
      </c>
      <c r="AA713" t="s">
        <v>1810</v>
      </c>
      <c r="AB713" t="s">
        <v>1901</v>
      </c>
      <c r="AC713">
        <v>2604000234</v>
      </c>
      <c r="AE713">
        <v>0</v>
      </c>
      <c r="AF713">
        <v>0</v>
      </c>
      <c r="AG713">
        <v>0</v>
      </c>
      <c r="AH713">
        <v>0</v>
      </c>
      <c r="AI713" t="s">
        <v>56</v>
      </c>
      <c r="AJ713">
        <v>4.74</v>
      </c>
      <c r="AK713">
        <v>0.9</v>
      </c>
      <c r="AL713">
        <v>0.15</v>
      </c>
      <c r="AM713">
        <v>29.1</v>
      </c>
      <c r="AN713">
        <v>1.64</v>
      </c>
      <c r="AO713">
        <v>0</v>
      </c>
      <c r="AP713">
        <v>0</v>
      </c>
      <c r="AQ713" t="s">
        <v>57</v>
      </c>
      <c r="AS713" t="s">
        <v>1902</v>
      </c>
      <c r="AT713" t="s">
        <v>1902</v>
      </c>
      <c r="AU713" t="s">
        <v>1901</v>
      </c>
      <c r="AV713" t="s">
        <v>1903</v>
      </c>
      <c r="AW713" t="s">
        <v>1904</v>
      </c>
      <c r="AZ713">
        <v>1170</v>
      </c>
      <c r="BA713" t="s">
        <v>1905</v>
      </c>
      <c r="BB713" t="s">
        <v>61</v>
      </c>
      <c r="BC713" t="s">
        <v>62</v>
      </c>
    </row>
    <row r="714" spans="1:55" x14ac:dyDescent="0.25">
      <c r="A714" s="1" t="str">
        <f>IF(COUNTIF(Catégories!A:A,X714)=0,"catégorie inconnue",_xlfn.XLOOKUP(X714,Catégories!A:A,Catégories!B:B))</f>
        <v>Frêt</v>
      </c>
      <c r="B714" s="1">
        <f t="shared" si="33"/>
        <v>7.4300000000000006</v>
      </c>
      <c r="C714" s="1">
        <f t="shared" si="34"/>
        <v>1.64</v>
      </c>
      <c r="D714" s="1">
        <f t="shared" si="35"/>
        <v>5.7900000000000009</v>
      </c>
      <c r="E714" s="20">
        <f>IF(AH714&lt;&gt;0,ROUNDUP(AH714,0),IF(BB714&lt;&gt;"FR","hors France",IF(AH714&lt;&gt;0,ROUNDUP(AH714,0),_xlfn.XLOOKUP(AJ714,'PA GLS'!B:B,'PA GLS'!A:A))))</f>
        <v>3</v>
      </c>
      <c r="F714">
        <v>2501382993</v>
      </c>
      <c r="G714">
        <v>1030316536</v>
      </c>
      <c r="H714" t="s">
        <v>366</v>
      </c>
      <c r="I714">
        <v>2500034092</v>
      </c>
      <c r="J714" t="s">
        <v>50</v>
      </c>
      <c r="K714">
        <v>9000009190</v>
      </c>
      <c r="L714">
        <v>46946</v>
      </c>
      <c r="M714" t="s">
        <v>51</v>
      </c>
      <c r="N714">
        <v>9000079830</v>
      </c>
      <c r="O714" t="s">
        <v>187</v>
      </c>
      <c r="S714">
        <v>2507012387</v>
      </c>
      <c r="T714" t="s">
        <v>50</v>
      </c>
      <c r="U714" t="s">
        <v>122</v>
      </c>
      <c r="V714" t="s">
        <v>58</v>
      </c>
      <c r="W714" t="s">
        <v>59</v>
      </c>
      <c r="X714" t="s">
        <v>60</v>
      </c>
      <c r="Z714">
        <v>251</v>
      </c>
      <c r="AA714" t="s">
        <v>1810</v>
      </c>
      <c r="AB714" t="s">
        <v>1820</v>
      </c>
      <c r="AC714">
        <v>2604000226</v>
      </c>
      <c r="AE714">
        <v>0</v>
      </c>
      <c r="AF714">
        <v>0</v>
      </c>
      <c r="AG714">
        <v>0</v>
      </c>
      <c r="AH714">
        <v>0</v>
      </c>
      <c r="AI714" t="s">
        <v>56</v>
      </c>
      <c r="AJ714">
        <v>4.74</v>
      </c>
      <c r="AK714">
        <v>0.9</v>
      </c>
      <c r="AL714">
        <v>0.15</v>
      </c>
      <c r="AM714">
        <v>29.1</v>
      </c>
      <c r="AN714">
        <v>1.64</v>
      </c>
      <c r="AO714">
        <v>0</v>
      </c>
      <c r="AP714">
        <v>0</v>
      </c>
      <c r="AQ714" t="s">
        <v>57</v>
      </c>
      <c r="AS714" t="s">
        <v>1821</v>
      </c>
      <c r="AT714" t="s">
        <v>1821</v>
      </c>
      <c r="AU714" t="s">
        <v>1820</v>
      </c>
      <c r="AV714" t="s">
        <v>1822</v>
      </c>
      <c r="AW714" t="s">
        <v>1823</v>
      </c>
      <c r="AZ714">
        <v>28000</v>
      </c>
      <c r="BA714" t="s">
        <v>1824</v>
      </c>
      <c r="BB714" t="s">
        <v>61</v>
      </c>
      <c r="BC714" t="s">
        <v>62</v>
      </c>
    </row>
    <row r="715" spans="1:55" x14ac:dyDescent="0.25">
      <c r="A715" s="1" t="str">
        <f>IF(COUNTIF(Catégories!A:A,X715)=0,"catégorie inconnue",_xlfn.XLOOKUP(X715,Catégories!A:A,Catégories!B:B))</f>
        <v>Frêt</v>
      </c>
      <c r="B715" s="1">
        <f t="shared" si="33"/>
        <v>7.4300000000000006</v>
      </c>
      <c r="C715" s="1">
        <f t="shared" si="34"/>
        <v>1.64</v>
      </c>
      <c r="D715" s="1">
        <f t="shared" si="35"/>
        <v>5.7900000000000009</v>
      </c>
      <c r="E715" s="20">
        <f>IF(AH715&lt;&gt;0,ROUNDUP(AH715,0),IF(BB715&lt;&gt;"FR","hors France",IF(AH715&lt;&gt;0,ROUNDUP(AH715,0),_xlfn.XLOOKUP(AJ715,'PA GLS'!B:B,'PA GLS'!A:A))))</f>
        <v>3</v>
      </c>
      <c r="F715">
        <v>2501382993</v>
      </c>
      <c r="G715">
        <v>1030316536</v>
      </c>
      <c r="H715" t="s">
        <v>366</v>
      </c>
      <c r="I715">
        <v>2500034092</v>
      </c>
      <c r="J715" t="s">
        <v>50</v>
      </c>
      <c r="K715">
        <v>9000009190</v>
      </c>
      <c r="L715">
        <v>46946</v>
      </c>
      <c r="M715" t="s">
        <v>51</v>
      </c>
      <c r="N715">
        <v>9000079830</v>
      </c>
      <c r="O715" t="s">
        <v>187</v>
      </c>
      <c r="S715">
        <v>2507012387</v>
      </c>
      <c r="T715" t="s">
        <v>50</v>
      </c>
      <c r="U715" t="s">
        <v>122</v>
      </c>
      <c r="V715" t="s">
        <v>58</v>
      </c>
      <c r="W715" t="s">
        <v>59</v>
      </c>
      <c r="X715" t="s">
        <v>60</v>
      </c>
      <c r="Z715">
        <v>251</v>
      </c>
      <c r="AA715" t="s">
        <v>1810</v>
      </c>
      <c r="AB715" t="s">
        <v>1853</v>
      </c>
      <c r="AC715">
        <v>2604000219</v>
      </c>
      <c r="AE715">
        <v>0</v>
      </c>
      <c r="AF715">
        <v>0</v>
      </c>
      <c r="AG715">
        <v>0</v>
      </c>
      <c r="AH715">
        <v>0</v>
      </c>
      <c r="AI715" t="s">
        <v>56</v>
      </c>
      <c r="AJ715">
        <v>4.74</v>
      </c>
      <c r="AK715">
        <v>0.9</v>
      </c>
      <c r="AL715">
        <v>0.15</v>
      </c>
      <c r="AM715">
        <v>29.1</v>
      </c>
      <c r="AN715">
        <v>1.64</v>
      </c>
      <c r="AO715">
        <v>0</v>
      </c>
      <c r="AP715">
        <v>0</v>
      </c>
      <c r="AQ715" t="s">
        <v>57</v>
      </c>
      <c r="AS715" t="s">
        <v>1854</v>
      </c>
      <c r="AT715" t="s">
        <v>1854</v>
      </c>
      <c r="AU715" t="s">
        <v>1853</v>
      </c>
      <c r="AV715" t="s">
        <v>1855</v>
      </c>
      <c r="AW715" t="s">
        <v>1856</v>
      </c>
      <c r="AZ715">
        <v>24400</v>
      </c>
      <c r="BA715" t="s">
        <v>1857</v>
      </c>
      <c r="BB715" t="s">
        <v>61</v>
      </c>
      <c r="BC715" t="s">
        <v>62</v>
      </c>
    </row>
    <row r="716" spans="1:55" x14ac:dyDescent="0.25">
      <c r="A716" s="1" t="str">
        <f>IF(COUNTIF(Catégories!A:A,X716)=0,"catégorie inconnue",_xlfn.XLOOKUP(X716,Catégories!A:A,Catégories!B:B))</f>
        <v>Frêt</v>
      </c>
      <c r="B716" s="1">
        <f t="shared" si="33"/>
        <v>7.0100000000000007</v>
      </c>
      <c r="C716" s="1">
        <f t="shared" si="34"/>
        <v>1.54</v>
      </c>
      <c r="D716" s="1">
        <f t="shared" si="35"/>
        <v>5.4700000000000006</v>
      </c>
      <c r="E716" s="20">
        <f>IF(AH716&lt;&gt;0,ROUNDUP(AH716,0),IF(BB716&lt;&gt;"FR","hors France",IF(AH716&lt;&gt;0,ROUNDUP(AH716,0),_xlfn.XLOOKUP(AJ716,'PA GLS'!B:B,'PA GLS'!A:A))))</f>
        <v>2</v>
      </c>
      <c r="F716">
        <v>2501382993</v>
      </c>
      <c r="G716">
        <v>1030316536</v>
      </c>
      <c r="H716" t="s">
        <v>366</v>
      </c>
      <c r="I716">
        <v>2500034092</v>
      </c>
      <c r="J716" t="s">
        <v>50</v>
      </c>
      <c r="K716">
        <v>9000009190</v>
      </c>
      <c r="L716">
        <v>46946</v>
      </c>
      <c r="M716" t="s">
        <v>51</v>
      </c>
      <c r="N716">
        <v>9000079830</v>
      </c>
      <c r="O716" t="s">
        <v>187</v>
      </c>
      <c r="S716">
        <v>2507012387</v>
      </c>
      <c r="T716" t="s">
        <v>50</v>
      </c>
      <c r="U716" t="s">
        <v>122</v>
      </c>
      <c r="V716" t="s">
        <v>77</v>
      </c>
      <c r="W716" t="s">
        <v>78</v>
      </c>
      <c r="X716" t="s">
        <v>60</v>
      </c>
      <c r="Z716">
        <v>250</v>
      </c>
      <c r="AA716" t="s">
        <v>1810</v>
      </c>
      <c r="AB716" t="s">
        <v>1916</v>
      </c>
      <c r="AC716">
        <v>2604000238</v>
      </c>
      <c r="AE716">
        <v>0</v>
      </c>
      <c r="AF716">
        <v>0</v>
      </c>
      <c r="AG716">
        <v>0</v>
      </c>
      <c r="AH716">
        <v>0</v>
      </c>
      <c r="AI716" t="s">
        <v>56</v>
      </c>
      <c r="AJ716">
        <v>4.42</v>
      </c>
      <c r="AK716">
        <v>0.9</v>
      </c>
      <c r="AL716">
        <v>0.15</v>
      </c>
      <c r="AM716">
        <v>29.1</v>
      </c>
      <c r="AN716">
        <v>1.54</v>
      </c>
      <c r="AO716">
        <v>0</v>
      </c>
      <c r="AP716">
        <v>0</v>
      </c>
      <c r="AQ716" t="s">
        <v>57</v>
      </c>
      <c r="AS716" t="s">
        <v>1917</v>
      </c>
      <c r="AT716" t="s">
        <v>1917</v>
      </c>
      <c r="AU716" t="s">
        <v>1916</v>
      </c>
      <c r="AV716" t="s">
        <v>1918</v>
      </c>
      <c r="AW716" t="s">
        <v>1919</v>
      </c>
      <c r="AZ716">
        <v>38000</v>
      </c>
      <c r="BA716" t="s">
        <v>340</v>
      </c>
      <c r="BB716" t="s">
        <v>61</v>
      </c>
      <c r="BC716" t="s">
        <v>62</v>
      </c>
    </row>
    <row r="717" spans="1:55" x14ac:dyDescent="0.25">
      <c r="A717" s="1" t="str">
        <f>IF(COUNTIF(Catégories!A:A,X717)=0,"catégorie inconnue",_xlfn.XLOOKUP(X717,Catégories!A:A,Catégories!B:B))</f>
        <v>Frêt</v>
      </c>
      <c r="B717" s="1">
        <f t="shared" si="33"/>
        <v>7.0100000000000007</v>
      </c>
      <c r="C717" s="1">
        <f t="shared" si="34"/>
        <v>1.54</v>
      </c>
      <c r="D717" s="1">
        <f t="shared" si="35"/>
        <v>5.4700000000000006</v>
      </c>
      <c r="E717" s="20">
        <f>IF(AH717&lt;&gt;0,ROUNDUP(AH717,0),IF(BB717&lt;&gt;"FR","hors France",IF(AH717&lt;&gt;0,ROUNDUP(AH717,0),_xlfn.XLOOKUP(AJ717,'PA GLS'!B:B,'PA GLS'!A:A))))</f>
        <v>2</v>
      </c>
      <c r="F717">
        <v>2501382993</v>
      </c>
      <c r="G717">
        <v>1030316536</v>
      </c>
      <c r="H717" t="s">
        <v>366</v>
      </c>
      <c r="I717">
        <v>2500034092</v>
      </c>
      <c r="J717" t="s">
        <v>50</v>
      </c>
      <c r="K717">
        <v>9000009190</v>
      </c>
      <c r="L717">
        <v>46946</v>
      </c>
      <c r="M717" t="s">
        <v>51</v>
      </c>
      <c r="N717">
        <v>9000079830</v>
      </c>
      <c r="O717" t="s">
        <v>187</v>
      </c>
      <c r="S717">
        <v>2507012387</v>
      </c>
      <c r="T717" t="s">
        <v>50</v>
      </c>
      <c r="U717" t="s">
        <v>122</v>
      </c>
      <c r="V717" t="s">
        <v>77</v>
      </c>
      <c r="W717" t="s">
        <v>78</v>
      </c>
      <c r="X717" t="s">
        <v>60</v>
      </c>
      <c r="Z717">
        <v>250</v>
      </c>
      <c r="AA717" t="s">
        <v>1810</v>
      </c>
      <c r="AB717" t="s">
        <v>1897</v>
      </c>
      <c r="AC717">
        <v>2604000233</v>
      </c>
      <c r="AE717">
        <v>0</v>
      </c>
      <c r="AF717">
        <v>0</v>
      </c>
      <c r="AG717">
        <v>0</v>
      </c>
      <c r="AH717">
        <v>0</v>
      </c>
      <c r="AI717" t="s">
        <v>56</v>
      </c>
      <c r="AJ717">
        <v>4.42</v>
      </c>
      <c r="AK717">
        <v>0.9</v>
      </c>
      <c r="AL717">
        <v>0.15</v>
      </c>
      <c r="AM717">
        <v>29.1</v>
      </c>
      <c r="AN717">
        <v>1.54</v>
      </c>
      <c r="AO717">
        <v>0</v>
      </c>
      <c r="AP717">
        <v>0</v>
      </c>
      <c r="AQ717" t="s">
        <v>57</v>
      </c>
      <c r="AS717" t="s">
        <v>1898</v>
      </c>
      <c r="AT717" t="s">
        <v>1898</v>
      </c>
      <c r="AU717" t="s">
        <v>1897</v>
      </c>
      <c r="AV717" t="s">
        <v>1899</v>
      </c>
      <c r="AW717" t="s">
        <v>1900</v>
      </c>
      <c r="AZ717">
        <v>35000</v>
      </c>
      <c r="BA717" t="s">
        <v>386</v>
      </c>
      <c r="BB717" t="s">
        <v>61</v>
      </c>
      <c r="BC717" t="s">
        <v>62</v>
      </c>
    </row>
    <row r="718" spans="1:55" x14ac:dyDescent="0.25">
      <c r="A718" s="1" t="str">
        <f>IF(COUNTIF(Catégories!A:A,X718)=0,"catégorie inconnue",_xlfn.XLOOKUP(X718,Catégories!A:A,Catégories!B:B))</f>
        <v>Frêt</v>
      </c>
      <c r="B718" s="1">
        <f t="shared" si="33"/>
        <v>7.0100000000000007</v>
      </c>
      <c r="C718" s="1">
        <f t="shared" si="34"/>
        <v>1.54</v>
      </c>
      <c r="D718" s="1">
        <f t="shared" si="35"/>
        <v>5.4700000000000006</v>
      </c>
      <c r="E718" s="20">
        <f>IF(AH718&lt;&gt;0,ROUNDUP(AH718,0),IF(BB718&lt;&gt;"FR","hors France",IF(AH718&lt;&gt;0,ROUNDUP(AH718,0),_xlfn.XLOOKUP(AJ718,'PA GLS'!B:B,'PA GLS'!A:A))))</f>
        <v>2</v>
      </c>
      <c r="F718">
        <v>2501382993</v>
      </c>
      <c r="G718">
        <v>1030316536</v>
      </c>
      <c r="H718" t="s">
        <v>366</v>
      </c>
      <c r="I718">
        <v>2500034092</v>
      </c>
      <c r="J718" t="s">
        <v>50</v>
      </c>
      <c r="K718">
        <v>9000009190</v>
      </c>
      <c r="L718">
        <v>46946</v>
      </c>
      <c r="M718" t="s">
        <v>51</v>
      </c>
      <c r="N718">
        <v>9000079830</v>
      </c>
      <c r="O718" t="s">
        <v>187</v>
      </c>
      <c r="S718">
        <v>2507012387</v>
      </c>
      <c r="T718" t="s">
        <v>50</v>
      </c>
      <c r="U718" t="s">
        <v>122</v>
      </c>
      <c r="V718" t="s">
        <v>77</v>
      </c>
      <c r="W718" t="s">
        <v>78</v>
      </c>
      <c r="X718" t="s">
        <v>60</v>
      </c>
      <c r="Z718">
        <v>250</v>
      </c>
      <c r="AA718" t="s">
        <v>1810</v>
      </c>
      <c r="AB718" t="s">
        <v>1834</v>
      </c>
      <c r="AC718">
        <v>2604000223</v>
      </c>
      <c r="AE718">
        <v>0</v>
      </c>
      <c r="AF718">
        <v>0</v>
      </c>
      <c r="AG718">
        <v>0</v>
      </c>
      <c r="AH718">
        <v>0</v>
      </c>
      <c r="AI718" t="s">
        <v>56</v>
      </c>
      <c r="AJ718">
        <v>4.42</v>
      </c>
      <c r="AK718">
        <v>0.9</v>
      </c>
      <c r="AL718">
        <v>0.15</v>
      </c>
      <c r="AM718">
        <v>29.1</v>
      </c>
      <c r="AN718">
        <v>1.54</v>
      </c>
      <c r="AO718">
        <v>0</v>
      </c>
      <c r="AP718">
        <v>0</v>
      </c>
      <c r="AQ718" t="s">
        <v>57</v>
      </c>
      <c r="AS718" t="s">
        <v>1835</v>
      </c>
      <c r="AT718" t="s">
        <v>1835</v>
      </c>
      <c r="AU718" t="s">
        <v>1834</v>
      </c>
      <c r="AV718" t="s">
        <v>1836</v>
      </c>
      <c r="AW718" t="s">
        <v>1837</v>
      </c>
      <c r="AZ718">
        <v>44120</v>
      </c>
      <c r="BA718" t="s">
        <v>403</v>
      </c>
      <c r="BB718" t="s">
        <v>61</v>
      </c>
      <c r="BC718" t="s">
        <v>62</v>
      </c>
    </row>
    <row r="719" spans="1:55" x14ac:dyDescent="0.25">
      <c r="A719" s="1" t="str">
        <f>IF(COUNTIF(Catégories!A:A,X719)=0,"catégorie inconnue",_xlfn.XLOOKUP(X719,Catégories!A:A,Catégories!B:B))</f>
        <v>Frêt</v>
      </c>
      <c r="B719" s="1">
        <f t="shared" si="33"/>
        <v>7.0100000000000007</v>
      </c>
      <c r="C719" s="1">
        <f t="shared" si="34"/>
        <v>1.54</v>
      </c>
      <c r="D719" s="1">
        <f t="shared" si="35"/>
        <v>5.4700000000000006</v>
      </c>
      <c r="E719" s="20">
        <f>IF(AH719&lt;&gt;0,ROUNDUP(AH719,0),IF(BB719&lt;&gt;"FR","hors France",IF(AH719&lt;&gt;0,ROUNDUP(AH719,0),_xlfn.XLOOKUP(AJ719,'PA GLS'!B:B,'PA GLS'!A:A))))</f>
        <v>2</v>
      </c>
      <c r="F719">
        <v>2501382993</v>
      </c>
      <c r="G719">
        <v>1030316536</v>
      </c>
      <c r="H719" t="s">
        <v>366</v>
      </c>
      <c r="I719">
        <v>2500034092</v>
      </c>
      <c r="J719" t="s">
        <v>50</v>
      </c>
      <c r="K719">
        <v>9000009190</v>
      </c>
      <c r="L719">
        <v>46946</v>
      </c>
      <c r="M719" t="s">
        <v>51</v>
      </c>
      <c r="N719">
        <v>9000079830</v>
      </c>
      <c r="O719" t="s">
        <v>187</v>
      </c>
      <c r="S719">
        <v>2507012387</v>
      </c>
      <c r="T719" t="s">
        <v>50</v>
      </c>
      <c r="U719" t="s">
        <v>122</v>
      </c>
      <c r="V719" t="s">
        <v>63</v>
      </c>
      <c r="W719" t="s">
        <v>64</v>
      </c>
      <c r="X719" t="s">
        <v>60</v>
      </c>
      <c r="Z719">
        <v>249</v>
      </c>
      <c r="AA719" t="s">
        <v>1810</v>
      </c>
      <c r="AB719" t="s">
        <v>1889</v>
      </c>
      <c r="AC719">
        <v>2604000231</v>
      </c>
      <c r="AE719">
        <v>0</v>
      </c>
      <c r="AF719">
        <v>0</v>
      </c>
      <c r="AG719">
        <v>0</v>
      </c>
      <c r="AH719">
        <v>0</v>
      </c>
      <c r="AI719" t="s">
        <v>56</v>
      </c>
      <c r="AJ719">
        <v>4.42</v>
      </c>
      <c r="AK719">
        <v>0.9</v>
      </c>
      <c r="AL719">
        <v>0.15</v>
      </c>
      <c r="AM719">
        <v>29.1</v>
      </c>
      <c r="AN719">
        <v>1.54</v>
      </c>
      <c r="AO719">
        <v>0</v>
      </c>
      <c r="AP719">
        <v>0</v>
      </c>
      <c r="AQ719" t="s">
        <v>57</v>
      </c>
      <c r="AS719" t="s">
        <v>1890</v>
      </c>
      <c r="AT719" t="s">
        <v>1890</v>
      </c>
      <c r="AU719" t="s">
        <v>1889</v>
      </c>
      <c r="AV719" t="s">
        <v>1891</v>
      </c>
      <c r="AW719" t="s">
        <v>1892</v>
      </c>
      <c r="AZ719">
        <v>31000</v>
      </c>
      <c r="BA719" t="s">
        <v>218</v>
      </c>
      <c r="BB719" t="s">
        <v>61</v>
      </c>
      <c r="BC719" t="s">
        <v>62</v>
      </c>
    </row>
    <row r="720" spans="1:55" x14ac:dyDescent="0.25">
      <c r="A720" s="1" t="str">
        <f>IF(COUNTIF(Catégories!A:A,X720)=0,"catégorie inconnue",_xlfn.XLOOKUP(X720,Catégories!A:A,Catégories!B:B))</f>
        <v>Frêt</v>
      </c>
      <c r="B720" s="1">
        <f t="shared" si="33"/>
        <v>0</v>
      </c>
      <c r="C720" s="1">
        <f t="shared" si="34"/>
        <v>0</v>
      </c>
      <c r="D720" s="1">
        <f t="shared" si="35"/>
        <v>0</v>
      </c>
      <c r="E720" s="20">
        <f>IF(AH720&lt;&gt;0,ROUNDUP(AH720,0),IF(BB720&lt;&gt;"FR","hors France",IF(AH720&lt;&gt;0,ROUNDUP(AH720,0),_xlfn.XLOOKUP(AJ720,'PA GLS'!B:B,'PA GLS'!A:A))))</f>
        <v>1</v>
      </c>
      <c r="F720">
        <v>2501382993</v>
      </c>
      <c r="G720">
        <v>1030268185</v>
      </c>
      <c r="H720" t="s">
        <v>366</v>
      </c>
      <c r="I720">
        <v>2500034092</v>
      </c>
      <c r="J720" t="s">
        <v>50</v>
      </c>
      <c r="K720">
        <v>9000009190</v>
      </c>
      <c r="L720">
        <v>46946</v>
      </c>
      <c r="M720" t="s">
        <v>51</v>
      </c>
      <c r="N720">
        <v>9000037814</v>
      </c>
      <c r="O720" t="s">
        <v>51</v>
      </c>
      <c r="S720">
        <v>2507012387</v>
      </c>
      <c r="T720" t="s">
        <v>50</v>
      </c>
      <c r="U720" t="s">
        <v>122</v>
      </c>
      <c r="V720" t="s">
        <v>176</v>
      </c>
      <c r="W720" t="s">
        <v>177</v>
      </c>
      <c r="X720" t="s">
        <v>152</v>
      </c>
      <c r="Z720">
        <v>231</v>
      </c>
      <c r="AA720" t="s">
        <v>1810</v>
      </c>
      <c r="AB720" t="s">
        <v>1920</v>
      </c>
      <c r="AC720">
        <v>2604000129</v>
      </c>
      <c r="AE720">
        <v>0</v>
      </c>
      <c r="AF720">
        <v>1</v>
      </c>
      <c r="AG720">
        <v>0</v>
      </c>
      <c r="AH720">
        <v>0.36</v>
      </c>
      <c r="AI720" t="s">
        <v>56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 t="s">
        <v>57</v>
      </c>
      <c r="AS720" t="s">
        <v>1921</v>
      </c>
      <c r="AT720" t="s">
        <v>1921</v>
      </c>
      <c r="AU720" t="s">
        <v>1920</v>
      </c>
      <c r="AV720" t="s">
        <v>1922</v>
      </c>
      <c r="AW720" t="s">
        <v>1923</v>
      </c>
      <c r="AZ720">
        <v>53200</v>
      </c>
      <c r="BA720" t="s">
        <v>1924</v>
      </c>
      <c r="BB720" t="s">
        <v>61</v>
      </c>
      <c r="BC720" t="s">
        <v>62</v>
      </c>
    </row>
    <row r="721" spans="1:55" x14ac:dyDescent="0.25">
      <c r="A721" s="1" t="str">
        <f>IF(COUNTIF(Catégories!A:A,X721)=0,"catégorie inconnue",_xlfn.XLOOKUP(X721,Catégories!A:A,Catégories!B:B))</f>
        <v>Frêt</v>
      </c>
      <c r="B721" s="1">
        <f t="shared" si="33"/>
        <v>0</v>
      </c>
      <c r="C721" s="1">
        <f t="shared" si="34"/>
        <v>0</v>
      </c>
      <c r="D721" s="1">
        <f t="shared" si="35"/>
        <v>0</v>
      </c>
      <c r="E721" s="20">
        <f>IF(AH721&lt;&gt;0,ROUNDUP(AH721,0),IF(BB721&lt;&gt;"FR","hors France",IF(AH721&lt;&gt;0,ROUNDUP(AH721,0),_xlfn.XLOOKUP(AJ721,'PA GLS'!B:B,'PA GLS'!A:A))))</f>
        <v>1</v>
      </c>
      <c r="F721">
        <v>2501382993</v>
      </c>
      <c r="G721">
        <v>1030268185</v>
      </c>
      <c r="H721" t="s">
        <v>366</v>
      </c>
      <c r="I721">
        <v>2500034092</v>
      </c>
      <c r="J721" t="s">
        <v>50</v>
      </c>
      <c r="K721">
        <v>9000009190</v>
      </c>
      <c r="L721">
        <v>46946</v>
      </c>
      <c r="M721" t="s">
        <v>51</v>
      </c>
      <c r="N721">
        <v>9000037814</v>
      </c>
      <c r="O721" t="s">
        <v>51</v>
      </c>
      <c r="S721">
        <v>2507012387</v>
      </c>
      <c r="T721" t="s">
        <v>50</v>
      </c>
      <c r="U721" t="s">
        <v>122</v>
      </c>
      <c r="V721" t="s">
        <v>176</v>
      </c>
      <c r="W721" t="s">
        <v>177</v>
      </c>
      <c r="X721" t="s">
        <v>152</v>
      </c>
      <c r="Z721">
        <v>231</v>
      </c>
      <c r="AA721" t="s">
        <v>1810</v>
      </c>
      <c r="AB721" t="s">
        <v>1925</v>
      </c>
      <c r="AC721">
        <v>2604000130</v>
      </c>
      <c r="AE721">
        <v>0</v>
      </c>
      <c r="AF721">
        <v>1</v>
      </c>
      <c r="AG721">
        <v>0</v>
      </c>
      <c r="AH721">
        <v>0.5</v>
      </c>
      <c r="AI721" t="s">
        <v>56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 t="s">
        <v>57</v>
      </c>
      <c r="AS721" t="s">
        <v>1926</v>
      </c>
      <c r="AT721" t="s">
        <v>1926</v>
      </c>
      <c r="AU721" t="s">
        <v>1925</v>
      </c>
      <c r="AV721" t="s">
        <v>1927</v>
      </c>
      <c r="AW721" t="s">
        <v>1928</v>
      </c>
      <c r="AZ721">
        <v>68000</v>
      </c>
      <c r="BA721" t="s">
        <v>1929</v>
      </c>
      <c r="BB721" t="s">
        <v>61</v>
      </c>
      <c r="BC721" t="s">
        <v>62</v>
      </c>
    </row>
    <row r="722" spans="1:55" x14ac:dyDescent="0.25">
      <c r="A722" s="1" t="str">
        <f>IF(COUNTIF(Catégories!A:A,X722)=0,"catégorie inconnue",_xlfn.XLOOKUP(X722,Catégories!A:A,Catégories!B:B))</f>
        <v>Frêt</v>
      </c>
      <c r="B722" s="1">
        <f t="shared" si="33"/>
        <v>0</v>
      </c>
      <c r="C722" s="1">
        <f t="shared" si="34"/>
        <v>0</v>
      </c>
      <c r="D722" s="1">
        <f t="shared" si="35"/>
        <v>0</v>
      </c>
      <c r="E722" s="20">
        <f>IF(AH722&lt;&gt;0,ROUNDUP(AH722,0),IF(BB722&lt;&gt;"FR","hors France",IF(AH722&lt;&gt;0,ROUNDUP(AH722,0),_xlfn.XLOOKUP(AJ722,'PA GLS'!B:B,'PA GLS'!A:A))))</f>
        <v>1</v>
      </c>
      <c r="F722">
        <v>2501382993</v>
      </c>
      <c r="G722">
        <v>1030268185</v>
      </c>
      <c r="H722" t="s">
        <v>366</v>
      </c>
      <c r="I722">
        <v>2500034092</v>
      </c>
      <c r="J722" t="s">
        <v>50</v>
      </c>
      <c r="K722">
        <v>9000009190</v>
      </c>
      <c r="L722">
        <v>46946</v>
      </c>
      <c r="M722" t="s">
        <v>51</v>
      </c>
      <c r="N722">
        <v>9000037814</v>
      </c>
      <c r="O722" t="s">
        <v>51</v>
      </c>
      <c r="S722">
        <v>2507012387</v>
      </c>
      <c r="T722" t="s">
        <v>50</v>
      </c>
      <c r="U722" t="s">
        <v>122</v>
      </c>
      <c r="V722" t="s">
        <v>176</v>
      </c>
      <c r="W722" t="s">
        <v>177</v>
      </c>
      <c r="X722" t="s">
        <v>152</v>
      </c>
      <c r="Z722">
        <v>231</v>
      </c>
      <c r="AA722" t="s">
        <v>1810</v>
      </c>
      <c r="AB722" t="s">
        <v>1930</v>
      </c>
      <c r="AC722">
        <v>2604000131</v>
      </c>
      <c r="AE722">
        <v>0</v>
      </c>
      <c r="AF722">
        <v>1</v>
      </c>
      <c r="AG722">
        <v>0</v>
      </c>
      <c r="AH722">
        <v>0.5</v>
      </c>
      <c r="AI722" t="s">
        <v>56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 t="s">
        <v>57</v>
      </c>
      <c r="AS722" t="s">
        <v>1931</v>
      </c>
      <c r="AT722" t="s">
        <v>1931</v>
      </c>
      <c r="AU722" t="s">
        <v>1930</v>
      </c>
      <c r="AV722" t="s">
        <v>1932</v>
      </c>
      <c r="AW722" t="s">
        <v>1933</v>
      </c>
      <c r="AZ722">
        <v>6610</v>
      </c>
      <c r="BA722" t="s">
        <v>738</v>
      </c>
      <c r="BB722" t="s">
        <v>61</v>
      </c>
      <c r="BC722" t="s">
        <v>62</v>
      </c>
    </row>
    <row r="723" spans="1:55" x14ac:dyDescent="0.25">
      <c r="A723" s="1" t="str">
        <f>IF(COUNTIF(Catégories!A:A,X723)=0,"catégorie inconnue",_xlfn.XLOOKUP(X723,Catégories!A:A,Catégories!B:B))</f>
        <v>Frêt</v>
      </c>
      <c r="B723" s="1">
        <f t="shared" si="33"/>
        <v>0</v>
      </c>
      <c r="C723" s="1">
        <f t="shared" si="34"/>
        <v>0</v>
      </c>
      <c r="D723" s="1">
        <f t="shared" si="35"/>
        <v>0</v>
      </c>
      <c r="E723" s="20">
        <f>IF(AH723&lt;&gt;0,ROUNDUP(AH723,0),IF(BB723&lt;&gt;"FR","hors France",IF(AH723&lt;&gt;0,ROUNDUP(AH723,0),_xlfn.XLOOKUP(AJ723,'PA GLS'!B:B,'PA GLS'!A:A))))</f>
        <v>1</v>
      </c>
      <c r="F723">
        <v>2501382993</v>
      </c>
      <c r="G723">
        <v>1030268185</v>
      </c>
      <c r="H723" t="s">
        <v>366</v>
      </c>
      <c r="I723">
        <v>2500034092</v>
      </c>
      <c r="J723" t="s">
        <v>50</v>
      </c>
      <c r="K723">
        <v>9000009190</v>
      </c>
      <c r="L723">
        <v>46946</v>
      </c>
      <c r="M723" t="s">
        <v>51</v>
      </c>
      <c r="N723">
        <v>9000037814</v>
      </c>
      <c r="O723" t="s">
        <v>51</v>
      </c>
      <c r="S723">
        <v>2507012387</v>
      </c>
      <c r="T723" t="s">
        <v>50</v>
      </c>
      <c r="U723" t="s">
        <v>122</v>
      </c>
      <c r="V723" t="s">
        <v>176</v>
      </c>
      <c r="W723" t="s">
        <v>177</v>
      </c>
      <c r="X723" t="s">
        <v>152</v>
      </c>
      <c r="Z723">
        <v>231</v>
      </c>
      <c r="AA723" t="s">
        <v>1810</v>
      </c>
      <c r="AB723" t="s">
        <v>1934</v>
      </c>
      <c r="AC723">
        <v>2604000132</v>
      </c>
      <c r="AE723">
        <v>0</v>
      </c>
      <c r="AF723">
        <v>1</v>
      </c>
      <c r="AG723">
        <v>0</v>
      </c>
      <c r="AH723">
        <v>0.3</v>
      </c>
      <c r="AI723" t="s">
        <v>56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 t="s">
        <v>57</v>
      </c>
      <c r="AS723" t="s">
        <v>1935</v>
      </c>
      <c r="AT723" t="s">
        <v>1935</v>
      </c>
      <c r="AU723" t="s">
        <v>1934</v>
      </c>
      <c r="AV723" t="s">
        <v>1936</v>
      </c>
      <c r="AW723" t="s">
        <v>1937</v>
      </c>
      <c r="AZ723">
        <v>75016</v>
      </c>
      <c r="BA723" t="s">
        <v>65</v>
      </c>
      <c r="BB723" t="s">
        <v>61</v>
      </c>
      <c r="BC723" t="s">
        <v>62</v>
      </c>
    </row>
    <row r="724" spans="1:55" x14ac:dyDescent="0.25">
      <c r="A724" s="1" t="str">
        <f>IF(COUNTIF(Catégories!A:A,X724)=0,"catégorie inconnue",_xlfn.XLOOKUP(X724,Catégories!A:A,Catégories!B:B))</f>
        <v>Frêt</v>
      </c>
      <c r="B724" s="1">
        <f t="shared" si="33"/>
        <v>0</v>
      </c>
      <c r="C724" s="1">
        <f t="shared" si="34"/>
        <v>0</v>
      </c>
      <c r="D724" s="1">
        <f t="shared" si="35"/>
        <v>0</v>
      </c>
      <c r="E724" s="20">
        <f>IF(AH724&lt;&gt;0,ROUNDUP(AH724,0),IF(BB724&lt;&gt;"FR","hors France",IF(AH724&lt;&gt;0,ROUNDUP(AH724,0),_xlfn.XLOOKUP(AJ724,'PA GLS'!B:B,'PA GLS'!A:A))))</f>
        <v>1</v>
      </c>
      <c r="F724">
        <v>2501382993</v>
      </c>
      <c r="G724">
        <v>1030268185</v>
      </c>
      <c r="H724" t="s">
        <v>366</v>
      </c>
      <c r="I724">
        <v>2500034092</v>
      </c>
      <c r="J724" t="s">
        <v>50</v>
      </c>
      <c r="K724">
        <v>9000009190</v>
      </c>
      <c r="L724">
        <v>46946</v>
      </c>
      <c r="M724" t="s">
        <v>51</v>
      </c>
      <c r="N724">
        <v>9000037814</v>
      </c>
      <c r="O724" t="s">
        <v>51</v>
      </c>
      <c r="S724">
        <v>2507012387</v>
      </c>
      <c r="T724" t="s">
        <v>50</v>
      </c>
      <c r="U724" t="s">
        <v>122</v>
      </c>
      <c r="V724" t="s">
        <v>176</v>
      </c>
      <c r="W724" t="s">
        <v>177</v>
      </c>
      <c r="X724" t="s">
        <v>152</v>
      </c>
      <c r="Z724">
        <v>231</v>
      </c>
      <c r="AA724" t="s">
        <v>1810</v>
      </c>
      <c r="AB724" t="s">
        <v>1938</v>
      </c>
      <c r="AC724">
        <v>2604000133</v>
      </c>
      <c r="AE724">
        <v>0</v>
      </c>
      <c r="AF724">
        <v>1</v>
      </c>
      <c r="AG724">
        <v>0</v>
      </c>
      <c r="AH724">
        <v>0.36</v>
      </c>
      <c r="AI724" t="s">
        <v>56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 t="s">
        <v>57</v>
      </c>
      <c r="AS724" t="s">
        <v>1939</v>
      </c>
      <c r="AT724" t="s">
        <v>1939</v>
      </c>
      <c r="AU724" t="s">
        <v>1938</v>
      </c>
      <c r="AV724" t="s">
        <v>1940</v>
      </c>
      <c r="AW724" t="s">
        <v>1941</v>
      </c>
      <c r="AZ724">
        <v>75004</v>
      </c>
      <c r="BA724" t="s">
        <v>65</v>
      </c>
      <c r="BB724" t="s">
        <v>61</v>
      </c>
      <c r="BC724" t="s">
        <v>62</v>
      </c>
    </row>
    <row r="725" spans="1:55" x14ac:dyDescent="0.25">
      <c r="A725" s="1" t="str">
        <f>IF(COUNTIF(Catégories!A:A,X725)=0,"catégorie inconnue",_xlfn.XLOOKUP(X725,Catégories!A:A,Catégories!B:B))</f>
        <v>Frêt</v>
      </c>
      <c r="B725" s="1">
        <f t="shared" si="33"/>
        <v>0</v>
      </c>
      <c r="C725" s="1">
        <f t="shared" si="34"/>
        <v>0</v>
      </c>
      <c r="D725" s="1">
        <f t="shared" si="35"/>
        <v>0</v>
      </c>
      <c r="E725" s="20">
        <f>IF(AH725&lt;&gt;0,ROUNDUP(AH725,0),IF(BB725&lt;&gt;"FR","hors France",IF(AH725&lt;&gt;0,ROUNDUP(AH725,0),_xlfn.XLOOKUP(AJ725,'PA GLS'!B:B,'PA GLS'!A:A))))</f>
        <v>2</v>
      </c>
      <c r="F725">
        <v>2501382993</v>
      </c>
      <c r="G725">
        <v>1030268185</v>
      </c>
      <c r="H725" t="s">
        <v>366</v>
      </c>
      <c r="I725">
        <v>2500034092</v>
      </c>
      <c r="J725" t="s">
        <v>50</v>
      </c>
      <c r="K725">
        <v>9000009190</v>
      </c>
      <c r="L725">
        <v>46946</v>
      </c>
      <c r="M725" t="s">
        <v>51</v>
      </c>
      <c r="N725">
        <v>9000037814</v>
      </c>
      <c r="O725" t="s">
        <v>51</v>
      </c>
      <c r="S725">
        <v>2507012387</v>
      </c>
      <c r="T725" t="s">
        <v>50</v>
      </c>
      <c r="U725" t="s">
        <v>122</v>
      </c>
      <c r="V725" t="s">
        <v>176</v>
      </c>
      <c r="W725" t="s">
        <v>177</v>
      </c>
      <c r="X725" t="s">
        <v>152</v>
      </c>
      <c r="Z725">
        <v>231</v>
      </c>
      <c r="AA725" t="s">
        <v>1810</v>
      </c>
      <c r="AB725" t="s">
        <v>1942</v>
      </c>
      <c r="AC725">
        <v>2604000134</v>
      </c>
      <c r="AE725">
        <v>0</v>
      </c>
      <c r="AF725">
        <v>1</v>
      </c>
      <c r="AG725">
        <v>0</v>
      </c>
      <c r="AH725">
        <v>1.19</v>
      </c>
      <c r="AI725" t="s">
        <v>56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 t="s">
        <v>57</v>
      </c>
      <c r="AS725" t="s">
        <v>1943</v>
      </c>
      <c r="AT725" t="s">
        <v>1943</v>
      </c>
      <c r="AU725" t="s">
        <v>1942</v>
      </c>
      <c r="AV725" t="s">
        <v>1944</v>
      </c>
      <c r="AW725" t="s">
        <v>1945</v>
      </c>
      <c r="AZ725">
        <v>94210</v>
      </c>
      <c r="BA725" t="s">
        <v>308</v>
      </c>
      <c r="BB725" t="s">
        <v>61</v>
      </c>
      <c r="BC725" t="s">
        <v>62</v>
      </c>
    </row>
    <row r="726" spans="1:55" x14ac:dyDescent="0.25">
      <c r="A726" s="1" t="str">
        <f>IF(COUNTIF(Catégories!A:A,X726)=0,"catégorie inconnue",_xlfn.XLOOKUP(X726,Catégories!A:A,Catégories!B:B))</f>
        <v>Frêt</v>
      </c>
      <c r="B726" s="1">
        <f t="shared" si="33"/>
        <v>0</v>
      </c>
      <c r="C726" s="1">
        <f t="shared" si="34"/>
        <v>0</v>
      </c>
      <c r="D726" s="1">
        <f t="shared" si="35"/>
        <v>0</v>
      </c>
      <c r="E726" s="20">
        <f>IF(AH726&lt;&gt;0,ROUNDUP(AH726,0),IF(BB726&lt;&gt;"FR","hors France",IF(AH726&lt;&gt;0,ROUNDUP(AH726,0),_xlfn.XLOOKUP(AJ726,'PA GLS'!B:B,'PA GLS'!A:A))))</f>
        <v>1</v>
      </c>
      <c r="F726">
        <v>2501382993</v>
      </c>
      <c r="G726">
        <v>1030268185</v>
      </c>
      <c r="H726" t="s">
        <v>366</v>
      </c>
      <c r="I726">
        <v>2500034092</v>
      </c>
      <c r="J726" t="s">
        <v>50</v>
      </c>
      <c r="K726">
        <v>9000009190</v>
      </c>
      <c r="L726">
        <v>46946</v>
      </c>
      <c r="M726" t="s">
        <v>51</v>
      </c>
      <c r="N726">
        <v>9000037814</v>
      </c>
      <c r="O726" t="s">
        <v>51</v>
      </c>
      <c r="S726">
        <v>2507012387</v>
      </c>
      <c r="T726" t="s">
        <v>50</v>
      </c>
      <c r="U726" t="s">
        <v>122</v>
      </c>
      <c r="V726" t="s">
        <v>176</v>
      </c>
      <c r="W726" t="s">
        <v>177</v>
      </c>
      <c r="X726" t="s">
        <v>152</v>
      </c>
      <c r="Z726">
        <v>231</v>
      </c>
      <c r="AA726" t="s">
        <v>1810</v>
      </c>
      <c r="AB726" t="s">
        <v>1946</v>
      </c>
      <c r="AC726">
        <v>2604000135</v>
      </c>
      <c r="AE726">
        <v>0</v>
      </c>
      <c r="AF726">
        <v>1</v>
      </c>
      <c r="AG726">
        <v>0</v>
      </c>
      <c r="AH726">
        <v>0.96</v>
      </c>
      <c r="AI726" t="s">
        <v>56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 t="s">
        <v>57</v>
      </c>
      <c r="AS726" t="s">
        <v>1947</v>
      </c>
      <c r="AT726" t="s">
        <v>1947</v>
      </c>
      <c r="AU726" t="s">
        <v>1946</v>
      </c>
      <c r="AV726" t="s">
        <v>1948</v>
      </c>
      <c r="AW726" t="s">
        <v>1949</v>
      </c>
      <c r="AZ726">
        <v>68300</v>
      </c>
      <c r="BA726" t="s">
        <v>1950</v>
      </c>
      <c r="BB726" t="s">
        <v>61</v>
      </c>
      <c r="BC726" t="s">
        <v>62</v>
      </c>
    </row>
    <row r="727" spans="1:55" x14ac:dyDescent="0.25">
      <c r="A727" s="1" t="str">
        <f>IF(COUNTIF(Catégories!A:A,X727)=0,"catégorie inconnue",_xlfn.XLOOKUP(X727,Catégories!A:A,Catégories!B:B))</f>
        <v>Frêt</v>
      </c>
      <c r="B727" s="1">
        <f t="shared" si="33"/>
        <v>6.17</v>
      </c>
      <c r="C727" s="1">
        <f t="shared" si="34"/>
        <v>1.35</v>
      </c>
      <c r="D727" s="1">
        <f t="shared" si="35"/>
        <v>4.82</v>
      </c>
      <c r="E727" s="20">
        <f>IF(AH727&lt;&gt;0,ROUNDUP(AH727,0),IF(BB727&lt;&gt;"FR","hors France",IF(AH727&lt;&gt;0,ROUNDUP(AH727,0),_xlfn.XLOOKUP(AJ727,'PA GLS'!B:B,'PA GLS'!A:A))))</f>
        <v>0.5</v>
      </c>
      <c r="F727">
        <v>2501382993</v>
      </c>
      <c r="G727">
        <v>1030268185</v>
      </c>
      <c r="H727" t="s">
        <v>366</v>
      </c>
      <c r="I727">
        <v>2500034092</v>
      </c>
      <c r="J727" t="s">
        <v>50</v>
      </c>
      <c r="K727">
        <v>9000009190</v>
      </c>
      <c r="L727">
        <v>46946</v>
      </c>
      <c r="M727" t="s">
        <v>51</v>
      </c>
      <c r="N727">
        <v>9000037814</v>
      </c>
      <c r="O727" t="s">
        <v>51</v>
      </c>
      <c r="S727">
        <v>2507012387</v>
      </c>
      <c r="T727" t="s">
        <v>50</v>
      </c>
      <c r="U727" t="s">
        <v>122</v>
      </c>
      <c r="V727" t="s">
        <v>71</v>
      </c>
      <c r="W727" t="s">
        <v>72</v>
      </c>
      <c r="X727" t="s">
        <v>60</v>
      </c>
      <c r="Z727">
        <v>232</v>
      </c>
      <c r="AA727" t="s">
        <v>1810</v>
      </c>
      <c r="AB727" t="s">
        <v>1920</v>
      </c>
      <c r="AC727">
        <v>2604000129</v>
      </c>
      <c r="AE727">
        <v>0</v>
      </c>
      <c r="AF727">
        <v>0</v>
      </c>
      <c r="AG727">
        <v>0</v>
      </c>
      <c r="AH727">
        <v>0</v>
      </c>
      <c r="AI727" t="s">
        <v>56</v>
      </c>
      <c r="AJ727">
        <v>3.77</v>
      </c>
      <c r="AK727">
        <v>0.9</v>
      </c>
      <c r="AL727">
        <v>0.15</v>
      </c>
      <c r="AM727">
        <v>29.1</v>
      </c>
      <c r="AN727">
        <v>1.35</v>
      </c>
      <c r="AO727">
        <v>0</v>
      </c>
      <c r="AP727">
        <v>0</v>
      </c>
      <c r="AQ727" t="s">
        <v>57</v>
      </c>
      <c r="AS727" t="s">
        <v>1921</v>
      </c>
      <c r="AT727" t="s">
        <v>1921</v>
      </c>
      <c r="AU727" t="s">
        <v>1920</v>
      </c>
      <c r="AV727" t="s">
        <v>1922</v>
      </c>
      <c r="AW727" t="s">
        <v>1923</v>
      </c>
      <c r="AZ727">
        <v>53200</v>
      </c>
      <c r="BA727" t="s">
        <v>1924</v>
      </c>
      <c r="BB727" t="s">
        <v>61</v>
      </c>
      <c r="BC727" t="s">
        <v>62</v>
      </c>
    </row>
    <row r="728" spans="1:55" x14ac:dyDescent="0.25">
      <c r="A728" s="1" t="str">
        <f>IF(COUNTIF(Catégories!A:A,X728)=0,"catégorie inconnue",_xlfn.XLOOKUP(X728,Catégories!A:A,Catégories!B:B))</f>
        <v>Frêt</v>
      </c>
      <c r="B728" s="1">
        <f t="shared" si="33"/>
        <v>6.17</v>
      </c>
      <c r="C728" s="1">
        <f t="shared" si="34"/>
        <v>1.35</v>
      </c>
      <c r="D728" s="1">
        <f t="shared" si="35"/>
        <v>4.82</v>
      </c>
      <c r="E728" s="20">
        <f>IF(AH728&lt;&gt;0,ROUNDUP(AH728,0),IF(BB728&lt;&gt;"FR","hors France",IF(AH728&lt;&gt;0,ROUNDUP(AH728,0),_xlfn.XLOOKUP(AJ728,'PA GLS'!B:B,'PA GLS'!A:A))))</f>
        <v>0.5</v>
      </c>
      <c r="F728">
        <v>2501382993</v>
      </c>
      <c r="G728">
        <v>1030268185</v>
      </c>
      <c r="H728" t="s">
        <v>366</v>
      </c>
      <c r="I728">
        <v>2500034092</v>
      </c>
      <c r="J728" t="s">
        <v>50</v>
      </c>
      <c r="K728">
        <v>9000009190</v>
      </c>
      <c r="L728">
        <v>46946</v>
      </c>
      <c r="M728" t="s">
        <v>51</v>
      </c>
      <c r="N728">
        <v>9000037814</v>
      </c>
      <c r="O728" t="s">
        <v>51</v>
      </c>
      <c r="S728">
        <v>2507012387</v>
      </c>
      <c r="T728" t="s">
        <v>50</v>
      </c>
      <c r="U728" t="s">
        <v>122</v>
      </c>
      <c r="V728" t="s">
        <v>71</v>
      </c>
      <c r="W728" t="s">
        <v>72</v>
      </c>
      <c r="X728" t="s">
        <v>60</v>
      </c>
      <c r="Z728">
        <v>232</v>
      </c>
      <c r="AA728" t="s">
        <v>1810</v>
      </c>
      <c r="AB728" t="s">
        <v>1925</v>
      </c>
      <c r="AC728">
        <v>2604000130</v>
      </c>
      <c r="AE728">
        <v>0</v>
      </c>
      <c r="AF728">
        <v>0</v>
      </c>
      <c r="AG728">
        <v>0</v>
      </c>
      <c r="AH728">
        <v>0</v>
      </c>
      <c r="AI728" t="s">
        <v>56</v>
      </c>
      <c r="AJ728">
        <v>3.77</v>
      </c>
      <c r="AK728">
        <v>0.9</v>
      </c>
      <c r="AL728">
        <v>0.15</v>
      </c>
      <c r="AM728">
        <v>29.1</v>
      </c>
      <c r="AN728">
        <v>1.35</v>
      </c>
      <c r="AO728">
        <v>0</v>
      </c>
      <c r="AP728">
        <v>0</v>
      </c>
      <c r="AQ728" t="s">
        <v>57</v>
      </c>
      <c r="AS728" t="s">
        <v>1926</v>
      </c>
      <c r="AT728" t="s">
        <v>1926</v>
      </c>
      <c r="AU728" t="s">
        <v>1925</v>
      </c>
      <c r="AV728" t="s">
        <v>1927</v>
      </c>
      <c r="AW728" t="s">
        <v>1928</v>
      </c>
      <c r="AZ728">
        <v>68000</v>
      </c>
      <c r="BA728" t="s">
        <v>1929</v>
      </c>
      <c r="BB728" t="s">
        <v>61</v>
      </c>
      <c r="BC728" t="s">
        <v>62</v>
      </c>
    </row>
    <row r="729" spans="1:55" x14ac:dyDescent="0.25">
      <c r="A729" s="1" t="str">
        <f>IF(COUNTIF(Catégories!A:A,X729)=0,"catégorie inconnue",_xlfn.XLOOKUP(X729,Catégories!A:A,Catégories!B:B))</f>
        <v>Frêt</v>
      </c>
      <c r="B729" s="1">
        <f t="shared" si="33"/>
        <v>6.17</v>
      </c>
      <c r="C729" s="1">
        <f t="shared" si="34"/>
        <v>1.35</v>
      </c>
      <c r="D729" s="1">
        <f t="shared" si="35"/>
        <v>4.82</v>
      </c>
      <c r="E729" s="20">
        <f>IF(AH729&lt;&gt;0,ROUNDUP(AH729,0),IF(BB729&lt;&gt;"FR","hors France",IF(AH729&lt;&gt;0,ROUNDUP(AH729,0),_xlfn.XLOOKUP(AJ729,'PA GLS'!B:B,'PA GLS'!A:A))))</f>
        <v>0.5</v>
      </c>
      <c r="F729">
        <v>2501382993</v>
      </c>
      <c r="G729">
        <v>1030268185</v>
      </c>
      <c r="H729" t="s">
        <v>366</v>
      </c>
      <c r="I729">
        <v>2500034092</v>
      </c>
      <c r="J729" t="s">
        <v>50</v>
      </c>
      <c r="K729">
        <v>9000009190</v>
      </c>
      <c r="L729">
        <v>46946</v>
      </c>
      <c r="M729" t="s">
        <v>51</v>
      </c>
      <c r="N729">
        <v>9000037814</v>
      </c>
      <c r="O729" t="s">
        <v>51</v>
      </c>
      <c r="S729">
        <v>2507012387</v>
      </c>
      <c r="T729" t="s">
        <v>50</v>
      </c>
      <c r="U729" t="s">
        <v>122</v>
      </c>
      <c r="V729" t="s">
        <v>71</v>
      </c>
      <c r="W729" t="s">
        <v>72</v>
      </c>
      <c r="X729" t="s">
        <v>60</v>
      </c>
      <c r="Z729">
        <v>232</v>
      </c>
      <c r="AA729" t="s">
        <v>1810</v>
      </c>
      <c r="AB729" t="s">
        <v>1930</v>
      </c>
      <c r="AC729">
        <v>2604000131</v>
      </c>
      <c r="AE729">
        <v>0</v>
      </c>
      <c r="AF729">
        <v>0</v>
      </c>
      <c r="AG729">
        <v>0</v>
      </c>
      <c r="AH729">
        <v>0</v>
      </c>
      <c r="AI729" t="s">
        <v>56</v>
      </c>
      <c r="AJ729">
        <v>3.77</v>
      </c>
      <c r="AK729">
        <v>0.9</v>
      </c>
      <c r="AL729">
        <v>0.15</v>
      </c>
      <c r="AM729">
        <v>29.1</v>
      </c>
      <c r="AN729">
        <v>1.35</v>
      </c>
      <c r="AO729">
        <v>0</v>
      </c>
      <c r="AP729">
        <v>0</v>
      </c>
      <c r="AQ729" t="s">
        <v>57</v>
      </c>
      <c r="AS729" t="s">
        <v>1931</v>
      </c>
      <c r="AT729" t="s">
        <v>1931</v>
      </c>
      <c r="AU729" t="s">
        <v>1930</v>
      </c>
      <c r="AV729" t="s">
        <v>1932</v>
      </c>
      <c r="AW729" t="s">
        <v>1933</v>
      </c>
      <c r="AZ729">
        <v>6610</v>
      </c>
      <c r="BA729" t="s">
        <v>738</v>
      </c>
      <c r="BB729" t="s">
        <v>61</v>
      </c>
      <c r="BC729" t="s">
        <v>62</v>
      </c>
    </row>
    <row r="730" spans="1:55" x14ac:dyDescent="0.25">
      <c r="A730" s="1" t="str">
        <f>IF(COUNTIF(Catégories!A:A,X730)=0,"catégorie inconnue",_xlfn.XLOOKUP(X730,Catégories!A:A,Catégories!B:B))</f>
        <v>Frêt</v>
      </c>
      <c r="B730" s="1">
        <f t="shared" si="33"/>
        <v>6.17</v>
      </c>
      <c r="C730" s="1">
        <f t="shared" si="34"/>
        <v>1.35</v>
      </c>
      <c r="D730" s="1">
        <f t="shared" si="35"/>
        <v>4.82</v>
      </c>
      <c r="E730" s="20">
        <f>IF(AH730&lt;&gt;0,ROUNDUP(AH730,0),IF(BB730&lt;&gt;"FR","hors France",IF(AH730&lt;&gt;0,ROUNDUP(AH730,0),_xlfn.XLOOKUP(AJ730,'PA GLS'!B:B,'PA GLS'!A:A))))</f>
        <v>0.5</v>
      </c>
      <c r="F730">
        <v>2501382993</v>
      </c>
      <c r="G730">
        <v>1030268185</v>
      </c>
      <c r="H730" t="s">
        <v>366</v>
      </c>
      <c r="I730">
        <v>2500034092</v>
      </c>
      <c r="J730" t="s">
        <v>50</v>
      </c>
      <c r="K730">
        <v>9000009190</v>
      </c>
      <c r="L730">
        <v>46946</v>
      </c>
      <c r="M730" t="s">
        <v>51</v>
      </c>
      <c r="N730">
        <v>9000037814</v>
      </c>
      <c r="O730" t="s">
        <v>51</v>
      </c>
      <c r="S730">
        <v>2507012387</v>
      </c>
      <c r="T730" t="s">
        <v>50</v>
      </c>
      <c r="U730" t="s">
        <v>122</v>
      </c>
      <c r="V730" t="s">
        <v>71</v>
      </c>
      <c r="W730" t="s">
        <v>72</v>
      </c>
      <c r="X730" t="s">
        <v>60</v>
      </c>
      <c r="Z730">
        <v>232</v>
      </c>
      <c r="AA730" t="s">
        <v>1810</v>
      </c>
      <c r="AB730" t="s">
        <v>1934</v>
      </c>
      <c r="AC730">
        <v>2604000132</v>
      </c>
      <c r="AE730">
        <v>0</v>
      </c>
      <c r="AF730">
        <v>0</v>
      </c>
      <c r="AG730">
        <v>0</v>
      </c>
      <c r="AH730">
        <v>0</v>
      </c>
      <c r="AI730" t="s">
        <v>56</v>
      </c>
      <c r="AJ730">
        <v>3.77</v>
      </c>
      <c r="AK730">
        <v>0.9</v>
      </c>
      <c r="AL730">
        <v>0.15</v>
      </c>
      <c r="AM730">
        <v>29.1</v>
      </c>
      <c r="AN730">
        <v>1.35</v>
      </c>
      <c r="AO730">
        <v>0</v>
      </c>
      <c r="AP730">
        <v>0</v>
      </c>
      <c r="AQ730" t="s">
        <v>57</v>
      </c>
      <c r="AS730" t="s">
        <v>1935</v>
      </c>
      <c r="AT730" t="s">
        <v>1935</v>
      </c>
      <c r="AU730" t="s">
        <v>1934</v>
      </c>
      <c r="AV730" t="s">
        <v>1936</v>
      </c>
      <c r="AW730" t="s">
        <v>1937</v>
      </c>
      <c r="AZ730">
        <v>75016</v>
      </c>
      <c r="BA730" t="s">
        <v>65</v>
      </c>
      <c r="BB730" t="s">
        <v>61</v>
      </c>
      <c r="BC730" t="s">
        <v>62</v>
      </c>
    </row>
    <row r="731" spans="1:55" x14ac:dyDescent="0.25">
      <c r="A731" s="1" t="str">
        <f>IF(COUNTIF(Catégories!A:A,X731)=0,"catégorie inconnue",_xlfn.XLOOKUP(X731,Catégories!A:A,Catégories!B:B))</f>
        <v>Frêt</v>
      </c>
      <c r="B731" s="1">
        <f t="shared" si="33"/>
        <v>6.17</v>
      </c>
      <c r="C731" s="1">
        <f t="shared" si="34"/>
        <v>1.35</v>
      </c>
      <c r="D731" s="1">
        <f t="shared" si="35"/>
        <v>4.82</v>
      </c>
      <c r="E731" s="20">
        <f>IF(AH731&lt;&gt;0,ROUNDUP(AH731,0),IF(BB731&lt;&gt;"FR","hors France",IF(AH731&lt;&gt;0,ROUNDUP(AH731,0),_xlfn.XLOOKUP(AJ731,'PA GLS'!B:B,'PA GLS'!A:A))))</f>
        <v>0.5</v>
      </c>
      <c r="F731">
        <v>2501382993</v>
      </c>
      <c r="G731">
        <v>1030268185</v>
      </c>
      <c r="H731" t="s">
        <v>366</v>
      </c>
      <c r="I731">
        <v>2500034092</v>
      </c>
      <c r="J731" t="s">
        <v>50</v>
      </c>
      <c r="K731">
        <v>9000009190</v>
      </c>
      <c r="L731">
        <v>46946</v>
      </c>
      <c r="M731" t="s">
        <v>51</v>
      </c>
      <c r="N731">
        <v>9000037814</v>
      </c>
      <c r="O731" t="s">
        <v>51</v>
      </c>
      <c r="S731">
        <v>2507012387</v>
      </c>
      <c r="T731" t="s">
        <v>50</v>
      </c>
      <c r="U731" t="s">
        <v>122</v>
      </c>
      <c r="V731" t="s">
        <v>71</v>
      </c>
      <c r="W731" t="s">
        <v>72</v>
      </c>
      <c r="X731" t="s">
        <v>60</v>
      </c>
      <c r="Z731">
        <v>232</v>
      </c>
      <c r="AA731" t="s">
        <v>1810</v>
      </c>
      <c r="AB731" t="s">
        <v>1938</v>
      </c>
      <c r="AC731">
        <v>2604000133</v>
      </c>
      <c r="AE731">
        <v>0</v>
      </c>
      <c r="AF731">
        <v>0</v>
      </c>
      <c r="AG731">
        <v>0</v>
      </c>
      <c r="AH731">
        <v>0</v>
      </c>
      <c r="AI731" t="s">
        <v>56</v>
      </c>
      <c r="AJ731">
        <v>3.77</v>
      </c>
      <c r="AK731">
        <v>0.9</v>
      </c>
      <c r="AL731">
        <v>0.15</v>
      </c>
      <c r="AM731">
        <v>29.1</v>
      </c>
      <c r="AN731">
        <v>1.35</v>
      </c>
      <c r="AO731">
        <v>0</v>
      </c>
      <c r="AP731">
        <v>0</v>
      </c>
      <c r="AQ731" t="s">
        <v>57</v>
      </c>
      <c r="AS731" t="s">
        <v>1939</v>
      </c>
      <c r="AT731" t="s">
        <v>1939</v>
      </c>
      <c r="AU731" t="s">
        <v>1938</v>
      </c>
      <c r="AV731" t="s">
        <v>1940</v>
      </c>
      <c r="AW731" t="s">
        <v>1941</v>
      </c>
      <c r="AZ731">
        <v>75004</v>
      </c>
      <c r="BA731" t="s">
        <v>65</v>
      </c>
      <c r="BB731" t="s">
        <v>61</v>
      </c>
      <c r="BC731" t="s">
        <v>62</v>
      </c>
    </row>
    <row r="732" spans="1:55" x14ac:dyDescent="0.25">
      <c r="A732" s="1" t="str">
        <f>IF(COUNTIF(Catégories!A:A,X732)=0,"catégorie inconnue",_xlfn.XLOOKUP(X732,Catégories!A:A,Catégories!B:B))</f>
        <v>Frêt</v>
      </c>
      <c r="B732" s="1">
        <f t="shared" si="33"/>
        <v>6.6000000000000005</v>
      </c>
      <c r="C732" s="1">
        <f t="shared" si="34"/>
        <v>1.45</v>
      </c>
      <c r="D732" s="1">
        <f t="shared" si="35"/>
        <v>5.15</v>
      </c>
      <c r="E732" s="20">
        <f>IF(AH732&lt;&gt;0,ROUNDUP(AH732,0),IF(BB732&lt;&gt;"FR","hors France",IF(AH732&lt;&gt;0,ROUNDUP(AH732,0),_xlfn.XLOOKUP(AJ732,'PA GLS'!B:B,'PA GLS'!A:A))))</f>
        <v>1</v>
      </c>
      <c r="F732">
        <v>2501382993</v>
      </c>
      <c r="G732">
        <v>1030268185</v>
      </c>
      <c r="H732" t="s">
        <v>366</v>
      </c>
      <c r="I732">
        <v>2500034092</v>
      </c>
      <c r="J732" t="s">
        <v>50</v>
      </c>
      <c r="K732">
        <v>9000009190</v>
      </c>
      <c r="L732">
        <v>46946</v>
      </c>
      <c r="M732" t="s">
        <v>51</v>
      </c>
      <c r="N732">
        <v>9000037814</v>
      </c>
      <c r="O732" t="s">
        <v>51</v>
      </c>
      <c r="S732">
        <v>2507012387</v>
      </c>
      <c r="T732" t="s">
        <v>50</v>
      </c>
      <c r="U732" t="s">
        <v>122</v>
      </c>
      <c r="V732" t="s">
        <v>66</v>
      </c>
      <c r="W732" t="s">
        <v>67</v>
      </c>
      <c r="X732" t="s">
        <v>60</v>
      </c>
      <c r="Z732">
        <v>233</v>
      </c>
      <c r="AA732" t="s">
        <v>1810</v>
      </c>
      <c r="AB732" t="s">
        <v>1946</v>
      </c>
      <c r="AC732">
        <v>2604000135</v>
      </c>
      <c r="AE732">
        <v>0</v>
      </c>
      <c r="AF732">
        <v>0</v>
      </c>
      <c r="AG732">
        <v>0</v>
      </c>
      <c r="AH732">
        <v>0</v>
      </c>
      <c r="AI732" t="s">
        <v>56</v>
      </c>
      <c r="AJ732">
        <v>4.0999999999999996</v>
      </c>
      <c r="AK732">
        <v>0.9</v>
      </c>
      <c r="AL732">
        <v>0.15</v>
      </c>
      <c r="AM732">
        <v>29.1</v>
      </c>
      <c r="AN732">
        <v>1.45</v>
      </c>
      <c r="AO732">
        <v>0</v>
      </c>
      <c r="AP732">
        <v>0</v>
      </c>
      <c r="AQ732" t="s">
        <v>57</v>
      </c>
      <c r="AS732" t="s">
        <v>1947</v>
      </c>
      <c r="AT732" t="s">
        <v>1947</v>
      </c>
      <c r="AU732" t="s">
        <v>1946</v>
      </c>
      <c r="AV732" t="s">
        <v>1948</v>
      </c>
      <c r="AW732" t="s">
        <v>1949</v>
      </c>
      <c r="AZ732">
        <v>68300</v>
      </c>
      <c r="BA732" t="s">
        <v>1950</v>
      </c>
      <c r="BB732" t="s">
        <v>61</v>
      </c>
      <c r="BC732" t="s">
        <v>62</v>
      </c>
    </row>
    <row r="733" spans="1:55" x14ac:dyDescent="0.25">
      <c r="A733" s="1" t="str">
        <f>IF(COUNTIF(Catégories!A:A,X733)=0,"catégorie inconnue",_xlfn.XLOOKUP(X733,Catégories!A:A,Catégories!B:B))</f>
        <v>Frêt</v>
      </c>
      <c r="B733" s="1">
        <f t="shared" si="33"/>
        <v>7.0100000000000007</v>
      </c>
      <c r="C733" s="1">
        <f t="shared" si="34"/>
        <v>1.54</v>
      </c>
      <c r="D733" s="1">
        <f t="shared" si="35"/>
        <v>5.4700000000000006</v>
      </c>
      <c r="E733" s="20">
        <f>IF(AH733&lt;&gt;0,ROUNDUP(AH733,0),IF(BB733&lt;&gt;"FR","hors France",IF(AH733&lt;&gt;0,ROUNDUP(AH733,0),_xlfn.XLOOKUP(AJ733,'PA GLS'!B:B,'PA GLS'!A:A))))</f>
        <v>2</v>
      </c>
      <c r="F733">
        <v>2501382993</v>
      </c>
      <c r="G733">
        <v>1030268185</v>
      </c>
      <c r="H733" t="s">
        <v>366</v>
      </c>
      <c r="I733">
        <v>2500034092</v>
      </c>
      <c r="J733" t="s">
        <v>50</v>
      </c>
      <c r="K733">
        <v>9000009190</v>
      </c>
      <c r="L733">
        <v>46946</v>
      </c>
      <c r="M733" t="s">
        <v>51</v>
      </c>
      <c r="N733">
        <v>9000037814</v>
      </c>
      <c r="O733" t="s">
        <v>51</v>
      </c>
      <c r="S733">
        <v>2507012387</v>
      </c>
      <c r="T733" t="s">
        <v>50</v>
      </c>
      <c r="U733" t="s">
        <v>122</v>
      </c>
      <c r="V733" t="s">
        <v>63</v>
      </c>
      <c r="W733" t="s">
        <v>64</v>
      </c>
      <c r="X733" t="s">
        <v>60</v>
      </c>
      <c r="Z733">
        <v>234</v>
      </c>
      <c r="AA733" t="s">
        <v>1810</v>
      </c>
      <c r="AB733" t="s">
        <v>1942</v>
      </c>
      <c r="AC733">
        <v>2604000134</v>
      </c>
      <c r="AE733">
        <v>0</v>
      </c>
      <c r="AF733">
        <v>0</v>
      </c>
      <c r="AG733">
        <v>0</v>
      </c>
      <c r="AH733">
        <v>0</v>
      </c>
      <c r="AI733" t="s">
        <v>56</v>
      </c>
      <c r="AJ733">
        <v>4.42</v>
      </c>
      <c r="AK733">
        <v>0.9</v>
      </c>
      <c r="AL733">
        <v>0.15</v>
      </c>
      <c r="AM733">
        <v>29.1</v>
      </c>
      <c r="AN733">
        <v>1.54</v>
      </c>
      <c r="AO733">
        <v>0</v>
      </c>
      <c r="AP733">
        <v>0</v>
      </c>
      <c r="AQ733" t="s">
        <v>57</v>
      </c>
      <c r="AS733" t="s">
        <v>1943</v>
      </c>
      <c r="AT733" t="s">
        <v>1943</v>
      </c>
      <c r="AU733" t="s">
        <v>1942</v>
      </c>
      <c r="AV733" t="s">
        <v>1944</v>
      </c>
      <c r="AW733" t="s">
        <v>1945</v>
      </c>
      <c r="AZ733">
        <v>94210</v>
      </c>
      <c r="BA733" t="s">
        <v>308</v>
      </c>
      <c r="BB733" t="s">
        <v>61</v>
      </c>
      <c r="BC733" t="s">
        <v>62</v>
      </c>
    </row>
    <row r="734" spans="1:55" x14ac:dyDescent="0.25">
      <c r="A734" s="1" t="str">
        <f>IF(COUNTIF(Catégories!A:A,X734)=0,"catégorie inconnue",_xlfn.XLOOKUP(X734,Catégories!A:A,Catégories!B:B))</f>
        <v>Frêt</v>
      </c>
      <c r="B734" s="1">
        <f t="shared" si="33"/>
        <v>7.0100000000000007</v>
      </c>
      <c r="C734" s="1">
        <f t="shared" si="34"/>
        <v>1.54</v>
      </c>
      <c r="D734" s="1">
        <f t="shared" si="35"/>
        <v>5.4700000000000006</v>
      </c>
      <c r="E734" s="20">
        <f>IF(AH734&lt;&gt;0,ROUNDUP(AH734,0),IF(BB734&lt;&gt;"FR","hors France",IF(AH734&lt;&gt;0,ROUNDUP(AH734,0),_xlfn.XLOOKUP(AJ734,'PA GLS'!B:B,'PA GLS'!A:A))))</f>
        <v>2</v>
      </c>
      <c r="F734">
        <v>2501382993</v>
      </c>
      <c r="G734">
        <v>1030316536</v>
      </c>
      <c r="H734" t="s">
        <v>366</v>
      </c>
      <c r="I734">
        <v>2500034092</v>
      </c>
      <c r="J734" t="s">
        <v>50</v>
      </c>
      <c r="K734">
        <v>9000009190</v>
      </c>
      <c r="L734">
        <v>46946</v>
      </c>
      <c r="M734" t="s">
        <v>51</v>
      </c>
      <c r="N734">
        <v>9000079830</v>
      </c>
      <c r="O734" t="s">
        <v>187</v>
      </c>
      <c r="S734">
        <v>2507012387</v>
      </c>
      <c r="T734" t="s">
        <v>50</v>
      </c>
      <c r="U734" t="s">
        <v>122</v>
      </c>
      <c r="V734" t="s">
        <v>63</v>
      </c>
      <c r="W734" t="s">
        <v>64</v>
      </c>
      <c r="X734" t="s">
        <v>60</v>
      </c>
      <c r="Z734">
        <v>249</v>
      </c>
      <c r="AA734" t="s">
        <v>1810</v>
      </c>
      <c r="AB734" t="s">
        <v>1885</v>
      </c>
      <c r="AC734">
        <v>2604000230</v>
      </c>
      <c r="AE734">
        <v>0</v>
      </c>
      <c r="AF734">
        <v>0</v>
      </c>
      <c r="AG734">
        <v>0</v>
      </c>
      <c r="AH734">
        <v>0</v>
      </c>
      <c r="AI734" t="s">
        <v>56</v>
      </c>
      <c r="AJ734">
        <v>4.42</v>
      </c>
      <c r="AK734">
        <v>0.9</v>
      </c>
      <c r="AL734">
        <v>0.15</v>
      </c>
      <c r="AM734">
        <v>29.1</v>
      </c>
      <c r="AN734">
        <v>1.54</v>
      </c>
      <c r="AO734">
        <v>0</v>
      </c>
      <c r="AP734">
        <v>0</v>
      </c>
      <c r="AQ734" t="s">
        <v>57</v>
      </c>
      <c r="AS734" t="s">
        <v>1886</v>
      </c>
      <c r="AT734" t="s">
        <v>1886</v>
      </c>
      <c r="AU734" t="s">
        <v>1885</v>
      </c>
      <c r="AV734" t="s">
        <v>1887</v>
      </c>
      <c r="AW734" t="s">
        <v>1888</v>
      </c>
      <c r="AZ734">
        <v>29000</v>
      </c>
      <c r="BA734" t="s">
        <v>357</v>
      </c>
      <c r="BB734" t="s">
        <v>61</v>
      </c>
      <c r="BC734" t="s">
        <v>62</v>
      </c>
    </row>
    <row r="735" spans="1:55" x14ac:dyDescent="0.25">
      <c r="A735" s="1" t="str">
        <f>IF(COUNTIF(Catégories!A:A,X735)=0,"catégorie inconnue",_xlfn.XLOOKUP(X735,Catégories!A:A,Catégories!B:B))</f>
        <v>Frêt</v>
      </c>
      <c r="B735" s="1">
        <f t="shared" si="33"/>
        <v>7.0100000000000007</v>
      </c>
      <c r="C735" s="1">
        <f t="shared" si="34"/>
        <v>1.54</v>
      </c>
      <c r="D735" s="1">
        <f t="shared" si="35"/>
        <v>5.4700000000000006</v>
      </c>
      <c r="E735" s="20">
        <f>IF(AH735&lt;&gt;0,ROUNDUP(AH735,0),IF(BB735&lt;&gt;"FR","hors France",IF(AH735&lt;&gt;0,ROUNDUP(AH735,0),_xlfn.XLOOKUP(AJ735,'PA GLS'!B:B,'PA GLS'!A:A))))</f>
        <v>2</v>
      </c>
      <c r="F735">
        <v>2501382993</v>
      </c>
      <c r="G735">
        <v>1030316536</v>
      </c>
      <c r="H735" t="s">
        <v>366</v>
      </c>
      <c r="I735">
        <v>2500034092</v>
      </c>
      <c r="J735" t="s">
        <v>50</v>
      </c>
      <c r="K735">
        <v>9000009190</v>
      </c>
      <c r="L735">
        <v>46946</v>
      </c>
      <c r="M735" t="s">
        <v>51</v>
      </c>
      <c r="N735">
        <v>9000079830</v>
      </c>
      <c r="O735" t="s">
        <v>187</v>
      </c>
      <c r="S735">
        <v>2507012387</v>
      </c>
      <c r="T735" t="s">
        <v>50</v>
      </c>
      <c r="U735" t="s">
        <v>122</v>
      </c>
      <c r="V735" t="s">
        <v>63</v>
      </c>
      <c r="W735" t="s">
        <v>64</v>
      </c>
      <c r="X735" t="s">
        <v>60</v>
      </c>
      <c r="Z735">
        <v>249</v>
      </c>
      <c r="AA735" t="s">
        <v>1810</v>
      </c>
      <c r="AB735" t="s">
        <v>1880</v>
      </c>
      <c r="AC735">
        <v>2604000229</v>
      </c>
      <c r="AE735">
        <v>0</v>
      </c>
      <c r="AF735">
        <v>0</v>
      </c>
      <c r="AG735">
        <v>0</v>
      </c>
      <c r="AH735">
        <v>0</v>
      </c>
      <c r="AI735" t="s">
        <v>56</v>
      </c>
      <c r="AJ735">
        <v>4.42</v>
      </c>
      <c r="AK735">
        <v>0.9</v>
      </c>
      <c r="AL735">
        <v>0.15</v>
      </c>
      <c r="AM735">
        <v>29.1</v>
      </c>
      <c r="AN735">
        <v>1.54</v>
      </c>
      <c r="AO735">
        <v>0</v>
      </c>
      <c r="AP735">
        <v>0</v>
      </c>
      <c r="AQ735" t="s">
        <v>57</v>
      </c>
      <c r="AS735" t="s">
        <v>1881</v>
      </c>
      <c r="AT735" t="s">
        <v>1881</v>
      </c>
      <c r="AU735" t="s">
        <v>1880</v>
      </c>
      <c r="AV735" t="s">
        <v>1882</v>
      </c>
      <c r="AW735" t="s">
        <v>1883</v>
      </c>
      <c r="AZ735">
        <v>22240</v>
      </c>
      <c r="BA735" t="s">
        <v>1884</v>
      </c>
      <c r="BB735" t="s">
        <v>61</v>
      </c>
      <c r="BC735" t="s">
        <v>62</v>
      </c>
    </row>
    <row r="736" spans="1:55" x14ac:dyDescent="0.25">
      <c r="A736" s="1" t="str">
        <f>IF(COUNTIF(Catégories!A:A,X736)=0,"catégorie inconnue",_xlfn.XLOOKUP(X736,Catégories!A:A,Catégories!B:B))</f>
        <v>Frêt</v>
      </c>
      <c r="B736" s="1">
        <f t="shared" si="33"/>
        <v>7.0100000000000007</v>
      </c>
      <c r="C736" s="1">
        <f t="shared" si="34"/>
        <v>1.54</v>
      </c>
      <c r="D736" s="1">
        <f t="shared" si="35"/>
        <v>5.4700000000000006</v>
      </c>
      <c r="E736" s="20">
        <f>IF(AH736&lt;&gt;0,ROUNDUP(AH736,0),IF(BB736&lt;&gt;"FR","hors France",IF(AH736&lt;&gt;0,ROUNDUP(AH736,0),_xlfn.XLOOKUP(AJ736,'PA GLS'!B:B,'PA GLS'!A:A))))</f>
        <v>2</v>
      </c>
      <c r="F736">
        <v>2501382993</v>
      </c>
      <c r="G736">
        <v>1030316536</v>
      </c>
      <c r="H736" t="s">
        <v>366</v>
      </c>
      <c r="I736">
        <v>2500034092</v>
      </c>
      <c r="J736" t="s">
        <v>50</v>
      </c>
      <c r="K736">
        <v>9000009190</v>
      </c>
      <c r="L736">
        <v>46946</v>
      </c>
      <c r="M736" t="s">
        <v>51</v>
      </c>
      <c r="N736">
        <v>9000079830</v>
      </c>
      <c r="O736" t="s">
        <v>187</v>
      </c>
      <c r="S736">
        <v>2507012387</v>
      </c>
      <c r="T736" t="s">
        <v>50</v>
      </c>
      <c r="U736" t="s">
        <v>122</v>
      </c>
      <c r="V736" t="s">
        <v>63</v>
      </c>
      <c r="W736" t="s">
        <v>64</v>
      </c>
      <c r="X736" t="s">
        <v>60</v>
      </c>
      <c r="Z736">
        <v>249</v>
      </c>
      <c r="AA736" t="s">
        <v>1810</v>
      </c>
      <c r="AB736" t="s">
        <v>1811</v>
      </c>
      <c r="AC736">
        <v>2604000228</v>
      </c>
      <c r="AE736">
        <v>0</v>
      </c>
      <c r="AF736">
        <v>0</v>
      </c>
      <c r="AG736">
        <v>0</v>
      </c>
      <c r="AH736">
        <v>0</v>
      </c>
      <c r="AI736" t="s">
        <v>56</v>
      </c>
      <c r="AJ736">
        <v>4.42</v>
      </c>
      <c r="AK736">
        <v>0.9</v>
      </c>
      <c r="AL736">
        <v>0.15</v>
      </c>
      <c r="AM736">
        <v>29.1</v>
      </c>
      <c r="AN736">
        <v>1.54</v>
      </c>
      <c r="AO736">
        <v>0</v>
      </c>
      <c r="AP736">
        <v>0</v>
      </c>
      <c r="AQ736" t="s">
        <v>57</v>
      </c>
      <c r="AS736" t="s">
        <v>1812</v>
      </c>
      <c r="AT736" t="s">
        <v>1812</v>
      </c>
      <c r="AU736" t="s">
        <v>1811</v>
      </c>
      <c r="AV736" t="s">
        <v>1813</v>
      </c>
      <c r="AW736" t="s">
        <v>1814</v>
      </c>
      <c r="AZ736">
        <v>75019</v>
      </c>
      <c r="BA736" t="s">
        <v>65</v>
      </c>
      <c r="BB736" t="s">
        <v>61</v>
      </c>
      <c r="BC736" t="s">
        <v>62</v>
      </c>
    </row>
    <row r="737" spans="1:55" x14ac:dyDescent="0.25">
      <c r="A737" s="1" t="str">
        <f>IF(COUNTIF(Catégories!A:A,X737)=0,"catégorie inconnue",_xlfn.XLOOKUP(X737,Catégories!A:A,Catégories!B:B))</f>
        <v>Frêt</v>
      </c>
      <c r="B737" s="1">
        <f t="shared" si="33"/>
        <v>7.0100000000000007</v>
      </c>
      <c r="C737" s="1">
        <f t="shared" si="34"/>
        <v>1.54</v>
      </c>
      <c r="D737" s="1">
        <f t="shared" si="35"/>
        <v>5.4700000000000006</v>
      </c>
      <c r="E737" s="20">
        <f>IF(AH737&lt;&gt;0,ROUNDUP(AH737,0),IF(BB737&lt;&gt;"FR","hors France",IF(AH737&lt;&gt;0,ROUNDUP(AH737,0),_xlfn.XLOOKUP(AJ737,'PA GLS'!B:B,'PA GLS'!A:A))))</f>
        <v>2</v>
      </c>
      <c r="F737">
        <v>2501382993</v>
      </c>
      <c r="G737">
        <v>1030316536</v>
      </c>
      <c r="H737" t="s">
        <v>366</v>
      </c>
      <c r="I737">
        <v>2500034092</v>
      </c>
      <c r="J737" t="s">
        <v>50</v>
      </c>
      <c r="K737">
        <v>9000009190</v>
      </c>
      <c r="L737">
        <v>46946</v>
      </c>
      <c r="M737" t="s">
        <v>51</v>
      </c>
      <c r="N737">
        <v>9000079830</v>
      </c>
      <c r="O737" t="s">
        <v>187</v>
      </c>
      <c r="S737">
        <v>2507012387</v>
      </c>
      <c r="T737" t="s">
        <v>50</v>
      </c>
      <c r="U737" t="s">
        <v>122</v>
      </c>
      <c r="V737" t="s">
        <v>63</v>
      </c>
      <c r="W737" t="s">
        <v>64</v>
      </c>
      <c r="X737" t="s">
        <v>60</v>
      </c>
      <c r="Z737">
        <v>249</v>
      </c>
      <c r="AA737" t="s">
        <v>1810</v>
      </c>
      <c r="AB737" t="s">
        <v>1825</v>
      </c>
      <c r="AC737">
        <v>2604000225</v>
      </c>
      <c r="AE737">
        <v>0</v>
      </c>
      <c r="AF737">
        <v>0</v>
      </c>
      <c r="AG737">
        <v>0</v>
      </c>
      <c r="AH737">
        <v>0</v>
      </c>
      <c r="AI737" t="s">
        <v>56</v>
      </c>
      <c r="AJ737">
        <v>4.42</v>
      </c>
      <c r="AK737">
        <v>0.9</v>
      </c>
      <c r="AL737">
        <v>0.15</v>
      </c>
      <c r="AM737">
        <v>29.1</v>
      </c>
      <c r="AN737">
        <v>1.54</v>
      </c>
      <c r="AO737">
        <v>0</v>
      </c>
      <c r="AP737">
        <v>0</v>
      </c>
      <c r="AQ737" t="s">
        <v>57</v>
      </c>
      <c r="AS737" t="s">
        <v>1826</v>
      </c>
      <c r="AT737" t="s">
        <v>1826</v>
      </c>
      <c r="AU737" t="s">
        <v>1825</v>
      </c>
      <c r="AV737" t="s">
        <v>1827</v>
      </c>
      <c r="AW737" t="s">
        <v>1828</v>
      </c>
      <c r="AZ737">
        <v>70200</v>
      </c>
      <c r="BA737" t="s">
        <v>1829</v>
      </c>
      <c r="BB737" t="s">
        <v>61</v>
      </c>
      <c r="BC737" t="s">
        <v>62</v>
      </c>
    </row>
    <row r="738" spans="1:55" x14ac:dyDescent="0.25">
      <c r="A738" s="1" t="str">
        <f>IF(COUNTIF(Catégories!A:A,X738)=0,"catégorie inconnue",_xlfn.XLOOKUP(X738,Catégories!A:A,Catégories!B:B))</f>
        <v>Frêt</v>
      </c>
      <c r="B738" s="1">
        <f t="shared" si="33"/>
        <v>7.0100000000000007</v>
      </c>
      <c r="C738" s="1">
        <f t="shared" si="34"/>
        <v>1.54</v>
      </c>
      <c r="D738" s="1">
        <f t="shared" si="35"/>
        <v>5.4700000000000006</v>
      </c>
      <c r="E738" s="20">
        <f>IF(AH738&lt;&gt;0,ROUNDUP(AH738,0),IF(BB738&lt;&gt;"FR","hors France",IF(AH738&lt;&gt;0,ROUNDUP(AH738,0),_xlfn.XLOOKUP(AJ738,'PA GLS'!B:B,'PA GLS'!A:A))))</f>
        <v>2</v>
      </c>
      <c r="F738">
        <v>2501382993</v>
      </c>
      <c r="G738">
        <v>1030316536</v>
      </c>
      <c r="H738" t="s">
        <v>366</v>
      </c>
      <c r="I738">
        <v>2500034092</v>
      </c>
      <c r="J738" t="s">
        <v>50</v>
      </c>
      <c r="K738">
        <v>9000009190</v>
      </c>
      <c r="L738">
        <v>46946</v>
      </c>
      <c r="M738" t="s">
        <v>51</v>
      </c>
      <c r="N738">
        <v>9000079830</v>
      </c>
      <c r="O738" t="s">
        <v>187</v>
      </c>
      <c r="S738">
        <v>2507012387</v>
      </c>
      <c r="T738" t="s">
        <v>50</v>
      </c>
      <c r="U738" t="s">
        <v>122</v>
      </c>
      <c r="V738" t="s">
        <v>63</v>
      </c>
      <c r="W738" t="s">
        <v>64</v>
      </c>
      <c r="X738" t="s">
        <v>60</v>
      </c>
      <c r="Z738">
        <v>249</v>
      </c>
      <c r="AA738" t="s">
        <v>1810</v>
      </c>
      <c r="AB738" t="s">
        <v>1830</v>
      </c>
      <c r="AC738">
        <v>2604000224</v>
      </c>
      <c r="AE738">
        <v>0</v>
      </c>
      <c r="AF738">
        <v>0</v>
      </c>
      <c r="AG738">
        <v>0</v>
      </c>
      <c r="AH738">
        <v>0</v>
      </c>
      <c r="AI738" t="s">
        <v>56</v>
      </c>
      <c r="AJ738">
        <v>4.42</v>
      </c>
      <c r="AK738">
        <v>0.9</v>
      </c>
      <c r="AL738">
        <v>0.15</v>
      </c>
      <c r="AM738">
        <v>29.1</v>
      </c>
      <c r="AN738">
        <v>1.54</v>
      </c>
      <c r="AO738">
        <v>0</v>
      </c>
      <c r="AP738">
        <v>0</v>
      </c>
      <c r="AQ738" t="s">
        <v>57</v>
      </c>
      <c r="AS738" t="s">
        <v>1831</v>
      </c>
      <c r="AT738" t="s">
        <v>1831</v>
      </c>
      <c r="AU738" t="s">
        <v>1830</v>
      </c>
      <c r="AV738" t="s">
        <v>1832</v>
      </c>
      <c r="AW738" t="s">
        <v>1833</v>
      </c>
      <c r="AZ738">
        <v>35400</v>
      </c>
      <c r="BA738" t="s">
        <v>315</v>
      </c>
      <c r="BB738" t="s">
        <v>61</v>
      </c>
      <c r="BC738" t="s">
        <v>62</v>
      </c>
    </row>
    <row r="739" spans="1:55" x14ac:dyDescent="0.25">
      <c r="A739" s="1" t="str">
        <f>IF(COUNTIF(Catégories!A:A,X739)=0,"catégorie inconnue",_xlfn.XLOOKUP(X739,Catégories!A:A,Catégories!B:B))</f>
        <v>Frêt</v>
      </c>
      <c r="B739" s="1">
        <f t="shared" si="33"/>
        <v>7.0100000000000007</v>
      </c>
      <c r="C739" s="1">
        <f t="shared" si="34"/>
        <v>1.54</v>
      </c>
      <c r="D739" s="1">
        <f t="shared" si="35"/>
        <v>5.4700000000000006</v>
      </c>
      <c r="E739" s="20">
        <f>IF(AH739&lt;&gt;0,ROUNDUP(AH739,0),IF(BB739&lt;&gt;"FR","hors France",IF(AH739&lt;&gt;0,ROUNDUP(AH739,0),_xlfn.XLOOKUP(AJ739,'PA GLS'!B:B,'PA GLS'!A:A))))</f>
        <v>2</v>
      </c>
      <c r="F739">
        <v>2501382993</v>
      </c>
      <c r="G739">
        <v>1030316536</v>
      </c>
      <c r="H739" t="s">
        <v>366</v>
      </c>
      <c r="I739">
        <v>2500034092</v>
      </c>
      <c r="J739" t="s">
        <v>50</v>
      </c>
      <c r="K739">
        <v>9000009190</v>
      </c>
      <c r="L739">
        <v>46946</v>
      </c>
      <c r="M739" t="s">
        <v>51</v>
      </c>
      <c r="N739">
        <v>9000079830</v>
      </c>
      <c r="O739" t="s">
        <v>187</v>
      </c>
      <c r="S739">
        <v>2507012387</v>
      </c>
      <c r="T739" t="s">
        <v>50</v>
      </c>
      <c r="U739" t="s">
        <v>122</v>
      </c>
      <c r="V739" t="s">
        <v>63</v>
      </c>
      <c r="W739" t="s">
        <v>64</v>
      </c>
      <c r="X739" t="s">
        <v>60</v>
      </c>
      <c r="Z739">
        <v>249</v>
      </c>
      <c r="AA739" t="s">
        <v>1810</v>
      </c>
      <c r="AB739" t="s">
        <v>1838</v>
      </c>
      <c r="AC739">
        <v>2604000222</v>
      </c>
      <c r="AE739">
        <v>0</v>
      </c>
      <c r="AF739">
        <v>0</v>
      </c>
      <c r="AG739">
        <v>0</v>
      </c>
      <c r="AH739">
        <v>0</v>
      </c>
      <c r="AI739" t="s">
        <v>56</v>
      </c>
      <c r="AJ739">
        <v>4.42</v>
      </c>
      <c r="AK739">
        <v>0.9</v>
      </c>
      <c r="AL739">
        <v>0.15</v>
      </c>
      <c r="AM739">
        <v>29.1</v>
      </c>
      <c r="AN739">
        <v>1.54</v>
      </c>
      <c r="AO739">
        <v>0</v>
      </c>
      <c r="AP739">
        <v>0</v>
      </c>
      <c r="AQ739" t="s">
        <v>57</v>
      </c>
      <c r="AS739" t="s">
        <v>1839</v>
      </c>
      <c r="AT739" t="s">
        <v>1839</v>
      </c>
      <c r="AU739" t="s">
        <v>1838</v>
      </c>
      <c r="AV739" t="s">
        <v>1840</v>
      </c>
      <c r="AW739" t="s">
        <v>1841</v>
      </c>
      <c r="AZ739">
        <v>42480</v>
      </c>
      <c r="BA739" t="s">
        <v>1842</v>
      </c>
      <c r="BB739" t="s">
        <v>61</v>
      </c>
      <c r="BC739" t="s">
        <v>62</v>
      </c>
    </row>
    <row r="740" spans="1:55" x14ac:dyDescent="0.25">
      <c r="A740" s="1" t="str">
        <f>IF(COUNTIF(Catégories!A:A,X740)=0,"catégorie inconnue",_xlfn.XLOOKUP(X740,Catégories!A:A,Catégories!B:B))</f>
        <v>Frêt</v>
      </c>
      <c r="B740" s="1">
        <f t="shared" si="33"/>
        <v>7.0100000000000007</v>
      </c>
      <c r="C740" s="1">
        <f t="shared" si="34"/>
        <v>1.54</v>
      </c>
      <c r="D740" s="1">
        <f t="shared" si="35"/>
        <v>5.4700000000000006</v>
      </c>
      <c r="E740" s="20">
        <f>IF(AH740&lt;&gt;0,ROUNDUP(AH740,0),IF(BB740&lt;&gt;"FR","hors France",IF(AH740&lt;&gt;0,ROUNDUP(AH740,0),_xlfn.XLOOKUP(AJ740,'PA GLS'!B:B,'PA GLS'!A:A))))</f>
        <v>2</v>
      </c>
      <c r="F740">
        <v>2501382993</v>
      </c>
      <c r="G740">
        <v>1030316536</v>
      </c>
      <c r="H740" t="s">
        <v>366</v>
      </c>
      <c r="I740">
        <v>2500034092</v>
      </c>
      <c r="J740" t="s">
        <v>50</v>
      </c>
      <c r="K740">
        <v>9000009190</v>
      </c>
      <c r="L740">
        <v>46946</v>
      </c>
      <c r="M740" t="s">
        <v>51</v>
      </c>
      <c r="N740">
        <v>9000079830</v>
      </c>
      <c r="O740" t="s">
        <v>187</v>
      </c>
      <c r="S740">
        <v>2507012387</v>
      </c>
      <c r="T740" t="s">
        <v>50</v>
      </c>
      <c r="U740" t="s">
        <v>122</v>
      </c>
      <c r="V740" t="s">
        <v>63</v>
      </c>
      <c r="W740" t="s">
        <v>64</v>
      </c>
      <c r="X740" t="s">
        <v>60</v>
      </c>
      <c r="Z740">
        <v>249</v>
      </c>
      <c r="AA740" t="s">
        <v>1810</v>
      </c>
      <c r="AB740" t="s">
        <v>1843</v>
      </c>
      <c r="AC740">
        <v>2604000221</v>
      </c>
      <c r="AE740">
        <v>0</v>
      </c>
      <c r="AF740">
        <v>0</v>
      </c>
      <c r="AG740">
        <v>0</v>
      </c>
      <c r="AH740">
        <v>0</v>
      </c>
      <c r="AI740" t="s">
        <v>56</v>
      </c>
      <c r="AJ740">
        <v>4.42</v>
      </c>
      <c r="AK740">
        <v>0.9</v>
      </c>
      <c r="AL740">
        <v>0.15</v>
      </c>
      <c r="AM740">
        <v>29.1</v>
      </c>
      <c r="AN740">
        <v>1.54</v>
      </c>
      <c r="AO740">
        <v>0</v>
      </c>
      <c r="AP740">
        <v>0</v>
      </c>
      <c r="AQ740" t="s">
        <v>57</v>
      </c>
      <c r="AS740" t="s">
        <v>1844</v>
      </c>
      <c r="AT740" t="s">
        <v>1844</v>
      </c>
      <c r="AU740" t="s">
        <v>1843</v>
      </c>
      <c r="AV740" t="s">
        <v>1845</v>
      </c>
      <c r="AW740" t="s">
        <v>1846</v>
      </c>
      <c r="AZ740">
        <v>40230</v>
      </c>
      <c r="BA740" t="s">
        <v>1847</v>
      </c>
      <c r="BB740" t="s">
        <v>61</v>
      </c>
      <c r="BC740" t="s">
        <v>62</v>
      </c>
    </row>
    <row r="741" spans="1:55" x14ac:dyDescent="0.25">
      <c r="A741" s="1" t="str">
        <f>IF(COUNTIF(Catégories!A:A,X741)=0,"catégorie inconnue",_xlfn.XLOOKUP(X741,Catégories!A:A,Catégories!B:B))</f>
        <v>Frêt - avisé</v>
      </c>
      <c r="B741" s="1">
        <f t="shared" si="33"/>
        <v>0</v>
      </c>
      <c r="C741" s="1">
        <f t="shared" si="34"/>
        <v>0</v>
      </c>
      <c r="D741" s="1">
        <f t="shared" si="35"/>
        <v>0</v>
      </c>
      <c r="E741" s="20" t="e">
        <f>IF(AH741&lt;&gt;0,ROUNDUP(AH741,0),IF(BB741&lt;&gt;"FR","hors France",IF(AH741&lt;&gt;0,ROUNDUP(AH741,0),_xlfn.XLOOKUP(AJ741,'PA GLS'!B:B,'PA GLS'!A:A))))</f>
        <v>#N/A</v>
      </c>
      <c r="F741">
        <v>2501382993</v>
      </c>
      <c r="G741">
        <v>1030316536</v>
      </c>
      <c r="H741" t="s">
        <v>366</v>
      </c>
      <c r="I741">
        <v>2500034092</v>
      </c>
      <c r="J741" t="s">
        <v>50</v>
      </c>
      <c r="K741">
        <v>9000009190</v>
      </c>
      <c r="L741">
        <v>46946</v>
      </c>
      <c r="M741" t="s">
        <v>51</v>
      </c>
      <c r="N741">
        <v>9000079830</v>
      </c>
      <c r="O741" t="s">
        <v>187</v>
      </c>
      <c r="S741">
        <v>2507012387</v>
      </c>
      <c r="T741" t="s">
        <v>50</v>
      </c>
      <c r="U741" t="s">
        <v>122</v>
      </c>
      <c r="V741" t="s">
        <v>178</v>
      </c>
      <c r="W741" t="s">
        <v>179</v>
      </c>
      <c r="X741" t="s">
        <v>79</v>
      </c>
      <c r="Z741">
        <v>254</v>
      </c>
      <c r="AA741" t="s">
        <v>1810</v>
      </c>
      <c r="AB741" t="s">
        <v>1730</v>
      </c>
      <c r="AC741">
        <v>2604000198</v>
      </c>
      <c r="AE741">
        <v>0</v>
      </c>
      <c r="AF741">
        <v>0</v>
      </c>
      <c r="AG741">
        <v>0</v>
      </c>
      <c r="AH741">
        <v>0</v>
      </c>
      <c r="AI741" t="s">
        <v>56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 t="s">
        <v>57</v>
      </c>
      <c r="AS741" t="s">
        <v>1731</v>
      </c>
      <c r="AT741" t="s">
        <v>1731</v>
      </c>
      <c r="AU741" t="s">
        <v>1730</v>
      </c>
      <c r="AV741" t="s">
        <v>1732</v>
      </c>
      <c r="AW741" t="s">
        <v>1733</v>
      </c>
      <c r="AZ741">
        <v>13960</v>
      </c>
      <c r="BA741" t="s">
        <v>1734</v>
      </c>
      <c r="BB741" t="s">
        <v>61</v>
      </c>
      <c r="BC741" t="s">
        <v>62</v>
      </c>
    </row>
    <row r="742" spans="1:55" x14ac:dyDescent="0.25">
      <c r="A742" s="1" t="str">
        <f>IF(COUNTIF(Catégories!A:A,X742)=0,"catégorie inconnue",_xlfn.XLOOKUP(X742,Catégories!A:A,Catégories!B:B))</f>
        <v>Frêt - avisé</v>
      </c>
      <c r="B742" s="1">
        <f t="shared" si="33"/>
        <v>0</v>
      </c>
      <c r="C742" s="1">
        <f t="shared" si="34"/>
        <v>0</v>
      </c>
      <c r="D742" s="1">
        <f t="shared" si="35"/>
        <v>0</v>
      </c>
      <c r="E742" s="20" t="e">
        <f>IF(AH742&lt;&gt;0,ROUNDUP(AH742,0),IF(BB742&lt;&gt;"FR","hors France",IF(AH742&lt;&gt;0,ROUNDUP(AH742,0),_xlfn.XLOOKUP(AJ742,'PA GLS'!B:B,'PA GLS'!A:A))))</f>
        <v>#N/A</v>
      </c>
      <c r="F742">
        <v>2501382993</v>
      </c>
      <c r="G742">
        <v>1030316536</v>
      </c>
      <c r="H742" t="s">
        <v>366</v>
      </c>
      <c r="I742">
        <v>2500034092</v>
      </c>
      <c r="J742" t="s">
        <v>50</v>
      </c>
      <c r="K742">
        <v>9000009190</v>
      </c>
      <c r="L742">
        <v>46946</v>
      </c>
      <c r="M742" t="s">
        <v>51</v>
      </c>
      <c r="N742">
        <v>9000079830</v>
      </c>
      <c r="O742" t="s">
        <v>187</v>
      </c>
      <c r="S742">
        <v>2507012387</v>
      </c>
      <c r="T742" t="s">
        <v>50</v>
      </c>
      <c r="U742" t="s">
        <v>122</v>
      </c>
      <c r="V742" t="s">
        <v>178</v>
      </c>
      <c r="W742" t="s">
        <v>179</v>
      </c>
      <c r="X742" t="s">
        <v>79</v>
      </c>
      <c r="Z742">
        <v>254</v>
      </c>
      <c r="AA742" t="s">
        <v>1810</v>
      </c>
      <c r="AB742" t="s">
        <v>1558</v>
      </c>
      <c r="AC742">
        <v>2604000142</v>
      </c>
      <c r="AE742">
        <v>0</v>
      </c>
      <c r="AF742">
        <v>0</v>
      </c>
      <c r="AG742">
        <v>0</v>
      </c>
      <c r="AH742">
        <v>0</v>
      </c>
      <c r="AI742" t="s">
        <v>56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 t="s">
        <v>57</v>
      </c>
      <c r="AS742" t="s">
        <v>1559</v>
      </c>
      <c r="AT742" t="s">
        <v>1559</v>
      </c>
      <c r="AU742" t="s">
        <v>1558</v>
      </c>
      <c r="AV742" t="s">
        <v>1560</v>
      </c>
      <c r="AW742" t="s">
        <v>1561</v>
      </c>
      <c r="AZ742">
        <v>14000</v>
      </c>
      <c r="BA742" t="s">
        <v>854</v>
      </c>
      <c r="BB742" t="s">
        <v>61</v>
      </c>
      <c r="BC742" t="s">
        <v>62</v>
      </c>
    </row>
    <row r="743" spans="1:55" x14ac:dyDescent="0.25">
      <c r="A743" s="1" t="str">
        <f>IF(COUNTIF(Catégories!A:A,X743)=0,"catégorie inconnue",_xlfn.XLOOKUP(X743,Catégories!A:A,Catégories!B:B))</f>
        <v>Frêt - avisé</v>
      </c>
      <c r="B743" s="1">
        <f t="shared" si="33"/>
        <v>0</v>
      </c>
      <c r="C743" s="1">
        <f t="shared" si="34"/>
        <v>0</v>
      </c>
      <c r="D743" s="1">
        <f t="shared" si="35"/>
        <v>0</v>
      </c>
      <c r="E743" s="20" t="e">
        <f>IF(AH743&lt;&gt;0,ROUNDUP(AH743,0),IF(BB743&lt;&gt;"FR","hors France",IF(AH743&lt;&gt;0,ROUNDUP(AH743,0),_xlfn.XLOOKUP(AJ743,'PA GLS'!B:B,'PA GLS'!A:A))))</f>
        <v>#N/A</v>
      </c>
      <c r="F743">
        <v>2501382993</v>
      </c>
      <c r="G743">
        <v>1030316536</v>
      </c>
      <c r="H743" t="s">
        <v>366</v>
      </c>
      <c r="I743">
        <v>2500034092</v>
      </c>
      <c r="J743" t="s">
        <v>50</v>
      </c>
      <c r="K743">
        <v>9000009190</v>
      </c>
      <c r="L743">
        <v>46946</v>
      </c>
      <c r="M743" t="s">
        <v>51</v>
      </c>
      <c r="N743">
        <v>9000079830</v>
      </c>
      <c r="O743" t="s">
        <v>187</v>
      </c>
      <c r="S743">
        <v>2507012387</v>
      </c>
      <c r="T743" t="s">
        <v>50</v>
      </c>
      <c r="U743" t="s">
        <v>122</v>
      </c>
      <c r="V743" t="s">
        <v>178</v>
      </c>
      <c r="W743" t="s">
        <v>179</v>
      </c>
      <c r="X743" t="s">
        <v>79</v>
      </c>
      <c r="Z743">
        <v>254</v>
      </c>
      <c r="AA743" t="s">
        <v>1810</v>
      </c>
      <c r="AB743" t="s">
        <v>1241</v>
      </c>
      <c r="AC743">
        <v>2604000125</v>
      </c>
      <c r="AE743">
        <v>0</v>
      </c>
      <c r="AF743">
        <v>0</v>
      </c>
      <c r="AG743">
        <v>0</v>
      </c>
      <c r="AH743">
        <v>0</v>
      </c>
      <c r="AI743" t="s">
        <v>56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 t="s">
        <v>57</v>
      </c>
      <c r="AS743" t="s">
        <v>1242</v>
      </c>
      <c r="AT743" t="s">
        <v>1242</v>
      </c>
      <c r="AU743" t="s">
        <v>1241</v>
      </c>
      <c r="AV743" t="s">
        <v>1243</v>
      </c>
      <c r="AW743" t="s">
        <v>1244</v>
      </c>
      <c r="AZ743">
        <v>56000</v>
      </c>
      <c r="BA743" t="s">
        <v>1245</v>
      </c>
      <c r="BB743" t="s">
        <v>61</v>
      </c>
      <c r="BC743" t="s">
        <v>62</v>
      </c>
    </row>
    <row r="744" spans="1:55" x14ac:dyDescent="0.25">
      <c r="A744" s="1" t="str">
        <f>IF(COUNTIF(Catégories!A:A,X744)=0,"catégorie inconnue",_xlfn.XLOOKUP(X744,Catégories!A:A,Catégories!B:B))</f>
        <v>Adresse</v>
      </c>
      <c r="B744" s="1">
        <f t="shared" si="33"/>
        <v>3.04</v>
      </c>
      <c r="C744" s="1">
        <f t="shared" si="34"/>
        <v>0.68</v>
      </c>
      <c r="D744" s="1">
        <f t="shared" si="35"/>
        <v>2.36</v>
      </c>
      <c r="E744" s="20" t="e">
        <f>IF(AH744&lt;&gt;0,ROUNDUP(AH744,0),IF(BB744&lt;&gt;"FR","hors France",IF(AH744&lt;&gt;0,ROUNDUP(AH744,0),_xlfn.XLOOKUP(AJ744,'PA GLS'!B:B,'PA GLS'!A:A))))</f>
        <v>#N/A</v>
      </c>
      <c r="F744">
        <v>2501382993</v>
      </c>
      <c r="G744">
        <v>1030316536</v>
      </c>
      <c r="H744" t="s">
        <v>366</v>
      </c>
      <c r="I744">
        <v>2500034092</v>
      </c>
      <c r="J744" t="s">
        <v>50</v>
      </c>
      <c r="K744">
        <v>9000009190</v>
      </c>
      <c r="L744">
        <v>46946</v>
      </c>
      <c r="M744" t="s">
        <v>51</v>
      </c>
      <c r="N744">
        <v>9000079830</v>
      </c>
      <c r="O744" t="s">
        <v>187</v>
      </c>
      <c r="S744">
        <v>2507012387</v>
      </c>
      <c r="T744" t="s">
        <v>50</v>
      </c>
      <c r="U744" t="s">
        <v>122</v>
      </c>
      <c r="V744" t="s">
        <v>651</v>
      </c>
      <c r="W744" t="s">
        <v>233</v>
      </c>
      <c r="X744" t="s">
        <v>163</v>
      </c>
      <c r="Z744">
        <v>253</v>
      </c>
      <c r="AA744" t="s">
        <v>1810</v>
      </c>
      <c r="AB744" t="s">
        <v>1730</v>
      </c>
      <c r="AC744">
        <v>2604000198</v>
      </c>
      <c r="AE744">
        <v>0</v>
      </c>
      <c r="AF744">
        <v>0</v>
      </c>
      <c r="AG744">
        <v>0</v>
      </c>
      <c r="AH744">
        <v>0</v>
      </c>
      <c r="AI744" t="s">
        <v>56</v>
      </c>
      <c r="AJ744">
        <v>2.36</v>
      </c>
      <c r="AK744">
        <v>0</v>
      </c>
      <c r="AL744">
        <v>0</v>
      </c>
      <c r="AM744">
        <v>29.1</v>
      </c>
      <c r="AN744">
        <v>0.68</v>
      </c>
      <c r="AO744">
        <v>0</v>
      </c>
      <c r="AP744">
        <v>0</v>
      </c>
      <c r="AQ744" t="s">
        <v>57</v>
      </c>
      <c r="AS744" t="s">
        <v>1731</v>
      </c>
      <c r="AT744" t="s">
        <v>1731</v>
      </c>
      <c r="AU744" t="s">
        <v>1730</v>
      </c>
      <c r="AV744" t="s">
        <v>1732</v>
      </c>
      <c r="AW744" t="s">
        <v>1733</v>
      </c>
      <c r="AZ744">
        <v>13960</v>
      </c>
      <c r="BA744" t="s">
        <v>1734</v>
      </c>
      <c r="BB744" t="s">
        <v>61</v>
      </c>
      <c r="BC744" t="s">
        <v>62</v>
      </c>
    </row>
    <row r="745" spans="1:55" x14ac:dyDescent="0.25">
      <c r="A745" s="1" t="str">
        <f>IF(COUNTIF(Catégories!A:A,X745)=0,"catégorie inconnue",_xlfn.XLOOKUP(X745,Catégories!A:A,Catégories!B:B))</f>
        <v>Frêt</v>
      </c>
      <c r="B745" s="1">
        <f t="shared" si="33"/>
        <v>8.870000000000001</v>
      </c>
      <c r="C745" s="1">
        <f t="shared" si="34"/>
        <v>1.96</v>
      </c>
      <c r="D745" s="1">
        <f t="shared" si="35"/>
        <v>6.910000000000001</v>
      </c>
      <c r="E745" s="20">
        <f>IF(AH745&lt;&gt;0,ROUNDUP(AH745,0),IF(BB745&lt;&gt;"FR","hors France",IF(AH745&lt;&gt;0,ROUNDUP(AH745,0),_xlfn.XLOOKUP(AJ745,'PA GLS'!B:B,'PA GLS'!A:A))))</f>
        <v>5</v>
      </c>
      <c r="F745">
        <v>2501382993</v>
      </c>
      <c r="G745">
        <v>1030316536</v>
      </c>
      <c r="H745" t="s">
        <v>366</v>
      </c>
      <c r="I745">
        <v>2500034092</v>
      </c>
      <c r="J745" t="s">
        <v>50</v>
      </c>
      <c r="K745">
        <v>9000009190</v>
      </c>
      <c r="L745">
        <v>46946</v>
      </c>
      <c r="M745" t="s">
        <v>51</v>
      </c>
      <c r="N745">
        <v>9000079830</v>
      </c>
      <c r="O745" t="s">
        <v>187</v>
      </c>
      <c r="S745">
        <v>2507012387</v>
      </c>
      <c r="T745" t="s">
        <v>50</v>
      </c>
      <c r="U745" t="s">
        <v>122</v>
      </c>
      <c r="V745" t="s">
        <v>265</v>
      </c>
      <c r="W745" t="s">
        <v>266</v>
      </c>
      <c r="X745" t="s">
        <v>60</v>
      </c>
      <c r="Z745">
        <v>252</v>
      </c>
      <c r="AA745" t="s">
        <v>1810</v>
      </c>
      <c r="AB745" t="s">
        <v>1906</v>
      </c>
      <c r="AC745">
        <v>2604000235</v>
      </c>
      <c r="AE745">
        <v>0</v>
      </c>
      <c r="AF745">
        <v>0</v>
      </c>
      <c r="AG745">
        <v>0</v>
      </c>
      <c r="AH745">
        <v>0</v>
      </c>
      <c r="AI745" t="s">
        <v>56</v>
      </c>
      <c r="AJ745">
        <v>5.86</v>
      </c>
      <c r="AK745">
        <v>0.9</v>
      </c>
      <c r="AL745">
        <v>0.15</v>
      </c>
      <c r="AM745">
        <v>29.1</v>
      </c>
      <c r="AN745">
        <v>1.96</v>
      </c>
      <c r="AO745">
        <v>0</v>
      </c>
      <c r="AP745">
        <v>0</v>
      </c>
      <c r="AQ745" t="s">
        <v>57</v>
      </c>
      <c r="AS745" t="s">
        <v>1907</v>
      </c>
      <c r="AT745" t="s">
        <v>1907</v>
      </c>
      <c r="AU745" t="s">
        <v>1906</v>
      </c>
      <c r="AV745" t="s">
        <v>1908</v>
      </c>
      <c r="AW745" t="s">
        <v>1909</v>
      </c>
      <c r="AZ745">
        <v>33500</v>
      </c>
      <c r="BA745" t="s">
        <v>1910</v>
      </c>
      <c r="BB745" t="s">
        <v>61</v>
      </c>
      <c r="BC745" t="s">
        <v>62</v>
      </c>
    </row>
    <row r="746" spans="1:55" x14ac:dyDescent="0.25">
      <c r="A746" s="1" t="str">
        <f>IF(COUNTIF(Catégories!A:A,X746)=0,"catégorie inconnue",_xlfn.XLOOKUP(X746,Catégories!A:A,Catégories!B:B))</f>
        <v>Frêt</v>
      </c>
      <c r="B746" s="1">
        <f t="shared" si="33"/>
        <v>0</v>
      </c>
      <c r="C746" s="1">
        <f t="shared" si="34"/>
        <v>0</v>
      </c>
      <c r="D746" s="1">
        <f t="shared" si="35"/>
        <v>0</v>
      </c>
      <c r="E746" s="20">
        <f>IF(AH746&lt;&gt;0,ROUNDUP(AH746,0),IF(BB746&lt;&gt;"FR","hors France",IF(AH746&lt;&gt;0,ROUNDUP(AH746,0),_xlfn.XLOOKUP(AJ746,'PA GLS'!B:B,'PA GLS'!A:A))))</f>
        <v>3</v>
      </c>
      <c r="F746">
        <v>2501382993</v>
      </c>
      <c r="G746">
        <v>1030316574</v>
      </c>
      <c r="H746" t="s">
        <v>366</v>
      </c>
      <c r="I746">
        <v>2500034092</v>
      </c>
      <c r="J746" t="s">
        <v>50</v>
      </c>
      <c r="K746">
        <v>9000009190</v>
      </c>
      <c r="L746">
        <v>46946</v>
      </c>
      <c r="M746" t="s">
        <v>51</v>
      </c>
      <c r="N746">
        <v>9000079830</v>
      </c>
      <c r="O746" t="s">
        <v>187</v>
      </c>
      <c r="S746">
        <v>2507012387</v>
      </c>
      <c r="T746" t="s">
        <v>50</v>
      </c>
      <c r="U746" t="s">
        <v>122</v>
      </c>
      <c r="V746" t="s">
        <v>176</v>
      </c>
      <c r="W746" t="s">
        <v>177</v>
      </c>
      <c r="X746" t="s">
        <v>152</v>
      </c>
      <c r="Z746">
        <v>255</v>
      </c>
      <c r="AA746" t="s">
        <v>1951</v>
      </c>
      <c r="AB746" t="s">
        <v>1952</v>
      </c>
      <c r="AC746">
        <v>2604000239</v>
      </c>
      <c r="AE746">
        <v>0</v>
      </c>
      <c r="AF746">
        <v>1</v>
      </c>
      <c r="AG746">
        <v>0</v>
      </c>
      <c r="AH746">
        <v>2.78</v>
      </c>
      <c r="AI746" t="s">
        <v>56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 t="s">
        <v>57</v>
      </c>
      <c r="AS746" t="s">
        <v>1953</v>
      </c>
      <c r="AT746" t="s">
        <v>1953</v>
      </c>
      <c r="AU746" t="s">
        <v>1952</v>
      </c>
      <c r="AV746" t="s">
        <v>1954</v>
      </c>
      <c r="AW746" t="s">
        <v>1955</v>
      </c>
      <c r="AZ746">
        <v>94400</v>
      </c>
      <c r="BA746" t="s">
        <v>1956</v>
      </c>
      <c r="BB746" t="s">
        <v>61</v>
      </c>
      <c r="BC746" t="s">
        <v>62</v>
      </c>
    </row>
    <row r="747" spans="1:55" x14ac:dyDescent="0.25">
      <c r="A747" s="1" t="str">
        <f>IF(COUNTIF(Catégories!A:A,X747)=0,"catégorie inconnue",_xlfn.XLOOKUP(X747,Catégories!A:A,Catégories!B:B))</f>
        <v>Frêt</v>
      </c>
      <c r="B747" s="1">
        <f t="shared" si="33"/>
        <v>0</v>
      </c>
      <c r="C747" s="1">
        <f t="shared" si="34"/>
        <v>0</v>
      </c>
      <c r="D747" s="1">
        <f t="shared" si="35"/>
        <v>0</v>
      </c>
      <c r="E747" s="20">
        <f>IF(AH747&lt;&gt;0,ROUNDUP(AH747,0),IF(BB747&lt;&gt;"FR","hors France",IF(AH747&lt;&gt;0,ROUNDUP(AH747,0),_xlfn.XLOOKUP(AJ747,'PA GLS'!B:B,'PA GLS'!A:A))))</f>
        <v>2</v>
      </c>
      <c r="F747">
        <v>2501382993</v>
      </c>
      <c r="G747">
        <v>1030316574</v>
      </c>
      <c r="H747" t="s">
        <v>366</v>
      </c>
      <c r="I747">
        <v>2500034092</v>
      </c>
      <c r="J747" t="s">
        <v>50</v>
      </c>
      <c r="K747">
        <v>9000009190</v>
      </c>
      <c r="L747">
        <v>46946</v>
      </c>
      <c r="M747" t="s">
        <v>51</v>
      </c>
      <c r="N747">
        <v>9000079830</v>
      </c>
      <c r="O747" t="s">
        <v>187</v>
      </c>
      <c r="S747">
        <v>2507012387</v>
      </c>
      <c r="T747" t="s">
        <v>50</v>
      </c>
      <c r="U747" t="s">
        <v>122</v>
      </c>
      <c r="V747" t="s">
        <v>176</v>
      </c>
      <c r="W747" t="s">
        <v>177</v>
      </c>
      <c r="X747" t="s">
        <v>152</v>
      </c>
      <c r="Z747">
        <v>255</v>
      </c>
      <c r="AA747" t="s">
        <v>1951</v>
      </c>
      <c r="AB747" t="s">
        <v>1957</v>
      </c>
      <c r="AC747">
        <v>2604000240</v>
      </c>
      <c r="AE747">
        <v>0</v>
      </c>
      <c r="AF747">
        <v>1</v>
      </c>
      <c r="AG747">
        <v>0</v>
      </c>
      <c r="AH747">
        <v>1.1100000000000001</v>
      </c>
      <c r="AI747" t="s">
        <v>56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 t="s">
        <v>57</v>
      </c>
      <c r="AS747" t="s">
        <v>1958</v>
      </c>
      <c r="AT747" t="s">
        <v>1958</v>
      </c>
      <c r="AU747" t="s">
        <v>1957</v>
      </c>
      <c r="AV747" t="s">
        <v>1959</v>
      </c>
      <c r="AW747" t="s">
        <v>1960</v>
      </c>
      <c r="AZ747">
        <v>74380</v>
      </c>
      <c r="BA747" t="s">
        <v>1961</v>
      </c>
      <c r="BB747" t="s">
        <v>61</v>
      </c>
      <c r="BC747" t="s">
        <v>62</v>
      </c>
    </row>
    <row r="748" spans="1:55" x14ac:dyDescent="0.25">
      <c r="A748" s="1" t="str">
        <f>IF(COUNTIF(Catégories!A:A,X748)=0,"catégorie inconnue",_xlfn.XLOOKUP(X748,Catégories!A:A,Catégories!B:B))</f>
        <v>Frêt</v>
      </c>
      <c r="B748" s="1">
        <f t="shared" si="33"/>
        <v>0</v>
      </c>
      <c r="C748" s="1">
        <f t="shared" si="34"/>
        <v>0</v>
      </c>
      <c r="D748" s="1">
        <f t="shared" si="35"/>
        <v>0</v>
      </c>
      <c r="E748" s="20">
        <f>IF(AH748&lt;&gt;0,ROUNDUP(AH748,0),IF(BB748&lt;&gt;"FR","hors France",IF(AH748&lt;&gt;0,ROUNDUP(AH748,0),_xlfn.XLOOKUP(AJ748,'PA GLS'!B:B,'PA GLS'!A:A))))</f>
        <v>2</v>
      </c>
      <c r="F748">
        <v>2501382993</v>
      </c>
      <c r="G748">
        <v>1030316574</v>
      </c>
      <c r="H748" t="s">
        <v>366</v>
      </c>
      <c r="I748">
        <v>2500034092</v>
      </c>
      <c r="J748" t="s">
        <v>50</v>
      </c>
      <c r="K748">
        <v>9000009190</v>
      </c>
      <c r="L748">
        <v>46946</v>
      </c>
      <c r="M748" t="s">
        <v>51</v>
      </c>
      <c r="N748">
        <v>9000079830</v>
      </c>
      <c r="O748" t="s">
        <v>187</v>
      </c>
      <c r="S748">
        <v>2507012387</v>
      </c>
      <c r="T748" t="s">
        <v>50</v>
      </c>
      <c r="U748" t="s">
        <v>122</v>
      </c>
      <c r="V748" t="s">
        <v>176</v>
      </c>
      <c r="W748" t="s">
        <v>177</v>
      </c>
      <c r="X748" t="s">
        <v>152</v>
      </c>
      <c r="Z748">
        <v>255</v>
      </c>
      <c r="AA748" t="s">
        <v>1951</v>
      </c>
      <c r="AB748" t="s">
        <v>1962</v>
      </c>
      <c r="AC748">
        <v>2604000241</v>
      </c>
      <c r="AE748">
        <v>0</v>
      </c>
      <c r="AF748">
        <v>1</v>
      </c>
      <c r="AG748">
        <v>0</v>
      </c>
      <c r="AH748">
        <v>1.65</v>
      </c>
      <c r="AI748" t="s">
        <v>56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 t="s">
        <v>57</v>
      </c>
      <c r="AS748" t="s">
        <v>1963</v>
      </c>
      <c r="AT748" t="s">
        <v>1963</v>
      </c>
      <c r="AU748" t="s">
        <v>1962</v>
      </c>
      <c r="AV748" t="s">
        <v>1964</v>
      </c>
      <c r="AW748" t="s">
        <v>1965</v>
      </c>
      <c r="AZ748">
        <v>78800</v>
      </c>
      <c r="BA748" t="s">
        <v>1966</v>
      </c>
      <c r="BB748" t="s">
        <v>61</v>
      </c>
      <c r="BC748" t="s">
        <v>62</v>
      </c>
    </row>
    <row r="749" spans="1:55" x14ac:dyDescent="0.25">
      <c r="A749" s="1" t="str">
        <f>IF(COUNTIF(Catégories!A:A,X749)=0,"catégorie inconnue",_xlfn.XLOOKUP(X749,Catégories!A:A,Catégories!B:B))</f>
        <v>Frêt</v>
      </c>
      <c r="B749" s="1">
        <f t="shared" si="33"/>
        <v>0</v>
      </c>
      <c r="C749" s="1">
        <f t="shared" si="34"/>
        <v>0</v>
      </c>
      <c r="D749" s="1">
        <f t="shared" si="35"/>
        <v>0</v>
      </c>
      <c r="E749" s="20">
        <f>IF(AH749&lt;&gt;0,ROUNDUP(AH749,0),IF(BB749&lt;&gt;"FR","hors France",IF(AH749&lt;&gt;0,ROUNDUP(AH749,0),_xlfn.XLOOKUP(AJ749,'PA GLS'!B:B,'PA GLS'!A:A))))</f>
        <v>2</v>
      </c>
      <c r="F749">
        <v>2501382993</v>
      </c>
      <c r="G749">
        <v>1030316574</v>
      </c>
      <c r="H749" t="s">
        <v>366</v>
      </c>
      <c r="I749">
        <v>2500034092</v>
      </c>
      <c r="J749" t="s">
        <v>50</v>
      </c>
      <c r="K749">
        <v>9000009190</v>
      </c>
      <c r="L749">
        <v>46946</v>
      </c>
      <c r="M749" t="s">
        <v>51</v>
      </c>
      <c r="N749">
        <v>9000079830</v>
      </c>
      <c r="O749" t="s">
        <v>187</v>
      </c>
      <c r="S749">
        <v>2507012387</v>
      </c>
      <c r="T749" t="s">
        <v>50</v>
      </c>
      <c r="U749" t="s">
        <v>122</v>
      </c>
      <c r="V749" t="s">
        <v>176</v>
      </c>
      <c r="W749" t="s">
        <v>177</v>
      </c>
      <c r="X749" t="s">
        <v>152</v>
      </c>
      <c r="Z749">
        <v>255</v>
      </c>
      <c r="AA749" t="s">
        <v>1951</v>
      </c>
      <c r="AB749" t="s">
        <v>1967</v>
      </c>
      <c r="AC749">
        <v>2604000242</v>
      </c>
      <c r="AE749">
        <v>0</v>
      </c>
      <c r="AF749">
        <v>1</v>
      </c>
      <c r="AG749">
        <v>0</v>
      </c>
      <c r="AH749">
        <v>1.1100000000000001</v>
      </c>
      <c r="AI749" t="s">
        <v>56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 t="s">
        <v>57</v>
      </c>
      <c r="AS749" t="s">
        <v>1968</v>
      </c>
      <c r="AT749" t="s">
        <v>1968</v>
      </c>
      <c r="AU749" t="s">
        <v>1967</v>
      </c>
      <c r="AV749" t="s">
        <v>1969</v>
      </c>
      <c r="AW749" t="s">
        <v>1970</v>
      </c>
      <c r="AZ749">
        <v>75019</v>
      </c>
      <c r="BA749" t="s">
        <v>65</v>
      </c>
      <c r="BB749" t="s">
        <v>61</v>
      </c>
      <c r="BC749" t="s">
        <v>62</v>
      </c>
    </row>
    <row r="750" spans="1:55" x14ac:dyDescent="0.25">
      <c r="A750" s="1" t="str">
        <f>IF(COUNTIF(Catégories!A:A,X750)=0,"catégorie inconnue",_xlfn.XLOOKUP(X750,Catégories!A:A,Catégories!B:B))</f>
        <v>Frêt</v>
      </c>
      <c r="B750" s="1">
        <f t="shared" si="33"/>
        <v>0</v>
      </c>
      <c r="C750" s="1">
        <f t="shared" si="34"/>
        <v>0</v>
      </c>
      <c r="D750" s="1">
        <f t="shared" si="35"/>
        <v>0</v>
      </c>
      <c r="E750" s="20">
        <f>IF(AH750&lt;&gt;0,ROUNDUP(AH750,0),IF(BB750&lt;&gt;"FR","hors France",IF(AH750&lt;&gt;0,ROUNDUP(AH750,0),_xlfn.XLOOKUP(AJ750,'PA GLS'!B:B,'PA GLS'!A:A))))</f>
        <v>2</v>
      </c>
      <c r="F750">
        <v>2501382993</v>
      </c>
      <c r="G750">
        <v>1030316574</v>
      </c>
      <c r="H750" t="s">
        <v>366</v>
      </c>
      <c r="I750">
        <v>2500034092</v>
      </c>
      <c r="J750" t="s">
        <v>50</v>
      </c>
      <c r="K750">
        <v>9000009190</v>
      </c>
      <c r="L750">
        <v>46946</v>
      </c>
      <c r="M750" t="s">
        <v>51</v>
      </c>
      <c r="N750">
        <v>9000079830</v>
      </c>
      <c r="O750" t="s">
        <v>187</v>
      </c>
      <c r="S750">
        <v>2507012387</v>
      </c>
      <c r="T750" t="s">
        <v>50</v>
      </c>
      <c r="U750" t="s">
        <v>122</v>
      </c>
      <c r="V750" t="s">
        <v>176</v>
      </c>
      <c r="W750" t="s">
        <v>177</v>
      </c>
      <c r="X750" t="s">
        <v>152</v>
      </c>
      <c r="Z750">
        <v>255</v>
      </c>
      <c r="AA750" t="s">
        <v>1951</v>
      </c>
      <c r="AB750" t="s">
        <v>1971</v>
      </c>
      <c r="AC750">
        <v>2604000243</v>
      </c>
      <c r="AE750">
        <v>0</v>
      </c>
      <c r="AF750">
        <v>1</v>
      </c>
      <c r="AG750">
        <v>0</v>
      </c>
      <c r="AH750">
        <v>1.1200000000000001</v>
      </c>
      <c r="AI750" t="s">
        <v>56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 t="s">
        <v>57</v>
      </c>
      <c r="AS750" t="s">
        <v>1972</v>
      </c>
      <c r="AT750" t="s">
        <v>1972</v>
      </c>
      <c r="AU750" t="s">
        <v>1971</v>
      </c>
      <c r="AV750" t="s">
        <v>1973</v>
      </c>
      <c r="AW750" t="s">
        <v>1974</v>
      </c>
      <c r="AZ750">
        <v>31400</v>
      </c>
      <c r="BA750" t="s">
        <v>218</v>
      </c>
      <c r="BB750" t="s">
        <v>61</v>
      </c>
      <c r="BC750" t="s">
        <v>62</v>
      </c>
    </row>
    <row r="751" spans="1:55" x14ac:dyDescent="0.25">
      <c r="A751" s="1" t="str">
        <f>IF(COUNTIF(Catégories!A:A,X751)=0,"catégorie inconnue",_xlfn.XLOOKUP(X751,Catégories!A:A,Catégories!B:B))</f>
        <v>Frêt</v>
      </c>
      <c r="B751" s="1">
        <f t="shared" si="33"/>
        <v>0</v>
      </c>
      <c r="C751" s="1">
        <f t="shared" si="34"/>
        <v>0</v>
      </c>
      <c r="D751" s="1">
        <f t="shared" si="35"/>
        <v>0</v>
      </c>
      <c r="E751" s="20">
        <f>IF(AH751&lt;&gt;0,ROUNDUP(AH751,0),IF(BB751&lt;&gt;"FR","hors France",IF(AH751&lt;&gt;0,ROUNDUP(AH751,0),_xlfn.XLOOKUP(AJ751,'PA GLS'!B:B,'PA GLS'!A:A))))</f>
        <v>1</v>
      </c>
      <c r="F751">
        <v>2501382993</v>
      </c>
      <c r="G751">
        <v>1030316574</v>
      </c>
      <c r="H751" t="s">
        <v>366</v>
      </c>
      <c r="I751">
        <v>2500034092</v>
      </c>
      <c r="J751" t="s">
        <v>50</v>
      </c>
      <c r="K751">
        <v>9000009190</v>
      </c>
      <c r="L751">
        <v>46946</v>
      </c>
      <c r="M751" t="s">
        <v>51</v>
      </c>
      <c r="N751">
        <v>9000079830</v>
      </c>
      <c r="O751" t="s">
        <v>187</v>
      </c>
      <c r="S751">
        <v>2507012387</v>
      </c>
      <c r="T751" t="s">
        <v>50</v>
      </c>
      <c r="U751" t="s">
        <v>122</v>
      </c>
      <c r="V751" t="s">
        <v>176</v>
      </c>
      <c r="W751" t="s">
        <v>177</v>
      </c>
      <c r="X751" t="s">
        <v>152</v>
      </c>
      <c r="Z751">
        <v>255</v>
      </c>
      <c r="AA751" t="s">
        <v>1951</v>
      </c>
      <c r="AB751" t="s">
        <v>1975</v>
      </c>
      <c r="AC751">
        <v>2604000244</v>
      </c>
      <c r="AE751">
        <v>0</v>
      </c>
      <c r="AF751">
        <v>1</v>
      </c>
      <c r="AG751">
        <v>0</v>
      </c>
      <c r="AH751">
        <v>0.84</v>
      </c>
      <c r="AI751" t="s">
        <v>56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 t="s">
        <v>57</v>
      </c>
      <c r="AS751" t="s">
        <v>1976</v>
      </c>
      <c r="AT751" t="s">
        <v>1976</v>
      </c>
      <c r="AU751" t="s">
        <v>1975</v>
      </c>
      <c r="AV751" t="s">
        <v>1977</v>
      </c>
      <c r="AW751" t="s">
        <v>1978</v>
      </c>
      <c r="AZ751">
        <v>6480</v>
      </c>
      <c r="BA751" t="s">
        <v>294</v>
      </c>
      <c r="BB751" t="s">
        <v>61</v>
      </c>
      <c r="BC751" t="s">
        <v>62</v>
      </c>
    </row>
    <row r="752" spans="1:55" x14ac:dyDescent="0.25">
      <c r="A752" s="1" t="str">
        <f>IF(COUNTIF(Catégories!A:A,X752)=0,"catégorie inconnue",_xlfn.XLOOKUP(X752,Catégories!A:A,Catégories!B:B))</f>
        <v>Frêt</v>
      </c>
      <c r="B752" s="1">
        <f t="shared" si="33"/>
        <v>6.6000000000000005</v>
      </c>
      <c r="C752" s="1">
        <f t="shared" si="34"/>
        <v>1.45</v>
      </c>
      <c r="D752" s="1">
        <f t="shared" si="35"/>
        <v>5.15</v>
      </c>
      <c r="E752" s="20">
        <f>IF(AH752&lt;&gt;0,ROUNDUP(AH752,0),IF(BB752&lt;&gt;"FR","hors France",IF(AH752&lt;&gt;0,ROUNDUP(AH752,0),_xlfn.XLOOKUP(AJ752,'PA GLS'!B:B,'PA GLS'!A:A))))</f>
        <v>1</v>
      </c>
      <c r="F752">
        <v>2501382993</v>
      </c>
      <c r="G752">
        <v>1030316574</v>
      </c>
      <c r="H752" t="s">
        <v>366</v>
      </c>
      <c r="I752">
        <v>2500034092</v>
      </c>
      <c r="J752" t="s">
        <v>50</v>
      </c>
      <c r="K752">
        <v>9000009190</v>
      </c>
      <c r="L752">
        <v>46946</v>
      </c>
      <c r="M752" t="s">
        <v>51</v>
      </c>
      <c r="N752">
        <v>9000079830</v>
      </c>
      <c r="O752" t="s">
        <v>187</v>
      </c>
      <c r="S752">
        <v>2507012387</v>
      </c>
      <c r="T752" t="s">
        <v>50</v>
      </c>
      <c r="U752" t="s">
        <v>122</v>
      </c>
      <c r="V752" t="s">
        <v>66</v>
      </c>
      <c r="W752" t="s">
        <v>67</v>
      </c>
      <c r="X752" t="s">
        <v>60</v>
      </c>
      <c r="Z752">
        <v>256</v>
      </c>
      <c r="AA752" t="s">
        <v>1951</v>
      </c>
      <c r="AB752" t="s">
        <v>1975</v>
      </c>
      <c r="AC752">
        <v>2604000244</v>
      </c>
      <c r="AE752">
        <v>0</v>
      </c>
      <c r="AF752">
        <v>0</v>
      </c>
      <c r="AG752">
        <v>0</v>
      </c>
      <c r="AH752">
        <v>0</v>
      </c>
      <c r="AI752" t="s">
        <v>56</v>
      </c>
      <c r="AJ752">
        <v>4.0999999999999996</v>
      </c>
      <c r="AK752">
        <v>0.9</v>
      </c>
      <c r="AL752">
        <v>0.15</v>
      </c>
      <c r="AM752">
        <v>29.1</v>
      </c>
      <c r="AN752">
        <v>1.45</v>
      </c>
      <c r="AO752">
        <v>0</v>
      </c>
      <c r="AP752">
        <v>0</v>
      </c>
      <c r="AQ752" t="s">
        <v>57</v>
      </c>
      <c r="AS752" t="s">
        <v>1976</v>
      </c>
      <c r="AT752" t="s">
        <v>1976</v>
      </c>
      <c r="AU752" t="s">
        <v>1975</v>
      </c>
      <c r="AV752" t="s">
        <v>1977</v>
      </c>
      <c r="AW752" t="s">
        <v>1978</v>
      </c>
      <c r="AZ752">
        <v>6480</v>
      </c>
      <c r="BA752" t="s">
        <v>294</v>
      </c>
      <c r="BB752" t="s">
        <v>61</v>
      </c>
      <c r="BC752" t="s">
        <v>62</v>
      </c>
    </row>
    <row r="753" spans="1:55" x14ac:dyDescent="0.25">
      <c r="A753" s="1" t="str">
        <f>IF(COUNTIF(Catégories!A:A,X753)=0,"catégorie inconnue",_xlfn.XLOOKUP(X753,Catégories!A:A,Catégories!B:B))</f>
        <v>Frêt</v>
      </c>
      <c r="B753" s="1">
        <f t="shared" si="33"/>
        <v>7.0100000000000007</v>
      </c>
      <c r="C753" s="1">
        <f t="shared" si="34"/>
        <v>1.54</v>
      </c>
      <c r="D753" s="1">
        <f t="shared" si="35"/>
        <v>5.4700000000000006</v>
      </c>
      <c r="E753" s="20">
        <f>IF(AH753&lt;&gt;0,ROUNDUP(AH753,0),IF(BB753&lt;&gt;"FR","hors France",IF(AH753&lt;&gt;0,ROUNDUP(AH753,0),_xlfn.XLOOKUP(AJ753,'PA GLS'!B:B,'PA GLS'!A:A))))</f>
        <v>2</v>
      </c>
      <c r="F753">
        <v>2501382993</v>
      </c>
      <c r="G753">
        <v>1030316574</v>
      </c>
      <c r="H753" t="s">
        <v>366</v>
      </c>
      <c r="I753">
        <v>2500034092</v>
      </c>
      <c r="J753" t="s">
        <v>50</v>
      </c>
      <c r="K753">
        <v>9000009190</v>
      </c>
      <c r="L753">
        <v>46946</v>
      </c>
      <c r="M753" t="s">
        <v>51</v>
      </c>
      <c r="N753">
        <v>9000079830</v>
      </c>
      <c r="O753" t="s">
        <v>187</v>
      </c>
      <c r="S753">
        <v>2507012387</v>
      </c>
      <c r="T753" t="s">
        <v>50</v>
      </c>
      <c r="U753" t="s">
        <v>122</v>
      </c>
      <c r="V753" t="s">
        <v>63</v>
      </c>
      <c r="W753" t="s">
        <v>64</v>
      </c>
      <c r="X753" t="s">
        <v>60</v>
      </c>
      <c r="Z753">
        <v>257</v>
      </c>
      <c r="AA753" t="s">
        <v>1951</v>
      </c>
      <c r="AB753" t="s">
        <v>1957</v>
      </c>
      <c r="AC753">
        <v>2604000240</v>
      </c>
      <c r="AE753">
        <v>0</v>
      </c>
      <c r="AF753">
        <v>0</v>
      </c>
      <c r="AG753">
        <v>0</v>
      </c>
      <c r="AH753">
        <v>0</v>
      </c>
      <c r="AI753" t="s">
        <v>56</v>
      </c>
      <c r="AJ753">
        <v>4.42</v>
      </c>
      <c r="AK753">
        <v>0.9</v>
      </c>
      <c r="AL753">
        <v>0.15</v>
      </c>
      <c r="AM753">
        <v>29.1</v>
      </c>
      <c r="AN753">
        <v>1.54</v>
      </c>
      <c r="AO753">
        <v>0</v>
      </c>
      <c r="AP753">
        <v>0</v>
      </c>
      <c r="AQ753" t="s">
        <v>57</v>
      </c>
      <c r="AS753" t="s">
        <v>1958</v>
      </c>
      <c r="AT753" t="s">
        <v>1958</v>
      </c>
      <c r="AU753" t="s">
        <v>1957</v>
      </c>
      <c r="AV753" t="s">
        <v>1959</v>
      </c>
      <c r="AW753" t="s">
        <v>1960</v>
      </c>
      <c r="AZ753">
        <v>74380</v>
      </c>
      <c r="BA753" t="s">
        <v>1961</v>
      </c>
      <c r="BB753" t="s">
        <v>61</v>
      </c>
      <c r="BC753" t="s">
        <v>62</v>
      </c>
    </row>
    <row r="754" spans="1:55" x14ac:dyDescent="0.25">
      <c r="A754" s="1" t="str">
        <f>IF(COUNTIF(Catégories!A:A,X754)=0,"catégorie inconnue",_xlfn.XLOOKUP(X754,Catégories!A:A,Catégories!B:B))</f>
        <v>Frêt</v>
      </c>
      <c r="B754" s="1">
        <f t="shared" si="33"/>
        <v>7.0100000000000007</v>
      </c>
      <c r="C754" s="1">
        <f t="shared" si="34"/>
        <v>1.54</v>
      </c>
      <c r="D754" s="1">
        <f t="shared" si="35"/>
        <v>5.4700000000000006</v>
      </c>
      <c r="E754" s="20">
        <f>IF(AH754&lt;&gt;0,ROUNDUP(AH754,0),IF(BB754&lt;&gt;"FR","hors France",IF(AH754&lt;&gt;0,ROUNDUP(AH754,0),_xlfn.XLOOKUP(AJ754,'PA GLS'!B:B,'PA GLS'!A:A))))</f>
        <v>2</v>
      </c>
      <c r="F754">
        <v>2501382993</v>
      </c>
      <c r="G754">
        <v>1030316574</v>
      </c>
      <c r="H754" t="s">
        <v>366</v>
      </c>
      <c r="I754">
        <v>2500034092</v>
      </c>
      <c r="J754" t="s">
        <v>50</v>
      </c>
      <c r="K754">
        <v>9000009190</v>
      </c>
      <c r="L754">
        <v>46946</v>
      </c>
      <c r="M754" t="s">
        <v>51</v>
      </c>
      <c r="N754">
        <v>9000079830</v>
      </c>
      <c r="O754" t="s">
        <v>187</v>
      </c>
      <c r="S754">
        <v>2507012387</v>
      </c>
      <c r="T754" t="s">
        <v>50</v>
      </c>
      <c r="U754" t="s">
        <v>122</v>
      </c>
      <c r="V754" t="s">
        <v>63</v>
      </c>
      <c r="W754" t="s">
        <v>64</v>
      </c>
      <c r="X754" t="s">
        <v>60</v>
      </c>
      <c r="Z754">
        <v>257</v>
      </c>
      <c r="AA754" t="s">
        <v>1951</v>
      </c>
      <c r="AB754" t="s">
        <v>1967</v>
      </c>
      <c r="AC754">
        <v>2604000242</v>
      </c>
      <c r="AE754">
        <v>0</v>
      </c>
      <c r="AF754">
        <v>0</v>
      </c>
      <c r="AG754">
        <v>0</v>
      </c>
      <c r="AH754">
        <v>0</v>
      </c>
      <c r="AI754" t="s">
        <v>56</v>
      </c>
      <c r="AJ754">
        <v>4.42</v>
      </c>
      <c r="AK754">
        <v>0.9</v>
      </c>
      <c r="AL754">
        <v>0.15</v>
      </c>
      <c r="AM754">
        <v>29.1</v>
      </c>
      <c r="AN754">
        <v>1.54</v>
      </c>
      <c r="AO754">
        <v>0</v>
      </c>
      <c r="AP754">
        <v>0</v>
      </c>
      <c r="AQ754" t="s">
        <v>57</v>
      </c>
      <c r="AS754" t="s">
        <v>1968</v>
      </c>
      <c r="AT754" t="s">
        <v>1968</v>
      </c>
      <c r="AU754" t="s">
        <v>1967</v>
      </c>
      <c r="AV754" t="s">
        <v>1969</v>
      </c>
      <c r="AW754" t="s">
        <v>1970</v>
      </c>
      <c r="AZ754">
        <v>75019</v>
      </c>
      <c r="BA754" t="s">
        <v>65</v>
      </c>
      <c r="BB754" t="s">
        <v>61</v>
      </c>
      <c r="BC754" t="s">
        <v>62</v>
      </c>
    </row>
    <row r="755" spans="1:55" x14ac:dyDescent="0.25">
      <c r="A755" s="1" t="str">
        <f>IF(COUNTIF(Catégories!A:A,X755)=0,"catégorie inconnue",_xlfn.XLOOKUP(X755,Catégories!A:A,Catégories!B:B))</f>
        <v>Frêt</v>
      </c>
      <c r="B755" s="1">
        <f t="shared" si="33"/>
        <v>7.0100000000000007</v>
      </c>
      <c r="C755" s="1">
        <f t="shared" si="34"/>
        <v>1.54</v>
      </c>
      <c r="D755" s="1">
        <f t="shared" si="35"/>
        <v>5.4700000000000006</v>
      </c>
      <c r="E755" s="20">
        <f>IF(AH755&lt;&gt;0,ROUNDUP(AH755,0),IF(BB755&lt;&gt;"FR","hors France",IF(AH755&lt;&gt;0,ROUNDUP(AH755,0),_xlfn.XLOOKUP(AJ755,'PA GLS'!B:B,'PA GLS'!A:A))))</f>
        <v>2</v>
      </c>
      <c r="F755">
        <v>2501382993</v>
      </c>
      <c r="G755">
        <v>1030316574</v>
      </c>
      <c r="H755" t="s">
        <v>366</v>
      </c>
      <c r="I755">
        <v>2500034092</v>
      </c>
      <c r="J755" t="s">
        <v>50</v>
      </c>
      <c r="K755">
        <v>9000009190</v>
      </c>
      <c r="L755">
        <v>46946</v>
      </c>
      <c r="M755" t="s">
        <v>51</v>
      </c>
      <c r="N755">
        <v>9000079830</v>
      </c>
      <c r="O755" t="s">
        <v>187</v>
      </c>
      <c r="S755">
        <v>2507012387</v>
      </c>
      <c r="T755" t="s">
        <v>50</v>
      </c>
      <c r="U755" t="s">
        <v>122</v>
      </c>
      <c r="V755" t="s">
        <v>63</v>
      </c>
      <c r="W755" t="s">
        <v>64</v>
      </c>
      <c r="X755" t="s">
        <v>60</v>
      </c>
      <c r="Z755">
        <v>257</v>
      </c>
      <c r="AA755" t="s">
        <v>1951</v>
      </c>
      <c r="AB755" t="s">
        <v>1971</v>
      </c>
      <c r="AC755">
        <v>2604000243</v>
      </c>
      <c r="AE755">
        <v>0</v>
      </c>
      <c r="AF755">
        <v>0</v>
      </c>
      <c r="AG755">
        <v>0</v>
      </c>
      <c r="AH755">
        <v>0</v>
      </c>
      <c r="AI755" t="s">
        <v>56</v>
      </c>
      <c r="AJ755">
        <v>4.42</v>
      </c>
      <c r="AK755">
        <v>0.9</v>
      </c>
      <c r="AL755">
        <v>0.15</v>
      </c>
      <c r="AM755">
        <v>29.1</v>
      </c>
      <c r="AN755">
        <v>1.54</v>
      </c>
      <c r="AO755">
        <v>0</v>
      </c>
      <c r="AP755">
        <v>0</v>
      </c>
      <c r="AQ755" t="s">
        <v>57</v>
      </c>
      <c r="AS755" t="s">
        <v>1972</v>
      </c>
      <c r="AT755" t="s">
        <v>1972</v>
      </c>
      <c r="AU755" t="s">
        <v>1971</v>
      </c>
      <c r="AV755" t="s">
        <v>1973</v>
      </c>
      <c r="AW755" t="s">
        <v>1974</v>
      </c>
      <c r="AZ755">
        <v>31400</v>
      </c>
      <c r="BA755" t="s">
        <v>218</v>
      </c>
      <c r="BB755" t="s">
        <v>61</v>
      </c>
      <c r="BC755" t="s">
        <v>62</v>
      </c>
    </row>
    <row r="756" spans="1:55" x14ac:dyDescent="0.25">
      <c r="A756" s="1" t="str">
        <f>IF(COUNTIF(Catégories!A:A,X756)=0,"catégorie inconnue",_xlfn.XLOOKUP(X756,Catégories!A:A,Catégories!B:B))</f>
        <v>Frêt</v>
      </c>
      <c r="B756" s="1">
        <f t="shared" si="33"/>
        <v>7.0100000000000007</v>
      </c>
      <c r="C756" s="1">
        <f t="shared" si="34"/>
        <v>1.54</v>
      </c>
      <c r="D756" s="1">
        <f t="shared" si="35"/>
        <v>5.4700000000000006</v>
      </c>
      <c r="E756" s="20">
        <f>IF(AH756&lt;&gt;0,ROUNDUP(AH756,0),IF(BB756&lt;&gt;"FR","hors France",IF(AH756&lt;&gt;0,ROUNDUP(AH756,0),_xlfn.XLOOKUP(AJ756,'PA GLS'!B:B,'PA GLS'!A:A))))</f>
        <v>2</v>
      </c>
      <c r="F756">
        <v>2501382993</v>
      </c>
      <c r="G756">
        <v>1030316574</v>
      </c>
      <c r="H756" t="s">
        <v>366</v>
      </c>
      <c r="I756">
        <v>2500034092</v>
      </c>
      <c r="J756" t="s">
        <v>50</v>
      </c>
      <c r="K756">
        <v>9000009190</v>
      </c>
      <c r="L756">
        <v>46946</v>
      </c>
      <c r="M756" t="s">
        <v>51</v>
      </c>
      <c r="N756">
        <v>9000079830</v>
      </c>
      <c r="O756" t="s">
        <v>187</v>
      </c>
      <c r="S756">
        <v>2507012387</v>
      </c>
      <c r="T756" t="s">
        <v>50</v>
      </c>
      <c r="U756" t="s">
        <v>122</v>
      </c>
      <c r="V756" t="s">
        <v>77</v>
      </c>
      <c r="W756" t="s">
        <v>78</v>
      </c>
      <c r="X756" t="s">
        <v>60</v>
      </c>
      <c r="Z756">
        <v>258</v>
      </c>
      <c r="AA756" t="s">
        <v>1951</v>
      </c>
      <c r="AB756" t="s">
        <v>1962</v>
      </c>
      <c r="AC756">
        <v>2604000241</v>
      </c>
      <c r="AE756">
        <v>0</v>
      </c>
      <c r="AF756">
        <v>0</v>
      </c>
      <c r="AG756">
        <v>0</v>
      </c>
      <c r="AH756">
        <v>0</v>
      </c>
      <c r="AI756" t="s">
        <v>56</v>
      </c>
      <c r="AJ756">
        <v>4.42</v>
      </c>
      <c r="AK756">
        <v>0.9</v>
      </c>
      <c r="AL756">
        <v>0.15</v>
      </c>
      <c r="AM756">
        <v>29.1</v>
      </c>
      <c r="AN756">
        <v>1.54</v>
      </c>
      <c r="AO756">
        <v>0</v>
      </c>
      <c r="AP756">
        <v>0</v>
      </c>
      <c r="AQ756" t="s">
        <v>57</v>
      </c>
      <c r="AS756" t="s">
        <v>1963</v>
      </c>
      <c r="AT756" t="s">
        <v>1963</v>
      </c>
      <c r="AU756" t="s">
        <v>1962</v>
      </c>
      <c r="AV756" t="s">
        <v>1964</v>
      </c>
      <c r="AW756" t="s">
        <v>1965</v>
      </c>
      <c r="AZ756">
        <v>78800</v>
      </c>
      <c r="BA756" t="s">
        <v>1966</v>
      </c>
      <c r="BB756" t="s">
        <v>61</v>
      </c>
      <c r="BC756" t="s">
        <v>62</v>
      </c>
    </row>
    <row r="757" spans="1:55" x14ac:dyDescent="0.25">
      <c r="A757" s="1" t="str">
        <f>IF(COUNTIF(Catégories!A:A,X757)=0,"catégorie inconnue",_xlfn.XLOOKUP(X757,Catégories!A:A,Catégories!B:B))</f>
        <v>Frêt</v>
      </c>
      <c r="B757" s="1">
        <f t="shared" si="33"/>
        <v>7.4300000000000006</v>
      </c>
      <c r="C757" s="1">
        <f t="shared" si="34"/>
        <v>1.64</v>
      </c>
      <c r="D757" s="1">
        <f t="shared" si="35"/>
        <v>5.7900000000000009</v>
      </c>
      <c r="E757" s="20">
        <f>IF(AH757&lt;&gt;0,ROUNDUP(AH757,0),IF(BB757&lt;&gt;"FR","hors France",IF(AH757&lt;&gt;0,ROUNDUP(AH757,0),_xlfn.XLOOKUP(AJ757,'PA GLS'!B:B,'PA GLS'!A:A))))</f>
        <v>3</v>
      </c>
      <c r="F757">
        <v>2501382993</v>
      </c>
      <c r="G757">
        <v>1030316574</v>
      </c>
      <c r="H757" t="s">
        <v>366</v>
      </c>
      <c r="I757">
        <v>2500034092</v>
      </c>
      <c r="J757" t="s">
        <v>50</v>
      </c>
      <c r="K757">
        <v>9000009190</v>
      </c>
      <c r="L757">
        <v>46946</v>
      </c>
      <c r="M757" t="s">
        <v>51</v>
      </c>
      <c r="N757">
        <v>9000079830</v>
      </c>
      <c r="O757" t="s">
        <v>187</v>
      </c>
      <c r="S757">
        <v>2507012387</v>
      </c>
      <c r="T757" t="s">
        <v>50</v>
      </c>
      <c r="U757" t="s">
        <v>122</v>
      </c>
      <c r="V757" t="s">
        <v>58</v>
      </c>
      <c r="W757" t="s">
        <v>59</v>
      </c>
      <c r="X757" t="s">
        <v>60</v>
      </c>
      <c r="Z757">
        <v>259</v>
      </c>
      <c r="AA757" t="s">
        <v>1951</v>
      </c>
      <c r="AB757" t="s">
        <v>1952</v>
      </c>
      <c r="AC757">
        <v>2604000239</v>
      </c>
      <c r="AE757">
        <v>0</v>
      </c>
      <c r="AF757">
        <v>0</v>
      </c>
      <c r="AG757">
        <v>0</v>
      </c>
      <c r="AH757">
        <v>0</v>
      </c>
      <c r="AI757" t="s">
        <v>56</v>
      </c>
      <c r="AJ757">
        <v>4.74</v>
      </c>
      <c r="AK757">
        <v>0.9</v>
      </c>
      <c r="AL757">
        <v>0.15</v>
      </c>
      <c r="AM757">
        <v>29.1</v>
      </c>
      <c r="AN757">
        <v>1.64</v>
      </c>
      <c r="AO757">
        <v>0</v>
      </c>
      <c r="AP757">
        <v>0</v>
      </c>
      <c r="AQ757" t="s">
        <v>57</v>
      </c>
      <c r="AS757" t="s">
        <v>1953</v>
      </c>
      <c r="AT757" t="s">
        <v>1953</v>
      </c>
      <c r="AU757" t="s">
        <v>1952</v>
      </c>
      <c r="AV757" t="s">
        <v>1954</v>
      </c>
      <c r="AW757" t="s">
        <v>1955</v>
      </c>
      <c r="AZ757">
        <v>94400</v>
      </c>
      <c r="BA757" t="s">
        <v>1956</v>
      </c>
      <c r="BB757" t="s">
        <v>61</v>
      </c>
      <c r="BC757" t="s">
        <v>62</v>
      </c>
    </row>
    <row r="758" spans="1:55" x14ac:dyDescent="0.25">
      <c r="A758" s="1" t="str">
        <f>IF(COUNTIF(Catégories!A:A,X758)=0,"catégorie inconnue",_xlfn.XLOOKUP(X758,Catégories!A:A,Catégories!B:B))</f>
        <v>Adresse</v>
      </c>
      <c r="B758" s="1">
        <f t="shared" si="33"/>
        <v>3.04</v>
      </c>
      <c r="C758" s="1">
        <f t="shared" si="34"/>
        <v>0.68</v>
      </c>
      <c r="D758" s="1">
        <f t="shared" si="35"/>
        <v>2.36</v>
      </c>
      <c r="E758" s="20" t="e">
        <f>IF(AH758&lt;&gt;0,ROUNDUP(AH758,0),IF(BB758&lt;&gt;"FR","hors France",IF(AH758&lt;&gt;0,ROUNDUP(AH758,0),_xlfn.XLOOKUP(AJ758,'PA GLS'!B:B,'PA GLS'!A:A))))</f>
        <v>#N/A</v>
      </c>
      <c r="F758">
        <v>2501382993</v>
      </c>
      <c r="G758">
        <v>1030316574</v>
      </c>
      <c r="H758" t="s">
        <v>366</v>
      </c>
      <c r="I758">
        <v>2500034092</v>
      </c>
      <c r="J758" t="s">
        <v>50</v>
      </c>
      <c r="K758">
        <v>9000009190</v>
      </c>
      <c r="L758">
        <v>46946</v>
      </c>
      <c r="M758" t="s">
        <v>51</v>
      </c>
      <c r="N758">
        <v>9000079830</v>
      </c>
      <c r="O758" t="s">
        <v>187</v>
      </c>
      <c r="S758">
        <v>2507012387</v>
      </c>
      <c r="T758" t="s">
        <v>50</v>
      </c>
      <c r="U758" t="s">
        <v>122</v>
      </c>
      <c r="V758" t="s">
        <v>651</v>
      </c>
      <c r="W758" t="s">
        <v>233</v>
      </c>
      <c r="X758" t="s">
        <v>163</v>
      </c>
      <c r="Z758">
        <v>260</v>
      </c>
      <c r="AA758" t="s">
        <v>1951</v>
      </c>
      <c r="AB758" t="s">
        <v>1811</v>
      </c>
      <c r="AC758">
        <v>2604000228</v>
      </c>
      <c r="AE758">
        <v>0</v>
      </c>
      <c r="AF758">
        <v>0</v>
      </c>
      <c r="AG758">
        <v>0</v>
      </c>
      <c r="AH758">
        <v>0</v>
      </c>
      <c r="AI758" t="s">
        <v>56</v>
      </c>
      <c r="AJ758">
        <v>2.36</v>
      </c>
      <c r="AK758">
        <v>0</v>
      </c>
      <c r="AL758">
        <v>0</v>
      </c>
      <c r="AM758">
        <v>29.1</v>
      </c>
      <c r="AN758">
        <v>0.68</v>
      </c>
      <c r="AO758">
        <v>0</v>
      </c>
      <c r="AP758">
        <v>0</v>
      </c>
      <c r="AQ758" t="s">
        <v>57</v>
      </c>
      <c r="AS758" t="s">
        <v>1812</v>
      </c>
      <c r="AT758" t="s">
        <v>1812</v>
      </c>
      <c r="AU758" t="s">
        <v>1811</v>
      </c>
      <c r="AV758" t="s">
        <v>1813</v>
      </c>
      <c r="AW758" t="s">
        <v>1814</v>
      </c>
      <c r="AZ758">
        <v>75019</v>
      </c>
      <c r="BA758" t="s">
        <v>65</v>
      </c>
      <c r="BB758" t="s">
        <v>61</v>
      </c>
      <c r="BC758" t="s">
        <v>62</v>
      </c>
    </row>
    <row r="759" spans="1:55" x14ac:dyDescent="0.25">
      <c r="A759" s="1" t="str">
        <f>IF(COUNTIF(Catégories!A:A,X759)=0,"catégorie inconnue",_xlfn.XLOOKUP(X759,Catégories!A:A,Catégories!B:B))</f>
        <v>Frêt - avisé</v>
      </c>
      <c r="B759" s="1">
        <f t="shared" si="33"/>
        <v>0</v>
      </c>
      <c r="C759" s="1">
        <f t="shared" si="34"/>
        <v>0</v>
      </c>
      <c r="D759" s="1">
        <f t="shared" si="35"/>
        <v>0</v>
      </c>
      <c r="E759" s="20" t="e">
        <f>IF(AH759&lt;&gt;0,ROUNDUP(AH759,0),IF(BB759&lt;&gt;"FR","hors France",IF(AH759&lt;&gt;0,ROUNDUP(AH759,0),_xlfn.XLOOKUP(AJ759,'PA GLS'!B:B,'PA GLS'!A:A))))</f>
        <v>#N/A</v>
      </c>
      <c r="F759">
        <v>2501382993</v>
      </c>
      <c r="G759">
        <v>1030316574</v>
      </c>
      <c r="H759" t="s">
        <v>366</v>
      </c>
      <c r="I759">
        <v>2500034092</v>
      </c>
      <c r="J759" t="s">
        <v>50</v>
      </c>
      <c r="K759">
        <v>9000009190</v>
      </c>
      <c r="L759">
        <v>46946</v>
      </c>
      <c r="M759" t="s">
        <v>51</v>
      </c>
      <c r="N759">
        <v>9000079830</v>
      </c>
      <c r="O759" t="s">
        <v>187</v>
      </c>
      <c r="S759">
        <v>2507012387</v>
      </c>
      <c r="T759" t="s">
        <v>50</v>
      </c>
      <c r="U759" t="s">
        <v>122</v>
      </c>
      <c r="V759" t="s">
        <v>178</v>
      </c>
      <c r="W759" t="s">
        <v>179</v>
      </c>
      <c r="X759" t="s">
        <v>79</v>
      </c>
      <c r="Z759">
        <v>261</v>
      </c>
      <c r="AA759" t="s">
        <v>1951</v>
      </c>
      <c r="AB759" t="s">
        <v>1811</v>
      </c>
      <c r="AC759">
        <v>2604000228</v>
      </c>
      <c r="AE759">
        <v>0</v>
      </c>
      <c r="AF759">
        <v>0</v>
      </c>
      <c r="AG759">
        <v>0</v>
      </c>
      <c r="AH759">
        <v>0</v>
      </c>
      <c r="AI759" t="s">
        <v>56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 t="s">
        <v>57</v>
      </c>
      <c r="AS759" t="s">
        <v>1812</v>
      </c>
      <c r="AT759" t="s">
        <v>1812</v>
      </c>
      <c r="AU759" t="s">
        <v>1811</v>
      </c>
      <c r="AV759" t="s">
        <v>1813</v>
      </c>
      <c r="AW759" t="s">
        <v>1814</v>
      </c>
      <c r="AZ759">
        <v>75019</v>
      </c>
      <c r="BA759" t="s">
        <v>65</v>
      </c>
      <c r="BB759" t="s">
        <v>61</v>
      </c>
      <c r="BC759" t="s">
        <v>62</v>
      </c>
    </row>
    <row r="760" spans="1:55" x14ac:dyDescent="0.25">
      <c r="A760" s="1" t="str">
        <f>IF(COUNTIF(Catégories!A:A,X760)=0,"catégorie inconnue",_xlfn.XLOOKUP(X760,Catégories!A:A,Catégories!B:B))</f>
        <v>Frêt</v>
      </c>
      <c r="B760" s="1">
        <f t="shared" si="33"/>
        <v>0</v>
      </c>
      <c r="C760" s="1">
        <f t="shared" si="34"/>
        <v>0</v>
      </c>
      <c r="D760" s="1">
        <f t="shared" si="35"/>
        <v>0</v>
      </c>
      <c r="E760" s="20">
        <f>IF(AH760&lt;&gt;0,ROUNDUP(AH760,0),IF(BB760&lt;&gt;"FR","hors France",IF(AH760&lt;&gt;0,ROUNDUP(AH760,0),_xlfn.XLOOKUP(AJ760,'PA GLS'!B:B,'PA GLS'!A:A))))</f>
        <v>2</v>
      </c>
      <c r="F760">
        <v>2501382993</v>
      </c>
      <c r="G760">
        <v>1030310872</v>
      </c>
      <c r="H760" t="s">
        <v>366</v>
      </c>
      <c r="I760">
        <v>2500034092</v>
      </c>
      <c r="J760" t="s">
        <v>50</v>
      </c>
      <c r="K760">
        <v>9000009190</v>
      </c>
      <c r="L760">
        <v>46946</v>
      </c>
      <c r="M760" t="s">
        <v>51</v>
      </c>
      <c r="N760">
        <v>9000082822</v>
      </c>
      <c r="O760" t="s">
        <v>175</v>
      </c>
      <c r="S760">
        <v>2507012387</v>
      </c>
      <c r="T760" t="s">
        <v>50</v>
      </c>
      <c r="U760" t="s">
        <v>122</v>
      </c>
      <c r="V760" t="s">
        <v>176</v>
      </c>
      <c r="W760" t="s">
        <v>177</v>
      </c>
      <c r="X760" t="s">
        <v>152</v>
      </c>
      <c r="Z760">
        <v>235</v>
      </c>
      <c r="AA760" t="s">
        <v>1951</v>
      </c>
      <c r="AB760" t="s">
        <v>1979</v>
      </c>
      <c r="AC760">
        <v>7042097</v>
      </c>
      <c r="AE760">
        <v>0</v>
      </c>
      <c r="AF760">
        <v>1</v>
      </c>
      <c r="AG760">
        <v>0</v>
      </c>
      <c r="AH760">
        <v>1.4</v>
      </c>
      <c r="AI760" t="s">
        <v>56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 t="s">
        <v>57</v>
      </c>
      <c r="AS760" t="s">
        <v>1980</v>
      </c>
      <c r="AU760" t="s">
        <v>1979</v>
      </c>
      <c r="AV760" t="s">
        <v>279</v>
      </c>
      <c r="AW760" t="s">
        <v>280</v>
      </c>
      <c r="AX760" t="s">
        <v>281</v>
      </c>
      <c r="AZ760">
        <v>13011</v>
      </c>
      <c r="BA760" t="s">
        <v>68</v>
      </c>
      <c r="BB760" t="s">
        <v>61</v>
      </c>
      <c r="BC760" t="s">
        <v>62</v>
      </c>
    </row>
    <row r="761" spans="1:55" x14ac:dyDescent="0.25">
      <c r="A761" s="1" t="str">
        <f>IF(COUNTIF(Catégories!A:A,X761)=0,"catégorie inconnue",_xlfn.XLOOKUP(X761,Catégories!A:A,Catégories!B:B))</f>
        <v>Frêt</v>
      </c>
      <c r="B761" s="1">
        <f t="shared" si="33"/>
        <v>7.0100000000000007</v>
      </c>
      <c r="C761" s="1">
        <f t="shared" si="34"/>
        <v>1.54</v>
      </c>
      <c r="D761" s="1">
        <f t="shared" si="35"/>
        <v>5.4700000000000006</v>
      </c>
      <c r="E761" s="20">
        <f>IF(AH761&lt;&gt;0,ROUNDUP(AH761,0),IF(BB761&lt;&gt;"FR","hors France",IF(AH761&lt;&gt;0,ROUNDUP(AH761,0),_xlfn.XLOOKUP(AJ761,'PA GLS'!B:B,'PA GLS'!A:A))))</f>
        <v>2</v>
      </c>
      <c r="F761">
        <v>2501382993</v>
      </c>
      <c r="G761">
        <v>1030310872</v>
      </c>
      <c r="H761" t="s">
        <v>366</v>
      </c>
      <c r="I761">
        <v>2500034092</v>
      </c>
      <c r="J761" t="s">
        <v>50</v>
      </c>
      <c r="K761">
        <v>9000009190</v>
      </c>
      <c r="L761">
        <v>46946</v>
      </c>
      <c r="M761" t="s">
        <v>51</v>
      </c>
      <c r="N761">
        <v>9000082822</v>
      </c>
      <c r="O761" t="s">
        <v>175</v>
      </c>
      <c r="S761">
        <v>2507012387</v>
      </c>
      <c r="T761" t="s">
        <v>50</v>
      </c>
      <c r="U761" t="s">
        <v>122</v>
      </c>
      <c r="V761" t="s">
        <v>63</v>
      </c>
      <c r="W761" t="s">
        <v>64</v>
      </c>
      <c r="X761" t="s">
        <v>60</v>
      </c>
      <c r="Z761">
        <v>236</v>
      </c>
      <c r="AA761" t="s">
        <v>1951</v>
      </c>
      <c r="AB761" t="s">
        <v>1979</v>
      </c>
      <c r="AC761">
        <v>7042097</v>
      </c>
      <c r="AE761">
        <v>0</v>
      </c>
      <c r="AF761">
        <v>0</v>
      </c>
      <c r="AG761">
        <v>0</v>
      </c>
      <c r="AH761">
        <v>0</v>
      </c>
      <c r="AI761" t="s">
        <v>56</v>
      </c>
      <c r="AJ761">
        <v>4.42</v>
      </c>
      <c r="AK761">
        <v>0.9</v>
      </c>
      <c r="AL761">
        <v>0.15</v>
      </c>
      <c r="AM761">
        <v>29.1</v>
      </c>
      <c r="AN761">
        <v>1.54</v>
      </c>
      <c r="AO761">
        <v>0</v>
      </c>
      <c r="AP761">
        <v>0</v>
      </c>
      <c r="AQ761" t="s">
        <v>57</v>
      </c>
      <c r="AS761" t="s">
        <v>1980</v>
      </c>
      <c r="AU761" t="s">
        <v>1979</v>
      </c>
      <c r="AV761" t="s">
        <v>279</v>
      </c>
      <c r="AW761" t="s">
        <v>280</v>
      </c>
      <c r="AX761" t="s">
        <v>281</v>
      </c>
      <c r="AZ761">
        <v>13011</v>
      </c>
      <c r="BA761" t="s">
        <v>68</v>
      </c>
      <c r="BB761" t="s">
        <v>61</v>
      </c>
      <c r="BC761" t="s">
        <v>62</v>
      </c>
    </row>
    <row r="762" spans="1:55" x14ac:dyDescent="0.25">
      <c r="A762" s="1" t="str">
        <f>IF(COUNTIF(Catégories!A:A,X762)=0,"catégorie inconnue",_xlfn.XLOOKUP(X762,Catégories!A:A,Catégories!B:B))</f>
        <v>Frêt</v>
      </c>
      <c r="B762" s="1">
        <f t="shared" si="33"/>
        <v>0</v>
      </c>
      <c r="C762" s="1">
        <f t="shared" si="34"/>
        <v>0</v>
      </c>
      <c r="D762" s="1">
        <f t="shared" si="35"/>
        <v>0</v>
      </c>
      <c r="E762" s="20">
        <f>IF(AH762&lt;&gt;0,ROUNDUP(AH762,0),IF(BB762&lt;&gt;"FR","hors France",IF(AH762&lt;&gt;0,ROUNDUP(AH762,0),_xlfn.XLOOKUP(AJ762,'PA GLS'!B:B,'PA GLS'!A:A))))</f>
        <v>2</v>
      </c>
      <c r="F762">
        <v>2501382993</v>
      </c>
      <c r="G762">
        <v>1030314650</v>
      </c>
      <c r="H762" t="s">
        <v>366</v>
      </c>
      <c r="I762">
        <v>2500034092</v>
      </c>
      <c r="J762" t="s">
        <v>50</v>
      </c>
      <c r="K762">
        <v>9000009190</v>
      </c>
      <c r="L762">
        <v>46946</v>
      </c>
      <c r="M762" t="s">
        <v>51</v>
      </c>
      <c r="N762">
        <v>9000082814</v>
      </c>
      <c r="O762" t="s">
        <v>184</v>
      </c>
      <c r="S762">
        <v>2507012387</v>
      </c>
      <c r="T762" t="s">
        <v>50</v>
      </c>
      <c r="U762" t="s">
        <v>122</v>
      </c>
      <c r="V762" t="s">
        <v>176</v>
      </c>
      <c r="W762" t="s">
        <v>177</v>
      </c>
      <c r="X762" t="s">
        <v>152</v>
      </c>
      <c r="Z762">
        <v>239</v>
      </c>
      <c r="AA762" t="s">
        <v>1951</v>
      </c>
      <c r="AB762" t="s">
        <v>1981</v>
      </c>
      <c r="AC762">
        <v>7013393</v>
      </c>
      <c r="AE762">
        <v>0</v>
      </c>
      <c r="AF762">
        <v>1</v>
      </c>
      <c r="AG762">
        <v>0</v>
      </c>
      <c r="AH762">
        <v>1.18</v>
      </c>
      <c r="AI762" t="s">
        <v>56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 t="s">
        <v>57</v>
      </c>
      <c r="AS762" t="s">
        <v>1982</v>
      </c>
      <c r="AU762" t="s">
        <v>1981</v>
      </c>
      <c r="AV762" t="s">
        <v>283</v>
      </c>
      <c r="AW762" t="s">
        <v>284</v>
      </c>
      <c r="AX762" t="s">
        <v>285</v>
      </c>
      <c r="AY762" t="s">
        <v>283</v>
      </c>
      <c r="AZ762">
        <v>60452</v>
      </c>
      <c r="BA762" t="s">
        <v>286</v>
      </c>
      <c r="BB762" t="s">
        <v>61</v>
      </c>
      <c r="BC762" t="s">
        <v>62</v>
      </c>
    </row>
    <row r="763" spans="1:55" x14ac:dyDescent="0.25">
      <c r="A763" s="1" t="str">
        <f>IF(COUNTIF(Catégories!A:A,X763)=0,"catégorie inconnue",_xlfn.XLOOKUP(X763,Catégories!A:A,Catégories!B:B))</f>
        <v>Frêt</v>
      </c>
      <c r="B763" s="1">
        <f t="shared" si="33"/>
        <v>7.0100000000000007</v>
      </c>
      <c r="C763" s="1">
        <f t="shared" si="34"/>
        <v>1.54</v>
      </c>
      <c r="D763" s="1">
        <f t="shared" si="35"/>
        <v>5.4700000000000006</v>
      </c>
      <c r="E763" s="20">
        <f>IF(AH763&lt;&gt;0,ROUNDUP(AH763,0),IF(BB763&lt;&gt;"FR","hors France",IF(AH763&lt;&gt;0,ROUNDUP(AH763,0),_xlfn.XLOOKUP(AJ763,'PA GLS'!B:B,'PA GLS'!A:A))))</f>
        <v>2</v>
      </c>
      <c r="F763">
        <v>2501382993</v>
      </c>
      <c r="G763">
        <v>1030314650</v>
      </c>
      <c r="H763" t="s">
        <v>366</v>
      </c>
      <c r="I763">
        <v>2500034092</v>
      </c>
      <c r="J763" t="s">
        <v>50</v>
      </c>
      <c r="K763">
        <v>9000009190</v>
      </c>
      <c r="L763">
        <v>46946</v>
      </c>
      <c r="M763" t="s">
        <v>51</v>
      </c>
      <c r="N763">
        <v>9000082814</v>
      </c>
      <c r="O763" t="s">
        <v>184</v>
      </c>
      <c r="S763">
        <v>2507012387</v>
      </c>
      <c r="T763" t="s">
        <v>50</v>
      </c>
      <c r="U763" t="s">
        <v>122</v>
      </c>
      <c r="V763" t="s">
        <v>63</v>
      </c>
      <c r="W763" t="s">
        <v>64</v>
      </c>
      <c r="X763" t="s">
        <v>60</v>
      </c>
      <c r="Z763">
        <v>240</v>
      </c>
      <c r="AA763" t="s">
        <v>1951</v>
      </c>
      <c r="AB763" t="s">
        <v>1981</v>
      </c>
      <c r="AC763">
        <v>7013393</v>
      </c>
      <c r="AE763">
        <v>0</v>
      </c>
      <c r="AF763">
        <v>0</v>
      </c>
      <c r="AG763">
        <v>0</v>
      </c>
      <c r="AH763">
        <v>0</v>
      </c>
      <c r="AI763" t="s">
        <v>56</v>
      </c>
      <c r="AJ763">
        <v>4.42</v>
      </c>
      <c r="AK763">
        <v>0.9</v>
      </c>
      <c r="AL763">
        <v>0.15</v>
      </c>
      <c r="AM763">
        <v>29.1</v>
      </c>
      <c r="AN763">
        <v>1.54</v>
      </c>
      <c r="AO763">
        <v>0</v>
      </c>
      <c r="AP763">
        <v>0</v>
      </c>
      <c r="AQ763" t="s">
        <v>57</v>
      </c>
      <c r="AS763" t="s">
        <v>1982</v>
      </c>
      <c r="AU763" t="s">
        <v>1981</v>
      </c>
      <c r="AV763" t="s">
        <v>283</v>
      </c>
      <c r="AW763" t="s">
        <v>284</v>
      </c>
      <c r="AX763" t="s">
        <v>285</v>
      </c>
      <c r="AY763" t="s">
        <v>283</v>
      </c>
      <c r="AZ763">
        <v>60452</v>
      </c>
      <c r="BA763" t="s">
        <v>286</v>
      </c>
      <c r="BB763" t="s">
        <v>61</v>
      </c>
      <c r="BC763" t="s">
        <v>62</v>
      </c>
    </row>
    <row r="764" spans="1:55" x14ac:dyDescent="0.25">
      <c r="A764" s="1" t="str">
        <f>IF(COUNTIF(Catégories!A:A,X764)=0,"catégorie inconnue",_xlfn.XLOOKUP(X764,Catégories!A:A,Catégories!B:B))</f>
        <v>Frêt</v>
      </c>
      <c r="B764" s="1">
        <f t="shared" si="33"/>
        <v>0</v>
      </c>
      <c r="C764" s="1">
        <f t="shared" si="34"/>
        <v>0</v>
      </c>
      <c r="D764" s="1">
        <f t="shared" si="35"/>
        <v>0</v>
      </c>
      <c r="E764" s="20">
        <f>IF(AH764&lt;&gt;0,ROUNDUP(AH764,0),IF(BB764&lt;&gt;"FR","hors France",IF(AH764&lt;&gt;0,ROUNDUP(AH764,0),_xlfn.XLOOKUP(AJ764,'PA GLS'!B:B,'PA GLS'!A:A))))</f>
        <v>1</v>
      </c>
      <c r="F764">
        <v>2501382993</v>
      </c>
      <c r="G764">
        <v>1030316159</v>
      </c>
      <c r="H764" t="s">
        <v>366</v>
      </c>
      <c r="I764">
        <v>2500034092</v>
      </c>
      <c r="J764" t="s">
        <v>50</v>
      </c>
      <c r="K764">
        <v>9000009190</v>
      </c>
      <c r="L764">
        <v>46946</v>
      </c>
      <c r="M764" t="s">
        <v>51</v>
      </c>
      <c r="N764">
        <v>9000037814</v>
      </c>
      <c r="O764" t="s">
        <v>51</v>
      </c>
      <c r="S764">
        <v>2507012387</v>
      </c>
      <c r="T764" t="s">
        <v>50</v>
      </c>
      <c r="U764" t="s">
        <v>122</v>
      </c>
      <c r="V764" t="s">
        <v>176</v>
      </c>
      <c r="W764" t="s">
        <v>177</v>
      </c>
      <c r="X764" t="s">
        <v>152</v>
      </c>
      <c r="Z764">
        <v>241</v>
      </c>
      <c r="AA764" t="s">
        <v>1951</v>
      </c>
      <c r="AB764" t="s">
        <v>1983</v>
      </c>
      <c r="AC764">
        <v>2604000136</v>
      </c>
      <c r="AE764">
        <v>0</v>
      </c>
      <c r="AF764">
        <v>1</v>
      </c>
      <c r="AG764">
        <v>0</v>
      </c>
      <c r="AH764">
        <v>0.3</v>
      </c>
      <c r="AI764" t="s">
        <v>56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 t="s">
        <v>57</v>
      </c>
      <c r="AS764" t="s">
        <v>1984</v>
      </c>
      <c r="AT764" t="s">
        <v>1984</v>
      </c>
      <c r="AU764" t="s">
        <v>1983</v>
      </c>
      <c r="AV764" t="s">
        <v>1985</v>
      </c>
      <c r="AW764" t="s">
        <v>1986</v>
      </c>
      <c r="AZ764">
        <v>21200</v>
      </c>
      <c r="BA764" t="s">
        <v>1987</v>
      </c>
      <c r="BB764" t="s">
        <v>61</v>
      </c>
      <c r="BC764" t="s">
        <v>62</v>
      </c>
    </row>
    <row r="765" spans="1:55" x14ac:dyDescent="0.25">
      <c r="A765" s="1" t="str">
        <f>IF(COUNTIF(Catégories!A:A,X765)=0,"catégorie inconnue",_xlfn.XLOOKUP(X765,Catégories!A:A,Catégories!B:B))</f>
        <v>Frêt</v>
      </c>
      <c r="B765" s="1">
        <f t="shared" si="33"/>
        <v>0</v>
      </c>
      <c r="C765" s="1">
        <f t="shared" si="34"/>
        <v>0</v>
      </c>
      <c r="D765" s="1">
        <f t="shared" si="35"/>
        <v>0</v>
      </c>
      <c r="E765" s="20">
        <f>IF(AH765&lt;&gt;0,ROUNDUP(AH765,0),IF(BB765&lt;&gt;"FR","hors France",IF(AH765&lt;&gt;0,ROUNDUP(AH765,0),_xlfn.XLOOKUP(AJ765,'PA GLS'!B:B,'PA GLS'!A:A))))</f>
        <v>1</v>
      </c>
      <c r="F765">
        <v>2501382993</v>
      </c>
      <c r="G765">
        <v>1030316159</v>
      </c>
      <c r="H765" t="s">
        <v>366</v>
      </c>
      <c r="I765">
        <v>2500034092</v>
      </c>
      <c r="J765" t="s">
        <v>50</v>
      </c>
      <c r="K765">
        <v>9000009190</v>
      </c>
      <c r="L765">
        <v>46946</v>
      </c>
      <c r="M765" t="s">
        <v>51</v>
      </c>
      <c r="N765">
        <v>9000037814</v>
      </c>
      <c r="O765" t="s">
        <v>51</v>
      </c>
      <c r="S765">
        <v>2507012387</v>
      </c>
      <c r="T765" t="s">
        <v>50</v>
      </c>
      <c r="U765" t="s">
        <v>122</v>
      </c>
      <c r="V765" t="s">
        <v>176</v>
      </c>
      <c r="W765" t="s">
        <v>177</v>
      </c>
      <c r="X765" t="s">
        <v>152</v>
      </c>
      <c r="Z765">
        <v>241</v>
      </c>
      <c r="AA765" t="s">
        <v>1951</v>
      </c>
      <c r="AB765" t="s">
        <v>1988</v>
      </c>
      <c r="AC765">
        <v>2604000137</v>
      </c>
      <c r="AE765">
        <v>0</v>
      </c>
      <c r="AF765">
        <v>1</v>
      </c>
      <c r="AG765">
        <v>0</v>
      </c>
      <c r="AH765">
        <v>0.24</v>
      </c>
      <c r="AI765" t="s">
        <v>56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 t="s">
        <v>57</v>
      </c>
      <c r="AS765" t="s">
        <v>1989</v>
      </c>
      <c r="AT765" t="s">
        <v>1989</v>
      </c>
      <c r="AU765" t="s">
        <v>1988</v>
      </c>
      <c r="AV765" t="s">
        <v>1990</v>
      </c>
      <c r="AW765" t="s">
        <v>1991</v>
      </c>
      <c r="AZ765">
        <v>91370</v>
      </c>
      <c r="BA765" t="s">
        <v>350</v>
      </c>
      <c r="BB765" t="s">
        <v>61</v>
      </c>
      <c r="BC765" t="s">
        <v>62</v>
      </c>
    </row>
    <row r="766" spans="1:55" x14ac:dyDescent="0.25">
      <c r="A766" s="1" t="str">
        <f>IF(COUNTIF(Catégories!A:A,X766)=0,"catégorie inconnue",_xlfn.XLOOKUP(X766,Catégories!A:A,Catégories!B:B))</f>
        <v>Frêt</v>
      </c>
      <c r="B766" s="1">
        <f t="shared" si="33"/>
        <v>0</v>
      </c>
      <c r="C766" s="1">
        <f t="shared" si="34"/>
        <v>0</v>
      </c>
      <c r="D766" s="1">
        <f t="shared" si="35"/>
        <v>0</v>
      </c>
      <c r="E766" s="20">
        <f>IF(AH766&lt;&gt;0,ROUNDUP(AH766,0),IF(BB766&lt;&gt;"FR","hors France",IF(AH766&lt;&gt;0,ROUNDUP(AH766,0),_xlfn.XLOOKUP(AJ766,'PA GLS'!B:B,'PA GLS'!A:A))))</f>
        <v>1</v>
      </c>
      <c r="F766">
        <v>2501382993</v>
      </c>
      <c r="G766">
        <v>1030316159</v>
      </c>
      <c r="H766" t="s">
        <v>366</v>
      </c>
      <c r="I766">
        <v>2500034092</v>
      </c>
      <c r="J766" t="s">
        <v>50</v>
      </c>
      <c r="K766">
        <v>9000009190</v>
      </c>
      <c r="L766">
        <v>46946</v>
      </c>
      <c r="M766" t="s">
        <v>51</v>
      </c>
      <c r="N766">
        <v>9000037814</v>
      </c>
      <c r="O766" t="s">
        <v>51</v>
      </c>
      <c r="S766">
        <v>2507012387</v>
      </c>
      <c r="T766" t="s">
        <v>50</v>
      </c>
      <c r="U766" t="s">
        <v>122</v>
      </c>
      <c r="V766" t="s">
        <v>176</v>
      </c>
      <c r="W766" t="s">
        <v>177</v>
      </c>
      <c r="X766" t="s">
        <v>152</v>
      </c>
      <c r="Z766">
        <v>241</v>
      </c>
      <c r="AA766" t="s">
        <v>1951</v>
      </c>
      <c r="AB766" t="s">
        <v>1992</v>
      </c>
      <c r="AC766">
        <v>2604000138</v>
      </c>
      <c r="AE766">
        <v>0</v>
      </c>
      <c r="AF766">
        <v>1</v>
      </c>
      <c r="AG766">
        <v>0</v>
      </c>
      <c r="AH766">
        <v>0.34</v>
      </c>
      <c r="AI766" t="s">
        <v>56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 t="s">
        <v>57</v>
      </c>
      <c r="AS766" t="s">
        <v>1993</v>
      </c>
      <c r="AT766" t="s">
        <v>1993</v>
      </c>
      <c r="AU766" t="s">
        <v>1992</v>
      </c>
      <c r="AV766" t="s">
        <v>1994</v>
      </c>
      <c r="AW766" t="s">
        <v>1995</v>
      </c>
      <c r="AZ766">
        <v>6250</v>
      </c>
      <c r="BA766" t="s">
        <v>333</v>
      </c>
      <c r="BB766" t="s">
        <v>61</v>
      </c>
      <c r="BC766" t="s">
        <v>62</v>
      </c>
    </row>
    <row r="767" spans="1:55" x14ac:dyDescent="0.25">
      <c r="A767" s="1" t="str">
        <f>IF(COUNTIF(Catégories!A:A,X767)=0,"catégorie inconnue",_xlfn.XLOOKUP(X767,Catégories!A:A,Catégories!B:B))</f>
        <v>Frêt</v>
      </c>
      <c r="B767" s="1">
        <f t="shared" si="33"/>
        <v>6.17</v>
      </c>
      <c r="C767" s="1">
        <f t="shared" si="34"/>
        <v>1.35</v>
      </c>
      <c r="D767" s="1">
        <f t="shared" si="35"/>
        <v>4.82</v>
      </c>
      <c r="E767" s="20">
        <f>IF(AH767&lt;&gt;0,ROUNDUP(AH767,0),IF(BB767&lt;&gt;"FR","hors France",IF(AH767&lt;&gt;0,ROUNDUP(AH767,0),_xlfn.XLOOKUP(AJ767,'PA GLS'!B:B,'PA GLS'!A:A))))</f>
        <v>0.5</v>
      </c>
      <c r="F767">
        <v>2501382993</v>
      </c>
      <c r="G767">
        <v>1030316159</v>
      </c>
      <c r="H767" t="s">
        <v>366</v>
      </c>
      <c r="I767">
        <v>2500034092</v>
      </c>
      <c r="J767" t="s">
        <v>50</v>
      </c>
      <c r="K767">
        <v>9000009190</v>
      </c>
      <c r="L767">
        <v>46946</v>
      </c>
      <c r="M767" t="s">
        <v>51</v>
      </c>
      <c r="N767">
        <v>9000037814</v>
      </c>
      <c r="O767" t="s">
        <v>51</v>
      </c>
      <c r="S767">
        <v>2507012387</v>
      </c>
      <c r="T767" t="s">
        <v>50</v>
      </c>
      <c r="U767" t="s">
        <v>122</v>
      </c>
      <c r="V767" t="s">
        <v>73</v>
      </c>
      <c r="W767" t="s">
        <v>74</v>
      </c>
      <c r="X767" t="s">
        <v>60</v>
      </c>
      <c r="Z767">
        <v>242</v>
      </c>
      <c r="AA767" t="s">
        <v>1951</v>
      </c>
      <c r="AB767" t="s">
        <v>1988</v>
      </c>
      <c r="AC767">
        <v>2604000137</v>
      </c>
      <c r="AE767">
        <v>0</v>
      </c>
      <c r="AF767">
        <v>0</v>
      </c>
      <c r="AG767">
        <v>0</v>
      </c>
      <c r="AH767">
        <v>0</v>
      </c>
      <c r="AI767" t="s">
        <v>56</v>
      </c>
      <c r="AJ767">
        <v>3.77</v>
      </c>
      <c r="AK767">
        <v>0.9</v>
      </c>
      <c r="AL767">
        <v>0.15</v>
      </c>
      <c r="AM767">
        <v>29.1</v>
      </c>
      <c r="AN767">
        <v>1.35</v>
      </c>
      <c r="AO767">
        <v>0</v>
      </c>
      <c r="AP767">
        <v>0</v>
      </c>
      <c r="AQ767" t="s">
        <v>57</v>
      </c>
      <c r="AS767" t="s">
        <v>1989</v>
      </c>
      <c r="AT767" t="s">
        <v>1989</v>
      </c>
      <c r="AU767" t="s">
        <v>1988</v>
      </c>
      <c r="AV767" t="s">
        <v>1990</v>
      </c>
      <c r="AW767" t="s">
        <v>1991</v>
      </c>
      <c r="AZ767">
        <v>91370</v>
      </c>
      <c r="BA767" t="s">
        <v>350</v>
      </c>
      <c r="BB767" t="s">
        <v>61</v>
      </c>
      <c r="BC767" t="s">
        <v>62</v>
      </c>
    </row>
    <row r="768" spans="1:55" x14ac:dyDescent="0.25">
      <c r="A768" s="1" t="str">
        <f>IF(COUNTIF(Catégories!A:A,X768)=0,"catégorie inconnue",_xlfn.XLOOKUP(X768,Catégories!A:A,Catégories!B:B))</f>
        <v>Frêt</v>
      </c>
      <c r="B768" s="1">
        <f t="shared" si="33"/>
        <v>6.17</v>
      </c>
      <c r="C768" s="1">
        <f t="shared" si="34"/>
        <v>1.35</v>
      </c>
      <c r="D768" s="1">
        <f t="shared" si="35"/>
        <v>4.82</v>
      </c>
      <c r="E768" s="20">
        <f>IF(AH768&lt;&gt;0,ROUNDUP(AH768,0),IF(BB768&lt;&gt;"FR","hors France",IF(AH768&lt;&gt;0,ROUNDUP(AH768,0),_xlfn.XLOOKUP(AJ768,'PA GLS'!B:B,'PA GLS'!A:A))))</f>
        <v>0.5</v>
      </c>
      <c r="F768">
        <v>2501382993</v>
      </c>
      <c r="G768">
        <v>1030316159</v>
      </c>
      <c r="H768" t="s">
        <v>366</v>
      </c>
      <c r="I768">
        <v>2500034092</v>
      </c>
      <c r="J768" t="s">
        <v>50</v>
      </c>
      <c r="K768">
        <v>9000009190</v>
      </c>
      <c r="L768">
        <v>46946</v>
      </c>
      <c r="M768" t="s">
        <v>51</v>
      </c>
      <c r="N768">
        <v>9000037814</v>
      </c>
      <c r="O768" t="s">
        <v>51</v>
      </c>
      <c r="S768">
        <v>2507012387</v>
      </c>
      <c r="T768" t="s">
        <v>50</v>
      </c>
      <c r="U768" t="s">
        <v>122</v>
      </c>
      <c r="V768" t="s">
        <v>71</v>
      </c>
      <c r="W768" t="s">
        <v>72</v>
      </c>
      <c r="X768" t="s">
        <v>60</v>
      </c>
      <c r="Z768">
        <v>243</v>
      </c>
      <c r="AA768" t="s">
        <v>1951</v>
      </c>
      <c r="AB768" t="s">
        <v>1983</v>
      </c>
      <c r="AC768">
        <v>2604000136</v>
      </c>
      <c r="AE768">
        <v>0</v>
      </c>
      <c r="AF768">
        <v>0</v>
      </c>
      <c r="AG768">
        <v>0</v>
      </c>
      <c r="AH768">
        <v>0</v>
      </c>
      <c r="AI768" t="s">
        <v>56</v>
      </c>
      <c r="AJ768">
        <v>3.77</v>
      </c>
      <c r="AK768">
        <v>0.9</v>
      </c>
      <c r="AL768">
        <v>0.15</v>
      </c>
      <c r="AM768">
        <v>29.1</v>
      </c>
      <c r="AN768">
        <v>1.35</v>
      </c>
      <c r="AO768">
        <v>0</v>
      </c>
      <c r="AP768">
        <v>0</v>
      </c>
      <c r="AQ768" t="s">
        <v>57</v>
      </c>
      <c r="AS768" t="s">
        <v>1984</v>
      </c>
      <c r="AT768" t="s">
        <v>1984</v>
      </c>
      <c r="AU768" t="s">
        <v>1983</v>
      </c>
      <c r="AV768" t="s">
        <v>1985</v>
      </c>
      <c r="AW768" t="s">
        <v>1986</v>
      </c>
      <c r="AZ768">
        <v>21200</v>
      </c>
      <c r="BA768" t="s">
        <v>1987</v>
      </c>
      <c r="BB768" t="s">
        <v>61</v>
      </c>
      <c r="BC768" t="s">
        <v>62</v>
      </c>
    </row>
    <row r="769" spans="1:55" x14ac:dyDescent="0.25">
      <c r="A769" s="1" t="str">
        <f>IF(COUNTIF(Catégories!A:A,X769)=0,"catégorie inconnue",_xlfn.XLOOKUP(X769,Catégories!A:A,Catégories!B:B))</f>
        <v>Frêt</v>
      </c>
      <c r="B769" s="1">
        <f t="shared" si="33"/>
        <v>6.17</v>
      </c>
      <c r="C769" s="1">
        <f t="shared" si="34"/>
        <v>1.35</v>
      </c>
      <c r="D769" s="1">
        <f t="shared" si="35"/>
        <v>4.82</v>
      </c>
      <c r="E769" s="20">
        <f>IF(AH769&lt;&gt;0,ROUNDUP(AH769,0),IF(BB769&lt;&gt;"FR","hors France",IF(AH769&lt;&gt;0,ROUNDUP(AH769,0),_xlfn.XLOOKUP(AJ769,'PA GLS'!B:B,'PA GLS'!A:A))))</f>
        <v>0.5</v>
      </c>
      <c r="F769">
        <v>2501382993</v>
      </c>
      <c r="G769">
        <v>1030316159</v>
      </c>
      <c r="H769" t="s">
        <v>366</v>
      </c>
      <c r="I769">
        <v>2500034092</v>
      </c>
      <c r="J769" t="s">
        <v>50</v>
      </c>
      <c r="K769">
        <v>9000009190</v>
      </c>
      <c r="L769">
        <v>46946</v>
      </c>
      <c r="M769" t="s">
        <v>51</v>
      </c>
      <c r="N769">
        <v>9000037814</v>
      </c>
      <c r="O769" t="s">
        <v>51</v>
      </c>
      <c r="S769">
        <v>2507012387</v>
      </c>
      <c r="T769" t="s">
        <v>50</v>
      </c>
      <c r="U769" t="s">
        <v>122</v>
      </c>
      <c r="V769" t="s">
        <v>71</v>
      </c>
      <c r="W769" t="s">
        <v>72</v>
      </c>
      <c r="X769" t="s">
        <v>60</v>
      </c>
      <c r="Z769">
        <v>243</v>
      </c>
      <c r="AA769" t="s">
        <v>1951</v>
      </c>
      <c r="AB769" t="s">
        <v>1992</v>
      </c>
      <c r="AC769">
        <v>2604000138</v>
      </c>
      <c r="AE769">
        <v>0</v>
      </c>
      <c r="AF769">
        <v>0</v>
      </c>
      <c r="AG769">
        <v>0</v>
      </c>
      <c r="AH769">
        <v>0</v>
      </c>
      <c r="AI769" t="s">
        <v>56</v>
      </c>
      <c r="AJ769">
        <v>3.77</v>
      </c>
      <c r="AK769">
        <v>0.9</v>
      </c>
      <c r="AL769">
        <v>0.15</v>
      </c>
      <c r="AM769">
        <v>29.1</v>
      </c>
      <c r="AN769">
        <v>1.35</v>
      </c>
      <c r="AO769">
        <v>0</v>
      </c>
      <c r="AP769">
        <v>0</v>
      </c>
      <c r="AQ769" t="s">
        <v>57</v>
      </c>
      <c r="AS769" t="s">
        <v>1993</v>
      </c>
      <c r="AT769" t="s">
        <v>1993</v>
      </c>
      <c r="AU769" t="s">
        <v>1992</v>
      </c>
      <c r="AV769" t="s">
        <v>1994</v>
      </c>
      <c r="AW769" t="s">
        <v>1995</v>
      </c>
      <c r="AZ769">
        <v>6250</v>
      </c>
      <c r="BA769" t="s">
        <v>333</v>
      </c>
      <c r="BB769" t="s">
        <v>61</v>
      </c>
      <c r="BC769" t="s">
        <v>62</v>
      </c>
    </row>
    <row r="770" spans="1:55" x14ac:dyDescent="0.25">
      <c r="A770" s="1" t="str">
        <f>IF(COUNTIF(Catégories!A:A,X770)=0,"catégorie inconnue",_xlfn.XLOOKUP(X770,Catégories!A:A,Catégories!B:B))</f>
        <v>Adresse</v>
      </c>
      <c r="B770" s="1">
        <f t="shared" si="33"/>
        <v>3.04</v>
      </c>
      <c r="C770" s="1">
        <f t="shared" si="34"/>
        <v>0.68</v>
      </c>
      <c r="D770" s="1">
        <f t="shared" si="35"/>
        <v>2.36</v>
      </c>
      <c r="E770" s="20" t="e">
        <f>IF(AH770&lt;&gt;0,ROUNDUP(AH770,0),IF(BB770&lt;&gt;"FR","hors France",IF(AH770&lt;&gt;0,ROUNDUP(AH770,0),_xlfn.XLOOKUP(AJ770,'PA GLS'!B:B,'PA GLS'!A:A))))</f>
        <v>#N/A</v>
      </c>
      <c r="F770">
        <v>2501382993</v>
      </c>
      <c r="G770">
        <v>1030316159</v>
      </c>
      <c r="H770" t="s">
        <v>366</v>
      </c>
      <c r="I770">
        <v>2500034092</v>
      </c>
      <c r="J770" t="s">
        <v>50</v>
      </c>
      <c r="K770">
        <v>9000009190</v>
      </c>
      <c r="L770">
        <v>46946</v>
      </c>
      <c r="M770" t="s">
        <v>51</v>
      </c>
      <c r="N770">
        <v>9000037814</v>
      </c>
      <c r="O770" t="s">
        <v>51</v>
      </c>
      <c r="S770">
        <v>2507012387</v>
      </c>
      <c r="T770" t="s">
        <v>50</v>
      </c>
      <c r="U770" t="s">
        <v>122</v>
      </c>
      <c r="V770" t="s">
        <v>651</v>
      </c>
      <c r="W770" t="s">
        <v>233</v>
      </c>
      <c r="X770" t="s">
        <v>163</v>
      </c>
      <c r="Z770">
        <v>244</v>
      </c>
      <c r="AA770" t="s">
        <v>1951</v>
      </c>
      <c r="AB770" t="s">
        <v>1942</v>
      </c>
      <c r="AC770">
        <v>2604000134</v>
      </c>
      <c r="AE770">
        <v>0</v>
      </c>
      <c r="AF770">
        <v>0</v>
      </c>
      <c r="AG770">
        <v>0</v>
      </c>
      <c r="AH770">
        <v>0</v>
      </c>
      <c r="AI770" t="s">
        <v>56</v>
      </c>
      <c r="AJ770">
        <v>2.36</v>
      </c>
      <c r="AK770">
        <v>0</v>
      </c>
      <c r="AL770">
        <v>0</v>
      </c>
      <c r="AM770">
        <v>29.1</v>
      </c>
      <c r="AN770">
        <v>0.68</v>
      </c>
      <c r="AO770">
        <v>0</v>
      </c>
      <c r="AP770">
        <v>0</v>
      </c>
      <c r="AQ770" t="s">
        <v>57</v>
      </c>
      <c r="AS770" t="s">
        <v>1943</v>
      </c>
      <c r="AT770" t="s">
        <v>1943</v>
      </c>
      <c r="AU770" t="s">
        <v>1942</v>
      </c>
      <c r="AV770" t="s">
        <v>1944</v>
      </c>
      <c r="AW770" t="s">
        <v>1945</v>
      </c>
      <c r="AZ770">
        <v>94210</v>
      </c>
      <c r="BA770" t="s">
        <v>308</v>
      </c>
      <c r="BB770" t="s">
        <v>61</v>
      </c>
      <c r="BC770" t="s">
        <v>62</v>
      </c>
    </row>
    <row r="771" spans="1:55" x14ac:dyDescent="0.25">
      <c r="A771" s="1" t="str">
        <f>IF(COUNTIF(Catégories!A:A,X771)=0,"catégorie inconnue",_xlfn.XLOOKUP(X771,Catégories!A:A,Catégories!B:B))</f>
        <v>Frêt - avisé</v>
      </c>
      <c r="B771" s="1">
        <f t="shared" ref="B771:B834" si="36">SUM(AJ771:AL771)+SUM(AN771:AP771)</f>
        <v>0</v>
      </c>
      <c r="C771" s="1">
        <f t="shared" ref="C771:C834" si="37">AN771</f>
        <v>0</v>
      </c>
      <c r="D771" s="1">
        <f t="shared" ref="D771:D834" si="38">B771-C771</f>
        <v>0</v>
      </c>
      <c r="E771" s="20" t="e">
        <f>IF(AH771&lt;&gt;0,ROUNDUP(AH771,0),IF(BB771&lt;&gt;"FR","hors France",IF(AH771&lt;&gt;0,ROUNDUP(AH771,0),_xlfn.XLOOKUP(AJ771,'PA GLS'!B:B,'PA GLS'!A:A))))</f>
        <v>#N/A</v>
      </c>
      <c r="F771">
        <v>2501382993</v>
      </c>
      <c r="G771">
        <v>1030316159</v>
      </c>
      <c r="H771" t="s">
        <v>366</v>
      </c>
      <c r="I771">
        <v>2500034092</v>
      </c>
      <c r="J771" t="s">
        <v>50</v>
      </c>
      <c r="K771">
        <v>9000009190</v>
      </c>
      <c r="L771">
        <v>46946</v>
      </c>
      <c r="M771" t="s">
        <v>51</v>
      </c>
      <c r="N771">
        <v>9000037814</v>
      </c>
      <c r="O771" t="s">
        <v>51</v>
      </c>
      <c r="S771">
        <v>2507012387</v>
      </c>
      <c r="T771" t="s">
        <v>50</v>
      </c>
      <c r="U771" t="s">
        <v>122</v>
      </c>
      <c r="V771" t="s">
        <v>178</v>
      </c>
      <c r="W771" t="s">
        <v>179</v>
      </c>
      <c r="X771" t="s">
        <v>79</v>
      </c>
      <c r="Z771">
        <v>245</v>
      </c>
      <c r="AA771" t="s">
        <v>1951</v>
      </c>
      <c r="AB771" t="s">
        <v>1942</v>
      </c>
      <c r="AC771">
        <v>2604000134</v>
      </c>
      <c r="AE771">
        <v>0</v>
      </c>
      <c r="AF771">
        <v>0</v>
      </c>
      <c r="AG771">
        <v>0</v>
      </c>
      <c r="AH771">
        <v>0</v>
      </c>
      <c r="AI771" t="s">
        <v>56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 t="s">
        <v>57</v>
      </c>
      <c r="AS771" t="s">
        <v>1943</v>
      </c>
      <c r="AT771" t="s">
        <v>1943</v>
      </c>
      <c r="AU771" t="s">
        <v>1942</v>
      </c>
      <c r="AV771" t="s">
        <v>1944</v>
      </c>
      <c r="AW771" t="s">
        <v>1945</v>
      </c>
      <c r="AZ771">
        <v>94210</v>
      </c>
      <c r="BA771" t="s">
        <v>308</v>
      </c>
      <c r="BB771" t="s">
        <v>61</v>
      </c>
      <c r="BC771" t="s">
        <v>62</v>
      </c>
    </row>
    <row r="772" spans="1:55" x14ac:dyDescent="0.25">
      <c r="A772" s="1" t="str">
        <f>IF(COUNTIF(Catégories!A:A,X772)=0,"catégorie inconnue",_xlfn.XLOOKUP(X772,Catégories!A:A,Catégories!B:B))</f>
        <v>Frêt</v>
      </c>
      <c r="B772" s="1">
        <f t="shared" si="36"/>
        <v>7.0100000000000007</v>
      </c>
      <c r="C772" s="1">
        <f t="shared" si="37"/>
        <v>1.54</v>
      </c>
      <c r="D772" s="1">
        <f t="shared" si="38"/>
        <v>5.4700000000000006</v>
      </c>
      <c r="E772" s="20">
        <f>IF(AH772&lt;&gt;0,ROUNDUP(AH772,0),IF(BB772&lt;&gt;"FR","hors France",IF(AH772&lt;&gt;0,ROUNDUP(AH772,0),_xlfn.XLOOKUP(AJ772,'PA GLS'!B:B,'PA GLS'!A:A))))</f>
        <v>2</v>
      </c>
      <c r="F772">
        <v>2501382993</v>
      </c>
      <c r="G772">
        <v>1030350167</v>
      </c>
      <c r="H772" t="s">
        <v>366</v>
      </c>
      <c r="I772">
        <v>2500034092</v>
      </c>
      <c r="J772" t="s">
        <v>50</v>
      </c>
      <c r="K772">
        <v>9000009190</v>
      </c>
      <c r="L772">
        <v>46946</v>
      </c>
      <c r="M772" t="s">
        <v>51</v>
      </c>
      <c r="N772">
        <v>9000079830</v>
      </c>
      <c r="O772" t="s">
        <v>187</v>
      </c>
      <c r="S772">
        <v>2507012387</v>
      </c>
      <c r="T772" t="s">
        <v>50</v>
      </c>
      <c r="U772" t="s">
        <v>122</v>
      </c>
      <c r="V772" t="s">
        <v>63</v>
      </c>
      <c r="W772" t="s">
        <v>64</v>
      </c>
      <c r="X772" t="s">
        <v>60</v>
      </c>
      <c r="Z772">
        <v>266</v>
      </c>
      <c r="AA772" t="s">
        <v>366</v>
      </c>
      <c r="AB772" t="s">
        <v>1996</v>
      </c>
      <c r="AC772">
        <v>2604000269</v>
      </c>
      <c r="AE772">
        <v>0</v>
      </c>
      <c r="AF772">
        <v>0</v>
      </c>
      <c r="AG772">
        <v>0</v>
      </c>
      <c r="AH772">
        <v>0</v>
      </c>
      <c r="AI772" t="s">
        <v>56</v>
      </c>
      <c r="AJ772">
        <v>4.42</v>
      </c>
      <c r="AK772">
        <v>0.9</v>
      </c>
      <c r="AL772">
        <v>0.15</v>
      </c>
      <c r="AM772">
        <v>29.1</v>
      </c>
      <c r="AN772">
        <v>1.54</v>
      </c>
      <c r="AO772">
        <v>0</v>
      </c>
      <c r="AP772">
        <v>0</v>
      </c>
      <c r="AQ772" t="s">
        <v>57</v>
      </c>
      <c r="AS772" t="s">
        <v>1997</v>
      </c>
      <c r="AT772" t="s">
        <v>1997</v>
      </c>
      <c r="AU772" t="s">
        <v>1996</v>
      </c>
      <c r="AV772" t="s">
        <v>1998</v>
      </c>
      <c r="AW772" t="s">
        <v>1999</v>
      </c>
      <c r="AZ772">
        <v>29200</v>
      </c>
      <c r="BA772" t="s">
        <v>271</v>
      </c>
      <c r="BB772" t="s">
        <v>61</v>
      </c>
      <c r="BC772" t="s">
        <v>62</v>
      </c>
    </row>
    <row r="773" spans="1:55" x14ac:dyDescent="0.25">
      <c r="A773" s="1" t="str">
        <f>IF(COUNTIF(Catégories!A:A,X773)=0,"catégorie inconnue",_xlfn.XLOOKUP(X773,Catégories!A:A,Catégories!B:B))</f>
        <v>Frêt</v>
      </c>
      <c r="B773" s="1">
        <f t="shared" si="36"/>
        <v>7.0100000000000007</v>
      </c>
      <c r="C773" s="1">
        <f t="shared" si="37"/>
        <v>1.54</v>
      </c>
      <c r="D773" s="1">
        <f t="shared" si="38"/>
        <v>5.4700000000000006</v>
      </c>
      <c r="E773" s="20">
        <f>IF(AH773&lt;&gt;0,ROUNDUP(AH773,0),IF(BB773&lt;&gt;"FR","hors France",IF(AH773&lt;&gt;0,ROUNDUP(AH773,0),_xlfn.XLOOKUP(AJ773,'PA GLS'!B:B,'PA GLS'!A:A))))</f>
        <v>2</v>
      </c>
      <c r="F773">
        <v>2501382993</v>
      </c>
      <c r="G773">
        <v>1030350167</v>
      </c>
      <c r="H773" t="s">
        <v>366</v>
      </c>
      <c r="I773">
        <v>2500034092</v>
      </c>
      <c r="J773" t="s">
        <v>50</v>
      </c>
      <c r="K773">
        <v>9000009190</v>
      </c>
      <c r="L773">
        <v>46946</v>
      </c>
      <c r="M773" t="s">
        <v>51</v>
      </c>
      <c r="N773">
        <v>9000079830</v>
      </c>
      <c r="O773" t="s">
        <v>187</v>
      </c>
      <c r="S773">
        <v>2507012387</v>
      </c>
      <c r="T773" t="s">
        <v>50</v>
      </c>
      <c r="U773" t="s">
        <v>122</v>
      </c>
      <c r="V773" t="s">
        <v>63</v>
      </c>
      <c r="W773" t="s">
        <v>64</v>
      </c>
      <c r="X773" t="s">
        <v>60</v>
      </c>
      <c r="Z773">
        <v>266</v>
      </c>
      <c r="AA773" t="s">
        <v>366</v>
      </c>
      <c r="AB773" t="s">
        <v>2000</v>
      </c>
      <c r="AC773">
        <v>2604000263</v>
      </c>
      <c r="AE773">
        <v>0</v>
      </c>
      <c r="AF773">
        <v>0</v>
      </c>
      <c r="AG773">
        <v>0</v>
      </c>
      <c r="AH773">
        <v>0</v>
      </c>
      <c r="AI773" t="s">
        <v>56</v>
      </c>
      <c r="AJ773">
        <v>4.42</v>
      </c>
      <c r="AK773">
        <v>0.9</v>
      </c>
      <c r="AL773">
        <v>0.15</v>
      </c>
      <c r="AM773">
        <v>29.1</v>
      </c>
      <c r="AN773">
        <v>1.54</v>
      </c>
      <c r="AO773">
        <v>0</v>
      </c>
      <c r="AP773">
        <v>0</v>
      </c>
      <c r="AQ773" t="s">
        <v>57</v>
      </c>
      <c r="AS773" t="s">
        <v>2001</v>
      </c>
      <c r="AT773" t="s">
        <v>2001</v>
      </c>
      <c r="AU773" t="s">
        <v>2000</v>
      </c>
      <c r="AV773" t="s">
        <v>2002</v>
      </c>
      <c r="AW773" t="s">
        <v>2003</v>
      </c>
      <c r="AZ773">
        <v>6110</v>
      </c>
      <c r="BA773" t="s">
        <v>2004</v>
      </c>
      <c r="BB773" t="s">
        <v>61</v>
      </c>
      <c r="BC773" t="s">
        <v>62</v>
      </c>
    </row>
    <row r="774" spans="1:55" x14ac:dyDescent="0.25">
      <c r="A774" s="1" t="str">
        <f>IF(COUNTIF(Catégories!A:A,X774)=0,"catégorie inconnue",_xlfn.XLOOKUP(X774,Catégories!A:A,Catégories!B:B))</f>
        <v>Frêt</v>
      </c>
      <c r="B774" s="1">
        <f t="shared" si="36"/>
        <v>7.0100000000000007</v>
      </c>
      <c r="C774" s="1">
        <f t="shared" si="37"/>
        <v>1.54</v>
      </c>
      <c r="D774" s="1">
        <f t="shared" si="38"/>
        <v>5.4700000000000006</v>
      </c>
      <c r="E774" s="20">
        <f>IF(AH774&lt;&gt;0,ROUNDUP(AH774,0),IF(BB774&lt;&gt;"FR","hors France",IF(AH774&lt;&gt;0,ROUNDUP(AH774,0),_xlfn.XLOOKUP(AJ774,'PA GLS'!B:B,'PA GLS'!A:A))))</f>
        <v>2</v>
      </c>
      <c r="F774">
        <v>2501382993</v>
      </c>
      <c r="G774">
        <v>1030350167</v>
      </c>
      <c r="H774" t="s">
        <v>366</v>
      </c>
      <c r="I774">
        <v>2500034092</v>
      </c>
      <c r="J774" t="s">
        <v>50</v>
      </c>
      <c r="K774">
        <v>9000009190</v>
      </c>
      <c r="L774">
        <v>46946</v>
      </c>
      <c r="M774" t="s">
        <v>51</v>
      </c>
      <c r="N774">
        <v>9000079830</v>
      </c>
      <c r="O774" t="s">
        <v>187</v>
      </c>
      <c r="S774">
        <v>2507012387</v>
      </c>
      <c r="T774" t="s">
        <v>50</v>
      </c>
      <c r="U774" t="s">
        <v>122</v>
      </c>
      <c r="V774" t="s">
        <v>63</v>
      </c>
      <c r="W774" t="s">
        <v>64</v>
      </c>
      <c r="X774" t="s">
        <v>60</v>
      </c>
      <c r="Z774">
        <v>266</v>
      </c>
      <c r="AA774" t="s">
        <v>366</v>
      </c>
      <c r="AB774" t="s">
        <v>2005</v>
      </c>
      <c r="AC774">
        <v>2604000260</v>
      </c>
      <c r="AE774">
        <v>0</v>
      </c>
      <c r="AF774">
        <v>0</v>
      </c>
      <c r="AG774">
        <v>0</v>
      </c>
      <c r="AH774">
        <v>0</v>
      </c>
      <c r="AI774" t="s">
        <v>56</v>
      </c>
      <c r="AJ774">
        <v>4.42</v>
      </c>
      <c r="AK774">
        <v>0.9</v>
      </c>
      <c r="AL774">
        <v>0.15</v>
      </c>
      <c r="AM774">
        <v>29.1</v>
      </c>
      <c r="AN774">
        <v>1.54</v>
      </c>
      <c r="AO774">
        <v>0</v>
      </c>
      <c r="AP774">
        <v>0</v>
      </c>
      <c r="AQ774" t="s">
        <v>57</v>
      </c>
      <c r="AS774" t="s">
        <v>2006</v>
      </c>
      <c r="AT774" t="s">
        <v>2006</v>
      </c>
      <c r="AU774" t="s">
        <v>2005</v>
      </c>
      <c r="AV774" t="s">
        <v>2007</v>
      </c>
      <c r="AW774" t="s">
        <v>2008</v>
      </c>
      <c r="AZ774">
        <v>94440</v>
      </c>
      <c r="BA774" t="s">
        <v>2009</v>
      </c>
      <c r="BB774" t="s">
        <v>61</v>
      </c>
      <c r="BC774" t="s">
        <v>62</v>
      </c>
    </row>
    <row r="775" spans="1:55" x14ac:dyDescent="0.25">
      <c r="A775" s="1" t="str">
        <f>IF(COUNTIF(Catégories!A:A,X775)=0,"catégorie inconnue",_xlfn.XLOOKUP(X775,Catégories!A:A,Catégories!B:B))</f>
        <v>Frêt</v>
      </c>
      <c r="B775" s="1">
        <f t="shared" si="36"/>
        <v>7.0100000000000007</v>
      </c>
      <c r="C775" s="1">
        <f t="shared" si="37"/>
        <v>1.54</v>
      </c>
      <c r="D775" s="1">
        <f t="shared" si="38"/>
        <v>5.4700000000000006</v>
      </c>
      <c r="E775" s="20">
        <f>IF(AH775&lt;&gt;0,ROUNDUP(AH775,0),IF(BB775&lt;&gt;"FR","hors France",IF(AH775&lt;&gt;0,ROUNDUP(AH775,0),_xlfn.XLOOKUP(AJ775,'PA GLS'!B:B,'PA GLS'!A:A))))</f>
        <v>2</v>
      </c>
      <c r="F775">
        <v>2501382993</v>
      </c>
      <c r="G775">
        <v>1030350167</v>
      </c>
      <c r="H775" t="s">
        <v>366</v>
      </c>
      <c r="I775">
        <v>2500034092</v>
      </c>
      <c r="J775" t="s">
        <v>50</v>
      </c>
      <c r="K775">
        <v>9000009190</v>
      </c>
      <c r="L775">
        <v>46946</v>
      </c>
      <c r="M775" t="s">
        <v>51</v>
      </c>
      <c r="N775">
        <v>9000079830</v>
      </c>
      <c r="O775" t="s">
        <v>187</v>
      </c>
      <c r="S775">
        <v>2507012387</v>
      </c>
      <c r="T775" t="s">
        <v>50</v>
      </c>
      <c r="U775" t="s">
        <v>122</v>
      </c>
      <c r="V775" t="s">
        <v>63</v>
      </c>
      <c r="W775" t="s">
        <v>64</v>
      </c>
      <c r="X775" t="s">
        <v>60</v>
      </c>
      <c r="Z775">
        <v>266</v>
      </c>
      <c r="AA775" t="s">
        <v>366</v>
      </c>
      <c r="AB775" t="s">
        <v>2010</v>
      </c>
      <c r="AC775">
        <v>2604000259</v>
      </c>
      <c r="AE775">
        <v>0</v>
      </c>
      <c r="AF775">
        <v>0</v>
      </c>
      <c r="AG775">
        <v>0</v>
      </c>
      <c r="AH775">
        <v>0</v>
      </c>
      <c r="AI775" t="s">
        <v>56</v>
      </c>
      <c r="AJ775">
        <v>4.42</v>
      </c>
      <c r="AK775">
        <v>0.9</v>
      </c>
      <c r="AL775">
        <v>0.15</v>
      </c>
      <c r="AM775">
        <v>29.1</v>
      </c>
      <c r="AN775">
        <v>1.54</v>
      </c>
      <c r="AO775">
        <v>0</v>
      </c>
      <c r="AP775">
        <v>0</v>
      </c>
      <c r="AQ775" t="s">
        <v>57</v>
      </c>
      <c r="AS775" t="s">
        <v>2011</v>
      </c>
      <c r="AT775" t="s">
        <v>2011</v>
      </c>
      <c r="AU775" t="s">
        <v>2010</v>
      </c>
      <c r="AV775" t="s">
        <v>2012</v>
      </c>
      <c r="AW775" t="s">
        <v>2013</v>
      </c>
      <c r="AZ775">
        <v>83000</v>
      </c>
      <c r="BA775" t="s">
        <v>2014</v>
      </c>
      <c r="BB775" t="s">
        <v>61</v>
      </c>
      <c r="BC775" t="s">
        <v>62</v>
      </c>
    </row>
    <row r="776" spans="1:55" x14ac:dyDescent="0.25">
      <c r="A776" s="1" t="str">
        <f>IF(COUNTIF(Catégories!A:A,X776)=0,"catégorie inconnue",_xlfn.XLOOKUP(X776,Catégories!A:A,Catégories!B:B))</f>
        <v>Frêt</v>
      </c>
      <c r="B776" s="1">
        <f t="shared" si="36"/>
        <v>7.0100000000000007</v>
      </c>
      <c r="C776" s="1">
        <f t="shared" si="37"/>
        <v>1.54</v>
      </c>
      <c r="D776" s="1">
        <f t="shared" si="38"/>
        <v>5.4700000000000006</v>
      </c>
      <c r="E776" s="20">
        <f>IF(AH776&lt;&gt;0,ROUNDUP(AH776,0),IF(BB776&lt;&gt;"FR","hors France",IF(AH776&lt;&gt;0,ROUNDUP(AH776,0),_xlfn.XLOOKUP(AJ776,'PA GLS'!B:B,'PA GLS'!A:A))))</f>
        <v>2</v>
      </c>
      <c r="F776">
        <v>2501382993</v>
      </c>
      <c r="G776">
        <v>1030350167</v>
      </c>
      <c r="H776" t="s">
        <v>366</v>
      </c>
      <c r="I776">
        <v>2500034092</v>
      </c>
      <c r="J776" t="s">
        <v>50</v>
      </c>
      <c r="K776">
        <v>9000009190</v>
      </c>
      <c r="L776">
        <v>46946</v>
      </c>
      <c r="M776" t="s">
        <v>51</v>
      </c>
      <c r="N776">
        <v>9000079830</v>
      </c>
      <c r="O776" t="s">
        <v>187</v>
      </c>
      <c r="S776">
        <v>2507012387</v>
      </c>
      <c r="T776" t="s">
        <v>50</v>
      </c>
      <c r="U776" t="s">
        <v>122</v>
      </c>
      <c r="V776" t="s">
        <v>63</v>
      </c>
      <c r="W776" t="s">
        <v>64</v>
      </c>
      <c r="X776" t="s">
        <v>60</v>
      </c>
      <c r="Z776">
        <v>266</v>
      </c>
      <c r="AA776" t="s">
        <v>366</v>
      </c>
      <c r="AB776" t="s">
        <v>2015</v>
      </c>
      <c r="AC776">
        <v>2604000258</v>
      </c>
      <c r="AE776">
        <v>0</v>
      </c>
      <c r="AF776">
        <v>0</v>
      </c>
      <c r="AG776">
        <v>0</v>
      </c>
      <c r="AH776">
        <v>0</v>
      </c>
      <c r="AI776" t="s">
        <v>56</v>
      </c>
      <c r="AJ776">
        <v>4.42</v>
      </c>
      <c r="AK776">
        <v>0.9</v>
      </c>
      <c r="AL776">
        <v>0.15</v>
      </c>
      <c r="AM776">
        <v>29.1</v>
      </c>
      <c r="AN776">
        <v>1.54</v>
      </c>
      <c r="AO776">
        <v>0</v>
      </c>
      <c r="AP776">
        <v>0</v>
      </c>
      <c r="AQ776" t="s">
        <v>57</v>
      </c>
      <c r="AS776" t="s">
        <v>2016</v>
      </c>
      <c r="AT776" t="s">
        <v>2016</v>
      </c>
      <c r="AU776" t="s">
        <v>2015</v>
      </c>
      <c r="AV776" t="s">
        <v>2017</v>
      </c>
      <c r="AW776" t="s">
        <v>2018</v>
      </c>
      <c r="AZ776">
        <v>49280</v>
      </c>
      <c r="BA776" t="s">
        <v>2019</v>
      </c>
      <c r="BB776" t="s">
        <v>61</v>
      </c>
      <c r="BC776" t="s">
        <v>62</v>
      </c>
    </row>
    <row r="777" spans="1:55" x14ac:dyDescent="0.25">
      <c r="A777" s="1" t="str">
        <f>IF(COUNTIF(Catégories!A:A,X777)=0,"catégorie inconnue",_xlfn.XLOOKUP(X777,Catégories!A:A,Catégories!B:B))</f>
        <v>Frêt</v>
      </c>
      <c r="B777" s="1">
        <f t="shared" si="36"/>
        <v>7.0100000000000007</v>
      </c>
      <c r="C777" s="1">
        <f t="shared" si="37"/>
        <v>1.54</v>
      </c>
      <c r="D777" s="1">
        <f t="shared" si="38"/>
        <v>5.4700000000000006</v>
      </c>
      <c r="E777" s="20">
        <f>IF(AH777&lt;&gt;0,ROUNDUP(AH777,0),IF(BB777&lt;&gt;"FR","hors France",IF(AH777&lt;&gt;0,ROUNDUP(AH777,0),_xlfn.XLOOKUP(AJ777,'PA GLS'!B:B,'PA GLS'!A:A))))</f>
        <v>2</v>
      </c>
      <c r="F777">
        <v>2501382993</v>
      </c>
      <c r="G777">
        <v>1030350167</v>
      </c>
      <c r="H777" t="s">
        <v>366</v>
      </c>
      <c r="I777">
        <v>2500034092</v>
      </c>
      <c r="J777" t="s">
        <v>50</v>
      </c>
      <c r="K777">
        <v>9000009190</v>
      </c>
      <c r="L777">
        <v>46946</v>
      </c>
      <c r="M777" t="s">
        <v>51</v>
      </c>
      <c r="N777">
        <v>9000079830</v>
      </c>
      <c r="O777" t="s">
        <v>187</v>
      </c>
      <c r="S777">
        <v>2507012387</v>
      </c>
      <c r="T777" t="s">
        <v>50</v>
      </c>
      <c r="U777" t="s">
        <v>122</v>
      </c>
      <c r="V777" t="s">
        <v>63</v>
      </c>
      <c r="W777" t="s">
        <v>64</v>
      </c>
      <c r="X777" t="s">
        <v>60</v>
      </c>
      <c r="Z777">
        <v>266</v>
      </c>
      <c r="AA777" t="s">
        <v>366</v>
      </c>
      <c r="AB777" t="s">
        <v>2020</v>
      </c>
      <c r="AC777">
        <v>2604000255</v>
      </c>
      <c r="AE777">
        <v>0</v>
      </c>
      <c r="AF777">
        <v>0</v>
      </c>
      <c r="AG777">
        <v>0</v>
      </c>
      <c r="AH777">
        <v>0</v>
      </c>
      <c r="AI777" t="s">
        <v>56</v>
      </c>
      <c r="AJ777">
        <v>4.42</v>
      </c>
      <c r="AK777">
        <v>0.9</v>
      </c>
      <c r="AL777">
        <v>0.15</v>
      </c>
      <c r="AM777">
        <v>29.1</v>
      </c>
      <c r="AN777">
        <v>1.54</v>
      </c>
      <c r="AO777">
        <v>0</v>
      </c>
      <c r="AP777">
        <v>0</v>
      </c>
      <c r="AQ777" t="s">
        <v>57</v>
      </c>
      <c r="AS777" t="s">
        <v>2021</v>
      </c>
      <c r="AT777" t="s">
        <v>2021</v>
      </c>
      <c r="AU777" t="s">
        <v>2020</v>
      </c>
      <c r="AV777" t="s">
        <v>2022</v>
      </c>
      <c r="AW777" t="s">
        <v>2023</v>
      </c>
      <c r="AZ777">
        <v>71120</v>
      </c>
      <c r="BA777" t="s">
        <v>2024</v>
      </c>
      <c r="BB777" t="s">
        <v>61</v>
      </c>
      <c r="BC777" t="s">
        <v>62</v>
      </c>
    </row>
    <row r="778" spans="1:55" x14ac:dyDescent="0.25">
      <c r="A778" s="1" t="str">
        <f>IF(COUNTIF(Catégories!A:A,X778)=0,"catégorie inconnue",_xlfn.XLOOKUP(X778,Catégories!A:A,Catégories!B:B))</f>
        <v>Frêt</v>
      </c>
      <c r="B778" s="1">
        <f t="shared" si="36"/>
        <v>7.0100000000000007</v>
      </c>
      <c r="C778" s="1">
        <f t="shared" si="37"/>
        <v>1.54</v>
      </c>
      <c r="D778" s="1">
        <f t="shared" si="38"/>
        <v>5.4700000000000006</v>
      </c>
      <c r="E778" s="20">
        <f>IF(AH778&lt;&gt;0,ROUNDUP(AH778,0),IF(BB778&lt;&gt;"FR","hors France",IF(AH778&lt;&gt;0,ROUNDUP(AH778,0),_xlfn.XLOOKUP(AJ778,'PA GLS'!B:B,'PA GLS'!A:A))))</f>
        <v>2</v>
      </c>
      <c r="F778">
        <v>2501382993</v>
      </c>
      <c r="G778">
        <v>1030350167</v>
      </c>
      <c r="H778" t="s">
        <v>366</v>
      </c>
      <c r="I778">
        <v>2500034092</v>
      </c>
      <c r="J778" t="s">
        <v>50</v>
      </c>
      <c r="K778">
        <v>9000009190</v>
      </c>
      <c r="L778">
        <v>46946</v>
      </c>
      <c r="M778" t="s">
        <v>51</v>
      </c>
      <c r="N778">
        <v>9000079830</v>
      </c>
      <c r="O778" t="s">
        <v>187</v>
      </c>
      <c r="S778">
        <v>2507012387</v>
      </c>
      <c r="T778" t="s">
        <v>50</v>
      </c>
      <c r="U778" t="s">
        <v>122</v>
      </c>
      <c r="V778" t="s">
        <v>63</v>
      </c>
      <c r="W778" t="s">
        <v>64</v>
      </c>
      <c r="X778" t="s">
        <v>60</v>
      </c>
      <c r="Z778">
        <v>266</v>
      </c>
      <c r="AA778" t="s">
        <v>366</v>
      </c>
      <c r="AB778" t="s">
        <v>2025</v>
      </c>
      <c r="AC778">
        <v>2604000251</v>
      </c>
      <c r="AE778">
        <v>0</v>
      </c>
      <c r="AF778">
        <v>0</v>
      </c>
      <c r="AG778">
        <v>0</v>
      </c>
      <c r="AH778">
        <v>0</v>
      </c>
      <c r="AI778" t="s">
        <v>56</v>
      </c>
      <c r="AJ778">
        <v>4.42</v>
      </c>
      <c r="AK778">
        <v>0.9</v>
      </c>
      <c r="AL778">
        <v>0.15</v>
      </c>
      <c r="AM778">
        <v>29.1</v>
      </c>
      <c r="AN778">
        <v>1.54</v>
      </c>
      <c r="AO778">
        <v>0</v>
      </c>
      <c r="AP778">
        <v>0</v>
      </c>
      <c r="AQ778" t="s">
        <v>57</v>
      </c>
      <c r="AS778" t="s">
        <v>2026</v>
      </c>
      <c r="AT778" t="s">
        <v>2026</v>
      </c>
      <c r="AU778" t="s">
        <v>2025</v>
      </c>
      <c r="AV778" t="s">
        <v>2027</v>
      </c>
      <c r="AW778" t="s">
        <v>2028</v>
      </c>
      <c r="AZ778">
        <v>95610</v>
      </c>
      <c r="BA778" t="s">
        <v>290</v>
      </c>
      <c r="BB778" t="s">
        <v>61</v>
      </c>
      <c r="BC778" t="s">
        <v>62</v>
      </c>
    </row>
    <row r="779" spans="1:55" x14ac:dyDescent="0.25">
      <c r="A779" s="1" t="str">
        <f>IF(COUNTIF(Catégories!A:A,X779)=0,"catégorie inconnue",_xlfn.XLOOKUP(X779,Catégories!A:A,Catégories!B:B))</f>
        <v>Frêt</v>
      </c>
      <c r="B779" s="1">
        <f t="shared" si="36"/>
        <v>7.0100000000000007</v>
      </c>
      <c r="C779" s="1">
        <f t="shared" si="37"/>
        <v>1.54</v>
      </c>
      <c r="D779" s="1">
        <f t="shared" si="38"/>
        <v>5.4700000000000006</v>
      </c>
      <c r="E779" s="20">
        <f>IF(AH779&lt;&gt;0,ROUNDUP(AH779,0),IF(BB779&lt;&gt;"FR","hors France",IF(AH779&lt;&gt;0,ROUNDUP(AH779,0),_xlfn.XLOOKUP(AJ779,'PA GLS'!B:B,'PA GLS'!A:A))))</f>
        <v>2</v>
      </c>
      <c r="F779">
        <v>2501382993</v>
      </c>
      <c r="G779">
        <v>1030350167</v>
      </c>
      <c r="H779" t="s">
        <v>366</v>
      </c>
      <c r="I779">
        <v>2500034092</v>
      </c>
      <c r="J779" t="s">
        <v>50</v>
      </c>
      <c r="K779">
        <v>9000009190</v>
      </c>
      <c r="L779">
        <v>46946</v>
      </c>
      <c r="M779" t="s">
        <v>51</v>
      </c>
      <c r="N779">
        <v>9000079830</v>
      </c>
      <c r="O779" t="s">
        <v>187</v>
      </c>
      <c r="S779">
        <v>2507012387</v>
      </c>
      <c r="T779" t="s">
        <v>50</v>
      </c>
      <c r="U779" t="s">
        <v>122</v>
      </c>
      <c r="V779" t="s">
        <v>63</v>
      </c>
      <c r="W779" t="s">
        <v>64</v>
      </c>
      <c r="X779" t="s">
        <v>60</v>
      </c>
      <c r="Z779">
        <v>266</v>
      </c>
      <c r="AA779" t="s">
        <v>366</v>
      </c>
      <c r="AB779" t="s">
        <v>2029</v>
      </c>
      <c r="AC779">
        <v>2604000250</v>
      </c>
      <c r="AE779">
        <v>0</v>
      </c>
      <c r="AF779">
        <v>0</v>
      </c>
      <c r="AG779">
        <v>0</v>
      </c>
      <c r="AH779">
        <v>0</v>
      </c>
      <c r="AI779" t="s">
        <v>56</v>
      </c>
      <c r="AJ779">
        <v>4.42</v>
      </c>
      <c r="AK779">
        <v>0.9</v>
      </c>
      <c r="AL779">
        <v>0.15</v>
      </c>
      <c r="AM779">
        <v>29.1</v>
      </c>
      <c r="AN779">
        <v>1.54</v>
      </c>
      <c r="AO779">
        <v>0</v>
      </c>
      <c r="AP779">
        <v>0</v>
      </c>
      <c r="AQ779" t="s">
        <v>57</v>
      </c>
      <c r="AS779" t="s">
        <v>2030</v>
      </c>
      <c r="AT779" t="s">
        <v>2030</v>
      </c>
      <c r="AU779" t="s">
        <v>2029</v>
      </c>
      <c r="AV779" t="s">
        <v>2031</v>
      </c>
      <c r="AW779" t="s">
        <v>2032</v>
      </c>
      <c r="AZ779">
        <v>95300</v>
      </c>
      <c r="BA779" t="s">
        <v>2033</v>
      </c>
      <c r="BB779" t="s">
        <v>61</v>
      </c>
      <c r="BC779" t="s">
        <v>62</v>
      </c>
    </row>
    <row r="780" spans="1:55" x14ac:dyDescent="0.25">
      <c r="A780" s="1" t="str">
        <f>IF(COUNTIF(Catégories!A:A,X780)=0,"catégorie inconnue",_xlfn.XLOOKUP(X780,Catégories!A:A,Catégories!B:B))</f>
        <v>Frêt</v>
      </c>
      <c r="B780" s="1">
        <f t="shared" si="36"/>
        <v>7.0100000000000007</v>
      </c>
      <c r="C780" s="1">
        <f t="shared" si="37"/>
        <v>1.54</v>
      </c>
      <c r="D780" s="1">
        <f t="shared" si="38"/>
        <v>5.4700000000000006</v>
      </c>
      <c r="E780" s="20">
        <f>IF(AH780&lt;&gt;0,ROUNDUP(AH780,0),IF(BB780&lt;&gt;"FR","hors France",IF(AH780&lt;&gt;0,ROUNDUP(AH780,0),_xlfn.XLOOKUP(AJ780,'PA GLS'!B:B,'PA GLS'!A:A))))</f>
        <v>2</v>
      </c>
      <c r="F780">
        <v>2501382993</v>
      </c>
      <c r="G780">
        <v>1030350167</v>
      </c>
      <c r="H780" t="s">
        <v>366</v>
      </c>
      <c r="I780">
        <v>2500034092</v>
      </c>
      <c r="J780" t="s">
        <v>50</v>
      </c>
      <c r="K780">
        <v>9000009190</v>
      </c>
      <c r="L780">
        <v>46946</v>
      </c>
      <c r="M780" t="s">
        <v>51</v>
      </c>
      <c r="N780">
        <v>9000079830</v>
      </c>
      <c r="O780" t="s">
        <v>187</v>
      </c>
      <c r="S780">
        <v>2507012387</v>
      </c>
      <c r="T780" t="s">
        <v>50</v>
      </c>
      <c r="U780" t="s">
        <v>122</v>
      </c>
      <c r="V780" t="s">
        <v>63</v>
      </c>
      <c r="W780" t="s">
        <v>64</v>
      </c>
      <c r="X780" t="s">
        <v>60</v>
      </c>
      <c r="Z780">
        <v>266</v>
      </c>
      <c r="AA780" t="s">
        <v>366</v>
      </c>
      <c r="AB780" t="s">
        <v>2034</v>
      </c>
      <c r="AC780">
        <v>2604000248</v>
      </c>
      <c r="AE780">
        <v>0</v>
      </c>
      <c r="AF780">
        <v>0</v>
      </c>
      <c r="AG780">
        <v>0</v>
      </c>
      <c r="AH780">
        <v>0</v>
      </c>
      <c r="AI780" t="s">
        <v>56</v>
      </c>
      <c r="AJ780">
        <v>4.42</v>
      </c>
      <c r="AK780">
        <v>0.9</v>
      </c>
      <c r="AL780">
        <v>0.15</v>
      </c>
      <c r="AM780">
        <v>29.1</v>
      </c>
      <c r="AN780">
        <v>1.54</v>
      </c>
      <c r="AO780">
        <v>0</v>
      </c>
      <c r="AP780">
        <v>0</v>
      </c>
      <c r="AQ780" t="s">
        <v>57</v>
      </c>
      <c r="AS780" t="s">
        <v>2035</v>
      </c>
      <c r="AT780" t="s">
        <v>2035</v>
      </c>
      <c r="AU780" t="s">
        <v>2034</v>
      </c>
      <c r="AV780" t="s">
        <v>2036</v>
      </c>
      <c r="AW780" t="s">
        <v>2037</v>
      </c>
      <c r="AZ780">
        <v>14850</v>
      </c>
      <c r="BA780" t="s">
        <v>2038</v>
      </c>
      <c r="BB780" t="s">
        <v>61</v>
      </c>
      <c r="BC780" t="s">
        <v>62</v>
      </c>
    </row>
    <row r="781" spans="1:55" x14ac:dyDescent="0.25">
      <c r="A781" s="1" t="str">
        <f>IF(COUNTIF(Catégories!A:A,X781)=0,"catégorie inconnue",_xlfn.XLOOKUP(X781,Catégories!A:A,Catégories!B:B))</f>
        <v>Frêt</v>
      </c>
      <c r="B781" s="1">
        <f t="shared" si="36"/>
        <v>7.0100000000000007</v>
      </c>
      <c r="C781" s="1">
        <f t="shared" si="37"/>
        <v>1.54</v>
      </c>
      <c r="D781" s="1">
        <f t="shared" si="38"/>
        <v>5.4700000000000006</v>
      </c>
      <c r="E781" s="20">
        <f>IF(AH781&lt;&gt;0,ROUNDUP(AH781,0),IF(BB781&lt;&gt;"FR","hors France",IF(AH781&lt;&gt;0,ROUNDUP(AH781,0),_xlfn.XLOOKUP(AJ781,'PA GLS'!B:B,'PA GLS'!A:A))))</f>
        <v>2</v>
      </c>
      <c r="F781">
        <v>2501382993</v>
      </c>
      <c r="G781">
        <v>1030350167</v>
      </c>
      <c r="H781" t="s">
        <v>366</v>
      </c>
      <c r="I781">
        <v>2500034092</v>
      </c>
      <c r="J781" t="s">
        <v>50</v>
      </c>
      <c r="K781">
        <v>9000009190</v>
      </c>
      <c r="L781">
        <v>46946</v>
      </c>
      <c r="M781" t="s">
        <v>51</v>
      </c>
      <c r="N781">
        <v>9000079830</v>
      </c>
      <c r="O781" t="s">
        <v>187</v>
      </c>
      <c r="S781">
        <v>2507012387</v>
      </c>
      <c r="T781" t="s">
        <v>50</v>
      </c>
      <c r="U781" t="s">
        <v>122</v>
      </c>
      <c r="V781" t="s">
        <v>63</v>
      </c>
      <c r="W781" t="s">
        <v>64</v>
      </c>
      <c r="X781" t="s">
        <v>60</v>
      </c>
      <c r="Z781">
        <v>266</v>
      </c>
      <c r="AA781" t="s">
        <v>366</v>
      </c>
      <c r="AB781" t="s">
        <v>2039</v>
      </c>
      <c r="AC781">
        <v>2604000247</v>
      </c>
      <c r="AE781">
        <v>0</v>
      </c>
      <c r="AF781">
        <v>0</v>
      </c>
      <c r="AG781">
        <v>0</v>
      </c>
      <c r="AH781">
        <v>0</v>
      </c>
      <c r="AI781" t="s">
        <v>56</v>
      </c>
      <c r="AJ781">
        <v>4.42</v>
      </c>
      <c r="AK781">
        <v>0.9</v>
      </c>
      <c r="AL781">
        <v>0.15</v>
      </c>
      <c r="AM781">
        <v>29.1</v>
      </c>
      <c r="AN781">
        <v>1.54</v>
      </c>
      <c r="AO781">
        <v>0</v>
      </c>
      <c r="AP781">
        <v>0</v>
      </c>
      <c r="AQ781" t="s">
        <v>57</v>
      </c>
      <c r="AS781" t="s">
        <v>2040</v>
      </c>
      <c r="AT781" t="s">
        <v>2040</v>
      </c>
      <c r="AU781" t="s">
        <v>2039</v>
      </c>
      <c r="AV781" t="s">
        <v>2041</v>
      </c>
      <c r="AW781" t="s">
        <v>2042</v>
      </c>
      <c r="AZ781">
        <v>75011</v>
      </c>
      <c r="BA781" t="s">
        <v>65</v>
      </c>
      <c r="BB781" t="s">
        <v>61</v>
      </c>
      <c r="BC781" t="s">
        <v>62</v>
      </c>
    </row>
    <row r="782" spans="1:55" x14ac:dyDescent="0.25">
      <c r="A782" s="1" t="str">
        <f>IF(COUNTIF(Catégories!A:A,X782)=0,"catégorie inconnue",_xlfn.XLOOKUP(X782,Catégories!A:A,Catégories!B:B))</f>
        <v>Frêt</v>
      </c>
      <c r="B782" s="1">
        <f t="shared" si="36"/>
        <v>7.0100000000000007</v>
      </c>
      <c r="C782" s="1">
        <f t="shared" si="37"/>
        <v>1.54</v>
      </c>
      <c r="D782" s="1">
        <f t="shared" si="38"/>
        <v>5.4700000000000006</v>
      </c>
      <c r="E782" s="20">
        <f>IF(AH782&lt;&gt;0,ROUNDUP(AH782,0),IF(BB782&lt;&gt;"FR","hors France",IF(AH782&lt;&gt;0,ROUNDUP(AH782,0),_xlfn.XLOOKUP(AJ782,'PA GLS'!B:B,'PA GLS'!A:A))))</f>
        <v>2</v>
      </c>
      <c r="F782">
        <v>2501382993</v>
      </c>
      <c r="G782">
        <v>1030350167</v>
      </c>
      <c r="H782" t="s">
        <v>366</v>
      </c>
      <c r="I782">
        <v>2500034092</v>
      </c>
      <c r="J782" t="s">
        <v>50</v>
      </c>
      <c r="K782">
        <v>9000009190</v>
      </c>
      <c r="L782">
        <v>46946</v>
      </c>
      <c r="M782" t="s">
        <v>51</v>
      </c>
      <c r="N782">
        <v>9000079830</v>
      </c>
      <c r="O782" t="s">
        <v>187</v>
      </c>
      <c r="S782">
        <v>2507012387</v>
      </c>
      <c r="T782" t="s">
        <v>50</v>
      </c>
      <c r="U782" t="s">
        <v>122</v>
      </c>
      <c r="V782" t="s">
        <v>63</v>
      </c>
      <c r="W782" t="s">
        <v>64</v>
      </c>
      <c r="X782" t="s">
        <v>60</v>
      </c>
      <c r="Z782">
        <v>266</v>
      </c>
      <c r="AA782" t="s">
        <v>366</v>
      </c>
      <c r="AB782" t="s">
        <v>2043</v>
      </c>
      <c r="AC782">
        <v>2604000246</v>
      </c>
      <c r="AE782">
        <v>0</v>
      </c>
      <c r="AF782">
        <v>0</v>
      </c>
      <c r="AG782">
        <v>0</v>
      </c>
      <c r="AH782">
        <v>0</v>
      </c>
      <c r="AI782" t="s">
        <v>56</v>
      </c>
      <c r="AJ782">
        <v>4.42</v>
      </c>
      <c r="AK782">
        <v>0.9</v>
      </c>
      <c r="AL782">
        <v>0.15</v>
      </c>
      <c r="AM782">
        <v>29.1</v>
      </c>
      <c r="AN782">
        <v>1.54</v>
      </c>
      <c r="AO782">
        <v>0</v>
      </c>
      <c r="AP782">
        <v>0</v>
      </c>
      <c r="AQ782" t="s">
        <v>57</v>
      </c>
      <c r="AS782" t="s">
        <v>2044</v>
      </c>
      <c r="AT782" t="s">
        <v>2044</v>
      </c>
      <c r="AU782" t="s">
        <v>2043</v>
      </c>
      <c r="AV782" t="s">
        <v>2045</v>
      </c>
      <c r="AW782" t="s">
        <v>2046</v>
      </c>
      <c r="AZ782">
        <v>84210</v>
      </c>
      <c r="BA782" t="s">
        <v>2047</v>
      </c>
      <c r="BB782" t="s">
        <v>61</v>
      </c>
      <c r="BC782" t="s">
        <v>62</v>
      </c>
    </row>
    <row r="783" spans="1:55" x14ac:dyDescent="0.25">
      <c r="A783" s="1" t="str">
        <f>IF(COUNTIF(Catégories!A:A,X783)=0,"catégorie inconnue",_xlfn.XLOOKUP(X783,Catégories!A:A,Catégories!B:B))</f>
        <v>Frêt</v>
      </c>
      <c r="B783" s="1">
        <f t="shared" si="36"/>
        <v>7.0100000000000007</v>
      </c>
      <c r="C783" s="1">
        <f t="shared" si="37"/>
        <v>1.54</v>
      </c>
      <c r="D783" s="1">
        <f t="shared" si="38"/>
        <v>5.4700000000000006</v>
      </c>
      <c r="E783" s="20">
        <f>IF(AH783&lt;&gt;0,ROUNDUP(AH783,0),IF(BB783&lt;&gt;"FR","hors France",IF(AH783&lt;&gt;0,ROUNDUP(AH783,0),_xlfn.XLOOKUP(AJ783,'PA GLS'!B:B,'PA GLS'!A:A))))</f>
        <v>2</v>
      </c>
      <c r="F783">
        <v>2501382993</v>
      </c>
      <c r="G783">
        <v>1030350167</v>
      </c>
      <c r="H783" t="s">
        <v>366</v>
      </c>
      <c r="I783">
        <v>2500034092</v>
      </c>
      <c r="J783" t="s">
        <v>50</v>
      </c>
      <c r="K783">
        <v>9000009190</v>
      </c>
      <c r="L783">
        <v>46946</v>
      </c>
      <c r="M783" t="s">
        <v>51</v>
      </c>
      <c r="N783">
        <v>9000079830</v>
      </c>
      <c r="O783" t="s">
        <v>187</v>
      </c>
      <c r="S783">
        <v>2507012387</v>
      </c>
      <c r="T783" t="s">
        <v>50</v>
      </c>
      <c r="U783" t="s">
        <v>122</v>
      </c>
      <c r="V783" t="s">
        <v>63</v>
      </c>
      <c r="W783" t="s">
        <v>64</v>
      </c>
      <c r="X783" t="s">
        <v>60</v>
      </c>
      <c r="Z783">
        <v>266</v>
      </c>
      <c r="AA783" t="s">
        <v>366</v>
      </c>
      <c r="AB783" t="s">
        <v>2048</v>
      </c>
      <c r="AC783">
        <v>2604000245</v>
      </c>
      <c r="AE783">
        <v>0</v>
      </c>
      <c r="AF783">
        <v>0</v>
      </c>
      <c r="AG783">
        <v>0</v>
      </c>
      <c r="AH783">
        <v>0</v>
      </c>
      <c r="AI783" t="s">
        <v>56</v>
      </c>
      <c r="AJ783">
        <v>4.42</v>
      </c>
      <c r="AK783">
        <v>0.9</v>
      </c>
      <c r="AL783">
        <v>0.15</v>
      </c>
      <c r="AM783">
        <v>29.1</v>
      </c>
      <c r="AN783">
        <v>1.54</v>
      </c>
      <c r="AO783">
        <v>0</v>
      </c>
      <c r="AP783">
        <v>0</v>
      </c>
      <c r="AQ783" t="s">
        <v>57</v>
      </c>
      <c r="AS783" t="s">
        <v>2049</v>
      </c>
      <c r="AT783" t="s">
        <v>2049</v>
      </c>
      <c r="AU783" t="s">
        <v>2048</v>
      </c>
      <c r="AV783" t="s">
        <v>2050</v>
      </c>
      <c r="AW783" t="s">
        <v>2051</v>
      </c>
      <c r="AZ783">
        <v>69007</v>
      </c>
      <c r="BA783" t="s">
        <v>2052</v>
      </c>
      <c r="BB783" t="s">
        <v>61</v>
      </c>
      <c r="BC783" t="s">
        <v>62</v>
      </c>
    </row>
    <row r="784" spans="1:55" x14ac:dyDescent="0.25">
      <c r="A784" s="1" t="str">
        <f>IF(COUNTIF(Catégories!A:A,X784)=0,"catégorie inconnue",_xlfn.XLOOKUP(X784,Catégories!A:A,Catégories!B:B))</f>
        <v>Frêt</v>
      </c>
      <c r="B784" s="1">
        <f t="shared" si="36"/>
        <v>6.6000000000000005</v>
      </c>
      <c r="C784" s="1">
        <f t="shared" si="37"/>
        <v>1.45</v>
      </c>
      <c r="D784" s="1">
        <f t="shared" si="38"/>
        <v>5.15</v>
      </c>
      <c r="E784" s="20">
        <f>IF(AH784&lt;&gt;0,ROUNDUP(AH784,0),IF(BB784&lt;&gt;"FR","hors France",IF(AH784&lt;&gt;0,ROUNDUP(AH784,0),_xlfn.XLOOKUP(AJ784,'PA GLS'!B:B,'PA GLS'!A:A))))</f>
        <v>1</v>
      </c>
      <c r="F784">
        <v>2501382993</v>
      </c>
      <c r="G784">
        <v>1030350167</v>
      </c>
      <c r="H784" t="s">
        <v>366</v>
      </c>
      <c r="I784">
        <v>2500034092</v>
      </c>
      <c r="J784" t="s">
        <v>50</v>
      </c>
      <c r="K784">
        <v>9000009190</v>
      </c>
      <c r="L784">
        <v>46946</v>
      </c>
      <c r="M784" t="s">
        <v>51</v>
      </c>
      <c r="N784">
        <v>9000079830</v>
      </c>
      <c r="O784" t="s">
        <v>187</v>
      </c>
      <c r="S784">
        <v>2507012387</v>
      </c>
      <c r="T784" t="s">
        <v>50</v>
      </c>
      <c r="U784" t="s">
        <v>122</v>
      </c>
      <c r="V784" t="s">
        <v>66</v>
      </c>
      <c r="W784" t="s">
        <v>67</v>
      </c>
      <c r="X784" t="s">
        <v>60</v>
      </c>
      <c r="Z784">
        <v>265</v>
      </c>
      <c r="AA784" t="s">
        <v>366</v>
      </c>
      <c r="AB784" t="s">
        <v>2053</v>
      </c>
      <c r="AC784">
        <v>7056346</v>
      </c>
      <c r="AE784">
        <v>0</v>
      </c>
      <c r="AF784">
        <v>0</v>
      </c>
      <c r="AG784">
        <v>0</v>
      </c>
      <c r="AH784">
        <v>0</v>
      </c>
      <c r="AI784" t="s">
        <v>56</v>
      </c>
      <c r="AJ784">
        <v>4.0999999999999996</v>
      </c>
      <c r="AK784">
        <v>0.9</v>
      </c>
      <c r="AL784">
        <v>0.15</v>
      </c>
      <c r="AM784">
        <v>29.1</v>
      </c>
      <c r="AN784">
        <v>1.45</v>
      </c>
      <c r="AO784">
        <v>0</v>
      </c>
      <c r="AP784">
        <v>0</v>
      </c>
      <c r="AQ784" t="s">
        <v>57</v>
      </c>
      <c r="AR784">
        <v>26784</v>
      </c>
      <c r="AS784">
        <v>26784</v>
      </c>
      <c r="AU784" t="s">
        <v>2053</v>
      </c>
      <c r="AV784" t="s">
        <v>2054</v>
      </c>
      <c r="AW784" t="s">
        <v>2055</v>
      </c>
      <c r="AZ784">
        <v>9400</v>
      </c>
      <c r="BA784" t="s">
        <v>2056</v>
      </c>
      <c r="BB784" t="s">
        <v>61</v>
      </c>
      <c r="BC784" t="s">
        <v>62</v>
      </c>
    </row>
    <row r="785" spans="1:55" x14ac:dyDescent="0.25">
      <c r="A785" s="1" t="str">
        <f>IF(COUNTIF(Catégories!A:A,X785)=0,"catégorie inconnue",_xlfn.XLOOKUP(X785,Catégories!A:A,Catégories!B:B))</f>
        <v>Frêt</v>
      </c>
      <c r="B785" s="1">
        <f t="shared" si="36"/>
        <v>6.6000000000000005</v>
      </c>
      <c r="C785" s="1">
        <f t="shared" si="37"/>
        <v>1.45</v>
      </c>
      <c r="D785" s="1">
        <f t="shared" si="38"/>
        <v>5.15</v>
      </c>
      <c r="E785" s="20">
        <f>IF(AH785&lt;&gt;0,ROUNDUP(AH785,0),IF(BB785&lt;&gt;"FR","hors France",IF(AH785&lt;&gt;0,ROUNDUP(AH785,0),_xlfn.XLOOKUP(AJ785,'PA GLS'!B:B,'PA GLS'!A:A))))</f>
        <v>1</v>
      </c>
      <c r="F785">
        <v>2501382993</v>
      </c>
      <c r="G785">
        <v>1030350167</v>
      </c>
      <c r="H785" t="s">
        <v>366</v>
      </c>
      <c r="I785">
        <v>2500034092</v>
      </c>
      <c r="J785" t="s">
        <v>50</v>
      </c>
      <c r="K785">
        <v>9000009190</v>
      </c>
      <c r="L785">
        <v>46946</v>
      </c>
      <c r="M785" t="s">
        <v>51</v>
      </c>
      <c r="N785">
        <v>9000079830</v>
      </c>
      <c r="O785" t="s">
        <v>187</v>
      </c>
      <c r="S785">
        <v>2507012387</v>
      </c>
      <c r="T785" t="s">
        <v>50</v>
      </c>
      <c r="U785" t="s">
        <v>122</v>
      </c>
      <c r="V785" t="s">
        <v>66</v>
      </c>
      <c r="W785" t="s">
        <v>67</v>
      </c>
      <c r="X785" t="s">
        <v>60</v>
      </c>
      <c r="Z785">
        <v>265</v>
      </c>
      <c r="AA785" t="s">
        <v>366</v>
      </c>
      <c r="AB785" t="s">
        <v>2057</v>
      </c>
      <c r="AC785">
        <v>2604000268</v>
      </c>
      <c r="AE785">
        <v>0</v>
      </c>
      <c r="AF785">
        <v>0</v>
      </c>
      <c r="AG785">
        <v>0</v>
      </c>
      <c r="AH785">
        <v>0</v>
      </c>
      <c r="AI785" t="s">
        <v>56</v>
      </c>
      <c r="AJ785">
        <v>4.0999999999999996</v>
      </c>
      <c r="AK785">
        <v>0.9</v>
      </c>
      <c r="AL785">
        <v>0.15</v>
      </c>
      <c r="AM785">
        <v>29.1</v>
      </c>
      <c r="AN785">
        <v>1.45</v>
      </c>
      <c r="AO785">
        <v>0</v>
      </c>
      <c r="AP785">
        <v>0</v>
      </c>
      <c r="AQ785" t="s">
        <v>57</v>
      </c>
      <c r="AS785" t="s">
        <v>2058</v>
      </c>
      <c r="AT785" t="s">
        <v>2058</v>
      </c>
      <c r="AU785" t="s">
        <v>2057</v>
      </c>
      <c r="AV785" t="s">
        <v>2059</v>
      </c>
      <c r="AW785" t="s">
        <v>2060</v>
      </c>
      <c r="AZ785">
        <v>50350</v>
      </c>
      <c r="BA785" t="s">
        <v>2061</v>
      </c>
      <c r="BB785" t="s">
        <v>61</v>
      </c>
      <c r="BC785" t="s">
        <v>62</v>
      </c>
    </row>
    <row r="786" spans="1:55" x14ac:dyDescent="0.25">
      <c r="A786" s="1" t="str">
        <f>IF(COUNTIF(Catégories!A:A,X786)=0,"catégorie inconnue",_xlfn.XLOOKUP(X786,Catégories!A:A,Catégories!B:B))</f>
        <v>Frêt</v>
      </c>
      <c r="B786" s="1">
        <f t="shared" si="36"/>
        <v>6.6000000000000005</v>
      </c>
      <c r="C786" s="1">
        <f t="shared" si="37"/>
        <v>1.45</v>
      </c>
      <c r="D786" s="1">
        <f t="shared" si="38"/>
        <v>5.15</v>
      </c>
      <c r="E786" s="20">
        <f>IF(AH786&lt;&gt;0,ROUNDUP(AH786,0),IF(BB786&lt;&gt;"FR","hors France",IF(AH786&lt;&gt;0,ROUNDUP(AH786,0),_xlfn.XLOOKUP(AJ786,'PA GLS'!B:B,'PA GLS'!A:A))))</f>
        <v>1</v>
      </c>
      <c r="F786">
        <v>2501382993</v>
      </c>
      <c r="G786">
        <v>1030350167</v>
      </c>
      <c r="H786" t="s">
        <v>366</v>
      </c>
      <c r="I786">
        <v>2500034092</v>
      </c>
      <c r="J786" t="s">
        <v>50</v>
      </c>
      <c r="K786">
        <v>9000009190</v>
      </c>
      <c r="L786">
        <v>46946</v>
      </c>
      <c r="M786" t="s">
        <v>51</v>
      </c>
      <c r="N786">
        <v>9000079830</v>
      </c>
      <c r="O786" t="s">
        <v>187</v>
      </c>
      <c r="S786">
        <v>2507012387</v>
      </c>
      <c r="T786" t="s">
        <v>50</v>
      </c>
      <c r="U786" t="s">
        <v>122</v>
      </c>
      <c r="V786" t="s">
        <v>66</v>
      </c>
      <c r="W786" t="s">
        <v>67</v>
      </c>
      <c r="X786" t="s">
        <v>60</v>
      </c>
      <c r="Z786">
        <v>265</v>
      </c>
      <c r="AA786" t="s">
        <v>366</v>
      </c>
      <c r="AB786" t="s">
        <v>2062</v>
      </c>
      <c r="AC786">
        <v>2604000262</v>
      </c>
      <c r="AE786">
        <v>0</v>
      </c>
      <c r="AF786">
        <v>0</v>
      </c>
      <c r="AG786">
        <v>0</v>
      </c>
      <c r="AH786">
        <v>0</v>
      </c>
      <c r="AI786" t="s">
        <v>56</v>
      </c>
      <c r="AJ786">
        <v>4.0999999999999996</v>
      </c>
      <c r="AK786">
        <v>0.9</v>
      </c>
      <c r="AL786">
        <v>0.15</v>
      </c>
      <c r="AM786">
        <v>29.1</v>
      </c>
      <c r="AN786">
        <v>1.45</v>
      </c>
      <c r="AO786">
        <v>0</v>
      </c>
      <c r="AP786">
        <v>0</v>
      </c>
      <c r="AQ786" t="s">
        <v>57</v>
      </c>
      <c r="AS786" t="s">
        <v>2063</v>
      </c>
      <c r="AT786" t="s">
        <v>2063</v>
      </c>
      <c r="AU786" t="s">
        <v>2062</v>
      </c>
      <c r="AV786" t="s">
        <v>2064</v>
      </c>
      <c r="AW786" t="s">
        <v>2065</v>
      </c>
      <c r="AZ786">
        <v>92410</v>
      </c>
      <c r="BA786" t="s">
        <v>2066</v>
      </c>
      <c r="BB786" t="s">
        <v>61</v>
      </c>
      <c r="BC786" t="s">
        <v>62</v>
      </c>
    </row>
    <row r="787" spans="1:55" x14ac:dyDescent="0.25">
      <c r="A787" s="1" t="str">
        <f>IF(COUNTIF(Catégories!A:A,X787)=0,"catégorie inconnue",_xlfn.XLOOKUP(X787,Catégories!A:A,Catégories!B:B))</f>
        <v>Frêt</v>
      </c>
      <c r="B787" s="1">
        <f t="shared" si="36"/>
        <v>6.6000000000000005</v>
      </c>
      <c r="C787" s="1">
        <f t="shared" si="37"/>
        <v>1.45</v>
      </c>
      <c r="D787" s="1">
        <f t="shared" si="38"/>
        <v>5.15</v>
      </c>
      <c r="E787" s="20">
        <f>IF(AH787&lt;&gt;0,ROUNDUP(AH787,0),IF(BB787&lt;&gt;"FR","hors France",IF(AH787&lt;&gt;0,ROUNDUP(AH787,0),_xlfn.XLOOKUP(AJ787,'PA GLS'!B:B,'PA GLS'!A:A))))</f>
        <v>1</v>
      </c>
      <c r="F787">
        <v>2501382993</v>
      </c>
      <c r="G787">
        <v>1030350167</v>
      </c>
      <c r="H787" t="s">
        <v>366</v>
      </c>
      <c r="I787">
        <v>2500034092</v>
      </c>
      <c r="J787" t="s">
        <v>50</v>
      </c>
      <c r="K787">
        <v>9000009190</v>
      </c>
      <c r="L787">
        <v>46946</v>
      </c>
      <c r="M787" t="s">
        <v>51</v>
      </c>
      <c r="N787">
        <v>9000079830</v>
      </c>
      <c r="O787" t="s">
        <v>187</v>
      </c>
      <c r="S787">
        <v>2507012387</v>
      </c>
      <c r="T787" t="s">
        <v>50</v>
      </c>
      <c r="U787" t="s">
        <v>122</v>
      </c>
      <c r="V787" t="s">
        <v>66</v>
      </c>
      <c r="W787" t="s">
        <v>67</v>
      </c>
      <c r="X787" t="s">
        <v>60</v>
      </c>
      <c r="Z787">
        <v>265</v>
      </c>
      <c r="AA787" t="s">
        <v>366</v>
      </c>
      <c r="AB787" t="s">
        <v>2067</v>
      </c>
      <c r="AC787">
        <v>2604000256</v>
      </c>
      <c r="AE787">
        <v>0</v>
      </c>
      <c r="AF787">
        <v>0</v>
      </c>
      <c r="AG787">
        <v>0</v>
      </c>
      <c r="AH787">
        <v>0</v>
      </c>
      <c r="AI787" t="s">
        <v>56</v>
      </c>
      <c r="AJ787">
        <v>4.0999999999999996</v>
      </c>
      <c r="AK787">
        <v>0.9</v>
      </c>
      <c r="AL787">
        <v>0.15</v>
      </c>
      <c r="AM787">
        <v>29.1</v>
      </c>
      <c r="AN787">
        <v>1.45</v>
      </c>
      <c r="AO787">
        <v>0</v>
      </c>
      <c r="AP787">
        <v>0</v>
      </c>
      <c r="AQ787" t="s">
        <v>57</v>
      </c>
      <c r="AS787" t="s">
        <v>2068</v>
      </c>
      <c r="AT787" t="s">
        <v>2068</v>
      </c>
      <c r="AU787" t="s">
        <v>2067</v>
      </c>
      <c r="AV787" t="s">
        <v>2069</v>
      </c>
      <c r="AW787" t="s">
        <v>2070</v>
      </c>
      <c r="AZ787">
        <v>54000</v>
      </c>
      <c r="BA787" t="s">
        <v>282</v>
      </c>
      <c r="BB787" t="s">
        <v>61</v>
      </c>
      <c r="BC787" t="s">
        <v>62</v>
      </c>
    </row>
    <row r="788" spans="1:55" x14ac:dyDescent="0.25">
      <c r="A788" s="1" t="str">
        <f>IF(COUNTIF(Catégories!A:A,X788)=0,"catégorie inconnue",_xlfn.XLOOKUP(X788,Catégories!A:A,Catégories!B:B))</f>
        <v>Frêt</v>
      </c>
      <c r="B788" s="1">
        <f t="shared" si="36"/>
        <v>6.6000000000000005</v>
      </c>
      <c r="C788" s="1">
        <f t="shared" si="37"/>
        <v>1.45</v>
      </c>
      <c r="D788" s="1">
        <f t="shared" si="38"/>
        <v>5.15</v>
      </c>
      <c r="E788" s="20">
        <f>IF(AH788&lt;&gt;0,ROUNDUP(AH788,0),IF(BB788&lt;&gt;"FR","hors France",IF(AH788&lt;&gt;0,ROUNDUP(AH788,0),_xlfn.XLOOKUP(AJ788,'PA GLS'!B:B,'PA GLS'!A:A))))</f>
        <v>1</v>
      </c>
      <c r="F788">
        <v>2501382993</v>
      </c>
      <c r="G788">
        <v>1030350167</v>
      </c>
      <c r="H788" t="s">
        <v>366</v>
      </c>
      <c r="I788">
        <v>2500034092</v>
      </c>
      <c r="J788" t="s">
        <v>50</v>
      </c>
      <c r="K788">
        <v>9000009190</v>
      </c>
      <c r="L788">
        <v>46946</v>
      </c>
      <c r="M788" t="s">
        <v>51</v>
      </c>
      <c r="N788">
        <v>9000079830</v>
      </c>
      <c r="O788" t="s">
        <v>187</v>
      </c>
      <c r="S788">
        <v>2507012387</v>
      </c>
      <c r="T788" t="s">
        <v>50</v>
      </c>
      <c r="U788" t="s">
        <v>122</v>
      </c>
      <c r="V788" t="s">
        <v>66</v>
      </c>
      <c r="W788" t="s">
        <v>67</v>
      </c>
      <c r="X788" t="s">
        <v>60</v>
      </c>
      <c r="Z788">
        <v>265</v>
      </c>
      <c r="AA788" t="s">
        <v>366</v>
      </c>
      <c r="AB788" t="s">
        <v>2071</v>
      </c>
      <c r="AC788">
        <v>2604000249</v>
      </c>
      <c r="AE788">
        <v>0</v>
      </c>
      <c r="AF788">
        <v>0</v>
      </c>
      <c r="AG788">
        <v>0</v>
      </c>
      <c r="AH788">
        <v>0</v>
      </c>
      <c r="AI788" t="s">
        <v>56</v>
      </c>
      <c r="AJ788">
        <v>4.0999999999999996</v>
      </c>
      <c r="AK788">
        <v>0.9</v>
      </c>
      <c r="AL788">
        <v>0.15</v>
      </c>
      <c r="AM788">
        <v>29.1</v>
      </c>
      <c r="AN788">
        <v>1.45</v>
      </c>
      <c r="AO788">
        <v>0</v>
      </c>
      <c r="AP788">
        <v>0</v>
      </c>
      <c r="AQ788" t="s">
        <v>57</v>
      </c>
      <c r="AS788" t="s">
        <v>2072</v>
      </c>
      <c r="AT788" t="s">
        <v>2072</v>
      </c>
      <c r="AU788" t="s">
        <v>2071</v>
      </c>
      <c r="AV788" t="s">
        <v>2073</v>
      </c>
      <c r="AW788" t="s">
        <v>2074</v>
      </c>
      <c r="AZ788">
        <v>34070</v>
      </c>
      <c r="BA788" t="s">
        <v>230</v>
      </c>
      <c r="BB788" t="s">
        <v>61</v>
      </c>
      <c r="BC788" t="s">
        <v>62</v>
      </c>
    </row>
    <row r="789" spans="1:55" x14ac:dyDescent="0.25">
      <c r="A789" s="1" t="str">
        <f>IF(COUNTIF(Catégories!A:A,X789)=0,"catégorie inconnue",_xlfn.XLOOKUP(X789,Catégories!A:A,Catégories!B:B))</f>
        <v>Frêt</v>
      </c>
      <c r="B789" s="1">
        <f t="shared" si="36"/>
        <v>6.6000000000000005</v>
      </c>
      <c r="C789" s="1">
        <f t="shared" si="37"/>
        <v>1.45</v>
      </c>
      <c r="D789" s="1">
        <f t="shared" si="38"/>
        <v>5.15</v>
      </c>
      <c r="E789" s="20">
        <f>IF(AH789&lt;&gt;0,ROUNDUP(AH789,0),IF(BB789&lt;&gt;"FR","hors France",IF(AH789&lt;&gt;0,ROUNDUP(AH789,0),_xlfn.XLOOKUP(AJ789,'PA GLS'!B:B,'PA GLS'!A:A))))</f>
        <v>1</v>
      </c>
      <c r="F789">
        <v>2501382993</v>
      </c>
      <c r="G789">
        <v>1030350167</v>
      </c>
      <c r="H789" t="s">
        <v>366</v>
      </c>
      <c r="I789">
        <v>2500034092</v>
      </c>
      <c r="J789" t="s">
        <v>50</v>
      </c>
      <c r="K789">
        <v>9000009190</v>
      </c>
      <c r="L789">
        <v>46946</v>
      </c>
      <c r="M789" t="s">
        <v>51</v>
      </c>
      <c r="N789">
        <v>9000079830</v>
      </c>
      <c r="O789" t="s">
        <v>187</v>
      </c>
      <c r="S789">
        <v>2507012387</v>
      </c>
      <c r="T789" t="s">
        <v>50</v>
      </c>
      <c r="U789" t="s">
        <v>122</v>
      </c>
      <c r="V789" t="s">
        <v>69</v>
      </c>
      <c r="W789" t="s">
        <v>70</v>
      </c>
      <c r="X789" t="s">
        <v>60</v>
      </c>
      <c r="Z789">
        <v>264</v>
      </c>
      <c r="AA789" t="s">
        <v>366</v>
      </c>
      <c r="AB789" t="s">
        <v>2075</v>
      </c>
      <c r="AC789">
        <v>2604000265</v>
      </c>
      <c r="AE789">
        <v>0</v>
      </c>
      <c r="AF789">
        <v>0</v>
      </c>
      <c r="AG789">
        <v>0</v>
      </c>
      <c r="AH789">
        <v>0</v>
      </c>
      <c r="AI789" t="s">
        <v>56</v>
      </c>
      <c r="AJ789">
        <v>4.0999999999999996</v>
      </c>
      <c r="AK789">
        <v>0.9</v>
      </c>
      <c r="AL789">
        <v>0.15</v>
      </c>
      <c r="AM789">
        <v>29.1</v>
      </c>
      <c r="AN789">
        <v>1.45</v>
      </c>
      <c r="AO789">
        <v>0</v>
      </c>
      <c r="AP789">
        <v>0</v>
      </c>
      <c r="AQ789" t="s">
        <v>57</v>
      </c>
      <c r="AS789" t="s">
        <v>2076</v>
      </c>
      <c r="AT789" t="s">
        <v>2076</v>
      </c>
      <c r="AU789" t="s">
        <v>2075</v>
      </c>
      <c r="AV789" t="s">
        <v>2077</v>
      </c>
      <c r="AW789" t="s">
        <v>2078</v>
      </c>
      <c r="AZ789">
        <v>92300</v>
      </c>
      <c r="BA789" t="s">
        <v>261</v>
      </c>
      <c r="BB789" t="s">
        <v>61</v>
      </c>
      <c r="BC789" t="s">
        <v>62</v>
      </c>
    </row>
    <row r="790" spans="1:55" x14ac:dyDescent="0.25">
      <c r="A790" s="1" t="str">
        <f>IF(COUNTIF(Catégories!A:A,X790)=0,"catégorie inconnue",_xlfn.XLOOKUP(X790,Catégories!A:A,Catégories!B:B))</f>
        <v>Frêt</v>
      </c>
      <c r="B790" s="1">
        <f t="shared" si="36"/>
        <v>6.17</v>
      </c>
      <c r="C790" s="1">
        <f t="shared" si="37"/>
        <v>1.35</v>
      </c>
      <c r="D790" s="1">
        <f t="shared" si="38"/>
        <v>4.82</v>
      </c>
      <c r="E790" s="20">
        <f>IF(AH790&lt;&gt;0,ROUNDUP(AH790,0),IF(BB790&lt;&gt;"FR","hors France",IF(AH790&lt;&gt;0,ROUNDUP(AH790,0),_xlfn.XLOOKUP(AJ790,'PA GLS'!B:B,'PA GLS'!A:A))))</f>
        <v>0.5</v>
      </c>
      <c r="F790">
        <v>2501382993</v>
      </c>
      <c r="G790">
        <v>1030350167</v>
      </c>
      <c r="H790" t="s">
        <v>366</v>
      </c>
      <c r="I790">
        <v>2500034092</v>
      </c>
      <c r="J790" t="s">
        <v>50</v>
      </c>
      <c r="K790">
        <v>9000009190</v>
      </c>
      <c r="L790">
        <v>46946</v>
      </c>
      <c r="M790" t="s">
        <v>51</v>
      </c>
      <c r="N790">
        <v>9000079830</v>
      </c>
      <c r="O790" t="s">
        <v>187</v>
      </c>
      <c r="S790">
        <v>2507012387</v>
      </c>
      <c r="T790" t="s">
        <v>50</v>
      </c>
      <c r="U790" t="s">
        <v>122</v>
      </c>
      <c r="V790" t="s">
        <v>71</v>
      </c>
      <c r="W790" t="s">
        <v>72</v>
      </c>
      <c r="X790" t="s">
        <v>60</v>
      </c>
      <c r="Z790">
        <v>263</v>
      </c>
      <c r="AA790" t="s">
        <v>366</v>
      </c>
      <c r="AB790" t="s">
        <v>2079</v>
      </c>
      <c r="AC790">
        <v>2604000286</v>
      </c>
      <c r="AE790">
        <v>0</v>
      </c>
      <c r="AF790">
        <v>0</v>
      </c>
      <c r="AG790">
        <v>0</v>
      </c>
      <c r="AH790">
        <v>0</v>
      </c>
      <c r="AI790" t="s">
        <v>56</v>
      </c>
      <c r="AJ790">
        <v>3.77</v>
      </c>
      <c r="AK790">
        <v>0.9</v>
      </c>
      <c r="AL790">
        <v>0.15</v>
      </c>
      <c r="AM790">
        <v>29.1</v>
      </c>
      <c r="AN790">
        <v>1.35</v>
      </c>
      <c r="AO790">
        <v>0</v>
      </c>
      <c r="AP790">
        <v>0</v>
      </c>
      <c r="AQ790" t="s">
        <v>57</v>
      </c>
      <c r="AS790" t="s">
        <v>2080</v>
      </c>
      <c r="AT790" t="s">
        <v>2080</v>
      </c>
      <c r="AU790" t="s">
        <v>2079</v>
      </c>
      <c r="AV790" t="s">
        <v>2081</v>
      </c>
      <c r="AW790" t="s">
        <v>2082</v>
      </c>
      <c r="AZ790">
        <v>75014</v>
      </c>
      <c r="BA790" t="s">
        <v>65</v>
      </c>
      <c r="BB790" t="s">
        <v>61</v>
      </c>
      <c r="BC790" t="s">
        <v>62</v>
      </c>
    </row>
    <row r="791" spans="1:55" x14ac:dyDescent="0.25">
      <c r="A791" s="1" t="str">
        <f>IF(COUNTIF(Catégories!A:A,X791)=0,"catégorie inconnue",_xlfn.XLOOKUP(X791,Catégories!A:A,Catégories!B:B))</f>
        <v>Frêt</v>
      </c>
      <c r="B791" s="1">
        <f t="shared" si="36"/>
        <v>6.17</v>
      </c>
      <c r="C791" s="1">
        <f t="shared" si="37"/>
        <v>1.35</v>
      </c>
      <c r="D791" s="1">
        <f t="shared" si="38"/>
        <v>4.82</v>
      </c>
      <c r="E791" s="20">
        <f>IF(AH791&lt;&gt;0,ROUNDUP(AH791,0),IF(BB791&lt;&gt;"FR","hors France",IF(AH791&lt;&gt;0,ROUNDUP(AH791,0),_xlfn.XLOOKUP(AJ791,'PA GLS'!B:B,'PA GLS'!A:A))))</f>
        <v>0.5</v>
      </c>
      <c r="F791">
        <v>2501382993</v>
      </c>
      <c r="G791">
        <v>1030350167</v>
      </c>
      <c r="H791" t="s">
        <v>366</v>
      </c>
      <c r="I791">
        <v>2500034092</v>
      </c>
      <c r="J791" t="s">
        <v>50</v>
      </c>
      <c r="K791">
        <v>9000009190</v>
      </c>
      <c r="L791">
        <v>46946</v>
      </c>
      <c r="M791" t="s">
        <v>51</v>
      </c>
      <c r="N791">
        <v>9000079830</v>
      </c>
      <c r="O791" t="s">
        <v>187</v>
      </c>
      <c r="S791">
        <v>2507012387</v>
      </c>
      <c r="T791" t="s">
        <v>50</v>
      </c>
      <c r="U791" t="s">
        <v>122</v>
      </c>
      <c r="V791" t="s">
        <v>71</v>
      </c>
      <c r="W791" t="s">
        <v>72</v>
      </c>
      <c r="X791" t="s">
        <v>60</v>
      </c>
      <c r="Z791">
        <v>263</v>
      </c>
      <c r="AA791" t="s">
        <v>366</v>
      </c>
      <c r="AB791" t="s">
        <v>2083</v>
      </c>
      <c r="AC791">
        <v>2604000275</v>
      </c>
      <c r="AE791">
        <v>0</v>
      </c>
      <c r="AF791">
        <v>0</v>
      </c>
      <c r="AG791">
        <v>0</v>
      </c>
      <c r="AH791">
        <v>0</v>
      </c>
      <c r="AI791" t="s">
        <v>56</v>
      </c>
      <c r="AJ791">
        <v>3.77</v>
      </c>
      <c r="AK791">
        <v>0.9</v>
      </c>
      <c r="AL791">
        <v>0.15</v>
      </c>
      <c r="AM791">
        <v>29.1</v>
      </c>
      <c r="AN791">
        <v>1.35</v>
      </c>
      <c r="AO791">
        <v>0</v>
      </c>
      <c r="AP791">
        <v>0</v>
      </c>
      <c r="AQ791" t="s">
        <v>57</v>
      </c>
      <c r="AS791" t="s">
        <v>2084</v>
      </c>
      <c r="AT791" t="s">
        <v>2084</v>
      </c>
      <c r="AU791" t="s">
        <v>2083</v>
      </c>
      <c r="AV791" t="s">
        <v>2085</v>
      </c>
      <c r="AW791" t="s">
        <v>2086</v>
      </c>
      <c r="AZ791">
        <v>17440</v>
      </c>
      <c r="BA791" t="s">
        <v>2087</v>
      </c>
      <c r="BB791" t="s">
        <v>61</v>
      </c>
      <c r="BC791" t="s">
        <v>62</v>
      </c>
    </row>
    <row r="792" spans="1:55" x14ac:dyDescent="0.25">
      <c r="A792" s="1" t="str">
        <f>IF(COUNTIF(Catégories!A:A,X792)=0,"catégorie inconnue",_xlfn.XLOOKUP(X792,Catégories!A:A,Catégories!B:B))</f>
        <v>Frêt</v>
      </c>
      <c r="B792" s="1">
        <f t="shared" si="36"/>
        <v>6.17</v>
      </c>
      <c r="C792" s="1">
        <f t="shared" si="37"/>
        <v>1.35</v>
      </c>
      <c r="D792" s="1">
        <f t="shared" si="38"/>
        <v>4.82</v>
      </c>
      <c r="E792" s="20">
        <f>IF(AH792&lt;&gt;0,ROUNDUP(AH792,0),IF(BB792&lt;&gt;"FR","hors France",IF(AH792&lt;&gt;0,ROUNDUP(AH792,0),_xlfn.XLOOKUP(AJ792,'PA GLS'!B:B,'PA GLS'!A:A))))</f>
        <v>0.5</v>
      </c>
      <c r="F792">
        <v>2501382993</v>
      </c>
      <c r="G792">
        <v>1030350167</v>
      </c>
      <c r="H792" t="s">
        <v>366</v>
      </c>
      <c r="I792">
        <v>2500034092</v>
      </c>
      <c r="J792" t="s">
        <v>50</v>
      </c>
      <c r="K792">
        <v>9000009190</v>
      </c>
      <c r="L792">
        <v>46946</v>
      </c>
      <c r="M792" t="s">
        <v>51</v>
      </c>
      <c r="N792">
        <v>9000079830</v>
      </c>
      <c r="O792" t="s">
        <v>187</v>
      </c>
      <c r="S792">
        <v>2507012387</v>
      </c>
      <c r="T792" t="s">
        <v>50</v>
      </c>
      <c r="U792" t="s">
        <v>122</v>
      </c>
      <c r="V792" t="s">
        <v>71</v>
      </c>
      <c r="W792" t="s">
        <v>72</v>
      </c>
      <c r="X792" t="s">
        <v>60</v>
      </c>
      <c r="Z792">
        <v>263</v>
      </c>
      <c r="AA792" t="s">
        <v>366</v>
      </c>
      <c r="AB792" t="s">
        <v>2088</v>
      </c>
      <c r="AC792">
        <v>2604000274</v>
      </c>
      <c r="AE792">
        <v>0</v>
      </c>
      <c r="AF792">
        <v>0</v>
      </c>
      <c r="AG792">
        <v>0</v>
      </c>
      <c r="AH792">
        <v>0</v>
      </c>
      <c r="AI792" t="s">
        <v>56</v>
      </c>
      <c r="AJ792">
        <v>3.77</v>
      </c>
      <c r="AK792">
        <v>0.9</v>
      </c>
      <c r="AL792">
        <v>0.15</v>
      </c>
      <c r="AM792">
        <v>29.1</v>
      </c>
      <c r="AN792">
        <v>1.35</v>
      </c>
      <c r="AO792">
        <v>0</v>
      </c>
      <c r="AP792">
        <v>0</v>
      </c>
      <c r="AQ792" t="s">
        <v>57</v>
      </c>
      <c r="AS792" t="s">
        <v>2089</v>
      </c>
      <c r="AT792" t="s">
        <v>2089</v>
      </c>
      <c r="AU792" t="s">
        <v>2088</v>
      </c>
      <c r="AV792" t="s">
        <v>2090</v>
      </c>
      <c r="AW792" t="s">
        <v>2091</v>
      </c>
      <c r="AZ792">
        <v>27910</v>
      </c>
      <c r="BA792" t="s">
        <v>2092</v>
      </c>
      <c r="BB792" t="s">
        <v>61</v>
      </c>
      <c r="BC792" t="s">
        <v>62</v>
      </c>
    </row>
    <row r="793" spans="1:55" x14ac:dyDescent="0.25">
      <c r="A793" s="1" t="str">
        <f>IF(COUNTIF(Catégories!A:A,X793)=0,"catégorie inconnue",_xlfn.XLOOKUP(X793,Catégories!A:A,Catégories!B:B))</f>
        <v>Frêt</v>
      </c>
      <c r="B793" s="1">
        <f t="shared" si="36"/>
        <v>6.17</v>
      </c>
      <c r="C793" s="1">
        <f t="shared" si="37"/>
        <v>1.35</v>
      </c>
      <c r="D793" s="1">
        <f t="shared" si="38"/>
        <v>4.82</v>
      </c>
      <c r="E793" s="20">
        <f>IF(AH793&lt;&gt;0,ROUNDUP(AH793,0),IF(BB793&lt;&gt;"FR","hors France",IF(AH793&lt;&gt;0,ROUNDUP(AH793,0),_xlfn.XLOOKUP(AJ793,'PA GLS'!B:B,'PA GLS'!A:A))))</f>
        <v>0.5</v>
      </c>
      <c r="F793">
        <v>2501382993</v>
      </c>
      <c r="G793">
        <v>1030350167</v>
      </c>
      <c r="H793" t="s">
        <v>366</v>
      </c>
      <c r="I793">
        <v>2500034092</v>
      </c>
      <c r="J793" t="s">
        <v>50</v>
      </c>
      <c r="K793">
        <v>9000009190</v>
      </c>
      <c r="L793">
        <v>46946</v>
      </c>
      <c r="M793" t="s">
        <v>51</v>
      </c>
      <c r="N793">
        <v>9000079830</v>
      </c>
      <c r="O793" t="s">
        <v>187</v>
      </c>
      <c r="S793">
        <v>2507012387</v>
      </c>
      <c r="T793" t="s">
        <v>50</v>
      </c>
      <c r="U793" t="s">
        <v>122</v>
      </c>
      <c r="V793" t="s">
        <v>71</v>
      </c>
      <c r="W793" t="s">
        <v>72</v>
      </c>
      <c r="X793" t="s">
        <v>60</v>
      </c>
      <c r="Z793">
        <v>263</v>
      </c>
      <c r="AA793" t="s">
        <v>366</v>
      </c>
      <c r="AB793" t="s">
        <v>2093</v>
      </c>
      <c r="AC793">
        <v>2604000273</v>
      </c>
      <c r="AE793">
        <v>0</v>
      </c>
      <c r="AF793">
        <v>0</v>
      </c>
      <c r="AG793">
        <v>0</v>
      </c>
      <c r="AH793">
        <v>0</v>
      </c>
      <c r="AI793" t="s">
        <v>56</v>
      </c>
      <c r="AJ793">
        <v>3.77</v>
      </c>
      <c r="AK793">
        <v>0.9</v>
      </c>
      <c r="AL793">
        <v>0.15</v>
      </c>
      <c r="AM793">
        <v>29.1</v>
      </c>
      <c r="AN793">
        <v>1.35</v>
      </c>
      <c r="AO793">
        <v>0</v>
      </c>
      <c r="AP793">
        <v>0</v>
      </c>
      <c r="AQ793" t="s">
        <v>57</v>
      </c>
      <c r="AS793" t="s">
        <v>2094</v>
      </c>
      <c r="AT793" t="s">
        <v>2094</v>
      </c>
      <c r="AU793" t="s">
        <v>2093</v>
      </c>
      <c r="AV793" t="s">
        <v>2095</v>
      </c>
      <c r="AW793" t="s">
        <v>2096</v>
      </c>
      <c r="AZ793">
        <v>27180</v>
      </c>
      <c r="BA793" t="s">
        <v>2097</v>
      </c>
      <c r="BB793" t="s">
        <v>61</v>
      </c>
      <c r="BC793" t="s">
        <v>62</v>
      </c>
    </row>
    <row r="794" spans="1:55" x14ac:dyDescent="0.25">
      <c r="A794" s="1" t="str">
        <f>IF(COUNTIF(Catégories!A:A,X794)=0,"catégorie inconnue",_xlfn.XLOOKUP(X794,Catégories!A:A,Catégories!B:B))</f>
        <v>Frêt</v>
      </c>
      <c r="B794" s="1">
        <f t="shared" si="36"/>
        <v>6.17</v>
      </c>
      <c r="C794" s="1">
        <f t="shared" si="37"/>
        <v>1.35</v>
      </c>
      <c r="D794" s="1">
        <f t="shared" si="38"/>
        <v>4.82</v>
      </c>
      <c r="E794" s="20">
        <f>IF(AH794&lt;&gt;0,ROUNDUP(AH794,0),IF(BB794&lt;&gt;"FR","hors France",IF(AH794&lt;&gt;0,ROUNDUP(AH794,0),_xlfn.XLOOKUP(AJ794,'PA GLS'!B:B,'PA GLS'!A:A))))</f>
        <v>0.5</v>
      </c>
      <c r="F794">
        <v>2501382993</v>
      </c>
      <c r="G794">
        <v>1030350167</v>
      </c>
      <c r="H794" t="s">
        <v>366</v>
      </c>
      <c r="I794">
        <v>2500034092</v>
      </c>
      <c r="J794" t="s">
        <v>50</v>
      </c>
      <c r="K794">
        <v>9000009190</v>
      </c>
      <c r="L794">
        <v>46946</v>
      </c>
      <c r="M794" t="s">
        <v>51</v>
      </c>
      <c r="N794">
        <v>9000079830</v>
      </c>
      <c r="O794" t="s">
        <v>187</v>
      </c>
      <c r="S794">
        <v>2507012387</v>
      </c>
      <c r="T794" t="s">
        <v>50</v>
      </c>
      <c r="U794" t="s">
        <v>122</v>
      </c>
      <c r="V794" t="s">
        <v>71</v>
      </c>
      <c r="W794" t="s">
        <v>72</v>
      </c>
      <c r="X794" t="s">
        <v>60</v>
      </c>
      <c r="Z794">
        <v>263</v>
      </c>
      <c r="AA794" t="s">
        <v>366</v>
      </c>
      <c r="AB794" t="s">
        <v>2098</v>
      </c>
      <c r="AC794">
        <v>2604000272</v>
      </c>
      <c r="AE794">
        <v>0</v>
      </c>
      <c r="AF794">
        <v>0</v>
      </c>
      <c r="AG794">
        <v>0</v>
      </c>
      <c r="AH794">
        <v>0</v>
      </c>
      <c r="AI794" t="s">
        <v>56</v>
      </c>
      <c r="AJ794">
        <v>3.77</v>
      </c>
      <c r="AK794">
        <v>0.9</v>
      </c>
      <c r="AL794">
        <v>0.15</v>
      </c>
      <c r="AM794">
        <v>29.1</v>
      </c>
      <c r="AN794">
        <v>1.35</v>
      </c>
      <c r="AO794">
        <v>0</v>
      </c>
      <c r="AP794">
        <v>0</v>
      </c>
      <c r="AQ794" t="s">
        <v>57</v>
      </c>
      <c r="AS794" t="s">
        <v>2099</v>
      </c>
      <c r="AT794" t="s">
        <v>2099</v>
      </c>
      <c r="AU794" t="s">
        <v>2098</v>
      </c>
      <c r="AV794" t="s">
        <v>2100</v>
      </c>
      <c r="AW794" t="s">
        <v>2101</v>
      </c>
      <c r="AZ794">
        <v>92500</v>
      </c>
      <c r="BA794" t="s">
        <v>2102</v>
      </c>
      <c r="BB794" t="s">
        <v>61</v>
      </c>
      <c r="BC794" t="s">
        <v>62</v>
      </c>
    </row>
    <row r="795" spans="1:55" x14ac:dyDescent="0.25">
      <c r="A795" s="1" t="str">
        <f>IF(COUNTIF(Catégories!A:A,X795)=0,"catégorie inconnue",_xlfn.XLOOKUP(X795,Catégories!A:A,Catégories!B:B))</f>
        <v>Frêt</v>
      </c>
      <c r="B795" s="1">
        <f t="shared" si="36"/>
        <v>6.17</v>
      </c>
      <c r="C795" s="1">
        <f t="shared" si="37"/>
        <v>1.35</v>
      </c>
      <c r="D795" s="1">
        <f t="shared" si="38"/>
        <v>4.82</v>
      </c>
      <c r="E795" s="20">
        <f>IF(AH795&lt;&gt;0,ROUNDUP(AH795,0),IF(BB795&lt;&gt;"FR","hors France",IF(AH795&lt;&gt;0,ROUNDUP(AH795,0),_xlfn.XLOOKUP(AJ795,'PA GLS'!B:B,'PA GLS'!A:A))))</f>
        <v>0.5</v>
      </c>
      <c r="F795">
        <v>2501382993</v>
      </c>
      <c r="G795">
        <v>1030350167</v>
      </c>
      <c r="H795" t="s">
        <v>366</v>
      </c>
      <c r="I795">
        <v>2500034092</v>
      </c>
      <c r="J795" t="s">
        <v>50</v>
      </c>
      <c r="K795">
        <v>9000009190</v>
      </c>
      <c r="L795">
        <v>46946</v>
      </c>
      <c r="M795" t="s">
        <v>51</v>
      </c>
      <c r="N795">
        <v>9000079830</v>
      </c>
      <c r="O795" t="s">
        <v>187</v>
      </c>
      <c r="S795">
        <v>2507012387</v>
      </c>
      <c r="T795" t="s">
        <v>50</v>
      </c>
      <c r="U795" t="s">
        <v>122</v>
      </c>
      <c r="V795" t="s">
        <v>71</v>
      </c>
      <c r="W795" t="s">
        <v>72</v>
      </c>
      <c r="X795" t="s">
        <v>60</v>
      </c>
      <c r="Z795">
        <v>263</v>
      </c>
      <c r="AA795" t="s">
        <v>366</v>
      </c>
      <c r="AB795" t="s">
        <v>2103</v>
      </c>
      <c r="AC795">
        <v>2604000267</v>
      </c>
      <c r="AE795">
        <v>0</v>
      </c>
      <c r="AF795">
        <v>0</v>
      </c>
      <c r="AG795">
        <v>0</v>
      </c>
      <c r="AH795">
        <v>0</v>
      </c>
      <c r="AI795" t="s">
        <v>56</v>
      </c>
      <c r="AJ795">
        <v>3.77</v>
      </c>
      <c r="AK795">
        <v>0.9</v>
      </c>
      <c r="AL795">
        <v>0.15</v>
      </c>
      <c r="AM795">
        <v>29.1</v>
      </c>
      <c r="AN795">
        <v>1.35</v>
      </c>
      <c r="AO795">
        <v>0</v>
      </c>
      <c r="AP795">
        <v>0</v>
      </c>
      <c r="AQ795" t="s">
        <v>57</v>
      </c>
      <c r="AS795" t="s">
        <v>2104</v>
      </c>
      <c r="AT795" t="s">
        <v>2104</v>
      </c>
      <c r="AU795" t="s">
        <v>2103</v>
      </c>
      <c r="AV795" t="s">
        <v>2105</v>
      </c>
      <c r="AW795" t="s">
        <v>2106</v>
      </c>
      <c r="AZ795">
        <v>75020</v>
      </c>
      <c r="BA795" t="s">
        <v>65</v>
      </c>
      <c r="BB795" t="s">
        <v>61</v>
      </c>
      <c r="BC795" t="s">
        <v>62</v>
      </c>
    </row>
    <row r="796" spans="1:55" x14ac:dyDescent="0.25">
      <c r="A796" s="1" t="str">
        <f>IF(COUNTIF(Catégories!A:A,X796)=0,"catégorie inconnue",_xlfn.XLOOKUP(X796,Catégories!A:A,Catégories!B:B))</f>
        <v>Frêt</v>
      </c>
      <c r="B796" s="1">
        <f t="shared" si="36"/>
        <v>6.17</v>
      </c>
      <c r="C796" s="1">
        <f t="shared" si="37"/>
        <v>1.35</v>
      </c>
      <c r="D796" s="1">
        <f t="shared" si="38"/>
        <v>4.82</v>
      </c>
      <c r="E796" s="20">
        <f>IF(AH796&lt;&gt;0,ROUNDUP(AH796,0),IF(BB796&lt;&gt;"FR","hors France",IF(AH796&lt;&gt;0,ROUNDUP(AH796,0),_xlfn.XLOOKUP(AJ796,'PA GLS'!B:B,'PA GLS'!A:A))))</f>
        <v>0.5</v>
      </c>
      <c r="F796">
        <v>2501382993</v>
      </c>
      <c r="G796">
        <v>1030350167</v>
      </c>
      <c r="H796" t="s">
        <v>366</v>
      </c>
      <c r="I796">
        <v>2500034092</v>
      </c>
      <c r="J796" t="s">
        <v>50</v>
      </c>
      <c r="K796">
        <v>9000009190</v>
      </c>
      <c r="L796">
        <v>46946</v>
      </c>
      <c r="M796" t="s">
        <v>51</v>
      </c>
      <c r="N796">
        <v>9000079830</v>
      </c>
      <c r="O796" t="s">
        <v>187</v>
      </c>
      <c r="S796">
        <v>2507012387</v>
      </c>
      <c r="T796" t="s">
        <v>50</v>
      </c>
      <c r="U796" t="s">
        <v>122</v>
      </c>
      <c r="V796" t="s">
        <v>71</v>
      </c>
      <c r="W796" t="s">
        <v>72</v>
      </c>
      <c r="X796" t="s">
        <v>60</v>
      </c>
      <c r="Z796">
        <v>263</v>
      </c>
      <c r="AA796" t="s">
        <v>366</v>
      </c>
      <c r="AB796" t="s">
        <v>2107</v>
      </c>
      <c r="AC796">
        <v>2604000266</v>
      </c>
      <c r="AE796">
        <v>0</v>
      </c>
      <c r="AF796">
        <v>0</v>
      </c>
      <c r="AG796">
        <v>0</v>
      </c>
      <c r="AH796">
        <v>0</v>
      </c>
      <c r="AI796" t="s">
        <v>56</v>
      </c>
      <c r="AJ796">
        <v>3.77</v>
      </c>
      <c r="AK796">
        <v>0.9</v>
      </c>
      <c r="AL796">
        <v>0.15</v>
      </c>
      <c r="AM796">
        <v>29.1</v>
      </c>
      <c r="AN796">
        <v>1.35</v>
      </c>
      <c r="AO796">
        <v>0</v>
      </c>
      <c r="AP796">
        <v>0</v>
      </c>
      <c r="AQ796" t="s">
        <v>57</v>
      </c>
      <c r="AS796" t="s">
        <v>2108</v>
      </c>
      <c r="AT796" t="s">
        <v>2108</v>
      </c>
      <c r="AU796" t="s">
        <v>2107</v>
      </c>
      <c r="AV796" t="s">
        <v>2109</v>
      </c>
      <c r="AW796" t="s">
        <v>2110</v>
      </c>
      <c r="AZ796">
        <v>75015</v>
      </c>
      <c r="BA796" t="s">
        <v>65</v>
      </c>
      <c r="BB796" t="s">
        <v>61</v>
      </c>
      <c r="BC796" t="s">
        <v>62</v>
      </c>
    </row>
    <row r="797" spans="1:55" x14ac:dyDescent="0.25">
      <c r="A797" s="1" t="str">
        <f>IF(COUNTIF(Catégories!A:A,X797)=0,"catégorie inconnue",_xlfn.XLOOKUP(X797,Catégories!A:A,Catégories!B:B))</f>
        <v>Frêt</v>
      </c>
      <c r="B797" s="1">
        <f t="shared" si="36"/>
        <v>6.17</v>
      </c>
      <c r="C797" s="1">
        <f t="shared" si="37"/>
        <v>1.35</v>
      </c>
      <c r="D797" s="1">
        <f t="shared" si="38"/>
        <v>4.82</v>
      </c>
      <c r="E797" s="20">
        <f>IF(AH797&lt;&gt;0,ROUNDUP(AH797,0),IF(BB797&lt;&gt;"FR","hors France",IF(AH797&lt;&gt;0,ROUNDUP(AH797,0),_xlfn.XLOOKUP(AJ797,'PA GLS'!B:B,'PA GLS'!A:A))))</f>
        <v>0.5</v>
      </c>
      <c r="F797">
        <v>2501382993</v>
      </c>
      <c r="G797">
        <v>1030350167</v>
      </c>
      <c r="H797" t="s">
        <v>366</v>
      </c>
      <c r="I797">
        <v>2500034092</v>
      </c>
      <c r="J797" t="s">
        <v>50</v>
      </c>
      <c r="K797">
        <v>9000009190</v>
      </c>
      <c r="L797">
        <v>46946</v>
      </c>
      <c r="M797" t="s">
        <v>51</v>
      </c>
      <c r="N797">
        <v>9000079830</v>
      </c>
      <c r="O797" t="s">
        <v>187</v>
      </c>
      <c r="S797">
        <v>2507012387</v>
      </c>
      <c r="T797" t="s">
        <v>50</v>
      </c>
      <c r="U797" t="s">
        <v>122</v>
      </c>
      <c r="V797" t="s">
        <v>71</v>
      </c>
      <c r="W797" t="s">
        <v>72</v>
      </c>
      <c r="X797" t="s">
        <v>60</v>
      </c>
      <c r="Z797">
        <v>263</v>
      </c>
      <c r="AA797" t="s">
        <v>366</v>
      </c>
      <c r="AB797" t="s">
        <v>2111</v>
      </c>
      <c r="AC797">
        <v>2604000264</v>
      </c>
      <c r="AE797">
        <v>0</v>
      </c>
      <c r="AF797">
        <v>0</v>
      </c>
      <c r="AG797">
        <v>0</v>
      </c>
      <c r="AH797">
        <v>0</v>
      </c>
      <c r="AI797" t="s">
        <v>56</v>
      </c>
      <c r="AJ797">
        <v>3.77</v>
      </c>
      <c r="AK797">
        <v>0.9</v>
      </c>
      <c r="AL797">
        <v>0.15</v>
      </c>
      <c r="AM797">
        <v>29.1</v>
      </c>
      <c r="AN797">
        <v>1.35</v>
      </c>
      <c r="AO797">
        <v>0</v>
      </c>
      <c r="AP797">
        <v>0</v>
      </c>
      <c r="AQ797" t="s">
        <v>57</v>
      </c>
      <c r="AS797" t="s">
        <v>2112</v>
      </c>
      <c r="AT797" t="s">
        <v>2112</v>
      </c>
      <c r="AU797" t="s">
        <v>2111</v>
      </c>
      <c r="AV797" t="s">
        <v>2113</v>
      </c>
      <c r="AW797" t="s">
        <v>2114</v>
      </c>
      <c r="AZ797">
        <v>75014</v>
      </c>
      <c r="BA797" t="s">
        <v>65</v>
      </c>
      <c r="BB797" t="s">
        <v>61</v>
      </c>
      <c r="BC797" t="s">
        <v>62</v>
      </c>
    </row>
    <row r="798" spans="1:55" x14ac:dyDescent="0.25">
      <c r="A798" s="1" t="str">
        <f>IF(COUNTIF(Catégories!A:A,X798)=0,"catégorie inconnue",_xlfn.XLOOKUP(X798,Catégories!A:A,Catégories!B:B))</f>
        <v>Frêt</v>
      </c>
      <c r="B798" s="1">
        <f t="shared" si="36"/>
        <v>6.17</v>
      </c>
      <c r="C798" s="1">
        <f t="shared" si="37"/>
        <v>1.35</v>
      </c>
      <c r="D798" s="1">
        <f t="shared" si="38"/>
        <v>4.82</v>
      </c>
      <c r="E798" s="20">
        <f>IF(AH798&lt;&gt;0,ROUNDUP(AH798,0),IF(BB798&lt;&gt;"FR","hors France",IF(AH798&lt;&gt;0,ROUNDUP(AH798,0),_xlfn.XLOOKUP(AJ798,'PA GLS'!B:B,'PA GLS'!A:A))))</f>
        <v>0.5</v>
      </c>
      <c r="F798">
        <v>2501382993</v>
      </c>
      <c r="G798">
        <v>1030350167</v>
      </c>
      <c r="H798" t="s">
        <v>366</v>
      </c>
      <c r="I798">
        <v>2500034092</v>
      </c>
      <c r="J798" t="s">
        <v>50</v>
      </c>
      <c r="K798">
        <v>9000009190</v>
      </c>
      <c r="L798">
        <v>46946</v>
      </c>
      <c r="M798" t="s">
        <v>51</v>
      </c>
      <c r="N798">
        <v>9000079830</v>
      </c>
      <c r="O798" t="s">
        <v>187</v>
      </c>
      <c r="S798">
        <v>2507012387</v>
      </c>
      <c r="T798" t="s">
        <v>50</v>
      </c>
      <c r="U798" t="s">
        <v>122</v>
      </c>
      <c r="V798" t="s">
        <v>71</v>
      </c>
      <c r="W798" t="s">
        <v>72</v>
      </c>
      <c r="X798" t="s">
        <v>60</v>
      </c>
      <c r="Z798">
        <v>263</v>
      </c>
      <c r="AA798" t="s">
        <v>366</v>
      </c>
      <c r="AB798" t="s">
        <v>2115</v>
      </c>
      <c r="AC798">
        <v>2604000257</v>
      </c>
      <c r="AE798">
        <v>0</v>
      </c>
      <c r="AF798">
        <v>0</v>
      </c>
      <c r="AG798">
        <v>0</v>
      </c>
      <c r="AH798">
        <v>0</v>
      </c>
      <c r="AI798" t="s">
        <v>56</v>
      </c>
      <c r="AJ798">
        <v>3.77</v>
      </c>
      <c r="AK798">
        <v>0.9</v>
      </c>
      <c r="AL798">
        <v>0.15</v>
      </c>
      <c r="AM798">
        <v>29.1</v>
      </c>
      <c r="AN798">
        <v>1.35</v>
      </c>
      <c r="AO798">
        <v>0</v>
      </c>
      <c r="AP798">
        <v>0</v>
      </c>
      <c r="AQ798" t="s">
        <v>57</v>
      </c>
      <c r="AS798" t="s">
        <v>2116</v>
      </c>
      <c r="AT798" t="s">
        <v>2116</v>
      </c>
      <c r="AU798" t="s">
        <v>2115</v>
      </c>
      <c r="AV798" t="s">
        <v>2117</v>
      </c>
      <c r="AW798" t="s">
        <v>2118</v>
      </c>
      <c r="AZ798">
        <v>75014</v>
      </c>
      <c r="BA798" t="s">
        <v>65</v>
      </c>
      <c r="BB798" t="s">
        <v>61</v>
      </c>
      <c r="BC798" t="s">
        <v>62</v>
      </c>
    </row>
    <row r="799" spans="1:55" x14ac:dyDescent="0.25">
      <c r="A799" s="1" t="str">
        <f>IF(COUNTIF(Catégories!A:A,X799)=0,"catégorie inconnue",_xlfn.XLOOKUP(X799,Catégories!A:A,Catégories!B:B))</f>
        <v>Frêt</v>
      </c>
      <c r="B799" s="1">
        <f t="shared" si="36"/>
        <v>6.17</v>
      </c>
      <c r="C799" s="1">
        <f t="shared" si="37"/>
        <v>1.35</v>
      </c>
      <c r="D799" s="1">
        <f t="shared" si="38"/>
        <v>4.82</v>
      </c>
      <c r="E799" s="20">
        <f>IF(AH799&lt;&gt;0,ROUNDUP(AH799,0),IF(BB799&lt;&gt;"FR","hors France",IF(AH799&lt;&gt;0,ROUNDUP(AH799,0),_xlfn.XLOOKUP(AJ799,'PA GLS'!B:B,'PA GLS'!A:A))))</f>
        <v>0.5</v>
      </c>
      <c r="F799">
        <v>2501382993</v>
      </c>
      <c r="G799">
        <v>1030350167</v>
      </c>
      <c r="H799" t="s">
        <v>366</v>
      </c>
      <c r="I799">
        <v>2500034092</v>
      </c>
      <c r="J799" t="s">
        <v>50</v>
      </c>
      <c r="K799">
        <v>9000009190</v>
      </c>
      <c r="L799">
        <v>46946</v>
      </c>
      <c r="M799" t="s">
        <v>51</v>
      </c>
      <c r="N799">
        <v>9000079830</v>
      </c>
      <c r="O799" t="s">
        <v>187</v>
      </c>
      <c r="S799">
        <v>2507012387</v>
      </c>
      <c r="T799" t="s">
        <v>50</v>
      </c>
      <c r="U799" t="s">
        <v>122</v>
      </c>
      <c r="V799" t="s">
        <v>71</v>
      </c>
      <c r="W799" t="s">
        <v>72</v>
      </c>
      <c r="X799" t="s">
        <v>60</v>
      </c>
      <c r="Z799">
        <v>263</v>
      </c>
      <c r="AA799" t="s">
        <v>366</v>
      </c>
      <c r="AB799" t="s">
        <v>2119</v>
      </c>
      <c r="AC799">
        <v>2604000254</v>
      </c>
      <c r="AE799">
        <v>0</v>
      </c>
      <c r="AF799">
        <v>0</v>
      </c>
      <c r="AG799">
        <v>0</v>
      </c>
      <c r="AH799">
        <v>0</v>
      </c>
      <c r="AI799" t="s">
        <v>56</v>
      </c>
      <c r="AJ799">
        <v>3.77</v>
      </c>
      <c r="AK799">
        <v>0.9</v>
      </c>
      <c r="AL799">
        <v>0.15</v>
      </c>
      <c r="AM799">
        <v>29.1</v>
      </c>
      <c r="AN799">
        <v>1.35</v>
      </c>
      <c r="AO799">
        <v>0</v>
      </c>
      <c r="AP799">
        <v>0</v>
      </c>
      <c r="AQ799" t="s">
        <v>57</v>
      </c>
      <c r="AS799" t="s">
        <v>2120</v>
      </c>
      <c r="AT799" t="s">
        <v>2120</v>
      </c>
      <c r="AU799" t="s">
        <v>2119</v>
      </c>
      <c r="AV799" t="s">
        <v>2121</v>
      </c>
      <c r="AW799" t="s">
        <v>2122</v>
      </c>
      <c r="AZ799">
        <v>92100</v>
      </c>
      <c r="BA799" t="s">
        <v>789</v>
      </c>
      <c r="BB799" t="s">
        <v>61</v>
      </c>
      <c r="BC799" t="s">
        <v>62</v>
      </c>
    </row>
    <row r="800" spans="1:55" x14ac:dyDescent="0.25">
      <c r="A800" s="1" t="str">
        <f>IF(COUNTIF(Catégories!A:A,X800)=0,"catégorie inconnue",_xlfn.XLOOKUP(X800,Catégories!A:A,Catégories!B:B))</f>
        <v>Frêt</v>
      </c>
      <c r="B800" s="1">
        <f t="shared" si="36"/>
        <v>6.17</v>
      </c>
      <c r="C800" s="1">
        <f t="shared" si="37"/>
        <v>1.35</v>
      </c>
      <c r="D800" s="1">
        <f t="shared" si="38"/>
        <v>4.82</v>
      </c>
      <c r="E800" s="20">
        <f>IF(AH800&lt;&gt;0,ROUNDUP(AH800,0),IF(BB800&lt;&gt;"FR","hors France",IF(AH800&lt;&gt;0,ROUNDUP(AH800,0),_xlfn.XLOOKUP(AJ800,'PA GLS'!B:B,'PA GLS'!A:A))))</f>
        <v>0.5</v>
      </c>
      <c r="F800">
        <v>2501382993</v>
      </c>
      <c r="G800">
        <v>1030350167</v>
      </c>
      <c r="H800" t="s">
        <v>366</v>
      </c>
      <c r="I800">
        <v>2500034092</v>
      </c>
      <c r="J800" t="s">
        <v>50</v>
      </c>
      <c r="K800">
        <v>9000009190</v>
      </c>
      <c r="L800">
        <v>46946</v>
      </c>
      <c r="M800" t="s">
        <v>51</v>
      </c>
      <c r="N800">
        <v>9000079830</v>
      </c>
      <c r="O800" t="s">
        <v>187</v>
      </c>
      <c r="S800">
        <v>2507012387</v>
      </c>
      <c r="T800" t="s">
        <v>50</v>
      </c>
      <c r="U800" t="s">
        <v>122</v>
      </c>
      <c r="V800" t="s">
        <v>71</v>
      </c>
      <c r="W800" t="s">
        <v>72</v>
      </c>
      <c r="X800" t="s">
        <v>60</v>
      </c>
      <c r="Z800">
        <v>263</v>
      </c>
      <c r="AA800" t="s">
        <v>366</v>
      </c>
      <c r="AB800" t="s">
        <v>2123</v>
      </c>
      <c r="AC800">
        <v>2604000252</v>
      </c>
      <c r="AE800">
        <v>0</v>
      </c>
      <c r="AF800">
        <v>0</v>
      </c>
      <c r="AG800">
        <v>0</v>
      </c>
      <c r="AH800">
        <v>0</v>
      </c>
      <c r="AI800" t="s">
        <v>56</v>
      </c>
      <c r="AJ800">
        <v>3.77</v>
      </c>
      <c r="AK800">
        <v>0.9</v>
      </c>
      <c r="AL800">
        <v>0.15</v>
      </c>
      <c r="AM800">
        <v>29.1</v>
      </c>
      <c r="AN800">
        <v>1.35</v>
      </c>
      <c r="AO800">
        <v>0</v>
      </c>
      <c r="AP800">
        <v>0</v>
      </c>
      <c r="AQ800" t="s">
        <v>57</v>
      </c>
      <c r="AS800" t="s">
        <v>2124</v>
      </c>
      <c r="AT800" t="s">
        <v>2124</v>
      </c>
      <c r="AU800" t="s">
        <v>2123</v>
      </c>
      <c r="AV800" t="s">
        <v>2125</v>
      </c>
      <c r="AW800" t="s">
        <v>2126</v>
      </c>
      <c r="AZ800">
        <v>75015</v>
      </c>
      <c r="BA800" t="s">
        <v>65</v>
      </c>
      <c r="BB800" t="s">
        <v>61</v>
      </c>
      <c r="BC800" t="s">
        <v>62</v>
      </c>
    </row>
    <row r="801" spans="1:55" x14ac:dyDescent="0.25">
      <c r="A801" s="1" t="str">
        <f>IF(COUNTIF(Catégories!A:A,X801)=0,"catégorie inconnue",_xlfn.XLOOKUP(X801,Catégories!A:A,Catégories!B:B))</f>
        <v>Frêt</v>
      </c>
      <c r="B801" s="1">
        <f t="shared" si="36"/>
        <v>0</v>
      </c>
      <c r="C801" s="1">
        <f t="shared" si="37"/>
        <v>0</v>
      </c>
      <c r="D801" s="1">
        <f t="shared" si="38"/>
        <v>0</v>
      </c>
      <c r="E801" s="20">
        <f>IF(AH801&lt;&gt;0,ROUNDUP(AH801,0),IF(BB801&lt;&gt;"FR","hors France",IF(AH801&lt;&gt;0,ROUNDUP(AH801,0),_xlfn.XLOOKUP(AJ801,'PA GLS'!B:B,'PA GLS'!A:A))))</f>
        <v>1</v>
      </c>
      <c r="F801">
        <v>2501382993</v>
      </c>
      <c r="G801">
        <v>1030350167</v>
      </c>
      <c r="H801" t="s">
        <v>366</v>
      </c>
      <c r="I801">
        <v>2500034092</v>
      </c>
      <c r="J801" t="s">
        <v>50</v>
      </c>
      <c r="K801">
        <v>9000009190</v>
      </c>
      <c r="L801">
        <v>46946</v>
      </c>
      <c r="M801" t="s">
        <v>51</v>
      </c>
      <c r="N801">
        <v>9000079830</v>
      </c>
      <c r="O801" t="s">
        <v>187</v>
      </c>
      <c r="S801">
        <v>2507012387</v>
      </c>
      <c r="T801" t="s">
        <v>50</v>
      </c>
      <c r="U801" t="s">
        <v>122</v>
      </c>
      <c r="V801" t="s">
        <v>176</v>
      </c>
      <c r="W801" t="s">
        <v>177</v>
      </c>
      <c r="X801" t="s">
        <v>152</v>
      </c>
      <c r="Z801">
        <v>262</v>
      </c>
      <c r="AA801" t="s">
        <v>366</v>
      </c>
      <c r="AB801" t="s">
        <v>2053</v>
      </c>
      <c r="AC801">
        <v>7056346</v>
      </c>
      <c r="AE801">
        <v>0</v>
      </c>
      <c r="AF801">
        <v>1</v>
      </c>
      <c r="AG801">
        <v>0</v>
      </c>
      <c r="AH801">
        <v>0.84</v>
      </c>
      <c r="AI801" t="s">
        <v>56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 t="s">
        <v>57</v>
      </c>
      <c r="AR801">
        <v>26784</v>
      </c>
      <c r="AS801">
        <v>26784</v>
      </c>
      <c r="AU801" t="s">
        <v>2053</v>
      </c>
      <c r="AV801" t="s">
        <v>2054</v>
      </c>
      <c r="AW801" t="s">
        <v>2055</v>
      </c>
      <c r="AZ801">
        <v>9400</v>
      </c>
      <c r="BA801" t="s">
        <v>2056</v>
      </c>
      <c r="BB801" t="s">
        <v>61</v>
      </c>
      <c r="BC801" t="s">
        <v>62</v>
      </c>
    </row>
    <row r="802" spans="1:55" x14ac:dyDescent="0.25">
      <c r="A802" s="1" t="str">
        <f>IF(COUNTIF(Catégories!A:A,X802)=0,"catégorie inconnue",_xlfn.XLOOKUP(X802,Catégories!A:A,Catégories!B:B))</f>
        <v>Frêt</v>
      </c>
      <c r="B802" s="1">
        <f t="shared" si="36"/>
        <v>0</v>
      </c>
      <c r="C802" s="1">
        <f t="shared" si="37"/>
        <v>0</v>
      </c>
      <c r="D802" s="1">
        <f t="shared" si="38"/>
        <v>0</v>
      </c>
      <c r="E802" s="20">
        <f>IF(AH802&lt;&gt;0,ROUNDUP(AH802,0),IF(BB802&lt;&gt;"FR","hors France",IF(AH802&lt;&gt;0,ROUNDUP(AH802,0),_xlfn.XLOOKUP(AJ802,'PA GLS'!B:B,'PA GLS'!A:A))))</f>
        <v>2</v>
      </c>
      <c r="F802">
        <v>2501382993</v>
      </c>
      <c r="G802">
        <v>1030350167</v>
      </c>
      <c r="H802" t="s">
        <v>366</v>
      </c>
      <c r="I802">
        <v>2500034092</v>
      </c>
      <c r="J802" t="s">
        <v>50</v>
      </c>
      <c r="K802">
        <v>9000009190</v>
      </c>
      <c r="L802">
        <v>46946</v>
      </c>
      <c r="M802" t="s">
        <v>51</v>
      </c>
      <c r="N802">
        <v>9000079830</v>
      </c>
      <c r="O802" t="s">
        <v>187</v>
      </c>
      <c r="S802">
        <v>2507012387</v>
      </c>
      <c r="T802" t="s">
        <v>50</v>
      </c>
      <c r="U802" t="s">
        <v>122</v>
      </c>
      <c r="V802" t="s">
        <v>176</v>
      </c>
      <c r="W802" t="s">
        <v>177</v>
      </c>
      <c r="X802" t="s">
        <v>152</v>
      </c>
      <c r="Z802">
        <v>262</v>
      </c>
      <c r="AA802" t="s">
        <v>366</v>
      </c>
      <c r="AB802" t="s">
        <v>2127</v>
      </c>
      <c r="AC802">
        <v>2604000299</v>
      </c>
      <c r="AE802">
        <v>0</v>
      </c>
      <c r="AF802">
        <v>1</v>
      </c>
      <c r="AG802">
        <v>0</v>
      </c>
      <c r="AH802">
        <v>1.65</v>
      </c>
      <c r="AI802" t="s">
        <v>56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 t="s">
        <v>57</v>
      </c>
      <c r="AS802" t="s">
        <v>2128</v>
      </c>
      <c r="AT802" t="s">
        <v>2128</v>
      </c>
      <c r="AU802" t="s">
        <v>2127</v>
      </c>
      <c r="AV802" t="s">
        <v>1481</v>
      </c>
      <c r="AW802" t="s">
        <v>1482</v>
      </c>
      <c r="AZ802">
        <v>69630</v>
      </c>
      <c r="BA802" t="s">
        <v>1483</v>
      </c>
      <c r="BB802" t="s">
        <v>61</v>
      </c>
      <c r="BC802" t="s">
        <v>62</v>
      </c>
    </row>
    <row r="803" spans="1:55" x14ac:dyDescent="0.25">
      <c r="A803" s="1" t="str">
        <f>IF(COUNTIF(Catégories!A:A,X803)=0,"catégorie inconnue",_xlfn.XLOOKUP(X803,Catégories!A:A,Catégories!B:B))</f>
        <v>Frêt</v>
      </c>
      <c r="B803" s="1">
        <f t="shared" si="36"/>
        <v>7.0100000000000007</v>
      </c>
      <c r="C803" s="1">
        <f t="shared" si="37"/>
        <v>1.54</v>
      </c>
      <c r="D803" s="1">
        <f t="shared" si="38"/>
        <v>5.4700000000000006</v>
      </c>
      <c r="E803" s="20">
        <f>IF(AH803&lt;&gt;0,ROUNDUP(AH803,0),IF(BB803&lt;&gt;"FR","hors France",IF(AH803&lt;&gt;0,ROUNDUP(AH803,0),_xlfn.XLOOKUP(AJ803,'PA GLS'!B:B,'PA GLS'!A:A))))</f>
        <v>2</v>
      </c>
      <c r="F803">
        <v>2501382993</v>
      </c>
      <c r="G803">
        <v>1030350167</v>
      </c>
      <c r="H803" t="s">
        <v>366</v>
      </c>
      <c r="I803">
        <v>2500034092</v>
      </c>
      <c r="J803" t="s">
        <v>50</v>
      </c>
      <c r="K803">
        <v>9000009190</v>
      </c>
      <c r="L803">
        <v>46946</v>
      </c>
      <c r="M803" t="s">
        <v>51</v>
      </c>
      <c r="N803">
        <v>9000079830</v>
      </c>
      <c r="O803" t="s">
        <v>187</v>
      </c>
      <c r="S803">
        <v>2507012387</v>
      </c>
      <c r="T803" t="s">
        <v>50</v>
      </c>
      <c r="U803" t="s">
        <v>122</v>
      </c>
      <c r="V803" t="s">
        <v>63</v>
      </c>
      <c r="W803" t="s">
        <v>64</v>
      </c>
      <c r="X803" t="s">
        <v>60</v>
      </c>
      <c r="Z803">
        <v>266</v>
      </c>
      <c r="AA803" t="s">
        <v>366</v>
      </c>
      <c r="AB803" t="s">
        <v>2129</v>
      </c>
      <c r="AC803">
        <v>2604000270</v>
      </c>
      <c r="AE803">
        <v>0</v>
      </c>
      <c r="AF803">
        <v>0</v>
      </c>
      <c r="AG803">
        <v>0</v>
      </c>
      <c r="AH803">
        <v>0</v>
      </c>
      <c r="AI803" t="s">
        <v>56</v>
      </c>
      <c r="AJ803">
        <v>4.42</v>
      </c>
      <c r="AK803">
        <v>0.9</v>
      </c>
      <c r="AL803">
        <v>0.15</v>
      </c>
      <c r="AM803">
        <v>29.1</v>
      </c>
      <c r="AN803">
        <v>1.54</v>
      </c>
      <c r="AO803">
        <v>0</v>
      </c>
      <c r="AP803">
        <v>0</v>
      </c>
      <c r="AQ803" t="s">
        <v>57</v>
      </c>
      <c r="AS803" t="s">
        <v>2130</v>
      </c>
      <c r="AT803" t="s">
        <v>2130</v>
      </c>
      <c r="AU803" t="s">
        <v>2129</v>
      </c>
      <c r="AV803" t="s">
        <v>2131</v>
      </c>
      <c r="AW803" t="s">
        <v>2132</v>
      </c>
      <c r="AZ803">
        <v>95170</v>
      </c>
      <c r="BA803" t="s">
        <v>2133</v>
      </c>
      <c r="BB803" t="s">
        <v>61</v>
      </c>
      <c r="BC803" t="s">
        <v>62</v>
      </c>
    </row>
    <row r="804" spans="1:55" x14ac:dyDescent="0.25">
      <c r="A804" s="1" t="str">
        <f>IF(COUNTIF(Catégories!A:A,X804)=0,"catégorie inconnue",_xlfn.XLOOKUP(X804,Catégories!A:A,Catégories!B:B))</f>
        <v>Frêt - avisé</v>
      </c>
      <c r="B804" s="1">
        <f t="shared" si="36"/>
        <v>0</v>
      </c>
      <c r="C804" s="1">
        <f t="shared" si="37"/>
        <v>0</v>
      </c>
      <c r="D804" s="1">
        <f t="shared" si="38"/>
        <v>0</v>
      </c>
      <c r="E804" s="20" t="e">
        <f>IF(AH804&lt;&gt;0,ROUNDUP(AH804,0),IF(BB804&lt;&gt;"FR","hors France",IF(AH804&lt;&gt;0,ROUNDUP(AH804,0),_xlfn.XLOOKUP(AJ804,'PA GLS'!B:B,'PA GLS'!A:A))))</f>
        <v>#N/A</v>
      </c>
      <c r="F804">
        <v>2501382993</v>
      </c>
      <c r="G804">
        <v>1030350167</v>
      </c>
      <c r="H804" t="s">
        <v>366</v>
      </c>
      <c r="I804">
        <v>2500034092</v>
      </c>
      <c r="J804" t="s">
        <v>50</v>
      </c>
      <c r="K804">
        <v>9000009190</v>
      </c>
      <c r="L804">
        <v>46946</v>
      </c>
      <c r="M804" t="s">
        <v>51</v>
      </c>
      <c r="N804">
        <v>9000079830</v>
      </c>
      <c r="O804" t="s">
        <v>187</v>
      </c>
      <c r="S804">
        <v>2507012387</v>
      </c>
      <c r="T804" t="s">
        <v>50</v>
      </c>
      <c r="U804" t="s">
        <v>122</v>
      </c>
      <c r="V804" t="s">
        <v>178</v>
      </c>
      <c r="W804" t="s">
        <v>179</v>
      </c>
      <c r="X804" t="s">
        <v>79</v>
      </c>
      <c r="Z804">
        <v>272</v>
      </c>
      <c r="AA804" t="s">
        <v>366</v>
      </c>
      <c r="AB804" t="s">
        <v>1971</v>
      </c>
      <c r="AC804">
        <v>2604000243</v>
      </c>
      <c r="AE804">
        <v>0</v>
      </c>
      <c r="AF804">
        <v>0</v>
      </c>
      <c r="AG804">
        <v>0</v>
      </c>
      <c r="AH804">
        <v>0</v>
      </c>
      <c r="AI804" t="s">
        <v>56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 t="s">
        <v>57</v>
      </c>
      <c r="AS804" t="s">
        <v>1972</v>
      </c>
      <c r="AT804" t="s">
        <v>1972</v>
      </c>
      <c r="AU804" t="s">
        <v>1971</v>
      </c>
      <c r="AV804" t="s">
        <v>1973</v>
      </c>
      <c r="AW804" t="s">
        <v>1974</v>
      </c>
      <c r="AZ804">
        <v>31400</v>
      </c>
      <c r="BA804" t="s">
        <v>218</v>
      </c>
      <c r="BB804" t="s">
        <v>61</v>
      </c>
      <c r="BC804" t="s">
        <v>62</v>
      </c>
    </row>
    <row r="805" spans="1:55" x14ac:dyDescent="0.25">
      <c r="A805" s="1" t="str">
        <f>IF(COUNTIF(Catégories!A:A,X805)=0,"catégorie inconnue",_xlfn.XLOOKUP(X805,Catégories!A:A,Catégories!B:B))</f>
        <v>Frêt - avisé</v>
      </c>
      <c r="B805" s="1">
        <f t="shared" si="36"/>
        <v>0</v>
      </c>
      <c r="C805" s="1">
        <f t="shared" si="37"/>
        <v>0</v>
      </c>
      <c r="D805" s="1">
        <f t="shared" si="38"/>
        <v>0</v>
      </c>
      <c r="E805" s="20" t="e">
        <f>IF(AH805&lt;&gt;0,ROUNDUP(AH805,0),IF(BB805&lt;&gt;"FR","hors France",IF(AH805&lt;&gt;0,ROUNDUP(AH805,0),_xlfn.XLOOKUP(AJ805,'PA GLS'!B:B,'PA GLS'!A:A))))</f>
        <v>#N/A</v>
      </c>
      <c r="F805">
        <v>2501382993</v>
      </c>
      <c r="G805">
        <v>1030350167</v>
      </c>
      <c r="H805" t="s">
        <v>366</v>
      </c>
      <c r="I805">
        <v>2500034092</v>
      </c>
      <c r="J805" t="s">
        <v>50</v>
      </c>
      <c r="K805">
        <v>9000009190</v>
      </c>
      <c r="L805">
        <v>46946</v>
      </c>
      <c r="M805" t="s">
        <v>51</v>
      </c>
      <c r="N805">
        <v>9000079830</v>
      </c>
      <c r="O805" t="s">
        <v>187</v>
      </c>
      <c r="S805">
        <v>2507012387</v>
      </c>
      <c r="T805" t="s">
        <v>50</v>
      </c>
      <c r="U805" t="s">
        <v>122</v>
      </c>
      <c r="V805" t="s">
        <v>178</v>
      </c>
      <c r="W805" t="s">
        <v>179</v>
      </c>
      <c r="X805" t="s">
        <v>79</v>
      </c>
      <c r="Z805">
        <v>272</v>
      </c>
      <c r="AA805" t="s">
        <v>366</v>
      </c>
      <c r="AB805" t="s">
        <v>1967</v>
      </c>
      <c r="AC805">
        <v>2604000242</v>
      </c>
      <c r="AE805">
        <v>0</v>
      </c>
      <c r="AF805">
        <v>0</v>
      </c>
      <c r="AG805">
        <v>0</v>
      </c>
      <c r="AH805">
        <v>0</v>
      </c>
      <c r="AI805" t="s">
        <v>56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 t="s">
        <v>57</v>
      </c>
      <c r="AS805" t="s">
        <v>1968</v>
      </c>
      <c r="AT805" t="s">
        <v>1968</v>
      </c>
      <c r="AU805" t="s">
        <v>1967</v>
      </c>
      <c r="AV805" t="s">
        <v>1969</v>
      </c>
      <c r="AW805" t="s">
        <v>1970</v>
      </c>
      <c r="AZ805">
        <v>75019</v>
      </c>
      <c r="BA805" t="s">
        <v>65</v>
      </c>
      <c r="BB805" t="s">
        <v>61</v>
      </c>
      <c r="BC805" t="s">
        <v>62</v>
      </c>
    </row>
    <row r="806" spans="1:55" x14ac:dyDescent="0.25">
      <c r="A806" s="1" t="str">
        <f>IF(COUNTIF(Catégories!A:A,X806)=0,"catégorie inconnue",_xlfn.XLOOKUP(X806,Catégories!A:A,Catégories!B:B))</f>
        <v>Frêt - avisé</v>
      </c>
      <c r="B806" s="1">
        <f t="shared" si="36"/>
        <v>0</v>
      </c>
      <c r="C806" s="1">
        <f t="shared" si="37"/>
        <v>0</v>
      </c>
      <c r="D806" s="1">
        <f t="shared" si="38"/>
        <v>0</v>
      </c>
      <c r="E806" s="20" t="e">
        <f>IF(AH806&lt;&gt;0,ROUNDUP(AH806,0),IF(BB806&lt;&gt;"FR","hors France",IF(AH806&lt;&gt;0,ROUNDUP(AH806,0),_xlfn.XLOOKUP(AJ806,'PA GLS'!B:B,'PA GLS'!A:A))))</f>
        <v>#N/A</v>
      </c>
      <c r="F806">
        <v>2501382993</v>
      </c>
      <c r="G806">
        <v>1030350167</v>
      </c>
      <c r="H806" t="s">
        <v>366</v>
      </c>
      <c r="I806">
        <v>2500034092</v>
      </c>
      <c r="J806" t="s">
        <v>50</v>
      </c>
      <c r="K806">
        <v>9000009190</v>
      </c>
      <c r="L806">
        <v>46946</v>
      </c>
      <c r="M806" t="s">
        <v>51</v>
      </c>
      <c r="N806">
        <v>9000079830</v>
      </c>
      <c r="O806" t="s">
        <v>187</v>
      </c>
      <c r="S806">
        <v>2507012387</v>
      </c>
      <c r="T806" t="s">
        <v>50</v>
      </c>
      <c r="U806" t="s">
        <v>122</v>
      </c>
      <c r="V806" t="s">
        <v>178</v>
      </c>
      <c r="W806" t="s">
        <v>179</v>
      </c>
      <c r="X806" t="s">
        <v>79</v>
      </c>
      <c r="Z806">
        <v>272</v>
      </c>
      <c r="AA806" t="s">
        <v>366</v>
      </c>
      <c r="AB806" t="s">
        <v>1635</v>
      </c>
      <c r="AC806">
        <v>2604000159</v>
      </c>
      <c r="AE806">
        <v>0</v>
      </c>
      <c r="AF806">
        <v>0</v>
      </c>
      <c r="AG806">
        <v>0</v>
      </c>
      <c r="AH806">
        <v>0</v>
      </c>
      <c r="AI806" t="s">
        <v>56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 t="s">
        <v>57</v>
      </c>
      <c r="AS806" t="s">
        <v>1636</v>
      </c>
      <c r="AT806" t="s">
        <v>1636</v>
      </c>
      <c r="AU806" t="s">
        <v>1635</v>
      </c>
      <c r="AV806" t="s">
        <v>1637</v>
      </c>
      <c r="AW806" t="s">
        <v>1638</v>
      </c>
      <c r="AZ806">
        <v>75009</v>
      </c>
      <c r="BA806" t="s">
        <v>65</v>
      </c>
      <c r="BB806" t="s">
        <v>61</v>
      </c>
      <c r="BC806" t="s">
        <v>62</v>
      </c>
    </row>
    <row r="807" spans="1:55" x14ac:dyDescent="0.25">
      <c r="A807" s="1" t="str">
        <f>IF(COUNTIF(Catégories!A:A,X807)=0,"catégorie inconnue",_xlfn.XLOOKUP(X807,Catégories!A:A,Catégories!B:B))</f>
        <v>Adresse</v>
      </c>
      <c r="B807" s="1">
        <f t="shared" si="36"/>
        <v>3.04</v>
      </c>
      <c r="C807" s="1">
        <f t="shared" si="37"/>
        <v>0.68</v>
      </c>
      <c r="D807" s="1">
        <f t="shared" si="38"/>
        <v>2.36</v>
      </c>
      <c r="E807" s="20" t="e">
        <f>IF(AH807&lt;&gt;0,ROUNDUP(AH807,0),IF(BB807&lt;&gt;"FR","hors France",IF(AH807&lt;&gt;0,ROUNDUP(AH807,0),_xlfn.XLOOKUP(AJ807,'PA GLS'!B:B,'PA GLS'!A:A))))</f>
        <v>#N/A</v>
      </c>
      <c r="F807">
        <v>2501382993</v>
      </c>
      <c r="G807">
        <v>1030350167</v>
      </c>
      <c r="H807" t="s">
        <v>366</v>
      </c>
      <c r="I807">
        <v>2500034092</v>
      </c>
      <c r="J807" t="s">
        <v>50</v>
      </c>
      <c r="K807">
        <v>9000009190</v>
      </c>
      <c r="L807">
        <v>46946</v>
      </c>
      <c r="M807" t="s">
        <v>51</v>
      </c>
      <c r="N807">
        <v>9000079830</v>
      </c>
      <c r="O807" t="s">
        <v>187</v>
      </c>
      <c r="S807">
        <v>2507012387</v>
      </c>
      <c r="T807" t="s">
        <v>50</v>
      </c>
      <c r="U807" t="s">
        <v>122</v>
      </c>
      <c r="V807" t="s">
        <v>651</v>
      </c>
      <c r="W807" t="s">
        <v>233</v>
      </c>
      <c r="X807" t="s">
        <v>163</v>
      </c>
      <c r="Z807">
        <v>271</v>
      </c>
      <c r="AA807" t="s">
        <v>366</v>
      </c>
      <c r="AB807" t="s">
        <v>1971</v>
      </c>
      <c r="AC807">
        <v>2604000243</v>
      </c>
      <c r="AE807">
        <v>0</v>
      </c>
      <c r="AF807">
        <v>0</v>
      </c>
      <c r="AG807">
        <v>0</v>
      </c>
      <c r="AH807">
        <v>0</v>
      </c>
      <c r="AI807" t="s">
        <v>56</v>
      </c>
      <c r="AJ807">
        <v>2.36</v>
      </c>
      <c r="AK807">
        <v>0</v>
      </c>
      <c r="AL807">
        <v>0</v>
      </c>
      <c r="AM807">
        <v>29.1</v>
      </c>
      <c r="AN807">
        <v>0.68</v>
      </c>
      <c r="AO807">
        <v>0</v>
      </c>
      <c r="AP807">
        <v>0</v>
      </c>
      <c r="AQ807" t="s">
        <v>57</v>
      </c>
      <c r="AS807" t="s">
        <v>1972</v>
      </c>
      <c r="AT807" t="s">
        <v>1972</v>
      </c>
      <c r="AU807" t="s">
        <v>1971</v>
      </c>
      <c r="AV807" t="s">
        <v>1973</v>
      </c>
      <c r="AW807" t="s">
        <v>1974</v>
      </c>
      <c r="AZ807">
        <v>31400</v>
      </c>
      <c r="BA807" t="s">
        <v>218</v>
      </c>
      <c r="BB807" t="s">
        <v>61</v>
      </c>
      <c r="BC807" t="s">
        <v>62</v>
      </c>
    </row>
    <row r="808" spans="1:55" x14ac:dyDescent="0.25">
      <c r="A808" s="1" t="str">
        <f>IF(COUNTIF(Catégories!A:A,X808)=0,"catégorie inconnue",_xlfn.XLOOKUP(X808,Catégories!A:A,Catégories!B:B))</f>
        <v>Adresse</v>
      </c>
      <c r="B808" s="1">
        <f t="shared" si="36"/>
        <v>3.04</v>
      </c>
      <c r="C808" s="1">
        <f t="shared" si="37"/>
        <v>0.68</v>
      </c>
      <c r="D808" s="1">
        <f t="shared" si="38"/>
        <v>2.36</v>
      </c>
      <c r="E808" s="20" t="e">
        <f>IF(AH808&lt;&gt;0,ROUNDUP(AH808,0),IF(BB808&lt;&gt;"FR","hors France",IF(AH808&lt;&gt;0,ROUNDUP(AH808,0),_xlfn.XLOOKUP(AJ808,'PA GLS'!B:B,'PA GLS'!A:A))))</f>
        <v>#N/A</v>
      </c>
      <c r="F808">
        <v>2501382993</v>
      </c>
      <c r="G808">
        <v>1030350167</v>
      </c>
      <c r="H808" t="s">
        <v>366</v>
      </c>
      <c r="I808">
        <v>2500034092</v>
      </c>
      <c r="J808" t="s">
        <v>50</v>
      </c>
      <c r="K808">
        <v>9000009190</v>
      </c>
      <c r="L808">
        <v>46946</v>
      </c>
      <c r="M808" t="s">
        <v>51</v>
      </c>
      <c r="N808">
        <v>9000079830</v>
      </c>
      <c r="O808" t="s">
        <v>187</v>
      </c>
      <c r="S808">
        <v>2507012387</v>
      </c>
      <c r="T808" t="s">
        <v>50</v>
      </c>
      <c r="U808" t="s">
        <v>122</v>
      </c>
      <c r="V808" t="s">
        <v>651</v>
      </c>
      <c r="W808" t="s">
        <v>233</v>
      </c>
      <c r="X808" t="s">
        <v>163</v>
      </c>
      <c r="Z808">
        <v>271</v>
      </c>
      <c r="AA808" t="s">
        <v>366</v>
      </c>
      <c r="AB808" t="s">
        <v>1967</v>
      </c>
      <c r="AC808">
        <v>2604000242</v>
      </c>
      <c r="AE808">
        <v>0</v>
      </c>
      <c r="AF808">
        <v>0</v>
      </c>
      <c r="AG808">
        <v>0</v>
      </c>
      <c r="AH808">
        <v>0</v>
      </c>
      <c r="AI808" t="s">
        <v>56</v>
      </c>
      <c r="AJ808">
        <v>2.36</v>
      </c>
      <c r="AK808">
        <v>0</v>
      </c>
      <c r="AL808">
        <v>0</v>
      </c>
      <c r="AM808">
        <v>29.1</v>
      </c>
      <c r="AN808">
        <v>0.68</v>
      </c>
      <c r="AO808">
        <v>0</v>
      </c>
      <c r="AP808">
        <v>0</v>
      </c>
      <c r="AQ808" t="s">
        <v>57</v>
      </c>
      <c r="AS808" t="s">
        <v>1968</v>
      </c>
      <c r="AT808" t="s">
        <v>1968</v>
      </c>
      <c r="AU808" t="s">
        <v>1967</v>
      </c>
      <c r="AV808" t="s">
        <v>1969</v>
      </c>
      <c r="AW808" t="s">
        <v>1970</v>
      </c>
      <c r="AZ808">
        <v>75019</v>
      </c>
      <c r="BA808" t="s">
        <v>65</v>
      </c>
      <c r="BB808" t="s">
        <v>61</v>
      </c>
      <c r="BC808" t="s">
        <v>62</v>
      </c>
    </row>
    <row r="809" spans="1:55" x14ac:dyDescent="0.25">
      <c r="A809" s="1" t="str">
        <f>IF(COUNTIF(Catégories!A:A,X809)=0,"catégorie inconnue",_xlfn.XLOOKUP(X809,Catégories!A:A,Catégories!B:B))</f>
        <v>Frêt</v>
      </c>
      <c r="B809" s="1">
        <f t="shared" si="36"/>
        <v>9.6000000000000014</v>
      </c>
      <c r="C809" s="1">
        <f t="shared" si="37"/>
        <v>2.13</v>
      </c>
      <c r="D809" s="1">
        <f t="shared" si="38"/>
        <v>7.4700000000000015</v>
      </c>
      <c r="E809" s="20">
        <f>IF(AH809&lt;&gt;0,ROUNDUP(AH809,0),IF(BB809&lt;&gt;"FR","hors France",IF(AH809&lt;&gt;0,ROUNDUP(AH809,0),_xlfn.XLOOKUP(AJ809,'PA GLS'!B:B,'PA GLS'!A:A))))</f>
        <v>6</v>
      </c>
      <c r="F809">
        <v>2501382993</v>
      </c>
      <c r="G809">
        <v>1030350167</v>
      </c>
      <c r="H809" t="s">
        <v>366</v>
      </c>
      <c r="I809">
        <v>2500034092</v>
      </c>
      <c r="J809" t="s">
        <v>50</v>
      </c>
      <c r="K809">
        <v>9000009190</v>
      </c>
      <c r="L809">
        <v>46946</v>
      </c>
      <c r="M809" t="s">
        <v>51</v>
      </c>
      <c r="N809">
        <v>9000079830</v>
      </c>
      <c r="O809" t="s">
        <v>187</v>
      </c>
      <c r="S809">
        <v>2507012387</v>
      </c>
      <c r="T809" t="s">
        <v>50</v>
      </c>
      <c r="U809" t="s">
        <v>122</v>
      </c>
      <c r="V809" t="s">
        <v>275</v>
      </c>
      <c r="W809" t="s">
        <v>276</v>
      </c>
      <c r="X809" t="s">
        <v>60</v>
      </c>
      <c r="Z809">
        <v>270</v>
      </c>
      <c r="AA809" t="s">
        <v>366</v>
      </c>
      <c r="AB809" t="s">
        <v>2134</v>
      </c>
      <c r="AC809">
        <v>2604000297</v>
      </c>
      <c r="AE809">
        <v>0</v>
      </c>
      <c r="AF809">
        <v>0</v>
      </c>
      <c r="AG809">
        <v>0</v>
      </c>
      <c r="AH809">
        <v>0</v>
      </c>
      <c r="AI809" t="s">
        <v>56</v>
      </c>
      <c r="AJ809">
        <v>6.42</v>
      </c>
      <c r="AK809">
        <v>0.9</v>
      </c>
      <c r="AL809">
        <v>0.15</v>
      </c>
      <c r="AM809">
        <v>29.1</v>
      </c>
      <c r="AN809">
        <v>2.13</v>
      </c>
      <c r="AO809">
        <v>0</v>
      </c>
      <c r="AP809">
        <v>0</v>
      </c>
      <c r="AQ809" t="s">
        <v>57</v>
      </c>
      <c r="AS809" t="s">
        <v>2135</v>
      </c>
      <c r="AT809" t="s">
        <v>2135</v>
      </c>
      <c r="AU809" t="s">
        <v>2134</v>
      </c>
      <c r="AV809" t="s">
        <v>2136</v>
      </c>
      <c r="AW809" t="s">
        <v>2137</v>
      </c>
      <c r="AZ809">
        <v>87170</v>
      </c>
      <c r="BA809" t="s">
        <v>2138</v>
      </c>
      <c r="BB809" t="s">
        <v>61</v>
      </c>
      <c r="BC809" t="s">
        <v>62</v>
      </c>
    </row>
    <row r="810" spans="1:55" x14ac:dyDescent="0.25">
      <c r="A810" s="1" t="str">
        <f>IF(COUNTIF(Catégories!A:A,X810)=0,"catégorie inconnue",_xlfn.XLOOKUP(X810,Catégories!A:A,Catégories!B:B))</f>
        <v>Frêt</v>
      </c>
      <c r="B810" s="1">
        <f t="shared" si="36"/>
        <v>9.6000000000000014</v>
      </c>
      <c r="C810" s="1">
        <f t="shared" si="37"/>
        <v>2.13</v>
      </c>
      <c r="D810" s="1">
        <f t="shared" si="38"/>
        <v>7.4700000000000015</v>
      </c>
      <c r="E810" s="20">
        <f>IF(AH810&lt;&gt;0,ROUNDUP(AH810,0),IF(BB810&lt;&gt;"FR","hors France",IF(AH810&lt;&gt;0,ROUNDUP(AH810,0),_xlfn.XLOOKUP(AJ810,'PA GLS'!B:B,'PA GLS'!A:A))))</f>
        <v>6</v>
      </c>
      <c r="F810">
        <v>2501382993</v>
      </c>
      <c r="G810">
        <v>1030350167</v>
      </c>
      <c r="H810" t="s">
        <v>366</v>
      </c>
      <c r="I810">
        <v>2500034092</v>
      </c>
      <c r="J810" t="s">
        <v>50</v>
      </c>
      <c r="K810">
        <v>9000009190</v>
      </c>
      <c r="L810">
        <v>46946</v>
      </c>
      <c r="M810" t="s">
        <v>51</v>
      </c>
      <c r="N810">
        <v>9000079830</v>
      </c>
      <c r="O810" t="s">
        <v>187</v>
      </c>
      <c r="S810">
        <v>2507012387</v>
      </c>
      <c r="T810" t="s">
        <v>50</v>
      </c>
      <c r="U810" t="s">
        <v>122</v>
      </c>
      <c r="V810" t="s">
        <v>275</v>
      </c>
      <c r="W810" t="s">
        <v>276</v>
      </c>
      <c r="X810" t="s">
        <v>60</v>
      </c>
      <c r="Z810">
        <v>270</v>
      </c>
      <c r="AA810" t="s">
        <v>366</v>
      </c>
      <c r="AB810" t="s">
        <v>2139</v>
      </c>
      <c r="AC810">
        <v>2604000295</v>
      </c>
      <c r="AE810">
        <v>0</v>
      </c>
      <c r="AF810">
        <v>0</v>
      </c>
      <c r="AG810">
        <v>0</v>
      </c>
      <c r="AH810">
        <v>0</v>
      </c>
      <c r="AI810" t="s">
        <v>56</v>
      </c>
      <c r="AJ810">
        <v>6.42</v>
      </c>
      <c r="AK810">
        <v>0.9</v>
      </c>
      <c r="AL810">
        <v>0.15</v>
      </c>
      <c r="AM810">
        <v>29.1</v>
      </c>
      <c r="AN810">
        <v>2.13</v>
      </c>
      <c r="AO810">
        <v>0</v>
      </c>
      <c r="AP810">
        <v>0</v>
      </c>
      <c r="AQ810" t="s">
        <v>57</v>
      </c>
      <c r="AS810" t="s">
        <v>2140</v>
      </c>
      <c r="AT810" t="s">
        <v>2140</v>
      </c>
      <c r="AU810" t="s">
        <v>2139</v>
      </c>
      <c r="AV810" t="s">
        <v>2141</v>
      </c>
      <c r="AW810" t="s">
        <v>2142</v>
      </c>
      <c r="AZ810">
        <v>59240</v>
      </c>
      <c r="BA810" t="s">
        <v>2143</v>
      </c>
      <c r="BB810" t="s">
        <v>61</v>
      </c>
      <c r="BC810" t="s">
        <v>62</v>
      </c>
    </row>
    <row r="811" spans="1:55" x14ac:dyDescent="0.25">
      <c r="A811" s="1" t="str">
        <f>IF(COUNTIF(Catégories!A:A,X811)=0,"catégorie inconnue",_xlfn.XLOOKUP(X811,Catégories!A:A,Catégories!B:B))</f>
        <v>Frêt</v>
      </c>
      <c r="B811" s="1">
        <f t="shared" si="36"/>
        <v>8.15</v>
      </c>
      <c r="C811" s="1">
        <f t="shared" si="37"/>
        <v>1.8</v>
      </c>
      <c r="D811" s="1">
        <f t="shared" si="38"/>
        <v>6.3500000000000005</v>
      </c>
      <c r="E811" s="20">
        <f>IF(AH811&lt;&gt;0,ROUNDUP(AH811,0),IF(BB811&lt;&gt;"FR","hors France",IF(AH811&lt;&gt;0,ROUNDUP(AH811,0),_xlfn.XLOOKUP(AJ811,'PA GLS'!B:B,'PA GLS'!A:A))))</f>
        <v>4</v>
      </c>
      <c r="F811">
        <v>2501382993</v>
      </c>
      <c r="G811">
        <v>1030350167</v>
      </c>
      <c r="H811" t="s">
        <v>366</v>
      </c>
      <c r="I811">
        <v>2500034092</v>
      </c>
      <c r="J811" t="s">
        <v>50</v>
      </c>
      <c r="K811">
        <v>9000009190</v>
      </c>
      <c r="L811">
        <v>46946</v>
      </c>
      <c r="M811" t="s">
        <v>51</v>
      </c>
      <c r="N811">
        <v>9000079830</v>
      </c>
      <c r="O811" t="s">
        <v>187</v>
      </c>
      <c r="S811">
        <v>2507012387</v>
      </c>
      <c r="T811" t="s">
        <v>50</v>
      </c>
      <c r="U811" t="s">
        <v>122</v>
      </c>
      <c r="V811" t="s">
        <v>231</v>
      </c>
      <c r="W811" t="s">
        <v>232</v>
      </c>
      <c r="X811" t="s">
        <v>60</v>
      </c>
      <c r="Z811">
        <v>269</v>
      </c>
      <c r="AA811" t="s">
        <v>366</v>
      </c>
      <c r="AB811" t="s">
        <v>2144</v>
      </c>
      <c r="AC811">
        <v>2604000296</v>
      </c>
      <c r="AE811">
        <v>0</v>
      </c>
      <c r="AF811">
        <v>0</v>
      </c>
      <c r="AG811">
        <v>0</v>
      </c>
      <c r="AH811">
        <v>0</v>
      </c>
      <c r="AI811" t="s">
        <v>56</v>
      </c>
      <c r="AJ811">
        <v>5.3</v>
      </c>
      <c r="AK811">
        <v>0.9</v>
      </c>
      <c r="AL811">
        <v>0.15</v>
      </c>
      <c r="AM811">
        <v>29.1</v>
      </c>
      <c r="AN811">
        <v>1.8</v>
      </c>
      <c r="AO811">
        <v>0</v>
      </c>
      <c r="AP811">
        <v>0</v>
      </c>
      <c r="AQ811" t="s">
        <v>57</v>
      </c>
      <c r="AS811" t="s">
        <v>2145</v>
      </c>
      <c r="AT811" t="s">
        <v>2145</v>
      </c>
      <c r="AU811" t="s">
        <v>2144</v>
      </c>
      <c r="AV811" t="s">
        <v>2146</v>
      </c>
      <c r="AW811" t="s">
        <v>2147</v>
      </c>
      <c r="AZ811">
        <v>75017</v>
      </c>
      <c r="BA811" t="s">
        <v>65</v>
      </c>
      <c r="BB811" t="s">
        <v>61</v>
      </c>
      <c r="BC811" t="s">
        <v>62</v>
      </c>
    </row>
    <row r="812" spans="1:55" x14ac:dyDescent="0.25">
      <c r="A812" s="1" t="str">
        <f>IF(COUNTIF(Catégories!A:A,X812)=0,"catégorie inconnue",_xlfn.XLOOKUP(X812,Catégories!A:A,Catégories!B:B))</f>
        <v>Frêt</v>
      </c>
      <c r="B812" s="1">
        <f t="shared" si="36"/>
        <v>7.4300000000000006</v>
      </c>
      <c r="C812" s="1">
        <f t="shared" si="37"/>
        <v>1.64</v>
      </c>
      <c r="D812" s="1">
        <f t="shared" si="38"/>
        <v>5.7900000000000009</v>
      </c>
      <c r="E812" s="20">
        <f>IF(AH812&lt;&gt;0,ROUNDUP(AH812,0),IF(BB812&lt;&gt;"FR","hors France",IF(AH812&lt;&gt;0,ROUNDUP(AH812,0),_xlfn.XLOOKUP(AJ812,'PA GLS'!B:B,'PA GLS'!A:A))))</f>
        <v>3</v>
      </c>
      <c r="F812">
        <v>2501382993</v>
      </c>
      <c r="G812">
        <v>1030350167</v>
      </c>
      <c r="H812" t="s">
        <v>366</v>
      </c>
      <c r="I812">
        <v>2500034092</v>
      </c>
      <c r="J812" t="s">
        <v>50</v>
      </c>
      <c r="K812">
        <v>9000009190</v>
      </c>
      <c r="L812">
        <v>46946</v>
      </c>
      <c r="M812" t="s">
        <v>51</v>
      </c>
      <c r="N812">
        <v>9000079830</v>
      </c>
      <c r="O812" t="s">
        <v>187</v>
      </c>
      <c r="S812">
        <v>2507012387</v>
      </c>
      <c r="T812" t="s">
        <v>50</v>
      </c>
      <c r="U812" t="s">
        <v>122</v>
      </c>
      <c r="V812" t="s">
        <v>58</v>
      </c>
      <c r="W812" t="s">
        <v>59</v>
      </c>
      <c r="X812" t="s">
        <v>60</v>
      </c>
      <c r="Z812">
        <v>268</v>
      </c>
      <c r="AA812" t="s">
        <v>366</v>
      </c>
      <c r="AB812" t="s">
        <v>2148</v>
      </c>
      <c r="AC812">
        <v>2604000298</v>
      </c>
      <c r="AE812">
        <v>0</v>
      </c>
      <c r="AF812">
        <v>0</v>
      </c>
      <c r="AG812">
        <v>0</v>
      </c>
      <c r="AH812">
        <v>0</v>
      </c>
      <c r="AI812" t="s">
        <v>56</v>
      </c>
      <c r="AJ812">
        <v>4.74</v>
      </c>
      <c r="AK812">
        <v>0.9</v>
      </c>
      <c r="AL812">
        <v>0.15</v>
      </c>
      <c r="AM812">
        <v>29.1</v>
      </c>
      <c r="AN812">
        <v>1.64</v>
      </c>
      <c r="AO812">
        <v>0</v>
      </c>
      <c r="AP812">
        <v>0</v>
      </c>
      <c r="AQ812" t="s">
        <v>57</v>
      </c>
      <c r="AS812" t="s">
        <v>2149</v>
      </c>
      <c r="AT812" t="s">
        <v>2149</v>
      </c>
      <c r="AU812" t="s">
        <v>2148</v>
      </c>
      <c r="AV812" t="s">
        <v>2150</v>
      </c>
      <c r="AW812" t="s">
        <v>2151</v>
      </c>
      <c r="AZ812">
        <v>80000</v>
      </c>
      <c r="BA812" t="s">
        <v>295</v>
      </c>
      <c r="BB812" t="s">
        <v>61</v>
      </c>
      <c r="BC812" t="s">
        <v>62</v>
      </c>
    </row>
    <row r="813" spans="1:55" x14ac:dyDescent="0.25">
      <c r="A813" s="1" t="str">
        <f>IF(COUNTIF(Catégories!A:A,X813)=0,"catégorie inconnue",_xlfn.XLOOKUP(X813,Catégories!A:A,Catégories!B:B))</f>
        <v>Frêt</v>
      </c>
      <c r="B813" s="1">
        <f t="shared" si="36"/>
        <v>7.4300000000000006</v>
      </c>
      <c r="C813" s="1">
        <f t="shared" si="37"/>
        <v>1.64</v>
      </c>
      <c r="D813" s="1">
        <f t="shared" si="38"/>
        <v>5.7900000000000009</v>
      </c>
      <c r="E813" s="20">
        <f>IF(AH813&lt;&gt;0,ROUNDUP(AH813,0),IF(BB813&lt;&gt;"FR","hors France",IF(AH813&lt;&gt;0,ROUNDUP(AH813,0),_xlfn.XLOOKUP(AJ813,'PA GLS'!B:B,'PA GLS'!A:A))))</f>
        <v>3</v>
      </c>
      <c r="F813">
        <v>2501382993</v>
      </c>
      <c r="G813">
        <v>1030350167</v>
      </c>
      <c r="H813" t="s">
        <v>366</v>
      </c>
      <c r="I813">
        <v>2500034092</v>
      </c>
      <c r="J813" t="s">
        <v>50</v>
      </c>
      <c r="K813">
        <v>9000009190</v>
      </c>
      <c r="L813">
        <v>46946</v>
      </c>
      <c r="M813" t="s">
        <v>51</v>
      </c>
      <c r="N813">
        <v>9000079830</v>
      </c>
      <c r="O813" t="s">
        <v>187</v>
      </c>
      <c r="S813">
        <v>2507012387</v>
      </c>
      <c r="T813" t="s">
        <v>50</v>
      </c>
      <c r="U813" t="s">
        <v>122</v>
      </c>
      <c r="V813" t="s">
        <v>58</v>
      </c>
      <c r="W813" t="s">
        <v>59</v>
      </c>
      <c r="X813" t="s">
        <v>60</v>
      </c>
      <c r="Z813">
        <v>268</v>
      </c>
      <c r="AA813" t="s">
        <v>366</v>
      </c>
      <c r="AB813" t="s">
        <v>2152</v>
      </c>
      <c r="AC813">
        <v>2604000293</v>
      </c>
      <c r="AE813">
        <v>0</v>
      </c>
      <c r="AF813">
        <v>0</v>
      </c>
      <c r="AG813">
        <v>0</v>
      </c>
      <c r="AH813">
        <v>0</v>
      </c>
      <c r="AI813" t="s">
        <v>56</v>
      </c>
      <c r="AJ813">
        <v>4.74</v>
      </c>
      <c r="AK813">
        <v>0.9</v>
      </c>
      <c r="AL813">
        <v>0.15</v>
      </c>
      <c r="AM813">
        <v>29.1</v>
      </c>
      <c r="AN813">
        <v>1.64</v>
      </c>
      <c r="AO813">
        <v>0</v>
      </c>
      <c r="AP813">
        <v>0</v>
      </c>
      <c r="AQ813" t="s">
        <v>57</v>
      </c>
      <c r="AS813" t="s">
        <v>2153</v>
      </c>
      <c r="AT813" t="s">
        <v>2153</v>
      </c>
      <c r="AU813" t="s">
        <v>2152</v>
      </c>
      <c r="AV813" t="s">
        <v>2154</v>
      </c>
      <c r="AW813" t="s">
        <v>2155</v>
      </c>
      <c r="AZ813">
        <v>30210</v>
      </c>
      <c r="BA813" t="s">
        <v>2156</v>
      </c>
      <c r="BB813" t="s">
        <v>61</v>
      </c>
      <c r="BC813" t="s">
        <v>62</v>
      </c>
    </row>
    <row r="814" spans="1:55" x14ac:dyDescent="0.25">
      <c r="A814" s="1" t="str">
        <f>IF(COUNTIF(Catégories!A:A,X814)=0,"catégorie inconnue",_xlfn.XLOOKUP(X814,Catégories!A:A,Catégories!B:B))</f>
        <v>Frêt</v>
      </c>
      <c r="B814" s="1">
        <f t="shared" si="36"/>
        <v>7.4300000000000006</v>
      </c>
      <c r="C814" s="1">
        <f t="shared" si="37"/>
        <v>1.64</v>
      </c>
      <c r="D814" s="1">
        <f t="shared" si="38"/>
        <v>5.7900000000000009</v>
      </c>
      <c r="E814" s="20">
        <f>IF(AH814&lt;&gt;0,ROUNDUP(AH814,0),IF(BB814&lt;&gt;"FR","hors France",IF(AH814&lt;&gt;0,ROUNDUP(AH814,0),_xlfn.XLOOKUP(AJ814,'PA GLS'!B:B,'PA GLS'!A:A))))</f>
        <v>3</v>
      </c>
      <c r="F814">
        <v>2501382993</v>
      </c>
      <c r="G814">
        <v>1030350167</v>
      </c>
      <c r="H814" t="s">
        <v>366</v>
      </c>
      <c r="I814">
        <v>2500034092</v>
      </c>
      <c r="J814" t="s">
        <v>50</v>
      </c>
      <c r="K814">
        <v>9000009190</v>
      </c>
      <c r="L814">
        <v>46946</v>
      </c>
      <c r="M814" t="s">
        <v>51</v>
      </c>
      <c r="N814">
        <v>9000079830</v>
      </c>
      <c r="O814" t="s">
        <v>187</v>
      </c>
      <c r="S814">
        <v>2507012387</v>
      </c>
      <c r="T814" t="s">
        <v>50</v>
      </c>
      <c r="U814" t="s">
        <v>122</v>
      </c>
      <c r="V814" t="s">
        <v>58</v>
      </c>
      <c r="W814" t="s">
        <v>59</v>
      </c>
      <c r="X814" t="s">
        <v>60</v>
      </c>
      <c r="Z814">
        <v>268</v>
      </c>
      <c r="AA814" t="s">
        <v>366</v>
      </c>
      <c r="AB814" t="s">
        <v>2157</v>
      </c>
      <c r="AC814">
        <v>2604000289</v>
      </c>
      <c r="AE814">
        <v>0</v>
      </c>
      <c r="AF814">
        <v>0</v>
      </c>
      <c r="AG814">
        <v>0</v>
      </c>
      <c r="AH814">
        <v>0</v>
      </c>
      <c r="AI814" t="s">
        <v>56</v>
      </c>
      <c r="AJ814">
        <v>4.74</v>
      </c>
      <c r="AK814">
        <v>0.9</v>
      </c>
      <c r="AL814">
        <v>0.15</v>
      </c>
      <c r="AM814">
        <v>29.1</v>
      </c>
      <c r="AN814">
        <v>1.64</v>
      </c>
      <c r="AO814">
        <v>0</v>
      </c>
      <c r="AP814">
        <v>0</v>
      </c>
      <c r="AQ814" t="s">
        <v>57</v>
      </c>
      <c r="AS814" t="s">
        <v>2158</v>
      </c>
      <c r="AT814" t="s">
        <v>2158</v>
      </c>
      <c r="AU814" t="s">
        <v>2157</v>
      </c>
      <c r="AV814" t="s">
        <v>2159</v>
      </c>
      <c r="AW814" t="s">
        <v>2160</v>
      </c>
      <c r="AZ814">
        <v>29800</v>
      </c>
      <c r="BA814" t="s">
        <v>2161</v>
      </c>
      <c r="BB814" t="s">
        <v>61</v>
      </c>
      <c r="BC814" t="s">
        <v>62</v>
      </c>
    </row>
    <row r="815" spans="1:55" x14ac:dyDescent="0.25">
      <c r="A815" s="1" t="str">
        <f>IF(COUNTIF(Catégories!A:A,X815)=0,"catégorie inconnue",_xlfn.XLOOKUP(X815,Catégories!A:A,Catégories!B:B))</f>
        <v>Frêt</v>
      </c>
      <c r="B815" s="1">
        <f t="shared" si="36"/>
        <v>7.0100000000000007</v>
      </c>
      <c r="C815" s="1">
        <f t="shared" si="37"/>
        <v>1.54</v>
      </c>
      <c r="D815" s="1">
        <f t="shared" si="38"/>
        <v>5.4700000000000006</v>
      </c>
      <c r="E815" s="20">
        <f>IF(AH815&lt;&gt;0,ROUNDUP(AH815,0),IF(BB815&lt;&gt;"FR","hors France",IF(AH815&lt;&gt;0,ROUNDUP(AH815,0),_xlfn.XLOOKUP(AJ815,'PA GLS'!B:B,'PA GLS'!A:A))))</f>
        <v>2</v>
      </c>
      <c r="F815">
        <v>2501382993</v>
      </c>
      <c r="G815">
        <v>1030350167</v>
      </c>
      <c r="H815" t="s">
        <v>366</v>
      </c>
      <c r="I815">
        <v>2500034092</v>
      </c>
      <c r="J815" t="s">
        <v>50</v>
      </c>
      <c r="K815">
        <v>9000009190</v>
      </c>
      <c r="L815">
        <v>46946</v>
      </c>
      <c r="M815" t="s">
        <v>51</v>
      </c>
      <c r="N815">
        <v>9000079830</v>
      </c>
      <c r="O815" t="s">
        <v>187</v>
      </c>
      <c r="S815">
        <v>2507012387</v>
      </c>
      <c r="T815" t="s">
        <v>50</v>
      </c>
      <c r="U815" t="s">
        <v>122</v>
      </c>
      <c r="V815" t="s">
        <v>77</v>
      </c>
      <c r="W815" t="s">
        <v>78</v>
      </c>
      <c r="X815" t="s">
        <v>60</v>
      </c>
      <c r="Z815">
        <v>267</v>
      </c>
      <c r="AA815" t="s">
        <v>366</v>
      </c>
      <c r="AB815" t="s">
        <v>2127</v>
      </c>
      <c r="AC815">
        <v>2604000299</v>
      </c>
      <c r="AE815">
        <v>0</v>
      </c>
      <c r="AF815">
        <v>0</v>
      </c>
      <c r="AG815">
        <v>0</v>
      </c>
      <c r="AH815">
        <v>0</v>
      </c>
      <c r="AI815" t="s">
        <v>56</v>
      </c>
      <c r="AJ815">
        <v>4.42</v>
      </c>
      <c r="AK815">
        <v>0.9</v>
      </c>
      <c r="AL815">
        <v>0.15</v>
      </c>
      <c r="AM815">
        <v>29.1</v>
      </c>
      <c r="AN815">
        <v>1.54</v>
      </c>
      <c r="AO815">
        <v>0</v>
      </c>
      <c r="AP815">
        <v>0</v>
      </c>
      <c r="AQ815" t="s">
        <v>57</v>
      </c>
      <c r="AS815" t="s">
        <v>2128</v>
      </c>
      <c r="AT815" t="s">
        <v>2128</v>
      </c>
      <c r="AU815" t="s">
        <v>2127</v>
      </c>
      <c r="AV815" t="s">
        <v>1481</v>
      </c>
      <c r="AW815" t="s">
        <v>1482</v>
      </c>
      <c r="AZ815">
        <v>69630</v>
      </c>
      <c r="BA815" t="s">
        <v>1483</v>
      </c>
      <c r="BB815" t="s">
        <v>61</v>
      </c>
      <c r="BC815" t="s">
        <v>62</v>
      </c>
    </row>
    <row r="816" spans="1:55" x14ac:dyDescent="0.25">
      <c r="A816" s="1" t="str">
        <f>IF(COUNTIF(Catégories!A:A,X816)=0,"catégorie inconnue",_xlfn.XLOOKUP(X816,Catégories!A:A,Catégories!B:B))</f>
        <v>Frêt</v>
      </c>
      <c r="B816" s="1">
        <f t="shared" si="36"/>
        <v>7.0100000000000007</v>
      </c>
      <c r="C816" s="1">
        <f t="shared" si="37"/>
        <v>1.54</v>
      </c>
      <c r="D816" s="1">
        <f t="shared" si="38"/>
        <v>5.4700000000000006</v>
      </c>
      <c r="E816" s="20">
        <f>IF(AH816&lt;&gt;0,ROUNDUP(AH816,0),IF(BB816&lt;&gt;"FR","hors France",IF(AH816&lt;&gt;0,ROUNDUP(AH816,0),_xlfn.XLOOKUP(AJ816,'PA GLS'!B:B,'PA GLS'!A:A))))</f>
        <v>2</v>
      </c>
      <c r="F816">
        <v>2501382993</v>
      </c>
      <c r="G816">
        <v>1030350167</v>
      </c>
      <c r="H816" t="s">
        <v>366</v>
      </c>
      <c r="I816">
        <v>2500034092</v>
      </c>
      <c r="J816" t="s">
        <v>50</v>
      </c>
      <c r="K816">
        <v>9000009190</v>
      </c>
      <c r="L816">
        <v>46946</v>
      </c>
      <c r="M816" t="s">
        <v>51</v>
      </c>
      <c r="N816">
        <v>9000079830</v>
      </c>
      <c r="O816" t="s">
        <v>187</v>
      </c>
      <c r="S816">
        <v>2507012387</v>
      </c>
      <c r="T816" t="s">
        <v>50</v>
      </c>
      <c r="U816" t="s">
        <v>122</v>
      </c>
      <c r="V816" t="s">
        <v>77</v>
      </c>
      <c r="W816" t="s">
        <v>78</v>
      </c>
      <c r="X816" t="s">
        <v>60</v>
      </c>
      <c r="Z816">
        <v>267</v>
      </c>
      <c r="AA816" t="s">
        <v>366</v>
      </c>
      <c r="AB816" t="s">
        <v>2162</v>
      </c>
      <c r="AC816">
        <v>2604000294</v>
      </c>
      <c r="AE816">
        <v>0</v>
      </c>
      <c r="AF816">
        <v>0</v>
      </c>
      <c r="AG816">
        <v>0</v>
      </c>
      <c r="AH816">
        <v>0</v>
      </c>
      <c r="AI816" t="s">
        <v>56</v>
      </c>
      <c r="AJ816">
        <v>4.42</v>
      </c>
      <c r="AK816">
        <v>0.9</v>
      </c>
      <c r="AL816">
        <v>0.15</v>
      </c>
      <c r="AM816">
        <v>29.1</v>
      </c>
      <c r="AN816">
        <v>1.54</v>
      </c>
      <c r="AO816">
        <v>0</v>
      </c>
      <c r="AP816">
        <v>0</v>
      </c>
      <c r="AQ816" t="s">
        <v>57</v>
      </c>
      <c r="AS816" t="s">
        <v>2163</v>
      </c>
      <c r="AT816" t="s">
        <v>2163</v>
      </c>
      <c r="AU816" t="s">
        <v>2162</v>
      </c>
      <c r="AV816" t="s">
        <v>2164</v>
      </c>
      <c r="AW816" t="s">
        <v>2165</v>
      </c>
      <c r="AZ816">
        <v>94360</v>
      </c>
      <c r="BA816" t="s">
        <v>2166</v>
      </c>
      <c r="BB816" t="s">
        <v>61</v>
      </c>
      <c r="BC816" t="s">
        <v>62</v>
      </c>
    </row>
    <row r="817" spans="1:55" x14ac:dyDescent="0.25">
      <c r="A817" s="1" t="str">
        <f>IF(COUNTIF(Catégories!A:A,X817)=0,"catégorie inconnue",_xlfn.XLOOKUP(X817,Catégories!A:A,Catégories!B:B))</f>
        <v>Frêt</v>
      </c>
      <c r="B817" s="1">
        <f t="shared" si="36"/>
        <v>7.0100000000000007</v>
      </c>
      <c r="C817" s="1">
        <f t="shared" si="37"/>
        <v>1.54</v>
      </c>
      <c r="D817" s="1">
        <f t="shared" si="38"/>
        <v>5.4700000000000006</v>
      </c>
      <c r="E817" s="20">
        <f>IF(AH817&lt;&gt;0,ROUNDUP(AH817,0),IF(BB817&lt;&gt;"FR","hors France",IF(AH817&lt;&gt;0,ROUNDUP(AH817,0),_xlfn.XLOOKUP(AJ817,'PA GLS'!B:B,'PA GLS'!A:A))))</f>
        <v>2</v>
      </c>
      <c r="F817">
        <v>2501382993</v>
      </c>
      <c r="G817">
        <v>1030350167</v>
      </c>
      <c r="H817" t="s">
        <v>366</v>
      </c>
      <c r="I817">
        <v>2500034092</v>
      </c>
      <c r="J817" t="s">
        <v>50</v>
      </c>
      <c r="K817">
        <v>9000009190</v>
      </c>
      <c r="L817">
        <v>46946</v>
      </c>
      <c r="M817" t="s">
        <v>51</v>
      </c>
      <c r="N817">
        <v>9000079830</v>
      </c>
      <c r="O817" t="s">
        <v>187</v>
      </c>
      <c r="S817">
        <v>2507012387</v>
      </c>
      <c r="T817" t="s">
        <v>50</v>
      </c>
      <c r="U817" t="s">
        <v>122</v>
      </c>
      <c r="V817" t="s">
        <v>77</v>
      </c>
      <c r="W817" t="s">
        <v>78</v>
      </c>
      <c r="X817" t="s">
        <v>60</v>
      </c>
      <c r="Z817">
        <v>267</v>
      </c>
      <c r="AA817" t="s">
        <v>366</v>
      </c>
      <c r="AB817" t="s">
        <v>2167</v>
      </c>
      <c r="AC817">
        <v>2604000291</v>
      </c>
      <c r="AE817">
        <v>0</v>
      </c>
      <c r="AF817">
        <v>0</v>
      </c>
      <c r="AG817">
        <v>0</v>
      </c>
      <c r="AH817">
        <v>0</v>
      </c>
      <c r="AI817" t="s">
        <v>56</v>
      </c>
      <c r="AJ817">
        <v>4.42</v>
      </c>
      <c r="AK817">
        <v>0.9</v>
      </c>
      <c r="AL817">
        <v>0.15</v>
      </c>
      <c r="AM817">
        <v>29.1</v>
      </c>
      <c r="AN817">
        <v>1.54</v>
      </c>
      <c r="AO817">
        <v>0</v>
      </c>
      <c r="AP817">
        <v>0</v>
      </c>
      <c r="AQ817" t="s">
        <v>57</v>
      </c>
      <c r="AS817" t="s">
        <v>2168</v>
      </c>
      <c r="AT817" t="s">
        <v>2168</v>
      </c>
      <c r="AU817" t="s">
        <v>2167</v>
      </c>
      <c r="AV817" t="s">
        <v>2169</v>
      </c>
      <c r="AW817" t="s">
        <v>2170</v>
      </c>
      <c r="AZ817">
        <v>83120</v>
      </c>
      <c r="BA817" t="s">
        <v>2171</v>
      </c>
      <c r="BB817" t="s">
        <v>61</v>
      </c>
      <c r="BC817" t="s">
        <v>62</v>
      </c>
    </row>
    <row r="818" spans="1:55" x14ac:dyDescent="0.25">
      <c r="A818" s="1" t="str">
        <f>IF(COUNTIF(Catégories!A:A,X818)=0,"catégorie inconnue",_xlfn.XLOOKUP(X818,Catégories!A:A,Catégories!B:B))</f>
        <v>Frêt</v>
      </c>
      <c r="B818" s="1">
        <f t="shared" si="36"/>
        <v>7.0100000000000007</v>
      </c>
      <c r="C818" s="1">
        <f t="shared" si="37"/>
        <v>1.54</v>
      </c>
      <c r="D818" s="1">
        <f t="shared" si="38"/>
        <v>5.4700000000000006</v>
      </c>
      <c r="E818" s="20">
        <f>IF(AH818&lt;&gt;0,ROUNDUP(AH818,0),IF(BB818&lt;&gt;"FR","hors France",IF(AH818&lt;&gt;0,ROUNDUP(AH818,0),_xlfn.XLOOKUP(AJ818,'PA GLS'!B:B,'PA GLS'!A:A))))</f>
        <v>2</v>
      </c>
      <c r="F818">
        <v>2501382993</v>
      </c>
      <c r="G818">
        <v>1030350167</v>
      </c>
      <c r="H818" t="s">
        <v>366</v>
      </c>
      <c r="I818">
        <v>2500034092</v>
      </c>
      <c r="J818" t="s">
        <v>50</v>
      </c>
      <c r="K818">
        <v>9000009190</v>
      </c>
      <c r="L818">
        <v>46946</v>
      </c>
      <c r="M818" t="s">
        <v>51</v>
      </c>
      <c r="N818">
        <v>9000079830</v>
      </c>
      <c r="O818" t="s">
        <v>187</v>
      </c>
      <c r="S818">
        <v>2507012387</v>
      </c>
      <c r="T818" t="s">
        <v>50</v>
      </c>
      <c r="U818" t="s">
        <v>122</v>
      </c>
      <c r="V818" t="s">
        <v>77</v>
      </c>
      <c r="W818" t="s">
        <v>78</v>
      </c>
      <c r="X818" t="s">
        <v>60</v>
      </c>
      <c r="Z818">
        <v>267</v>
      </c>
      <c r="AA818" t="s">
        <v>366</v>
      </c>
      <c r="AB818" t="s">
        <v>2172</v>
      </c>
      <c r="AC818">
        <v>2604000290</v>
      </c>
      <c r="AE818">
        <v>0</v>
      </c>
      <c r="AF818">
        <v>0</v>
      </c>
      <c r="AG818">
        <v>0</v>
      </c>
      <c r="AH818">
        <v>0</v>
      </c>
      <c r="AI818" t="s">
        <v>56</v>
      </c>
      <c r="AJ818">
        <v>4.42</v>
      </c>
      <c r="AK818">
        <v>0.9</v>
      </c>
      <c r="AL818">
        <v>0.15</v>
      </c>
      <c r="AM818">
        <v>29.1</v>
      </c>
      <c r="AN818">
        <v>1.54</v>
      </c>
      <c r="AO818">
        <v>0</v>
      </c>
      <c r="AP818">
        <v>0</v>
      </c>
      <c r="AQ818" t="s">
        <v>57</v>
      </c>
      <c r="AS818" t="s">
        <v>2173</v>
      </c>
      <c r="AT818" t="s">
        <v>2173</v>
      </c>
      <c r="AU818" t="s">
        <v>2172</v>
      </c>
      <c r="AV818" t="s">
        <v>2164</v>
      </c>
      <c r="AW818" t="s">
        <v>2165</v>
      </c>
      <c r="AZ818">
        <v>94360</v>
      </c>
      <c r="BA818" t="s">
        <v>2166</v>
      </c>
      <c r="BB818" t="s">
        <v>61</v>
      </c>
      <c r="BC818" t="s">
        <v>62</v>
      </c>
    </row>
    <row r="819" spans="1:55" x14ac:dyDescent="0.25">
      <c r="A819" s="1" t="str">
        <f>IF(COUNTIF(Catégories!A:A,X819)=0,"catégorie inconnue",_xlfn.XLOOKUP(X819,Catégories!A:A,Catégories!B:B))</f>
        <v>Frêt</v>
      </c>
      <c r="B819" s="1">
        <f t="shared" si="36"/>
        <v>7.0100000000000007</v>
      </c>
      <c r="C819" s="1">
        <f t="shared" si="37"/>
        <v>1.54</v>
      </c>
      <c r="D819" s="1">
        <f t="shared" si="38"/>
        <v>5.4700000000000006</v>
      </c>
      <c r="E819" s="20">
        <f>IF(AH819&lt;&gt;0,ROUNDUP(AH819,0),IF(BB819&lt;&gt;"FR","hors France",IF(AH819&lt;&gt;0,ROUNDUP(AH819,0),_xlfn.XLOOKUP(AJ819,'PA GLS'!B:B,'PA GLS'!A:A))))</f>
        <v>2</v>
      </c>
      <c r="F819">
        <v>2501382993</v>
      </c>
      <c r="G819">
        <v>1030350167</v>
      </c>
      <c r="H819" t="s">
        <v>366</v>
      </c>
      <c r="I819">
        <v>2500034092</v>
      </c>
      <c r="J819" t="s">
        <v>50</v>
      </c>
      <c r="K819">
        <v>9000009190</v>
      </c>
      <c r="L819">
        <v>46946</v>
      </c>
      <c r="M819" t="s">
        <v>51</v>
      </c>
      <c r="N819">
        <v>9000079830</v>
      </c>
      <c r="O819" t="s">
        <v>187</v>
      </c>
      <c r="S819">
        <v>2507012387</v>
      </c>
      <c r="T819" t="s">
        <v>50</v>
      </c>
      <c r="U819" t="s">
        <v>122</v>
      </c>
      <c r="V819" t="s">
        <v>77</v>
      </c>
      <c r="W819" t="s">
        <v>78</v>
      </c>
      <c r="X819" t="s">
        <v>60</v>
      </c>
      <c r="Z819">
        <v>267</v>
      </c>
      <c r="AA819" t="s">
        <v>366</v>
      </c>
      <c r="AB819" t="s">
        <v>2174</v>
      </c>
      <c r="AC819">
        <v>2604000288</v>
      </c>
      <c r="AE819">
        <v>0</v>
      </c>
      <c r="AF819">
        <v>0</v>
      </c>
      <c r="AG819">
        <v>0</v>
      </c>
      <c r="AH819">
        <v>0</v>
      </c>
      <c r="AI819" t="s">
        <v>56</v>
      </c>
      <c r="AJ819">
        <v>4.42</v>
      </c>
      <c r="AK819">
        <v>0.9</v>
      </c>
      <c r="AL819">
        <v>0.15</v>
      </c>
      <c r="AM819">
        <v>29.1</v>
      </c>
      <c r="AN819">
        <v>1.54</v>
      </c>
      <c r="AO819">
        <v>0</v>
      </c>
      <c r="AP819">
        <v>0</v>
      </c>
      <c r="AQ819" t="s">
        <v>57</v>
      </c>
      <c r="AS819" t="s">
        <v>2175</v>
      </c>
      <c r="AT819" t="s">
        <v>2175</v>
      </c>
      <c r="AU819" t="s">
        <v>2174</v>
      </c>
      <c r="AV819" t="s">
        <v>2176</v>
      </c>
      <c r="AW819" t="s">
        <v>2177</v>
      </c>
      <c r="AZ819">
        <v>44120</v>
      </c>
      <c r="BA819" t="s">
        <v>403</v>
      </c>
      <c r="BB819" t="s">
        <v>61</v>
      </c>
      <c r="BC819" t="s">
        <v>62</v>
      </c>
    </row>
    <row r="820" spans="1:55" x14ac:dyDescent="0.25">
      <c r="A820" s="1" t="str">
        <f>IF(COUNTIF(Catégories!A:A,X820)=0,"catégorie inconnue",_xlfn.XLOOKUP(X820,Catégories!A:A,Catégories!B:B))</f>
        <v>Frêt</v>
      </c>
      <c r="B820" s="1">
        <f t="shared" si="36"/>
        <v>7.0100000000000007</v>
      </c>
      <c r="C820" s="1">
        <f t="shared" si="37"/>
        <v>1.54</v>
      </c>
      <c r="D820" s="1">
        <f t="shared" si="38"/>
        <v>5.4700000000000006</v>
      </c>
      <c r="E820" s="20">
        <f>IF(AH820&lt;&gt;0,ROUNDUP(AH820,0),IF(BB820&lt;&gt;"FR","hors France",IF(AH820&lt;&gt;0,ROUNDUP(AH820,0),_xlfn.XLOOKUP(AJ820,'PA GLS'!B:B,'PA GLS'!A:A))))</f>
        <v>2</v>
      </c>
      <c r="F820">
        <v>2501382993</v>
      </c>
      <c r="G820">
        <v>1030350167</v>
      </c>
      <c r="H820" t="s">
        <v>366</v>
      </c>
      <c r="I820">
        <v>2500034092</v>
      </c>
      <c r="J820" t="s">
        <v>50</v>
      </c>
      <c r="K820">
        <v>9000009190</v>
      </c>
      <c r="L820">
        <v>46946</v>
      </c>
      <c r="M820" t="s">
        <v>51</v>
      </c>
      <c r="N820">
        <v>9000079830</v>
      </c>
      <c r="O820" t="s">
        <v>187</v>
      </c>
      <c r="S820">
        <v>2507012387</v>
      </c>
      <c r="T820" t="s">
        <v>50</v>
      </c>
      <c r="U820" t="s">
        <v>122</v>
      </c>
      <c r="V820" t="s">
        <v>77</v>
      </c>
      <c r="W820" t="s">
        <v>78</v>
      </c>
      <c r="X820" t="s">
        <v>60</v>
      </c>
      <c r="Z820">
        <v>267</v>
      </c>
      <c r="AA820" t="s">
        <v>366</v>
      </c>
      <c r="AB820" t="s">
        <v>2178</v>
      </c>
      <c r="AC820">
        <v>2604000285</v>
      </c>
      <c r="AE820">
        <v>0</v>
      </c>
      <c r="AF820">
        <v>0</v>
      </c>
      <c r="AG820">
        <v>0</v>
      </c>
      <c r="AH820">
        <v>0</v>
      </c>
      <c r="AI820" t="s">
        <v>56</v>
      </c>
      <c r="AJ820">
        <v>4.42</v>
      </c>
      <c r="AK820">
        <v>0.9</v>
      </c>
      <c r="AL820">
        <v>0.15</v>
      </c>
      <c r="AM820">
        <v>29.1</v>
      </c>
      <c r="AN820">
        <v>1.54</v>
      </c>
      <c r="AO820">
        <v>0</v>
      </c>
      <c r="AP820">
        <v>0</v>
      </c>
      <c r="AQ820" t="s">
        <v>57</v>
      </c>
      <c r="AS820" t="s">
        <v>2179</v>
      </c>
      <c r="AT820" t="s">
        <v>2179</v>
      </c>
      <c r="AU820" t="s">
        <v>2178</v>
      </c>
      <c r="AV820" t="s">
        <v>2180</v>
      </c>
      <c r="AW820" t="s">
        <v>2181</v>
      </c>
      <c r="AZ820">
        <v>34230</v>
      </c>
      <c r="BA820" t="s">
        <v>2182</v>
      </c>
      <c r="BB820" t="s">
        <v>61</v>
      </c>
      <c r="BC820" t="s">
        <v>62</v>
      </c>
    </row>
    <row r="821" spans="1:55" x14ac:dyDescent="0.25">
      <c r="A821" s="1" t="str">
        <f>IF(COUNTIF(Catégories!A:A,X821)=0,"catégorie inconnue",_xlfn.XLOOKUP(X821,Catégories!A:A,Catégories!B:B))</f>
        <v>Frêt</v>
      </c>
      <c r="B821" s="1">
        <f t="shared" si="36"/>
        <v>7.0100000000000007</v>
      </c>
      <c r="C821" s="1">
        <f t="shared" si="37"/>
        <v>1.54</v>
      </c>
      <c r="D821" s="1">
        <f t="shared" si="38"/>
        <v>5.4700000000000006</v>
      </c>
      <c r="E821" s="20">
        <f>IF(AH821&lt;&gt;0,ROUNDUP(AH821,0),IF(BB821&lt;&gt;"FR","hors France",IF(AH821&lt;&gt;0,ROUNDUP(AH821,0),_xlfn.XLOOKUP(AJ821,'PA GLS'!B:B,'PA GLS'!A:A))))</f>
        <v>2</v>
      </c>
      <c r="F821">
        <v>2501382993</v>
      </c>
      <c r="G821">
        <v>1030350167</v>
      </c>
      <c r="H821" t="s">
        <v>366</v>
      </c>
      <c r="I821">
        <v>2500034092</v>
      </c>
      <c r="J821" t="s">
        <v>50</v>
      </c>
      <c r="K821">
        <v>9000009190</v>
      </c>
      <c r="L821">
        <v>46946</v>
      </c>
      <c r="M821" t="s">
        <v>51</v>
      </c>
      <c r="N821">
        <v>9000079830</v>
      </c>
      <c r="O821" t="s">
        <v>187</v>
      </c>
      <c r="S821">
        <v>2507012387</v>
      </c>
      <c r="T821" t="s">
        <v>50</v>
      </c>
      <c r="U821" t="s">
        <v>122</v>
      </c>
      <c r="V821" t="s">
        <v>77</v>
      </c>
      <c r="W821" t="s">
        <v>78</v>
      </c>
      <c r="X821" t="s">
        <v>60</v>
      </c>
      <c r="Z821">
        <v>267</v>
      </c>
      <c r="AA821" t="s">
        <v>366</v>
      </c>
      <c r="AB821" t="s">
        <v>2183</v>
      </c>
      <c r="AC821">
        <v>2604000261</v>
      </c>
      <c r="AE821">
        <v>0</v>
      </c>
      <c r="AF821">
        <v>0</v>
      </c>
      <c r="AG821">
        <v>0</v>
      </c>
      <c r="AH821">
        <v>0</v>
      </c>
      <c r="AI821" t="s">
        <v>56</v>
      </c>
      <c r="AJ821">
        <v>4.42</v>
      </c>
      <c r="AK821">
        <v>0.9</v>
      </c>
      <c r="AL821">
        <v>0.15</v>
      </c>
      <c r="AM821">
        <v>29.1</v>
      </c>
      <c r="AN821">
        <v>1.54</v>
      </c>
      <c r="AO821">
        <v>0</v>
      </c>
      <c r="AP821">
        <v>0</v>
      </c>
      <c r="AQ821" t="s">
        <v>57</v>
      </c>
      <c r="AS821" t="s">
        <v>2184</v>
      </c>
      <c r="AT821" t="s">
        <v>2184</v>
      </c>
      <c r="AU821" t="s">
        <v>2183</v>
      </c>
      <c r="AV821" t="s">
        <v>2185</v>
      </c>
      <c r="AW821" t="s">
        <v>2186</v>
      </c>
      <c r="AZ821">
        <v>75015</v>
      </c>
      <c r="BA821" t="s">
        <v>65</v>
      </c>
      <c r="BB821" t="s">
        <v>61</v>
      </c>
      <c r="BC821" t="s">
        <v>62</v>
      </c>
    </row>
    <row r="822" spans="1:55" x14ac:dyDescent="0.25">
      <c r="A822" s="1" t="str">
        <f>IF(COUNTIF(Catégories!A:A,X822)=0,"catégorie inconnue",_xlfn.XLOOKUP(X822,Catégories!A:A,Catégories!B:B))</f>
        <v>Frêt</v>
      </c>
      <c r="B822" s="1">
        <f t="shared" si="36"/>
        <v>7.0100000000000007</v>
      </c>
      <c r="C822" s="1">
        <f t="shared" si="37"/>
        <v>1.54</v>
      </c>
      <c r="D822" s="1">
        <f t="shared" si="38"/>
        <v>5.4700000000000006</v>
      </c>
      <c r="E822" s="20">
        <f>IF(AH822&lt;&gt;0,ROUNDUP(AH822,0),IF(BB822&lt;&gt;"FR","hors France",IF(AH822&lt;&gt;0,ROUNDUP(AH822,0),_xlfn.XLOOKUP(AJ822,'PA GLS'!B:B,'PA GLS'!A:A))))</f>
        <v>2</v>
      </c>
      <c r="F822">
        <v>2501382993</v>
      </c>
      <c r="G822">
        <v>1030350167</v>
      </c>
      <c r="H822" t="s">
        <v>366</v>
      </c>
      <c r="I822">
        <v>2500034092</v>
      </c>
      <c r="J822" t="s">
        <v>50</v>
      </c>
      <c r="K822">
        <v>9000009190</v>
      </c>
      <c r="L822">
        <v>46946</v>
      </c>
      <c r="M822" t="s">
        <v>51</v>
      </c>
      <c r="N822">
        <v>9000079830</v>
      </c>
      <c r="O822" t="s">
        <v>187</v>
      </c>
      <c r="S822">
        <v>2507012387</v>
      </c>
      <c r="T822" t="s">
        <v>50</v>
      </c>
      <c r="U822" t="s">
        <v>122</v>
      </c>
      <c r="V822" t="s">
        <v>77</v>
      </c>
      <c r="W822" t="s">
        <v>78</v>
      </c>
      <c r="X822" t="s">
        <v>60</v>
      </c>
      <c r="Z822">
        <v>267</v>
      </c>
      <c r="AA822" t="s">
        <v>366</v>
      </c>
      <c r="AB822" t="s">
        <v>2187</v>
      </c>
      <c r="AC822">
        <v>2604000253</v>
      </c>
      <c r="AE822">
        <v>0</v>
      </c>
      <c r="AF822">
        <v>0</v>
      </c>
      <c r="AG822">
        <v>0</v>
      </c>
      <c r="AH822">
        <v>0</v>
      </c>
      <c r="AI822" t="s">
        <v>56</v>
      </c>
      <c r="AJ822">
        <v>4.42</v>
      </c>
      <c r="AK822">
        <v>0.9</v>
      </c>
      <c r="AL822">
        <v>0.15</v>
      </c>
      <c r="AM822">
        <v>29.1</v>
      </c>
      <c r="AN822">
        <v>1.54</v>
      </c>
      <c r="AO822">
        <v>0</v>
      </c>
      <c r="AP822">
        <v>0</v>
      </c>
      <c r="AQ822" t="s">
        <v>57</v>
      </c>
      <c r="AS822" t="s">
        <v>2188</v>
      </c>
      <c r="AT822" t="s">
        <v>2188</v>
      </c>
      <c r="AU822" t="s">
        <v>2187</v>
      </c>
      <c r="AV822" t="s">
        <v>2189</v>
      </c>
      <c r="AW822" t="s">
        <v>2190</v>
      </c>
      <c r="AZ822">
        <v>44300</v>
      </c>
      <c r="BA822" t="s">
        <v>80</v>
      </c>
      <c r="BB822" t="s">
        <v>61</v>
      </c>
      <c r="BC822" t="s">
        <v>62</v>
      </c>
    </row>
    <row r="823" spans="1:55" x14ac:dyDescent="0.25">
      <c r="A823" s="1" t="str">
        <f>IF(COUNTIF(Catégories!A:A,X823)=0,"catégorie inconnue",_xlfn.XLOOKUP(X823,Catégories!A:A,Catégories!B:B))</f>
        <v>Frêt</v>
      </c>
      <c r="B823" s="1">
        <f t="shared" si="36"/>
        <v>7.0100000000000007</v>
      </c>
      <c r="C823" s="1">
        <f t="shared" si="37"/>
        <v>1.54</v>
      </c>
      <c r="D823" s="1">
        <f t="shared" si="38"/>
        <v>5.4700000000000006</v>
      </c>
      <c r="E823" s="20">
        <f>IF(AH823&lt;&gt;0,ROUNDUP(AH823,0),IF(BB823&lt;&gt;"FR","hors France",IF(AH823&lt;&gt;0,ROUNDUP(AH823,0),_xlfn.XLOOKUP(AJ823,'PA GLS'!B:B,'PA GLS'!A:A))))</f>
        <v>2</v>
      </c>
      <c r="F823">
        <v>2501382993</v>
      </c>
      <c r="G823">
        <v>1030350167</v>
      </c>
      <c r="H823" t="s">
        <v>366</v>
      </c>
      <c r="I823">
        <v>2500034092</v>
      </c>
      <c r="J823" t="s">
        <v>50</v>
      </c>
      <c r="K823">
        <v>9000009190</v>
      </c>
      <c r="L823">
        <v>46946</v>
      </c>
      <c r="M823" t="s">
        <v>51</v>
      </c>
      <c r="N823">
        <v>9000079830</v>
      </c>
      <c r="O823" t="s">
        <v>187</v>
      </c>
      <c r="S823">
        <v>2507012387</v>
      </c>
      <c r="T823" t="s">
        <v>50</v>
      </c>
      <c r="U823" t="s">
        <v>122</v>
      </c>
      <c r="V823" t="s">
        <v>63</v>
      </c>
      <c r="W823" t="s">
        <v>64</v>
      </c>
      <c r="X823" t="s">
        <v>60</v>
      </c>
      <c r="Z823">
        <v>266</v>
      </c>
      <c r="AA823" t="s">
        <v>366</v>
      </c>
      <c r="AB823" t="s">
        <v>2191</v>
      </c>
      <c r="AC823">
        <v>2604000292</v>
      </c>
      <c r="AE823">
        <v>0</v>
      </c>
      <c r="AF823">
        <v>0</v>
      </c>
      <c r="AG823">
        <v>0</v>
      </c>
      <c r="AH823">
        <v>0</v>
      </c>
      <c r="AI823" t="s">
        <v>56</v>
      </c>
      <c r="AJ823">
        <v>4.42</v>
      </c>
      <c r="AK823">
        <v>0.9</v>
      </c>
      <c r="AL823">
        <v>0.15</v>
      </c>
      <c r="AM823">
        <v>29.1</v>
      </c>
      <c r="AN823">
        <v>1.54</v>
      </c>
      <c r="AO823">
        <v>0</v>
      </c>
      <c r="AP823">
        <v>0</v>
      </c>
      <c r="AQ823" t="s">
        <v>57</v>
      </c>
      <c r="AS823" t="s">
        <v>2192</v>
      </c>
      <c r="AT823" t="s">
        <v>2192</v>
      </c>
      <c r="AU823" t="s">
        <v>2191</v>
      </c>
      <c r="AV823" t="s">
        <v>2193</v>
      </c>
      <c r="AW823" t="s">
        <v>2194</v>
      </c>
      <c r="AZ823">
        <v>35700</v>
      </c>
      <c r="BA823" t="s">
        <v>386</v>
      </c>
      <c r="BB823" t="s">
        <v>61</v>
      </c>
      <c r="BC823" t="s">
        <v>62</v>
      </c>
    </row>
    <row r="824" spans="1:55" x14ac:dyDescent="0.25">
      <c r="A824" s="1" t="str">
        <f>IF(COUNTIF(Catégories!A:A,X824)=0,"catégorie inconnue",_xlfn.XLOOKUP(X824,Catégories!A:A,Catégories!B:B))</f>
        <v>Frêt</v>
      </c>
      <c r="B824" s="1">
        <f t="shared" si="36"/>
        <v>7.0100000000000007</v>
      </c>
      <c r="C824" s="1">
        <f t="shared" si="37"/>
        <v>1.54</v>
      </c>
      <c r="D824" s="1">
        <f t="shared" si="38"/>
        <v>5.4700000000000006</v>
      </c>
      <c r="E824" s="20">
        <f>IF(AH824&lt;&gt;0,ROUNDUP(AH824,0),IF(BB824&lt;&gt;"FR","hors France",IF(AH824&lt;&gt;0,ROUNDUP(AH824,0),_xlfn.XLOOKUP(AJ824,'PA GLS'!B:B,'PA GLS'!A:A))))</f>
        <v>2</v>
      </c>
      <c r="F824">
        <v>2501382993</v>
      </c>
      <c r="G824">
        <v>1030350167</v>
      </c>
      <c r="H824" t="s">
        <v>366</v>
      </c>
      <c r="I824">
        <v>2500034092</v>
      </c>
      <c r="J824" t="s">
        <v>50</v>
      </c>
      <c r="K824">
        <v>9000009190</v>
      </c>
      <c r="L824">
        <v>46946</v>
      </c>
      <c r="M824" t="s">
        <v>51</v>
      </c>
      <c r="N824">
        <v>9000079830</v>
      </c>
      <c r="O824" t="s">
        <v>187</v>
      </c>
      <c r="S824">
        <v>2507012387</v>
      </c>
      <c r="T824" t="s">
        <v>50</v>
      </c>
      <c r="U824" t="s">
        <v>122</v>
      </c>
      <c r="V824" t="s">
        <v>63</v>
      </c>
      <c r="W824" t="s">
        <v>64</v>
      </c>
      <c r="X824" t="s">
        <v>60</v>
      </c>
      <c r="Z824">
        <v>266</v>
      </c>
      <c r="AA824" t="s">
        <v>366</v>
      </c>
      <c r="AB824" t="s">
        <v>2195</v>
      </c>
      <c r="AC824">
        <v>2604000287</v>
      </c>
      <c r="AE824">
        <v>0</v>
      </c>
      <c r="AF824">
        <v>0</v>
      </c>
      <c r="AG824">
        <v>0</v>
      </c>
      <c r="AH824">
        <v>0</v>
      </c>
      <c r="AI824" t="s">
        <v>56</v>
      </c>
      <c r="AJ824">
        <v>4.42</v>
      </c>
      <c r="AK824">
        <v>0.9</v>
      </c>
      <c r="AL824">
        <v>0.15</v>
      </c>
      <c r="AM824">
        <v>29.1</v>
      </c>
      <c r="AN824">
        <v>1.54</v>
      </c>
      <c r="AO824">
        <v>0</v>
      </c>
      <c r="AP824">
        <v>0</v>
      </c>
      <c r="AQ824" t="s">
        <v>57</v>
      </c>
      <c r="AS824" t="s">
        <v>2196</v>
      </c>
      <c r="AT824" t="s">
        <v>2196</v>
      </c>
      <c r="AU824" t="s">
        <v>2195</v>
      </c>
      <c r="AV824" t="s">
        <v>2197</v>
      </c>
      <c r="AW824" t="s">
        <v>2198</v>
      </c>
      <c r="AZ824">
        <v>74100</v>
      </c>
      <c r="BA824" t="s">
        <v>278</v>
      </c>
      <c r="BB824" t="s">
        <v>61</v>
      </c>
      <c r="BC824" t="s">
        <v>62</v>
      </c>
    </row>
    <row r="825" spans="1:55" x14ac:dyDescent="0.25">
      <c r="A825" s="1" t="str">
        <f>IF(COUNTIF(Catégories!A:A,X825)=0,"catégorie inconnue",_xlfn.XLOOKUP(X825,Catégories!A:A,Catégories!B:B))</f>
        <v>Frêt</v>
      </c>
      <c r="B825" s="1">
        <f t="shared" si="36"/>
        <v>7.0100000000000007</v>
      </c>
      <c r="C825" s="1">
        <f t="shared" si="37"/>
        <v>1.54</v>
      </c>
      <c r="D825" s="1">
        <f t="shared" si="38"/>
        <v>5.4700000000000006</v>
      </c>
      <c r="E825" s="20">
        <f>IF(AH825&lt;&gt;0,ROUNDUP(AH825,0),IF(BB825&lt;&gt;"FR","hors France",IF(AH825&lt;&gt;0,ROUNDUP(AH825,0),_xlfn.XLOOKUP(AJ825,'PA GLS'!B:B,'PA GLS'!A:A))))</f>
        <v>2</v>
      </c>
      <c r="F825">
        <v>2501382993</v>
      </c>
      <c r="G825">
        <v>1030350167</v>
      </c>
      <c r="H825" t="s">
        <v>366</v>
      </c>
      <c r="I825">
        <v>2500034092</v>
      </c>
      <c r="J825" t="s">
        <v>50</v>
      </c>
      <c r="K825">
        <v>9000009190</v>
      </c>
      <c r="L825">
        <v>46946</v>
      </c>
      <c r="M825" t="s">
        <v>51</v>
      </c>
      <c r="N825">
        <v>9000079830</v>
      </c>
      <c r="O825" t="s">
        <v>187</v>
      </c>
      <c r="S825">
        <v>2507012387</v>
      </c>
      <c r="T825" t="s">
        <v>50</v>
      </c>
      <c r="U825" t="s">
        <v>122</v>
      </c>
      <c r="V825" t="s">
        <v>63</v>
      </c>
      <c r="W825" t="s">
        <v>64</v>
      </c>
      <c r="X825" t="s">
        <v>60</v>
      </c>
      <c r="Z825">
        <v>266</v>
      </c>
      <c r="AA825" t="s">
        <v>366</v>
      </c>
      <c r="AB825" t="s">
        <v>2199</v>
      </c>
      <c r="AC825">
        <v>2604000284</v>
      </c>
      <c r="AE825">
        <v>0</v>
      </c>
      <c r="AF825">
        <v>0</v>
      </c>
      <c r="AG825">
        <v>0</v>
      </c>
      <c r="AH825">
        <v>0</v>
      </c>
      <c r="AI825" t="s">
        <v>56</v>
      </c>
      <c r="AJ825">
        <v>4.42</v>
      </c>
      <c r="AK825">
        <v>0.9</v>
      </c>
      <c r="AL825">
        <v>0.15</v>
      </c>
      <c r="AM825">
        <v>29.1</v>
      </c>
      <c r="AN825">
        <v>1.54</v>
      </c>
      <c r="AO825">
        <v>0</v>
      </c>
      <c r="AP825">
        <v>0</v>
      </c>
      <c r="AQ825" t="s">
        <v>57</v>
      </c>
      <c r="AS825" t="s">
        <v>2200</v>
      </c>
      <c r="AT825" t="s">
        <v>2200</v>
      </c>
      <c r="AU825" t="s">
        <v>2199</v>
      </c>
      <c r="AV825" t="s">
        <v>2201</v>
      </c>
      <c r="AW825" t="s">
        <v>2202</v>
      </c>
      <c r="AZ825">
        <v>93100</v>
      </c>
      <c r="BA825" t="s">
        <v>296</v>
      </c>
      <c r="BB825" t="s">
        <v>61</v>
      </c>
      <c r="BC825" t="s">
        <v>62</v>
      </c>
    </row>
    <row r="826" spans="1:55" x14ac:dyDescent="0.25">
      <c r="A826" s="1" t="str">
        <f>IF(COUNTIF(Catégories!A:A,X826)=0,"catégorie inconnue",_xlfn.XLOOKUP(X826,Catégories!A:A,Catégories!B:B))</f>
        <v>Frêt</v>
      </c>
      <c r="B826" s="1">
        <f t="shared" si="36"/>
        <v>7.0100000000000007</v>
      </c>
      <c r="C826" s="1">
        <f t="shared" si="37"/>
        <v>1.54</v>
      </c>
      <c r="D826" s="1">
        <f t="shared" si="38"/>
        <v>5.4700000000000006</v>
      </c>
      <c r="E826" s="20">
        <f>IF(AH826&lt;&gt;0,ROUNDUP(AH826,0),IF(BB826&lt;&gt;"FR","hors France",IF(AH826&lt;&gt;0,ROUNDUP(AH826,0),_xlfn.XLOOKUP(AJ826,'PA GLS'!B:B,'PA GLS'!A:A))))</f>
        <v>2</v>
      </c>
      <c r="F826">
        <v>2501382993</v>
      </c>
      <c r="G826">
        <v>1030350167</v>
      </c>
      <c r="H826" t="s">
        <v>366</v>
      </c>
      <c r="I826">
        <v>2500034092</v>
      </c>
      <c r="J826" t="s">
        <v>50</v>
      </c>
      <c r="K826">
        <v>9000009190</v>
      </c>
      <c r="L826">
        <v>46946</v>
      </c>
      <c r="M826" t="s">
        <v>51</v>
      </c>
      <c r="N826">
        <v>9000079830</v>
      </c>
      <c r="O826" t="s">
        <v>187</v>
      </c>
      <c r="S826">
        <v>2507012387</v>
      </c>
      <c r="T826" t="s">
        <v>50</v>
      </c>
      <c r="U826" t="s">
        <v>122</v>
      </c>
      <c r="V826" t="s">
        <v>63</v>
      </c>
      <c r="W826" t="s">
        <v>64</v>
      </c>
      <c r="X826" t="s">
        <v>60</v>
      </c>
      <c r="Z826">
        <v>266</v>
      </c>
      <c r="AA826" t="s">
        <v>366</v>
      </c>
      <c r="AB826" t="s">
        <v>2203</v>
      </c>
      <c r="AC826">
        <v>2604000283</v>
      </c>
      <c r="AE826">
        <v>0</v>
      </c>
      <c r="AF826">
        <v>0</v>
      </c>
      <c r="AG826">
        <v>0</v>
      </c>
      <c r="AH826">
        <v>0</v>
      </c>
      <c r="AI826" t="s">
        <v>56</v>
      </c>
      <c r="AJ826">
        <v>4.42</v>
      </c>
      <c r="AK826">
        <v>0.9</v>
      </c>
      <c r="AL826">
        <v>0.15</v>
      </c>
      <c r="AM826">
        <v>29.1</v>
      </c>
      <c r="AN826">
        <v>1.54</v>
      </c>
      <c r="AO826">
        <v>0</v>
      </c>
      <c r="AP826">
        <v>0</v>
      </c>
      <c r="AQ826" t="s">
        <v>57</v>
      </c>
      <c r="AS826" t="s">
        <v>2204</v>
      </c>
      <c r="AT826" t="s">
        <v>2204</v>
      </c>
      <c r="AU826" t="s">
        <v>2203</v>
      </c>
      <c r="AV826" t="s">
        <v>2205</v>
      </c>
      <c r="AW826" t="s">
        <v>2206</v>
      </c>
      <c r="AZ826">
        <v>75116</v>
      </c>
      <c r="BA826" t="s">
        <v>65</v>
      </c>
      <c r="BB826" t="s">
        <v>61</v>
      </c>
      <c r="BC826" t="s">
        <v>62</v>
      </c>
    </row>
    <row r="827" spans="1:55" x14ac:dyDescent="0.25">
      <c r="A827" s="1" t="str">
        <f>IF(COUNTIF(Catégories!A:A,X827)=0,"catégorie inconnue",_xlfn.XLOOKUP(X827,Catégories!A:A,Catégories!B:B))</f>
        <v>Frêt</v>
      </c>
      <c r="B827" s="1">
        <f t="shared" si="36"/>
        <v>7.0100000000000007</v>
      </c>
      <c r="C827" s="1">
        <f t="shared" si="37"/>
        <v>1.54</v>
      </c>
      <c r="D827" s="1">
        <f t="shared" si="38"/>
        <v>5.4700000000000006</v>
      </c>
      <c r="E827" s="20">
        <f>IF(AH827&lt;&gt;0,ROUNDUP(AH827,0),IF(BB827&lt;&gt;"FR","hors France",IF(AH827&lt;&gt;0,ROUNDUP(AH827,0),_xlfn.XLOOKUP(AJ827,'PA GLS'!B:B,'PA GLS'!A:A))))</f>
        <v>2</v>
      </c>
      <c r="F827">
        <v>2501382993</v>
      </c>
      <c r="G827">
        <v>1030350167</v>
      </c>
      <c r="H827" t="s">
        <v>366</v>
      </c>
      <c r="I827">
        <v>2500034092</v>
      </c>
      <c r="J827" t="s">
        <v>50</v>
      </c>
      <c r="K827">
        <v>9000009190</v>
      </c>
      <c r="L827">
        <v>46946</v>
      </c>
      <c r="M827" t="s">
        <v>51</v>
      </c>
      <c r="N827">
        <v>9000079830</v>
      </c>
      <c r="O827" t="s">
        <v>187</v>
      </c>
      <c r="S827">
        <v>2507012387</v>
      </c>
      <c r="T827" t="s">
        <v>50</v>
      </c>
      <c r="U827" t="s">
        <v>122</v>
      </c>
      <c r="V827" t="s">
        <v>63</v>
      </c>
      <c r="W827" t="s">
        <v>64</v>
      </c>
      <c r="X827" t="s">
        <v>60</v>
      </c>
      <c r="Z827">
        <v>266</v>
      </c>
      <c r="AA827" t="s">
        <v>366</v>
      </c>
      <c r="AB827" t="s">
        <v>2207</v>
      </c>
      <c r="AC827">
        <v>2604000282</v>
      </c>
      <c r="AE827">
        <v>0</v>
      </c>
      <c r="AF827">
        <v>0</v>
      </c>
      <c r="AG827">
        <v>0</v>
      </c>
      <c r="AH827">
        <v>0</v>
      </c>
      <c r="AI827" t="s">
        <v>56</v>
      </c>
      <c r="AJ827">
        <v>4.42</v>
      </c>
      <c r="AK827">
        <v>0.9</v>
      </c>
      <c r="AL827">
        <v>0.15</v>
      </c>
      <c r="AM827">
        <v>29.1</v>
      </c>
      <c r="AN827">
        <v>1.54</v>
      </c>
      <c r="AO827">
        <v>0</v>
      </c>
      <c r="AP827">
        <v>0</v>
      </c>
      <c r="AQ827" t="s">
        <v>57</v>
      </c>
      <c r="AS827" t="s">
        <v>2208</v>
      </c>
      <c r="AT827" t="s">
        <v>2208</v>
      </c>
      <c r="AU827" t="s">
        <v>2207</v>
      </c>
      <c r="AV827" t="s">
        <v>2209</v>
      </c>
      <c r="AW827" t="s">
        <v>2210</v>
      </c>
      <c r="AZ827">
        <v>78400</v>
      </c>
      <c r="BA827" t="s">
        <v>2211</v>
      </c>
      <c r="BB827" t="s">
        <v>61</v>
      </c>
      <c r="BC827" t="s">
        <v>62</v>
      </c>
    </row>
    <row r="828" spans="1:55" x14ac:dyDescent="0.25">
      <c r="A828" s="1" t="str">
        <f>IF(COUNTIF(Catégories!A:A,X828)=0,"catégorie inconnue",_xlfn.XLOOKUP(X828,Catégories!A:A,Catégories!B:B))</f>
        <v>Frêt</v>
      </c>
      <c r="B828" s="1">
        <f t="shared" si="36"/>
        <v>7.0100000000000007</v>
      </c>
      <c r="C828" s="1">
        <f t="shared" si="37"/>
        <v>1.54</v>
      </c>
      <c r="D828" s="1">
        <f t="shared" si="38"/>
        <v>5.4700000000000006</v>
      </c>
      <c r="E828" s="20">
        <f>IF(AH828&lt;&gt;0,ROUNDUP(AH828,0),IF(BB828&lt;&gt;"FR","hors France",IF(AH828&lt;&gt;0,ROUNDUP(AH828,0),_xlfn.XLOOKUP(AJ828,'PA GLS'!B:B,'PA GLS'!A:A))))</f>
        <v>2</v>
      </c>
      <c r="F828">
        <v>2501382993</v>
      </c>
      <c r="G828">
        <v>1030350167</v>
      </c>
      <c r="H828" t="s">
        <v>366</v>
      </c>
      <c r="I828">
        <v>2500034092</v>
      </c>
      <c r="J828" t="s">
        <v>50</v>
      </c>
      <c r="K828">
        <v>9000009190</v>
      </c>
      <c r="L828">
        <v>46946</v>
      </c>
      <c r="M828" t="s">
        <v>51</v>
      </c>
      <c r="N828">
        <v>9000079830</v>
      </c>
      <c r="O828" t="s">
        <v>187</v>
      </c>
      <c r="S828">
        <v>2507012387</v>
      </c>
      <c r="T828" t="s">
        <v>50</v>
      </c>
      <c r="U828" t="s">
        <v>122</v>
      </c>
      <c r="V828" t="s">
        <v>63</v>
      </c>
      <c r="W828" t="s">
        <v>64</v>
      </c>
      <c r="X828" t="s">
        <v>60</v>
      </c>
      <c r="Z828">
        <v>266</v>
      </c>
      <c r="AA828" t="s">
        <v>366</v>
      </c>
      <c r="AB828" t="s">
        <v>2212</v>
      </c>
      <c r="AC828">
        <v>2604000281</v>
      </c>
      <c r="AE828">
        <v>0</v>
      </c>
      <c r="AF828">
        <v>0</v>
      </c>
      <c r="AG828">
        <v>0</v>
      </c>
      <c r="AH828">
        <v>0</v>
      </c>
      <c r="AI828" t="s">
        <v>56</v>
      </c>
      <c r="AJ828">
        <v>4.42</v>
      </c>
      <c r="AK828">
        <v>0.9</v>
      </c>
      <c r="AL828">
        <v>0.15</v>
      </c>
      <c r="AM828">
        <v>29.1</v>
      </c>
      <c r="AN828">
        <v>1.54</v>
      </c>
      <c r="AO828">
        <v>0</v>
      </c>
      <c r="AP828">
        <v>0</v>
      </c>
      <c r="AQ828" t="s">
        <v>57</v>
      </c>
      <c r="AS828" t="s">
        <v>2213</v>
      </c>
      <c r="AT828" t="s">
        <v>2213</v>
      </c>
      <c r="AU828" t="s">
        <v>2212</v>
      </c>
      <c r="AV828" t="s">
        <v>2214</v>
      </c>
      <c r="AW828" t="s">
        <v>2215</v>
      </c>
      <c r="AZ828">
        <v>69003</v>
      </c>
      <c r="BA828" t="s">
        <v>151</v>
      </c>
      <c r="BB828" t="s">
        <v>61</v>
      </c>
      <c r="BC828" t="s">
        <v>62</v>
      </c>
    </row>
    <row r="829" spans="1:55" x14ac:dyDescent="0.25">
      <c r="A829" s="1" t="str">
        <f>IF(COUNTIF(Catégories!A:A,X829)=0,"catégorie inconnue",_xlfn.XLOOKUP(X829,Catégories!A:A,Catégories!B:B))</f>
        <v>Frêt</v>
      </c>
      <c r="B829" s="1">
        <f t="shared" si="36"/>
        <v>7.0100000000000007</v>
      </c>
      <c r="C829" s="1">
        <f t="shared" si="37"/>
        <v>1.54</v>
      </c>
      <c r="D829" s="1">
        <f t="shared" si="38"/>
        <v>5.4700000000000006</v>
      </c>
      <c r="E829" s="20">
        <f>IF(AH829&lt;&gt;0,ROUNDUP(AH829,0),IF(BB829&lt;&gt;"FR","hors France",IF(AH829&lt;&gt;0,ROUNDUP(AH829,0),_xlfn.XLOOKUP(AJ829,'PA GLS'!B:B,'PA GLS'!A:A))))</f>
        <v>2</v>
      </c>
      <c r="F829">
        <v>2501382993</v>
      </c>
      <c r="G829">
        <v>1030350167</v>
      </c>
      <c r="H829" t="s">
        <v>366</v>
      </c>
      <c r="I829">
        <v>2500034092</v>
      </c>
      <c r="J829" t="s">
        <v>50</v>
      </c>
      <c r="K829">
        <v>9000009190</v>
      </c>
      <c r="L829">
        <v>46946</v>
      </c>
      <c r="M829" t="s">
        <v>51</v>
      </c>
      <c r="N829">
        <v>9000079830</v>
      </c>
      <c r="O829" t="s">
        <v>187</v>
      </c>
      <c r="S829">
        <v>2507012387</v>
      </c>
      <c r="T829" t="s">
        <v>50</v>
      </c>
      <c r="U829" t="s">
        <v>122</v>
      </c>
      <c r="V829" t="s">
        <v>63</v>
      </c>
      <c r="W829" t="s">
        <v>64</v>
      </c>
      <c r="X829" t="s">
        <v>60</v>
      </c>
      <c r="Z829">
        <v>266</v>
      </c>
      <c r="AA829" t="s">
        <v>366</v>
      </c>
      <c r="AB829" t="s">
        <v>2216</v>
      </c>
      <c r="AC829">
        <v>2604000280</v>
      </c>
      <c r="AE829">
        <v>0</v>
      </c>
      <c r="AF829">
        <v>0</v>
      </c>
      <c r="AG829">
        <v>0</v>
      </c>
      <c r="AH829">
        <v>0</v>
      </c>
      <c r="AI829" t="s">
        <v>56</v>
      </c>
      <c r="AJ829">
        <v>4.42</v>
      </c>
      <c r="AK829">
        <v>0.9</v>
      </c>
      <c r="AL829">
        <v>0.15</v>
      </c>
      <c r="AM829">
        <v>29.1</v>
      </c>
      <c r="AN829">
        <v>1.54</v>
      </c>
      <c r="AO829">
        <v>0</v>
      </c>
      <c r="AP829">
        <v>0</v>
      </c>
      <c r="AQ829" t="s">
        <v>57</v>
      </c>
      <c r="AS829" t="s">
        <v>2217</v>
      </c>
      <c r="AT829" t="s">
        <v>2217</v>
      </c>
      <c r="AU829" t="s">
        <v>2216</v>
      </c>
      <c r="AV829" t="s">
        <v>2218</v>
      </c>
      <c r="AW829" t="s">
        <v>2219</v>
      </c>
      <c r="AZ829">
        <v>59000</v>
      </c>
      <c r="BA829" t="s">
        <v>264</v>
      </c>
      <c r="BB829" t="s">
        <v>61</v>
      </c>
      <c r="BC829" t="s">
        <v>62</v>
      </c>
    </row>
    <row r="830" spans="1:55" x14ac:dyDescent="0.25">
      <c r="A830" s="1" t="str">
        <f>IF(COUNTIF(Catégories!A:A,X830)=0,"catégorie inconnue",_xlfn.XLOOKUP(X830,Catégories!A:A,Catégories!B:B))</f>
        <v>Frêt</v>
      </c>
      <c r="B830" s="1">
        <f t="shared" si="36"/>
        <v>7.0100000000000007</v>
      </c>
      <c r="C830" s="1">
        <f t="shared" si="37"/>
        <v>1.54</v>
      </c>
      <c r="D830" s="1">
        <f t="shared" si="38"/>
        <v>5.4700000000000006</v>
      </c>
      <c r="E830" s="20">
        <f>IF(AH830&lt;&gt;0,ROUNDUP(AH830,0),IF(BB830&lt;&gt;"FR","hors France",IF(AH830&lt;&gt;0,ROUNDUP(AH830,0),_xlfn.XLOOKUP(AJ830,'PA GLS'!B:B,'PA GLS'!A:A))))</f>
        <v>2</v>
      </c>
      <c r="F830">
        <v>2501382993</v>
      </c>
      <c r="G830">
        <v>1030350167</v>
      </c>
      <c r="H830" t="s">
        <v>366</v>
      </c>
      <c r="I830">
        <v>2500034092</v>
      </c>
      <c r="J830" t="s">
        <v>50</v>
      </c>
      <c r="K830">
        <v>9000009190</v>
      </c>
      <c r="L830">
        <v>46946</v>
      </c>
      <c r="M830" t="s">
        <v>51</v>
      </c>
      <c r="N830">
        <v>9000079830</v>
      </c>
      <c r="O830" t="s">
        <v>187</v>
      </c>
      <c r="S830">
        <v>2507012387</v>
      </c>
      <c r="T830" t="s">
        <v>50</v>
      </c>
      <c r="U830" t="s">
        <v>122</v>
      </c>
      <c r="V830" t="s">
        <v>63</v>
      </c>
      <c r="W830" t="s">
        <v>64</v>
      </c>
      <c r="X830" t="s">
        <v>60</v>
      </c>
      <c r="Z830">
        <v>266</v>
      </c>
      <c r="AA830" t="s">
        <v>366</v>
      </c>
      <c r="AB830" t="s">
        <v>2220</v>
      </c>
      <c r="AC830">
        <v>2604000279</v>
      </c>
      <c r="AE830">
        <v>0</v>
      </c>
      <c r="AF830">
        <v>0</v>
      </c>
      <c r="AG830">
        <v>0</v>
      </c>
      <c r="AH830">
        <v>0</v>
      </c>
      <c r="AI830" t="s">
        <v>56</v>
      </c>
      <c r="AJ830">
        <v>4.42</v>
      </c>
      <c r="AK830">
        <v>0.9</v>
      </c>
      <c r="AL830">
        <v>0.15</v>
      </c>
      <c r="AM830">
        <v>29.1</v>
      </c>
      <c r="AN830">
        <v>1.54</v>
      </c>
      <c r="AO830">
        <v>0</v>
      </c>
      <c r="AP830">
        <v>0</v>
      </c>
      <c r="AQ830" t="s">
        <v>57</v>
      </c>
      <c r="AS830" t="s">
        <v>2221</v>
      </c>
      <c r="AT830" t="s">
        <v>2221</v>
      </c>
      <c r="AU830" t="s">
        <v>2220</v>
      </c>
      <c r="AV830" t="s">
        <v>2222</v>
      </c>
      <c r="AW830" t="s">
        <v>2223</v>
      </c>
      <c r="AZ830">
        <v>17200</v>
      </c>
      <c r="BA830" t="s">
        <v>2224</v>
      </c>
      <c r="BB830" t="s">
        <v>61</v>
      </c>
      <c r="BC830" t="s">
        <v>62</v>
      </c>
    </row>
    <row r="831" spans="1:55" x14ac:dyDescent="0.25">
      <c r="A831" s="1" t="str">
        <f>IF(COUNTIF(Catégories!A:A,X831)=0,"catégorie inconnue",_xlfn.XLOOKUP(X831,Catégories!A:A,Catégories!B:B))</f>
        <v>Frêt</v>
      </c>
      <c r="B831" s="1">
        <f t="shared" si="36"/>
        <v>7.0100000000000007</v>
      </c>
      <c r="C831" s="1">
        <f t="shared" si="37"/>
        <v>1.54</v>
      </c>
      <c r="D831" s="1">
        <f t="shared" si="38"/>
        <v>5.4700000000000006</v>
      </c>
      <c r="E831" s="20">
        <f>IF(AH831&lt;&gt;0,ROUNDUP(AH831,0),IF(BB831&lt;&gt;"FR","hors France",IF(AH831&lt;&gt;0,ROUNDUP(AH831,0),_xlfn.XLOOKUP(AJ831,'PA GLS'!B:B,'PA GLS'!A:A))))</f>
        <v>2</v>
      </c>
      <c r="F831">
        <v>2501382993</v>
      </c>
      <c r="G831">
        <v>1030350167</v>
      </c>
      <c r="H831" t="s">
        <v>366</v>
      </c>
      <c r="I831">
        <v>2500034092</v>
      </c>
      <c r="J831" t="s">
        <v>50</v>
      </c>
      <c r="K831">
        <v>9000009190</v>
      </c>
      <c r="L831">
        <v>46946</v>
      </c>
      <c r="M831" t="s">
        <v>51</v>
      </c>
      <c r="N831">
        <v>9000079830</v>
      </c>
      <c r="O831" t="s">
        <v>187</v>
      </c>
      <c r="S831">
        <v>2507012387</v>
      </c>
      <c r="T831" t="s">
        <v>50</v>
      </c>
      <c r="U831" t="s">
        <v>122</v>
      </c>
      <c r="V831" t="s">
        <v>63</v>
      </c>
      <c r="W831" t="s">
        <v>64</v>
      </c>
      <c r="X831" t="s">
        <v>60</v>
      </c>
      <c r="Z831">
        <v>266</v>
      </c>
      <c r="AA831" t="s">
        <v>366</v>
      </c>
      <c r="AB831" t="s">
        <v>2225</v>
      </c>
      <c r="AC831">
        <v>2604000278</v>
      </c>
      <c r="AE831">
        <v>0</v>
      </c>
      <c r="AF831">
        <v>0</v>
      </c>
      <c r="AG831">
        <v>0</v>
      </c>
      <c r="AH831">
        <v>0</v>
      </c>
      <c r="AI831" t="s">
        <v>56</v>
      </c>
      <c r="AJ831">
        <v>4.42</v>
      </c>
      <c r="AK831">
        <v>0.9</v>
      </c>
      <c r="AL831">
        <v>0.15</v>
      </c>
      <c r="AM831">
        <v>29.1</v>
      </c>
      <c r="AN831">
        <v>1.54</v>
      </c>
      <c r="AO831">
        <v>0</v>
      </c>
      <c r="AP831">
        <v>0</v>
      </c>
      <c r="AQ831" t="s">
        <v>57</v>
      </c>
      <c r="AS831" t="s">
        <v>2226</v>
      </c>
      <c r="AT831" t="s">
        <v>2226</v>
      </c>
      <c r="AU831" t="s">
        <v>2225</v>
      </c>
      <c r="AV831" t="s">
        <v>2227</v>
      </c>
      <c r="AW831" t="s">
        <v>2228</v>
      </c>
      <c r="AZ831">
        <v>33200</v>
      </c>
      <c r="BA831" t="s">
        <v>228</v>
      </c>
      <c r="BB831" t="s">
        <v>61</v>
      </c>
      <c r="BC831" t="s">
        <v>62</v>
      </c>
    </row>
    <row r="832" spans="1:55" x14ac:dyDescent="0.25">
      <c r="A832" s="1" t="str">
        <f>IF(COUNTIF(Catégories!A:A,X832)=0,"catégorie inconnue",_xlfn.XLOOKUP(X832,Catégories!A:A,Catégories!B:B))</f>
        <v>Frêt</v>
      </c>
      <c r="B832" s="1">
        <f t="shared" si="36"/>
        <v>7.0100000000000007</v>
      </c>
      <c r="C832" s="1">
        <f t="shared" si="37"/>
        <v>1.54</v>
      </c>
      <c r="D832" s="1">
        <f t="shared" si="38"/>
        <v>5.4700000000000006</v>
      </c>
      <c r="E832" s="20">
        <f>IF(AH832&lt;&gt;0,ROUNDUP(AH832,0),IF(BB832&lt;&gt;"FR","hors France",IF(AH832&lt;&gt;0,ROUNDUP(AH832,0),_xlfn.XLOOKUP(AJ832,'PA GLS'!B:B,'PA GLS'!A:A))))</f>
        <v>2</v>
      </c>
      <c r="F832">
        <v>2501382993</v>
      </c>
      <c r="G832">
        <v>1030350167</v>
      </c>
      <c r="H832" t="s">
        <v>366</v>
      </c>
      <c r="I832">
        <v>2500034092</v>
      </c>
      <c r="J832" t="s">
        <v>50</v>
      </c>
      <c r="K832">
        <v>9000009190</v>
      </c>
      <c r="L832">
        <v>46946</v>
      </c>
      <c r="M832" t="s">
        <v>51</v>
      </c>
      <c r="N832">
        <v>9000079830</v>
      </c>
      <c r="O832" t="s">
        <v>187</v>
      </c>
      <c r="S832">
        <v>2507012387</v>
      </c>
      <c r="T832" t="s">
        <v>50</v>
      </c>
      <c r="U832" t="s">
        <v>122</v>
      </c>
      <c r="V832" t="s">
        <v>63</v>
      </c>
      <c r="W832" t="s">
        <v>64</v>
      </c>
      <c r="X832" t="s">
        <v>60</v>
      </c>
      <c r="Z832">
        <v>266</v>
      </c>
      <c r="AA832" t="s">
        <v>366</v>
      </c>
      <c r="AB832" t="s">
        <v>2229</v>
      </c>
      <c r="AC832">
        <v>2604000277</v>
      </c>
      <c r="AE832">
        <v>0</v>
      </c>
      <c r="AF832">
        <v>0</v>
      </c>
      <c r="AG832">
        <v>0</v>
      </c>
      <c r="AH832">
        <v>0</v>
      </c>
      <c r="AI832" t="s">
        <v>56</v>
      </c>
      <c r="AJ832">
        <v>4.42</v>
      </c>
      <c r="AK832">
        <v>0.9</v>
      </c>
      <c r="AL832">
        <v>0.15</v>
      </c>
      <c r="AM832">
        <v>29.1</v>
      </c>
      <c r="AN832">
        <v>1.54</v>
      </c>
      <c r="AO832">
        <v>0</v>
      </c>
      <c r="AP832">
        <v>0</v>
      </c>
      <c r="AQ832" t="s">
        <v>57</v>
      </c>
      <c r="AS832" t="s">
        <v>2230</v>
      </c>
      <c r="AT832" t="s">
        <v>2230</v>
      </c>
      <c r="AU832" t="s">
        <v>2229</v>
      </c>
      <c r="AV832" t="s">
        <v>2231</v>
      </c>
      <c r="AW832" t="s">
        <v>2232</v>
      </c>
      <c r="AZ832">
        <v>59110</v>
      </c>
      <c r="BA832" t="s">
        <v>2233</v>
      </c>
      <c r="BB832" t="s">
        <v>61</v>
      </c>
      <c r="BC832" t="s">
        <v>62</v>
      </c>
    </row>
    <row r="833" spans="1:55" x14ac:dyDescent="0.25">
      <c r="A833" s="1" t="str">
        <f>IF(COUNTIF(Catégories!A:A,X833)=0,"catégorie inconnue",_xlfn.XLOOKUP(X833,Catégories!A:A,Catégories!B:B))</f>
        <v>Frêt</v>
      </c>
      <c r="B833" s="1">
        <f t="shared" si="36"/>
        <v>7.0100000000000007</v>
      </c>
      <c r="C833" s="1">
        <f t="shared" si="37"/>
        <v>1.54</v>
      </c>
      <c r="D833" s="1">
        <f t="shared" si="38"/>
        <v>5.4700000000000006</v>
      </c>
      <c r="E833" s="20">
        <f>IF(AH833&lt;&gt;0,ROUNDUP(AH833,0),IF(BB833&lt;&gt;"FR","hors France",IF(AH833&lt;&gt;0,ROUNDUP(AH833,0),_xlfn.XLOOKUP(AJ833,'PA GLS'!B:B,'PA GLS'!A:A))))</f>
        <v>2</v>
      </c>
      <c r="F833">
        <v>2501382993</v>
      </c>
      <c r="G833">
        <v>1030350167</v>
      </c>
      <c r="H833" t="s">
        <v>366</v>
      </c>
      <c r="I833">
        <v>2500034092</v>
      </c>
      <c r="J833" t="s">
        <v>50</v>
      </c>
      <c r="K833">
        <v>9000009190</v>
      </c>
      <c r="L833">
        <v>46946</v>
      </c>
      <c r="M833" t="s">
        <v>51</v>
      </c>
      <c r="N833">
        <v>9000079830</v>
      </c>
      <c r="O833" t="s">
        <v>187</v>
      </c>
      <c r="S833">
        <v>2507012387</v>
      </c>
      <c r="T833" t="s">
        <v>50</v>
      </c>
      <c r="U833" t="s">
        <v>122</v>
      </c>
      <c r="V833" t="s">
        <v>63</v>
      </c>
      <c r="W833" t="s">
        <v>64</v>
      </c>
      <c r="X833" t="s">
        <v>60</v>
      </c>
      <c r="Z833">
        <v>266</v>
      </c>
      <c r="AA833" t="s">
        <v>366</v>
      </c>
      <c r="AB833" t="s">
        <v>2234</v>
      </c>
      <c r="AC833">
        <v>2604000276</v>
      </c>
      <c r="AE833">
        <v>0</v>
      </c>
      <c r="AF833">
        <v>0</v>
      </c>
      <c r="AG833">
        <v>0</v>
      </c>
      <c r="AH833">
        <v>0</v>
      </c>
      <c r="AI833" t="s">
        <v>56</v>
      </c>
      <c r="AJ833">
        <v>4.42</v>
      </c>
      <c r="AK833">
        <v>0.9</v>
      </c>
      <c r="AL833">
        <v>0.15</v>
      </c>
      <c r="AM833">
        <v>29.1</v>
      </c>
      <c r="AN833">
        <v>1.54</v>
      </c>
      <c r="AO833">
        <v>0</v>
      </c>
      <c r="AP833">
        <v>0</v>
      </c>
      <c r="AQ833" t="s">
        <v>57</v>
      </c>
      <c r="AS833" t="s">
        <v>2235</v>
      </c>
      <c r="AT833" t="s">
        <v>2235</v>
      </c>
      <c r="AU833" t="s">
        <v>2234</v>
      </c>
      <c r="AV833" t="s">
        <v>2236</v>
      </c>
      <c r="AW833" t="s">
        <v>2237</v>
      </c>
      <c r="AZ833">
        <v>76860</v>
      </c>
      <c r="BA833" t="s">
        <v>2238</v>
      </c>
      <c r="BB833" t="s">
        <v>61</v>
      </c>
      <c r="BC833" t="s">
        <v>62</v>
      </c>
    </row>
    <row r="834" spans="1:55" x14ac:dyDescent="0.25">
      <c r="A834" s="1" t="str">
        <f>IF(COUNTIF(Catégories!A:A,X834)=0,"catégorie inconnue",_xlfn.XLOOKUP(X834,Catégories!A:A,Catégories!B:B))</f>
        <v>Frêt</v>
      </c>
      <c r="B834" s="1">
        <f t="shared" si="36"/>
        <v>7.0100000000000007</v>
      </c>
      <c r="C834" s="1">
        <f t="shared" si="37"/>
        <v>1.54</v>
      </c>
      <c r="D834" s="1">
        <f t="shared" si="38"/>
        <v>5.4700000000000006</v>
      </c>
      <c r="E834" s="20">
        <f>IF(AH834&lt;&gt;0,ROUNDUP(AH834,0),IF(BB834&lt;&gt;"FR","hors France",IF(AH834&lt;&gt;0,ROUNDUP(AH834,0),_xlfn.XLOOKUP(AJ834,'PA GLS'!B:B,'PA GLS'!A:A))))</f>
        <v>2</v>
      </c>
      <c r="F834">
        <v>2501382993</v>
      </c>
      <c r="G834">
        <v>1030350167</v>
      </c>
      <c r="H834" t="s">
        <v>366</v>
      </c>
      <c r="I834">
        <v>2500034092</v>
      </c>
      <c r="J834" t="s">
        <v>50</v>
      </c>
      <c r="K834">
        <v>9000009190</v>
      </c>
      <c r="L834">
        <v>46946</v>
      </c>
      <c r="M834" t="s">
        <v>51</v>
      </c>
      <c r="N834">
        <v>9000079830</v>
      </c>
      <c r="O834" t="s">
        <v>187</v>
      </c>
      <c r="S834">
        <v>2507012387</v>
      </c>
      <c r="T834" t="s">
        <v>50</v>
      </c>
      <c r="U834" t="s">
        <v>122</v>
      </c>
      <c r="V834" t="s">
        <v>63</v>
      </c>
      <c r="W834" t="s">
        <v>64</v>
      </c>
      <c r="X834" t="s">
        <v>60</v>
      </c>
      <c r="Z834">
        <v>266</v>
      </c>
      <c r="AA834" t="s">
        <v>366</v>
      </c>
      <c r="AB834" t="s">
        <v>2239</v>
      </c>
      <c r="AC834">
        <v>2604000271</v>
      </c>
      <c r="AE834">
        <v>0</v>
      </c>
      <c r="AF834">
        <v>0</v>
      </c>
      <c r="AG834">
        <v>0</v>
      </c>
      <c r="AH834">
        <v>0</v>
      </c>
      <c r="AI834" t="s">
        <v>56</v>
      </c>
      <c r="AJ834">
        <v>4.42</v>
      </c>
      <c r="AK834">
        <v>0.9</v>
      </c>
      <c r="AL834">
        <v>0.15</v>
      </c>
      <c r="AM834">
        <v>29.1</v>
      </c>
      <c r="AN834">
        <v>1.54</v>
      </c>
      <c r="AO834">
        <v>0</v>
      </c>
      <c r="AP834">
        <v>0</v>
      </c>
      <c r="AQ834" t="s">
        <v>57</v>
      </c>
      <c r="AS834" t="s">
        <v>2240</v>
      </c>
      <c r="AT834" t="s">
        <v>2240</v>
      </c>
      <c r="AU834" t="s">
        <v>2239</v>
      </c>
      <c r="AV834" t="s">
        <v>2241</v>
      </c>
      <c r="AW834" t="s">
        <v>2242</v>
      </c>
      <c r="AZ834">
        <v>93170</v>
      </c>
      <c r="BA834" t="s">
        <v>2243</v>
      </c>
      <c r="BB834" t="s">
        <v>61</v>
      </c>
      <c r="BC834" t="s">
        <v>62</v>
      </c>
    </row>
    <row r="835" spans="1:55" x14ac:dyDescent="0.25">
      <c r="A835" s="1" t="str">
        <f>IF(COUNTIF(Catégories!A:A,X835)=0,"catégorie inconnue",_xlfn.XLOOKUP(X835,Catégories!A:A,Catégories!B:B))</f>
        <v>Frêt</v>
      </c>
      <c r="B835" s="1">
        <f t="shared" ref="B835:B897" si="39">SUM(AJ835:AL835)+SUM(AN835:AP835)</f>
        <v>0</v>
      </c>
      <c r="C835" s="1">
        <f t="shared" ref="C835:C897" si="40">AN835</f>
        <v>0</v>
      </c>
      <c r="D835" s="1">
        <f t="shared" ref="D835:D897" si="41">B835-C835</f>
        <v>0</v>
      </c>
      <c r="E835" s="20">
        <f>IF(AH835&lt;&gt;0,ROUNDUP(AH835,0),IF(BB835&lt;&gt;"FR","hors France",IF(AH835&lt;&gt;0,ROUNDUP(AH835,0),_xlfn.XLOOKUP(AJ835,'PA GLS'!B:B,'PA GLS'!A:A))))</f>
        <v>1</v>
      </c>
      <c r="F835">
        <v>2501382993</v>
      </c>
      <c r="G835">
        <v>1030350167</v>
      </c>
      <c r="H835" t="s">
        <v>366</v>
      </c>
      <c r="I835">
        <v>2500034092</v>
      </c>
      <c r="J835" t="s">
        <v>50</v>
      </c>
      <c r="K835">
        <v>9000009190</v>
      </c>
      <c r="L835">
        <v>46946</v>
      </c>
      <c r="M835" t="s">
        <v>51</v>
      </c>
      <c r="N835">
        <v>9000079830</v>
      </c>
      <c r="O835" t="s">
        <v>187</v>
      </c>
      <c r="S835">
        <v>2507012387</v>
      </c>
      <c r="T835" t="s">
        <v>50</v>
      </c>
      <c r="U835" t="s">
        <v>122</v>
      </c>
      <c r="V835" t="s">
        <v>176</v>
      </c>
      <c r="W835" t="s">
        <v>177</v>
      </c>
      <c r="X835" t="s">
        <v>152</v>
      </c>
      <c r="Z835">
        <v>262</v>
      </c>
      <c r="AA835" t="s">
        <v>366</v>
      </c>
      <c r="AB835" t="s">
        <v>2107</v>
      </c>
      <c r="AC835">
        <v>2604000266</v>
      </c>
      <c r="AE835">
        <v>0</v>
      </c>
      <c r="AF835">
        <v>1</v>
      </c>
      <c r="AG835">
        <v>0</v>
      </c>
      <c r="AH835">
        <v>0.5</v>
      </c>
      <c r="AI835" t="s">
        <v>56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 t="s">
        <v>57</v>
      </c>
      <c r="AS835" t="s">
        <v>2108</v>
      </c>
      <c r="AT835" t="s">
        <v>2108</v>
      </c>
      <c r="AU835" t="s">
        <v>2107</v>
      </c>
      <c r="AV835" t="s">
        <v>2109</v>
      </c>
      <c r="AW835" t="s">
        <v>2110</v>
      </c>
      <c r="AZ835">
        <v>75015</v>
      </c>
      <c r="BA835" t="s">
        <v>65</v>
      </c>
      <c r="BB835" t="s">
        <v>61</v>
      </c>
      <c r="BC835" t="s">
        <v>62</v>
      </c>
    </row>
    <row r="836" spans="1:55" x14ac:dyDescent="0.25">
      <c r="A836" s="1" t="str">
        <f>IF(COUNTIF(Catégories!A:A,X836)=0,"catégorie inconnue",_xlfn.XLOOKUP(X836,Catégories!A:A,Catégories!B:B))</f>
        <v>Frêt</v>
      </c>
      <c r="B836" s="1">
        <f t="shared" si="39"/>
        <v>0</v>
      </c>
      <c r="C836" s="1">
        <f t="shared" si="40"/>
        <v>0</v>
      </c>
      <c r="D836" s="1">
        <f t="shared" si="41"/>
        <v>0</v>
      </c>
      <c r="E836" s="20">
        <f>IF(AH836&lt;&gt;0,ROUNDUP(AH836,0),IF(BB836&lt;&gt;"FR","hors France",IF(AH836&lt;&gt;0,ROUNDUP(AH836,0),_xlfn.XLOOKUP(AJ836,'PA GLS'!B:B,'PA GLS'!A:A))))</f>
        <v>1</v>
      </c>
      <c r="F836">
        <v>2501382993</v>
      </c>
      <c r="G836">
        <v>1030350167</v>
      </c>
      <c r="H836" t="s">
        <v>366</v>
      </c>
      <c r="I836">
        <v>2500034092</v>
      </c>
      <c r="J836" t="s">
        <v>50</v>
      </c>
      <c r="K836">
        <v>9000009190</v>
      </c>
      <c r="L836">
        <v>46946</v>
      </c>
      <c r="M836" t="s">
        <v>51</v>
      </c>
      <c r="N836">
        <v>9000079830</v>
      </c>
      <c r="O836" t="s">
        <v>187</v>
      </c>
      <c r="S836">
        <v>2507012387</v>
      </c>
      <c r="T836" t="s">
        <v>50</v>
      </c>
      <c r="U836" t="s">
        <v>122</v>
      </c>
      <c r="V836" t="s">
        <v>176</v>
      </c>
      <c r="W836" t="s">
        <v>177</v>
      </c>
      <c r="X836" t="s">
        <v>152</v>
      </c>
      <c r="Z836">
        <v>262</v>
      </c>
      <c r="AA836" t="s">
        <v>366</v>
      </c>
      <c r="AB836" t="s">
        <v>2075</v>
      </c>
      <c r="AC836">
        <v>2604000265</v>
      </c>
      <c r="AE836">
        <v>0</v>
      </c>
      <c r="AF836">
        <v>1</v>
      </c>
      <c r="AG836">
        <v>0</v>
      </c>
      <c r="AH836">
        <v>0.57999999999999996</v>
      </c>
      <c r="AI836" t="s">
        <v>56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 t="s">
        <v>57</v>
      </c>
      <c r="AS836" t="s">
        <v>2076</v>
      </c>
      <c r="AT836" t="s">
        <v>2076</v>
      </c>
      <c r="AU836" t="s">
        <v>2075</v>
      </c>
      <c r="AV836" t="s">
        <v>2077</v>
      </c>
      <c r="AW836" t="s">
        <v>2078</v>
      </c>
      <c r="AZ836">
        <v>92300</v>
      </c>
      <c r="BA836" t="s">
        <v>261</v>
      </c>
      <c r="BB836" t="s">
        <v>61</v>
      </c>
      <c r="BC836" t="s">
        <v>62</v>
      </c>
    </row>
    <row r="837" spans="1:55" x14ac:dyDescent="0.25">
      <c r="A837" s="1" t="str">
        <f>IF(COUNTIF(Catégories!A:A,X837)=0,"catégorie inconnue",_xlfn.XLOOKUP(X837,Catégories!A:A,Catégories!B:B))</f>
        <v>Frêt</v>
      </c>
      <c r="B837" s="1">
        <f t="shared" si="39"/>
        <v>0</v>
      </c>
      <c r="C837" s="1">
        <f t="shared" si="40"/>
        <v>0</v>
      </c>
      <c r="D837" s="1">
        <f t="shared" si="41"/>
        <v>0</v>
      </c>
      <c r="E837" s="20">
        <f>IF(AH837&lt;&gt;0,ROUNDUP(AH837,0),IF(BB837&lt;&gt;"FR","hors France",IF(AH837&lt;&gt;0,ROUNDUP(AH837,0),_xlfn.XLOOKUP(AJ837,'PA GLS'!B:B,'PA GLS'!A:A))))</f>
        <v>1</v>
      </c>
      <c r="F837">
        <v>2501382993</v>
      </c>
      <c r="G837">
        <v>1030350167</v>
      </c>
      <c r="H837" t="s">
        <v>366</v>
      </c>
      <c r="I837">
        <v>2500034092</v>
      </c>
      <c r="J837" t="s">
        <v>50</v>
      </c>
      <c r="K837">
        <v>9000009190</v>
      </c>
      <c r="L837">
        <v>46946</v>
      </c>
      <c r="M837" t="s">
        <v>51</v>
      </c>
      <c r="N837">
        <v>9000079830</v>
      </c>
      <c r="O837" t="s">
        <v>187</v>
      </c>
      <c r="S837">
        <v>2507012387</v>
      </c>
      <c r="T837" t="s">
        <v>50</v>
      </c>
      <c r="U837" t="s">
        <v>122</v>
      </c>
      <c r="V837" t="s">
        <v>176</v>
      </c>
      <c r="W837" t="s">
        <v>177</v>
      </c>
      <c r="X837" t="s">
        <v>152</v>
      </c>
      <c r="Z837">
        <v>262</v>
      </c>
      <c r="AA837" t="s">
        <v>366</v>
      </c>
      <c r="AB837" t="s">
        <v>2111</v>
      </c>
      <c r="AC837">
        <v>2604000264</v>
      </c>
      <c r="AE837">
        <v>0</v>
      </c>
      <c r="AF837">
        <v>1</v>
      </c>
      <c r="AG837">
        <v>0</v>
      </c>
      <c r="AH837">
        <v>0.5</v>
      </c>
      <c r="AI837" t="s">
        <v>56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 t="s">
        <v>57</v>
      </c>
      <c r="AS837" t="s">
        <v>2112</v>
      </c>
      <c r="AT837" t="s">
        <v>2112</v>
      </c>
      <c r="AU837" t="s">
        <v>2111</v>
      </c>
      <c r="AV837" t="s">
        <v>2113</v>
      </c>
      <c r="AW837" t="s">
        <v>2114</v>
      </c>
      <c r="AZ837">
        <v>75014</v>
      </c>
      <c r="BA837" t="s">
        <v>65</v>
      </c>
      <c r="BB837" t="s">
        <v>61</v>
      </c>
      <c r="BC837" t="s">
        <v>62</v>
      </c>
    </row>
    <row r="838" spans="1:55" x14ac:dyDescent="0.25">
      <c r="A838" s="1" t="str">
        <f>IF(COUNTIF(Catégories!A:A,X838)=0,"catégorie inconnue",_xlfn.XLOOKUP(X838,Catégories!A:A,Catégories!B:B))</f>
        <v>Frêt</v>
      </c>
      <c r="B838" s="1">
        <f t="shared" si="39"/>
        <v>0</v>
      </c>
      <c r="C838" s="1">
        <f t="shared" si="40"/>
        <v>0</v>
      </c>
      <c r="D838" s="1">
        <f t="shared" si="41"/>
        <v>0</v>
      </c>
      <c r="E838" s="20">
        <f>IF(AH838&lt;&gt;0,ROUNDUP(AH838,0),IF(BB838&lt;&gt;"FR","hors France",IF(AH838&lt;&gt;0,ROUNDUP(AH838,0),_xlfn.XLOOKUP(AJ838,'PA GLS'!B:B,'PA GLS'!A:A))))</f>
        <v>2</v>
      </c>
      <c r="F838">
        <v>2501382993</v>
      </c>
      <c r="G838">
        <v>1030350167</v>
      </c>
      <c r="H838" t="s">
        <v>366</v>
      </c>
      <c r="I838">
        <v>2500034092</v>
      </c>
      <c r="J838" t="s">
        <v>50</v>
      </c>
      <c r="K838">
        <v>9000009190</v>
      </c>
      <c r="L838">
        <v>46946</v>
      </c>
      <c r="M838" t="s">
        <v>51</v>
      </c>
      <c r="N838">
        <v>9000079830</v>
      </c>
      <c r="O838" t="s">
        <v>187</v>
      </c>
      <c r="S838">
        <v>2507012387</v>
      </c>
      <c r="T838" t="s">
        <v>50</v>
      </c>
      <c r="U838" t="s">
        <v>122</v>
      </c>
      <c r="V838" t="s">
        <v>176</v>
      </c>
      <c r="W838" t="s">
        <v>177</v>
      </c>
      <c r="X838" t="s">
        <v>152</v>
      </c>
      <c r="Z838">
        <v>262</v>
      </c>
      <c r="AA838" t="s">
        <v>366</v>
      </c>
      <c r="AB838" t="s">
        <v>2000</v>
      </c>
      <c r="AC838">
        <v>2604000263</v>
      </c>
      <c r="AE838">
        <v>0</v>
      </c>
      <c r="AF838">
        <v>1</v>
      </c>
      <c r="AG838">
        <v>0</v>
      </c>
      <c r="AH838">
        <v>1.08</v>
      </c>
      <c r="AI838" t="s">
        <v>56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 t="s">
        <v>57</v>
      </c>
      <c r="AS838" t="s">
        <v>2001</v>
      </c>
      <c r="AT838" t="s">
        <v>2001</v>
      </c>
      <c r="AU838" t="s">
        <v>2000</v>
      </c>
      <c r="AV838" t="s">
        <v>2002</v>
      </c>
      <c r="AW838" t="s">
        <v>2003</v>
      </c>
      <c r="AZ838">
        <v>6110</v>
      </c>
      <c r="BA838" t="s">
        <v>2004</v>
      </c>
      <c r="BB838" t="s">
        <v>61</v>
      </c>
      <c r="BC838" t="s">
        <v>62</v>
      </c>
    </row>
    <row r="839" spans="1:55" x14ac:dyDescent="0.25">
      <c r="A839" s="1" t="str">
        <f>IF(COUNTIF(Catégories!A:A,X839)=0,"catégorie inconnue",_xlfn.XLOOKUP(X839,Catégories!A:A,Catégories!B:B))</f>
        <v>Frêt</v>
      </c>
      <c r="B839" s="1">
        <f t="shared" si="39"/>
        <v>0</v>
      </c>
      <c r="C839" s="1">
        <f t="shared" si="40"/>
        <v>0</v>
      </c>
      <c r="D839" s="1">
        <f t="shared" si="41"/>
        <v>0</v>
      </c>
      <c r="E839" s="20">
        <f>IF(AH839&lt;&gt;0,ROUNDUP(AH839,0),IF(BB839&lt;&gt;"FR","hors France",IF(AH839&lt;&gt;0,ROUNDUP(AH839,0),_xlfn.XLOOKUP(AJ839,'PA GLS'!B:B,'PA GLS'!A:A))))</f>
        <v>1</v>
      </c>
      <c r="F839">
        <v>2501382993</v>
      </c>
      <c r="G839">
        <v>1030350167</v>
      </c>
      <c r="H839" t="s">
        <v>366</v>
      </c>
      <c r="I839">
        <v>2500034092</v>
      </c>
      <c r="J839" t="s">
        <v>50</v>
      </c>
      <c r="K839">
        <v>9000009190</v>
      </c>
      <c r="L839">
        <v>46946</v>
      </c>
      <c r="M839" t="s">
        <v>51</v>
      </c>
      <c r="N839">
        <v>9000079830</v>
      </c>
      <c r="O839" t="s">
        <v>187</v>
      </c>
      <c r="S839">
        <v>2507012387</v>
      </c>
      <c r="T839" t="s">
        <v>50</v>
      </c>
      <c r="U839" t="s">
        <v>122</v>
      </c>
      <c r="V839" t="s">
        <v>176</v>
      </c>
      <c r="W839" t="s">
        <v>177</v>
      </c>
      <c r="X839" t="s">
        <v>152</v>
      </c>
      <c r="Z839">
        <v>262</v>
      </c>
      <c r="AA839" t="s">
        <v>366</v>
      </c>
      <c r="AB839" t="s">
        <v>2062</v>
      </c>
      <c r="AC839">
        <v>2604000262</v>
      </c>
      <c r="AE839">
        <v>0</v>
      </c>
      <c r="AF839">
        <v>1</v>
      </c>
      <c r="AG839">
        <v>0</v>
      </c>
      <c r="AH839">
        <v>1</v>
      </c>
      <c r="AI839" t="s">
        <v>56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 t="s">
        <v>57</v>
      </c>
      <c r="AS839" t="s">
        <v>2063</v>
      </c>
      <c r="AT839" t="s">
        <v>2063</v>
      </c>
      <c r="AU839" t="s">
        <v>2062</v>
      </c>
      <c r="AV839" t="s">
        <v>2064</v>
      </c>
      <c r="AW839" t="s">
        <v>2065</v>
      </c>
      <c r="AZ839">
        <v>92410</v>
      </c>
      <c r="BA839" t="s">
        <v>2066</v>
      </c>
      <c r="BB839" t="s">
        <v>61</v>
      </c>
      <c r="BC839" t="s">
        <v>62</v>
      </c>
    </row>
    <row r="840" spans="1:55" x14ac:dyDescent="0.25">
      <c r="A840" s="1" t="str">
        <f>IF(COUNTIF(Catégories!A:A,X840)=0,"catégorie inconnue",_xlfn.XLOOKUP(X840,Catégories!A:A,Catégories!B:B))</f>
        <v>Frêt</v>
      </c>
      <c r="B840" s="1">
        <f t="shared" si="39"/>
        <v>0</v>
      </c>
      <c r="C840" s="1">
        <f t="shared" si="40"/>
        <v>0</v>
      </c>
      <c r="D840" s="1">
        <f t="shared" si="41"/>
        <v>0</v>
      </c>
      <c r="E840" s="20">
        <f>IF(AH840&lt;&gt;0,ROUNDUP(AH840,0),IF(BB840&lt;&gt;"FR","hors France",IF(AH840&lt;&gt;0,ROUNDUP(AH840,0),_xlfn.XLOOKUP(AJ840,'PA GLS'!B:B,'PA GLS'!A:A))))</f>
        <v>2</v>
      </c>
      <c r="F840">
        <v>2501382993</v>
      </c>
      <c r="G840">
        <v>1030350167</v>
      </c>
      <c r="H840" t="s">
        <v>366</v>
      </c>
      <c r="I840">
        <v>2500034092</v>
      </c>
      <c r="J840" t="s">
        <v>50</v>
      </c>
      <c r="K840">
        <v>9000009190</v>
      </c>
      <c r="L840">
        <v>46946</v>
      </c>
      <c r="M840" t="s">
        <v>51</v>
      </c>
      <c r="N840">
        <v>9000079830</v>
      </c>
      <c r="O840" t="s">
        <v>187</v>
      </c>
      <c r="S840">
        <v>2507012387</v>
      </c>
      <c r="T840" t="s">
        <v>50</v>
      </c>
      <c r="U840" t="s">
        <v>122</v>
      </c>
      <c r="V840" t="s">
        <v>176</v>
      </c>
      <c r="W840" t="s">
        <v>177</v>
      </c>
      <c r="X840" t="s">
        <v>152</v>
      </c>
      <c r="Z840">
        <v>262</v>
      </c>
      <c r="AA840" t="s">
        <v>366</v>
      </c>
      <c r="AB840" t="s">
        <v>2183</v>
      </c>
      <c r="AC840">
        <v>2604000261</v>
      </c>
      <c r="AE840">
        <v>0</v>
      </c>
      <c r="AF840">
        <v>1</v>
      </c>
      <c r="AG840">
        <v>0</v>
      </c>
      <c r="AH840">
        <v>1.52</v>
      </c>
      <c r="AI840" t="s">
        <v>56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 t="s">
        <v>57</v>
      </c>
      <c r="AS840" t="s">
        <v>2184</v>
      </c>
      <c r="AT840" t="s">
        <v>2184</v>
      </c>
      <c r="AU840" t="s">
        <v>2183</v>
      </c>
      <c r="AV840" t="s">
        <v>2185</v>
      </c>
      <c r="AW840" t="s">
        <v>2186</v>
      </c>
      <c r="AZ840">
        <v>75015</v>
      </c>
      <c r="BA840" t="s">
        <v>65</v>
      </c>
      <c r="BB840" t="s">
        <v>61</v>
      </c>
      <c r="BC840" t="s">
        <v>62</v>
      </c>
    </row>
    <row r="841" spans="1:55" x14ac:dyDescent="0.25">
      <c r="A841" s="1" t="str">
        <f>IF(COUNTIF(Catégories!A:A,X841)=0,"catégorie inconnue",_xlfn.XLOOKUP(X841,Catégories!A:A,Catégories!B:B))</f>
        <v>Frêt</v>
      </c>
      <c r="B841" s="1">
        <f t="shared" si="39"/>
        <v>0</v>
      </c>
      <c r="C841" s="1">
        <f t="shared" si="40"/>
        <v>0</v>
      </c>
      <c r="D841" s="1">
        <f t="shared" si="41"/>
        <v>0</v>
      </c>
      <c r="E841" s="20">
        <f>IF(AH841&lt;&gt;0,ROUNDUP(AH841,0),IF(BB841&lt;&gt;"FR","hors France",IF(AH841&lt;&gt;0,ROUNDUP(AH841,0),_xlfn.XLOOKUP(AJ841,'PA GLS'!B:B,'PA GLS'!A:A))))</f>
        <v>2</v>
      </c>
      <c r="F841">
        <v>2501382993</v>
      </c>
      <c r="G841">
        <v>1030350167</v>
      </c>
      <c r="H841" t="s">
        <v>366</v>
      </c>
      <c r="I841">
        <v>2500034092</v>
      </c>
      <c r="J841" t="s">
        <v>50</v>
      </c>
      <c r="K841">
        <v>9000009190</v>
      </c>
      <c r="L841">
        <v>46946</v>
      </c>
      <c r="M841" t="s">
        <v>51</v>
      </c>
      <c r="N841">
        <v>9000079830</v>
      </c>
      <c r="O841" t="s">
        <v>187</v>
      </c>
      <c r="S841">
        <v>2507012387</v>
      </c>
      <c r="T841" t="s">
        <v>50</v>
      </c>
      <c r="U841" t="s">
        <v>122</v>
      </c>
      <c r="V841" t="s">
        <v>176</v>
      </c>
      <c r="W841" t="s">
        <v>177</v>
      </c>
      <c r="X841" t="s">
        <v>152</v>
      </c>
      <c r="Z841">
        <v>262</v>
      </c>
      <c r="AA841" t="s">
        <v>366</v>
      </c>
      <c r="AB841" t="s">
        <v>2005</v>
      </c>
      <c r="AC841">
        <v>2604000260</v>
      </c>
      <c r="AE841">
        <v>0</v>
      </c>
      <c r="AF841">
        <v>1</v>
      </c>
      <c r="AG841">
        <v>0</v>
      </c>
      <c r="AH841">
        <v>1.08</v>
      </c>
      <c r="AI841" t="s">
        <v>56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 t="s">
        <v>57</v>
      </c>
      <c r="AS841" t="s">
        <v>2006</v>
      </c>
      <c r="AT841" t="s">
        <v>2006</v>
      </c>
      <c r="AU841" t="s">
        <v>2005</v>
      </c>
      <c r="AV841" t="s">
        <v>2007</v>
      </c>
      <c r="AW841" t="s">
        <v>2008</v>
      </c>
      <c r="AZ841">
        <v>94440</v>
      </c>
      <c r="BA841" t="s">
        <v>2009</v>
      </c>
      <c r="BB841" t="s">
        <v>61</v>
      </c>
      <c r="BC841" t="s">
        <v>62</v>
      </c>
    </row>
    <row r="842" spans="1:55" x14ac:dyDescent="0.25">
      <c r="A842" s="1" t="str">
        <f>IF(COUNTIF(Catégories!A:A,X842)=0,"catégorie inconnue",_xlfn.XLOOKUP(X842,Catégories!A:A,Catégories!B:B))</f>
        <v>Frêt</v>
      </c>
      <c r="B842" s="1">
        <f t="shared" si="39"/>
        <v>0</v>
      </c>
      <c r="C842" s="1">
        <f t="shared" si="40"/>
        <v>0</v>
      </c>
      <c r="D842" s="1">
        <f t="shared" si="41"/>
        <v>0</v>
      </c>
      <c r="E842" s="20">
        <f>IF(AH842&lt;&gt;0,ROUNDUP(AH842,0),IF(BB842&lt;&gt;"FR","hors France",IF(AH842&lt;&gt;0,ROUNDUP(AH842,0),_xlfn.XLOOKUP(AJ842,'PA GLS'!B:B,'PA GLS'!A:A))))</f>
        <v>2</v>
      </c>
      <c r="F842">
        <v>2501382993</v>
      </c>
      <c r="G842">
        <v>1030350167</v>
      </c>
      <c r="H842" t="s">
        <v>366</v>
      </c>
      <c r="I842">
        <v>2500034092</v>
      </c>
      <c r="J842" t="s">
        <v>50</v>
      </c>
      <c r="K842">
        <v>9000009190</v>
      </c>
      <c r="L842">
        <v>46946</v>
      </c>
      <c r="M842" t="s">
        <v>51</v>
      </c>
      <c r="N842">
        <v>9000079830</v>
      </c>
      <c r="O842" t="s">
        <v>187</v>
      </c>
      <c r="S842">
        <v>2507012387</v>
      </c>
      <c r="T842" t="s">
        <v>50</v>
      </c>
      <c r="U842" t="s">
        <v>122</v>
      </c>
      <c r="V842" t="s">
        <v>176</v>
      </c>
      <c r="W842" t="s">
        <v>177</v>
      </c>
      <c r="X842" t="s">
        <v>152</v>
      </c>
      <c r="Z842">
        <v>262</v>
      </c>
      <c r="AA842" t="s">
        <v>366</v>
      </c>
      <c r="AB842" t="s">
        <v>2010</v>
      </c>
      <c r="AC842">
        <v>2604000259</v>
      </c>
      <c r="AE842">
        <v>0</v>
      </c>
      <c r="AF842">
        <v>1</v>
      </c>
      <c r="AG842">
        <v>0</v>
      </c>
      <c r="AH842">
        <v>1.1000000000000001</v>
      </c>
      <c r="AI842" t="s">
        <v>56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 t="s">
        <v>57</v>
      </c>
      <c r="AS842" t="s">
        <v>2011</v>
      </c>
      <c r="AT842" t="s">
        <v>2011</v>
      </c>
      <c r="AU842" t="s">
        <v>2010</v>
      </c>
      <c r="AV842" t="s">
        <v>2012</v>
      </c>
      <c r="AW842" t="s">
        <v>2013</v>
      </c>
      <c r="AZ842">
        <v>83000</v>
      </c>
      <c r="BA842" t="s">
        <v>2014</v>
      </c>
      <c r="BB842" t="s">
        <v>61</v>
      </c>
      <c r="BC842" t="s">
        <v>62</v>
      </c>
    </row>
    <row r="843" spans="1:55" x14ac:dyDescent="0.25">
      <c r="A843" s="1" t="str">
        <f>IF(COUNTIF(Catégories!A:A,X843)=0,"catégorie inconnue",_xlfn.XLOOKUP(X843,Catégories!A:A,Catégories!B:B))</f>
        <v>Frêt</v>
      </c>
      <c r="B843" s="1">
        <f t="shared" si="39"/>
        <v>0</v>
      </c>
      <c r="C843" s="1">
        <f t="shared" si="40"/>
        <v>0</v>
      </c>
      <c r="D843" s="1">
        <f t="shared" si="41"/>
        <v>0</v>
      </c>
      <c r="E843" s="20">
        <f>IF(AH843&lt;&gt;0,ROUNDUP(AH843,0),IF(BB843&lt;&gt;"FR","hors France",IF(AH843&lt;&gt;0,ROUNDUP(AH843,0),_xlfn.XLOOKUP(AJ843,'PA GLS'!B:B,'PA GLS'!A:A))))</f>
        <v>2</v>
      </c>
      <c r="F843">
        <v>2501382993</v>
      </c>
      <c r="G843">
        <v>1030350167</v>
      </c>
      <c r="H843" t="s">
        <v>366</v>
      </c>
      <c r="I843">
        <v>2500034092</v>
      </c>
      <c r="J843" t="s">
        <v>50</v>
      </c>
      <c r="K843">
        <v>9000009190</v>
      </c>
      <c r="L843">
        <v>46946</v>
      </c>
      <c r="M843" t="s">
        <v>51</v>
      </c>
      <c r="N843">
        <v>9000079830</v>
      </c>
      <c r="O843" t="s">
        <v>187</v>
      </c>
      <c r="S843">
        <v>2507012387</v>
      </c>
      <c r="T843" t="s">
        <v>50</v>
      </c>
      <c r="U843" t="s">
        <v>122</v>
      </c>
      <c r="V843" t="s">
        <v>176</v>
      </c>
      <c r="W843" t="s">
        <v>177</v>
      </c>
      <c r="X843" t="s">
        <v>152</v>
      </c>
      <c r="Z843">
        <v>262</v>
      </c>
      <c r="AA843" t="s">
        <v>366</v>
      </c>
      <c r="AB843" t="s">
        <v>2015</v>
      </c>
      <c r="AC843">
        <v>2604000258</v>
      </c>
      <c r="AE843">
        <v>0</v>
      </c>
      <c r="AF843">
        <v>1</v>
      </c>
      <c r="AG843">
        <v>0</v>
      </c>
      <c r="AH843">
        <v>1.21</v>
      </c>
      <c r="AI843" t="s">
        <v>56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 t="s">
        <v>57</v>
      </c>
      <c r="AS843" t="s">
        <v>2016</v>
      </c>
      <c r="AT843" t="s">
        <v>2016</v>
      </c>
      <c r="AU843" t="s">
        <v>2015</v>
      </c>
      <c r="AV843" t="s">
        <v>2017</v>
      </c>
      <c r="AW843" t="s">
        <v>2018</v>
      </c>
      <c r="AZ843">
        <v>49280</v>
      </c>
      <c r="BA843" t="s">
        <v>2019</v>
      </c>
      <c r="BB843" t="s">
        <v>61</v>
      </c>
      <c r="BC843" t="s">
        <v>62</v>
      </c>
    </row>
    <row r="844" spans="1:55" x14ac:dyDescent="0.25">
      <c r="A844" s="1" t="str">
        <f>IF(COUNTIF(Catégories!A:A,X844)=0,"catégorie inconnue",_xlfn.XLOOKUP(X844,Catégories!A:A,Catégories!B:B))</f>
        <v>Frêt</v>
      </c>
      <c r="B844" s="1">
        <f t="shared" si="39"/>
        <v>0</v>
      </c>
      <c r="C844" s="1">
        <f t="shared" si="40"/>
        <v>0</v>
      </c>
      <c r="D844" s="1">
        <f t="shared" si="41"/>
        <v>0</v>
      </c>
      <c r="E844" s="20">
        <f>IF(AH844&lt;&gt;0,ROUNDUP(AH844,0),IF(BB844&lt;&gt;"FR","hors France",IF(AH844&lt;&gt;0,ROUNDUP(AH844,0),_xlfn.XLOOKUP(AJ844,'PA GLS'!B:B,'PA GLS'!A:A))))</f>
        <v>1</v>
      </c>
      <c r="F844">
        <v>2501382993</v>
      </c>
      <c r="G844">
        <v>1030350167</v>
      </c>
      <c r="H844" t="s">
        <v>366</v>
      </c>
      <c r="I844">
        <v>2500034092</v>
      </c>
      <c r="J844" t="s">
        <v>50</v>
      </c>
      <c r="K844">
        <v>9000009190</v>
      </c>
      <c r="L844">
        <v>46946</v>
      </c>
      <c r="M844" t="s">
        <v>51</v>
      </c>
      <c r="N844">
        <v>9000079830</v>
      </c>
      <c r="O844" t="s">
        <v>187</v>
      </c>
      <c r="S844">
        <v>2507012387</v>
      </c>
      <c r="T844" t="s">
        <v>50</v>
      </c>
      <c r="U844" t="s">
        <v>122</v>
      </c>
      <c r="V844" t="s">
        <v>176</v>
      </c>
      <c r="W844" t="s">
        <v>177</v>
      </c>
      <c r="X844" t="s">
        <v>152</v>
      </c>
      <c r="Z844">
        <v>262</v>
      </c>
      <c r="AA844" t="s">
        <v>366</v>
      </c>
      <c r="AB844" t="s">
        <v>2115</v>
      </c>
      <c r="AC844">
        <v>2604000257</v>
      </c>
      <c r="AE844">
        <v>0</v>
      </c>
      <c r="AF844">
        <v>1</v>
      </c>
      <c r="AG844">
        <v>0</v>
      </c>
      <c r="AH844">
        <v>0.35</v>
      </c>
      <c r="AI844" t="s">
        <v>56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 t="s">
        <v>57</v>
      </c>
      <c r="AS844" t="s">
        <v>2116</v>
      </c>
      <c r="AT844" t="s">
        <v>2116</v>
      </c>
      <c r="AU844" t="s">
        <v>2115</v>
      </c>
      <c r="AV844" t="s">
        <v>2117</v>
      </c>
      <c r="AW844" t="s">
        <v>2118</v>
      </c>
      <c r="AZ844">
        <v>75014</v>
      </c>
      <c r="BA844" t="s">
        <v>65</v>
      </c>
      <c r="BB844" t="s">
        <v>61</v>
      </c>
      <c r="BC844" t="s">
        <v>62</v>
      </c>
    </row>
    <row r="845" spans="1:55" x14ac:dyDescent="0.25">
      <c r="A845" s="1" t="str">
        <f>IF(COUNTIF(Catégories!A:A,X845)=0,"catégorie inconnue",_xlfn.XLOOKUP(X845,Catégories!A:A,Catégories!B:B))</f>
        <v>Frêt</v>
      </c>
      <c r="B845" s="1">
        <f t="shared" si="39"/>
        <v>0</v>
      </c>
      <c r="C845" s="1">
        <f t="shared" si="40"/>
        <v>0</v>
      </c>
      <c r="D845" s="1">
        <f t="shared" si="41"/>
        <v>0</v>
      </c>
      <c r="E845" s="20">
        <f>IF(AH845&lt;&gt;0,ROUNDUP(AH845,0),IF(BB845&lt;&gt;"FR","hors France",IF(AH845&lt;&gt;0,ROUNDUP(AH845,0),_xlfn.XLOOKUP(AJ845,'PA GLS'!B:B,'PA GLS'!A:A))))</f>
        <v>1</v>
      </c>
      <c r="F845">
        <v>2501382993</v>
      </c>
      <c r="G845">
        <v>1030350167</v>
      </c>
      <c r="H845" t="s">
        <v>366</v>
      </c>
      <c r="I845">
        <v>2500034092</v>
      </c>
      <c r="J845" t="s">
        <v>50</v>
      </c>
      <c r="K845">
        <v>9000009190</v>
      </c>
      <c r="L845">
        <v>46946</v>
      </c>
      <c r="M845" t="s">
        <v>51</v>
      </c>
      <c r="N845">
        <v>9000079830</v>
      </c>
      <c r="O845" t="s">
        <v>187</v>
      </c>
      <c r="S845">
        <v>2507012387</v>
      </c>
      <c r="T845" t="s">
        <v>50</v>
      </c>
      <c r="U845" t="s">
        <v>122</v>
      </c>
      <c r="V845" t="s">
        <v>176</v>
      </c>
      <c r="W845" t="s">
        <v>177</v>
      </c>
      <c r="X845" t="s">
        <v>152</v>
      </c>
      <c r="Z845">
        <v>262</v>
      </c>
      <c r="AA845" t="s">
        <v>366</v>
      </c>
      <c r="AB845" t="s">
        <v>2067</v>
      </c>
      <c r="AC845">
        <v>2604000256</v>
      </c>
      <c r="AE845">
        <v>0</v>
      </c>
      <c r="AF845">
        <v>1</v>
      </c>
      <c r="AG845">
        <v>0</v>
      </c>
      <c r="AH845">
        <v>0.9</v>
      </c>
      <c r="AI845" t="s">
        <v>56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 t="s">
        <v>57</v>
      </c>
      <c r="AS845" t="s">
        <v>2068</v>
      </c>
      <c r="AT845" t="s">
        <v>2068</v>
      </c>
      <c r="AU845" t="s">
        <v>2067</v>
      </c>
      <c r="AV845" t="s">
        <v>2069</v>
      </c>
      <c r="AW845" t="s">
        <v>2070</v>
      </c>
      <c r="AZ845">
        <v>54000</v>
      </c>
      <c r="BA845" t="s">
        <v>282</v>
      </c>
      <c r="BB845" t="s">
        <v>61</v>
      </c>
      <c r="BC845" t="s">
        <v>62</v>
      </c>
    </row>
    <row r="846" spans="1:55" x14ac:dyDescent="0.25">
      <c r="A846" s="1" t="str">
        <f>IF(COUNTIF(Catégories!A:A,X846)=0,"catégorie inconnue",_xlfn.XLOOKUP(X846,Catégories!A:A,Catégories!B:B))</f>
        <v>Frêt</v>
      </c>
      <c r="B846" s="1">
        <f t="shared" si="39"/>
        <v>0</v>
      </c>
      <c r="C846" s="1">
        <f t="shared" si="40"/>
        <v>0</v>
      </c>
      <c r="D846" s="1">
        <f t="shared" si="41"/>
        <v>0</v>
      </c>
      <c r="E846" s="20">
        <f>IF(AH846&lt;&gt;0,ROUNDUP(AH846,0),IF(BB846&lt;&gt;"FR","hors France",IF(AH846&lt;&gt;0,ROUNDUP(AH846,0),_xlfn.XLOOKUP(AJ846,'PA GLS'!B:B,'PA GLS'!A:A))))</f>
        <v>2</v>
      </c>
      <c r="F846">
        <v>2501382993</v>
      </c>
      <c r="G846">
        <v>1030350167</v>
      </c>
      <c r="H846" t="s">
        <v>366</v>
      </c>
      <c r="I846">
        <v>2500034092</v>
      </c>
      <c r="J846" t="s">
        <v>50</v>
      </c>
      <c r="K846">
        <v>9000009190</v>
      </c>
      <c r="L846">
        <v>46946</v>
      </c>
      <c r="M846" t="s">
        <v>51</v>
      </c>
      <c r="N846">
        <v>9000079830</v>
      </c>
      <c r="O846" t="s">
        <v>187</v>
      </c>
      <c r="S846">
        <v>2507012387</v>
      </c>
      <c r="T846" t="s">
        <v>50</v>
      </c>
      <c r="U846" t="s">
        <v>122</v>
      </c>
      <c r="V846" t="s">
        <v>176</v>
      </c>
      <c r="W846" t="s">
        <v>177</v>
      </c>
      <c r="X846" t="s">
        <v>152</v>
      </c>
      <c r="Z846">
        <v>262</v>
      </c>
      <c r="AA846" t="s">
        <v>366</v>
      </c>
      <c r="AB846" t="s">
        <v>2020</v>
      </c>
      <c r="AC846">
        <v>2604000255</v>
      </c>
      <c r="AE846">
        <v>0</v>
      </c>
      <c r="AF846">
        <v>1</v>
      </c>
      <c r="AG846">
        <v>0</v>
      </c>
      <c r="AH846">
        <v>1.24</v>
      </c>
      <c r="AI846" t="s">
        <v>56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 t="s">
        <v>57</v>
      </c>
      <c r="AS846" t="s">
        <v>2021</v>
      </c>
      <c r="AT846" t="s">
        <v>2021</v>
      </c>
      <c r="AU846" t="s">
        <v>2020</v>
      </c>
      <c r="AV846" t="s">
        <v>2022</v>
      </c>
      <c r="AW846" t="s">
        <v>2023</v>
      </c>
      <c r="AZ846">
        <v>71120</v>
      </c>
      <c r="BA846" t="s">
        <v>2024</v>
      </c>
      <c r="BB846" t="s">
        <v>61</v>
      </c>
      <c r="BC846" t="s">
        <v>62</v>
      </c>
    </row>
    <row r="847" spans="1:55" x14ac:dyDescent="0.25">
      <c r="A847" s="1" t="str">
        <f>IF(COUNTIF(Catégories!A:A,X847)=0,"catégorie inconnue",_xlfn.XLOOKUP(X847,Catégories!A:A,Catégories!B:B))</f>
        <v>Frêt</v>
      </c>
      <c r="B847" s="1">
        <f t="shared" si="39"/>
        <v>0</v>
      </c>
      <c r="C847" s="1">
        <f t="shared" si="40"/>
        <v>0</v>
      </c>
      <c r="D847" s="1">
        <f t="shared" si="41"/>
        <v>0</v>
      </c>
      <c r="E847" s="20">
        <f>IF(AH847&lt;&gt;0,ROUNDUP(AH847,0),IF(BB847&lt;&gt;"FR","hors France",IF(AH847&lt;&gt;0,ROUNDUP(AH847,0),_xlfn.XLOOKUP(AJ847,'PA GLS'!B:B,'PA GLS'!A:A))))</f>
        <v>1</v>
      </c>
      <c r="F847">
        <v>2501382993</v>
      </c>
      <c r="G847">
        <v>1030350167</v>
      </c>
      <c r="H847" t="s">
        <v>366</v>
      </c>
      <c r="I847">
        <v>2500034092</v>
      </c>
      <c r="J847" t="s">
        <v>50</v>
      </c>
      <c r="K847">
        <v>9000009190</v>
      </c>
      <c r="L847">
        <v>46946</v>
      </c>
      <c r="M847" t="s">
        <v>51</v>
      </c>
      <c r="N847">
        <v>9000079830</v>
      </c>
      <c r="O847" t="s">
        <v>187</v>
      </c>
      <c r="S847">
        <v>2507012387</v>
      </c>
      <c r="T847" t="s">
        <v>50</v>
      </c>
      <c r="U847" t="s">
        <v>122</v>
      </c>
      <c r="V847" t="s">
        <v>176</v>
      </c>
      <c r="W847" t="s">
        <v>177</v>
      </c>
      <c r="X847" t="s">
        <v>152</v>
      </c>
      <c r="Z847">
        <v>262</v>
      </c>
      <c r="AA847" t="s">
        <v>366</v>
      </c>
      <c r="AB847" t="s">
        <v>2119</v>
      </c>
      <c r="AC847">
        <v>2604000254</v>
      </c>
      <c r="AE847">
        <v>0</v>
      </c>
      <c r="AF847">
        <v>1</v>
      </c>
      <c r="AG847">
        <v>0</v>
      </c>
      <c r="AH847">
        <v>0.5</v>
      </c>
      <c r="AI847" t="s">
        <v>56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 t="s">
        <v>57</v>
      </c>
      <c r="AS847" t="s">
        <v>2120</v>
      </c>
      <c r="AT847" t="s">
        <v>2120</v>
      </c>
      <c r="AU847" t="s">
        <v>2119</v>
      </c>
      <c r="AV847" t="s">
        <v>2121</v>
      </c>
      <c r="AW847" t="s">
        <v>2122</v>
      </c>
      <c r="AZ847">
        <v>92100</v>
      </c>
      <c r="BA847" t="s">
        <v>789</v>
      </c>
      <c r="BB847" t="s">
        <v>61</v>
      </c>
      <c r="BC847" t="s">
        <v>62</v>
      </c>
    </row>
    <row r="848" spans="1:55" x14ac:dyDescent="0.25">
      <c r="A848" s="1" t="str">
        <f>IF(COUNTIF(Catégories!A:A,X848)=0,"catégorie inconnue",_xlfn.XLOOKUP(X848,Catégories!A:A,Catégories!B:B))</f>
        <v>Frêt</v>
      </c>
      <c r="B848" s="1">
        <f t="shared" si="39"/>
        <v>0</v>
      </c>
      <c r="C848" s="1">
        <f t="shared" si="40"/>
        <v>0</v>
      </c>
      <c r="D848" s="1">
        <f t="shared" si="41"/>
        <v>0</v>
      </c>
      <c r="E848" s="20">
        <f>IF(AH848&lt;&gt;0,ROUNDUP(AH848,0),IF(BB848&lt;&gt;"FR","hors France",IF(AH848&lt;&gt;0,ROUNDUP(AH848,0),_xlfn.XLOOKUP(AJ848,'PA GLS'!B:B,'PA GLS'!A:A))))</f>
        <v>2</v>
      </c>
      <c r="F848">
        <v>2501382993</v>
      </c>
      <c r="G848">
        <v>1030350167</v>
      </c>
      <c r="H848" t="s">
        <v>366</v>
      </c>
      <c r="I848">
        <v>2500034092</v>
      </c>
      <c r="J848" t="s">
        <v>50</v>
      </c>
      <c r="K848">
        <v>9000009190</v>
      </c>
      <c r="L848">
        <v>46946</v>
      </c>
      <c r="M848" t="s">
        <v>51</v>
      </c>
      <c r="N848">
        <v>9000079830</v>
      </c>
      <c r="O848" t="s">
        <v>187</v>
      </c>
      <c r="S848">
        <v>2507012387</v>
      </c>
      <c r="T848" t="s">
        <v>50</v>
      </c>
      <c r="U848" t="s">
        <v>122</v>
      </c>
      <c r="V848" t="s">
        <v>176</v>
      </c>
      <c r="W848" t="s">
        <v>177</v>
      </c>
      <c r="X848" t="s">
        <v>152</v>
      </c>
      <c r="Z848">
        <v>262</v>
      </c>
      <c r="AA848" t="s">
        <v>366</v>
      </c>
      <c r="AB848" t="s">
        <v>2187</v>
      </c>
      <c r="AC848">
        <v>2604000253</v>
      </c>
      <c r="AE848">
        <v>0</v>
      </c>
      <c r="AF848">
        <v>1</v>
      </c>
      <c r="AG848">
        <v>0</v>
      </c>
      <c r="AH848">
        <v>1.96</v>
      </c>
      <c r="AI848" t="s">
        <v>56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 t="s">
        <v>57</v>
      </c>
      <c r="AS848" t="s">
        <v>2188</v>
      </c>
      <c r="AT848" t="s">
        <v>2188</v>
      </c>
      <c r="AU848" t="s">
        <v>2187</v>
      </c>
      <c r="AV848" t="s">
        <v>2189</v>
      </c>
      <c r="AW848" t="s">
        <v>2190</v>
      </c>
      <c r="AZ848">
        <v>44300</v>
      </c>
      <c r="BA848" t="s">
        <v>80</v>
      </c>
      <c r="BB848" t="s">
        <v>61</v>
      </c>
      <c r="BC848" t="s">
        <v>62</v>
      </c>
    </row>
    <row r="849" spans="1:55" x14ac:dyDescent="0.25">
      <c r="A849" s="1" t="str">
        <f>IF(COUNTIF(Catégories!A:A,X849)=0,"catégorie inconnue",_xlfn.XLOOKUP(X849,Catégories!A:A,Catégories!B:B))</f>
        <v>Frêt</v>
      </c>
      <c r="B849" s="1">
        <f t="shared" si="39"/>
        <v>0</v>
      </c>
      <c r="C849" s="1">
        <f t="shared" si="40"/>
        <v>0</v>
      </c>
      <c r="D849" s="1">
        <f t="shared" si="41"/>
        <v>0</v>
      </c>
      <c r="E849" s="20">
        <f>IF(AH849&lt;&gt;0,ROUNDUP(AH849,0),IF(BB849&lt;&gt;"FR","hors France",IF(AH849&lt;&gt;0,ROUNDUP(AH849,0),_xlfn.XLOOKUP(AJ849,'PA GLS'!B:B,'PA GLS'!A:A))))</f>
        <v>1</v>
      </c>
      <c r="F849">
        <v>2501382993</v>
      </c>
      <c r="G849">
        <v>1030350167</v>
      </c>
      <c r="H849" t="s">
        <v>366</v>
      </c>
      <c r="I849">
        <v>2500034092</v>
      </c>
      <c r="J849" t="s">
        <v>50</v>
      </c>
      <c r="K849">
        <v>9000009190</v>
      </c>
      <c r="L849">
        <v>46946</v>
      </c>
      <c r="M849" t="s">
        <v>51</v>
      </c>
      <c r="N849">
        <v>9000079830</v>
      </c>
      <c r="O849" t="s">
        <v>187</v>
      </c>
      <c r="S849">
        <v>2507012387</v>
      </c>
      <c r="T849" t="s">
        <v>50</v>
      </c>
      <c r="U849" t="s">
        <v>122</v>
      </c>
      <c r="V849" t="s">
        <v>176</v>
      </c>
      <c r="W849" t="s">
        <v>177</v>
      </c>
      <c r="X849" t="s">
        <v>152</v>
      </c>
      <c r="Z849">
        <v>262</v>
      </c>
      <c r="AA849" t="s">
        <v>366</v>
      </c>
      <c r="AB849" t="s">
        <v>2123</v>
      </c>
      <c r="AC849">
        <v>2604000252</v>
      </c>
      <c r="AE849">
        <v>0</v>
      </c>
      <c r="AF849">
        <v>1</v>
      </c>
      <c r="AG849">
        <v>0</v>
      </c>
      <c r="AH849">
        <v>0.5</v>
      </c>
      <c r="AI849" t="s">
        <v>56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 t="s">
        <v>57</v>
      </c>
      <c r="AS849" t="s">
        <v>2124</v>
      </c>
      <c r="AT849" t="s">
        <v>2124</v>
      </c>
      <c r="AU849" t="s">
        <v>2123</v>
      </c>
      <c r="AV849" t="s">
        <v>2125</v>
      </c>
      <c r="AW849" t="s">
        <v>2126</v>
      </c>
      <c r="AZ849">
        <v>75015</v>
      </c>
      <c r="BA849" t="s">
        <v>65</v>
      </c>
      <c r="BB849" t="s">
        <v>61</v>
      </c>
      <c r="BC849" t="s">
        <v>62</v>
      </c>
    </row>
    <row r="850" spans="1:55" x14ac:dyDescent="0.25">
      <c r="A850" s="1" t="str">
        <f>IF(COUNTIF(Catégories!A:A,X850)=0,"catégorie inconnue",_xlfn.XLOOKUP(X850,Catégories!A:A,Catégories!B:B))</f>
        <v>Frêt</v>
      </c>
      <c r="B850" s="1">
        <f t="shared" si="39"/>
        <v>0</v>
      </c>
      <c r="C850" s="1">
        <f t="shared" si="40"/>
        <v>0</v>
      </c>
      <c r="D850" s="1">
        <f t="shared" si="41"/>
        <v>0</v>
      </c>
      <c r="E850" s="20">
        <f>IF(AH850&lt;&gt;0,ROUNDUP(AH850,0),IF(BB850&lt;&gt;"FR","hors France",IF(AH850&lt;&gt;0,ROUNDUP(AH850,0),_xlfn.XLOOKUP(AJ850,'PA GLS'!B:B,'PA GLS'!A:A))))</f>
        <v>2</v>
      </c>
      <c r="F850">
        <v>2501382993</v>
      </c>
      <c r="G850">
        <v>1030350167</v>
      </c>
      <c r="H850" t="s">
        <v>366</v>
      </c>
      <c r="I850">
        <v>2500034092</v>
      </c>
      <c r="J850" t="s">
        <v>50</v>
      </c>
      <c r="K850">
        <v>9000009190</v>
      </c>
      <c r="L850">
        <v>46946</v>
      </c>
      <c r="M850" t="s">
        <v>51</v>
      </c>
      <c r="N850">
        <v>9000079830</v>
      </c>
      <c r="O850" t="s">
        <v>187</v>
      </c>
      <c r="S850">
        <v>2507012387</v>
      </c>
      <c r="T850" t="s">
        <v>50</v>
      </c>
      <c r="U850" t="s">
        <v>122</v>
      </c>
      <c r="V850" t="s">
        <v>176</v>
      </c>
      <c r="W850" t="s">
        <v>177</v>
      </c>
      <c r="X850" t="s">
        <v>152</v>
      </c>
      <c r="Z850">
        <v>262</v>
      </c>
      <c r="AA850" t="s">
        <v>366</v>
      </c>
      <c r="AB850" t="s">
        <v>2025</v>
      </c>
      <c r="AC850">
        <v>2604000251</v>
      </c>
      <c r="AE850">
        <v>0</v>
      </c>
      <c r="AF850">
        <v>1</v>
      </c>
      <c r="AG850">
        <v>0</v>
      </c>
      <c r="AH850">
        <v>1.1000000000000001</v>
      </c>
      <c r="AI850" t="s">
        <v>56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 t="s">
        <v>57</v>
      </c>
      <c r="AS850" t="s">
        <v>2026</v>
      </c>
      <c r="AT850" t="s">
        <v>2026</v>
      </c>
      <c r="AU850" t="s">
        <v>2025</v>
      </c>
      <c r="AV850" t="s">
        <v>2027</v>
      </c>
      <c r="AW850" t="s">
        <v>2028</v>
      </c>
      <c r="AZ850">
        <v>95610</v>
      </c>
      <c r="BA850" t="s">
        <v>290</v>
      </c>
      <c r="BB850" t="s">
        <v>61</v>
      </c>
      <c r="BC850" t="s">
        <v>62</v>
      </c>
    </row>
    <row r="851" spans="1:55" x14ac:dyDescent="0.25">
      <c r="A851" s="1" t="str">
        <f>IF(COUNTIF(Catégories!A:A,X851)=0,"catégorie inconnue",_xlfn.XLOOKUP(X851,Catégories!A:A,Catégories!B:B))</f>
        <v>Frêt</v>
      </c>
      <c r="B851" s="1">
        <f t="shared" si="39"/>
        <v>0</v>
      </c>
      <c r="C851" s="1">
        <f t="shared" si="40"/>
        <v>0</v>
      </c>
      <c r="D851" s="1">
        <f t="shared" si="41"/>
        <v>0</v>
      </c>
      <c r="E851" s="20">
        <f>IF(AH851&lt;&gt;0,ROUNDUP(AH851,0),IF(BB851&lt;&gt;"FR","hors France",IF(AH851&lt;&gt;0,ROUNDUP(AH851,0),_xlfn.XLOOKUP(AJ851,'PA GLS'!B:B,'PA GLS'!A:A))))</f>
        <v>2</v>
      </c>
      <c r="F851">
        <v>2501382993</v>
      </c>
      <c r="G851">
        <v>1030350167</v>
      </c>
      <c r="H851" t="s">
        <v>366</v>
      </c>
      <c r="I851">
        <v>2500034092</v>
      </c>
      <c r="J851" t="s">
        <v>50</v>
      </c>
      <c r="K851">
        <v>9000009190</v>
      </c>
      <c r="L851">
        <v>46946</v>
      </c>
      <c r="M851" t="s">
        <v>51</v>
      </c>
      <c r="N851">
        <v>9000079830</v>
      </c>
      <c r="O851" t="s">
        <v>187</v>
      </c>
      <c r="S851">
        <v>2507012387</v>
      </c>
      <c r="T851" t="s">
        <v>50</v>
      </c>
      <c r="U851" t="s">
        <v>122</v>
      </c>
      <c r="V851" t="s">
        <v>176</v>
      </c>
      <c r="W851" t="s">
        <v>177</v>
      </c>
      <c r="X851" t="s">
        <v>152</v>
      </c>
      <c r="Z851">
        <v>262</v>
      </c>
      <c r="AA851" t="s">
        <v>366</v>
      </c>
      <c r="AB851" t="s">
        <v>2029</v>
      </c>
      <c r="AC851">
        <v>2604000250</v>
      </c>
      <c r="AE851">
        <v>0</v>
      </c>
      <c r="AF851">
        <v>1</v>
      </c>
      <c r="AG851">
        <v>0</v>
      </c>
      <c r="AH851">
        <v>1.1000000000000001</v>
      </c>
      <c r="AI851" t="s">
        <v>56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 t="s">
        <v>57</v>
      </c>
      <c r="AS851" t="s">
        <v>2030</v>
      </c>
      <c r="AT851" t="s">
        <v>2030</v>
      </c>
      <c r="AU851" t="s">
        <v>2029</v>
      </c>
      <c r="AV851" t="s">
        <v>2031</v>
      </c>
      <c r="AW851" t="s">
        <v>2032</v>
      </c>
      <c r="AZ851">
        <v>95300</v>
      </c>
      <c r="BA851" t="s">
        <v>2033</v>
      </c>
      <c r="BB851" t="s">
        <v>61</v>
      </c>
      <c r="BC851" t="s">
        <v>62</v>
      </c>
    </row>
    <row r="852" spans="1:55" x14ac:dyDescent="0.25">
      <c r="A852" s="1" t="str">
        <f>IF(COUNTIF(Catégories!A:A,X852)=0,"catégorie inconnue",_xlfn.XLOOKUP(X852,Catégories!A:A,Catégories!B:B))</f>
        <v>Frêt</v>
      </c>
      <c r="B852" s="1">
        <f t="shared" si="39"/>
        <v>0</v>
      </c>
      <c r="C852" s="1">
        <f t="shared" si="40"/>
        <v>0</v>
      </c>
      <c r="D852" s="1">
        <f t="shared" si="41"/>
        <v>0</v>
      </c>
      <c r="E852" s="20">
        <f>IF(AH852&lt;&gt;0,ROUNDUP(AH852,0),IF(BB852&lt;&gt;"FR","hors France",IF(AH852&lt;&gt;0,ROUNDUP(AH852,0),_xlfn.XLOOKUP(AJ852,'PA GLS'!B:B,'PA GLS'!A:A))))</f>
        <v>1</v>
      </c>
      <c r="F852">
        <v>2501382993</v>
      </c>
      <c r="G852">
        <v>1030350167</v>
      </c>
      <c r="H852" t="s">
        <v>366</v>
      </c>
      <c r="I852">
        <v>2500034092</v>
      </c>
      <c r="J852" t="s">
        <v>50</v>
      </c>
      <c r="K852">
        <v>9000009190</v>
      </c>
      <c r="L852">
        <v>46946</v>
      </c>
      <c r="M852" t="s">
        <v>51</v>
      </c>
      <c r="N852">
        <v>9000079830</v>
      </c>
      <c r="O852" t="s">
        <v>187</v>
      </c>
      <c r="S852">
        <v>2507012387</v>
      </c>
      <c r="T852" t="s">
        <v>50</v>
      </c>
      <c r="U852" t="s">
        <v>122</v>
      </c>
      <c r="V852" t="s">
        <v>176</v>
      </c>
      <c r="W852" t="s">
        <v>177</v>
      </c>
      <c r="X852" t="s">
        <v>152</v>
      </c>
      <c r="Z852">
        <v>262</v>
      </c>
      <c r="AA852" t="s">
        <v>366</v>
      </c>
      <c r="AB852" t="s">
        <v>2071</v>
      </c>
      <c r="AC852">
        <v>2604000249</v>
      </c>
      <c r="AE852">
        <v>0</v>
      </c>
      <c r="AF852">
        <v>1</v>
      </c>
      <c r="AG852">
        <v>0</v>
      </c>
      <c r="AH852">
        <v>0.88</v>
      </c>
      <c r="AI852" t="s">
        <v>56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 t="s">
        <v>57</v>
      </c>
      <c r="AS852" t="s">
        <v>2072</v>
      </c>
      <c r="AT852" t="s">
        <v>2072</v>
      </c>
      <c r="AU852" t="s">
        <v>2071</v>
      </c>
      <c r="AV852" t="s">
        <v>2073</v>
      </c>
      <c r="AW852" t="s">
        <v>2074</v>
      </c>
      <c r="AZ852">
        <v>34070</v>
      </c>
      <c r="BA852" t="s">
        <v>230</v>
      </c>
      <c r="BB852" t="s">
        <v>61</v>
      </c>
      <c r="BC852" t="s">
        <v>62</v>
      </c>
    </row>
    <row r="853" spans="1:55" x14ac:dyDescent="0.25">
      <c r="A853" s="1" t="str">
        <f>IF(COUNTIF(Catégories!A:A,X853)=0,"catégorie inconnue",_xlfn.XLOOKUP(X853,Catégories!A:A,Catégories!B:B))</f>
        <v>Frêt</v>
      </c>
      <c r="B853" s="1">
        <f t="shared" si="39"/>
        <v>0</v>
      </c>
      <c r="C853" s="1">
        <f t="shared" si="40"/>
        <v>0</v>
      </c>
      <c r="D853" s="1">
        <f t="shared" si="41"/>
        <v>0</v>
      </c>
      <c r="E853" s="20">
        <f>IF(AH853&lt;&gt;0,ROUNDUP(AH853,0),IF(BB853&lt;&gt;"FR","hors France",IF(AH853&lt;&gt;0,ROUNDUP(AH853,0),_xlfn.XLOOKUP(AJ853,'PA GLS'!B:B,'PA GLS'!A:A))))</f>
        <v>2</v>
      </c>
      <c r="F853">
        <v>2501382993</v>
      </c>
      <c r="G853">
        <v>1030350167</v>
      </c>
      <c r="H853" t="s">
        <v>366</v>
      </c>
      <c r="I853">
        <v>2500034092</v>
      </c>
      <c r="J853" t="s">
        <v>50</v>
      </c>
      <c r="K853">
        <v>9000009190</v>
      </c>
      <c r="L853">
        <v>46946</v>
      </c>
      <c r="M853" t="s">
        <v>51</v>
      </c>
      <c r="N853">
        <v>9000079830</v>
      </c>
      <c r="O853" t="s">
        <v>187</v>
      </c>
      <c r="S853">
        <v>2507012387</v>
      </c>
      <c r="T853" t="s">
        <v>50</v>
      </c>
      <c r="U853" t="s">
        <v>122</v>
      </c>
      <c r="V853" t="s">
        <v>176</v>
      </c>
      <c r="W853" t="s">
        <v>177</v>
      </c>
      <c r="X853" t="s">
        <v>152</v>
      </c>
      <c r="Z853">
        <v>262</v>
      </c>
      <c r="AA853" t="s">
        <v>366</v>
      </c>
      <c r="AB853" t="s">
        <v>2034</v>
      </c>
      <c r="AC853">
        <v>2604000248</v>
      </c>
      <c r="AE853">
        <v>0</v>
      </c>
      <c r="AF853">
        <v>1</v>
      </c>
      <c r="AG853">
        <v>0</v>
      </c>
      <c r="AH853">
        <v>1.1399999999999999</v>
      </c>
      <c r="AI853" t="s">
        <v>56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 t="s">
        <v>57</v>
      </c>
      <c r="AS853" t="s">
        <v>2035</v>
      </c>
      <c r="AT853" t="s">
        <v>2035</v>
      </c>
      <c r="AU853" t="s">
        <v>2034</v>
      </c>
      <c r="AV853" t="s">
        <v>2036</v>
      </c>
      <c r="AW853" t="s">
        <v>2037</v>
      </c>
      <c r="AZ853">
        <v>14850</v>
      </c>
      <c r="BA853" t="s">
        <v>2038</v>
      </c>
      <c r="BB853" t="s">
        <v>61</v>
      </c>
      <c r="BC853" t="s">
        <v>62</v>
      </c>
    </row>
    <row r="854" spans="1:55" x14ac:dyDescent="0.25">
      <c r="A854" s="1" t="str">
        <f>IF(COUNTIF(Catégories!A:A,X854)=0,"catégorie inconnue",_xlfn.XLOOKUP(X854,Catégories!A:A,Catégories!B:B))</f>
        <v>Frêt</v>
      </c>
      <c r="B854" s="1">
        <f t="shared" si="39"/>
        <v>0</v>
      </c>
      <c r="C854" s="1">
        <f t="shared" si="40"/>
        <v>0</v>
      </c>
      <c r="D854" s="1">
        <f t="shared" si="41"/>
        <v>0</v>
      </c>
      <c r="E854" s="20">
        <f>IF(AH854&lt;&gt;0,ROUNDUP(AH854,0),IF(BB854&lt;&gt;"FR","hors France",IF(AH854&lt;&gt;0,ROUNDUP(AH854,0),_xlfn.XLOOKUP(AJ854,'PA GLS'!B:B,'PA GLS'!A:A))))</f>
        <v>2</v>
      </c>
      <c r="F854">
        <v>2501382993</v>
      </c>
      <c r="G854">
        <v>1030350167</v>
      </c>
      <c r="H854" t="s">
        <v>366</v>
      </c>
      <c r="I854">
        <v>2500034092</v>
      </c>
      <c r="J854" t="s">
        <v>50</v>
      </c>
      <c r="K854">
        <v>9000009190</v>
      </c>
      <c r="L854">
        <v>46946</v>
      </c>
      <c r="M854" t="s">
        <v>51</v>
      </c>
      <c r="N854">
        <v>9000079830</v>
      </c>
      <c r="O854" t="s">
        <v>187</v>
      </c>
      <c r="S854">
        <v>2507012387</v>
      </c>
      <c r="T854" t="s">
        <v>50</v>
      </c>
      <c r="U854" t="s">
        <v>122</v>
      </c>
      <c r="V854" t="s">
        <v>176</v>
      </c>
      <c r="W854" t="s">
        <v>177</v>
      </c>
      <c r="X854" t="s">
        <v>152</v>
      </c>
      <c r="Z854">
        <v>262</v>
      </c>
      <c r="AA854" t="s">
        <v>366</v>
      </c>
      <c r="AB854" t="s">
        <v>2039</v>
      </c>
      <c r="AC854">
        <v>2604000247</v>
      </c>
      <c r="AE854">
        <v>0</v>
      </c>
      <c r="AF854">
        <v>1</v>
      </c>
      <c r="AG854">
        <v>0</v>
      </c>
      <c r="AH854">
        <v>1.05</v>
      </c>
      <c r="AI854" t="s">
        <v>56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 t="s">
        <v>57</v>
      </c>
      <c r="AS854" t="s">
        <v>2040</v>
      </c>
      <c r="AT854" t="s">
        <v>2040</v>
      </c>
      <c r="AU854" t="s">
        <v>2039</v>
      </c>
      <c r="AV854" t="s">
        <v>2041</v>
      </c>
      <c r="AW854" t="s">
        <v>2042</v>
      </c>
      <c r="AZ854">
        <v>75011</v>
      </c>
      <c r="BA854" t="s">
        <v>65</v>
      </c>
      <c r="BB854" t="s">
        <v>61</v>
      </c>
      <c r="BC854" t="s">
        <v>62</v>
      </c>
    </row>
    <row r="855" spans="1:55" x14ac:dyDescent="0.25">
      <c r="A855" s="1" t="str">
        <f>IF(COUNTIF(Catégories!A:A,X855)=0,"catégorie inconnue",_xlfn.XLOOKUP(X855,Catégories!A:A,Catégories!B:B))</f>
        <v>Frêt</v>
      </c>
      <c r="B855" s="1">
        <f t="shared" si="39"/>
        <v>0</v>
      </c>
      <c r="C855" s="1">
        <f t="shared" si="40"/>
        <v>0</v>
      </c>
      <c r="D855" s="1">
        <f t="shared" si="41"/>
        <v>0</v>
      </c>
      <c r="E855" s="20">
        <f>IF(AH855&lt;&gt;0,ROUNDUP(AH855,0),IF(BB855&lt;&gt;"FR","hors France",IF(AH855&lt;&gt;0,ROUNDUP(AH855,0),_xlfn.XLOOKUP(AJ855,'PA GLS'!B:B,'PA GLS'!A:A))))</f>
        <v>2</v>
      </c>
      <c r="F855">
        <v>2501382993</v>
      </c>
      <c r="G855">
        <v>1030350167</v>
      </c>
      <c r="H855" t="s">
        <v>366</v>
      </c>
      <c r="I855">
        <v>2500034092</v>
      </c>
      <c r="J855" t="s">
        <v>50</v>
      </c>
      <c r="K855">
        <v>9000009190</v>
      </c>
      <c r="L855">
        <v>46946</v>
      </c>
      <c r="M855" t="s">
        <v>51</v>
      </c>
      <c r="N855">
        <v>9000079830</v>
      </c>
      <c r="O855" t="s">
        <v>187</v>
      </c>
      <c r="S855">
        <v>2507012387</v>
      </c>
      <c r="T855" t="s">
        <v>50</v>
      </c>
      <c r="U855" t="s">
        <v>122</v>
      </c>
      <c r="V855" t="s">
        <v>176</v>
      </c>
      <c r="W855" t="s">
        <v>177</v>
      </c>
      <c r="X855" t="s">
        <v>152</v>
      </c>
      <c r="Z855">
        <v>262</v>
      </c>
      <c r="AA855" t="s">
        <v>366</v>
      </c>
      <c r="AB855" t="s">
        <v>2043</v>
      </c>
      <c r="AC855">
        <v>2604000246</v>
      </c>
      <c r="AE855">
        <v>0</v>
      </c>
      <c r="AF855">
        <v>1</v>
      </c>
      <c r="AG855">
        <v>0</v>
      </c>
      <c r="AH855">
        <v>1.1399999999999999</v>
      </c>
      <c r="AI855" t="s">
        <v>56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 t="s">
        <v>57</v>
      </c>
      <c r="AS855" t="s">
        <v>2044</v>
      </c>
      <c r="AT855" t="s">
        <v>2044</v>
      </c>
      <c r="AU855" t="s">
        <v>2043</v>
      </c>
      <c r="AV855" t="s">
        <v>2045</v>
      </c>
      <c r="AW855" t="s">
        <v>2046</v>
      </c>
      <c r="AZ855">
        <v>84210</v>
      </c>
      <c r="BA855" t="s">
        <v>2047</v>
      </c>
      <c r="BB855" t="s">
        <v>61</v>
      </c>
      <c r="BC855" t="s">
        <v>62</v>
      </c>
    </row>
    <row r="856" spans="1:55" x14ac:dyDescent="0.25">
      <c r="A856" s="1" t="str">
        <f>IF(COUNTIF(Catégories!A:A,X856)=0,"catégorie inconnue",_xlfn.XLOOKUP(X856,Catégories!A:A,Catégories!B:B))</f>
        <v>Frêt</v>
      </c>
      <c r="B856" s="1">
        <f t="shared" si="39"/>
        <v>0</v>
      </c>
      <c r="C856" s="1">
        <f t="shared" si="40"/>
        <v>0</v>
      </c>
      <c r="D856" s="1">
        <f t="shared" si="41"/>
        <v>0</v>
      </c>
      <c r="E856" s="20">
        <f>IF(AH856&lt;&gt;0,ROUNDUP(AH856,0),IF(BB856&lt;&gt;"FR","hors France",IF(AH856&lt;&gt;0,ROUNDUP(AH856,0),_xlfn.XLOOKUP(AJ856,'PA GLS'!B:B,'PA GLS'!A:A))))</f>
        <v>2</v>
      </c>
      <c r="F856">
        <v>2501382993</v>
      </c>
      <c r="G856">
        <v>1030350167</v>
      </c>
      <c r="H856" t="s">
        <v>366</v>
      </c>
      <c r="I856">
        <v>2500034092</v>
      </c>
      <c r="J856" t="s">
        <v>50</v>
      </c>
      <c r="K856">
        <v>9000009190</v>
      </c>
      <c r="L856">
        <v>46946</v>
      </c>
      <c r="M856" t="s">
        <v>51</v>
      </c>
      <c r="N856">
        <v>9000079830</v>
      </c>
      <c r="O856" t="s">
        <v>187</v>
      </c>
      <c r="S856">
        <v>2507012387</v>
      </c>
      <c r="T856" t="s">
        <v>50</v>
      </c>
      <c r="U856" t="s">
        <v>122</v>
      </c>
      <c r="V856" t="s">
        <v>176</v>
      </c>
      <c r="W856" t="s">
        <v>177</v>
      </c>
      <c r="X856" t="s">
        <v>152</v>
      </c>
      <c r="Z856">
        <v>262</v>
      </c>
      <c r="AA856" t="s">
        <v>366</v>
      </c>
      <c r="AB856" t="s">
        <v>2048</v>
      </c>
      <c r="AC856">
        <v>2604000245</v>
      </c>
      <c r="AE856">
        <v>0</v>
      </c>
      <c r="AF856">
        <v>1</v>
      </c>
      <c r="AG856">
        <v>0</v>
      </c>
      <c r="AH856">
        <v>1.1599999999999999</v>
      </c>
      <c r="AI856" t="s">
        <v>56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 t="s">
        <v>57</v>
      </c>
      <c r="AS856" t="s">
        <v>2049</v>
      </c>
      <c r="AT856" t="s">
        <v>2049</v>
      </c>
      <c r="AU856" t="s">
        <v>2048</v>
      </c>
      <c r="AV856" t="s">
        <v>2050</v>
      </c>
      <c r="AW856" t="s">
        <v>2051</v>
      </c>
      <c r="AZ856">
        <v>69007</v>
      </c>
      <c r="BA856" t="s">
        <v>2052</v>
      </c>
      <c r="BB856" t="s">
        <v>61</v>
      </c>
      <c r="BC856" t="s">
        <v>62</v>
      </c>
    </row>
    <row r="857" spans="1:55" x14ac:dyDescent="0.25">
      <c r="A857" s="1" t="str">
        <f>IF(COUNTIF(Catégories!A:A,X857)=0,"catégorie inconnue",_xlfn.XLOOKUP(X857,Catégories!A:A,Catégories!B:B))</f>
        <v>Frais de gestion</v>
      </c>
      <c r="B857" s="1">
        <f t="shared" si="39"/>
        <v>33.71</v>
      </c>
      <c r="C857" s="1">
        <f t="shared" si="40"/>
        <v>0</v>
      </c>
      <c r="D857" s="1">
        <f t="shared" si="41"/>
        <v>33.71</v>
      </c>
      <c r="E857" s="20" t="str">
        <f>IF(AH857&lt;&gt;0,ROUNDUP(AH857,0),IF(BB857&lt;&gt;"FR","hors France",IF(AH857&lt;&gt;0,ROUNDUP(AH857,0),_xlfn.XLOOKUP(AJ857,'PA GLS'!B:B,'PA GLS'!A:A))))</f>
        <v>hors France</v>
      </c>
      <c r="F857">
        <v>2501382993</v>
      </c>
      <c r="G857">
        <v>70664637</v>
      </c>
      <c r="H857" t="s">
        <v>366</v>
      </c>
      <c r="I857">
        <v>2500034092</v>
      </c>
      <c r="J857" t="s">
        <v>50</v>
      </c>
      <c r="K857">
        <v>9000009190</v>
      </c>
      <c r="L857">
        <v>46946</v>
      </c>
      <c r="M857" t="s">
        <v>51</v>
      </c>
      <c r="N857">
        <v>9000037814</v>
      </c>
      <c r="O857" t="s">
        <v>51</v>
      </c>
      <c r="S857">
        <v>2507012387</v>
      </c>
      <c r="T857" t="s">
        <v>50</v>
      </c>
      <c r="U857" t="s">
        <v>52</v>
      </c>
      <c r="V857" t="s">
        <v>53</v>
      </c>
      <c r="W857" t="s">
        <v>54</v>
      </c>
      <c r="X857" t="s">
        <v>55</v>
      </c>
      <c r="Z857">
        <v>16</v>
      </c>
      <c r="AA857" t="s">
        <v>366</v>
      </c>
      <c r="AB857"/>
      <c r="AE857">
        <v>0</v>
      </c>
      <c r="AF857">
        <v>0</v>
      </c>
      <c r="AG857">
        <v>0</v>
      </c>
      <c r="AH857">
        <v>0</v>
      </c>
      <c r="AI857" t="s">
        <v>56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33.71</v>
      </c>
      <c r="AQ857" t="s">
        <v>57</v>
      </c>
    </row>
    <row r="858" spans="1:55" x14ac:dyDescent="0.25">
      <c r="A858" s="1" t="str">
        <f>IF(COUNTIF(Catégories!A:A,X858)=0,"catégorie inconnue",_xlfn.XLOOKUP(X858,Catégories!A:A,Catégories!B:B))</f>
        <v>Frêt</v>
      </c>
      <c r="B858" s="1">
        <f t="shared" si="39"/>
        <v>0</v>
      </c>
      <c r="C858" s="1">
        <f t="shared" si="40"/>
        <v>0</v>
      </c>
      <c r="D858" s="1">
        <f t="shared" si="41"/>
        <v>0</v>
      </c>
      <c r="E858" s="20" t="str">
        <f>IF(AH858&lt;&gt;0,ROUNDUP(AH858,0),IF(BB858&lt;&gt;"FR","hors France",IF(AH858&lt;&gt;0,ROUNDUP(AH858,0),_xlfn.XLOOKUP(AJ858,'PA GLS'!B:B,'PA GLS'!A:A))))</f>
        <v>hors France</v>
      </c>
      <c r="F858">
        <v>2501382993</v>
      </c>
      <c r="G858">
        <v>60224830</v>
      </c>
      <c r="H858" t="s">
        <v>366</v>
      </c>
      <c r="I858">
        <v>2500034092</v>
      </c>
      <c r="J858" t="s">
        <v>50</v>
      </c>
      <c r="K858">
        <v>9000009190</v>
      </c>
      <c r="L858">
        <v>46946</v>
      </c>
      <c r="M858" t="s">
        <v>51</v>
      </c>
      <c r="N858">
        <v>9000082814</v>
      </c>
      <c r="O858" t="s">
        <v>184</v>
      </c>
      <c r="S858">
        <v>2507012387</v>
      </c>
      <c r="T858" t="s">
        <v>50</v>
      </c>
      <c r="U858" t="s">
        <v>219</v>
      </c>
      <c r="V858" t="s">
        <v>220</v>
      </c>
      <c r="W858" t="s">
        <v>221</v>
      </c>
      <c r="X858" t="s">
        <v>172</v>
      </c>
      <c r="Z858">
        <v>15</v>
      </c>
      <c r="AA858" t="s">
        <v>366</v>
      </c>
      <c r="AB858"/>
      <c r="AE858">
        <v>0</v>
      </c>
      <c r="AF858">
        <v>0</v>
      </c>
      <c r="AG858">
        <v>0</v>
      </c>
      <c r="AH858">
        <v>0</v>
      </c>
      <c r="AI858" t="s">
        <v>56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 t="s">
        <v>57</v>
      </c>
    </row>
    <row r="859" spans="1:55" x14ac:dyDescent="0.25">
      <c r="A859" s="1" t="str">
        <f>IF(COUNTIF(Catégories!A:A,X859)=0,"catégorie inconnue",_xlfn.XLOOKUP(X859,Catégories!A:A,Catégories!B:B))</f>
        <v>Frêt</v>
      </c>
      <c r="B859" s="1">
        <f t="shared" si="39"/>
        <v>0</v>
      </c>
      <c r="C859" s="1">
        <f t="shared" si="40"/>
        <v>0</v>
      </c>
      <c r="D859" s="1">
        <f t="shared" si="41"/>
        <v>0</v>
      </c>
      <c r="E859" s="20" t="str">
        <f>IF(AH859&lt;&gt;0,ROUNDUP(AH859,0),IF(BB859&lt;&gt;"FR","hors France",IF(AH859&lt;&gt;0,ROUNDUP(AH859,0),_xlfn.XLOOKUP(AJ859,'PA GLS'!B:B,'PA GLS'!A:A))))</f>
        <v>hors France</v>
      </c>
      <c r="F859">
        <v>2501382993</v>
      </c>
      <c r="G859">
        <v>60224829</v>
      </c>
      <c r="H859" t="s">
        <v>366</v>
      </c>
      <c r="I859">
        <v>2500034092</v>
      </c>
      <c r="J859" t="s">
        <v>50</v>
      </c>
      <c r="K859">
        <v>9000009190</v>
      </c>
      <c r="L859">
        <v>46946</v>
      </c>
      <c r="M859" t="s">
        <v>51</v>
      </c>
      <c r="N859">
        <v>9000084611</v>
      </c>
      <c r="O859" t="s">
        <v>300</v>
      </c>
      <c r="S859">
        <v>2507012387</v>
      </c>
      <c r="T859" t="s">
        <v>50</v>
      </c>
      <c r="U859" t="s">
        <v>219</v>
      </c>
      <c r="V859" t="s">
        <v>220</v>
      </c>
      <c r="W859" t="s">
        <v>221</v>
      </c>
      <c r="X859" t="s">
        <v>172</v>
      </c>
      <c r="Z859">
        <v>14</v>
      </c>
      <c r="AA859" t="s">
        <v>366</v>
      </c>
      <c r="AB859"/>
      <c r="AE859">
        <v>0</v>
      </c>
      <c r="AF859">
        <v>0</v>
      </c>
      <c r="AG859">
        <v>0</v>
      </c>
      <c r="AH859">
        <v>0</v>
      </c>
      <c r="AI859" t="s">
        <v>56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 t="s">
        <v>57</v>
      </c>
    </row>
    <row r="860" spans="1:55" x14ac:dyDescent="0.25">
      <c r="A860" s="1" t="str">
        <f>IF(COUNTIF(Catégories!A:A,X860)=0,"catégorie inconnue",_xlfn.XLOOKUP(X860,Catégories!A:A,Catégories!B:B))</f>
        <v>Frêt</v>
      </c>
      <c r="B860" s="1">
        <f t="shared" si="39"/>
        <v>0</v>
      </c>
      <c r="C860" s="1">
        <f t="shared" si="40"/>
        <v>0</v>
      </c>
      <c r="D860" s="1">
        <f t="shared" si="41"/>
        <v>0</v>
      </c>
      <c r="E860" s="20" t="str">
        <f>IF(AH860&lt;&gt;0,ROUNDUP(AH860,0),IF(BB860&lt;&gt;"FR","hors France",IF(AH860&lt;&gt;0,ROUNDUP(AH860,0),_xlfn.XLOOKUP(AJ860,'PA GLS'!B:B,'PA GLS'!A:A))))</f>
        <v>hors France</v>
      </c>
      <c r="F860">
        <v>2501382993</v>
      </c>
      <c r="G860">
        <v>60224828</v>
      </c>
      <c r="H860" t="s">
        <v>366</v>
      </c>
      <c r="I860">
        <v>2500034092</v>
      </c>
      <c r="J860" t="s">
        <v>50</v>
      </c>
      <c r="K860">
        <v>9000009190</v>
      </c>
      <c r="L860">
        <v>46946</v>
      </c>
      <c r="M860" t="s">
        <v>51</v>
      </c>
      <c r="N860">
        <v>9000037814</v>
      </c>
      <c r="O860" t="s">
        <v>51</v>
      </c>
      <c r="S860">
        <v>2507012387</v>
      </c>
      <c r="T860" t="s">
        <v>50</v>
      </c>
      <c r="U860" t="s">
        <v>219</v>
      </c>
      <c r="V860" t="s">
        <v>220</v>
      </c>
      <c r="W860" t="s">
        <v>221</v>
      </c>
      <c r="X860" t="s">
        <v>172</v>
      </c>
      <c r="Z860">
        <v>13</v>
      </c>
      <c r="AA860" t="s">
        <v>366</v>
      </c>
      <c r="AB860"/>
      <c r="AE860">
        <v>0</v>
      </c>
      <c r="AF860">
        <v>0</v>
      </c>
      <c r="AG860">
        <v>0</v>
      </c>
      <c r="AH860">
        <v>0</v>
      </c>
      <c r="AI860" t="s">
        <v>56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 t="s">
        <v>57</v>
      </c>
    </row>
    <row r="861" spans="1:55" x14ac:dyDescent="0.25">
      <c r="A861" s="1" t="str">
        <f>IF(COUNTIF(Catégories!A:A,X861)=0,"catégorie inconnue",_xlfn.XLOOKUP(X861,Catégories!A:A,Catégories!B:B))</f>
        <v>Frêt</v>
      </c>
      <c r="B861" s="1">
        <f t="shared" si="39"/>
        <v>0</v>
      </c>
      <c r="C861" s="1">
        <f t="shared" si="40"/>
        <v>0</v>
      </c>
      <c r="D861" s="1">
        <f t="shared" si="41"/>
        <v>0</v>
      </c>
      <c r="E861" s="20" t="str">
        <f>IF(AH861&lt;&gt;0,ROUNDUP(AH861,0),IF(BB861&lt;&gt;"FR","hors France",IF(AH861&lt;&gt;0,ROUNDUP(AH861,0),_xlfn.XLOOKUP(AJ861,'PA GLS'!B:B,'PA GLS'!A:A))))</f>
        <v>hors France</v>
      </c>
      <c r="F861">
        <v>2501382993</v>
      </c>
      <c r="G861">
        <v>60224827</v>
      </c>
      <c r="H861" t="s">
        <v>366</v>
      </c>
      <c r="I861">
        <v>2500034092</v>
      </c>
      <c r="J861" t="s">
        <v>50</v>
      </c>
      <c r="K861">
        <v>9000009190</v>
      </c>
      <c r="L861">
        <v>46946</v>
      </c>
      <c r="M861" t="s">
        <v>51</v>
      </c>
      <c r="N861">
        <v>9000079829</v>
      </c>
      <c r="O861" t="s">
        <v>156</v>
      </c>
      <c r="S861">
        <v>2507012387</v>
      </c>
      <c r="T861" t="s">
        <v>50</v>
      </c>
      <c r="U861" t="s">
        <v>219</v>
      </c>
      <c r="V861" t="s">
        <v>220</v>
      </c>
      <c r="W861" t="s">
        <v>221</v>
      </c>
      <c r="X861" t="s">
        <v>172</v>
      </c>
      <c r="Z861">
        <v>12</v>
      </c>
      <c r="AA861" t="s">
        <v>366</v>
      </c>
      <c r="AB861"/>
      <c r="AE861">
        <v>0</v>
      </c>
      <c r="AF861">
        <v>0</v>
      </c>
      <c r="AG861">
        <v>0</v>
      </c>
      <c r="AH861">
        <v>0</v>
      </c>
      <c r="AI861" t="s">
        <v>56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 t="s">
        <v>57</v>
      </c>
    </row>
    <row r="862" spans="1:55" x14ac:dyDescent="0.25">
      <c r="A862" s="1" t="str">
        <f>IF(COUNTIF(Catégories!A:A,X862)=0,"catégorie inconnue",_xlfn.XLOOKUP(X862,Catégories!A:A,Catégories!B:B))</f>
        <v>Frêt</v>
      </c>
      <c r="B862" s="1">
        <f t="shared" si="39"/>
        <v>0</v>
      </c>
      <c r="C862" s="1">
        <f t="shared" si="40"/>
        <v>0</v>
      </c>
      <c r="D862" s="1">
        <f t="shared" si="41"/>
        <v>0</v>
      </c>
      <c r="E862" s="20" t="str">
        <f>IF(AH862&lt;&gt;0,ROUNDUP(AH862,0),IF(BB862&lt;&gt;"FR","hors France",IF(AH862&lt;&gt;0,ROUNDUP(AH862,0),_xlfn.XLOOKUP(AJ862,'PA GLS'!B:B,'PA GLS'!A:A))))</f>
        <v>hors France</v>
      </c>
      <c r="F862">
        <v>2501382993</v>
      </c>
      <c r="G862">
        <v>60224826</v>
      </c>
      <c r="H862" t="s">
        <v>366</v>
      </c>
      <c r="I862">
        <v>2500034092</v>
      </c>
      <c r="J862" t="s">
        <v>50</v>
      </c>
      <c r="K862">
        <v>9000009190</v>
      </c>
      <c r="L862">
        <v>46946</v>
      </c>
      <c r="M862" t="s">
        <v>51</v>
      </c>
      <c r="N862">
        <v>9000082822</v>
      </c>
      <c r="O862" t="s">
        <v>175</v>
      </c>
      <c r="S862">
        <v>2507012387</v>
      </c>
      <c r="T862" t="s">
        <v>50</v>
      </c>
      <c r="U862" t="s">
        <v>219</v>
      </c>
      <c r="V862" t="s">
        <v>220</v>
      </c>
      <c r="W862" t="s">
        <v>221</v>
      </c>
      <c r="X862" t="s">
        <v>172</v>
      </c>
      <c r="Z862">
        <v>11</v>
      </c>
      <c r="AA862" t="s">
        <v>366</v>
      </c>
      <c r="AB862"/>
      <c r="AE862">
        <v>0</v>
      </c>
      <c r="AF862">
        <v>0</v>
      </c>
      <c r="AG862">
        <v>0</v>
      </c>
      <c r="AH862">
        <v>0</v>
      </c>
      <c r="AI862" t="s">
        <v>56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 t="s">
        <v>57</v>
      </c>
    </row>
    <row r="863" spans="1:55" x14ac:dyDescent="0.25">
      <c r="A863" s="1" t="str">
        <f>IF(COUNTIF(Catégories!A:A,X863)=0,"catégorie inconnue",_xlfn.XLOOKUP(X863,Catégories!A:A,Catégories!B:B))</f>
        <v>Frêt</v>
      </c>
      <c r="B863" s="1">
        <f t="shared" si="39"/>
        <v>0</v>
      </c>
      <c r="C863" s="1">
        <f t="shared" si="40"/>
        <v>0</v>
      </c>
      <c r="D863" s="1">
        <f t="shared" si="41"/>
        <v>0</v>
      </c>
      <c r="E863" s="20" t="str">
        <f>IF(AH863&lt;&gt;0,ROUNDUP(AH863,0),IF(BB863&lt;&gt;"FR","hors France",IF(AH863&lt;&gt;0,ROUNDUP(AH863,0),_xlfn.XLOOKUP(AJ863,'PA GLS'!B:B,'PA GLS'!A:A))))</f>
        <v>hors France</v>
      </c>
      <c r="F863">
        <v>2501382993</v>
      </c>
      <c r="G863">
        <v>60224825</v>
      </c>
      <c r="H863" t="s">
        <v>366</v>
      </c>
      <c r="I863">
        <v>2500034092</v>
      </c>
      <c r="J863" t="s">
        <v>50</v>
      </c>
      <c r="K863">
        <v>9000009190</v>
      </c>
      <c r="L863">
        <v>46946</v>
      </c>
      <c r="M863" t="s">
        <v>51</v>
      </c>
      <c r="N863">
        <v>9000079830</v>
      </c>
      <c r="O863" t="s">
        <v>187</v>
      </c>
      <c r="S863">
        <v>2507012387</v>
      </c>
      <c r="T863" t="s">
        <v>50</v>
      </c>
      <c r="U863" t="s">
        <v>219</v>
      </c>
      <c r="V863" t="s">
        <v>220</v>
      </c>
      <c r="W863" t="s">
        <v>221</v>
      </c>
      <c r="X863" t="s">
        <v>172</v>
      </c>
      <c r="Z863">
        <v>10</v>
      </c>
      <c r="AA863" t="s">
        <v>366</v>
      </c>
      <c r="AB863"/>
      <c r="AE863">
        <v>0</v>
      </c>
      <c r="AF863">
        <v>0</v>
      </c>
      <c r="AG863">
        <v>0</v>
      </c>
      <c r="AH863">
        <v>0</v>
      </c>
      <c r="AI863" t="s">
        <v>56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 t="s">
        <v>57</v>
      </c>
    </row>
    <row r="864" spans="1:55" x14ac:dyDescent="0.25">
      <c r="A864" s="1" t="str">
        <f>IF(COUNTIF(Catégories!A:A,X864)=0,"catégorie inconnue",_xlfn.XLOOKUP(X864,Catégories!A:A,Catégories!B:B))</f>
        <v>Frêt</v>
      </c>
      <c r="B864" s="1">
        <f t="shared" si="39"/>
        <v>0</v>
      </c>
      <c r="C864" s="1">
        <f t="shared" si="40"/>
        <v>0</v>
      </c>
      <c r="D864" s="1">
        <f t="shared" si="41"/>
        <v>0</v>
      </c>
      <c r="E864" s="20">
        <f>IF(AH864&lt;&gt;0,ROUNDUP(AH864,0),IF(BB864&lt;&gt;"FR","hors France",IF(AH864&lt;&gt;0,ROUNDUP(AH864,0),_xlfn.XLOOKUP(AJ864,'PA GLS'!B:B,'PA GLS'!A:A))))</f>
        <v>1</v>
      </c>
      <c r="F864">
        <v>2501382993</v>
      </c>
      <c r="G864">
        <v>1030314225</v>
      </c>
      <c r="H864" t="s">
        <v>366</v>
      </c>
      <c r="I864">
        <v>2500034092</v>
      </c>
      <c r="J864" t="s">
        <v>50</v>
      </c>
      <c r="K864">
        <v>9000009190</v>
      </c>
      <c r="L864">
        <v>46946</v>
      </c>
      <c r="M864" t="s">
        <v>51</v>
      </c>
      <c r="N864">
        <v>9000037814</v>
      </c>
      <c r="O864" t="s">
        <v>51</v>
      </c>
      <c r="S864">
        <v>2507012387</v>
      </c>
      <c r="T864" t="s">
        <v>50</v>
      </c>
      <c r="U864" t="s">
        <v>122</v>
      </c>
      <c r="V864" t="s">
        <v>176</v>
      </c>
      <c r="W864" t="s">
        <v>177</v>
      </c>
      <c r="X864" t="s">
        <v>152</v>
      </c>
      <c r="Z864">
        <v>237</v>
      </c>
      <c r="AA864" t="s">
        <v>366</v>
      </c>
      <c r="AB864" t="s">
        <v>2244</v>
      </c>
      <c r="AC864">
        <v>2604000139</v>
      </c>
      <c r="AE864">
        <v>0</v>
      </c>
      <c r="AF864">
        <v>1</v>
      </c>
      <c r="AG864">
        <v>0</v>
      </c>
      <c r="AH864">
        <v>0.42</v>
      </c>
      <c r="AI864" t="s">
        <v>56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 t="s">
        <v>57</v>
      </c>
      <c r="AS864" t="s">
        <v>2245</v>
      </c>
      <c r="AT864" t="s">
        <v>2245</v>
      </c>
      <c r="AU864" t="s">
        <v>2244</v>
      </c>
      <c r="AV864" t="s">
        <v>2246</v>
      </c>
      <c r="AW864" t="s">
        <v>2247</v>
      </c>
      <c r="AZ864">
        <v>62520</v>
      </c>
      <c r="BA864" t="s">
        <v>2248</v>
      </c>
      <c r="BB864" t="s">
        <v>61</v>
      </c>
      <c r="BC864" t="s">
        <v>62</v>
      </c>
    </row>
    <row r="865" spans="1:55" x14ac:dyDescent="0.25">
      <c r="A865" s="1" t="str">
        <f>IF(COUNTIF(Catégories!A:A,X865)=0,"catégorie inconnue",_xlfn.XLOOKUP(X865,Catégories!A:A,Catégories!B:B))</f>
        <v>Frêt</v>
      </c>
      <c r="B865" s="1">
        <f t="shared" si="39"/>
        <v>9.120000000000001</v>
      </c>
      <c r="C865" s="1">
        <f t="shared" si="40"/>
        <v>4.3</v>
      </c>
      <c r="D865" s="1">
        <f t="shared" si="41"/>
        <v>4.8200000000000012</v>
      </c>
      <c r="E865" s="20">
        <f>IF(AH865&lt;&gt;0,ROUNDUP(AH865,0),IF(BB865&lt;&gt;"FR","hors France",IF(AH865&lt;&gt;0,ROUNDUP(AH865,0),_xlfn.XLOOKUP(AJ865,'PA GLS'!B:B,'PA GLS'!A:A))))</f>
        <v>0.5</v>
      </c>
      <c r="F865">
        <v>2501382993</v>
      </c>
      <c r="G865">
        <v>1030314225</v>
      </c>
      <c r="H865" t="s">
        <v>366</v>
      </c>
      <c r="I865">
        <v>2500034092</v>
      </c>
      <c r="J865" t="s">
        <v>50</v>
      </c>
      <c r="K865">
        <v>9000009190</v>
      </c>
      <c r="L865">
        <v>46946</v>
      </c>
      <c r="M865" t="s">
        <v>51</v>
      </c>
      <c r="N865">
        <v>9000037814</v>
      </c>
      <c r="O865" t="s">
        <v>51</v>
      </c>
      <c r="S865">
        <v>2507012387</v>
      </c>
      <c r="T865" t="s">
        <v>50</v>
      </c>
      <c r="U865" t="s">
        <v>122</v>
      </c>
      <c r="V865" t="s">
        <v>71</v>
      </c>
      <c r="W865" t="s">
        <v>72</v>
      </c>
      <c r="X865" t="s">
        <v>60</v>
      </c>
      <c r="Z865">
        <v>238</v>
      </c>
      <c r="AA865" t="s">
        <v>366</v>
      </c>
      <c r="AB865" t="s">
        <v>2244</v>
      </c>
      <c r="AC865">
        <v>2604000139</v>
      </c>
      <c r="AE865">
        <v>0</v>
      </c>
      <c r="AF865">
        <v>0</v>
      </c>
      <c r="AG865">
        <v>0</v>
      </c>
      <c r="AH865">
        <v>0</v>
      </c>
      <c r="AI865" t="s">
        <v>56</v>
      </c>
      <c r="AJ865">
        <v>3.77</v>
      </c>
      <c r="AK865">
        <v>0.9</v>
      </c>
      <c r="AL865">
        <v>0.15</v>
      </c>
      <c r="AM865">
        <v>29.1</v>
      </c>
      <c r="AN865">
        <v>4.3</v>
      </c>
      <c r="AO865">
        <v>0</v>
      </c>
      <c r="AP865">
        <v>0</v>
      </c>
      <c r="AQ865" t="s">
        <v>57</v>
      </c>
      <c r="AS865" t="s">
        <v>2245</v>
      </c>
      <c r="AT865" t="s">
        <v>2245</v>
      </c>
      <c r="AU865" t="s">
        <v>2244</v>
      </c>
      <c r="AV865" t="s">
        <v>2246</v>
      </c>
      <c r="AW865" t="s">
        <v>2247</v>
      </c>
      <c r="AZ865">
        <v>62520</v>
      </c>
      <c r="BA865" t="s">
        <v>2248</v>
      </c>
      <c r="BB865" t="s">
        <v>61</v>
      </c>
      <c r="BC865" t="s">
        <v>62</v>
      </c>
    </row>
    <row r="866" spans="1:55" x14ac:dyDescent="0.25">
      <c r="A866" s="1" t="str">
        <f>IF(COUNTIF(Catégories!A:A,X866)=0,"catégorie inconnue",_xlfn.XLOOKUP(X866,Catégories!A:A,Catégories!B:B))</f>
        <v>Frêt</v>
      </c>
      <c r="B866" s="1">
        <f t="shared" si="39"/>
        <v>0</v>
      </c>
      <c r="C866" s="1">
        <f t="shared" si="40"/>
        <v>0</v>
      </c>
      <c r="D866" s="1">
        <f t="shared" si="41"/>
        <v>0</v>
      </c>
      <c r="E866" s="20">
        <f>IF(AH866&lt;&gt;0,ROUNDUP(AH866,0),IF(BB866&lt;&gt;"FR","hors France",IF(AH866&lt;&gt;0,ROUNDUP(AH866,0),_xlfn.XLOOKUP(AJ866,'PA GLS'!B:B,'PA GLS'!A:A))))</f>
        <v>1</v>
      </c>
      <c r="F866">
        <v>2501382993</v>
      </c>
      <c r="G866">
        <v>1030350167</v>
      </c>
      <c r="H866" t="s">
        <v>366</v>
      </c>
      <c r="I866">
        <v>2500034092</v>
      </c>
      <c r="J866" t="s">
        <v>50</v>
      </c>
      <c r="K866">
        <v>9000009190</v>
      </c>
      <c r="L866">
        <v>46946</v>
      </c>
      <c r="M866" t="s">
        <v>51</v>
      </c>
      <c r="N866">
        <v>9000079830</v>
      </c>
      <c r="O866" t="s">
        <v>187</v>
      </c>
      <c r="S866">
        <v>2507012387</v>
      </c>
      <c r="T866" t="s">
        <v>50</v>
      </c>
      <c r="U866" t="s">
        <v>122</v>
      </c>
      <c r="V866" t="s">
        <v>176</v>
      </c>
      <c r="W866" t="s">
        <v>177</v>
      </c>
      <c r="X866" t="s">
        <v>152</v>
      </c>
      <c r="Z866">
        <v>262</v>
      </c>
      <c r="AA866" t="s">
        <v>366</v>
      </c>
      <c r="AB866" t="s">
        <v>2103</v>
      </c>
      <c r="AC866">
        <v>2604000267</v>
      </c>
      <c r="AE866">
        <v>0</v>
      </c>
      <c r="AF866">
        <v>1</v>
      </c>
      <c r="AG866">
        <v>0</v>
      </c>
      <c r="AH866">
        <v>0.42</v>
      </c>
      <c r="AI866" t="s">
        <v>56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 t="s">
        <v>57</v>
      </c>
      <c r="AS866" t="s">
        <v>2104</v>
      </c>
      <c r="AT866" t="s">
        <v>2104</v>
      </c>
      <c r="AU866" t="s">
        <v>2103</v>
      </c>
      <c r="AV866" t="s">
        <v>2105</v>
      </c>
      <c r="AW866" t="s">
        <v>2106</v>
      </c>
      <c r="AZ866">
        <v>75020</v>
      </c>
      <c r="BA866" t="s">
        <v>65</v>
      </c>
      <c r="BB866" t="s">
        <v>61</v>
      </c>
      <c r="BC866" t="s">
        <v>62</v>
      </c>
    </row>
    <row r="867" spans="1:55" x14ac:dyDescent="0.25">
      <c r="A867" s="1" t="str">
        <f>IF(COUNTIF(Catégories!A:A,X867)=0,"catégorie inconnue",_xlfn.XLOOKUP(X867,Catégories!A:A,Catégories!B:B))</f>
        <v>Frêt</v>
      </c>
      <c r="B867" s="1">
        <f t="shared" si="39"/>
        <v>0</v>
      </c>
      <c r="C867" s="1">
        <f t="shared" si="40"/>
        <v>0</v>
      </c>
      <c r="D867" s="1">
        <f t="shared" si="41"/>
        <v>0</v>
      </c>
      <c r="E867" s="20">
        <f>IF(AH867&lt;&gt;0,ROUNDUP(AH867,0),IF(BB867&lt;&gt;"FR","hors France",IF(AH867&lt;&gt;0,ROUNDUP(AH867,0),_xlfn.XLOOKUP(AJ867,'PA GLS'!B:B,'PA GLS'!A:A))))</f>
        <v>3</v>
      </c>
      <c r="F867">
        <v>2501382993</v>
      </c>
      <c r="G867">
        <v>1030350167</v>
      </c>
      <c r="H867" t="s">
        <v>366</v>
      </c>
      <c r="I867">
        <v>2500034092</v>
      </c>
      <c r="J867" t="s">
        <v>50</v>
      </c>
      <c r="K867">
        <v>9000009190</v>
      </c>
      <c r="L867">
        <v>46946</v>
      </c>
      <c r="M867" t="s">
        <v>51</v>
      </c>
      <c r="N867">
        <v>9000079830</v>
      </c>
      <c r="O867" t="s">
        <v>187</v>
      </c>
      <c r="S867">
        <v>2507012387</v>
      </c>
      <c r="T867" t="s">
        <v>50</v>
      </c>
      <c r="U867" t="s">
        <v>122</v>
      </c>
      <c r="V867" t="s">
        <v>176</v>
      </c>
      <c r="W867" t="s">
        <v>177</v>
      </c>
      <c r="X867" t="s">
        <v>152</v>
      </c>
      <c r="Z867">
        <v>262</v>
      </c>
      <c r="AA867" t="s">
        <v>366</v>
      </c>
      <c r="AB867" t="s">
        <v>2148</v>
      </c>
      <c r="AC867">
        <v>2604000298</v>
      </c>
      <c r="AE867">
        <v>0</v>
      </c>
      <c r="AF867">
        <v>1</v>
      </c>
      <c r="AG867">
        <v>0</v>
      </c>
      <c r="AH867">
        <v>2.62</v>
      </c>
      <c r="AI867" t="s">
        <v>56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 t="s">
        <v>57</v>
      </c>
      <c r="AS867" t="s">
        <v>2149</v>
      </c>
      <c r="AT867" t="s">
        <v>2149</v>
      </c>
      <c r="AU867" t="s">
        <v>2148</v>
      </c>
      <c r="AV867" t="s">
        <v>2150</v>
      </c>
      <c r="AW867" t="s">
        <v>2151</v>
      </c>
      <c r="AZ867">
        <v>80000</v>
      </c>
      <c r="BA867" t="s">
        <v>295</v>
      </c>
      <c r="BB867" t="s">
        <v>61</v>
      </c>
      <c r="BC867" t="s">
        <v>62</v>
      </c>
    </row>
    <row r="868" spans="1:55" x14ac:dyDescent="0.25">
      <c r="A868" s="1" t="str">
        <f>IF(COUNTIF(Catégories!A:A,X868)=0,"catégorie inconnue",_xlfn.XLOOKUP(X868,Catégories!A:A,Catégories!B:B))</f>
        <v>Frêt</v>
      </c>
      <c r="B868" s="1">
        <f t="shared" si="39"/>
        <v>0</v>
      </c>
      <c r="C868" s="1">
        <f t="shared" si="40"/>
        <v>0</v>
      </c>
      <c r="D868" s="1">
        <f t="shared" si="41"/>
        <v>0</v>
      </c>
      <c r="E868" s="20">
        <f>IF(AH868&lt;&gt;0,ROUNDUP(AH868,0),IF(BB868&lt;&gt;"FR","hors France",IF(AH868&lt;&gt;0,ROUNDUP(AH868,0),_xlfn.XLOOKUP(AJ868,'PA GLS'!B:B,'PA GLS'!A:A))))</f>
        <v>6</v>
      </c>
      <c r="F868">
        <v>2501382993</v>
      </c>
      <c r="G868">
        <v>1030350167</v>
      </c>
      <c r="H868" t="s">
        <v>366</v>
      </c>
      <c r="I868">
        <v>2500034092</v>
      </c>
      <c r="J868" t="s">
        <v>50</v>
      </c>
      <c r="K868">
        <v>9000009190</v>
      </c>
      <c r="L868">
        <v>46946</v>
      </c>
      <c r="M868" t="s">
        <v>51</v>
      </c>
      <c r="N868">
        <v>9000079830</v>
      </c>
      <c r="O868" t="s">
        <v>187</v>
      </c>
      <c r="S868">
        <v>2507012387</v>
      </c>
      <c r="T868" t="s">
        <v>50</v>
      </c>
      <c r="U868" t="s">
        <v>122</v>
      </c>
      <c r="V868" t="s">
        <v>176</v>
      </c>
      <c r="W868" t="s">
        <v>177</v>
      </c>
      <c r="X868" t="s">
        <v>152</v>
      </c>
      <c r="Z868">
        <v>262</v>
      </c>
      <c r="AA868" t="s">
        <v>366</v>
      </c>
      <c r="AB868" t="s">
        <v>2134</v>
      </c>
      <c r="AC868">
        <v>2604000297</v>
      </c>
      <c r="AE868">
        <v>0</v>
      </c>
      <c r="AF868">
        <v>1</v>
      </c>
      <c r="AG868">
        <v>0</v>
      </c>
      <c r="AH868">
        <v>5.82</v>
      </c>
      <c r="AI868" t="s">
        <v>56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 t="s">
        <v>57</v>
      </c>
      <c r="AS868" t="s">
        <v>2135</v>
      </c>
      <c r="AT868" t="s">
        <v>2135</v>
      </c>
      <c r="AU868" t="s">
        <v>2134</v>
      </c>
      <c r="AV868" t="s">
        <v>2136</v>
      </c>
      <c r="AW868" t="s">
        <v>2137</v>
      </c>
      <c r="AZ868">
        <v>87170</v>
      </c>
      <c r="BA868" t="s">
        <v>2138</v>
      </c>
      <c r="BB868" t="s">
        <v>61</v>
      </c>
      <c r="BC868" t="s">
        <v>62</v>
      </c>
    </row>
    <row r="869" spans="1:55" x14ac:dyDescent="0.25">
      <c r="A869" s="1" t="str">
        <f>IF(COUNTIF(Catégories!A:A,X869)=0,"catégorie inconnue",_xlfn.XLOOKUP(X869,Catégories!A:A,Catégories!B:B))</f>
        <v>Frêt</v>
      </c>
      <c r="B869" s="1">
        <f t="shared" si="39"/>
        <v>0</v>
      </c>
      <c r="C869" s="1">
        <f t="shared" si="40"/>
        <v>0</v>
      </c>
      <c r="D869" s="1">
        <f t="shared" si="41"/>
        <v>0</v>
      </c>
      <c r="E869" s="20">
        <f>IF(AH869&lt;&gt;0,ROUNDUP(AH869,0),IF(BB869&lt;&gt;"FR","hors France",IF(AH869&lt;&gt;0,ROUNDUP(AH869,0),_xlfn.XLOOKUP(AJ869,'PA GLS'!B:B,'PA GLS'!A:A))))</f>
        <v>4</v>
      </c>
      <c r="F869">
        <v>2501382993</v>
      </c>
      <c r="G869">
        <v>1030350167</v>
      </c>
      <c r="H869" t="s">
        <v>366</v>
      </c>
      <c r="I869">
        <v>2500034092</v>
      </c>
      <c r="J869" t="s">
        <v>50</v>
      </c>
      <c r="K869">
        <v>9000009190</v>
      </c>
      <c r="L869">
        <v>46946</v>
      </c>
      <c r="M869" t="s">
        <v>51</v>
      </c>
      <c r="N869">
        <v>9000079830</v>
      </c>
      <c r="O869" t="s">
        <v>187</v>
      </c>
      <c r="S869">
        <v>2507012387</v>
      </c>
      <c r="T869" t="s">
        <v>50</v>
      </c>
      <c r="U869" t="s">
        <v>122</v>
      </c>
      <c r="V869" t="s">
        <v>176</v>
      </c>
      <c r="W869" t="s">
        <v>177</v>
      </c>
      <c r="X869" t="s">
        <v>152</v>
      </c>
      <c r="Z869">
        <v>262</v>
      </c>
      <c r="AA869" t="s">
        <v>366</v>
      </c>
      <c r="AB869" t="s">
        <v>2144</v>
      </c>
      <c r="AC869">
        <v>2604000296</v>
      </c>
      <c r="AE869">
        <v>0</v>
      </c>
      <c r="AF869">
        <v>1</v>
      </c>
      <c r="AG869">
        <v>0</v>
      </c>
      <c r="AH869">
        <v>3.4</v>
      </c>
      <c r="AI869" t="s">
        <v>56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 t="s">
        <v>57</v>
      </c>
      <c r="AS869" t="s">
        <v>2145</v>
      </c>
      <c r="AT869" t="s">
        <v>2145</v>
      </c>
      <c r="AU869" t="s">
        <v>2144</v>
      </c>
      <c r="AV869" t="s">
        <v>2146</v>
      </c>
      <c r="AW869" t="s">
        <v>2147</v>
      </c>
      <c r="AZ869">
        <v>75017</v>
      </c>
      <c r="BA869" t="s">
        <v>65</v>
      </c>
      <c r="BB869" t="s">
        <v>61</v>
      </c>
      <c r="BC869" t="s">
        <v>62</v>
      </c>
    </row>
    <row r="870" spans="1:55" x14ac:dyDescent="0.25">
      <c r="A870" s="1" t="str">
        <f>IF(COUNTIF(Catégories!A:A,X870)=0,"catégorie inconnue",_xlfn.XLOOKUP(X870,Catégories!A:A,Catégories!B:B))</f>
        <v>Frêt</v>
      </c>
      <c r="B870" s="1">
        <f t="shared" si="39"/>
        <v>0</v>
      </c>
      <c r="C870" s="1">
        <f t="shared" si="40"/>
        <v>0</v>
      </c>
      <c r="D870" s="1">
        <f t="shared" si="41"/>
        <v>0</v>
      </c>
      <c r="E870" s="20">
        <f>IF(AH870&lt;&gt;0,ROUNDUP(AH870,0),IF(BB870&lt;&gt;"FR","hors France",IF(AH870&lt;&gt;0,ROUNDUP(AH870,0),_xlfn.XLOOKUP(AJ870,'PA GLS'!B:B,'PA GLS'!A:A))))</f>
        <v>6</v>
      </c>
      <c r="F870">
        <v>2501382993</v>
      </c>
      <c r="G870">
        <v>1030350167</v>
      </c>
      <c r="H870" t="s">
        <v>366</v>
      </c>
      <c r="I870">
        <v>2500034092</v>
      </c>
      <c r="J870" t="s">
        <v>50</v>
      </c>
      <c r="K870">
        <v>9000009190</v>
      </c>
      <c r="L870">
        <v>46946</v>
      </c>
      <c r="M870" t="s">
        <v>51</v>
      </c>
      <c r="N870">
        <v>9000079830</v>
      </c>
      <c r="O870" t="s">
        <v>187</v>
      </c>
      <c r="S870">
        <v>2507012387</v>
      </c>
      <c r="T870" t="s">
        <v>50</v>
      </c>
      <c r="U870" t="s">
        <v>122</v>
      </c>
      <c r="V870" t="s">
        <v>176</v>
      </c>
      <c r="W870" t="s">
        <v>177</v>
      </c>
      <c r="X870" t="s">
        <v>152</v>
      </c>
      <c r="Z870">
        <v>262</v>
      </c>
      <c r="AA870" t="s">
        <v>366</v>
      </c>
      <c r="AB870" t="s">
        <v>2139</v>
      </c>
      <c r="AC870">
        <v>2604000295</v>
      </c>
      <c r="AE870">
        <v>0</v>
      </c>
      <c r="AF870">
        <v>1</v>
      </c>
      <c r="AG870">
        <v>0</v>
      </c>
      <c r="AH870">
        <v>6</v>
      </c>
      <c r="AI870" t="s">
        <v>56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 t="s">
        <v>57</v>
      </c>
      <c r="AS870" t="s">
        <v>2140</v>
      </c>
      <c r="AT870" t="s">
        <v>2140</v>
      </c>
      <c r="AU870" t="s">
        <v>2139</v>
      </c>
      <c r="AV870" t="s">
        <v>2141</v>
      </c>
      <c r="AW870" t="s">
        <v>2142</v>
      </c>
      <c r="AZ870">
        <v>59240</v>
      </c>
      <c r="BA870" t="s">
        <v>2143</v>
      </c>
      <c r="BB870" t="s">
        <v>61</v>
      </c>
      <c r="BC870" t="s">
        <v>62</v>
      </c>
    </row>
    <row r="871" spans="1:55" x14ac:dyDescent="0.25">
      <c r="A871" s="1" t="str">
        <f>IF(COUNTIF(Catégories!A:A,X871)=0,"catégorie inconnue",_xlfn.XLOOKUP(X871,Catégories!A:A,Catégories!B:B))</f>
        <v>Frêt</v>
      </c>
      <c r="B871" s="1">
        <f t="shared" si="39"/>
        <v>0</v>
      </c>
      <c r="C871" s="1">
        <f t="shared" si="40"/>
        <v>0</v>
      </c>
      <c r="D871" s="1">
        <f t="shared" si="41"/>
        <v>0</v>
      </c>
      <c r="E871" s="20">
        <f>IF(AH871&lt;&gt;0,ROUNDUP(AH871,0),IF(BB871&lt;&gt;"FR","hors France",IF(AH871&lt;&gt;0,ROUNDUP(AH871,0),_xlfn.XLOOKUP(AJ871,'PA GLS'!B:B,'PA GLS'!A:A))))</f>
        <v>2</v>
      </c>
      <c r="F871">
        <v>2501382993</v>
      </c>
      <c r="G871">
        <v>1030350167</v>
      </c>
      <c r="H871" t="s">
        <v>366</v>
      </c>
      <c r="I871">
        <v>2500034092</v>
      </c>
      <c r="J871" t="s">
        <v>50</v>
      </c>
      <c r="K871">
        <v>9000009190</v>
      </c>
      <c r="L871">
        <v>46946</v>
      </c>
      <c r="M871" t="s">
        <v>51</v>
      </c>
      <c r="N871">
        <v>9000079830</v>
      </c>
      <c r="O871" t="s">
        <v>187</v>
      </c>
      <c r="S871">
        <v>2507012387</v>
      </c>
      <c r="T871" t="s">
        <v>50</v>
      </c>
      <c r="U871" t="s">
        <v>122</v>
      </c>
      <c r="V871" t="s">
        <v>176</v>
      </c>
      <c r="W871" t="s">
        <v>177</v>
      </c>
      <c r="X871" t="s">
        <v>152</v>
      </c>
      <c r="Z871">
        <v>262</v>
      </c>
      <c r="AA871" t="s">
        <v>366</v>
      </c>
      <c r="AB871" t="s">
        <v>2162</v>
      </c>
      <c r="AC871">
        <v>2604000294</v>
      </c>
      <c r="AE871">
        <v>0</v>
      </c>
      <c r="AF871">
        <v>1</v>
      </c>
      <c r="AG871">
        <v>0</v>
      </c>
      <c r="AH871">
        <v>2</v>
      </c>
      <c r="AI871" t="s">
        <v>56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 t="s">
        <v>57</v>
      </c>
      <c r="AS871" t="s">
        <v>2163</v>
      </c>
      <c r="AT871" t="s">
        <v>2163</v>
      </c>
      <c r="AU871" t="s">
        <v>2162</v>
      </c>
      <c r="AV871" t="s">
        <v>2164</v>
      </c>
      <c r="AW871" t="s">
        <v>2165</v>
      </c>
      <c r="AZ871">
        <v>94360</v>
      </c>
      <c r="BA871" t="s">
        <v>2166</v>
      </c>
      <c r="BB871" t="s">
        <v>61</v>
      </c>
      <c r="BC871" t="s">
        <v>62</v>
      </c>
    </row>
    <row r="872" spans="1:55" x14ac:dyDescent="0.25">
      <c r="A872" s="1" t="str">
        <f>IF(COUNTIF(Catégories!A:A,X872)=0,"catégorie inconnue",_xlfn.XLOOKUP(X872,Catégories!A:A,Catégories!B:B))</f>
        <v>Frêt</v>
      </c>
      <c r="B872" s="1">
        <f t="shared" si="39"/>
        <v>0</v>
      </c>
      <c r="C872" s="1">
        <f t="shared" si="40"/>
        <v>0</v>
      </c>
      <c r="D872" s="1">
        <f t="shared" si="41"/>
        <v>0</v>
      </c>
      <c r="E872" s="20">
        <f>IF(AH872&lt;&gt;0,ROUNDUP(AH872,0),IF(BB872&lt;&gt;"FR","hors France",IF(AH872&lt;&gt;0,ROUNDUP(AH872,0),_xlfn.XLOOKUP(AJ872,'PA GLS'!B:B,'PA GLS'!A:A))))</f>
        <v>3</v>
      </c>
      <c r="F872">
        <v>2501382993</v>
      </c>
      <c r="G872">
        <v>1030350167</v>
      </c>
      <c r="H872" t="s">
        <v>366</v>
      </c>
      <c r="I872">
        <v>2500034092</v>
      </c>
      <c r="J872" t="s">
        <v>50</v>
      </c>
      <c r="K872">
        <v>9000009190</v>
      </c>
      <c r="L872">
        <v>46946</v>
      </c>
      <c r="M872" t="s">
        <v>51</v>
      </c>
      <c r="N872">
        <v>9000079830</v>
      </c>
      <c r="O872" t="s">
        <v>187</v>
      </c>
      <c r="S872">
        <v>2507012387</v>
      </c>
      <c r="T872" t="s">
        <v>50</v>
      </c>
      <c r="U872" t="s">
        <v>122</v>
      </c>
      <c r="V872" t="s">
        <v>176</v>
      </c>
      <c r="W872" t="s">
        <v>177</v>
      </c>
      <c r="X872" t="s">
        <v>152</v>
      </c>
      <c r="Z872">
        <v>262</v>
      </c>
      <c r="AA872" t="s">
        <v>366</v>
      </c>
      <c r="AB872" t="s">
        <v>2152</v>
      </c>
      <c r="AC872">
        <v>2604000293</v>
      </c>
      <c r="AE872">
        <v>0</v>
      </c>
      <c r="AF872">
        <v>1</v>
      </c>
      <c r="AG872">
        <v>0</v>
      </c>
      <c r="AH872">
        <v>2.34</v>
      </c>
      <c r="AI872" t="s">
        <v>56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 t="s">
        <v>57</v>
      </c>
      <c r="AS872" t="s">
        <v>2153</v>
      </c>
      <c r="AT872" t="s">
        <v>2153</v>
      </c>
      <c r="AU872" t="s">
        <v>2152</v>
      </c>
      <c r="AV872" t="s">
        <v>2154</v>
      </c>
      <c r="AW872" t="s">
        <v>2155</v>
      </c>
      <c r="AZ872">
        <v>30210</v>
      </c>
      <c r="BA872" t="s">
        <v>2156</v>
      </c>
      <c r="BB872" t="s">
        <v>61</v>
      </c>
      <c r="BC872" t="s">
        <v>62</v>
      </c>
    </row>
    <row r="873" spans="1:55" x14ac:dyDescent="0.25">
      <c r="A873" s="1" t="str">
        <f>IF(COUNTIF(Catégories!A:A,X873)=0,"catégorie inconnue",_xlfn.XLOOKUP(X873,Catégories!A:A,Catégories!B:B))</f>
        <v>Frêt</v>
      </c>
      <c r="B873" s="1">
        <f t="shared" si="39"/>
        <v>0</v>
      </c>
      <c r="C873" s="1">
        <f t="shared" si="40"/>
        <v>0</v>
      </c>
      <c r="D873" s="1">
        <f t="shared" si="41"/>
        <v>0</v>
      </c>
      <c r="E873" s="20">
        <f>IF(AH873&lt;&gt;0,ROUNDUP(AH873,0),IF(BB873&lt;&gt;"FR","hors France",IF(AH873&lt;&gt;0,ROUNDUP(AH873,0),_xlfn.XLOOKUP(AJ873,'PA GLS'!B:B,'PA GLS'!A:A))))</f>
        <v>2</v>
      </c>
      <c r="F873">
        <v>2501382993</v>
      </c>
      <c r="G873">
        <v>1030350167</v>
      </c>
      <c r="H873" t="s">
        <v>366</v>
      </c>
      <c r="I873">
        <v>2500034092</v>
      </c>
      <c r="J873" t="s">
        <v>50</v>
      </c>
      <c r="K873">
        <v>9000009190</v>
      </c>
      <c r="L873">
        <v>46946</v>
      </c>
      <c r="M873" t="s">
        <v>51</v>
      </c>
      <c r="N873">
        <v>9000079830</v>
      </c>
      <c r="O873" t="s">
        <v>187</v>
      </c>
      <c r="S873">
        <v>2507012387</v>
      </c>
      <c r="T873" t="s">
        <v>50</v>
      </c>
      <c r="U873" t="s">
        <v>122</v>
      </c>
      <c r="V873" t="s">
        <v>176</v>
      </c>
      <c r="W873" t="s">
        <v>177</v>
      </c>
      <c r="X873" t="s">
        <v>152</v>
      </c>
      <c r="Z873">
        <v>262</v>
      </c>
      <c r="AA873" t="s">
        <v>366</v>
      </c>
      <c r="AB873" t="s">
        <v>2191</v>
      </c>
      <c r="AC873">
        <v>2604000292</v>
      </c>
      <c r="AE873">
        <v>0</v>
      </c>
      <c r="AF873">
        <v>1</v>
      </c>
      <c r="AG873">
        <v>0</v>
      </c>
      <c r="AH873">
        <v>1.24</v>
      </c>
      <c r="AI873" t="s">
        <v>56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 t="s">
        <v>57</v>
      </c>
      <c r="AS873" t="s">
        <v>2192</v>
      </c>
      <c r="AT873" t="s">
        <v>2192</v>
      </c>
      <c r="AU873" t="s">
        <v>2191</v>
      </c>
      <c r="AV873" t="s">
        <v>2193</v>
      </c>
      <c r="AW873" t="s">
        <v>2194</v>
      </c>
      <c r="AZ873">
        <v>35700</v>
      </c>
      <c r="BA873" t="s">
        <v>386</v>
      </c>
      <c r="BB873" t="s">
        <v>61</v>
      </c>
      <c r="BC873" t="s">
        <v>62</v>
      </c>
    </row>
    <row r="874" spans="1:55" x14ac:dyDescent="0.25">
      <c r="A874" s="1" t="str">
        <f>IF(COUNTIF(Catégories!A:A,X874)=0,"catégorie inconnue",_xlfn.XLOOKUP(X874,Catégories!A:A,Catégories!B:B))</f>
        <v>Frêt</v>
      </c>
      <c r="B874" s="1">
        <f t="shared" si="39"/>
        <v>0</v>
      </c>
      <c r="C874" s="1">
        <f t="shared" si="40"/>
        <v>0</v>
      </c>
      <c r="D874" s="1">
        <f t="shared" si="41"/>
        <v>0</v>
      </c>
      <c r="E874" s="20">
        <f>IF(AH874&lt;&gt;0,ROUNDUP(AH874,0),IF(BB874&lt;&gt;"FR","hors France",IF(AH874&lt;&gt;0,ROUNDUP(AH874,0),_xlfn.XLOOKUP(AJ874,'PA GLS'!B:B,'PA GLS'!A:A))))</f>
        <v>2</v>
      </c>
      <c r="F874">
        <v>2501382993</v>
      </c>
      <c r="G874">
        <v>1030350167</v>
      </c>
      <c r="H874" t="s">
        <v>366</v>
      </c>
      <c r="I874">
        <v>2500034092</v>
      </c>
      <c r="J874" t="s">
        <v>50</v>
      </c>
      <c r="K874">
        <v>9000009190</v>
      </c>
      <c r="L874">
        <v>46946</v>
      </c>
      <c r="M874" t="s">
        <v>51</v>
      </c>
      <c r="N874">
        <v>9000079830</v>
      </c>
      <c r="O874" t="s">
        <v>187</v>
      </c>
      <c r="S874">
        <v>2507012387</v>
      </c>
      <c r="T874" t="s">
        <v>50</v>
      </c>
      <c r="U874" t="s">
        <v>122</v>
      </c>
      <c r="V874" t="s">
        <v>176</v>
      </c>
      <c r="W874" t="s">
        <v>177</v>
      </c>
      <c r="X874" t="s">
        <v>152</v>
      </c>
      <c r="Z874">
        <v>262</v>
      </c>
      <c r="AA874" t="s">
        <v>366</v>
      </c>
      <c r="AB874" t="s">
        <v>2167</v>
      </c>
      <c r="AC874">
        <v>2604000291</v>
      </c>
      <c r="AE874">
        <v>0</v>
      </c>
      <c r="AF874">
        <v>1</v>
      </c>
      <c r="AG874">
        <v>0</v>
      </c>
      <c r="AH874">
        <v>1.7</v>
      </c>
      <c r="AI874" t="s">
        <v>56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 t="s">
        <v>57</v>
      </c>
      <c r="AS874" t="s">
        <v>2168</v>
      </c>
      <c r="AT874" t="s">
        <v>2168</v>
      </c>
      <c r="AU874" t="s">
        <v>2167</v>
      </c>
      <c r="AV874" t="s">
        <v>2169</v>
      </c>
      <c r="AW874" t="s">
        <v>2170</v>
      </c>
      <c r="AZ874">
        <v>83120</v>
      </c>
      <c r="BA874" t="s">
        <v>2171</v>
      </c>
      <c r="BB874" t="s">
        <v>61</v>
      </c>
      <c r="BC874" t="s">
        <v>62</v>
      </c>
    </row>
    <row r="875" spans="1:55" x14ac:dyDescent="0.25">
      <c r="A875" s="1" t="str">
        <f>IF(COUNTIF(Catégories!A:A,X875)=0,"catégorie inconnue",_xlfn.XLOOKUP(X875,Catégories!A:A,Catégories!B:B))</f>
        <v>Frêt</v>
      </c>
      <c r="B875" s="1">
        <f t="shared" si="39"/>
        <v>0</v>
      </c>
      <c r="C875" s="1">
        <f t="shared" si="40"/>
        <v>0</v>
      </c>
      <c r="D875" s="1">
        <f t="shared" si="41"/>
        <v>0</v>
      </c>
      <c r="E875" s="20">
        <f>IF(AH875&lt;&gt;0,ROUNDUP(AH875,0),IF(BB875&lt;&gt;"FR","hors France",IF(AH875&lt;&gt;0,ROUNDUP(AH875,0),_xlfn.XLOOKUP(AJ875,'PA GLS'!B:B,'PA GLS'!A:A))))</f>
        <v>2</v>
      </c>
      <c r="F875">
        <v>2501382993</v>
      </c>
      <c r="G875">
        <v>1030350167</v>
      </c>
      <c r="H875" t="s">
        <v>366</v>
      </c>
      <c r="I875">
        <v>2500034092</v>
      </c>
      <c r="J875" t="s">
        <v>50</v>
      </c>
      <c r="K875">
        <v>9000009190</v>
      </c>
      <c r="L875">
        <v>46946</v>
      </c>
      <c r="M875" t="s">
        <v>51</v>
      </c>
      <c r="N875">
        <v>9000079830</v>
      </c>
      <c r="O875" t="s">
        <v>187</v>
      </c>
      <c r="S875">
        <v>2507012387</v>
      </c>
      <c r="T875" t="s">
        <v>50</v>
      </c>
      <c r="U875" t="s">
        <v>122</v>
      </c>
      <c r="V875" t="s">
        <v>176</v>
      </c>
      <c r="W875" t="s">
        <v>177</v>
      </c>
      <c r="X875" t="s">
        <v>152</v>
      </c>
      <c r="Z875">
        <v>262</v>
      </c>
      <c r="AA875" t="s">
        <v>366</v>
      </c>
      <c r="AB875" t="s">
        <v>2172</v>
      </c>
      <c r="AC875">
        <v>2604000290</v>
      </c>
      <c r="AE875">
        <v>0</v>
      </c>
      <c r="AF875">
        <v>1</v>
      </c>
      <c r="AG875">
        <v>0</v>
      </c>
      <c r="AH875">
        <v>2</v>
      </c>
      <c r="AI875" t="s">
        <v>56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 t="s">
        <v>57</v>
      </c>
      <c r="AS875" t="s">
        <v>2173</v>
      </c>
      <c r="AT875" t="s">
        <v>2173</v>
      </c>
      <c r="AU875" t="s">
        <v>2172</v>
      </c>
      <c r="AV875" t="s">
        <v>2164</v>
      </c>
      <c r="AW875" t="s">
        <v>2165</v>
      </c>
      <c r="AZ875">
        <v>94360</v>
      </c>
      <c r="BA875" t="s">
        <v>2166</v>
      </c>
      <c r="BB875" t="s">
        <v>61</v>
      </c>
      <c r="BC875" t="s">
        <v>62</v>
      </c>
    </row>
    <row r="876" spans="1:55" x14ac:dyDescent="0.25">
      <c r="A876" s="1" t="str">
        <f>IF(COUNTIF(Catégories!A:A,X876)=0,"catégorie inconnue",_xlfn.XLOOKUP(X876,Catégories!A:A,Catégories!B:B))</f>
        <v>Frêt</v>
      </c>
      <c r="B876" s="1">
        <f t="shared" si="39"/>
        <v>0</v>
      </c>
      <c r="C876" s="1">
        <f t="shared" si="40"/>
        <v>0</v>
      </c>
      <c r="D876" s="1">
        <f t="shared" si="41"/>
        <v>0</v>
      </c>
      <c r="E876" s="20">
        <f>IF(AH876&lt;&gt;0,ROUNDUP(AH876,0),IF(BB876&lt;&gt;"FR","hors France",IF(AH876&lt;&gt;0,ROUNDUP(AH876,0),_xlfn.XLOOKUP(AJ876,'PA GLS'!B:B,'PA GLS'!A:A))))</f>
        <v>3</v>
      </c>
      <c r="F876">
        <v>2501382993</v>
      </c>
      <c r="G876">
        <v>1030350167</v>
      </c>
      <c r="H876" t="s">
        <v>366</v>
      </c>
      <c r="I876">
        <v>2500034092</v>
      </c>
      <c r="J876" t="s">
        <v>50</v>
      </c>
      <c r="K876">
        <v>9000009190</v>
      </c>
      <c r="L876">
        <v>46946</v>
      </c>
      <c r="M876" t="s">
        <v>51</v>
      </c>
      <c r="N876">
        <v>9000079830</v>
      </c>
      <c r="O876" t="s">
        <v>187</v>
      </c>
      <c r="S876">
        <v>2507012387</v>
      </c>
      <c r="T876" t="s">
        <v>50</v>
      </c>
      <c r="U876" t="s">
        <v>122</v>
      </c>
      <c r="V876" t="s">
        <v>176</v>
      </c>
      <c r="W876" t="s">
        <v>177</v>
      </c>
      <c r="X876" t="s">
        <v>152</v>
      </c>
      <c r="Z876">
        <v>262</v>
      </c>
      <c r="AA876" t="s">
        <v>366</v>
      </c>
      <c r="AB876" t="s">
        <v>2157</v>
      </c>
      <c r="AC876">
        <v>2604000289</v>
      </c>
      <c r="AE876">
        <v>0</v>
      </c>
      <c r="AF876">
        <v>1</v>
      </c>
      <c r="AG876">
        <v>0</v>
      </c>
      <c r="AH876">
        <v>2.2000000000000002</v>
      </c>
      <c r="AI876" t="s">
        <v>56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 t="s">
        <v>57</v>
      </c>
      <c r="AS876" t="s">
        <v>2158</v>
      </c>
      <c r="AT876" t="s">
        <v>2158</v>
      </c>
      <c r="AU876" t="s">
        <v>2157</v>
      </c>
      <c r="AV876" t="s">
        <v>2159</v>
      </c>
      <c r="AW876" t="s">
        <v>2160</v>
      </c>
      <c r="AZ876">
        <v>29800</v>
      </c>
      <c r="BA876" t="s">
        <v>2161</v>
      </c>
      <c r="BB876" t="s">
        <v>61</v>
      </c>
      <c r="BC876" t="s">
        <v>62</v>
      </c>
    </row>
    <row r="877" spans="1:55" x14ac:dyDescent="0.25">
      <c r="A877" s="1" t="str">
        <f>IF(COUNTIF(Catégories!A:A,X877)=0,"catégorie inconnue",_xlfn.XLOOKUP(X877,Catégories!A:A,Catégories!B:B))</f>
        <v>Frêt</v>
      </c>
      <c r="B877" s="1">
        <f t="shared" si="39"/>
        <v>0</v>
      </c>
      <c r="C877" s="1">
        <f t="shared" si="40"/>
        <v>0</v>
      </c>
      <c r="D877" s="1">
        <f t="shared" si="41"/>
        <v>0</v>
      </c>
      <c r="E877" s="20">
        <f>IF(AH877&lt;&gt;0,ROUNDUP(AH877,0),IF(BB877&lt;&gt;"FR","hors France",IF(AH877&lt;&gt;0,ROUNDUP(AH877,0),_xlfn.XLOOKUP(AJ877,'PA GLS'!B:B,'PA GLS'!A:A))))</f>
        <v>2</v>
      </c>
      <c r="F877">
        <v>2501382993</v>
      </c>
      <c r="G877">
        <v>1030350167</v>
      </c>
      <c r="H877" t="s">
        <v>366</v>
      </c>
      <c r="I877">
        <v>2500034092</v>
      </c>
      <c r="J877" t="s">
        <v>50</v>
      </c>
      <c r="K877">
        <v>9000009190</v>
      </c>
      <c r="L877">
        <v>46946</v>
      </c>
      <c r="M877" t="s">
        <v>51</v>
      </c>
      <c r="N877">
        <v>9000079830</v>
      </c>
      <c r="O877" t="s">
        <v>187</v>
      </c>
      <c r="S877">
        <v>2507012387</v>
      </c>
      <c r="T877" t="s">
        <v>50</v>
      </c>
      <c r="U877" t="s">
        <v>122</v>
      </c>
      <c r="V877" t="s">
        <v>176</v>
      </c>
      <c r="W877" t="s">
        <v>177</v>
      </c>
      <c r="X877" t="s">
        <v>152</v>
      </c>
      <c r="Z877">
        <v>262</v>
      </c>
      <c r="AA877" t="s">
        <v>366</v>
      </c>
      <c r="AB877" t="s">
        <v>2174</v>
      </c>
      <c r="AC877">
        <v>2604000288</v>
      </c>
      <c r="AE877">
        <v>0</v>
      </c>
      <c r="AF877">
        <v>1</v>
      </c>
      <c r="AG877">
        <v>0</v>
      </c>
      <c r="AH877">
        <v>1.86</v>
      </c>
      <c r="AI877" t="s">
        <v>56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 t="s">
        <v>57</v>
      </c>
      <c r="AS877" t="s">
        <v>2175</v>
      </c>
      <c r="AT877" t="s">
        <v>2175</v>
      </c>
      <c r="AU877" t="s">
        <v>2174</v>
      </c>
      <c r="AV877" t="s">
        <v>2176</v>
      </c>
      <c r="AW877" t="s">
        <v>2177</v>
      </c>
      <c r="AZ877">
        <v>44120</v>
      </c>
      <c r="BA877" t="s">
        <v>403</v>
      </c>
      <c r="BB877" t="s">
        <v>61</v>
      </c>
      <c r="BC877" t="s">
        <v>62</v>
      </c>
    </row>
    <row r="878" spans="1:55" x14ac:dyDescent="0.25">
      <c r="A878" s="1" t="str">
        <f>IF(COUNTIF(Catégories!A:A,X878)=0,"catégorie inconnue",_xlfn.XLOOKUP(X878,Catégories!A:A,Catégories!B:B))</f>
        <v>Frêt</v>
      </c>
      <c r="B878" s="1">
        <f t="shared" si="39"/>
        <v>0</v>
      </c>
      <c r="C878" s="1">
        <f t="shared" si="40"/>
        <v>0</v>
      </c>
      <c r="D878" s="1">
        <f t="shared" si="41"/>
        <v>0</v>
      </c>
      <c r="E878" s="20">
        <f>IF(AH878&lt;&gt;0,ROUNDUP(AH878,0),IF(BB878&lt;&gt;"FR","hors France",IF(AH878&lt;&gt;0,ROUNDUP(AH878,0),_xlfn.XLOOKUP(AJ878,'PA GLS'!B:B,'PA GLS'!A:A))))</f>
        <v>2</v>
      </c>
      <c r="F878">
        <v>2501382993</v>
      </c>
      <c r="G878">
        <v>1030350167</v>
      </c>
      <c r="H878" t="s">
        <v>366</v>
      </c>
      <c r="I878">
        <v>2500034092</v>
      </c>
      <c r="J878" t="s">
        <v>50</v>
      </c>
      <c r="K878">
        <v>9000009190</v>
      </c>
      <c r="L878">
        <v>46946</v>
      </c>
      <c r="M878" t="s">
        <v>51</v>
      </c>
      <c r="N878">
        <v>9000079830</v>
      </c>
      <c r="O878" t="s">
        <v>187</v>
      </c>
      <c r="S878">
        <v>2507012387</v>
      </c>
      <c r="T878" t="s">
        <v>50</v>
      </c>
      <c r="U878" t="s">
        <v>122</v>
      </c>
      <c r="V878" t="s">
        <v>176</v>
      </c>
      <c r="W878" t="s">
        <v>177</v>
      </c>
      <c r="X878" t="s">
        <v>152</v>
      </c>
      <c r="Z878">
        <v>262</v>
      </c>
      <c r="AA878" t="s">
        <v>366</v>
      </c>
      <c r="AB878" t="s">
        <v>2195</v>
      </c>
      <c r="AC878">
        <v>2604000287</v>
      </c>
      <c r="AE878">
        <v>0</v>
      </c>
      <c r="AF878">
        <v>1</v>
      </c>
      <c r="AG878">
        <v>0</v>
      </c>
      <c r="AH878">
        <v>1.1599999999999999</v>
      </c>
      <c r="AI878" t="s">
        <v>56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 t="s">
        <v>57</v>
      </c>
      <c r="AS878" t="s">
        <v>2196</v>
      </c>
      <c r="AT878" t="s">
        <v>2196</v>
      </c>
      <c r="AU878" t="s">
        <v>2195</v>
      </c>
      <c r="AV878" t="s">
        <v>2197</v>
      </c>
      <c r="AW878" t="s">
        <v>2198</v>
      </c>
      <c r="AZ878">
        <v>74100</v>
      </c>
      <c r="BA878" t="s">
        <v>278</v>
      </c>
      <c r="BB878" t="s">
        <v>61</v>
      </c>
      <c r="BC878" t="s">
        <v>62</v>
      </c>
    </row>
    <row r="879" spans="1:55" x14ac:dyDescent="0.25">
      <c r="A879" s="1" t="str">
        <f>IF(COUNTIF(Catégories!A:A,X879)=0,"catégorie inconnue",_xlfn.XLOOKUP(X879,Catégories!A:A,Catégories!B:B))</f>
        <v>Frêt</v>
      </c>
      <c r="B879" s="1">
        <f t="shared" si="39"/>
        <v>0</v>
      </c>
      <c r="C879" s="1">
        <f t="shared" si="40"/>
        <v>0</v>
      </c>
      <c r="D879" s="1">
        <f t="shared" si="41"/>
        <v>0</v>
      </c>
      <c r="E879" s="20">
        <f>IF(AH879&lt;&gt;0,ROUNDUP(AH879,0),IF(BB879&lt;&gt;"FR","hors France",IF(AH879&lt;&gt;0,ROUNDUP(AH879,0),_xlfn.XLOOKUP(AJ879,'PA GLS'!B:B,'PA GLS'!A:A))))</f>
        <v>1</v>
      </c>
      <c r="F879">
        <v>2501382993</v>
      </c>
      <c r="G879">
        <v>1030350167</v>
      </c>
      <c r="H879" t="s">
        <v>366</v>
      </c>
      <c r="I879">
        <v>2500034092</v>
      </c>
      <c r="J879" t="s">
        <v>50</v>
      </c>
      <c r="K879">
        <v>9000009190</v>
      </c>
      <c r="L879">
        <v>46946</v>
      </c>
      <c r="M879" t="s">
        <v>51</v>
      </c>
      <c r="N879">
        <v>9000079830</v>
      </c>
      <c r="O879" t="s">
        <v>187</v>
      </c>
      <c r="S879">
        <v>2507012387</v>
      </c>
      <c r="T879" t="s">
        <v>50</v>
      </c>
      <c r="U879" t="s">
        <v>122</v>
      </c>
      <c r="V879" t="s">
        <v>176</v>
      </c>
      <c r="W879" t="s">
        <v>177</v>
      </c>
      <c r="X879" t="s">
        <v>152</v>
      </c>
      <c r="Z879">
        <v>262</v>
      </c>
      <c r="AA879" t="s">
        <v>366</v>
      </c>
      <c r="AB879" t="s">
        <v>2079</v>
      </c>
      <c r="AC879">
        <v>2604000286</v>
      </c>
      <c r="AE879">
        <v>0</v>
      </c>
      <c r="AF879">
        <v>1</v>
      </c>
      <c r="AG879">
        <v>0</v>
      </c>
      <c r="AH879">
        <v>0.35</v>
      </c>
      <c r="AI879" t="s">
        <v>56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 t="s">
        <v>57</v>
      </c>
      <c r="AS879" t="s">
        <v>2080</v>
      </c>
      <c r="AT879" t="s">
        <v>2080</v>
      </c>
      <c r="AU879" t="s">
        <v>2079</v>
      </c>
      <c r="AV879" t="s">
        <v>2081</v>
      </c>
      <c r="AW879" t="s">
        <v>2082</v>
      </c>
      <c r="AZ879">
        <v>75014</v>
      </c>
      <c r="BA879" t="s">
        <v>65</v>
      </c>
      <c r="BB879" t="s">
        <v>61</v>
      </c>
      <c r="BC879" t="s">
        <v>62</v>
      </c>
    </row>
    <row r="880" spans="1:55" x14ac:dyDescent="0.25">
      <c r="A880" s="1" t="str">
        <f>IF(COUNTIF(Catégories!A:A,X880)=0,"catégorie inconnue",_xlfn.XLOOKUP(X880,Catégories!A:A,Catégories!B:B))</f>
        <v>Frêt</v>
      </c>
      <c r="B880" s="1">
        <f t="shared" si="39"/>
        <v>0</v>
      </c>
      <c r="C880" s="1">
        <f t="shared" si="40"/>
        <v>0</v>
      </c>
      <c r="D880" s="1">
        <f t="shared" si="41"/>
        <v>0</v>
      </c>
      <c r="E880" s="20">
        <f>IF(AH880&lt;&gt;0,ROUNDUP(AH880,0),IF(BB880&lt;&gt;"FR","hors France",IF(AH880&lt;&gt;0,ROUNDUP(AH880,0),_xlfn.XLOOKUP(AJ880,'PA GLS'!B:B,'PA GLS'!A:A))))</f>
        <v>2</v>
      </c>
      <c r="F880">
        <v>2501382993</v>
      </c>
      <c r="G880">
        <v>1030350167</v>
      </c>
      <c r="H880" t="s">
        <v>366</v>
      </c>
      <c r="I880">
        <v>2500034092</v>
      </c>
      <c r="J880" t="s">
        <v>50</v>
      </c>
      <c r="K880">
        <v>9000009190</v>
      </c>
      <c r="L880">
        <v>46946</v>
      </c>
      <c r="M880" t="s">
        <v>51</v>
      </c>
      <c r="N880">
        <v>9000079830</v>
      </c>
      <c r="O880" t="s">
        <v>187</v>
      </c>
      <c r="S880">
        <v>2507012387</v>
      </c>
      <c r="T880" t="s">
        <v>50</v>
      </c>
      <c r="U880" t="s">
        <v>122</v>
      </c>
      <c r="V880" t="s">
        <v>176</v>
      </c>
      <c r="W880" t="s">
        <v>177</v>
      </c>
      <c r="X880" t="s">
        <v>152</v>
      </c>
      <c r="Z880">
        <v>262</v>
      </c>
      <c r="AA880" t="s">
        <v>366</v>
      </c>
      <c r="AB880" t="s">
        <v>2178</v>
      </c>
      <c r="AC880">
        <v>2604000285</v>
      </c>
      <c r="AE880">
        <v>0</v>
      </c>
      <c r="AF880">
        <v>1</v>
      </c>
      <c r="AG880">
        <v>0</v>
      </c>
      <c r="AH880">
        <v>1.58</v>
      </c>
      <c r="AI880" t="s">
        <v>56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 t="s">
        <v>57</v>
      </c>
      <c r="AS880" t="s">
        <v>2179</v>
      </c>
      <c r="AT880" t="s">
        <v>2179</v>
      </c>
      <c r="AU880" t="s">
        <v>2178</v>
      </c>
      <c r="AV880" t="s">
        <v>2180</v>
      </c>
      <c r="AW880" t="s">
        <v>2181</v>
      </c>
      <c r="AZ880">
        <v>34230</v>
      </c>
      <c r="BA880" t="s">
        <v>2182</v>
      </c>
      <c r="BB880" t="s">
        <v>61</v>
      </c>
      <c r="BC880" t="s">
        <v>62</v>
      </c>
    </row>
    <row r="881" spans="1:55" x14ac:dyDescent="0.25">
      <c r="A881" s="1" t="str">
        <f>IF(COUNTIF(Catégories!A:A,X881)=0,"catégorie inconnue",_xlfn.XLOOKUP(X881,Catégories!A:A,Catégories!B:B))</f>
        <v>Frêt</v>
      </c>
      <c r="B881" s="1">
        <f t="shared" si="39"/>
        <v>0</v>
      </c>
      <c r="C881" s="1">
        <f t="shared" si="40"/>
        <v>0</v>
      </c>
      <c r="D881" s="1">
        <f t="shared" si="41"/>
        <v>0</v>
      </c>
      <c r="E881" s="20">
        <f>IF(AH881&lt;&gt;0,ROUNDUP(AH881,0),IF(BB881&lt;&gt;"FR","hors France",IF(AH881&lt;&gt;0,ROUNDUP(AH881,0),_xlfn.XLOOKUP(AJ881,'PA GLS'!B:B,'PA GLS'!A:A))))</f>
        <v>2</v>
      </c>
      <c r="F881">
        <v>2501382993</v>
      </c>
      <c r="G881">
        <v>1030350167</v>
      </c>
      <c r="H881" t="s">
        <v>366</v>
      </c>
      <c r="I881">
        <v>2500034092</v>
      </c>
      <c r="J881" t="s">
        <v>50</v>
      </c>
      <c r="K881">
        <v>9000009190</v>
      </c>
      <c r="L881">
        <v>46946</v>
      </c>
      <c r="M881" t="s">
        <v>51</v>
      </c>
      <c r="N881">
        <v>9000079830</v>
      </c>
      <c r="O881" t="s">
        <v>187</v>
      </c>
      <c r="S881">
        <v>2507012387</v>
      </c>
      <c r="T881" t="s">
        <v>50</v>
      </c>
      <c r="U881" t="s">
        <v>122</v>
      </c>
      <c r="V881" t="s">
        <v>176</v>
      </c>
      <c r="W881" t="s">
        <v>177</v>
      </c>
      <c r="X881" t="s">
        <v>152</v>
      </c>
      <c r="Z881">
        <v>262</v>
      </c>
      <c r="AA881" t="s">
        <v>366</v>
      </c>
      <c r="AB881" t="s">
        <v>2199</v>
      </c>
      <c r="AC881">
        <v>2604000284</v>
      </c>
      <c r="AE881">
        <v>0</v>
      </c>
      <c r="AF881">
        <v>1</v>
      </c>
      <c r="AG881">
        <v>0</v>
      </c>
      <c r="AH881">
        <v>1.05</v>
      </c>
      <c r="AI881" t="s">
        <v>56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 t="s">
        <v>57</v>
      </c>
      <c r="AS881" t="s">
        <v>2200</v>
      </c>
      <c r="AT881" t="s">
        <v>2200</v>
      </c>
      <c r="AU881" t="s">
        <v>2199</v>
      </c>
      <c r="AV881" t="s">
        <v>2201</v>
      </c>
      <c r="AW881" t="s">
        <v>2202</v>
      </c>
      <c r="AZ881">
        <v>93100</v>
      </c>
      <c r="BA881" t="s">
        <v>296</v>
      </c>
      <c r="BB881" t="s">
        <v>61</v>
      </c>
      <c r="BC881" t="s">
        <v>62</v>
      </c>
    </row>
    <row r="882" spans="1:55" x14ac:dyDescent="0.25">
      <c r="A882" s="1" t="str">
        <f>IF(COUNTIF(Catégories!A:A,X882)=0,"catégorie inconnue",_xlfn.XLOOKUP(X882,Catégories!A:A,Catégories!B:B))</f>
        <v>Frêt</v>
      </c>
      <c r="B882" s="1">
        <f t="shared" si="39"/>
        <v>0</v>
      </c>
      <c r="C882" s="1">
        <f t="shared" si="40"/>
        <v>0</v>
      </c>
      <c r="D882" s="1">
        <f t="shared" si="41"/>
        <v>0</v>
      </c>
      <c r="E882" s="20">
        <f>IF(AH882&lt;&gt;0,ROUNDUP(AH882,0),IF(BB882&lt;&gt;"FR","hors France",IF(AH882&lt;&gt;0,ROUNDUP(AH882,0),_xlfn.XLOOKUP(AJ882,'PA GLS'!B:B,'PA GLS'!A:A))))</f>
        <v>2</v>
      </c>
      <c r="F882">
        <v>2501382993</v>
      </c>
      <c r="G882">
        <v>1030350167</v>
      </c>
      <c r="H882" t="s">
        <v>366</v>
      </c>
      <c r="I882">
        <v>2500034092</v>
      </c>
      <c r="J882" t="s">
        <v>50</v>
      </c>
      <c r="K882">
        <v>9000009190</v>
      </c>
      <c r="L882">
        <v>46946</v>
      </c>
      <c r="M882" t="s">
        <v>51</v>
      </c>
      <c r="N882">
        <v>9000079830</v>
      </c>
      <c r="O882" t="s">
        <v>187</v>
      </c>
      <c r="S882">
        <v>2507012387</v>
      </c>
      <c r="T882" t="s">
        <v>50</v>
      </c>
      <c r="U882" t="s">
        <v>122</v>
      </c>
      <c r="V882" t="s">
        <v>176</v>
      </c>
      <c r="W882" t="s">
        <v>177</v>
      </c>
      <c r="X882" t="s">
        <v>152</v>
      </c>
      <c r="Z882">
        <v>262</v>
      </c>
      <c r="AA882" t="s">
        <v>366</v>
      </c>
      <c r="AB882" t="s">
        <v>2203</v>
      </c>
      <c r="AC882">
        <v>2604000283</v>
      </c>
      <c r="AE882">
        <v>0</v>
      </c>
      <c r="AF882">
        <v>1</v>
      </c>
      <c r="AG882">
        <v>0</v>
      </c>
      <c r="AH882">
        <v>1.05</v>
      </c>
      <c r="AI882" t="s">
        <v>56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 t="s">
        <v>57</v>
      </c>
      <c r="AS882" t="s">
        <v>2204</v>
      </c>
      <c r="AT882" t="s">
        <v>2204</v>
      </c>
      <c r="AU882" t="s">
        <v>2203</v>
      </c>
      <c r="AV882" t="s">
        <v>2205</v>
      </c>
      <c r="AW882" t="s">
        <v>2206</v>
      </c>
      <c r="AZ882">
        <v>75116</v>
      </c>
      <c r="BA882" t="s">
        <v>65</v>
      </c>
      <c r="BB882" t="s">
        <v>61</v>
      </c>
      <c r="BC882" t="s">
        <v>62</v>
      </c>
    </row>
    <row r="883" spans="1:55" x14ac:dyDescent="0.25">
      <c r="A883" s="1" t="str">
        <f>IF(COUNTIF(Catégories!A:A,X883)=0,"catégorie inconnue",_xlfn.XLOOKUP(X883,Catégories!A:A,Catégories!B:B))</f>
        <v>Frêt</v>
      </c>
      <c r="B883" s="1">
        <f t="shared" si="39"/>
        <v>0</v>
      </c>
      <c r="C883" s="1">
        <f t="shared" si="40"/>
        <v>0</v>
      </c>
      <c r="D883" s="1">
        <f t="shared" si="41"/>
        <v>0</v>
      </c>
      <c r="E883" s="20">
        <f>IF(AH883&lt;&gt;0,ROUNDUP(AH883,0),IF(BB883&lt;&gt;"FR","hors France",IF(AH883&lt;&gt;0,ROUNDUP(AH883,0),_xlfn.XLOOKUP(AJ883,'PA GLS'!B:B,'PA GLS'!A:A))))</f>
        <v>2</v>
      </c>
      <c r="F883">
        <v>2501382993</v>
      </c>
      <c r="G883">
        <v>1030350167</v>
      </c>
      <c r="H883" t="s">
        <v>366</v>
      </c>
      <c r="I883">
        <v>2500034092</v>
      </c>
      <c r="J883" t="s">
        <v>50</v>
      </c>
      <c r="K883">
        <v>9000009190</v>
      </c>
      <c r="L883">
        <v>46946</v>
      </c>
      <c r="M883" t="s">
        <v>51</v>
      </c>
      <c r="N883">
        <v>9000079830</v>
      </c>
      <c r="O883" t="s">
        <v>187</v>
      </c>
      <c r="S883">
        <v>2507012387</v>
      </c>
      <c r="T883" t="s">
        <v>50</v>
      </c>
      <c r="U883" t="s">
        <v>122</v>
      </c>
      <c r="V883" t="s">
        <v>176</v>
      </c>
      <c r="W883" t="s">
        <v>177</v>
      </c>
      <c r="X883" t="s">
        <v>152</v>
      </c>
      <c r="Z883">
        <v>262</v>
      </c>
      <c r="AA883" t="s">
        <v>366</v>
      </c>
      <c r="AB883" t="s">
        <v>2207</v>
      </c>
      <c r="AC883">
        <v>2604000282</v>
      </c>
      <c r="AE883">
        <v>0</v>
      </c>
      <c r="AF883">
        <v>1</v>
      </c>
      <c r="AG883">
        <v>0</v>
      </c>
      <c r="AH883">
        <v>1.1399999999999999</v>
      </c>
      <c r="AI883" t="s">
        <v>56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 t="s">
        <v>57</v>
      </c>
      <c r="AS883" t="s">
        <v>2208</v>
      </c>
      <c r="AT883" t="s">
        <v>2208</v>
      </c>
      <c r="AU883" t="s">
        <v>2207</v>
      </c>
      <c r="AV883" t="s">
        <v>2209</v>
      </c>
      <c r="AW883" t="s">
        <v>2210</v>
      </c>
      <c r="AZ883">
        <v>78400</v>
      </c>
      <c r="BA883" t="s">
        <v>2211</v>
      </c>
      <c r="BB883" t="s">
        <v>61</v>
      </c>
      <c r="BC883" t="s">
        <v>62</v>
      </c>
    </row>
    <row r="884" spans="1:55" x14ac:dyDescent="0.25">
      <c r="A884" s="1" t="str">
        <f>IF(COUNTIF(Catégories!A:A,X884)=0,"catégorie inconnue",_xlfn.XLOOKUP(X884,Catégories!A:A,Catégories!B:B))</f>
        <v>Frêt</v>
      </c>
      <c r="B884" s="1">
        <f t="shared" si="39"/>
        <v>0</v>
      </c>
      <c r="C884" s="1">
        <f t="shared" si="40"/>
        <v>0</v>
      </c>
      <c r="D884" s="1">
        <f t="shared" si="41"/>
        <v>0</v>
      </c>
      <c r="E884" s="20">
        <f>IF(AH884&lt;&gt;0,ROUNDUP(AH884,0),IF(BB884&lt;&gt;"FR","hors France",IF(AH884&lt;&gt;0,ROUNDUP(AH884,0),_xlfn.XLOOKUP(AJ884,'PA GLS'!B:B,'PA GLS'!A:A))))</f>
        <v>2</v>
      </c>
      <c r="F884">
        <v>2501382993</v>
      </c>
      <c r="G884">
        <v>1030350167</v>
      </c>
      <c r="H884" t="s">
        <v>366</v>
      </c>
      <c r="I884">
        <v>2500034092</v>
      </c>
      <c r="J884" t="s">
        <v>50</v>
      </c>
      <c r="K884">
        <v>9000009190</v>
      </c>
      <c r="L884">
        <v>46946</v>
      </c>
      <c r="M884" t="s">
        <v>51</v>
      </c>
      <c r="N884">
        <v>9000079830</v>
      </c>
      <c r="O884" t="s">
        <v>187</v>
      </c>
      <c r="S884">
        <v>2507012387</v>
      </c>
      <c r="T884" t="s">
        <v>50</v>
      </c>
      <c r="U884" t="s">
        <v>122</v>
      </c>
      <c r="V884" t="s">
        <v>176</v>
      </c>
      <c r="W884" t="s">
        <v>177</v>
      </c>
      <c r="X884" t="s">
        <v>152</v>
      </c>
      <c r="Z884">
        <v>262</v>
      </c>
      <c r="AA884" t="s">
        <v>366</v>
      </c>
      <c r="AB884" t="s">
        <v>2212</v>
      </c>
      <c r="AC884">
        <v>2604000281</v>
      </c>
      <c r="AE884">
        <v>0</v>
      </c>
      <c r="AF884">
        <v>1</v>
      </c>
      <c r="AG884">
        <v>0</v>
      </c>
      <c r="AH884">
        <v>1.1399999999999999</v>
      </c>
      <c r="AI884" t="s">
        <v>56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 t="s">
        <v>57</v>
      </c>
      <c r="AS884" t="s">
        <v>2213</v>
      </c>
      <c r="AT884" t="s">
        <v>2213</v>
      </c>
      <c r="AU884" t="s">
        <v>2212</v>
      </c>
      <c r="AV884" t="s">
        <v>2214</v>
      </c>
      <c r="AW884" t="s">
        <v>2215</v>
      </c>
      <c r="AZ884">
        <v>69003</v>
      </c>
      <c r="BA884" t="s">
        <v>151</v>
      </c>
      <c r="BB884" t="s">
        <v>61</v>
      </c>
      <c r="BC884" t="s">
        <v>62</v>
      </c>
    </row>
    <row r="885" spans="1:55" x14ac:dyDescent="0.25">
      <c r="A885" s="1" t="str">
        <f>IF(COUNTIF(Catégories!A:A,X885)=0,"catégorie inconnue",_xlfn.XLOOKUP(X885,Catégories!A:A,Catégories!B:B))</f>
        <v>Frêt</v>
      </c>
      <c r="B885" s="1">
        <f t="shared" si="39"/>
        <v>0</v>
      </c>
      <c r="C885" s="1">
        <f t="shared" si="40"/>
        <v>0</v>
      </c>
      <c r="D885" s="1">
        <f t="shared" si="41"/>
        <v>0</v>
      </c>
      <c r="E885" s="20">
        <f>IF(AH885&lt;&gt;0,ROUNDUP(AH885,0),IF(BB885&lt;&gt;"FR","hors France",IF(AH885&lt;&gt;0,ROUNDUP(AH885,0),_xlfn.XLOOKUP(AJ885,'PA GLS'!B:B,'PA GLS'!A:A))))</f>
        <v>2</v>
      </c>
      <c r="F885">
        <v>2501382993</v>
      </c>
      <c r="G885">
        <v>1030350167</v>
      </c>
      <c r="H885" t="s">
        <v>366</v>
      </c>
      <c r="I885" s="29">
        <v>2500034092</v>
      </c>
      <c r="J885" t="s">
        <v>50</v>
      </c>
      <c r="K885" s="30">
        <v>9000009190</v>
      </c>
      <c r="L885">
        <v>46946</v>
      </c>
      <c r="M885" t="s">
        <v>51</v>
      </c>
      <c r="N885" s="24">
        <v>9000079830</v>
      </c>
      <c r="O885" t="s">
        <v>187</v>
      </c>
      <c r="S885">
        <v>2507012387</v>
      </c>
      <c r="T885" t="s">
        <v>50</v>
      </c>
      <c r="U885" t="s">
        <v>122</v>
      </c>
      <c r="V885" t="s">
        <v>176</v>
      </c>
      <c r="W885" t="s">
        <v>177</v>
      </c>
      <c r="X885" t="s">
        <v>152</v>
      </c>
      <c r="Z885">
        <v>262</v>
      </c>
      <c r="AA885" t="s">
        <v>366</v>
      </c>
      <c r="AB885" s="33" t="s">
        <v>2216</v>
      </c>
      <c r="AC885">
        <v>2604000280</v>
      </c>
      <c r="AE885">
        <v>0</v>
      </c>
      <c r="AF885">
        <v>1</v>
      </c>
      <c r="AG885">
        <v>0</v>
      </c>
      <c r="AH885">
        <v>1.1499999999999999</v>
      </c>
      <c r="AI885" t="s">
        <v>56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 t="s">
        <v>57</v>
      </c>
      <c r="AS885" t="s">
        <v>2217</v>
      </c>
      <c r="AT885" t="s">
        <v>2217</v>
      </c>
      <c r="AU885" t="s">
        <v>2216</v>
      </c>
      <c r="AV885" t="s">
        <v>2218</v>
      </c>
      <c r="AW885" t="s">
        <v>2219</v>
      </c>
      <c r="AZ885">
        <v>59000</v>
      </c>
      <c r="BA885" t="s">
        <v>264</v>
      </c>
      <c r="BB885" t="s">
        <v>61</v>
      </c>
      <c r="BC885" t="s">
        <v>62</v>
      </c>
    </row>
    <row r="886" spans="1:55" x14ac:dyDescent="0.25">
      <c r="A886" s="1" t="str">
        <f>IF(COUNTIF(Catégories!A:A,X886)=0,"catégorie inconnue",_xlfn.XLOOKUP(X886,Catégories!A:A,Catégories!B:B))</f>
        <v>Frêt</v>
      </c>
      <c r="B886" s="1">
        <f t="shared" si="39"/>
        <v>0</v>
      </c>
      <c r="C886" s="1">
        <f t="shared" si="40"/>
        <v>0</v>
      </c>
      <c r="D886" s="1">
        <f t="shared" si="41"/>
        <v>0</v>
      </c>
      <c r="E886" s="20">
        <f>IF(AH886&lt;&gt;0,ROUNDUP(AH886,0),IF(BB886&lt;&gt;"FR","hors France",IF(AH886&lt;&gt;0,ROUNDUP(AH886,0),_xlfn.XLOOKUP(AJ886,'PA GLS'!B:B,'PA GLS'!A:A))))</f>
        <v>2</v>
      </c>
      <c r="F886">
        <v>2501382993</v>
      </c>
      <c r="G886">
        <v>1030350167</v>
      </c>
      <c r="H886" t="s">
        <v>366</v>
      </c>
      <c r="I886" s="29">
        <v>2500034092</v>
      </c>
      <c r="J886" t="s">
        <v>50</v>
      </c>
      <c r="K886" s="30">
        <v>9000009190</v>
      </c>
      <c r="L886">
        <v>46946</v>
      </c>
      <c r="M886" t="s">
        <v>51</v>
      </c>
      <c r="N886" s="24">
        <v>9000079830</v>
      </c>
      <c r="O886" t="s">
        <v>187</v>
      </c>
      <c r="S886">
        <v>2507012387</v>
      </c>
      <c r="T886" t="s">
        <v>50</v>
      </c>
      <c r="U886" t="s">
        <v>122</v>
      </c>
      <c r="V886" t="s">
        <v>176</v>
      </c>
      <c r="W886" t="s">
        <v>177</v>
      </c>
      <c r="X886" t="s">
        <v>152</v>
      </c>
      <c r="Z886">
        <v>262</v>
      </c>
      <c r="AA886" t="s">
        <v>366</v>
      </c>
      <c r="AB886" s="33" t="s">
        <v>2220</v>
      </c>
      <c r="AC886">
        <v>2604000279</v>
      </c>
      <c r="AE886">
        <v>0</v>
      </c>
      <c r="AF886">
        <v>1</v>
      </c>
      <c r="AG886">
        <v>0</v>
      </c>
      <c r="AH886">
        <v>1.1399999999999999</v>
      </c>
      <c r="AI886" t="s">
        <v>56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 t="s">
        <v>57</v>
      </c>
      <c r="AS886" t="s">
        <v>2221</v>
      </c>
      <c r="AT886" t="s">
        <v>2221</v>
      </c>
      <c r="AU886" t="s">
        <v>2220</v>
      </c>
      <c r="AV886" t="s">
        <v>2222</v>
      </c>
      <c r="AW886" t="s">
        <v>2223</v>
      </c>
      <c r="AZ886">
        <v>17200</v>
      </c>
      <c r="BA886" t="s">
        <v>2224</v>
      </c>
      <c r="BB886" t="s">
        <v>61</v>
      </c>
      <c r="BC886" t="s">
        <v>62</v>
      </c>
    </row>
    <row r="887" spans="1:55" x14ac:dyDescent="0.25">
      <c r="A887" s="1" t="str">
        <f>IF(COUNTIF(Catégories!A:A,X887)=0,"catégorie inconnue",_xlfn.XLOOKUP(X887,Catégories!A:A,Catégories!B:B))</f>
        <v>Frêt</v>
      </c>
      <c r="B887" s="1">
        <f t="shared" si="39"/>
        <v>0</v>
      </c>
      <c r="C887" s="1">
        <f t="shared" si="40"/>
        <v>0</v>
      </c>
      <c r="D887" s="1">
        <f t="shared" si="41"/>
        <v>0</v>
      </c>
      <c r="E887" s="20">
        <f>IF(AH887&lt;&gt;0,ROUNDUP(AH887,0),IF(BB887&lt;&gt;"FR","hors France",IF(AH887&lt;&gt;0,ROUNDUP(AH887,0),_xlfn.XLOOKUP(AJ887,'PA GLS'!B:B,'PA GLS'!A:A))))</f>
        <v>2</v>
      </c>
      <c r="F887">
        <v>2501382993</v>
      </c>
      <c r="G887">
        <v>1030350167</v>
      </c>
      <c r="H887" t="s">
        <v>366</v>
      </c>
      <c r="I887" s="29">
        <v>2500034092</v>
      </c>
      <c r="J887" t="s">
        <v>50</v>
      </c>
      <c r="K887" s="30">
        <v>9000009190</v>
      </c>
      <c r="L887">
        <v>46946</v>
      </c>
      <c r="M887" t="s">
        <v>51</v>
      </c>
      <c r="N887" s="24">
        <v>9000079830</v>
      </c>
      <c r="O887" t="s">
        <v>187</v>
      </c>
      <c r="S887">
        <v>2507012387</v>
      </c>
      <c r="T887" t="s">
        <v>50</v>
      </c>
      <c r="U887" t="s">
        <v>122</v>
      </c>
      <c r="V887" t="s">
        <v>176</v>
      </c>
      <c r="W887" t="s">
        <v>177</v>
      </c>
      <c r="X887" t="s">
        <v>152</v>
      </c>
      <c r="Z887">
        <v>262</v>
      </c>
      <c r="AA887" t="s">
        <v>366</v>
      </c>
      <c r="AB887" s="33" t="s">
        <v>2225</v>
      </c>
      <c r="AC887">
        <v>2604000278</v>
      </c>
      <c r="AE887">
        <v>0</v>
      </c>
      <c r="AF887">
        <v>1</v>
      </c>
      <c r="AG887">
        <v>0</v>
      </c>
      <c r="AH887">
        <v>1.1399999999999999</v>
      </c>
      <c r="AI887" t="s">
        <v>56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 t="s">
        <v>57</v>
      </c>
      <c r="AS887" t="s">
        <v>2226</v>
      </c>
      <c r="AT887" t="s">
        <v>2226</v>
      </c>
      <c r="AU887" t="s">
        <v>2225</v>
      </c>
      <c r="AV887" t="s">
        <v>2227</v>
      </c>
      <c r="AW887" t="s">
        <v>2228</v>
      </c>
      <c r="AZ887">
        <v>33200</v>
      </c>
      <c r="BA887" t="s">
        <v>228</v>
      </c>
      <c r="BB887" t="s">
        <v>61</v>
      </c>
      <c r="BC887" t="s">
        <v>62</v>
      </c>
    </row>
    <row r="888" spans="1:55" x14ac:dyDescent="0.25">
      <c r="A888" s="1" t="str">
        <f>IF(COUNTIF(Catégories!A:A,X888)=0,"catégorie inconnue",_xlfn.XLOOKUP(X888,Catégories!A:A,Catégories!B:B))</f>
        <v>Frêt</v>
      </c>
      <c r="B888" s="1">
        <f t="shared" si="39"/>
        <v>0</v>
      </c>
      <c r="C888" s="1">
        <f t="shared" si="40"/>
        <v>0</v>
      </c>
      <c r="D888" s="1">
        <f t="shared" si="41"/>
        <v>0</v>
      </c>
      <c r="E888" s="20">
        <f>IF(AH888&lt;&gt;0,ROUNDUP(AH888,0),IF(BB888&lt;&gt;"FR","hors France",IF(AH888&lt;&gt;0,ROUNDUP(AH888,0),_xlfn.XLOOKUP(AJ888,'PA GLS'!B:B,'PA GLS'!A:A))))</f>
        <v>2</v>
      </c>
      <c r="F888">
        <v>2501382993</v>
      </c>
      <c r="G888">
        <v>1030350167</v>
      </c>
      <c r="H888" t="s">
        <v>366</v>
      </c>
      <c r="I888" s="29">
        <v>2500034092</v>
      </c>
      <c r="J888" t="s">
        <v>50</v>
      </c>
      <c r="K888" s="30">
        <v>9000009190</v>
      </c>
      <c r="L888">
        <v>46946</v>
      </c>
      <c r="M888" t="s">
        <v>51</v>
      </c>
      <c r="N888" s="24">
        <v>9000079830</v>
      </c>
      <c r="O888" t="s">
        <v>187</v>
      </c>
      <c r="S888">
        <v>2507012387</v>
      </c>
      <c r="T888" t="s">
        <v>50</v>
      </c>
      <c r="U888" t="s">
        <v>122</v>
      </c>
      <c r="V888" t="s">
        <v>176</v>
      </c>
      <c r="W888" t="s">
        <v>177</v>
      </c>
      <c r="X888" t="s">
        <v>152</v>
      </c>
      <c r="Z888">
        <v>262</v>
      </c>
      <c r="AA888" t="s">
        <v>366</v>
      </c>
      <c r="AB888" s="33" t="s">
        <v>2229</v>
      </c>
      <c r="AC888">
        <v>2604000277</v>
      </c>
      <c r="AE888">
        <v>0</v>
      </c>
      <c r="AF888">
        <v>1</v>
      </c>
      <c r="AG888">
        <v>0</v>
      </c>
      <c r="AH888">
        <v>1.1499999999999999</v>
      </c>
      <c r="AI888" t="s">
        <v>56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 t="s">
        <v>57</v>
      </c>
      <c r="AS888" t="s">
        <v>2230</v>
      </c>
      <c r="AT888" t="s">
        <v>2230</v>
      </c>
      <c r="AU888" t="s">
        <v>2229</v>
      </c>
      <c r="AV888" t="s">
        <v>2231</v>
      </c>
      <c r="AW888" t="s">
        <v>2232</v>
      </c>
      <c r="AZ888">
        <v>59110</v>
      </c>
      <c r="BA888" t="s">
        <v>2233</v>
      </c>
      <c r="BB888" t="s">
        <v>61</v>
      </c>
      <c r="BC888" t="s">
        <v>62</v>
      </c>
    </row>
    <row r="889" spans="1:55" x14ac:dyDescent="0.25">
      <c r="A889" s="1" t="str">
        <f>IF(COUNTIF(Catégories!A:A,X889)=0,"catégorie inconnue",_xlfn.XLOOKUP(X889,Catégories!A:A,Catégories!B:B))</f>
        <v>Frêt</v>
      </c>
      <c r="B889" s="1">
        <f t="shared" si="39"/>
        <v>0</v>
      </c>
      <c r="C889" s="1">
        <f t="shared" si="40"/>
        <v>0</v>
      </c>
      <c r="D889" s="1">
        <f t="shared" si="41"/>
        <v>0</v>
      </c>
      <c r="E889" s="20">
        <f>IF(AH889&lt;&gt;0,ROUNDUP(AH889,0),IF(BB889&lt;&gt;"FR","hors France",IF(AH889&lt;&gt;0,ROUNDUP(AH889,0),_xlfn.XLOOKUP(AJ889,'PA GLS'!B:B,'PA GLS'!A:A))))</f>
        <v>2</v>
      </c>
      <c r="F889">
        <v>2501382993</v>
      </c>
      <c r="G889">
        <v>1030350167</v>
      </c>
      <c r="H889" t="s">
        <v>366</v>
      </c>
      <c r="I889" s="29">
        <v>2500034092</v>
      </c>
      <c r="J889" t="s">
        <v>50</v>
      </c>
      <c r="K889" s="30">
        <v>9000009190</v>
      </c>
      <c r="L889">
        <v>46946</v>
      </c>
      <c r="M889" t="s">
        <v>51</v>
      </c>
      <c r="N889" s="24">
        <v>9000079830</v>
      </c>
      <c r="O889" t="s">
        <v>187</v>
      </c>
      <c r="S889">
        <v>2507012387</v>
      </c>
      <c r="T889" t="s">
        <v>50</v>
      </c>
      <c r="U889" t="s">
        <v>122</v>
      </c>
      <c r="V889" t="s">
        <v>176</v>
      </c>
      <c r="W889" t="s">
        <v>177</v>
      </c>
      <c r="X889" t="s">
        <v>152</v>
      </c>
      <c r="Z889">
        <v>262</v>
      </c>
      <c r="AA889" t="s">
        <v>366</v>
      </c>
      <c r="AB889" s="33" t="s">
        <v>2234</v>
      </c>
      <c r="AC889">
        <v>2604000276</v>
      </c>
      <c r="AE889">
        <v>0</v>
      </c>
      <c r="AF889">
        <v>1</v>
      </c>
      <c r="AG889">
        <v>0</v>
      </c>
      <c r="AH889">
        <v>1.05</v>
      </c>
      <c r="AI889" t="s">
        <v>56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 t="s">
        <v>57</v>
      </c>
      <c r="AS889" t="s">
        <v>2235</v>
      </c>
      <c r="AT889" t="s">
        <v>2235</v>
      </c>
      <c r="AU889" t="s">
        <v>2234</v>
      </c>
      <c r="AV889" t="s">
        <v>2236</v>
      </c>
      <c r="AW889" t="s">
        <v>2237</v>
      </c>
      <c r="AZ889">
        <v>76860</v>
      </c>
      <c r="BA889" t="s">
        <v>2238</v>
      </c>
      <c r="BB889" t="s">
        <v>61</v>
      </c>
      <c r="BC889" t="s">
        <v>62</v>
      </c>
    </row>
    <row r="890" spans="1:55" x14ac:dyDescent="0.25">
      <c r="A890" s="1" t="str">
        <f>IF(COUNTIF(Catégories!A:A,X890)=0,"catégorie inconnue",_xlfn.XLOOKUP(X890,Catégories!A:A,Catégories!B:B))</f>
        <v>Frêt</v>
      </c>
      <c r="B890" s="1">
        <f t="shared" si="39"/>
        <v>0</v>
      </c>
      <c r="C890" s="1">
        <f t="shared" si="40"/>
        <v>0</v>
      </c>
      <c r="D890" s="1">
        <f t="shared" si="41"/>
        <v>0</v>
      </c>
      <c r="E890" s="20">
        <f>IF(AH890&lt;&gt;0,ROUNDUP(AH890,0),IF(BB890&lt;&gt;"FR","hors France",IF(AH890&lt;&gt;0,ROUNDUP(AH890,0),_xlfn.XLOOKUP(AJ890,'PA GLS'!B:B,'PA GLS'!A:A))))</f>
        <v>1</v>
      </c>
      <c r="F890">
        <v>2501382993</v>
      </c>
      <c r="G890">
        <v>1030350167</v>
      </c>
      <c r="H890" t="s">
        <v>366</v>
      </c>
      <c r="I890" s="29">
        <v>2500034092</v>
      </c>
      <c r="J890" t="s">
        <v>50</v>
      </c>
      <c r="K890" s="30">
        <v>9000009190</v>
      </c>
      <c r="L890">
        <v>46946</v>
      </c>
      <c r="M890" t="s">
        <v>51</v>
      </c>
      <c r="N890" s="24">
        <v>9000079830</v>
      </c>
      <c r="O890" t="s">
        <v>187</v>
      </c>
      <c r="S890">
        <v>2507012387</v>
      </c>
      <c r="T890" t="s">
        <v>50</v>
      </c>
      <c r="U890" t="s">
        <v>122</v>
      </c>
      <c r="V890" t="s">
        <v>176</v>
      </c>
      <c r="W890" t="s">
        <v>177</v>
      </c>
      <c r="X890" t="s">
        <v>152</v>
      </c>
      <c r="Z890">
        <v>262</v>
      </c>
      <c r="AA890" t="s">
        <v>366</v>
      </c>
      <c r="AB890" s="33" t="s">
        <v>2083</v>
      </c>
      <c r="AC890">
        <v>2604000275</v>
      </c>
      <c r="AE890">
        <v>0</v>
      </c>
      <c r="AF890">
        <v>1</v>
      </c>
      <c r="AG890">
        <v>0</v>
      </c>
      <c r="AH890">
        <v>0.42</v>
      </c>
      <c r="AI890" t="s">
        <v>56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 t="s">
        <v>57</v>
      </c>
      <c r="AS890" t="s">
        <v>2084</v>
      </c>
      <c r="AT890" t="s">
        <v>2084</v>
      </c>
      <c r="AU890" t="s">
        <v>2083</v>
      </c>
      <c r="AV890" t="s">
        <v>2085</v>
      </c>
      <c r="AW890" t="s">
        <v>2086</v>
      </c>
      <c r="AZ890">
        <v>17440</v>
      </c>
      <c r="BA890" t="s">
        <v>2087</v>
      </c>
      <c r="BB890" t="s">
        <v>61</v>
      </c>
      <c r="BC890" t="s">
        <v>62</v>
      </c>
    </row>
    <row r="891" spans="1:55" x14ac:dyDescent="0.25">
      <c r="A891" s="1" t="str">
        <f>IF(COUNTIF(Catégories!A:A,X891)=0,"catégorie inconnue",_xlfn.XLOOKUP(X891,Catégories!A:A,Catégories!B:B))</f>
        <v>Frêt</v>
      </c>
      <c r="B891" s="1">
        <f t="shared" si="39"/>
        <v>0</v>
      </c>
      <c r="C891" s="1">
        <f t="shared" si="40"/>
        <v>0</v>
      </c>
      <c r="D891" s="1">
        <f t="shared" si="41"/>
        <v>0</v>
      </c>
      <c r="E891" s="20">
        <f>IF(AH891&lt;&gt;0,ROUNDUP(AH891,0),IF(BB891&lt;&gt;"FR","hors France",IF(AH891&lt;&gt;0,ROUNDUP(AH891,0),_xlfn.XLOOKUP(AJ891,'PA GLS'!B:B,'PA GLS'!A:A))))</f>
        <v>1</v>
      </c>
      <c r="F891">
        <v>2501382993</v>
      </c>
      <c r="G891">
        <v>1030350167</v>
      </c>
      <c r="H891" t="s">
        <v>366</v>
      </c>
      <c r="I891" s="29">
        <v>2500034092</v>
      </c>
      <c r="J891" t="s">
        <v>50</v>
      </c>
      <c r="K891" s="30">
        <v>9000009190</v>
      </c>
      <c r="L891">
        <v>46946</v>
      </c>
      <c r="M891" t="s">
        <v>51</v>
      </c>
      <c r="N891" s="24">
        <v>9000079830</v>
      </c>
      <c r="O891" t="s">
        <v>187</v>
      </c>
      <c r="S891">
        <v>2507012387</v>
      </c>
      <c r="T891" t="s">
        <v>50</v>
      </c>
      <c r="U891" t="s">
        <v>122</v>
      </c>
      <c r="V891" t="s">
        <v>176</v>
      </c>
      <c r="W891" t="s">
        <v>177</v>
      </c>
      <c r="X891" t="s">
        <v>152</v>
      </c>
      <c r="Z891">
        <v>262</v>
      </c>
      <c r="AA891" t="s">
        <v>366</v>
      </c>
      <c r="AB891" s="33" t="s">
        <v>2088</v>
      </c>
      <c r="AC891">
        <v>2604000274</v>
      </c>
      <c r="AE891">
        <v>0</v>
      </c>
      <c r="AF891">
        <v>1</v>
      </c>
      <c r="AG891">
        <v>0</v>
      </c>
      <c r="AH891">
        <v>0.48</v>
      </c>
      <c r="AI891" t="s">
        <v>56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 t="s">
        <v>57</v>
      </c>
      <c r="AS891" t="s">
        <v>2089</v>
      </c>
      <c r="AT891" t="s">
        <v>2089</v>
      </c>
      <c r="AU891" t="s">
        <v>2088</v>
      </c>
      <c r="AV891" t="s">
        <v>2090</v>
      </c>
      <c r="AW891" t="s">
        <v>2091</v>
      </c>
      <c r="AZ891">
        <v>27910</v>
      </c>
      <c r="BA891" t="s">
        <v>2092</v>
      </c>
      <c r="BB891" t="s">
        <v>61</v>
      </c>
      <c r="BC891" t="s">
        <v>62</v>
      </c>
    </row>
    <row r="892" spans="1:55" x14ac:dyDescent="0.25">
      <c r="A892" s="1" t="str">
        <f>IF(COUNTIF(Catégories!A:A,X892)=0,"catégorie inconnue",_xlfn.XLOOKUP(X892,Catégories!A:A,Catégories!B:B))</f>
        <v>Frêt</v>
      </c>
      <c r="B892" s="1">
        <f t="shared" si="39"/>
        <v>0</v>
      </c>
      <c r="C892" s="1">
        <f t="shared" si="40"/>
        <v>0</v>
      </c>
      <c r="D892" s="1">
        <f t="shared" si="41"/>
        <v>0</v>
      </c>
      <c r="E892" s="20">
        <f>IF(AH892&lt;&gt;0,ROUNDUP(AH892,0),IF(BB892&lt;&gt;"FR","hors France",IF(AH892&lt;&gt;0,ROUNDUP(AH892,0),_xlfn.XLOOKUP(AJ892,'PA GLS'!B:B,'PA GLS'!A:A))))</f>
        <v>1</v>
      </c>
      <c r="F892">
        <v>2501382993</v>
      </c>
      <c r="G892">
        <v>1030350167</v>
      </c>
      <c r="H892" t="s">
        <v>366</v>
      </c>
      <c r="I892" s="29">
        <v>2500034092</v>
      </c>
      <c r="J892" t="s">
        <v>50</v>
      </c>
      <c r="K892" s="30">
        <v>9000009190</v>
      </c>
      <c r="L892">
        <v>46946</v>
      </c>
      <c r="M892" t="s">
        <v>51</v>
      </c>
      <c r="N892" s="24">
        <v>9000079830</v>
      </c>
      <c r="O892" t="s">
        <v>187</v>
      </c>
      <c r="S892">
        <v>2507012387</v>
      </c>
      <c r="T892" t="s">
        <v>50</v>
      </c>
      <c r="U892" t="s">
        <v>122</v>
      </c>
      <c r="V892" t="s">
        <v>176</v>
      </c>
      <c r="W892" t="s">
        <v>177</v>
      </c>
      <c r="X892" t="s">
        <v>152</v>
      </c>
      <c r="Z892">
        <v>262</v>
      </c>
      <c r="AA892" t="s">
        <v>366</v>
      </c>
      <c r="AB892" s="33" t="s">
        <v>2093</v>
      </c>
      <c r="AC892">
        <v>2604000273</v>
      </c>
      <c r="AE892">
        <v>0</v>
      </c>
      <c r="AF892">
        <v>1</v>
      </c>
      <c r="AG892">
        <v>0</v>
      </c>
      <c r="AH892">
        <v>0.4</v>
      </c>
      <c r="AI892" t="s">
        <v>56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 t="s">
        <v>57</v>
      </c>
      <c r="AS892" t="s">
        <v>2094</v>
      </c>
      <c r="AT892" t="s">
        <v>2094</v>
      </c>
      <c r="AU892" t="s">
        <v>2093</v>
      </c>
      <c r="AV892" t="s">
        <v>2095</v>
      </c>
      <c r="AW892" t="s">
        <v>2096</v>
      </c>
      <c r="AZ892">
        <v>27180</v>
      </c>
      <c r="BA892" t="s">
        <v>2097</v>
      </c>
      <c r="BB892" t="s">
        <v>61</v>
      </c>
      <c r="BC892" t="s">
        <v>62</v>
      </c>
    </row>
    <row r="893" spans="1:55" x14ac:dyDescent="0.25">
      <c r="A893" s="1" t="str">
        <f>IF(COUNTIF(Catégories!A:A,X893)=0,"catégorie inconnue",_xlfn.XLOOKUP(X893,Catégories!A:A,Catégories!B:B))</f>
        <v>Frêt</v>
      </c>
      <c r="B893" s="1">
        <f t="shared" si="39"/>
        <v>0</v>
      </c>
      <c r="C893" s="1">
        <f t="shared" si="40"/>
        <v>0</v>
      </c>
      <c r="D893" s="1">
        <f t="shared" si="41"/>
        <v>0</v>
      </c>
      <c r="E893" s="20">
        <f>IF(AH893&lt;&gt;0,ROUNDUP(AH893,0),IF(BB893&lt;&gt;"FR","hors France",IF(AH893&lt;&gt;0,ROUNDUP(AH893,0),_xlfn.XLOOKUP(AJ893,'PA GLS'!B:B,'PA GLS'!A:A))))</f>
        <v>1</v>
      </c>
      <c r="F893">
        <v>2501382993</v>
      </c>
      <c r="G893">
        <v>1030350167</v>
      </c>
      <c r="H893" t="s">
        <v>366</v>
      </c>
      <c r="I893" s="29">
        <v>2500034092</v>
      </c>
      <c r="J893" t="s">
        <v>50</v>
      </c>
      <c r="K893" s="30">
        <v>9000009190</v>
      </c>
      <c r="L893">
        <v>46946</v>
      </c>
      <c r="M893" t="s">
        <v>51</v>
      </c>
      <c r="N893" s="24">
        <v>9000079830</v>
      </c>
      <c r="O893" t="s">
        <v>187</v>
      </c>
      <c r="S893">
        <v>2507012387</v>
      </c>
      <c r="T893" t="s">
        <v>50</v>
      </c>
      <c r="U893" t="s">
        <v>122</v>
      </c>
      <c r="V893" t="s">
        <v>176</v>
      </c>
      <c r="W893" t="s">
        <v>177</v>
      </c>
      <c r="X893" t="s">
        <v>152</v>
      </c>
      <c r="Z893">
        <v>262</v>
      </c>
      <c r="AA893" t="s">
        <v>366</v>
      </c>
      <c r="AB893" s="33" t="s">
        <v>2098</v>
      </c>
      <c r="AC893">
        <v>2604000272</v>
      </c>
      <c r="AE893">
        <v>0</v>
      </c>
      <c r="AF893">
        <v>1</v>
      </c>
      <c r="AG893">
        <v>0</v>
      </c>
      <c r="AH893">
        <v>0.5</v>
      </c>
      <c r="AI893" t="s">
        <v>56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 t="s">
        <v>57</v>
      </c>
      <c r="AS893" t="s">
        <v>2099</v>
      </c>
      <c r="AT893" t="s">
        <v>2099</v>
      </c>
      <c r="AU893" t="s">
        <v>2098</v>
      </c>
      <c r="AV893" t="s">
        <v>2100</v>
      </c>
      <c r="AW893" t="s">
        <v>2101</v>
      </c>
      <c r="AZ893">
        <v>92500</v>
      </c>
      <c r="BA893" t="s">
        <v>2102</v>
      </c>
      <c r="BB893" t="s">
        <v>61</v>
      </c>
      <c r="BC893" t="s">
        <v>62</v>
      </c>
    </row>
    <row r="894" spans="1:55" x14ac:dyDescent="0.25">
      <c r="A894" s="1" t="str">
        <f>IF(COUNTIF(Catégories!A:A,X894)=0,"catégorie inconnue",_xlfn.XLOOKUP(X894,Catégories!A:A,Catégories!B:B))</f>
        <v>Frêt</v>
      </c>
      <c r="B894" s="1">
        <f t="shared" si="39"/>
        <v>0</v>
      </c>
      <c r="C894" s="1">
        <f t="shared" si="40"/>
        <v>0</v>
      </c>
      <c r="D894" s="1">
        <f t="shared" si="41"/>
        <v>0</v>
      </c>
      <c r="E894" s="20">
        <f>IF(AH894&lt;&gt;0,ROUNDUP(AH894,0),IF(BB894&lt;&gt;"FR","hors France",IF(AH894&lt;&gt;0,ROUNDUP(AH894,0),_xlfn.XLOOKUP(AJ894,'PA GLS'!B:B,'PA GLS'!A:A))))</f>
        <v>2</v>
      </c>
      <c r="F894">
        <v>2501382993</v>
      </c>
      <c r="G894">
        <v>1030350167</v>
      </c>
      <c r="H894" t="s">
        <v>366</v>
      </c>
      <c r="I894" s="29">
        <v>2500034092</v>
      </c>
      <c r="J894" t="s">
        <v>50</v>
      </c>
      <c r="K894" s="30">
        <v>9000009190</v>
      </c>
      <c r="L894">
        <v>46946</v>
      </c>
      <c r="M894" t="s">
        <v>51</v>
      </c>
      <c r="N894" s="24">
        <v>9000079830</v>
      </c>
      <c r="O894" t="s">
        <v>187</v>
      </c>
      <c r="S894">
        <v>2507012387</v>
      </c>
      <c r="T894" t="s">
        <v>50</v>
      </c>
      <c r="U894" t="s">
        <v>122</v>
      </c>
      <c r="V894" t="s">
        <v>176</v>
      </c>
      <c r="W894" t="s">
        <v>177</v>
      </c>
      <c r="X894" t="s">
        <v>152</v>
      </c>
      <c r="Z894">
        <v>262</v>
      </c>
      <c r="AA894" t="s">
        <v>366</v>
      </c>
      <c r="AB894" s="33" t="s">
        <v>2239</v>
      </c>
      <c r="AC894">
        <v>2604000271</v>
      </c>
      <c r="AE894">
        <v>0</v>
      </c>
      <c r="AF894">
        <v>1</v>
      </c>
      <c r="AG894">
        <v>0</v>
      </c>
      <c r="AH894">
        <v>1.1000000000000001</v>
      </c>
      <c r="AI894" t="s">
        <v>56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 t="s">
        <v>57</v>
      </c>
      <c r="AS894" t="s">
        <v>2240</v>
      </c>
      <c r="AT894" t="s">
        <v>2240</v>
      </c>
      <c r="AU894" t="s">
        <v>2239</v>
      </c>
      <c r="AV894" t="s">
        <v>2241</v>
      </c>
      <c r="AW894" t="s">
        <v>2242</v>
      </c>
      <c r="AZ894">
        <v>93170</v>
      </c>
      <c r="BA894" t="s">
        <v>2243</v>
      </c>
      <c r="BB894" t="s">
        <v>61</v>
      </c>
      <c r="BC894" t="s">
        <v>62</v>
      </c>
    </row>
    <row r="895" spans="1:55" x14ac:dyDescent="0.25">
      <c r="A895" s="1" t="str">
        <f>IF(COUNTIF(Catégories!A:A,X895)=0,"catégorie inconnue",_xlfn.XLOOKUP(X895,Catégories!A:A,Catégories!B:B))</f>
        <v>Frêt</v>
      </c>
      <c r="B895" s="1">
        <f t="shared" si="39"/>
        <v>0</v>
      </c>
      <c r="C895" s="1">
        <f t="shared" si="40"/>
        <v>0</v>
      </c>
      <c r="D895" s="1">
        <f t="shared" si="41"/>
        <v>0</v>
      </c>
      <c r="E895" s="20">
        <f>IF(AH895&lt;&gt;0,ROUNDUP(AH895,0),IF(BB895&lt;&gt;"FR","hors France",IF(AH895&lt;&gt;0,ROUNDUP(AH895,0),_xlfn.XLOOKUP(AJ895,'PA GLS'!B:B,'PA GLS'!A:A))))</f>
        <v>2</v>
      </c>
      <c r="F895">
        <v>2501382993</v>
      </c>
      <c r="G895">
        <v>1030350167</v>
      </c>
      <c r="H895" t="s">
        <v>366</v>
      </c>
      <c r="I895" s="29">
        <v>2500034092</v>
      </c>
      <c r="J895" t="s">
        <v>50</v>
      </c>
      <c r="K895" s="30">
        <v>9000009190</v>
      </c>
      <c r="L895">
        <v>46946</v>
      </c>
      <c r="M895" t="s">
        <v>51</v>
      </c>
      <c r="N895" s="24">
        <v>9000079830</v>
      </c>
      <c r="O895" t="s">
        <v>187</v>
      </c>
      <c r="S895">
        <v>2507012387</v>
      </c>
      <c r="T895" t="s">
        <v>50</v>
      </c>
      <c r="U895" t="s">
        <v>122</v>
      </c>
      <c r="V895" t="s">
        <v>176</v>
      </c>
      <c r="W895" t="s">
        <v>177</v>
      </c>
      <c r="X895" t="s">
        <v>152</v>
      </c>
      <c r="Z895">
        <v>262</v>
      </c>
      <c r="AA895" t="s">
        <v>366</v>
      </c>
      <c r="AB895" s="33" t="s">
        <v>2129</v>
      </c>
      <c r="AC895">
        <v>2604000270</v>
      </c>
      <c r="AE895">
        <v>0</v>
      </c>
      <c r="AF895">
        <v>1</v>
      </c>
      <c r="AG895">
        <v>0</v>
      </c>
      <c r="AH895">
        <v>1.1000000000000001</v>
      </c>
      <c r="AI895" t="s">
        <v>56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 t="s">
        <v>57</v>
      </c>
      <c r="AS895" t="s">
        <v>2130</v>
      </c>
      <c r="AT895" t="s">
        <v>2130</v>
      </c>
      <c r="AU895" t="s">
        <v>2129</v>
      </c>
      <c r="AV895" t="s">
        <v>2131</v>
      </c>
      <c r="AW895" t="s">
        <v>2132</v>
      </c>
      <c r="AZ895">
        <v>95170</v>
      </c>
      <c r="BA895" t="s">
        <v>2133</v>
      </c>
      <c r="BB895" t="s">
        <v>61</v>
      </c>
      <c r="BC895" t="s">
        <v>62</v>
      </c>
    </row>
    <row r="896" spans="1:55" x14ac:dyDescent="0.25">
      <c r="A896" s="1" t="str">
        <f>IF(COUNTIF(Catégories!A:A,X896)=0,"catégorie inconnue",_xlfn.XLOOKUP(X896,Catégories!A:A,Catégories!B:B))</f>
        <v>Frêt</v>
      </c>
      <c r="B896" s="1">
        <f t="shared" si="39"/>
        <v>0</v>
      </c>
      <c r="C896" s="1">
        <f t="shared" si="40"/>
        <v>0</v>
      </c>
      <c r="D896" s="1">
        <f t="shared" si="41"/>
        <v>0</v>
      </c>
      <c r="E896" s="20">
        <f>IF(AH896&lt;&gt;0,ROUNDUP(AH896,0),IF(BB896&lt;&gt;"FR","hors France",IF(AH896&lt;&gt;0,ROUNDUP(AH896,0),_xlfn.XLOOKUP(AJ896,'PA GLS'!B:B,'PA GLS'!A:A))))</f>
        <v>2</v>
      </c>
      <c r="F896">
        <v>2501382993</v>
      </c>
      <c r="G896">
        <v>1030350167</v>
      </c>
      <c r="H896" t="s">
        <v>366</v>
      </c>
      <c r="I896" s="29">
        <v>2500034092</v>
      </c>
      <c r="J896" t="s">
        <v>50</v>
      </c>
      <c r="K896" s="30">
        <v>9000009190</v>
      </c>
      <c r="L896">
        <v>46946</v>
      </c>
      <c r="M896" t="s">
        <v>51</v>
      </c>
      <c r="N896" s="24">
        <v>9000079830</v>
      </c>
      <c r="O896" t="s">
        <v>187</v>
      </c>
      <c r="S896">
        <v>2507012387</v>
      </c>
      <c r="T896" t="s">
        <v>50</v>
      </c>
      <c r="U896" t="s">
        <v>122</v>
      </c>
      <c r="V896" t="s">
        <v>176</v>
      </c>
      <c r="W896" t="s">
        <v>177</v>
      </c>
      <c r="X896" t="s">
        <v>152</v>
      </c>
      <c r="Z896">
        <v>262</v>
      </c>
      <c r="AA896" t="s">
        <v>366</v>
      </c>
      <c r="AB896" s="33" t="s">
        <v>1996</v>
      </c>
      <c r="AC896">
        <v>2604000269</v>
      </c>
      <c r="AE896">
        <v>0</v>
      </c>
      <c r="AF896">
        <v>1</v>
      </c>
      <c r="AG896">
        <v>0</v>
      </c>
      <c r="AH896">
        <v>1.1399999999999999</v>
      </c>
      <c r="AI896" t="s">
        <v>56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 t="s">
        <v>57</v>
      </c>
      <c r="AS896" t="s">
        <v>1997</v>
      </c>
      <c r="AT896" t="s">
        <v>1997</v>
      </c>
      <c r="AU896" t="s">
        <v>1996</v>
      </c>
      <c r="AV896" t="s">
        <v>1998</v>
      </c>
      <c r="AW896" t="s">
        <v>1999</v>
      </c>
      <c r="AZ896">
        <v>29200</v>
      </c>
      <c r="BA896" t="s">
        <v>271</v>
      </c>
      <c r="BB896" t="s">
        <v>61</v>
      </c>
      <c r="BC896" t="s">
        <v>62</v>
      </c>
    </row>
    <row r="897" spans="1:55" x14ac:dyDescent="0.25">
      <c r="A897" s="1" t="str">
        <f>IF(COUNTIF(Catégories!A:A,X897)=0,"catégorie inconnue",_xlfn.XLOOKUP(X897,Catégories!A:A,Catégories!B:B))</f>
        <v>Frêt</v>
      </c>
      <c r="B897" s="1">
        <f t="shared" si="39"/>
        <v>0</v>
      </c>
      <c r="C897" s="1">
        <f t="shared" si="40"/>
        <v>0</v>
      </c>
      <c r="D897" s="1">
        <f t="shared" si="41"/>
        <v>0</v>
      </c>
      <c r="E897" s="20">
        <f>IF(AH897&lt;&gt;0,ROUNDUP(AH897,0),IF(BB897&lt;&gt;"FR","hors France",IF(AH897&lt;&gt;0,ROUNDUP(AH897,0),_xlfn.XLOOKUP(AJ897,'PA GLS'!B:B,'PA GLS'!A:A))))</f>
        <v>1</v>
      </c>
      <c r="F897">
        <v>2501382993</v>
      </c>
      <c r="G897">
        <v>1030350167</v>
      </c>
      <c r="H897" t="s">
        <v>366</v>
      </c>
      <c r="I897" s="29">
        <v>2500034092</v>
      </c>
      <c r="J897" t="s">
        <v>50</v>
      </c>
      <c r="K897" s="30">
        <v>9000009190</v>
      </c>
      <c r="L897">
        <v>46946</v>
      </c>
      <c r="M897" t="s">
        <v>51</v>
      </c>
      <c r="N897" s="24">
        <v>9000079830</v>
      </c>
      <c r="O897" t="s">
        <v>187</v>
      </c>
      <c r="S897">
        <v>2507012387</v>
      </c>
      <c r="T897" t="s">
        <v>50</v>
      </c>
      <c r="U897" t="s">
        <v>122</v>
      </c>
      <c r="V897" t="s">
        <v>176</v>
      </c>
      <c r="W897" t="s">
        <v>177</v>
      </c>
      <c r="X897" t="s">
        <v>152</v>
      </c>
      <c r="Z897">
        <v>262</v>
      </c>
      <c r="AA897" t="s">
        <v>366</v>
      </c>
      <c r="AB897" s="33" t="s">
        <v>2057</v>
      </c>
      <c r="AC897">
        <v>2604000268</v>
      </c>
      <c r="AE897">
        <v>0</v>
      </c>
      <c r="AF897">
        <v>1</v>
      </c>
      <c r="AG897">
        <v>0</v>
      </c>
      <c r="AH897">
        <v>0.84</v>
      </c>
      <c r="AI897" t="s">
        <v>56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 t="s">
        <v>57</v>
      </c>
      <c r="AS897" t="s">
        <v>2058</v>
      </c>
      <c r="AT897" t="s">
        <v>2058</v>
      </c>
      <c r="AU897" t="s">
        <v>2057</v>
      </c>
      <c r="AV897" t="s">
        <v>2059</v>
      </c>
      <c r="AW897" t="s">
        <v>2060</v>
      </c>
      <c r="AZ897">
        <v>50350</v>
      </c>
      <c r="BA897" t="s">
        <v>2061</v>
      </c>
      <c r="BB897" t="s">
        <v>61</v>
      </c>
      <c r="BC897" t="s">
        <v>62</v>
      </c>
    </row>
    <row r="898" spans="1:55" x14ac:dyDescent="0.25">
      <c r="A898" s="31" t="s">
        <v>167</v>
      </c>
    </row>
    <row r="899" spans="1:55" x14ac:dyDescent="0.25">
      <c r="A899" s="31" t="s">
        <v>168</v>
      </c>
    </row>
    <row r="900" spans="1:55" x14ac:dyDescent="0.25">
      <c r="A900" s="31" t="s">
        <v>109</v>
      </c>
    </row>
    <row r="901" spans="1:55" x14ac:dyDescent="0.25">
      <c r="A901" s="31" t="s">
        <v>108</v>
      </c>
    </row>
    <row r="902" spans="1:55" x14ac:dyDescent="0.25">
      <c r="A902" s="31" t="s">
        <v>110</v>
      </c>
    </row>
    <row r="903" spans="1:55" x14ac:dyDescent="0.25">
      <c r="A903" s="31" t="s">
        <v>123</v>
      </c>
    </row>
    <row r="904" spans="1:55" x14ac:dyDescent="0.25">
      <c r="A904" s="31" t="s">
        <v>111</v>
      </c>
    </row>
    <row r="905" spans="1:55" x14ac:dyDescent="0.25">
      <c r="A905" s="31" t="s">
        <v>124</v>
      </c>
    </row>
  </sheetData>
  <autoFilter ref="A1:BD905" xr:uid="{00000000-0001-0000-0200-000000000000}"/>
  <sortState xmlns:xlrd2="http://schemas.microsoft.com/office/spreadsheetml/2017/richdata2" ref="A2:BD2">
    <sortCondition ref="AB1:AB2"/>
  </sortState>
  <phoneticPr fontId="2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6"/>
  <dimension ref="A1:T431"/>
  <sheetViews>
    <sheetView zoomScale="80" zoomScaleNormal="8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Q7" sqref="Q7:Q8"/>
    </sheetView>
  </sheetViews>
  <sheetFormatPr baseColWidth="10" defaultRowHeight="15" x14ac:dyDescent="0.25"/>
  <cols>
    <col min="2" max="3" width="11.42578125" style="1"/>
    <col min="4" max="4" width="31.28515625" bestFit="1" customWidth="1"/>
    <col min="5" max="5" width="12.42578125" bestFit="1" customWidth="1"/>
    <col min="6" max="6" width="16.42578125" bestFit="1" customWidth="1"/>
    <col min="7" max="7" width="15.140625" bestFit="1" customWidth="1"/>
    <col min="8" max="8" width="6.5703125" bestFit="1" customWidth="1"/>
    <col min="9" max="9" width="11.28515625" bestFit="1" customWidth="1"/>
    <col min="10" max="10" width="12" bestFit="1" customWidth="1"/>
    <col min="11" max="11" width="13.7109375" bestFit="1" customWidth="1"/>
    <col min="12" max="12" width="19.85546875" bestFit="1" customWidth="1"/>
    <col min="13" max="13" width="6.42578125" bestFit="1" customWidth="1"/>
    <col min="14" max="14" width="6.28515625" customWidth="1"/>
    <col min="16" max="17" width="12.7109375" bestFit="1" customWidth="1"/>
    <col min="18" max="19" width="12.85546875" bestFit="1" customWidth="1"/>
    <col min="20" max="20" width="15.7109375" bestFit="1" customWidth="1"/>
  </cols>
  <sheetData>
    <row r="1" spans="1:20" x14ac:dyDescent="0.25">
      <c r="D1" s="3" t="s">
        <v>9</v>
      </c>
      <c r="E1" t="s">
        <v>196</v>
      </c>
      <c r="P1" t="s">
        <v>116</v>
      </c>
      <c r="Q1" s="6">
        <f>SUM('Facture GLS'!B:B)</f>
        <v>3069.2000000000121</v>
      </c>
      <c r="R1" s="7" t="s">
        <v>208</v>
      </c>
      <c r="S1" s="7">
        <f>Q1*1.2</f>
        <v>3683.0400000000145</v>
      </c>
      <c r="T1" t="s">
        <v>209</v>
      </c>
    </row>
    <row r="2" spans="1:20" x14ac:dyDescent="0.25">
      <c r="A2" t="s">
        <v>147</v>
      </c>
      <c r="B2" s="1" t="s">
        <v>116</v>
      </c>
      <c r="C2" s="1" t="s">
        <v>117</v>
      </c>
      <c r="O2" t="s">
        <v>127</v>
      </c>
      <c r="P2" t="s">
        <v>83</v>
      </c>
      <c r="Q2" s="7">
        <f>SUM('Facture GLS'!AN:AN)</f>
        <v>669.87999999999965</v>
      </c>
      <c r="R2" s="8">
        <f>Q2/Q3</f>
        <v>0.27919577213543678</v>
      </c>
    </row>
    <row r="3" spans="1:20" x14ac:dyDescent="0.25">
      <c r="A3" s="7">
        <f t="shared" ref="A3:A5" si="0">B3*(1+$R$2)</f>
        <v>0</v>
      </c>
      <c r="B3" s="5">
        <f>SUM(E3:L3)</f>
        <v>0</v>
      </c>
      <c r="C3" s="23"/>
      <c r="D3" s="3" t="s">
        <v>145</v>
      </c>
      <c r="E3" s="3" t="s">
        <v>105</v>
      </c>
      <c r="P3" t="s">
        <v>125</v>
      </c>
      <c r="Q3" s="7">
        <f>Q1-Q2</f>
        <v>2399.3200000000124</v>
      </c>
      <c r="R3" s="7"/>
      <c r="S3" s="7"/>
    </row>
    <row r="4" spans="1:20" x14ac:dyDescent="0.25">
      <c r="A4" s="7">
        <f t="shared" si="0"/>
        <v>0</v>
      </c>
      <c r="B4" s="5">
        <f>SUM(E4:L4)</f>
        <v>0</v>
      </c>
      <c r="C4" s="23"/>
      <c r="D4" s="3" t="s">
        <v>22</v>
      </c>
      <c r="E4" t="s">
        <v>167</v>
      </c>
      <c r="F4" t="s">
        <v>168</v>
      </c>
      <c r="G4" t="s">
        <v>109</v>
      </c>
      <c r="H4" t="s">
        <v>108</v>
      </c>
      <c r="I4" t="s">
        <v>110</v>
      </c>
      <c r="J4" t="s">
        <v>123</v>
      </c>
      <c r="K4" t="s">
        <v>111</v>
      </c>
      <c r="L4" t="s">
        <v>124</v>
      </c>
      <c r="M4" t="s">
        <v>112</v>
      </c>
    </row>
    <row r="5" spans="1:20" x14ac:dyDescent="0.25">
      <c r="A5" s="7">
        <f t="shared" si="0"/>
        <v>0</v>
      </c>
      <c r="B5" s="5">
        <f>SUM(E5:L5)</f>
        <v>0</v>
      </c>
      <c r="C5" s="23"/>
      <c r="D5" t="s">
        <v>361</v>
      </c>
      <c r="I5">
        <v>0</v>
      </c>
      <c r="N5" t="str">
        <f t="shared" ref="N5:N68" si="1">D5&amp;"R"</f>
        <v>00KUR5TUR</v>
      </c>
      <c r="P5" t="s">
        <v>126</v>
      </c>
      <c r="Q5" s="9">
        <v>45689</v>
      </c>
      <c r="R5" s="8">
        <v>0.309</v>
      </c>
    </row>
    <row r="6" spans="1:20" x14ac:dyDescent="0.25">
      <c r="A6" s="7">
        <f t="shared" ref="A6:A69" si="2">B6*(1+$R$2)</f>
        <v>6.1657236216928055</v>
      </c>
      <c r="B6" s="5">
        <f t="shared" ref="B6:B69" si="3">SUM(E6:L6)</f>
        <v>4.82</v>
      </c>
      <c r="C6" s="23"/>
      <c r="D6" t="s">
        <v>409</v>
      </c>
      <c r="H6">
        <v>4.82</v>
      </c>
      <c r="N6" t="str">
        <f t="shared" si="1"/>
        <v>00KUR5TXR</v>
      </c>
    </row>
    <row r="7" spans="1:20" x14ac:dyDescent="0.25">
      <c r="A7" s="7">
        <f t="shared" si="2"/>
        <v>6.1657236216928055</v>
      </c>
      <c r="B7" s="5">
        <f t="shared" si="3"/>
        <v>4.82</v>
      </c>
      <c r="C7" s="23"/>
      <c r="D7" t="s">
        <v>411</v>
      </c>
      <c r="H7">
        <v>4.82</v>
      </c>
      <c r="N7" t="str">
        <f t="shared" si="1"/>
        <v>00KUR5TYR</v>
      </c>
      <c r="P7" t="s">
        <v>200</v>
      </c>
      <c r="Q7" s="6">
        <f>SUM('Import csv'!P:V)</f>
        <v>2365.6099999999988</v>
      </c>
    </row>
    <row r="8" spans="1:20" x14ac:dyDescent="0.25">
      <c r="A8" s="7">
        <f t="shared" si="2"/>
        <v>6.1657236216928055</v>
      </c>
      <c r="B8" s="5">
        <f t="shared" si="3"/>
        <v>4.82</v>
      </c>
      <c r="C8" s="23"/>
      <c r="D8" t="s">
        <v>415</v>
      </c>
      <c r="H8">
        <v>4.82</v>
      </c>
      <c r="N8" t="str">
        <f t="shared" si="1"/>
        <v>00KUR5TZR</v>
      </c>
      <c r="P8" t="s">
        <v>201</v>
      </c>
      <c r="Q8" s="7">
        <f>Q3-Q7</f>
        <v>33.710000000013679</v>
      </c>
      <c r="R8" s="8" t="s">
        <v>206</v>
      </c>
      <c r="T8" s="28">
        <v>45992</v>
      </c>
    </row>
    <row r="9" spans="1:20" x14ac:dyDescent="0.25">
      <c r="A9" s="7">
        <f t="shared" si="2"/>
        <v>6.1657236216928055</v>
      </c>
      <c r="B9" s="5">
        <f t="shared" si="3"/>
        <v>4.82</v>
      </c>
      <c r="C9" s="23"/>
      <c r="D9" t="s">
        <v>533</v>
      </c>
      <c r="H9">
        <v>4.82</v>
      </c>
      <c r="N9" t="str">
        <f t="shared" si="1"/>
        <v>00KUR5U0R</v>
      </c>
      <c r="Q9" s="7"/>
    </row>
    <row r="10" spans="1:20" x14ac:dyDescent="0.25">
      <c r="A10" s="7">
        <f t="shared" si="2"/>
        <v>11.83256089225279</v>
      </c>
      <c r="B10" s="5">
        <f t="shared" si="3"/>
        <v>9.25</v>
      </c>
      <c r="C10" s="23"/>
      <c r="D10" t="s">
        <v>538</v>
      </c>
      <c r="H10">
        <v>5.15</v>
      </c>
      <c r="J10">
        <v>4.0999999999999996</v>
      </c>
      <c r="N10" t="str">
        <f t="shared" si="1"/>
        <v>00KUR5U1R</v>
      </c>
    </row>
    <row r="11" spans="1:20" x14ac:dyDescent="0.25">
      <c r="A11" s="7">
        <f t="shared" si="2"/>
        <v>10.988291682643402</v>
      </c>
      <c r="B11" s="5">
        <f t="shared" si="3"/>
        <v>8.59</v>
      </c>
      <c r="C11" s="23"/>
      <c r="D11" t="s">
        <v>543</v>
      </c>
      <c r="H11">
        <v>4.82</v>
      </c>
      <c r="I11">
        <v>0</v>
      </c>
      <c r="J11">
        <v>3.7700000000000005</v>
      </c>
      <c r="N11" t="str">
        <f t="shared" si="1"/>
        <v>00KUR5U2R</v>
      </c>
    </row>
    <row r="12" spans="1:20" x14ac:dyDescent="0.25">
      <c r="A12" s="7">
        <f t="shared" si="2"/>
        <v>6.1657236216928055</v>
      </c>
      <c r="B12" s="5">
        <f t="shared" si="3"/>
        <v>4.82</v>
      </c>
      <c r="C12" s="23"/>
      <c r="D12" t="s">
        <v>547</v>
      </c>
      <c r="H12">
        <v>4.82</v>
      </c>
      <c r="N12" t="str">
        <f t="shared" si="1"/>
        <v>00KUR5U3R</v>
      </c>
    </row>
    <row r="13" spans="1:20" x14ac:dyDescent="0.25">
      <c r="A13" s="7">
        <f t="shared" si="2"/>
        <v>6.5878582264974996</v>
      </c>
      <c r="B13" s="5">
        <f t="shared" si="3"/>
        <v>5.15</v>
      </c>
      <c r="C13" s="23"/>
      <c r="D13" t="s">
        <v>551</v>
      </c>
      <c r="H13">
        <v>5.15</v>
      </c>
      <c r="N13" t="str">
        <f t="shared" si="1"/>
        <v>00KUR5U4R</v>
      </c>
    </row>
    <row r="14" spans="1:20" x14ac:dyDescent="0.25">
      <c r="A14" s="7">
        <f t="shared" si="2"/>
        <v>6.5878582264974996</v>
      </c>
      <c r="B14" s="5">
        <f t="shared" si="3"/>
        <v>5.15</v>
      </c>
      <c r="C14" s="23"/>
      <c r="D14" t="s">
        <v>555</v>
      </c>
      <c r="H14">
        <v>5.15</v>
      </c>
      <c r="N14" t="str">
        <f t="shared" si="1"/>
        <v>00KUR5U5R</v>
      </c>
    </row>
    <row r="15" spans="1:20" x14ac:dyDescent="0.25">
      <c r="A15" s="7">
        <f t="shared" si="2"/>
        <v>6.5878582264974996</v>
      </c>
      <c r="B15" s="5">
        <f t="shared" si="3"/>
        <v>5.15</v>
      </c>
      <c r="C15" s="23"/>
      <c r="D15" t="s">
        <v>559</v>
      </c>
      <c r="H15">
        <v>5.15</v>
      </c>
      <c r="N15" t="str">
        <f t="shared" si="1"/>
        <v>00KUR5U6R</v>
      </c>
    </row>
    <row r="16" spans="1:20" x14ac:dyDescent="0.25">
      <c r="A16" s="7">
        <f t="shared" si="2"/>
        <v>6.1657236216928055</v>
      </c>
      <c r="B16" s="5">
        <f t="shared" si="3"/>
        <v>4.82</v>
      </c>
      <c r="C16" s="23"/>
      <c r="D16" t="s">
        <v>585</v>
      </c>
      <c r="H16">
        <v>4.82</v>
      </c>
      <c r="N16" t="str">
        <f t="shared" si="1"/>
        <v>00KUR5U7R</v>
      </c>
    </row>
    <row r="17" spans="1:14" x14ac:dyDescent="0.25">
      <c r="A17" s="7">
        <f t="shared" si="2"/>
        <v>6.5878582264974996</v>
      </c>
      <c r="B17" s="5">
        <f t="shared" si="3"/>
        <v>5.15</v>
      </c>
      <c r="C17" s="23"/>
      <c r="D17" t="s">
        <v>593</v>
      </c>
      <c r="H17">
        <v>5.15</v>
      </c>
      <c r="N17" t="str">
        <f t="shared" si="1"/>
        <v>00KUR5U8R</v>
      </c>
    </row>
    <row r="18" spans="1:14" x14ac:dyDescent="0.25">
      <c r="A18" s="7">
        <f t="shared" si="2"/>
        <v>6.1657236216928055</v>
      </c>
      <c r="B18" s="5">
        <f t="shared" si="3"/>
        <v>4.82</v>
      </c>
      <c r="C18" s="23"/>
      <c r="D18" t="s">
        <v>587</v>
      </c>
      <c r="H18">
        <v>4.82</v>
      </c>
      <c r="N18" t="str">
        <f t="shared" si="1"/>
        <v>00KUR5U9R</v>
      </c>
    </row>
    <row r="19" spans="1:14" x14ac:dyDescent="0.25">
      <c r="A19" s="7">
        <f t="shared" si="2"/>
        <v>6.5878582264974996</v>
      </c>
      <c r="B19" s="5">
        <f t="shared" si="3"/>
        <v>5.15</v>
      </c>
      <c r="C19" s="23"/>
      <c r="D19" t="s">
        <v>598</v>
      </c>
      <c r="H19">
        <v>5.15</v>
      </c>
      <c r="N19" t="str">
        <f t="shared" si="1"/>
        <v>00KUR5UAR</v>
      </c>
    </row>
    <row r="20" spans="1:14" x14ac:dyDescent="0.25">
      <c r="A20" s="7">
        <f t="shared" si="2"/>
        <v>6.5878582264974996</v>
      </c>
      <c r="B20" s="5">
        <f t="shared" si="3"/>
        <v>5.15</v>
      </c>
      <c r="C20" s="23"/>
      <c r="D20" t="s">
        <v>603</v>
      </c>
      <c r="H20">
        <v>5.15</v>
      </c>
      <c r="N20" t="str">
        <f t="shared" si="1"/>
        <v>00KUR5UBR</v>
      </c>
    </row>
    <row r="21" spans="1:14" x14ac:dyDescent="0.25">
      <c r="A21" s="7">
        <f t="shared" si="2"/>
        <v>6.1657236216928055</v>
      </c>
      <c r="B21" s="5">
        <f t="shared" si="3"/>
        <v>4.82</v>
      </c>
      <c r="C21" s="23"/>
      <c r="D21" t="s">
        <v>589</v>
      </c>
      <c r="H21">
        <v>4.82</v>
      </c>
      <c r="N21" t="str">
        <f t="shared" si="1"/>
        <v>00KUR5UCR</v>
      </c>
    </row>
    <row r="22" spans="1:14" x14ac:dyDescent="0.25">
      <c r="A22" s="7">
        <f t="shared" si="2"/>
        <v>6.1657236216928055</v>
      </c>
      <c r="B22" s="5">
        <f t="shared" si="3"/>
        <v>4.82</v>
      </c>
      <c r="C22" s="23"/>
      <c r="D22" t="s">
        <v>580</v>
      </c>
      <c r="H22">
        <v>4.82</v>
      </c>
      <c r="N22" t="str">
        <f t="shared" si="1"/>
        <v>00KUR5UDR</v>
      </c>
    </row>
    <row r="23" spans="1:14" x14ac:dyDescent="0.25">
      <c r="A23" s="7">
        <f t="shared" si="2"/>
        <v>7.4065435206641803</v>
      </c>
      <c r="B23" s="5">
        <f t="shared" si="3"/>
        <v>5.7900000000000009</v>
      </c>
      <c r="C23" s="23"/>
      <c r="D23" t="s">
        <v>571</v>
      </c>
      <c r="H23">
        <v>5.7900000000000009</v>
      </c>
      <c r="N23" t="str">
        <f t="shared" si="1"/>
        <v>00KUR5UER</v>
      </c>
    </row>
    <row r="24" spans="1:14" x14ac:dyDescent="0.25">
      <c r="A24" s="7">
        <f t="shared" si="2"/>
        <v>6.1657236216928055</v>
      </c>
      <c r="B24" s="5">
        <f t="shared" si="3"/>
        <v>4.82</v>
      </c>
      <c r="C24" s="23"/>
      <c r="D24" t="s">
        <v>576</v>
      </c>
      <c r="H24">
        <v>4.82</v>
      </c>
      <c r="N24" t="str">
        <f t="shared" si="1"/>
        <v>00KUR5UFR</v>
      </c>
    </row>
    <row r="25" spans="1:14" x14ac:dyDescent="0.25">
      <c r="A25" s="7">
        <f t="shared" si="2"/>
        <v>6.1657236216928055</v>
      </c>
      <c r="B25" s="5">
        <f t="shared" si="3"/>
        <v>4.82</v>
      </c>
      <c r="C25" s="23"/>
      <c r="D25" t="s">
        <v>675</v>
      </c>
      <c r="H25">
        <v>4.82</v>
      </c>
      <c r="N25" t="str">
        <f t="shared" si="1"/>
        <v>00KUR5UGR</v>
      </c>
    </row>
    <row r="26" spans="1:14" x14ac:dyDescent="0.25">
      <c r="A26" s="7">
        <f t="shared" si="2"/>
        <v>6.5878582264974996</v>
      </c>
      <c r="B26" s="5">
        <f t="shared" si="3"/>
        <v>5.15</v>
      </c>
      <c r="C26" s="23"/>
      <c r="D26" t="s">
        <v>679</v>
      </c>
      <c r="H26">
        <v>5.15</v>
      </c>
      <c r="N26" t="str">
        <f t="shared" si="1"/>
        <v>00KUR5UHR</v>
      </c>
    </row>
    <row r="27" spans="1:14" x14ac:dyDescent="0.25">
      <c r="A27" s="7">
        <f t="shared" si="2"/>
        <v>6.1657236216928055</v>
      </c>
      <c r="B27" s="5">
        <f t="shared" si="3"/>
        <v>4.82</v>
      </c>
      <c r="C27" s="23"/>
      <c r="D27" t="s">
        <v>684</v>
      </c>
      <c r="H27">
        <v>4.82</v>
      </c>
      <c r="N27" t="str">
        <f t="shared" si="1"/>
        <v>00KUR5UIR</v>
      </c>
    </row>
    <row r="28" spans="1:14" x14ac:dyDescent="0.25">
      <c r="A28" s="7">
        <f t="shared" si="2"/>
        <v>6.5878582264974996</v>
      </c>
      <c r="B28" s="5">
        <f t="shared" si="3"/>
        <v>5.15</v>
      </c>
      <c r="C28" s="23"/>
      <c r="D28" t="s">
        <v>712</v>
      </c>
      <c r="H28">
        <v>5.15</v>
      </c>
      <c r="N28" t="str">
        <f t="shared" si="1"/>
        <v>00KUR5UJR</v>
      </c>
    </row>
    <row r="29" spans="1:14" x14ac:dyDescent="0.25">
      <c r="A29" s="7">
        <f t="shared" si="2"/>
        <v>6.5878582264974996</v>
      </c>
      <c r="B29" s="5">
        <f t="shared" si="3"/>
        <v>5.15</v>
      </c>
      <c r="C29" s="23"/>
      <c r="D29" t="s">
        <v>716</v>
      </c>
      <c r="H29">
        <v>5.15</v>
      </c>
      <c r="N29" t="str">
        <f t="shared" si="1"/>
        <v>00KUR5UKR</v>
      </c>
    </row>
    <row r="30" spans="1:14" x14ac:dyDescent="0.25">
      <c r="A30" s="7">
        <f t="shared" si="2"/>
        <v>6.1657236216928055</v>
      </c>
      <c r="B30" s="5">
        <f t="shared" si="3"/>
        <v>4.82</v>
      </c>
      <c r="C30" s="23"/>
      <c r="D30" t="s">
        <v>725</v>
      </c>
      <c r="H30">
        <v>4.82</v>
      </c>
      <c r="N30" t="str">
        <f t="shared" si="1"/>
        <v>00KUR5ULR</v>
      </c>
    </row>
    <row r="31" spans="1:14" x14ac:dyDescent="0.25">
      <c r="A31" s="7">
        <f t="shared" si="2"/>
        <v>6.1657236216928055</v>
      </c>
      <c r="B31" s="5">
        <f t="shared" si="3"/>
        <v>4.82</v>
      </c>
      <c r="C31" s="23"/>
      <c r="D31" t="s">
        <v>720</v>
      </c>
      <c r="H31">
        <v>4.82</v>
      </c>
      <c r="N31" t="str">
        <f t="shared" si="1"/>
        <v>00KUR5UMR</v>
      </c>
    </row>
    <row r="32" spans="1:14" x14ac:dyDescent="0.25">
      <c r="A32" s="7">
        <f t="shared" si="2"/>
        <v>6.1657236216928055</v>
      </c>
      <c r="B32" s="5">
        <f t="shared" si="3"/>
        <v>4.82</v>
      </c>
      <c r="C32" s="23"/>
      <c r="D32" t="s">
        <v>718</v>
      </c>
      <c r="H32">
        <v>4.82</v>
      </c>
      <c r="N32" t="str">
        <f t="shared" si="1"/>
        <v>00KUR5UNR</v>
      </c>
    </row>
    <row r="33" spans="1:14" x14ac:dyDescent="0.25">
      <c r="A33" s="7">
        <f t="shared" si="2"/>
        <v>6.99720087358084</v>
      </c>
      <c r="B33" s="5">
        <f t="shared" si="3"/>
        <v>5.4700000000000006</v>
      </c>
      <c r="C33" s="23"/>
      <c r="D33" t="s">
        <v>705</v>
      </c>
      <c r="H33">
        <v>5.4700000000000006</v>
      </c>
      <c r="N33" t="str">
        <f t="shared" si="1"/>
        <v>00KUR5UOR</v>
      </c>
    </row>
    <row r="34" spans="1:14" x14ac:dyDescent="0.25">
      <c r="A34" s="7">
        <f t="shared" si="2"/>
        <v>6.5878582264974996</v>
      </c>
      <c r="B34" s="5">
        <f t="shared" si="3"/>
        <v>5.15</v>
      </c>
      <c r="C34" s="23"/>
      <c r="D34" t="s">
        <v>707</v>
      </c>
      <c r="H34">
        <v>5.15</v>
      </c>
      <c r="N34" t="str">
        <f t="shared" si="1"/>
        <v>00KUR5UPR</v>
      </c>
    </row>
    <row r="35" spans="1:14" x14ac:dyDescent="0.25">
      <c r="A35" s="7">
        <f t="shared" si="2"/>
        <v>6.5878582264974996</v>
      </c>
      <c r="B35" s="5">
        <f t="shared" si="3"/>
        <v>5.15</v>
      </c>
      <c r="C35" s="23"/>
      <c r="D35" t="s">
        <v>771</v>
      </c>
      <c r="H35">
        <v>5.15</v>
      </c>
      <c r="N35" t="str">
        <f t="shared" si="1"/>
        <v>00KUR5UQR</v>
      </c>
    </row>
    <row r="36" spans="1:14" x14ac:dyDescent="0.25">
      <c r="A36" s="7">
        <f t="shared" si="2"/>
        <v>6.1657236216928055</v>
      </c>
      <c r="B36" s="5">
        <f t="shared" si="3"/>
        <v>4.82</v>
      </c>
      <c r="C36" s="23"/>
      <c r="D36" t="s">
        <v>775</v>
      </c>
      <c r="H36">
        <v>4.82</v>
      </c>
      <c r="N36" t="str">
        <f t="shared" si="1"/>
        <v>00KUR5URR</v>
      </c>
    </row>
    <row r="37" spans="1:14" x14ac:dyDescent="0.25">
      <c r="A37" s="7">
        <f t="shared" si="2"/>
        <v>6.1657236216928055</v>
      </c>
      <c r="B37" s="5">
        <f t="shared" si="3"/>
        <v>4.82</v>
      </c>
      <c r="C37" s="23"/>
      <c r="D37" t="s">
        <v>830</v>
      </c>
      <c r="H37">
        <v>4.82</v>
      </c>
      <c r="N37" t="str">
        <f t="shared" si="1"/>
        <v>00KUR5USR</v>
      </c>
    </row>
    <row r="38" spans="1:14" x14ac:dyDescent="0.25">
      <c r="A38" s="7">
        <f t="shared" si="2"/>
        <v>12.651246186419471</v>
      </c>
      <c r="B38" s="5">
        <f t="shared" si="3"/>
        <v>9.89</v>
      </c>
      <c r="C38" s="23"/>
      <c r="D38" t="s">
        <v>800</v>
      </c>
      <c r="H38">
        <v>5.4700000000000006</v>
      </c>
      <c r="J38">
        <v>4.42</v>
      </c>
      <c r="N38" t="str">
        <f t="shared" si="1"/>
        <v>00KUR5UTR</v>
      </c>
    </row>
    <row r="39" spans="1:14" x14ac:dyDescent="0.25">
      <c r="A39" s="7">
        <f t="shared" si="2"/>
        <v>6.5878582264974996</v>
      </c>
      <c r="B39" s="5">
        <f t="shared" si="3"/>
        <v>5.15</v>
      </c>
      <c r="C39" s="23"/>
      <c r="D39" t="s">
        <v>812</v>
      </c>
      <c r="H39">
        <v>5.15</v>
      </c>
      <c r="N39" t="str">
        <f t="shared" si="1"/>
        <v>00KUR5UUR</v>
      </c>
    </row>
    <row r="40" spans="1:14" x14ac:dyDescent="0.25">
      <c r="A40" s="7">
        <f t="shared" si="2"/>
        <v>8.8392427854558697</v>
      </c>
      <c r="B40" s="5">
        <f t="shared" si="3"/>
        <v>6.910000000000001</v>
      </c>
      <c r="C40" s="23"/>
      <c r="D40" t="s">
        <v>839</v>
      </c>
      <c r="H40">
        <v>6.910000000000001</v>
      </c>
      <c r="N40" t="str">
        <f t="shared" si="1"/>
        <v>00KUR5UVR</v>
      </c>
    </row>
    <row r="41" spans="1:14" x14ac:dyDescent="0.25">
      <c r="A41" s="7">
        <f t="shared" si="2"/>
        <v>6.1657236216928055</v>
      </c>
      <c r="B41" s="5">
        <f t="shared" si="3"/>
        <v>4.82</v>
      </c>
      <c r="C41" s="23"/>
      <c r="D41" t="s">
        <v>825</v>
      </c>
      <c r="H41">
        <v>4.82</v>
      </c>
      <c r="N41" t="str">
        <f t="shared" si="1"/>
        <v>00KUR5UWR</v>
      </c>
    </row>
    <row r="42" spans="1:14" x14ac:dyDescent="0.25">
      <c r="A42" s="7">
        <f t="shared" si="2"/>
        <v>6.99720087358084</v>
      </c>
      <c r="B42" s="5">
        <f t="shared" si="3"/>
        <v>5.4700000000000006</v>
      </c>
      <c r="C42" s="23"/>
      <c r="D42" t="s">
        <v>834</v>
      </c>
      <c r="H42">
        <v>5.4700000000000006</v>
      </c>
      <c r="N42" t="str">
        <f t="shared" si="1"/>
        <v>00KUR5UXR</v>
      </c>
    </row>
    <row r="43" spans="1:14" x14ac:dyDescent="0.25">
      <c r="A43" s="7">
        <f t="shared" si="2"/>
        <v>6.5878582264974996</v>
      </c>
      <c r="B43" s="5">
        <f t="shared" si="3"/>
        <v>5.15</v>
      </c>
      <c r="C43" s="23"/>
      <c r="D43" t="s">
        <v>808</v>
      </c>
      <c r="H43">
        <v>5.15</v>
      </c>
      <c r="N43" t="str">
        <f t="shared" si="1"/>
        <v>00KUR5UYR</v>
      </c>
    </row>
    <row r="44" spans="1:14" x14ac:dyDescent="0.25">
      <c r="A44" s="7">
        <f t="shared" si="2"/>
        <v>6.1657236216928055</v>
      </c>
      <c r="B44" s="5">
        <f t="shared" si="3"/>
        <v>4.82</v>
      </c>
      <c r="C44" s="23"/>
      <c r="D44" t="s">
        <v>821</v>
      </c>
      <c r="H44">
        <v>4.82</v>
      </c>
      <c r="N44" t="str">
        <f t="shared" si="1"/>
        <v>00KUR5UZR</v>
      </c>
    </row>
    <row r="45" spans="1:14" x14ac:dyDescent="0.25">
      <c r="A45" s="7">
        <f t="shared" si="2"/>
        <v>6.5878582264974996</v>
      </c>
      <c r="B45" s="5">
        <f t="shared" si="3"/>
        <v>5.15</v>
      </c>
      <c r="C45" s="23"/>
      <c r="D45" t="s">
        <v>804</v>
      </c>
      <c r="H45">
        <v>5.15</v>
      </c>
      <c r="N45" t="str">
        <f t="shared" si="1"/>
        <v>00KUR5V0R</v>
      </c>
    </row>
    <row r="46" spans="1:14" x14ac:dyDescent="0.25">
      <c r="A46" s="7">
        <f t="shared" si="2"/>
        <v>6.1657236216928055</v>
      </c>
      <c r="B46" s="5">
        <f t="shared" si="3"/>
        <v>4.82</v>
      </c>
      <c r="C46" s="23"/>
      <c r="D46" t="s">
        <v>817</v>
      </c>
      <c r="H46">
        <v>4.82</v>
      </c>
      <c r="N46" t="str">
        <f t="shared" si="1"/>
        <v>00KUR5V1R</v>
      </c>
    </row>
    <row r="47" spans="1:14" x14ac:dyDescent="0.25">
      <c r="A47" s="7">
        <f t="shared" si="2"/>
        <v>6.1657236216928055</v>
      </c>
      <c r="B47" s="5">
        <f t="shared" si="3"/>
        <v>4.82</v>
      </c>
      <c r="C47" s="23"/>
      <c r="D47" t="s">
        <v>845</v>
      </c>
      <c r="H47">
        <v>4.82</v>
      </c>
      <c r="N47" t="str">
        <f t="shared" si="1"/>
        <v>00KUR5V2R</v>
      </c>
    </row>
    <row r="48" spans="1:14" x14ac:dyDescent="0.25">
      <c r="A48" s="7">
        <f t="shared" si="2"/>
        <v>8.1228931530600246</v>
      </c>
      <c r="B48" s="5">
        <f t="shared" si="3"/>
        <v>6.3500000000000005</v>
      </c>
      <c r="C48" s="23"/>
      <c r="D48" t="s">
        <v>862</v>
      </c>
      <c r="H48">
        <v>6.3500000000000005</v>
      </c>
      <c r="N48" t="str">
        <f t="shared" si="1"/>
        <v>00KUR5V3R</v>
      </c>
    </row>
    <row r="49" spans="1:14" x14ac:dyDescent="0.25">
      <c r="A49" s="7">
        <f t="shared" si="2"/>
        <v>6.5878582264974996</v>
      </c>
      <c r="B49" s="5">
        <f t="shared" si="3"/>
        <v>5.15</v>
      </c>
      <c r="C49" s="23"/>
      <c r="D49" t="s">
        <v>855</v>
      </c>
      <c r="H49">
        <v>5.15</v>
      </c>
      <c r="N49" t="str">
        <f t="shared" si="1"/>
        <v>00KUR5V4R</v>
      </c>
    </row>
    <row r="50" spans="1:14" x14ac:dyDescent="0.25">
      <c r="A50" s="7">
        <f t="shared" si="2"/>
        <v>6.5878582264974996</v>
      </c>
      <c r="B50" s="5">
        <f t="shared" si="3"/>
        <v>5.15</v>
      </c>
      <c r="C50" s="23"/>
      <c r="D50" t="s">
        <v>857</v>
      </c>
      <c r="H50">
        <v>5.15</v>
      </c>
      <c r="N50" t="str">
        <f t="shared" si="1"/>
        <v>00KUR5V5R</v>
      </c>
    </row>
    <row r="51" spans="1:14" x14ac:dyDescent="0.25">
      <c r="A51" s="7">
        <f t="shared" si="2"/>
        <v>6.1657236216928055</v>
      </c>
      <c r="B51" s="5">
        <f t="shared" si="3"/>
        <v>4.82</v>
      </c>
      <c r="C51" s="23"/>
      <c r="D51" t="s">
        <v>850</v>
      </c>
      <c r="H51">
        <v>4.82</v>
      </c>
      <c r="N51" t="str">
        <f t="shared" si="1"/>
        <v>00KUR5V6R</v>
      </c>
    </row>
    <row r="52" spans="1:14" x14ac:dyDescent="0.25">
      <c r="A52" s="7">
        <f t="shared" si="2"/>
        <v>10.01610289582047</v>
      </c>
      <c r="B52" s="5">
        <f t="shared" si="3"/>
        <v>7.83</v>
      </c>
      <c r="C52" s="23"/>
      <c r="D52" t="s">
        <v>888</v>
      </c>
      <c r="E52">
        <v>2.36</v>
      </c>
      <c r="H52">
        <v>5.4700000000000006</v>
      </c>
      <c r="I52">
        <v>0</v>
      </c>
      <c r="N52" t="str">
        <f t="shared" si="1"/>
        <v>00KUR5V7R</v>
      </c>
    </row>
    <row r="53" spans="1:14" x14ac:dyDescent="0.25">
      <c r="A53" s="7">
        <f t="shared" si="2"/>
        <v>6.5878582264974996</v>
      </c>
      <c r="B53" s="5">
        <f t="shared" si="3"/>
        <v>5.15</v>
      </c>
      <c r="C53" s="23"/>
      <c r="D53" t="s">
        <v>893</v>
      </c>
      <c r="H53">
        <v>5.15</v>
      </c>
      <c r="N53" t="str">
        <f t="shared" si="1"/>
        <v>00KUR5V8R</v>
      </c>
    </row>
    <row r="54" spans="1:14" x14ac:dyDescent="0.25">
      <c r="A54" s="7">
        <f t="shared" si="2"/>
        <v>6.5878582264974996</v>
      </c>
      <c r="B54" s="5">
        <f t="shared" si="3"/>
        <v>5.15</v>
      </c>
      <c r="C54" s="23"/>
      <c r="D54" t="s">
        <v>898</v>
      </c>
      <c r="H54">
        <v>5.15</v>
      </c>
      <c r="N54" t="str">
        <f t="shared" si="1"/>
        <v>00KUR5V9R</v>
      </c>
    </row>
    <row r="55" spans="1:14" x14ac:dyDescent="0.25">
      <c r="A55" s="7">
        <f t="shared" si="2"/>
        <v>6.5878582264974996</v>
      </c>
      <c r="B55" s="5">
        <f t="shared" si="3"/>
        <v>5.15</v>
      </c>
      <c r="C55" s="23"/>
      <c r="D55" t="s">
        <v>902</v>
      </c>
      <c r="H55">
        <v>5.15</v>
      </c>
      <c r="N55" t="str">
        <f t="shared" si="1"/>
        <v>00KUR5VAR</v>
      </c>
    </row>
    <row r="56" spans="1:14" x14ac:dyDescent="0.25">
      <c r="A56" s="7">
        <f t="shared" si="2"/>
        <v>6.99720087358084</v>
      </c>
      <c r="B56" s="5">
        <f t="shared" si="3"/>
        <v>5.4700000000000006</v>
      </c>
      <c r="C56" s="23"/>
      <c r="D56" t="s">
        <v>904</v>
      </c>
      <c r="H56">
        <v>5.4700000000000006</v>
      </c>
      <c r="N56" t="str">
        <f t="shared" si="1"/>
        <v>00KUR5VBR</v>
      </c>
    </row>
    <row r="57" spans="1:14" x14ac:dyDescent="0.25">
      <c r="A57" s="7">
        <f t="shared" si="2"/>
        <v>6.5878582264974996</v>
      </c>
      <c r="B57" s="5">
        <f t="shared" si="3"/>
        <v>5.15</v>
      </c>
      <c r="C57" s="23"/>
      <c r="D57" t="s">
        <v>914</v>
      </c>
      <c r="H57">
        <v>5.15</v>
      </c>
      <c r="N57" t="str">
        <f t="shared" si="1"/>
        <v>00KUR5VCR</v>
      </c>
    </row>
    <row r="58" spans="1:14" x14ac:dyDescent="0.25">
      <c r="A58" s="7">
        <f t="shared" si="2"/>
        <v>6.1657236216928055</v>
      </c>
      <c r="B58" s="5">
        <f t="shared" si="3"/>
        <v>4.82</v>
      </c>
      <c r="C58" s="23"/>
      <c r="D58" t="s">
        <v>919</v>
      </c>
      <c r="H58">
        <v>4.82</v>
      </c>
      <c r="N58" t="str">
        <f t="shared" si="1"/>
        <v>00KUR5VDR</v>
      </c>
    </row>
    <row r="59" spans="1:14" x14ac:dyDescent="0.25">
      <c r="A59" s="7">
        <f t="shared" si="2"/>
        <v>6.1657236216928055</v>
      </c>
      <c r="B59" s="5">
        <f t="shared" si="3"/>
        <v>4.82</v>
      </c>
      <c r="C59" s="23"/>
      <c r="D59" t="s">
        <v>924</v>
      </c>
      <c r="H59">
        <v>4.82</v>
      </c>
      <c r="N59" t="str">
        <f t="shared" si="1"/>
        <v>00KUR5VER</v>
      </c>
    </row>
    <row r="60" spans="1:14" x14ac:dyDescent="0.25">
      <c r="A60" s="7">
        <f t="shared" si="2"/>
        <v>6.5878582264974996</v>
      </c>
      <c r="B60" s="5">
        <f t="shared" si="3"/>
        <v>5.15</v>
      </c>
      <c r="C60" s="23"/>
      <c r="D60" t="s">
        <v>928</v>
      </c>
      <c r="H60">
        <v>5.15</v>
      </c>
      <c r="N60" t="str">
        <f t="shared" si="1"/>
        <v>00KUR5VFR</v>
      </c>
    </row>
    <row r="61" spans="1:14" x14ac:dyDescent="0.25">
      <c r="A61" s="7">
        <f t="shared" si="2"/>
        <v>6.1657236216928055</v>
      </c>
      <c r="B61" s="5">
        <f t="shared" si="3"/>
        <v>4.82</v>
      </c>
      <c r="C61" s="23"/>
      <c r="D61" t="s">
        <v>932</v>
      </c>
      <c r="H61">
        <v>4.82</v>
      </c>
      <c r="N61" t="str">
        <f t="shared" si="1"/>
        <v>00KUR5VGR</v>
      </c>
    </row>
    <row r="62" spans="1:14" x14ac:dyDescent="0.25">
      <c r="A62" s="7">
        <f t="shared" si="2"/>
        <v>6.99720087358084</v>
      </c>
      <c r="B62" s="5">
        <f t="shared" si="3"/>
        <v>5.4700000000000006</v>
      </c>
      <c r="C62" s="23"/>
      <c r="D62" t="s">
        <v>966</v>
      </c>
      <c r="H62">
        <v>5.4700000000000006</v>
      </c>
      <c r="N62" t="str">
        <f t="shared" si="1"/>
        <v>00KUR5VHR</v>
      </c>
    </row>
    <row r="63" spans="1:14" x14ac:dyDescent="0.25">
      <c r="A63" s="7">
        <f t="shared" si="2"/>
        <v>6.1657236216928055</v>
      </c>
      <c r="B63" s="5">
        <f t="shared" si="3"/>
        <v>4.82</v>
      </c>
      <c r="C63" s="23"/>
      <c r="D63" t="s">
        <v>983</v>
      </c>
      <c r="H63">
        <v>4.82</v>
      </c>
      <c r="N63" t="str">
        <f t="shared" si="1"/>
        <v>00KUR5VIR</v>
      </c>
    </row>
    <row r="64" spans="1:14" x14ac:dyDescent="0.25">
      <c r="A64" s="7">
        <f t="shared" si="2"/>
        <v>6.1657236216928055</v>
      </c>
      <c r="B64" s="5">
        <f t="shared" si="3"/>
        <v>4.82</v>
      </c>
      <c r="C64" s="23"/>
      <c r="D64" t="s">
        <v>979</v>
      </c>
      <c r="H64">
        <v>4.82</v>
      </c>
      <c r="N64" t="str">
        <f t="shared" si="1"/>
        <v>00KUR5VJR</v>
      </c>
    </row>
    <row r="65" spans="1:14" x14ac:dyDescent="0.25">
      <c r="A65" s="7">
        <f t="shared" si="2"/>
        <v>6.1657236216928055</v>
      </c>
      <c r="B65" s="5">
        <f t="shared" si="3"/>
        <v>4.82</v>
      </c>
      <c r="C65" s="23"/>
      <c r="D65" t="s">
        <v>975</v>
      </c>
      <c r="H65">
        <v>4.82</v>
      </c>
      <c r="N65" t="str">
        <f t="shared" si="1"/>
        <v>00KUR5VKR</v>
      </c>
    </row>
    <row r="66" spans="1:14" x14ac:dyDescent="0.25">
      <c r="A66" s="7">
        <f t="shared" si="2"/>
        <v>6.1657236216928055</v>
      </c>
      <c r="B66" s="5">
        <f t="shared" si="3"/>
        <v>4.82</v>
      </c>
      <c r="C66" s="23"/>
      <c r="D66" t="s">
        <v>971</v>
      </c>
      <c r="H66">
        <v>4.82</v>
      </c>
      <c r="N66" t="str">
        <f t="shared" si="1"/>
        <v>00KUR5VLR</v>
      </c>
    </row>
    <row r="67" spans="1:14" x14ac:dyDescent="0.25">
      <c r="A67" s="7">
        <f t="shared" si="2"/>
        <v>6.1657236216928055</v>
      </c>
      <c r="B67" s="5">
        <f t="shared" si="3"/>
        <v>4.82</v>
      </c>
      <c r="C67" s="23"/>
      <c r="D67" t="s">
        <v>1003</v>
      </c>
      <c r="H67">
        <v>4.82</v>
      </c>
      <c r="N67" t="str">
        <f t="shared" si="1"/>
        <v>00KUR5VMR</v>
      </c>
    </row>
    <row r="68" spans="1:14" x14ac:dyDescent="0.25">
      <c r="A68" s="7">
        <f t="shared" si="2"/>
        <v>6.1657236216928055</v>
      </c>
      <c r="B68" s="5">
        <f t="shared" si="3"/>
        <v>4.82</v>
      </c>
      <c r="C68" s="23"/>
      <c r="D68" t="s">
        <v>1027</v>
      </c>
      <c r="H68">
        <v>4.82</v>
      </c>
      <c r="N68" t="str">
        <f t="shared" si="1"/>
        <v>00KUR5VNR</v>
      </c>
    </row>
    <row r="69" spans="1:14" x14ac:dyDescent="0.25">
      <c r="A69" s="7">
        <f t="shared" si="2"/>
        <v>6.1657236216928055</v>
      </c>
      <c r="B69" s="5">
        <f t="shared" si="3"/>
        <v>4.82</v>
      </c>
      <c r="C69" s="23"/>
      <c r="D69" t="s">
        <v>1022</v>
      </c>
      <c r="H69">
        <v>4.82</v>
      </c>
      <c r="N69" t="str">
        <f t="shared" ref="N69:N132" si="4">D69&amp;"R"</f>
        <v>00KUR5VOR</v>
      </c>
    </row>
    <row r="70" spans="1:14" x14ac:dyDescent="0.25">
      <c r="A70" s="7">
        <f t="shared" ref="A70:A133" si="5">B70*(1+$R$2)</f>
        <v>6.5878582264974996</v>
      </c>
      <c r="B70" s="5">
        <f t="shared" ref="B70:B133" si="6">SUM(E70:L70)</f>
        <v>5.15</v>
      </c>
      <c r="C70" s="23"/>
      <c r="D70" t="s">
        <v>1018</v>
      </c>
      <c r="H70">
        <v>5.15</v>
      </c>
      <c r="N70" t="str">
        <f t="shared" si="4"/>
        <v>00KUR5VPR</v>
      </c>
    </row>
    <row r="71" spans="1:14" x14ac:dyDescent="0.25">
      <c r="A71" s="7">
        <f t="shared" si="5"/>
        <v>6.5878582264974996</v>
      </c>
      <c r="B71" s="5">
        <f t="shared" si="6"/>
        <v>5.15</v>
      </c>
      <c r="C71" s="23"/>
      <c r="D71" t="s">
        <v>1016</v>
      </c>
      <c r="H71">
        <v>5.15</v>
      </c>
      <c r="N71" t="str">
        <f t="shared" si="4"/>
        <v>00KUR5VQR</v>
      </c>
    </row>
    <row r="72" spans="1:14" x14ac:dyDescent="0.25">
      <c r="A72" s="7">
        <f t="shared" si="5"/>
        <v>6.99720087358084</v>
      </c>
      <c r="B72" s="5">
        <f t="shared" si="6"/>
        <v>5.4700000000000006</v>
      </c>
      <c r="C72" s="23"/>
      <c r="D72" t="s">
        <v>1011</v>
      </c>
      <c r="H72">
        <v>5.4700000000000006</v>
      </c>
      <c r="N72" t="str">
        <f t="shared" si="4"/>
        <v>00KUR5VRR</v>
      </c>
    </row>
    <row r="73" spans="1:14" x14ac:dyDescent="0.25">
      <c r="A73" s="7">
        <f t="shared" si="5"/>
        <v>6.99720087358084</v>
      </c>
      <c r="B73" s="5">
        <f t="shared" si="6"/>
        <v>5.4700000000000006</v>
      </c>
      <c r="C73" s="23"/>
      <c r="D73" t="s">
        <v>1009</v>
      </c>
      <c r="H73">
        <v>5.4700000000000006</v>
      </c>
      <c r="N73" t="str">
        <f t="shared" si="4"/>
        <v>00KUR5VSR</v>
      </c>
    </row>
    <row r="74" spans="1:14" x14ac:dyDescent="0.25">
      <c r="A74" s="7">
        <f t="shared" si="5"/>
        <v>6.99720087358084</v>
      </c>
      <c r="B74" s="5">
        <f t="shared" si="6"/>
        <v>5.4700000000000006</v>
      </c>
      <c r="C74" s="23"/>
      <c r="D74" t="s">
        <v>1034</v>
      </c>
      <c r="H74">
        <v>5.4700000000000006</v>
      </c>
      <c r="N74" t="str">
        <f t="shared" si="4"/>
        <v>00KUR5VTR</v>
      </c>
    </row>
    <row r="75" spans="1:14" x14ac:dyDescent="0.25">
      <c r="A75" s="7">
        <f t="shared" si="5"/>
        <v>6.1657236216928055</v>
      </c>
      <c r="B75" s="5">
        <f t="shared" si="6"/>
        <v>4.82</v>
      </c>
      <c r="C75" s="23"/>
      <c r="D75" t="s">
        <v>1038</v>
      </c>
      <c r="H75">
        <v>4.82</v>
      </c>
      <c r="N75" t="str">
        <f t="shared" si="4"/>
        <v>00KUR5VUR</v>
      </c>
    </row>
    <row r="76" spans="1:14" x14ac:dyDescent="0.25">
      <c r="A76" s="7">
        <f t="shared" si="5"/>
        <v>6.1657236216928055</v>
      </c>
      <c r="B76" s="5">
        <f t="shared" si="6"/>
        <v>4.82</v>
      </c>
      <c r="C76" s="23"/>
      <c r="D76" t="s">
        <v>1043</v>
      </c>
      <c r="H76">
        <v>4.82</v>
      </c>
      <c r="N76" t="str">
        <f t="shared" si="4"/>
        <v>00KUR5VVR</v>
      </c>
    </row>
    <row r="77" spans="1:14" x14ac:dyDescent="0.25">
      <c r="A77" s="7">
        <f t="shared" si="5"/>
        <v>10.425445542903811</v>
      </c>
      <c r="B77" s="5">
        <f t="shared" si="6"/>
        <v>8.15</v>
      </c>
      <c r="C77" s="23"/>
      <c r="D77" t="s">
        <v>1047</v>
      </c>
      <c r="E77">
        <v>2.36</v>
      </c>
      <c r="H77">
        <v>5.7900000000000009</v>
      </c>
      <c r="I77">
        <v>0</v>
      </c>
      <c r="N77" t="str">
        <f t="shared" si="4"/>
        <v>00KUR5VWR</v>
      </c>
    </row>
    <row r="78" spans="1:14" x14ac:dyDescent="0.25">
      <c r="A78" s="7">
        <f t="shared" si="5"/>
        <v>6.5878582264974996</v>
      </c>
      <c r="B78" s="5">
        <f t="shared" si="6"/>
        <v>5.15</v>
      </c>
      <c r="C78" s="23"/>
      <c r="D78" t="s">
        <v>1052</v>
      </c>
      <c r="H78">
        <v>5.15</v>
      </c>
      <c r="N78" t="str">
        <f t="shared" si="4"/>
        <v>00KUR5VXR</v>
      </c>
    </row>
    <row r="79" spans="1:14" x14ac:dyDescent="0.25">
      <c r="A79" s="7">
        <f t="shared" si="5"/>
        <v>6.99720087358084</v>
      </c>
      <c r="B79" s="5">
        <f t="shared" si="6"/>
        <v>5.4700000000000006</v>
      </c>
      <c r="C79" s="23"/>
      <c r="D79" t="s">
        <v>1055</v>
      </c>
      <c r="H79">
        <v>5.4700000000000006</v>
      </c>
      <c r="N79" t="str">
        <f t="shared" si="4"/>
        <v>00KUR5VYR</v>
      </c>
    </row>
    <row r="80" spans="1:14" x14ac:dyDescent="0.25">
      <c r="A80" s="7">
        <f t="shared" si="5"/>
        <v>6.5878582264974996</v>
      </c>
      <c r="B80" s="5">
        <f t="shared" si="6"/>
        <v>5.15</v>
      </c>
      <c r="C80" s="23"/>
      <c r="D80" t="s">
        <v>1060</v>
      </c>
      <c r="H80">
        <v>5.15</v>
      </c>
      <c r="N80" t="str">
        <f t="shared" si="4"/>
        <v>00KUR5VZR</v>
      </c>
    </row>
    <row r="81" spans="1:14" x14ac:dyDescent="0.25">
      <c r="A81" s="7">
        <f t="shared" si="5"/>
        <v>6.5878582264974996</v>
      </c>
      <c r="B81" s="5">
        <f t="shared" si="6"/>
        <v>5.15</v>
      </c>
      <c r="C81" s="23"/>
      <c r="D81" t="s">
        <v>1081</v>
      </c>
      <c r="H81">
        <v>5.15</v>
      </c>
      <c r="N81" t="str">
        <f t="shared" si="4"/>
        <v>00KUR5W0R</v>
      </c>
    </row>
    <row r="82" spans="1:14" x14ac:dyDescent="0.25">
      <c r="A82" s="7">
        <f t="shared" si="5"/>
        <v>6.1657236216928055</v>
      </c>
      <c r="B82" s="5">
        <f t="shared" si="6"/>
        <v>4.82</v>
      </c>
      <c r="C82" s="23"/>
      <c r="D82" t="s">
        <v>1101</v>
      </c>
      <c r="H82">
        <v>4.82</v>
      </c>
      <c r="N82" t="str">
        <f t="shared" si="4"/>
        <v>00KUR5W1R</v>
      </c>
    </row>
    <row r="83" spans="1:14" x14ac:dyDescent="0.25">
      <c r="A83" s="7">
        <f t="shared" si="5"/>
        <v>6.1657236216928055</v>
      </c>
      <c r="B83" s="5">
        <f t="shared" si="6"/>
        <v>4.82</v>
      </c>
      <c r="C83" s="23"/>
      <c r="D83" t="s">
        <v>1097</v>
      </c>
      <c r="H83">
        <v>4.82</v>
      </c>
      <c r="N83" t="str">
        <f t="shared" si="4"/>
        <v>00KUR5W2R</v>
      </c>
    </row>
    <row r="84" spans="1:14" x14ac:dyDescent="0.25">
      <c r="A84" s="7">
        <f t="shared" si="5"/>
        <v>6.1657236216928055</v>
      </c>
      <c r="B84" s="5">
        <f t="shared" si="6"/>
        <v>4.82</v>
      </c>
      <c r="C84" s="23"/>
      <c r="D84" t="s">
        <v>1093</v>
      </c>
      <c r="H84">
        <v>4.82</v>
      </c>
      <c r="N84" t="str">
        <f t="shared" si="4"/>
        <v>00KUR5W3R</v>
      </c>
    </row>
    <row r="85" spans="1:14" x14ac:dyDescent="0.25">
      <c r="A85" s="7">
        <f t="shared" si="5"/>
        <v>6.1657236216928055</v>
      </c>
      <c r="B85" s="5">
        <f t="shared" si="6"/>
        <v>4.82</v>
      </c>
      <c r="C85" s="23"/>
      <c r="D85" t="s">
        <v>1088</v>
      </c>
      <c r="H85">
        <v>4.82</v>
      </c>
      <c r="N85" t="str">
        <f t="shared" si="4"/>
        <v>00KUR5W4R</v>
      </c>
    </row>
    <row r="86" spans="1:14" x14ac:dyDescent="0.25">
      <c r="A86" s="7">
        <f t="shared" si="5"/>
        <v>8.1228931530600246</v>
      </c>
      <c r="B86" s="5">
        <f t="shared" si="6"/>
        <v>6.3500000000000005</v>
      </c>
      <c r="C86" s="23"/>
      <c r="D86" t="s">
        <v>1072</v>
      </c>
      <c r="H86">
        <v>6.3500000000000005</v>
      </c>
      <c r="N86" t="str">
        <f t="shared" si="4"/>
        <v>00KUR5W5R</v>
      </c>
    </row>
    <row r="87" spans="1:14" x14ac:dyDescent="0.25">
      <c r="A87" s="7">
        <f t="shared" si="5"/>
        <v>6.1657236216928055</v>
      </c>
      <c r="B87" s="5">
        <f t="shared" si="6"/>
        <v>4.82</v>
      </c>
      <c r="C87" s="23"/>
      <c r="D87" t="s">
        <v>1084</v>
      </c>
      <c r="H87">
        <v>4.82</v>
      </c>
      <c r="N87" t="str">
        <f t="shared" si="4"/>
        <v>00KUR5W6R</v>
      </c>
    </row>
    <row r="88" spans="1:14" x14ac:dyDescent="0.25">
      <c r="A88" s="7">
        <f t="shared" si="5"/>
        <v>6.5878582264974996</v>
      </c>
      <c r="B88" s="5">
        <f t="shared" si="6"/>
        <v>5.15</v>
      </c>
      <c r="C88" s="23"/>
      <c r="D88" t="s">
        <v>1077</v>
      </c>
      <c r="H88">
        <v>5.15</v>
      </c>
      <c r="N88" t="str">
        <f t="shared" si="4"/>
        <v>00KUR5W7R</v>
      </c>
    </row>
    <row r="89" spans="1:14" x14ac:dyDescent="0.25">
      <c r="A89" s="7">
        <f t="shared" si="5"/>
        <v>6.1657236216928055</v>
      </c>
      <c r="B89" s="5">
        <f t="shared" si="6"/>
        <v>4.82</v>
      </c>
      <c r="C89" s="23"/>
      <c r="D89" t="s">
        <v>1107</v>
      </c>
      <c r="H89">
        <v>4.82</v>
      </c>
      <c r="N89" t="str">
        <f t="shared" si="4"/>
        <v>00KUR5W8R</v>
      </c>
    </row>
    <row r="90" spans="1:14" x14ac:dyDescent="0.25">
      <c r="A90" s="7">
        <f t="shared" si="5"/>
        <v>6.1657236216928055</v>
      </c>
      <c r="B90" s="5">
        <f t="shared" si="6"/>
        <v>4.82</v>
      </c>
      <c r="C90" s="23"/>
      <c r="D90" t="s">
        <v>1112</v>
      </c>
      <c r="H90">
        <v>4.82</v>
      </c>
      <c r="N90" t="str">
        <f t="shared" si="4"/>
        <v>00KUR5W9R</v>
      </c>
    </row>
    <row r="91" spans="1:14" x14ac:dyDescent="0.25">
      <c r="A91" s="7">
        <f t="shared" si="5"/>
        <v>6.1657236216928055</v>
      </c>
      <c r="B91" s="5">
        <f t="shared" si="6"/>
        <v>4.82</v>
      </c>
      <c r="C91" s="23"/>
      <c r="D91" t="s">
        <v>1116</v>
      </c>
      <c r="H91">
        <v>4.82</v>
      </c>
      <c r="N91" t="str">
        <f t="shared" si="4"/>
        <v>00KUR5WAR</v>
      </c>
    </row>
    <row r="92" spans="1:14" x14ac:dyDescent="0.25">
      <c r="A92" s="7">
        <f t="shared" si="5"/>
        <v>6.5878582264974996</v>
      </c>
      <c r="B92" s="5">
        <f t="shared" si="6"/>
        <v>5.15</v>
      </c>
      <c r="C92" s="23"/>
      <c r="D92" t="s">
        <v>1120</v>
      </c>
      <c r="H92">
        <v>5.15</v>
      </c>
      <c r="N92" t="str">
        <f t="shared" si="4"/>
        <v>00KUR5WBR</v>
      </c>
    </row>
    <row r="93" spans="1:14" x14ac:dyDescent="0.25">
      <c r="A93" s="7">
        <f t="shared" si="5"/>
        <v>6.5878582264974996</v>
      </c>
      <c r="B93" s="5">
        <f t="shared" si="6"/>
        <v>5.15</v>
      </c>
      <c r="C93" s="23"/>
      <c r="D93" t="s">
        <v>1125</v>
      </c>
      <c r="H93">
        <v>5.15</v>
      </c>
      <c r="N93" t="str">
        <f t="shared" si="4"/>
        <v>00KUR5WCR</v>
      </c>
    </row>
    <row r="94" spans="1:14" x14ac:dyDescent="0.25">
      <c r="A94" s="7">
        <f t="shared" si="5"/>
        <v>6.5878582264974996</v>
      </c>
      <c r="B94" s="5">
        <f t="shared" si="6"/>
        <v>5.15</v>
      </c>
      <c r="C94" s="23"/>
      <c r="D94" t="s">
        <v>1129</v>
      </c>
      <c r="H94">
        <v>5.15</v>
      </c>
      <c r="N94" t="str">
        <f t="shared" si="4"/>
        <v>00KUR5WDR</v>
      </c>
    </row>
    <row r="95" spans="1:14" x14ac:dyDescent="0.25">
      <c r="A95" s="7">
        <f t="shared" si="5"/>
        <v>6.1657236216928055</v>
      </c>
      <c r="B95" s="5">
        <f t="shared" si="6"/>
        <v>4.82</v>
      </c>
      <c r="C95" s="23"/>
      <c r="D95" t="s">
        <v>1163</v>
      </c>
      <c r="H95">
        <v>4.82</v>
      </c>
      <c r="N95" t="str">
        <f t="shared" si="4"/>
        <v>00KUR5WER</v>
      </c>
    </row>
    <row r="96" spans="1:14" x14ac:dyDescent="0.25">
      <c r="A96" s="7">
        <f t="shared" si="5"/>
        <v>6.1657236216928055</v>
      </c>
      <c r="B96" s="5">
        <f t="shared" si="6"/>
        <v>4.82</v>
      </c>
      <c r="C96" s="23"/>
      <c r="D96" t="s">
        <v>1159</v>
      </c>
      <c r="H96">
        <v>4.82</v>
      </c>
      <c r="N96" t="str">
        <f t="shared" si="4"/>
        <v>00KUR5WFR</v>
      </c>
    </row>
    <row r="97" spans="1:14" x14ac:dyDescent="0.25">
      <c r="A97" s="7">
        <f t="shared" si="5"/>
        <v>6.99720087358084</v>
      </c>
      <c r="B97" s="5">
        <f t="shared" si="6"/>
        <v>5.4700000000000006</v>
      </c>
      <c r="C97" s="23"/>
      <c r="D97" t="s">
        <v>1174</v>
      </c>
      <c r="H97">
        <v>5.4700000000000006</v>
      </c>
      <c r="N97" t="str">
        <f t="shared" si="4"/>
        <v>00KUR5WGR</v>
      </c>
    </row>
    <row r="98" spans="1:14" x14ac:dyDescent="0.25">
      <c r="A98" s="7">
        <f t="shared" si="5"/>
        <v>6.99720087358084</v>
      </c>
      <c r="B98" s="5">
        <f t="shared" si="6"/>
        <v>5.4700000000000006</v>
      </c>
      <c r="C98" s="23"/>
      <c r="D98" t="s">
        <v>1176</v>
      </c>
      <c r="H98">
        <v>5.4700000000000006</v>
      </c>
      <c r="N98" t="str">
        <f t="shared" si="4"/>
        <v>00KUR5WHR</v>
      </c>
    </row>
    <row r="99" spans="1:14" x14ac:dyDescent="0.25">
      <c r="A99" s="7">
        <f t="shared" si="5"/>
        <v>6.1657236216928055</v>
      </c>
      <c r="B99" s="5">
        <f t="shared" si="6"/>
        <v>4.82</v>
      </c>
      <c r="C99" s="23"/>
      <c r="D99" t="s">
        <v>1195</v>
      </c>
      <c r="H99">
        <v>4.82</v>
      </c>
      <c r="N99" t="str">
        <f t="shared" si="4"/>
        <v>00KUR5WIR</v>
      </c>
    </row>
    <row r="100" spans="1:14" x14ac:dyDescent="0.25">
      <c r="A100" s="7">
        <f t="shared" si="5"/>
        <v>6.1657236216928055</v>
      </c>
      <c r="B100" s="5">
        <f t="shared" si="6"/>
        <v>4.82</v>
      </c>
      <c r="C100" s="23"/>
      <c r="D100" t="s">
        <v>1190</v>
      </c>
      <c r="H100">
        <v>4.82</v>
      </c>
      <c r="N100" t="str">
        <f t="shared" si="4"/>
        <v>00KUR5WJR</v>
      </c>
    </row>
    <row r="101" spans="1:14" x14ac:dyDescent="0.25">
      <c r="A101" s="7">
        <f t="shared" si="5"/>
        <v>11.077835386692882</v>
      </c>
      <c r="B101" s="5">
        <f t="shared" si="6"/>
        <v>8.66</v>
      </c>
      <c r="C101" s="23"/>
      <c r="D101" t="s">
        <v>1169</v>
      </c>
      <c r="H101">
        <v>8.66</v>
      </c>
      <c r="N101" t="str">
        <f t="shared" si="4"/>
        <v>00KUR5WKR</v>
      </c>
    </row>
    <row r="102" spans="1:14" x14ac:dyDescent="0.25">
      <c r="A102" s="7">
        <f t="shared" si="5"/>
        <v>6.1657236216928055</v>
      </c>
      <c r="B102" s="5">
        <f t="shared" si="6"/>
        <v>4.82</v>
      </c>
      <c r="C102" s="23"/>
      <c r="D102" t="s">
        <v>1215</v>
      </c>
      <c r="H102">
        <v>4.82</v>
      </c>
      <c r="N102" t="str">
        <f t="shared" si="4"/>
        <v>00KUR5WLR</v>
      </c>
    </row>
    <row r="103" spans="1:14" x14ac:dyDescent="0.25">
      <c r="A103" s="7">
        <f t="shared" si="5"/>
        <v>6.1657236216928055</v>
      </c>
      <c r="B103" s="5">
        <f t="shared" si="6"/>
        <v>4.82</v>
      </c>
      <c r="C103" s="23"/>
      <c r="D103" t="s">
        <v>1407</v>
      </c>
      <c r="H103">
        <v>4.82</v>
      </c>
      <c r="N103" t="str">
        <f t="shared" si="4"/>
        <v>00KUR5WMR</v>
      </c>
    </row>
    <row r="104" spans="1:14" x14ac:dyDescent="0.25">
      <c r="A104" s="7">
        <f t="shared" si="5"/>
        <v>6.5878582264974996</v>
      </c>
      <c r="B104" s="5">
        <f t="shared" si="6"/>
        <v>5.15</v>
      </c>
      <c r="C104" s="23"/>
      <c r="D104" t="s">
        <v>1399</v>
      </c>
      <c r="H104">
        <v>5.15</v>
      </c>
      <c r="N104" t="str">
        <f t="shared" si="4"/>
        <v>00KUR5WNR</v>
      </c>
    </row>
    <row r="105" spans="1:14" x14ac:dyDescent="0.25">
      <c r="A105" s="7">
        <f t="shared" si="5"/>
        <v>6.1657236216928055</v>
      </c>
      <c r="B105" s="5">
        <f t="shared" si="6"/>
        <v>4.82</v>
      </c>
      <c r="C105" s="23"/>
      <c r="D105" t="s">
        <v>1411</v>
      </c>
      <c r="H105">
        <v>4.82</v>
      </c>
      <c r="N105" t="str">
        <f t="shared" si="4"/>
        <v>00KUR5WOR</v>
      </c>
    </row>
    <row r="106" spans="1:14" x14ac:dyDescent="0.25">
      <c r="A106" s="7">
        <f t="shared" si="5"/>
        <v>6.1657236216928055</v>
      </c>
      <c r="B106" s="5">
        <f t="shared" si="6"/>
        <v>4.82</v>
      </c>
      <c r="C106" s="23"/>
      <c r="D106" t="s">
        <v>1379</v>
      </c>
      <c r="H106">
        <v>4.82</v>
      </c>
      <c r="N106" t="str">
        <f t="shared" si="4"/>
        <v>00KUR5WPR</v>
      </c>
    </row>
    <row r="107" spans="1:14" x14ac:dyDescent="0.25">
      <c r="A107" s="7">
        <f t="shared" si="5"/>
        <v>6.1657236216928055</v>
      </c>
      <c r="B107" s="5">
        <f t="shared" si="6"/>
        <v>4.82</v>
      </c>
      <c r="C107" s="23"/>
      <c r="D107" t="s">
        <v>1384</v>
      </c>
      <c r="H107">
        <v>4.82</v>
      </c>
      <c r="N107" t="str">
        <f t="shared" si="4"/>
        <v>00KUR5WQR</v>
      </c>
    </row>
    <row r="108" spans="1:14" x14ac:dyDescent="0.25">
      <c r="A108" s="7">
        <f t="shared" si="5"/>
        <v>6.1657236216928055</v>
      </c>
      <c r="B108" s="5">
        <f t="shared" si="6"/>
        <v>4.82</v>
      </c>
      <c r="C108" s="23"/>
      <c r="D108" t="s">
        <v>1389</v>
      </c>
      <c r="H108">
        <v>4.82</v>
      </c>
      <c r="N108" t="str">
        <f t="shared" si="4"/>
        <v>00KUR5WRR</v>
      </c>
    </row>
    <row r="109" spans="1:14" x14ac:dyDescent="0.25">
      <c r="A109" s="7">
        <f t="shared" si="5"/>
        <v>6.5878582264974996</v>
      </c>
      <c r="B109" s="5">
        <f t="shared" si="6"/>
        <v>5.15</v>
      </c>
      <c r="C109" s="23"/>
      <c r="D109" t="s">
        <v>1393</v>
      </c>
      <c r="H109">
        <v>5.15</v>
      </c>
      <c r="N109" t="str">
        <f t="shared" si="4"/>
        <v>00KUR5WSR</v>
      </c>
    </row>
    <row r="110" spans="1:14" x14ac:dyDescent="0.25">
      <c r="A110" s="7">
        <f t="shared" si="5"/>
        <v>6.1657236216928055</v>
      </c>
      <c r="B110" s="5">
        <f t="shared" si="6"/>
        <v>4.82</v>
      </c>
      <c r="C110" s="23"/>
      <c r="D110" t="s">
        <v>1395</v>
      </c>
      <c r="H110">
        <v>4.82</v>
      </c>
      <c r="N110" t="str">
        <f t="shared" si="4"/>
        <v>00KUR5WTR</v>
      </c>
    </row>
    <row r="111" spans="1:14" x14ac:dyDescent="0.25">
      <c r="A111" s="7">
        <f t="shared" si="5"/>
        <v>6.5878582264974996</v>
      </c>
      <c r="B111" s="5">
        <f t="shared" si="6"/>
        <v>5.15</v>
      </c>
      <c r="C111" s="23"/>
      <c r="D111" t="s">
        <v>1403</v>
      </c>
      <c r="H111">
        <v>5.15</v>
      </c>
      <c r="N111" t="str">
        <f t="shared" si="4"/>
        <v>00KUR5WUR</v>
      </c>
    </row>
    <row r="112" spans="1:14" x14ac:dyDescent="0.25">
      <c r="A112" s="7">
        <f t="shared" si="5"/>
        <v>6.5878582264974996</v>
      </c>
      <c r="B112" s="5">
        <f t="shared" si="6"/>
        <v>5.15</v>
      </c>
      <c r="C112" s="23"/>
      <c r="D112" t="s">
        <v>1783</v>
      </c>
      <c r="H112">
        <v>5.15</v>
      </c>
      <c r="N112" t="str">
        <f t="shared" si="4"/>
        <v>00KUR5WVR</v>
      </c>
    </row>
    <row r="113" spans="1:14" x14ac:dyDescent="0.25">
      <c r="A113" s="7">
        <f t="shared" si="5"/>
        <v>6.1657236216928055</v>
      </c>
      <c r="B113" s="5">
        <f t="shared" si="6"/>
        <v>4.82</v>
      </c>
      <c r="C113" s="23"/>
      <c r="D113" t="s">
        <v>1787</v>
      </c>
      <c r="H113">
        <v>4.82</v>
      </c>
      <c r="N113" t="str">
        <f t="shared" si="4"/>
        <v>00KUR5WWR</v>
      </c>
    </row>
    <row r="114" spans="1:14" x14ac:dyDescent="0.25">
      <c r="A114" s="7">
        <f t="shared" si="5"/>
        <v>6.1657236216928055</v>
      </c>
      <c r="B114" s="5">
        <f t="shared" si="6"/>
        <v>4.82</v>
      </c>
      <c r="C114" s="23"/>
      <c r="D114" t="s">
        <v>1792</v>
      </c>
      <c r="H114">
        <v>4.82</v>
      </c>
      <c r="N114" t="str">
        <f t="shared" si="4"/>
        <v>00KUR5WXR</v>
      </c>
    </row>
    <row r="115" spans="1:14" x14ac:dyDescent="0.25">
      <c r="A115" s="7">
        <f t="shared" si="5"/>
        <v>6.1657236216928055</v>
      </c>
      <c r="B115" s="5">
        <f t="shared" si="6"/>
        <v>4.82</v>
      </c>
      <c r="C115" s="23"/>
      <c r="D115" t="s">
        <v>1797</v>
      </c>
      <c r="H115">
        <v>4.82</v>
      </c>
      <c r="N115" t="str">
        <f t="shared" si="4"/>
        <v>00KUR5WYR</v>
      </c>
    </row>
    <row r="116" spans="1:14" x14ac:dyDescent="0.25">
      <c r="A116" s="7">
        <f t="shared" si="5"/>
        <v>6.1657236216928055</v>
      </c>
      <c r="B116" s="5">
        <f t="shared" si="6"/>
        <v>4.82</v>
      </c>
      <c r="C116" s="23"/>
      <c r="D116" t="s">
        <v>1801</v>
      </c>
      <c r="H116">
        <v>4.82</v>
      </c>
      <c r="N116" t="str">
        <f t="shared" si="4"/>
        <v>00KUR5WZR</v>
      </c>
    </row>
    <row r="117" spans="1:14" x14ac:dyDescent="0.25">
      <c r="A117" s="7">
        <f t="shared" si="5"/>
        <v>6.1657236216928055</v>
      </c>
      <c r="B117" s="5">
        <f t="shared" si="6"/>
        <v>4.82</v>
      </c>
      <c r="C117" s="23"/>
      <c r="D117" t="s">
        <v>1806</v>
      </c>
      <c r="H117">
        <v>4.82</v>
      </c>
      <c r="N117" t="str">
        <f t="shared" si="4"/>
        <v>00KUR5X0R</v>
      </c>
    </row>
    <row r="118" spans="1:14" x14ac:dyDescent="0.25">
      <c r="A118" s="7">
        <f t="shared" si="5"/>
        <v>6.1657236216928055</v>
      </c>
      <c r="B118" s="5">
        <f t="shared" si="6"/>
        <v>4.82</v>
      </c>
      <c r="C118" s="23"/>
      <c r="D118" t="s">
        <v>1920</v>
      </c>
      <c r="H118">
        <v>4.82</v>
      </c>
      <c r="N118" t="str">
        <f t="shared" si="4"/>
        <v>00KUR5X1R</v>
      </c>
    </row>
    <row r="119" spans="1:14" x14ac:dyDescent="0.25">
      <c r="A119" s="7">
        <f t="shared" si="5"/>
        <v>6.1657236216928055</v>
      </c>
      <c r="B119" s="5">
        <f t="shared" si="6"/>
        <v>4.82</v>
      </c>
      <c r="C119" s="23"/>
      <c r="D119" t="s">
        <v>1925</v>
      </c>
      <c r="H119">
        <v>4.82</v>
      </c>
      <c r="N119" t="str">
        <f t="shared" si="4"/>
        <v>00KUR5X2R</v>
      </c>
    </row>
    <row r="120" spans="1:14" x14ac:dyDescent="0.25">
      <c r="A120" s="7">
        <f t="shared" si="5"/>
        <v>6.1657236216928055</v>
      </c>
      <c r="B120" s="5">
        <f t="shared" si="6"/>
        <v>4.82</v>
      </c>
      <c r="C120" s="23"/>
      <c r="D120" t="s">
        <v>1930</v>
      </c>
      <c r="H120">
        <v>4.82</v>
      </c>
      <c r="N120" t="str">
        <f t="shared" si="4"/>
        <v>00KUR5X3R</v>
      </c>
    </row>
    <row r="121" spans="1:14" x14ac:dyDescent="0.25">
      <c r="A121" s="7">
        <f t="shared" si="5"/>
        <v>6.1657236216928055</v>
      </c>
      <c r="B121" s="5">
        <f t="shared" si="6"/>
        <v>4.82</v>
      </c>
      <c r="C121" s="23"/>
      <c r="D121" t="s">
        <v>1934</v>
      </c>
      <c r="H121">
        <v>4.82</v>
      </c>
      <c r="N121" t="str">
        <f t="shared" si="4"/>
        <v>00KUR5X4R</v>
      </c>
    </row>
    <row r="122" spans="1:14" x14ac:dyDescent="0.25">
      <c r="A122" s="7">
        <f t="shared" si="5"/>
        <v>6.1657236216928055</v>
      </c>
      <c r="B122" s="5">
        <f t="shared" si="6"/>
        <v>4.82</v>
      </c>
      <c r="C122" s="23"/>
      <c r="D122" t="s">
        <v>1938</v>
      </c>
      <c r="H122">
        <v>4.82</v>
      </c>
      <c r="N122" t="str">
        <f t="shared" si="4"/>
        <v>00KUR5X5R</v>
      </c>
    </row>
    <row r="123" spans="1:14" x14ac:dyDescent="0.25">
      <c r="A123" s="7">
        <f t="shared" si="5"/>
        <v>10.01610289582047</v>
      </c>
      <c r="B123" s="5">
        <f t="shared" si="6"/>
        <v>7.83</v>
      </c>
      <c r="C123" s="23"/>
      <c r="D123" t="s">
        <v>1942</v>
      </c>
      <c r="E123">
        <v>2.36</v>
      </c>
      <c r="H123">
        <v>5.4700000000000006</v>
      </c>
      <c r="I123">
        <v>0</v>
      </c>
      <c r="N123" t="str">
        <f t="shared" si="4"/>
        <v>00KUR5X6R</v>
      </c>
    </row>
    <row r="124" spans="1:14" x14ac:dyDescent="0.25">
      <c r="A124" s="7">
        <f t="shared" si="5"/>
        <v>6.5878582264974996</v>
      </c>
      <c r="B124" s="5">
        <f t="shared" si="6"/>
        <v>5.15</v>
      </c>
      <c r="C124" s="23"/>
      <c r="D124" t="s">
        <v>1946</v>
      </c>
      <c r="H124">
        <v>5.15</v>
      </c>
      <c r="N124" t="str">
        <f t="shared" si="4"/>
        <v>00KUR5X7R</v>
      </c>
    </row>
    <row r="125" spans="1:14" x14ac:dyDescent="0.25">
      <c r="A125" s="7">
        <f t="shared" si="5"/>
        <v>6.1657236216928055</v>
      </c>
      <c r="B125" s="5">
        <f t="shared" si="6"/>
        <v>4.82</v>
      </c>
      <c r="C125" s="23"/>
      <c r="D125" t="s">
        <v>1983</v>
      </c>
      <c r="H125">
        <v>4.82</v>
      </c>
      <c r="N125" t="str">
        <f t="shared" si="4"/>
        <v>00KUR5X8R</v>
      </c>
    </row>
    <row r="126" spans="1:14" x14ac:dyDescent="0.25">
      <c r="A126" s="7">
        <f t="shared" si="5"/>
        <v>6.1657236216928055</v>
      </c>
      <c r="B126" s="5">
        <f t="shared" si="6"/>
        <v>4.82</v>
      </c>
      <c r="C126" s="23"/>
      <c r="D126" t="s">
        <v>1988</v>
      </c>
      <c r="H126">
        <v>4.82</v>
      </c>
      <c r="N126" t="str">
        <f t="shared" si="4"/>
        <v>00KUR5X9R</v>
      </c>
    </row>
    <row r="127" spans="1:14" x14ac:dyDescent="0.25">
      <c r="A127" s="7">
        <f t="shared" si="5"/>
        <v>6.1657236216928055</v>
      </c>
      <c r="B127" s="5">
        <f t="shared" si="6"/>
        <v>4.82</v>
      </c>
      <c r="C127" s="23"/>
      <c r="D127" t="s">
        <v>1992</v>
      </c>
      <c r="H127">
        <v>4.82</v>
      </c>
      <c r="N127" t="str">
        <f t="shared" si="4"/>
        <v>00KUR5XAR</v>
      </c>
    </row>
    <row r="128" spans="1:14" x14ac:dyDescent="0.25">
      <c r="A128" s="7">
        <f t="shared" si="5"/>
        <v>6.1657236216928064</v>
      </c>
      <c r="B128" s="5">
        <f t="shared" si="6"/>
        <v>4.8200000000000012</v>
      </c>
      <c r="C128" s="23"/>
      <c r="D128" t="s">
        <v>2244</v>
      </c>
      <c r="H128">
        <v>4.8200000000000012</v>
      </c>
      <c r="N128" t="str">
        <f t="shared" si="4"/>
        <v>00KUR5XBR</v>
      </c>
    </row>
    <row r="129" spans="1:14" x14ac:dyDescent="0.25">
      <c r="A129" s="7">
        <f t="shared" si="5"/>
        <v>5.2447026657552902</v>
      </c>
      <c r="B129" s="5">
        <f t="shared" si="6"/>
        <v>4.0999999999999996</v>
      </c>
      <c r="C129" s="23"/>
      <c r="D129" t="s">
        <v>335</v>
      </c>
      <c r="J129">
        <v>4.0999999999999996</v>
      </c>
      <c r="N129" t="str">
        <f t="shared" si="4"/>
        <v>00KZ5BVGR</v>
      </c>
    </row>
    <row r="130" spans="1:14" x14ac:dyDescent="0.25">
      <c r="A130" s="7">
        <f t="shared" si="5"/>
        <v>6.99720087358084</v>
      </c>
      <c r="B130" s="5">
        <f t="shared" si="6"/>
        <v>5.4700000000000006</v>
      </c>
      <c r="C130" s="23"/>
      <c r="D130" t="s">
        <v>382</v>
      </c>
      <c r="H130">
        <v>5.4700000000000006</v>
      </c>
      <c r="N130" t="str">
        <f t="shared" si="4"/>
        <v>00KZZJT9R</v>
      </c>
    </row>
    <row r="131" spans="1:14" x14ac:dyDescent="0.25">
      <c r="A131" s="7">
        <f t="shared" si="5"/>
        <v>6.99720087358084</v>
      </c>
      <c r="B131" s="5">
        <f t="shared" si="6"/>
        <v>5.4700000000000006</v>
      </c>
      <c r="C131" s="23"/>
      <c r="D131" t="s">
        <v>391</v>
      </c>
      <c r="H131">
        <v>5.4700000000000006</v>
      </c>
      <c r="N131" t="str">
        <f t="shared" si="4"/>
        <v>00KZZJTAR</v>
      </c>
    </row>
    <row r="132" spans="1:14" x14ac:dyDescent="0.25">
      <c r="A132" s="7">
        <f t="shared" si="5"/>
        <v>6.5878582264974996</v>
      </c>
      <c r="B132" s="5">
        <f t="shared" si="6"/>
        <v>5.15</v>
      </c>
      <c r="C132" s="23"/>
      <c r="D132" t="s">
        <v>399</v>
      </c>
      <c r="H132">
        <v>5.15</v>
      </c>
      <c r="N132" t="str">
        <f t="shared" si="4"/>
        <v>00KZZJTBR</v>
      </c>
    </row>
    <row r="133" spans="1:14" x14ac:dyDescent="0.25">
      <c r="A133" s="7">
        <f t="shared" si="5"/>
        <v>6.5878582264974996</v>
      </c>
      <c r="B133" s="5">
        <f t="shared" si="6"/>
        <v>5.15</v>
      </c>
      <c r="C133" s="23"/>
      <c r="D133" t="s">
        <v>395</v>
      </c>
      <c r="H133">
        <v>5.15</v>
      </c>
      <c r="N133" t="str">
        <f t="shared" ref="N133:N196" si="7">D133&amp;"R"</f>
        <v>00KZZJTCR</v>
      </c>
    </row>
    <row r="134" spans="1:14" x14ac:dyDescent="0.25">
      <c r="A134" s="7">
        <f t="shared" ref="A134:A197" si="8">B134*(1+$R$2)</f>
        <v>7.4065435206641803</v>
      </c>
      <c r="B134" s="5">
        <f t="shared" ref="B134:B197" si="9">SUM(E134:L134)</f>
        <v>5.7900000000000009</v>
      </c>
      <c r="C134" s="23"/>
      <c r="D134" t="s">
        <v>373</v>
      </c>
      <c r="H134">
        <v>5.7900000000000009</v>
      </c>
      <c r="N134" t="str">
        <f t="shared" si="7"/>
        <v>00KZZJTDR</v>
      </c>
    </row>
    <row r="135" spans="1:14" x14ac:dyDescent="0.25">
      <c r="A135" s="7">
        <f t="shared" si="8"/>
        <v>6.1657236216928055</v>
      </c>
      <c r="B135" s="5">
        <f t="shared" si="9"/>
        <v>4.82</v>
      </c>
      <c r="C135" s="23"/>
      <c r="D135" t="s">
        <v>404</v>
      </c>
      <c r="H135">
        <v>4.82</v>
      </c>
      <c r="N135" t="str">
        <f t="shared" si="7"/>
        <v>00KZZJTER</v>
      </c>
    </row>
    <row r="136" spans="1:14" x14ac:dyDescent="0.25">
      <c r="A136" s="7">
        <f t="shared" si="8"/>
        <v>7.4065435206641803</v>
      </c>
      <c r="B136" s="5">
        <f t="shared" si="9"/>
        <v>5.7900000000000009</v>
      </c>
      <c r="C136" s="23"/>
      <c r="D136" t="s">
        <v>368</v>
      </c>
      <c r="H136">
        <v>5.7900000000000009</v>
      </c>
      <c r="N136" t="str">
        <f t="shared" si="7"/>
        <v>00KZZJTFR</v>
      </c>
    </row>
    <row r="137" spans="1:14" x14ac:dyDescent="0.25">
      <c r="A137" s="7">
        <f t="shared" si="8"/>
        <v>12.651246186419471</v>
      </c>
      <c r="B137" s="5">
        <f t="shared" si="9"/>
        <v>9.89</v>
      </c>
      <c r="C137" s="23"/>
      <c r="D137" t="s">
        <v>387</v>
      </c>
      <c r="H137">
        <v>5.4700000000000006</v>
      </c>
      <c r="J137">
        <v>4.42</v>
      </c>
      <c r="N137" t="str">
        <f t="shared" si="7"/>
        <v>00KZZJTGR</v>
      </c>
    </row>
    <row r="138" spans="1:14" x14ac:dyDescent="0.25">
      <c r="A138" s="7">
        <f t="shared" si="8"/>
        <v>6.99720087358084</v>
      </c>
      <c r="B138" s="5">
        <f t="shared" si="9"/>
        <v>5.4700000000000006</v>
      </c>
      <c r="C138" s="23"/>
      <c r="D138" t="s">
        <v>378</v>
      </c>
      <c r="H138">
        <v>5.4700000000000006</v>
      </c>
      <c r="N138" t="str">
        <f t="shared" si="7"/>
        <v>00KZZJTHR</v>
      </c>
    </row>
    <row r="139" spans="1:14" x14ac:dyDescent="0.25">
      <c r="A139" s="7">
        <f t="shared" si="8"/>
        <v>10.01610289582047</v>
      </c>
      <c r="B139" s="5">
        <f t="shared" si="9"/>
        <v>7.83</v>
      </c>
      <c r="C139" s="23"/>
      <c r="D139" t="s">
        <v>435</v>
      </c>
      <c r="E139">
        <v>2.36</v>
      </c>
      <c r="H139">
        <v>5.4700000000000006</v>
      </c>
      <c r="I139">
        <v>0</v>
      </c>
      <c r="N139" t="str">
        <f t="shared" si="7"/>
        <v>00KZZJTIR</v>
      </c>
    </row>
    <row r="140" spans="1:14" x14ac:dyDescent="0.25">
      <c r="A140" s="7">
        <f t="shared" si="8"/>
        <v>7.4065435206641803</v>
      </c>
      <c r="B140" s="5">
        <f t="shared" si="9"/>
        <v>5.7900000000000009</v>
      </c>
      <c r="C140" s="23"/>
      <c r="D140" t="s">
        <v>474</v>
      </c>
      <c r="H140">
        <v>5.7900000000000009</v>
      </c>
      <c r="N140" t="str">
        <f t="shared" si="7"/>
        <v>00KZZJTJR</v>
      </c>
    </row>
    <row r="141" spans="1:14" x14ac:dyDescent="0.25">
      <c r="A141" s="7">
        <f t="shared" si="8"/>
        <v>6.99720087358084</v>
      </c>
      <c r="B141" s="5">
        <f t="shared" si="9"/>
        <v>5.4700000000000006</v>
      </c>
      <c r="C141" s="23"/>
      <c r="D141" t="s">
        <v>430</v>
      </c>
      <c r="H141">
        <v>5.4700000000000006</v>
      </c>
      <c r="N141" t="str">
        <f t="shared" si="7"/>
        <v>00KZZJTKR</v>
      </c>
    </row>
    <row r="142" spans="1:14" x14ac:dyDescent="0.25">
      <c r="A142" s="7">
        <f t="shared" si="8"/>
        <v>6.99720087358084</v>
      </c>
      <c r="B142" s="5">
        <f t="shared" si="9"/>
        <v>5.4700000000000006</v>
      </c>
      <c r="C142" s="23"/>
      <c r="D142" t="s">
        <v>479</v>
      </c>
      <c r="H142">
        <v>5.4700000000000006</v>
      </c>
      <c r="N142" t="str">
        <f t="shared" si="7"/>
        <v>00KZZJTLR</v>
      </c>
    </row>
    <row r="143" spans="1:14" x14ac:dyDescent="0.25">
      <c r="A143" s="7">
        <f t="shared" si="8"/>
        <v>6.99720087358084</v>
      </c>
      <c r="B143" s="5">
        <f t="shared" si="9"/>
        <v>5.4700000000000006</v>
      </c>
      <c r="C143" s="23"/>
      <c r="D143" t="s">
        <v>484</v>
      </c>
      <c r="H143">
        <v>5.4700000000000006</v>
      </c>
      <c r="I143">
        <v>0</v>
      </c>
      <c r="N143" t="str">
        <f t="shared" si="7"/>
        <v>00KZZJTMR</v>
      </c>
    </row>
    <row r="144" spans="1:14" x14ac:dyDescent="0.25">
      <c r="A144" s="7">
        <f t="shared" si="8"/>
        <v>6.99720087358084</v>
      </c>
      <c r="B144" s="5">
        <f t="shared" si="9"/>
        <v>5.4700000000000006</v>
      </c>
      <c r="C144" s="23"/>
      <c r="D144" t="s">
        <v>489</v>
      </c>
      <c r="H144">
        <v>5.4700000000000006</v>
      </c>
      <c r="N144" t="str">
        <f t="shared" si="7"/>
        <v>00KZZJTNR</v>
      </c>
    </row>
    <row r="145" spans="1:14" x14ac:dyDescent="0.25">
      <c r="A145" s="7">
        <f t="shared" si="8"/>
        <v>6.99720087358084</v>
      </c>
      <c r="B145" s="5">
        <f t="shared" si="9"/>
        <v>5.4700000000000006</v>
      </c>
      <c r="C145" s="23"/>
      <c r="D145" t="s">
        <v>494</v>
      </c>
      <c r="H145">
        <v>5.4700000000000006</v>
      </c>
      <c r="N145" t="str">
        <f t="shared" si="7"/>
        <v>00KZZJTOR</v>
      </c>
    </row>
    <row r="146" spans="1:14" x14ac:dyDescent="0.25">
      <c r="A146" s="7">
        <f t="shared" si="8"/>
        <v>6.5878582264974996</v>
      </c>
      <c r="B146" s="5">
        <f t="shared" si="9"/>
        <v>5.15</v>
      </c>
      <c r="C146" s="23"/>
      <c r="D146" t="s">
        <v>444</v>
      </c>
      <c r="H146">
        <v>5.15</v>
      </c>
      <c r="N146" t="str">
        <f t="shared" si="7"/>
        <v>00KZZJTPR</v>
      </c>
    </row>
    <row r="147" spans="1:14" x14ac:dyDescent="0.25">
      <c r="A147" s="7">
        <f t="shared" si="8"/>
        <v>6.99720087358084</v>
      </c>
      <c r="B147" s="5">
        <f t="shared" si="9"/>
        <v>5.4700000000000006</v>
      </c>
      <c r="C147" s="23"/>
      <c r="D147" t="s">
        <v>498</v>
      </c>
      <c r="H147">
        <v>5.4700000000000006</v>
      </c>
      <c r="N147" t="str">
        <f t="shared" si="7"/>
        <v>00KZZJTQR</v>
      </c>
    </row>
    <row r="148" spans="1:14" x14ac:dyDescent="0.25">
      <c r="A148" s="7">
        <f t="shared" si="8"/>
        <v>6.99720087358084</v>
      </c>
      <c r="B148" s="5">
        <f t="shared" si="9"/>
        <v>5.4700000000000006</v>
      </c>
      <c r="C148" s="23"/>
      <c r="D148" t="s">
        <v>502</v>
      </c>
      <c r="H148">
        <v>5.4700000000000006</v>
      </c>
      <c r="N148" t="str">
        <f t="shared" si="7"/>
        <v>00KZZJTRR</v>
      </c>
    </row>
    <row r="149" spans="1:14" x14ac:dyDescent="0.25">
      <c r="A149" s="7">
        <f t="shared" si="8"/>
        <v>6.1657236216928055</v>
      </c>
      <c r="B149" s="5">
        <f t="shared" si="9"/>
        <v>4.82</v>
      </c>
      <c r="C149" s="23"/>
      <c r="D149" t="s">
        <v>459</v>
      </c>
      <c r="H149">
        <v>4.82</v>
      </c>
      <c r="N149" t="str">
        <f t="shared" si="7"/>
        <v>00KZZJTSR</v>
      </c>
    </row>
    <row r="150" spans="1:14" x14ac:dyDescent="0.25">
      <c r="A150" s="7">
        <f t="shared" si="8"/>
        <v>6.99720087358084</v>
      </c>
      <c r="B150" s="5">
        <f t="shared" si="9"/>
        <v>5.4700000000000006</v>
      </c>
      <c r="C150" s="23"/>
      <c r="D150" t="s">
        <v>507</v>
      </c>
      <c r="H150">
        <v>5.4700000000000006</v>
      </c>
      <c r="N150" t="str">
        <f t="shared" si="7"/>
        <v>00KZZJTTR</v>
      </c>
    </row>
    <row r="151" spans="1:14" x14ac:dyDescent="0.25">
      <c r="A151" s="7">
        <f t="shared" si="8"/>
        <v>7.4065435206641803</v>
      </c>
      <c r="B151" s="5">
        <f t="shared" si="9"/>
        <v>5.7900000000000009</v>
      </c>
      <c r="C151" s="23"/>
      <c r="D151" t="s">
        <v>512</v>
      </c>
      <c r="H151">
        <v>5.7900000000000009</v>
      </c>
      <c r="N151" t="str">
        <f t="shared" si="7"/>
        <v>00KZZJTUR</v>
      </c>
    </row>
    <row r="152" spans="1:14" x14ac:dyDescent="0.25">
      <c r="A152" s="7">
        <f t="shared" si="8"/>
        <v>7.4065435206641803</v>
      </c>
      <c r="B152" s="5">
        <f t="shared" si="9"/>
        <v>5.7900000000000009</v>
      </c>
      <c r="C152" s="23"/>
      <c r="D152" t="s">
        <v>469</v>
      </c>
      <c r="H152">
        <v>5.7900000000000009</v>
      </c>
      <c r="N152" t="str">
        <f t="shared" si="7"/>
        <v>00KZZJTVR</v>
      </c>
    </row>
    <row r="153" spans="1:14" x14ac:dyDescent="0.25">
      <c r="A153" s="7">
        <f t="shared" si="8"/>
        <v>6.99720087358084</v>
      </c>
      <c r="B153" s="5">
        <f t="shared" si="9"/>
        <v>5.4700000000000006</v>
      </c>
      <c r="C153" s="23"/>
      <c r="D153" t="s">
        <v>516</v>
      </c>
      <c r="H153">
        <v>5.4700000000000006</v>
      </c>
      <c r="N153" t="str">
        <f t="shared" si="7"/>
        <v>00KZZJTWR</v>
      </c>
    </row>
    <row r="154" spans="1:14" x14ac:dyDescent="0.25">
      <c r="A154" s="7">
        <f t="shared" si="8"/>
        <v>6.1657236216928055</v>
      </c>
      <c r="B154" s="5">
        <f t="shared" si="9"/>
        <v>4.82</v>
      </c>
      <c r="C154" s="23"/>
      <c r="D154" t="s">
        <v>454</v>
      </c>
      <c r="H154">
        <v>4.82</v>
      </c>
      <c r="N154" t="str">
        <f t="shared" si="7"/>
        <v>00KZZJTXR</v>
      </c>
    </row>
    <row r="155" spans="1:14" x14ac:dyDescent="0.25">
      <c r="A155" s="7">
        <f t="shared" si="8"/>
        <v>6.1657236216928055</v>
      </c>
      <c r="B155" s="5">
        <f t="shared" si="9"/>
        <v>4.82</v>
      </c>
      <c r="C155" s="23"/>
      <c r="D155" t="s">
        <v>449</v>
      </c>
      <c r="H155">
        <v>4.82</v>
      </c>
      <c r="N155" t="str">
        <f t="shared" si="7"/>
        <v>00KZZJTYR</v>
      </c>
    </row>
    <row r="156" spans="1:14" x14ac:dyDescent="0.25">
      <c r="A156" s="7">
        <f t="shared" si="8"/>
        <v>6.99720087358084</v>
      </c>
      <c r="B156" s="5">
        <f t="shared" si="9"/>
        <v>5.4700000000000006</v>
      </c>
      <c r="C156" s="23"/>
      <c r="D156" t="s">
        <v>521</v>
      </c>
      <c r="H156">
        <v>5.4700000000000006</v>
      </c>
      <c r="N156" t="str">
        <f t="shared" si="7"/>
        <v>00KZZJTZR</v>
      </c>
    </row>
    <row r="157" spans="1:14" x14ac:dyDescent="0.25">
      <c r="A157" s="7">
        <f t="shared" si="8"/>
        <v>8.8392427854558697</v>
      </c>
      <c r="B157" s="5">
        <f t="shared" si="9"/>
        <v>6.910000000000001</v>
      </c>
      <c r="C157" s="23"/>
      <c r="D157" t="s">
        <v>464</v>
      </c>
      <c r="H157">
        <v>6.910000000000001</v>
      </c>
      <c r="N157" t="str">
        <f t="shared" si="7"/>
        <v>00KZZJU0R</v>
      </c>
    </row>
    <row r="158" spans="1:14" x14ac:dyDescent="0.25">
      <c r="A158" s="7">
        <f t="shared" si="8"/>
        <v>6.99720087358084</v>
      </c>
      <c r="B158" s="5">
        <f t="shared" si="9"/>
        <v>5.4700000000000006</v>
      </c>
      <c r="C158" s="23"/>
      <c r="D158" t="s">
        <v>525</v>
      </c>
      <c r="H158">
        <v>5.4700000000000006</v>
      </c>
      <c r="N158" t="str">
        <f t="shared" si="7"/>
        <v>00KZZJU1R</v>
      </c>
    </row>
    <row r="159" spans="1:14" x14ac:dyDescent="0.25">
      <c r="A159" s="7">
        <f t="shared" si="8"/>
        <v>6.5878582264974996</v>
      </c>
      <c r="B159" s="5">
        <f t="shared" si="9"/>
        <v>5.15</v>
      </c>
      <c r="C159" s="23"/>
      <c r="D159" t="s">
        <v>440</v>
      </c>
      <c r="H159">
        <v>5.15</v>
      </c>
      <c r="N159" t="str">
        <f t="shared" si="7"/>
        <v>00KZZJU2R</v>
      </c>
    </row>
    <row r="160" spans="1:14" x14ac:dyDescent="0.25">
      <c r="A160" s="7">
        <f t="shared" si="8"/>
        <v>6.99720087358084</v>
      </c>
      <c r="B160" s="5">
        <f t="shared" si="9"/>
        <v>5.4700000000000006</v>
      </c>
      <c r="C160" s="23"/>
      <c r="D160" t="s">
        <v>529</v>
      </c>
      <c r="H160">
        <v>5.4700000000000006</v>
      </c>
      <c r="N160" t="str">
        <f t="shared" si="7"/>
        <v>00KZZJU3R</v>
      </c>
    </row>
    <row r="161" spans="1:14" x14ac:dyDescent="0.25">
      <c r="A161" s="7">
        <f t="shared" si="8"/>
        <v>6.99720087358084</v>
      </c>
      <c r="B161" s="5">
        <f t="shared" si="9"/>
        <v>5.4700000000000006</v>
      </c>
      <c r="C161" s="23"/>
      <c r="D161" t="s">
        <v>610</v>
      </c>
      <c r="H161">
        <v>5.4700000000000006</v>
      </c>
      <c r="N161" t="str">
        <f t="shared" si="7"/>
        <v>00KZZJU4R</v>
      </c>
    </row>
    <row r="162" spans="1:14" x14ac:dyDescent="0.25">
      <c r="A162" s="7">
        <f t="shared" si="8"/>
        <v>6.99720087358084</v>
      </c>
      <c r="B162" s="5">
        <f t="shared" si="9"/>
        <v>5.4700000000000006</v>
      </c>
      <c r="C162" s="23"/>
      <c r="D162" t="s">
        <v>612</v>
      </c>
      <c r="H162">
        <v>5.4700000000000006</v>
      </c>
      <c r="N162" t="str">
        <f t="shared" si="7"/>
        <v>00KZZJU5R</v>
      </c>
    </row>
    <row r="163" spans="1:14" x14ac:dyDescent="0.25">
      <c r="A163" s="7">
        <f t="shared" si="8"/>
        <v>6.99720087358084</v>
      </c>
      <c r="B163" s="5">
        <f t="shared" si="9"/>
        <v>5.4700000000000006</v>
      </c>
      <c r="C163" s="23"/>
      <c r="D163" t="s">
        <v>617</v>
      </c>
      <c r="H163">
        <v>5.4700000000000006</v>
      </c>
      <c r="N163" t="str">
        <f t="shared" si="7"/>
        <v>00KZZJU6R</v>
      </c>
    </row>
    <row r="164" spans="1:14" x14ac:dyDescent="0.25">
      <c r="A164" s="7">
        <f t="shared" si="8"/>
        <v>6.99720087358084</v>
      </c>
      <c r="B164" s="5">
        <f t="shared" si="9"/>
        <v>5.4700000000000006</v>
      </c>
      <c r="C164" s="23"/>
      <c r="D164" t="s">
        <v>622</v>
      </c>
      <c r="H164">
        <v>5.4700000000000006</v>
      </c>
      <c r="N164" t="str">
        <f t="shared" si="7"/>
        <v>00KZZJU7R</v>
      </c>
    </row>
    <row r="165" spans="1:14" x14ac:dyDescent="0.25">
      <c r="A165" s="7">
        <f t="shared" si="8"/>
        <v>6.99720087358084</v>
      </c>
      <c r="B165" s="5">
        <f t="shared" si="9"/>
        <v>5.4700000000000006</v>
      </c>
      <c r="C165" s="23"/>
      <c r="D165" t="s">
        <v>627</v>
      </c>
      <c r="H165">
        <v>5.4700000000000006</v>
      </c>
      <c r="N165" t="str">
        <f t="shared" si="7"/>
        <v>00KZZJU8R</v>
      </c>
    </row>
    <row r="166" spans="1:14" x14ac:dyDescent="0.25">
      <c r="A166" s="7">
        <f t="shared" si="8"/>
        <v>6.1657236216928055</v>
      </c>
      <c r="B166" s="5">
        <f t="shared" si="9"/>
        <v>4.82</v>
      </c>
      <c r="C166" s="23"/>
      <c r="D166" t="s">
        <v>631</v>
      </c>
      <c r="H166">
        <v>4.82</v>
      </c>
      <c r="N166" t="str">
        <f t="shared" si="7"/>
        <v>00KZZJU9R</v>
      </c>
    </row>
    <row r="167" spans="1:14" x14ac:dyDescent="0.25">
      <c r="A167" s="7">
        <f t="shared" si="8"/>
        <v>6.99720087358084</v>
      </c>
      <c r="B167" s="5">
        <f t="shared" si="9"/>
        <v>5.4700000000000006</v>
      </c>
      <c r="C167" s="23"/>
      <c r="D167" t="s">
        <v>636</v>
      </c>
      <c r="H167">
        <v>5.4700000000000006</v>
      </c>
      <c r="N167" t="str">
        <f t="shared" si="7"/>
        <v>00KZZJUAR</v>
      </c>
    </row>
    <row r="168" spans="1:14" x14ac:dyDescent="0.25">
      <c r="A168" s="7">
        <f t="shared" si="8"/>
        <v>7.4065435206641803</v>
      </c>
      <c r="B168" s="5">
        <f t="shared" si="9"/>
        <v>5.7900000000000009</v>
      </c>
      <c r="C168" s="23"/>
      <c r="D168" t="s">
        <v>641</v>
      </c>
      <c r="H168">
        <v>5.7900000000000009</v>
      </c>
      <c r="N168" t="str">
        <f t="shared" si="7"/>
        <v>00KZZJUBR</v>
      </c>
    </row>
    <row r="169" spans="1:14" x14ac:dyDescent="0.25">
      <c r="A169" s="7">
        <f t="shared" si="8"/>
        <v>11.141795175299656</v>
      </c>
      <c r="B169" s="5">
        <f t="shared" si="9"/>
        <v>8.7100000000000009</v>
      </c>
      <c r="C169" s="23"/>
      <c r="D169" t="s">
        <v>646</v>
      </c>
      <c r="E169">
        <v>2.36</v>
      </c>
      <c r="H169">
        <v>6.3500000000000005</v>
      </c>
      <c r="I169">
        <v>0</v>
      </c>
      <c r="N169" t="str">
        <f t="shared" si="7"/>
        <v>00KZZJUCR</v>
      </c>
    </row>
    <row r="170" spans="1:14" x14ac:dyDescent="0.25">
      <c r="A170" s="7">
        <f t="shared" si="8"/>
        <v>8.1228931530600246</v>
      </c>
      <c r="B170" s="5">
        <f t="shared" si="9"/>
        <v>6.3500000000000005</v>
      </c>
      <c r="C170" s="23"/>
      <c r="D170" t="s">
        <v>666</v>
      </c>
      <c r="H170">
        <v>6.3500000000000005</v>
      </c>
      <c r="N170" t="str">
        <f t="shared" si="7"/>
        <v>00KZZJUDR</v>
      </c>
    </row>
    <row r="171" spans="1:14" x14ac:dyDescent="0.25">
      <c r="A171" s="7">
        <f t="shared" si="8"/>
        <v>6.5878582264974996</v>
      </c>
      <c r="B171" s="5">
        <f t="shared" si="9"/>
        <v>5.15</v>
      </c>
      <c r="C171" s="23"/>
      <c r="D171" t="s">
        <v>664</v>
      </c>
      <c r="H171">
        <v>5.15</v>
      </c>
      <c r="N171" t="str">
        <f t="shared" si="7"/>
        <v>00KZZJUER</v>
      </c>
    </row>
    <row r="172" spans="1:14" x14ac:dyDescent="0.25">
      <c r="A172" s="7">
        <f t="shared" si="8"/>
        <v>10.01610289582047</v>
      </c>
      <c r="B172" s="5">
        <f t="shared" si="9"/>
        <v>7.83</v>
      </c>
      <c r="C172" s="23"/>
      <c r="D172" t="s">
        <v>689</v>
      </c>
      <c r="E172">
        <v>2.36</v>
      </c>
      <c r="H172">
        <v>5.4700000000000006</v>
      </c>
      <c r="I172">
        <v>0</v>
      </c>
      <c r="N172" t="str">
        <f t="shared" si="7"/>
        <v>00KZZJUFR</v>
      </c>
    </row>
    <row r="173" spans="1:14" x14ac:dyDescent="0.25">
      <c r="A173" s="7">
        <f t="shared" si="8"/>
        <v>6.99720087358084</v>
      </c>
      <c r="B173" s="5">
        <f t="shared" si="9"/>
        <v>5.4700000000000006</v>
      </c>
      <c r="C173" s="23"/>
      <c r="D173" t="s">
        <v>694</v>
      </c>
      <c r="H173">
        <v>5.4700000000000006</v>
      </c>
      <c r="N173" t="str">
        <f t="shared" si="7"/>
        <v>00KZZJUGR</v>
      </c>
    </row>
    <row r="174" spans="1:14" x14ac:dyDescent="0.25">
      <c r="A174" s="7">
        <f t="shared" si="8"/>
        <v>6.99720087358084</v>
      </c>
      <c r="B174" s="5">
        <f t="shared" si="9"/>
        <v>5.4700000000000006</v>
      </c>
      <c r="C174" s="23"/>
      <c r="D174" t="s">
        <v>671</v>
      </c>
      <c r="H174">
        <v>5.4700000000000006</v>
      </c>
      <c r="N174" t="str">
        <f t="shared" si="7"/>
        <v>00KZZJUHR</v>
      </c>
    </row>
    <row r="175" spans="1:14" x14ac:dyDescent="0.25">
      <c r="A175" s="7">
        <f t="shared" si="8"/>
        <v>6.1657236216928055</v>
      </c>
      <c r="B175" s="5">
        <f t="shared" si="9"/>
        <v>4.82</v>
      </c>
      <c r="C175" s="23"/>
      <c r="D175" t="s">
        <v>699</v>
      </c>
      <c r="H175">
        <v>4.82</v>
      </c>
      <c r="N175" t="str">
        <f t="shared" si="7"/>
        <v>00KZZJUIR</v>
      </c>
    </row>
    <row r="176" spans="1:14" x14ac:dyDescent="0.25">
      <c r="A176" s="7">
        <f t="shared" si="8"/>
        <v>7.4065435206641803</v>
      </c>
      <c r="B176" s="5">
        <f t="shared" si="9"/>
        <v>5.7900000000000009</v>
      </c>
      <c r="C176" s="23"/>
      <c r="D176" t="s">
        <v>753</v>
      </c>
      <c r="H176">
        <v>5.7900000000000009</v>
      </c>
      <c r="N176" t="str">
        <f t="shared" si="7"/>
        <v>00KZZJUJR</v>
      </c>
    </row>
    <row r="177" spans="1:14" x14ac:dyDescent="0.25">
      <c r="A177" s="7">
        <f t="shared" si="8"/>
        <v>8.1228931530600246</v>
      </c>
      <c r="B177" s="5">
        <f t="shared" si="9"/>
        <v>6.3500000000000005</v>
      </c>
      <c r="C177" s="23"/>
      <c r="D177" t="s">
        <v>751</v>
      </c>
      <c r="H177">
        <v>6.3500000000000005</v>
      </c>
      <c r="N177" t="str">
        <f t="shared" si="7"/>
        <v>00KZZJUKR</v>
      </c>
    </row>
    <row r="178" spans="1:14" x14ac:dyDescent="0.25">
      <c r="A178" s="7">
        <f t="shared" si="8"/>
        <v>6.99720087358084</v>
      </c>
      <c r="B178" s="5">
        <f t="shared" si="9"/>
        <v>5.4700000000000006</v>
      </c>
      <c r="C178" s="23"/>
      <c r="D178" t="s">
        <v>739</v>
      </c>
      <c r="H178">
        <v>5.4700000000000006</v>
      </c>
      <c r="N178" t="str">
        <f t="shared" si="7"/>
        <v>00KZZJULR</v>
      </c>
    </row>
    <row r="179" spans="1:14" x14ac:dyDescent="0.25">
      <c r="A179" s="7">
        <f t="shared" si="8"/>
        <v>6.99720087358084</v>
      </c>
      <c r="B179" s="5">
        <f t="shared" si="9"/>
        <v>5.4700000000000006</v>
      </c>
      <c r="C179" s="23"/>
      <c r="D179" t="s">
        <v>741</v>
      </c>
      <c r="H179">
        <v>5.4700000000000006</v>
      </c>
      <c r="N179" t="str">
        <f t="shared" si="7"/>
        <v>00KZZJUMR</v>
      </c>
    </row>
    <row r="180" spans="1:14" x14ac:dyDescent="0.25">
      <c r="A180" s="7">
        <f t="shared" si="8"/>
        <v>6.99720087358084</v>
      </c>
      <c r="B180" s="5">
        <f t="shared" si="9"/>
        <v>5.4700000000000006</v>
      </c>
      <c r="C180" s="23"/>
      <c r="D180" t="s">
        <v>734</v>
      </c>
      <c r="H180">
        <v>5.4700000000000006</v>
      </c>
      <c r="N180" t="str">
        <f t="shared" si="7"/>
        <v>00KZZJUNR</v>
      </c>
    </row>
    <row r="181" spans="1:14" x14ac:dyDescent="0.25">
      <c r="A181" s="7">
        <f t="shared" si="8"/>
        <v>6.99720087358084</v>
      </c>
      <c r="B181" s="5">
        <f t="shared" si="9"/>
        <v>5.4700000000000006</v>
      </c>
      <c r="C181" s="23"/>
      <c r="D181" t="s">
        <v>729</v>
      </c>
      <c r="H181">
        <v>5.4700000000000006</v>
      </c>
      <c r="N181" t="str">
        <f t="shared" si="7"/>
        <v>00KZZJUOR</v>
      </c>
    </row>
    <row r="182" spans="1:14" x14ac:dyDescent="0.25">
      <c r="A182" s="7">
        <f t="shared" si="8"/>
        <v>6.99720087358084</v>
      </c>
      <c r="B182" s="5">
        <f t="shared" si="9"/>
        <v>5.4700000000000006</v>
      </c>
      <c r="C182" s="23"/>
      <c r="D182" t="s">
        <v>746</v>
      </c>
      <c r="H182">
        <v>5.4700000000000006</v>
      </c>
      <c r="N182" t="str">
        <f t="shared" si="7"/>
        <v>00KZZJUPR</v>
      </c>
    </row>
    <row r="183" spans="1:14" x14ac:dyDescent="0.25">
      <c r="A183" s="7">
        <f t="shared" si="8"/>
        <v>9.5555924178517149</v>
      </c>
      <c r="B183" s="5">
        <f t="shared" si="9"/>
        <v>7.4700000000000015</v>
      </c>
      <c r="C183" s="23"/>
      <c r="D183" t="s">
        <v>766</v>
      </c>
      <c r="H183">
        <v>7.4700000000000015</v>
      </c>
      <c r="N183" t="str">
        <f t="shared" si="7"/>
        <v>00KZZJUQR</v>
      </c>
    </row>
    <row r="184" spans="1:14" x14ac:dyDescent="0.25">
      <c r="A184" s="7">
        <f t="shared" si="8"/>
        <v>6.1657236216928055</v>
      </c>
      <c r="B184" s="5">
        <f t="shared" si="9"/>
        <v>4.82</v>
      </c>
      <c r="C184" s="23"/>
      <c r="D184" t="s">
        <v>790</v>
      </c>
      <c r="H184">
        <v>4.82</v>
      </c>
      <c r="N184" t="str">
        <f t="shared" si="7"/>
        <v>00KZZJURR</v>
      </c>
    </row>
    <row r="185" spans="1:14" x14ac:dyDescent="0.25">
      <c r="A185" s="7">
        <f t="shared" si="8"/>
        <v>7.4065435206641803</v>
      </c>
      <c r="B185" s="5">
        <f t="shared" si="9"/>
        <v>5.7900000000000009</v>
      </c>
      <c r="C185" s="23"/>
      <c r="D185" t="s">
        <v>795</v>
      </c>
      <c r="H185">
        <v>5.7900000000000009</v>
      </c>
      <c r="N185" t="str">
        <f t="shared" si="7"/>
        <v>00KZZJUSR</v>
      </c>
    </row>
    <row r="186" spans="1:14" x14ac:dyDescent="0.25">
      <c r="A186" s="7">
        <f t="shared" si="8"/>
        <v>6.99720087358084</v>
      </c>
      <c r="B186" s="5">
        <f t="shared" si="9"/>
        <v>5.4700000000000006</v>
      </c>
      <c r="C186" s="23"/>
      <c r="D186" t="s">
        <v>780</v>
      </c>
      <c r="H186">
        <v>5.4700000000000006</v>
      </c>
      <c r="N186" t="str">
        <f t="shared" si="7"/>
        <v>00KZZJUTR</v>
      </c>
    </row>
    <row r="187" spans="1:14" x14ac:dyDescent="0.25">
      <c r="A187" s="7">
        <f t="shared" si="8"/>
        <v>6.5878582264974996</v>
      </c>
      <c r="B187" s="5">
        <f t="shared" si="9"/>
        <v>5.15</v>
      </c>
      <c r="C187" s="23"/>
      <c r="D187" t="s">
        <v>785</v>
      </c>
      <c r="H187">
        <v>5.15</v>
      </c>
      <c r="N187" t="str">
        <f t="shared" si="7"/>
        <v>00KZZJUUR</v>
      </c>
    </row>
    <row r="188" spans="1:14" x14ac:dyDescent="0.25">
      <c r="A188" s="7">
        <f t="shared" si="8"/>
        <v>6.99720087358084</v>
      </c>
      <c r="B188" s="5">
        <f t="shared" si="9"/>
        <v>5.4700000000000006</v>
      </c>
      <c r="C188" s="23"/>
      <c r="D188" t="s">
        <v>882</v>
      </c>
      <c r="H188">
        <v>5.4700000000000006</v>
      </c>
      <c r="N188" t="str">
        <f t="shared" si="7"/>
        <v>00KZZJUVR</v>
      </c>
    </row>
    <row r="189" spans="1:14" x14ac:dyDescent="0.25">
      <c r="A189" s="7">
        <f t="shared" si="8"/>
        <v>8.1228931530600246</v>
      </c>
      <c r="B189" s="5">
        <f t="shared" si="9"/>
        <v>6.3500000000000005</v>
      </c>
      <c r="C189" s="23"/>
      <c r="D189" t="s">
        <v>874</v>
      </c>
      <c r="H189">
        <v>6.3500000000000005</v>
      </c>
      <c r="N189" t="str">
        <f t="shared" si="7"/>
        <v>00KZZJUWR</v>
      </c>
    </row>
    <row r="190" spans="1:14" x14ac:dyDescent="0.25">
      <c r="A190" s="7">
        <f t="shared" si="8"/>
        <v>8.1228931530600246</v>
      </c>
      <c r="B190" s="5">
        <f t="shared" si="9"/>
        <v>6.3500000000000005</v>
      </c>
      <c r="C190" s="23"/>
      <c r="D190" t="s">
        <v>870</v>
      </c>
      <c r="H190">
        <v>6.3500000000000005</v>
      </c>
      <c r="N190" t="str">
        <f t="shared" si="7"/>
        <v>00KZZJUXR</v>
      </c>
    </row>
    <row r="191" spans="1:14" x14ac:dyDescent="0.25">
      <c r="A191" s="7">
        <f t="shared" si="8"/>
        <v>6.99720087358084</v>
      </c>
      <c r="B191" s="5">
        <f t="shared" si="9"/>
        <v>5.4700000000000006</v>
      </c>
      <c r="C191" s="23"/>
      <c r="D191" t="s">
        <v>878</v>
      </c>
      <c r="H191">
        <v>5.4700000000000006</v>
      </c>
      <c r="N191" t="str">
        <f t="shared" si="7"/>
        <v>00KZZJUYR</v>
      </c>
    </row>
    <row r="192" spans="1:14" x14ac:dyDescent="0.25">
      <c r="A192" s="7">
        <f t="shared" si="8"/>
        <v>8.1228931530600246</v>
      </c>
      <c r="B192" s="5">
        <f t="shared" si="9"/>
        <v>6.3500000000000005</v>
      </c>
      <c r="C192" s="23"/>
      <c r="D192" t="s">
        <v>909</v>
      </c>
      <c r="H192">
        <v>6.3500000000000005</v>
      </c>
      <c r="N192" t="str">
        <f t="shared" si="7"/>
        <v>00KZZJUZR</v>
      </c>
    </row>
    <row r="193" spans="1:14" x14ac:dyDescent="0.25">
      <c r="A193" s="7">
        <f t="shared" si="8"/>
        <v>7.4065435206641803</v>
      </c>
      <c r="B193" s="5">
        <f t="shared" si="9"/>
        <v>5.7900000000000009</v>
      </c>
      <c r="C193" s="23"/>
      <c r="D193" t="s">
        <v>961</v>
      </c>
      <c r="H193">
        <v>5.7900000000000009</v>
      </c>
      <c r="N193" t="str">
        <f t="shared" si="7"/>
        <v>00KZZJV0R</v>
      </c>
    </row>
    <row r="194" spans="1:14" x14ac:dyDescent="0.25">
      <c r="A194" s="7">
        <f t="shared" si="8"/>
        <v>6.1657236216928055</v>
      </c>
      <c r="B194" s="5">
        <f t="shared" si="9"/>
        <v>4.82</v>
      </c>
      <c r="C194" s="23"/>
      <c r="D194" t="s">
        <v>957</v>
      </c>
      <c r="H194">
        <v>4.82</v>
      </c>
      <c r="N194" t="str">
        <f t="shared" si="7"/>
        <v>00KZZJV1R</v>
      </c>
    </row>
    <row r="195" spans="1:14" x14ac:dyDescent="0.25">
      <c r="A195" s="7">
        <f t="shared" si="8"/>
        <v>7.4065435206641803</v>
      </c>
      <c r="B195" s="5">
        <f t="shared" si="9"/>
        <v>5.7900000000000009</v>
      </c>
      <c r="C195" s="23"/>
      <c r="D195" t="s">
        <v>953</v>
      </c>
      <c r="H195">
        <v>5.7900000000000009</v>
      </c>
      <c r="N195" t="str">
        <f t="shared" si="7"/>
        <v>00KZZJV2R</v>
      </c>
    </row>
    <row r="196" spans="1:14" x14ac:dyDescent="0.25">
      <c r="A196" s="7">
        <f t="shared" si="8"/>
        <v>7.4065435206641803</v>
      </c>
      <c r="B196" s="5">
        <f t="shared" si="9"/>
        <v>5.7900000000000009</v>
      </c>
      <c r="C196" s="23"/>
      <c r="D196" t="s">
        <v>948</v>
      </c>
      <c r="H196">
        <v>5.7900000000000009</v>
      </c>
      <c r="N196" t="str">
        <f t="shared" si="7"/>
        <v>00KZZJV3R</v>
      </c>
    </row>
    <row r="197" spans="1:14" x14ac:dyDescent="0.25">
      <c r="A197" s="7">
        <f t="shared" si="8"/>
        <v>7.4065435206641803</v>
      </c>
      <c r="B197" s="5">
        <f t="shared" si="9"/>
        <v>5.7900000000000009</v>
      </c>
      <c r="C197" s="23"/>
      <c r="D197" t="s">
        <v>943</v>
      </c>
      <c r="H197">
        <v>5.7900000000000009</v>
      </c>
      <c r="N197" t="str">
        <f t="shared" ref="N197:N260" si="10">D197&amp;"R"</f>
        <v>00KZZJV4R</v>
      </c>
    </row>
    <row r="198" spans="1:14" x14ac:dyDescent="0.25">
      <c r="A198" s="7">
        <f t="shared" ref="A198:A261" si="11">B198*(1+$R$2)</f>
        <v>6.1657236216928055</v>
      </c>
      <c r="B198" s="5">
        <f t="shared" ref="B198:B261" si="12">SUM(E198:L198)</f>
        <v>4.82</v>
      </c>
      <c r="C198" s="23"/>
      <c r="D198" t="s">
        <v>998</v>
      </c>
      <c r="H198">
        <v>4.82</v>
      </c>
      <c r="N198" t="str">
        <f t="shared" si="10"/>
        <v>00KZZJV5R</v>
      </c>
    </row>
    <row r="199" spans="1:14" x14ac:dyDescent="0.25">
      <c r="A199" s="7">
        <f t="shared" si="11"/>
        <v>8.1228931530600246</v>
      </c>
      <c r="B199" s="5">
        <f t="shared" si="12"/>
        <v>6.3500000000000005</v>
      </c>
      <c r="C199" s="23"/>
      <c r="D199" t="s">
        <v>1063</v>
      </c>
      <c r="H199">
        <v>6.3500000000000005</v>
      </c>
      <c r="N199" t="str">
        <f t="shared" si="10"/>
        <v>00KZZJV6R</v>
      </c>
    </row>
    <row r="200" spans="1:14" x14ac:dyDescent="0.25">
      <c r="A200" s="7">
        <f t="shared" si="11"/>
        <v>6.99720087358084</v>
      </c>
      <c r="B200" s="5">
        <f t="shared" si="12"/>
        <v>5.4700000000000006</v>
      </c>
      <c r="C200" s="23"/>
      <c r="D200" t="s">
        <v>1067</v>
      </c>
      <c r="H200">
        <v>5.4700000000000006</v>
      </c>
      <c r="N200" t="str">
        <f t="shared" si="10"/>
        <v>00KZZJV7R</v>
      </c>
    </row>
    <row r="201" spans="1:14" x14ac:dyDescent="0.25">
      <c r="A201" s="7">
        <f t="shared" si="11"/>
        <v>9.5555924178517149</v>
      </c>
      <c r="B201" s="5">
        <f t="shared" si="12"/>
        <v>7.4700000000000015</v>
      </c>
      <c r="C201" s="23"/>
      <c r="D201" t="s">
        <v>1153</v>
      </c>
      <c r="H201">
        <v>7.4700000000000015</v>
      </c>
      <c r="N201" t="str">
        <f t="shared" si="10"/>
        <v>00KZZJV8R</v>
      </c>
    </row>
    <row r="202" spans="1:14" x14ac:dyDescent="0.25">
      <c r="A202" s="7">
        <f t="shared" si="11"/>
        <v>6.5878582264974996</v>
      </c>
      <c r="B202" s="5">
        <f t="shared" si="12"/>
        <v>5.15</v>
      </c>
      <c r="C202" s="23"/>
      <c r="D202" t="s">
        <v>1149</v>
      </c>
      <c r="H202">
        <v>5.15</v>
      </c>
      <c r="N202" t="str">
        <f t="shared" si="10"/>
        <v>00KZZJV9R</v>
      </c>
    </row>
    <row r="203" spans="1:14" x14ac:dyDescent="0.25">
      <c r="A203" s="7">
        <f t="shared" si="11"/>
        <v>6.99720087358084</v>
      </c>
      <c r="B203" s="5">
        <f t="shared" si="12"/>
        <v>5.4700000000000006</v>
      </c>
      <c r="C203" s="23"/>
      <c r="D203" t="s">
        <v>1144</v>
      </c>
      <c r="H203">
        <v>5.4700000000000006</v>
      </c>
      <c r="N203" t="str">
        <f t="shared" si="10"/>
        <v>00KZZJVAR</v>
      </c>
    </row>
    <row r="204" spans="1:14" x14ac:dyDescent="0.25">
      <c r="A204" s="7">
        <f t="shared" si="11"/>
        <v>8.1228931530600246</v>
      </c>
      <c r="B204" s="5">
        <f t="shared" si="12"/>
        <v>6.3500000000000005</v>
      </c>
      <c r="C204" s="23"/>
      <c r="D204" t="s">
        <v>1180</v>
      </c>
      <c r="H204">
        <v>6.3500000000000005</v>
      </c>
      <c r="N204" t="str">
        <f t="shared" si="10"/>
        <v>00KZZJVBR</v>
      </c>
    </row>
    <row r="205" spans="1:14" x14ac:dyDescent="0.25">
      <c r="A205" s="7">
        <f t="shared" si="11"/>
        <v>6.1657236216928055</v>
      </c>
      <c r="B205" s="5">
        <f t="shared" si="12"/>
        <v>4.82</v>
      </c>
      <c r="C205" s="23"/>
      <c r="D205" t="s">
        <v>1271</v>
      </c>
      <c r="H205">
        <v>4.82</v>
      </c>
      <c r="N205" t="str">
        <f t="shared" si="10"/>
        <v>00KZZJVCR</v>
      </c>
    </row>
    <row r="206" spans="1:14" x14ac:dyDescent="0.25">
      <c r="A206" s="7">
        <f t="shared" si="11"/>
        <v>7.4065435206641803</v>
      </c>
      <c r="B206" s="5">
        <f t="shared" si="12"/>
        <v>5.7900000000000009</v>
      </c>
      <c r="C206" s="23"/>
      <c r="D206" t="s">
        <v>1276</v>
      </c>
      <c r="H206">
        <v>5.7900000000000009</v>
      </c>
      <c r="N206" t="str">
        <f t="shared" si="10"/>
        <v>00KZZJVDR</v>
      </c>
    </row>
    <row r="207" spans="1:14" x14ac:dyDescent="0.25">
      <c r="A207" s="7">
        <f t="shared" si="11"/>
        <v>6.1657236216928055</v>
      </c>
      <c r="B207" s="5">
        <f t="shared" si="12"/>
        <v>4.82</v>
      </c>
      <c r="C207" s="23"/>
      <c r="D207" t="s">
        <v>564</v>
      </c>
      <c r="H207">
        <v>4.82</v>
      </c>
      <c r="N207" t="str">
        <f t="shared" si="10"/>
        <v>00L0DR8PR</v>
      </c>
    </row>
    <row r="208" spans="1:14" x14ac:dyDescent="0.25">
      <c r="A208" s="7">
        <f t="shared" si="11"/>
        <v>7.4065435206641803</v>
      </c>
      <c r="B208" s="5">
        <f t="shared" si="12"/>
        <v>5.7900000000000009</v>
      </c>
      <c r="C208" s="23"/>
      <c r="D208" t="s">
        <v>566</v>
      </c>
      <c r="H208">
        <v>5.7900000000000009</v>
      </c>
      <c r="N208" t="str">
        <f t="shared" si="10"/>
        <v>00L0DT0YR</v>
      </c>
    </row>
    <row r="209" spans="1:14" x14ac:dyDescent="0.25">
      <c r="A209" s="7">
        <f t="shared" si="11"/>
        <v>6.5878582264974996</v>
      </c>
      <c r="B209" s="5">
        <f t="shared" si="12"/>
        <v>5.15</v>
      </c>
      <c r="C209" s="23"/>
      <c r="D209" t="s">
        <v>568</v>
      </c>
      <c r="H209">
        <v>5.15</v>
      </c>
      <c r="N209" t="str">
        <f t="shared" si="10"/>
        <v>00L0DT2SR</v>
      </c>
    </row>
    <row r="210" spans="1:14" x14ac:dyDescent="0.25">
      <c r="A210" s="7">
        <f t="shared" si="11"/>
        <v>6.1657236216928055</v>
      </c>
      <c r="B210" s="5">
        <f t="shared" si="12"/>
        <v>4.82</v>
      </c>
      <c r="C210" s="23"/>
      <c r="D210" t="s">
        <v>421</v>
      </c>
      <c r="H210">
        <v>4.82</v>
      </c>
      <c r="N210" t="str">
        <f t="shared" si="10"/>
        <v>00L0EX46R</v>
      </c>
    </row>
    <row r="211" spans="1:14" x14ac:dyDescent="0.25">
      <c r="A211" s="7">
        <f t="shared" si="11"/>
        <v>6.1657236216928055</v>
      </c>
      <c r="B211" s="5">
        <f t="shared" si="12"/>
        <v>4.82</v>
      </c>
      <c r="C211" s="23"/>
      <c r="D211" t="s">
        <v>425</v>
      </c>
      <c r="H211">
        <v>4.82</v>
      </c>
      <c r="N211" t="str">
        <f t="shared" si="10"/>
        <v>00L0EXC0R</v>
      </c>
    </row>
    <row r="212" spans="1:14" x14ac:dyDescent="0.25">
      <c r="A212" s="7">
        <f t="shared" si="11"/>
        <v>6.1657236216928055</v>
      </c>
      <c r="B212" s="5">
        <f t="shared" si="12"/>
        <v>4.82</v>
      </c>
      <c r="C212" s="23"/>
      <c r="D212" t="s">
        <v>652</v>
      </c>
      <c r="H212">
        <v>4.82</v>
      </c>
      <c r="N212" t="str">
        <f t="shared" si="10"/>
        <v>00L0EXFWR</v>
      </c>
    </row>
    <row r="213" spans="1:14" x14ac:dyDescent="0.25">
      <c r="A213" s="7">
        <f t="shared" si="11"/>
        <v>6.1657236216928055</v>
      </c>
      <c r="B213" s="5">
        <f t="shared" si="12"/>
        <v>4.82</v>
      </c>
      <c r="C213" s="23"/>
      <c r="D213" t="s">
        <v>657</v>
      </c>
      <c r="H213">
        <v>4.82</v>
      </c>
      <c r="N213" t="str">
        <f t="shared" si="10"/>
        <v>00L0F7R5R</v>
      </c>
    </row>
    <row r="214" spans="1:14" x14ac:dyDescent="0.25">
      <c r="A214" s="7">
        <f t="shared" si="11"/>
        <v>6.1657236216928055</v>
      </c>
      <c r="B214" s="5">
        <f t="shared" si="12"/>
        <v>4.82</v>
      </c>
      <c r="C214" s="23"/>
      <c r="D214" t="s">
        <v>605</v>
      </c>
      <c r="H214">
        <v>4.82</v>
      </c>
      <c r="N214" t="str">
        <f t="shared" si="10"/>
        <v>00L0GLJPR</v>
      </c>
    </row>
    <row r="215" spans="1:14" x14ac:dyDescent="0.25">
      <c r="A215" s="7">
        <f t="shared" si="11"/>
        <v>6.99720087358084</v>
      </c>
      <c r="B215" s="5">
        <f t="shared" si="12"/>
        <v>5.4700000000000006</v>
      </c>
      <c r="C215" s="23"/>
      <c r="D215" t="s">
        <v>1281</v>
      </c>
      <c r="H215">
        <v>5.4700000000000006</v>
      </c>
      <c r="N215" t="str">
        <f t="shared" si="10"/>
        <v>00L0NDWAR</v>
      </c>
    </row>
    <row r="216" spans="1:14" x14ac:dyDescent="0.25">
      <c r="A216" s="7">
        <f t="shared" si="11"/>
        <v>6.5878582264974996</v>
      </c>
      <c r="B216" s="5">
        <f t="shared" si="12"/>
        <v>5.15</v>
      </c>
      <c r="C216" s="23"/>
      <c r="D216" t="s">
        <v>1286</v>
      </c>
      <c r="H216">
        <v>5.15</v>
      </c>
      <c r="N216" t="str">
        <f t="shared" si="10"/>
        <v>00L0NDWBR</v>
      </c>
    </row>
    <row r="217" spans="1:14" x14ac:dyDescent="0.25">
      <c r="A217" s="7">
        <f t="shared" si="11"/>
        <v>6.5878582264974996</v>
      </c>
      <c r="B217" s="5">
        <f t="shared" si="12"/>
        <v>5.15</v>
      </c>
      <c r="C217" s="23"/>
      <c r="D217" t="s">
        <v>1290</v>
      </c>
      <c r="H217">
        <v>5.15</v>
      </c>
      <c r="N217" t="str">
        <f t="shared" si="10"/>
        <v>00L0NDWCR</v>
      </c>
    </row>
    <row r="218" spans="1:14" x14ac:dyDescent="0.25">
      <c r="A218" s="7">
        <f t="shared" si="11"/>
        <v>6.99720087358084</v>
      </c>
      <c r="B218" s="5">
        <f t="shared" si="12"/>
        <v>5.4700000000000006</v>
      </c>
      <c r="C218" s="23"/>
      <c r="D218" t="s">
        <v>1295</v>
      </c>
      <c r="H218">
        <v>5.4700000000000006</v>
      </c>
      <c r="N218" t="str">
        <f t="shared" si="10"/>
        <v>00L0NDWDR</v>
      </c>
    </row>
    <row r="219" spans="1:14" x14ac:dyDescent="0.25">
      <c r="A219" s="7">
        <f t="shared" si="11"/>
        <v>8.1228931530600246</v>
      </c>
      <c r="B219" s="5">
        <f t="shared" si="12"/>
        <v>6.3500000000000005</v>
      </c>
      <c r="C219" s="23"/>
      <c r="D219" t="s">
        <v>1300</v>
      </c>
      <c r="H219">
        <v>6.3500000000000005</v>
      </c>
      <c r="N219" t="str">
        <f t="shared" si="10"/>
        <v>00L0NDWER</v>
      </c>
    </row>
    <row r="220" spans="1:14" x14ac:dyDescent="0.25">
      <c r="A220" s="7">
        <f t="shared" si="11"/>
        <v>6.1657236216928055</v>
      </c>
      <c r="B220" s="5">
        <f t="shared" si="12"/>
        <v>4.82</v>
      </c>
      <c r="C220" s="23"/>
      <c r="D220" t="s">
        <v>1305</v>
      </c>
      <c r="H220">
        <v>4.82</v>
      </c>
      <c r="N220" t="str">
        <f t="shared" si="10"/>
        <v>00L0NDWFR</v>
      </c>
    </row>
    <row r="221" spans="1:14" x14ac:dyDescent="0.25">
      <c r="A221" s="7">
        <f t="shared" si="11"/>
        <v>6.1657236216928055</v>
      </c>
      <c r="B221" s="5">
        <f t="shared" si="12"/>
        <v>4.82</v>
      </c>
      <c r="C221" s="23"/>
      <c r="D221" t="s">
        <v>1310</v>
      </c>
      <c r="H221">
        <v>4.82</v>
      </c>
      <c r="N221" t="str">
        <f t="shared" si="10"/>
        <v>00L0NDWGR</v>
      </c>
    </row>
    <row r="222" spans="1:14" x14ac:dyDescent="0.25">
      <c r="A222" s="7">
        <f t="shared" si="11"/>
        <v>6.5878582264974996</v>
      </c>
      <c r="B222" s="5">
        <f t="shared" si="12"/>
        <v>5.15</v>
      </c>
      <c r="C222" s="23"/>
      <c r="D222" t="s">
        <v>1314</v>
      </c>
      <c r="H222">
        <v>5.15</v>
      </c>
      <c r="N222" t="str">
        <f t="shared" si="10"/>
        <v>00L0NDWHR</v>
      </c>
    </row>
    <row r="223" spans="1:14" x14ac:dyDescent="0.25">
      <c r="A223" s="7">
        <f t="shared" si="11"/>
        <v>6.99720087358084</v>
      </c>
      <c r="B223" s="5">
        <f t="shared" si="12"/>
        <v>5.4700000000000006</v>
      </c>
      <c r="C223" s="23"/>
      <c r="D223" t="s">
        <v>1319</v>
      </c>
      <c r="H223">
        <v>5.4700000000000006</v>
      </c>
      <c r="N223" t="str">
        <f t="shared" si="10"/>
        <v>00L0NDWIR</v>
      </c>
    </row>
    <row r="224" spans="1:14" x14ac:dyDescent="0.25">
      <c r="A224" s="7">
        <f t="shared" si="11"/>
        <v>7.4065435206641803</v>
      </c>
      <c r="B224" s="5">
        <f t="shared" si="12"/>
        <v>5.7900000000000009</v>
      </c>
      <c r="C224" s="23"/>
      <c r="D224" t="s">
        <v>1324</v>
      </c>
      <c r="H224">
        <v>5.7900000000000009</v>
      </c>
      <c r="N224" t="str">
        <f t="shared" si="10"/>
        <v>00L0NDWJR</v>
      </c>
    </row>
    <row r="225" spans="1:14" x14ac:dyDescent="0.25">
      <c r="A225" s="7">
        <f t="shared" si="11"/>
        <v>6.99720087358084</v>
      </c>
      <c r="B225" s="5">
        <f t="shared" si="12"/>
        <v>5.4700000000000006</v>
      </c>
      <c r="C225" s="23"/>
      <c r="D225" t="s">
        <v>1329</v>
      </c>
      <c r="H225">
        <v>5.4700000000000006</v>
      </c>
      <c r="N225" t="str">
        <f t="shared" si="10"/>
        <v>00L0NDWKR</v>
      </c>
    </row>
    <row r="226" spans="1:14" x14ac:dyDescent="0.25">
      <c r="A226" s="7">
        <f t="shared" si="11"/>
        <v>6.99720087358084</v>
      </c>
      <c r="B226" s="5">
        <f t="shared" si="12"/>
        <v>5.4700000000000006</v>
      </c>
      <c r="C226" s="23"/>
      <c r="D226" t="s">
        <v>1333</v>
      </c>
      <c r="H226">
        <v>5.4700000000000006</v>
      </c>
      <c r="N226" t="str">
        <f t="shared" si="10"/>
        <v>00L0NDWLR</v>
      </c>
    </row>
    <row r="227" spans="1:14" x14ac:dyDescent="0.25">
      <c r="A227" s="7">
        <f t="shared" si="11"/>
        <v>6.99720087358084</v>
      </c>
      <c r="B227" s="5">
        <f t="shared" si="12"/>
        <v>5.4700000000000006</v>
      </c>
      <c r="C227" s="23"/>
      <c r="D227" t="s">
        <v>1337</v>
      </c>
      <c r="H227">
        <v>5.4700000000000006</v>
      </c>
      <c r="N227" t="str">
        <f t="shared" si="10"/>
        <v>00L0NDWMR</v>
      </c>
    </row>
    <row r="228" spans="1:14" x14ac:dyDescent="0.25">
      <c r="A228" s="7">
        <f t="shared" si="11"/>
        <v>6.1657236216928055</v>
      </c>
      <c r="B228" s="5">
        <f t="shared" si="12"/>
        <v>4.82</v>
      </c>
      <c r="C228" s="23"/>
      <c r="D228" t="s">
        <v>1342</v>
      </c>
      <c r="H228">
        <v>4.82</v>
      </c>
      <c r="N228" t="str">
        <f t="shared" si="10"/>
        <v>00L0NDWNR</v>
      </c>
    </row>
    <row r="229" spans="1:14" x14ac:dyDescent="0.25">
      <c r="A229" s="7">
        <f t="shared" si="11"/>
        <v>8.1228931530600246</v>
      </c>
      <c r="B229" s="5">
        <f t="shared" si="12"/>
        <v>6.3500000000000005</v>
      </c>
      <c r="C229" s="23"/>
      <c r="D229" t="s">
        <v>1347</v>
      </c>
      <c r="H229">
        <v>6.3500000000000005</v>
      </c>
      <c r="N229" t="str">
        <f t="shared" si="10"/>
        <v>00L0NDWOR</v>
      </c>
    </row>
    <row r="230" spans="1:14" x14ac:dyDescent="0.25">
      <c r="A230" s="7">
        <f t="shared" si="11"/>
        <v>6.1657236216928055</v>
      </c>
      <c r="B230" s="5">
        <f t="shared" si="12"/>
        <v>4.82</v>
      </c>
      <c r="C230" s="23"/>
      <c r="D230" t="s">
        <v>1351</v>
      </c>
      <c r="H230">
        <v>4.82</v>
      </c>
      <c r="N230" t="str">
        <f t="shared" si="10"/>
        <v>00L0NDWPR</v>
      </c>
    </row>
    <row r="231" spans="1:14" x14ac:dyDescent="0.25">
      <c r="A231" s="7">
        <f t="shared" si="11"/>
        <v>6.99720087358084</v>
      </c>
      <c r="B231" s="5">
        <f t="shared" si="12"/>
        <v>5.4700000000000006</v>
      </c>
      <c r="C231" s="23"/>
      <c r="D231" t="s">
        <v>1356</v>
      </c>
      <c r="H231">
        <v>5.4700000000000006</v>
      </c>
      <c r="N231" t="str">
        <f t="shared" si="10"/>
        <v>00L0NDWQR</v>
      </c>
    </row>
    <row r="232" spans="1:14" x14ac:dyDescent="0.25">
      <c r="A232" s="7">
        <f t="shared" si="11"/>
        <v>8.1228931530600246</v>
      </c>
      <c r="B232" s="5">
        <f t="shared" si="12"/>
        <v>6.3500000000000005</v>
      </c>
      <c r="C232" s="23"/>
      <c r="D232" t="s">
        <v>1361</v>
      </c>
      <c r="H232">
        <v>6.3500000000000005</v>
      </c>
      <c r="N232" t="str">
        <f t="shared" si="10"/>
        <v>00L0NDWRR</v>
      </c>
    </row>
    <row r="233" spans="1:14" x14ac:dyDescent="0.25">
      <c r="A233" s="7">
        <f t="shared" si="11"/>
        <v>9.5555924178517149</v>
      </c>
      <c r="B233" s="5">
        <f t="shared" si="12"/>
        <v>7.4700000000000015</v>
      </c>
      <c r="C233" s="23"/>
      <c r="D233" t="s">
        <v>1267</v>
      </c>
      <c r="H233">
        <v>7.4700000000000015</v>
      </c>
      <c r="N233" t="str">
        <f t="shared" si="10"/>
        <v>00L0NDWSR</v>
      </c>
    </row>
    <row r="234" spans="1:14" x14ac:dyDescent="0.25">
      <c r="A234" s="7">
        <f t="shared" si="11"/>
        <v>8.1228931530600246</v>
      </c>
      <c r="B234" s="5">
        <f t="shared" si="12"/>
        <v>6.3500000000000005</v>
      </c>
      <c r="C234" s="23"/>
      <c r="D234" t="s">
        <v>1263</v>
      </c>
      <c r="H234">
        <v>6.3500000000000005</v>
      </c>
      <c r="N234" t="str">
        <f t="shared" si="10"/>
        <v>00L0NDWTR</v>
      </c>
    </row>
    <row r="235" spans="1:14" x14ac:dyDescent="0.25">
      <c r="A235" s="7">
        <f t="shared" si="11"/>
        <v>6.99720087358084</v>
      </c>
      <c r="B235" s="5">
        <f t="shared" si="12"/>
        <v>5.4700000000000006</v>
      </c>
      <c r="C235" s="23"/>
      <c r="D235" t="s">
        <v>1258</v>
      </c>
      <c r="H235">
        <v>5.4700000000000006</v>
      </c>
      <c r="N235" t="str">
        <f t="shared" si="10"/>
        <v>00L0NDWUR</v>
      </c>
    </row>
    <row r="236" spans="1:14" x14ac:dyDescent="0.25">
      <c r="A236" s="7">
        <f t="shared" si="11"/>
        <v>6.99720087358084</v>
      </c>
      <c r="B236" s="5">
        <f t="shared" si="12"/>
        <v>5.4700000000000006</v>
      </c>
      <c r="C236" s="23"/>
      <c r="D236" t="s">
        <v>1254</v>
      </c>
      <c r="H236">
        <v>5.4700000000000006</v>
      </c>
      <c r="N236" t="str">
        <f t="shared" si="10"/>
        <v>00L0NDWVR</v>
      </c>
    </row>
    <row r="237" spans="1:14" x14ac:dyDescent="0.25">
      <c r="A237" s="7">
        <f t="shared" si="11"/>
        <v>8.1228931530600246</v>
      </c>
      <c r="B237" s="5">
        <f t="shared" si="12"/>
        <v>6.3500000000000005</v>
      </c>
      <c r="C237" s="23"/>
      <c r="D237" t="s">
        <v>1250</v>
      </c>
      <c r="H237">
        <v>6.3500000000000005</v>
      </c>
      <c r="N237" t="str">
        <f t="shared" si="10"/>
        <v>00L0NDWWR</v>
      </c>
    </row>
    <row r="238" spans="1:14" x14ac:dyDescent="0.25">
      <c r="A238" s="7">
        <f t="shared" si="11"/>
        <v>7.4065435206641803</v>
      </c>
      <c r="B238" s="5">
        <f t="shared" si="12"/>
        <v>5.7900000000000009</v>
      </c>
      <c r="C238" s="23"/>
      <c r="D238" t="s">
        <v>1246</v>
      </c>
      <c r="H238">
        <v>5.7900000000000009</v>
      </c>
      <c r="N238" t="str">
        <f t="shared" si="10"/>
        <v>00L0NDWXR</v>
      </c>
    </row>
    <row r="239" spans="1:14" x14ac:dyDescent="0.25">
      <c r="A239" s="7">
        <f t="shared" si="11"/>
        <v>6.99720087358084</v>
      </c>
      <c r="B239" s="5">
        <f t="shared" si="12"/>
        <v>5.4700000000000006</v>
      </c>
      <c r="C239" s="23"/>
      <c r="D239" t="s">
        <v>1241</v>
      </c>
      <c r="H239">
        <v>5.4700000000000006</v>
      </c>
      <c r="I239">
        <v>0</v>
      </c>
      <c r="N239" t="str">
        <f t="shared" si="10"/>
        <v>00L0NDWYR</v>
      </c>
    </row>
    <row r="240" spans="1:14" x14ac:dyDescent="0.25">
      <c r="A240" s="7">
        <f t="shared" si="11"/>
        <v>6.99720087358084</v>
      </c>
      <c r="B240" s="5">
        <f t="shared" si="12"/>
        <v>5.4700000000000006</v>
      </c>
      <c r="C240" s="23"/>
      <c r="D240" t="s">
        <v>1236</v>
      </c>
      <c r="H240">
        <v>5.4700000000000006</v>
      </c>
      <c r="N240" t="str">
        <f t="shared" si="10"/>
        <v>00L0NDWZR</v>
      </c>
    </row>
    <row r="241" spans="1:14" x14ac:dyDescent="0.25">
      <c r="A241" s="7">
        <f t="shared" si="11"/>
        <v>8.8392427854558697</v>
      </c>
      <c r="B241" s="5">
        <f t="shared" si="12"/>
        <v>6.910000000000001</v>
      </c>
      <c r="C241" s="23"/>
      <c r="D241" t="s">
        <v>1231</v>
      </c>
      <c r="H241">
        <v>6.910000000000001</v>
      </c>
      <c r="N241" t="str">
        <f t="shared" si="10"/>
        <v>00L0NDX0R</v>
      </c>
    </row>
    <row r="242" spans="1:14" x14ac:dyDescent="0.25">
      <c r="A242" s="7">
        <f t="shared" si="11"/>
        <v>6.1657236216928055</v>
      </c>
      <c r="B242" s="5">
        <f t="shared" si="12"/>
        <v>4.82</v>
      </c>
      <c r="C242" s="23"/>
      <c r="D242" t="s">
        <v>1227</v>
      </c>
      <c r="H242">
        <v>4.82</v>
      </c>
      <c r="N242" t="str">
        <f t="shared" si="10"/>
        <v>00L0NDX1R</v>
      </c>
    </row>
    <row r="243" spans="1:14" x14ac:dyDescent="0.25">
      <c r="A243" s="7">
        <f t="shared" si="11"/>
        <v>6.5878582264974996</v>
      </c>
      <c r="B243" s="5">
        <f t="shared" si="12"/>
        <v>5.15</v>
      </c>
      <c r="C243" s="23"/>
      <c r="D243" t="s">
        <v>1210</v>
      </c>
      <c r="H243">
        <v>5.15</v>
      </c>
      <c r="N243" t="str">
        <f t="shared" si="10"/>
        <v>00L0NDX2R</v>
      </c>
    </row>
    <row r="244" spans="1:14" x14ac:dyDescent="0.25">
      <c r="A244" s="7">
        <f t="shared" si="11"/>
        <v>6.99720087358084</v>
      </c>
      <c r="B244" s="5">
        <f t="shared" si="12"/>
        <v>5.4700000000000006</v>
      </c>
      <c r="C244" s="23"/>
      <c r="D244" t="s">
        <v>1205</v>
      </c>
      <c r="H244">
        <v>5.4700000000000006</v>
      </c>
      <c r="N244" t="str">
        <f t="shared" si="10"/>
        <v>00L0NDX3R</v>
      </c>
    </row>
    <row r="245" spans="1:14" x14ac:dyDescent="0.25">
      <c r="A245" s="7">
        <f t="shared" si="11"/>
        <v>6.5878582264974996</v>
      </c>
      <c r="B245" s="5">
        <f t="shared" si="12"/>
        <v>5.15</v>
      </c>
      <c r="C245" s="23"/>
      <c r="D245" t="s">
        <v>1200</v>
      </c>
      <c r="H245">
        <v>5.15</v>
      </c>
      <c r="N245" t="str">
        <f t="shared" si="10"/>
        <v>00L0NDX4R</v>
      </c>
    </row>
    <row r="246" spans="1:14" x14ac:dyDescent="0.25">
      <c r="A246" s="7">
        <f t="shared" si="11"/>
        <v>6.99720087358084</v>
      </c>
      <c r="B246" s="5">
        <f t="shared" si="12"/>
        <v>5.4700000000000006</v>
      </c>
      <c r="C246" s="23"/>
      <c r="D246" t="s">
        <v>1373</v>
      </c>
      <c r="H246">
        <v>5.4700000000000006</v>
      </c>
      <c r="N246" t="str">
        <f t="shared" si="10"/>
        <v>00L0NDX5R</v>
      </c>
    </row>
    <row r="247" spans="1:14" x14ac:dyDescent="0.25">
      <c r="A247" s="7">
        <f t="shared" si="11"/>
        <v>6.99720087358084</v>
      </c>
      <c r="B247" s="5">
        <f t="shared" si="12"/>
        <v>5.4700000000000006</v>
      </c>
      <c r="C247" s="23"/>
      <c r="D247" t="s">
        <v>1368</v>
      </c>
      <c r="H247">
        <v>5.4700000000000006</v>
      </c>
      <c r="N247" t="str">
        <f t="shared" si="10"/>
        <v>00L0NDX6R</v>
      </c>
    </row>
    <row r="248" spans="1:14" x14ac:dyDescent="0.25">
      <c r="A248" s="7">
        <f t="shared" si="11"/>
        <v>6.99720087358084</v>
      </c>
      <c r="B248" s="5">
        <f t="shared" si="12"/>
        <v>5.4700000000000006</v>
      </c>
      <c r="C248" s="23"/>
      <c r="D248" t="s">
        <v>1363</v>
      </c>
      <c r="H248">
        <v>5.4700000000000006</v>
      </c>
      <c r="N248" t="str">
        <f t="shared" si="10"/>
        <v>00L0NDX7R</v>
      </c>
    </row>
    <row r="249" spans="1:14" x14ac:dyDescent="0.25">
      <c r="A249" s="7">
        <f t="shared" si="11"/>
        <v>7.4065435206641803</v>
      </c>
      <c r="B249" s="5">
        <f t="shared" si="12"/>
        <v>5.7900000000000009</v>
      </c>
      <c r="C249" s="23"/>
      <c r="D249" t="s">
        <v>1532</v>
      </c>
      <c r="H249">
        <v>5.7900000000000009</v>
      </c>
      <c r="N249" t="str">
        <f t="shared" si="10"/>
        <v>00L0NDX8R</v>
      </c>
    </row>
    <row r="250" spans="1:14" x14ac:dyDescent="0.25">
      <c r="A250" s="7">
        <f t="shared" si="11"/>
        <v>6.1657236216928055</v>
      </c>
      <c r="B250" s="5">
        <f t="shared" si="12"/>
        <v>4.82</v>
      </c>
      <c r="C250" s="23"/>
      <c r="D250" t="s">
        <v>1527</v>
      </c>
      <c r="H250">
        <v>4.82</v>
      </c>
      <c r="N250" t="str">
        <f t="shared" si="10"/>
        <v>00L0NDX9R</v>
      </c>
    </row>
    <row r="251" spans="1:14" x14ac:dyDescent="0.25">
      <c r="A251" s="7">
        <f t="shared" si="11"/>
        <v>6.99720087358084</v>
      </c>
      <c r="B251" s="5">
        <f t="shared" si="12"/>
        <v>5.4700000000000006</v>
      </c>
      <c r="C251" s="23"/>
      <c r="D251" t="s">
        <v>1536</v>
      </c>
      <c r="H251">
        <v>5.4700000000000006</v>
      </c>
      <c r="I251">
        <v>0</v>
      </c>
      <c r="N251" t="str">
        <f t="shared" si="10"/>
        <v>00L0NDXAR</v>
      </c>
    </row>
    <row r="252" spans="1:14" x14ac:dyDescent="0.25">
      <c r="A252" s="7">
        <f t="shared" si="11"/>
        <v>6.1657236216928055</v>
      </c>
      <c r="B252" s="5">
        <f t="shared" si="12"/>
        <v>4.82</v>
      </c>
      <c r="C252" s="23"/>
      <c r="D252" t="s">
        <v>1540</v>
      </c>
      <c r="H252">
        <v>4.82</v>
      </c>
      <c r="N252" t="str">
        <f t="shared" si="10"/>
        <v>00L0NDXBR</v>
      </c>
    </row>
    <row r="253" spans="1:14" x14ac:dyDescent="0.25">
      <c r="A253" s="7">
        <f t="shared" si="11"/>
        <v>6.1657236216928055</v>
      </c>
      <c r="B253" s="5">
        <f t="shared" si="12"/>
        <v>4.82</v>
      </c>
      <c r="C253" s="23"/>
      <c r="D253" t="s">
        <v>1545</v>
      </c>
      <c r="H253">
        <v>4.82</v>
      </c>
      <c r="N253" t="str">
        <f t="shared" si="10"/>
        <v>00L0NDXCR</v>
      </c>
    </row>
    <row r="254" spans="1:14" x14ac:dyDescent="0.25">
      <c r="A254" s="7">
        <f t="shared" si="11"/>
        <v>6.99720087358084</v>
      </c>
      <c r="B254" s="5">
        <f t="shared" si="12"/>
        <v>5.4700000000000006</v>
      </c>
      <c r="C254" s="23"/>
      <c r="D254" t="s">
        <v>1549</v>
      </c>
      <c r="H254">
        <v>5.4700000000000006</v>
      </c>
      <c r="N254" t="str">
        <f t="shared" si="10"/>
        <v>00L0NDXDR</v>
      </c>
    </row>
    <row r="255" spans="1:14" x14ac:dyDescent="0.25">
      <c r="A255" s="7">
        <f t="shared" si="11"/>
        <v>6.5878582264974996</v>
      </c>
      <c r="B255" s="5">
        <f t="shared" si="12"/>
        <v>5.15</v>
      </c>
      <c r="C255" s="23"/>
      <c r="D255" t="s">
        <v>1554</v>
      </c>
      <c r="H255">
        <v>5.15</v>
      </c>
      <c r="N255" t="str">
        <f t="shared" si="10"/>
        <v>00L0NDXER</v>
      </c>
    </row>
    <row r="256" spans="1:14" x14ac:dyDescent="0.25">
      <c r="A256" s="7">
        <f t="shared" si="11"/>
        <v>6.99720087358084</v>
      </c>
      <c r="B256" s="5">
        <f t="shared" si="12"/>
        <v>5.4700000000000006</v>
      </c>
      <c r="C256" s="23"/>
      <c r="D256" t="s">
        <v>1558</v>
      </c>
      <c r="H256">
        <v>5.4700000000000006</v>
      </c>
      <c r="I256">
        <v>0</v>
      </c>
      <c r="N256" t="str">
        <f t="shared" si="10"/>
        <v>00L0NDXFR</v>
      </c>
    </row>
    <row r="257" spans="1:14" x14ac:dyDescent="0.25">
      <c r="A257" s="7">
        <f t="shared" si="11"/>
        <v>6.99720087358084</v>
      </c>
      <c r="B257" s="5">
        <f t="shared" si="12"/>
        <v>5.4700000000000006</v>
      </c>
      <c r="C257" s="23"/>
      <c r="D257" t="s">
        <v>1562</v>
      </c>
      <c r="H257">
        <v>5.4700000000000006</v>
      </c>
      <c r="N257" t="str">
        <f t="shared" si="10"/>
        <v>00L0NDXGR</v>
      </c>
    </row>
    <row r="258" spans="1:14" x14ac:dyDescent="0.25">
      <c r="A258" s="7">
        <f t="shared" si="11"/>
        <v>6.99720087358084</v>
      </c>
      <c r="B258" s="5">
        <f t="shared" si="12"/>
        <v>5.4700000000000006</v>
      </c>
      <c r="C258" s="23"/>
      <c r="D258" t="s">
        <v>1567</v>
      </c>
      <c r="H258">
        <v>5.4700000000000006</v>
      </c>
      <c r="N258" t="str">
        <f t="shared" si="10"/>
        <v>00L0NDXHR</v>
      </c>
    </row>
    <row r="259" spans="1:14" x14ac:dyDescent="0.25">
      <c r="A259" s="7">
        <f t="shared" si="11"/>
        <v>7.4065435206641803</v>
      </c>
      <c r="B259" s="5">
        <f t="shared" si="12"/>
        <v>5.7900000000000009</v>
      </c>
      <c r="C259" s="23"/>
      <c r="D259" t="s">
        <v>1572</v>
      </c>
      <c r="H259">
        <v>5.7900000000000009</v>
      </c>
      <c r="N259" t="str">
        <f t="shared" si="10"/>
        <v>00L0NDXIR</v>
      </c>
    </row>
    <row r="260" spans="1:14" x14ac:dyDescent="0.25">
      <c r="A260" s="7">
        <f t="shared" si="11"/>
        <v>6.1657236216928055</v>
      </c>
      <c r="B260" s="5">
        <f t="shared" si="12"/>
        <v>4.82</v>
      </c>
      <c r="C260" s="23"/>
      <c r="D260" t="s">
        <v>1577</v>
      </c>
      <c r="H260">
        <v>4.82</v>
      </c>
      <c r="N260" t="str">
        <f t="shared" si="10"/>
        <v>00L0NDXJR</v>
      </c>
    </row>
    <row r="261" spans="1:14" x14ac:dyDescent="0.25">
      <c r="A261" s="7">
        <f t="shared" si="11"/>
        <v>9.60676024873713</v>
      </c>
      <c r="B261" s="5">
        <f t="shared" si="12"/>
        <v>7.51</v>
      </c>
      <c r="C261" s="23"/>
      <c r="D261" t="s">
        <v>1581</v>
      </c>
      <c r="E261">
        <v>2.36</v>
      </c>
      <c r="H261">
        <v>5.15</v>
      </c>
      <c r="I261">
        <v>0</v>
      </c>
      <c r="N261" t="str">
        <f t="shared" ref="N261:N324" si="13">D261&amp;"R"</f>
        <v>00L0NDXKR</v>
      </c>
    </row>
    <row r="262" spans="1:14" x14ac:dyDescent="0.25">
      <c r="A262" s="7">
        <f t="shared" ref="A262:A325" si="14">B262*(1+$R$2)</f>
        <v>6.99720087358084</v>
      </c>
      <c r="B262" s="5">
        <f t="shared" ref="B262:B325" si="15">SUM(E262:L262)</f>
        <v>5.4700000000000006</v>
      </c>
      <c r="C262" s="23"/>
      <c r="D262" t="s">
        <v>1585</v>
      </c>
      <c r="H262">
        <v>5.4700000000000006</v>
      </c>
      <c r="N262" t="str">
        <f t="shared" si="13"/>
        <v>00L0NDXLR</v>
      </c>
    </row>
    <row r="263" spans="1:14" x14ac:dyDescent="0.25">
      <c r="A263" s="7">
        <f t="shared" si="14"/>
        <v>6.99720087358084</v>
      </c>
      <c r="B263" s="5">
        <f t="shared" si="15"/>
        <v>5.4700000000000006</v>
      </c>
      <c r="C263" s="23"/>
      <c r="D263" t="s">
        <v>1589</v>
      </c>
      <c r="H263">
        <v>5.4700000000000006</v>
      </c>
      <c r="N263" t="str">
        <f t="shared" si="13"/>
        <v>00L0NDXMR</v>
      </c>
    </row>
    <row r="264" spans="1:14" x14ac:dyDescent="0.25">
      <c r="A264" s="7">
        <f t="shared" si="14"/>
        <v>6.1657236216928055</v>
      </c>
      <c r="B264" s="5">
        <f t="shared" si="15"/>
        <v>4.82</v>
      </c>
      <c r="C264" s="23"/>
      <c r="D264" t="s">
        <v>1594</v>
      </c>
      <c r="H264">
        <v>4.82</v>
      </c>
      <c r="N264" t="str">
        <f t="shared" si="13"/>
        <v>00L0NDXNR</v>
      </c>
    </row>
    <row r="265" spans="1:14" x14ac:dyDescent="0.25">
      <c r="A265" s="7">
        <f t="shared" si="14"/>
        <v>10.271942050247558</v>
      </c>
      <c r="B265" s="5">
        <f t="shared" si="15"/>
        <v>8.0300000000000011</v>
      </c>
      <c r="C265" s="23"/>
      <c r="D265" t="s">
        <v>1598</v>
      </c>
      <c r="H265">
        <v>8.0300000000000011</v>
      </c>
      <c r="N265" t="str">
        <f t="shared" si="13"/>
        <v>00L0NDXOR</v>
      </c>
    </row>
    <row r="266" spans="1:14" x14ac:dyDescent="0.25">
      <c r="A266" s="7">
        <f t="shared" si="14"/>
        <v>6.5878582264974996</v>
      </c>
      <c r="B266" s="5">
        <f t="shared" si="15"/>
        <v>5.15</v>
      </c>
      <c r="C266" s="23"/>
      <c r="D266" t="s">
        <v>1603</v>
      </c>
      <c r="H266">
        <v>5.15</v>
      </c>
      <c r="N266" t="str">
        <f t="shared" si="13"/>
        <v>00L0NDXPR</v>
      </c>
    </row>
    <row r="267" spans="1:14" x14ac:dyDescent="0.25">
      <c r="A267" s="7">
        <f t="shared" si="14"/>
        <v>6.99720087358084</v>
      </c>
      <c r="B267" s="5">
        <f t="shared" si="15"/>
        <v>5.4700000000000006</v>
      </c>
      <c r="C267" s="23"/>
      <c r="D267" t="s">
        <v>1608</v>
      </c>
      <c r="H267">
        <v>5.4700000000000006</v>
      </c>
      <c r="N267" t="str">
        <f t="shared" si="13"/>
        <v>00L0NDXQR</v>
      </c>
    </row>
    <row r="268" spans="1:14" x14ac:dyDescent="0.25">
      <c r="A268" s="7">
        <f t="shared" si="14"/>
        <v>6.99720087358084</v>
      </c>
      <c r="B268" s="5">
        <f t="shared" si="15"/>
        <v>5.4700000000000006</v>
      </c>
      <c r="C268" s="23"/>
      <c r="D268" t="s">
        <v>1613</v>
      </c>
      <c r="H268">
        <v>5.4700000000000006</v>
      </c>
      <c r="N268" t="str">
        <f t="shared" si="13"/>
        <v>00L0NDXRR</v>
      </c>
    </row>
    <row r="269" spans="1:14" x14ac:dyDescent="0.25">
      <c r="A269" s="7">
        <f t="shared" si="14"/>
        <v>6.5878582264974996</v>
      </c>
      <c r="B269" s="5">
        <f t="shared" si="15"/>
        <v>5.15</v>
      </c>
      <c r="C269" s="23"/>
      <c r="D269" t="s">
        <v>1617</v>
      </c>
      <c r="H269">
        <v>5.15</v>
      </c>
      <c r="N269" t="str">
        <f t="shared" si="13"/>
        <v>00L0NDXSR</v>
      </c>
    </row>
    <row r="270" spans="1:14" x14ac:dyDescent="0.25">
      <c r="A270" s="7">
        <f t="shared" si="14"/>
        <v>6.5878582264974996</v>
      </c>
      <c r="B270" s="5">
        <f t="shared" si="15"/>
        <v>5.15</v>
      </c>
      <c r="C270" s="23"/>
      <c r="D270" t="s">
        <v>1621</v>
      </c>
      <c r="H270">
        <v>5.15</v>
      </c>
      <c r="N270" t="str">
        <f t="shared" si="13"/>
        <v>00L0NDXTR</v>
      </c>
    </row>
    <row r="271" spans="1:14" x14ac:dyDescent="0.25">
      <c r="A271" s="7">
        <f t="shared" si="14"/>
        <v>6.5878582264974996</v>
      </c>
      <c r="B271" s="5">
        <f t="shared" si="15"/>
        <v>5.15</v>
      </c>
      <c r="C271" s="23"/>
      <c r="D271" t="s">
        <v>1626</v>
      </c>
      <c r="H271">
        <v>5.15</v>
      </c>
      <c r="N271" t="str">
        <f t="shared" si="13"/>
        <v>00L0NDXUR</v>
      </c>
    </row>
    <row r="272" spans="1:14" x14ac:dyDescent="0.25">
      <c r="A272" s="7">
        <f t="shared" si="14"/>
        <v>6.99720087358084</v>
      </c>
      <c r="B272" s="5">
        <f t="shared" si="15"/>
        <v>5.4700000000000006</v>
      </c>
      <c r="C272" s="23"/>
      <c r="D272" t="s">
        <v>1630</v>
      </c>
      <c r="H272">
        <v>5.4700000000000006</v>
      </c>
      <c r="N272" t="str">
        <f t="shared" si="13"/>
        <v>00L0NDXVR</v>
      </c>
    </row>
    <row r="273" spans="1:14" x14ac:dyDescent="0.25">
      <c r="A273" s="7">
        <f t="shared" si="14"/>
        <v>6.99720087358084</v>
      </c>
      <c r="B273" s="5">
        <f t="shared" si="15"/>
        <v>5.4700000000000006</v>
      </c>
      <c r="C273" s="23"/>
      <c r="D273" t="s">
        <v>1635</v>
      </c>
      <c r="H273">
        <v>5.4700000000000006</v>
      </c>
      <c r="I273">
        <v>0</v>
      </c>
      <c r="N273" t="str">
        <f t="shared" si="13"/>
        <v>00L0NDXWR</v>
      </c>
    </row>
    <row r="274" spans="1:14" x14ac:dyDescent="0.25">
      <c r="A274" s="7">
        <f t="shared" si="14"/>
        <v>6.1657236216928055</v>
      </c>
      <c r="B274" s="5">
        <f t="shared" si="15"/>
        <v>4.82</v>
      </c>
      <c r="C274" s="23"/>
      <c r="D274" t="s">
        <v>1420</v>
      </c>
      <c r="H274">
        <v>4.82</v>
      </c>
      <c r="N274" t="str">
        <f t="shared" si="13"/>
        <v>00L0NDXXR</v>
      </c>
    </row>
    <row r="275" spans="1:14" x14ac:dyDescent="0.25">
      <c r="A275" s="7">
        <f t="shared" si="14"/>
        <v>6.5878582264974996</v>
      </c>
      <c r="B275" s="5">
        <f t="shared" si="15"/>
        <v>5.15</v>
      </c>
      <c r="C275" s="23"/>
      <c r="D275" t="s">
        <v>1425</v>
      </c>
      <c r="H275">
        <v>5.15</v>
      </c>
      <c r="N275" t="str">
        <f t="shared" si="13"/>
        <v>00L0NDXYR</v>
      </c>
    </row>
    <row r="276" spans="1:14" x14ac:dyDescent="0.25">
      <c r="A276" s="7">
        <f t="shared" si="14"/>
        <v>6.99720087358084</v>
      </c>
      <c r="B276" s="5">
        <f t="shared" si="15"/>
        <v>5.4700000000000006</v>
      </c>
      <c r="C276" s="23"/>
      <c r="D276" t="s">
        <v>1429</v>
      </c>
      <c r="H276">
        <v>5.4700000000000006</v>
      </c>
      <c r="N276" t="str">
        <f t="shared" si="13"/>
        <v>00L0NDXZR</v>
      </c>
    </row>
    <row r="277" spans="1:14" x14ac:dyDescent="0.25">
      <c r="A277" s="7">
        <f t="shared" si="14"/>
        <v>6.5878582264974996</v>
      </c>
      <c r="B277" s="5">
        <f t="shared" si="15"/>
        <v>5.15</v>
      </c>
      <c r="C277" s="23"/>
      <c r="D277" t="s">
        <v>1434</v>
      </c>
      <c r="H277">
        <v>5.15</v>
      </c>
      <c r="N277" t="str">
        <f t="shared" si="13"/>
        <v>00L0NDY0R</v>
      </c>
    </row>
    <row r="278" spans="1:14" x14ac:dyDescent="0.25">
      <c r="A278" s="7">
        <f t="shared" si="14"/>
        <v>8.1228931530600246</v>
      </c>
      <c r="B278" s="5">
        <f t="shared" si="15"/>
        <v>6.3500000000000005</v>
      </c>
      <c r="C278" s="23"/>
      <c r="D278" t="s">
        <v>1438</v>
      </c>
      <c r="H278">
        <v>6.3500000000000005</v>
      </c>
      <c r="N278" t="str">
        <f t="shared" si="13"/>
        <v>00L0NDY1R</v>
      </c>
    </row>
    <row r="279" spans="1:14" x14ac:dyDescent="0.25">
      <c r="A279" s="7">
        <f t="shared" si="14"/>
        <v>6.5878582264974996</v>
      </c>
      <c r="B279" s="5">
        <f t="shared" si="15"/>
        <v>5.15</v>
      </c>
      <c r="C279" s="23"/>
      <c r="D279" t="s">
        <v>1443</v>
      </c>
      <c r="H279">
        <v>5.15</v>
      </c>
      <c r="N279" t="str">
        <f t="shared" si="13"/>
        <v>00L0NDY2R</v>
      </c>
    </row>
    <row r="280" spans="1:14" x14ac:dyDescent="0.25">
      <c r="A280" s="7">
        <f t="shared" si="14"/>
        <v>6.1657236216928055</v>
      </c>
      <c r="B280" s="5">
        <f t="shared" si="15"/>
        <v>4.82</v>
      </c>
      <c r="C280" s="23"/>
      <c r="D280" t="s">
        <v>1447</v>
      </c>
      <c r="H280">
        <v>4.82</v>
      </c>
      <c r="N280" t="str">
        <f t="shared" si="13"/>
        <v>00L0NDY3R</v>
      </c>
    </row>
    <row r="281" spans="1:14" x14ac:dyDescent="0.25">
      <c r="A281" s="7">
        <f t="shared" si="14"/>
        <v>6.5878582264974996</v>
      </c>
      <c r="B281" s="5">
        <f t="shared" si="15"/>
        <v>5.15</v>
      </c>
      <c r="C281" s="23"/>
      <c r="D281" t="s">
        <v>1451</v>
      </c>
      <c r="H281">
        <v>5.15</v>
      </c>
      <c r="N281" t="str">
        <f t="shared" si="13"/>
        <v>00L0NDY4R</v>
      </c>
    </row>
    <row r="282" spans="1:14" x14ac:dyDescent="0.25">
      <c r="A282" s="7">
        <f t="shared" si="14"/>
        <v>7.4065435206641803</v>
      </c>
      <c r="B282" s="5">
        <f t="shared" si="15"/>
        <v>5.7900000000000009</v>
      </c>
      <c r="C282" s="23"/>
      <c r="D282" t="s">
        <v>1456</v>
      </c>
      <c r="H282">
        <v>5.7900000000000009</v>
      </c>
      <c r="N282" t="str">
        <f t="shared" si="13"/>
        <v>00L0NDY5R</v>
      </c>
    </row>
    <row r="283" spans="1:14" x14ac:dyDescent="0.25">
      <c r="A283" s="7">
        <f t="shared" si="14"/>
        <v>7.4065435206641803</v>
      </c>
      <c r="B283" s="5">
        <f t="shared" si="15"/>
        <v>5.7900000000000009</v>
      </c>
      <c r="C283" s="23"/>
      <c r="D283" t="s">
        <v>1461</v>
      </c>
      <c r="H283">
        <v>5.7900000000000009</v>
      </c>
      <c r="N283" t="str">
        <f t="shared" si="13"/>
        <v>00L0NDY6R</v>
      </c>
    </row>
    <row r="284" spans="1:14" x14ac:dyDescent="0.25">
      <c r="A284" s="7">
        <f t="shared" si="14"/>
        <v>6.99720087358084</v>
      </c>
      <c r="B284" s="5">
        <f t="shared" si="15"/>
        <v>5.4700000000000006</v>
      </c>
      <c r="C284" s="23"/>
      <c r="D284" t="s">
        <v>1466</v>
      </c>
      <c r="H284">
        <v>5.4700000000000006</v>
      </c>
      <c r="N284" t="str">
        <f t="shared" si="13"/>
        <v>00L0NDY7R</v>
      </c>
    </row>
    <row r="285" spans="1:14" x14ac:dyDescent="0.25">
      <c r="A285" s="7">
        <f t="shared" si="14"/>
        <v>6.99720087358084</v>
      </c>
      <c r="B285" s="5">
        <f t="shared" si="15"/>
        <v>5.4700000000000006</v>
      </c>
      <c r="C285" s="23"/>
      <c r="D285" t="s">
        <v>1470</v>
      </c>
      <c r="H285">
        <v>5.4700000000000006</v>
      </c>
      <c r="N285" t="str">
        <f t="shared" si="13"/>
        <v>00L0NDY8R</v>
      </c>
    </row>
    <row r="286" spans="1:14" x14ac:dyDescent="0.25">
      <c r="A286" s="7">
        <f t="shared" si="14"/>
        <v>9.184625643932435</v>
      </c>
      <c r="B286" s="5">
        <f t="shared" si="15"/>
        <v>7.18</v>
      </c>
      <c r="C286" s="23"/>
      <c r="D286" t="s">
        <v>1475</v>
      </c>
      <c r="E286">
        <v>2.36</v>
      </c>
      <c r="H286">
        <v>4.82</v>
      </c>
      <c r="I286">
        <v>0</v>
      </c>
      <c r="N286" t="str">
        <f t="shared" si="13"/>
        <v>00L0NDY9R</v>
      </c>
    </row>
    <row r="287" spans="1:14" x14ac:dyDescent="0.25">
      <c r="A287" s="7">
        <f t="shared" si="14"/>
        <v>6.1657236216928055</v>
      </c>
      <c r="B287" s="5">
        <f t="shared" si="15"/>
        <v>4.82</v>
      </c>
      <c r="C287" s="23"/>
      <c r="D287" t="s">
        <v>1479</v>
      </c>
      <c r="H287">
        <v>4.82</v>
      </c>
      <c r="N287" t="str">
        <f t="shared" si="13"/>
        <v>00L0NDYAR</v>
      </c>
    </row>
    <row r="288" spans="1:14" x14ac:dyDescent="0.25">
      <c r="A288" s="7">
        <f t="shared" si="14"/>
        <v>7.4065435206641803</v>
      </c>
      <c r="B288" s="5">
        <f t="shared" si="15"/>
        <v>5.7900000000000009</v>
      </c>
      <c r="C288" s="23"/>
      <c r="D288" t="s">
        <v>1484</v>
      </c>
      <c r="H288">
        <v>5.7900000000000009</v>
      </c>
      <c r="N288" t="str">
        <f t="shared" si="13"/>
        <v>00L0NDYBR</v>
      </c>
    </row>
    <row r="289" spans="1:14" x14ac:dyDescent="0.25">
      <c r="A289" s="7">
        <f t="shared" si="14"/>
        <v>7.4065435206641803</v>
      </c>
      <c r="B289" s="5">
        <f t="shared" si="15"/>
        <v>5.7900000000000009</v>
      </c>
      <c r="C289" s="23"/>
      <c r="D289" t="s">
        <v>1488</v>
      </c>
      <c r="H289">
        <v>5.7900000000000009</v>
      </c>
      <c r="N289" t="str">
        <f t="shared" si="13"/>
        <v>00L0NDYCR</v>
      </c>
    </row>
    <row r="290" spans="1:14" x14ac:dyDescent="0.25">
      <c r="A290" s="7">
        <f t="shared" si="14"/>
        <v>6.5878582264974996</v>
      </c>
      <c r="B290" s="5">
        <f t="shared" si="15"/>
        <v>5.15</v>
      </c>
      <c r="C290" s="23"/>
      <c r="D290" t="s">
        <v>1492</v>
      </c>
      <c r="H290">
        <v>5.15</v>
      </c>
      <c r="N290" t="str">
        <f t="shared" si="13"/>
        <v>00L0NDYDR</v>
      </c>
    </row>
    <row r="291" spans="1:14" x14ac:dyDescent="0.25">
      <c r="A291" s="7">
        <f t="shared" si="14"/>
        <v>7.4065435206641803</v>
      </c>
      <c r="B291" s="5">
        <f t="shared" si="15"/>
        <v>5.7900000000000009</v>
      </c>
      <c r="C291" s="23"/>
      <c r="D291" t="s">
        <v>1496</v>
      </c>
      <c r="H291">
        <v>5.7900000000000009</v>
      </c>
      <c r="N291" t="str">
        <f t="shared" si="13"/>
        <v>00L0NDYER</v>
      </c>
    </row>
    <row r="292" spans="1:14" x14ac:dyDescent="0.25">
      <c r="A292" s="7">
        <f t="shared" si="14"/>
        <v>6.5878582264974996</v>
      </c>
      <c r="B292" s="5">
        <f t="shared" si="15"/>
        <v>5.15</v>
      </c>
      <c r="C292" s="23"/>
      <c r="D292" t="s">
        <v>1500</v>
      </c>
      <c r="H292">
        <v>5.15</v>
      </c>
      <c r="N292" t="str">
        <f t="shared" si="13"/>
        <v>00L0NDYFR</v>
      </c>
    </row>
    <row r="293" spans="1:14" x14ac:dyDescent="0.25">
      <c r="A293" s="7">
        <f t="shared" si="14"/>
        <v>7.4065435206641803</v>
      </c>
      <c r="B293" s="5">
        <f t="shared" si="15"/>
        <v>5.7900000000000009</v>
      </c>
      <c r="C293" s="23"/>
      <c r="D293" t="s">
        <v>1504</v>
      </c>
      <c r="H293">
        <v>5.7900000000000009</v>
      </c>
      <c r="N293" t="str">
        <f t="shared" si="13"/>
        <v>00L0NDYGR</v>
      </c>
    </row>
    <row r="294" spans="1:14" x14ac:dyDescent="0.25">
      <c r="A294" s="7">
        <f t="shared" si="14"/>
        <v>6.5878582264974996</v>
      </c>
      <c r="B294" s="5">
        <f t="shared" si="15"/>
        <v>5.15</v>
      </c>
      <c r="C294" s="23"/>
      <c r="D294" t="s">
        <v>1509</v>
      </c>
      <c r="H294">
        <v>5.15</v>
      </c>
      <c r="N294" t="str">
        <f t="shared" si="13"/>
        <v>00L0NDYHR</v>
      </c>
    </row>
    <row r="295" spans="1:14" x14ac:dyDescent="0.25">
      <c r="A295" s="7">
        <f t="shared" si="14"/>
        <v>6.99720087358084</v>
      </c>
      <c r="B295" s="5">
        <f t="shared" si="15"/>
        <v>5.4700000000000006</v>
      </c>
      <c r="C295" s="23"/>
      <c r="D295" t="s">
        <v>1514</v>
      </c>
      <c r="H295">
        <v>5.4700000000000006</v>
      </c>
      <c r="N295" t="str">
        <f t="shared" si="13"/>
        <v>00L0NDYIR</v>
      </c>
    </row>
    <row r="296" spans="1:14" x14ac:dyDescent="0.25">
      <c r="A296" s="7">
        <f t="shared" si="14"/>
        <v>7.4065435206641803</v>
      </c>
      <c r="B296" s="5">
        <f t="shared" si="15"/>
        <v>5.7900000000000009</v>
      </c>
      <c r="C296" s="23"/>
      <c r="D296" t="s">
        <v>1518</v>
      </c>
      <c r="H296">
        <v>5.7900000000000009</v>
      </c>
      <c r="N296" t="str">
        <f t="shared" si="13"/>
        <v>00L0NDYJR</v>
      </c>
    </row>
    <row r="297" spans="1:14" x14ac:dyDescent="0.25">
      <c r="A297" s="7">
        <f t="shared" si="14"/>
        <v>10.01610289582047</v>
      </c>
      <c r="B297" s="5">
        <f t="shared" si="15"/>
        <v>7.83</v>
      </c>
      <c r="C297" s="23"/>
      <c r="D297" t="s">
        <v>1523</v>
      </c>
      <c r="E297">
        <v>2.36</v>
      </c>
      <c r="H297">
        <v>5.4700000000000006</v>
      </c>
      <c r="I297">
        <v>0</v>
      </c>
      <c r="N297" t="str">
        <f t="shared" si="13"/>
        <v>00L0NDYKR</v>
      </c>
    </row>
    <row r="298" spans="1:14" x14ac:dyDescent="0.25">
      <c r="A298" s="7">
        <f t="shared" si="14"/>
        <v>6.99720087358084</v>
      </c>
      <c r="B298" s="5">
        <f t="shared" si="15"/>
        <v>5.4700000000000006</v>
      </c>
      <c r="C298" s="23"/>
      <c r="D298" t="s">
        <v>1664</v>
      </c>
      <c r="H298">
        <v>5.4700000000000006</v>
      </c>
      <c r="N298" t="str">
        <f t="shared" si="13"/>
        <v>00L0NDYLR</v>
      </c>
    </row>
    <row r="299" spans="1:14" x14ac:dyDescent="0.25">
      <c r="A299" s="7">
        <f t="shared" si="14"/>
        <v>6.99720087358084</v>
      </c>
      <c r="B299" s="5">
        <f t="shared" si="15"/>
        <v>5.4700000000000006</v>
      </c>
      <c r="C299" s="23"/>
      <c r="D299" t="s">
        <v>1778</v>
      </c>
      <c r="H299">
        <v>5.4700000000000006</v>
      </c>
      <c r="N299" t="str">
        <f t="shared" si="13"/>
        <v>00L0NDYMR</v>
      </c>
    </row>
    <row r="300" spans="1:14" x14ac:dyDescent="0.25">
      <c r="A300" s="7">
        <f t="shared" si="14"/>
        <v>7.4065435206641803</v>
      </c>
      <c r="B300" s="5">
        <f t="shared" si="15"/>
        <v>5.7900000000000009</v>
      </c>
      <c r="C300" s="23"/>
      <c r="D300" t="s">
        <v>1740</v>
      </c>
      <c r="H300">
        <v>5.7900000000000009</v>
      </c>
      <c r="N300" t="str">
        <f t="shared" si="13"/>
        <v>00L0NDYNR</v>
      </c>
    </row>
    <row r="301" spans="1:14" x14ac:dyDescent="0.25">
      <c r="A301" s="7">
        <f t="shared" si="14"/>
        <v>6.99720087358084</v>
      </c>
      <c r="B301" s="5">
        <f t="shared" si="15"/>
        <v>5.4700000000000006</v>
      </c>
      <c r="C301" s="23"/>
      <c r="D301" t="s">
        <v>1773</v>
      </c>
      <c r="H301">
        <v>5.4700000000000006</v>
      </c>
      <c r="N301" t="str">
        <f t="shared" si="13"/>
        <v>00L0NDYOR</v>
      </c>
    </row>
    <row r="302" spans="1:14" x14ac:dyDescent="0.25">
      <c r="A302" s="7">
        <f t="shared" si="14"/>
        <v>6.99720087358084</v>
      </c>
      <c r="B302" s="5">
        <f t="shared" si="15"/>
        <v>5.4700000000000006</v>
      </c>
      <c r="C302" s="23"/>
      <c r="D302" t="s">
        <v>1768</v>
      </c>
      <c r="H302">
        <v>5.4700000000000006</v>
      </c>
      <c r="N302" t="str">
        <f t="shared" si="13"/>
        <v>00L0NDYPR</v>
      </c>
    </row>
    <row r="303" spans="1:14" x14ac:dyDescent="0.25">
      <c r="A303" s="7">
        <f t="shared" si="14"/>
        <v>6.99720087358084</v>
      </c>
      <c r="B303" s="5">
        <f t="shared" si="15"/>
        <v>5.4700000000000006</v>
      </c>
      <c r="C303" s="23"/>
      <c r="D303" t="s">
        <v>1763</v>
      </c>
      <c r="H303">
        <v>5.4700000000000006</v>
      </c>
      <c r="N303" t="str">
        <f t="shared" si="13"/>
        <v>00L0NDYQR</v>
      </c>
    </row>
    <row r="304" spans="1:14" x14ac:dyDescent="0.25">
      <c r="A304" s="7">
        <f t="shared" si="14"/>
        <v>7.4065435206641803</v>
      </c>
      <c r="B304" s="5">
        <f t="shared" si="15"/>
        <v>5.7900000000000009</v>
      </c>
      <c r="C304" s="23"/>
      <c r="D304" t="s">
        <v>1735</v>
      </c>
      <c r="H304">
        <v>5.7900000000000009</v>
      </c>
      <c r="N304" t="str">
        <f t="shared" si="13"/>
        <v>00L0NDYRR</v>
      </c>
    </row>
    <row r="305" spans="1:14" x14ac:dyDescent="0.25">
      <c r="A305" s="7">
        <f t="shared" si="14"/>
        <v>6.5878582264974996</v>
      </c>
      <c r="B305" s="5">
        <f t="shared" si="15"/>
        <v>5.15</v>
      </c>
      <c r="C305" s="23"/>
      <c r="D305" t="s">
        <v>1689</v>
      </c>
      <c r="H305">
        <v>5.15</v>
      </c>
      <c r="N305" t="str">
        <f t="shared" si="13"/>
        <v>00L0NDYSR</v>
      </c>
    </row>
    <row r="306" spans="1:14" x14ac:dyDescent="0.25">
      <c r="A306" s="7">
        <f t="shared" si="14"/>
        <v>6.1657236216928055</v>
      </c>
      <c r="B306" s="5">
        <f t="shared" si="15"/>
        <v>4.82</v>
      </c>
      <c r="C306" s="23"/>
      <c r="D306" t="s">
        <v>1707</v>
      </c>
      <c r="H306">
        <v>4.82</v>
      </c>
      <c r="N306" t="str">
        <f t="shared" si="13"/>
        <v>00L0NDYTR</v>
      </c>
    </row>
    <row r="307" spans="1:14" x14ac:dyDescent="0.25">
      <c r="A307" s="7">
        <f t="shared" si="14"/>
        <v>6.99720087358084</v>
      </c>
      <c r="B307" s="5">
        <f t="shared" si="15"/>
        <v>5.4700000000000006</v>
      </c>
      <c r="C307" s="23"/>
      <c r="D307" t="s">
        <v>1758</v>
      </c>
      <c r="H307">
        <v>5.4700000000000006</v>
      </c>
      <c r="N307" t="str">
        <f t="shared" si="13"/>
        <v>00L0NDYUR</v>
      </c>
    </row>
    <row r="308" spans="1:14" x14ac:dyDescent="0.25">
      <c r="A308" s="7">
        <f t="shared" si="14"/>
        <v>10.271942050247558</v>
      </c>
      <c r="B308" s="5">
        <f t="shared" si="15"/>
        <v>8.0300000000000011</v>
      </c>
      <c r="C308" s="23"/>
      <c r="D308" t="s">
        <v>1725</v>
      </c>
      <c r="H308">
        <v>8.0300000000000011</v>
      </c>
      <c r="N308" t="str">
        <f t="shared" si="13"/>
        <v>00L0NDYVR</v>
      </c>
    </row>
    <row r="309" spans="1:14" x14ac:dyDescent="0.25">
      <c r="A309" s="7">
        <f t="shared" si="14"/>
        <v>6.1657236216928055</v>
      </c>
      <c r="B309" s="5">
        <f t="shared" si="15"/>
        <v>4.82</v>
      </c>
      <c r="C309" s="23"/>
      <c r="D309" t="s">
        <v>1702</v>
      </c>
      <c r="H309">
        <v>4.82</v>
      </c>
      <c r="N309" t="str">
        <f t="shared" si="13"/>
        <v>00L0NDYWR</v>
      </c>
    </row>
    <row r="310" spans="1:14" x14ac:dyDescent="0.25">
      <c r="A310" s="7">
        <f t="shared" si="14"/>
        <v>6.1657236216928055</v>
      </c>
      <c r="B310" s="5">
        <f t="shared" si="15"/>
        <v>4.82</v>
      </c>
      <c r="C310" s="23"/>
      <c r="D310" t="s">
        <v>1698</v>
      </c>
      <c r="H310">
        <v>4.82</v>
      </c>
      <c r="N310" t="str">
        <f t="shared" si="13"/>
        <v>00L0NDYXR</v>
      </c>
    </row>
    <row r="311" spans="1:14" x14ac:dyDescent="0.25">
      <c r="A311" s="7">
        <f t="shared" si="14"/>
        <v>6.5878582264974996</v>
      </c>
      <c r="B311" s="5">
        <f t="shared" si="15"/>
        <v>5.15</v>
      </c>
      <c r="C311" s="23"/>
      <c r="D311" t="s">
        <v>1685</v>
      </c>
      <c r="H311">
        <v>5.15</v>
      </c>
      <c r="N311" t="str">
        <f t="shared" si="13"/>
        <v>00L0NDYYR</v>
      </c>
    </row>
    <row r="312" spans="1:14" x14ac:dyDescent="0.25">
      <c r="A312" s="7">
        <f t="shared" si="14"/>
        <v>10.425445542903811</v>
      </c>
      <c r="B312" s="5">
        <f t="shared" si="15"/>
        <v>8.15</v>
      </c>
      <c r="C312" s="23"/>
      <c r="D312" t="s">
        <v>1730</v>
      </c>
      <c r="E312">
        <v>2.36</v>
      </c>
      <c r="H312">
        <v>5.7900000000000009</v>
      </c>
      <c r="I312">
        <v>0</v>
      </c>
      <c r="N312" t="str">
        <f t="shared" si="13"/>
        <v>00L0NDYZR</v>
      </c>
    </row>
    <row r="313" spans="1:14" x14ac:dyDescent="0.25">
      <c r="A313" s="7">
        <f t="shared" si="14"/>
        <v>6.99720087358084</v>
      </c>
      <c r="B313" s="5">
        <f t="shared" si="15"/>
        <v>5.4700000000000006</v>
      </c>
      <c r="C313" s="23"/>
      <c r="D313" t="s">
        <v>1753</v>
      </c>
      <c r="H313">
        <v>5.4700000000000006</v>
      </c>
      <c r="N313" t="str">
        <f t="shared" si="13"/>
        <v>00L0NDZ0R</v>
      </c>
    </row>
    <row r="314" spans="1:14" x14ac:dyDescent="0.25">
      <c r="A314" s="7">
        <f t="shared" si="14"/>
        <v>6.99720087358084</v>
      </c>
      <c r="B314" s="5">
        <f t="shared" si="15"/>
        <v>5.4700000000000006</v>
      </c>
      <c r="C314" s="23"/>
      <c r="D314" t="s">
        <v>1660</v>
      </c>
      <c r="H314">
        <v>5.4700000000000006</v>
      </c>
      <c r="N314" t="str">
        <f t="shared" si="13"/>
        <v>00L0NDZ1R</v>
      </c>
    </row>
    <row r="315" spans="1:14" x14ac:dyDescent="0.25">
      <c r="A315" s="7">
        <f t="shared" si="14"/>
        <v>6.99720087358084</v>
      </c>
      <c r="B315" s="5">
        <f t="shared" si="15"/>
        <v>5.4700000000000006</v>
      </c>
      <c r="C315" s="23"/>
      <c r="D315" t="s">
        <v>1655</v>
      </c>
      <c r="H315">
        <v>5.4700000000000006</v>
      </c>
      <c r="N315" t="str">
        <f t="shared" si="13"/>
        <v>00L0NDZ2R</v>
      </c>
    </row>
    <row r="316" spans="1:14" x14ac:dyDescent="0.25">
      <c r="A316" s="7">
        <f t="shared" si="14"/>
        <v>6.5878582264974996</v>
      </c>
      <c r="B316" s="5">
        <f t="shared" si="15"/>
        <v>5.15</v>
      </c>
      <c r="C316" s="23"/>
      <c r="D316" t="s">
        <v>1680</v>
      </c>
      <c r="H316">
        <v>5.15</v>
      </c>
      <c r="N316" t="str">
        <f t="shared" si="13"/>
        <v>00L0NDZ3R</v>
      </c>
    </row>
    <row r="317" spans="1:14" x14ac:dyDescent="0.25">
      <c r="A317" s="7">
        <f t="shared" si="14"/>
        <v>6.99720087358084</v>
      </c>
      <c r="B317" s="5">
        <f t="shared" si="15"/>
        <v>5.4700000000000006</v>
      </c>
      <c r="C317" s="23"/>
      <c r="D317" t="s">
        <v>1651</v>
      </c>
      <c r="H317">
        <v>5.4700000000000006</v>
      </c>
      <c r="N317" t="str">
        <f t="shared" si="13"/>
        <v>00L0NDZ4R</v>
      </c>
    </row>
    <row r="318" spans="1:14" x14ac:dyDescent="0.25">
      <c r="A318" s="7">
        <f t="shared" si="14"/>
        <v>6.5878582264974996</v>
      </c>
      <c r="B318" s="5">
        <f t="shared" si="15"/>
        <v>5.15</v>
      </c>
      <c r="C318" s="23"/>
      <c r="D318" t="s">
        <v>1676</v>
      </c>
      <c r="H318">
        <v>5.15</v>
      </c>
      <c r="N318" t="str">
        <f t="shared" si="13"/>
        <v>00L0NDZ5R</v>
      </c>
    </row>
    <row r="319" spans="1:14" x14ac:dyDescent="0.25">
      <c r="A319" s="7">
        <f t="shared" si="14"/>
        <v>6.99720087358084</v>
      </c>
      <c r="B319" s="5">
        <f t="shared" si="15"/>
        <v>5.4700000000000006</v>
      </c>
      <c r="C319" s="23"/>
      <c r="D319" t="s">
        <v>1749</v>
      </c>
      <c r="H319">
        <v>5.4700000000000006</v>
      </c>
      <c r="N319" t="str">
        <f t="shared" si="13"/>
        <v>00L0NDZ6R</v>
      </c>
    </row>
    <row r="320" spans="1:14" x14ac:dyDescent="0.25">
      <c r="A320" s="7">
        <f t="shared" si="14"/>
        <v>6.5878582264974996</v>
      </c>
      <c r="B320" s="5">
        <f t="shared" si="15"/>
        <v>5.15</v>
      </c>
      <c r="C320" s="23"/>
      <c r="D320" t="s">
        <v>1672</v>
      </c>
      <c r="H320">
        <v>5.15</v>
      </c>
      <c r="N320" t="str">
        <f t="shared" si="13"/>
        <v>00L0NDZ7R</v>
      </c>
    </row>
    <row r="321" spans="1:14" x14ac:dyDescent="0.25">
      <c r="A321" s="7">
        <f t="shared" si="14"/>
        <v>6.99720087358084</v>
      </c>
      <c r="B321" s="5">
        <f t="shared" si="15"/>
        <v>5.4700000000000006</v>
      </c>
      <c r="C321" s="23"/>
      <c r="D321" t="s">
        <v>1744</v>
      </c>
      <c r="H321">
        <v>5.4700000000000006</v>
      </c>
      <c r="N321" t="str">
        <f t="shared" si="13"/>
        <v>00L0NDZ8R</v>
      </c>
    </row>
    <row r="322" spans="1:14" x14ac:dyDescent="0.25">
      <c r="A322" s="7">
        <f t="shared" si="14"/>
        <v>6.99720087358084</v>
      </c>
      <c r="B322" s="5">
        <f t="shared" si="15"/>
        <v>5.4700000000000006</v>
      </c>
      <c r="C322" s="23"/>
      <c r="D322" t="s">
        <v>1647</v>
      </c>
      <c r="H322">
        <v>5.4700000000000006</v>
      </c>
      <c r="N322" t="str">
        <f t="shared" si="13"/>
        <v>00L0NDZ9R</v>
      </c>
    </row>
    <row r="323" spans="1:14" x14ac:dyDescent="0.25">
      <c r="A323" s="7">
        <f t="shared" si="14"/>
        <v>7.4065435206641803</v>
      </c>
      <c r="B323" s="5">
        <f t="shared" si="15"/>
        <v>5.7900000000000009</v>
      </c>
      <c r="C323" s="23"/>
      <c r="D323" t="s">
        <v>1720</v>
      </c>
      <c r="H323">
        <v>5.7900000000000009</v>
      </c>
      <c r="N323" t="str">
        <f t="shared" si="13"/>
        <v>00L0NDZAR</v>
      </c>
    </row>
    <row r="324" spans="1:14" x14ac:dyDescent="0.25">
      <c r="A324" s="7">
        <f t="shared" si="14"/>
        <v>8.1228931530600246</v>
      </c>
      <c r="B324" s="5">
        <f t="shared" si="15"/>
        <v>6.3500000000000005</v>
      </c>
      <c r="C324" s="23"/>
      <c r="D324" t="s">
        <v>1715</v>
      </c>
      <c r="H324">
        <v>6.3500000000000005</v>
      </c>
      <c r="N324" t="str">
        <f t="shared" si="13"/>
        <v>00L0NDZBR</v>
      </c>
    </row>
    <row r="325" spans="1:14" x14ac:dyDescent="0.25">
      <c r="A325" s="7">
        <f t="shared" si="14"/>
        <v>6.99720087358084</v>
      </c>
      <c r="B325" s="5">
        <f t="shared" si="15"/>
        <v>5.4700000000000006</v>
      </c>
      <c r="C325" s="23"/>
      <c r="D325" t="s">
        <v>1642</v>
      </c>
      <c r="H325">
        <v>5.4700000000000006</v>
      </c>
      <c r="N325" t="str">
        <f t="shared" ref="N325:N388" si="16">D325&amp;"R"</f>
        <v>00L0NDZCR</v>
      </c>
    </row>
    <row r="326" spans="1:14" x14ac:dyDescent="0.25">
      <c r="A326" s="7">
        <f t="shared" ref="A326:A389" si="17">B326*(1+$R$2)</f>
        <v>7.4065435206641803</v>
      </c>
      <c r="B326" s="5">
        <f t="shared" ref="B326:B389" si="18">SUM(E326:L326)</f>
        <v>5.7900000000000009</v>
      </c>
      <c r="C326" s="23"/>
      <c r="D326" t="s">
        <v>1711</v>
      </c>
      <c r="H326">
        <v>5.7900000000000009</v>
      </c>
      <c r="N326" t="str">
        <f t="shared" si="16"/>
        <v>00L0NDZDR</v>
      </c>
    </row>
    <row r="327" spans="1:14" x14ac:dyDescent="0.25">
      <c r="A327" s="7">
        <f t="shared" si="17"/>
        <v>6.5878582264974996</v>
      </c>
      <c r="B327" s="5">
        <f t="shared" si="18"/>
        <v>5.15</v>
      </c>
      <c r="C327" s="23"/>
      <c r="D327" t="s">
        <v>1668</v>
      </c>
      <c r="H327">
        <v>5.15</v>
      </c>
      <c r="N327" t="str">
        <f t="shared" si="16"/>
        <v>00L0NDZER</v>
      </c>
    </row>
    <row r="328" spans="1:14" x14ac:dyDescent="0.25">
      <c r="A328" s="7">
        <f t="shared" si="17"/>
        <v>6.5878582264974996</v>
      </c>
      <c r="B328" s="5">
        <f t="shared" si="18"/>
        <v>5.15</v>
      </c>
      <c r="C328" s="23"/>
      <c r="D328" t="s">
        <v>1694</v>
      </c>
      <c r="H328">
        <v>5.15</v>
      </c>
      <c r="N328" t="str">
        <f t="shared" si="16"/>
        <v>00L0NDZFR</v>
      </c>
    </row>
    <row r="329" spans="1:14" x14ac:dyDescent="0.25">
      <c r="A329" s="7">
        <f t="shared" si="17"/>
        <v>6.5878582264974996</v>
      </c>
      <c r="B329" s="5">
        <f t="shared" si="18"/>
        <v>5.15</v>
      </c>
      <c r="C329" s="23"/>
      <c r="D329" t="s">
        <v>1870</v>
      </c>
      <c r="H329">
        <v>5.15</v>
      </c>
      <c r="N329" t="str">
        <f t="shared" si="16"/>
        <v>00L0NDZGR</v>
      </c>
    </row>
    <row r="330" spans="1:14" x14ac:dyDescent="0.25">
      <c r="A330" s="7">
        <f t="shared" si="17"/>
        <v>6.5878582264974996</v>
      </c>
      <c r="B330" s="5">
        <f t="shared" si="18"/>
        <v>5.15</v>
      </c>
      <c r="C330" s="23"/>
      <c r="D330" t="s">
        <v>1865</v>
      </c>
      <c r="H330">
        <v>5.15</v>
      </c>
      <c r="N330" t="str">
        <f t="shared" si="16"/>
        <v>00L0NDZHR</v>
      </c>
    </row>
    <row r="331" spans="1:14" x14ac:dyDescent="0.25">
      <c r="A331" s="7">
        <f t="shared" si="17"/>
        <v>6.99720087358084</v>
      </c>
      <c r="B331" s="5">
        <f t="shared" si="18"/>
        <v>5.4700000000000006</v>
      </c>
      <c r="C331" s="23"/>
      <c r="D331" t="s">
        <v>1860</v>
      </c>
      <c r="H331">
        <v>5.4700000000000006</v>
      </c>
      <c r="N331" t="str">
        <f t="shared" si="16"/>
        <v>00L0NDZIR</v>
      </c>
    </row>
    <row r="332" spans="1:14" x14ac:dyDescent="0.25">
      <c r="A332" s="7">
        <f t="shared" si="17"/>
        <v>6.99720087358084</v>
      </c>
      <c r="B332" s="5">
        <f t="shared" si="18"/>
        <v>5.4700000000000006</v>
      </c>
      <c r="C332" s="23"/>
      <c r="D332" t="s">
        <v>1858</v>
      </c>
      <c r="H332">
        <v>5.4700000000000006</v>
      </c>
      <c r="N332" t="str">
        <f t="shared" si="16"/>
        <v>00L0NDZJR</v>
      </c>
    </row>
    <row r="333" spans="1:14" x14ac:dyDescent="0.25">
      <c r="A333" s="7">
        <f t="shared" si="17"/>
        <v>7.4065435206641803</v>
      </c>
      <c r="B333" s="5">
        <f t="shared" si="18"/>
        <v>5.7900000000000009</v>
      </c>
      <c r="C333" s="23"/>
      <c r="D333" t="s">
        <v>1853</v>
      </c>
      <c r="H333">
        <v>5.7900000000000009</v>
      </c>
      <c r="N333" t="str">
        <f t="shared" si="16"/>
        <v>00L0NDZKR</v>
      </c>
    </row>
    <row r="334" spans="1:14" x14ac:dyDescent="0.25">
      <c r="A334" s="7">
        <f t="shared" si="17"/>
        <v>6.99720087358084</v>
      </c>
      <c r="B334" s="5">
        <f t="shared" si="18"/>
        <v>5.4700000000000006</v>
      </c>
      <c r="C334" s="23"/>
      <c r="D334" t="s">
        <v>1848</v>
      </c>
      <c r="H334">
        <v>5.4700000000000006</v>
      </c>
      <c r="N334" t="str">
        <f t="shared" si="16"/>
        <v>00L0NDZLR</v>
      </c>
    </row>
    <row r="335" spans="1:14" x14ac:dyDescent="0.25">
      <c r="A335" s="7">
        <f t="shared" si="17"/>
        <v>6.99720087358084</v>
      </c>
      <c r="B335" s="5">
        <f t="shared" si="18"/>
        <v>5.4700000000000006</v>
      </c>
      <c r="C335" s="23"/>
      <c r="D335" t="s">
        <v>1843</v>
      </c>
      <c r="H335">
        <v>5.4700000000000006</v>
      </c>
      <c r="N335" t="str">
        <f t="shared" si="16"/>
        <v>00L0NDZMR</v>
      </c>
    </row>
    <row r="336" spans="1:14" x14ac:dyDescent="0.25">
      <c r="A336" s="7">
        <f t="shared" si="17"/>
        <v>6.99720087358084</v>
      </c>
      <c r="B336" s="5">
        <f t="shared" si="18"/>
        <v>5.4700000000000006</v>
      </c>
      <c r="C336" s="23"/>
      <c r="D336" t="s">
        <v>1838</v>
      </c>
      <c r="H336">
        <v>5.4700000000000006</v>
      </c>
      <c r="N336" t="str">
        <f t="shared" si="16"/>
        <v>00L0NDZNR</v>
      </c>
    </row>
    <row r="337" spans="1:14" x14ac:dyDescent="0.25">
      <c r="A337" s="7">
        <f t="shared" si="17"/>
        <v>6.99720087358084</v>
      </c>
      <c r="B337" s="5">
        <f t="shared" si="18"/>
        <v>5.4700000000000006</v>
      </c>
      <c r="C337" s="23"/>
      <c r="D337" t="s">
        <v>1834</v>
      </c>
      <c r="H337">
        <v>5.4700000000000006</v>
      </c>
      <c r="N337" t="str">
        <f t="shared" si="16"/>
        <v>00L0NDZOR</v>
      </c>
    </row>
    <row r="338" spans="1:14" x14ac:dyDescent="0.25">
      <c r="A338" s="7">
        <f t="shared" si="17"/>
        <v>6.99720087358084</v>
      </c>
      <c r="B338" s="5">
        <f t="shared" si="18"/>
        <v>5.4700000000000006</v>
      </c>
      <c r="C338" s="23"/>
      <c r="D338" t="s">
        <v>1830</v>
      </c>
      <c r="H338">
        <v>5.4700000000000006</v>
      </c>
      <c r="N338" t="str">
        <f t="shared" si="16"/>
        <v>00L0NDZPR</v>
      </c>
    </row>
    <row r="339" spans="1:14" x14ac:dyDescent="0.25">
      <c r="A339" s="7">
        <f t="shared" si="17"/>
        <v>6.99720087358084</v>
      </c>
      <c r="B339" s="5">
        <f t="shared" si="18"/>
        <v>5.4700000000000006</v>
      </c>
      <c r="C339" s="23"/>
      <c r="D339" t="s">
        <v>1825</v>
      </c>
      <c r="H339">
        <v>5.4700000000000006</v>
      </c>
      <c r="N339" t="str">
        <f t="shared" si="16"/>
        <v>00L0NDZQR</v>
      </c>
    </row>
    <row r="340" spans="1:14" x14ac:dyDescent="0.25">
      <c r="A340" s="7">
        <f t="shared" si="17"/>
        <v>7.4065435206641803</v>
      </c>
      <c r="B340" s="5">
        <f t="shared" si="18"/>
        <v>5.7900000000000009</v>
      </c>
      <c r="C340" s="23"/>
      <c r="D340" t="s">
        <v>1820</v>
      </c>
      <c r="H340">
        <v>5.7900000000000009</v>
      </c>
      <c r="N340" t="str">
        <f t="shared" si="16"/>
        <v>00L0NDZRR</v>
      </c>
    </row>
    <row r="341" spans="1:14" x14ac:dyDescent="0.25">
      <c r="A341" s="7">
        <f t="shared" si="17"/>
        <v>8.8392427854558697</v>
      </c>
      <c r="B341" s="5">
        <f t="shared" si="18"/>
        <v>6.910000000000001</v>
      </c>
      <c r="C341" s="23"/>
      <c r="D341" t="s">
        <v>1815</v>
      </c>
      <c r="H341">
        <v>6.910000000000001</v>
      </c>
      <c r="N341" t="str">
        <f t="shared" si="16"/>
        <v>00L0NDZSR</v>
      </c>
    </row>
    <row r="342" spans="1:14" x14ac:dyDescent="0.25">
      <c r="A342" s="7">
        <f t="shared" si="17"/>
        <v>10.01610289582047</v>
      </c>
      <c r="B342" s="5">
        <f t="shared" si="18"/>
        <v>7.83</v>
      </c>
      <c r="C342" s="23"/>
      <c r="D342" t="s">
        <v>1811</v>
      </c>
      <c r="E342">
        <v>2.36</v>
      </c>
      <c r="H342">
        <v>5.4700000000000006</v>
      </c>
      <c r="I342">
        <v>0</v>
      </c>
      <c r="N342" t="str">
        <f t="shared" si="16"/>
        <v>00L0NDZTR</v>
      </c>
    </row>
    <row r="343" spans="1:14" x14ac:dyDescent="0.25">
      <c r="A343" s="7">
        <f t="shared" si="17"/>
        <v>6.99720087358084</v>
      </c>
      <c r="B343" s="5">
        <f t="shared" si="18"/>
        <v>5.4700000000000006</v>
      </c>
      <c r="C343" s="23"/>
      <c r="D343" t="s">
        <v>1880</v>
      </c>
      <c r="H343">
        <v>5.4700000000000006</v>
      </c>
      <c r="N343" t="str">
        <f t="shared" si="16"/>
        <v>00L0NDZUR</v>
      </c>
    </row>
    <row r="344" spans="1:14" x14ac:dyDescent="0.25">
      <c r="A344" s="7">
        <f t="shared" si="17"/>
        <v>6.99720087358084</v>
      </c>
      <c r="B344" s="5">
        <f t="shared" si="18"/>
        <v>5.4700000000000006</v>
      </c>
      <c r="C344" s="23"/>
      <c r="D344" t="s">
        <v>1885</v>
      </c>
      <c r="H344">
        <v>5.4700000000000006</v>
      </c>
      <c r="N344" t="str">
        <f t="shared" si="16"/>
        <v>00L0NDZVR</v>
      </c>
    </row>
    <row r="345" spans="1:14" x14ac:dyDescent="0.25">
      <c r="A345" s="7">
        <f t="shared" si="17"/>
        <v>6.99720087358084</v>
      </c>
      <c r="B345" s="5">
        <f t="shared" si="18"/>
        <v>5.4700000000000006</v>
      </c>
      <c r="C345" s="23"/>
      <c r="D345" t="s">
        <v>1889</v>
      </c>
      <c r="H345">
        <v>5.4700000000000006</v>
      </c>
      <c r="N345" t="str">
        <f t="shared" si="16"/>
        <v>00L0NDZWR</v>
      </c>
    </row>
    <row r="346" spans="1:14" x14ac:dyDescent="0.25">
      <c r="A346" s="7">
        <f t="shared" si="17"/>
        <v>6.5878582264974996</v>
      </c>
      <c r="B346" s="5">
        <f t="shared" si="18"/>
        <v>5.15</v>
      </c>
      <c r="C346" s="23"/>
      <c r="D346" t="s">
        <v>1893</v>
      </c>
      <c r="H346">
        <v>5.15</v>
      </c>
      <c r="N346" t="str">
        <f t="shared" si="16"/>
        <v>00L0NDZXR</v>
      </c>
    </row>
    <row r="347" spans="1:14" x14ac:dyDescent="0.25">
      <c r="A347" s="7">
        <f t="shared" si="17"/>
        <v>6.99720087358084</v>
      </c>
      <c r="B347" s="5">
        <f t="shared" si="18"/>
        <v>5.4700000000000006</v>
      </c>
      <c r="C347" s="23"/>
      <c r="D347" t="s">
        <v>1897</v>
      </c>
      <c r="H347">
        <v>5.4700000000000006</v>
      </c>
      <c r="N347" t="str">
        <f t="shared" si="16"/>
        <v>00L0NDZYR</v>
      </c>
    </row>
    <row r="348" spans="1:14" x14ac:dyDescent="0.25">
      <c r="A348" s="7">
        <f t="shared" si="17"/>
        <v>7.4065435206641803</v>
      </c>
      <c r="B348" s="5">
        <f t="shared" si="18"/>
        <v>5.7900000000000009</v>
      </c>
      <c r="C348" s="23"/>
      <c r="D348" t="s">
        <v>1901</v>
      </c>
      <c r="H348">
        <v>5.7900000000000009</v>
      </c>
      <c r="N348" t="str">
        <f t="shared" si="16"/>
        <v>00L0NDZZR</v>
      </c>
    </row>
    <row r="349" spans="1:14" x14ac:dyDescent="0.25">
      <c r="A349" s="7">
        <f t="shared" si="17"/>
        <v>8.8392427854558697</v>
      </c>
      <c r="B349" s="5">
        <f t="shared" si="18"/>
        <v>6.910000000000001</v>
      </c>
      <c r="C349" s="23"/>
      <c r="D349" t="s">
        <v>1906</v>
      </c>
      <c r="H349">
        <v>6.910000000000001</v>
      </c>
      <c r="N349" t="str">
        <f t="shared" si="16"/>
        <v>00L0NE00R</v>
      </c>
    </row>
    <row r="350" spans="1:14" x14ac:dyDescent="0.25">
      <c r="A350" s="7">
        <f t="shared" si="17"/>
        <v>7.4065435206641803</v>
      </c>
      <c r="B350" s="5">
        <f t="shared" si="18"/>
        <v>5.7900000000000009</v>
      </c>
      <c r="C350" s="23"/>
      <c r="D350" t="s">
        <v>1875</v>
      </c>
      <c r="H350">
        <v>5.7900000000000009</v>
      </c>
      <c r="N350" t="str">
        <f t="shared" si="16"/>
        <v>00L0NE01R</v>
      </c>
    </row>
    <row r="351" spans="1:14" x14ac:dyDescent="0.25">
      <c r="A351" s="7">
        <f t="shared" si="17"/>
        <v>6.5878582264974996</v>
      </c>
      <c r="B351" s="5">
        <f t="shared" si="18"/>
        <v>5.15</v>
      </c>
      <c r="C351" s="23"/>
      <c r="D351" t="s">
        <v>1911</v>
      </c>
      <c r="H351">
        <v>5.15</v>
      </c>
      <c r="N351" t="str">
        <f t="shared" si="16"/>
        <v>00L0NE02R</v>
      </c>
    </row>
    <row r="352" spans="1:14" x14ac:dyDescent="0.25">
      <c r="A352" s="7">
        <f t="shared" si="17"/>
        <v>6.99720087358084</v>
      </c>
      <c r="B352" s="5">
        <f t="shared" si="18"/>
        <v>5.4700000000000006</v>
      </c>
      <c r="C352" s="23"/>
      <c r="D352" t="s">
        <v>1916</v>
      </c>
      <c r="H352">
        <v>5.4700000000000006</v>
      </c>
      <c r="N352" t="str">
        <f t="shared" si="16"/>
        <v>00L0NE03R</v>
      </c>
    </row>
    <row r="353" spans="1:14" x14ac:dyDescent="0.25">
      <c r="A353" s="7">
        <f t="shared" si="17"/>
        <v>7.4065435206641803</v>
      </c>
      <c r="B353" s="5">
        <f t="shared" si="18"/>
        <v>5.7900000000000009</v>
      </c>
      <c r="C353" s="23"/>
      <c r="D353" t="s">
        <v>1952</v>
      </c>
      <c r="H353">
        <v>5.7900000000000009</v>
      </c>
      <c r="N353" t="str">
        <f t="shared" si="16"/>
        <v>00L0NE04R</v>
      </c>
    </row>
    <row r="354" spans="1:14" x14ac:dyDescent="0.25">
      <c r="A354" s="7">
        <f t="shared" si="17"/>
        <v>6.99720087358084</v>
      </c>
      <c r="B354" s="5">
        <f t="shared" si="18"/>
        <v>5.4700000000000006</v>
      </c>
      <c r="C354" s="23"/>
      <c r="D354" t="s">
        <v>1957</v>
      </c>
      <c r="H354">
        <v>5.4700000000000006</v>
      </c>
      <c r="N354" t="str">
        <f t="shared" si="16"/>
        <v>00L0NE05R</v>
      </c>
    </row>
    <row r="355" spans="1:14" x14ac:dyDescent="0.25">
      <c r="A355" s="7">
        <f t="shared" si="17"/>
        <v>6.99720087358084</v>
      </c>
      <c r="B355" s="5">
        <f t="shared" si="18"/>
        <v>5.4700000000000006</v>
      </c>
      <c r="C355" s="23"/>
      <c r="D355" t="s">
        <v>1962</v>
      </c>
      <c r="H355">
        <v>5.4700000000000006</v>
      </c>
      <c r="N355" t="str">
        <f t="shared" si="16"/>
        <v>00L0NE06R</v>
      </c>
    </row>
    <row r="356" spans="1:14" x14ac:dyDescent="0.25">
      <c r="A356" s="7">
        <f t="shared" si="17"/>
        <v>10.01610289582047</v>
      </c>
      <c r="B356" s="5">
        <f t="shared" si="18"/>
        <v>7.83</v>
      </c>
      <c r="C356" s="23"/>
      <c r="D356" t="s">
        <v>1967</v>
      </c>
      <c r="E356">
        <v>2.36</v>
      </c>
      <c r="H356">
        <v>5.4700000000000006</v>
      </c>
      <c r="I356">
        <v>0</v>
      </c>
      <c r="N356" t="str">
        <f t="shared" si="16"/>
        <v>00L0NE07R</v>
      </c>
    </row>
    <row r="357" spans="1:14" x14ac:dyDescent="0.25">
      <c r="A357" s="7">
        <f t="shared" si="17"/>
        <v>10.01610289582047</v>
      </c>
      <c r="B357" s="5">
        <f t="shared" si="18"/>
        <v>7.83</v>
      </c>
      <c r="C357" s="23"/>
      <c r="D357" t="s">
        <v>1971</v>
      </c>
      <c r="E357">
        <v>2.36</v>
      </c>
      <c r="H357">
        <v>5.4700000000000006</v>
      </c>
      <c r="I357">
        <v>0</v>
      </c>
      <c r="N357" t="str">
        <f t="shared" si="16"/>
        <v>00L0NE08R</v>
      </c>
    </row>
    <row r="358" spans="1:14" x14ac:dyDescent="0.25">
      <c r="A358" s="7">
        <f t="shared" si="17"/>
        <v>6.5878582264974996</v>
      </c>
      <c r="B358" s="5">
        <f t="shared" si="18"/>
        <v>5.15</v>
      </c>
      <c r="C358" s="23"/>
      <c r="D358" t="s">
        <v>1975</v>
      </c>
      <c r="H358">
        <v>5.15</v>
      </c>
      <c r="N358" t="str">
        <f t="shared" si="16"/>
        <v>00L0NE09R</v>
      </c>
    </row>
    <row r="359" spans="1:14" x14ac:dyDescent="0.25">
      <c r="A359" s="7">
        <f t="shared" si="17"/>
        <v>6.99720087358084</v>
      </c>
      <c r="B359" s="5">
        <f t="shared" si="18"/>
        <v>5.4700000000000006</v>
      </c>
      <c r="C359" s="23"/>
      <c r="D359" t="s">
        <v>2048</v>
      </c>
      <c r="H359">
        <v>5.4700000000000006</v>
      </c>
      <c r="N359" t="str">
        <f t="shared" si="16"/>
        <v>00L0NE0AR</v>
      </c>
    </row>
    <row r="360" spans="1:14" x14ac:dyDescent="0.25">
      <c r="A360" s="7">
        <f t="shared" si="17"/>
        <v>6.99720087358084</v>
      </c>
      <c r="B360" s="5">
        <f t="shared" si="18"/>
        <v>5.4700000000000006</v>
      </c>
      <c r="C360" s="23"/>
      <c r="D360" t="s">
        <v>2043</v>
      </c>
      <c r="H360">
        <v>5.4700000000000006</v>
      </c>
      <c r="N360" t="str">
        <f t="shared" si="16"/>
        <v>00L0NE0BR</v>
      </c>
    </row>
    <row r="361" spans="1:14" x14ac:dyDescent="0.25">
      <c r="A361" s="7">
        <f t="shared" si="17"/>
        <v>6.99720087358084</v>
      </c>
      <c r="B361" s="5">
        <f t="shared" si="18"/>
        <v>5.4700000000000006</v>
      </c>
      <c r="C361" s="23"/>
      <c r="D361" t="s">
        <v>2039</v>
      </c>
      <c r="H361">
        <v>5.4700000000000006</v>
      </c>
      <c r="N361" t="str">
        <f t="shared" si="16"/>
        <v>00L0NE0CR</v>
      </c>
    </row>
    <row r="362" spans="1:14" x14ac:dyDescent="0.25">
      <c r="A362" s="7">
        <f t="shared" si="17"/>
        <v>6.99720087358084</v>
      </c>
      <c r="B362" s="5">
        <f t="shared" si="18"/>
        <v>5.4700000000000006</v>
      </c>
      <c r="C362" s="23"/>
      <c r="D362" t="s">
        <v>2034</v>
      </c>
      <c r="H362">
        <v>5.4700000000000006</v>
      </c>
      <c r="N362" t="str">
        <f t="shared" si="16"/>
        <v>00L0NE0DR</v>
      </c>
    </row>
    <row r="363" spans="1:14" x14ac:dyDescent="0.25">
      <c r="A363" s="7">
        <f t="shared" si="17"/>
        <v>6.5878582264974996</v>
      </c>
      <c r="B363" s="5">
        <f t="shared" si="18"/>
        <v>5.15</v>
      </c>
      <c r="C363" s="23"/>
      <c r="D363" t="s">
        <v>2071</v>
      </c>
      <c r="H363">
        <v>5.15</v>
      </c>
      <c r="N363" t="str">
        <f t="shared" si="16"/>
        <v>00L0NE0ER</v>
      </c>
    </row>
    <row r="364" spans="1:14" x14ac:dyDescent="0.25">
      <c r="A364" s="7">
        <f t="shared" si="17"/>
        <v>6.99720087358084</v>
      </c>
      <c r="B364" s="5">
        <f t="shared" si="18"/>
        <v>5.4700000000000006</v>
      </c>
      <c r="C364" s="23"/>
      <c r="D364" t="s">
        <v>2029</v>
      </c>
      <c r="H364">
        <v>5.4700000000000006</v>
      </c>
      <c r="N364" t="str">
        <f t="shared" si="16"/>
        <v>00L0NE0FR</v>
      </c>
    </row>
    <row r="365" spans="1:14" x14ac:dyDescent="0.25">
      <c r="A365" s="7">
        <f t="shared" si="17"/>
        <v>6.99720087358084</v>
      </c>
      <c r="B365" s="5">
        <f t="shared" si="18"/>
        <v>5.4700000000000006</v>
      </c>
      <c r="C365" s="23"/>
      <c r="D365" t="s">
        <v>2025</v>
      </c>
      <c r="H365">
        <v>5.4700000000000006</v>
      </c>
      <c r="N365" t="str">
        <f t="shared" si="16"/>
        <v>00L0NE0GR</v>
      </c>
    </row>
    <row r="366" spans="1:14" x14ac:dyDescent="0.25">
      <c r="A366" s="7">
        <f t="shared" si="17"/>
        <v>6.1657236216928055</v>
      </c>
      <c r="B366" s="5">
        <f t="shared" si="18"/>
        <v>4.82</v>
      </c>
      <c r="C366" s="23"/>
      <c r="D366" t="s">
        <v>2123</v>
      </c>
      <c r="H366">
        <v>4.82</v>
      </c>
      <c r="N366" t="str">
        <f t="shared" si="16"/>
        <v>00L0NE0HR</v>
      </c>
    </row>
    <row r="367" spans="1:14" x14ac:dyDescent="0.25">
      <c r="A367" s="7">
        <f t="shared" si="17"/>
        <v>6.99720087358084</v>
      </c>
      <c r="B367" s="5">
        <f t="shared" si="18"/>
        <v>5.4700000000000006</v>
      </c>
      <c r="C367" s="23"/>
      <c r="D367" t="s">
        <v>2187</v>
      </c>
      <c r="H367">
        <v>5.4700000000000006</v>
      </c>
      <c r="N367" t="str">
        <f t="shared" si="16"/>
        <v>00L0NE0IR</v>
      </c>
    </row>
    <row r="368" spans="1:14" x14ac:dyDescent="0.25">
      <c r="A368" s="7">
        <f t="shared" si="17"/>
        <v>6.1657236216928055</v>
      </c>
      <c r="B368" s="5">
        <f t="shared" si="18"/>
        <v>4.82</v>
      </c>
      <c r="C368" s="23"/>
      <c r="D368" t="s">
        <v>2119</v>
      </c>
      <c r="H368">
        <v>4.82</v>
      </c>
      <c r="N368" t="str">
        <f t="shared" si="16"/>
        <v>00L0NE0JR</v>
      </c>
    </row>
    <row r="369" spans="1:14" x14ac:dyDescent="0.25">
      <c r="A369" s="7">
        <f t="shared" si="17"/>
        <v>6.99720087358084</v>
      </c>
      <c r="B369" s="5">
        <f t="shared" si="18"/>
        <v>5.4700000000000006</v>
      </c>
      <c r="C369" s="23"/>
      <c r="D369" t="s">
        <v>2020</v>
      </c>
      <c r="H369">
        <v>5.4700000000000006</v>
      </c>
      <c r="N369" t="str">
        <f t="shared" si="16"/>
        <v>00L0NE0KR</v>
      </c>
    </row>
    <row r="370" spans="1:14" x14ac:dyDescent="0.25">
      <c r="A370" s="7">
        <f t="shared" si="17"/>
        <v>6.5878582264974996</v>
      </c>
      <c r="B370" s="5">
        <f t="shared" si="18"/>
        <v>5.15</v>
      </c>
      <c r="C370" s="23"/>
      <c r="D370" t="s">
        <v>2067</v>
      </c>
      <c r="H370">
        <v>5.15</v>
      </c>
      <c r="N370" t="str">
        <f t="shared" si="16"/>
        <v>00L0NE0LR</v>
      </c>
    </row>
    <row r="371" spans="1:14" x14ac:dyDescent="0.25">
      <c r="A371" s="7">
        <f t="shared" si="17"/>
        <v>6.1657236216928055</v>
      </c>
      <c r="B371" s="5">
        <f t="shared" si="18"/>
        <v>4.82</v>
      </c>
      <c r="C371" s="23"/>
      <c r="D371" t="s">
        <v>2115</v>
      </c>
      <c r="H371">
        <v>4.82</v>
      </c>
      <c r="N371" t="str">
        <f t="shared" si="16"/>
        <v>00L0NE0MR</v>
      </c>
    </row>
    <row r="372" spans="1:14" x14ac:dyDescent="0.25">
      <c r="A372" s="7">
        <f t="shared" si="17"/>
        <v>6.99720087358084</v>
      </c>
      <c r="B372" s="5">
        <f t="shared" si="18"/>
        <v>5.4700000000000006</v>
      </c>
      <c r="C372" s="23"/>
      <c r="D372" t="s">
        <v>2015</v>
      </c>
      <c r="H372">
        <v>5.4700000000000006</v>
      </c>
      <c r="N372" t="str">
        <f t="shared" si="16"/>
        <v>00L0NE0NR</v>
      </c>
    </row>
    <row r="373" spans="1:14" x14ac:dyDescent="0.25">
      <c r="A373" s="7">
        <f t="shared" si="17"/>
        <v>6.99720087358084</v>
      </c>
      <c r="B373" s="5">
        <f t="shared" si="18"/>
        <v>5.4700000000000006</v>
      </c>
      <c r="C373" s="23"/>
      <c r="D373" t="s">
        <v>2010</v>
      </c>
      <c r="H373">
        <v>5.4700000000000006</v>
      </c>
      <c r="N373" t="str">
        <f t="shared" si="16"/>
        <v>00L0NE0OR</v>
      </c>
    </row>
    <row r="374" spans="1:14" x14ac:dyDescent="0.25">
      <c r="A374" s="7">
        <f t="shared" si="17"/>
        <v>6.99720087358084</v>
      </c>
      <c r="B374" s="5">
        <f t="shared" si="18"/>
        <v>5.4700000000000006</v>
      </c>
      <c r="C374" s="23"/>
      <c r="D374" t="s">
        <v>2005</v>
      </c>
      <c r="H374">
        <v>5.4700000000000006</v>
      </c>
      <c r="N374" t="str">
        <f t="shared" si="16"/>
        <v>00L0NE0PR</v>
      </c>
    </row>
    <row r="375" spans="1:14" x14ac:dyDescent="0.25">
      <c r="A375" s="7">
        <f t="shared" si="17"/>
        <v>6.99720087358084</v>
      </c>
      <c r="B375" s="5">
        <f t="shared" si="18"/>
        <v>5.4700000000000006</v>
      </c>
      <c r="C375" s="23"/>
      <c r="D375" t="s">
        <v>2183</v>
      </c>
      <c r="H375">
        <v>5.4700000000000006</v>
      </c>
      <c r="N375" t="str">
        <f t="shared" si="16"/>
        <v>00L0NE0QR</v>
      </c>
    </row>
    <row r="376" spans="1:14" x14ac:dyDescent="0.25">
      <c r="A376" s="7">
        <f t="shared" si="17"/>
        <v>6.5878582264974996</v>
      </c>
      <c r="B376" s="5">
        <f t="shared" si="18"/>
        <v>5.15</v>
      </c>
      <c r="C376" s="23"/>
      <c r="D376" t="s">
        <v>2062</v>
      </c>
      <c r="H376">
        <v>5.15</v>
      </c>
      <c r="N376" t="str">
        <f t="shared" si="16"/>
        <v>00L0NE0RR</v>
      </c>
    </row>
    <row r="377" spans="1:14" x14ac:dyDescent="0.25">
      <c r="A377" s="7">
        <f t="shared" si="17"/>
        <v>6.99720087358084</v>
      </c>
      <c r="B377" s="5">
        <f t="shared" si="18"/>
        <v>5.4700000000000006</v>
      </c>
      <c r="C377" s="23"/>
      <c r="D377" t="s">
        <v>2000</v>
      </c>
      <c r="H377">
        <v>5.4700000000000006</v>
      </c>
      <c r="N377" t="str">
        <f t="shared" si="16"/>
        <v>00L0NE0SR</v>
      </c>
    </row>
    <row r="378" spans="1:14" x14ac:dyDescent="0.25">
      <c r="A378" s="7">
        <f t="shared" si="17"/>
        <v>6.1657236216928055</v>
      </c>
      <c r="B378" s="5">
        <f t="shared" si="18"/>
        <v>4.82</v>
      </c>
      <c r="C378" s="23"/>
      <c r="D378" t="s">
        <v>2111</v>
      </c>
      <c r="H378">
        <v>4.82</v>
      </c>
      <c r="N378" t="str">
        <f t="shared" si="16"/>
        <v>00L0NE0TR</v>
      </c>
    </row>
    <row r="379" spans="1:14" x14ac:dyDescent="0.25">
      <c r="A379" s="7">
        <f t="shared" si="17"/>
        <v>6.5878582264974996</v>
      </c>
      <c r="B379" s="5">
        <f t="shared" si="18"/>
        <v>5.15</v>
      </c>
      <c r="C379" s="23"/>
      <c r="D379" t="s">
        <v>2075</v>
      </c>
      <c r="H379">
        <v>5.15</v>
      </c>
      <c r="N379" t="str">
        <f t="shared" si="16"/>
        <v>00L0NE0UR</v>
      </c>
    </row>
    <row r="380" spans="1:14" x14ac:dyDescent="0.25">
      <c r="A380" s="7">
        <f t="shared" si="17"/>
        <v>6.1657236216928055</v>
      </c>
      <c r="B380" s="5">
        <f t="shared" si="18"/>
        <v>4.82</v>
      </c>
      <c r="C380" s="23"/>
      <c r="D380" t="s">
        <v>2107</v>
      </c>
      <c r="H380">
        <v>4.82</v>
      </c>
      <c r="N380" t="str">
        <f t="shared" si="16"/>
        <v>00L0NE0VR</v>
      </c>
    </row>
    <row r="381" spans="1:14" x14ac:dyDescent="0.25">
      <c r="A381" s="7">
        <f t="shared" si="17"/>
        <v>6.1657236216928055</v>
      </c>
      <c r="B381" s="5">
        <f t="shared" si="18"/>
        <v>4.82</v>
      </c>
      <c r="C381" s="23"/>
      <c r="D381" t="s">
        <v>2103</v>
      </c>
      <c r="H381">
        <v>4.82</v>
      </c>
      <c r="N381" t="str">
        <f t="shared" si="16"/>
        <v>00L0NE0WR</v>
      </c>
    </row>
    <row r="382" spans="1:14" x14ac:dyDescent="0.25">
      <c r="A382" s="7">
        <f t="shared" si="17"/>
        <v>6.5878582264974996</v>
      </c>
      <c r="B382" s="5">
        <f t="shared" si="18"/>
        <v>5.15</v>
      </c>
      <c r="C382" s="23"/>
      <c r="D382" t="s">
        <v>2057</v>
      </c>
      <c r="H382">
        <v>5.15</v>
      </c>
      <c r="N382" t="str">
        <f t="shared" si="16"/>
        <v>00L0NE0XR</v>
      </c>
    </row>
    <row r="383" spans="1:14" x14ac:dyDescent="0.25">
      <c r="A383" s="7">
        <f t="shared" si="17"/>
        <v>6.99720087358084</v>
      </c>
      <c r="B383" s="5">
        <f t="shared" si="18"/>
        <v>5.4700000000000006</v>
      </c>
      <c r="C383" s="23"/>
      <c r="D383" t="s">
        <v>1996</v>
      </c>
      <c r="H383">
        <v>5.4700000000000006</v>
      </c>
      <c r="N383" t="str">
        <f t="shared" si="16"/>
        <v>00L0NE0YR</v>
      </c>
    </row>
    <row r="384" spans="1:14" x14ac:dyDescent="0.25">
      <c r="A384" s="7">
        <f t="shared" si="17"/>
        <v>6.99720087358084</v>
      </c>
      <c r="B384" s="5">
        <f t="shared" si="18"/>
        <v>5.4700000000000006</v>
      </c>
      <c r="C384" s="23"/>
      <c r="D384" t="s">
        <v>2129</v>
      </c>
      <c r="H384">
        <v>5.4700000000000006</v>
      </c>
      <c r="N384" t="str">
        <f t="shared" si="16"/>
        <v>00L0NE0ZR</v>
      </c>
    </row>
    <row r="385" spans="1:14" x14ac:dyDescent="0.25">
      <c r="A385" s="7">
        <f t="shared" si="17"/>
        <v>6.99720087358084</v>
      </c>
      <c r="B385" s="5">
        <f t="shared" si="18"/>
        <v>5.4700000000000006</v>
      </c>
      <c r="C385" s="23"/>
      <c r="D385" t="s">
        <v>2239</v>
      </c>
      <c r="H385">
        <v>5.4700000000000006</v>
      </c>
      <c r="N385" t="str">
        <f t="shared" si="16"/>
        <v>00L0NE10R</v>
      </c>
    </row>
    <row r="386" spans="1:14" x14ac:dyDescent="0.25">
      <c r="A386" s="7">
        <f t="shared" si="17"/>
        <v>6.1657236216928055</v>
      </c>
      <c r="B386" s="5">
        <f t="shared" si="18"/>
        <v>4.82</v>
      </c>
      <c r="C386" s="23"/>
      <c r="D386" t="s">
        <v>2098</v>
      </c>
      <c r="H386">
        <v>4.82</v>
      </c>
      <c r="N386" t="str">
        <f t="shared" si="16"/>
        <v>00L0NE11R</v>
      </c>
    </row>
    <row r="387" spans="1:14" x14ac:dyDescent="0.25">
      <c r="A387" s="7">
        <f t="shared" si="17"/>
        <v>6.1657236216928055</v>
      </c>
      <c r="B387" s="5">
        <f t="shared" si="18"/>
        <v>4.82</v>
      </c>
      <c r="C387" s="23"/>
      <c r="D387" t="s">
        <v>2093</v>
      </c>
      <c r="H387">
        <v>4.82</v>
      </c>
      <c r="N387" t="str">
        <f t="shared" si="16"/>
        <v>00L0NE12R</v>
      </c>
    </row>
    <row r="388" spans="1:14" x14ac:dyDescent="0.25">
      <c r="A388" s="7">
        <f t="shared" si="17"/>
        <v>6.1657236216928055</v>
      </c>
      <c r="B388" s="5">
        <f t="shared" si="18"/>
        <v>4.82</v>
      </c>
      <c r="C388" s="23"/>
      <c r="D388" t="s">
        <v>2088</v>
      </c>
      <c r="H388">
        <v>4.82</v>
      </c>
      <c r="N388" t="str">
        <f t="shared" si="16"/>
        <v>00L0NE13R</v>
      </c>
    </row>
    <row r="389" spans="1:14" x14ac:dyDescent="0.25">
      <c r="A389" s="7">
        <f t="shared" si="17"/>
        <v>6.1657236216928055</v>
      </c>
      <c r="B389" s="5">
        <f t="shared" si="18"/>
        <v>4.82</v>
      </c>
      <c r="C389" s="23"/>
      <c r="D389" t="s">
        <v>2083</v>
      </c>
      <c r="H389">
        <v>4.82</v>
      </c>
      <c r="N389" t="str">
        <f t="shared" ref="N389:N431" si="19">D389&amp;"R"</f>
        <v>00L0NE14R</v>
      </c>
    </row>
    <row r="390" spans="1:14" x14ac:dyDescent="0.25">
      <c r="A390" s="7">
        <f t="shared" ref="A390:A431" si="20">B390*(1+$R$2)</f>
        <v>6.99720087358084</v>
      </c>
      <c r="B390" s="5">
        <f t="shared" ref="B390:B431" si="21">SUM(E390:L390)</f>
        <v>5.4700000000000006</v>
      </c>
      <c r="C390" s="23"/>
      <c r="D390" t="s">
        <v>2234</v>
      </c>
      <c r="H390">
        <v>5.4700000000000006</v>
      </c>
      <c r="N390" t="str">
        <f t="shared" si="19"/>
        <v>00L0NE15R</v>
      </c>
    </row>
    <row r="391" spans="1:14" x14ac:dyDescent="0.25">
      <c r="A391" s="7">
        <f t="shared" si="20"/>
        <v>6.99720087358084</v>
      </c>
      <c r="B391" s="5">
        <f t="shared" si="21"/>
        <v>5.4700000000000006</v>
      </c>
      <c r="C391" s="23"/>
      <c r="D391" t="s">
        <v>2229</v>
      </c>
      <c r="H391">
        <v>5.4700000000000006</v>
      </c>
      <c r="N391" t="str">
        <f t="shared" si="19"/>
        <v>00L0NE16R</v>
      </c>
    </row>
    <row r="392" spans="1:14" x14ac:dyDescent="0.25">
      <c r="A392" s="7">
        <f t="shared" si="20"/>
        <v>6.99720087358084</v>
      </c>
      <c r="B392" s="5">
        <f t="shared" si="21"/>
        <v>5.4700000000000006</v>
      </c>
      <c r="C392" s="23"/>
      <c r="D392" t="s">
        <v>2225</v>
      </c>
      <c r="H392">
        <v>5.4700000000000006</v>
      </c>
      <c r="N392" t="str">
        <f t="shared" si="19"/>
        <v>00L0NE17R</v>
      </c>
    </row>
    <row r="393" spans="1:14" x14ac:dyDescent="0.25">
      <c r="A393" s="7">
        <f t="shared" si="20"/>
        <v>6.99720087358084</v>
      </c>
      <c r="B393" s="5">
        <f t="shared" si="21"/>
        <v>5.4700000000000006</v>
      </c>
      <c r="C393" s="23"/>
      <c r="D393" t="s">
        <v>2220</v>
      </c>
      <c r="H393">
        <v>5.4700000000000006</v>
      </c>
      <c r="N393" t="str">
        <f t="shared" si="19"/>
        <v>00L0NE18R</v>
      </c>
    </row>
    <row r="394" spans="1:14" x14ac:dyDescent="0.25">
      <c r="A394" s="7">
        <f t="shared" si="20"/>
        <v>6.99720087358084</v>
      </c>
      <c r="B394" s="5">
        <f t="shared" si="21"/>
        <v>5.4700000000000006</v>
      </c>
      <c r="C394" s="23"/>
      <c r="D394" t="s">
        <v>2216</v>
      </c>
      <c r="H394">
        <v>5.4700000000000006</v>
      </c>
      <c r="N394" t="str">
        <f t="shared" si="19"/>
        <v>00L0NE19R</v>
      </c>
    </row>
    <row r="395" spans="1:14" x14ac:dyDescent="0.25">
      <c r="A395" s="7">
        <f t="shared" si="20"/>
        <v>6.99720087358084</v>
      </c>
      <c r="B395" s="5">
        <f t="shared" si="21"/>
        <v>5.4700000000000006</v>
      </c>
      <c r="C395" s="23"/>
      <c r="D395" t="s">
        <v>2212</v>
      </c>
      <c r="H395">
        <v>5.4700000000000006</v>
      </c>
      <c r="N395" t="str">
        <f t="shared" si="19"/>
        <v>00L0NE1AR</v>
      </c>
    </row>
    <row r="396" spans="1:14" x14ac:dyDescent="0.25">
      <c r="A396" s="7">
        <f t="shared" si="20"/>
        <v>6.99720087358084</v>
      </c>
      <c r="B396" s="5">
        <f t="shared" si="21"/>
        <v>5.4700000000000006</v>
      </c>
      <c r="C396" s="23"/>
      <c r="D396" t="s">
        <v>2207</v>
      </c>
      <c r="H396">
        <v>5.4700000000000006</v>
      </c>
      <c r="N396" t="str">
        <f t="shared" si="19"/>
        <v>00L0NE1BR</v>
      </c>
    </row>
    <row r="397" spans="1:14" x14ac:dyDescent="0.25">
      <c r="A397" s="7">
        <f t="shared" si="20"/>
        <v>6.99720087358084</v>
      </c>
      <c r="B397" s="5">
        <f t="shared" si="21"/>
        <v>5.4700000000000006</v>
      </c>
      <c r="C397" s="23"/>
      <c r="D397" t="s">
        <v>2203</v>
      </c>
      <c r="H397">
        <v>5.4700000000000006</v>
      </c>
      <c r="N397" t="str">
        <f t="shared" si="19"/>
        <v>00L0NE1CR</v>
      </c>
    </row>
    <row r="398" spans="1:14" x14ac:dyDescent="0.25">
      <c r="A398" s="7">
        <f t="shared" si="20"/>
        <v>6.99720087358084</v>
      </c>
      <c r="B398" s="5">
        <f t="shared" si="21"/>
        <v>5.4700000000000006</v>
      </c>
      <c r="C398" s="23"/>
      <c r="D398" t="s">
        <v>2199</v>
      </c>
      <c r="H398">
        <v>5.4700000000000006</v>
      </c>
      <c r="N398" t="str">
        <f t="shared" si="19"/>
        <v>00L0NE1DR</v>
      </c>
    </row>
    <row r="399" spans="1:14" x14ac:dyDescent="0.25">
      <c r="A399" s="7">
        <f t="shared" si="20"/>
        <v>6.99720087358084</v>
      </c>
      <c r="B399" s="5">
        <f t="shared" si="21"/>
        <v>5.4700000000000006</v>
      </c>
      <c r="C399" s="23"/>
      <c r="D399" t="s">
        <v>2178</v>
      </c>
      <c r="H399">
        <v>5.4700000000000006</v>
      </c>
      <c r="N399" t="str">
        <f t="shared" si="19"/>
        <v>00L0NE1ER</v>
      </c>
    </row>
    <row r="400" spans="1:14" x14ac:dyDescent="0.25">
      <c r="A400" s="7">
        <f t="shared" si="20"/>
        <v>6.1657236216928055</v>
      </c>
      <c r="B400" s="5">
        <f t="shared" si="21"/>
        <v>4.82</v>
      </c>
      <c r="C400" s="23"/>
      <c r="D400" t="s">
        <v>2079</v>
      </c>
      <c r="H400">
        <v>4.82</v>
      </c>
      <c r="N400" t="str">
        <f t="shared" si="19"/>
        <v>00L0NE1FR</v>
      </c>
    </row>
    <row r="401" spans="1:14" x14ac:dyDescent="0.25">
      <c r="A401" s="7">
        <f t="shared" si="20"/>
        <v>6.99720087358084</v>
      </c>
      <c r="B401" s="5">
        <f t="shared" si="21"/>
        <v>5.4700000000000006</v>
      </c>
      <c r="C401" s="23"/>
      <c r="D401" t="s">
        <v>2195</v>
      </c>
      <c r="H401">
        <v>5.4700000000000006</v>
      </c>
      <c r="N401" t="str">
        <f t="shared" si="19"/>
        <v>00L0NE1GR</v>
      </c>
    </row>
    <row r="402" spans="1:14" x14ac:dyDescent="0.25">
      <c r="A402" s="7">
        <f t="shared" si="20"/>
        <v>6.99720087358084</v>
      </c>
      <c r="B402" s="5">
        <f t="shared" si="21"/>
        <v>5.4700000000000006</v>
      </c>
      <c r="C402" s="23"/>
      <c r="D402" t="s">
        <v>2174</v>
      </c>
      <c r="H402">
        <v>5.4700000000000006</v>
      </c>
      <c r="N402" t="str">
        <f t="shared" si="19"/>
        <v>00L0NE1HR</v>
      </c>
    </row>
    <row r="403" spans="1:14" x14ac:dyDescent="0.25">
      <c r="A403" s="7">
        <f t="shared" si="20"/>
        <v>7.4065435206641803</v>
      </c>
      <c r="B403" s="5">
        <f t="shared" si="21"/>
        <v>5.7900000000000009</v>
      </c>
      <c r="C403" s="23"/>
      <c r="D403" t="s">
        <v>2157</v>
      </c>
      <c r="H403">
        <v>5.7900000000000009</v>
      </c>
      <c r="N403" t="str">
        <f t="shared" si="19"/>
        <v>00L0NE1IR</v>
      </c>
    </row>
    <row r="404" spans="1:14" x14ac:dyDescent="0.25">
      <c r="A404" s="7">
        <f t="shared" si="20"/>
        <v>6.99720087358084</v>
      </c>
      <c r="B404" s="5">
        <f t="shared" si="21"/>
        <v>5.4700000000000006</v>
      </c>
      <c r="C404" s="23"/>
      <c r="D404" t="s">
        <v>2172</v>
      </c>
      <c r="H404">
        <v>5.4700000000000006</v>
      </c>
      <c r="N404" t="str">
        <f t="shared" si="19"/>
        <v>00L0NE1JR</v>
      </c>
    </row>
    <row r="405" spans="1:14" x14ac:dyDescent="0.25">
      <c r="A405" s="7">
        <f t="shared" si="20"/>
        <v>6.99720087358084</v>
      </c>
      <c r="B405" s="5">
        <f t="shared" si="21"/>
        <v>5.4700000000000006</v>
      </c>
      <c r="C405" s="23"/>
      <c r="D405" t="s">
        <v>2167</v>
      </c>
      <c r="H405">
        <v>5.4700000000000006</v>
      </c>
      <c r="N405" t="str">
        <f t="shared" si="19"/>
        <v>00L0NE1KR</v>
      </c>
    </row>
    <row r="406" spans="1:14" x14ac:dyDescent="0.25">
      <c r="A406" s="7">
        <f t="shared" si="20"/>
        <v>6.99720087358084</v>
      </c>
      <c r="B406" s="5">
        <f t="shared" si="21"/>
        <v>5.4700000000000006</v>
      </c>
      <c r="C406" s="23"/>
      <c r="D406" t="s">
        <v>2191</v>
      </c>
      <c r="H406">
        <v>5.4700000000000006</v>
      </c>
      <c r="N406" t="str">
        <f t="shared" si="19"/>
        <v>00L0NE1LR</v>
      </c>
    </row>
    <row r="407" spans="1:14" x14ac:dyDescent="0.25">
      <c r="A407" s="7">
        <f t="shared" si="20"/>
        <v>7.4065435206641803</v>
      </c>
      <c r="B407" s="5">
        <f t="shared" si="21"/>
        <v>5.7900000000000009</v>
      </c>
      <c r="C407" s="23"/>
      <c r="D407" t="s">
        <v>2152</v>
      </c>
      <c r="H407">
        <v>5.7900000000000009</v>
      </c>
      <c r="N407" t="str">
        <f t="shared" si="19"/>
        <v>00L0NE1MR</v>
      </c>
    </row>
    <row r="408" spans="1:14" x14ac:dyDescent="0.25">
      <c r="A408" s="7">
        <f t="shared" si="20"/>
        <v>6.99720087358084</v>
      </c>
      <c r="B408" s="5">
        <f t="shared" si="21"/>
        <v>5.4700000000000006</v>
      </c>
      <c r="C408" s="23"/>
      <c r="D408" t="s">
        <v>2162</v>
      </c>
      <c r="H408">
        <v>5.4700000000000006</v>
      </c>
      <c r="N408" t="str">
        <f t="shared" si="19"/>
        <v>00L0NE1NR</v>
      </c>
    </row>
    <row r="409" spans="1:14" x14ac:dyDescent="0.25">
      <c r="A409" s="7">
        <f t="shared" si="20"/>
        <v>9.5555924178517149</v>
      </c>
      <c r="B409" s="5">
        <f t="shared" si="21"/>
        <v>7.4700000000000015</v>
      </c>
      <c r="C409" s="23"/>
      <c r="D409" t="s">
        <v>2139</v>
      </c>
      <c r="H409">
        <v>7.4700000000000015</v>
      </c>
      <c r="N409" t="str">
        <f t="shared" si="19"/>
        <v>00L0NE1OR</v>
      </c>
    </row>
    <row r="410" spans="1:14" x14ac:dyDescent="0.25">
      <c r="A410" s="7">
        <f t="shared" si="20"/>
        <v>8.1228931530600246</v>
      </c>
      <c r="B410" s="5">
        <f t="shared" si="21"/>
        <v>6.3500000000000005</v>
      </c>
      <c r="C410" s="23"/>
      <c r="D410" t="s">
        <v>2144</v>
      </c>
      <c r="H410">
        <v>6.3500000000000005</v>
      </c>
      <c r="N410" t="str">
        <f t="shared" si="19"/>
        <v>00L0NE1PR</v>
      </c>
    </row>
    <row r="411" spans="1:14" x14ac:dyDescent="0.25">
      <c r="A411" s="7">
        <f t="shared" si="20"/>
        <v>9.5555924178517149</v>
      </c>
      <c r="B411" s="5">
        <f t="shared" si="21"/>
        <v>7.4700000000000015</v>
      </c>
      <c r="C411" s="23"/>
      <c r="D411" t="s">
        <v>2134</v>
      </c>
      <c r="H411">
        <v>7.4700000000000015</v>
      </c>
      <c r="N411" t="str">
        <f t="shared" si="19"/>
        <v>00L0NE1QR</v>
      </c>
    </row>
    <row r="412" spans="1:14" x14ac:dyDescent="0.25">
      <c r="A412" s="7">
        <f t="shared" si="20"/>
        <v>7.4065435206641803</v>
      </c>
      <c r="B412" s="5">
        <f t="shared" si="21"/>
        <v>5.7900000000000009</v>
      </c>
      <c r="C412" s="23"/>
      <c r="D412" t="s">
        <v>2148</v>
      </c>
      <c r="H412">
        <v>5.7900000000000009</v>
      </c>
      <c r="N412" t="str">
        <f t="shared" si="19"/>
        <v>00L0NE1RR</v>
      </c>
    </row>
    <row r="413" spans="1:14" x14ac:dyDescent="0.25">
      <c r="A413" s="7">
        <f t="shared" si="20"/>
        <v>6.99720087358084</v>
      </c>
      <c r="B413" s="5">
        <f t="shared" si="21"/>
        <v>5.4700000000000006</v>
      </c>
      <c r="C413" s="23"/>
      <c r="D413" t="s">
        <v>2127</v>
      </c>
      <c r="H413">
        <v>5.4700000000000006</v>
      </c>
      <c r="N413" t="str">
        <f t="shared" si="19"/>
        <v>00L0NE1SR</v>
      </c>
    </row>
    <row r="414" spans="1:14" x14ac:dyDescent="0.25">
      <c r="A414" s="7">
        <f t="shared" si="20"/>
        <v>6.99720087358084</v>
      </c>
      <c r="B414" s="5">
        <f t="shared" si="21"/>
        <v>5.4700000000000006</v>
      </c>
      <c r="C414" s="23"/>
      <c r="D414" t="s">
        <v>761</v>
      </c>
      <c r="H414">
        <v>5.4700000000000006</v>
      </c>
      <c r="N414" t="str">
        <f t="shared" si="19"/>
        <v>00L0SRL4R</v>
      </c>
    </row>
    <row r="415" spans="1:14" x14ac:dyDescent="0.25">
      <c r="A415" s="7">
        <f t="shared" si="20"/>
        <v>13.879274127669492</v>
      </c>
      <c r="B415" s="5">
        <f t="shared" si="21"/>
        <v>10.850000000000001</v>
      </c>
      <c r="C415" s="23"/>
      <c r="D415" t="s">
        <v>866</v>
      </c>
      <c r="H415">
        <v>5.7900000000000009</v>
      </c>
      <c r="K415">
        <v>5.0599999999999996</v>
      </c>
      <c r="N415" t="str">
        <f t="shared" si="19"/>
        <v>00L29F9XR</v>
      </c>
    </row>
    <row r="416" spans="1:14" x14ac:dyDescent="0.25">
      <c r="A416" s="7">
        <f t="shared" si="20"/>
        <v>7.4065435206641803</v>
      </c>
      <c r="B416" s="5">
        <f t="shared" si="21"/>
        <v>5.7900000000000009</v>
      </c>
      <c r="C416" s="23"/>
      <c r="D416" t="s">
        <v>868</v>
      </c>
      <c r="H416">
        <v>5.7900000000000009</v>
      </c>
      <c r="N416" t="str">
        <f t="shared" si="19"/>
        <v>00L29FI2R</v>
      </c>
    </row>
    <row r="417" spans="1:14" x14ac:dyDescent="0.25">
      <c r="A417" s="7">
        <f t="shared" si="20"/>
        <v>7.4065435206641803</v>
      </c>
      <c r="B417" s="5">
        <f t="shared" si="21"/>
        <v>5.7900000000000009</v>
      </c>
      <c r="C417" s="23"/>
      <c r="D417" t="s">
        <v>988</v>
      </c>
      <c r="H417">
        <v>5.7900000000000009</v>
      </c>
      <c r="N417" t="str">
        <f t="shared" si="19"/>
        <v>00L2R9O3R</v>
      </c>
    </row>
    <row r="418" spans="1:14" x14ac:dyDescent="0.25">
      <c r="A418" s="7">
        <f t="shared" si="20"/>
        <v>8.1228931530600246</v>
      </c>
      <c r="B418" s="5">
        <f t="shared" si="21"/>
        <v>6.3500000000000005</v>
      </c>
      <c r="C418" s="23"/>
      <c r="D418" t="s">
        <v>993</v>
      </c>
      <c r="H418">
        <v>6.3500000000000005</v>
      </c>
      <c r="N418" t="str">
        <f t="shared" si="19"/>
        <v>00L2RVK3R</v>
      </c>
    </row>
    <row r="419" spans="1:14" x14ac:dyDescent="0.25">
      <c r="A419" s="7">
        <f t="shared" si="20"/>
        <v>8.8392427854558697</v>
      </c>
      <c r="B419" s="5">
        <f t="shared" si="21"/>
        <v>6.910000000000001</v>
      </c>
      <c r="C419" s="23"/>
      <c r="D419" t="s">
        <v>1032</v>
      </c>
      <c r="H419">
        <v>6.910000000000001</v>
      </c>
      <c r="N419" t="str">
        <f t="shared" si="19"/>
        <v>00L2X6VJR</v>
      </c>
    </row>
    <row r="420" spans="1:14" x14ac:dyDescent="0.25">
      <c r="A420" s="7">
        <f t="shared" si="20"/>
        <v>13.533891269192921</v>
      </c>
      <c r="B420" s="5">
        <f t="shared" si="21"/>
        <v>10.58</v>
      </c>
      <c r="C420" s="23"/>
      <c r="D420" t="s">
        <v>1141</v>
      </c>
      <c r="H420">
        <v>10.58</v>
      </c>
      <c r="N420" t="str">
        <f t="shared" si="19"/>
        <v>00L3602KR</v>
      </c>
    </row>
    <row r="421" spans="1:14" x14ac:dyDescent="0.25">
      <c r="A421" s="7">
        <f t="shared" si="20"/>
        <v>14.339784605638247</v>
      </c>
      <c r="B421" s="5">
        <f t="shared" si="21"/>
        <v>11.21</v>
      </c>
      <c r="C421" s="23"/>
      <c r="D421" t="s">
        <v>1133</v>
      </c>
      <c r="H421">
        <v>11.21</v>
      </c>
      <c r="N421" t="str">
        <f t="shared" si="19"/>
        <v>00L3602LR</v>
      </c>
    </row>
    <row r="422" spans="1:14" x14ac:dyDescent="0.25">
      <c r="A422" s="7">
        <f t="shared" si="20"/>
        <v>8.8392427854558697</v>
      </c>
      <c r="B422" s="5">
        <f t="shared" si="21"/>
        <v>6.910000000000001</v>
      </c>
      <c r="C422" s="23"/>
      <c r="D422" t="s">
        <v>1142</v>
      </c>
      <c r="H422">
        <v>6.910000000000001</v>
      </c>
      <c r="N422" t="str">
        <f t="shared" si="19"/>
        <v>00L363N4R</v>
      </c>
    </row>
    <row r="423" spans="1:14" x14ac:dyDescent="0.25">
      <c r="A423" s="7">
        <f t="shared" si="20"/>
        <v>6.99720087358084</v>
      </c>
      <c r="B423" s="5">
        <f t="shared" si="21"/>
        <v>5.4700000000000006</v>
      </c>
      <c r="C423" s="23"/>
      <c r="D423" t="s">
        <v>1185</v>
      </c>
      <c r="H423">
        <v>5.4700000000000006</v>
      </c>
      <c r="N423" t="str">
        <f t="shared" si="19"/>
        <v>00L38JTQR</v>
      </c>
    </row>
    <row r="424" spans="1:14" x14ac:dyDescent="0.25">
      <c r="A424" s="7">
        <f t="shared" si="20"/>
        <v>6.1657236216928055</v>
      </c>
      <c r="B424" s="5">
        <f t="shared" si="21"/>
        <v>4.82</v>
      </c>
      <c r="C424" s="23"/>
      <c r="D424" t="s">
        <v>1415</v>
      </c>
      <c r="H424">
        <v>4.82</v>
      </c>
      <c r="N424" t="str">
        <f t="shared" si="19"/>
        <v>00L3KSUNR</v>
      </c>
    </row>
    <row r="425" spans="1:14" x14ac:dyDescent="0.25">
      <c r="A425" s="7">
        <f t="shared" si="20"/>
        <v>8.1228931530600246</v>
      </c>
      <c r="B425" s="5">
        <f t="shared" si="21"/>
        <v>6.3500000000000005</v>
      </c>
      <c r="C425" s="23"/>
      <c r="D425" t="s">
        <v>1639</v>
      </c>
      <c r="H425">
        <v>6.3500000000000005</v>
      </c>
      <c r="N425" t="str">
        <f t="shared" si="19"/>
        <v>00L3KZMER</v>
      </c>
    </row>
    <row r="426" spans="1:14" x14ac:dyDescent="0.25">
      <c r="A426" s="7">
        <f t="shared" si="20"/>
        <v>6.99720087358084</v>
      </c>
      <c r="B426" s="5">
        <f t="shared" si="21"/>
        <v>5.4700000000000006</v>
      </c>
      <c r="C426" s="23"/>
      <c r="D426" t="s">
        <v>1981</v>
      </c>
      <c r="H426">
        <v>5.4700000000000006</v>
      </c>
      <c r="N426" t="str">
        <f t="shared" si="19"/>
        <v>00L3QE5GR</v>
      </c>
    </row>
    <row r="427" spans="1:14" x14ac:dyDescent="0.25">
      <c r="A427" s="7">
        <f t="shared" si="20"/>
        <v>6.99720087358084</v>
      </c>
      <c r="B427" s="5">
        <f t="shared" si="21"/>
        <v>5.4700000000000006</v>
      </c>
      <c r="C427" s="23"/>
      <c r="D427" t="s">
        <v>1979</v>
      </c>
      <c r="H427">
        <v>5.4700000000000006</v>
      </c>
      <c r="N427" t="str">
        <f t="shared" si="19"/>
        <v>00L3Y32DR</v>
      </c>
    </row>
    <row r="428" spans="1:14" x14ac:dyDescent="0.25">
      <c r="A428" s="7">
        <f t="shared" si="20"/>
        <v>6.5878582264974996</v>
      </c>
      <c r="B428" s="5">
        <f t="shared" si="21"/>
        <v>5.15</v>
      </c>
      <c r="C428" s="23"/>
      <c r="D428" t="s">
        <v>2053</v>
      </c>
      <c r="H428">
        <v>5.15</v>
      </c>
      <c r="N428" t="str">
        <f t="shared" si="19"/>
        <v>00L40S0NR</v>
      </c>
    </row>
    <row r="429" spans="1:14" x14ac:dyDescent="0.25">
      <c r="A429" s="7">
        <f t="shared" si="20"/>
        <v>13.866482169948135</v>
      </c>
      <c r="B429" s="5">
        <f t="shared" si="21"/>
        <v>10.84</v>
      </c>
      <c r="C429" s="23"/>
      <c r="D429" t="s">
        <v>934</v>
      </c>
      <c r="H429">
        <v>10.84</v>
      </c>
      <c r="N429" t="str">
        <f t="shared" si="19"/>
        <v>ZWLMMM8VR</v>
      </c>
    </row>
    <row r="430" spans="1:14" x14ac:dyDescent="0.25">
      <c r="A430" s="7">
        <f t="shared" si="20"/>
        <v>23.447658503242554</v>
      </c>
      <c r="B430" s="5">
        <f t="shared" si="21"/>
        <v>18.329999999999998</v>
      </c>
      <c r="C430" s="23"/>
      <c r="D430" t="s">
        <v>1220</v>
      </c>
      <c r="H430">
        <v>18.329999999999998</v>
      </c>
      <c r="N430" t="str">
        <f t="shared" si="19"/>
        <v>ZWLMMM8WR</v>
      </c>
    </row>
    <row r="431" spans="1:14" x14ac:dyDescent="0.25">
      <c r="A431" s="7">
        <f t="shared" si="20"/>
        <v>43.121689478685575</v>
      </c>
      <c r="B431" s="5">
        <f t="shared" si="21"/>
        <v>33.71</v>
      </c>
      <c r="C431" s="23"/>
      <c r="D431" t="s">
        <v>112</v>
      </c>
      <c r="G431">
        <v>33.71</v>
      </c>
      <c r="H431">
        <v>0</v>
      </c>
      <c r="N431" t="str">
        <f t="shared" si="19"/>
        <v>(vide)R</v>
      </c>
    </row>
  </sheetData>
  <autoFilter ref="B2:J382" xr:uid="{00000000-0001-0000-0300-000000000000}"/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X429"/>
  <sheetViews>
    <sheetView zoomScale="80" zoomScaleNormal="80" workbookViewId="0">
      <pane ySplit="1" topLeftCell="A398" activePane="bottomLeft" state="frozen"/>
      <selection pane="bottomLeft" activeCell="B2" sqref="B2:V429"/>
    </sheetView>
  </sheetViews>
  <sheetFormatPr baseColWidth="10" defaultRowHeight="15" x14ac:dyDescent="0.25"/>
  <cols>
    <col min="1" max="1" width="29.85546875" style="1" bestFit="1" customWidth="1"/>
    <col min="2" max="2" width="20.7109375" bestFit="1" customWidth="1"/>
    <col min="11" max="11" width="14" bestFit="1" customWidth="1"/>
    <col min="14" max="14" width="14.140625" customWidth="1"/>
    <col min="24" max="24" width="34.28515625" customWidth="1"/>
  </cols>
  <sheetData>
    <row r="1" spans="1:23" x14ac:dyDescent="0.25">
      <c r="A1" s="1" t="s">
        <v>185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48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83</v>
      </c>
    </row>
    <row r="2" spans="1:23" x14ac:dyDescent="0.25">
      <c r="A2" s="1" t="e">
        <f>_xlfn.XLOOKUP(G2,'Facture GLS'!AB:AB,'Facture GLS'!O:O)</f>
        <v>#N/A</v>
      </c>
      <c r="B2" t="s">
        <v>193</v>
      </c>
      <c r="C2" s="34">
        <v>46174</v>
      </c>
      <c r="G2" t="str">
        <f>TCD!D3</f>
        <v>Somme de Total HT (hors gazole)</v>
      </c>
      <c r="I2" t="s">
        <v>104</v>
      </c>
      <c r="J2" t="e">
        <f>_xlfn.XLOOKUP(G2,'Facture GLS'!AB:AB,'Facture GLS'!BB:BB)</f>
        <v>#N/A</v>
      </c>
      <c r="K2" t="str">
        <f>IF(COUNTIF(Zoning!A:A,J2)=0,"pays inconnu",LOOKUP(J2,Zoning!A:A,Zoning!B:B))</f>
        <v>pays inconnu</v>
      </c>
      <c r="L2">
        <v>1</v>
      </c>
      <c r="M2" t="e">
        <f>_xlfn.XLOOKUP(G2,Poids!A:A,Poids!C:C)</f>
        <v>#N/A</v>
      </c>
      <c r="N2" t="str">
        <f>IF(COUNTIF(Zoning!A:A,J2)=0,"zone inconnue","France")</f>
        <v>zone inconnue</v>
      </c>
      <c r="O2" t="str">
        <f>IF(COUNTIF(Zoning!A:A,J2)=0,"taux inconnu",_xlfn.XLOOKUP(J2,Zoning!A:A,Zoning!C:C))</f>
        <v>taux inconnu</v>
      </c>
      <c r="R2" t="str">
        <f>IF(TCD!K3="","",TCD!K3)</f>
        <v/>
      </c>
      <c r="S2" t="str">
        <f>IF(TCD!F3="","",TCD!F3)</f>
        <v/>
      </c>
      <c r="T2" t="str">
        <f>IF(TCD!E3="","",TCD!E3)</f>
        <v>Catégorie</v>
      </c>
      <c r="U2">
        <f>SUM(TCD!H3:J3)</f>
        <v>0</v>
      </c>
    </row>
    <row r="3" spans="1:23" ht="23.25" x14ac:dyDescent="0.35">
      <c r="A3" s="1" t="str">
        <f>_xlfn.XLOOKUP(G3,'Facture GLS'!AB:AB,'Facture GLS'!O:O)</f>
        <v>Nom compte exploit.</v>
      </c>
      <c r="B3" t="str">
        <f>B2</f>
        <v>GLS</v>
      </c>
      <c r="C3" s="2">
        <f>C2</f>
        <v>46174</v>
      </c>
      <c r="G3" t="str">
        <f>TCD!D4</f>
        <v>NumÃ©ro de colis</v>
      </c>
      <c r="I3" t="s">
        <v>104</v>
      </c>
      <c r="J3" t="str">
        <f>_xlfn.XLOOKUP(G3,'Facture GLS'!AB:AB,'Facture GLS'!BB:BB)</f>
        <v>Code Pays</v>
      </c>
      <c r="K3" t="str">
        <f>IF(COUNTIF(Zoning!A:A,J3)=0,"pays inconnu",LOOKUP(J3,Zoning!A:A,Zoning!B:B))</f>
        <v>pays inconnu</v>
      </c>
      <c r="L3">
        <f>L2</f>
        <v>1</v>
      </c>
      <c r="M3" t="e">
        <f>_xlfn.XLOOKUP(G3,Poids!A:A,Poids!C:C)</f>
        <v>#N/A</v>
      </c>
      <c r="N3" t="str">
        <f>IF(COUNTIF(Zoning!A:A,J3)=0,"zone inconnue","France")</f>
        <v>zone inconnue</v>
      </c>
      <c r="O3" t="str">
        <f>IF(COUNTIF(Zoning!A:A,J3)=0,"taux inconnu",_xlfn.XLOOKUP(J3,Zoning!A:A,Zoning!C:C))</f>
        <v>taux inconnu</v>
      </c>
      <c r="R3" t="str">
        <f>IF(TCD!K4="","",TCD!K4)</f>
        <v>Zone éloignée</v>
      </c>
      <c r="S3" t="str">
        <f>IF(TCD!F4="","",TCD!F4)</f>
        <v>Colis volumineux</v>
      </c>
      <c r="T3" t="str">
        <f>IF(TCD!E4="","",TCD!E4)</f>
        <v>Adresse</v>
      </c>
      <c r="U3">
        <f>SUM(TCD!H4:J4)</f>
        <v>0</v>
      </c>
      <c r="W3" s="12" t="s">
        <v>146</v>
      </c>
    </row>
    <row r="4" spans="1:23" x14ac:dyDescent="0.25">
      <c r="A4" s="1" t="str">
        <f>_xlfn.XLOOKUP(G4,'Facture GLS'!AB:AB,'Facture GLS'!O:O)</f>
        <v>LA RUCHE</v>
      </c>
      <c r="B4" t="str">
        <f t="shared" ref="B4:B67" si="0">B3</f>
        <v>GLS</v>
      </c>
      <c r="C4" s="2">
        <f t="shared" ref="C4:C67" si="1">C3</f>
        <v>46174</v>
      </c>
      <c r="G4" t="str">
        <f>TCD!D5</f>
        <v>00KUR5TU</v>
      </c>
      <c r="I4" t="s">
        <v>104</v>
      </c>
      <c r="J4" t="str">
        <f>_xlfn.XLOOKUP(G4,'Facture GLS'!AB:AB,'Facture GLS'!BB:BB)</f>
        <v>FR</v>
      </c>
      <c r="K4" t="str">
        <f>IF(COUNTIF(Zoning!A:A,J4)=0,"pays inconnu",LOOKUP(J4,Zoning!A:A,Zoning!B:B))</f>
        <v>France</v>
      </c>
      <c r="L4">
        <f t="shared" ref="L4:L67" si="2">L3</f>
        <v>1</v>
      </c>
      <c r="M4">
        <f>_xlfn.XLOOKUP(G4,Poids!A:A,Poids!C:C)</f>
        <v>0</v>
      </c>
      <c r="N4" t="str">
        <f>IF(COUNTIF(Zoning!A:A,J4)=0,"zone inconnue","France")</f>
        <v>France</v>
      </c>
      <c r="O4">
        <f>IF(COUNTIF(Zoning!A:A,J4)=0,"taux inconnu",_xlfn.XLOOKUP(J4,Zoning!A:A,Zoning!C:C))</f>
        <v>0.2</v>
      </c>
      <c r="R4" t="str">
        <f>IF(TCD!K5="","",TCD!K5)</f>
        <v/>
      </c>
      <c r="S4" t="str">
        <f>IF(TCD!F5="","",TCD!F5)</f>
        <v/>
      </c>
      <c r="T4" t="str">
        <f>IF(TCD!E5="","",TCD!E5)</f>
        <v/>
      </c>
      <c r="U4">
        <f>SUM(TCD!H5:J5)</f>
        <v>0</v>
      </c>
    </row>
    <row r="5" spans="1:23" x14ac:dyDescent="0.25">
      <c r="A5" s="1" t="str">
        <f>_xlfn.XLOOKUP(G5,'Facture GLS'!AB:AB,'Facture GLS'!O:O)</f>
        <v>LA RUCHE</v>
      </c>
      <c r="B5" t="str">
        <f t="shared" si="0"/>
        <v>GLS</v>
      </c>
      <c r="C5" s="2">
        <f t="shared" si="1"/>
        <v>46174</v>
      </c>
      <c r="G5" t="str">
        <f>TCD!D6</f>
        <v>00KUR5TX</v>
      </c>
      <c r="I5" t="s">
        <v>104</v>
      </c>
      <c r="J5" t="str">
        <f>_xlfn.XLOOKUP(G5,'Facture GLS'!AB:AB,'Facture GLS'!BB:BB)</f>
        <v>FR</v>
      </c>
      <c r="K5" t="str">
        <f>IF(COUNTIF(Zoning!A:A,J5)=0,"pays inconnu",LOOKUP(J5,Zoning!A:A,Zoning!B:B))</f>
        <v>France</v>
      </c>
      <c r="L5">
        <f t="shared" si="2"/>
        <v>1</v>
      </c>
      <c r="M5">
        <f>_xlfn.XLOOKUP(G5,Poids!A:A,Poids!C:C)</f>
        <v>0.30000000000000004</v>
      </c>
      <c r="N5" t="str">
        <f>IF(COUNTIF(Zoning!A:A,J5)=0,"zone inconnue","France")</f>
        <v>France</v>
      </c>
      <c r="O5">
        <f>IF(COUNTIF(Zoning!A:A,J5)=0,"taux inconnu",_xlfn.XLOOKUP(J5,Zoning!A:A,Zoning!C:C))</f>
        <v>0.2</v>
      </c>
      <c r="R5" t="str">
        <f>IF(TCD!K6="","",TCD!K6)</f>
        <v/>
      </c>
      <c r="S5" t="str">
        <f>IF(TCD!F6="","",TCD!F6)</f>
        <v/>
      </c>
      <c r="T5" t="str">
        <f>IF(TCD!E6="","",TCD!E6)</f>
        <v/>
      </c>
      <c r="U5">
        <f>SUM(TCD!H6:J6)</f>
        <v>4.82</v>
      </c>
    </row>
    <row r="6" spans="1:23" x14ac:dyDescent="0.25">
      <c r="A6" s="1" t="str">
        <f>_xlfn.XLOOKUP(G6,'Facture GLS'!AB:AB,'Facture GLS'!O:O)</f>
        <v>LA RUCHE</v>
      </c>
      <c r="B6" t="str">
        <f t="shared" si="0"/>
        <v>GLS</v>
      </c>
      <c r="C6" s="2">
        <f t="shared" si="1"/>
        <v>46174</v>
      </c>
      <c r="G6" t="str">
        <f>TCD!D7</f>
        <v>00KUR5TY</v>
      </c>
      <c r="I6" t="s">
        <v>104</v>
      </c>
      <c r="J6" t="str">
        <f>_xlfn.XLOOKUP(G6,'Facture GLS'!AB:AB,'Facture GLS'!BB:BB)</f>
        <v>FR</v>
      </c>
      <c r="K6" t="str">
        <f>IF(COUNTIF(Zoning!A:A,J6)=0,"pays inconnu",LOOKUP(J6,Zoning!A:A,Zoning!B:B))</f>
        <v>France</v>
      </c>
      <c r="L6">
        <f t="shared" si="2"/>
        <v>1</v>
      </c>
      <c r="M6">
        <f>_xlfn.XLOOKUP(G6,Poids!A:A,Poids!C:C)</f>
        <v>0.30000000000000004</v>
      </c>
      <c r="N6" t="str">
        <f>IF(COUNTIF(Zoning!A:A,J6)=0,"zone inconnue","France")</f>
        <v>France</v>
      </c>
      <c r="O6">
        <f>IF(COUNTIF(Zoning!A:A,J6)=0,"taux inconnu",_xlfn.XLOOKUP(J6,Zoning!A:A,Zoning!C:C))</f>
        <v>0.2</v>
      </c>
      <c r="R6" t="str">
        <f>IF(TCD!K7="","",TCD!K7)</f>
        <v/>
      </c>
      <c r="S6" t="str">
        <f>IF(TCD!F7="","",TCD!F7)</f>
        <v/>
      </c>
      <c r="T6" t="str">
        <f>IF(TCD!E7="","",TCD!E7)</f>
        <v/>
      </c>
      <c r="U6">
        <f>SUM(TCD!H7:J7)</f>
        <v>4.82</v>
      </c>
    </row>
    <row r="7" spans="1:23" x14ac:dyDescent="0.25">
      <c r="A7" s="1" t="str">
        <f>_xlfn.XLOOKUP(G7,'Facture GLS'!AB:AB,'Facture GLS'!O:O)</f>
        <v>LA RUCHE</v>
      </c>
      <c r="B7" t="str">
        <f t="shared" si="0"/>
        <v>GLS</v>
      </c>
      <c r="C7" s="2">
        <f t="shared" si="1"/>
        <v>46174</v>
      </c>
      <c r="G7" t="str">
        <f>TCD!D8</f>
        <v>00KUR5TZ</v>
      </c>
      <c r="I7" t="s">
        <v>104</v>
      </c>
      <c r="J7" t="str">
        <f>_xlfn.XLOOKUP(G7,'Facture GLS'!AB:AB,'Facture GLS'!BB:BB)</f>
        <v>FR</v>
      </c>
      <c r="K7" t="str">
        <f>IF(COUNTIF(Zoning!A:A,J7)=0,"pays inconnu",LOOKUP(J7,Zoning!A:A,Zoning!B:B))</f>
        <v>France</v>
      </c>
      <c r="L7">
        <f t="shared" si="2"/>
        <v>1</v>
      </c>
      <c r="M7">
        <f>_xlfn.XLOOKUP(G7,Poids!A:A,Poids!C:C)</f>
        <v>0.30000000000000004</v>
      </c>
      <c r="N7" t="str">
        <f>IF(COUNTIF(Zoning!A:A,J7)=0,"zone inconnue","France")</f>
        <v>France</v>
      </c>
      <c r="O7">
        <f>IF(COUNTIF(Zoning!A:A,J7)=0,"taux inconnu",_xlfn.XLOOKUP(J7,Zoning!A:A,Zoning!C:C))</f>
        <v>0.2</v>
      </c>
      <c r="R7" t="str">
        <f>IF(TCD!K8="","",TCD!K8)</f>
        <v/>
      </c>
      <c r="S7" t="str">
        <f>IF(TCD!F8="","",TCD!F8)</f>
        <v/>
      </c>
      <c r="T7" t="str">
        <f>IF(TCD!E8="","",TCD!E8)</f>
        <v/>
      </c>
      <c r="U7">
        <f>SUM(TCD!H8:J8)</f>
        <v>4.82</v>
      </c>
    </row>
    <row r="8" spans="1:23" x14ac:dyDescent="0.25">
      <c r="A8" s="1" t="str">
        <f>_xlfn.XLOOKUP(G8,'Facture GLS'!AB:AB,'Facture GLS'!O:O)</f>
        <v>LA RUCHE</v>
      </c>
      <c r="B8" t="str">
        <f t="shared" si="0"/>
        <v>GLS</v>
      </c>
      <c r="C8" s="2">
        <f t="shared" si="1"/>
        <v>46174</v>
      </c>
      <c r="G8" t="str">
        <f>TCD!D9</f>
        <v>00KUR5U0</v>
      </c>
      <c r="I8" t="s">
        <v>104</v>
      </c>
      <c r="J8" t="str">
        <f>_xlfn.XLOOKUP(G8,'Facture GLS'!AB:AB,'Facture GLS'!BB:BB)</f>
        <v>FR</v>
      </c>
      <c r="K8" t="str">
        <f>IF(COUNTIF(Zoning!A:A,J8)=0,"pays inconnu",LOOKUP(J8,Zoning!A:A,Zoning!B:B))</f>
        <v>France</v>
      </c>
      <c r="L8">
        <f t="shared" si="2"/>
        <v>1</v>
      </c>
      <c r="M8">
        <f>_xlfn.XLOOKUP(G8,Poids!A:A,Poids!C:C)</f>
        <v>0.30000000000000004</v>
      </c>
      <c r="N8" t="str">
        <f>IF(COUNTIF(Zoning!A:A,J8)=0,"zone inconnue","France")</f>
        <v>France</v>
      </c>
      <c r="O8">
        <f>IF(COUNTIF(Zoning!A:A,J8)=0,"taux inconnu",_xlfn.XLOOKUP(J8,Zoning!A:A,Zoning!C:C))</f>
        <v>0.2</v>
      </c>
      <c r="R8" t="str">
        <f>IF(TCD!K9="","",TCD!K9)</f>
        <v/>
      </c>
      <c r="S8" t="str">
        <f>IF(TCD!F9="","",TCD!F9)</f>
        <v/>
      </c>
      <c r="T8" t="str">
        <f>IF(TCD!E9="","",TCD!E9)</f>
        <v/>
      </c>
      <c r="U8">
        <f>SUM(TCD!H9:J9)</f>
        <v>4.82</v>
      </c>
    </row>
    <row r="9" spans="1:23" x14ac:dyDescent="0.25">
      <c r="A9" s="1" t="str">
        <f>_xlfn.XLOOKUP(G9,'Facture GLS'!AB:AB,'Facture GLS'!O:O)</f>
        <v>LA RUCHE</v>
      </c>
      <c r="B9" t="str">
        <f t="shared" si="0"/>
        <v>GLS</v>
      </c>
      <c r="C9" s="2">
        <f t="shared" si="1"/>
        <v>46174</v>
      </c>
      <c r="G9" t="str">
        <f>TCD!D10</f>
        <v>00KUR5U1</v>
      </c>
      <c r="I9" t="s">
        <v>104</v>
      </c>
      <c r="J9" t="str">
        <f>_xlfn.XLOOKUP(G9,'Facture GLS'!AB:AB,'Facture GLS'!BB:BB)</f>
        <v>FR</v>
      </c>
      <c r="K9" t="str">
        <f>IF(COUNTIF(Zoning!A:A,J9)=0,"pays inconnu",LOOKUP(J9,Zoning!A:A,Zoning!B:B))</f>
        <v>France</v>
      </c>
      <c r="L9">
        <f t="shared" si="2"/>
        <v>1</v>
      </c>
      <c r="M9">
        <f>_xlfn.XLOOKUP(G9,Poids!A:A,Poids!C:C)</f>
        <v>0.6</v>
      </c>
      <c r="N9" t="str">
        <f>IF(COUNTIF(Zoning!A:A,J9)=0,"zone inconnue","France")</f>
        <v>France</v>
      </c>
      <c r="O9">
        <f>IF(COUNTIF(Zoning!A:A,J9)=0,"taux inconnu",_xlfn.XLOOKUP(J9,Zoning!A:A,Zoning!C:C))</f>
        <v>0.2</v>
      </c>
      <c r="R9" t="str">
        <f>IF(TCD!K10="","",TCD!K10)</f>
        <v/>
      </c>
      <c r="S9" t="str">
        <f>IF(TCD!F10="","",TCD!F10)</f>
        <v/>
      </c>
      <c r="T9" t="str">
        <f>IF(TCD!E10="","",TCD!E10)</f>
        <v/>
      </c>
      <c r="U9">
        <f>SUM(TCD!H10:J10)</f>
        <v>9.25</v>
      </c>
    </row>
    <row r="10" spans="1:23" x14ac:dyDescent="0.25">
      <c r="A10" s="1" t="str">
        <f>_xlfn.XLOOKUP(G10,'Facture GLS'!AB:AB,'Facture GLS'!O:O)</f>
        <v>LA RUCHE</v>
      </c>
      <c r="B10" t="str">
        <f t="shared" si="0"/>
        <v>GLS</v>
      </c>
      <c r="C10" s="2">
        <f t="shared" si="1"/>
        <v>46174</v>
      </c>
      <c r="G10" t="str">
        <f>TCD!D11</f>
        <v>00KUR5U2</v>
      </c>
      <c r="I10" t="s">
        <v>104</v>
      </c>
      <c r="J10" t="str">
        <f>_xlfn.XLOOKUP(G10,'Facture GLS'!AB:AB,'Facture GLS'!BB:BB)</f>
        <v>FR</v>
      </c>
      <c r="K10" t="str">
        <f>IF(COUNTIF(Zoning!A:A,J10)=0,"pays inconnu",LOOKUP(J10,Zoning!A:A,Zoning!B:B))</f>
        <v>France</v>
      </c>
      <c r="L10">
        <f t="shared" si="2"/>
        <v>1</v>
      </c>
      <c r="M10">
        <f>_xlfn.XLOOKUP(G10,Poids!A:A,Poids!C:C)</f>
        <v>0.30000000000000004</v>
      </c>
      <c r="N10" t="str">
        <f>IF(COUNTIF(Zoning!A:A,J10)=0,"zone inconnue","France")</f>
        <v>France</v>
      </c>
      <c r="O10">
        <f>IF(COUNTIF(Zoning!A:A,J10)=0,"taux inconnu",_xlfn.XLOOKUP(J10,Zoning!A:A,Zoning!C:C))</f>
        <v>0.2</v>
      </c>
      <c r="R10" t="str">
        <f>IF(TCD!K11="","",TCD!K11)</f>
        <v/>
      </c>
      <c r="S10" t="str">
        <f>IF(TCD!F11="","",TCD!F11)</f>
        <v/>
      </c>
      <c r="T10" t="str">
        <f>IF(TCD!E11="","",TCD!E11)</f>
        <v/>
      </c>
      <c r="U10">
        <f>SUM(TCD!H11:J11)</f>
        <v>8.59</v>
      </c>
    </row>
    <row r="11" spans="1:23" x14ac:dyDescent="0.25">
      <c r="A11" s="1" t="str">
        <f>_xlfn.XLOOKUP(G11,'Facture GLS'!AB:AB,'Facture GLS'!O:O)</f>
        <v>LA RUCHE</v>
      </c>
      <c r="B11" t="str">
        <f t="shared" si="0"/>
        <v>GLS</v>
      </c>
      <c r="C11" s="2">
        <f t="shared" si="1"/>
        <v>46174</v>
      </c>
      <c r="G11" t="str">
        <f>TCD!D12</f>
        <v>00KUR5U3</v>
      </c>
      <c r="I11" t="s">
        <v>104</v>
      </c>
      <c r="J11" t="str">
        <f>_xlfn.XLOOKUP(G11,'Facture GLS'!AB:AB,'Facture GLS'!BB:BB)</f>
        <v>FR</v>
      </c>
      <c r="K11" t="str">
        <f>IF(COUNTIF(Zoning!A:A,J11)=0,"pays inconnu",LOOKUP(J11,Zoning!A:A,Zoning!B:B))</f>
        <v>France</v>
      </c>
      <c r="L11">
        <f t="shared" si="2"/>
        <v>1</v>
      </c>
      <c r="M11">
        <f>_xlfn.XLOOKUP(G11,Poids!A:A,Poids!C:C)</f>
        <v>0.3</v>
      </c>
      <c r="N11" t="str">
        <f>IF(COUNTIF(Zoning!A:A,J11)=0,"zone inconnue","France")</f>
        <v>France</v>
      </c>
      <c r="O11">
        <f>IF(COUNTIF(Zoning!A:A,J11)=0,"taux inconnu",_xlfn.XLOOKUP(J11,Zoning!A:A,Zoning!C:C))</f>
        <v>0.2</v>
      </c>
      <c r="R11" t="str">
        <f>IF(TCD!K12="","",TCD!K12)</f>
        <v/>
      </c>
      <c r="S11" t="str">
        <f>IF(TCD!F12="","",TCD!F12)</f>
        <v/>
      </c>
      <c r="T11" t="str">
        <f>IF(TCD!E12="","",TCD!E12)</f>
        <v/>
      </c>
      <c r="U11">
        <f>SUM(TCD!H12:J12)</f>
        <v>4.82</v>
      </c>
    </row>
    <row r="12" spans="1:23" x14ac:dyDescent="0.25">
      <c r="A12" s="1" t="str">
        <f>_xlfn.XLOOKUP(G12,'Facture GLS'!AB:AB,'Facture GLS'!O:O)</f>
        <v>LA RUCHE</v>
      </c>
      <c r="B12" t="str">
        <f t="shared" si="0"/>
        <v>GLS</v>
      </c>
      <c r="C12" s="2">
        <f t="shared" si="1"/>
        <v>46174</v>
      </c>
      <c r="G12" t="str">
        <f>TCD!D13</f>
        <v>00KUR5U4</v>
      </c>
      <c r="I12" t="s">
        <v>104</v>
      </c>
      <c r="J12" t="str">
        <f>_xlfn.XLOOKUP(G12,'Facture GLS'!AB:AB,'Facture GLS'!BB:BB)</f>
        <v>FR</v>
      </c>
      <c r="K12" t="str">
        <f>IF(COUNTIF(Zoning!A:A,J12)=0,"pays inconnu",LOOKUP(J12,Zoning!A:A,Zoning!B:B))</f>
        <v>France</v>
      </c>
      <c r="L12">
        <f t="shared" si="2"/>
        <v>1</v>
      </c>
      <c r="M12">
        <f>_xlfn.XLOOKUP(G12,Poids!A:A,Poids!C:C)</f>
        <v>0.6</v>
      </c>
      <c r="N12" t="str">
        <f>IF(COUNTIF(Zoning!A:A,J12)=0,"zone inconnue","France")</f>
        <v>France</v>
      </c>
      <c r="O12">
        <f>IF(COUNTIF(Zoning!A:A,J12)=0,"taux inconnu",_xlfn.XLOOKUP(J12,Zoning!A:A,Zoning!C:C))</f>
        <v>0.2</v>
      </c>
      <c r="R12" t="str">
        <f>IF(TCD!K13="","",TCD!K13)</f>
        <v/>
      </c>
      <c r="S12" t="str">
        <f>IF(TCD!F13="","",TCD!F13)</f>
        <v/>
      </c>
      <c r="T12" t="str">
        <f>IF(TCD!E13="","",TCD!E13)</f>
        <v/>
      </c>
      <c r="U12">
        <f>SUM(TCD!H13:J13)</f>
        <v>5.15</v>
      </c>
    </row>
    <row r="13" spans="1:23" x14ac:dyDescent="0.25">
      <c r="A13" s="1" t="str">
        <f>_xlfn.XLOOKUP(G13,'Facture GLS'!AB:AB,'Facture GLS'!O:O)</f>
        <v>LA RUCHE</v>
      </c>
      <c r="B13" t="str">
        <f t="shared" si="0"/>
        <v>GLS</v>
      </c>
      <c r="C13" s="2">
        <f t="shared" si="1"/>
        <v>46174</v>
      </c>
      <c r="G13" t="str">
        <f>TCD!D14</f>
        <v>00KUR5U5</v>
      </c>
      <c r="I13" t="s">
        <v>104</v>
      </c>
      <c r="J13" t="str">
        <f>_xlfn.XLOOKUP(G13,'Facture GLS'!AB:AB,'Facture GLS'!BB:BB)</f>
        <v>FR</v>
      </c>
      <c r="K13" t="str">
        <f>IF(COUNTIF(Zoning!A:A,J13)=0,"pays inconnu",LOOKUP(J13,Zoning!A:A,Zoning!B:B))</f>
        <v>France</v>
      </c>
      <c r="L13">
        <f t="shared" si="2"/>
        <v>1</v>
      </c>
      <c r="M13">
        <f>_xlfn.XLOOKUP(G13,Poids!A:A,Poids!C:C)</f>
        <v>0.6</v>
      </c>
      <c r="N13" t="str">
        <f>IF(COUNTIF(Zoning!A:A,J13)=0,"zone inconnue","France")</f>
        <v>France</v>
      </c>
      <c r="O13">
        <f>IF(COUNTIF(Zoning!A:A,J13)=0,"taux inconnu",_xlfn.XLOOKUP(J13,Zoning!A:A,Zoning!C:C))</f>
        <v>0.2</v>
      </c>
      <c r="R13" t="str">
        <f>IF(TCD!K14="","",TCD!K14)</f>
        <v/>
      </c>
      <c r="S13" t="str">
        <f>IF(TCD!F14="","",TCD!F14)</f>
        <v/>
      </c>
      <c r="T13" t="str">
        <f>IF(TCD!E14="","",TCD!E14)</f>
        <v/>
      </c>
      <c r="U13">
        <f>SUM(TCD!H14:J14)</f>
        <v>5.15</v>
      </c>
    </row>
    <row r="14" spans="1:23" x14ac:dyDescent="0.25">
      <c r="A14" s="1" t="str">
        <f>_xlfn.XLOOKUP(G14,'Facture GLS'!AB:AB,'Facture GLS'!O:O)</f>
        <v>LA RUCHE</v>
      </c>
      <c r="B14" t="str">
        <f t="shared" si="0"/>
        <v>GLS</v>
      </c>
      <c r="C14" s="2">
        <f t="shared" si="1"/>
        <v>46174</v>
      </c>
      <c r="G14" t="str">
        <f>TCD!D15</f>
        <v>00KUR5U6</v>
      </c>
      <c r="I14" t="s">
        <v>104</v>
      </c>
      <c r="J14" t="str">
        <f>_xlfn.XLOOKUP(G14,'Facture GLS'!AB:AB,'Facture GLS'!BB:BB)</f>
        <v>FR</v>
      </c>
      <c r="K14" t="str">
        <f>IF(COUNTIF(Zoning!A:A,J14)=0,"pays inconnu",LOOKUP(J14,Zoning!A:A,Zoning!B:B))</f>
        <v>France</v>
      </c>
      <c r="L14">
        <f t="shared" si="2"/>
        <v>1</v>
      </c>
      <c r="M14">
        <f>_xlfn.XLOOKUP(G14,Poids!A:A,Poids!C:C)</f>
        <v>0.79999999999999993</v>
      </c>
      <c r="N14" t="str">
        <f>IF(COUNTIF(Zoning!A:A,J14)=0,"zone inconnue","France")</f>
        <v>France</v>
      </c>
      <c r="O14">
        <f>IF(COUNTIF(Zoning!A:A,J14)=0,"taux inconnu",_xlfn.XLOOKUP(J14,Zoning!A:A,Zoning!C:C))</f>
        <v>0.2</v>
      </c>
      <c r="R14" t="str">
        <f>IF(TCD!K15="","",TCD!K15)</f>
        <v/>
      </c>
      <c r="S14" t="str">
        <f>IF(TCD!F15="","",TCD!F15)</f>
        <v/>
      </c>
      <c r="T14" t="str">
        <f>IF(TCD!E15="","",TCD!E15)</f>
        <v/>
      </c>
      <c r="U14">
        <f>SUM(TCD!H15:J15)</f>
        <v>5.15</v>
      </c>
    </row>
    <row r="15" spans="1:23" x14ac:dyDescent="0.25">
      <c r="A15" s="1" t="str">
        <f>_xlfn.XLOOKUP(G15,'Facture GLS'!AB:AB,'Facture GLS'!O:O)</f>
        <v>LA RUCHE</v>
      </c>
      <c r="B15" t="str">
        <f t="shared" si="0"/>
        <v>GLS</v>
      </c>
      <c r="C15" s="2">
        <f t="shared" si="1"/>
        <v>46174</v>
      </c>
      <c r="G15" t="str">
        <f>TCD!D16</f>
        <v>00KUR5U7</v>
      </c>
      <c r="I15" t="s">
        <v>104</v>
      </c>
      <c r="J15" t="str">
        <f>_xlfn.XLOOKUP(G15,'Facture GLS'!AB:AB,'Facture GLS'!BB:BB)</f>
        <v>FR</v>
      </c>
      <c r="K15" t="str">
        <f>IF(COUNTIF(Zoning!A:A,J15)=0,"pays inconnu",LOOKUP(J15,Zoning!A:A,Zoning!B:B))</f>
        <v>France</v>
      </c>
      <c r="L15">
        <f t="shared" si="2"/>
        <v>1</v>
      </c>
      <c r="M15">
        <f>_xlfn.XLOOKUP(G15,Poids!A:A,Poids!C:C)</f>
        <v>0.5</v>
      </c>
      <c r="N15" t="str">
        <f>IF(COUNTIF(Zoning!A:A,J15)=0,"zone inconnue","France")</f>
        <v>France</v>
      </c>
      <c r="O15">
        <f>IF(COUNTIF(Zoning!A:A,J15)=0,"taux inconnu",_xlfn.XLOOKUP(J15,Zoning!A:A,Zoning!C:C))</f>
        <v>0.2</v>
      </c>
      <c r="R15" t="str">
        <f>IF(TCD!K16="","",TCD!K16)</f>
        <v/>
      </c>
      <c r="S15" t="str">
        <f>IF(TCD!F16="","",TCD!F16)</f>
        <v/>
      </c>
      <c r="T15" t="str">
        <f>IF(TCD!E16="","",TCD!E16)</f>
        <v/>
      </c>
      <c r="U15">
        <f>SUM(TCD!H16:J16)</f>
        <v>4.82</v>
      </c>
    </row>
    <row r="16" spans="1:23" x14ac:dyDescent="0.25">
      <c r="A16" s="1" t="str">
        <f>_xlfn.XLOOKUP(G16,'Facture GLS'!AB:AB,'Facture GLS'!O:O)</f>
        <v>LA RUCHE</v>
      </c>
      <c r="B16" t="str">
        <f t="shared" si="0"/>
        <v>GLS</v>
      </c>
      <c r="C16" s="2">
        <f t="shared" si="1"/>
        <v>46174</v>
      </c>
      <c r="G16" t="str">
        <f>TCD!D17</f>
        <v>00KUR5U8</v>
      </c>
      <c r="I16" t="s">
        <v>104</v>
      </c>
      <c r="J16" t="str">
        <f>_xlfn.XLOOKUP(G16,'Facture GLS'!AB:AB,'Facture GLS'!BB:BB)</f>
        <v>FR</v>
      </c>
      <c r="K16" t="str">
        <f>IF(COUNTIF(Zoning!A:A,J16)=0,"pays inconnu",LOOKUP(J16,Zoning!A:A,Zoning!B:B))</f>
        <v>France</v>
      </c>
      <c r="L16">
        <f t="shared" si="2"/>
        <v>1</v>
      </c>
      <c r="M16">
        <f>_xlfn.XLOOKUP(G16,Poids!A:A,Poids!C:C)</f>
        <v>0.6</v>
      </c>
      <c r="N16" t="str">
        <f>IF(COUNTIF(Zoning!A:A,J16)=0,"zone inconnue","France")</f>
        <v>France</v>
      </c>
      <c r="O16">
        <f>IF(COUNTIF(Zoning!A:A,J16)=0,"taux inconnu",_xlfn.XLOOKUP(J16,Zoning!A:A,Zoning!C:C))</f>
        <v>0.2</v>
      </c>
      <c r="R16" t="str">
        <f>IF(TCD!K17="","",TCD!K17)</f>
        <v/>
      </c>
      <c r="S16" t="str">
        <f>IF(TCD!F17="","",TCD!F17)</f>
        <v/>
      </c>
      <c r="T16" t="str">
        <f>IF(TCD!E17="","",TCD!E17)</f>
        <v/>
      </c>
      <c r="U16">
        <f>SUM(TCD!H17:J17)</f>
        <v>5.15</v>
      </c>
    </row>
    <row r="17" spans="1:21" x14ac:dyDescent="0.25">
      <c r="A17" s="1" t="str">
        <f>_xlfn.XLOOKUP(G17,'Facture GLS'!AB:AB,'Facture GLS'!O:O)</f>
        <v>LA RUCHE</v>
      </c>
      <c r="B17" t="str">
        <f t="shared" si="0"/>
        <v>GLS</v>
      </c>
      <c r="C17" s="2">
        <f t="shared" si="1"/>
        <v>46174</v>
      </c>
      <c r="G17" t="str">
        <f>TCD!D18</f>
        <v>00KUR5U9</v>
      </c>
      <c r="I17" t="s">
        <v>104</v>
      </c>
      <c r="J17" t="str">
        <f>_xlfn.XLOOKUP(G17,'Facture GLS'!AB:AB,'Facture GLS'!BB:BB)</f>
        <v>FR</v>
      </c>
      <c r="K17" t="str">
        <f>IF(COUNTIF(Zoning!A:A,J17)=0,"pays inconnu",LOOKUP(J17,Zoning!A:A,Zoning!B:B))</f>
        <v>France</v>
      </c>
      <c r="L17">
        <f t="shared" si="2"/>
        <v>1</v>
      </c>
      <c r="M17">
        <f>_xlfn.XLOOKUP(G17,Poids!A:A,Poids!C:C)</f>
        <v>0.4</v>
      </c>
      <c r="N17" t="str">
        <f>IF(COUNTIF(Zoning!A:A,J17)=0,"zone inconnue","France")</f>
        <v>France</v>
      </c>
      <c r="O17">
        <f>IF(COUNTIF(Zoning!A:A,J17)=0,"taux inconnu",_xlfn.XLOOKUP(J17,Zoning!A:A,Zoning!C:C))</f>
        <v>0.2</v>
      </c>
      <c r="R17" t="str">
        <f>IF(TCD!K18="","",TCD!K18)</f>
        <v/>
      </c>
      <c r="S17" t="str">
        <f>IF(TCD!F18="","",TCD!F18)</f>
        <v/>
      </c>
      <c r="T17" t="str">
        <f>IF(TCD!E18="","",TCD!E18)</f>
        <v/>
      </c>
      <c r="U17">
        <f>SUM(TCD!H18:J18)</f>
        <v>4.82</v>
      </c>
    </row>
    <row r="18" spans="1:21" x14ac:dyDescent="0.25">
      <c r="A18" s="1" t="str">
        <f>_xlfn.XLOOKUP(G18,'Facture GLS'!AB:AB,'Facture GLS'!O:O)</f>
        <v>LA RUCHE</v>
      </c>
      <c r="B18" t="str">
        <f t="shared" si="0"/>
        <v>GLS</v>
      </c>
      <c r="C18" s="2">
        <f t="shared" si="1"/>
        <v>46174</v>
      </c>
      <c r="G18" t="str">
        <f>TCD!D19</f>
        <v>00KUR5UA</v>
      </c>
      <c r="I18" t="s">
        <v>104</v>
      </c>
      <c r="J18" t="str">
        <f>_xlfn.XLOOKUP(G18,'Facture GLS'!AB:AB,'Facture GLS'!BB:BB)</f>
        <v>FR</v>
      </c>
      <c r="K18" t="str">
        <f>IF(COUNTIF(Zoning!A:A,J18)=0,"pays inconnu",LOOKUP(J18,Zoning!A:A,Zoning!B:B))</f>
        <v>France</v>
      </c>
      <c r="L18">
        <f t="shared" si="2"/>
        <v>1</v>
      </c>
      <c r="M18">
        <f>_xlfn.XLOOKUP(G18,Poids!A:A,Poids!C:C)</f>
        <v>0.9</v>
      </c>
      <c r="N18" t="str">
        <f>IF(COUNTIF(Zoning!A:A,J18)=0,"zone inconnue","France")</f>
        <v>France</v>
      </c>
      <c r="O18">
        <f>IF(COUNTIF(Zoning!A:A,J18)=0,"taux inconnu",_xlfn.XLOOKUP(J18,Zoning!A:A,Zoning!C:C))</f>
        <v>0.2</v>
      </c>
      <c r="R18" t="str">
        <f>IF(TCD!K19="","",TCD!K19)</f>
        <v/>
      </c>
      <c r="S18" t="str">
        <f>IF(TCD!F19="","",TCD!F19)</f>
        <v/>
      </c>
      <c r="T18" t="str">
        <f>IF(TCD!E19="","",TCD!E19)</f>
        <v/>
      </c>
      <c r="U18">
        <f>SUM(TCD!H19:J19)</f>
        <v>5.15</v>
      </c>
    </row>
    <row r="19" spans="1:21" x14ac:dyDescent="0.25">
      <c r="A19" s="1" t="str">
        <f>_xlfn.XLOOKUP(G19,'Facture GLS'!AB:AB,'Facture GLS'!O:O)</f>
        <v>LA RUCHE</v>
      </c>
      <c r="B19" t="str">
        <f t="shared" si="0"/>
        <v>GLS</v>
      </c>
      <c r="C19" s="2">
        <f t="shared" si="1"/>
        <v>46174</v>
      </c>
      <c r="G19" t="str">
        <f>TCD!D20</f>
        <v>00KUR5UB</v>
      </c>
      <c r="I19" t="s">
        <v>104</v>
      </c>
      <c r="J19" t="str">
        <f>_xlfn.XLOOKUP(G19,'Facture GLS'!AB:AB,'Facture GLS'!BB:BB)</f>
        <v>FR</v>
      </c>
      <c r="K19" t="str">
        <f>IF(COUNTIF(Zoning!A:A,J19)=0,"pays inconnu",LOOKUP(J19,Zoning!A:A,Zoning!B:B))</f>
        <v>France</v>
      </c>
      <c r="L19">
        <f t="shared" si="2"/>
        <v>1</v>
      </c>
      <c r="M19">
        <f>_xlfn.XLOOKUP(G19,Poids!A:A,Poids!C:C)</f>
        <v>0.8</v>
      </c>
      <c r="N19" t="str">
        <f>IF(COUNTIF(Zoning!A:A,J19)=0,"zone inconnue","France")</f>
        <v>France</v>
      </c>
      <c r="O19">
        <f>IF(COUNTIF(Zoning!A:A,J19)=0,"taux inconnu",_xlfn.XLOOKUP(J19,Zoning!A:A,Zoning!C:C))</f>
        <v>0.2</v>
      </c>
      <c r="R19" t="str">
        <f>IF(TCD!K20="","",TCD!K20)</f>
        <v/>
      </c>
      <c r="S19" t="str">
        <f>IF(TCD!F20="","",TCD!F20)</f>
        <v/>
      </c>
      <c r="T19" t="str">
        <f>IF(TCD!E20="","",TCD!E20)</f>
        <v/>
      </c>
      <c r="U19">
        <f>SUM(TCD!H20:J20)</f>
        <v>5.15</v>
      </c>
    </row>
    <row r="20" spans="1:21" x14ac:dyDescent="0.25">
      <c r="A20" s="1" t="str">
        <f>_xlfn.XLOOKUP(G20,'Facture GLS'!AB:AB,'Facture GLS'!O:O)</f>
        <v>LA RUCHE</v>
      </c>
      <c r="B20" t="str">
        <f t="shared" si="0"/>
        <v>GLS</v>
      </c>
      <c r="C20" s="2">
        <f t="shared" si="1"/>
        <v>46174</v>
      </c>
      <c r="G20" t="str">
        <f>TCD!D21</f>
        <v>00KUR5UC</v>
      </c>
      <c r="I20" t="s">
        <v>104</v>
      </c>
      <c r="J20" t="str">
        <f>_xlfn.XLOOKUP(G20,'Facture GLS'!AB:AB,'Facture GLS'!BB:BB)</f>
        <v>FR</v>
      </c>
      <c r="K20" t="str">
        <f>IF(COUNTIF(Zoning!A:A,J20)=0,"pays inconnu",LOOKUP(J20,Zoning!A:A,Zoning!B:B))</f>
        <v>France</v>
      </c>
      <c r="L20">
        <f t="shared" si="2"/>
        <v>1</v>
      </c>
      <c r="M20">
        <f>_xlfn.XLOOKUP(G20,Poids!A:A,Poids!C:C)</f>
        <v>0.5</v>
      </c>
      <c r="N20" t="str">
        <f>IF(COUNTIF(Zoning!A:A,J20)=0,"zone inconnue","France")</f>
        <v>France</v>
      </c>
      <c r="O20">
        <f>IF(COUNTIF(Zoning!A:A,J20)=0,"taux inconnu",_xlfn.XLOOKUP(J20,Zoning!A:A,Zoning!C:C))</f>
        <v>0.2</v>
      </c>
      <c r="R20" t="str">
        <f>IF(TCD!K21="","",TCD!K21)</f>
        <v/>
      </c>
      <c r="S20" t="str">
        <f>IF(TCD!F21="","",TCD!F21)</f>
        <v/>
      </c>
      <c r="T20" t="str">
        <f>IF(TCD!E21="","",TCD!E21)</f>
        <v/>
      </c>
      <c r="U20">
        <f>SUM(TCD!H21:J21)</f>
        <v>4.82</v>
      </c>
    </row>
    <row r="21" spans="1:21" x14ac:dyDescent="0.25">
      <c r="A21" s="1" t="str">
        <f>_xlfn.XLOOKUP(G21,'Facture GLS'!AB:AB,'Facture GLS'!O:O)</f>
        <v>LA RUCHE</v>
      </c>
      <c r="B21" t="str">
        <f t="shared" si="0"/>
        <v>GLS</v>
      </c>
      <c r="C21" s="2">
        <f t="shared" si="1"/>
        <v>46174</v>
      </c>
      <c r="G21" t="str">
        <f>TCD!D22</f>
        <v>00KUR5UD</v>
      </c>
      <c r="I21" t="s">
        <v>104</v>
      </c>
      <c r="J21" t="str">
        <f>_xlfn.XLOOKUP(G21,'Facture GLS'!AB:AB,'Facture GLS'!BB:BB)</f>
        <v>FR</v>
      </c>
      <c r="K21" t="str">
        <f>IF(COUNTIF(Zoning!A:A,J21)=0,"pays inconnu",LOOKUP(J21,Zoning!A:A,Zoning!B:B))</f>
        <v>France</v>
      </c>
      <c r="L21">
        <f t="shared" si="2"/>
        <v>1</v>
      </c>
      <c r="M21">
        <f>_xlfn.XLOOKUP(G21,Poids!A:A,Poids!C:C)</f>
        <v>0.2</v>
      </c>
      <c r="N21" t="str">
        <f>IF(COUNTIF(Zoning!A:A,J21)=0,"zone inconnue","France")</f>
        <v>France</v>
      </c>
      <c r="O21">
        <f>IF(COUNTIF(Zoning!A:A,J21)=0,"taux inconnu",_xlfn.XLOOKUP(J21,Zoning!A:A,Zoning!C:C))</f>
        <v>0.2</v>
      </c>
      <c r="R21" t="str">
        <f>IF(TCD!K22="","",TCD!K22)</f>
        <v/>
      </c>
      <c r="S21" t="str">
        <f>IF(TCD!F22="","",TCD!F22)</f>
        <v/>
      </c>
      <c r="T21" t="str">
        <f>IF(TCD!E22="","",TCD!E22)</f>
        <v/>
      </c>
      <c r="U21">
        <f>SUM(TCD!H22:J22)</f>
        <v>4.82</v>
      </c>
    </row>
    <row r="22" spans="1:21" x14ac:dyDescent="0.25">
      <c r="A22" s="1" t="str">
        <f>_xlfn.XLOOKUP(G22,'Facture GLS'!AB:AB,'Facture GLS'!O:O)</f>
        <v>LA RUCHE</v>
      </c>
      <c r="B22" t="str">
        <f t="shared" si="0"/>
        <v>GLS</v>
      </c>
      <c r="C22" s="2">
        <f t="shared" si="1"/>
        <v>46174</v>
      </c>
      <c r="G22" t="str">
        <f>TCD!D23</f>
        <v>00KUR5UE</v>
      </c>
      <c r="I22" t="s">
        <v>104</v>
      </c>
      <c r="J22" t="str">
        <f>_xlfn.XLOOKUP(G22,'Facture GLS'!AB:AB,'Facture GLS'!BB:BB)</f>
        <v>FR</v>
      </c>
      <c r="K22" t="str">
        <f>IF(COUNTIF(Zoning!A:A,J22)=0,"pays inconnu",LOOKUP(J22,Zoning!A:A,Zoning!B:B))</f>
        <v>France</v>
      </c>
      <c r="L22">
        <f t="shared" si="2"/>
        <v>1</v>
      </c>
      <c r="M22">
        <f>_xlfn.XLOOKUP(G22,Poids!A:A,Poids!C:C)</f>
        <v>2.9</v>
      </c>
      <c r="N22" t="str">
        <f>IF(COUNTIF(Zoning!A:A,J22)=0,"zone inconnue","France")</f>
        <v>France</v>
      </c>
      <c r="O22">
        <f>IF(COUNTIF(Zoning!A:A,J22)=0,"taux inconnu",_xlfn.XLOOKUP(J22,Zoning!A:A,Zoning!C:C))</f>
        <v>0.2</v>
      </c>
      <c r="R22" t="str">
        <f>IF(TCD!K23="","",TCD!K23)</f>
        <v/>
      </c>
      <c r="S22" t="str">
        <f>IF(TCD!F23="","",TCD!F23)</f>
        <v/>
      </c>
      <c r="T22" t="str">
        <f>IF(TCD!E23="","",TCD!E23)</f>
        <v/>
      </c>
      <c r="U22">
        <f>SUM(TCD!H23:J23)</f>
        <v>5.7900000000000009</v>
      </c>
    </row>
    <row r="23" spans="1:21" x14ac:dyDescent="0.25">
      <c r="A23" s="1" t="str">
        <f>_xlfn.XLOOKUP(G23,'Facture GLS'!AB:AB,'Facture GLS'!O:O)</f>
        <v>LA RUCHE</v>
      </c>
      <c r="B23" t="str">
        <f t="shared" si="0"/>
        <v>GLS</v>
      </c>
      <c r="C23" s="2">
        <f t="shared" si="1"/>
        <v>46174</v>
      </c>
      <c r="G23" t="str">
        <f>TCD!D24</f>
        <v>00KUR5UF</v>
      </c>
      <c r="I23" t="s">
        <v>104</v>
      </c>
      <c r="J23" t="str">
        <f>_xlfn.XLOOKUP(G23,'Facture GLS'!AB:AB,'Facture GLS'!BB:BB)</f>
        <v>FR</v>
      </c>
      <c r="K23" t="str">
        <f>IF(COUNTIF(Zoning!A:A,J23)=0,"pays inconnu",LOOKUP(J23,Zoning!A:A,Zoning!B:B))</f>
        <v>France</v>
      </c>
      <c r="L23">
        <f t="shared" si="2"/>
        <v>1</v>
      </c>
      <c r="M23">
        <f>_xlfn.XLOOKUP(G23,Poids!A:A,Poids!C:C)</f>
        <v>0.5</v>
      </c>
      <c r="N23" t="str">
        <f>IF(COUNTIF(Zoning!A:A,J23)=0,"zone inconnue","France")</f>
        <v>France</v>
      </c>
      <c r="O23">
        <f>IF(COUNTIF(Zoning!A:A,J23)=0,"taux inconnu",_xlfn.XLOOKUP(J23,Zoning!A:A,Zoning!C:C))</f>
        <v>0.2</v>
      </c>
      <c r="R23" t="str">
        <f>IF(TCD!K24="","",TCD!K24)</f>
        <v/>
      </c>
      <c r="S23" t="str">
        <f>IF(TCD!F24="","",TCD!F24)</f>
        <v/>
      </c>
      <c r="T23" t="str">
        <f>IF(TCD!E24="","",TCD!E24)</f>
        <v/>
      </c>
      <c r="U23">
        <f>SUM(TCD!H24:J24)</f>
        <v>4.82</v>
      </c>
    </row>
    <row r="24" spans="1:21" x14ac:dyDescent="0.25">
      <c r="A24" s="1" t="str">
        <f>_xlfn.XLOOKUP(G24,'Facture GLS'!AB:AB,'Facture GLS'!O:O)</f>
        <v>LA RUCHE</v>
      </c>
      <c r="B24" t="str">
        <f t="shared" si="0"/>
        <v>GLS</v>
      </c>
      <c r="C24" s="2">
        <f t="shared" si="1"/>
        <v>46174</v>
      </c>
      <c r="G24" t="str">
        <f>TCD!D25</f>
        <v>00KUR5UG</v>
      </c>
      <c r="I24" t="s">
        <v>104</v>
      </c>
      <c r="J24" t="str">
        <f>_xlfn.XLOOKUP(G24,'Facture GLS'!AB:AB,'Facture GLS'!BB:BB)</f>
        <v>FR</v>
      </c>
      <c r="K24" t="str">
        <f>IF(COUNTIF(Zoning!A:A,J24)=0,"pays inconnu",LOOKUP(J24,Zoning!A:A,Zoning!B:B))</f>
        <v>France</v>
      </c>
      <c r="L24">
        <f t="shared" si="2"/>
        <v>1</v>
      </c>
      <c r="M24">
        <f>_xlfn.XLOOKUP(G24,Poids!A:A,Poids!C:C)</f>
        <v>0.4</v>
      </c>
      <c r="N24" t="str">
        <f>IF(COUNTIF(Zoning!A:A,J24)=0,"zone inconnue","France")</f>
        <v>France</v>
      </c>
      <c r="O24">
        <f>IF(COUNTIF(Zoning!A:A,J24)=0,"taux inconnu",_xlfn.XLOOKUP(J24,Zoning!A:A,Zoning!C:C))</f>
        <v>0.2</v>
      </c>
      <c r="R24" t="str">
        <f>IF(TCD!K25="","",TCD!K25)</f>
        <v/>
      </c>
      <c r="S24" t="str">
        <f>IF(TCD!F25="","",TCD!F25)</f>
        <v/>
      </c>
      <c r="T24" t="str">
        <f>IF(TCD!E25="","",TCD!E25)</f>
        <v/>
      </c>
      <c r="U24">
        <f>SUM(TCD!H25:J25)</f>
        <v>4.82</v>
      </c>
    </row>
    <row r="25" spans="1:21" x14ac:dyDescent="0.25">
      <c r="A25" s="1" t="str">
        <f>_xlfn.XLOOKUP(G25,'Facture GLS'!AB:AB,'Facture GLS'!O:O)</f>
        <v>LA RUCHE</v>
      </c>
      <c r="B25" t="str">
        <f t="shared" si="0"/>
        <v>GLS</v>
      </c>
      <c r="C25" s="2">
        <f t="shared" si="1"/>
        <v>46174</v>
      </c>
      <c r="G25" t="str">
        <f>TCD!D26</f>
        <v>00KUR5UH</v>
      </c>
      <c r="I25" t="s">
        <v>104</v>
      </c>
      <c r="J25" t="str">
        <f>_xlfn.XLOOKUP(G25,'Facture GLS'!AB:AB,'Facture GLS'!BB:BB)</f>
        <v>FR</v>
      </c>
      <c r="K25" t="str">
        <f>IF(COUNTIF(Zoning!A:A,J25)=0,"pays inconnu",LOOKUP(J25,Zoning!A:A,Zoning!B:B))</f>
        <v>France</v>
      </c>
      <c r="L25">
        <f t="shared" si="2"/>
        <v>1</v>
      </c>
      <c r="M25">
        <f>_xlfn.XLOOKUP(G25,Poids!A:A,Poids!C:C)</f>
        <v>0.7</v>
      </c>
      <c r="N25" t="str">
        <f>IF(COUNTIF(Zoning!A:A,J25)=0,"zone inconnue","France")</f>
        <v>France</v>
      </c>
      <c r="O25">
        <f>IF(COUNTIF(Zoning!A:A,J25)=0,"taux inconnu",_xlfn.XLOOKUP(J25,Zoning!A:A,Zoning!C:C))</f>
        <v>0.2</v>
      </c>
      <c r="R25" t="str">
        <f>IF(TCD!K26="","",TCD!K26)</f>
        <v/>
      </c>
      <c r="S25" t="str">
        <f>IF(TCD!F26="","",TCD!F26)</f>
        <v/>
      </c>
      <c r="T25" t="str">
        <f>IF(TCD!E26="","",TCD!E26)</f>
        <v/>
      </c>
      <c r="U25">
        <f>SUM(TCD!H26:J26)</f>
        <v>5.15</v>
      </c>
    </row>
    <row r="26" spans="1:21" x14ac:dyDescent="0.25">
      <c r="A26" s="1" t="str">
        <f>_xlfn.XLOOKUP(G26,'Facture GLS'!AB:AB,'Facture GLS'!O:O)</f>
        <v>LA RUCHE</v>
      </c>
      <c r="B26" t="str">
        <f t="shared" si="0"/>
        <v>GLS</v>
      </c>
      <c r="C26" s="2">
        <f t="shared" si="1"/>
        <v>46174</v>
      </c>
      <c r="G26" t="str">
        <f>TCD!D27</f>
        <v>00KUR5UI</v>
      </c>
      <c r="I26" t="s">
        <v>104</v>
      </c>
      <c r="J26" t="str">
        <f>_xlfn.XLOOKUP(G26,'Facture GLS'!AB:AB,'Facture GLS'!BB:BB)</f>
        <v>FR</v>
      </c>
      <c r="K26" t="str">
        <f>IF(COUNTIF(Zoning!A:A,J26)=0,"pays inconnu",LOOKUP(J26,Zoning!A:A,Zoning!B:B))</f>
        <v>France</v>
      </c>
      <c r="L26">
        <f t="shared" si="2"/>
        <v>1</v>
      </c>
      <c r="M26">
        <f>_xlfn.XLOOKUP(G26,Poids!A:A,Poids!C:C)</f>
        <v>0.30000000000000004</v>
      </c>
      <c r="N26" t="str">
        <f>IF(COUNTIF(Zoning!A:A,J26)=0,"zone inconnue","France")</f>
        <v>France</v>
      </c>
      <c r="O26">
        <f>IF(COUNTIF(Zoning!A:A,J26)=0,"taux inconnu",_xlfn.XLOOKUP(J26,Zoning!A:A,Zoning!C:C))</f>
        <v>0.2</v>
      </c>
      <c r="R26" t="str">
        <f>IF(TCD!K27="","",TCD!K27)</f>
        <v/>
      </c>
      <c r="S26" t="str">
        <f>IF(TCD!F27="","",TCD!F27)</f>
        <v/>
      </c>
      <c r="T26" t="str">
        <f>IF(TCD!E27="","",TCD!E27)</f>
        <v/>
      </c>
      <c r="U26">
        <f>SUM(TCD!H27:J27)</f>
        <v>4.82</v>
      </c>
    </row>
    <row r="27" spans="1:21" x14ac:dyDescent="0.25">
      <c r="A27" s="1" t="str">
        <f>_xlfn.XLOOKUP(G27,'Facture GLS'!AB:AB,'Facture GLS'!O:O)</f>
        <v>LA RUCHE</v>
      </c>
      <c r="B27" t="str">
        <f t="shared" si="0"/>
        <v>GLS</v>
      </c>
      <c r="C27" s="2">
        <f t="shared" si="1"/>
        <v>46174</v>
      </c>
      <c r="G27" t="str">
        <f>TCD!D28</f>
        <v>00KUR5UJ</v>
      </c>
      <c r="I27" t="s">
        <v>104</v>
      </c>
      <c r="J27" t="str">
        <f>_xlfn.XLOOKUP(G27,'Facture GLS'!AB:AB,'Facture GLS'!BB:BB)</f>
        <v>FR</v>
      </c>
      <c r="K27" t="str">
        <f>IF(COUNTIF(Zoning!A:A,J27)=0,"pays inconnu",LOOKUP(J27,Zoning!A:A,Zoning!B:B))</f>
        <v>France</v>
      </c>
      <c r="L27">
        <f t="shared" si="2"/>
        <v>1</v>
      </c>
      <c r="M27">
        <f>_xlfn.XLOOKUP(G27,Poids!A:A,Poids!C:C)</f>
        <v>0.79999999999999993</v>
      </c>
      <c r="N27" t="str">
        <f>IF(COUNTIF(Zoning!A:A,J27)=0,"zone inconnue","France")</f>
        <v>France</v>
      </c>
      <c r="O27">
        <f>IF(COUNTIF(Zoning!A:A,J27)=0,"taux inconnu",_xlfn.XLOOKUP(J27,Zoning!A:A,Zoning!C:C))</f>
        <v>0.2</v>
      </c>
      <c r="R27" t="str">
        <f>IF(TCD!K28="","",TCD!K28)</f>
        <v/>
      </c>
      <c r="S27" t="str">
        <f>IF(TCD!F28="","",TCD!F28)</f>
        <v/>
      </c>
      <c r="T27" t="str">
        <f>IF(TCD!E28="","",TCD!E28)</f>
        <v/>
      </c>
      <c r="U27">
        <f>SUM(TCD!H28:J28)</f>
        <v>5.15</v>
      </c>
    </row>
    <row r="28" spans="1:21" x14ac:dyDescent="0.25">
      <c r="A28" s="1" t="str">
        <f>_xlfn.XLOOKUP(G28,'Facture GLS'!AB:AB,'Facture GLS'!O:O)</f>
        <v>LA RUCHE</v>
      </c>
      <c r="B28" t="str">
        <f t="shared" si="0"/>
        <v>GLS</v>
      </c>
      <c r="C28" s="2">
        <f t="shared" si="1"/>
        <v>46174</v>
      </c>
      <c r="G28" t="str">
        <f>TCD!D29</f>
        <v>00KUR5UK</v>
      </c>
      <c r="I28" t="s">
        <v>104</v>
      </c>
      <c r="J28" t="str">
        <f>_xlfn.XLOOKUP(G28,'Facture GLS'!AB:AB,'Facture GLS'!BB:BB)</f>
        <v>FR</v>
      </c>
      <c r="K28" t="str">
        <f>IF(COUNTIF(Zoning!A:A,J28)=0,"pays inconnu",LOOKUP(J28,Zoning!A:A,Zoning!B:B))</f>
        <v>France</v>
      </c>
      <c r="L28">
        <f t="shared" si="2"/>
        <v>1</v>
      </c>
      <c r="M28">
        <f>_xlfn.XLOOKUP(G28,Poids!A:A,Poids!C:C)</f>
        <v>0.7</v>
      </c>
      <c r="N28" t="str">
        <f>IF(COUNTIF(Zoning!A:A,J28)=0,"zone inconnue","France")</f>
        <v>France</v>
      </c>
      <c r="O28">
        <f>IF(COUNTIF(Zoning!A:A,J28)=0,"taux inconnu",_xlfn.XLOOKUP(J28,Zoning!A:A,Zoning!C:C))</f>
        <v>0.2</v>
      </c>
      <c r="R28" t="str">
        <f>IF(TCD!K29="","",TCD!K29)</f>
        <v/>
      </c>
      <c r="S28" t="str">
        <f>IF(TCD!F29="","",TCD!F29)</f>
        <v/>
      </c>
      <c r="T28" t="str">
        <f>IF(TCD!E29="","",TCD!E29)</f>
        <v/>
      </c>
      <c r="U28">
        <f>SUM(TCD!H29:J29)</f>
        <v>5.15</v>
      </c>
    </row>
    <row r="29" spans="1:21" x14ac:dyDescent="0.25">
      <c r="A29" s="1" t="str">
        <f>_xlfn.XLOOKUP(G29,'Facture GLS'!AB:AB,'Facture GLS'!O:O)</f>
        <v>LA RUCHE</v>
      </c>
      <c r="B29" t="str">
        <f t="shared" si="0"/>
        <v>GLS</v>
      </c>
      <c r="C29" s="2">
        <f t="shared" si="1"/>
        <v>46174</v>
      </c>
      <c r="G29" t="str">
        <f>TCD!D30</f>
        <v>00KUR5UL</v>
      </c>
      <c r="I29" t="s">
        <v>104</v>
      </c>
      <c r="J29" t="str">
        <f>_xlfn.XLOOKUP(G29,'Facture GLS'!AB:AB,'Facture GLS'!BB:BB)</f>
        <v>FR</v>
      </c>
      <c r="K29" t="str">
        <f>IF(COUNTIF(Zoning!A:A,J29)=0,"pays inconnu",LOOKUP(J29,Zoning!A:A,Zoning!B:B))</f>
        <v>France</v>
      </c>
      <c r="L29">
        <f t="shared" si="2"/>
        <v>1</v>
      </c>
      <c r="M29">
        <f>_xlfn.XLOOKUP(G29,Poids!A:A,Poids!C:C)</f>
        <v>0.3</v>
      </c>
      <c r="N29" t="str">
        <f>IF(COUNTIF(Zoning!A:A,J29)=0,"zone inconnue","France")</f>
        <v>France</v>
      </c>
      <c r="O29">
        <f>IF(COUNTIF(Zoning!A:A,J29)=0,"taux inconnu",_xlfn.XLOOKUP(J29,Zoning!A:A,Zoning!C:C))</f>
        <v>0.2</v>
      </c>
      <c r="R29" t="str">
        <f>IF(TCD!K30="","",TCD!K30)</f>
        <v/>
      </c>
      <c r="S29" t="str">
        <f>IF(TCD!F30="","",TCD!F30)</f>
        <v/>
      </c>
      <c r="T29" t="str">
        <f>IF(TCD!E30="","",TCD!E30)</f>
        <v/>
      </c>
      <c r="U29">
        <f>SUM(TCD!H30:J30)</f>
        <v>4.82</v>
      </c>
    </row>
    <row r="30" spans="1:21" x14ac:dyDescent="0.25">
      <c r="A30" s="1" t="str">
        <f>_xlfn.XLOOKUP(G30,'Facture GLS'!AB:AB,'Facture GLS'!O:O)</f>
        <v>LA RUCHE</v>
      </c>
      <c r="B30" t="str">
        <f t="shared" si="0"/>
        <v>GLS</v>
      </c>
      <c r="C30" s="2">
        <f t="shared" si="1"/>
        <v>46174</v>
      </c>
      <c r="G30" t="str">
        <f>TCD!D31</f>
        <v>00KUR5UM</v>
      </c>
      <c r="I30" t="s">
        <v>104</v>
      </c>
      <c r="J30" t="str">
        <f>_xlfn.XLOOKUP(G30,'Facture GLS'!AB:AB,'Facture GLS'!BB:BB)</f>
        <v>FR</v>
      </c>
      <c r="K30" t="str">
        <f>IF(COUNTIF(Zoning!A:A,J30)=0,"pays inconnu",LOOKUP(J30,Zoning!A:A,Zoning!B:B))</f>
        <v>France</v>
      </c>
      <c r="L30">
        <f t="shared" si="2"/>
        <v>1</v>
      </c>
      <c r="M30">
        <f>_xlfn.XLOOKUP(G30,Poids!A:A,Poids!C:C)</f>
        <v>0.3</v>
      </c>
      <c r="N30" t="str">
        <f>IF(COUNTIF(Zoning!A:A,J30)=0,"zone inconnue","France")</f>
        <v>France</v>
      </c>
      <c r="O30">
        <f>IF(COUNTIF(Zoning!A:A,J30)=0,"taux inconnu",_xlfn.XLOOKUP(J30,Zoning!A:A,Zoning!C:C))</f>
        <v>0.2</v>
      </c>
      <c r="R30" t="str">
        <f>IF(TCD!K31="","",TCD!K31)</f>
        <v/>
      </c>
      <c r="S30" t="str">
        <f>IF(TCD!F31="","",TCD!F31)</f>
        <v/>
      </c>
      <c r="T30" t="str">
        <f>IF(TCD!E31="","",TCD!E31)</f>
        <v/>
      </c>
      <c r="U30">
        <f>SUM(TCD!H31:J31)</f>
        <v>4.82</v>
      </c>
    </row>
    <row r="31" spans="1:21" x14ac:dyDescent="0.25">
      <c r="A31" s="1" t="str">
        <f>_xlfn.XLOOKUP(G31,'Facture GLS'!AB:AB,'Facture GLS'!O:O)</f>
        <v>LA RUCHE</v>
      </c>
      <c r="B31" t="str">
        <f t="shared" si="0"/>
        <v>GLS</v>
      </c>
      <c r="C31" s="2">
        <f t="shared" si="1"/>
        <v>46174</v>
      </c>
      <c r="G31" t="str">
        <f>TCD!D32</f>
        <v>00KUR5UN</v>
      </c>
      <c r="I31" t="s">
        <v>104</v>
      </c>
      <c r="J31" t="str">
        <f>_xlfn.XLOOKUP(G31,'Facture GLS'!AB:AB,'Facture GLS'!BB:BB)</f>
        <v>FR</v>
      </c>
      <c r="K31" t="str">
        <f>IF(COUNTIF(Zoning!A:A,J31)=0,"pays inconnu",LOOKUP(J31,Zoning!A:A,Zoning!B:B))</f>
        <v>France</v>
      </c>
      <c r="L31">
        <f t="shared" si="2"/>
        <v>1</v>
      </c>
      <c r="M31">
        <f>_xlfn.XLOOKUP(G31,Poids!A:A,Poids!C:C)</f>
        <v>0.5</v>
      </c>
      <c r="N31" t="str">
        <f>IF(COUNTIF(Zoning!A:A,J31)=0,"zone inconnue","France")</f>
        <v>France</v>
      </c>
      <c r="O31">
        <f>IF(COUNTIF(Zoning!A:A,J31)=0,"taux inconnu",_xlfn.XLOOKUP(J31,Zoning!A:A,Zoning!C:C))</f>
        <v>0.2</v>
      </c>
      <c r="R31" t="str">
        <f>IF(TCD!K32="","",TCD!K32)</f>
        <v/>
      </c>
      <c r="S31" t="str">
        <f>IF(TCD!F32="","",TCD!F32)</f>
        <v/>
      </c>
      <c r="T31" t="str">
        <f>IF(TCD!E32="","",TCD!E32)</f>
        <v/>
      </c>
      <c r="U31">
        <f>SUM(TCD!H32:J32)</f>
        <v>4.82</v>
      </c>
    </row>
    <row r="32" spans="1:21" x14ac:dyDescent="0.25">
      <c r="A32" s="1" t="str">
        <f>_xlfn.XLOOKUP(G32,'Facture GLS'!AB:AB,'Facture GLS'!O:O)</f>
        <v>LA RUCHE</v>
      </c>
      <c r="B32" t="str">
        <f t="shared" si="0"/>
        <v>GLS</v>
      </c>
      <c r="C32" s="2">
        <f t="shared" si="1"/>
        <v>46174</v>
      </c>
      <c r="G32" t="str">
        <f>TCD!D33</f>
        <v>00KUR5UO</v>
      </c>
      <c r="I32" t="s">
        <v>104</v>
      </c>
      <c r="J32" t="str">
        <f>_xlfn.XLOOKUP(G32,'Facture GLS'!AB:AB,'Facture GLS'!BB:BB)</f>
        <v>FR</v>
      </c>
      <c r="K32" t="str">
        <f>IF(COUNTIF(Zoning!A:A,J32)=0,"pays inconnu",LOOKUP(J32,Zoning!A:A,Zoning!B:B))</f>
        <v>France</v>
      </c>
      <c r="L32">
        <f t="shared" si="2"/>
        <v>1</v>
      </c>
      <c r="M32">
        <f>_xlfn.XLOOKUP(G32,Poids!A:A,Poids!C:C)</f>
        <v>1.1000000000000001</v>
      </c>
      <c r="N32" t="str">
        <f>IF(COUNTIF(Zoning!A:A,J32)=0,"zone inconnue","France")</f>
        <v>France</v>
      </c>
      <c r="O32">
        <f>IF(COUNTIF(Zoning!A:A,J32)=0,"taux inconnu",_xlfn.XLOOKUP(J32,Zoning!A:A,Zoning!C:C))</f>
        <v>0.2</v>
      </c>
      <c r="R32" t="str">
        <f>IF(TCD!K33="","",TCD!K33)</f>
        <v/>
      </c>
      <c r="S32" t="str">
        <f>IF(TCD!F33="","",TCD!F33)</f>
        <v/>
      </c>
      <c r="T32" t="str">
        <f>IF(TCD!E33="","",TCD!E33)</f>
        <v/>
      </c>
      <c r="U32">
        <f>SUM(TCD!H33:J33)</f>
        <v>5.4700000000000006</v>
      </c>
    </row>
    <row r="33" spans="1:21" x14ac:dyDescent="0.25">
      <c r="A33" s="1" t="str">
        <f>_xlfn.XLOOKUP(G33,'Facture GLS'!AB:AB,'Facture GLS'!O:O)</f>
        <v>LA RUCHE</v>
      </c>
      <c r="B33" t="str">
        <f t="shared" si="0"/>
        <v>GLS</v>
      </c>
      <c r="C33" s="2">
        <f t="shared" si="1"/>
        <v>46174</v>
      </c>
      <c r="G33" t="str">
        <f>TCD!D34</f>
        <v>00KUR5UP</v>
      </c>
      <c r="I33" t="s">
        <v>104</v>
      </c>
      <c r="J33" t="str">
        <f>_xlfn.XLOOKUP(G33,'Facture GLS'!AB:AB,'Facture GLS'!BB:BB)</f>
        <v>FR</v>
      </c>
      <c r="K33" t="str">
        <f>IF(COUNTIF(Zoning!A:A,J33)=0,"pays inconnu",LOOKUP(J33,Zoning!A:A,Zoning!B:B))</f>
        <v>France</v>
      </c>
      <c r="L33">
        <f t="shared" si="2"/>
        <v>1</v>
      </c>
      <c r="M33">
        <f>_xlfn.XLOOKUP(G33,Poids!A:A,Poids!C:C)</f>
        <v>0.8</v>
      </c>
      <c r="N33" t="str">
        <f>IF(COUNTIF(Zoning!A:A,J33)=0,"zone inconnue","France")</f>
        <v>France</v>
      </c>
      <c r="O33">
        <f>IF(COUNTIF(Zoning!A:A,J33)=0,"taux inconnu",_xlfn.XLOOKUP(J33,Zoning!A:A,Zoning!C:C))</f>
        <v>0.2</v>
      </c>
      <c r="R33" t="str">
        <f>IF(TCD!K34="","",TCD!K34)</f>
        <v/>
      </c>
      <c r="S33" t="str">
        <f>IF(TCD!F34="","",TCD!F34)</f>
        <v/>
      </c>
      <c r="T33" t="str">
        <f>IF(TCD!E34="","",TCD!E34)</f>
        <v/>
      </c>
      <c r="U33">
        <f>SUM(TCD!H34:J34)</f>
        <v>5.15</v>
      </c>
    </row>
    <row r="34" spans="1:21" x14ac:dyDescent="0.25">
      <c r="A34" s="1" t="str">
        <f>_xlfn.XLOOKUP(G34,'Facture GLS'!AB:AB,'Facture GLS'!O:O)</f>
        <v>LA RUCHE</v>
      </c>
      <c r="B34" t="str">
        <f t="shared" si="0"/>
        <v>GLS</v>
      </c>
      <c r="C34" s="2">
        <f t="shared" si="1"/>
        <v>46174</v>
      </c>
      <c r="G34" t="str">
        <f>TCD!D35</f>
        <v>00KUR5UQ</v>
      </c>
      <c r="I34" t="s">
        <v>104</v>
      </c>
      <c r="J34" t="str">
        <f>_xlfn.XLOOKUP(G34,'Facture GLS'!AB:AB,'Facture GLS'!BB:BB)</f>
        <v>FR</v>
      </c>
      <c r="K34" t="str">
        <f>IF(COUNTIF(Zoning!A:A,J34)=0,"pays inconnu",LOOKUP(J34,Zoning!A:A,Zoning!B:B))</f>
        <v>France</v>
      </c>
      <c r="L34">
        <f t="shared" si="2"/>
        <v>1</v>
      </c>
      <c r="M34">
        <f>_xlfn.XLOOKUP(G34,Poids!A:A,Poids!C:C)</f>
        <v>0.6</v>
      </c>
      <c r="N34" t="str">
        <f>IF(COUNTIF(Zoning!A:A,J34)=0,"zone inconnue","France")</f>
        <v>France</v>
      </c>
      <c r="O34">
        <f>IF(COUNTIF(Zoning!A:A,J34)=0,"taux inconnu",_xlfn.XLOOKUP(J34,Zoning!A:A,Zoning!C:C))</f>
        <v>0.2</v>
      </c>
      <c r="R34" t="str">
        <f>IF(TCD!K35="","",TCD!K35)</f>
        <v/>
      </c>
      <c r="S34" t="str">
        <f>IF(TCD!F35="","",TCD!F35)</f>
        <v/>
      </c>
      <c r="T34" t="str">
        <f>IF(TCD!E35="","",TCD!E35)</f>
        <v/>
      </c>
      <c r="U34">
        <f>SUM(TCD!H35:J35)</f>
        <v>5.15</v>
      </c>
    </row>
    <row r="35" spans="1:21" x14ac:dyDescent="0.25">
      <c r="A35" s="1" t="str">
        <f>_xlfn.XLOOKUP(G35,'Facture GLS'!AB:AB,'Facture GLS'!O:O)</f>
        <v>LA RUCHE</v>
      </c>
      <c r="B35" t="str">
        <f t="shared" si="0"/>
        <v>GLS</v>
      </c>
      <c r="C35" s="2">
        <f t="shared" si="1"/>
        <v>46174</v>
      </c>
      <c r="G35" t="str">
        <f>TCD!D36</f>
        <v>00KUR5UR</v>
      </c>
      <c r="I35" t="s">
        <v>104</v>
      </c>
      <c r="J35" t="str">
        <f>_xlfn.XLOOKUP(G35,'Facture GLS'!AB:AB,'Facture GLS'!BB:BB)</f>
        <v>FR</v>
      </c>
      <c r="K35" t="str">
        <f>IF(COUNTIF(Zoning!A:A,J35)=0,"pays inconnu",LOOKUP(J35,Zoning!A:A,Zoning!B:B))</f>
        <v>France</v>
      </c>
      <c r="L35">
        <f t="shared" si="2"/>
        <v>1</v>
      </c>
      <c r="M35">
        <f>_xlfn.XLOOKUP(G35,Poids!A:A,Poids!C:C)</f>
        <v>0.3</v>
      </c>
      <c r="N35" t="str">
        <f>IF(COUNTIF(Zoning!A:A,J35)=0,"zone inconnue","France")</f>
        <v>France</v>
      </c>
      <c r="O35">
        <f>IF(COUNTIF(Zoning!A:A,J35)=0,"taux inconnu",_xlfn.XLOOKUP(J35,Zoning!A:A,Zoning!C:C))</f>
        <v>0.2</v>
      </c>
      <c r="R35" t="str">
        <f>IF(TCD!K36="","",TCD!K36)</f>
        <v/>
      </c>
      <c r="S35" t="str">
        <f>IF(TCD!F36="","",TCD!F36)</f>
        <v/>
      </c>
      <c r="T35" t="str">
        <f>IF(TCD!E36="","",TCD!E36)</f>
        <v/>
      </c>
      <c r="U35">
        <f>SUM(TCD!H36:J36)</f>
        <v>4.82</v>
      </c>
    </row>
    <row r="36" spans="1:21" x14ac:dyDescent="0.25">
      <c r="A36" s="1" t="str">
        <f>_xlfn.XLOOKUP(G36,'Facture GLS'!AB:AB,'Facture GLS'!O:O)</f>
        <v>LA RUCHE</v>
      </c>
      <c r="B36" t="str">
        <f t="shared" si="0"/>
        <v>GLS</v>
      </c>
      <c r="C36" s="2">
        <f t="shared" si="1"/>
        <v>46174</v>
      </c>
      <c r="G36" t="str">
        <f>TCD!D37</f>
        <v>00KUR5US</v>
      </c>
      <c r="I36" t="s">
        <v>104</v>
      </c>
      <c r="J36" t="str">
        <f>_xlfn.XLOOKUP(G36,'Facture GLS'!AB:AB,'Facture GLS'!BB:BB)</f>
        <v>FR</v>
      </c>
      <c r="K36" t="str">
        <f>IF(COUNTIF(Zoning!A:A,J36)=0,"pays inconnu",LOOKUP(J36,Zoning!A:A,Zoning!B:B))</f>
        <v>France</v>
      </c>
      <c r="L36">
        <f t="shared" si="2"/>
        <v>1</v>
      </c>
      <c r="M36">
        <f>_xlfn.XLOOKUP(G36,Poids!A:A,Poids!C:C)</f>
        <v>0.5</v>
      </c>
      <c r="N36" t="str">
        <f>IF(COUNTIF(Zoning!A:A,J36)=0,"zone inconnue","France")</f>
        <v>France</v>
      </c>
      <c r="O36">
        <f>IF(COUNTIF(Zoning!A:A,J36)=0,"taux inconnu",_xlfn.XLOOKUP(J36,Zoning!A:A,Zoning!C:C))</f>
        <v>0.2</v>
      </c>
      <c r="R36" t="str">
        <f>IF(TCD!K37="","",TCD!K37)</f>
        <v/>
      </c>
      <c r="S36" t="str">
        <f>IF(TCD!F37="","",TCD!F37)</f>
        <v/>
      </c>
      <c r="T36" t="str">
        <f>IF(TCD!E37="","",TCD!E37)</f>
        <v/>
      </c>
      <c r="U36">
        <f>SUM(TCD!H37:J37)</f>
        <v>4.82</v>
      </c>
    </row>
    <row r="37" spans="1:21" x14ac:dyDescent="0.25">
      <c r="A37" s="1" t="str">
        <f>_xlfn.XLOOKUP(G37,'Facture GLS'!AB:AB,'Facture GLS'!O:O)</f>
        <v>LA RUCHE</v>
      </c>
      <c r="B37" t="str">
        <f t="shared" si="0"/>
        <v>GLS</v>
      </c>
      <c r="C37" s="2">
        <f t="shared" si="1"/>
        <v>46174</v>
      </c>
      <c r="G37" t="str">
        <f>TCD!D38</f>
        <v>00KUR5UT</v>
      </c>
      <c r="I37" t="s">
        <v>104</v>
      </c>
      <c r="J37" t="str">
        <f>_xlfn.XLOOKUP(G37,'Facture GLS'!AB:AB,'Facture GLS'!BB:BB)</f>
        <v>FR</v>
      </c>
      <c r="K37" t="str">
        <f>IF(COUNTIF(Zoning!A:A,J37)=0,"pays inconnu",LOOKUP(J37,Zoning!A:A,Zoning!B:B))</f>
        <v>France</v>
      </c>
      <c r="L37">
        <f t="shared" si="2"/>
        <v>1</v>
      </c>
      <c r="M37">
        <f>_xlfn.XLOOKUP(G37,Poids!A:A,Poids!C:C)</f>
        <v>1.7000000000000002</v>
      </c>
      <c r="N37" t="str">
        <f>IF(COUNTIF(Zoning!A:A,J37)=0,"zone inconnue","France")</f>
        <v>France</v>
      </c>
      <c r="O37">
        <f>IF(COUNTIF(Zoning!A:A,J37)=0,"taux inconnu",_xlfn.XLOOKUP(J37,Zoning!A:A,Zoning!C:C))</f>
        <v>0.2</v>
      </c>
      <c r="R37" t="str">
        <f>IF(TCD!K38="","",TCD!K38)</f>
        <v/>
      </c>
      <c r="S37" t="str">
        <f>IF(TCD!F38="","",TCD!F38)</f>
        <v/>
      </c>
      <c r="T37" t="str">
        <f>IF(TCD!E38="","",TCD!E38)</f>
        <v/>
      </c>
      <c r="U37">
        <f>SUM(TCD!H38:J38)</f>
        <v>9.89</v>
      </c>
    </row>
    <row r="38" spans="1:21" x14ac:dyDescent="0.25">
      <c r="A38" s="1" t="str">
        <f>_xlfn.XLOOKUP(G38,'Facture GLS'!AB:AB,'Facture GLS'!O:O)</f>
        <v>LA RUCHE</v>
      </c>
      <c r="B38" t="str">
        <f t="shared" si="0"/>
        <v>GLS</v>
      </c>
      <c r="C38" s="2">
        <f t="shared" si="1"/>
        <v>46174</v>
      </c>
      <c r="G38" t="str">
        <f>TCD!D39</f>
        <v>00KUR5UU</v>
      </c>
      <c r="I38" t="s">
        <v>104</v>
      </c>
      <c r="J38" t="str">
        <f>_xlfn.XLOOKUP(G38,'Facture GLS'!AB:AB,'Facture GLS'!BB:BB)</f>
        <v>FR</v>
      </c>
      <c r="K38" t="str">
        <f>IF(COUNTIF(Zoning!A:A,J38)=0,"pays inconnu",LOOKUP(J38,Zoning!A:A,Zoning!B:B))</f>
        <v>France</v>
      </c>
      <c r="L38">
        <f t="shared" si="2"/>
        <v>1</v>
      </c>
      <c r="M38">
        <f>_xlfn.XLOOKUP(G38,Poids!A:A,Poids!C:C)</f>
        <v>0.7</v>
      </c>
      <c r="N38" t="str">
        <f>IF(COUNTIF(Zoning!A:A,J38)=0,"zone inconnue","France")</f>
        <v>France</v>
      </c>
      <c r="O38">
        <f>IF(COUNTIF(Zoning!A:A,J38)=0,"taux inconnu",_xlfn.XLOOKUP(J38,Zoning!A:A,Zoning!C:C))</f>
        <v>0.2</v>
      </c>
      <c r="R38" t="str">
        <f>IF(TCD!K39="","",TCD!K39)</f>
        <v/>
      </c>
      <c r="S38" t="str">
        <f>IF(TCD!F39="","",TCD!F39)</f>
        <v/>
      </c>
      <c r="T38" t="str">
        <f>IF(TCD!E39="","",TCD!E39)</f>
        <v/>
      </c>
      <c r="U38">
        <f>SUM(TCD!H39:J39)</f>
        <v>5.15</v>
      </c>
    </row>
    <row r="39" spans="1:21" x14ac:dyDescent="0.25">
      <c r="A39" s="1" t="str">
        <f>_xlfn.XLOOKUP(G39,'Facture GLS'!AB:AB,'Facture GLS'!O:O)</f>
        <v>LA RUCHE</v>
      </c>
      <c r="B39" t="str">
        <f t="shared" si="0"/>
        <v>GLS</v>
      </c>
      <c r="C39" s="2">
        <f t="shared" si="1"/>
        <v>46174</v>
      </c>
      <c r="G39" t="str">
        <f>TCD!D40</f>
        <v>00KUR5UV</v>
      </c>
      <c r="I39" t="s">
        <v>104</v>
      </c>
      <c r="J39" t="str">
        <f>_xlfn.XLOOKUP(G39,'Facture GLS'!AB:AB,'Facture GLS'!BB:BB)</f>
        <v>FR</v>
      </c>
      <c r="K39" t="str">
        <f>IF(COUNTIF(Zoning!A:A,J39)=0,"pays inconnu",LOOKUP(J39,Zoning!A:A,Zoning!B:B))</f>
        <v>France</v>
      </c>
      <c r="L39">
        <f t="shared" si="2"/>
        <v>1</v>
      </c>
      <c r="M39">
        <f>_xlfn.XLOOKUP(G39,Poids!A:A,Poids!C:C)</f>
        <v>4.3999999999999995</v>
      </c>
      <c r="N39" t="str">
        <f>IF(COUNTIF(Zoning!A:A,J39)=0,"zone inconnue","France")</f>
        <v>France</v>
      </c>
      <c r="O39">
        <f>IF(COUNTIF(Zoning!A:A,J39)=0,"taux inconnu",_xlfn.XLOOKUP(J39,Zoning!A:A,Zoning!C:C))</f>
        <v>0.2</v>
      </c>
      <c r="R39" t="str">
        <f>IF(TCD!K40="","",TCD!K40)</f>
        <v/>
      </c>
      <c r="S39" t="str">
        <f>IF(TCD!F40="","",TCD!F40)</f>
        <v/>
      </c>
      <c r="T39" t="str">
        <f>IF(TCD!E40="","",TCD!E40)</f>
        <v/>
      </c>
      <c r="U39">
        <f>SUM(TCD!H40:J40)</f>
        <v>6.910000000000001</v>
      </c>
    </row>
    <row r="40" spans="1:21" x14ac:dyDescent="0.25">
      <c r="A40" s="1" t="str">
        <f>_xlfn.XLOOKUP(G40,'Facture GLS'!AB:AB,'Facture GLS'!O:O)</f>
        <v>LA RUCHE</v>
      </c>
      <c r="B40" t="str">
        <f t="shared" si="0"/>
        <v>GLS</v>
      </c>
      <c r="C40" s="2">
        <f t="shared" si="1"/>
        <v>46174</v>
      </c>
      <c r="G40" t="str">
        <f>TCD!D41</f>
        <v>00KUR5UW</v>
      </c>
      <c r="I40" t="s">
        <v>104</v>
      </c>
      <c r="J40" t="str">
        <f>_xlfn.XLOOKUP(G40,'Facture GLS'!AB:AB,'Facture GLS'!BB:BB)</f>
        <v>FR</v>
      </c>
      <c r="K40" t="str">
        <f>IF(COUNTIF(Zoning!A:A,J40)=0,"pays inconnu",LOOKUP(J40,Zoning!A:A,Zoning!B:B))</f>
        <v>France</v>
      </c>
      <c r="L40">
        <f t="shared" si="2"/>
        <v>1</v>
      </c>
      <c r="M40">
        <f>_xlfn.XLOOKUP(G40,Poids!A:A,Poids!C:C)</f>
        <v>0.30000000000000004</v>
      </c>
      <c r="N40" t="str">
        <f>IF(COUNTIF(Zoning!A:A,J40)=0,"zone inconnue","France")</f>
        <v>France</v>
      </c>
      <c r="O40">
        <f>IF(COUNTIF(Zoning!A:A,J40)=0,"taux inconnu",_xlfn.XLOOKUP(J40,Zoning!A:A,Zoning!C:C))</f>
        <v>0.2</v>
      </c>
      <c r="R40" t="str">
        <f>IF(TCD!K41="","",TCD!K41)</f>
        <v/>
      </c>
      <c r="S40" t="str">
        <f>IF(TCD!F41="","",TCD!F41)</f>
        <v/>
      </c>
      <c r="T40" t="str">
        <f>IF(TCD!E41="","",TCD!E41)</f>
        <v/>
      </c>
      <c r="U40">
        <f>SUM(TCD!H41:J41)</f>
        <v>4.82</v>
      </c>
    </row>
    <row r="41" spans="1:21" x14ac:dyDescent="0.25">
      <c r="A41" s="1" t="str">
        <f>_xlfn.XLOOKUP(G41,'Facture GLS'!AB:AB,'Facture GLS'!O:O)</f>
        <v>LA RUCHE</v>
      </c>
      <c r="B41" t="str">
        <f t="shared" si="0"/>
        <v>GLS</v>
      </c>
      <c r="C41" s="2">
        <f t="shared" si="1"/>
        <v>46174</v>
      </c>
      <c r="G41" t="str">
        <f>TCD!D42</f>
        <v>00KUR5UX</v>
      </c>
      <c r="I41" t="s">
        <v>104</v>
      </c>
      <c r="J41" t="str">
        <f>_xlfn.XLOOKUP(G41,'Facture GLS'!AB:AB,'Facture GLS'!BB:BB)</f>
        <v>FR</v>
      </c>
      <c r="K41" t="str">
        <f>IF(COUNTIF(Zoning!A:A,J41)=0,"pays inconnu",LOOKUP(J41,Zoning!A:A,Zoning!B:B))</f>
        <v>France</v>
      </c>
      <c r="L41">
        <f t="shared" si="2"/>
        <v>1</v>
      </c>
      <c r="M41">
        <f>_xlfn.XLOOKUP(G41,Poids!A:A,Poids!C:C)</f>
        <v>2</v>
      </c>
      <c r="N41" t="str">
        <f>IF(COUNTIF(Zoning!A:A,J41)=0,"zone inconnue","France")</f>
        <v>France</v>
      </c>
      <c r="O41">
        <f>IF(COUNTIF(Zoning!A:A,J41)=0,"taux inconnu",_xlfn.XLOOKUP(J41,Zoning!A:A,Zoning!C:C))</f>
        <v>0.2</v>
      </c>
      <c r="R41" t="str">
        <f>IF(TCD!K42="","",TCD!K42)</f>
        <v/>
      </c>
      <c r="S41" t="str">
        <f>IF(TCD!F42="","",TCD!F42)</f>
        <v/>
      </c>
      <c r="T41" t="str">
        <f>IF(TCD!E42="","",TCD!E42)</f>
        <v/>
      </c>
      <c r="U41">
        <f>SUM(TCD!H42:J42)</f>
        <v>5.4700000000000006</v>
      </c>
    </row>
    <row r="42" spans="1:21" x14ac:dyDescent="0.25">
      <c r="A42" s="1" t="str">
        <f>_xlfn.XLOOKUP(G42,'Facture GLS'!AB:AB,'Facture GLS'!O:O)</f>
        <v>LA RUCHE</v>
      </c>
      <c r="B42" t="str">
        <f t="shared" si="0"/>
        <v>GLS</v>
      </c>
      <c r="C42" s="2">
        <f t="shared" si="1"/>
        <v>46174</v>
      </c>
      <c r="G42" t="str">
        <f>TCD!D43</f>
        <v>00KUR5UY</v>
      </c>
      <c r="I42" t="s">
        <v>104</v>
      </c>
      <c r="J42" t="str">
        <f>_xlfn.XLOOKUP(G42,'Facture GLS'!AB:AB,'Facture GLS'!BB:BB)</f>
        <v>FR</v>
      </c>
      <c r="K42" t="str">
        <f>IF(COUNTIF(Zoning!A:A,J42)=0,"pays inconnu",LOOKUP(J42,Zoning!A:A,Zoning!B:B))</f>
        <v>France</v>
      </c>
      <c r="L42">
        <f t="shared" si="2"/>
        <v>1</v>
      </c>
      <c r="M42">
        <f>_xlfn.XLOOKUP(G42,Poids!A:A,Poids!C:C)</f>
        <v>0.7</v>
      </c>
      <c r="N42" t="str">
        <f>IF(COUNTIF(Zoning!A:A,J42)=0,"zone inconnue","France")</f>
        <v>France</v>
      </c>
      <c r="O42">
        <f>IF(COUNTIF(Zoning!A:A,J42)=0,"taux inconnu",_xlfn.XLOOKUP(J42,Zoning!A:A,Zoning!C:C))</f>
        <v>0.2</v>
      </c>
      <c r="R42" t="str">
        <f>IF(TCD!K43="","",TCD!K43)</f>
        <v/>
      </c>
      <c r="S42" t="str">
        <f>IF(TCD!F43="","",TCD!F43)</f>
        <v/>
      </c>
      <c r="T42" t="str">
        <f>IF(TCD!E43="","",TCD!E43)</f>
        <v/>
      </c>
      <c r="U42">
        <f>SUM(TCD!H43:J43)</f>
        <v>5.15</v>
      </c>
    </row>
    <row r="43" spans="1:21" x14ac:dyDescent="0.25">
      <c r="A43" s="1" t="str">
        <f>_xlfn.XLOOKUP(G43,'Facture GLS'!AB:AB,'Facture GLS'!O:O)</f>
        <v>LA RUCHE</v>
      </c>
      <c r="B43" t="str">
        <f t="shared" si="0"/>
        <v>GLS</v>
      </c>
      <c r="C43" s="2">
        <f t="shared" si="1"/>
        <v>46174</v>
      </c>
      <c r="G43" t="str">
        <f>TCD!D44</f>
        <v>00KUR5UZ</v>
      </c>
      <c r="I43" t="s">
        <v>104</v>
      </c>
      <c r="J43" t="str">
        <f>_xlfn.XLOOKUP(G43,'Facture GLS'!AB:AB,'Facture GLS'!BB:BB)</f>
        <v>FR</v>
      </c>
      <c r="K43" t="str">
        <f>IF(COUNTIF(Zoning!A:A,J43)=0,"pays inconnu",LOOKUP(J43,Zoning!A:A,Zoning!B:B))</f>
        <v>France</v>
      </c>
      <c r="L43">
        <f t="shared" si="2"/>
        <v>1</v>
      </c>
      <c r="M43">
        <f>_xlfn.XLOOKUP(G43,Poids!A:A,Poids!C:C)</f>
        <v>0.5</v>
      </c>
      <c r="N43" t="str">
        <f>IF(COUNTIF(Zoning!A:A,J43)=0,"zone inconnue","France")</f>
        <v>France</v>
      </c>
      <c r="O43">
        <f>IF(COUNTIF(Zoning!A:A,J43)=0,"taux inconnu",_xlfn.XLOOKUP(J43,Zoning!A:A,Zoning!C:C))</f>
        <v>0.2</v>
      </c>
      <c r="R43" t="str">
        <f>IF(TCD!K44="","",TCD!K44)</f>
        <v/>
      </c>
      <c r="S43" t="str">
        <f>IF(TCD!F44="","",TCD!F44)</f>
        <v/>
      </c>
      <c r="T43" t="str">
        <f>IF(TCD!E44="","",TCD!E44)</f>
        <v/>
      </c>
      <c r="U43">
        <f>SUM(TCD!H44:J44)</f>
        <v>4.82</v>
      </c>
    </row>
    <row r="44" spans="1:21" x14ac:dyDescent="0.25">
      <c r="A44" s="1" t="str">
        <f>_xlfn.XLOOKUP(G44,'Facture GLS'!AB:AB,'Facture GLS'!O:O)</f>
        <v>LA RUCHE</v>
      </c>
      <c r="B44" t="str">
        <f t="shared" si="0"/>
        <v>GLS</v>
      </c>
      <c r="C44" s="2">
        <f t="shared" si="1"/>
        <v>46174</v>
      </c>
      <c r="G44" t="str">
        <f>TCD!D45</f>
        <v>00KUR5V0</v>
      </c>
      <c r="I44" t="s">
        <v>104</v>
      </c>
      <c r="J44" t="str">
        <f>_xlfn.XLOOKUP(G44,'Facture GLS'!AB:AB,'Facture GLS'!BB:BB)</f>
        <v>FR</v>
      </c>
      <c r="K44" t="str">
        <f>IF(COUNTIF(Zoning!A:A,J44)=0,"pays inconnu",LOOKUP(J44,Zoning!A:A,Zoning!B:B))</f>
        <v>France</v>
      </c>
      <c r="L44">
        <f t="shared" si="2"/>
        <v>1</v>
      </c>
      <c r="M44">
        <f>_xlfn.XLOOKUP(G44,Poids!A:A,Poids!C:C)</f>
        <v>1</v>
      </c>
      <c r="N44" t="str">
        <f>IF(COUNTIF(Zoning!A:A,J44)=0,"zone inconnue","France")</f>
        <v>France</v>
      </c>
      <c r="O44">
        <f>IF(COUNTIF(Zoning!A:A,J44)=0,"taux inconnu",_xlfn.XLOOKUP(J44,Zoning!A:A,Zoning!C:C))</f>
        <v>0.2</v>
      </c>
      <c r="R44" t="str">
        <f>IF(TCD!K45="","",TCD!K45)</f>
        <v/>
      </c>
      <c r="S44" t="str">
        <f>IF(TCD!F45="","",TCD!F45)</f>
        <v/>
      </c>
      <c r="T44" t="str">
        <f>IF(TCD!E45="","",TCD!E45)</f>
        <v/>
      </c>
      <c r="U44">
        <f>SUM(TCD!H45:J45)</f>
        <v>5.15</v>
      </c>
    </row>
    <row r="45" spans="1:21" x14ac:dyDescent="0.25">
      <c r="A45" s="1" t="str">
        <f>_xlfn.XLOOKUP(G45,'Facture GLS'!AB:AB,'Facture GLS'!O:O)</f>
        <v>LA RUCHE</v>
      </c>
      <c r="B45" t="str">
        <f t="shared" si="0"/>
        <v>GLS</v>
      </c>
      <c r="C45" s="2">
        <f t="shared" si="1"/>
        <v>46174</v>
      </c>
      <c r="G45" t="str">
        <f>TCD!D46</f>
        <v>00KUR5V1</v>
      </c>
      <c r="I45" t="s">
        <v>104</v>
      </c>
      <c r="J45" t="str">
        <f>_xlfn.XLOOKUP(G45,'Facture GLS'!AB:AB,'Facture GLS'!BB:BB)</f>
        <v>FR</v>
      </c>
      <c r="K45" t="str">
        <f>IF(COUNTIF(Zoning!A:A,J45)=0,"pays inconnu",LOOKUP(J45,Zoning!A:A,Zoning!B:B))</f>
        <v>France</v>
      </c>
      <c r="L45">
        <f t="shared" si="2"/>
        <v>1</v>
      </c>
      <c r="M45">
        <f>_xlfn.XLOOKUP(G45,Poids!A:A,Poids!C:C)</f>
        <v>0.4</v>
      </c>
      <c r="N45" t="str">
        <f>IF(COUNTIF(Zoning!A:A,J45)=0,"zone inconnue","France")</f>
        <v>France</v>
      </c>
      <c r="O45">
        <f>IF(COUNTIF(Zoning!A:A,J45)=0,"taux inconnu",_xlfn.XLOOKUP(J45,Zoning!A:A,Zoning!C:C))</f>
        <v>0.2</v>
      </c>
      <c r="R45" t="str">
        <f>IF(TCD!K46="","",TCD!K46)</f>
        <v/>
      </c>
      <c r="S45" t="str">
        <f>IF(TCD!F46="","",TCD!F46)</f>
        <v/>
      </c>
      <c r="T45" t="str">
        <f>IF(TCD!E46="","",TCD!E46)</f>
        <v/>
      </c>
      <c r="U45">
        <f>SUM(TCD!H46:J46)</f>
        <v>4.82</v>
      </c>
    </row>
    <row r="46" spans="1:21" x14ac:dyDescent="0.25">
      <c r="A46" s="1" t="str">
        <f>_xlfn.XLOOKUP(G46,'Facture GLS'!AB:AB,'Facture GLS'!O:O)</f>
        <v>LA RUCHE</v>
      </c>
      <c r="B46" t="str">
        <f t="shared" si="0"/>
        <v>GLS</v>
      </c>
      <c r="C46" s="2">
        <f t="shared" si="1"/>
        <v>46174</v>
      </c>
      <c r="G46" t="str">
        <f>TCD!D47</f>
        <v>00KUR5V2</v>
      </c>
      <c r="I46" t="s">
        <v>104</v>
      </c>
      <c r="J46" t="str">
        <f>_xlfn.XLOOKUP(G46,'Facture GLS'!AB:AB,'Facture GLS'!BB:BB)</f>
        <v>FR</v>
      </c>
      <c r="K46" t="str">
        <f>IF(COUNTIF(Zoning!A:A,J46)=0,"pays inconnu",LOOKUP(J46,Zoning!A:A,Zoning!B:B))</f>
        <v>France</v>
      </c>
      <c r="L46">
        <f t="shared" si="2"/>
        <v>1</v>
      </c>
      <c r="M46">
        <f>_xlfn.XLOOKUP(G46,Poids!A:A,Poids!C:C)</f>
        <v>0.5</v>
      </c>
      <c r="N46" t="str">
        <f>IF(COUNTIF(Zoning!A:A,J46)=0,"zone inconnue","France")</f>
        <v>France</v>
      </c>
      <c r="O46">
        <f>IF(COUNTIF(Zoning!A:A,J46)=0,"taux inconnu",_xlfn.XLOOKUP(J46,Zoning!A:A,Zoning!C:C))</f>
        <v>0.2</v>
      </c>
      <c r="R46" t="str">
        <f>IF(TCD!K47="","",TCD!K47)</f>
        <v/>
      </c>
      <c r="S46" t="str">
        <f>IF(TCD!F47="","",TCD!F47)</f>
        <v/>
      </c>
      <c r="T46" t="str">
        <f>IF(TCD!E47="","",TCD!E47)</f>
        <v/>
      </c>
      <c r="U46">
        <f>SUM(TCD!H47:J47)</f>
        <v>4.82</v>
      </c>
    </row>
    <row r="47" spans="1:21" x14ac:dyDescent="0.25">
      <c r="A47" s="1" t="str">
        <f>_xlfn.XLOOKUP(G47,'Facture GLS'!AB:AB,'Facture GLS'!O:O)</f>
        <v>LA RUCHE</v>
      </c>
      <c r="B47" t="str">
        <f t="shared" si="0"/>
        <v>GLS</v>
      </c>
      <c r="C47" s="2">
        <f t="shared" si="1"/>
        <v>46174</v>
      </c>
      <c r="G47" t="str">
        <f>TCD!D48</f>
        <v>00KUR5V3</v>
      </c>
      <c r="I47" t="s">
        <v>104</v>
      </c>
      <c r="J47" t="str">
        <f>_xlfn.XLOOKUP(G47,'Facture GLS'!AB:AB,'Facture GLS'!BB:BB)</f>
        <v>FR</v>
      </c>
      <c r="K47" t="str">
        <f>IF(COUNTIF(Zoning!A:A,J47)=0,"pays inconnu",LOOKUP(J47,Zoning!A:A,Zoning!B:B))</f>
        <v>France</v>
      </c>
      <c r="L47">
        <f t="shared" si="2"/>
        <v>1</v>
      </c>
      <c r="M47">
        <f>_xlfn.XLOOKUP(G47,Poids!A:A,Poids!C:C)</f>
        <v>3.1</v>
      </c>
      <c r="N47" t="str">
        <f>IF(COUNTIF(Zoning!A:A,J47)=0,"zone inconnue","France")</f>
        <v>France</v>
      </c>
      <c r="O47">
        <f>IF(COUNTIF(Zoning!A:A,J47)=0,"taux inconnu",_xlfn.XLOOKUP(J47,Zoning!A:A,Zoning!C:C))</f>
        <v>0.2</v>
      </c>
      <c r="R47" t="str">
        <f>IF(TCD!K48="","",TCD!K48)</f>
        <v/>
      </c>
      <c r="S47" t="str">
        <f>IF(TCD!F48="","",TCD!F48)</f>
        <v/>
      </c>
      <c r="T47" t="str">
        <f>IF(TCD!E48="","",TCD!E48)</f>
        <v/>
      </c>
      <c r="U47">
        <f>SUM(TCD!H48:J48)</f>
        <v>6.3500000000000005</v>
      </c>
    </row>
    <row r="48" spans="1:21" x14ac:dyDescent="0.25">
      <c r="A48" s="1" t="str">
        <f>_xlfn.XLOOKUP(G48,'Facture GLS'!AB:AB,'Facture GLS'!O:O)</f>
        <v>LA RUCHE</v>
      </c>
      <c r="B48" t="str">
        <f t="shared" si="0"/>
        <v>GLS</v>
      </c>
      <c r="C48" s="2">
        <f t="shared" si="1"/>
        <v>46174</v>
      </c>
      <c r="G48" t="str">
        <f>TCD!D49</f>
        <v>00KUR5V4</v>
      </c>
      <c r="I48" t="s">
        <v>104</v>
      </c>
      <c r="J48" t="str">
        <f>_xlfn.XLOOKUP(G48,'Facture GLS'!AB:AB,'Facture GLS'!BB:BB)</f>
        <v>FR</v>
      </c>
      <c r="K48" t="str">
        <f>IF(COUNTIF(Zoning!A:A,J48)=0,"pays inconnu",LOOKUP(J48,Zoning!A:A,Zoning!B:B))</f>
        <v>France</v>
      </c>
      <c r="L48">
        <f t="shared" si="2"/>
        <v>1</v>
      </c>
      <c r="M48">
        <f>_xlfn.XLOOKUP(G48,Poids!A:A,Poids!C:C)</f>
        <v>0.6</v>
      </c>
      <c r="N48" t="str">
        <f>IF(COUNTIF(Zoning!A:A,J48)=0,"zone inconnue","France")</f>
        <v>France</v>
      </c>
      <c r="O48">
        <f>IF(COUNTIF(Zoning!A:A,J48)=0,"taux inconnu",_xlfn.XLOOKUP(J48,Zoning!A:A,Zoning!C:C))</f>
        <v>0.2</v>
      </c>
      <c r="R48" t="str">
        <f>IF(TCD!K49="","",TCD!K49)</f>
        <v/>
      </c>
      <c r="S48" t="str">
        <f>IF(TCD!F49="","",TCD!F49)</f>
        <v/>
      </c>
      <c r="T48" t="str">
        <f>IF(TCD!E49="","",TCD!E49)</f>
        <v/>
      </c>
      <c r="U48">
        <f>SUM(TCD!H49:J49)</f>
        <v>5.15</v>
      </c>
    </row>
    <row r="49" spans="1:21" x14ac:dyDescent="0.25">
      <c r="A49" s="1" t="str">
        <f>_xlfn.XLOOKUP(G49,'Facture GLS'!AB:AB,'Facture GLS'!O:O)</f>
        <v>LA RUCHE</v>
      </c>
      <c r="B49" t="str">
        <f t="shared" si="0"/>
        <v>GLS</v>
      </c>
      <c r="C49" s="2">
        <f t="shared" si="1"/>
        <v>46174</v>
      </c>
      <c r="G49" t="str">
        <f>TCD!D50</f>
        <v>00KUR5V5</v>
      </c>
      <c r="I49" t="s">
        <v>104</v>
      </c>
      <c r="J49" t="str">
        <f>_xlfn.XLOOKUP(G49,'Facture GLS'!AB:AB,'Facture GLS'!BB:BB)</f>
        <v>FR</v>
      </c>
      <c r="K49" t="str">
        <f>IF(COUNTIF(Zoning!A:A,J49)=0,"pays inconnu",LOOKUP(J49,Zoning!A:A,Zoning!B:B))</f>
        <v>France</v>
      </c>
      <c r="L49">
        <f t="shared" si="2"/>
        <v>1</v>
      </c>
      <c r="M49">
        <f>_xlfn.XLOOKUP(G49,Poids!A:A,Poids!C:C)</f>
        <v>0.6</v>
      </c>
      <c r="N49" t="str">
        <f>IF(COUNTIF(Zoning!A:A,J49)=0,"zone inconnue","France")</f>
        <v>France</v>
      </c>
      <c r="O49">
        <f>IF(COUNTIF(Zoning!A:A,J49)=0,"taux inconnu",_xlfn.XLOOKUP(J49,Zoning!A:A,Zoning!C:C))</f>
        <v>0.2</v>
      </c>
      <c r="R49" t="str">
        <f>IF(TCD!K50="","",TCD!K50)</f>
        <v/>
      </c>
      <c r="S49" t="str">
        <f>IF(TCD!F50="","",TCD!F50)</f>
        <v/>
      </c>
      <c r="T49" t="str">
        <f>IF(TCD!E50="","",TCD!E50)</f>
        <v/>
      </c>
      <c r="U49">
        <f>SUM(TCD!H50:J50)</f>
        <v>5.15</v>
      </c>
    </row>
    <row r="50" spans="1:21" x14ac:dyDescent="0.25">
      <c r="A50" s="1" t="str">
        <f>_xlfn.XLOOKUP(G50,'Facture GLS'!AB:AB,'Facture GLS'!O:O)</f>
        <v>LA RUCHE</v>
      </c>
      <c r="B50" t="str">
        <f t="shared" si="0"/>
        <v>GLS</v>
      </c>
      <c r="C50" s="2">
        <f t="shared" si="1"/>
        <v>46174</v>
      </c>
      <c r="G50" t="str">
        <f>TCD!D51</f>
        <v>00KUR5V6</v>
      </c>
      <c r="I50" t="s">
        <v>104</v>
      </c>
      <c r="J50" t="str">
        <f>_xlfn.XLOOKUP(G50,'Facture GLS'!AB:AB,'Facture GLS'!BB:BB)</f>
        <v>FR</v>
      </c>
      <c r="K50" t="str">
        <f>IF(COUNTIF(Zoning!A:A,J50)=0,"pays inconnu",LOOKUP(J50,Zoning!A:A,Zoning!B:B))</f>
        <v>France</v>
      </c>
      <c r="L50">
        <f t="shared" si="2"/>
        <v>1</v>
      </c>
      <c r="M50">
        <f>_xlfn.XLOOKUP(G50,Poids!A:A,Poids!C:C)</f>
        <v>0.30000000000000004</v>
      </c>
      <c r="N50" t="str">
        <f>IF(COUNTIF(Zoning!A:A,J50)=0,"zone inconnue","France")</f>
        <v>France</v>
      </c>
      <c r="O50">
        <f>IF(COUNTIF(Zoning!A:A,J50)=0,"taux inconnu",_xlfn.XLOOKUP(J50,Zoning!A:A,Zoning!C:C))</f>
        <v>0.2</v>
      </c>
      <c r="R50" t="str">
        <f>IF(TCD!K51="","",TCD!K51)</f>
        <v/>
      </c>
      <c r="S50" t="str">
        <f>IF(TCD!F51="","",TCD!F51)</f>
        <v/>
      </c>
      <c r="T50" t="str">
        <f>IF(TCD!E51="","",TCD!E51)</f>
        <v/>
      </c>
      <c r="U50">
        <f>SUM(TCD!H51:J51)</f>
        <v>4.82</v>
      </c>
    </row>
    <row r="51" spans="1:21" x14ac:dyDescent="0.25">
      <c r="A51" s="1" t="str">
        <f>_xlfn.XLOOKUP(G51,'Facture GLS'!AB:AB,'Facture GLS'!O:O)</f>
        <v>LA RUCHE</v>
      </c>
      <c r="B51" t="str">
        <f t="shared" si="0"/>
        <v>GLS</v>
      </c>
      <c r="C51" s="2">
        <f t="shared" si="1"/>
        <v>46174</v>
      </c>
      <c r="G51" t="str">
        <f>TCD!D52</f>
        <v>00KUR5V7</v>
      </c>
      <c r="I51" t="s">
        <v>104</v>
      </c>
      <c r="J51" t="str">
        <f>_xlfn.XLOOKUP(G51,'Facture GLS'!AB:AB,'Facture GLS'!BB:BB)</f>
        <v>FR</v>
      </c>
      <c r="K51" t="str">
        <f>IF(COUNTIF(Zoning!A:A,J51)=0,"pays inconnu",LOOKUP(J51,Zoning!A:A,Zoning!B:B))</f>
        <v>France</v>
      </c>
      <c r="L51">
        <f t="shared" si="2"/>
        <v>1</v>
      </c>
      <c r="M51">
        <f>_xlfn.XLOOKUP(G51,Poids!A:A,Poids!C:C)</f>
        <v>1.9000000000000001</v>
      </c>
      <c r="N51" t="str">
        <f>IF(COUNTIF(Zoning!A:A,J51)=0,"zone inconnue","France")</f>
        <v>France</v>
      </c>
      <c r="O51">
        <f>IF(COUNTIF(Zoning!A:A,J51)=0,"taux inconnu",_xlfn.XLOOKUP(J51,Zoning!A:A,Zoning!C:C))</f>
        <v>0.2</v>
      </c>
      <c r="R51" t="str">
        <f>IF(TCD!K52="","",TCD!K52)</f>
        <v/>
      </c>
      <c r="S51" t="str">
        <f>IF(TCD!F52="","",TCD!F52)</f>
        <v/>
      </c>
      <c r="T51">
        <f>IF(TCD!E52="","",TCD!E52)</f>
        <v>2.36</v>
      </c>
      <c r="U51">
        <f>SUM(TCD!H52:J52)</f>
        <v>5.4700000000000006</v>
      </c>
    </row>
    <row r="52" spans="1:21" x14ac:dyDescent="0.25">
      <c r="A52" s="1" t="str">
        <f>_xlfn.XLOOKUP(G52,'Facture GLS'!AB:AB,'Facture GLS'!O:O)</f>
        <v>LA RUCHE</v>
      </c>
      <c r="B52" t="str">
        <f t="shared" si="0"/>
        <v>GLS</v>
      </c>
      <c r="C52" s="2">
        <f t="shared" si="1"/>
        <v>46174</v>
      </c>
      <c r="G52" t="str">
        <f>TCD!D53</f>
        <v>00KUR5V8</v>
      </c>
      <c r="I52" t="s">
        <v>104</v>
      </c>
      <c r="J52" t="str">
        <f>_xlfn.XLOOKUP(G52,'Facture GLS'!AB:AB,'Facture GLS'!BB:BB)</f>
        <v>FR</v>
      </c>
      <c r="K52" t="str">
        <f>IF(COUNTIF(Zoning!A:A,J52)=0,"pays inconnu",LOOKUP(J52,Zoning!A:A,Zoning!B:B))</f>
        <v>France</v>
      </c>
      <c r="L52">
        <f t="shared" si="2"/>
        <v>1</v>
      </c>
      <c r="M52">
        <f>_xlfn.XLOOKUP(G52,Poids!A:A,Poids!C:C)</f>
        <v>0.6</v>
      </c>
      <c r="N52" t="str">
        <f>IF(COUNTIF(Zoning!A:A,J52)=0,"zone inconnue","France")</f>
        <v>France</v>
      </c>
      <c r="O52">
        <f>IF(COUNTIF(Zoning!A:A,J52)=0,"taux inconnu",_xlfn.XLOOKUP(J52,Zoning!A:A,Zoning!C:C))</f>
        <v>0.2</v>
      </c>
      <c r="R52" t="str">
        <f>IF(TCD!K53="","",TCD!K53)</f>
        <v/>
      </c>
      <c r="S52" t="str">
        <f>IF(TCD!F53="","",TCD!F53)</f>
        <v/>
      </c>
      <c r="T52" t="str">
        <f>IF(TCD!E53="","",TCD!E53)</f>
        <v/>
      </c>
      <c r="U52">
        <f>SUM(TCD!H53:J53)</f>
        <v>5.15</v>
      </c>
    </row>
    <row r="53" spans="1:21" x14ac:dyDescent="0.25">
      <c r="A53" s="1" t="str">
        <f>_xlfn.XLOOKUP(G53,'Facture GLS'!AB:AB,'Facture GLS'!O:O)</f>
        <v>LA RUCHE</v>
      </c>
      <c r="B53" t="str">
        <f t="shared" si="0"/>
        <v>GLS</v>
      </c>
      <c r="C53" s="2">
        <f t="shared" si="1"/>
        <v>46174</v>
      </c>
      <c r="G53" t="str">
        <f>TCD!D54</f>
        <v>00KUR5V9</v>
      </c>
      <c r="I53" t="s">
        <v>104</v>
      </c>
      <c r="J53" t="str">
        <f>_xlfn.XLOOKUP(G53,'Facture GLS'!AB:AB,'Facture GLS'!BB:BB)</f>
        <v>FR</v>
      </c>
      <c r="K53" t="str">
        <f>IF(COUNTIF(Zoning!A:A,J53)=0,"pays inconnu",LOOKUP(J53,Zoning!A:A,Zoning!B:B))</f>
        <v>France</v>
      </c>
      <c r="L53">
        <f t="shared" si="2"/>
        <v>1</v>
      </c>
      <c r="M53">
        <f>_xlfn.XLOOKUP(G53,Poids!A:A,Poids!C:C)</f>
        <v>0.6</v>
      </c>
      <c r="N53" t="str">
        <f>IF(COUNTIF(Zoning!A:A,J53)=0,"zone inconnue","France")</f>
        <v>France</v>
      </c>
      <c r="O53">
        <f>IF(COUNTIF(Zoning!A:A,J53)=0,"taux inconnu",_xlfn.XLOOKUP(J53,Zoning!A:A,Zoning!C:C))</f>
        <v>0.2</v>
      </c>
      <c r="R53" t="str">
        <f>IF(TCD!K54="","",TCD!K54)</f>
        <v/>
      </c>
      <c r="S53" t="str">
        <f>IF(TCD!F54="","",TCD!F54)</f>
        <v/>
      </c>
      <c r="T53" t="str">
        <f>IF(TCD!E54="","",TCD!E54)</f>
        <v/>
      </c>
      <c r="U53">
        <f>SUM(TCD!H54:J54)</f>
        <v>5.15</v>
      </c>
    </row>
    <row r="54" spans="1:21" x14ac:dyDescent="0.25">
      <c r="A54" s="1" t="str">
        <f>_xlfn.XLOOKUP(G54,'Facture GLS'!AB:AB,'Facture GLS'!O:O)</f>
        <v>LA RUCHE</v>
      </c>
      <c r="B54" t="str">
        <f t="shared" si="0"/>
        <v>GLS</v>
      </c>
      <c r="C54" s="2">
        <f t="shared" si="1"/>
        <v>46174</v>
      </c>
      <c r="G54" t="str">
        <f>TCD!D55</f>
        <v>00KUR5VA</v>
      </c>
      <c r="I54" t="s">
        <v>104</v>
      </c>
      <c r="J54" t="str">
        <f>_xlfn.XLOOKUP(G54,'Facture GLS'!AB:AB,'Facture GLS'!BB:BB)</f>
        <v>FR</v>
      </c>
      <c r="K54" t="str">
        <f>IF(COUNTIF(Zoning!A:A,J54)=0,"pays inconnu",LOOKUP(J54,Zoning!A:A,Zoning!B:B))</f>
        <v>France</v>
      </c>
      <c r="L54">
        <f t="shared" si="2"/>
        <v>1</v>
      </c>
      <c r="M54">
        <f>_xlfn.XLOOKUP(G54,Poids!A:A,Poids!C:C)</f>
        <v>0.8</v>
      </c>
      <c r="N54" t="str">
        <f>IF(COUNTIF(Zoning!A:A,J54)=0,"zone inconnue","France")</f>
        <v>France</v>
      </c>
      <c r="O54">
        <f>IF(COUNTIF(Zoning!A:A,J54)=0,"taux inconnu",_xlfn.XLOOKUP(J54,Zoning!A:A,Zoning!C:C))</f>
        <v>0.2</v>
      </c>
      <c r="R54" t="str">
        <f>IF(TCD!K55="","",TCD!K55)</f>
        <v/>
      </c>
      <c r="S54" t="str">
        <f>IF(TCD!F55="","",TCD!F55)</f>
        <v/>
      </c>
      <c r="T54" t="str">
        <f>IF(TCD!E55="","",TCD!E55)</f>
        <v/>
      </c>
      <c r="U54">
        <f>SUM(TCD!H55:J55)</f>
        <v>5.15</v>
      </c>
    </row>
    <row r="55" spans="1:21" x14ac:dyDescent="0.25">
      <c r="A55" s="1" t="str">
        <f>_xlfn.XLOOKUP(G55,'Facture GLS'!AB:AB,'Facture GLS'!O:O)</f>
        <v>LA RUCHE</v>
      </c>
      <c r="B55" t="str">
        <f t="shared" si="0"/>
        <v>GLS</v>
      </c>
      <c r="C55" s="2">
        <f t="shared" si="1"/>
        <v>46174</v>
      </c>
      <c r="G55" t="str">
        <f>TCD!D56</f>
        <v>00KUR5VB</v>
      </c>
      <c r="I55" t="s">
        <v>104</v>
      </c>
      <c r="J55" t="str">
        <f>_xlfn.XLOOKUP(G55,'Facture GLS'!AB:AB,'Facture GLS'!BB:BB)</f>
        <v>FR</v>
      </c>
      <c r="K55" t="str">
        <f>IF(COUNTIF(Zoning!A:A,J55)=0,"pays inconnu",LOOKUP(J55,Zoning!A:A,Zoning!B:B))</f>
        <v>France</v>
      </c>
      <c r="L55">
        <f t="shared" si="2"/>
        <v>1</v>
      </c>
      <c r="M55">
        <f>_xlfn.XLOOKUP(G55,Poids!A:A,Poids!C:C)</f>
        <v>2</v>
      </c>
      <c r="N55" t="str">
        <f>IF(COUNTIF(Zoning!A:A,J55)=0,"zone inconnue","France")</f>
        <v>France</v>
      </c>
      <c r="O55">
        <f>IF(COUNTIF(Zoning!A:A,J55)=0,"taux inconnu",_xlfn.XLOOKUP(J55,Zoning!A:A,Zoning!C:C))</f>
        <v>0.2</v>
      </c>
      <c r="R55" t="str">
        <f>IF(TCD!K56="","",TCD!K56)</f>
        <v/>
      </c>
      <c r="S55" t="str">
        <f>IF(TCD!F56="","",TCD!F56)</f>
        <v/>
      </c>
      <c r="T55" t="str">
        <f>IF(TCD!E56="","",TCD!E56)</f>
        <v/>
      </c>
      <c r="U55">
        <f>SUM(TCD!H56:J56)</f>
        <v>5.4700000000000006</v>
      </c>
    </row>
    <row r="56" spans="1:21" x14ac:dyDescent="0.25">
      <c r="A56" s="1" t="str">
        <f>_xlfn.XLOOKUP(G56,'Facture GLS'!AB:AB,'Facture GLS'!O:O)</f>
        <v>LA RUCHE</v>
      </c>
      <c r="B56" t="str">
        <f t="shared" si="0"/>
        <v>GLS</v>
      </c>
      <c r="C56" s="2">
        <f t="shared" si="1"/>
        <v>46174</v>
      </c>
      <c r="G56" t="str">
        <f>TCD!D57</f>
        <v>00KUR5VC</v>
      </c>
      <c r="I56" t="s">
        <v>104</v>
      </c>
      <c r="J56" t="str">
        <f>_xlfn.XLOOKUP(G56,'Facture GLS'!AB:AB,'Facture GLS'!BB:BB)</f>
        <v>FR</v>
      </c>
      <c r="K56" t="str">
        <f>IF(COUNTIF(Zoning!A:A,J56)=0,"pays inconnu",LOOKUP(J56,Zoning!A:A,Zoning!B:B))</f>
        <v>France</v>
      </c>
      <c r="L56">
        <f t="shared" si="2"/>
        <v>1</v>
      </c>
      <c r="M56">
        <f>_xlfn.XLOOKUP(G56,Poids!A:A,Poids!C:C)</f>
        <v>0.6</v>
      </c>
      <c r="N56" t="str">
        <f>IF(COUNTIF(Zoning!A:A,J56)=0,"zone inconnue","France")</f>
        <v>France</v>
      </c>
      <c r="O56">
        <f>IF(COUNTIF(Zoning!A:A,J56)=0,"taux inconnu",_xlfn.XLOOKUP(J56,Zoning!A:A,Zoning!C:C))</f>
        <v>0.2</v>
      </c>
      <c r="R56" t="str">
        <f>IF(TCD!K57="","",TCD!K57)</f>
        <v/>
      </c>
      <c r="S56" t="str">
        <f>IF(TCD!F57="","",TCD!F57)</f>
        <v/>
      </c>
      <c r="T56" t="str">
        <f>IF(TCD!E57="","",TCD!E57)</f>
        <v/>
      </c>
      <c r="U56">
        <f>SUM(TCD!H57:J57)</f>
        <v>5.15</v>
      </c>
    </row>
    <row r="57" spans="1:21" x14ac:dyDescent="0.25">
      <c r="A57" s="1" t="str">
        <f>_xlfn.XLOOKUP(G57,'Facture GLS'!AB:AB,'Facture GLS'!O:O)</f>
        <v>LA RUCHE</v>
      </c>
      <c r="B57" t="str">
        <f t="shared" si="0"/>
        <v>GLS</v>
      </c>
      <c r="C57" s="2">
        <f t="shared" si="1"/>
        <v>46174</v>
      </c>
      <c r="G57" t="str">
        <f>TCD!D58</f>
        <v>00KUR5VD</v>
      </c>
      <c r="I57" t="s">
        <v>104</v>
      </c>
      <c r="J57" t="str">
        <f>_xlfn.XLOOKUP(G57,'Facture GLS'!AB:AB,'Facture GLS'!BB:BB)</f>
        <v>FR</v>
      </c>
      <c r="K57" t="str">
        <f>IF(COUNTIF(Zoning!A:A,J57)=0,"pays inconnu",LOOKUP(J57,Zoning!A:A,Zoning!B:B))</f>
        <v>France</v>
      </c>
      <c r="L57">
        <f t="shared" si="2"/>
        <v>1</v>
      </c>
      <c r="M57">
        <f>_xlfn.XLOOKUP(G57,Poids!A:A,Poids!C:C)</f>
        <v>0.30000000000000004</v>
      </c>
      <c r="N57" t="str">
        <f>IF(COUNTIF(Zoning!A:A,J57)=0,"zone inconnue","France")</f>
        <v>France</v>
      </c>
      <c r="O57">
        <f>IF(COUNTIF(Zoning!A:A,J57)=0,"taux inconnu",_xlfn.XLOOKUP(J57,Zoning!A:A,Zoning!C:C))</f>
        <v>0.2</v>
      </c>
      <c r="R57" t="str">
        <f>IF(TCD!K58="","",TCD!K58)</f>
        <v/>
      </c>
      <c r="S57" t="str">
        <f>IF(TCD!F58="","",TCD!F58)</f>
        <v/>
      </c>
      <c r="T57" t="str">
        <f>IF(TCD!E58="","",TCD!E58)</f>
        <v/>
      </c>
      <c r="U57">
        <f>SUM(TCD!H58:J58)</f>
        <v>4.82</v>
      </c>
    </row>
    <row r="58" spans="1:21" x14ac:dyDescent="0.25">
      <c r="A58" s="1" t="str">
        <f>_xlfn.XLOOKUP(G58,'Facture GLS'!AB:AB,'Facture GLS'!O:O)</f>
        <v>LA RUCHE</v>
      </c>
      <c r="B58" t="str">
        <f t="shared" si="0"/>
        <v>GLS</v>
      </c>
      <c r="C58" s="2">
        <f t="shared" si="1"/>
        <v>46174</v>
      </c>
      <c r="G58" t="str">
        <f>TCD!D59</f>
        <v>00KUR5VE</v>
      </c>
      <c r="I58" t="s">
        <v>104</v>
      </c>
      <c r="J58" t="str">
        <f>_xlfn.XLOOKUP(G58,'Facture GLS'!AB:AB,'Facture GLS'!BB:BB)</f>
        <v>FR</v>
      </c>
      <c r="K58" t="str">
        <f>IF(COUNTIF(Zoning!A:A,J58)=0,"pays inconnu",LOOKUP(J58,Zoning!A:A,Zoning!B:B))</f>
        <v>France</v>
      </c>
      <c r="L58">
        <f t="shared" si="2"/>
        <v>1</v>
      </c>
      <c r="M58">
        <f>_xlfn.XLOOKUP(G58,Poids!A:A,Poids!C:C)</f>
        <v>0.3</v>
      </c>
      <c r="N58" t="str">
        <f>IF(COUNTIF(Zoning!A:A,J58)=0,"zone inconnue","France")</f>
        <v>France</v>
      </c>
      <c r="O58">
        <f>IF(COUNTIF(Zoning!A:A,J58)=0,"taux inconnu",_xlfn.XLOOKUP(J58,Zoning!A:A,Zoning!C:C))</f>
        <v>0.2</v>
      </c>
      <c r="R58" t="str">
        <f>IF(TCD!K59="","",TCD!K59)</f>
        <v/>
      </c>
      <c r="S58" t="str">
        <f>IF(TCD!F59="","",TCD!F59)</f>
        <v/>
      </c>
      <c r="T58" t="str">
        <f>IF(TCD!E59="","",TCD!E59)</f>
        <v/>
      </c>
      <c r="U58">
        <f>SUM(TCD!H59:J59)</f>
        <v>4.82</v>
      </c>
    </row>
    <row r="59" spans="1:21" x14ac:dyDescent="0.25">
      <c r="A59" s="1" t="str">
        <f>_xlfn.XLOOKUP(G59,'Facture GLS'!AB:AB,'Facture GLS'!O:O)</f>
        <v>LA RUCHE</v>
      </c>
      <c r="B59" t="str">
        <f t="shared" si="0"/>
        <v>GLS</v>
      </c>
      <c r="C59" s="2">
        <f t="shared" si="1"/>
        <v>46174</v>
      </c>
      <c r="G59" t="str">
        <f>TCD!D60</f>
        <v>00KUR5VF</v>
      </c>
      <c r="I59" t="s">
        <v>104</v>
      </c>
      <c r="J59" t="str">
        <f>_xlfn.XLOOKUP(G59,'Facture GLS'!AB:AB,'Facture GLS'!BB:BB)</f>
        <v>FR</v>
      </c>
      <c r="K59" t="str">
        <f>IF(COUNTIF(Zoning!A:A,J59)=0,"pays inconnu",LOOKUP(J59,Zoning!A:A,Zoning!B:B))</f>
        <v>France</v>
      </c>
      <c r="L59">
        <f t="shared" si="2"/>
        <v>1</v>
      </c>
      <c r="M59">
        <f>_xlfn.XLOOKUP(G59,Poids!A:A,Poids!C:C)</f>
        <v>1</v>
      </c>
      <c r="N59" t="str">
        <f>IF(COUNTIF(Zoning!A:A,J59)=0,"zone inconnue","France")</f>
        <v>France</v>
      </c>
      <c r="O59">
        <f>IF(COUNTIF(Zoning!A:A,J59)=0,"taux inconnu",_xlfn.XLOOKUP(J59,Zoning!A:A,Zoning!C:C))</f>
        <v>0.2</v>
      </c>
      <c r="R59" t="str">
        <f>IF(TCD!K60="","",TCD!K60)</f>
        <v/>
      </c>
      <c r="S59" t="str">
        <f>IF(TCD!F60="","",TCD!F60)</f>
        <v/>
      </c>
      <c r="T59" t="str">
        <f>IF(TCD!E60="","",TCD!E60)</f>
        <v/>
      </c>
      <c r="U59">
        <f>SUM(TCD!H60:J60)</f>
        <v>5.15</v>
      </c>
    </row>
    <row r="60" spans="1:21" x14ac:dyDescent="0.25">
      <c r="A60" s="1" t="str">
        <f>_xlfn.XLOOKUP(G60,'Facture GLS'!AB:AB,'Facture GLS'!O:O)</f>
        <v>LA RUCHE</v>
      </c>
      <c r="B60" t="str">
        <f t="shared" si="0"/>
        <v>GLS</v>
      </c>
      <c r="C60" s="2">
        <f t="shared" si="1"/>
        <v>46174</v>
      </c>
      <c r="G60" t="str">
        <f>TCD!D61</f>
        <v>00KUR5VG</v>
      </c>
      <c r="I60" t="s">
        <v>104</v>
      </c>
      <c r="J60" t="str">
        <f>_xlfn.XLOOKUP(G60,'Facture GLS'!AB:AB,'Facture GLS'!BB:BB)</f>
        <v>FR</v>
      </c>
      <c r="K60" t="str">
        <f>IF(COUNTIF(Zoning!A:A,J60)=0,"pays inconnu",LOOKUP(J60,Zoning!A:A,Zoning!B:B))</f>
        <v>France</v>
      </c>
      <c r="L60">
        <f t="shared" si="2"/>
        <v>1</v>
      </c>
      <c r="M60">
        <f>_xlfn.XLOOKUP(G60,Poids!A:A,Poids!C:C)</f>
        <v>0.30000000000000004</v>
      </c>
      <c r="N60" t="str">
        <f>IF(COUNTIF(Zoning!A:A,J60)=0,"zone inconnue","France")</f>
        <v>France</v>
      </c>
      <c r="O60">
        <f>IF(COUNTIF(Zoning!A:A,J60)=0,"taux inconnu",_xlfn.XLOOKUP(J60,Zoning!A:A,Zoning!C:C))</f>
        <v>0.2</v>
      </c>
      <c r="R60" t="str">
        <f>IF(TCD!K61="","",TCD!K61)</f>
        <v/>
      </c>
      <c r="S60" t="str">
        <f>IF(TCD!F61="","",TCD!F61)</f>
        <v/>
      </c>
      <c r="T60" t="str">
        <f>IF(TCD!E61="","",TCD!E61)</f>
        <v/>
      </c>
      <c r="U60">
        <f>SUM(TCD!H61:J61)</f>
        <v>4.82</v>
      </c>
    </row>
    <row r="61" spans="1:21" x14ac:dyDescent="0.25">
      <c r="A61" s="1" t="str">
        <f>_xlfn.XLOOKUP(G61,'Facture GLS'!AB:AB,'Facture GLS'!O:O)</f>
        <v>LA RUCHE</v>
      </c>
      <c r="B61" t="str">
        <f t="shared" si="0"/>
        <v>GLS</v>
      </c>
      <c r="C61" s="2">
        <f t="shared" si="1"/>
        <v>46174</v>
      </c>
      <c r="G61" t="str">
        <f>TCD!D62</f>
        <v>00KUR5VH</v>
      </c>
      <c r="I61" t="s">
        <v>104</v>
      </c>
      <c r="J61" t="str">
        <f>_xlfn.XLOOKUP(G61,'Facture GLS'!AB:AB,'Facture GLS'!BB:BB)</f>
        <v>FR</v>
      </c>
      <c r="K61" t="str">
        <f>IF(COUNTIF(Zoning!A:A,J61)=0,"pays inconnu",LOOKUP(J61,Zoning!A:A,Zoning!B:B))</f>
        <v>France</v>
      </c>
      <c r="L61">
        <f t="shared" si="2"/>
        <v>1</v>
      </c>
      <c r="M61">
        <f>_xlfn.XLOOKUP(G61,Poids!A:A,Poids!C:C)</f>
        <v>1.1000000000000001</v>
      </c>
      <c r="N61" t="str">
        <f>IF(COUNTIF(Zoning!A:A,J61)=0,"zone inconnue","France")</f>
        <v>France</v>
      </c>
      <c r="O61">
        <f>IF(COUNTIF(Zoning!A:A,J61)=0,"taux inconnu",_xlfn.XLOOKUP(J61,Zoning!A:A,Zoning!C:C))</f>
        <v>0.2</v>
      </c>
      <c r="R61" t="str">
        <f>IF(TCD!K62="","",TCD!K62)</f>
        <v/>
      </c>
      <c r="S61" t="str">
        <f>IF(TCD!F62="","",TCD!F62)</f>
        <v/>
      </c>
      <c r="T61" t="str">
        <f>IF(TCD!E62="","",TCD!E62)</f>
        <v/>
      </c>
      <c r="U61">
        <f>SUM(TCD!H62:J62)</f>
        <v>5.4700000000000006</v>
      </c>
    </row>
    <row r="62" spans="1:21" x14ac:dyDescent="0.25">
      <c r="A62" s="1" t="str">
        <f>_xlfn.XLOOKUP(G62,'Facture GLS'!AB:AB,'Facture GLS'!O:O)</f>
        <v>LA RUCHE</v>
      </c>
      <c r="B62" t="str">
        <f t="shared" si="0"/>
        <v>GLS</v>
      </c>
      <c r="C62" s="2">
        <f t="shared" si="1"/>
        <v>46174</v>
      </c>
      <c r="G62" t="str">
        <f>TCD!D63</f>
        <v>00KUR5VI</v>
      </c>
      <c r="I62" t="s">
        <v>104</v>
      </c>
      <c r="J62" t="str">
        <f>_xlfn.XLOOKUP(G62,'Facture GLS'!AB:AB,'Facture GLS'!BB:BB)</f>
        <v>FR</v>
      </c>
      <c r="K62" t="str">
        <f>IF(COUNTIF(Zoning!A:A,J62)=0,"pays inconnu",LOOKUP(J62,Zoning!A:A,Zoning!B:B))</f>
        <v>France</v>
      </c>
      <c r="L62">
        <f t="shared" si="2"/>
        <v>1</v>
      </c>
      <c r="M62">
        <f>_xlfn.XLOOKUP(G62,Poids!A:A,Poids!C:C)</f>
        <v>0.4</v>
      </c>
      <c r="N62" t="str">
        <f>IF(COUNTIF(Zoning!A:A,J62)=0,"zone inconnue","France")</f>
        <v>France</v>
      </c>
      <c r="O62">
        <f>IF(COUNTIF(Zoning!A:A,J62)=0,"taux inconnu",_xlfn.XLOOKUP(J62,Zoning!A:A,Zoning!C:C))</f>
        <v>0.2</v>
      </c>
      <c r="R62" t="str">
        <f>IF(TCD!K63="","",TCD!K63)</f>
        <v/>
      </c>
      <c r="S62" t="str">
        <f>IF(TCD!F63="","",TCD!F63)</f>
        <v/>
      </c>
      <c r="T62" t="str">
        <f>IF(TCD!E63="","",TCD!E63)</f>
        <v/>
      </c>
      <c r="U62">
        <f>SUM(TCD!H63:J63)</f>
        <v>4.82</v>
      </c>
    </row>
    <row r="63" spans="1:21" x14ac:dyDescent="0.25">
      <c r="A63" s="1" t="str">
        <f>_xlfn.XLOOKUP(G63,'Facture GLS'!AB:AB,'Facture GLS'!O:O)</f>
        <v>LA RUCHE</v>
      </c>
      <c r="B63" t="str">
        <f t="shared" si="0"/>
        <v>GLS</v>
      </c>
      <c r="C63" s="2">
        <f t="shared" si="1"/>
        <v>46174</v>
      </c>
      <c r="G63" t="str">
        <f>TCD!D64</f>
        <v>00KUR5VJ</v>
      </c>
      <c r="I63" t="s">
        <v>104</v>
      </c>
      <c r="J63" t="str">
        <f>_xlfn.XLOOKUP(G63,'Facture GLS'!AB:AB,'Facture GLS'!BB:BB)</f>
        <v>FR</v>
      </c>
      <c r="K63" t="str">
        <f>IF(COUNTIF(Zoning!A:A,J63)=0,"pays inconnu",LOOKUP(J63,Zoning!A:A,Zoning!B:B))</f>
        <v>France</v>
      </c>
      <c r="L63">
        <f t="shared" si="2"/>
        <v>1</v>
      </c>
      <c r="M63">
        <f>_xlfn.XLOOKUP(G63,Poids!A:A,Poids!C:C)</f>
        <v>0.4</v>
      </c>
      <c r="N63" t="str">
        <f>IF(COUNTIF(Zoning!A:A,J63)=0,"zone inconnue","France")</f>
        <v>France</v>
      </c>
      <c r="O63">
        <f>IF(COUNTIF(Zoning!A:A,J63)=0,"taux inconnu",_xlfn.XLOOKUP(J63,Zoning!A:A,Zoning!C:C))</f>
        <v>0.2</v>
      </c>
      <c r="R63" t="str">
        <f>IF(TCD!K64="","",TCD!K64)</f>
        <v/>
      </c>
      <c r="S63" t="str">
        <f>IF(TCD!F64="","",TCD!F64)</f>
        <v/>
      </c>
      <c r="T63" t="str">
        <f>IF(TCD!E64="","",TCD!E64)</f>
        <v/>
      </c>
      <c r="U63">
        <f>SUM(TCD!H64:J64)</f>
        <v>4.82</v>
      </c>
    </row>
    <row r="64" spans="1:21" x14ac:dyDescent="0.25">
      <c r="A64" s="1" t="str">
        <f>_xlfn.XLOOKUP(G64,'Facture GLS'!AB:AB,'Facture GLS'!O:O)</f>
        <v>LA RUCHE</v>
      </c>
      <c r="B64" t="str">
        <f t="shared" si="0"/>
        <v>GLS</v>
      </c>
      <c r="C64" s="2">
        <f t="shared" si="1"/>
        <v>46174</v>
      </c>
      <c r="G64" t="str">
        <f>TCD!D65</f>
        <v>00KUR5VK</v>
      </c>
      <c r="I64" t="s">
        <v>104</v>
      </c>
      <c r="J64" t="str">
        <f>_xlfn.XLOOKUP(G64,'Facture GLS'!AB:AB,'Facture GLS'!BB:BB)</f>
        <v>FR</v>
      </c>
      <c r="K64" t="str">
        <f>IF(COUNTIF(Zoning!A:A,J64)=0,"pays inconnu",LOOKUP(J64,Zoning!A:A,Zoning!B:B))</f>
        <v>France</v>
      </c>
      <c r="L64">
        <f t="shared" si="2"/>
        <v>1</v>
      </c>
      <c r="M64">
        <f>_xlfn.XLOOKUP(G64,Poids!A:A,Poids!C:C)</f>
        <v>0.5</v>
      </c>
      <c r="N64" t="str">
        <f>IF(COUNTIF(Zoning!A:A,J64)=0,"zone inconnue","France")</f>
        <v>France</v>
      </c>
      <c r="O64">
        <f>IF(COUNTIF(Zoning!A:A,J64)=0,"taux inconnu",_xlfn.XLOOKUP(J64,Zoning!A:A,Zoning!C:C))</f>
        <v>0.2</v>
      </c>
      <c r="R64" t="str">
        <f>IF(TCD!K65="","",TCD!K65)</f>
        <v/>
      </c>
      <c r="S64" t="str">
        <f>IF(TCD!F65="","",TCD!F65)</f>
        <v/>
      </c>
      <c r="T64" t="str">
        <f>IF(TCD!E65="","",TCD!E65)</f>
        <v/>
      </c>
      <c r="U64">
        <f>SUM(TCD!H65:J65)</f>
        <v>4.82</v>
      </c>
    </row>
    <row r="65" spans="1:21" x14ac:dyDescent="0.25">
      <c r="A65" s="1" t="str">
        <f>_xlfn.XLOOKUP(G65,'Facture GLS'!AB:AB,'Facture GLS'!O:O)</f>
        <v>LA RUCHE</v>
      </c>
      <c r="B65" t="str">
        <f t="shared" si="0"/>
        <v>GLS</v>
      </c>
      <c r="C65" s="2">
        <f t="shared" si="1"/>
        <v>46174</v>
      </c>
      <c r="G65" t="str">
        <f>TCD!D66</f>
        <v>00KUR5VL</v>
      </c>
      <c r="I65" t="s">
        <v>104</v>
      </c>
      <c r="J65" t="str">
        <f>_xlfn.XLOOKUP(G65,'Facture GLS'!AB:AB,'Facture GLS'!BB:BB)</f>
        <v>FR</v>
      </c>
      <c r="K65" t="str">
        <f>IF(COUNTIF(Zoning!A:A,J65)=0,"pays inconnu",LOOKUP(J65,Zoning!A:A,Zoning!B:B))</f>
        <v>France</v>
      </c>
      <c r="L65">
        <f t="shared" si="2"/>
        <v>1</v>
      </c>
      <c r="M65">
        <f>_xlfn.XLOOKUP(G65,Poids!A:A,Poids!C:C)</f>
        <v>0.30000000000000004</v>
      </c>
      <c r="N65" t="str">
        <f>IF(COUNTIF(Zoning!A:A,J65)=0,"zone inconnue","France")</f>
        <v>France</v>
      </c>
      <c r="O65">
        <f>IF(COUNTIF(Zoning!A:A,J65)=0,"taux inconnu",_xlfn.XLOOKUP(J65,Zoning!A:A,Zoning!C:C))</f>
        <v>0.2</v>
      </c>
      <c r="R65" t="str">
        <f>IF(TCD!K66="","",TCD!K66)</f>
        <v/>
      </c>
      <c r="S65" t="str">
        <f>IF(TCD!F66="","",TCD!F66)</f>
        <v/>
      </c>
      <c r="T65" t="str">
        <f>IF(TCD!E66="","",TCD!E66)</f>
        <v/>
      </c>
      <c r="U65">
        <f>SUM(TCD!H66:J66)</f>
        <v>4.82</v>
      </c>
    </row>
    <row r="66" spans="1:21" x14ac:dyDescent="0.25">
      <c r="A66" s="1" t="str">
        <f>_xlfn.XLOOKUP(G66,'Facture GLS'!AB:AB,'Facture GLS'!O:O)</f>
        <v>LA RUCHE</v>
      </c>
      <c r="B66" t="str">
        <f t="shared" si="0"/>
        <v>GLS</v>
      </c>
      <c r="C66" s="2">
        <f t="shared" si="1"/>
        <v>46174</v>
      </c>
      <c r="G66" t="str">
        <f>TCD!D67</f>
        <v>00KUR5VM</v>
      </c>
      <c r="I66" t="s">
        <v>104</v>
      </c>
      <c r="J66" t="str">
        <f>_xlfn.XLOOKUP(G66,'Facture GLS'!AB:AB,'Facture GLS'!BB:BB)</f>
        <v>FR</v>
      </c>
      <c r="K66" t="str">
        <f>IF(COUNTIF(Zoning!A:A,J66)=0,"pays inconnu",LOOKUP(J66,Zoning!A:A,Zoning!B:B))</f>
        <v>France</v>
      </c>
      <c r="L66">
        <f t="shared" si="2"/>
        <v>1</v>
      </c>
      <c r="M66">
        <f>_xlfn.XLOOKUP(G66,Poids!A:A,Poids!C:C)</f>
        <v>0.30000000000000004</v>
      </c>
      <c r="N66" t="str">
        <f>IF(COUNTIF(Zoning!A:A,J66)=0,"zone inconnue","France")</f>
        <v>France</v>
      </c>
      <c r="O66">
        <f>IF(COUNTIF(Zoning!A:A,J66)=0,"taux inconnu",_xlfn.XLOOKUP(J66,Zoning!A:A,Zoning!C:C))</f>
        <v>0.2</v>
      </c>
      <c r="R66" t="str">
        <f>IF(TCD!K67="","",TCD!K67)</f>
        <v/>
      </c>
      <c r="S66" t="str">
        <f>IF(TCD!F67="","",TCD!F67)</f>
        <v/>
      </c>
      <c r="T66" t="str">
        <f>IF(TCD!E67="","",TCD!E67)</f>
        <v/>
      </c>
      <c r="U66">
        <f>SUM(TCD!H67:J67)</f>
        <v>4.82</v>
      </c>
    </row>
    <row r="67" spans="1:21" x14ac:dyDescent="0.25">
      <c r="A67" s="1" t="str">
        <f>_xlfn.XLOOKUP(G67,'Facture GLS'!AB:AB,'Facture GLS'!O:O)</f>
        <v>LA RUCHE</v>
      </c>
      <c r="B67" t="str">
        <f t="shared" si="0"/>
        <v>GLS</v>
      </c>
      <c r="C67" s="2">
        <f t="shared" si="1"/>
        <v>46174</v>
      </c>
      <c r="G67" t="str">
        <f>TCD!D68</f>
        <v>00KUR5VN</v>
      </c>
      <c r="I67" t="s">
        <v>104</v>
      </c>
      <c r="J67" t="str">
        <f>_xlfn.XLOOKUP(G67,'Facture GLS'!AB:AB,'Facture GLS'!BB:BB)</f>
        <v>FR</v>
      </c>
      <c r="K67" t="str">
        <f>IF(COUNTIF(Zoning!A:A,J67)=0,"pays inconnu",LOOKUP(J67,Zoning!A:A,Zoning!B:B))</f>
        <v>France</v>
      </c>
      <c r="L67">
        <f t="shared" si="2"/>
        <v>1</v>
      </c>
      <c r="M67">
        <f>_xlfn.XLOOKUP(G67,Poids!A:A,Poids!C:C)</f>
        <v>0.5</v>
      </c>
      <c r="N67" t="str">
        <f>IF(COUNTIF(Zoning!A:A,J67)=0,"zone inconnue","France")</f>
        <v>France</v>
      </c>
      <c r="O67">
        <f>IF(COUNTIF(Zoning!A:A,J67)=0,"taux inconnu",_xlfn.XLOOKUP(J67,Zoning!A:A,Zoning!C:C))</f>
        <v>0.2</v>
      </c>
      <c r="R67" t="str">
        <f>IF(TCD!K68="","",TCD!K68)</f>
        <v/>
      </c>
      <c r="S67" t="str">
        <f>IF(TCD!F68="","",TCD!F68)</f>
        <v/>
      </c>
      <c r="T67" t="str">
        <f>IF(TCD!E68="","",TCD!E68)</f>
        <v/>
      </c>
      <c r="U67">
        <f>SUM(TCD!H68:J68)</f>
        <v>4.82</v>
      </c>
    </row>
    <row r="68" spans="1:21" x14ac:dyDescent="0.25">
      <c r="A68" s="1" t="str">
        <f>_xlfn.XLOOKUP(G68,'Facture GLS'!AB:AB,'Facture GLS'!O:O)</f>
        <v>LA RUCHE</v>
      </c>
      <c r="B68" t="str">
        <f t="shared" ref="B68:B131" si="3">B67</f>
        <v>GLS</v>
      </c>
      <c r="C68" s="2">
        <f t="shared" ref="C68:C131" si="4">C67</f>
        <v>46174</v>
      </c>
      <c r="G68" t="str">
        <f>TCD!D69</f>
        <v>00KUR5VO</v>
      </c>
      <c r="I68" t="s">
        <v>104</v>
      </c>
      <c r="J68" t="str">
        <f>_xlfn.XLOOKUP(G68,'Facture GLS'!AB:AB,'Facture GLS'!BB:BB)</f>
        <v>FR</v>
      </c>
      <c r="K68" t="str">
        <f>IF(COUNTIF(Zoning!A:A,J68)=0,"pays inconnu",LOOKUP(J68,Zoning!A:A,Zoning!B:B))</f>
        <v>France</v>
      </c>
      <c r="L68">
        <f t="shared" ref="L68:L131" si="5">L67</f>
        <v>1</v>
      </c>
      <c r="M68">
        <f>_xlfn.XLOOKUP(G68,Poids!A:A,Poids!C:C)</f>
        <v>0.5</v>
      </c>
      <c r="N68" t="str">
        <f>IF(COUNTIF(Zoning!A:A,J68)=0,"zone inconnue","France")</f>
        <v>France</v>
      </c>
      <c r="O68">
        <f>IF(COUNTIF(Zoning!A:A,J68)=0,"taux inconnu",_xlfn.XLOOKUP(J68,Zoning!A:A,Zoning!C:C))</f>
        <v>0.2</v>
      </c>
      <c r="R68" t="str">
        <f>IF(TCD!K69="","",TCD!K69)</f>
        <v/>
      </c>
      <c r="S68" t="str">
        <f>IF(TCD!F69="","",TCD!F69)</f>
        <v/>
      </c>
      <c r="T68" t="str">
        <f>IF(TCD!E69="","",TCD!E69)</f>
        <v/>
      </c>
      <c r="U68">
        <f>SUM(TCD!H69:J69)</f>
        <v>4.82</v>
      </c>
    </row>
    <row r="69" spans="1:21" x14ac:dyDescent="0.25">
      <c r="A69" s="1" t="str">
        <f>_xlfn.XLOOKUP(G69,'Facture GLS'!AB:AB,'Facture GLS'!O:O)</f>
        <v>LA RUCHE</v>
      </c>
      <c r="B69" t="str">
        <f t="shared" si="3"/>
        <v>GLS</v>
      </c>
      <c r="C69" s="2">
        <f t="shared" si="4"/>
        <v>46174</v>
      </c>
      <c r="G69" t="str">
        <f>TCD!D70</f>
        <v>00KUR5VP</v>
      </c>
      <c r="I69" t="s">
        <v>104</v>
      </c>
      <c r="J69" t="str">
        <f>_xlfn.XLOOKUP(G69,'Facture GLS'!AB:AB,'Facture GLS'!BB:BB)</f>
        <v>FR</v>
      </c>
      <c r="K69" t="str">
        <f>IF(COUNTIF(Zoning!A:A,J69)=0,"pays inconnu",LOOKUP(J69,Zoning!A:A,Zoning!B:B))</f>
        <v>France</v>
      </c>
      <c r="L69">
        <f t="shared" si="5"/>
        <v>1</v>
      </c>
      <c r="M69">
        <f>_xlfn.XLOOKUP(G69,Poids!A:A,Poids!C:C)</f>
        <v>0.79999999999999993</v>
      </c>
      <c r="N69" t="str">
        <f>IF(COUNTIF(Zoning!A:A,J69)=0,"zone inconnue","France")</f>
        <v>France</v>
      </c>
      <c r="O69">
        <f>IF(COUNTIF(Zoning!A:A,J69)=0,"taux inconnu",_xlfn.XLOOKUP(J69,Zoning!A:A,Zoning!C:C))</f>
        <v>0.2</v>
      </c>
      <c r="R69" t="str">
        <f>IF(TCD!K70="","",TCD!K70)</f>
        <v/>
      </c>
      <c r="S69" t="str">
        <f>IF(TCD!F70="","",TCD!F70)</f>
        <v/>
      </c>
      <c r="T69" t="str">
        <f>IF(TCD!E70="","",TCD!E70)</f>
        <v/>
      </c>
      <c r="U69">
        <f>SUM(TCD!H70:J70)</f>
        <v>5.15</v>
      </c>
    </row>
    <row r="70" spans="1:21" x14ac:dyDescent="0.25">
      <c r="A70" s="1" t="str">
        <f>_xlfn.XLOOKUP(G70,'Facture GLS'!AB:AB,'Facture GLS'!O:O)</f>
        <v>LA RUCHE</v>
      </c>
      <c r="B70" t="str">
        <f t="shared" si="3"/>
        <v>GLS</v>
      </c>
      <c r="C70" s="2">
        <f t="shared" si="4"/>
        <v>46174</v>
      </c>
      <c r="G70" t="str">
        <f>TCD!D71</f>
        <v>00KUR5VQ</v>
      </c>
      <c r="I70" t="s">
        <v>104</v>
      </c>
      <c r="J70" t="str">
        <f>_xlfn.XLOOKUP(G70,'Facture GLS'!AB:AB,'Facture GLS'!BB:BB)</f>
        <v>FR</v>
      </c>
      <c r="K70" t="str">
        <f>IF(COUNTIF(Zoning!A:A,J70)=0,"pays inconnu",LOOKUP(J70,Zoning!A:A,Zoning!B:B))</f>
        <v>France</v>
      </c>
      <c r="L70">
        <f t="shared" si="5"/>
        <v>1</v>
      </c>
      <c r="M70">
        <f>_xlfn.XLOOKUP(G70,Poids!A:A,Poids!C:C)</f>
        <v>1</v>
      </c>
      <c r="N70" t="str">
        <f>IF(COUNTIF(Zoning!A:A,J70)=0,"zone inconnue","France")</f>
        <v>France</v>
      </c>
      <c r="O70">
        <f>IF(COUNTIF(Zoning!A:A,J70)=0,"taux inconnu",_xlfn.XLOOKUP(J70,Zoning!A:A,Zoning!C:C))</f>
        <v>0.2</v>
      </c>
      <c r="R70" t="str">
        <f>IF(TCD!K71="","",TCD!K71)</f>
        <v/>
      </c>
      <c r="S70" t="str">
        <f>IF(TCD!F71="","",TCD!F71)</f>
        <v/>
      </c>
      <c r="T70" t="str">
        <f>IF(TCD!E71="","",TCD!E71)</f>
        <v/>
      </c>
      <c r="U70">
        <f>SUM(TCD!H71:J71)</f>
        <v>5.15</v>
      </c>
    </row>
    <row r="71" spans="1:21" x14ac:dyDescent="0.25">
      <c r="A71" s="1" t="str">
        <f>_xlfn.XLOOKUP(G71,'Facture GLS'!AB:AB,'Facture GLS'!O:O)</f>
        <v>LA RUCHE</v>
      </c>
      <c r="B71" t="str">
        <f t="shared" si="3"/>
        <v>GLS</v>
      </c>
      <c r="C71" s="2">
        <f t="shared" si="4"/>
        <v>46174</v>
      </c>
      <c r="G71" t="str">
        <f>TCD!D72</f>
        <v>00KUR5VR</v>
      </c>
      <c r="I71" t="s">
        <v>104</v>
      </c>
      <c r="J71" t="str">
        <f>_xlfn.XLOOKUP(G71,'Facture GLS'!AB:AB,'Facture GLS'!BB:BB)</f>
        <v>FR</v>
      </c>
      <c r="K71" t="str">
        <f>IF(COUNTIF(Zoning!A:A,J71)=0,"pays inconnu",LOOKUP(J71,Zoning!A:A,Zoning!B:B))</f>
        <v>France</v>
      </c>
      <c r="L71">
        <f t="shared" si="5"/>
        <v>1</v>
      </c>
      <c r="M71">
        <f>_xlfn.XLOOKUP(G71,Poids!A:A,Poids!C:C)</f>
        <v>1.1000000000000001</v>
      </c>
      <c r="N71" t="str">
        <f>IF(COUNTIF(Zoning!A:A,J71)=0,"zone inconnue","France")</f>
        <v>France</v>
      </c>
      <c r="O71">
        <f>IF(COUNTIF(Zoning!A:A,J71)=0,"taux inconnu",_xlfn.XLOOKUP(J71,Zoning!A:A,Zoning!C:C))</f>
        <v>0.2</v>
      </c>
      <c r="R71" t="str">
        <f>IF(TCD!K72="","",TCD!K72)</f>
        <v/>
      </c>
      <c r="S71" t="str">
        <f>IF(TCD!F72="","",TCD!F72)</f>
        <v/>
      </c>
      <c r="T71" t="str">
        <f>IF(TCD!E72="","",TCD!E72)</f>
        <v/>
      </c>
      <c r="U71">
        <f>SUM(TCD!H72:J72)</f>
        <v>5.4700000000000006</v>
      </c>
    </row>
    <row r="72" spans="1:21" x14ac:dyDescent="0.25">
      <c r="A72" s="1" t="str">
        <f>_xlfn.XLOOKUP(G72,'Facture GLS'!AB:AB,'Facture GLS'!O:O)</f>
        <v>LA RUCHE</v>
      </c>
      <c r="B72" t="str">
        <f t="shared" si="3"/>
        <v>GLS</v>
      </c>
      <c r="C72" s="2">
        <f t="shared" si="4"/>
        <v>46174</v>
      </c>
      <c r="G72" t="str">
        <f>TCD!D73</f>
        <v>00KUR5VS</v>
      </c>
      <c r="I72" t="s">
        <v>104</v>
      </c>
      <c r="J72" t="str">
        <f>_xlfn.XLOOKUP(G72,'Facture GLS'!AB:AB,'Facture GLS'!BB:BB)</f>
        <v>FR</v>
      </c>
      <c r="K72" t="str">
        <f>IF(COUNTIF(Zoning!A:A,J72)=0,"pays inconnu",LOOKUP(J72,Zoning!A:A,Zoning!B:B))</f>
        <v>France</v>
      </c>
      <c r="L72">
        <f t="shared" si="5"/>
        <v>1</v>
      </c>
      <c r="M72">
        <f>_xlfn.XLOOKUP(G72,Poids!A:A,Poids!C:C)</f>
        <v>1.1000000000000001</v>
      </c>
      <c r="N72" t="str">
        <f>IF(COUNTIF(Zoning!A:A,J72)=0,"zone inconnue","France")</f>
        <v>France</v>
      </c>
      <c r="O72">
        <f>IF(COUNTIF(Zoning!A:A,J72)=0,"taux inconnu",_xlfn.XLOOKUP(J72,Zoning!A:A,Zoning!C:C))</f>
        <v>0.2</v>
      </c>
      <c r="R72" t="str">
        <f>IF(TCD!K73="","",TCD!K73)</f>
        <v/>
      </c>
      <c r="S72" t="str">
        <f>IF(TCD!F73="","",TCD!F73)</f>
        <v/>
      </c>
      <c r="T72" t="str">
        <f>IF(TCD!E73="","",TCD!E73)</f>
        <v/>
      </c>
      <c r="U72">
        <f>SUM(TCD!H73:J73)</f>
        <v>5.4700000000000006</v>
      </c>
    </row>
    <row r="73" spans="1:21" x14ac:dyDescent="0.25">
      <c r="A73" s="1" t="str">
        <f>_xlfn.XLOOKUP(G73,'Facture GLS'!AB:AB,'Facture GLS'!O:O)</f>
        <v>LA RUCHE</v>
      </c>
      <c r="B73" t="str">
        <f t="shared" si="3"/>
        <v>GLS</v>
      </c>
      <c r="C73" s="2">
        <f t="shared" si="4"/>
        <v>46174</v>
      </c>
      <c r="G73" t="str">
        <f>TCD!D74</f>
        <v>00KUR5VT</v>
      </c>
      <c r="I73" t="s">
        <v>104</v>
      </c>
      <c r="J73" t="str">
        <f>_xlfn.XLOOKUP(G73,'Facture GLS'!AB:AB,'Facture GLS'!BB:BB)</f>
        <v>FR</v>
      </c>
      <c r="K73" t="str">
        <f>IF(COUNTIF(Zoning!A:A,J73)=0,"pays inconnu",LOOKUP(J73,Zoning!A:A,Zoning!B:B))</f>
        <v>France</v>
      </c>
      <c r="L73">
        <f t="shared" si="5"/>
        <v>1</v>
      </c>
      <c r="M73">
        <f>_xlfn.XLOOKUP(G73,Poids!A:A,Poids!C:C)</f>
        <v>1.8</v>
      </c>
      <c r="N73" t="str">
        <f>IF(COUNTIF(Zoning!A:A,J73)=0,"zone inconnue","France")</f>
        <v>France</v>
      </c>
      <c r="O73">
        <f>IF(COUNTIF(Zoning!A:A,J73)=0,"taux inconnu",_xlfn.XLOOKUP(J73,Zoning!A:A,Zoning!C:C))</f>
        <v>0.2</v>
      </c>
      <c r="R73" t="str">
        <f>IF(TCD!K74="","",TCD!K74)</f>
        <v/>
      </c>
      <c r="S73" t="str">
        <f>IF(TCD!F74="","",TCD!F74)</f>
        <v/>
      </c>
      <c r="T73" t="str">
        <f>IF(TCD!E74="","",TCD!E74)</f>
        <v/>
      </c>
      <c r="U73">
        <f>SUM(TCD!H74:J74)</f>
        <v>5.4700000000000006</v>
      </c>
    </row>
    <row r="74" spans="1:21" x14ac:dyDescent="0.25">
      <c r="A74" s="1" t="str">
        <f>_xlfn.XLOOKUP(G74,'Facture GLS'!AB:AB,'Facture GLS'!O:O)</f>
        <v>LA RUCHE</v>
      </c>
      <c r="B74" t="str">
        <f t="shared" si="3"/>
        <v>GLS</v>
      </c>
      <c r="C74" s="2">
        <f t="shared" si="4"/>
        <v>46174</v>
      </c>
      <c r="G74" t="str">
        <f>TCD!D75</f>
        <v>00KUR5VU</v>
      </c>
      <c r="I74" t="s">
        <v>104</v>
      </c>
      <c r="J74" t="str">
        <f>_xlfn.XLOOKUP(G74,'Facture GLS'!AB:AB,'Facture GLS'!BB:BB)</f>
        <v>FR</v>
      </c>
      <c r="K74" t="str">
        <f>IF(COUNTIF(Zoning!A:A,J74)=0,"pays inconnu",LOOKUP(J74,Zoning!A:A,Zoning!B:B))</f>
        <v>France</v>
      </c>
      <c r="L74">
        <f t="shared" si="5"/>
        <v>1</v>
      </c>
      <c r="M74">
        <f>_xlfn.XLOOKUP(G74,Poids!A:A,Poids!C:C)</f>
        <v>0.30000000000000004</v>
      </c>
      <c r="N74" t="str">
        <f>IF(COUNTIF(Zoning!A:A,J74)=0,"zone inconnue","France")</f>
        <v>France</v>
      </c>
      <c r="O74">
        <f>IF(COUNTIF(Zoning!A:A,J74)=0,"taux inconnu",_xlfn.XLOOKUP(J74,Zoning!A:A,Zoning!C:C))</f>
        <v>0.2</v>
      </c>
      <c r="R74" t="str">
        <f>IF(TCD!K75="","",TCD!K75)</f>
        <v/>
      </c>
      <c r="S74" t="str">
        <f>IF(TCD!F75="","",TCD!F75)</f>
        <v/>
      </c>
      <c r="T74" t="str">
        <f>IF(TCD!E75="","",TCD!E75)</f>
        <v/>
      </c>
      <c r="U74">
        <f>SUM(TCD!H75:J75)</f>
        <v>4.82</v>
      </c>
    </row>
    <row r="75" spans="1:21" x14ac:dyDescent="0.25">
      <c r="A75" s="1" t="str">
        <f>_xlfn.XLOOKUP(G75,'Facture GLS'!AB:AB,'Facture GLS'!O:O)</f>
        <v>LA RUCHE</v>
      </c>
      <c r="B75" t="str">
        <f t="shared" si="3"/>
        <v>GLS</v>
      </c>
      <c r="C75" s="2">
        <f t="shared" si="4"/>
        <v>46174</v>
      </c>
      <c r="G75" t="str">
        <f>TCD!D76</f>
        <v>00KUR5VV</v>
      </c>
      <c r="I75" t="s">
        <v>104</v>
      </c>
      <c r="J75" t="str">
        <f>_xlfn.XLOOKUP(G75,'Facture GLS'!AB:AB,'Facture GLS'!BB:BB)</f>
        <v>FR</v>
      </c>
      <c r="K75" t="str">
        <f>IF(COUNTIF(Zoning!A:A,J75)=0,"pays inconnu",LOOKUP(J75,Zoning!A:A,Zoning!B:B))</f>
        <v>France</v>
      </c>
      <c r="L75">
        <f t="shared" si="5"/>
        <v>1</v>
      </c>
      <c r="M75">
        <f>_xlfn.XLOOKUP(G75,Poids!A:A,Poids!C:C)</f>
        <v>0.30000000000000004</v>
      </c>
      <c r="N75" t="str">
        <f>IF(COUNTIF(Zoning!A:A,J75)=0,"zone inconnue","France")</f>
        <v>France</v>
      </c>
      <c r="O75">
        <f>IF(COUNTIF(Zoning!A:A,J75)=0,"taux inconnu",_xlfn.XLOOKUP(J75,Zoning!A:A,Zoning!C:C))</f>
        <v>0.2</v>
      </c>
      <c r="R75" t="str">
        <f>IF(TCD!K76="","",TCD!K76)</f>
        <v/>
      </c>
      <c r="S75" t="str">
        <f>IF(TCD!F76="","",TCD!F76)</f>
        <v/>
      </c>
      <c r="T75" t="str">
        <f>IF(TCD!E76="","",TCD!E76)</f>
        <v/>
      </c>
      <c r="U75">
        <f>SUM(TCD!H76:J76)</f>
        <v>4.82</v>
      </c>
    </row>
    <row r="76" spans="1:21" x14ac:dyDescent="0.25">
      <c r="A76" s="1" t="str">
        <f>_xlfn.XLOOKUP(G76,'Facture GLS'!AB:AB,'Facture GLS'!O:O)</f>
        <v>LA RUCHE</v>
      </c>
      <c r="B76" t="str">
        <f t="shared" si="3"/>
        <v>GLS</v>
      </c>
      <c r="C76" s="2">
        <f t="shared" si="4"/>
        <v>46174</v>
      </c>
      <c r="G76" t="str">
        <f>TCD!D77</f>
        <v>00KUR5VW</v>
      </c>
      <c r="I76" t="s">
        <v>104</v>
      </c>
      <c r="J76" t="str">
        <f>_xlfn.XLOOKUP(G76,'Facture GLS'!AB:AB,'Facture GLS'!BB:BB)</f>
        <v>FR</v>
      </c>
      <c r="K76" t="str">
        <f>IF(COUNTIF(Zoning!A:A,J76)=0,"pays inconnu",LOOKUP(J76,Zoning!A:A,Zoning!B:B))</f>
        <v>France</v>
      </c>
      <c r="L76">
        <f t="shared" si="5"/>
        <v>1</v>
      </c>
      <c r="M76">
        <f>_xlfn.XLOOKUP(G76,Poids!A:A,Poids!C:C)</f>
        <v>2.5</v>
      </c>
      <c r="N76" t="str">
        <f>IF(COUNTIF(Zoning!A:A,J76)=0,"zone inconnue","France")</f>
        <v>France</v>
      </c>
      <c r="O76">
        <f>IF(COUNTIF(Zoning!A:A,J76)=0,"taux inconnu",_xlfn.XLOOKUP(J76,Zoning!A:A,Zoning!C:C))</f>
        <v>0.2</v>
      </c>
      <c r="R76" t="str">
        <f>IF(TCD!K77="","",TCD!K77)</f>
        <v/>
      </c>
      <c r="S76" t="str">
        <f>IF(TCD!F77="","",TCD!F77)</f>
        <v/>
      </c>
      <c r="T76">
        <f>IF(TCD!E77="","",TCD!E77)</f>
        <v>2.36</v>
      </c>
      <c r="U76">
        <f>SUM(TCD!H77:J77)</f>
        <v>5.7900000000000009</v>
      </c>
    </row>
    <row r="77" spans="1:21" x14ac:dyDescent="0.25">
      <c r="A77" s="1" t="str">
        <f>_xlfn.XLOOKUP(G77,'Facture GLS'!AB:AB,'Facture GLS'!O:O)</f>
        <v>LA RUCHE</v>
      </c>
      <c r="B77" t="str">
        <f t="shared" si="3"/>
        <v>GLS</v>
      </c>
      <c r="C77" s="2">
        <f t="shared" si="4"/>
        <v>46174</v>
      </c>
      <c r="G77" t="str">
        <f>TCD!D78</f>
        <v>00KUR5VX</v>
      </c>
      <c r="I77" t="s">
        <v>104</v>
      </c>
      <c r="J77" t="str">
        <f>_xlfn.XLOOKUP(G77,'Facture GLS'!AB:AB,'Facture GLS'!BB:BB)</f>
        <v>FR</v>
      </c>
      <c r="K77" t="str">
        <f>IF(COUNTIF(Zoning!A:A,J77)=0,"pays inconnu",LOOKUP(J77,Zoning!A:A,Zoning!B:B))</f>
        <v>France</v>
      </c>
      <c r="L77">
        <f t="shared" si="5"/>
        <v>1</v>
      </c>
      <c r="M77">
        <f>_xlfn.XLOOKUP(G77,Poids!A:A,Poids!C:C)</f>
        <v>0.6</v>
      </c>
      <c r="N77" t="str">
        <f>IF(COUNTIF(Zoning!A:A,J77)=0,"zone inconnue","France")</f>
        <v>France</v>
      </c>
      <c r="O77">
        <f>IF(COUNTIF(Zoning!A:A,J77)=0,"taux inconnu",_xlfn.XLOOKUP(J77,Zoning!A:A,Zoning!C:C))</f>
        <v>0.2</v>
      </c>
      <c r="R77" t="str">
        <f>IF(TCD!K78="","",TCD!K78)</f>
        <v/>
      </c>
      <c r="S77" t="str">
        <f>IF(TCD!F78="","",TCD!F78)</f>
        <v/>
      </c>
      <c r="T77" t="str">
        <f>IF(TCD!E78="","",TCD!E78)</f>
        <v/>
      </c>
      <c r="U77">
        <f>SUM(TCD!H78:J78)</f>
        <v>5.15</v>
      </c>
    </row>
    <row r="78" spans="1:21" x14ac:dyDescent="0.25">
      <c r="A78" s="1" t="str">
        <f>_xlfn.XLOOKUP(G78,'Facture GLS'!AB:AB,'Facture GLS'!O:O)</f>
        <v>LA RUCHE</v>
      </c>
      <c r="B78" t="str">
        <f t="shared" si="3"/>
        <v>GLS</v>
      </c>
      <c r="C78" s="2">
        <f t="shared" si="4"/>
        <v>46174</v>
      </c>
      <c r="G78" t="str">
        <f>TCD!D79</f>
        <v>00KUR5VY</v>
      </c>
      <c r="I78" t="s">
        <v>104</v>
      </c>
      <c r="J78" t="str">
        <f>_xlfn.XLOOKUP(G78,'Facture GLS'!AB:AB,'Facture GLS'!BB:BB)</f>
        <v>FR</v>
      </c>
      <c r="K78" t="str">
        <f>IF(COUNTIF(Zoning!A:A,J78)=0,"pays inconnu",LOOKUP(J78,Zoning!A:A,Zoning!B:B))</f>
        <v>France</v>
      </c>
      <c r="L78">
        <f t="shared" si="5"/>
        <v>1</v>
      </c>
      <c r="M78">
        <f>_xlfn.XLOOKUP(G78,Poids!A:A,Poids!C:C)</f>
        <v>1.9000000000000001</v>
      </c>
      <c r="N78" t="str">
        <f>IF(COUNTIF(Zoning!A:A,J78)=0,"zone inconnue","France")</f>
        <v>France</v>
      </c>
      <c r="O78">
        <f>IF(COUNTIF(Zoning!A:A,J78)=0,"taux inconnu",_xlfn.XLOOKUP(J78,Zoning!A:A,Zoning!C:C))</f>
        <v>0.2</v>
      </c>
      <c r="R78" t="str">
        <f>IF(TCD!K79="","",TCD!K79)</f>
        <v/>
      </c>
      <c r="S78" t="str">
        <f>IF(TCD!F79="","",TCD!F79)</f>
        <v/>
      </c>
      <c r="T78" t="str">
        <f>IF(TCD!E79="","",TCD!E79)</f>
        <v/>
      </c>
      <c r="U78">
        <f>SUM(TCD!H79:J79)</f>
        <v>5.4700000000000006</v>
      </c>
    </row>
    <row r="79" spans="1:21" x14ac:dyDescent="0.25">
      <c r="A79" s="1" t="str">
        <f>_xlfn.XLOOKUP(G79,'Facture GLS'!AB:AB,'Facture GLS'!O:O)</f>
        <v>LA RUCHE</v>
      </c>
      <c r="B79" t="str">
        <f t="shared" si="3"/>
        <v>GLS</v>
      </c>
      <c r="C79" s="2">
        <f t="shared" si="4"/>
        <v>46174</v>
      </c>
      <c r="G79" t="str">
        <f>TCD!D80</f>
        <v>00KUR5VZ</v>
      </c>
      <c r="I79" t="s">
        <v>104</v>
      </c>
      <c r="J79" t="str">
        <f>_xlfn.XLOOKUP(G79,'Facture GLS'!AB:AB,'Facture GLS'!BB:BB)</f>
        <v>FR</v>
      </c>
      <c r="K79" t="str">
        <f>IF(COUNTIF(Zoning!A:A,J79)=0,"pays inconnu",LOOKUP(J79,Zoning!A:A,Zoning!B:B))</f>
        <v>France</v>
      </c>
      <c r="L79">
        <f t="shared" si="5"/>
        <v>1</v>
      </c>
      <c r="M79">
        <f>_xlfn.XLOOKUP(G79,Poids!A:A,Poids!C:C)</f>
        <v>0.6</v>
      </c>
      <c r="N79" t="str">
        <f>IF(COUNTIF(Zoning!A:A,J79)=0,"zone inconnue","France")</f>
        <v>France</v>
      </c>
      <c r="O79">
        <f>IF(COUNTIF(Zoning!A:A,J79)=0,"taux inconnu",_xlfn.XLOOKUP(J79,Zoning!A:A,Zoning!C:C))</f>
        <v>0.2</v>
      </c>
      <c r="R79" t="str">
        <f>IF(TCD!K80="","",TCD!K80)</f>
        <v/>
      </c>
      <c r="S79" t="str">
        <f>IF(TCD!F80="","",TCD!F80)</f>
        <v/>
      </c>
      <c r="T79" t="str">
        <f>IF(TCD!E80="","",TCD!E80)</f>
        <v/>
      </c>
      <c r="U79">
        <f>SUM(TCD!H80:J80)</f>
        <v>5.15</v>
      </c>
    </row>
    <row r="80" spans="1:21" x14ac:dyDescent="0.25">
      <c r="A80" s="1" t="str">
        <f>_xlfn.XLOOKUP(G80,'Facture GLS'!AB:AB,'Facture GLS'!O:O)</f>
        <v>LA RUCHE</v>
      </c>
      <c r="B80" t="str">
        <f t="shared" si="3"/>
        <v>GLS</v>
      </c>
      <c r="C80" s="2">
        <f t="shared" si="4"/>
        <v>46174</v>
      </c>
      <c r="G80" t="str">
        <f>TCD!D81</f>
        <v>00KUR5W0</v>
      </c>
      <c r="I80" t="s">
        <v>104</v>
      </c>
      <c r="J80" t="str">
        <f>_xlfn.XLOOKUP(G80,'Facture GLS'!AB:AB,'Facture GLS'!BB:BB)</f>
        <v>FR</v>
      </c>
      <c r="K80" t="str">
        <f>IF(COUNTIF(Zoning!A:A,J80)=0,"pays inconnu",LOOKUP(J80,Zoning!A:A,Zoning!B:B))</f>
        <v>France</v>
      </c>
      <c r="L80">
        <f t="shared" si="5"/>
        <v>1</v>
      </c>
      <c r="M80">
        <f>_xlfn.XLOOKUP(G80,Poids!A:A,Poids!C:C)</f>
        <v>0.6</v>
      </c>
      <c r="N80" t="str">
        <f>IF(COUNTIF(Zoning!A:A,J80)=0,"zone inconnue","France")</f>
        <v>France</v>
      </c>
      <c r="O80">
        <f>IF(COUNTIF(Zoning!A:A,J80)=0,"taux inconnu",_xlfn.XLOOKUP(J80,Zoning!A:A,Zoning!C:C))</f>
        <v>0.2</v>
      </c>
      <c r="R80" t="str">
        <f>IF(TCD!K81="","",TCD!K81)</f>
        <v/>
      </c>
      <c r="S80" t="str">
        <f>IF(TCD!F81="","",TCD!F81)</f>
        <v/>
      </c>
      <c r="T80" t="str">
        <f>IF(TCD!E81="","",TCD!E81)</f>
        <v/>
      </c>
      <c r="U80">
        <f>SUM(TCD!H81:J81)</f>
        <v>5.15</v>
      </c>
    </row>
    <row r="81" spans="1:21" x14ac:dyDescent="0.25">
      <c r="A81" s="1" t="str">
        <f>_xlfn.XLOOKUP(G81,'Facture GLS'!AB:AB,'Facture GLS'!O:O)</f>
        <v>LA RUCHE</v>
      </c>
      <c r="B81" t="str">
        <f t="shared" si="3"/>
        <v>GLS</v>
      </c>
      <c r="C81" s="2">
        <f t="shared" si="4"/>
        <v>46174</v>
      </c>
      <c r="G81" t="str">
        <f>TCD!D82</f>
        <v>00KUR5W1</v>
      </c>
      <c r="I81" t="s">
        <v>104</v>
      </c>
      <c r="J81" t="str">
        <f>_xlfn.XLOOKUP(G81,'Facture GLS'!AB:AB,'Facture GLS'!BB:BB)</f>
        <v>FR</v>
      </c>
      <c r="K81" t="str">
        <f>IF(COUNTIF(Zoning!A:A,J81)=0,"pays inconnu",LOOKUP(J81,Zoning!A:A,Zoning!B:B))</f>
        <v>France</v>
      </c>
      <c r="L81">
        <f t="shared" si="5"/>
        <v>1</v>
      </c>
      <c r="M81">
        <f>_xlfn.XLOOKUP(G81,Poids!A:A,Poids!C:C)</f>
        <v>0.2</v>
      </c>
      <c r="N81" t="str">
        <f>IF(COUNTIF(Zoning!A:A,J81)=0,"zone inconnue","France")</f>
        <v>France</v>
      </c>
      <c r="O81">
        <f>IF(COUNTIF(Zoning!A:A,J81)=0,"taux inconnu",_xlfn.XLOOKUP(J81,Zoning!A:A,Zoning!C:C))</f>
        <v>0.2</v>
      </c>
      <c r="R81" t="str">
        <f>IF(TCD!K82="","",TCD!K82)</f>
        <v/>
      </c>
      <c r="S81" t="str">
        <f>IF(TCD!F82="","",TCD!F82)</f>
        <v/>
      </c>
      <c r="T81" t="str">
        <f>IF(TCD!E82="","",TCD!E82)</f>
        <v/>
      </c>
      <c r="U81">
        <f>SUM(TCD!H82:J82)</f>
        <v>4.82</v>
      </c>
    </row>
    <row r="82" spans="1:21" x14ac:dyDescent="0.25">
      <c r="A82" s="1" t="str">
        <f>_xlfn.XLOOKUP(G82,'Facture GLS'!AB:AB,'Facture GLS'!O:O)</f>
        <v>LA RUCHE</v>
      </c>
      <c r="B82" t="str">
        <f t="shared" si="3"/>
        <v>GLS</v>
      </c>
      <c r="C82" s="2">
        <f t="shared" si="4"/>
        <v>46174</v>
      </c>
      <c r="G82" t="str">
        <f>TCD!D83</f>
        <v>00KUR5W2</v>
      </c>
      <c r="I82" t="s">
        <v>104</v>
      </c>
      <c r="J82" t="str">
        <f>_xlfn.XLOOKUP(G82,'Facture GLS'!AB:AB,'Facture GLS'!BB:BB)</f>
        <v>FR</v>
      </c>
      <c r="K82" t="str">
        <f>IF(COUNTIF(Zoning!A:A,J82)=0,"pays inconnu",LOOKUP(J82,Zoning!A:A,Zoning!B:B))</f>
        <v>France</v>
      </c>
      <c r="L82">
        <f t="shared" si="5"/>
        <v>1</v>
      </c>
      <c r="M82">
        <f>_xlfn.XLOOKUP(G82,Poids!A:A,Poids!C:C)</f>
        <v>0.30000000000000004</v>
      </c>
      <c r="N82" t="str">
        <f>IF(COUNTIF(Zoning!A:A,J82)=0,"zone inconnue","France")</f>
        <v>France</v>
      </c>
      <c r="O82">
        <f>IF(COUNTIF(Zoning!A:A,J82)=0,"taux inconnu",_xlfn.XLOOKUP(J82,Zoning!A:A,Zoning!C:C))</f>
        <v>0.2</v>
      </c>
      <c r="R82" t="str">
        <f>IF(TCD!K83="","",TCD!K83)</f>
        <v/>
      </c>
      <c r="S82" t="str">
        <f>IF(TCD!F83="","",TCD!F83)</f>
        <v/>
      </c>
      <c r="T82" t="str">
        <f>IF(TCD!E83="","",TCD!E83)</f>
        <v/>
      </c>
      <c r="U82">
        <f>SUM(TCD!H83:J83)</f>
        <v>4.82</v>
      </c>
    </row>
    <row r="83" spans="1:21" x14ac:dyDescent="0.25">
      <c r="A83" s="1" t="str">
        <f>_xlfn.XLOOKUP(G83,'Facture GLS'!AB:AB,'Facture GLS'!O:O)</f>
        <v>LA RUCHE</v>
      </c>
      <c r="B83" t="str">
        <f t="shared" si="3"/>
        <v>GLS</v>
      </c>
      <c r="C83" s="2">
        <f t="shared" si="4"/>
        <v>46174</v>
      </c>
      <c r="G83" t="str">
        <f>TCD!D84</f>
        <v>00KUR5W3</v>
      </c>
      <c r="I83" t="s">
        <v>104</v>
      </c>
      <c r="J83" t="str">
        <f>_xlfn.XLOOKUP(G83,'Facture GLS'!AB:AB,'Facture GLS'!BB:BB)</f>
        <v>FR</v>
      </c>
      <c r="K83" t="str">
        <f>IF(COUNTIF(Zoning!A:A,J83)=0,"pays inconnu",LOOKUP(J83,Zoning!A:A,Zoning!B:B))</f>
        <v>France</v>
      </c>
      <c r="L83">
        <f t="shared" si="5"/>
        <v>1</v>
      </c>
      <c r="M83">
        <f>_xlfn.XLOOKUP(G83,Poids!A:A,Poids!C:C)</f>
        <v>0.3</v>
      </c>
      <c r="N83" t="str">
        <f>IF(COUNTIF(Zoning!A:A,J83)=0,"zone inconnue","France")</f>
        <v>France</v>
      </c>
      <c r="O83">
        <f>IF(COUNTIF(Zoning!A:A,J83)=0,"taux inconnu",_xlfn.XLOOKUP(J83,Zoning!A:A,Zoning!C:C))</f>
        <v>0.2</v>
      </c>
      <c r="R83" t="str">
        <f>IF(TCD!K84="","",TCD!K84)</f>
        <v/>
      </c>
      <c r="S83" t="str">
        <f>IF(TCD!F84="","",TCD!F84)</f>
        <v/>
      </c>
      <c r="T83" t="str">
        <f>IF(TCD!E84="","",TCD!E84)</f>
        <v/>
      </c>
      <c r="U83">
        <f>SUM(TCD!H84:J84)</f>
        <v>4.82</v>
      </c>
    </row>
    <row r="84" spans="1:21" x14ac:dyDescent="0.25">
      <c r="A84" s="1" t="str">
        <f>_xlfn.XLOOKUP(G84,'Facture GLS'!AB:AB,'Facture GLS'!O:O)</f>
        <v>LA RUCHE</v>
      </c>
      <c r="B84" t="str">
        <f t="shared" si="3"/>
        <v>GLS</v>
      </c>
      <c r="C84" s="2">
        <f t="shared" si="4"/>
        <v>46174</v>
      </c>
      <c r="G84" t="str">
        <f>TCD!D85</f>
        <v>00KUR5W4</v>
      </c>
      <c r="I84" t="s">
        <v>104</v>
      </c>
      <c r="J84" t="str">
        <f>_xlfn.XLOOKUP(G84,'Facture GLS'!AB:AB,'Facture GLS'!BB:BB)</f>
        <v>FR</v>
      </c>
      <c r="K84" t="str">
        <f>IF(COUNTIF(Zoning!A:A,J84)=0,"pays inconnu",LOOKUP(J84,Zoning!A:A,Zoning!B:B))</f>
        <v>France</v>
      </c>
      <c r="L84">
        <f t="shared" si="5"/>
        <v>1</v>
      </c>
      <c r="M84">
        <f>_xlfn.XLOOKUP(G84,Poids!A:A,Poids!C:C)</f>
        <v>0.3</v>
      </c>
      <c r="N84" t="str">
        <f>IF(COUNTIF(Zoning!A:A,J84)=0,"zone inconnue","France")</f>
        <v>France</v>
      </c>
      <c r="O84">
        <f>IF(COUNTIF(Zoning!A:A,J84)=0,"taux inconnu",_xlfn.XLOOKUP(J84,Zoning!A:A,Zoning!C:C))</f>
        <v>0.2</v>
      </c>
      <c r="R84" t="str">
        <f>IF(TCD!K85="","",TCD!K85)</f>
        <v/>
      </c>
      <c r="S84" t="str">
        <f>IF(TCD!F85="","",TCD!F85)</f>
        <v/>
      </c>
      <c r="T84" t="str">
        <f>IF(TCD!E85="","",TCD!E85)</f>
        <v/>
      </c>
      <c r="U84">
        <f>SUM(TCD!H85:J85)</f>
        <v>4.82</v>
      </c>
    </row>
    <row r="85" spans="1:21" x14ac:dyDescent="0.25">
      <c r="A85" s="1" t="str">
        <f>_xlfn.XLOOKUP(G85,'Facture GLS'!AB:AB,'Facture GLS'!O:O)</f>
        <v>LA RUCHE</v>
      </c>
      <c r="B85" t="str">
        <f t="shared" si="3"/>
        <v>GLS</v>
      </c>
      <c r="C85" s="2">
        <f t="shared" si="4"/>
        <v>46174</v>
      </c>
      <c r="G85" t="str">
        <f>TCD!D86</f>
        <v>00KUR5W5</v>
      </c>
      <c r="I85" t="s">
        <v>104</v>
      </c>
      <c r="J85" t="str">
        <f>_xlfn.XLOOKUP(G85,'Facture GLS'!AB:AB,'Facture GLS'!BB:BB)</f>
        <v>FR</v>
      </c>
      <c r="K85" t="str">
        <f>IF(COUNTIF(Zoning!A:A,J85)=0,"pays inconnu",LOOKUP(J85,Zoning!A:A,Zoning!B:B))</f>
        <v>France</v>
      </c>
      <c r="L85">
        <f t="shared" si="5"/>
        <v>1</v>
      </c>
      <c r="M85">
        <f>_xlfn.XLOOKUP(G85,Poids!A:A,Poids!C:C)</f>
        <v>3.2</v>
      </c>
      <c r="N85" t="str">
        <f>IF(COUNTIF(Zoning!A:A,J85)=0,"zone inconnue","France")</f>
        <v>France</v>
      </c>
      <c r="O85">
        <f>IF(COUNTIF(Zoning!A:A,J85)=0,"taux inconnu",_xlfn.XLOOKUP(J85,Zoning!A:A,Zoning!C:C))</f>
        <v>0.2</v>
      </c>
      <c r="R85" t="str">
        <f>IF(TCD!K86="","",TCD!K86)</f>
        <v/>
      </c>
      <c r="S85" t="str">
        <f>IF(TCD!F86="","",TCD!F86)</f>
        <v/>
      </c>
      <c r="T85" t="str">
        <f>IF(TCD!E86="","",TCD!E86)</f>
        <v/>
      </c>
      <c r="U85">
        <f>SUM(TCD!H86:J86)</f>
        <v>6.3500000000000005</v>
      </c>
    </row>
    <row r="86" spans="1:21" x14ac:dyDescent="0.25">
      <c r="A86" s="1" t="str">
        <f>_xlfn.XLOOKUP(G86,'Facture GLS'!AB:AB,'Facture GLS'!O:O)</f>
        <v>LA RUCHE</v>
      </c>
      <c r="B86" t="str">
        <f t="shared" si="3"/>
        <v>GLS</v>
      </c>
      <c r="C86" s="2">
        <f t="shared" si="4"/>
        <v>46174</v>
      </c>
      <c r="G86" t="str">
        <f>TCD!D87</f>
        <v>00KUR5W6</v>
      </c>
      <c r="I86" t="s">
        <v>104</v>
      </c>
      <c r="J86" t="str">
        <f>_xlfn.XLOOKUP(G86,'Facture GLS'!AB:AB,'Facture GLS'!BB:BB)</f>
        <v>FR</v>
      </c>
      <c r="K86" t="str">
        <f>IF(COUNTIF(Zoning!A:A,J86)=0,"pays inconnu",LOOKUP(J86,Zoning!A:A,Zoning!B:B))</f>
        <v>France</v>
      </c>
      <c r="L86">
        <f t="shared" si="5"/>
        <v>1</v>
      </c>
      <c r="M86">
        <f>_xlfn.XLOOKUP(G86,Poids!A:A,Poids!C:C)</f>
        <v>0.4</v>
      </c>
      <c r="N86" t="str">
        <f>IF(COUNTIF(Zoning!A:A,J86)=0,"zone inconnue","France")</f>
        <v>France</v>
      </c>
      <c r="O86">
        <f>IF(COUNTIF(Zoning!A:A,J86)=0,"taux inconnu",_xlfn.XLOOKUP(J86,Zoning!A:A,Zoning!C:C))</f>
        <v>0.2</v>
      </c>
      <c r="R86" t="str">
        <f>IF(TCD!K87="","",TCD!K87)</f>
        <v/>
      </c>
      <c r="S86" t="str">
        <f>IF(TCD!F87="","",TCD!F87)</f>
        <v/>
      </c>
      <c r="T86" t="str">
        <f>IF(TCD!E87="","",TCD!E87)</f>
        <v/>
      </c>
      <c r="U86">
        <f>SUM(TCD!H87:J87)</f>
        <v>4.82</v>
      </c>
    </row>
    <row r="87" spans="1:21" x14ac:dyDescent="0.25">
      <c r="A87" s="1" t="str">
        <f>_xlfn.XLOOKUP(G87,'Facture GLS'!AB:AB,'Facture GLS'!O:O)</f>
        <v>LA RUCHE</v>
      </c>
      <c r="B87" t="str">
        <f t="shared" si="3"/>
        <v>GLS</v>
      </c>
      <c r="C87" s="2">
        <f t="shared" si="4"/>
        <v>46174</v>
      </c>
      <c r="G87" t="str">
        <f>TCD!D88</f>
        <v>00KUR5W7</v>
      </c>
      <c r="I87" t="s">
        <v>104</v>
      </c>
      <c r="J87" t="str">
        <f>_xlfn.XLOOKUP(G87,'Facture GLS'!AB:AB,'Facture GLS'!BB:BB)</f>
        <v>FR</v>
      </c>
      <c r="K87" t="str">
        <f>IF(COUNTIF(Zoning!A:A,J87)=0,"pays inconnu",LOOKUP(J87,Zoning!A:A,Zoning!B:B))</f>
        <v>France</v>
      </c>
      <c r="L87">
        <f t="shared" si="5"/>
        <v>1</v>
      </c>
      <c r="M87">
        <f>_xlfn.XLOOKUP(G87,Poids!A:A,Poids!C:C)</f>
        <v>0.6</v>
      </c>
      <c r="N87" t="str">
        <f>IF(COUNTIF(Zoning!A:A,J87)=0,"zone inconnue","France")</f>
        <v>France</v>
      </c>
      <c r="O87">
        <f>IF(COUNTIF(Zoning!A:A,J87)=0,"taux inconnu",_xlfn.XLOOKUP(J87,Zoning!A:A,Zoning!C:C))</f>
        <v>0.2</v>
      </c>
      <c r="R87" t="str">
        <f>IF(TCD!K88="","",TCD!K88)</f>
        <v/>
      </c>
      <c r="S87" t="str">
        <f>IF(TCD!F88="","",TCD!F88)</f>
        <v/>
      </c>
      <c r="T87" t="str">
        <f>IF(TCD!E88="","",TCD!E88)</f>
        <v/>
      </c>
      <c r="U87">
        <f>SUM(TCD!H88:J88)</f>
        <v>5.15</v>
      </c>
    </row>
    <row r="88" spans="1:21" x14ac:dyDescent="0.25">
      <c r="A88" s="1" t="str">
        <f>_xlfn.XLOOKUP(G88,'Facture GLS'!AB:AB,'Facture GLS'!O:O)</f>
        <v>LA RUCHE</v>
      </c>
      <c r="B88" t="str">
        <f t="shared" si="3"/>
        <v>GLS</v>
      </c>
      <c r="C88" s="2">
        <f t="shared" si="4"/>
        <v>46174</v>
      </c>
      <c r="G88" t="str">
        <f>TCD!D89</f>
        <v>00KUR5W8</v>
      </c>
      <c r="I88" t="s">
        <v>104</v>
      </c>
      <c r="J88" t="str">
        <f>_xlfn.XLOOKUP(G88,'Facture GLS'!AB:AB,'Facture GLS'!BB:BB)</f>
        <v>FR</v>
      </c>
      <c r="K88" t="str">
        <f>IF(COUNTIF(Zoning!A:A,J88)=0,"pays inconnu",LOOKUP(J88,Zoning!A:A,Zoning!B:B))</f>
        <v>France</v>
      </c>
      <c r="L88">
        <f t="shared" si="5"/>
        <v>1</v>
      </c>
      <c r="M88">
        <f>_xlfn.XLOOKUP(G88,Poids!A:A,Poids!C:C)</f>
        <v>0.4</v>
      </c>
      <c r="N88" t="str">
        <f>IF(COUNTIF(Zoning!A:A,J88)=0,"zone inconnue","France")</f>
        <v>France</v>
      </c>
      <c r="O88">
        <f>IF(COUNTIF(Zoning!A:A,J88)=0,"taux inconnu",_xlfn.XLOOKUP(J88,Zoning!A:A,Zoning!C:C))</f>
        <v>0.2</v>
      </c>
      <c r="R88" t="str">
        <f>IF(TCD!K89="","",TCD!K89)</f>
        <v/>
      </c>
      <c r="S88" t="str">
        <f>IF(TCD!F89="","",TCD!F89)</f>
        <v/>
      </c>
      <c r="T88" t="str">
        <f>IF(TCD!E89="","",TCD!E89)</f>
        <v/>
      </c>
      <c r="U88">
        <f>SUM(TCD!H89:J89)</f>
        <v>4.82</v>
      </c>
    </row>
    <row r="89" spans="1:21" x14ac:dyDescent="0.25">
      <c r="A89" s="1" t="str">
        <f>_xlfn.XLOOKUP(G89,'Facture GLS'!AB:AB,'Facture GLS'!O:O)</f>
        <v>LA RUCHE</v>
      </c>
      <c r="B89" t="str">
        <f t="shared" si="3"/>
        <v>GLS</v>
      </c>
      <c r="C89" s="2">
        <f t="shared" si="4"/>
        <v>46174</v>
      </c>
      <c r="G89" t="str">
        <f>TCD!D90</f>
        <v>00KUR5W9</v>
      </c>
      <c r="I89" t="s">
        <v>104</v>
      </c>
      <c r="J89" t="str">
        <f>_xlfn.XLOOKUP(G89,'Facture GLS'!AB:AB,'Facture GLS'!BB:BB)</f>
        <v>FR</v>
      </c>
      <c r="K89" t="str">
        <f>IF(COUNTIF(Zoning!A:A,J89)=0,"pays inconnu",LOOKUP(J89,Zoning!A:A,Zoning!B:B))</f>
        <v>France</v>
      </c>
      <c r="L89">
        <f t="shared" si="5"/>
        <v>1</v>
      </c>
      <c r="M89">
        <f>_xlfn.XLOOKUP(G89,Poids!A:A,Poids!C:C)</f>
        <v>0.5</v>
      </c>
      <c r="N89" t="str">
        <f>IF(COUNTIF(Zoning!A:A,J89)=0,"zone inconnue","France")</f>
        <v>France</v>
      </c>
      <c r="O89">
        <f>IF(COUNTIF(Zoning!A:A,J89)=0,"taux inconnu",_xlfn.XLOOKUP(J89,Zoning!A:A,Zoning!C:C))</f>
        <v>0.2</v>
      </c>
      <c r="R89" t="str">
        <f>IF(TCD!K90="","",TCD!K90)</f>
        <v/>
      </c>
      <c r="S89" t="str">
        <f>IF(TCD!F90="","",TCD!F90)</f>
        <v/>
      </c>
      <c r="T89" t="str">
        <f>IF(TCD!E90="","",TCD!E90)</f>
        <v/>
      </c>
      <c r="U89">
        <f>SUM(TCD!H90:J90)</f>
        <v>4.82</v>
      </c>
    </row>
    <row r="90" spans="1:21" x14ac:dyDescent="0.25">
      <c r="A90" s="1" t="str">
        <f>_xlfn.XLOOKUP(G90,'Facture GLS'!AB:AB,'Facture GLS'!O:O)</f>
        <v>LA RUCHE</v>
      </c>
      <c r="B90" t="str">
        <f t="shared" si="3"/>
        <v>GLS</v>
      </c>
      <c r="C90" s="2">
        <f t="shared" si="4"/>
        <v>46174</v>
      </c>
      <c r="G90" t="str">
        <f>TCD!D91</f>
        <v>00KUR5WA</v>
      </c>
      <c r="I90" t="s">
        <v>104</v>
      </c>
      <c r="J90" t="str">
        <f>_xlfn.XLOOKUP(G90,'Facture GLS'!AB:AB,'Facture GLS'!BB:BB)</f>
        <v>FR</v>
      </c>
      <c r="K90" t="str">
        <f>IF(COUNTIF(Zoning!A:A,J90)=0,"pays inconnu",LOOKUP(J90,Zoning!A:A,Zoning!B:B))</f>
        <v>France</v>
      </c>
      <c r="L90">
        <f t="shared" si="5"/>
        <v>1</v>
      </c>
      <c r="M90">
        <f>_xlfn.XLOOKUP(G90,Poids!A:A,Poids!C:C)</f>
        <v>0.4</v>
      </c>
      <c r="N90" t="str">
        <f>IF(COUNTIF(Zoning!A:A,J90)=0,"zone inconnue","France")</f>
        <v>France</v>
      </c>
      <c r="O90">
        <f>IF(COUNTIF(Zoning!A:A,J90)=0,"taux inconnu",_xlfn.XLOOKUP(J90,Zoning!A:A,Zoning!C:C))</f>
        <v>0.2</v>
      </c>
      <c r="R90" t="str">
        <f>IF(TCD!K91="","",TCD!K91)</f>
        <v/>
      </c>
      <c r="S90" t="str">
        <f>IF(TCD!F91="","",TCD!F91)</f>
        <v/>
      </c>
      <c r="T90" t="str">
        <f>IF(TCD!E91="","",TCD!E91)</f>
        <v/>
      </c>
      <c r="U90">
        <f>SUM(TCD!H91:J91)</f>
        <v>4.82</v>
      </c>
    </row>
    <row r="91" spans="1:21" x14ac:dyDescent="0.25">
      <c r="A91" s="1" t="str">
        <f>_xlfn.XLOOKUP(G91,'Facture GLS'!AB:AB,'Facture GLS'!O:O)</f>
        <v>LA RUCHE</v>
      </c>
      <c r="B91" t="str">
        <f t="shared" si="3"/>
        <v>GLS</v>
      </c>
      <c r="C91" s="2">
        <f t="shared" si="4"/>
        <v>46174</v>
      </c>
      <c r="G91" t="str">
        <f>TCD!D92</f>
        <v>00KUR5WB</v>
      </c>
      <c r="I91" t="s">
        <v>104</v>
      </c>
      <c r="J91" t="str">
        <f>_xlfn.XLOOKUP(G91,'Facture GLS'!AB:AB,'Facture GLS'!BB:BB)</f>
        <v>FR</v>
      </c>
      <c r="K91" t="str">
        <f>IF(COUNTIF(Zoning!A:A,J91)=0,"pays inconnu",LOOKUP(J91,Zoning!A:A,Zoning!B:B))</f>
        <v>France</v>
      </c>
      <c r="L91">
        <f t="shared" si="5"/>
        <v>1</v>
      </c>
      <c r="M91">
        <f>_xlfn.XLOOKUP(G91,Poids!A:A,Poids!C:C)</f>
        <v>0.6</v>
      </c>
      <c r="N91" t="str">
        <f>IF(COUNTIF(Zoning!A:A,J91)=0,"zone inconnue","France")</f>
        <v>France</v>
      </c>
      <c r="O91">
        <f>IF(COUNTIF(Zoning!A:A,J91)=0,"taux inconnu",_xlfn.XLOOKUP(J91,Zoning!A:A,Zoning!C:C))</f>
        <v>0.2</v>
      </c>
      <c r="R91" t="str">
        <f>IF(TCD!K92="","",TCD!K92)</f>
        <v/>
      </c>
      <c r="S91" t="str">
        <f>IF(TCD!F92="","",TCD!F92)</f>
        <v/>
      </c>
      <c r="T91" t="str">
        <f>IF(TCD!E92="","",TCD!E92)</f>
        <v/>
      </c>
      <c r="U91">
        <f>SUM(TCD!H92:J92)</f>
        <v>5.15</v>
      </c>
    </row>
    <row r="92" spans="1:21" x14ac:dyDescent="0.25">
      <c r="A92" s="1" t="str">
        <f>_xlfn.XLOOKUP(G92,'Facture GLS'!AB:AB,'Facture GLS'!O:O)</f>
        <v>LA RUCHE</v>
      </c>
      <c r="B92" t="str">
        <f t="shared" si="3"/>
        <v>GLS</v>
      </c>
      <c r="C92" s="2">
        <f t="shared" si="4"/>
        <v>46174</v>
      </c>
      <c r="G92" t="str">
        <f>TCD!D93</f>
        <v>00KUR5WC</v>
      </c>
      <c r="I92" t="s">
        <v>104</v>
      </c>
      <c r="J92" t="str">
        <f>_xlfn.XLOOKUP(G92,'Facture GLS'!AB:AB,'Facture GLS'!BB:BB)</f>
        <v>FR</v>
      </c>
      <c r="K92" t="str">
        <f>IF(COUNTIF(Zoning!A:A,J92)=0,"pays inconnu",LOOKUP(J92,Zoning!A:A,Zoning!B:B))</f>
        <v>France</v>
      </c>
      <c r="L92">
        <f t="shared" si="5"/>
        <v>1</v>
      </c>
      <c r="M92">
        <f>_xlfn.XLOOKUP(G92,Poids!A:A,Poids!C:C)</f>
        <v>0.6</v>
      </c>
      <c r="N92" t="str">
        <f>IF(COUNTIF(Zoning!A:A,J92)=0,"zone inconnue","France")</f>
        <v>France</v>
      </c>
      <c r="O92">
        <f>IF(COUNTIF(Zoning!A:A,J92)=0,"taux inconnu",_xlfn.XLOOKUP(J92,Zoning!A:A,Zoning!C:C))</f>
        <v>0.2</v>
      </c>
      <c r="R92" t="str">
        <f>IF(TCD!K93="","",TCD!K93)</f>
        <v/>
      </c>
      <c r="S92" t="str">
        <f>IF(TCD!F93="","",TCD!F93)</f>
        <v/>
      </c>
      <c r="T92" t="str">
        <f>IF(TCD!E93="","",TCD!E93)</f>
        <v/>
      </c>
      <c r="U92">
        <f>SUM(TCD!H93:J93)</f>
        <v>5.15</v>
      </c>
    </row>
    <row r="93" spans="1:21" x14ac:dyDescent="0.25">
      <c r="A93" s="1" t="str">
        <f>_xlfn.XLOOKUP(G93,'Facture GLS'!AB:AB,'Facture GLS'!O:O)</f>
        <v>LA RUCHE</v>
      </c>
      <c r="B93" t="str">
        <f t="shared" si="3"/>
        <v>GLS</v>
      </c>
      <c r="C93" s="2">
        <f t="shared" si="4"/>
        <v>46174</v>
      </c>
      <c r="G93" t="str">
        <f>TCD!D94</f>
        <v>00KUR5WD</v>
      </c>
      <c r="I93" t="s">
        <v>104</v>
      </c>
      <c r="J93" t="str">
        <f>_xlfn.XLOOKUP(G93,'Facture GLS'!AB:AB,'Facture GLS'!BB:BB)</f>
        <v>FR</v>
      </c>
      <c r="K93" t="str">
        <f>IF(COUNTIF(Zoning!A:A,J93)=0,"pays inconnu",LOOKUP(J93,Zoning!A:A,Zoning!B:B))</f>
        <v>France</v>
      </c>
      <c r="L93">
        <f t="shared" si="5"/>
        <v>1</v>
      </c>
      <c r="M93">
        <f>_xlfn.XLOOKUP(G93,Poids!A:A,Poids!C:C)</f>
        <v>0.7</v>
      </c>
      <c r="N93" t="str">
        <f>IF(COUNTIF(Zoning!A:A,J93)=0,"zone inconnue","France")</f>
        <v>France</v>
      </c>
      <c r="O93">
        <f>IF(COUNTIF(Zoning!A:A,J93)=0,"taux inconnu",_xlfn.XLOOKUP(J93,Zoning!A:A,Zoning!C:C))</f>
        <v>0.2</v>
      </c>
      <c r="R93" t="str">
        <f>IF(TCD!K94="","",TCD!K94)</f>
        <v/>
      </c>
      <c r="S93" t="str">
        <f>IF(TCD!F94="","",TCD!F94)</f>
        <v/>
      </c>
      <c r="T93" t="str">
        <f>IF(TCD!E94="","",TCD!E94)</f>
        <v/>
      </c>
      <c r="U93">
        <f>SUM(TCD!H94:J94)</f>
        <v>5.15</v>
      </c>
    </row>
    <row r="94" spans="1:21" x14ac:dyDescent="0.25">
      <c r="A94" s="1" t="str">
        <f>_xlfn.XLOOKUP(G94,'Facture GLS'!AB:AB,'Facture GLS'!O:O)</f>
        <v>LA RUCHE</v>
      </c>
      <c r="B94" t="str">
        <f t="shared" si="3"/>
        <v>GLS</v>
      </c>
      <c r="C94" s="2">
        <f t="shared" si="4"/>
        <v>46174</v>
      </c>
      <c r="G94" t="str">
        <f>TCD!D95</f>
        <v>00KUR5WE</v>
      </c>
      <c r="I94" t="s">
        <v>104</v>
      </c>
      <c r="J94" t="str">
        <f>_xlfn.XLOOKUP(G94,'Facture GLS'!AB:AB,'Facture GLS'!BB:BB)</f>
        <v>FR</v>
      </c>
      <c r="K94" t="str">
        <f>IF(COUNTIF(Zoning!A:A,J94)=0,"pays inconnu",LOOKUP(J94,Zoning!A:A,Zoning!B:B))</f>
        <v>France</v>
      </c>
      <c r="L94">
        <f t="shared" si="5"/>
        <v>1</v>
      </c>
      <c r="M94">
        <f>_xlfn.XLOOKUP(G94,Poids!A:A,Poids!C:C)</f>
        <v>0.4</v>
      </c>
      <c r="N94" t="str">
        <f>IF(COUNTIF(Zoning!A:A,J94)=0,"zone inconnue","France")</f>
        <v>France</v>
      </c>
      <c r="O94">
        <f>IF(COUNTIF(Zoning!A:A,J94)=0,"taux inconnu",_xlfn.XLOOKUP(J94,Zoning!A:A,Zoning!C:C))</f>
        <v>0.2</v>
      </c>
      <c r="R94" t="str">
        <f>IF(TCD!K95="","",TCD!K95)</f>
        <v/>
      </c>
      <c r="S94" t="str">
        <f>IF(TCD!F95="","",TCD!F95)</f>
        <v/>
      </c>
      <c r="T94" t="str">
        <f>IF(TCD!E95="","",TCD!E95)</f>
        <v/>
      </c>
      <c r="U94">
        <f>SUM(TCD!H95:J95)</f>
        <v>4.82</v>
      </c>
    </row>
    <row r="95" spans="1:21" x14ac:dyDescent="0.25">
      <c r="A95" s="1" t="str">
        <f>_xlfn.XLOOKUP(G95,'Facture GLS'!AB:AB,'Facture GLS'!O:O)</f>
        <v>LA RUCHE</v>
      </c>
      <c r="B95" t="str">
        <f t="shared" si="3"/>
        <v>GLS</v>
      </c>
      <c r="C95" s="2">
        <f t="shared" si="4"/>
        <v>46174</v>
      </c>
      <c r="G95" t="str">
        <f>TCD!D96</f>
        <v>00KUR5WF</v>
      </c>
      <c r="I95" t="s">
        <v>104</v>
      </c>
      <c r="J95" t="str">
        <f>_xlfn.XLOOKUP(G95,'Facture GLS'!AB:AB,'Facture GLS'!BB:BB)</f>
        <v>FR</v>
      </c>
      <c r="K95" t="str">
        <f>IF(COUNTIF(Zoning!A:A,J95)=0,"pays inconnu",LOOKUP(J95,Zoning!A:A,Zoning!B:B))</f>
        <v>France</v>
      </c>
      <c r="L95">
        <f t="shared" si="5"/>
        <v>1</v>
      </c>
      <c r="M95">
        <f>_xlfn.XLOOKUP(G95,Poids!A:A,Poids!C:C)</f>
        <v>0.4</v>
      </c>
      <c r="N95" t="str">
        <f>IF(COUNTIF(Zoning!A:A,J95)=0,"zone inconnue","France")</f>
        <v>France</v>
      </c>
      <c r="O95">
        <f>IF(COUNTIF(Zoning!A:A,J95)=0,"taux inconnu",_xlfn.XLOOKUP(J95,Zoning!A:A,Zoning!C:C))</f>
        <v>0.2</v>
      </c>
      <c r="R95" t="str">
        <f>IF(TCD!K96="","",TCD!K96)</f>
        <v/>
      </c>
      <c r="S95" t="str">
        <f>IF(TCD!F96="","",TCD!F96)</f>
        <v/>
      </c>
      <c r="T95" t="str">
        <f>IF(TCD!E96="","",TCD!E96)</f>
        <v/>
      </c>
      <c r="U95">
        <f>SUM(TCD!H96:J96)</f>
        <v>4.82</v>
      </c>
    </row>
    <row r="96" spans="1:21" x14ac:dyDescent="0.25">
      <c r="A96" s="1" t="str">
        <f>_xlfn.XLOOKUP(G96,'Facture GLS'!AB:AB,'Facture GLS'!O:O)</f>
        <v>LA RUCHE</v>
      </c>
      <c r="B96" t="str">
        <f t="shared" si="3"/>
        <v>GLS</v>
      </c>
      <c r="C96" s="2">
        <f t="shared" si="4"/>
        <v>46174</v>
      </c>
      <c r="G96" t="str">
        <f>TCD!D97</f>
        <v>00KUR5WG</v>
      </c>
      <c r="I96" t="s">
        <v>104</v>
      </c>
      <c r="J96" t="str">
        <f>_xlfn.XLOOKUP(G96,'Facture GLS'!AB:AB,'Facture GLS'!BB:BB)</f>
        <v>FR</v>
      </c>
      <c r="K96" t="str">
        <f>IF(COUNTIF(Zoning!A:A,J96)=0,"pays inconnu",LOOKUP(J96,Zoning!A:A,Zoning!B:B))</f>
        <v>France</v>
      </c>
      <c r="L96">
        <f t="shared" si="5"/>
        <v>1</v>
      </c>
      <c r="M96">
        <f>_xlfn.XLOOKUP(G96,Poids!A:A,Poids!C:C)</f>
        <v>1.9000000000000001</v>
      </c>
      <c r="N96" t="str">
        <f>IF(COUNTIF(Zoning!A:A,J96)=0,"zone inconnue","France")</f>
        <v>France</v>
      </c>
      <c r="O96">
        <f>IF(COUNTIF(Zoning!A:A,J96)=0,"taux inconnu",_xlfn.XLOOKUP(J96,Zoning!A:A,Zoning!C:C))</f>
        <v>0.2</v>
      </c>
      <c r="R96" t="str">
        <f>IF(TCD!K97="","",TCD!K97)</f>
        <v/>
      </c>
      <c r="S96" t="str">
        <f>IF(TCD!F97="","",TCD!F97)</f>
        <v/>
      </c>
      <c r="T96" t="str">
        <f>IF(TCD!E97="","",TCD!E97)</f>
        <v/>
      </c>
      <c r="U96">
        <f>SUM(TCD!H97:J97)</f>
        <v>5.4700000000000006</v>
      </c>
    </row>
    <row r="97" spans="1:21" x14ac:dyDescent="0.25">
      <c r="A97" s="1" t="str">
        <f>_xlfn.XLOOKUP(G97,'Facture GLS'!AB:AB,'Facture GLS'!O:O)</f>
        <v>LA RUCHE</v>
      </c>
      <c r="B97" t="str">
        <f t="shared" si="3"/>
        <v>GLS</v>
      </c>
      <c r="C97" s="2">
        <f t="shared" si="4"/>
        <v>46174</v>
      </c>
      <c r="G97" t="str">
        <f>TCD!D98</f>
        <v>00KUR5WH</v>
      </c>
      <c r="I97" t="s">
        <v>104</v>
      </c>
      <c r="J97" t="str">
        <f>_xlfn.XLOOKUP(G97,'Facture GLS'!AB:AB,'Facture GLS'!BB:BB)</f>
        <v>FR</v>
      </c>
      <c r="K97" t="str">
        <f>IF(COUNTIF(Zoning!A:A,J97)=0,"pays inconnu",LOOKUP(J97,Zoning!A:A,Zoning!B:B))</f>
        <v>France</v>
      </c>
      <c r="L97">
        <f t="shared" si="5"/>
        <v>1</v>
      </c>
      <c r="M97">
        <f>_xlfn.XLOOKUP(G97,Poids!A:A,Poids!C:C)</f>
        <v>1.1000000000000001</v>
      </c>
      <c r="N97" t="str">
        <f>IF(COUNTIF(Zoning!A:A,J97)=0,"zone inconnue","France")</f>
        <v>France</v>
      </c>
      <c r="O97">
        <f>IF(COUNTIF(Zoning!A:A,J97)=0,"taux inconnu",_xlfn.XLOOKUP(J97,Zoning!A:A,Zoning!C:C))</f>
        <v>0.2</v>
      </c>
      <c r="R97" t="str">
        <f>IF(TCD!K98="","",TCD!K98)</f>
        <v/>
      </c>
      <c r="S97" t="str">
        <f>IF(TCD!F98="","",TCD!F98)</f>
        <v/>
      </c>
      <c r="T97" t="str">
        <f>IF(TCD!E98="","",TCD!E98)</f>
        <v/>
      </c>
      <c r="U97">
        <f>SUM(TCD!H98:J98)</f>
        <v>5.4700000000000006</v>
      </c>
    </row>
    <row r="98" spans="1:21" x14ac:dyDescent="0.25">
      <c r="A98" s="1" t="str">
        <f>_xlfn.XLOOKUP(G98,'Facture GLS'!AB:AB,'Facture GLS'!O:O)</f>
        <v>LA RUCHE</v>
      </c>
      <c r="B98" t="str">
        <f t="shared" si="3"/>
        <v>GLS</v>
      </c>
      <c r="C98" s="2">
        <f t="shared" si="4"/>
        <v>46174</v>
      </c>
      <c r="G98" t="str">
        <f>TCD!D99</f>
        <v>00KUR5WI</v>
      </c>
      <c r="I98" t="s">
        <v>104</v>
      </c>
      <c r="J98" t="str">
        <f>_xlfn.XLOOKUP(G98,'Facture GLS'!AB:AB,'Facture GLS'!BB:BB)</f>
        <v>FR</v>
      </c>
      <c r="K98" t="str">
        <f>IF(COUNTIF(Zoning!A:A,J98)=0,"pays inconnu",LOOKUP(J98,Zoning!A:A,Zoning!B:B))</f>
        <v>France</v>
      </c>
      <c r="L98">
        <f t="shared" si="5"/>
        <v>1</v>
      </c>
      <c r="M98">
        <f>_xlfn.XLOOKUP(G98,Poids!A:A,Poids!C:C)</f>
        <v>0.5</v>
      </c>
      <c r="N98" t="str">
        <f>IF(COUNTIF(Zoning!A:A,J98)=0,"zone inconnue","France")</f>
        <v>France</v>
      </c>
      <c r="O98">
        <f>IF(COUNTIF(Zoning!A:A,J98)=0,"taux inconnu",_xlfn.XLOOKUP(J98,Zoning!A:A,Zoning!C:C))</f>
        <v>0.2</v>
      </c>
      <c r="R98" t="str">
        <f>IF(TCD!K99="","",TCD!K99)</f>
        <v/>
      </c>
      <c r="S98" t="str">
        <f>IF(TCD!F99="","",TCD!F99)</f>
        <v/>
      </c>
      <c r="T98" t="str">
        <f>IF(TCD!E99="","",TCD!E99)</f>
        <v/>
      </c>
      <c r="U98">
        <f>SUM(TCD!H99:J99)</f>
        <v>4.82</v>
      </c>
    </row>
    <row r="99" spans="1:21" x14ac:dyDescent="0.25">
      <c r="A99" s="1" t="str">
        <f>_xlfn.XLOOKUP(G99,'Facture GLS'!AB:AB,'Facture GLS'!O:O)</f>
        <v>LA RUCHE</v>
      </c>
      <c r="B99" t="str">
        <f t="shared" si="3"/>
        <v>GLS</v>
      </c>
      <c r="C99" s="2">
        <f t="shared" si="4"/>
        <v>46174</v>
      </c>
      <c r="G99" t="str">
        <f>TCD!D100</f>
        <v>00KUR5WJ</v>
      </c>
      <c r="I99" t="s">
        <v>104</v>
      </c>
      <c r="J99" t="str">
        <f>_xlfn.XLOOKUP(G99,'Facture GLS'!AB:AB,'Facture GLS'!BB:BB)</f>
        <v>FR</v>
      </c>
      <c r="K99" t="str">
        <f>IF(COUNTIF(Zoning!A:A,J99)=0,"pays inconnu",LOOKUP(J99,Zoning!A:A,Zoning!B:B))</f>
        <v>France</v>
      </c>
      <c r="L99">
        <f t="shared" si="5"/>
        <v>1</v>
      </c>
      <c r="M99">
        <f>_xlfn.XLOOKUP(G99,Poids!A:A,Poids!C:C)</f>
        <v>0.30000000000000004</v>
      </c>
      <c r="N99" t="str">
        <f>IF(COUNTIF(Zoning!A:A,J99)=0,"zone inconnue","France")</f>
        <v>France</v>
      </c>
      <c r="O99">
        <f>IF(COUNTIF(Zoning!A:A,J99)=0,"taux inconnu",_xlfn.XLOOKUP(J99,Zoning!A:A,Zoning!C:C))</f>
        <v>0.2</v>
      </c>
      <c r="R99" t="str">
        <f>IF(TCD!K100="","",TCD!K100)</f>
        <v/>
      </c>
      <c r="S99" t="str">
        <f>IF(TCD!F100="","",TCD!F100)</f>
        <v/>
      </c>
      <c r="T99" t="str">
        <f>IF(TCD!E100="","",TCD!E100)</f>
        <v/>
      </c>
      <c r="U99">
        <f>SUM(TCD!H100:J100)</f>
        <v>4.82</v>
      </c>
    </row>
    <row r="100" spans="1:21" x14ac:dyDescent="0.25">
      <c r="A100" s="1" t="str">
        <f>_xlfn.XLOOKUP(G100,'Facture GLS'!AB:AB,'Facture GLS'!O:O)</f>
        <v>LA RUCHE</v>
      </c>
      <c r="B100" t="str">
        <f t="shared" si="3"/>
        <v>GLS</v>
      </c>
      <c r="C100" s="2">
        <f t="shared" si="4"/>
        <v>46174</v>
      </c>
      <c r="G100" t="str">
        <f>TCD!D101</f>
        <v>00KUR5WK</v>
      </c>
      <c r="I100" t="s">
        <v>104</v>
      </c>
      <c r="J100" t="str">
        <f>_xlfn.XLOOKUP(G100,'Facture GLS'!AB:AB,'Facture GLS'!BB:BB)</f>
        <v>FR</v>
      </c>
      <c r="K100" t="str">
        <f>IF(COUNTIF(Zoning!A:A,J100)=0,"pays inconnu",LOOKUP(J100,Zoning!A:A,Zoning!B:B))</f>
        <v>France</v>
      </c>
      <c r="L100">
        <f t="shared" si="5"/>
        <v>1</v>
      </c>
      <c r="M100">
        <f>_xlfn.XLOOKUP(G100,Poids!A:A,Poids!C:C)</f>
        <v>7.8</v>
      </c>
      <c r="N100" t="str">
        <f>IF(COUNTIF(Zoning!A:A,J100)=0,"zone inconnue","France")</f>
        <v>France</v>
      </c>
      <c r="O100">
        <f>IF(COUNTIF(Zoning!A:A,J100)=0,"taux inconnu",_xlfn.XLOOKUP(J100,Zoning!A:A,Zoning!C:C))</f>
        <v>0.2</v>
      </c>
      <c r="R100" t="str">
        <f>IF(TCD!K101="","",TCD!K101)</f>
        <v/>
      </c>
      <c r="S100" t="str">
        <f>IF(TCD!F101="","",TCD!F101)</f>
        <v/>
      </c>
      <c r="T100" t="str">
        <f>IF(TCD!E101="","",TCD!E101)</f>
        <v/>
      </c>
      <c r="U100">
        <f>SUM(TCD!H101:J101)</f>
        <v>8.66</v>
      </c>
    </row>
    <row r="101" spans="1:21" x14ac:dyDescent="0.25">
      <c r="A101" s="1" t="str">
        <f>_xlfn.XLOOKUP(G101,'Facture GLS'!AB:AB,'Facture GLS'!O:O)</f>
        <v>LA RUCHE</v>
      </c>
      <c r="B101" t="str">
        <f t="shared" si="3"/>
        <v>GLS</v>
      </c>
      <c r="C101" s="2">
        <f t="shared" si="4"/>
        <v>46174</v>
      </c>
      <c r="G101" t="str">
        <f>TCD!D102</f>
        <v>00KUR5WL</v>
      </c>
      <c r="I101" t="s">
        <v>104</v>
      </c>
      <c r="J101" t="str">
        <f>_xlfn.XLOOKUP(G101,'Facture GLS'!AB:AB,'Facture GLS'!BB:BB)</f>
        <v>FR</v>
      </c>
      <c r="K101" t="str">
        <f>IF(COUNTIF(Zoning!A:A,J101)=0,"pays inconnu",LOOKUP(J101,Zoning!A:A,Zoning!B:B))</f>
        <v>France</v>
      </c>
      <c r="L101">
        <f t="shared" si="5"/>
        <v>1</v>
      </c>
      <c r="M101">
        <f>_xlfn.XLOOKUP(G101,Poids!A:A,Poids!C:C)</f>
        <v>0.30000000000000004</v>
      </c>
      <c r="N101" t="str">
        <f>IF(COUNTIF(Zoning!A:A,J101)=0,"zone inconnue","France")</f>
        <v>France</v>
      </c>
      <c r="O101">
        <f>IF(COUNTIF(Zoning!A:A,J101)=0,"taux inconnu",_xlfn.XLOOKUP(J101,Zoning!A:A,Zoning!C:C))</f>
        <v>0.2</v>
      </c>
      <c r="R101" t="str">
        <f>IF(TCD!K102="","",TCD!K102)</f>
        <v/>
      </c>
      <c r="S101" t="str">
        <f>IF(TCD!F102="","",TCD!F102)</f>
        <v/>
      </c>
      <c r="T101" t="str">
        <f>IF(TCD!E102="","",TCD!E102)</f>
        <v/>
      </c>
      <c r="U101">
        <f>SUM(TCD!H102:J102)</f>
        <v>4.82</v>
      </c>
    </row>
    <row r="102" spans="1:21" x14ac:dyDescent="0.25">
      <c r="A102" s="1" t="str">
        <f>_xlfn.XLOOKUP(G102,'Facture GLS'!AB:AB,'Facture GLS'!O:O)</f>
        <v>LA RUCHE</v>
      </c>
      <c r="B102" t="str">
        <f t="shared" si="3"/>
        <v>GLS</v>
      </c>
      <c r="C102" s="2">
        <f t="shared" si="4"/>
        <v>46174</v>
      </c>
      <c r="G102" t="str">
        <f>TCD!D103</f>
        <v>00KUR5WM</v>
      </c>
      <c r="I102" t="s">
        <v>104</v>
      </c>
      <c r="J102" t="str">
        <f>_xlfn.XLOOKUP(G102,'Facture GLS'!AB:AB,'Facture GLS'!BB:BB)</f>
        <v>FR</v>
      </c>
      <c r="K102" t="str">
        <f>IF(COUNTIF(Zoning!A:A,J102)=0,"pays inconnu",LOOKUP(J102,Zoning!A:A,Zoning!B:B))</f>
        <v>France</v>
      </c>
      <c r="L102">
        <f t="shared" si="5"/>
        <v>1</v>
      </c>
      <c r="M102">
        <f>_xlfn.XLOOKUP(G102,Poids!A:A,Poids!C:C)</f>
        <v>0.30000000000000004</v>
      </c>
      <c r="N102" t="str">
        <f>IF(COUNTIF(Zoning!A:A,J102)=0,"zone inconnue","France")</f>
        <v>France</v>
      </c>
      <c r="O102">
        <f>IF(COUNTIF(Zoning!A:A,J102)=0,"taux inconnu",_xlfn.XLOOKUP(J102,Zoning!A:A,Zoning!C:C))</f>
        <v>0.2</v>
      </c>
      <c r="R102" t="str">
        <f>IF(TCD!K103="","",TCD!K103)</f>
        <v/>
      </c>
      <c r="S102" t="str">
        <f>IF(TCD!F103="","",TCD!F103)</f>
        <v/>
      </c>
      <c r="T102" t="str">
        <f>IF(TCD!E103="","",TCD!E103)</f>
        <v/>
      </c>
      <c r="U102">
        <f>SUM(TCD!H103:J103)</f>
        <v>4.82</v>
      </c>
    </row>
    <row r="103" spans="1:21" x14ac:dyDescent="0.25">
      <c r="A103" s="1" t="str">
        <f>_xlfn.XLOOKUP(G103,'Facture GLS'!AB:AB,'Facture GLS'!O:O)</f>
        <v>LA RUCHE</v>
      </c>
      <c r="B103" t="str">
        <f t="shared" si="3"/>
        <v>GLS</v>
      </c>
      <c r="C103" s="2">
        <f t="shared" si="4"/>
        <v>46174</v>
      </c>
      <c r="G103" t="str">
        <f>TCD!D104</f>
        <v>00KUR5WN</v>
      </c>
      <c r="I103" t="s">
        <v>104</v>
      </c>
      <c r="J103" t="str">
        <f>_xlfn.XLOOKUP(G103,'Facture GLS'!AB:AB,'Facture GLS'!BB:BB)</f>
        <v>FR</v>
      </c>
      <c r="K103" t="str">
        <f>IF(COUNTIF(Zoning!A:A,J103)=0,"pays inconnu",LOOKUP(J103,Zoning!A:A,Zoning!B:B))</f>
        <v>France</v>
      </c>
      <c r="L103">
        <f t="shared" si="5"/>
        <v>1</v>
      </c>
      <c r="M103">
        <f>_xlfn.XLOOKUP(G103,Poids!A:A,Poids!C:C)</f>
        <v>0.6</v>
      </c>
      <c r="N103" t="str">
        <f>IF(COUNTIF(Zoning!A:A,J103)=0,"zone inconnue","France")</f>
        <v>France</v>
      </c>
      <c r="O103">
        <f>IF(COUNTIF(Zoning!A:A,J103)=0,"taux inconnu",_xlfn.XLOOKUP(J103,Zoning!A:A,Zoning!C:C))</f>
        <v>0.2</v>
      </c>
      <c r="R103" t="str">
        <f>IF(TCD!K104="","",TCD!K104)</f>
        <v/>
      </c>
      <c r="S103" t="str">
        <f>IF(TCD!F104="","",TCD!F104)</f>
        <v/>
      </c>
      <c r="T103" t="str">
        <f>IF(TCD!E104="","",TCD!E104)</f>
        <v/>
      </c>
      <c r="U103">
        <f>SUM(TCD!H104:J104)</f>
        <v>5.15</v>
      </c>
    </row>
    <row r="104" spans="1:21" x14ac:dyDescent="0.25">
      <c r="A104" s="1" t="str">
        <f>_xlfn.XLOOKUP(G104,'Facture GLS'!AB:AB,'Facture GLS'!O:O)</f>
        <v>LA RUCHE</v>
      </c>
      <c r="B104" t="str">
        <f t="shared" si="3"/>
        <v>GLS</v>
      </c>
      <c r="C104" s="2">
        <f t="shared" si="4"/>
        <v>46174</v>
      </c>
      <c r="G104" t="str">
        <f>TCD!D105</f>
        <v>00KUR5WO</v>
      </c>
      <c r="I104" t="s">
        <v>104</v>
      </c>
      <c r="J104" t="str">
        <f>_xlfn.XLOOKUP(G104,'Facture GLS'!AB:AB,'Facture GLS'!BB:BB)</f>
        <v>FR</v>
      </c>
      <c r="K104" t="str">
        <f>IF(COUNTIF(Zoning!A:A,J104)=0,"pays inconnu",LOOKUP(J104,Zoning!A:A,Zoning!B:B))</f>
        <v>France</v>
      </c>
      <c r="L104">
        <f t="shared" si="5"/>
        <v>1</v>
      </c>
      <c r="M104">
        <f>_xlfn.XLOOKUP(G104,Poids!A:A,Poids!C:C)</f>
        <v>0.4</v>
      </c>
      <c r="N104" t="str">
        <f>IF(COUNTIF(Zoning!A:A,J104)=0,"zone inconnue","France")</f>
        <v>France</v>
      </c>
      <c r="O104">
        <f>IF(COUNTIF(Zoning!A:A,J104)=0,"taux inconnu",_xlfn.XLOOKUP(J104,Zoning!A:A,Zoning!C:C))</f>
        <v>0.2</v>
      </c>
      <c r="R104" t="str">
        <f>IF(TCD!K105="","",TCD!K105)</f>
        <v/>
      </c>
      <c r="S104" t="str">
        <f>IF(TCD!F105="","",TCD!F105)</f>
        <v/>
      </c>
      <c r="T104" t="str">
        <f>IF(TCD!E105="","",TCD!E105)</f>
        <v/>
      </c>
      <c r="U104">
        <f>SUM(TCD!H105:J105)</f>
        <v>4.82</v>
      </c>
    </row>
    <row r="105" spans="1:21" x14ac:dyDescent="0.25">
      <c r="A105" s="1" t="str">
        <f>_xlfn.XLOOKUP(G105,'Facture GLS'!AB:AB,'Facture GLS'!O:O)</f>
        <v>LA RUCHE</v>
      </c>
      <c r="B105" t="str">
        <f t="shared" si="3"/>
        <v>GLS</v>
      </c>
      <c r="C105" s="2">
        <f t="shared" si="4"/>
        <v>46174</v>
      </c>
      <c r="G105" t="str">
        <f>TCD!D106</f>
        <v>00KUR5WP</v>
      </c>
      <c r="I105" t="s">
        <v>104</v>
      </c>
      <c r="J105" t="str">
        <f>_xlfn.XLOOKUP(G105,'Facture GLS'!AB:AB,'Facture GLS'!BB:BB)</f>
        <v>FR</v>
      </c>
      <c r="K105" t="str">
        <f>IF(COUNTIF(Zoning!A:A,J105)=0,"pays inconnu",LOOKUP(J105,Zoning!A:A,Zoning!B:B))</f>
        <v>France</v>
      </c>
      <c r="L105">
        <f t="shared" si="5"/>
        <v>1</v>
      </c>
      <c r="M105">
        <f>_xlfn.XLOOKUP(G105,Poids!A:A,Poids!C:C)</f>
        <v>0.5</v>
      </c>
      <c r="N105" t="str">
        <f>IF(COUNTIF(Zoning!A:A,J105)=0,"zone inconnue","France")</f>
        <v>France</v>
      </c>
      <c r="O105">
        <f>IF(COUNTIF(Zoning!A:A,J105)=0,"taux inconnu",_xlfn.XLOOKUP(J105,Zoning!A:A,Zoning!C:C))</f>
        <v>0.2</v>
      </c>
      <c r="R105" t="str">
        <f>IF(TCD!K106="","",TCD!K106)</f>
        <v/>
      </c>
      <c r="S105" t="str">
        <f>IF(TCD!F106="","",TCD!F106)</f>
        <v/>
      </c>
      <c r="T105" t="str">
        <f>IF(TCD!E106="","",TCD!E106)</f>
        <v/>
      </c>
      <c r="U105">
        <f>SUM(TCD!H106:J106)</f>
        <v>4.82</v>
      </c>
    </row>
    <row r="106" spans="1:21" x14ac:dyDescent="0.25">
      <c r="A106" s="1" t="str">
        <f>_xlfn.XLOOKUP(G106,'Facture GLS'!AB:AB,'Facture GLS'!O:O)</f>
        <v>LA RUCHE</v>
      </c>
      <c r="B106" t="str">
        <f t="shared" si="3"/>
        <v>GLS</v>
      </c>
      <c r="C106" s="2">
        <f t="shared" si="4"/>
        <v>46174</v>
      </c>
      <c r="G106" t="str">
        <f>TCD!D107</f>
        <v>00KUR5WQ</v>
      </c>
      <c r="I106" t="s">
        <v>104</v>
      </c>
      <c r="J106" t="str">
        <f>_xlfn.XLOOKUP(G106,'Facture GLS'!AB:AB,'Facture GLS'!BB:BB)</f>
        <v>FR</v>
      </c>
      <c r="K106" t="str">
        <f>IF(COUNTIF(Zoning!A:A,J106)=0,"pays inconnu",LOOKUP(J106,Zoning!A:A,Zoning!B:B))</f>
        <v>France</v>
      </c>
      <c r="L106">
        <f t="shared" si="5"/>
        <v>1</v>
      </c>
      <c r="M106">
        <f>_xlfn.XLOOKUP(G106,Poids!A:A,Poids!C:C)</f>
        <v>0.5</v>
      </c>
      <c r="N106" t="str">
        <f>IF(COUNTIF(Zoning!A:A,J106)=0,"zone inconnue","France")</f>
        <v>France</v>
      </c>
      <c r="O106">
        <f>IF(COUNTIF(Zoning!A:A,J106)=0,"taux inconnu",_xlfn.XLOOKUP(J106,Zoning!A:A,Zoning!C:C))</f>
        <v>0.2</v>
      </c>
      <c r="R106" t="str">
        <f>IF(TCD!K107="","",TCD!K107)</f>
        <v/>
      </c>
      <c r="S106" t="str">
        <f>IF(TCD!F107="","",TCD!F107)</f>
        <v/>
      </c>
      <c r="T106" t="str">
        <f>IF(TCD!E107="","",TCD!E107)</f>
        <v/>
      </c>
      <c r="U106">
        <f>SUM(TCD!H107:J107)</f>
        <v>4.82</v>
      </c>
    </row>
    <row r="107" spans="1:21" x14ac:dyDescent="0.25">
      <c r="A107" s="1" t="str">
        <f>_xlfn.XLOOKUP(G107,'Facture GLS'!AB:AB,'Facture GLS'!O:O)</f>
        <v>LA RUCHE</v>
      </c>
      <c r="B107" t="str">
        <f t="shared" si="3"/>
        <v>GLS</v>
      </c>
      <c r="C107" s="2">
        <f t="shared" si="4"/>
        <v>46174</v>
      </c>
      <c r="G107" t="str">
        <f>TCD!D108</f>
        <v>00KUR5WR</v>
      </c>
      <c r="I107" t="s">
        <v>104</v>
      </c>
      <c r="J107" t="str">
        <f>_xlfn.XLOOKUP(G107,'Facture GLS'!AB:AB,'Facture GLS'!BB:BB)</f>
        <v>FR</v>
      </c>
      <c r="K107" t="str">
        <f>IF(COUNTIF(Zoning!A:A,J107)=0,"pays inconnu",LOOKUP(J107,Zoning!A:A,Zoning!B:B))</f>
        <v>France</v>
      </c>
      <c r="L107">
        <f t="shared" si="5"/>
        <v>1</v>
      </c>
      <c r="M107">
        <f>_xlfn.XLOOKUP(G107,Poids!A:A,Poids!C:C)</f>
        <v>0.5</v>
      </c>
      <c r="N107" t="str">
        <f>IF(COUNTIF(Zoning!A:A,J107)=0,"zone inconnue","France")</f>
        <v>France</v>
      </c>
      <c r="O107">
        <f>IF(COUNTIF(Zoning!A:A,J107)=0,"taux inconnu",_xlfn.XLOOKUP(J107,Zoning!A:A,Zoning!C:C))</f>
        <v>0.2</v>
      </c>
      <c r="R107" t="str">
        <f>IF(TCD!K108="","",TCD!K108)</f>
        <v/>
      </c>
      <c r="S107" t="str">
        <f>IF(TCD!F108="","",TCD!F108)</f>
        <v/>
      </c>
      <c r="T107" t="str">
        <f>IF(TCD!E108="","",TCD!E108)</f>
        <v/>
      </c>
      <c r="U107">
        <f>SUM(TCD!H108:J108)</f>
        <v>4.82</v>
      </c>
    </row>
    <row r="108" spans="1:21" x14ac:dyDescent="0.25">
      <c r="A108" s="1" t="str">
        <f>_xlfn.XLOOKUP(G108,'Facture GLS'!AB:AB,'Facture GLS'!O:O)</f>
        <v>LA RUCHE</v>
      </c>
      <c r="B108" t="str">
        <f t="shared" si="3"/>
        <v>GLS</v>
      </c>
      <c r="C108" s="2">
        <f t="shared" si="4"/>
        <v>46174</v>
      </c>
      <c r="G108" t="str">
        <f>TCD!D109</f>
        <v>00KUR5WS</v>
      </c>
      <c r="I108" t="s">
        <v>104</v>
      </c>
      <c r="J108" t="str">
        <f>_xlfn.XLOOKUP(G108,'Facture GLS'!AB:AB,'Facture GLS'!BB:BB)</f>
        <v>FR</v>
      </c>
      <c r="K108" t="str">
        <f>IF(COUNTIF(Zoning!A:A,J108)=0,"pays inconnu",LOOKUP(J108,Zoning!A:A,Zoning!B:B))</f>
        <v>France</v>
      </c>
      <c r="L108">
        <f t="shared" si="5"/>
        <v>1</v>
      </c>
      <c r="M108">
        <f>_xlfn.XLOOKUP(G108,Poids!A:A,Poids!C:C)</f>
        <v>0.6</v>
      </c>
      <c r="N108" t="str">
        <f>IF(COUNTIF(Zoning!A:A,J108)=0,"zone inconnue","France")</f>
        <v>France</v>
      </c>
      <c r="O108">
        <f>IF(COUNTIF(Zoning!A:A,J108)=0,"taux inconnu",_xlfn.XLOOKUP(J108,Zoning!A:A,Zoning!C:C))</f>
        <v>0.2</v>
      </c>
      <c r="R108" t="str">
        <f>IF(TCD!K109="","",TCD!K109)</f>
        <v/>
      </c>
      <c r="S108" t="str">
        <f>IF(TCD!F109="","",TCD!F109)</f>
        <v/>
      </c>
      <c r="T108" t="str">
        <f>IF(TCD!E109="","",TCD!E109)</f>
        <v/>
      </c>
      <c r="U108">
        <f>SUM(TCD!H109:J109)</f>
        <v>5.15</v>
      </c>
    </row>
    <row r="109" spans="1:21" x14ac:dyDescent="0.25">
      <c r="A109" s="1" t="str">
        <f>_xlfn.XLOOKUP(G109,'Facture GLS'!AB:AB,'Facture GLS'!O:O)</f>
        <v>LA RUCHE</v>
      </c>
      <c r="B109" t="str">
        <f t="shared" si="3"/>
        <v>GLS</v>
      </c>
      <c r="C109" s="2">
        <f t="shared" si="4"/>
        <v>46174</v>
      </c>
      <c r="G109" t="str">
        <f>TCD!D110</f>
        <v>00KUR5WT</v>
      </c>
      <c r="I109" t="s">
        <v>104</v>
      </c>
      <c r="J109" t="str">
        <f>_xlfn.XLOOKUP(G109,'Facture GLS'!AB:AB,'Facture GLS'!BB:BB)</f>
        <v>FR</v>
      </c>
      <c r="K109" t="str">
        <f>IF(COUNTIF(Zoning!A:A,J109)=0,"pays inconnu",LOOKUP(J109,Zoning!A:A,Zoning!B:B))</f>
        <v>France</v>
      </c>
      <c r="L109">
        <f t="shared" si="5"/>
        <v>1</v>
      </c>
      <c r="M109">
        <f>_xlfn.XLOOKUP(G109,Poids!A:A,Poids!C:C)</f>
        <v>0.4</v>
      </c>
      <c r="N109" t="str">
        <f>IF(COUNTIF(Zoning!A:A,J109)=0,"zone inconnue","France")</f>
        <v>France</v>
      </c>
      <c r="O109">
        <f>IF(COUNTIF(Zoning!A:A,J109)=0,"taux inconnu",_xlfn.XLOOKUP(J109,Zoning!A:A,Zoning!C:C))</f>
        <v>0.2</v>
      </c>
      <c r="R109" t="str">
        <f>IF(TCD!K110="","",TCD!K110)</f>
        <v/>
      </c>
      <c r="S109" t="str">
        <f>IF(TCD!F110="","",TCD!F110)</f>
        <v/>
      </c>
      <c r="T109" t="str">
        <f>IF(TCD!E110="","",TCD!E110)</f>
        <v/>
      </c>
      <c r="U109">
        <f>SUM(TCD!H110:J110)</f>
        <v>4.82</v>
      </c>
    </row>
    <row r="110" spans="1:21" x14ac:dyDescent="0.25">
      <c r="A110" s="1" t="str">
        <f>_xlfn.XLOOKUP(G110,'Facture GLS'!AB:AB,'Facture GLS'!O:O)</f>
        <v>LA RUCHE</v>
      </c>
      <c r="B110" t="str">
        <f t="shared" si="3"/>
        <v>GLS</v>
      </c>
      <c r="C110" s="2">
        <f t="shared" si="4"/>
        <v>46174</v>
      </c>
      <c r="G110" t="str">
        <f>TCD!D111</f>
        <v>00KUR5WU</v>
      </c>
      <c r="I110" t="s">
        <v>104</v>
      </c>
      <c r="J110" t="str">
        <f>_xlfn.XLOOKUP(G110,'Facture GLS'!AB:AB,'Facture GLS'!BB:BB)</f>
        <v>FR</v>
      </c>
      <c r="K110" t="str">
        <f>IF(COUNTIF(Zoning!A:A,J110)=0,"pays inconnu",LOOKUP(J110,Zoning!A:A,Zoning!B:B))</f>
        <v>France</v>
      </c>
      <c r="L110">
        <f t="shared" si="5"/>
        <v>1</v>
      </c>
      <c r="M110">
        <f>_xlfn.XLOOKUP(G110,Poids!A:A,Poids!C:C)</f>
        <v>0.6</v>
      </c>
      <c r="N110" t="str">
        <f>IF(COUNTIF(Zoning!A:A,J110)=0,"zone inconnue","France")</f>
        <v>France</v>
      </c>
      <c r="O110">
        <f>IF(COUNTIF(Zoning!A:A,J110)=0,"taux inconnu",_xlfn.XLOOKUP(J110,Zoning!A:A,Zoning!C:C))</f>
        <v>0.2</v>
      </c>
      <c r="R110" t="str">
        <f>IF(TCD!K111="","",TCD!K111)</f>
        <v/>
      </c>
      <c r="S110" t="str">
        <f>IF(TCD!F111="","",TCD!F111)</f>
        <v/>
      </c>
      <c r="T110" t="str">
        <f>IF(TCD!E111="","",TCD!E111)</f>
        <v/>
      </c>
      <c r="U110">
        <f>SUM(TCD!H111:J111)</f>
        <v>5.15</v>
      </c>
    </row>
    <row r="111" spans="1:21" x14ac:dyDescent="0.25">
      <c r="A111" s="1" t="str">
        <f>_xlfn.XLOOKUP(G111,'Facture GLS'!AB:AB,'Facture GLS'!O:O)</f>
        <v>LA RUCHE</v>
      </c>
      <c r="B111" t="str">
        <f t="shared" si="3"/>
        <v>GLS</v>
      </c>
      <c r="C111" s="2">
        <f t="shared" si="4"/>
        <v>46174</v>
      </c>
      <c r="G111" t="str">
        <f>TCD!D112</f>
        <v>00KUR5WV</v>
      </c>
      <c r="I111" t="s">
        <v>104</v>
      </c>
      <c r="J111" t="str">
        <f>_xlfn.XLOOKUP(G111,'Facture GLS'!AB:AB,'Facture GLS'!BB:BB)</f>
        <v>FR</v>
      </c>
      <c r="K111" t="str">
        <f>IF(COUNTIF(Zoning!A:A,J111)=0,"pays inconnu",LOOKUP(J111,Zoning!A:A,Zoning!B:B))</f>
        <v>France</v>
      </c>
      <c r="L111">
        <f t="shared" si="5"/>
        <v>1</v>
      </c>
      <c r="M111">
        <f>_xlfn.XLOOKUP(G111,Poids!A:A,Poids!C:C)</f>
        <v>0.79999999999999993</v>
      </c>
      <c r="N111" t="str">
        <f>IF(COUNTIF(Zoning!A:A,J111)=0,"zone inconnue","France")</f>
        <v>France</v>
      </c>
      <c r="O111">
        <f>IF(COUNTIF(Zoning!A:A,J111)=0,"taux inconnu",_xlfn.XLOOKUP(J111,Zoning!A:A,Zoning!C:C))</f>
        <v>0.2</v>
      </c>
      <c r="R111" t="str">
        <f>IF(TCD!K112="","",TCD!K112)</f>
        <v/>
      </c>
      <c r="S111" t="str">
        <f>IF(TCD!F112="","",TCD!F112)</f>
        <v/>
      </c>
      <c r="T111" t="str">
        <f>IF(TCD!E112="","",TCD!E112)</f>
        <v/>
      </c>
      <c r="U111">
        <f>SUM(TCD!H112:J112)</f>
        <v>5.15</v>
      </c>
    </row>
    <row r="112" spans="1:21" x14ac:dyDescent="0.25">
      <c r="A112" s="1" t="str">
        <f>_xlfn.XLOOKUP(G112,'Facture GLS'!AB:AB,'Facture GLS'!O:O)</f>
        <v>LA RUCHE</v>
      </c>
      <c r="B112" t="str">
        <f t="shared" si="3"/>
        <v>GLS</v>
      </c>
      <c r="C112" s="2">
        <f t="shared" si="4"/>
        <v>46174</v>
      </c>
      <c r="G112" t="str">
        <f>TCD!D113</f>
        <v>00KUR5WW</v>
      </c>
      <c r="I112" t="s">
        <v>104</v>
      </c>
      <c r="J112" t="str">
        <f>_xlfn.XLOOKUP(G112,'Facture GLS'!AB:AB,'Facture GLS'!BB:BB)</f>
        <v>FR</v>
      </c>
      <c r="K112" t="str">
        <f>IF(COUNTIF(Zoning!A:A,J112)=0,"pays inconnu",LOOKUP(J112,Zoning!A:A,Zoning!B:B))</f>
        <v>France</v>
      </c>
      <c r="L112">
        <f t="shared" si="5"/>
        <v>1</v>
      </c>
      <c r="M112">
        <f>_xlfn.XLOOKUP(G112,Poids!A:A,Poids!C:C)</f>
        <v>0.4</v>
      </c>
      <c r="N112" t="str">
        <f>IF(COUNTIF(Zoning!A:A,J112)=0,"zone inconnue","France")</f>
        <v>France</v>
      </c>
      <c r="O112">
        <f>IF(COUNTIF(Zoning!A:A,J112)=0,"taux inconnu",_xlfn.XLOOKUP(J112,Zoning!A:A,Zoning!C:C))</f>
        <v>0.2</v>
      </c>
      <c r="R112" t="str">
        <f>IF(TCD!K113="","",TCD!K113)</f>
        <v/>
      </c>
      <c r="S112" t="str">
        <f>IF(TCD!F113="","",TCD!F113)</f>
        <v/>
      </c>
      <c r="T112" t="str">
        <f>IF(TCD!E113="","",TCD!E113)</f>
        <v/>
      </c>
      <c r="U112">
        <f>SUM(TCD!H113:J113)</f>
        <v>4.82</v>
      </c>
    </row>
    <row r="113" spans="1:21" x14ac:dyDescent="0.25">
      <c r="A113" s="1" t="str">
        <f>_xlfn.XLOOKUP(G113,'Facture GLS'!AB:AB,'Facture GLS'!O:O)</f>
        <v>LA RUCHE</v>
      </c>
      <c r="B113" t="str">
        <f t="shared" si="3"/>
        <v>GLS</v>
      </c>
      <c r="C113" s="2">
        <f t="shared" si="4"/>
        <v>46174</v>
      </c>
      <c r="G113" t="str">
        <f>TCD!D114</f>
        <v>00KUR5WX</v>
      </c>
      <c r="I113" t="s">
        <v>104</v>
      </c>
      <c r="J113" t="str">
        <f>_xlfn.XLOOKUP(G113,'Facture GLS'!AB:AB,'Facture GLS'!BB:BB)</f>
        <v>FR</v>
      </c>
      <c r="K113" t="str">
        <f>IF(COUNTIF(Zoning!A:A,J113)=0,"pays inconnu",LOOKUP(J113,Zoning!A:A,Zoning!B:B))</f>
        <v>France</v>
      </c>
      <c r="L113">
        <f t="shared" si="5"/>
        <v>1</v>
      </c>
      <c r="M113">
        <f>_xlfn.XLOOKUP(G113,Poids!A:A,Poids!C:C)</f>
        <v>0.5</v>
      </c>
      <c r="N113" t="str">
        <f>IF(COUNTIF(Zoning!A:A,J113)=0,"zone inconnue","France")</f>
        <v>France</v>
      </c>
      <c r="O113">
        <f>IF(COUNTIF(Zoning!A:A,J113)=0,"taux inconnu",_xlfn.XLOOKUP(J113,Zoning!A:A,Zoning!C:C))</f>
        <v>0.2</v>
      </c>
      <c r="R113" t="str">
        <f>IF(TCD!K114="","",TCD!K114)</f>
        <v/>
      </c>
      <c r="S113" t="str">
        <f>IF(TCD!F114="","",TCD!F114)</f>
        <v/>
      </c>
      <c r="T113" t="str">
        <f>IF(TCD!E114="","",TCD!E114)</f>
        <v/>
      </c>
      <c r="U113">
        <f>SUM(TCD!H114:J114)</f>
        <v>4.82</v>
      </c>
    </row>
    <row r="114" spans="1:21" x14ac:dyDescent="0.25">
      <c r="A114" s="1" t="str">
        <f>_xlfn.XLOOKUP(G114,'Facture GLS'!AB:AB,'Facture GLS'!O:O)</f>
        <v>LA RUCHE</v>
      </c>
      <c r="B114" t="str">
        <f t="shared" si="3"/>
        <v>GLS</v>
      </c>
      <c r="C114" s="2">
        <f t="shared" si="4"/>
        <v>46174</v>
      </c>
      <c r="G114" t="str">
        <f>TCD!D115</f>
        <v>00KUR5WY</v>
      </c>
      <c r="I114" t="s">
        <v>104</v>
      </c>
      <c r="J114" t="str">
        <f>_xlfn.XLOOKUP(G114,'Facture GLS'!AB:AB,'Facture GLS'!BB:BB)</f>
        <v>FR</v>
      </c>
      <c r="K114" t="str">
        <f>IF(COUNTIF(Zoning!A:A,J114)=0,"pays inconnu",LOOKUP(J114,Zoning!A:A,Zoning!B:B))</f>
        <v>France</v>
      </c>
      <c r="L114">
        <f t="shared" si="5"/>
        <v>1</v>
      </c>
      <c r="M114">
        <f>_xlfn.XLOOKUP(G114,Poids!A:A,Poids!C:C)</f>
        <v>0.30000000000000004</v>
      </c>
      <c r="N114" t="str">
        <f>IF(COUNTIF(Zoning!A:A,J114)=0,"zone inconnue","France")</f>
        <v>France</v>
      </c>
      <c r="O114">
        <f>IF(COUNTIF(Zoning!A:A,J114)=0,"taux inconnu",_xlfn.XLOOKUP(J114,Zoning!A:A,Zoning!C:C))</f>
        <v>0.2</v>
      </c>
      <c r="R114" t="str">
        <f>IF(TCD!K115="","",TCD!K115)</f>
        <v/>
      </c>
      <c r="S114" t="str">
        <f>IF(TCD!F115="","",TCD!F115)</f>
        <v/>
      </c>
      <c r="T114" t="str">
        <f>IF(TCD!E115="","",TCD!E115)</f>
        <v/>
      </c>
      <c r="U114">
        <f>SUM(TCD!H115:J115)</f>
        <v>4.82</v>
      </c>
    </row>
    <row r="115" spans="1:21" x14ac:dyDescent="0.25">
      <c r="A115" s="1" t="str">
        <f>_xlfn.XLOOKUP(G115,'Facture GLS'!AB:AB,'Facture GLS'!O:O)</f>
        <v>LA RUCHE</v>
      </c>
      <c r="B115" t="str">
        <f t="shared" si="3"/>
        <v>GLS</v>
      </c>
      <c r="C115" s="2">
        <f t="shared" si="4"/>
        <v>46174</v>
      </c>
      <c r="G115" t="str">
        <f>TCD!D116</f>
        <v>00KUR5WZ</v>
      </c>
      <c r="I115" t="s">
        <v>104</v>
      </c>
      <c r="J115" t="str">
        <f>_xlfn.XLOOKUP(G115,'Facture GLS'!AB:AB,'Facture GLS'!BB:BB)</f>
        <v>FR</v>
      </c>
      <c r="K115" t="str">
        <f>IF(COUNTIF(Zoning!A:A,J115)=0,"pays inconnu",LOOKUP(J115,Zoning!A:A,Zoning!B:B))</f>
        <v>France</v>
      </c>
      <c r="L115">
        <f t="shared" si="5"/>
        <v>1</v>
      </c>
      <c r="M115">
        <f>_xlfn.XLOOKUP(G115,Poids!A:A,Poids!C:C)</f>
        <v>0.30000000000000004</v>
      </c>
      <c r="N115" t="str">
        <f>IF(COUNTIF(Zoning!A:A,J115)=0,"zone inconnue","France")</f>
        <v>France</v>
      </c>
      <c r="O115">
        <f>IF(COUNTIF(Zoning!A:A,J115)=0,"taux inconnu",_xlfn.XLOOKUP(J115,Zoning!A:A,Zoning!C:C))</f>
        <v>0.2</v>
      </c>
      <c r="R115" t="str">
        <f>IF(TCD!K116="","",TCD!K116)</f>
        <v/>
      </c>
      <c r="S115" t="str">
        <f>IF(TCD!F116="","",TCD!F116)</f>
        <v/>
      </c>
      <c r="T115" t="str">
        <f>IF(TCD!E116="","",TCD!E116)</f>
        <v/>
      </c>
      <c r="U115">
        <f>SUM(TCD!H116:J116)</f>
        <v>4.82</v>
      </c>
    </row>
    <row r="116" spans="1:21" x14ac:dyDescent="0.25">
      <c r="A116" s="1" t="str">
        <f>_xlfn.XLOOKUP(G116,'Facture GLS'!AB:AB,'Facture GLS'!O:O)</f>
        <v>LA RUCHE</v>
      </c>
      <c r="B116" t="str">
        <f t="shared" si="3"/>
        <v>GLS</v>
      </c>
      <c r="C116" s="2">
        <f t="shared" si="4"/>
        <v>46174</v>
      </c>
      <c r="G116" t="str">
        <f>TCD!D117</f>
        <v>00KUR5X0</v>
      </c>
      <c r="I116" t="s">
        <v>104</v>
      </c>
      <c r="J116" t="str">
        <f>_xlfn.XLOOKUP(G116,'Facture GLS'!AB:AB,'Facture GLS'!BB:BB)</f>
        <v>FR</v>
      </c>
      <c r="K116" t="str">
        <f>IF(COUNTIF(Zoning!A:A,J116)=0,"pays inconnu",LOOKUP(J116,Zoning!A:A,Zoning!B:B))</f>
        <v>France</v>
      </c>
      <c r="L116">
        <f t="shared" si="5"/>
        <v>1</v>
      </c>
      <c r="M116">
        <f>_xlfn.XLOOKUP(G116,Poids!A:A,Poids!C:C)</f>
        <v>0.30000000000000004</v>
      </c>
      <c r="N116" t="str">
        <f>IF(COUNTIF(Zoning!A:A,J116)=0,"zone inconnue","France")</f>
        <v>France</v>
      </c>
      <c r="O116">
        <f>IF(COUNTIF(Zoning!A:A,J116)=0,"taux inconnu",_xlfn.XLOOKUP(J116,Zoning!A:A,Zoning!C:C))</f>
        <v>0.2</v>
      </c>
      <c r="R116" t="str">
        <f>IF(TCD!K117="","",TCD!K117)</f>
        <v/>
      </c>
      <c r="S116" t="str">
        <f>IF(TCD!F117="","",TCD!F117)</f>
        <v/>
      </c>
      <c r="T116" t="str">
        <f>IF(TCD!E117="","",TCD!E117)</f>
        <v/>
      </c>
      <c r="U116">
        <f>SUM(TCD!H117:J117)</f>
        <v>4.82</v>
      </c>
    </row>
    <row r="117" spans="1:21" x14ac:dyDescent="0.25">
      <c r="A117" s="1" t="str">
        <f>_xlfn.XLOOKUP(G117,'Facture GLS'!AB:AB,'Facture GLS'!O:O)</f>
        <v>LA RUCHE</v>
      </c>
      <c r="B117" t="str">
        <f t="shared" si="3"/>
        <v>GLS</v>
      </c>
      <c r="C117" s="2">
        <f t="shared" si="4"/>
        <v>46174</v>
      </c>
      <c r="G117" t="str">
        <f>TCD!D118</f>
        <v>00KUR5X1</v>
      </c>
      <c r="I117" t="s">
        <v>104</v>
      </c>
      <c r="J117" t="str">
        <f>_xlfn.XLOOKUP(G117,'Facture GLS'!AB:AB,'Facture GLS'!BB:BB)</f>
        <v>FR</v>
      </c>
      <c r="K117" t="str">
        <f>IF(COUNTIF(Zoning!A:A,J117)=0,"pays inconnu",LOOKUP(J117,Zoning!A:A,Zoning!B:B))</f>
        <v>France</v>
      </c>
      <c r="L117">
        <f t="shared" si="5"/>
        <v>1</v>
      </c>
      <c r="M117">
        <f>_xlfn.XLOOKUP(G117,Poids!A:A,Poids!C:C)</f>
        <v>0.4</v>
      </c>
      <c r="N117" t="str">
        <f>IF(COUNTIF(Zoning!A:A,J117)=0,"zone inconnue","France")</f>
        <v>France</v>
      </c>
      <c r="O117">
        <f>IF(COUNTIF(Zoning!A:A,J117)=0,"taux inconnu",_xlfn.XLOOKUP(J117,Zoning!A:A,Zoning!C:C))</f>
        <v>0.2</v>
      </c>
      <c r="R117" t="str">
        <f>IF(TCD!K118="","",TCD!K118)</f>
        <v/>
      </c>
      <c r="S117" t="str">
        <f>IF(TCD!F118="","",TCD!F118)</f>
        <v/>
      </c>
      <c r="T117" t="str">
        <f>IF(TCD!E118="","",TCD!E118)</f>
        <v/>
      </c>
      <c r="U117">
        <f>SUM(TCD!H118:J118)</f>
        <v>4.82</v>
      </c>
    </row>
    <row r="118" spans="1:21" x14ac:dyDescent="0.25">
      <c r="A118" s="1" t="str">
        <f>_xlfn.XLOOKUP(G118,'Facture GLS'!AB:AB,'Facture GLS'!O:O)</f>
        <v>LA RUCHE</v>
      </c>
      <c r="B118" t="str">
        <f t="shared" si="3"/>
        <v>GLS</v>
      </c>
      <c r="C118" s="2">
        <f t="shared" si="4"/>
        <v>46174</v>
      </c>
      <c r="G118" t="str">
        <f>TCD!D119</f>
        <v>00KUR5X2</v>
      </c>
      <c r="I118" t="s">
        <v>104</v>
      </c>
      <c r="J118" t="str">
        <f>_xlfn.XLOOKUP(G118,'Facture GLS'!AB:AB,'Facture GLS'!BB:BB)</f>
        <v>FR</v>
      </c>
      <c r="K118" t="str">
        <f>IF(COUNTIF(Zoning!A:A,J118)=0,"pays inconnu",LOOKUP(J118,Zoning!A:A,Zoning!B:B))</f>
        <v>France</v>
      </c>
      <c r="L118">
        <f t="shared" si="5"/>
        <v>1</v>
      </c>
      <c r="M118">
        <f>_xlfn.XLOOKUP(G118,Poids!A:A,Poids!C:C)</f>
        <v>0.5</v>
      </c>
      <c r="N118" t="str">
        <f>IF(COUNTIF(Zoning!A:A,J118)=0,"zone inconnue","France")</f>
        <v>France</v>
      </c>
      <c r="O118">
        <f>IF(COUNTIF(Zoning!A:A,J118)=0,"taux inconnu",_xlfn.XLOOKUP(J118,Zoning!A:A,Zoning!C:C))</f>
        <v>0.2</v>
      </c>
      <c r="R118" t="str">
        <f>IF(TCD!K119="","",TCD!K119)</f>
        <v/>
      </c>
      <c r="S118" t="str">
        <f>IF(TCD!F119="","",TCD!F119)</f>
        <v/>
      </c>
      <c r="T118" t="str">
        <f>IF(TCD!E119="","",TCD!E119)</f>
        <v/>
      </c>
      <c r="U118">
        <f>SUM(TCD!H119:J119)</f>
        <v>4.82</v>
      </c>
    </row>
    <row r="119" spans="1:21" x14ac:dyDescent="0.25">
      <c r="A119" s="1" t="str">
        <f>_xlfn.XLOOKUP(G119,'Facture GLS'!AB:AB,'Facture GLS'!O:O)</f>
        <v>LA RUCHE</v>
      </c>
      <c r="B119" t="str">
        <f t="shared" si="3"/>
        <v>GLS</v>
      </c>
      <c r="C119" s="2">
        <f t="shared" si="4"/>
        <v>46174</v>
      </c>
      <c r="G119" t="str">
        <f>TCD!D120</f>
        <v>00KUR5X3</v>
      </c>
      <c r="I119" t="s">
        <v>104</v>
      </c>
      <c r="J119" t="str">
        <f>_xlfn.XLOOKUP(G119,'Facture GLS'!AB:AB,'Facture GLS'!BB:BB)</f>
        <v>FR</v>
      </c>
      <c r="K119" t="str">
        <f>IF(COUNTIF(Zoning!A:A,J119)=0,"pays inconnu",LOOKUP(J119,Zoning!A:A,Zoning!B:B))</f>
        <v>France</v>
      </c>
      <c r="L119">
        <f t="shared" si="5"/>
        <v>1</v>
      </c>
      <c r="M119">
        <f>_xlfn.XLOOKUP(G119,Poids!A:A,Poids!C:C)</f>
        <v>0.5</v>
      </c>
      <c r="N119" t="str">
        <f>IF(COUNTIF(Zoning!A:A,J119)=0,"zone inconnue","France")</f>
        <v>France</v>
      </c>
      <c r="O119">
        <f>IF(COUNTIF(Zoning!A:A,J119)=0,"taux inconnu",_xlfn.XLOOKUP(J119,Zoning!A:A,Zoning!C:C))</f>
        <v>0.2</v>
      </c>
      <c r="R119" t="str">
        <f>IF(TCD!K120="","",TCD!K120)</f>
        <v/>
      </c>
      <c r="S119" t="str">
        <f>IF(TCD!F120="","",TCD!F120)</f>
        <v/>
      </c>
      <c r="T119" t="str">
        <f>IF(TCD!E120="","",TCD!E120)</f>
        <v/>
      </c>
      <c r="U119">
        <f>SUM(TCD!H120:J120)</f>
        <v>4.82</v>
      </c>
    </row>
    <row r="120" spans="1:21" x14ac:dyDescent="0.25">
      <c r="A120" s="1" t="str">
        <f>_xlfn.XLOOKUP(G120,'Facture GLS'!AB:AB,'Facture GLS'!O:O)</f>
        <v>LA RUCHE</v>
      </c>
      <c r="B120" t="str">
        <f t="shared" si="3"/>
        <v>GLS</v>
      </c>
      <c r="C120" s="2">
        <f t="shared" si="4"/>
        <v>46174</v>
      </c>
      <c r="G120" t="str">
        <f>TCD!D121</f>
        <v>00KUR5X4</v>
      </c>
      <c r="I120" t="s">
        <v>104</v>
      </c>
      <c r="J120" t="str">
        <f>_xlfn.XLOOKUP(G120,'Facture GLS'!AB:AB,'Facture GLS'!BB:BB)</f>
        <v>FR</v>
      </c>
      <c r="K120" t="str">
        <f>IF(COUNTIF(Zoning!A:A,J120)=0,"pays inconnu",LOOKUP(J120,Zoning!A:A,Zoning!B:B))</f>
        <v>France</v>
      </c>
      <c r="L120">
        <f t="shared" si="5"/>
        <v>1</v>
      </c>
      <c r="M120">
        <f>_xlfn.XLOOKUP(G120,Poids!A:A,Poids!C:C)</f>
        <v>0.3</v>
      </c>
      <c r="N120" t="str">
        <f>IF(COUNTIF(Zoning!A:A,J120)=0,"zone inconnue","France")</f>
        <v>France</v>
      </c>
      <c r="O120">
        <f>IF(COUNTIF(Zoning!A:A,J120)=0,"taux inconnu",_xlfn.XLOOKUP(J120,Zoning!A:A,Zoning!C:C))</f>
        <v>0.2</v>
      </c>
      <c r="R120" t="str">
        <f>IF(TCD!K121="","",TCD!K121)</f>
        <v/>
      </c>
      <c r="S120" t="str">
        <f>IF(TCD!F121="","",TCD!F121)</f>
        <v/>
      </c>
      <c r="T120" t="str">
        <f>IF(TCD!E121="","",TCD!E121)</f>
        <v/>
      </c>
      <c r="U120">
        <f>SUM(TCD!H121:J121)</f>
        <v>4.82</v>
      </c>
    </row>
    <row r="121" spans="1:21" x14ac:dyDescent="0.25">
      <c r="A121" s="1" t="str">
        <f>_xlfn.XLOOKUP(G121,'Facture GLS'!AB:AB,'Facture GLS'!O:O)</f>
        <v>LA RUCHE</v>
      </c>
      <c r="B121" t="str">
        <f t="shared" si="3"/>
        <v>GLS</v>
      </c>
      <c r="C121" s="2">
        <f t="shared" si="4"/>
        <v>46174</v>
      </c>
      <c r="G121" t="str">
        <f>TCD!D122</f>
        <v>00KUR5X5</v>
      </c>
      <c r="I121" t="s">
        <v>104</v>
      </c>
      <c r="J121" t="str">
        <f>_xlfn.XLOOKUP(G121,'Facture GLS'!AB:AB,'Facture GLS'!BB:BB)</f>
        <v>FR</v>
      </c>
      <c r="K121" t="str">
        <f>IF(COUNTIF(Zoning!A:A,J121)=0,"pays inconnu",LOOKUP(J121,Zoning!A:A,Zoning!B:B))</f>
        <v>France</v>
      </c>
      <c r="L121">
        <f t="shared" si="5"/>
        <v>1</v>
      </c>
      <c r="M121">
        <f>_xlfn.XLOOKUP(G121,Poids!A:A,Poids!C:C)</f>
        <v>0.4</v>
      </c>
      <c r="N121" t="str">
        <f>IF(COUNTIF(Zoning!A:A,J121)=0,"zone inconnue","France")</f>
        <v>France</v>
      </c>
      <c r="O121">
        <f>IF(COUNTIF(Zoning!A:A,J121)=0,"taux inconnu",_xlfn.XLOOKUP(J121,Zoning!A:A,Zoning!C:C))</f>
        <v>0.2</v>
      </c>
      <c r="R121" t="str">
        <f>IF(TCD!K122="","",TCD!K122)</f>
        <v/>
      </c>
      <c r="S121" t="str">
        <f>IF(TCD!F122="","",TCD!F122)</f>
        <v/>
      </c>
      <c r="T121" t="str">
        <f>IF(TCD!E122="","",TCD!E122)</f>
        <v/>
      </c>
      <c r="U121">
        <f>SUM(TCD!H122:J122)</f>
        <v>4.82</v>
      </c>
    </row>
    <row r="122" spans="1:21" x14ac:dyDescent="0.25">
      <c r="A122" s="1" t="str">
        <f>_xlfn.XLOOKUP(G122,'Facture GLS'!AB:AB,'Facture GLS'!O:O)</f>
        <v>LA RUCHE</v>
      </c>
      <c r="B122" t="str">
        <f t="shared" si="3"/>
        <v>GLS</v>
      </c>
      <c r="C122" s="2">
        <f t="shared" si="4"/>
        <v>46174</v>
      </c>
      <c r="G122" t="str">
        <f>TCD!D123</f>
        <v>00KUR5X6</v>
      </c>
      <c r="I122" t="s">
        <v>104</v>
      </c>
      <c r="J122" t="str">
        <f>_xlfn.XLOOKUP(G122,'Facture GLS'!AB:AB,'Facture GLS'!BB:BB)</f>
        <v>FR</v>
      </c>
      <c r="K122" t="str">
        <f>IF(COUNTIF(Zoning!A:A,J122)=0,"pays inconnu",LOOKUP(J122,Zoning!A:A,Zoning!B:B))</f>
        <v>France</v>
      </c>
      <c r="L122">
        <f t="shared" si="5"/>
        <v>1</v>
      </c>
      <c r="M122">
        <f>_xlfn.XLOOKUP(G122,Poids!A:A,Poids!C:C)</f>
        <v>1.2000000000000002</v>
      </c>
      <c r="N122" t="str">
        <f>IF(COUNTIF(Zoning!A:A,J122)=0,"zone inconnue","France")</f>
        <v>France</v>
      </c>
      <c r="O122">
        <f>IF(COUNTIF(Zoning!A:A,J122)=0,"taux inconnu",_xlfn.XLOOKUP(J122,Zoning!A:A,Zoning!C:C))</f>
        <v>0.2</v>
      </c>
      <c r="R122" t="str">
        <f>IF(TCD!K123="","",TCD!K123)</f>
        <v/>
      </c>
      <c r="S122" t="str">
        <f>IF(TCD!F123="","",TCD!F123)</f>
        <v/>
      </c>
      <c r="T122">
        <f>IF(TCD!E123="","",TCD!E123)</f>
        <v>2.36</v>
      </c>
      <c r="U122">
        <f>SUM(TCD!H123:J123)</f>
        <v>5.4700000000000006</v>
      </c>
    </row>
    <row r="123" spans="1:21" x14ac:dyDescent="0.25">
      <c r="A123" s="1" t="str">
        <f>_xlfn.XLOOKUP(G123,'Facture GLS'!AB:AB,'Facture GLS'!O:O)</f>
        <v>LA RUCHE</v>
      </c>
      <c r="B123" t="str">
        <f t="shared" si="3"/>
        <v>GLS</v>
      </c>
      <c r="C123" s="2">
        <f t="shared" si="4"/>
        <v>46174</v>
      </c>
      <c r="G123" t="str">
        <f>TCD!D124</f>
        <v>00KUR5X7</v>
      </c>
      <c r="I123" t="s">
        <v>104</v>
      </c>
      <c r="J123" t="str">
        <f>_xlfn.XLOOKUP(G123,'Facture GLS'!AB:AB,'Facture GLS'!BB:BB)</f>
        <v>FR</v>
      </c>
      <c r="K123" t="str">
        <f>IF(COUNTIF(Zoning!A:A,J123)=0,"pays inconnu",LOOKUP(J123,Zoning!A:A,Zoning!B:B))</f>
        <v>France</v>
      </c>
      <c r="L123">
        <f t="shared" si="5"/>
        <v>1</v>
      </c>
      <c r="M123">
        <f>_xlfn.XLOOKUP(G123,Poids!A:A,Poids!C:C)</f>
        <v>1</v>
      </c>
      <c r="N123" t="str">
        <f>IF(COUNTIF(Zoning!A:A,J123)=0,"zone inconnue","France")</f>
        <v>France</v>
      </c>
      <c r="O123">
        <f>IF(COUNTIF(Zoning!A:A,J123)=0,"taux inconnu",_xlfn.XLOOKUP(J123,Zoning!A:A,Zoning!C:C))</f>
        <v>0.2</v>
      </c>
      <c r="R123" t="str">
        <f>IF(TCD!K124="","",TCD!K124)</f>
        <v/>
      </c>
      <c r="S123" t="str">
        <f>IF(TCD!F124="","",TCD!F124)</f>
        <v/>
      </c>
      <c r="T123" t="str">
        <f>IF(TCD!E124="","",TCD!E124)</f>
        <v/>
      </c>
      <c r="U123">
        <f>SUM(TCD!H124:J124)</f>
        <v>5.15</v>
      </c>
    </row>
    <row r="124" spans="1:21" x14ac:dyDescent="0.25">
      <c r="A124" s="1" t="str">
        <f>_xlfn.XLOOKUP(G124,'Facture GLS'!AB:AB,'Facture GLS'!O:O)</f>
        <v>LA RUCHE</v>
      </c>
      <c r="B124" t="str">
        <f t="shared" si="3"/>
        <v>GLS</v>
      </c>
      <c r="C124" s="2">
        <f t="shared" si="4"/>
        <v>46174</v>
      </c>
      <c r="G124" t="str">
        <f>TCD!D125</f>
        <v>00KUR5X8</v>
      </c>
      <c r="I124" t="s">
        <v>104</v>
      </c>
      <c r="J124" t="str">
        <f>_xlfn.XLOOKUP(G124,'Facture GLS'!AB:AB,'Facture GLS'!BB:BB)</f>
        <v>FR</v>
      </c>
      <c r="K124" t="str">
        <f>IF(COUNTIF(Zoning!A:A,J124)=0,"pays inconnu",LOOKUP(J124,Zoning!A:A,Zoning!B:B))</f>
        <v>France</v>
      </c>
      <c r="L124">
        <f t="shared" si="5"/>
        <v>1</v>
      </c>
      <c r="M124">
        <f>_xlfn.XLOOKUP(G124,Poids!A:A,Poids!C:C)</f>
        <v>0.3</v>
      </c>
      <c r="N124" t="str">
        <f>IF(COUNTIF(Zoning!A:A,J124)=0,"zone inconnue","France")</f>
        <v>France</v>
      </c>
      <c r="O124">
        <f>IF(COUNTIF(Zoning!A:A,J124)=0,"taux inconnu",_xlfn.XLOOKUP(J124,Zoning!A:A,Zoning!C:C))</f>
        <v>0.2</v>
      </c>
      <c r="R124" t="str">
        <f>IF(TCD!K125="","",TCD!K125)</f>
        <v/>
      </c>
      <c r="S124" t="str">
        <f>IF(TCD!F125="","",TCD!F125)</f>
        <v/>
      </c>
      <c r="T124" t="str">
        <f>IF(TCD!E125="","",TCD!E125)</f>
        <v/>
      </c>
      <c r="U124">
        <f>SUM(TCD!H125:J125)</f>
        <v>4.82</v>
      </c>
    </row>
    <row r="125" spans="1:21" x14ac:dyDescent="0.25">
      <c r="A125" s="1" t="str">
        <f>_xlfn.XLOOKUP(G125,'Facture GLS'!AB:AB,'Facture GLS'!O:O)</f>
        <v>LA RUCHE</v>
      </c>
      <c r="B125" t="str">
        <f t="shared" si="3"/>
        <v>GLS</v>
      </c>
      <c r="C125" s="2">
        <f t="shared" si="4"/>
        <v>46174</v>
      </c>
      <c r="G125" t="str">
        <f>TCD!D126</f>
        <v>00KUR5X9</v>
      </c>
      <c r="I125" t="s">
        <v>104</v>
      </c>
      <c r="J125" t="str">
        <f>_xlfn.XLOOKUP(G125,'Facture GLS'!AB:AB,'Facture GLS'!BB:BB)</f>
        <v>FR</v>
      </c>
      <c r="K125" t="str">
        <f>IF(COUNTIF(Zoning!A:A,J125)=0,"pays inconnu",LOOKUP(J125,Zoning!A:A,Zoning!B:B))</f>
        <v>France</v>
      </c>
      <c r="L125">
        <f t="shared" si="5"/>
        <v>1</v>
      </c>
      <c r="M125">
        <f>_xlfn.XLOOKUP(G125,Poids!A:A,Poids!C:C)</f>
        <v>0.30000000000000004</v>
      </c>
      <c r="N125" t="str">
        <f>IF(COUNTIF(Zoning!A:A,J125)=0,"zone inconnue","France")</f>
        <v>France</v>
      </c>
      <c r="O125">
        <f>IF(COUNTIF(Zoning!A:A,J125)=0,"taux inconnu",_xlfn.XLOOKUP(J125,Zoning!A:A,Zoning!C:C))</f>
        <v>0.2</v>
      </c>
      <c r="R125" t="str">
        <f>IF(TCD!K126="","",TCD!K126)</f>
        <v/>
      </c>
      <c r="S125" t="str">
        <f>IF(TCD!F126="","",TCD!F126)</f>
        <v/>
      </c>
      <c r="T125" t="str">
        <f>IF(TCD!E126="","",TCD!E126)</f>
        <v/>
      </c>
      <c r="U125">
        <f>SUM(TCD!H126:J126)</f>
        <v>4.82</v>
      </c>
    </row>
    <row r="126" spans="1:21" x14ac:dyDescent="0.25">
      <c r="A126" s="1" t="str">
        <f>_xlfn.XLOOKUP(G126,'Facture GLS'!AB:AB,'Facture GLS'!O:O)</f>
        <v>LA RUCHE</v>
      </c>
      <c r="B126" t="str">
        <f t="shared" si="3"/>
        <v>GLS</v>
      </c>
      <c r="C126" s="2">
        <f t="shared" si="4"/>
        <v>46174</v>
      </c>
      <c r="G126" t="str">
        <f>TCD!D127</f>
        <v>00KUR5XA</v>
      </c>
      <c r="I126" t="s">
        <v>104</v>
      </c>
      <c r="J126" t="str">
        <f>_xlfn.XLOOKUP(G126,'Facture GLS'!AB:AB,'Facture GLS'!BB:BB)</f>
        <v>FR</v>
      </c>
      <c r="K126" t="str">
        <f>IF(COUNTIF(Zoning!A:A,J126)=0,"pays inconnu",LOOKUP(J126,Zoning!A:A,Zoning!B:B))</f>
        <v>France</v>
      </c>
      <c r="L126">
        <f t="shared" si="5"/>
        <v>1</v>
      </c>
      <c r="M126">
        <f>_xlfn.XLOOKUP(G126,Poids!A:A,Poids!C:C)</f>
        <v>0.4</v>
      </c>
      <c r="N126" t="str">
        <f>IF(COUNTIF(Zoning!A:A,J126)=0,"zone inconnue","France")</f>
        <v>France</v>
      </c>
      <c r="O126">
        <f>IF(COUNTIF(Zoning!A:A,J126)=0,"taux inconnu",_xlfn.XLOOKUP(J126,Zoning!A:A,Zoning!C:C))</f>
        <v>0.2</v>
      </c>
      <c r="R126" t="str">
        <f>IF(TCD!K127="","",TCD!K127)</f>
        <v/>
      </c>
      <c r="S126" t="str">
        <f>IF(TCD!F127="","",TCD!F127)</f>
        <v/>
      </c>
      <c r="T126" t="str">
        <f>IF(TCD!E127="","",TCD!E127)</f>
        <v/>
      </c>
      <c r="U126">
        <f>SUM(TCD!H127:J127)</f>
        <v>4.82</v>
      </c>
    </row>
    <row r="127" spans="1:21" x14ac:dyDescent="0.25">
      <c r="A127" s="1" t="str">
        <f>_xlfn.XLOOKUP(G127,'Facture GLS'!AB:AB,'Facture GLS'!O:O)</f>
        <v>LA RUCHE</v>
      </c>
      <c r="B127" t="str">
        <f t="shared" si="3"/>
        <v>GLS</v>
      </c>
      <c r="C127" s="2">
        <f t="shared" si="4"/>
        <v>46174</v>
      </c>
      <c r="G127" t="str">
        <f>TCD!D128</f>
        <v>00KUR5XB</v>
      </c>
      <c r="I127" t="s">
        <v>104</v>
      </c>
      <c r="J127" t="str">
        <f>_xlfn.XLOOKUP(G127,'Facture GLS'!AB:AB,'Facture GLS'!BB:BB)</f>
        <v>FR</v>
      </c>
      <c r="K127" t="str">
        <f>IF(COUNTIF(Zoning!A:A,J127)=0,"pays inconnu",LOOKUP(J127,Zoning!A:A,Zoning!B:B))</f>
        <v>France</v>
      </c>
      <c r="L127">
        <f t="shared" si="5"/>
        <v>1</v>
      </c>
      <c r="M127">
        <f>_xlfn.XLOOKUP(G127,Poids!A:A,Poids!C:C)</f>
        <v>0.5</v>
      </c>
      <c r="N127" t="str">
        <f>IF(COUNTIF(Zoning!A:A,J127)=0,"zone inconnue","France")</f>
        <v>France</v>
      </c>
      <c r="O127">
        <f>IF(COUNTIF(Zoning!A:A,J127)=0,"taux inconnu",_xlfn.XLOOKUP(J127,Zoning!A:A,Zoning!C:C))</f>
        <v>0.2</v>
      </c>
      <c r="R127" t="str">
        <f>IF(TCD!K128="","",TCD!K128)</f>
        <v/>
      </c>
      <c r="S127" t="str">
        <f>IF(TCD!F128="","",TCD!F128)</f>
        <v/>
      </c>
      <c r="T127" t="str">
        <f>IF(TCD!E128="","",TCD!E128)</f>
        <v/>
      </c>
      <c r="U127">
        <f>SUM(TCD!H128:J128)</f>
        <v>4.8200000000000012</v>
      </c>
    </row>
    <row r="128" spans="1:21" x14ac:dyDescent="0.25">
      <c r="A128" s="1" t="str">
        <f>_xlfn.XLOOKUP(G128,'Facture GLS'!AB:AB,'Facture GLS'!O:O)</f>
        <v>BY FOUTAS</v>
      </c>
      <c r="B128" t="str">
        <f t="shared" si="3"/>
        <v>GLS</v>
      </c>
      <c r="C128" s="2">
        <f t="shared" si="4"/>
        <v>46174</v>
      </c>
      <c r="G128" t="str">
        <f>TCD!D129</f>
        <v>00KZ5BVG</v>
      </c>
      <c r="I128" t="s">
        <v>104</v>
      </c>
      <c r="J128" t="str">
        <f>_xlfn.XLOOKUP(G128,'Facture GLS'!AB:AB,'Facture GLS'!BB:BB)</f>
        <v>FR</v>
      </c>
      <c r="K128" t="str">
        <f>IF(COUNTIF(Zoning!A:A,J128)=0,"pays inconnu",LOOKUP(J128,Zoning!A:A,Zoning!B:B))</f>
        <v>France</v>
      </c>
      <c r="L128">
        <f t="shared" si="5"/>
        <v>1</v>
      </c>
      <c r="M128">
        <f>_xlfn.XLOOKUP(G128,Poids!A:A,Poids!C:C)</f>
        <v>0</v>
      </c>
      <c r="N128" t="str">
        <f>IF(COUNTIF(Zoning!A:A,J128)=0,"zone inconnue","France")</f>
        <v>France</v>
      </c>
      <c r="O128">
        <f>IF(COUNTIF(Zoning!A:A,J128)=0,"taux inconnu",_xlfn.XLOOKUP(J128,Zoning!A:A,Zoning!C:C))</f>
        <v>0.2</v>
      </c>
      <c r="R128" t="str">
        <f>IF(TCD!K129="","",TCD!K129)</f>
        <v/>
      </c>
      <c r="S128" t="str">
        <f>IF(TCD!F129="","",TCD!F129)</f>
        <v/>
      </c>
      <c r="T128" t="str">
        <f>IF(TCD!E129="","",TCD!E129)</f>
        <v/>
      </c>
      <c r="U128">
        <f>SUM(TCD!H129:J129)</f>
        <v>4.0999999999999996</v>
      </c>
    </row>
    <row r="129" spans="1:21" x14ac:dyDescent="0.25">
      <c r="A129" s="1" t="str">
        <f>_xlfn.XLOOKUP(G129,'Facture GLS'!AB:AB,'Facture GLS'!O:O)</f>
        <v>BY FOUTAS</v>
      </c>
      <c r="B129" t="str">
        <f t="shared" si="3"/>
        <v>GLS</v>
      </c>
      <c r="C129" s="2">
        <f t="shared" si="4"/>
        <v>46174</v>
      </c>
      <c r="G129" t="str">
        <f>TCD!D130</f>
        <v>00KZZJT9</v>
      </c>
      <c r="I129" t="s">
        <v>104</v>
      </c>
      <c r="J129" t="str">
        <f>_xlfn.XLOOKUP(G129,'Facture GLS'!AB:AB,'Facture GLS'!BB:BB)</f>
        <v>FR</v>
      </c>
      <c r="K129" t="str">
        <f>IF(COUNTIF(Zoning!A:A,J129)=0,"pays inconnu",LOOKUP(J129,Zoning!A:A,Zoning!B:B))</f>
        <v>France</v>
      </c>
      <c r="L129">
        <f t="shared" si="5"/>
        <v>1</v>
      </c>
      <c r="M129">
        <f>_xlfn.XLOOKUP(G129,Poids!A:A,Poids!C:C)</f>
        <v>1.6</v>
      </c>
      <c r="N129" t="str">
        <f>IF(COUNTIF(Zoning!A:A,J129)=0,"zone inconnue","France")</f>
        <v>France</v>
      </c>
      <c r="O129">
        <f>IF(COUNTIF(Zoning!A:A,J129)=0,"taux inconnu",_xlfn.XLOOKUP(J129,Zoning!A:A,Zoning!C:C))</f>
        <v>0.2</v>
      </c>
      <c r="R129" t="str">
        <f>IF(TCD!K130="","",TCD!K130)</f>
        <v/>
      </c>
      <c r="S129" t="str">
        <f>IF(TCD!F130="","",TCD!F130)</f>
        <v/>
      </c>
      <c r="T129" t="str">
        <f>IF(TCD!E130="","",TCD!E130)</f>
        <v/>
      </c>
      <c r="U129">
        <f>SUM(TCD!H130:J130)</f>
        <v>5.4700000000000006</v>
      </c>
    </row>
    <row r="130" spans="1:21" x14ac:dyDescent="0.25">
      <c r="A130" s="1" t="str">
        <f>_xlfn.XLOOKUP(G130,'Facture GLS'!AB:AB,'Facture GLS'!O:O)</f>
        <v>BY FOUTAS</v>
      </c>
      <c r="B130" t="str">
        <f t="shared" si="3"/>
        <v>GLS</v>
      </c>
      <c r="C130" s="2">
        <f t="shared" si="4"/>
        <v>46174</v>
      </c>
      <c r="G130" t="str">
        <f>TCD!D131</f>
        <v>00KZZJTA</v>
      </c>
      <c r="I130" t="s">
        <v>104</v>
      </c>
      <c r="J130" t="str">
        <f>_xlfn.XLOOKUP(G130,'Facture GLS'!AB:AB,'Facture GLS'!BB:BB)</f>
        <v>FR</v>
      </c>
      <c r="K130" t="str">
        <f>IF(COUNTIF(Zoning!A:A,J130)=0,"pays inconnu",LOOKUP(J130,Zoning!A:A,Zoning!B:B))</f>
        <v>France</v>
      </c>
      <c r="L130">
        <f t="shared" si="5"/>
        <v>1</v>
      </c>
      <c r="M130">
        <f>_xlfn.XLOOKUP(G130,Poids!A:A,Poids!C:C)</f>
        <v>1.2000000000000002</v>
      </c>
      <c r="N130" t="str">
        <f>IF(COUNTIF(Zoning!A:A,J130)=0,"zone inconnue","France")</f>
        <v>France</v>
      </c>
      <c r="O130">
        <f>IF(COUNTIF(Zoning!A:A,J130)=0,"taux inconnu",_xlfn.XLOOKUP(J130,Zoning!A:A,Zoning!C:C))</f>
        <v>0.2</v>
      </c>
      <c r="R130" t="str">
        <f>IF(TCD!K131="","",TCD!K131)</f>
        <v/>
      </c>
      <c r="S130" t="str">
        <f>IF(TCD!F131="","",TCD!F131)</f>
        <v/>
      </c>
      <c r="T130" t="str">
        <f>IF(TCD!E131="","",TCD!E131)</f>
        <v/>
      </c>
      <c r="U130">
        <f>SUM(TCD!H131:J131)</f>
        <v>5.4700000000000006</v>
      </c>
    </row>
    <row r="131" spans="1:21" x14ac:dyDescent="0.25">
      <c r="A131" s="1" t="str">
        <f>_xlfn.XLOOKUP(G131,'Facture GLS'!AB:AB,'Facture GLS'!O:O)</f>
        <v>BY FOUTAS</v>
      </c>
      <c r="B131" t="str">
        <f t="shared" si="3"/>
        <v>GLS</v>
      </c>
      <c r="C131" s="2">
        <f t="shared" si="4"/>
        <v>46174</v>
      </c>
      <c r="G131" t="str">
        <f>TCD!D132</f>
        <v>00KZZJTB</v>
      </c>
      <c r="I131" t="s">
        <v>104</v>
      </c>
      <c r="J131" t="str">
        <f>_xlfn.XLOOKUP(G131,'Facture GLS'!AB:AB,'Facture GLS'!BB:BB)</f>
        <v>FR</v>
      </c>
      <c r="K131" t="str">
        <f>IF(COUNTIF(Zoning!A:A,J131)=0,"pays inconnu",LOOKUP(J131,Zoning!A:A,Zoning!B:B))</f>
        <v>France</v>
      </c>
      <c r="L131">
        <f t="shared" si="5"/>
        <v>1</v>
      </c>
      <c r="M131">
        <f>_xlfn.XLOOKUP(G131,Poids!A:A,Poids!C:C)</f>
        <v>0.9</v>
      </c>
      <c r="N131" t="str">
        <f>IF(COUNTIF(Zoning!A:A,J131)=0,"zone inconnue","France")</f>
        <v>France</v>
      </c>
      <c r="O131">
        <f>IF(COUNTIF(Zoning!A:A,J131)=0,"taux inconnu",_xlfn.XLOOKUP(J131,Zoning!A:A,Zoning!C:C))</f>
        <v>0.2</v>
      </c>
      <c r="R131" t="str">
        <f>IF(TCD!K132="","",TCD!K132)</f>
        <v/>
      </c>
      <c r="S131" t="str">
        <f>IF(TCD!F132="","",TCD!F132)</f>
        <v/>
      </c>
      <c r="T131" t="str">
        <f>IF(TCD!E132="","",TCD!E132)</f>
        <v/>
      </c>
      <c r="U131">
        <f>SUM(TCD!H132:J132)</f>
        <v>5.15</v>
      </c>
    </row>
    <row r="132" spans="1:21" x14ac:dyDescent="0.25">
      <c r="A132" s="1" t="str">
        <f>_xlfn.XLOOKUP(G132,'Facture GLS'!AB:AB,'Facture GLS'!O:O)</f>
        <v>BY FOUTAS</v>
      </c>
      <c r="B132" t="str">
        <f t="shared" ref="B132:B195" si="6">B131</f>
        <v>GLS</v>
      </c>
      <c r="C132" s="2">
        <f t="shared" ref="C132:C195" si="7">C131</f>
        <v>46174</v>
      </c>
      <c r="G132" t="str">
        <f>TCD!D133</f>
        <v>00KZZJTC</v>
      </c>
      <c r="I132" t="s">
        <v>104</v>
      </c>
      <c r="J132" t="str">
        <f>_xlfn.XLOOKUP(G132,'Facture GLS'!AB:AB,'Facture GLS'!BB:BB)</f>
        <v>FR</v>
      </c>
      <c r="K132" t="str">
        <f>IF(COUNTIF(Zoning!A:A,J132)=0,"pays inconnu",LOOKUP(J132,Zoning!A:A,Zoning!B:B))</f>
        <v>France</v>
      </c>
      <c r="L132">
        <f t="shared" ref="L132:L195" si="8">L131</f>
        <v>1</v>
      </c>
      <c r="M132">
        <f>_xlfn.XLOOKUP(G132,Poids!A:A,Poids!C:C)</f>
        <v>0.9</v>
      </c>
      <c r="N132" t="str">
        <f>IF(COUNTIF(Zoning!A:A,J132)=0,"zone inconnue","France")</f>
        <v>France</v>
      </c>
      <c r="O132">
        <f>IF(COUNTIF(Zoning!A:A,J132)=0,"taux inconnu",_xlfn.XLOOKUP(J132,Zoning!A:A,Zoning!C:C))</f>
        <v>0.2</v>
      </c>
      <c r="R132" t="str">
        <f>IF(TCD!K133="","",TCD!K133)</f>
        <v/>
      </c>
      <c r="S132" t="str">
        <f>IF(TCD!F133="","",TCD!F133)</f>
        <v/>
      </c>
      <c r="T132" t="str">
        <f>IF(TCD!E133="","",TCD!E133)</f>
        <v/>
      </c>
      <c r="U132">
        <f>SUM(TCD!H133:J133)</f>
        <v>5.15</v>
      </c>
    </row>
    <row r="133" spans="1:21" x14ac:dyDescent="0.25">
      <c r="A133" s="1" t="str">
        <f>_xlfn.XLOOKUP(G133,'Facture GLS'!AB:AB,'Facture GLS'!O:O)</f>
        <v>BY FOUTAS</v>
      </c>
      <c r="B133" t="str">
        <f t="shared" si="6"/>
        <v>GLS</v>
      </c>
      <c r="C133" s="2">
        <f t="shared" si="7"/>
        <v>46174</v>
      </c>
      <c r="G133" t="str">
        <f>TCD!D134</f>
        <v>00KZZJTD</v>
      </c>
      <c r="I133" t="s">
        <v>104</v>
      </c>
      <c r="J133" t="str">
        <f>_xlfn.XLOOKUP(G133,'Facture GLS'!AB:AB,'Facture GLS'!BB:BB)</f>
        <v>FR</v>
      </c>
      <c r="K133" t="str">
        <f>IF(COUNTIF(Zoning!A:A,J133)=0,"pays inconnu",LOOKUP(J133,Zoning!A:A,Zoning!B:B))</f>
        <v>France</v>
      </c>
      <c r="L133">
        <f t="shared" si="8"/>
        <v>1</v>
      </c>
      <c r="M133">
        <f>_xlfn.XLOOKUP(G133,Poids!A:A,Poids!C:C)</f>
        <v>2.4</v>
      </c>
      <c r="N133" t="str">
        <f>IF(COUNTIF(Zoning!A:A,J133)=0,"zone inconnue","France")</f>
        <v>France</v>
      </c>
      <c r="O133">
        <f>IF(COUNTIF(Zoning!A:A,J133)=0,"taux inconnu",_xlfn.XLOOKUP(J133,Zoning!A:A,Zoning!C:C))</f>
        <v>0.2</v>
      </c>
      <c r="R133" t="str">
        <f>IF(TCD!K134="","",TCD!K134)</f>
        <v/>
      </c>
      <c r="S133" t="str">
        <f>IF(TCD!F134="","",TCD!F134)</f>
        <v/>
      </c>
      <c r="T133" t="str">
        <f>IF(TCD!E134="","",TCD!E134)</f>
        <v/>
      </c>
      <c r="U133">
        <f>SUM(TCD!H134:J134)</f>
        <v>5.7900000000000009</v>
      </c>
    </row>
    <row r="134" spans="1:21" x14ac:dyDescent="0.25">
      <c r="A134" s="1" t="str">
        <f>_xlfn.XLOOKUP(G134,'Facture GLS'!AB:AB,'Facture GLS'!O:O)</f>
        <v>BY FOUTAS</v>
      </c>
      <c r="B134" t="str">
        <f t="shared" si="6"/>
        <v>GLS</v>
      </c>
      <c r="C134" s="2">
        <f t="shared" si="7"/>
        <v>46174</v>
      </c>
      <c r="G134" t="str">
        <f>TCD!D135</f>
        <v>00KZZJTE</v>
      </c>
      <c r="I134" t="s">
        <v>104</v>
      </c>
      <c r="J134" t="str">
        <f>_xlfn.XLOOKUP(G134,'Facture GLS'!AB:AB,'Facture GLS'!BB:BB)</f>
        <v>FR</v>
      </c>
      <c r="K134" t="str">
        <f>IF(COUNTIF(Zoning!A:A,J134)=0,"pays inconnu",LOOKUP(J134,Zoning!A:A,Zoning!B:B))</f>
        <v>France</v>
      </c>
      <c r="L134">
        <f t="shared" si="8"/>
        <v>1</v>
      </c>
      <c r="M134">
        <f>_xlfn.XLOOKUP(G134,Poids!A:A,Poids!C:C)</f>
        <v>0.5</v>
      </c>
      <c r="N134" t="str">
        <f>IF(COUNTIF(Zoning!A:A,J134)=0,"zone inconnue","France")</f>
        <v>France</v>
      </c>
      <c r="O134">
        <f>IF(COUNTIF(Zoning!A:A,J134)=0,"taux inconnu",_xlfn.XLOOKUP(J134,Zoning!A:A,Zoning!C:C))</f>
        <v>0.2</v>
      </c>
      <c r="R134" t="str">
        <f>IF(TCD!K135="","",TCD!K135)</f>
        <v/>
      </c>
      <c r="S134" t="str">
        <f>IF(TCD!F135="","",TCD!F135)</f>
        <v/>
      </c>
      <c r="T134" t="str">
        <f>IF(TCD!E135="","",TCD!E135)</f>
        <v/>
      </c>
      <c r="U134">
        <f>SUM(TCD!H135:J135)</f>
        <v>4.82</v>
      </c>
    </row>
    <row r="135" spans="1:21" x14ac:dyDescent="0.25">
      <c r="A135" s="1" t="str">
        <f>_xlfn.XLOOKUP(G135,'Facture GLS'!AB:AB,'Facture GLS'!O:O)</f>
        <v>BY FOUTAS</v>
      </c>
      <c r="B135" t="str">
        <f t="shared" si="6"/>
        <v>GLS</v>
      </c>
      <c r="C135" s="2">
        <f t="shared" si="7"/>
        <v>46174</v>
      </c>
      <c r="G135" t="str">
        <f>TCD!D136</f>
        <v>00KZZJTF</v>
      </c>
      <c r="I135" t="s">
        <v>104</v>
      </c>
      <c r="J135" t="str">
        <f>_xlfn.XLOOKUP(G135,'Facture GLS'!AB:AB,'Facture GLS'!BB:BB)</f>
        <v>FR</v>
      </c>
      <c r="K135" t="str">
        <f>IF(COUNTIF(Zoning!A:A,J135)=0,"pays inconnu",LOOKUP(J135,Zoning!A:A,Zoning!B:B))</f>
        <v>France</v>
      </c>
      <c r="L135">
        <f t="shared" si="8"/>
        <v>1</v>
      </c>
      <c r="M135">
        <f>_xlfn.XLOOKUP(G135,Poids!A:A,Poids!C:C)</f>
        <v>2.5</v>
      </c>
      <c r="N135" t="str">
        <f>IF(COUNTIF(Zoning!A:A,J135)=0,"zone inconnue","France")</f>
        <v>France</v>
      </c>
      <c r="O135">
        <f>IF(COUNTIF(Zoning!A:A,J135)=0,"taux inconnu",_xlfn.XLOOKUP(J135,Zoning!A:A,Zoning!C:C))</f>
        <v>0.2</v>
      </c>
      <c r="R135" t="str">
        <f>IF(TCD!K136="","",TCD!K136)</f>
        <v/>
      </c>
      <c r="S135" t="str">
        <f>IF(TCD!F136="","",TCD!F136)</f>
        <v/>
      </c>
      <c r="T135" t="str">
        <f>IF(TCD!E136="","",TCD!E136)</f>
        <v/>
      </c>
      <c r="U135">
        <f>SUM(TCD!H136:J136)</f>
        <v>5.7900000000000009</v>
      </c>
    </row>
    <row r="136" spans="1:21" x14ac:dyDescent="0.25">
      <c r="A136" s="1" t="str">
        <f>_xlfn.XLOOKUP(G136,'Facture GLS'!AB:AB,'Facture GLS'!O:O)</f>
        <v>BY FOUTAS</v>
      </c>
      <c r="B136" t="str">
        <f t="shared" si="6"/>
        <v>GLS</v>
      </c>
      <c r="C136" s="2">
        <f t="shared" si="7"/>
        <v>46174</v>
      </c>
      <c r="G136" t="str">
        <f>TCD!D137</f>
        <v>00KZZJTG</v>
      </c>
      <c r="I136" t="s">
        <v>104</v>
      </c>
      <c r="J136" t="str">
        <f>_xlfn.XLOOKUP(G136,'Facture GLS'!AB:AB,'Facture GLS'!BB:BB)</f>
        <v>FR</v>
      </c>
      <c r="K136" t="str">
        <f>IF(COUNTIF(Zoning!A:A,J136)=0,"pays inconnu",LOOKUP(J136,Zoning!A:A,Zoning!B:B))</f>
        <v>France</v>
      </c>
      <c r="L136">
        <f t="shared" si="8"/>
        <v>1</v>
      </c>
      <c r="M136">
        <f>_xlfn.XLOOKUP(G136,Poids!A:A,Poids!C:C)</f>
        <v>1.2000000000000002</v>
      </c>
      <c r="N136" t="str">
        <f>IF(COUNTIF(Zoning!A:A,J136)=0,"zone inconnue","France")</f>
        <v>France</v>
      </c>
      <c r="O136">
        <f>IF(COUNTIF(Zoning!A:A,J136)=0,"taux inconnu",_xlfn.XLOOKUP(J136,Zoning!A:A,Zoning!C:C))</f>
        <v>0.2</v>
      </c>
      <c r="R136" t="str">
        <f>IF(TCD!K137="","",TCD!K137)</f>
        <v/>
      </c>
      <c r="S136" t="str">
        <f>IF(TCD!F137="","",TCD!F137)</f>
        <v/>
      </c>
      <c r="T136" t="str">
        <f>IF(TCD!E137="","",TCD!E137)</f>
        <v/>
      </c>
      <c r="U136">
        <f>SUM(TCD!H137:J137)</f>
        <v>9.89</v>
      </c>
    </row>
    <row r="137" spans="1:21" x14ac:dyDescent="0.25">
      <c r="A137" s="1" t="str">
        <f>_xlfn.XLOOKUP(G137,'Facture GLS'!AB:AB,'Facture GLS'!O:O)</f>
        <v>BY FOUTAS</v>
      </c>
      <c r="B137" t="str">
        <f t="shared" si="6"/>
        <v>GLS</v>
      </c>
      <c r="C137" s="2">
        <f t="shared" si="7"/>
        <v>46174</v>
      </c>
      <c r="G137" t="str">
        <f>TCD!D138</f>
        <v>00KZZJTH</v>
      </c>
      <c r="I137" t="s">
        <v>104</v>
      </c>
      <c r="J137" t="str">
        <f>_xlfn.XLOOKUP(G137,'Facture GLS'!AB:AB,'Facture GLS'!BB:BB)</f>
        <v>FR</v>
      </c>
      <c r="K137" t="str">
        <f>IF(COUNTIF(Zoning!A:A,J137)=0,"pays inconnu",LOOKUP(J137,Zoning!A:A,Zoning!B:B))</f>
        <v>France</v>
      </c>
      <c r="L137">
        <f t="shared" si="8"/>
        <v>1</v>
      </c>
      <c r="M137">
        <f>_xlfn.XLOOKUP(G137,Poids!A:A,Poids!C:C)</f>
        <v>1.7</v>
      </c>
      <c r="N137" t="str">
        <f>IF(COUNTIF(Zoning!A:A,J137)=0,"zone inconnue","France")</f>
        <v>France</v>
      </c>
      <c r="O137">
        <f>IF(COUNTIF(Zoning!A:A,J137)=0,"taux inconnu",_xlfn.XLOOKUP(J137,Zoning!A:A,Zoning!C:C))</f>
        <v>0.2</v>
      </c>
      <c r="R137" t="str">
        <f>IF(TCD!K138="","",TCD!K138)</f>
        <v/>
      </c>
      <c r="S137" t="str">
        <f>IF(TCD!F138="","",TCD!F138)</f>
        <v/>
      </c>
      <c r="T137" t="str">
        <f>IF(TCD!E138="","",TCD!E138)</f>
        <v/>
      </c>
      <c r="U137">
        <f>SUM(TCD!H138:J138)</f>
        <v>5.4700000000000006</v>
      </c>
    </row>
    <row r="138" spans="1:21" x14ac:dyDescent="0.25">
      <c r="A138" s="1" t="str">
        <f>_xlfn.XLOOKUP(G138,'Facture GLS'!AB:AB,'Facture GLS'!O:O)</f>
        <v>BY FOUTAS</v>
      </c>
      <c r="B138" t="str">
        <f t="shared" si="6"/>
        <v>GLS</v>
      </c>
      <c r="C138" s="2">
        <f t="shared" si="7"/>
        <v>46174</v>
      </c>
      <c r="G138" t="str">
        <f>TCD!D139</f>
        <v>00KZZJTI</v>
      </c>
      <c r="I138" t="s">
        <v>104</v>
      </c>
      <c r="J138" t="str">
        <f>_xlfn.XLOOKUP(G138,'Facture GLS'!AB:AB,'Facture GLS'!BB:BB)</f>
        <v>FR</v>
      </c>
      <c r="K138" t="str">
        <f>IF(COUNTIF(Zoning!A:A,J138)=0,"pays inconnu",LOOKUP(J138,Zoning!A:A,Zoning!B:B))</f>
        <v>France</v>
      </c>
      <c r="L138">
        <f t="shared" si="8"/>
        <v>1</v>
      </c>
      <c r="M138">
        <f>_xlfn.XLOOKUP(G138,Poids!A:A,Poids!C:C)</f>
        <v>1.2000000000000002</v>
      </c>
      <c r="N138" t="str">
        <f>IF(COUNTIF(Zoning!A:A,J138)=0,"zone inconnue","France")</f>
        <v>France</v>
      </c>
      <c r="O138">
        <f>IF(COUNTIF(Zoning!A:A,J138)=0,"taux inconnu",_xlfn.XLOOKUP(J138,Zoning!A:A,Zoning!C:C))</f>
        <v>0.2</v>
      </c>
      <c r="R138" t="str">
        <f>IF(TCD!K139="","",TCD!K139)</f>
        <v/>
      </c>
      <c r="S138" t="str">
        <f>IF(TCD!F139="","",TCD!F139)</f>
        <v/>
      </c>
      <c r="T138">
        <f>IF(TCD!E139="","",TCD!E139)</f>
        <v>2.36</v>
      </c>
      <c r="U138">
        <f>SUM(TCD!H139:J139)</f>
        <v>5.4700000000000006</v>
      </c>
    </row>
    <row r="139" spans="1:21" x14ac:dyDescent="0.25">
      <c r="A139" s="1" t="str">
        <f>_xlfn.XLOOKUP(G139,'Facture GLS'!AB:AB,'Facture GLS'!O:O)</f>
        <v>BY FOUTAS</v>
      </c>
      <c r="B139" t="str">
        <f t="shared" si="6"/>
        <v>GLS</v>
      </c>
      <c r="C139" s="2">
        <f t="shared" si="7"/>
        <v>46174</v>
      </c>
      <c r="G139" t="str">
        <f>TCD!D140</f>
        <v>00KZZJTJ</v>
      </c>
      <c r="I139" t="s">
        <v>104</v>
      </c>
      <c r="J139" t="str">
        <f>_xlfn.XLOOKUP(G139,'Facture GLS'!AB:AB,'Facture GLS'!BB:BB)</f>
        <v>FR</v>
      </c>
      <c r="K139" t="str">
        <f>IF(COUNTIF(Zoning!A:A,J139)=0,"pays inconnu",LOOKUP(J139,Zoning!A:A,Zoning!B:B))</f>
        <v>France</v>
      </c>
      <c r="L139">
        <f t="shared" si="8"/>
        <v>1</v>
      </c>
      <c r="M139">
        <f>_xlfn.XLOOKUP(G139,Poids!A:A,Poids!C:C)</f>
        <v>2.1</v>
      </c>
      <c r="N139" t="str">
        <f>IF(COUNTIF(Zoning!A:A,J139)=0,"zone inconnue","France")</f>
        <v>France</v>
      </c>
      <c r="O139">
        <f>IF(COUNTIF(Zoning!A:A,J139)=0,"taux inconnu",_xlfn.XLOOKUP(J139,Zoning!A:A,Zoning!C:C))</f>
        <v>0.2</v>
      </c>
      <c r="R139" t="str">
        <f>IF(TCD!K140="","",TCD!K140)</f>
        <v/>
      </c>
      <c r="S139" t="str">
        <f>IF(TCD!F140="","",TCD!F140)</f>
        <v/>
      </c>
      <c r="T139" t="str">
        <f>IF(TCD!E140="","",TCD!E140)</f>
        <v/>
      </c>
      <c r="U139">
        <f>SUM(TCD!H140:J140)</f>
        <v>5.7900000000000009</v>
      </c>
    </row>
    <row r="140" spans="1:21" x14ac:dyDescent="0.25">
      <c r="A140" s="1" t="str">
        <f>_xlfn.XLOOKUP(G140,'Facture GLS'!AB:AB,'Facture GLS'!O:O)</f>
        <v>BY FOUTAS</v>
      </c>
      <c r="B140" t="str">
        <f t="shared" si="6"/>
        <v>GLS</v>
      </c>
      <c r="C140" s="2">
        <f t="shared" si="7"/>
        <v>46174</v>
      </c>
      <c r="G140" t="str">
        <f>TCD!D141</f>
        <v>00KZZJTK</v>
      </c>
      <c r="I140" t="s">
        <v>104</v>
      </c>
      <c r="J140" t="str">
        <f>_xlfn.XLOOKUP(G140,'Facture GLS'!AB:AB,'Facture GLS'!BB:BB)</f>
        <v>FR</v>
      </c>
      <c r="K140" t="str">
        <f>IF(COUNTIF(Zoning!A:A,J140)=0,"pays inconnu",LOOKUP(J140,Zoning!A:A,Zoning!B:B))</f>
        <v>France</v>
      </c>
      <c r="L140">
        <f t="shared" si="8"/>
        <v>1</v>
      </c>
      <c r="M140">
        <f>_xlfn.XLOOKUP(G140,Poids!A:A,Poids!C:C)</f>
        <v>1.2000000000000002</v>
      </c>
      <c r="N140" t="str">
        <f>IF(COUNTIF(Zoning!A:A,J140)=0,"zone inconnue","France")</f>
        <v>France</v>
      </c>
      <c r="O140">
        <f>IF(COUNTIF(Zoning!A:A,J140)=0,"taux inconnu",_xlfn.XLOOKUP(J140,Zoning!A:A,Zoning!C:C))</f>
        <v>0.2</v>
      </c>
      <c r="R140" t="str">
        <f>IF(TCD!K141="","",TCD!K141)</f>
        <v/>
      </c>
      <c r="S140" t="str">
        <f>IF(TCD!F141="","",TCD!F141)</f>
        <v/>
      </c>
      <c r="T140" t="str">
        <f>IF(TCD!E141="","",TCD!E141)</f>
        <v/>
      </c>
      <c r="U140">
        <f>SUM(TCD!H141:J141)</f>
        <v>5.4700000000000006</v>
      </c>
    </row>
    <row r="141" spans="1:21" x14ac:dyDescent="0.25">
      <c r="A141" s="1" t="str">
        <f>_xlfn.XLOOKUP(G141,'Facture GLS'!AB:AB,'Facture GLS'!O:O)</f>
        <v>BY FOUTAS</v>
      </c>
      <c r="B141" t="str">
        <f t="shared" si="6"/>
        <v>GLS</v>
      </c>
      <c r="C141" s="2">
        <f t="shared" si="7"/>
        <v>46174</v>
      </c>
      <c r="G141" t="str">
        <f>TCD!D142</f>
        <v>00KZZJTL</v>
      </c>
      <c r="I141" t="s">
        <v>104</v>
      </c>
      <c r="J141" t="str">
        <f>_xlfn.XLOOKUP(G141,'Facture GLS'!AB:AB,'Facture GLS'!BB:BB)</f>
        <v>FR</v>
      </c>
      <c r="K141" t="str">
        <f>IF(COUNTIF(Zoning!A:A,J141)=0,"pays inconnu",LOOKUP(J141,Zoning!A:A,Zoning!B:B))</f>
        <v>France</v>
      </c>
      <c r="L141">
        <f t="shared" si="8"/>
        <v>1</v>
      </c>
      <c r="M141">
        <f>_xlfn.XLOOKUP(G141,Poids!A:A,Poids!C:C)</f>
        <v>1.2000000000000002</v>
      </c>
      <c r="N141" t="str">
        <f>IF(COUNTIF(Zoning!A:A,J141)=0,"zone inconnue","France")</f>
        <v>France</v>
      </c>
      <c r="O141">
        <f>IF(COUNTIF(Zoning!A:A,J141)=0,"taux inconnu",_xlfn.XLOOKUP(J141,Zoning!A:A,Zoning!C:C))</f>
        <v>0.2</v>
      </c>
      <c r="R141" t="str">
        <f>IF(TCD!K142="","",TCD!K142)</f>
        <v/>
      </c>
      <c r="S141" t="str">
        <f>IF(TCD!F142="","",TCD!F142)</f>
        <v/>
      </c>
      <c r="T141" t="str">
        <f>IF(TCD!E142="","",TCD!E142)</f>
        <v/>
      </c>
      <c r="U141">
        <f>SUM(TCD!H142:J142)</f>
        <v>5.4700000000000006</v>
      </c>
    </row>
    <row r="142" spans="1:21" x14ac:dyDescent="0.25">
      <c r="A142" s="1" t="str">
        <f>_xlfn.XLOOKUP(G142,'Facture GLS'!AB:AB,'Facture GLS'!O:O)</f>
        <v>BY FOUTAS</v>
      </c>
      <c r="B142" t="str">
        <f t="shared" si="6"/>
        <v>GLS</v>
      </c>
      <c r="C142" s="2">
        <f t="shared" si="7"/>
        <v>46174</v>
      </c>
      <c r="G142" t="str">
        <f>TCD!D143</f>
        <v>00KZZJTM</v>
      </c>
      <c r="I142" t="s">
        <v>104</v>
      </c>
      <c r="J142" t="str">
        <f>_xlfn.XLOOKUP(G142,'Facture GLS'!AB:AB,'Facture GLS'!BB:BB)</f>
        <v>FR</v>
      </c>
      <c r="K142" t="str">
        <f>IF(COUNTIF(Zoning!A:A,J142)=0,"pays inconnu",LOOKUP(J142,Zoning!A:A,Zoning!B:B))</f>
        <v>France</v>
      </c>
      <c r="L142">
        <f t="shared" si="8"/>
        <v>1</v>
      </c>
      <c r="M142">
        <f>_xlfn.XLOOKUP(G142,Poids!A:A,Poids!C:C)</f>
        <v>2</v>
      </c>
      <c r="N142" t="str">
        <f>IF(COUNTIF(Zoning!A:A,J142)=0,"zone inconnue","France")</f>
        <v>France</v>
      </c>
      <c r="O142">
        <f>IF(COUNTIF(Zoning!A:A,J142)=0,"taux inconnu",_xlfn.XLOOKUP(J142,Zoning!A:A,Zoning!C:C))</f>
        <v>0.2</v>
      </c>
      <c r="R142" t="str">
        <f>IF(TCD!K143="","",TCD!K143)</f>
        <v/>
      </c>
      <c r="S142" t="str">
        <f>IF(TCD!F143="","",TCD!F143)</f>
        <v/>
      </c>
      <c r="T142" t="str">
        <f>IF(TCD!E143="","",TCD!E143)</f>
        <v/>
      </c>
      <c r="U142">
        <f>SUM(TCD!H143:J143)</f>
        <v>5.4700000000000006</v>
      </c>
    </row>
    <row r="143" spans="1:21" x14ac:dyDescent="0.25">
      <c r="A143" s="1" t="str">
        <f>_xlfn.XLOOKUP(G143,'Facture GLS'!AB:AB,'Facture GLS'!O:O)</f>
        <v>BY FOUTAS</v>
      </c>
      <c r="B143" t="str">
        <f t="shared" si="6"/>
        <v>GLS</v>
      </c>
      <c r="C143" s="2">
        <f t="shared" si="7"/>
        <v>46174</v>
      </c>
      <c r="G143" t="str">
        <f>TCD!D144</f>
        <v>00KZZJTN</v>
      </c>
      <c r="I143" t="s">
        <v>104</v>
      </c>
      <c r="J143" t="str">
        <f>_xlfn.XLOOKUP(G143,'Facture GLS'!AB:AB,'Facture GLS'!BB:BB)</f>
        <v>FR</v>
      </c>
      <c r="K143" t="str">
        <f>IF(COUNTIF(Zoning!A:A,J143)=0,"pays inconnu",LOOKUP(J143,Zoning!A:A,Zoning!B:B))</f>
        <v>France</v>
      </c>
      <c r="L143">
        <f t="shared" si="8"/>
        <v>1</v>
      </c>
      <c r="M143">
        <f>_xlfn.XLOOKUP(G143,Poids!A:A,Poids!C:C)</f>
        <v>1.3</v>
      </c>
      <c r="N143" t="str">
        <f>IF(COUNTIF(Zoning!A:A,J143)=0,"zone inconnue","France")</f>
        <v>France</v>
      </c>
      <c r="O143">
        <f>IF(COUNTIF(Zoning!A:A,J143)=0,"taux inconnu",_xlfn.XLOOKUP(J143,Zoning!A:A,Zoning!C:C))</f>
        <v>0.2</v>
      </c>
      <c r="R143" t="str">
        <f>IF(TCD!K144="","",TCD!K144)</f>
        <v/>
      </c>
      <c r="S143" t="str">
        <f>IF(TCD!F144="","",TCD!F144)</f>
        <v/>
      </c>
      <c r="T143" t="str">
        <f>IF(TCD!E144="","",TCD!E144)</f>
        <v/>
      </c>
      <c r="U143">
        <f>SUM(TCD!H144:J144)</f>
        <v>5.4700000000000006</v>
      </c>
    </row>
    <row r="144" spans="1:21" x14ac:dyDescent="0.25">
      <c r="A144" s="1" t="str">
        <f>_xlfn.XLOOKUP(G144,'Facture GLS'!AB:AB,'Facture GLS'!O:O)</f>
        <v>BY FOUTAS</v>
      </c>
      <c r="B144" t="str">
        <f t="shared" si="6"/>
        <v>GLS</v>
      </c>
      <c r="C144" s="2">
        <f t="shared" si="7"/>
        <v>46174</v>
      </c>
      <c r="G144" t="str">
        <f>TCD!D145</f>
        <v>00KZZJTO</v>
      </c>
      <c r="I144" t="s">
        <v>104</v>
      </c>
      <c r="J144" t="str">
        <f>_xlfn.XLOOKUP(G144,'Facture GLS'!AB:AB,'Facture GLS'!BB:BB)</f>
        <v>FR</v>
      </c>
      <c r="K144" t="str">
        <f>IF(COUNTIF(Zoning!A:A,J144)=0,"pays inconnu",LOOKUP(J144,Zoning!A:A,Zoning!B:B))</f>
        <v>France</v>
      </c>
      <c r="L144">
        <f t="shared" si="8"/>
        <v>1</v>
      </c>
      <c r="M144">
        <f>_xlfn.XLOOKUP(G144,Poids!A:A,Poids!C:C)</f>
        <v>1.9000000000000001</v>
      </c>
      <c r="N144" t="str">
        <f>IF(COUNTIF(Zoning!A:A,J144)=0,"zone inconnue","France")</f>
        <v>France</v>
      </c>
      <c r="O144">
        <f>IF(COUNTIF(Zoning!A:A,J144)=0,"taux inconnu",_xlfn.XLOOKUP(J144,Zoning!A:A,Zoning!C:C))</f>
        <v>0.2</v>
      </c>
      <c r="R144" t="str">
        <f>IF(TCD!K145="","",TCD!K145)</f>
        <v/>
      </c>
      <c r="S144" t="str">
        <f>IF(TCD!F145="","",TCD!F145)</f>
        <v/>
      </c>
      <c r="T144" t="str">
        <f>IF(TCD!E145="","",TCD!E145)</f>
        <v/>
      </c>
      <c r="U144">
        <f>SUM(TCD!H145:J145)</f>
        <v>5.4700000000000006</v>
      </c>
    </row>
    <row r="145" spans="1:21" x14ac:dyDescent="0.25">
      <c r="A145" s="1" t="str">
        <f>_xlfn.XLOOKUP(G145,'Facture GLS'!AB:AB,'Facture GLS'!O:O)</f>
        <v>BY FOUTAS</v>
      </c>
      <c r="B145" t="str">
        <f t="shared" si="6"/>
        <v>GLS</v>
      </c>
      <c r="C145" s="2">
        <f t="shared" si="7"/>
        <v>46174</v>
      </c>
      <c r="G145" t="str">
        <f>TCD!D146</f>
        <v>00KZZJTP</v>
      </c>
      <c r="I145" t="s">
        <v>104</v>
      </c>
      <c r="J145" t="str">
        <f>_xlfn.XLOOKUP(G145,'Facture GLS'!AB:AB,'Facture GLS'!BB:BB)</f>
        <v>FR</v>
      </c>
      <c r="K145" t="str">
        <f>IF(COUNTIF(Zoning!A:A,J145)=0,"pays inconnu",LOOKUP(J145,Zoning!A:A,Zoning!B:B))</f>
        <v>France</v>
      </c>
      <c r="L145">
        <f t="shared" si="8"/>
        <v>1</v>
      </c>
      <c r="M145">
        <f>_xlfn.XLOOKUP(G145,Poids!A:A,Poids!C:C)</f>
        <v>0.9</v>
      </c>
      <c r="N145" t="str">
        <f>IF(COUNTIF(Zoning!A:A,J145)=0,"zone inconnue","France")</f>
        <v>France</v>
      </c>
      <c r="O145">
        <f>IF(COUNTIF(Zoning!A:A,J145)=0,"taux inconnu",_xlfn.XLOOKUP(J145,Zoning!A:A,Zoning!C:C))</f>
        <v>0.2</v>
      </c>
      <c r="R145" t="str">
        <f>IF(TCD!K146="","",TCD!K146)</f>
        <v/>
      </c>
      <c r="S145" t="str">
        <f>IF(TCD!F146="","",TCD!F146)</f>
        <v/>
      </c>
      <c r="T145" t="str">
        <f>IF(TCD!E146="","",TCD!E146)</f>
        <v/>
      </c>
      <c r="U145">
        <f>SUM(TCD!H146:J146)</f>
        <v>5.15</v>
      </c>
    </row>
    <row r="146" spans="1:21" x14ac:dyDescent="0.25">
      <c r="A146" s="1" t="str">
        <f>_xlfn.XLOOKUP(G146,'Facture GLS'!AB:AB,'Facture GLS'!O:O)</f>
        <v>BY FOUTAS</v>
      </c>
      <c r="B146" t="str">
        <f t="shared" si="6"/>
        <v>GLS</v>
      </c>
      <c r="C146" s="2">
        <f t="shared" si="7"/>
        <v>46174</v>
      </c>
      <c r="G146" t="str">
        <f>TCD!D147</f>
        <v>00KZZJTQ</v>
      </c>
      <c r="I146" t="s">
        <v>104</v>
      </c>
      <c r="J146" t="str">
        <f>_xlfn.XLOOKUP(G146,'Facture GLS'!AB:AB,'Facture GLS'!BB:BB)</f>
        <v>FR</v>
      </c>
      <c r="K146" t="str">
        <f>IF(COUNTIF(Zoning!A:A,J146)=0,"pays inconnu",LOOKUP(J146,Zoning!A:A,Zoning!B:B))</f>
        <v>France</v>
      </c>
      <c r="L146">
        <f t="shared" si="8"/>
        <v>1</v>
      </c>
      <c r="M146">
        <f>_xlfn.XLOOKUP(G146,Poids!A:A,Poids!C:C)</f>
        <v>1.2</v>
      </c>
      <c r="N146" t="str">
        <f>IF(COUNTIF(Zoning!A:A,J146)=0,"zone inconnue","France")</f>
        <v>France</v>
      </c>
      <c r="O146">
        <f>IF(COUNTIF(Zoning!A:A,J146)=0,"taux inconnu",_xlfn.XLOOKUP(J146,Zoning!A:A,Zoning!C:C))</f>
        <v>0.2</v>
      </c>
      <c r="R146" t="str">
        <f>IF(TCD!K147="","",TCD!K147)</f>
        <v/>
      </c>
      <c r="S146" t="str">
        <f>IF(TCD!F147="","",TCD!F147)</f>
        <v/>
      </c>
      <c r="T146" t="str">
        <f>IF(TCD!E147="","",TCD!E147)</f>
        <v/>
      </c>
      <c r="U146">
        <f>SUM(TCD!H147:J147)</f>
        <v>5.4700000000000006</v>
      </c>
    </row>
    <row r="147" spans="1:21" x14ac:dyDescent="0.25">
      <c r="A147" s="1" t="str">
        <f>_xlfn.XLOOKUP(G147,'Facture GLS'!AB:AB,'Facture GLS'!O:O)</f>
        <v>BY FOUTAS</v>
      </c>
      <c r="B147" t="str">
        <f t="shared" si="6"/>
        <v>GLS</v>
      </c>
      <c r="C147" s="2">
        <f t="shared" si="7"/>
        <v>46174</v>
      </c>
      <c r="G147" t="str">
        <f>TCD!D148</f>
        <v>00KZZJTR</v>
      </c>
      <c r="I147" t="s">
        <v>104</v>
      </c>
      <c r="J147" t="str">
        <f>_xlfn.XLOOKUP(G147,'Facture GLS'!AB:AB,'Facture GLS'!BB:BB)</f>
        <v>FR</v>
      </c>
      <c r="K147" t="str">
        <f>IF(COUNTIF(Zoning!A:A,J147)=0,"pays inconnu",LOOKUP(J147,Zoning!A:A,Zoning!B:B))</f>
        <v>France</v>
      </c>
      <c r="L147">
        <f t="shared" si="8"/>
        <v>1</v>
      </c>
      <c r="M147">
        <f>_xlfn.XLOOKUP(G147,Poids!A:A,Poids!C:C)</f>
        <v>2</v>
      </c>
      <c r="N147" t="str">
        <f>IF(COUNTIF(Zoning!A:A,J147)=0,"zone inconnue","France")</f>
        <v>France</v>
      </c>
      <c r="O147">
        <f>IF(COUNTIF(Zoning!A:A,J147)=0,"taux inconnu",_xlfn.XLOOKUP(J147,Zoning!A:A,Zoning!C:C))</f>
        <v>0.2</v>
      </c>
      <c r="R147" t="str">
        <f>IF(TCD!K148="","",TCD!K148)</f>
        <v/>
      </c>
      <c r="S147" t="str">
        <f>IF(TCD!F148="","",TCD!F148)</f>
        <v/>
      </c>
      <c r="T147" t="str">
        <f>IF(TCD!E148="","",TCD!E148)</f>
        <v/>
      </c>
      <c r="U147">
        <f>SUM(TCD!H148:J148)</f>
        <v>5.4700000000000006</v>
      </c>
    </row>
    <row r="148" spans="1:21" x14ac:dyDescent="0.25">
      <c r="A148" s="1" t="str">
        <f>_xlfn.XLOOKUP(G148,'Facture GLS'!AB:AB,'Facture GLS'!O:O)</f>
        <v>BY FOUTAS</v>
      </c>
      <c r="B148" t="str">
        <f t="shared" si="6"/>
        <v>GLS</v>
      </c>
      <c r="C148" s="2">
        <f t="shared" si="7"/>
        <v>46174</v>
      </c>
      <c r="G148" t="str">
        <f>TCD!D149</f>
        <v>00KZZJTS</v>
      </c>
      <c r="I148" t="s">
        <v>104</v>
      </c>
      <c r="J148" t="str">
        <f>_xlfn.XLOOKUP(G148,'Facture GLS'!AB:AB,'Facture GLS'!BB:BB)</f>
        <v>FR</v>
      </c>
      <c r="K148" t="str">
        <f>IF(COUNTIF(Zoning!A:A,J148)=0,"pays inconnu",LOOKUP(J148,Zoning!A:A,Zoning!B:B))</f>
        <v>France</v>
      </c>
      <c r="L148">
        <f t="shared" si="8"/>
        <v>1</v>
      </c>
      <c r="M148">
        <f>_xlfn.XLOOKUP(G148,Poids!A:A,Poids!C:C)</f>
        <v>0.5</v>
      </c>
      <c r="N148" t="str">
        <f>IF(COUNTIF(Zoning!A:A,J148)=0,"zone inconnue","France")</f>
        <v>France</v>
      </c>
      <c r="O148">
        <f>IF(COUNTIF(Zoning!A:A,J148)=0,"taux inconnu",_xlfn.XLOOKUP(J148,Zoning!A:A,Zoning!C:C))</f>
        <v>0.2</v>
      </c>
      <c r="R148" t="str">
        <f>IF(TCD!K149="","",TCD!K149)</f>
        <v/>
      </c>
      <c r="S148" t="str">
        <f>IF(TCD!F149="","",TCD!F149)</f>
        <v/>
      </c>
      <c r="T148" t="str">
        <f>IF(TCD!E149="","",TCD!E149)</f>
        <v/>
      </c>
      <c r="U148">
        <f>SUM(TCD!H149:J149)</f>
        <v>4.82</v>
      </c>
    </row>
    <row r="149" spans="1:21" x14ac:dyDescent="0.25">
      <c r="A149" s="1" t="str">
        <f>_xlfn.XLOOKUP(G149,'Facture GLS'!AB:AB,'Facture GLS'!O:O)</f>
        <v>BY FOUTAS</v>
      </c>
      <c r="B149" t="str">
        <f t="shared" si="6"/>
        <v>GLS</v>
      </c>
      <c r="C149" s="2">
        <f t="shared" si="7"/>
        <v>46174</v>
      </c>
      <c r="G149" t="str">
        <f>TCD!D150</f>
        <v>00KZZJTT</v>
      </c>
      <c r="I149" t="s">
        <v>104</v>
      </c>
      <c r="J149" t="str">
        <f>_xlfn.XLOOKUP(G149,'Facture GLS'!AB:AB,'Facture GLS'!BB:BB)</f>
        <v>FR</v>
      </c>
      <c r="K149" t="str">
        <f>IF(COUNTIF(Zoning!A:A,J149)=0,"pays inconnu",LOOKUP(J149,Zoning!A:A,Zoning!B:B))</f>
        <v>France</v>
      </c>
      <c r="L149">
        <f t="shared" si="8"/>
        <v>1</v>
      </c>
      <c r="M149">
        <f>_xlfn.XLOOKUP(G149,Poids!A:A,Poids!C:C)</f>
        <v>1.6</v>
      </c>
      <c r="N149" t="str">
        <f>IF(COUNTIF(Zoning!A:A,J149)=0,"zone inconnue","France")</f>
        <v>France</v>
      </c>
      <c r="O149">
        <f>IF(COUNTIF(Zoning!A:A,J149)=0,"taux inconnu",_xlfn.XLOOKUP(J149,Zoning!A:A,Zoning!C:C))</f>
        <v>0.2</v>
      </c>
      <c r="R149" t="str">
        <f>IF(TCD!K150="","",TCD!K150)</f>
        <v/>
      </c>
      <c r="S149" t="str">
        <f>IF(TCD!F150="","",TCD!F150)</f>
        <v/>
      </c>
      <c r="T149" t="str">
        <f>IF(TCD!E150="","",TCD!E150)</f>
        <v/>
      </c>
      <c r="U149">
        <f>SUM(TCD!H150:J150)</f>
        <v>5.4700000000000006</v>
      </c>
    </row>
    <row r="150" spans="1:21" x14ac:dyDescent="0.25">
      <c r="A150" s="1" t="str">
        <f>_xlfn.XLOOKUP(G150,'Facture GLS'!AB:AB,'Facture GLS'!O:O)</f>
        <v>BY FOUTAS</v>
      </c>
      <c r="B150" t="str">
        <f t="shared" si="6"/>
        <v>GLS</v>
      </c>
      <c r="C150" s="2">
        <f t="shared" si="7"/>
        <v>46174</v>
      </c>
      <c r="G150" t="str">
        <f>TCD!D151</f>
        <v>00KZZJTU</v>
      </c>
      <c r="I150" t="s">
        <v>104</v>
      </c>
      <c r="J150" t="str">
        <f>_xlfn.XLOOKUP(G150,'Facture GLS'!AB:AB,'Facture GLS'!BB:BB)</f>
        <v>FR</v>
      </c>
      <c r="K150" t="str">
        <f>IF(COUNTIF(Zoning!A:A,J150)=0,"pays inconnu",LOOKUP(J150,Zoning!A:A,Zoning!B:B))</f>
        <v>France</v>
      </c>
      <c r="L150">
        <f t="shared" si="8"/>
        <v>1</v>
      </c>
      <c r="M150">
        <f>_xlfn.XLOOKUP(G150,Poids!A:A,Poids!C:C)</f>
        <v>2.3000000000000003</v>
      </c>
      <c r="N150" t="str">
        <f>IF(COUNTIF(Zoning!A:A,J150)=0,"zone inconnue","France")</f>
        <v>France</v>
      </c>
      <c r="O150">
        <f>IF(COUNTIF(Zoning!A:A,J150)=0,"taux inconnu",_xlfn.XLOOKUP(J150,Zoning!A:A,Zoning!C:C))</f>
        <v>0.2</v>
      </c>
      <c r="R150" t="str">
        <f>IF(TCD!K151="","",TCD!K151)</f>
        <v/>
      </c>
      <c r="S150" t="str">
        <f>IF(TCD!F151="","",TCD!F151)</f>
        <v/>
      </c>
      <c r="T150" t="str">
        <f>IF(TCD!E151="","",TCD!E151)</f>
        <v/>
      </c>
      <c r="U150">
        <f>SUM(TCD!H151:J151)</f>
        <v>5.7900000000000009</v>
      </c>
    </row>
    <row r="151" spans="1:21" x14ac:dyDescent="0.25">
      <c r="A151" s="1" t="str">
        <f>_xlfn.XLOOKUP(G151,'Facture GLS'!AB:AB,'Facture GLS'!O:O)</f>
        <v>BY FOUTAS</v>
      </c>
      <c r="B151" t="str">
        <f t="shared" si="6"/>
        <v>GLS</v>
      </c>
      <c r="C151" s="2">
        <f t="shared" si="7"/>
        <v>46174</v>
      </c>
      <c r="G151" t="str">
        <f>TCD!D152</f>
        <v>00KZZJTV</v>
      </c>
      <c r="I151" t="s">
        <v>104</v>
      </c>
      <c r="J151" t="str">
        <f>_xlfn.XLOOKUP(G151,'Facture GLS'!AB:AB,'Facture GLS'!BB:BB)</f>
        <v>FR</v>
      </c>
      <c r="K151" t="str">
        <f>IF(COUNTIF(Zoning!A:A,J151)=0,"pays inconnu",LOOKUP(J151,Zoning!A:A,Zoning!B:B))</f>
        <v>France</v>
      </c>
      <c r="L151">
        <f t="shared" si="8"/>
        <v>1</v>
      </c>
      <c r="M151">
        <f>_xlfn.XLOOKUP(G151,Poids!A:A,Poids!C:C)</f>
        <v>2.2999999999999998</v>
      </c>
      <c r="N151" t="str">
        <f>IF(COUNTIF(Zoning!A:A,J151)=0,"zone inconnue","France")</f>
        <v>France</v>
      </c>
      <c r="O151">
        <f>IF(COUNTIF(Zoning!A:A,J151)=0,"taux inconnu",_xlfn.XLOOKUP(J151,Zoning!A:A,Zoning!C:C))</f>
        <v>0.2</v>
      </c>
      <c r="R151" t="str">
        <f>IF(TCD!K152="","",TCD!K152)</f>
        <v/>
      </c>
      <c r="S151" t="str">
        <f>IF(TCD!F152="","",TCD!F152)</f>
        <v/>
      </c>
      <c r="T151" t="str">
        <f>IF(TCD!E152="","",TCD!E152)</f>
        <v/>
      </c>
      <c r="U151">
        <f>SUM(TCD!H152:J152)</f>
        <v>5.7900000000000009</v>
      </c>
    </row>
    <row r="152" spans="1:21" x14ac:dyDescent="0.25">
      <c r="A152" s="1" t="str">
        <f>_xlfn.XLOOKUP(G152,'Facture GLS'!AB:AB,'Facture GLS'!O:O)</f>
        <v>BY FOUTAS</v>
      </c>
      <c r="B152" t="str">
        <f t="shared" si="6"/>
        <v>GLS</v>
      </c>
      <c r="C152" s="2">
        <f t="shared" si="7"/>
        <v>46174</v>
      </c>
      <c r="G152" t="str">
        <f>TCD!D153</f>
        <v>00KZZJTW</v>
      </c>
      <c r="I152" t="s">
        <v>104</v>
      </c>
      <c r="J152" t="str">
        <f>_xlfn.XLOOKUP(G152,'Facture GLS'!AB:AB,'Facture GLS'!BB:BB)</f>
        <v>FR</v>
      </c>
      <c r="K152" t="str">
        <f>IF(COUNTIF(Zoning!A:A,J152)=0,"pays inconnu",LOOKUP(J152,Zoning!A:A,Zoning!B:B))</f>
        <v>France</v>
      </c>
      <c r="L152">
        <f t="shared" si="8"/>
        <v>1</v>
      </c>
      <c r="M152">
        <f>_xlfn.XLOOKUP(G152,Poids!A:A,Poids!C:C)</f>
        <v>1.4000000000000001</v>
      </c>
      <c r="N152" t="str">
        <f>IF(COUNTIF(Zoning!A:A,J152)=0,"zone inconnue","France")</f>
        <v>France</v>
      </c>
      <c r="O152">
        <f>IF(COUNTIF(Zoning!A:A,J152)=0,"taux inconnu",_xlfn.XLOOKUP(J152,Zoning!A:A,Zoning!C:C))</f>
        <v>0.2</v>
      </c>
      <c r="R152" t="str">
        <f>IF(TCD!K153="","",TCD!K153)</f>
        <v/>
      </c>
      <c r="S152" t="str">
        <f>IF(TCD!F153="","",TCD!F153)</f>
        <v/>
      </c>
      <c r="T152" t="str">
        <f>IF(TCD!E153="","",TCD!E153)</f>
        <v/>
      </c>
      <c r="U152">
        <f>SUM(TCD!H153:J153)</f>
        <v>5.4700000000000006</v>
      </c>
    </row>
    <row r="153" spans="1:21" x14ac:dyDescent="0.25">
      <c r="A153" s="1" t="str">
        <f>_xlfn.XLOOKUP(G153,'Facture GLS'!AB:AB,'Facture GLS'!O:O)</f>
        <v>BY FOUTAS</v>
      </c>
      <c r="B153" t="str">
        <f t="shared" si="6"/>
        <v>GLS</v>
      </c>
      <c r="C153" s="2">
        <f t="shared" si="7"/>
        <v>46174</v>
      </c>
      <c r="G153" t="str">
        <f>TCD!D154</f>
        <v>00KZZJTX</v>
      </c>
      <c r="I153" t="s">
        <v>104</v>
      </c>
      <c r="J153" t="str">
        <f>_xlfn.XLOOKUP(G153,'Facture GLS'!AB:AB,'Facture GLS'!BB:BB)</f>
        <v>FR</v>
      </c>
      <c r="K153" t="str">
        <f>IF(COUNTIF(Zoning!A:A,J153)=0,"pays inconnu",LOOKUP(J153,Zoning!A:A,Zoning!B:B))</f>
        <v>France</v>
      </c>
      <c r="L153">
        <f t="shared" si="8"/>
        <v>1</v>
      </c>
      <c r="M153">
        <f>_xlfn.XLOOKUP(G153,Poids!A:A,Poids!C:C)</f>
        <v>0.5</v>
      </c>
      <c r="N153" t="str">
        <f>IF(COUNTIF(Zoning!A:A,J153)=0,"zone inconnue","France")</f>
        <v>France</v>
      </c>
      <c r="O153">
        <f>IF(COUNTIF(Zoning!A:A,J153)=0,"taux inconnu",_xlfn.XLOOKUP(J153,Zoning!A:A,Zoning!C:C))</f>
        <v>0.2</v>
      </c>
      <c r="R153" t="str">
        <f>IF(TCD!K154="","",TCD!K154)</f>
        <v/>
      </c>
      <c r="S153" t="str">
        <f>IF(TCD!F154="","",TCD!F154)</f>
        <v/>
      </c>
      <c r="T153" t="str">
        <f>IF(TCD!E154="","",TCD!E154)</f>
        <v/>
      </c>
      <c r="U153">
        <f>SUM(TCD!H154:J154)</f>
        <v>4.82</v>
      </c>
    </row>
    <row r="154" spans="1:21" x14ac:dyDescent="0.25">
      <c r="A154" s="1" t="str">
        <f>_xlfn.XLOOKUP(G154,'Facture GLS'!AB:AB,'Facture GLS'!O:O)</f>
        <v>BY FOUTAS</v>
      </c>
      <c r="B154" t="str">
        <f t="shared" si="6"/>
        <v>GLS</v>
      </c>
      <c r="C154" s="2">
        <f t="shared" si="7"/>
        <v>46174</v>
      </c>
      <c r="G154" t="str">
        <f>TCD!D155</f>
        <v>00KZZJTY</v>
      </c>
      <c r="I154" t="s">
        <v>104</v>
      </c>
      <c r="J154" t="str">
        <f>_xlfn.XLOOKUP(G154,'Facture GLS'!AB:AB,'Facture GLS'!BB:BB)</f>
        <v>FR</v>
      </c>
      <c r="K154" t="str">
        <f>IF(COUNTIF(Zoning!A:A,J154)=0,"pays inconnu",LOOKUP(J154,Zoning!A:A,Zoning!B:B))</f>
        <v>France</v>
      </c>
      <c r="L154">
        <f t="shared" si="8"/>
        <v>1</v>
      </c>
      <c r="M154">
        <f>_xlfn.XLOOKUP(G154,Poids!A:A,Poids!C:C)</f>
        <v>0.5</v>
      </c>
      <c r="N154" t="str">
        <f>IF(COUNTIF(Zoning!A:A,J154)=0,"zone inconnue","France")</f>
        <v>France</v>
      </c>
      <c r="O154">
        <f>IF(COUNTIF(Zoning!A:A,J154)=0,"taux inconnu",_xlfn.XLOOKUP(J154,Zoning!A:A,Zoning!C:C))</f>
        <v>0.2</v>
      </c>
      <c r="R154" t="str">
        <f>IF(TCD!K155="","",TCD!K155)</f>
        <v/>
      </c>
      <c r="S154" t="str">
        <f>IF(TCD!F155="","",TCD!F155)</f>
        <v/>
      </c>
      <c r="T154" t="str">
        <f>IF(TCD!E155="","",TCD!E155)</f>
        <v/>
      </c>
      <c r="U154">
        <f>SUM(TCD!H155:J155)</f>
        <v>4.82</v>
      </c>
    </row>
    <row r="155" spans="1:21" x14ac:dyDescent="0.25">
      <c r="A155" s="1" t="str">
        <f>_xlfn.XLOOKUP(G155,'Facture GLS'!AB:AB,'Facture GLS'!O:O)</f>
        <v>BY FOUTAS</v>
      </c>
      <c r="B155" t="str">
        <f t="shared" si="6"/>
        <v>GLS</v>
      </c>
      <c r="C155" s="2">
        <f t="shared" si="7"/>
        <v>46174</v>
      </c>
      <c r="G155" t="str">
        <f>TCD!D156</f>
        <v>00KZZJTZ</v>
      </c>
      <c r="I155" t="s">
        <v>104</v>
      </c>
      <c r="J155" t="str">
        <f>_xlfn.XLOOKUP(G155,'Facture GLS'!AB:AB,'Facture GLS'!BB:BB)</f>
        <v>FR</v>
      </c>
      <c r="K155" t="str">
        <f>IF(COUNTIF(Zoning!A:A,J155)=0,"pays inconnu",LOOKUP(J155,Zoning!A:A,Zoning!B:B))</f>
        <v>France</v>
      </c>
      <c r="L155">
        <f t="shared" si="8"/>
        <v>1</v>
      </c>
      <c r="M155">
        <f>_xlfn.XLOOKUP(G155,Poids!A:A,Poids!C:C)</f>
        <v>1.2000000000000002</v>
      </c>
      <c r="N155" t="str">
        <f>IF(COUNTIF(Zoning!A:A,J155)=0,"zone inconnue","France")</f>
        <v>France</v>
      </c>
      <c r="O155">
        <f>IF(COUNTIF(Zoning!A:A,J155)=0,"taux inconnu",_xlfn.XLOOKUP(J155,Zoning!A:A,Zoning!C:C))</f>
        <v>0.2</v>
      </c>
      <c r="R155" t="str">
        <f>IF(TCD!K156="","",TCD!K156)</f>
        <v/>
      </c>
      <c r="S155" t="str">
        <f>IF(TCD!F156="","",TCD!F156)</f>
        <v/>
      </c>
      <c r="T155" t="str">
        <f>IF(TCD!E156="","",TCD!E156)</f>
        <v/>
      </c>
      <c r="U155">
        <f>SUM(TCD!H156:J156)</f>
        <v>5.4700000000000006</v>
      </c>
    </row>
    <row r="156" spans="1:21" x14ac:dyDescent="0.25">
      <c r="A156" s="1" t="str">
        <f>_xlfn.XLOOKUP(G156,'Facture GLS'!AB:AB,'Facture GLS'!O:O)</f>
        <v>BY FOUTAS</v>
      </c>
      <c r="B156" t="str">
        <f t="shared" si="6"/>
        <v>GLS</v>
      </c>
      <c r="C156" s="2">
        <f t="shared" si="7"/>
        <v>46174</v>
      </c>
      <c r="G156" t="str">
        <f>TCD!D157</f>
        <v>00KZZJU0</v>
      </c>
      <c r="I156" t="s">
        <v>104</v>
      </c>
      <c r="J156" t="str">
        <f>_xlfn.XLOOKUP(G156,'Facture GLS'!AB:AB,'Facture GLS'!BB:BB)</f>
        <v>FR</v>
      </c>
      <c r="K156" t="str">
        <f>IF(COUNTIF(Zoning!A:A,J156)=0,"pays inconnu",LOOKUP(J156,Zoning!A:A,Zoning!B:B))</f>
        <v>France</v>
      </c>
      <c r="L156">
        <f t="shared" si="8"/>
        <v>1</v>
      </c>
      <c r="M156">
        <f>_xlfn.XLOOKUP(G156,Poids!A:A,Poids!C:C)</f>
        <v>4.8</v>
      </c>
      <c r="N156" t="str">
        <f>IF(COUNTIF(Zoning!A:A,J156)=0,"zone inconnue","France")</f>
        <v>France</v>
      </c>
      <c r="O156">
        <f>IF(COUNTIF(Zoning!A:A,J156)=0,"taux inconnu",_xlfn.XLOOKUP(J156,Zoning!A:A,Zoning!C:C))</f>
        <v>0.2</v>
      </c>
      <c r="R156" t="str">
        <f>IF(TCD!K157="","",TCD!K157)</f>
        <v/>
      </c>
      <c r="S156" t="str">
        <f>IF(TCD!F157="","",TCD!F157)</f>
        <v/>
      </c>
      <c r="T156" t="str">
        <f>IF(TCD!E157="","",TCD!E157)</f>
        <v/>
      </c>
      <c r="U156">
        <f>SUM(TCD!H157:J157)</f>
        <v>6.910000000000001</v>
      </c>
    </row>
    <row r="157" spans="1:21" x14ac:dyDescent="0.25">
      <c r="A157" s="1" t="str">
        <f>_xlfn.XLOOKUP(G157,'Facture GLS'!AB:AB,'Facture GLS'!O:O)</f>
        <v>BY FOUTAS</v>
      </c>
      <c r="B157" t="str">
        <f t="shared" si="6"/>
        <v>GLS</v>
      </c>
      <c r="C157" s="2">
        <f t="shared" si="7"/>
        <v>46174</v>
      </c>
      <c r="G157" t="str">
        <f>TCD!D158</f>
        <v>00KZZJU1</v>
      </c>
      <c r="I157" t="s">
        <v>104</v>
      </c>
      <c r="J157" t="str">
        <f>_xlfn.XLOOKUP(G157,'Facture GLS'!AB:AB,'Facture GLS'!BB:BB)</f>
        <v>FR</v>
      </c>
      <c r="K157" t="str">
        <f>IF(COUNTIF(Zoning!A:A,J157)=0,"pays inconnu",LOOKUP(J157,Zoning!A:A,Zoning!B:B))</f>
        <v>France</v>
      </c>
      <c r="L157">
        <f t="shared" si="8"/>
        <v>1</v>
      </c>
      <c r="M157">
        <f>_xlfn.XLOOKUP(G157,Poids!A:A,Poids!C:C)</f>
        <v>1.2</v>
      </c>
      <c r="N157" t="str">
        <f>IF(COUNTIF(Zoning!A:A,J157)=0,"zone inconnue","France")</f>
        <v>France</v>
      </c>
      <c r="O157">
        <f>IF(COUNTIF(Zoning!A:A,J157)=0,"taux inconnu",_xlfn.XLOOKUP(J157,Zoning!A:A,Zoning!C:C))</f>
        <v>0.2</v>
      </c>
      <c r="R157" t="str">
        <f>IF(TCD!K158="","",TCD!K158)</f>
        <v/>
      </c>
      <c r="S157" t="str">
        <f>IF(TCD!F158="","",TCD!F158)</f>
        <v/>
      </c>
      <c r="T157" t="str">
        <f>IF(TCD!E158="","",TCD!E158)</f>
        <v/>
      </c>
      <c r="U157">
        <f>SUM(TCD!H158:J158)</f>
        <v>5.4700000000000006</v>
      </c>
    </row>
    <row r="158" spans="1:21" x14ac:dyDescent="0.25">
      <c r="A158" s="1" t="str">
        <f>_xlfn.XLOOKUP(G158,'Facture GLS'!AB:AB,'Facture GLS'!O:O)</f>
        <v>BY FOUTAS</v>
      </c>
      <c r="B158" t="str">
        <f t="shared" si="6"/>
        <v>GLS</v>
      </c>
      <c r="C158" s="2">
        <f t="shared" si="7"/>
        <v>46174</v>
      </c>
      <c r="G158" t="str">
        <f>TCD!D159</f>
        <v>00KZZJU2</v>
      </c>
      <c r="I158" t="s">
        <v>104</v>
      </c>
      <c r="J158" t="str">
        <f>_xlfn.XLOOKUP(G158,'Facture GLS'!AB:AB,'Facture GLS'!BB:BB)</f>
        <v>FR</v>
      </c>
      <c r="K158" t="str">
        <f>IF(COUNTIF(Zoning!A:A,J158)=0,"pays inconnu",LOOKUP(J158,Zoning!A:A,Zoning!B:B))</f>
        <v>France</v>
      </c>
      <c r="L158">
        <f t="shared" si="8"/>
        <v>1</v>
      </c>
      <c r="M158">
        <f>_xlfn.XLOOKUP(G158,Poids!A:A,Poids!C:C)</f>
        <v>0.9</v>
      </c>
      <c r="N158" t="str">
        <f>IF(COUNTIF(Zoning!A:A,J158)=0,"zone inconnue","France")</f>
        <v>France</v>
      </c>
      <c r="O158">
        <f>IF(COUNTIF(Zoning!A:A,J158)=0,"taux inconnu",_xlfn.XLOOKUP(J158,Zoning!A:A,Zoning!C:C))</f>
        <v>0.2</v>
      </c>
      <c r="R158" t="str">
        <f>IF(TCD!K159="","",TCD!K159)</f>
        <v/>
      </c>
      <c r="S158" t="str">
        <f>IF(TCD!F159="","",TCD!F159)</f>
        <v/>
      </c>
      <c r="T158" t="str">
        <f>IF(TCD!E159="","",TCD!E159)</f>
        <v/>
      </c>
      <c r="U158">
        <f>SUM(TCD!H159:J159)</f>
        <v>5.15</v>
      </c>
    </row>
    <row r="159" spans="1:21" x14ac:dyDescent="0.25">
      <c r="A159" s="1" t="str">
        <f>_xlfn.XLOOKUP(G159,'Facture GLS'!AB:AB,'Facture GLS'!O:O)</f>
        <v>BY FOUTAS</v>
      </c>
      <c r="B159" t="str">
        <f t="shared" si="6"/>
        <v>GLS</v>
      </c>
      <c r="C159" s="2">
        <f t="shared" si="7"/>
        <v>46174</v>
      </c>
      <c r="G159" t="str">
        <f>TCD!D160</f>
        <v>00KZZJU3</v>
      </c>
      <c r="I159" t="s">
        <v>104</v>
      </c>
      <c r="J159" t="str">
        <f>_xlfn.XLOOKUP(G159,'Facture GLS'!AB:AB,'Facture GLS'!BB:BB)</f>
        <v>FR</v>
      </c>
      <c r="K159" t="str">
        <f>IF(COUNTIF(Zoning!A:A,J159)=0,"pays inconnu",LOOKUP(J159,Zoning!A:A,Zoning!B:B))</f>
        <v>France</v>
      </c>
      <c r="L159">
        <f t="shared" si="8"/>
        <v>1</v>
      </c>
      <c r="M159">
        <f>_xlfn.XLOOKUP(G159,Poids!A:A,Poids!C:C)</f>
        <v>1.7000000000000002</v>
      </c>
      <c r="N159" t="str">
        <f>IF(COUNTIF(Zoning!A:A,J159)=0,"zone inconnue","France")</f>
        <v>France</v>
      </c>
      <c r="O159">
        <f>IF(COUNTIF(Zoning!A:A,J159)=0,"taux inconnu",_xlfn.XLOOKUP(J159,Zoning!A:A,Zoning!C:C))</f>
        <v>0.2</v>
      </c>
      <c r="R159" t="str">
        <f>IF(TCD!K160="","",TCD!K160)</f>
        <v/>
      </c>
      <c r="S159" t="str">
        <f>IF(TCD!F160="","",TCD!F160)</f>
        <v/>
      </c>
      <c r="T159" t="str">
        <f>IF(TCD!E160="","",TCD!E160)</f>
        <v/>
      </c>
      <c r="U159">
        <f>SUM(TCD!H160:J160)</f>
        <v>5.4700000000000006</v>
      </c>
    </row>
    <row r="160" spans="1:21" x14ac:dyDescent="0.25">
      <c r="A160" s="1" t="str">
        <f>_xlfn.XLOOKUP(G160,'Facture GLS'!AB:AB,'Facture GLS'!O:O)</f>
        <v>BY FOUTAS</v>
      </c>
      <c r="B160" t="str">
        <f t="shared" si="6"/>
        <v>GLS</v>
      </c>
      <c r="C160" s="2">
        <f t="shared" si="7"/>
        <v>46174</v>
      </c>
      <c r="G160" t="str">
        <f>TCD!D161</f>
        <v>00KZZJU4</v>
      </c>
      <c r="I160" t="s">
        <v>104</v>
      </c>
      <c r="J160" t="str">
        <f>_xlfn.XLOOKUP(G160,'Facture GLS'!AB:AB,'Facture GLS'!BB:BB)</f>
        <v>FR</v>
      </c>
      <c r="K160" t="str">
        <f>IF(COUNTIF(Zoning!A:A,J160)=0,"pays inconnu",LOOKUP(J160,Zoning!A:A,Zoning!B:B))</f>
        <v>France</v>
      </c>
      <c r="L160">
        <f t="shared" si="8"/>
        <v>1</v>
      </c>
      <c r="M160">
        <f>_xlfn.XLOOKUP(G160,Poids!A:A,Poids!C:C)</f>
        <v>1.2000000000000002</v>
      </c>
      <c r="N160" t="str">
        <f>IF(COUNTIF(Zoning!A:A,J160)=0,"zone inconnue","France")</f>
        <v>France</v>
      </c>
      <c r="O160">
        <f>IF(COUNTIF(Zoning!A:A,J160)=0,"taux inconnu",_xlfn.XLOOKUP(J160,Zoning!A:A,Zoning!C:C))</f>
        <v>0.2</v>
      </c>
      <c r="R160" t="str">
        <f>IF(TCD!K161="","",TCD!K161)</f>
        <v/>
      </c>
      <c r="S160" t="str">
        <f>IF(TCD!F161="","",TCD!F161)</f>
        <v/>
      </c>
      <c r="T160" t="str">
        <f>IF(TCD!E161="","",TCD!E161)</f>
        <v/>
      </c>
      <c r="U160">
        <f>SUM(TCD!H161:J161)</f>
        <v>5.4700000000000006</v>
      </c>
    </row>
    <row r="161" spans="1:21" x14ac:dyDescent="0.25">
      <c r="A161" s="1" t="str">
        <f>_xlfn.XLOOKUP(G161,'Facture GLS'!AB:AB,'Facture GLS'!O:O)</f>
        <v>BY FOUTAS</v>
      </c>
      <c r="B161" t="str">
        <f t="shared" si="6"/>
        <v>GLS</v>
      </c>
      <c r="C161" s="2">
        <f t="shared" si="7"/>
        <v>46174</v>
      </c>
      <c r="G161" t="str">
        <f>TCD!D162</f>
        <v>00KZZJU5</v>
      </c>
      <c r="I161" t="s">
        <v>104</v>
      </c>
      <c r="J161" t="str">
        <f>_xlfn.XLOOKUP(G161,'Facture GLS'!AB:AB,'Facture GLS'!BB:BB)</f>
        <v>FR</v>
      </c>
      <c r="K161" t="str">
        <f>IF(COUNTIF(Zoning!A:A,J161)=0,"pays inconnu",LOOKUP(J161,Zoning!A:A,Zoning!B:B))</f>
        <v>France</v>
      </c>
      <c r="L161">
        <f t="shared" si="8"/>
        <v>1</v>
      </c>
      <c r="M161">
        <f>_xlfn.XLOOKUP(G161,Poids!A:A,Poids!C:C)</f>
        <v>1.6</v>
      </c>
      <c r="N161" t="str">
        <f>IF(COUNTIF(Zoning!A:A,J161)=0,"zone inconnue","France")</f>
        <v>France</v>
      </c>
      <c r="O161">
        <f>IF(COUNTIF(Zoning!A:A,J161)=0,"taux inconnu",_xlfn.XLOOKUP(J161,Zoning!A:A,Zoning!C:C))</f>
        <v>0.2</v>
      </c>
      <c r="R161" t="str">
        <f>IF(TCD!K162="","",TCD!K162)</f>
        <v/>
      </c>
      <c r="S161" t="str">
        <f>IF(TCD!F162="","",TCD!F162)</f>
        <v/>
      </c>
      <c r="T161" t="str">
        <f>IF(TCD!E162="","",TCD!E162)</f>
        <v/>
      </c>
      <c r="U161">
        <f>SUM(TCD!H162:J162)</f>
        <v>5.4700000000000006</v>
      </c>
    </row>
    <row r="162" spans="1:21" x14ac:dyDescent="0.25">
      <c r="A162" s="1" t="str">
        <f>_xlfn.XLOOKUP(G162,'Facture GLS'!AB:AB,'Facture GLS'!O:O)</f>
        <v>BY FOUTAS</v>
      </c>
      <c r="B162" t="str">
        <f t="shared" si="6"/>
        <v>GLS</v>
      </c>
      <c r="C162" s="2">
        <f t="shared" si="7"/>
        <v>46174</v>
      </c>
      <c r="G162" t="str">
        <f>TCD!D163</f>
        <v>00KZZJU6</v>
      </c>
      <c r="I162" t="s">
        <v>104</v>
      </c>
      <c r="J162" t="str">
        <f>_xlfn.XLOOKUP(G162,'Facture GLS'!AB:AB,'Facture GLS'!BB:BB)</f>
        <v>FR</v>
      </c>
      <c r="K162" t="str">
        <f>IF(COUNTIF(Zoning!A:A,J162)=0,"pays inconnu",LOOKUP(J162,Zoning!A:A,Zoning!B:B))</f>
        <v>France</v>
      </c>
      <c r="L162">
        <f t="shared" si="8"/>
        <v>1</v>
      </c>
      <c r="M162">
        <f>_xlfn.XLOOKUP(G162,Poids!A:A,Poids!C:C)</f>
        <v>1.2000000000000002</v>
      </c>
      <c r="N162" t="str">
        <f>IF(COUNTIF(Zoning!A:A,J162)=0,"zone inconnue","France")</f>
        <v>France</v>
      </c>
      <c r="O162">
        <f>IF(COUNTIF(Zoning!A:A,J162)=0,"taux inconnu",_xlfn.XLOOKUP(J162,Zoning!A:A,Zoning!C:C))</f>
        <v>0.2</v>
      </c>
      <c r="R162" t="str">
        <f>IF(TCD!K163="","",TCD!K163)</f>
        <v/>
      </c>
      <c r="S162" t="str">
        <f>IF(TCD!F163="","",TCD!F163)</f>
        <v/>
      </c>
      <c r="T162" t="str">
        <f>IF(TCD!E163="","",TCD!E163)</f>
        <v/>
      </c>
      <c r="U162">
        <f>SUM(TCD!H163:J163)</f>
        <v>5.4700000000000006</v>
      </c>
    </row>
    <row r="163" spans="1:21" x14ac:dyDescent="0.25">
      <c r="A163" s="1" t="str">
        <f>_xlfn.XLOOKUP(G163,'Facture GLS'!AB:AB,'Facture GLS'!O:O)</f>
        <v>BY FOUTAS</v>
      </c>
      <c r="B163" t="str">
        <f t="shared" si="6"/>
        <v>GLS</v>
      </c>
      <c r="C163" s="2">
        <f t="shared" si="7"/>
        <v>46174</v>
      </c>
      <c r="G163" t="str">
        <f>TCD!D164</f>
        <v>00KZZJU7</v>
      </c>
      <c r="I163" t="s">
        <v>104</v>
      </c>
      <c r="J163" t="str">
        <f>_xlfn.XLOOKUP(G163,'Facture GLS'!AB:AB,'Facture GLS'!BB:BB)</f>
        <v>FR</v>
      </c>
      <c r="K163" t="str">
        <f>IF(COUNTIF(Zoning!A:A,J163)=0,"pays inconnu",LOOKUP(J163,Zoning!A:A,Zoning!B:B))</f>
        <v>France</v>
      </c>
      <c r="L163">
        <f t="shared" si="8"/>
        <v>1</v>
      </c>
      <c r="M163">
        <f>_xlfn.XLOOKUP(G163,Poids!A:A,Poids!C:C)</f>
        <v>1.2000000000000002</v>
      </c>
      <c r="N163" t="str">
        <f>IF(COUNTIF(Zoning!A:A,J163)=0,"zone inconnue","France")</f>
        <v>France</v>
      </c>
      <c r="O163">
        <f>IF(COUNTIF(Zoning!A:A,J163)=0,"taux inconnu",_xlfn.XLOOKUP(J163,Zoning!A:A,Zoning!C:C))</f>
        <v>0.2</v>
      </c>
      <c r="R163" t="str">
        <f>IF(TCD!K164="","",TCD!K164)</f>
        <v/>
      </c>
      <c r="S163" t="str">
        <f>IF(TCD!F164="","",TCD!F164)</f>
        <v/>
      </c>
      <c r="T163" t="str">
        <f>IF(TCD!E164="","",TCD!E164)</f>
        <v/>
      </c>
      <c r="U163">
        <f>SUM(TCD!H164:J164)</f>
        <v>5.4700000000000006</v>
      </c>
    </row>
    <row r="164" spans="1:21" x14ac:dyDescent="0.25">
      <c r="A164" s="1" t="str">
        <f>_xlfn.XLOOKUP(G164,'Facture GLS'!AB:AB,'Facture GLS'!O:O)</f>
        <v>BY FOUTAS</v>
      </c>
      <c r="B164" t="str">
        <f t="shared" si="6"/>
        <v>GLS</v>
      </c>
      <c r="C164" s="2">
        <f t="shared" si="7"/>
        <v>46174</v>
      </c>
      <c r="G164" t="str">
        <f>TCD!D165</f>
        <v>00KZZJU8</v>
      </c>
      <c r="I164" t="s">
        <v>104</v>
      </c>
      <c r="J164" t="str">
        <f>_xlfn.XLOOKUP(G164,'Facture GLS'!AB:AB,'Facture GLS'!BB:BB)</f>
        <v>FR</v>
      </c>
      <c r="K164" t="str">
        <f>IF(COUNTIF(Zoning!A:A,J164)=0,"pays inconnu",LOOKUP(J164,Zoning!A:A,Zoning!B:B))</f>
        <v>France</v>
      </c>
      <c r="L164">
        <f t="shared" si="8"/>
        <v>1</v>
      </c>
      <c r="M164">
        <f>_xlfn.XLOOKUP(G164,Poids!A:A,Poids!C:C)</f>
        <v>1.6</v>
      </c>
      <c r="N164" t="str">
        <f>IF(COUNTIF(Zoning!A:A,J164)=0,"zone inconnue","France")</f>
        <v>France</v>
      </c>
      <c r="O164">
        <f>IF(COUNTIF(Zoning!A:A,J164)=0,"taux inconnu",_xlfn.XLOOKUP(J164,Zoning!A:A,Zoning!C:C))</f>
        <v>0.2</v>
      </c>
      <c r="R164" t="str">
        <f>IF(TCD!K165="","",TCD!K165)</f>
        <v/>
      </c>
      <c r="S164" t="str">
        <f>IF(TCD!F165="","",TCD!F165)</f>
        <v/>
      </c>
      <c r="T164" t="str">
        <f>IF(TCD!E165="","",TCD!E165)</f>
        <v/>
      </c>
      <c r="U164">
        <f>SUM(TCD!H165:J165)</f>
        <v>5.4700000000000006</v>
      </c>
    </row>
    <row r="165" spans="1:21" x14ac:dyDescent="0.25">
      <c r="A165" s="1" t="str">
        <f>_xlfn.XLOOKUP(G165,'Facture GLS'!AB:AB,'Facture GLS'!O:O)</f>
        <v>BY FOUTAS</v>
      </c>
      <c r="B165" t="str">
        <f t="shared" si="6"/>
        <v>GLS</v>
      </c>
      <c r="C165" s="2">
        <f t="shared" si="7"/>
        <v>46174</v>
      </c>
      <c r="G165" t="str">
        <f>TCD!D166</f>
        <v>00KZZJU9</v>
      </c>
      <c r="I165" t="s">
        <v>104</v>
      </c>
      <c r="J165" t="str">
        <f>_xlfn.XLOOKUP(G165,'Facture GLS'!AB:AB,'Facture GLS'!BB:BB)</f>
        <v>FR</v>
      </c>
      <c r="K165" t="str">
        <f>IF(COUNTIF(Zoning!A:A,J165)=0,"pays inconnu",LOOKUP(J165,Zoning!A:A,Zoning!B:B))</f>
        <v>France</v>
      </c>
      <c r="L165">
        <f t="shared" si="8"/>
        <v>1</v>
      </c>
      <c r="M165">
        <f>_xlfn.XLOOKUP(G165,Poids!A:A,Poids!C:C)</f>
        <v>0.5</v>
      </c>
      <c r="N165" t="str">
        <f>IF(COUNTIF(Zoning!A:A,J165)=0,"zone inconnue","France")</f>
        <v>France</v>
      </c>
      <c r="O165">
        <f>IF(COUNTIF(Zoning!A:A,J165)=0,"taux inconnu",_xlfn.XLOOKUP(J165,Zoning!A:A,Zoning!C:C))</f>
        <v>0.2</v>
      </c>
      <c r="R165" t="str">
        <f>IF(TCD!K166="","",TCD!K166)</f>
        <v/>
      </c>
      <c r="S165" t="str">
        <f>IF(TCD!F166="","",TCD!F166)</f>
        <v/>
      </c>
      <c r="T165" t="str">
        <f>IF(TCD!E166="","",TCD!E166)</f>
        <v/>
      </c>
      <c r="U165">
        <f>SUM(TCD!H166:J166)</f>
        <v>4.82</v>
      </c>
    </row>
    <row r="166" spans="1:21" x14ac:dyDescent="0.25">
      <c r="A166" s="1" t="str">
        <f>_xlfn.XLOOKUP(G166,'Facture GLS'!AB:AB,'Facture GLS'!O:O)</f>
        <v>BY FOUTAS</v>
      </c>
      <c r="B166" t="str">
        <f t="shared" si="6"/>
        <v>GLS</v>
      </c>
      <c r="C166" s="2">
        <f t="shared" si="7"/>
        <v>46174</v>
      </c>
      <c r="G166" t="str">
        <f>TCD!D167</f>
        <v>00KZZJUA</v>
      </c>
      <c r="I166" t="s">
        <v>104</v>
      </c>
      <c r="J166" t="str">
        <f>_xlfn.XLOOKUP(G166,'Facture GLS'!AB:AB,'Facture GLS'!BB:BB)</f>
        <v>FR</v>
      </c>
      <c r="K166" t="str">
        <f>IF(COUNTIF(Zoning!A:A,J166)=0,"pays inconnu",LOOKUP(J166,Zoning!A:A,Zoning!B:B))</f>
        <v>France</v>
      </c>
      <c r="L166">
        <f t="shared" si="8"/>
        <v>1</v>
      </c>
      <c r="M166">
        <f>_xlfn.XLOOKUP(G166,Poids!A:A,Poids!C:C)</f>
        <v>1.6</v>
      </c>
      <c r="N166" t="str">
        <f>IF(COUNTIF(Zoning!A:A,J166)=0,"zone inconnue","France")</f>
        <v>France</v>
      </c>
      <c r="O166">
        <f>IF(COUNTIF(Zoning!A:A,J166)=0,"taux inconnu",_xlfn.XLOOKUP(J166,Zoning!A:A,Zoning!C:C))</f>
        <v>0.2</v>
      </c>
      <c r="R166" t="str">
        <f>IF(TCD!K167="","",TCD!K167)</f>
        <v/>
      </c>
      <c r="S166" t="str">
        <f>IF(TCD!F167="","",TCD!F167)</f>
        <v/>
      </c>
      <c r="T166" t="str">
        <f>IF(TCD!E167="","",TCD!E167)</f>
        <v/>
      </c>
      <c r="U166">
        <f>SUM(TCD!H167:J167)</f>
        <v>5.4700000000000006</v>
      </c>
    </row>
    <row r="167" spans="1:21" x14ac:dyDescent="0.25">
      <c r="A167" s="1" t="str">
        <f>_xlfn.XLOOKUP(G167,'Facture GLS'!AB:AB,'Facture GLS'!O:O)</f>
        <v>BY FOUTAS</v>
      </c>
      <c r="B167" t="str">
        <f t="shared" si="6"/>
        <v>GLS</v>
      </c>
      <c r="C167" s="2">
        <f t="shared" si="7"/>
        <v>46174</v>
      </c>
      <c r="G167" t="str">
        <f>TCD!D168</f>
        <v>00KZZJUB</v>
      </c>
      <c r="I167" t="s">
        <v>104</v>
      </c>
      <c r="J167" t="str">
        <f>_xlfn.XLOOKUP(G167,'Facture GLS'!AB:AB,'Facture GLS'!BB:BB)</f>
        <v>FR</v>
      </c>
      <c r="K167" t="str">
        <f>IF(COUNTIF(Zoning!A:A,J167)=0,"pays inconnu",LOOKUP(J167,Zoning!A:A,Zoning!B:B))</f>
        <v>France</v>
      </c>
      <c r="L167">
        <f t="shared" si="8"/>
        <v>1</v>
      </c>
      <c r="M167">
        <f>_xlfn.XLOOKUP(G167,Poids!A:A,Poids!C:C)</f>
        <v>2.1</v>
      </c>
      <c r="N167" t="str">
        <f>IF(COUNTIF(Zoning!A:A,J167)=0,"zone inconnue","France")</f>
        <v>France</v>
      </c>
      <c r="O167">
        <f>IF(COUNTIF(Zoning!A:A,J167)=0,"taux inconnu",_xlfn.XLOOKUP(J167,Zoning!A:A,Zoning!C:C))</f>
        <v>0.2</v>
      </c>
      <c r="R167" t="str">
        <f>IF(TCD!K168="","",TCD!K168)</f>
        <v/>
      </c>
      <c r="S167" t="str">
        <f>IF(TCD!F168="","",TCD!F168)</f>
        <v/>
      </c>
      <c r="T167" t="str">
        <f>IF(TCD!E168="","",TCD!E168)</f>
        <v/>
      </c>
      <c r="U167">
        <f>SUM(TCD!H168:J168)</f>
        <v>5.7900000000000009</v>
      </c>
    </row>
    <row r="168" spans="1:21" x14ac:dyDescent="0.25">
      <c r="A168" s="1" t="str">
        <f>_xlfn.XLOOKUP(G168,'Facture GLS'!AB:AB,'Facture GLS'!O:O)</f>
        <v>BY FOUTAS</v>
      </c>
      <c r="B168" t="str">
        <f t="shared" si="6"/>
        <v>GLS</v>
      </c>
      <c r="C168" s="2">
        <f t="shared" si="7"/>
        <v>46174</v>
      </c>
      <c r="G168" t="str">
        <f>TCD!D169</f>
        <v>00KZZJUC</v>
      </c>
      <c r="I168" t="s">
        <v>104</v>
      </c>
      <c r="J168" t="str">
        <f>_xlfn.XLOOKUP(G168,'Facture GLS'!AB:AB,'Facture GLS'!BB:BB)</f>
        <v>FR</v>
      </c>
      <c r="K168" t="str">
        <f>IF(COUNTIF(Zoning!A:A,J168)=0,"pays inconnu",LOOKUP(J168,Zoning!A:A,Zoning!B:B))</f>
        <v>France</v>
      </c>
      <c r="L168">
        <f t="shared" si="8"/>
        <v>1</v>
      </c>
      <c r="M168">
        <f>_xlfn.XLOOKUP(G168,Poids!A:A,Poids!C:C)</f>
        <v>3.9</v>
      </c>
      <c r="N168" t="str">
        <f>IF(COUNTIF(Zoning!A:A,J168)=0,"zone inconnue","France")</f>
        <v>France</v>
      </c>
      <c r="O168">
        <f>IF(COUNTIF(Zoning!A:A,J168)=0,"taux inconnu",_xlfn.XLOOKUP(J168,Zoning!A:A,Zoning!C:C))</f>
        <v>0.2</v>
      </c>
      <c r="R168" t="str">
        <f>IF(TCD!K169="","",TCD!K169)</f>
        <v/>
      </c>
      <c r="S168" t="str">
        <f>IF(TCD!F169="","",TCD!F169)</f>
        <v/>
      </c>
      <c r="T168">
        <f>IF(TCD!E169="","",TCD!E169)</f>
        <v>2.36</v>
      </c>
      <c r="U168">
        <f>SUM(TCD!H169:J169)</f>
        <v>6.3500000000000005</v>
      </c>
    </row>
    <row r="169" spans="1:21" x14ac:dyDescent="0.25">
      <c r="A169" s="1" t="str">
        <f>_xlfn.XLOOKUP(G169,'Facture GLS'!AB:AB,'Facture GLS'!O:O)</f>
        <v>BY FOUTAS</v>
      </c>
      <c r="B169" t="str">
        <f t="shared" si="6"/>
        <v>GLS</v>
      </c>
      <c r="C169" s="2">
        <f t="shared" si="7"/>
        <v>46174</v>
      </c>
      <c r="G169" t="str">
        <f>TCD!D170</f>
        <v>00KZZJUD</v>
      </c>
      <c r="I169" t="s">
        <v>104</v>
      </c>
      <c r="J169" t="str">
        <f>_xlfn.XLOOKUP(G169,'Facture GLS'!AB:AB,'Facture GLS'!BB:BB)</f>
        <v>FR</v>
      </c>
      <c r="K169" t="str">
        <f>IF(COUNTIF(Zoning!A:A,J169)=0,"pays inconnu",LOOKUP(J169,Zoning!A:A,Zoning!B:B))</f>
        <v>France</v>
      </c>
      <c r="L169">
        <f t="shared" si="8"/>
        <v>1</v>
      </c>
      <c r="M169">
        <f>_xlfn.XLOOKUP(G169,Poids!A:A,Poids!C:C)</f>
        <v>3.2</v>
      </c>
      <c r="N169" t="str">
        <f>IF(COUNTIF(Zoning!A:A,J169)=0,"zone inconnue","France")</f>
        <v>France</v>
      </c>
      <c r="O169">
        <f>IF(COUNTIF(Zoning!A:A,J169)=0,"taux inconnu",_xlfn.XLOOKUP(J169,Zoning!A:A,Zoning!C:C))</f>
        <v>0.2</v>
      </c>
      <c r="R169" t="str">
        <f>IF(TCD!K170="","",TCD!K170)</f>
        <v/>
      </c>
      <c r="S169" t="str">
        <f>IF(TCD!F170="","",TCD!F170)</f>
        <v/>
      </c>
      <c r="T169" t="str">
        <f>IF(TCD!E170="","",TCD!E170)</f>
        <v/>
      </c>
      <c r="U169">
        <f>SUM(TCD!H170:J170)</f>
        <v>6.3500000000000005</v>
      </c>
    </row>
    <row r="170" spans="1:21" x14ac:dyDescent="0.25">
      <c r="A170" s="1" t="str">
        <f>_xlfn.XLOOKUP(G170,'Facture GLS'!AB:AB,'Facture GLS'!O:O)</f>
        <v>BY FOUTAS</v>
      </c>
      <c r="B170" t="str">
        <f t="shared" si="6"/>
        <v>GLS</v>
      </c>
      <c r="C170" s="2">
        <f t="shared" si="7"/>
        <v>46174</v>
      </c>
      <c r="G170" t="str">
        <f>TCD!D171</f>
        <v>00KZZJUE</v>
      </c>
      <c r="I170" t="s">
        <v>104</v>
      </c>
      <c r="J170" t="str">
        <f>_xlfn.XLOOKUP(G170,'Facture GLS'!AB:AB,'Facture GLS'!BB:BB)</f>
        <v>FR</v>
      </c>
      <c r="K170" t="str">
        <f>IF(COUNTIF(Zoning!A:A,J170)=0,"pays inconnu",LOOKUP(J170,Zoning!A:A,Zoning!B:B))</f>
        <v>France</v>
      </c>
      <c r="L170">
        <f t="shared" si="8"/>
        <v>1</v>
      </c>
      <c r="M170">
        <f>_xlfn.XLOOKUP(G170,Poids!A:A,Poids!C:C)</f>
        <v>0.9</v>
      </c>
      <c r="N170" t="str">
        <f>IF(COUNTIF(Zoning!A:A,J170)=0,"zone inconnue","France")</f>
        <v>France</v>
      </c>
      <c r="O170">
        <f>IF(COUNTIF(Zoning!A:A,J170)=0,"taux inconnu",_xlfn.XLOOKUP(J170,Zoning!A:A,Zoning!C:C))</f>
        <v>0.2</v>
      </c>
      <c r="R170" t="str">
        <f>IF(TCD!K171="","",TCD!K171)</f>
        <v/>
      </c>
      <c r="S170" t="str">
        <f>IF(TCD!F171="","",TCD!F171)</f>
        <v/>
      </c>
      <c r="T170" t="str">
        <f>IF(TCD!E171="","",TCD!E171)</f>
        <v/>
      </c>
      <c r="U170">
        <f>SUM(TCD!H171:J171)</f>
        <v>5.15</v>
      </c>
    </row>
    <row r="171" spans="1:21" x14ac:dyDescent="0.25">
      <c r="A171" s="1" t="str">
        <f>_xlfn.XLOOKUP(G171,'Facture GLS'!AB:AB,'Facture GLS'!O:O)</f>
        <v>BY FOUTAS</v>
      </c>
      <c r="B171" t="str">
        <f t="shared" si="6"/>
        <v>GLS</v>
      </c>
      <c r="C171" s="2">
        <f t="shared" si="7"/>
        <v>46174</v>
      </c>
      <c r="G171" t="str">
        <f>TCD!D172</f>
        <v>00KZZJUF</v>
      </c>
      <c r="I171" t="s">
        <v>104</v>
      </c>
      <c r="J171" t="str">
        <f>_xlfn.XLOOKUP(G171,'Facture GLS'!AB:AB,'Facture GLS'!BB:BB)</f>
        <v>FR</v>
      </c>
      <c r="K171" t="str">
        <f>IF(COUNTIF(Zoning!A:A,J171)=0,"pays inconnu",LOOKUP(J171,Zoning!A:A,Zoning!B:B))</f>
        <v>France</v>
      </c>
      <c r="L171">
        <f t="shared" si="8"/>
        <v>1</v>
      </c>
      <c r="M171">
        <f>_xlfn.XLOOKUP(G171,Poids!A:A,Poids!C:C)</f>
        <v>2</v>
      </c>
      <c r="N171" t="str">
        <f>IF(COUNTIF(Zoning!A:A,J171)=0,"zone inconnue","France")</f>
        <v>France</v>
      </c>
      <c r="O171">
        <f>IF(COUNTIF(Zoning!A:A,J171)=0,"taux inconnu",_xlfn.XLOOKUP(J171,Zoning!A:A,Zoning!C:C))</f>
        <v>0.2</v>
      </c>
      <c r="R171" t="str">
        <f>IF(TCD!K172="","",TCD!K172)</f>
        <v/>
      </c>
      <c r="S171" t="str">
        <f>IF(TCD!F172="","",TCD!F172)</f>
        <v/>
      </c>
      <c r="T171">
        <f>IF(TCD!E172="","",TCD!E172)</f>
        <v>2.36</v>
      </c>
      <c r="U171">
        <f>SUM(TCD!H172:J172)</f>
        <v>5.4700000000000006</v>
      </c>
    </row>
    <row r="172" spans="1:21" x14ac:dyDescent="0.25">
      <c r="A172" s="1" t="str">
        <f>_xlfn.XLOOKUP(G172,'Facture GLS'!AB:AB,'Facture GLS'!O:O)</f>
        <v>BY FOUTAS</v>
      </c>
      <c r="B172" t="str">
        <f t="shared" si="6"/>
        <v>GLS</v>
      </c>
      <c r="C172" s="2">
        <f t="shared" si="7"/>
        <v>46174</v>
      </c>
      <c r="G172" t="str">
        <f>TCD!D173</f>
        <v>00KZZJUG</v>
      </c>
      <c r="I172" t="s">
        <v>104</v>
      </c>
      <c r="J172" t="str">
        <f>_xlfn.XLOOKUP(G172,'Facture GLS'!AB:AB,'Facture GLS'!BB:BB)</f>
        <v>FR</v>
      </c>
      <c r="K172" t="str">
        <f>IF(COUNTIF(Zoning!A:A,J172)=0,"pays inconnu",LOOKUP(J172,Zoning!A:A,Zoning!B:B))</f>
        <v>France</v>
      </c>
      <c r="L172">
        <f t="shared" si="8"/>
        <v>1</v>
      </c>
      <c r="M172">
        <f>_xlfn.XLOOKUP(G172,Poids!A:A,Poids!C:C)</f>
        <v>1.2000000000000002</v>
      </c>
      <c r="N172" t="str">
        <f>IF(COUNTIF(Zoning!A:A,J172)=0,"zone inconnue","France")</f>
        <v>France</v>
      </c>
      <c r="O172">
        <f>IF(COUNTIF(Zoning!A:A,J172)=0,"taux inconnu",_xlfn.XLOOKUP(J172,Zoning!A:A,Zoning!C:C))</f>
        <v>0.2</v>
      </c>
      <c r="R172" t="str">
        <f>IF(TCD!K173="","",TCD!K173)</f>
        <v/>
      </c>
      <c r="S172" t="str">
        <f>IF(TCD!F173="","",TCD!F173)</f>
        <v/>
      </c>
      <c r="T172" t="str">
        <f>IF(TCD!E173="","",TCD!E173)</f>
        <v/>
      </c>
      <c r="U172">
        <f>SUM(TCD!H173:J173)</f>
        <v>5.4700000000000006</v>
      </c>
    </row>
    <row r="173" spans="1:21" x14ac:dyDescent="0.25">
      <c r="A173" s="1" t="str">
        <f>_xlfn.XLOOKUP(G173,'Facture GLS'!AB:AB,'Facture GLS'!O:O)</f>
        <v>BY FOUTAS</v>
      </c>
      <c r="B173" t="str">
        <f t="shared" si="6"/>
        <v>GLS</v>
      </c>
      <c r="C173" s="2">
        <f t="shared" si="7"/>
        <v>46174</v>
      </c>
      <c r="G173" t="str">
        <f>TCD!D174</f>
        <v>00KZZJUH</v>
      </c>
      <c r="I173" t="s">
        <v>104</v>
      </c>
      <c r="J173" t="str">
        <f>_xlfn.XLOOKUP(G173,'Facture GLS'!AB:AB,'Facture GLS'!BB:BB)</f>
        <v>FR</v>
      </c>
      <c r="K173" t="str">
        <f>IF(COUNTIF(Zoning!A:A,J173)=0,"pays inconnu",LOOKUP(J173,Zoning!A:A,Zoning!B:B))</f>
        <v>France</v>
      </c>
      <c r="L173">
        <f t="shared" si="8"/>
        <v>1</v>
      </c>
      <c r="M173">
        <f>_xlfn.XLOOKUP(G173,Poids!A:A,Poids!C:C)</f>
        <v>2</v>
      </c>
      <c r="N173" t="str">
        <f>IF(COUNTIF(Zoning!A:A,J173)=0,"zone inconnue","France")</f>
        <v>France</v>
      </c>
      <c r="O173">
        <f>IF(COUNTIF(Zoning!A:A,J173)=0,"taux inconnu",_xlfn.XLOOKUP(J173,Zoning!A:A,Zoning!C:C))</f>
        <v>0.2</v>
      </c>
      <c r="R173" t="str">
        <f>IF(TCD!K174="","",TCD!K174)</f>
        <v/>
      </c>
      <c r="S173" t="str">
        <f>IF(TCD!F174="","",TCD!F174)</f>
        <v/>
      </c>
      <c r="T173" t="str">
        <f>IF(TCD!E174="","",TCD!E174)</f>
        <v/>
      </c>
      <c r="U173">
        <f>SUM(TCD!H174:J174)</f>
        <v>5.4700000000000006</v>
      </c>
    </row>
    <row r="174" spans="1:21" x14ac:dyDescent="0.25">
      <c r="A174" s="1" t="str">
        <f>_xlfn.XLOOKUP(G174,'Facture GLS'!AB:AB,'Facture GLS'!O:O)</f>
        <v>BY FOUTAS</v>
      </c>
      <c r="B174" t="str">
        <f t="shared" si="6"/>
        <v>GLS</v>
      </c>
      <c r="C174" s="2">
        <f t="shared" si="7"/>
        <v>46174</v>
      </c>
      <c r="G174" t="str">
        <f>TCD!D175</f>
        <v>00KZZJUI</v>
      </c>
      <c r="I174" t="s">
        <v>104</v>
      </c>
      <c r="J174" t="str">
        <f>_xlfn.XLOOKUP(G174,'Facture GLS'!AB:AB,'Facture GLS'!BB:BB)</f>
        <v>FR</v>
      </c>
      <c r="K174" t="str">
        <f>IF(COUNTIF(Zoning!A:A,J174)=0,"pays inconnu",LOOKUP(J174,Zoning!A:A,Zoning!B:B))</f>
        <v>France</v>
      </c>
      <c r="L174">
        <f t="shared" si="8"/>
        <v>1</v>
      </c>
      <c r="M174">
        <f>_xlfn.XLOOKUP(G174,Poids!A:A,Poids!C:C)</f>
        <v>0.5</v>
      </c>
      <c r="N174" t="str">
        <f>IF(COUNTIF(Zoning!A:A,J174)=0,"zone inconnue","France")</f>
        <v>France</v>
      </c>
      <c r="O174">
        <f>IF(COUNTIF(Zoning!A:A,J174)=0,"taux inconnu",_xlfn.XLOOKUP(J174,Zoning!A:A,Zoning!C:C))</f>
        <v>0.2</v>
      </c>
      <c r="R174" t="str">
        <f>IF(TCD!K175="","",TCD!K175)</f>
        <v/>
      </c>
      <c r="S174" t="str">
        <f>IF(TCD!F175="","",TCD!F175)</f>
        <v/>
      </c>
      <c r="T174" t="str">
        <f>IF(TCD!E175="","",TCD!E175)</f>
        <v/>
      </c>
      <c r="U174">
        <f>SUM(TCD!H175:J175)</f>
        <v>4.82</v>
      </c>
    </row>
    <row r="175" spans="1:21" x14ac:dyDescent="0.25">
      <c r="A175" s="1" t="str">
        <f>_xlfn.XLOOKUP(G175,'Facture GLS'!AB:AB,'Facture GLS'!O:O)</f>
        <v>BY FOUTAS</v>
      </c>
      <c r="B175" t="str">
        <f t="shared" si="6"/>
        <v>GLS</v>
      </c>
      <c r="C175" s="2">
        <f t="shared" si="7"/>
        <v>46174</v>
      </c>
      <c r="G175" t="str">
        <f>TCD!D176</f>
        <v>00KZZJUJ</v>
      </c>
      <c r="I175" t="s">
        <v>104</v>
      </c>
      <c r="J175" t="str">
        <f>_xlfn.XLOOKUP(G175,'Facture GLS'!AB:AB,'Facture GLS'!BB:BB)</f>
        <v>FR</v>
      </c>
      <c r="K175" t="str">
        <f>IF(COUNTIF(Zoning!A:A,J175)=0,"pays inconnu",LOOKUP(J175,Zoning!A:A,Zoning!B:B))</f>
        <v>France</v>
      </c>
      <c r="L175">
        <f t="shared" si="8"/>
        <v>1</v>
      </c>
      <c r="M175">
        <f>_xlfn.XLOOKUP(G175,Poids!A:A,Poids!C:C)</f>
        <v>2.5</v>
      </c>
      <c r="N175" t="str">
        <f>IF(COUNTIF(Zoning!A:A,J175)=0,"zone inconnue","France")</f>
        <v>France</v>
      </c>
      <c r="O175">
        <f>IF(COUNTIF(Zoning!A:A,J175)=0,"taux inconnu",_xlfn.XLOOKUP(J175,Zoning!A:A,Zoning!C:C))</f>
        <v>0.2</v>
      </c>
      <c r="R175" t="str">
        <f>IF(TCD!K176="","",TCD!K176)</f>
        <v/>
      </c>
      <c r="S175" t="str">
        <f>IF(TCD!F176="","",TCD!F176)</f>
        <v/>
      </c>
      <c r="T175" t="str">
        <f>IF(TCD!E176="","",TCD!E176)</f>
        <v/>
      </c>
      <c r="U175">
        <f>SUM(TCD!H176:J176)</f>
        <v>5.7900000000000009</v>
      </c>
    </row>
    <row r="176" spans="1:21" x14ac:dyDescent="0.25">
      <c r="A176" s="1" t="str">
        <f>_xlfn.XLOOKUP(G176,'Facture GLS'!AB:AB,'Facture GLS'!O:O)</f>
        <v>BY FOUTAS</v>
      </c>
      <c r="B176" t="str">
        <f t="shared" si="6"/>
        <v>GLS</v>
      </c>
      <c r="C176" s="2">
        <f t="shared" si="7"/>
        <v>46174</v>
      </c>
      <c r="G176" t="str">
        <f>TCD!D177</f>
        <v>00KZZJUK</v>
      </c>
      <c r="I176" t="s">
        <v>104</v>
      </c>
      <c r="J176" t="str">
        <f>_xlfn.XLOOKUP(G176,'Facture GLS'!AB:AB,'Facture GLS'!BB:BB)</f>
        <v>FR</v>
      </c>
      <c r="K176" t="str">
        <f>IF(COUNTIF(Zoning!A:A,J176)=0,"pays inconnu",LOOKUP(J176,Zoning!A:A,Zoning!B:B))</f>
        <v>France</v>
      </c>
      <c r="L176">
        <f t="shared" si="8"/>
        <v>1</v>
      </c>
      <c r="M176">
        <f>_xlfn.XLOOKUP(G176,Poids!A:A,Poids!C:C)</f>
        <v>3.1</v>
      </c>
      <c r="N176" t="str">
        <f>IF(COUNTIF(Zoning!A:A,J176)=0,"zone inconnue","France")</f>
        <v>France</v>
      </c>
      <c r="O176">
        <f>IF(COUNTIF(Zoning!A:A,J176)=0,"taux inconnu",_xlfn.XLOOKUP(J176,Zoning!A:A,Zoning!C:C))</f>
        <v>0.2</v>
      </c>
      <c r="R176" t="str">
        <f>IF(TCD!K177="","",TCD!K177)</f>
        <v/>
      </c>
      <c r="S176" t="str">
        <f>IF(TCD!F177="","",TCD!F177)</f>
        <v/>
      </c>
      <c r="T176" t="str">
        <f>IF(TCD!E177="","",TCD!E177)</f>
        <v/>
      </c>
      <c r="U176">
        <f>SUM(TCD!H177:J177)</f>
        <v>6.3500000000000005</v>
      </c>
    </row>
    <row r="177" spans="1:21" x14ac:dyDescent="0.25">
      <c r="A177" s="1" t="str">
        <f>_xlfn.XLOOKUP(G177,'Facture GLS'!AB:AB,'Facture GLS'!O:O)</f>
        <v>BY FOUTAS</v>
      </c>
      <c r="B177" t="str">
        <f t="shared" si="6"/>
        <v>GLS</v>
      </c>
      <c r="C177" s="2">
        <f t="shared" si="7"/>
        <v>46174</v>
      </c>
      <c r="G177" t="str">
        <f>TCD!D178</f>
        <v>00KZZJUL</v>
      </c>
      <c r="I177" t="s">
        <v>104</v>
      </c>
      <c r="J177" t="str">
        <f>_xlfn.XLOOKUP(G177,'Facture GLS'!AB:AB,'Facture GLS'!BB:BB)</f>
        <v>FR</v>
      </c>
      <c r="K177" t="str">
        <f>IF(COUNTIF(Zoning!A:A,J177)=0,"pays inconnu",LOOKUP(J177,Zoning!A:A,Zoning!B:B))</f>
        <v>France</v>
      </c>
      <c r="L177">
        <f t="shared" si="8"/>
        <v>1</v>
      </c>
      <c r="M177">
        <f>_xlfn.XLOOKUP(G177,Poids!A:A,Poids!C:C)</f>
        <v>1.7</v>
      </c>
      <c r="N177" t="str">
        <f>IF(COUNTIF(Zoning!A:A,J177)=0,"zone inconnue","France")</f>
        <v>France</v>
      </c>
      <c r="O177">
        <f>IF(COUNTIF(Zoning!A:A,J177)=0,"taux inconnu",_xlfn.XLOOKUP(J177,Zoning!A:A,Zoning!C:C))</f>
        <v>0.2</v>
      </c>
      <c r="R177" t="str">
        <f>IF(TCD!K178="","",TCD!K178)</f>
        <v/>
      </c>
      <c r="S177" t="str">
        <f>IF(TCD!F178="","",TCD!F178)</f>
        <v/>
      </c>
      <c r="T177" t="str">
        <f>IF(TCD!E178="","",TCD!E178)</f>
        <v/>
      </c>
      <c r="U177">
        <f>SUM(TCD!H178:J178)</f>
        <v>5.4700000000000006</v>
      </c>
    </row>
    <row r="178" spans="1:21" x14ac:dyDescent="0.25">
      <c r="A178" s="1" t="str">
        <f>_xlfn.XLOOKUP(G178,'Facture GLS'!AB:AB,'Facture GLS'!O:O)</f>
        <v>BY FOUTAS</v>
      </c>
      <c r="B178" t="str">
        <f t="shared" si="6"/>
        <v>GLS</v>
      </c>
      <c r="C178" s="2">
        <f t="shared" si="7"/>
        <v>46174</v>
      </c>
      <c r="G178" t="str">
        <f>TCD!D179</f>
        <v>00KZZJUM</v>
      </c>
      <c r="I178" t="s">
        <v>104</v>
      </c>
      <c r="J178" t="str">
        <f>_xlfn.XLOOKUP(G178,'Facture GLS'!AB:AB,'Facture GLS'!BB:BB)</f>
        <v>FR</v>
      </c>
      <c r="K178" t="str">
        <f>IF(COUNTIF(Zoning!A:A,J178)=0,"pays inconnu",LOOKUP(J178,Zoning!A:A,Zoning!B:B))</f>
        <v>France</v>
      </c>
      <c r="L178">
        <f t="shared" si="8"/>
        <v>1</v>
      </c>
      <c r="M178">
        <f>_xlfn.XLOOKUP(G178,Poids!A:A,Poids!C:C)</f>
        <v>1.2000000000000002</v>
      </c>
      <c r="N178" t="str">
        <f>IF(COUNTIF(Zoning!A:A,J178)=0,"zone inconnue","France")</f>
        <v>France</v>
      </c>
      <c r="O178">
        <f>IF(COUNTIF(Zoning!A:A,J178)=0,"taux inconnu",_xlfn.XLOOKUP(J178,Zoning!A:A,Zoning!C:C))</f>
        <v>0.2</v>
      </c>
      <c r="R178" t="str">
        <f>IF(TCD!K179="","",TCD!K179)</f>
        <v/>
      </c>
      <c r="S178" t="str">
        <f>IF(TCD!F179="","",TCD!F179)</f>
        <v/>
      </c>
      <c r="T178" t="str">
        <f>IF(TCD!E179="","",TCD!E179)</f>
        <v/>
      </c>
      <c r="U178">
        <f>SUM(TCD!H179:J179)</f>
        <v>5.4700000000000006</v>
      </c>
    </row>
    <row r="179" spans="1:21" x14ac:dyDescent="0.25">
      <c r="A179" s="1" t="str">
        <f>_xlfn.XLOOKUP(G179,'Facture GLS'!AB:AB,'Facture GLS'!O:O)</f>
        <v>BY FOUTAS</v>
      </c>
      <c r="B179" t="str">
        <f t="shared" si="6"/>
        <v>GLS</v>
      </c>
      <c r="C179" s="2">
        <f t="shared" si="7"/>
        <v>46174</v>
      </c>
      <c r="G179" t="str">
        <f>TCD!D180</f>
        <v>00KZZJUN</v>
      </c>
      <c r="I179" t="s">
        <v>104</v>
      </c>
      <c r="J179" t="str">
        <f>_xlfn.XLOOKUP(G179,'Facture GLS'!AB:AB,'Facture GLS'!BB:BB)</f>
        <v>FR</v>
      </c>
      <c r="K179" t="str">
        <f>IF(COUNTIF(Zoning!A:A,J179)=0,"pays inconnu",LOOKUP(J179,Zoning!A:A,Zoning!B:B))</f>
        <v>France</v>
      </c>
      <c r="L179">
        <f t="shared" si="8"/>
        <v>1</v>
      </c>
      <c r="M179">
        <f>_xlfn.XLOOKUP(G179,Poids!A:A,Poids!C:C)</f>
        <v>1.7000000000000002</v>
      </c>
      <c r="N179" t="str">
        <f>IF(COUNTIF(Zoning!A:A,J179)=0,"zone inconnue","France")</f>
        <v>France</v>
      </c>
      <c r="O179">
        <f>IF(COUNTIF(Zoning!A:A,J179)=0,"taux inconnu",_xlfn.XLOOKUP(J179,Zoning!A:A,Zoning!C:C))</f>
        <v>0.2</v>
      </c>
      <c r="R179" t="str">
        <f>IF(TCD!K180="","",TCD!K180)</f>
        <v/>
      </c>
      <c r="S179" t="str">
        <f>IF(TCD!F180="","",TCD!F180)</f>
        <v/>
      </c>
      <c r="T179" t="str">
        <f>IF(TCD!E180="","",TCD!E180)</f>
        <v/>
      </c>
      <c r="U179">
        <f>SUM(TCD!H180:J180)</f>
        <v>5.4700000000000006</v>
      </c>
    </row>
    <row r="180" spans="1:21" x14ac:dyDescent="0.25">
      <c r="A180" s="1" t="str">
        <f>_xlfn.XLOOKUP(G180,'Facture GLS'!AB:AB,'Facture GLS'!O:O)</f>
        <v>BY FOUTAS</v>
      </c>
      <c r="B180" t="str">
        <f t="shared" si="6"/>
        <v>GLS</v>
      </c>
      <c r="C180" s="2">
        <f t="shared" si="7"/>
        <v>46174</v>
      </c>
      <c r="G180" t="str">
        <f>TCD!D181</f>
        <v>00KZZJUO</v>
      </c>
      <c r="I180" t="s">
        <v>104</v>
      </c>
      <c r="J180" t="str">
        <f>_xlfn.XLOOKUP(G180,'Facture GLS'!AB:AB,'Facture GLS'!BB:BB)</f>
        <v>FR</v>
      </c>
      <c r="K180" t="str">
        <f>IF(COUNTIF(Zoning!A:A,J180)=0,"pays inconnu",LOOKUP(J180,Zoning!A:A,Zoning!B:B))</f>
        <v>France</v>
      </c>
      <c r="L180">
        <f t="shared" si="8"/>
        <v>1</v>
      </c>
      <c r="M180">
        <f>_xlfn.XLOOKUP(G180,Poids!A:A,Poids!C:C)</f>
        <v>2</v>
      </c>
      <c r="N180" t="str">
        <f>IF(COUNTIF(Zoning!A:A,J180)=0,"zone inconnue","France")</f>
        <v>France</v>
      </c>
      <c r="O180">
        <f>IF(COUNTIF(Zoning!A:A,J180)=0,"taux inconnu",_xlfn.XLOOKUP(J180,Zoning!A:A,Zoning!C:C))</f>
        <v>0.2</v>
      </c>
      <c r="R180" t="str">
        <f>IF(TCD!K181="","",TCD!K181)</f>
        <v/>
      </c>
      <c r="S180" t="str">
        <f>IF(TCD!F181="","",TCD!F181)</f>
        <v/>
      </c>
      <c r="T180" t="str">
        <f>IF(TCD!E181="","",TCD!E181)</f>
        <v/>
      </c>
      <c r="U180">
        <f>SUM(TCD!H181:J181)</f>
        <v>5.4700000000000006</v>
      </c>
    </row>
    <row r="181" spans="1:21" x14ac:dyDescent="0.25">
      <c r="A181" s="1" t="str">
        <f>_xlfn.XLOOKUP(G181,'Facture GLS'!AB:AB,'Facture GLS'!O:O)</f>
        <v>BY FOUTAS</v>
      </c>
      <c r="B181" t="str">
        <f t="shared" si="6"/>
        <v>GLS</v>
      </c>
      <c r="C181" s="2">
        <f t="shared" si="7"/>
        <v>46174</v>
      </c>
      <c r="G181" t="str">
        <f>TCD!D182</f>
        <v>00KZZJUP</v>
      </c>
      <c r="I181" t="s">
        <v>104</v>
      </c>
      <c r="J181" t="str">
        <f>_xlfn.XLOOKUP(G181,'Facture GLS'!AB:AB,'Facture GLS'!BB:BB)</f>
        <v>FR</v>
      </c>
      <c r="K181" t="str">
        <f>IF(COUNTIF(Zoning!A:A,J181)=0,"pays inconnu",LOOKUP(J181,Zoning!A:A,Zoning!B:B))</f>
        <v>France</v>
      </c>
      <c r="L181">
        <f t="shared" si="8"/>
        <v>1</v>
      </c>
      <c r="M181">
        <f>_xlfn.XLOOKUP(G181,Poids!A:A,Poids!C:C)</f>
        <v>1.7000000000000002</v>
      </c>
      <c r="N181" t="str">
        <f>IF(COUNTIF(Zoning!A:A,J181)=0,"zone inconnue","France")</f>
        <v>France</v>
      </c>
      <c r="O181">
        <f>IF(COUNTIF(Zoning!A:A,J181)=0,"taux inconnu",_xlfn.XLOOKUP(J181,Zoning!A:A,Zoning!C:C))</f>
        <v>0.2</v>
      </c>
      <c r="R181" t="str">
        <f>IF(TCD!K182="","",TCD!K182)</f>
        <v/>
      </c>
      <c r="S181" t="str">
        <f>IF(TCD!F182="","",TCD!F182)</f>
        <v/>
      </c>
      <c r="T181" t="str">
        <f>IF(TCD!E182="","",TCD!E182)</f>
        <v/>
      </c>
      <c r="U181">
        <f>SUM(TCD!H182:J182)</f>
        <v>5.4700000000000006</v>
      </c>
    </row>
    <row r="182" spans="1:21" x14ac:dyDescent="0.25">
      <c r="A182" s="1" t="str">
        <f>_xlfn.XLOOKUP(G182,'Facture GLS'!AB:AB,'Facture GLS'!O:O)</f>
        <v>BY FOUTAS</v>
      </c>
      <c r="B182" t="str">
        <f t="shared" si="6"/>
        <v>GLS</v>
      </c>
      <c r="C182" s="2">
        <f t="shared" si="7"/>
        <v>46174</v>
      </c>
      <c r="G182" t="str">
        <f>TCD!D183</f>
        <v>00KZZJUQ</v>
      </c>
      <c r="I182" t="s">
        <v>104</v>
      </c>
      <c r="J182" t="str">
        <f>_xlfn.XLOOKUP(G182,'Facture GLS'!AB:AB,'Facture GLS'!BB:BB)</f>
        <v>FR</v>
      </c>
      <c r="K182" t="str">
        <f>IF(COUNTIF(Zoning!A:A,J182)=0,"pays inconnu",LOOKUP(J182,Zoning!A:A,Zoning!B:B))</f>
        <v>France</v>
      </c>
      <c r="L182">
        <f t="shared" si="8"/>
        <v>1</v>
      </c>
      <c r="M182">
        <f>_xlfn.XLOOKUP(G182,Poids!A:A,Poids!C:C)</f>
        <v>5.5</v>
      </c>
      <c r="N182" t="str">
        <f>IF(COUNTIF(Zoning!A:A,J182)=0,"zone inconnue","France")</f>
        <v>France</v>
      </c>
      <c r="O182">
        <f>IF(COUNTIF(Zoning!A:A,J182)=0,"taux inconnu",_xlfn.XLOOKUP(J182,Zoning!A:A,Zoning!C:C))</f>
        <v>0.2</v>
      </c>
      <c r="R182" t="str">
        <f>IF(TCD!K183="","",TCD!K183)</f>
        <v/>
      </c>
      <c r="S182" t="str">
        <f>IF(TCD!F183="","",TCD!F183)</f>
        <v/>
      </c>
      <c r="T182" t="str">
        <f>IF(TCD!E183="","",TCD!E183)</f>
        <v/>
      </c>
      <c r="U182">
        <f>SUM(TCD!H183:J183)</f>
        <v>7.4700000000000015</v>
      </c>
    </row>
    <row r="183" spans="1:21" x14ac:dyDescent="0.25">
      <c r="A183" s="1" t="str">
        <f>_xlfn.XLOOKUP(G183,'Facture GLS'!AB:AB,'Facture GLS'!O:O)</f>
        <v>BY FOUTAS</v>
      </c>
      <c r="B183" t="str">
        <f t="shared" si="6"/>
        <v>GLS</v>
      </c>
      <c r="C183" s="2">
        <f t="shared" si="7"/>
        <v>46174</v>
      </c>
      <c r="G183" t="str">
        <f>TCD!D184</f>
        <v>00KZZJUR</v>
      </c>
      <c r="I183" t="s">
        <v>104</v>
      </c>
      <c r="J183" t="str">
        <f>_xlfn.XLOOKUP(G183,'Facture GLS'!AB:AB,'Facture GLS'!BB:BB)</f>
        <v>FR</v>
      </c>
      <c r="K183" t="str">
        <f>IF(COUNTIF(Zoning!A:A,J183)=0,"pays inconnu",LOOKUP(J183,Zoning!A:A,Zoning!B:B))</f>
        <v>France</v>
      </c>
      <c r="L183">
        <f t="shared" si="8"/>
        <v>1</v>
      </c>
      <c r="M183">
        <f>_xlfn.XLOOKUP(G183,Poids!A:A,Poids!C:C)</f>
        <v>0.5</v>
      </c>
      <c r="N183" t="str">
        <f>IF(COUNTIF(Zoning!A:A,J183)=0,"zone inconnue","France")</f>
        <v>France</v>
      </c>
      <c r="O183">
        <f>IF(COUNTIF(Zoning!A:A,J183)=0,"taux inconnu",_xlfn.XLOOKUP(J183,Zoning!A:A,Zoning!C:C))</f>
        <v>0.2</v>
      </c>
      <c r="R183" t="str">
        <f>IF(TCD!K184="","",TCD!K184)</f>
        <v/>
      </c>
      <c r="S183" t="str">
        <f>IF(TCD!F184="","",TCD!F184)</f>
        <v/>
      </c>
      <c r="T183" t="str">
        <f>IF(TCD!E184="","",TCD!E184)</f>
        <v/>
      </c>
      <c r="U183">
        <f>SUM(TCD!H184:J184)</f>
        <v>4.82</v>
      </c>
    </row>
    <row r="184" spans="1:21" x14ac:dyDescent="0.25">
      <c r="A184" s="1" t="str">
        <f>_xlfn.XLOOKUP(G184,'Facture GLS'!AB:AB,'Facture GLS'!O:O)</f>
        <v>BY FOUTAS</v>
      </c>
      <c r="B184" t="str">
        <f t="shared" si="6"/>
        <v>GLS</v>
      </c>
      <c r="C184" s="2">
        <f t="shared" si="7"/>
        <v>46174</v>
      </c>
      <c r="G184" t="str">
        <f>TCD!D185</f>
        <v>00KZZJUS</v>
      </c>
      <c r="I184" t="s">
        <v>104</v>
      </c>
      <c r="J184" t="str">
        <f>_xlfn.XLOOKUP(G184,'Facture GLS'!AB:AB,'Facture GLS'!BB:BB)</f>
        <v>FR</v>
      </c>
      <c r="K184" t="str">
        <f>IF(COUNTIF(Zoning!A:A,J184)=0,"pays inconnu",LOOKUP(J184,Zoning!A:A,Zoning!B:B))</f>
        <v>France</v>
      </c>
      <c r="L184">
        <f t="shared" si="8"/>
        <v>1</v>
      </c>
      <c r="M184">
        <f>_xlfn.XLOOKUP(G184,Poids!A:A,Poids!C:C)</f>
        <v>2.3000000000000003</v>
      </c>
      <c r="N184" t="str">
        <f>IF(COUNTIF(Zoning!A:A,J184)=0,"zone inconnue","France")</f>
        <v>France</v>
      </c>
      <c r="O184">
        <f>IF(COUNTIF(Zoning!A:A,J184)=0,"taux inconnu",_xlfn.XLOOKUP(J184,Zoning!A:A,Zoning!C:C))</f>
        <v>0.2</v>
      </c>
      <c r="R184" t="str">
        <f>IF(TCD!K185="","",TCD!K185)</f>
        <v/>
      </c>
      <c r="S184" t="str">
        <f>IF(TCD!F185="","",TCD!F185)</f>
        <v/>
      </c>
      <c r="T184" t="str">
        <f>IF(TCD!E185="","",TCD!E185)</f>
        <v/>
      </c>
      <c r="U184">
        <f>SUM(TCD!H185:J185)</f>
        <v>5.7900000000000009</v>
      </c>
    </row>
    <row r="185" spans="1:21" x14ac:dyDescent="0.25">
      <c r="A185" s="1" t="str">
        <f>_xlfn.XLOOKUP(G185,'Facture GLS'!AB:AB,'Facture GLS'!O:O)</f>
        <v>BY FOUTAS</v>
      </c>
      <c r="B185" t="str">
        <f t="shared" si="6"/>
        <v>GLS</v>
      </c>
      <c r="C185" s="2">
        <f t="shared" si="7"/>
        <v>46174</v>
      </c>
      <c r="G185" t="str">
        <f>TCD!D186</f>
        <v>00KZZJUT</v>
      </c>
      <c r="I185" t="s">
        <v>104</v>
      </c>
      <c r="J185" t="str">
        <f>_xlfn.XLOOKUP(G185,'Facture GLS'!AB:AB,'Facture GLS'!BB:BB)</f>
        <v>FR</v>
      </c>
      <c r="K185" t="str">
        <f>IF(COUNTIF(Zoning!A:A,J185)=0,"pays inconnu",LOOKUP(J185,Zoning!A:A,Zoning!B:B))</f>
        <v>France</v>
      </c>
      <c r="L185">
        <f t="shared" si="8"/>
        <v>1</v>
      </c>
      <c r="M185">
        <f>_xlfn.XLOOKUP(G185,Poids!A:A,Poids!C:C)</f>
        <v>1.8</v>
      </c>
      <c r="N185" t="str">
        <f>IF(COUNTIF(Zoning!A:A,J185)=0,"zone inconnue","France")</f>
        <v>France</v>
      </c>
      <c r="O185">
        <f>IF(COUNTIF(Zoning!A:A,J185)=0,"taux inconnu",_xlfn.XLOOKUP(J185,Zoning!A:A,Zoning!C:C))</f>
        <v>0.2</v>
      </c>
      <c r="R185" t="str">
        <f>IF(TCD!K186="","",TCD!K186)</f>
        <v/>
      </c>
      <c r="S185" t="str">
        <f>IF(TCD!F186="","",TCD!F186)</f>
        <v/>
      </c>
      <c r="T185" t="str">
        <f>IF(TCD!E186="","",TCD!E186)</f>
        <v/>
      </c>
      <c r="U185">
        <f>SUM(TCD!H186:J186)</f>
        <v>5.4700000000000006</v>
      </c>
    </row>
    <row r="186" spans="1:21" x14ac:dyDescent="0.25">
      <c r="A186" s="1" t="str">
        <f>_xlfn.XLOOKUP(G186,'Facture GLS'!AB:AB,'Facture GLS'!O:O)</f>
        <v>BY FOUTAS</v>
      </c>
      <c r="B186" t="str">
        <f t="shared" si="6"/>
        <v>GLS</v>
      </c>
      <c r="C186" s="2">
        <f t="shared" si="7"/>
        <v>46174</v>
      </c>
      <c r="G186" t="str">
        <f>TCD!D187</f>
        <v>00KZZJUU</v>
      </c>
      <c r="I186" t="s">
        <v>104</v>
      </c>
      <c r="J186" t="str">
        <f>_xlfn.XLOOKUP(G186,'Facture GLS'!AB:AB,'Facture GLS'!BB:BB)</f>
        <v>FR</v>
      </c>
      <c r="K186" t="str">
        <f>IF(COUNTIF(Zoning!A:A,J186)=0,"pays inconnu",LOOKUP(J186,Zoning!A:A,Zoning!B:B))</f>
        <v>France</v>
      </c>
      <c r="L186">
        <f t="shared" si="8"/>
        <v>1</v>
      </c>
      <c r="M186">
        <f>_xlfn.XLOOKUP(G186,Poids!A:A,Poids!C:C)</f>
        <v>0.6</v>
      </c>
      <c r="N186" t="str">
        <f>IF(COUNTIF(Zoning!A:A,J186)=0,"zone inconnue","France")</f>
        <v>France</v>
      </c>
      <c r="O186">
        <f>IF(COUNTIF(Zoning!A:A,J186)=0,"taux inconnu",_xlfn.XLOOKUP(J186,Zoning!A:A,Zoning!C:C))</f>
        <v>0.2</v>
      </c>
      <c r="R186" t="str">
        <f>IF(TCD!K187="","",TCD!K187)</f>
        <v/>
      </c>
      <c r="S186" t="str">
        <f>IF(TCD!F187="","",TCD!F187)</f>
        <v/>
      </c>
      <c r="T186" t="str">
        <f>IF(TCD!E187="","",TCD!E187)</f>
        <v/>
      </c>
      <c r="U186">
        <f>SUM(TCD!H187:J187)</f>
        <v>5.15</v>
      </c>
    </row>
    <row r="187" spans="1:21" x14ac:dyDescent="0.25">
      <c r="A187" s="1" t="str">
        <f>_xlfn.XLOOKUP(G187,'Facture GLS'!AB:AB,'Facture GLS'!O:O)</f>
        <v>BY FOUTAS</v>
      </c>
      <c r="B187" t="str">
        <f t="shared" si="6"/>
        <v>GLS</v>
      </c>
      <c r="C187" s="2">
        <f t="shared" si="7"/>
        <v>46174</v>
      </c>
      <c r="G187" t="str">
        <f>TCD!D188</f>
        <v>00KZZJUV</v>
      </c>
      <c r="I187" t="s">
        <v>104</v>
      </c>
      <c r="J187" t="str">
        <f>_xlfn.XLOOKUP(G187,'Facture GLS'!AB:AB,'Facture GLS'!BB:BB)</f>
        <v>FR</v>
      </c>
      <c r="K187" t="str">
        <f>IF(COUNTIF(Zoning!A:A,J187)=0,"pays inconnu",LOOKUP(J187,Zoning!A:A,Zoning!B:B))</f>
        <v>France</v>
      </c>
      <c r="L187">
        <f t="shared" si="8"/>
        <v>1</v>
      </c>
      <c r="M187">
        <f>_xlfn.XLOOKUP(G187,Poids!A:A,Poids!C:C)</f>
        <v>1.7000000000000002</v>
      </c>
      <c r="N187" t="str">
        <f>IF(COUNTIF(Zoning!A:A,J187)=0,"zone inconnue","France")</f>
        <v>France</v>
      </c>
      <c r="O187">
        <f>IF(COUNTIF(Zoning!A:A,J187)=0,"taux inconnu",_xlfn.XLOOKUP(J187,Zoning!A:A,Zoning!C:C))</f>
        <v>0.2</v>
      </c>
      <c r="R187" t="str">
        <f>IF(TCD!K188="","",TCD!K188)</f>
        <v/>
      </c>
      <c r="S187" t="str">
        <f>IF(TCD!F188="","",TCD!F188)</f>
        <v/>
      </c>
      <c r="T187" t="str">
        <f>IF(TCD!E188="","",TCD!E188)</f>
        <v/>
      </c>
      <c r="U187">
        <f>SUM(TCD!H188:J188)</f>
        <v>5.4700000000000006</v>
      </c>
    </row>
    <row r="188" spans="1:21" x14ac:dyDescent="0.25">
      <c r="A188" s="1" t="str">
        <f>_xlfn.XLOOKUP(G188,'Facture GLS'!AB:AB,'Facture GLS'!O:O)</f>
        <v>BY FOUTAS</v>
      </c>
      <c r="B188" t="str">
        <f t="shared" si="6"/>
        <v>GLS</v>
      </c>
      <c r="C188" s="2">
        <f t="shared" si="7"/>
        <v>46174</v>
      </c>
      <c r="G188" t="str">
        <f>TCD!D189</f>
        <v>00KZZJUW</v>
      </c>
      <c r="I188" t="s">
        <v>104</v>
      </c>
      <c r="J188" t="str">
        <f>_xlfn.XLOOKUP(G188,'Facture GLS'!AB:AB,'Facture GLS'!BB:BB)</f>
        <v>FR</v>
      </c>
      <c r="K188" t="str">
        <f>IF(COUNTIF(Zoning!A:A,J188)=0,"pays inconnu",LOOKUP(J188,Zoning!A:A,Zoning!B:B))</f>
        <v>France</v>
      </c>
      <c r="L188">
        <f t="shared" si="8"/>
        <v>1</v>
      </c>
      <c r="M188">
        <f>_xlfn.XLOOKUP(G188,Poids!A:A,Poids!C:C)</f>
        <v>4</v>
      </c>
      <c r="N188" t="str">
        <f>IF(COUNTIF(Zoning!A:A,J188)=0,"zone inconnue","France")</f>
        <v>France</v>
      </c>
      <c r="O188">
        <f>IF(COUNTIF(Zoning!A:A,J188)=0,"taux inconnu",_xlfn.XLOOKUP(J188,Zoning!A:A,Zoning!C:C))</f>
        <v>0.2</v>
      </c>
      <c r="R188" t="str">
        <f>IF(TCD!K189="","",TCD!K189)</f>
        <v/>
      </c>
      <c r="S188" t="str">
        <f>IF(TCD!F189="","",TCD!F189)</f>
        <v/>
      </c>
      <c r="T188" t="str">
        <f>IF(TCD!E189="","",TCD!E189)</f>
        <v/>
      </c>
      <c r="U188">
        <f>SUM(TCD!H189:J189)</f>
        <v>6.3500000000000005</v>
      </c>
    </row>
    <row r="189" spans="1:21" x14ac:dyDescent="0.25">
      <c r="A189" s="1" t="str">
        <f>_xlfn.XLOOKUP(G189,'Facture GLS'!AB:AB,'Facture GLS'!O:O)</f>
        <v>BY FOUTAS</v>
      </c>
      <c r="B189" t="str">
        <f t="shared" si="6"/>
        <v>GLS</v>
      </c>
      <c r="C189" s="2">
        <f t="shared" si="7"/>
        <v>46174</v>
      </c>
      <c r="G189" t="str">
        <f>TCD!D190</f>
        <v>00KZZJUX</v>
      </c>
      <c r="I189" t="s">
        <v>104</v>
      </c>
      <c r="J189" t="str">
        <f>_xlfn.XLOOKUP(G189,'Facture GLS'!AB:AB,'Facture GLS'!BB:BB)</f>
        <v>FR</v>
      </c>
      <c r="K189" t="str">
        <f>IF(COUNTIF(Zoning!A:A,J189)=0,"pays inconnu",LOOKUP(J189,Zoning!A:A,Zoning!B:B))</f>
        <v>France</v>
      </c>
      <c r="L189">
        <f t="shared" si="8"/>
        <v>1</v>
      </c>
      <c r="M189">
        <f>_xlfn.XLOOKUP(G189,Poids!A:A,Poids!C:C)</f>
        <v>3.2</v>
      </c>
      <c r="N189" t="str">
        <f>IF(COUNTIF(Zoning!A:A,J189)=0,"zone inconnue","France")</f>
        <v>France</v>
      </c>
      <c r="O189">
        <f>IF(COUNTIF(Zoning!A:A,J189)=0,"taux inconnu",_xlfn.XLOOKUP(J189,Zoning!A:A,Zoning!C:C))</f>
        <v>0.2</v>
      </c>
      <c r="R189" t="str">
        <f>IF(TCD!K190="","",TCD!K190)</f>
        <v/>
      </c>
      <c r="S189" t="str">
        <f>IF(TCD!F190="","",TCD!F190)</f>
        <v/>
      </c>
      <c r="T189" t="str">
        <f>IF(TCD!E190="","",TCD!E190)</f>
        <v/>
      </c>
      <c r="U189">
        <f>SUM(TCD!H190:J190)</f>
        <v>6.3500000000000005</v>
      </c>
    </row>
    <row r="190" spans="1:21" x14ac:dyDescent="0.25">
      <c r="A190" s="1" t="str">
        <f>_xlfn.XLOOKUP(G190,'Facture GLS'!AB:AB,'Facture GLS'!O:O)</f>
        <v>BY FOUTAS</v>
      </c>
      <c r="B190" t="str">
        <f t="shared" si="6"/>
        <v>GLS</v>
      </c>
      <c r="C190" s="2">
        <f t="shared" si="7"/>
        <v>46174</v>
      </c>
      <c r="G190" t="str">
        <f>TCD!D191</f>
        <v>00KZZJUY</v>
      </c>
      <c r="I190" t="s">
        <v>104</v>
      </c>
      <c r="J190" t="str">
        <f>_xlfn.XLOOKUP(G190,'Facture GLS'!AB:AB,'Facture GLS'!BB:BB)</f>
        <v>FR</v>
      </c>
      <c r="K190" t="str">
        <f>IF(COUNTIF(Zoning!A:A,J190)=0,"pays inconnu",LOOKUP(J190,Zoning!A:A,Zoning!B:B))</f>
        <v>France</v>
      </c>
      <c r="L190">
        <f t="shared" si="8"/>
        <v>1</v>
      </c>
      <c r="M190">
        <f>_xlfn.XLOOKUP(G190,Poids!A:A,Poids!C:C)</f>
        <v>2</v>
      </c>
      <c r="N190" t="str">
        <f>IF(COUNTIF(Zoning!A:A,J190)=0,"zone inconnue","France")</f>
        <v>France</v>
      </c>
      <c r="O190">
        <f>IF(COUNTIF(Zoning!A:A,J190)=0,"taux inconnu",_xlfn.XLOOKUP(J190,Zoning!A:A,Zoning!C:C))</f>
        <v>0.2</v>
      </c>
      <c r="R190" t="str">
        <f>IF(TCD!K191="","",TCD!K191)</f>
        <v/>
      </c>
      <c r="S190" t="str">
        <f>IF(TCD!F191="","",TCD!F191)</f>
        <v/>
      </c>
      <c r="T190" t="str">
        <f>IF(TCD!E191="","",TCD!E191)</f>
        <v/>
      </c>
      <c r="U190">
        <f>SUM(TCD!H191:J191)</f>
        <v>5.4700000000000006</v>
      </c>
    </row>
    <row r="191" spans="1:21" x14ac:dyDescent="0.25">
      <c r="A191" s="1" t="str">
        <f>_xlfn.XLOOKUP(G191,'Facture GLS'!AB:AB,'Facture GLS'!O:O)</f>
        <v>BY FOUTAS</v>
      </c>
      <c r="B191" t="str">
        <f t="shared" si="6"/>
        <v>GLS</v>
      </c>
      <c r="C191" s="2">
        <f t="shared" si="7"/>
        <v>46174</v>
      </c>
      <c r="G191" t="str">
        <f>TCD!D192</f>
        <v>00KZZJUZ</v>
      </c>
      <c r="I191" t="s">
        <v>104</v>
      </c>
      <c r="J191" t="str">
        <f>_xlfn.XLOOKUP(G191,'Facture GLS'!AB:AB,'Facture GLS'!BB:BB)</f>
        <v>FR</v>
      </c>
      <c r="K191" t="str">
        <f>IF(COUNTIF(Zoning!A:A,J191)=0,"pays inconnu",LOOKUP(J191,Zoning!A:A,Zoning!B:B))</f>
        <v>France</v>
      </c>
      <c r="L191">
        <f t="shared" si="8"/>
        <v>1</v>
      </c>
      <c r="M191">
        <f>_xlfn.XLOOKUP(G191,Poids!A:A,Poids!C:C)</f>
        <v>3.9</v>
      </c>
      <c r="N191" t="str">
        <f>IF(COUNTIF(Zoning!A:A,J191)=0,"zone inconnue","France")</f>
        <v>France</v>
      </c>
      <c r="O191">
        <f>IF(COUNTIF(Zoning!A:A,J191)=0,"taux inconnu",_xlfn.XLOOKUP(J191,Zoning!A:A,Zoning!C:C))</f>
        <v>0.2</v>
      </c>
      <c r="R191" t="str">
        <f>IF(TCD!K192="","",TCD!K192)</f>
        <v/>
      </c>
      <c r="S191" t="str">
        <f>IF(TCD!F192="","",TCD!F192)</f>
        <v/>
      </c>
      <c r="T191" t="str">
        <f>IF(TCD!E192="","",TCD!E192)</f>
        <v/>
      </c>
      <c r="U191">
        <f>SUM(TCD!H192:J192)</f>
        <v>6.3500000000000005</v>
      </c>
    </row>
    <row r="192" spans="1:21" x14ac:dyDescent="0.25">
      <c r="A192" s="1" t="str">
        <f>_xlfn.XLOOKUP(G192,'Facture GLS'!AB:AB,'Facture GLS'!O:O)</f>
        <v>BY FOUTAS</v>
      </c>
      <c r="B192" t="str">
        <f t="shared" si="6"/>
        <v>GLS</v>
      </c>
      <c r="C192" s="2">
        <f t="shared" si="7"/>
        <v>46174</v>
      </c>
      <c r="G192" t="str">
        <f>TCD!D193</f>
        <v>00KZZJV0</v>
      </c>
      <c r="I192" t="s">
        <v>104</v>
      </c>
      <c r="J192" t="str">
        <f>_xlfn.XLOOKUP(G192,'Facture GLS'!AB:AB,'Facture GLS'!BB:BB)</f>
        <v>FR</v>
      </c>
      <c r="K192" t="str">
        <f>IF(COUNTIF(Zoning!A:A,J192)=0,"pays inconnu",LOOKUP(J192,Zoning!A:A,Zoning!B:B))</f>
        <v>France</v>
      </c>
      <c r="L192">
        <f t="shared" si="8"/>
        <v>1</v>
      </c>
      <c r="M192">
        <f>_xlfn.XLOOKUP(G192,Poids!A:A,Poids!C:C)</f>
        <v>2.6</v>
      </c>
      <c r="N192" t="str">
        <f>IF(COUNTIF(Zoning!A:A,J192)=0,"zone inconnue","France")</f>
        <v>France</v>
      </c>
      <c r="O192">
        <f>IF(COUNTIF(Zoning!A:A,J192)=0,"taux inconnu",_xlfn.XLOOKUP(J192,Zoning!A:A,Zoning!C:C))</f>
        <v>0.2</v>
      </c>
      <c r="R192" t="str">
        <f>IF(TCD!K193="","",TCD!K193)</f>
        <v/>
      </c>
      <c r="S192" t="str">
        <f>IF(TCD!F193="","",TCD!F193)</f>
        <v/>
      </c>
      <c r="T192" t="str">
        <f>IF(TCD!E193="","",TCD!E193)</f>
        <v/>
      </c>
      <c r="U192">
        <f>SUM(TCD!H193:J193)</f>
        <v>5.7900000000000009</v>
      </c>
    </row>
    <row r="193" spans="1:21" x14ac:dyDescent="0.25">
      <c r="A193" s="1" t="str">
        <f>_xlfn.XLOOKUP(G193,'Facture GLS'!AB:AB,'Facture GLS'!O:O)</f>
        <v>BY FOUTAS</v>
      </c>
      <c r="B193" t="str">
        <f t="shared" si="6"/>
        <v>GLS</v>
      </c>
      <c r="C193" s="2">
        <f t="shared" si="7"/>
        <v>46174</v>
      </c>
      <c r="G193" t="str">
        <f>TCD!D194</f>
        <v>00KZZJV1</v>
      </c>
      <c r="I193" t="s">
        <v>104</v>
      </c>
      <c r="J193" t="str">
        <f>_xlfn.XLOOKUP(G193,'Facture GLS'!AB:AB,'Facture GLS'!BB:BB)</f>
        <v>FR</v>
      </c>
      <c r="K193" t="str">
        <f>IF(COUNTIF(Zoning!A:A,J193)=0,"pays inconnu",LOOKUP(J193,Zoning!A:A,Zoning!B:B))</f>
        <v>France</v>
      </c>
      <c r="L193">
        <f t="shared" si="8"/>
        <v>1</v>
      </c>
      <c r="M193">
        <f>_xlfn.XLOOKUP(G193,Poids!A:A,Poids!C:C)</f>
        <v>0.5</v>
      </c>
      <c r="N193" t="str">
        <f>IF(COUNTIF(Zoning!A:A,J193)=0,"zone inconnue","France")</f>
        <v>France</v>
      </c>
      <c r="O193">
        <f>IF(COUNTIF(Zoning!A:A,J193)=0,"taux inconnu",_xlfn.XLOOKUP(J193,Zoning!A:A,Zoning!C:C))</f>
        <v>0.2</v>
      </c>
      <c r="R193" t="str">
        <f>IF(TCD!K194="","",TCD!K194)</f>
        <v/>
      </c>
      <c r="S193" t="str">
        <f>IF(TCD!F194="","",TCD!F194)</f>
        <v/>
      </c>
      <c r="T193" t="str">
        <f>IF(TCD!E194="","",TCD!E194)</f>
        <v/>
      </c>
      <c r="U193">
        <f>SUM(TCD!H194:J194)</f>
        <v>4.82</v>
      </c>
    </row>
    <row r="194" spans="1:21" x14ac:dyDescent="0.25">
      <c r="A194" s="1" t="str">
        <f>_xlfn.XLOOKUP(G194,'Facture GLS'!AB:AB,'Facture GLS'!O:O)</f>
        <v>BY FOUTAS</v>
      </c>
      <c r="B194" t="str">
        <f t="shared" si="6"/>
        <v>GLS</v>
      </c>
      <c r="C194" s="2">
        <f t="shared" si="7"/>
        <v>46174</v>
      </c>
      <c r="G194" t="str">
        <f>TCD!D195</f>
        <v>00KZZJV2</v>
      </c>
      <c r="I194" t="s">
        <v>104</v>
      </c>
      <c r="J194" t="str">
        <f>_xlfn.XLOOKUP(G194,'Facture GLS'!AB:AB,'Facture GLS'!BB:BB)</f>
        <v>FR</v>
      </c>
      <c r="K194" t="str">
        <f>IF(COUNTIF(Zoning!A:A,J194)=0,"pays inconnu",LOOKUP(J194,Zoning!A:A,Zoning!B:B))</f>
        <v>France</v>
      </c>
      <c r="L194">
        <f t="shared" si="8"/>
        <v>1</v>
      </c>
      <c r="M194">
        <f>_xlfn.XLOOKUP(G194,Poids!A:A,Poids!C:C)</f>
        <v>2.5</v>
      </c>
      <c r="N194" t="str">
        <f>IF(COUNTIF(Zoning!A:A,J194)=0,"zone inconnue","France")</f>
        <v>France</v>
      </c>
      <c r="O194">
        <f>IF(COUNTIF(Zoning!A:A,J194)=0,"taux inconnu",_xlfn.XLOOKUP(J194,Zoning!A:A,Zoning!C:C))</f>
        <v>0.2</v>
      </c>
      <c r="R194" t="str">
        <f>IF(TCD!K195="","",TCD!K195)</f>
        <v/>
      </c>
      <c r="S194" t="str">
        <f>IF(TCD!F195="","",TCD!F195)</f>
        <v/>
      </c>
      <c r="T194" t="str">
        <f>IF(TCD!E195="","",TCD!E195)</f>
        <v/>
      </c>
      <c r="U194">
        <f>SUM(TCD!H195:J195)</f>
        <v>5.7900000000000009</v>
      </c>
    </row>
    <row r="195" spans="1:21" x14ac:dyDescent="0.25">
      <c r="A195" s="1" t="str">
        <f>_xlfn.XLOOKUP(G195,'Facture GLS'!AB:AB,'Facture GLS'!O:O)</f>
        <v>BY FOUTAS</v>
      </c>
      <c r="B195" t="str">
        <f t="shared" si="6"/>
        <v>GLS</v>
      </c>
      <c r="C195" s="2">
        <f t="shared" si="7"/>
        <v>46174</v>
      </c>
      <c r="G195" t="str">
        <f>TCD!D196</f>
        <v>00KZZJV3</v>
      </c>
      <c r="I195" t="s">
        <v>104</v>
      </c>
      <c r="J195" t="str">
        <f>_xlfn.XLOOKUP(G195,'Facture GLS'!AB:AB,'Facture GLS'!BB:BB)</f>
        <v>FR</v>
      </c>
      <c r="K195" t="str">
        <f>IF(COUNTIF(Zoning!A:A,J195)=0,"pays inconnu",LOOKUP(J195,Zoning!A:A,Zoning!B:B))</f>
        <v>France</v>
      </c>
      <c r="L195">
        <f t="shared" si="8"/>
        <v>1</v>
      </c>
      <c r="M195">
        <f>_xlfn.XLOOKUP(G195,Poids!A:A,Poids!C:C)</f>
        <v>2.5</v>
      </c>
      <c r="N195" t="str">
        <f>IF(COUNTIF(Zoning!A:A,J195)=0,"zone inconnue","France")</f>
        <v>France</v>
      </c>
      <c r="O195">
        <f>IF(COUNTIF(Zoning!A:A,J195)=0,"taux inconnu",_xlfn.XLOOKUP(J195,Zoning!A:A,Zoning!C:C))</f>
        <v>0.2</v>
      </c>
      <c r="R195" t="str">
        <f>IF(TCD!K196="","",TCD!K196)</f>
        <v/>
      </c>
      <c r="S195" t="str">
        <f>IF(TCD!F196="","",TCD!F196)</f>
        <v/>
      </c>
      <c r="T195" t="str">
        <f>IF(TCD!E196="","",TCD!E196)</f>
        <v/>
      </c>
      <c r="U195">
        <f>SUM(TCD!H196:J196)</f>
        <v>5.7900000000000009</v>
      </c>
    </row>
    <row r="196" spans="1:21" x14ac:dyDescent="0.25">
      <c r="A196" s="1" t="str">
        <f>_xlfn.XLOOKUP(G196,'Facture GLS'!AB:AB,'Facture GLS'!O:O)</f>
        <v>BY FOUTAS</v>
      </c>
      <c r="B196" t="str">
        <f t="shared" ref="B196:B259" si="9">B195</f>
        <v>GLS</v>
      </c>
      <c r="C196" s="2">
        <f t="shared" ref="C196:C259" si="10">C195</f>
        <v>46174</v>
      </c>
      <c r="G196" t="str">
        <f>TCD!D197</f>
        <v>00KZZJV4</v>
      </c>
      <c r="I196" t="s">
        <v>104</v>
      </c>
      <c r="J196" t="str">
        <f>_xlfn.XLOOKUP(G196,'Facture GLS'!AB:AB,'Facture GLS'!BB:BB)</f>
        <v>FR</v>
      </c>
      <c r="K196" t="str">
        <f>IF(COUNTIF(Zoning!A:A,J196)=0,"pays inconnu",LOOKUP(J196,Zoning!A:A,Zoning!B:B))</f>
        <v>France</v>
      </c>
      <c r="L196">
        <f t="shared" ref="L196:L259" si="11">L195</f>
        <v>1</v>
      </c>
      <c r="M196">
        <f>_xlfn.XLOOKUP(G196,Poids!A:A,Poids!C:C)</f>
        <v>2.4</v>
      </c>
      <c r="N196" t="str">
        <f>IF(COUNTIF(Zoning!A:A,J196)=0,"zone inconnue","France")</f>
        <v>France</v>
      </c>
      <c r="O196">
        <f>IF(COUNTIF(Zoning!A:A,J196)=0,"taux inconnu",_xlfn.XLOOKUP(J196,Zoning!A:A,Zoning!C:C))</f>
        <v>0.2</v>
      </c>
      <c r="R196" t="str">
        <f>IF(TCD!K197="","",TCD!K197)</f>
        <v/>
      </c>
      <c r="S196" t="str">
        <f>IF(TCD!F197="","",TCD!F197)</f>
        <v/>
      </c>
      <c r="T196" t="str">
        <f>IF(TCD!E197="","",TCD!E197)</f>
        <v/>
      </c>
      <c r="U196">
        <f>SUM(TCD!H197:J197)</f>
        <v>5.7900000000000009</v>
      </c>
    </row>
    <row r="197" spans="1:21" x14ac:dyDescent="0.25">
      <c r="A197" s="1" t="str">
        <f>_xlfn.XLOOKUP(G197,'Facture GLS'!AB:AB,'Facture GLS'!O:O)</f>
        <v>BY FOUTAS</v>
      </c>
      <c r="B197" t="str">
        <f t="shared" si="9"/>
        <v>GLS</v>
      </c>
      <c r="C197" s="2">
        <f t="shared" si="10"/>
        <v>46174</v>
      </c>
      <c r="G197" t="str">
        <f>TCD!D198</f>
        <v>00KZZJV5</v>
      </c>
      <c r="I197" t="s">
        <v>104</v>
      </c>
      <c r="J197" t="str">
        <f>_xlfn.XLOOKUP(G197,'Facture GLS'!AB:AB,'Facture GLS'!BB:BB)</f>
        <v>FR</v>
      </c>
      <c r="K197" t="str">
        <f>IF(COUNTIF(Zoning!A:A,J197)=0,"pays inconnu",LOOKUP(J197,Zoning!A:A,Zoning!B:B))</f>
        <v>France</v>
      </c>
      <c r="L197">
        <f t="shared" si="11"/>
        <v>1</v>
      </c>
      <c r="M197">
        <f>_xlfn.XLOOKUP(G197,Poids!A:A,Poids!C:C)</f>
        <v>0.5</v>
      </c>
      <c r="N197" t="str">
        <f>IF(COUNTIF(Zoning!A:A,J197)=0,"zone inconnue","France")</f>
        <v>France</v>
      </c>
      <c r="O197">
        <f>IF(COUNTIF(Zoning!A:A,J197)=0,"taux inconnu",_xlfn.XLOOKUP(J197,Zoning!A:A,Zoning!C:C))</f>
        <v>0.2</v>
      </c>
      <c r="R197" t="str">
        <f>IF(TCD!K198="","",TCD!K198)</f>
        <v/>
      </c>
      <c r="S197" t="str">
        <f>IF(TCD!F198="","",TCD!F198)</f>
        <v/>
      </c>
      <c r="T197" t="str">
        <f>IF(TCD!E198="","",TCD!E198)</f>
        <v/>
      </c>
      <c r="U197">
        <f>SUM(TCD!H198:J198)</f>
        <v>4.82</v>
      </c>
    </row>
    <row r="198" spans="1:21" x14ac:dyDescent="0.25">
      <c r="A198" s="1" t="str">
        <f>_xlfn.XLOOKUP(G198,'Facture GLS'!AB:AB,'Facture GLS'!O:O)</f>
        <v>BY FOUTAS</v>
      </c>
      <c r="B198" t="str">
        <f t="shared" si="9"/>
        <v>GLS</v>
      </c>
      <c r="C198" s="2">
        <f t="shared" si="10"/>
        <v>46174</v>
      </c>
      <c r="G198" t="str">
        <f>TCD!D199</f>
        <v>00KZZJV6</v>
      </c>
      <c r="I198" t="s">
        <v>104</v>
      </c>
      <c r="J198" t="str">
        <f>_xlfn.XLOOKUP(G198,'Facture GLS'!AB:AB,'Facture GLS'!BB:BB)</f>
        <v>FR</v>
      </c>
      <c r="K198" t="str">
        <f>IF(COUNTIF(Zoning!A:A,J198)=0,"pays inconnu",LOOKUP(J198,Zoning!A:A,Zoning!B:B))</f>
        <v>France</v>
      </c>
      <c r="L198">
        <f t="shared" si="11"/>
        <v>1</v>
      </c>
      <c r="M198">
        <f>_xlfn.XLOOKUP(G198,Poids!A:A,Poids!C:C)</f>
        <v>3.8000000000000003</v>
      </c>
      <c r="N198" t="str">
        <f>IF(COUNTIF(Zoning!A:A,J198)=0,"zone inconnue","France")</f>
        <v>France</v>
      </c>
      <c r="O198">
        <f>IF(COUNTIF(Zoning!A:A,J198)=0,"taux inconnu",_xlfn.XLOOKUP(J198,Zoning!A:A,Zoning!C:C))</f>
        <v>0.2</v>
      </c>
      <c r="R198" t="str">
        <f>IF(TCD!K199="","",TCD!K199)</f>
        <v/>
      </c>
      <c r="S198" t="str">
        <f>IF(TCD!F199="","",TCD!F199)</f>
        <v/>
      </c>
      <c r="T198" t="str">
        <f>IF(TCD!E199="","",TCD!E199)</f>
        <v/>
      </c>
      <c r="U198">
        <f>SUM(TCD!H199:J199)</f>
        <v>6.3500000000000005</v>
      </c>
    </row>
    <row r="199" spans="1:21" x14ac:dyDescent="0.25">
      <c r="A199" s="1" t="str">
        <f>_xlfn.XLOOKUP(G199,'Facture GLS'!AB:AB,'Facture GLS'!O:O)</f>
        <v>BY FOUTAS</v>
      </c>
      <c r="B199" t="str">
        <f t="shared" si="9"/>
        <v>GLS</v>
      </c>
      <c r="C199" s="2">
        <f t="shared" si="10"/>
        <v>46174</v>
      </c>
      <c r="G199" t="str">
        <f>TCD!D200</f>
        <v>00KZZJV7</v>
      </c>
      <c r="I199" t="s">
        <v>104</v>
      </c>
      <c r="J199" t="str">
        <f>_xlfn.XLOOKUP(G199,'Facture GLS'!AB:AB,'Facture GLS'!BB:BB)</f>
        <v>FR</v>
      </c>
      <c r="K199" t="str">
        <f>IF(COUNTIF(Zoning!A:A,J199)=0,"pays inconnu",LOOKUP(J199,Zoning!A:A,Zoning!B:B))</f>
        <v>France</v>
      </c>
      <c r="L199">
        <f t="shared" si="11"/>
        <v>1</v>
      </c>
      <c r="M199">
        <f>_xlfn.XLOOKUP(G199,Poids!A:A,Poids!C:C)</f>
        <v>2</v>
      </c>
      <c r="N199" t="str">
        <f>IF(COUNTIF(Zoning!A:A,J199)=0,"zone inconnue","France")</f>
        <v>France</v>
      </c>
      <c r="O199">
        <f>IF(COUNTIF(Zoning!A:A,J199)=0,"taux inconnu",_xlfn.XLOOKUP(J199,Zoning!A:A,Zoning!C:C))</f>
        <v>0.2</v>
      </c>
      <c r="R199" t="str">
        <f>IF(TCD!K200="","",TCD!K200)</f>
        <v/>
      </c>
      <c r="S199" t="str">
        <f>IF(TCD!F200="","",TCD!F200)</f>
        <v/>
      </c>
      <c r="T199" t="str">
        <f>IF(TCD!E200="","",TCD!E200)</f>
        <v/>
      </c>
      <c r="U199">
        <f>SUM(TCD!H200:J200)</f>
        <v>5.4700000000000006</v>
      </c>
    </row>
    <row r="200" spans="1:21" x14ac:dyDescent="0.25">
      <c r="A200" s="1" t="str">
        <f>_xlfn.XLOOKUP(G200,'Facture GLS'!AB:AB,'Facture GLS'!O:O)</f>
        <v>BY FOUTAS</v>
      </c>
      <c r="B200" t="str">
        <f t="shared" si="9"/>
        <v>GLS</v>
      </c>
      <c r="C200" s="2">
        <f t="shared" si="10"/>
        <v>46174</v>
      </c>
      <c r="G200" t="str">
        <f>TCD!D201</f>
        <v>00KZZJV8</v>
      </c>
      <c r="I200" t="s">
        <v>104</v>
      </c>
      <c r="J200" t="str">
        <f>_xlfn.XLOOKUP(G200,'Facture GLS'!AB:AB,'Facture GLS'!BB:BB)</f>
        <v>FR</v>
      </c>
      <c r="K200" t="str">
        <f>IF(COUNTIF(Zoning!A:A,J200)=0,"pays inconnu",LOOKUP(J200,Zoning!A:A,Zoning!B:B))</f>
        <v>France</v>
      </c>
      <c r="L200">
        <f t="shared" si="11"/>
        <v>1</v>
      </c>
      <c r="M200">
        <f>_xlfn.XLOOKUP(G200,Poids!A:A,Poids!C:C)</f>
        <v>5.1999999999999993</v>
      </c>
      <c r="N200" t="str">
        <f>IF(COUNTIF(Zoning!A:A,J200)=0,"zone inconnue","France")</f>
        <v>France</v>
      </c>
      <c r="O200">
        <f>IF(COUNTIF(Zoning!A:A,J200)=0,"taux inconnu",_xlfn.XLOOKUP(J200,Zoning!A:A,Zoning!C:C))</f>
        <v>0.2</v>
      </c>
      <c r="R200" t="str">
        <f>IF(TCD!K201="","",TCD!K201)</f>
        <v/>
      </c>
      <c r="S200" t="str">
        <f>IF(TCD!F201="","",TCD!F201)</f>
        <v/>
      </c>
      <c r="T200" t="str">
        <f>IF(TCD!E201="","",TCD!E201)</f>
        <v/>
      </c>
      <c r="U200">
        <f>SUM(TCD!H201:J201)</f>
        <v>7.4700000000000015</v>
      </c>
    </row>
    <row r="201" spans="1:21" x14ac:dyDescent="0.25">
      <c r="A201" s="1" t="str">
        <f>_xlfn.XLOOKUP(G201,'Facture GLS'!AB:AB,'Facture GLS'!O:O)</f>
        <v>BY FOUTAS</v>
      </c>
      <c r="B201" t="str">
        <f t="shared" si="9"/>
        <v>GLS</v>
      </c>
      <c r="C201" s="2">
        <f t="shared" si="10"/>
        <v>46174</v>
      </c>
      <c r="G201" t="str">
        <f>TCD!D202</f>
        <v>00KZZJV9</v>
      </c>
      <c r="I201" t="s">
        <v>104</v>
      </c>
      <c r="J201" t="str">
        <f>_xlfn.XLOOKUP(G201,'Facture GLS'!AB:AB,'Facture GLS'!BB:BB)</f>
        <v>FR</v>
      </c>
      <c r="K201" t="str">
        <f>IF(COUNTIF(Zoning!A:A,J201)=0,"pays inconnu",LOOKUP(J201,Zoning!A:A,Zoning!B:B))</f>
        <v>France</v>
      </c>
      <c r="L201">
        <f t="shared" si="11"/>
        <v>1</v>
      </c>
      <c r="M201">
        <f>_xlfn.XLOOKUP(G201,Poids!A:A,Poids!C:C)</f>
        <v>0.6</v>
      </c>
      <c r="N201" t="str">
        <f>IF(COUNTIF(Zoning!A:A,J201)=0,"zone inconnue","France")</f>
        <v>France</v>
      </c>
      <c r="O201">
        <f>IF(COUNTIF(Zoning!A:A,J201)=0,"taux inconnu",_xlfn.XLOOKUP(J201,Zoning!A:A,Zoning!C:C))</f>
        <v>0.2</v>
      </c>
      <c r="R201" t="str">
        <f>IF(TCD!K202="","",TCD!K202)</f>
        <v/>
      </c>
      <c r="S201" t="str">
        <f>IF(TCD!F202="","",TCD!F202)</f>
        <v/>
      </c>
      <c r="T201" t="str">
        <f>IF(TCD!E202="","",TCD!E202)</f>
        <v/>
      </c>
      <c r="U201">
        <f>SUM(TCD!H202:J202)</f>
        <v>5.15</v>
      </c>
    </row>
    <row r="202" spans="1:21" x14ac:dyDescent="0.25">
      <c r="A202" s="1" t="str">
        <f>_xlfn.XLOOKUP(G202,'Facture GLS'!AB:AB,'Facture GLS'!O:O)</f>
        <v>BY FOUTAS</v>
      </c>
      <c r="B202" t="str">
        <f t="shared" si="9"/>
        <v>GLS</v>
      </c>
      <c r="C202" s="2">
        <f t="shared" si="10"/>
        <v>46174</v>
      </c>
      <c r="G202" t="str">
        <f>TCD!D203</f>
        <v>00KZZJVA</v>
      </c>
      <c r="I202" t="s">
        <v>104</v>
      </c>
      <c r="J202" t="str">
        <f>_xlfn.XLOOKUP(G202,'Facture GLS'!AB:AB,'Facture GLS'!BB:BB)</f>
        <v>FR</v>
      </c>
      <c r="K202" t="str">
        <f>IF(COUNTIF(Zoning!A:A,J202)=0,"pays inconnu",LOOKUP(J202,Zoning!A:A,Zoning!B:B))</f>
        <v>France</v>
      </c>
      <c r="L202">
        <f t="shared" si="11"/>
        <v>1</v>
      </c>
      <c r="M202">
        <f>_xlfn.XLOOKUP(G202,Poids!A:A,Poids!C:C)</f>
        <v>1.7000000000000002</v>
      </c>
      <c r="N202" t="str">
        <f>IF(COUNTIF(Zoning!A:A,J202)=0,"zone inconnue","France")</f>
        <v>France</v>
      </c>
      <c r="O202">
        <f>IF(COUNTIF(Zoning!A:A,J202)=0,"taux inconnu",_xlfn.XLOOKUP(J202,Zoning!A:A,Zoning!C:C))</f>
        <v>0.2</v>
      </c>
      <c r="R202" t="str">
        <f>IF(TCD!K203="","",TCD!K203)</f>
        <v/>
      </c>
      <c r="S202" t="str">
        <f>IF(TCD!F203="","",TCD!F203)</f>
        <v/>
      </c>
      <c r="T202" t="str">
        <f>IF(TCD!E203="","",TCD!E203)</f>
        <v/>
      </c>
      <c r="U202">
        <f>SUM(TCD!H203:J203)</f>
        <v>5.4700000000000006</v>
      </c>
    </row>
    <row r="203" spans="1:21" x14ac:dyDescent="0.25">
      <c r="A203" s="1" t="str">
        <f>_xlfn.XLOOKUP(G203,'Facture GLS'!AB:AB,'Facture GLS'!O:O)</f>
        <v>BY FOUTAS</v>
      </c>
      <c r="B203" t="str">
        <f t="shared" si="9"/>
        <v>GLS</v>
      </c>
      <c r="C203" s="2">
        <f t="shared" si="10"/>
        <v>46174</v>
      </c>
      <c r="G203" t="str">
        <f>TCD!D204</f>
        <v>00KZZJVB</v>
      </c>
      <c r="I203" t="s">
        <v>104</v>
      </c>
      <c r="J203" t="str">
        <f>_xlfn.XLOOKUP(G203,'Facture GLS'!AB:AB,'Facture GLS'!BB:BB)</f>
        <v>FR</v>
      </c>
      <c r="K203" t="str">
        <f>IF(COUNTIF(Zoning!A:A,J203)=0,"pays inconnu",LOOKUP(J203,Zoning!A:A,Zoning!B:B))</f>
        <v>France</v>
      </c>
      <c r="L203">
        <f t="shared" si="11"/>
        <v>1</v>
      </c>
      <c r="M203">
        <f>_xlfn.XLOOKUP(G203,Poids!A:A,Poids!C:C)</f>
        <v>3.5</v>
      </c>
      <c r="N203" t="str">
        <f>IF(COUNTIF(Zoning!A:A,J203)=0,"zone inconnue","France")</f>
        <v>France</v>
      </c>
      <c r="O203">
        <f>IF(COUNTIF(Zoning!A:A,J203)=0,"taux inconnu",_xlfn.XLOOKUP(J203,Zoning!A:A,Zoning!C:C))</f>
        <v>0.2</v>
      </c>
      <c r="R203" t="str">
        <f>IF(TCD!K204="","",TCD!K204)</f>
        <v/>
      </c>
      <c r="S203" t="str">
        <f>IF(TCD!F204="","",TCD!F204)</f>
        <v/>
      </c>
      <c r="T203" t="str">
        <f>IF(TCD!E204="","",TCD!E204)</f>
        <v/>
      </c>
      <c r="U203">
        <f>SUM(TCD!H204:J204)</f>
        <v>6.3500000000000005</v>
      </c>
    </row>
    <row r="204" spans="1:21" x14ac:dyDescent="0.25">
      <c r="A204" s="1" t="str">
        <f>_xlfn.XLOOKUP(G204,'Facture GLS'!AB:AB,'Facture GLS'!O:O)</f>
        <v>BY FOUTAS</v>
      </c>
      <c r="B204" t="str">
        <f t="shared" si="9"/>
        <v>GLS</v>
      </c>
      <c r="C204" s="2">
        <f t="shared" si="10"/>
        <v>46174</v>
      </c>
      <c r="G204" t="str">
        <f>TCD!D205</f>
        <v>00KZZJVC</v>
      </c>
      <c r="I204" t="s">
        <v>104</v>
      </c>
      <c r="J204" t="str">
        <f>_xlfn.XLOOKUP(G204,'Facture GLS'!AB:AB,'Facture GLS'!BB:BB)</f>
        <v>FR</v>
      </c>
      <c r="K204" t="str">
        <f>IF(COUNTIF(Zoning!A:A,J204)=0,"pays inconnu",LOOKUP(J204,Zoning!A:A,Zoning!B:B))</f>
        <v>France</v>
      </c>
      <c r="L204">
        <f t="shared" si="11"/>
        <v>1</v>
      </c>
      <c r="M204">
        <f>_xlfn.XLOOKUP(G204,Poids!A:A,Poids!C:C)</f>
        <v>0.5</v>
      </c>
      <c r="N204" t="str">
        <f>IF(COUNTIF(Zoning!A:A,J204)=0,"zone inconnue","France")</f>
        <v>France</v>
      </c>
      <c r="O204">
        <f>IF(COUNTIF(Zoning!A:A,J204)=0,"taux inconnu",_xlfn.XLOOKUP(J204,Zoning!A:A,Zoning!C:C))</f>
        <v>0.2</v>
      </c>
      <c r="R204" t="str">
        <f>IF(TCD!K205="","",TCD!K205)</f>
        <v/>
      </c>
      <c r="S204" t="str">
        <f>IF(TCD!F205="","",TCD!F205)</f>
        <v/>
      </c>
      <c r="T204" t="str">
        <f>IF(TCD!E205="","",TCD!E205)</f>
        <v/>
      </c>
      <c r="U204">
        <f>SUM(TCD!H205:J205)</f>
        <v>4.82</v>
      </c>
    </row>
    <row r="205" spans="1:21" x14ac:dyDescent="0.25">
      <c r="A205" s="1" t="str">
        <f>_xlfn.XLOOKUP(G205,'Facture GLS'!AB:AB,'Facture GLS'!O:O)</f>
        <v>BY FOUTAS</v>
      </c>
      <c r="B205" t="str">
        <f t="shared" si="9"/>
        <v>GLS</v>
      </c>
      <c r="C205" s="2">
        <f t="shared" si="10"/>
        <v>46174</v>
      </c>
      <c r="G205" t="str">
        <f>TCD!D206</f>
        <v>00KZZJVD</v>
      </c>
      <c r="I205" t="s">
        <v>104</v>
      </c>
      <c r="J205" t="str">
        <f>_xlfn.XLOOKUP(G205,'Facture GLS'!AB:AB,'Facture GLS'!BB:BB)</f>
        <v>FR</v>
      </c>
      <c r="K205" t="str">
        <f>IF(COUNTIF(Zoning!A:A,J205)=0,"pays inconnu",LOOKUP(J205,Zoning!A:A,Zoning!B:B))</f>
        <v>France</v>
      </c>
      <c r="L205">
        <f t="shared" si="11"/>
        <v>1</v>
      </c>
      <c r="M205">
        <f>_xlfn.XLOOKUP(G205,Poids!A:A,Poids!C:C)</f>
        <v>2.3000000000000003</v>
      </c>
      <c r="N205" t="str">
        <f>IF(COUNTIF(Zoning!A:A,J205)=0,"zone inconnue","France")</f>
        <v>France</v>
      </c>
      <c r="O205">
        <f>IF(COUNTIF(Zoning!A:A,J205)=0,"taux inconnu",_xlfn.XLOOKUP(J205,Zoning!A:A,Zoning!C:C))</f>
        <v>0.2</v>
      </c>
      <c r="R205" t="str">
        <f>IF(TCD!K206="","",TCD!K206)</f>
        <v/>
      </c>
      <c r="S205" t="str">
        <f>IF(TCD!F206="","",TCD!F206)</f>
        <v/>
      </c>
      <c r="T205" t="str">
        <f>IF(TCD!E206="","",TCD!E206)</f>
        <v/>
      </c>
      <c r="U205">
        <f>SUM(TCD!H206:J206)</f>
        <v>5.7900000000000009</v>
      </c>
    </row>
    <row r="206" spans="1:21" x14ac:dyDescent="0.25">
      <c r="A206" s="1" t="str">
        <f>_xlfn.XLOOKUP(G206,'Facture GLS'!AB:AB,'Facture GLS'!O:O)</f>
        <v>Laboratoires Christian Roche</v>
      </c>
      <c r="B206" t="str">
        <f t="shared" si="9"/>
        <v>GLS</v>
      </c>
      <c r="C206" s="2">
        <f t="shared" si="10"/>
        <v>46174</v>
      </c>
      <c r="G206" t="str">
        <f>TCD!D207</f>
        <v>00L0DR8P</v>
      </c>
      <c r="I206" t="s">
        <v>104</v>
      </c>
      <c r="J206" t="str">
        <f>_xlfn.XLOOKUP(G206,'Facture GLS'!AB:AB,'Facture GLS'!BB:BB)</f>
        <v>FR</v>
      </c>
      <c r="K206" t="str">
        <f>IF(COUNTIF(Zoning!A:A,J206)=0,"pays inconnu",LOOKUP(J206,Zoning!A:A,Zoning!B:B))</f>
        <v>France</v>
      </c>
      <c r="L206">
        <f t="shared" si="11"/>
        <v>1</v>
      </c>
      <c r="M206">
        <f>_xlfn.XLOOKUP(G206,Poids!A:A,Poids!C:C)</f>
        <v>0.2</v>
      </c>
      <c r="N206" t="str">
        <f>IF(COUNTIF(Zoning!A:A,J206)=0,"zone inconnue","France")</f>
        <v>France</v>
      </c>
      <c r="O206">
        <f>IF(COUNTIF(Zoning!A:A,J206)=0,"taux inconnu",_xlfn.XLOOKUP(J206,Zoning!A:A,Zoning!C:C))</f>
        <v>0.2</v>
      </c>
      <c r="R206" t="str">
        <f>IF(TCD!K207="","",TCD!K207)</f>
        <v/>
      </c>
      <c r="S206" t="str">
        <f>IF(TCD!F207="","",TCD!F207)</f>
        <v/>
      </c>
      <c r="T206" t="str">
        <f>IF(TCD!E207="","",TCD!E207)</f>
        <v/>
      </c>
      <c r="U206">
        <f>SUM(TCD!H207:J207)</f>
        <v>4.82</v>
      </c>
    </row>
    <row r="207" spans="1:21" x14ac:dyDescent="0.25">
      <c r="A207" s="1" t="str">
        <f>_xlfn.XLOOKUP(G207,'Facture GLS'!AB:AB,'Facture GLS'!O:O)</f>
        <v>Laboratoires Christian Roche</v>
      </c>
      <c r="B207" t="str">
        <f t="shared" si="9"/>
        <v>GLS</v>
      </c>
      <c r="C207" s="2">
        <f t="shared" si="10"/>
        <v>46174</v>
      </c>
      <c r="G207" t="str">
        <f>TCD!D208</f>
        <v>00L0DT0Y</v>
      </c>
      <c r="I207" t="s">
        <v>104</v>
      </c>
      <c r="J207" t="str">
        <f>_xlfn.XLOOKUP(G207,'Facture GLS'!AB:AB,'Facture GLS'!BB:BB)</f>
        <v>FR</v>
      </c>
      <c r="K207" t="str">
        <f>IF(COUNTIF(Zoning!A:A,J207)=0,"pays inconnu",LOOKUP(J207,Zoning!A:A,Zoning!B:B))</f>
        <v>France</v>
      </c>
      <c r="L207">
        <f t="shared" si="11"/>
        <v>1</v>
      </c>
      <c r="M207">
        <f>_xlfn.XLOOKUP(G207,Poids!A:A,Poids!C:C)</f>
        <v>2.7</v>
      </c>
      <c r="N207" t="str">
        <f>IF(COUNTIF(Zoning!A:A,J207)=0,"zone inconnue","France")</f>
        <v>France</v>
      </c>
      <c r="O207">
        <f>IF(COUNTIF(Zoning!A:A,J207)=0,"taux inconnu",_xlfn.XLOOKUP(J207,Zoning!A:A,Zoning!C:C))</f>
        <v>0.2</v>
      </c>
      <c r="R207" t="str">
        <f>IF(TCD!K208="","",TCD!K208)</f>
        <v/>
      </c>
      <c r="S207" t="str">
        <f>IF(TCD!F208="","",TCD!F208)</f>
        <v/>
      </c>
      <c r="T207" t="str">
        <f>IF(TCD!E208="","",TCD!E208)</f>
        <v/>
      </c>
      <c r="U207">
        <f>SUM(TCD!H208:J208)</f>
        <v>5.7900000000000009</v>
      </c>
    </row>
    <row r="208" spans="1:21" x14ac:dyDescent="0.25">
      <c r="A208" s="1" t="str">
        <f>_xlfn.XLOOKUP(G208,'Facture GLS'!AB:AB,'Facture GLS'!O:O)</f>
        <v>Laboratoires Christian Roche</v>
      </c>
      <c r="B208" t="str">
        <f t="shared" si="9"/>
        <v>GLS</v>
      </c>
      <c r="C208" s="2">
        <f t="shared" si="10"/>
        <v>46174</v>
      </c>
      <c r="G208" t="str">
        <f>TCD!D209</f>
        <v>00L0DT2S</v>
      </c>
      <c r="I208" t="s">
        <v>104</v>
      </c>
      <c r="J208" t="str">
        <f>_xlfn.XLOOKUP(G208,'Facture GLS'!AB:AB,'Facture GLS'!BB:BB)</f>
        <v>FR</v>
      </c>
      <c r="K208" t="str">
        <f>IF(COUNTIF(Zoning!A:A,J208)=0,"pays inconnu",LOOKUP(J208,Zoning!A:A,Zoning!B:B))</f>
        <v>France</v>
      </c>
      <c r="L208">
        <f t="shared" si="11"/>
        <v>1</v>
      </c>
      <c r="M208">
        <f>_xlfn.XLOOKUP(G208,Poids!A:A,Poids!C:C)</f>
        <v>0.79999999999999993</v>
      </c>
      <c r="N208" t="str">
        <f>IF(COUNTIF(Zoning!A:A,J208)=0,"zone inconnue","France")</f>
        <v>France</v>
      </c>
      <c r="O208">
        <f>IF(COUNTIF(Zoning!A:A,J208)=0,"taux inconnu",_xlfn.XLOOKUP(J208,Zoning!A:A,Zoning!C:C))</f>
        <v>0.2</v>
      </c>
      <c r="R208" t="str">
        <f>IF(TCD!K209="","",TCD!K209)</f>
        <v/>
      </c>
      <c r="S208" t="str">
        <f>IF(TCD!F209="","",TCD!F209)</f>
        <v/>
      </c>
      <c r="T208" t="str">
        <f>IF(TCD!E209="","",TCD!E209)</f>
        <v/>
      </c>
      <c r="U208">
        <f>SUM(TCD!H209:J209)</f>
        <v>5.15</v>
      </c>
    </row>
    <row r="209" spans="1:21" x14ac:dyDescent="0.25">
      <c r="A209" s="1" t="str">
        <f>_xlfn.XLOOKUP(G209,'Facture GLS'!AB:AB,'Facture GLS'!O:O)</f>
        <v>ANOTHER WAY</v>
      </c>
      <c r="B209" t="str">
        <f t="shared" si="9"/>
        <v>GLS</v>
      </c>
      <c r="C209" s="2">
        <f t="shared" si="10"/>
        <v>46174</v>
      </c>
      <c r="G209" t="str">
        <f>TCD!D210</f>
        <v>00L0EX46</v>
      </c>
      <c r="I209" t="s">
        <v>104</v>
      </c>
      <c r="J209" t="str">
        <f>_xlfn.XLOOKUP(G209,'Facture GLS'!AB:AB,'Facture GLS'!BB:BB)</f>
        <v>FR</v>
      </c>
      <c r="K209" t="str">
        <f>IF(COUNTIF(Zoning!A:A,J209)=0,"pays inconnu",LOOKUP(J209,Zoning!A:A,Zoning!B:B))</f>
        <v>France</v>
      </c>
      <c r="L209">
        <f t="shared" si="11"/>
        <v>1</v>
      </c>
      <c r="M209">
        <f>_xlfn.XLOOKUP(G209,Poids!A:A,Poids!C:C)</f>
        <v>0.4</v>
      </c>
      <c r="N209" t="str">
        <f>IF(COUNTIF(Zoning!A:A,J209)=0,"zone inconnue","France")</f>
        <v>France</v>
      </c>
      <c r="O209">
        <f>IF(COUNTIF(Zoning!A:A,J209)=0,"taux inconnu",_xlfn.XLOOKUP(J209,Zoning!A:A,Zoning!C:C))</f>
        <v>0.2</v>
      </c>
      <c r="R209" t="str">
        <f>IF(TCD!K210="","",TCD!K210)</f>
        <v/>
      </c>
      <c r="S209" t="str">
        <f>IF(TCD!F210="","",TCD!F210)</f>
        <v/>
      </c>
      <c r="T209" t="str">
        <f>IF(TCD!E210="","",TCD!E210)</f>
        <v/>
      </c>
      <c r="U209">
        <f>SUM(TCD!H210:J210)</f>
        <v>4.82</v>
      </c>
    </row>
    <row r="210" spans="1:21" x14ac:dyDescent="0.25">
      <c r="A210" s="1" t="str">
        <f>_xlfn.XLOOKUP(G210,'Facture GLS'!AB:AB,'Facture GLS'!O:O)</f>
        <v>ANOTHER WAY</v>
      </c>
      <c r="B210" t="str">
        <f t="shared" si="9"/>
        <v>GLS</v>
      </c>
      <c r="C210" s="2">
        <f t="shared" si="10"/>
        <v>46174</v>
      </c>
      <c r="G210" t="str">
        <f>TCD!D211</f>
        <v>00L0EXC0</v>
      </c>
      <c r="I210" t="s">
        <v>104</v>
      </c>
      <c r="J210" t="str">
        <f>_xlfn.XLOOKUP(G210,'Facture GLS'!AB:AB,'Facture GLS'!BB:BB)</f>
        <v>FR</v>
      </c>
      <c r="K210" t="str">
        <f>IF(COUNTIF(Zoning!A:A,J210)=0,"pays inconnu",LOOKUP(J210,Zoning!A:A,Zoning!B:B))</f>
        <v>France</v>
      </c>
      <c r="L210">
        <f t="shared" si="11"/>
        <v>1</v>
      </c>
      <c r="M210">
        <f>_xlfn.XLOOKUP(G210,Poids!A:A,Poids!C:C)</f>
        <v>0.4</v>
      </c>
      <c r="N210" t="str">
        <f>IF(COUNTIF(Zoning!A:A,J210)=0,"zone inconnue","France")</f>
        <v>France</v>
      </c>
      <c r="O210">
        <f>IF(COUNTIF(Zoning!A:A,J210)=0,"taux inconnu",_xlfn.XLOOKUP(J210,Zoning!A:A,Zoning!C:C))</f>
        <v>0.2</v>
      </c>
      <c r="R210" t="str">
        <f>IF(TCD!K211="","",TCD!K211)</f>
        <v/>
      </c>
      <c r="S210" t="str">
        <f>IF(TCD!F211="","",TCD!F211)</f>
        <v/>
      </c>
      <c r="T210" t="str">
        <f>IF(TCD!E211="","",TCD!E211)</f>
        <v/>
      </c>
      <c r="U210">
        <f>SUM(TCD!H211:J211)</f>
        <v>4.82</v>
      </c>
    </row>
    <row r="211" spans="1:21" x14ac:dyDescent="0.25">
      <c r="A211" s="1" t="str">
        <f>_xlfn.XLOOKUP(G211,'Facture GLS'!AB:AB,'Facture GLS'!O:O)</f>
        <v>ANOTHER WAY</v>
      </c>
      <c r="B211" t="str">
        <f t="shared" si="9"/>
        <v>GLS</v>
      </c>
      <c r="C211" s="2">
        <f t="shared" si="10"/>
        <v>46174</v>
      </c>
      <c r="G211" t="str">
        <f>TCD!D212</f>
        <v>00L0EXFW</v>
      </c>
      <c r="I211" t="s">
        <v>104</v>
      </c>
      <c r="J211" t="str">
        <f>_xlfn.XLOOKUP(G211,'Facture GLS'!AB:AB,'Facture GLS'!BB:BB)</f>
        <v>FR</v>
      </c>
      <c r="K211" t="str">
        <f>IF(COUNTIF(Zoning!A:A,J211)=0,"pays inconnu",LOOKUP(J211,Zoning!A:A,Zoning!B:B))</f>
        <v>France</v>
      </c>
      <c r="L211">
        <f t="shared" si="11"/>
        <v>1</v>
      </c>
      <c r="M211">
        <f>_xlfn.XLOOKUP(G211,Poids!A:A,Poids!C:C)</f>
        <v>0.30000000000000004</v>
      </c>
      <c r="N211" t="str">
        <f>IF(COUNTIF(Zoning!A:A,J211)=0,"zone inconnue","France")</f>
        <v>France</v>
      </c>
      <c r="O211">
        <f>IF(COUNTIF(Zoning!A:A,J211)=0,"taux inconnu",_xlfn.XLOOKUP(J211,Zoning!A:A,Zoning!C:C))</f>
        <v>0.2</v>
      </c>
      <c r="R211" t="str">
        <f>IF(TCD!K212="","",TCD!K212)</f>
        <v/>
      </c>
      <c r="S211" t="str">
        <f>IF(TCD!F212="","",TCD!F212)</f>
        <v/>
      </c>
      <c r="T211" t="str">
        <f>IF(TCD!E212="","",TCD!E212)</f>
        <v/>
      </c>
      <c r="U211">
        <f>SUM(TCD!H212:J212)</f>
        <v>4.82</v>
      </c>
    </row>
    <row r="212" spans="1:21" x14ac:dyDescent="0.25">
      <c r="A212" s="1" t="str">
        <f>_xlfn.XLOOKUP(G212,'Facture GLS'!AB:AB,'Facture GLS'!O:O)</f>
        <v>ANOTHER WAY</v>
      </c>
      <c r="B212" t="str">
        <f t="shared" si="9"/>
        <v>GLS</v>
      </c>
      <c r="C212" s="2">
        <f t="shared" si="10"/>
        <v>46174</v>
      </c>
      <c r="G212" t="str">
        <f>TCD!D213</f>
        <v>00L0F7R5</v>
      </c>
      <c r="I212" t="s">
        <v>104</v>
      </c>
      <c r="J212" t="str">
        <f>_xlfn.XLOOKUP(G212,'Facture GLS'!AB:AB,'Facture GLS'!BB:BB)</f>
        <v>FR</v>
      </c>
      <c r="K212" t="str">
        <f>IF(COUNTIF(Zoning!A:A,J212)=0,"pays inconnu",LOOKUP(J212,Zoning!A:A,Zoning!B:B))</f>
        <v>France</v>
      </c>
      <c r="L212">
        <f t="shared" si="11"/>
        <v>1</v>
      </c>
      <c r="M212">
        <f>_xlfn.XLOOKUP(G212,Poids!A:A,Poids!C:C)</f>
        <v>0.30000000000000004</v>
      </c>
      <c r="N212" t="str">
        <f>IF(COUNTIF(Zoning!A:A,J212)=0,"zone inconnue","France")</f>
        <v>France</v>
      </c>
      <c r="O212">
        <f>IF(COUNTIF(Zoning!A:A,J212)=0,"taux inconnu",_xlfn.XLOOKUP(J212,Zoning!A:A,Zoning!C:C))</f>
        <v>0.2</v>
      </c>
      <c r="R212" t="str">
        <f>IF(TCD!K213="","",TCD!K213)</f>
        <v/>
      </c>
      <c r="S212" t="str">
        <f>IF(TCD!F213="","",TCD!F213)</f>
        <v/>
      </c>
      <c r="T212" t="str">
        <f>IF(TCD!E213="","",TCD!E213)</f>
        <v/>
      </c>
      <c r="U212">
        <f>SUM(TCD!H213:J213)</f>
        <v>4.82</v>
      </c>
    </row>
    <row r="213" spans="1:21" x14ac:dyDescent="0.25">
      <c r="A213" s="1" t="str">
        <f>_xlfn.XLOOKUP(G213,'Facture GLS'!AB:AB,'Facture GLS'!O:O)</f>
        <v>Laboratoires Christian Roche</v>
      </c>
      <c r="B213" t="str">
        <f t="shared" si="9"/>
        <v>GLS</v>
      </c>
      <c r="C213" s="2">
        <f t="shared" si="10"/>
        <v>46174</v>
      </c>
      <c r="G213" t="str">
        <f>TCD!D214</f>
        <v>00L0GLJP</v>
      </c>
      <c r="I213" t="s">
        <v>104</v>
      </c>
      <c r="J213" t="str">
        <f>_xlfn.XLOOKUP(G213,'Facture GLS'!AB:AB,'Facture GLS'!BB:BB)</f>
        <v>FR</v>
      </c>
      <c r="K213" t="str">
        <f>IF(COUNTIF(Zoning!A:A,J213)=0,"pays inconnu",LOOKUP(J213,Zoning!A:A,Zoning!B:B))</f>
        <v>France</v>
      </c>
      <c r="L213">
        <f t="shared" si="11"/>
        <v>1</v>
      </c>
      <c r="M213">
        <f>_xlfn.XLOOKUP(G213,Poids!A:A,Poids!C:C)</f>
        <v>0.30000000000000004</v>
      </c>
      <c r="N213" t="str">
        <f>IF(COUNTIF(Zoning!A:A,J213)=0,"zone inconnue","France")</f>
        <v>France</v>
      </c>
      <c r="O213">
        <f>IF(COUNTIF(Zoning!A:A,J213)=0,"taux inconnu",_xlfn.XLOOKUP(J213,Zoning!A:A,Zoning!C:C))</f>
        <v>0.2</v>
      </c>
      <c r="R213" t="str">
        <f>IF(TCD!K214="","",TCD!K214)</f>
        <v/>
      </c>
      <c r="S213" t="str">
        <f>IF(TCD!F214="","",TCD!F214)</f>
        <v/>
      </c>
      <c r="T213" t="str">
        <f>IF(TCD!E214="","",TCD!E214)</f>
        <v/>
      </c>
      <c r="U213">
        <f>SUM(TCD!H214:J214)</f>
        <v>4.82</v>
      </c>
    </row>
    <row r="214" spans="1:21" x14ac:dyDescent="0.25">
      <c r="A214" s="1" t="str">
        <f>_xlfn.XLOOKUP(G214,'Facture GLS'!AB:AB,'Facture GLS'!O:O)</f>
        <v>BY FOUTAS</v>
      </c>
      <c r="B214" t="str">
        <f t="shared" si="9"/>
        <v>GLS</v>
      </c>
      <c r="C214" s="2">
        <f t="shared" si="10"/>
        <v>46174</v>
      </c>
      <c r="G214" t="str">
        <f>TCD!D215</f>
        <v>00L0NDWA</v>
      </c>
      <c r="I214" t="s">
        <v>104</v>
      </c>
      <c r="J214" t="str">
        <f>_xlfn.XLOOKUP(G214,'Facture GLS'!AB:AB,'Facture GLS'!BB:BB)</f>
        <v>FR</v>
      </c>
      <c r="K214" t="str">
        <f>IF(COUNTIF(Zoning!A:A,J214)=0,"pays inconnu",LOOKUP(J214,Zoning!A:A,Zoning!B:B))</f>
        <v>France</v>
      </c>
      <c r="L214">
        <f t="shared" si="11"/>
        <v>1</v>
      </c>
      <c r="M214">
        <f>_xlfn.XLOOKUP(G214,Poids!A:A,Poids!C:C)</f>
        <v>1.2000000000000002</v>
      </c>
      <c r="N214" t="str">
        <f>IF(COUNTIF(Zoning!A:A,J214)=0,"zone inconnue","France")</f>
        <v>France</v>
      </c>
      <c r="O214">
        <f>IF(COUNTIF(Zoning!A:A,J214)=0,"taux inconnu",_xlfn.XLOOKUP(J214,Zoning!A:A,Zoning!C:C))</f>
        <v>0.2</v>
      </c>
      <c r="R214" t="str">
        <f>IF(TCD!K215="","",TCD!K215)</f>
        <v/>
      </c>
      <c r="S214" t="str">
        <f>IF(TCD!F215="","",TCD!F215)</f>
        <v/>
      </c>
      <c r="T214" t="str">
        <f>IF(TCD!E215="","",TCD!E215)</f>
        <v/>
      </c>
      <c r="U214">
        <f>SUM(TCD!H215:J215)</f>
        <v>5.4700000000000006</v>
      </c>
    </row>
    <row r="215" spans="1:21" x14ac:dyDescent="0.25">
      <c r="A215" s="1" t="str">
        <f>_xlfn.XLOOKUP(G215,'Facture GLS'!AB:AB,'Facture GLS'!O:O)</f>
        <v>BY FOUTAS</v>
      </c>
      <c r="B215" t="str">
        <f t="shared" si="9"/>
        <v>GLS</v>
      </c>
      <c r="C215" s="2">
        <f t="shared" si="10"/>
        <v>46174</v>
      </c>
      <c r="G215" t="str">
        <f>TCD!D216</f>
        <v>00L0NDWB</v>
      </c>
      <c r="I215" t="s">
        <v>104</v>
      </c>
      <c r="J215" t="str">
        <f>_xlfn.XLOOKUP(G215,'Facture GLS'!AB:AB,'Facture GLS'!BB:BB)</f>
        <v>FR</v>
      </c>
      <c r="K215" t="str">
        <f>IF(COUNTIF(Zoning!A:A,J215)=0,"pays inconnu",LOOKUP(J215,Zoning!A:A,Zoning!B:B))</f>
        <v>France</v>
      </c>
      <c r="L215">
        <f t="shared" si="11"/>
        <v>1</v>
      </c>
      <c r="M215">
        <f>_xlfn.XLOOKUP(G215,Poids!A:A,Poids!C:C)</f>
        <v>0.6</v>
      </c>
      <c r="N215" t="str">
        <f>IF(COUNTIF(Zoning!A:A,J215)=0,"zone inconnue","France")</f>
        <v>France</v>
      </c>
      <c r="O215">
        <f>IF(COUNTIF(Zoning!A:A,J215)=0,"taux inconnu",_xlfn.XLOOKUP(J215,Zoning!A:A,Zoning!C:C))</f>
        <v>0.2</v>
      </c>
      <c r="R215" t="str">
        <f>IF(TCD!K216="","",TCD!K216)</f>
        <v/>
      </c>
      <c r="S215" t="str">
        <f>IF(TCD!F216="","",TCD!F216)</f>
        <v/>
      </c>
      <c r="T215" t="str">
        <f>IF(TCD!E216="","",TCD!E216)</f>
        <v/>
      </c>
      <c r="U215">
        <f>SUM(TCD!H216:J216)</f>
        <v>5.15</v>
      </c>
    </row>
    <row r="216" spans="1:21" x14ac:dyDescent="0.25">
      <c r="A216" s="1" t="str">
        <f>_xlfn.XLOOKUP(G216,'Facture GLS'!AB:AB,'Facture GLS'!O:O)</f>
        <v>BY FOUTAS</v>
      </c>
      <c r="B216" t="str">
        <f t="shared" si="9"/>
        <v>GLS</v>
      </c>
      <c r="C216" s="2">
        <f t="shared" si="10"/>
        <v>46174</v>
      </c>
      <c r="G216" t="str">
        <f>TCD!D217</f>
        <v>00L0NDWC</v>
      </c>
      <c r="I216" t="s">
        <v>104</v>
      </c>
      <c r="J216" t="str">
        <f>_xlfn.XLOOKUP(G216,'Facture GLS'!AB:AB,'Facture GLS'!BB:BB)</f>
        <v>FR</v>
      </c>
      <c r="K216" t="str">
        <f>IF(COUNTIF(Zoning!A:A,J216)=0,"pays inconnu",LOOKUP(J216,Zoning!A:A,Zoning!B:B))</f>
        <v>France</v>
      </c>
      <c r="L216">
        <f t="shared" si="11"/>
        <v>1</v>
      </c>
      <c r="M216">
        <f>_xlfn.XLOOKUP(G216,Poids!A:A,Poids!C:C)</f>
        <v>0.6</v>
      </c>
      <c r="N216" t="str">
        <f>IF(COUNTIF(Zoning!A:A,J216)=0,"zone inconnue","France")</f>
        <v>France</v>
      </c>
      <c r="O216">
        <f>IF(COUNTIF(Zoning!A:A,J216)=0,"taux inconnu",_xlfn.XLOOKUP(J216,Zoning!A:A,Zoning!C:C))</f>
        <v>0.2</v>
      </c>
      <c r="R216" t="str">
        <f>IF(TCD!K217="","",TCD!K217)</f>
        <v/>
      </c>
      <c r="S216" t="str">
        <f>IF(TCD!F217="","",TCD!F217)</f>
        <v/>
      </c>
      <c r="T216" t="str">
        <f>IF(TCD!E217="","",TCD!E217)</f>
        <v/>
      </c>
      <c r="U216">
        <f>SUM(TCD!H217:J217)</f>
        <v>5.15</v>
      </c>
    </row>
    <row r="217" spans="1:21" x14ac:dyDescent="0.25">
      <c r="A217" s="1" t="str">
        <f>_xlfn.XLOOKUP(G217,'Facture GLS'!AB:AB,'Facture GLS'!O:O)</f>
        <v>BY FOUTAS</v>
      </c>
      <c r="B217" t="str">
        <f t="shared" si="9"/>
        <v>GLS</v>
      </c>
      <c r="C217" s="2">
        <f t="shared" si="10"/>
        <v>46174</v>
      </c>
      <c r="G217" t="str">
        <f>TCD!D218</f>
        <v>00L0NDWD</v>
      </c>
      <c r="I217" t="s">
        <v>104</v>
      </c>
      <c r="J217" t="str">
        <f>_xlfn.XLOOKUP(G217,'Facture GLS'!AB:AB,'Facture GLS'!BB:BB)</f>
        <v>FR</v>
      </c>
      <c r="K217" t="str">
        <f>IF(COUNTIF(Zoning!A:A,J217)=0,"pays inconnu",LOOKUP(J217,Zoning!A:A,Zoning!B:B))</f>
        <v>France</v>
      </c>
      <c r="L217">
        <f t="shared" si="11"/>
        <v>1</v>
      </c>
      <c r="M217">
        <f>_xlfn.XLOOKUP(G217,Poids!A:A,Poids!C:C)</f>
        <v>1.3</v>
      </c>
      <c r="N217" t="str">
        <f>IF(COUNTIF(Zoning!A:A,J217)=0,"zone inconnue","France")</f>
        <v>France</v>
      </c>
      <c r="O217">
        <f>IF(COUNTIF(Zoning!A:A,J217)=0,"taux inconnu",_xlfn.XLOOKUP(J217,Zoning!A:A,Zoning!C:C))</f>
        <v>0.2</v>
      </c>
      <c r="R217" t="str">
        <f>IF(TCD!K218="","",TCD!K218)</f>
        <v/>
      </c>
      <c r="S217" t="str">
        <f>IF(TCD!F218="","",TCD!F218)</f>
        <v/>
      </c>
      <c r="T217" t="str">
        <f>IF(TCD!E218="","",TCD!E218)</f>
        <v/>
      </c>
      <c r="U217">
        <f>SUM(TCD!H218:J218)</f>
        <v>5.4700000000000006</v>
      </c>
    </row>
    <row r="218" spans="1:21" x14ac:dyDescent="0.25">
      <c r="A218" s="1" t="str">
        <f>_xlfn.XLOOKUP(G218,'Facture GLS'!AB:AB,'Facture GLS'!O:O)</f>
        <v>BY FOUTAS</v>
      </c>
      <c r="B218" t="str">
        <f t="shared" si="9"/>
        <v>GLS</v>
      </c>
      <c r="C218" s="2">
        <f t="shared" si="10"/>
        <v>46174</v>
      </c>
      <c r="G218" t="str">
        <f>TCD!D219</f>
        <v>00L0NDWE</v>
      </c>
      <c r="I218" t="s">
        <v>104</v>
      </c>
      <c r="J218" t="str">
        <f>_xlfn.XLOOKUP(G218,'Facture GLS'!AB:AB,'Facture GLS'!BB:BB)</f>
        <v>FR</v>
      </c>
      <c r="K218" t="str">
        <f>IF(COUNTIF(Zoning!A:A,J218)=0,"pays inconnu",LOOKUP(J218,Zoning!A:A,Zoning!B:B))</f>
        <v>France</v>
      </c>
      <c r="L218">
        <f t="shared" si="11"/>
        <v>1</v>
      </c>
      <c r="M218">
        <f>_xlfn.XLOOKUP(G218,Poids!A:A,Poids!C:C)</f>
        <v>4</v>
      </c>
      <c r="N218" t="str">
        <f>IF(COUNTIF(Zoning!A:A,J218)=0,"zone inconnue","France")</f>
        <v>France</v>
      </c>
      <c r="O218">
        <f>IF(COUNTIF(Zoning!A:A,J218)=0,"taux inconnu",_xlfn.XLOOKUP(J218,Zoning!A:A,Zoning!C:C))</f>
        <v>0.2</v>
      </c>
      <c r="R218" t="str">
        <f>IF(TCD!K219="","",TCD!K219)</f>
        <v/>
      </c>
      <c r="S218" t="str">
        <f>IF(TCD!F219="","",TCD!F219)</f>
        <v/>
      </c>
      <c r="T218" t="str">
        <f>IF(TCD!E219="","",TCD!E219)</f>
        <v/>
      </c>
      <c r="U218">
        <f>SUM(TCD!H219:J219)</f>
        <v>6.3500000000000005</v>
      </c>
    </row>
    <row r="219" spans="1:21" x14ac:dyDescent="0.25">
      <c r="A219" s="1" t="str">
        <f>_xlfn.XLOOKUP(G219,'Facture GLS'!AB:AB,'Facture GLS'!O:O)</f>
        <v>BY FOUTAS</v>
      </c>
      <c r="B219" t="str">
        <f t="shared" si="9"/>
        <v>GLS</v>
      </c>
      <c r="C219" s="2">
        <f t="shared" si="10"/>
        <v>46174</v>
      </c>
      <c r="G219" t="str">
        <f>TCD!D220</f>
        <v>00L0NDWF</v>
      </c>
      <c r="I219" t="s">
        <v>104</v>
      </c>
      <c r="J219" t="str">
        <f>_xlfn.XLOOKUP(G219,'Facture GLS'!AB:AB,'Facture GLS'!BB:BB)</f>
        <v>FR</v>
      </c>
      <c r="K219" t="str">
        <f>IF(COUNTIF(Zoning!A:A,J219)=0,"pays inconnu",LOOKUP(J219,Zoning!A:A,Zoning!B:B))</f>
        <v>France</v>
      </c>
      <c r="L219">
        <f t="shared" si="11"/>
        <v>1</v>
      </c>
      <c r="M219">
        <f>_xlfn.XLOOKUP(G219,Poids!A:A,Poids!C:C)</f>
        <v>0.5</v>
      </c>
      <c r="N219" t="str">
        <f>IF(COUNTIF(Zoning!A:A,J219)=0,"zone inconnue","France")</f>
        <v>France</v>
      </c>
      <c r="O219">
        <f>IF(COUNTIF(Zoning!A:A,J219)=0,"taux inconnu",_xlfn.XLOOKUP(J219,Zoning!A:A,Zoning!C:C))</f>
        <v>0.2</v>
      </c>
      <c r="R219" t="str">
        <f>IF(TCD!K220="","",TCD!K220)</f>
        <v/>
      </c>
      <c r="S219" t="str">
        <f>IF(TCD!F220="","",TCD!F220)</f>
        <v/>
      </c>
      <c r="T219" t="str">
        <f>IF(TCD!E220="","",TCD!E220)</f>
        <v/>
      </c>
      <c r="U219">
        <f>SUM(TCD!H220:J220)</f>
        <v>4.82</v>
      </c>
    </row>
    <row r="220" spans="1:21" x14ac:dyDescent="0.25">
      <c r="A220" s="1" t="str">
        <f>_xlfn.XLOOKUP(G220,'Facture GLS'!AB:AB,'Facture GLS'!O:O)</f>
        <v>BY FOUTAS</v>
      </c>
      <c r="B220" t="str">
        <f t="shared" si="9"/>
        <v>GLS</v>
      </c>
      <c r="C220" s="2">
        <f t="shared" si="10"/>
        <v>46174</v>
      </c>
      <c r="G220" t="str">
        <f>TCD!D221</f>
        <v>00L0NDWG</v>
      </c>
      <c r="I220" t="s">
        <v>104</v>
      </c>
      <c r="J220" t="str">
        <f>_xlfn.XLOOKUP(G220,'Facture GLS'!AB:AB,'Facture GLS'!BB:BB)</f>
        <v>FR</v>
      </c>
      <c r="K220" t="str">
        <f>IF(COUNTIF(Zoning!A:A,J220)=0,"pays inconnu",LOOKUP(J220,Zoning!A:A,Zoning!B:B))</f>
        <v>France</v>
      </c>
      <c r="L220">
        <f t="shared" si="11"/>
        <v>1</v>
      </c>
      <c r="M220">
        <f>_xlfn.XLOOKUP(G220,Poids!A:A,Poids!C:C)</f>
        <v>0.5</v>
      </c>
      <c r="N220" t="str">
        <f>IF(COUNTIF(Zoning!A:A,J220)=0,"zone inconnue","France")</f>
        <v>France</v>
      </c>
      <c r="O220">
        <f>IF(COUNTIF(Zoning!A:A,J220)=0,"taux inconnu",_xlfn.XLOOKUP(J220,Zoning!A:A,Zoning!C:C))</f>
        <v>0.2</v>
      </c>
      <c r="R220" t="str">
        <f>IF(TCD!K221="","",TCD!K221)</f>
        <v/>
      </c>
      <c r="S220" t="str">
        <f>IF(TCD!F221="","",TCD!F221)</f>
        <v/>
      </c>
      <c r="T220" t="str">
        <f>IF(TCD!E221="","",TCD!E221)</f>
        <v/>
      </c>
      <c r="U220">
        <f>SUM(TCD!H221:J221)</f>
        <v>4.82</v>
      </c>
    </row>
    <row r="221" spans="1:21" x14ac:dyDescent="0.25">
      <c r="A221" s="1" t="str">
        <f>_xlfn.XLOOKUP(G221,'Facture GLS'!AB:AB,'Facture GLS'!O:O)</f>
        <v>BY FOUTAS</v>
      </c>
      <c r="B221" t="str">
        <f t="shared" si="9"/>
        <v>GLS</v>
      </c>
      <c r="C221" s="2">
        <f t="shared" si="10"/>
        <v>46174</v>
      </c>
      <c r="G221" t="str">
        <f>TCD!D222</f>
        <v>00L0NDWH</v>
      </c>
      <c r="I221" t="s">
        <v>104</v>
      </c>
      <c r="J221" t="str">
        <f>_xlfn.XLOOKUP(G221,'Facture GLS'!AB:AB,'Facture GLS'!BB:BB)</f>
        <v>FR</v>
      </c>
      <c r="K221" t="str">
        <f>IF(COUNTIF(Zoning!A:A,J221)=0,"pays inconnu",LOOKUP(J221,Zoning!A:A,Zoning!B:B))</f>
        <v>France</v>
      </c>
      <c r="L221">
        <f t="shared" si="11"/>
        <v>1</v>
      </c>
      <c r="M221">
        <f>_xlfn.XLOOKUP(G221,Poids!A:A,Poids!C:C)</f>
        <v>0.9</v>
      </c>
      <c r="N221" t="str">
        <f>IF(COUNTIF(Zoning!A:A,J221)=0,"zone inconnue","France")</f>
        <v>France</v>
      </c>
      <c r="O221">
        <f>IF(COUNTIF(Zoning!A:A,J221)=0,"taux inconnu",_xlfn.XLOOKUP(J221,Zoning!A:A,Zoning!C:C))</f>
        <v>0.2</v>
      </c>
      <c r="R221" t="str">
        <f>IF(TCD!K222="","",TCD!K222)</f>
        <v/>
      </c>
      <c r="S221" t="str">
        <f>IF(TCD!F222="","",TCD!F222)</f>
        <v/>
      </c>
      <c r="T221" t="str">
        <f>IF(TCD!E222="","",TCD!E222)</f>
        <v/>
      </c>
      <c r="U221">
        <f>SUM(TCD!H222:J222)</f>
        <v>5.15</v>
      </c>
    </row>
    <row r="222" spans="1:21" x14ac:dyDescent="0.25">
      <c r="A222" s="1" t="str">
        <f>_xlfn.XLOOKUP(G222,'Facture GLS'!AB:AB,'Facture GLS'!O:O)</f>
        <v>BY FOUTAS</v>
      </c>
      <c r="B222" t="str">
        <f t="shared" si="9"/>
        <v>GLS</v>
      </c>
      <c r="C222" s="2">
        <f t="shared" si="10"/>
        <v>46174</v>
      </c>
      <c r="G222" t="str">
        <f>TCD!D223</f>
        <v>00L0NDWI</v>
      </c>
      <c r="I222" t="s">
        <v>104</v>
      </c>
      <c r="J222" t="str">
        <f>_xlfn.XLOOKUP(G222,'Facture GLS'!AB:AB,'Facture GLS'!BB:BB)</f>
        <v>FR</v>
      </c>
      <c r="K222" t="str">
        <f>IF(COUNTIF(Zoning!A:A,J222)=0,"pays inconnu",LOOKUP(J222,Zoning!A:A,Zoning!B:B))</f>
        <v>France</v>
      </c>
      <c r="L222">
        <f t="shared" si="11"/>
        <v>1</v>
      </c>
      <c r="M222">
        <f>_xlfn.XLOOKUP(G222,Poids!A:A,Poids!C:C)</f>
        <v>1.2000000000000002</v>
      </c>
      <c r="N222" t="str">
        <f>IF(COUNTIF(Zoning!A:A,J222)=0,"zone inconnue","France")</f>
        <v>France</v>
      </c>
      <c r="O222">
        <f>IF(COUNTIF(Zoning!A:A,J222)=0,"taux inconnu",_xlfn.XLOOKUP(J222,Zoning!A:A,Zoning!C:C))</f>
        <v>0.2</v>
      </c>
      <c r="R222" t="str">
        <f>IF(TCD!K223="","",TCD!K223)</f>
        <v/>
      </c>
      <c r="S222" t="str">
        <f>IF(TCD!F223="","",TCD!F223)</f>
        <v/>
      </c>
      <c r="T222" t="str">
        <f>IF(TCD!E223="","",TCD!E223)</f>
        <v/>
      </c>
      <c r="U222">
        <f>SUM(TCD!H223:J223)</f>
        <v>5.4700000000000006</v>
      </c>
    </row>
    <row r="223" spans="1:21" x14ac:dyDescent="0.25">
      <c r="A223" s="1" t="str">
        <f>_xlfn.XLOOKUP(G223,'Facture GLS'!AB:AB,'Facture GLS'!O:O)</f>
        <v>BY FOUTAS</v>
      </c>
      <c r="B223" t="str">
        <f t="shared" si="9"/>
        <v>GLS</v>
      </c>
      <c r="C223" s="2">
        <f t="shared" si="10"/>
        <v>46174</v>
      </c>
      <c r="G223" t="str">
        <f>TCD!D224</f>
        <v>00L0NDWJ</v>
      </c>
      <c r="I223" t="s">
        <v>104</v>
      </c>
      <c r="J223" t="str">
        <f>_xlfn.XLOOKUP(G223,'Facture GLS'!AB:AB,'Facture GLS'!BB:BB)</f>
        <v>FR</v>
      </c>
      <c r="K223" t="str">
        <f>IF(COUNTIF(Zoning!A:A,J223)=0,"pays inconnu",LOOKUP(J223,Zoning!A:A,Zoning!B:B))</f>
        <v>France</v>
      </c>
      <c r="L223">
        <f t="shared" si="11"/>
        <v>1</v>
      </c>
      <c r="M223">
        <f>_xlfn.XLOOKUP(G223,Poids!A:A,Poids!C:C)</f>
        <v>2.2999999999999998</v>
      </c>
      <c r="N223" t="str">
        <f>IF(COUNTIF(Zoning!A:A,J223)=0,"zone inconnue","France")</f>
        <v>France</v>
      </c>
      <c r="O223">
        <f>IF(COUNTIF(Zoning!A:A,J223)=0,"taux inconnu",_xlfn.XLOOKUP(J223,Zoning!A:A,Zoning!C:C))</f>
        <v>0.2</v>
      </c>
      <c r="R223" t="str">
        <f>IF(TCD!K224="","",TCD!K224)</f>
        <v/>
      </c>
      <c r="S223" t="str">
        <f>IF(TCD!F224="","",TCD!F224)</f>
        <v/>
      </c>
      <c r="T223" t="str">
        <f>IF(TCD!E224="","",TCD!E224)</f>
        <v/>
      </c>
      <c r="U223">
        <f>SUM(TCD!H224:J224)</f>
        <v>5.7900000000000009</v>
      </c>
    </row>
    <row r="224" spans="1:21" x14ac:dyDescent="0.25">
      <c r="A224" s="1" t="str">
        <f>_xlfn.XLOOKUP(G224,'Facture GLS'!AB:AB,'Facture GLS'!O:O)</f>
        <v>BY FOUTAS</v>
      </c>
      <c r="B224" t="str">
        <f t="shared" si="9"/>
        <v>GLS</v>
      </c>
      <c r="C224" s="2">
        <f t="shared" si="10"/>
        <v>46174</v>
      </c>
      <c r="G224" t="str">
        <f>TCD!D225</f>
        <v>00L0NDWK</v>
      </c>
      <c r="I224" t="s">
        <v>104</v>
      </c>
      <c r="J224" t="str">
        <f>_xlfn.XLOOKUP(G224,'Facture GLS'!AB:AB,'Facture GLS'!BB:BB)</f>
        <v>FR</v>
      </c>
      <c r="K224" t="str">
        <f>IF(COUNTIF(Zoning!A:A,J224)=0,"pays inconnu",LOOKUP(J224,Zoning!A:A,Zoning!B:B))</f>
        <v>France</v>
      </c>
      <c r="L224">
        <f t="shared" si="11"/>
        <v>1</v>
      </c>
      <c r="M224">
        <f>_xlfn.XLOOKUP(G224,Poids!A:A,Poids!C:C)</f>
        <v>1.2000000000000002</v>
      </c>
      <c r="N224" t="str">
        <f>IF(COUNTIF(Zoning!A:A,J224)=0,"zone inconnue","France")</f>
        <v>France</v>
      </c>
      <c r="O224">
        <f>IF(COUNTIF(Zoning!A:A,J224)=0,"taux inconnu",_xlfn.XLOOKUP(J224,Zoning!A:A,Zoning!C:C))</f>
        <v>0.2</v>
      </c>
      <c r="R224" t="str">
        <f>IF(TCD!K225="","",TCD!K225)</f>
        <v/>
      </c>
      <c r="S224" t="str">
        <f>IF(TCD!F225="","",TCD!F225)</f>
        <v/>
      </c>
      <c r="T224" t="str">
        <f>IF(TCD!E225="","",TCD!E225)</f>
        <v/>
      </c>
      <c r="U224">
        <f>SUM(TCD!H225:J225)</f>
        <v>5.4700000000000006</v>
      </c>
    </row>
    <row r="225" spans="1:21" x14ac:dyDescent="0.25">
      <c r="A225" s="1" t="str">
        <f>_xlfn.XLOOKUP(G225,'Facture GLS'!AB:AB,'Facture GLS'!O:O)</f>
        <v>BY FOUTAS</v>
      </c>
      <c r="B225" t="str">
        <f t="shared" si="9"/>
        <v>GLS</v>
      </c>
      <c r="C225" s="2">
        <f t="shared" si="10"/>
        <v>46174</v>
      </c>
      <c r="G225" t="str">
        <f>TCD!D226</f>
        <v>00L0NDWL</v>
      </c>
      <c r="I225" t="s">
        <v>104</v>
      </c>
      <c r="J225" t="str">
        <f>_xlfn.XLOOKUP(G225,'Facture GLS'!AB:AB,'Facture GLS'!BB:BB)</f>
        <v>FR</v>
      </c>
      <c r="K225" t="str">
        <f>IF(COUNTIF(Zoning!A:A,J225)=0,"pays inconnu",LOOKUP(J225,Zoning!A:A,Zoning!B:B))</f>
        <v>France</v>
      </c>
      <c r="L225">
        <f t="shared" si="11"/>
        <v>1</v>
      </c>
      <c r="M225">
        <f>_xlfn.XLOOKUP(G225,Poids!A:A,Poids!C:C)</f>
        <v>1.7000000000000002</v>
      </c>
      <c r="N225" t="str">
        <f>IF(COUNTIF(Zoning!A:A,J225)=0,"zone inconnue","France")</f>
        <v>France</v>
      </c>
      <c r="O225">
        <f>IF(COUNTIF(Zoning!A:A,J225)=0,"taux inconnu",_xlfn.XLOOKUP(J225,Zoning!A:A,Zoning!C:C))</f>
        <v>0.2</v>
      </c>
      <c r="R225" t="str">
        <f>IF(TCD!K226="","",TCD!K226)</f>
        <v/>
      </c>
      <c r="S225" t="str">
        <f>IF(TCD!F226="","",TCD!F226)</f>
        <v/>
      </c>
      <c r="T225" t="str">
        <f>IF(TCD!E226="","",TCD!E226)</f>
        <v/>
      </c>
      <c r="U225">
        <f>SUM(TCD!H226:J226)</f>
        <v>5.4700000000000006</v>
      </c>
    </row>
    <row r="226" spans="1:21" x14ac:dyDescent="0.25">
      <c r="A226" s="1" t="str">
        <f>_xlfn.XLOOKUP(G226,'Facture GLS'!AB:AB,'Facture GLS'!O:O)</f>
        <v>BY FOUTAS</v>
      </c>
      <c r="B226" t="str">
        <f t="shared" si="9"/>
        <v>GLS</v>
      </c>
      <c r="C226" s="2">
        <f t="shared" si="10"/>
        <v>46174</v>
      </c>
      <c r="G226" t="str">
        <f>TCD!D227</f>
        <v>00L0NDWM</v>
      </c>
      <c r="I226" t="s">
        <v>104</v>
      </c>
      <c r="J226" t="str">
        <f>_xlfn.XLOOKUP(G226,'Facture GLS'!AB:AB,'Facture GLS'!BB:BB)</f>
        <v>FR</v>
      </c>
      <c r="K226" t="str">
        <f>IF(COUNTIF(Zoning!A:A,J226)=0,"pays inconnu",LOOKUP(J226,Zoning!A:A,Zoning!B:B))</f>
        <v>France</v>
      </c>
      <c r="L226">
        <f t="shared" si="11"/>
        <v>1</v>
      </c>
      <c r="M226">
        <f>_xlfn.XLOOKUP(G226,Poids!A:A,Poids!C:C)</f>
        <v>2</v>
      </c>
      <c r="N226" t="str">
        <f>IF(COUNTIF(Zoning!A:A,J226)=0,"zone inconnue","France")</f>
        <v>France</v>
      </c>
      <c r="O226">
        <f>IF(COUNTIF(Zoning!A:A,J226)=0,"taux inconnu",_xlfn.XLOOKUP(J226,Zoning!A:A,Zoning!C:C))</f>
        <v>0.2</v>
      </c>
      <c r="R226" t="str">
        <f>IF(TCD!K227="","",TCD!K227)</f>
        <v/>
      </c>
      <c r="S226" t="str">
        <f>IF(TCD!F227="","",TCD!F227)</f>
        <v/>
      </c>
      <c r="T226" t="str">
        <f>IF(TCD!E227="","",TCD!E227)</f>
        <v/>
      </c>
      <c r="U226">
        <f>SUM(TCD!H227:J227)</f>
        <v>5.4700000000000006</v>
      </c>
    </row>
    <row r="227" spans="1:21" x14ac:dyDescent="0.25">
      <c r="A227" s="1" t="str">
        <f>_xlfn.XLOOKUP(G227,'Facture GLS'!AB:AB,'Facture GLS'!O:O)</f>
        <v>BY FOUTAS</v>
      </c>
      <c r="B227" t="str">
        <f t="shared" si="9"/>
        <v>GLS</v>
      </c>
      <c r="C227" s="2">
        <f t="shared" si="10"/>
        <v>46174</v>
      </c>
      <c r="G227" t="str">
        <f>TCD!D228</f>
        <v>00L0NDWN</v>
      </c>
      <c r="I227" t="s">
        <v>104</v>
      </c>
      <c r="J227" t="str">
        <f>_xlfn.XLOOKUP(G227,'Facture GLS'!AB:AB,'Facture GLS'!BB:BB)</f>
        <v>FR</v>
      </c>
      <c r="K227" t="str">
        <f>IF(COUNTIF(Zoning!A:A,J227)=0,"pays inconnu",LOOKUP(J227,Zoning!A:A,Zoning!B:B))</f>
        <v>France</v>
      </c>
      <c r="L227">
        <f t="shared" si="11"/>
        <v>1</v>
      </c>
      <c r="M227">
        <f>_xlfn.XLOOKUP(G227,Poids!A:A,Poids!C:C)</f>
        <v>0.5</v>
      </c>
      <c r="N227" t="str">
        <f>IF(COUNTIF(Zoning!A:A,J227)=0,"zone inconnue","France")</f>
        <v>France</v>
      </c>
      <c r="O227">
        <f>IF(COUNTIF(Zoning!A:A,J227)=0,"taux inconnu",_xlfn.XLOOKUP(J227,Zoning!A:A,Zoning!C:C))</f>
        <v>0.2</v>
      </c>
      <c r="R227" t="str">
        <f>IF(TCD!K228="","",TCD!K228)</f>
        <v/>
      </c>
      <c r="S227" t="str">
        <f>IF(TCD!F228="","",TCD!F228)</f>
        <v/>
      </c>
      <c r="T227" t="str">
        <f>IF(TCD!E228="","",TCD!E228)</f>
        <v/>
      </c>
      <c r="U227">
        <f>SUM(TCD!H228:J228)</f>
        <v>4.82</v>
      </c>
    </row>
    <row r="228" spans="1:21" x14ac:dyDescent="0.25">
      <c r="A228" s="1" t="str">
        <f>_xlfn.XLOOKUP(G228,'Facture GLS'!AB:AB,'Facture GLS'!O:O)</f>
        <v>BY FOUTAS</v>
      </c>
      <c r="B228" t="str">
        <f t="shared" si="9"/>
        <v>GLS</v>
      </c>
      <c r="C228" s="2">
        <f t="shared" si="10"/>
        <v>46174</v>
      </c>
      <c r="G228" t="str">
        <f>TCD!D229</f>
        <v>00L0NDWO</v>
      </c>
      <c r="I228" t="s">
        <v>104</v>
      </c>
      <c r="J228" t="str">
        <f>_xlfn.XLOOKUP(G228,'Facture GLS'!AB:AB,'Facture GLS'!BB:BB)</f>
        <v>FR</v>
      </c>
      <c r="K228" t="str">
        <f>IF(COUNTIF(Zoning!A:A,J228)=0,"pays inconnu",LOOKUP(J228,Zoning!A:A,Zoning!B:B))</f>
        <v>France</v>
      </c>
      <c r="L228">
        <f t="shared" si="11"/>
        <v>1</v>
      </c>
      <c r="M228">
        <f>_xlfn.XLOOKUP(G228,Poids!A:A,Poids!C:C)</f>
        <v>4</v>
      </c>
      <c r="N228" t="str">
        <f>IF(COUNTIF(Zoning!A:A,J228)=0,"zone inconnue","France")</f>
        <v>France</v>
      </c>
      <c r="O228">
        <f>IF(COUNTIF(Zoning!A:A,J228)=0,"taux inconnu",_xlfn.XLOOKUP(J228,Zoning!A:A,Zoning!C:C))</f>
        <v>0.2</v>
      </c>
      <c r="R228" t="str">
        <f>IF(TCD!K229="","",TCD!K229)</f>
        <v/>
      </c>
      <c r="S228" t="str">
        <f>IF(TCD!F229="","",TCD!F229)</f>
        <v/>
      </c>
      <c r="T228" t="str">
        <f>IF(TCD!E229="","",TCD!E229)</f>
        <v/>
      </c>
      <c r="U228">
        <f>SUM(TCD!H229:J229)</f>
        <v>6.3500000000000005</v>
      </c>
    </row>
    <row r="229" spans="1:21" x14ac:dyDescent="0.25">
      <c r="A229" s="1" t="str">
        <f>_xlfn.XLOOKUP(G229,'Facture GLS'!AB:AB,'Facture GLS'!O:O)</f>
        <v>BY FOUTAS</v>
      </c>
      <c r="B229" t="str">
        <f t="shared" si="9"/>
        <v>GLS</v>
      </c>
      <c r="C229" s="2">
        <f t="shared" si="10"/>
        <v>46174</v>
      </c>
      <c r="G229" t="str">
        <f>TCD!D230</f>
        <v>00L0NDWP</v>
      </c>
      <c r="I229" t="s">
        <v>104</v>
      </c>
      <c r="J229" t="str">
        <f>_xlfn.XLOOKUP(G229,'Facture GLS'!AB:AB,'Facture GLS'!BB:BB)</f>
        <v>FR</v>
      </c>
      <c r="K229" t="str">
        <f>IF(COUNTIF(Zoning!A:A,J229)=0,"pays inconnu",LOOKUP(J229,Zoning!A:A,Zoning!B:B))</f>
        <v>France</v>
      </c>
      <c r="L229">
        <f t="shared" si="11"/>
        <v>1</v>
      </c>
      <c r="M229">
        <f>_xlfn.XLOOKUP(G229,Poids!A:A,Poids!C:C)</f>
        <v>0.5</v>
      </c>
      <c r="N229" t="str">
        <f>IF(COUNTIF(Zoning!A:A,J229)=0,"zone inconnue","France")</f>
        <v>France</v>
      </c>
      <c r="O229">
        <f>IF(COUNTIF(Zoning!A:A,J229)=0,"taux inconnu",_xlfn.XLOOKUP(J229,Zoning!A:A,Zoning!C:C))</f>
        <v>0.2</v>
      </c>
      <c r="R229" t="str">
        <f>IF(TCD!K230="","",TCD!K230)</f>
        <v/>
      </c>
      <c r="S229" t="str">
        <f>IF(TCD!F230="","",TCD!F230)</f>
        <v/>
      </c>
      <c r="T229" t="str">
        <f>IF(TCD!E230="","",TCD!E230)</f>
        <v/>
      </c>
      <c r="U229">
        <f>SUM(TCD!H230:J230)</f>
        <v>4.82</v>
      </c>
    </row>
    <row r="230" spans="1:21" x14ac:dyDescent="0.25">
      <c r="A230" s="1" t="str">
        <f>_xlfn.XLOOKUP(G230,'Facture GLS'!AB:AB,'Facture GLS'!O:O)</f>
        <v>BY FOUTAS</v>
      </c>
      <c r="B230" t="str">
        <f t="shared" si="9"/>
        <v>GLS</v>
      </c>
      <c r="C230" s="2">
        <f t="shared" si="10"/>
        <v>46174</v>
      </c>
      <c r="G230" t="str">
        <f>TCD!D231</f>
        <v>00L0NDWQ</v>
      </c>
      <c r="I230" t="s">
        <v>104</v>
      </c>
      <c r="J230" t="str">
        <f>_xlfn.XLOOKUP(G230,'Facture GLS'!AB:AB,'Facture GLS'!BB:BB)</f>
        <v>FR</v>
      </c>
      <c r="K230" t="str">
        <f>IF(COUNTIF(Zoning!A:A,J230)=0,"pays inconnu",LOOKUP(J230,Zoning!A:A,Zoning!B:B))</f>
        <v>France</v>
      </c>
      <c r="L230">
        <f t="shared" si="11"/>
        <v>1</v>
      </c>
      <c r="M230">
        <f>_xlfn.XLOOKUP(G230,Poids!A:A,Poids!C:C)</f>
        <v>1.2000000000000002</v>
      </c>
      <c r="N230" t="str">
        <f>IF(COUNTIF(Zoning!A:A,J230)=0,"zone inconnue","France")</f>
        <v>France</v>
      </c>
      <c r="O230">
        <f>IF(COUNTIF(Zoning!A:A,J230)=0,"taux inconnu",_xlfn.XLOOKUP(J230,Zoning!A:A,Zoning!C:C))</f>
        <v>0.2</v>
      </c>
      <c r="R230" t="str">
        <f>IF(TCD!K231="","",TCD!K231)</f>
        <v/>
      </c>
      <c r="S230" t="str">
        <f>IF(TCD!F231="","",TCD!F231)</f>
        <v/>
      </c>
      <c r="T230" t="str">
        <f>IF(TCD!E231="","",TCD!E231)</f>
        <v/>
      </c>
      <c r="U230">
        <f>SUM(TCD!H231:J231)</f>
        <v>5.4700000000000006</v>
      </c>
    </row>
    <row r="231" spans="1:21" x14ac:dyDescent="0.25">
      <c r="A231" s="1" t="str">
        <f>_xlfn.XLOOKUP(G231,'Facture GLS'!AB:AB,'Facture GLS'!O:O)</f>
        <v>BY FOUTAS</v>
      </c>
      <c r="B231" t="str">
        <f t="shared" si="9"/>
        <v>GLS</v>
      </c>
      <c r="C231" s="2">
        <f t="shared" si="10"/>
        <v>46174</v>
      </c>
      <c r="G231" t="str">
        <f>TCD!D232</f>
        <v>00L0NDWR</v>
      </c>
      <c r="I231" t="s">
        <v>104</v>
      </c>
      <c r="J231" t="str">
        <f>_xlfn.XLOOKUP(G231,'Facture GLS'!AB:AB,'Facture GLS'!BB:BB)</f>
        <v>FR</v>
      </c>
      <c r="K231" t="str">
        <f>IF(COUNTIF(Zoning!A:A,J231)=0,"pays inconnu",LOOKUP(J231,Zoning!A:A,Zoning!B:B))</f>
        <v>France</v>
      </c>
      <c r="L231">
        <f t="shared" si="11"/>
        <v>1</v>
      </c>
      <c r="M231">
        <f>_xlfn.XLOOKUP(G231,Poids!A:A,Poids!C:C)</f>
        <v>3.6</v>
      </c>
      <c r="N231" t="str">
        <f>IF(COUNTIF(Zoning!A:A,J231)=0,"zone inconnue","France")</f>
        <v>France</v>
      </c>
      <c r="O231">
        <f>IF(COUNTIF(Zoning!A:A,J231)=0,"taux inconnu",_xlfn.XLOOKUP(J231,Zoning!A:A,Zoning!C:C))</f>
        <v>0.2</v>
      </c>
      <c r="R231" t="str">
        <f>IF(TCD!K232="","",TCD!K232)</f>
        <v/>
      </c>
      <c r="S231" t="str">
        <f>IF(TCD!F232="","",TCD!F232)</f>
        <v/>
      </c>
      <c r="T231" t="str">
        <f>IF(TCD!E232="","",TCD!E232)</f>
        <v/>
      </c>
      <c r="U231">
        <f>SUM(TCD!H232:J232)</f>
        <v>6.3500000000000005</v>
      </c>
    </row>
    <row r="232" spans="1:21" x14ac:dyDescent="0.25">
      <c r="A232" s="1" t="str">
        <f>_xlfn.XLOOKUP(G232,'Facture GLS'!AB:AB,'Facture GLS'!O:O)</f>
        <v>BY FOUTAS</v>
      </c>
      <c r="B232" t="str">
        <f t="shared" si="9"/>
        <v>GLS</v>
      </c>
      <c r="C232" s="2">
        <f t="shared" si="10"/>
        <v>46174</v>
      </c>
      <c r="G232" t="str">
        <f>TCD!D233</f>
        <v>00L0NDWS</v>
      </c>
      <c r="I232" t="s">
        <v>104</v>
      </c>
      <c r="J232" t="str">
        <f>_xlfn.XLOOKUP(G232,'Facture GLS'!AB:AB,'Facture GLS'!BB:BB)</f>
        <v>FR</v>
      </c>
      <c r="K232" t="str">
        <f>IF(COUNTIF(Zoning!A:A,J232)=0,"pays inconnu",LOOKUP(J232,Zoning!A:A,Zoning!B:B))</f>
        <v>France</v>
      </c>
      <c r="L232">
        <f t="shared" si="11"/>
        <v>1</v>
      </c>
      <c r="M232">
        <f>_xlfn.XLOOKUP(G232,Poids!A:A,Poids!C:C)</f>
        <v>5.0999999999999996</v>
      </c>
      <c r="N232" t="str">
        <f>IF(COUNTIF(Zoning!A:A,J232)=0,"zone inconnue","France")</f>
        <v>France</v>
      </c>
      <c r="O232">
        <f>IF(COUNTIF(Zoning!A:A,J232)=0,"taux inconnu",_xlfn.XLOOKUP(J232,Zoning!A:A,Zoning!C:C))</f>
        <v>0.2</v>
      </c>
      <c r="R232" t="str">
        <f>IF(TCD!K233="","",TCD!K233)</f>
        <v/>
      </c>
      <c r="S232" t="str">
        <f>IF(TCD!F233="","",TCD!F233)</f>
        <v/>
      </c>
      <c r="T232" t="str">
        <f>IF(TCD!E233="","",TCD!E233)</f>
        <v/>
      </c>
      <c r="U232">
        <f>SUM(TCD!H233:J233)</f>
        <v>7.4700000000000015</v>
      </c>
    </row>
    <row r="233" spans="1:21" x14ac:dyDescent="0.25">
      <c r="A233" s="1" t="str">
        <f>_xlfn.XLOOKUP(G233,'Facture GLS'!AB:AB,'Facture GLS'!O:O)</f>
        <v>BY FOUTAS</v>
      </c>
      <c r="B233" t="str">
        <f t="shared" si="9"/>
        <v>GLS</v>
      </c>
      <c r="C233" s="2">
        <f t="shared" si="10"/>
        <v>46174</v>
      </c>
      <c r="G233" t="str">
        <f>TCD!D234</f>
        <v>00L0NDWT</v>
      </c>
      <c r="I233" t="s">
        <v>104</v>
      </c>
      <c r="J233" t="str">
        <f>_xlfn.XLOOKUP(G233,'Facture GLS'!AB:AB,'Facture GLS'!BB:BB)</f>
        <v>FR</v>
      </c>
      <c r="K233" t="str">
        <f>IF(COUNTIF(Zoning!A:A,J233)=0,"pays inconnu",LOOKUP(J233,Zoning!A:A,Zoning!B:B))</f>
        <v>France</v>
      </c>
      <c r="L233">
        <f t="shared" si="11"/>
        <v>1</v>
      </c>
      <c r="M233">
        <f>_xlfn.XLOOKUP(G233,Poids!A:A,Poids!C:C)</f>
        <v>3.6</v>
      </c>
      <c r="N233" t="str">
        <f>IF(COUNTIF(Zoning!A:A,J233)=0,"zone inconnue","France")</f>
        <v>France</v>
      </c>
      <c r="O233">
        <f>IF(COUNTIF(Zoning!A:A,J233)=0,"taux inconnu",_xlfn.XLOOKUP(J233,Zoning!A:A,Zoning!C:C))</f>
        <v>0.2</v>
      </c>
      <c r="R233" t="str">
        <f>IF(TCD!K234="","",TCD!K234)</f>
        <v/>
      </c>
      <c r="S233" t="str">
        <f>IF(TCD!F234="","",TCD!F234)</f>
        <v/>
      </c>
      <c r="T233" t="str">
        <f>IF(TCD!E234="","",TCD!E234)</f>
        <v/>
      </c>
      <c r="U233">
        <f>SUM(TCD!H234:J234)</f>
        <v>6.3500000000000005</v>
      </c>
    </row>
    <row r="234" spans="1:21" x14ac:dyDescent="0.25">
      <c r="A234" s="1" t="str">
        <f>_xlfn.XLOOKUP(G234,'Facture GLS'!AB:AB,'Facture GLS'!O:O)</f>
        <v>BY FOUTAS</v>
      </c>
      <c r="B234" t="str">
        <f t="shared" si="9"/>
        <v>GLS</v>
      </c>
      <c r="C234" s="2">
        <f t="shared" si="10"/>
        <v>46174</v>
      </c>
      <c r="G234" t="str">
        <f>TCD!D235</f>
        <v>00L0NDWU</v>
      </c>
      <c r="I234" t="s">
        <v>104</v>
      </c>
      <c r="J234" t="str">
        <f>_xlfn.XLOOKUP(G234,'Facture GLS'!AB:AB,'Facture GLS'!BB:BB)</f>
        <v>FR</v>
      </c>
      <c r="K234" t="str">
        <f>IF(COUNTIF(Zoning!A:A,J234)=0,"pays inconnu",LOOKUP(J234,Zoning!A:A,Zoning!B:B))</f>
        <v>France</v>
      </c>
      <c r="L234">
        <f t="shared" si="11"/>
        <v>1</v>
      </c>
      <c r="M234">
        <f>_xlfn.XLOOKUP(G234,Poids!A:A,Poids!C:C)</f>
        <v>1.9000000000000001</v>
      </c>
      <c r="N234" t="str">
        <f>IF(COUNTIF(Zoning!A:A,J234)=0,"zone inconnue","France")</f>
        <v>France</v>
      </c>
      <c r="O234">
        <f>IF(COUNTIF(Zoning!A:A,J234)=0,"taux inconnu",_xlfn.XLOOKUP(J234,Zoning!A:A,Zoning!C:C))</f>
        <v>0.2</v>
      </c>
      <c r="R234" t="str">
        <f>IF(TCD!K235="","",TCD!K235)</f>
        <v/>
      </c>
      <c r="S234" t="str">
        <f>IF(TCD!F235="","",TCD!F235)</f>
        <v/>
      </c>
      <c r="T234" t="str">
        <f>IF(TCD!E235="","",TCD!E235)</f>
        <v/>
      </c>
      <c r="U234">
        <f>SUM(TCD!H235:J235)</f>
        <v>5.4700000000000006</v>
      </c>
    </row>
    <row r="235" spans="1:21" x14ac:dyDescent="0.25">
      <c r="A235" s="1" t="str">
        <f>_xlfn.XLOOKUP(G235,'Facture GLS'!AB:AB,'Facture GLS'!O:O)</f>
        <v>BY FOUTAS</v>
      </c>
      <c r="B235" t="str">
        <f t="shared" si="9"/>
        <v>GLS</v>
      </c>
      <c r="C235" s="2">
        <f t="shared" si="10"/>
        <v>46174</v>
      </c>
      <c r="G235" t="str">
        <f>TCD!D236</f>
        <v>00L0NDWV</v>
      </c>
      <c r="I235" t="s">
        <v>104</v>
      </c>
      <c r="J235" t="str">
        <f>_xlfn.XLOOKUP(G235,'Facture GLS'!AB:AB,'Facture GLS'!BB:BB)</f>
        <v>FR</v>
      </c>
      <c r="K235" t="str">
        <f>IF(COUNTIF(Zoning!A:A,J235)=0,"pays inconnu",LOOKUP(J235,Zoning!A:A,Zoning!B:B))</f>
        <v>France</v>
      </c>
      <c r="L235">
        <f t="shared" si="11"/>
        <v>1</v>
      </c>
      <c r="M235">
        <f>_xlfn.XLOOKUP(G235,Poids!A:A,Poids!C:C)</f>
        <v>1.2000000000000002</v>
      </c>
      <c r="N235" t="str">
        <f>IF(COUNTIF(Zoning!A:A,J235)=0,"zone inconnue","France")</f>
        <v>France</v>
      </c>
      <c r="O235">
        <f>IF(COUNTIF(Zoning!A:A,J235)=0,"taux inconnu",_xlfn.XLOOKUP(J235,Zoning!A:A,Zoning!C:C))</f>
        <v>0.2</v>
      </c>
      <c r="R235" t="str">
        <f>IF(TCD!K236="","",TCD!K236)</f>
        <v/>
      </c>
      <c r="S235" t="str">
        <f>IF(TCD!F236="","",TCD!F236)</f>
        <v/>
      </c>
      <c r="T235" t="str">
        <f>IF(TCD!E236="","",TCD!E236)</f>
        <v/>
      </c>
      <c r="U235">
        <f>SUM(TCD!H236:J236)</f>
        <v>5.4700000000000006</v>
      </c>
    </row>
    <row r="236" spans="1:21" x14ac:dyDescent="0.25">
      <c r="A236" s="1" t="str">
        <f>_xlfn.XLOOKUP(G236,'Facture GLS'!AB:AB,'Facture GLS'!O:O)</f>
        <v>BY FOUTAS</v>
      </c>
      <c r="B236" t="str">
        <f t="shared" si="9"/>
        <v>GLS</v>
      </c>
      <c r="C236" s="2">
        <f t="shared" si="10"/>
        <v>46174</v>
      </c>
      <c r="G236" t="str">
        <f>TCD!D237</f>
        <v>00L0NDWW</v>
      </c>
      <c r="I236" t="s">
        <v>104</v>
      </c>
      <c r="J236" t="str">
        <f>_xlfn.XLOOKUP(G236,'Facture GLS'!AB:AB,'Facture GLS'!BB:BB)</f>
        <v>FR</v>
      </c>
      <c r="K236" t="str">
        <f>IF(COUNTIF(Zoning!A:A,J236)=0,"pays inconnu",LOOKUP(J236,Zoning!A:A,Zoning!B:B))</f>
        <v>France</v>
      </c>
      <c r="L236">
        <f t="shared" si="11"/>
        <v>1</v>
      </c>
      <c r="M236">
        <f>_xlfn.XLOOKUP(G236,Poids!A:A,Poids!C:C)</f>
        <v>3.8000000000000003</v>
      </c>
      <c r="N236" t="str">
        <f>IF(COUNTIF(Zoning!A:A,J236)=0,"zone inconnue","France")</f>
        <v>France</v>
      </c>
      <c r="O236">
        <f>IF(COUNTIF(Zoning!A:A,J236)=0,"taux inconnu",_xlfn.XLOOKUP(J236,Zoning!A:A,Zoning!C:C))</f>
        <v>0.2</v>
      </c>
      <c r="R236" t="str">
        <f>IF(TCD!K237="","",TCD!K237)</f>
        <v/>
      </c>
      <c r="S236" t="str">
        <f>IF(TCD!F237="","",TCD!F237)</f>
        <v/>
      </c>
      <c r="T236" t="str">
        <f>IF(TCD!E237="","",TCD!E237)</f>
        <v/>
      </c>
      <c r="U236">
        <f>SUM(TCD!H237:J237)</f>
        <v>6.3500000000000005</v>
      </c>
    </row>
    <row r="237" spans="1:21" x14ac:dyDescent="0.25">
      <c r="A237" s="1" t="str">
        <f>_xlfn.XLOOKUP(G237,'Facture GLS'!AB:AB,'Facture GLS'!O:O)</f>
        <v>BY FOUTAS</v>
      </c>
      <c r="B237" t="str">
        <f t="shared" si="9"/>
        <v>GLS</v>
      </c>
      <c r="C237" s="2">
        <f t="shared" si="10"/>
        <v>46174</v>
      </c>
      <c r="G237" t="str">
        <f>TCD!D238</f>
        <v>00L0NDWX</v>
      </c>
      <c r="I237" t="s">
        <v>104</v>
      </c>
      <c r="J237" t="str">
        <f>_xlfn.XLOOKUP(G237,'Facture GLS'!AB:AB,'Facture GLS'!BB:BB)</f>
        <v>FR</v>
      </c>
      <c r="K237" t="str">
        <f>IF(COUNTIF(Zoning!A:A,J237)=0,"pays inconnu",LOOKUP(J237,Zoning!A:A,Zoning!B:B))</f>
        <v>France</v>
      </c>
      <c r="L237">
        <f t="shared" si="11"/>
        <v>1</v>
      </c>
      <c r="M237">
        <f>_xlfn.XLOOKUP(G237,Poids!A:A,Poids!C:C)</f>
        <v>2.4</v>
      </c>
      <c r="N237" t="str">
        <f>IF(COUNTIF(Zoning!A:A,J237)=0,"zone inconnue","France")</f>
        <v>France</v>
      </c>
      <c r="O237">
        <f>IF(COUNTIF(Zoning!A:A,J237)=0,"taux inconnu",_xlfn.XLOOKUP(J237,Zoning!A:A,Zoning!C:C))</f>
        <v>0.2</v>
      </c>
      <c r="R237" t="str">
        <f>IF(TCD!K238="","",TCD!K238)</f>
        <v/>
      </c>
      <c r="S237" t="str">
        <f>IF(TCD!F238="","",TCD!F238)</f>
        <v/>
      </c>
      <c r="T237" t="str">
        <f>IF(TCD!E238="","",TCD!E238)</f>
        <v/>
      </c>
      <c r="U237">
        <f>SUM(TCD!H238:J238)</f>
        <v>5.7900000000000009</v>
      </c>
    </row>
    <row r="238" spans="1:21" x14ac:dyDescent="0.25">
      <c r="A238" s="1" t="str">
        <f>_xlfn.XLOOKUP(G238,'Facture GLS'!AB:AB,'Facture GLS'!O:O)</f>
        <v>BY FOUTAS</v>
      </c>
      <c r="B238" t="str">
        <f t="shared" si="9"/>
        <v>GLS</v>
      </c>
      <c r="C238" s="2">
        <f t="shared" si="10"/>
        <v>46174</v>
      </c>
      <c r="G238" t="str">
        <f>TCD!D239</f>
        <v>00L0NDWY</v>
      </c>
      <c r="I238" t="s">
        <v>104</v>
      </c>
      <c r="J238" t="str">
        <f>_xlfn.XLOOKUP(G238,'Facture GLS'!AB:AB,'Facture GLS'!BB:BB)</f>
        <v>FR</v>
      </c>
      <c r="K238" t="str">
        <f>IF(COUNTIF(Zoning!A:A,J238)=0,"pays inconnu",LOOKUP(J238,Zoning!A:A,Zoning!B:B))</f>
        <v>France</v>
      </c>
      <c r="L238">
        <f t="shared" si="11"/>
        <v>1</v>
      </c>
      <c r="M238">
        <f>_xlfn.XLOOKUP(G238,Poids!A:A,Poids!C:C)</f>
        <v>1.8</v>
      </c>
      <c r="N238" t="str">
        <f>IF(COUNTIF(Zoning!A:A,J238)=0,"zone inconnue","France")</f>
        <v>France</v>
      </c>
      <c r="O238">
        <f>IF(COUNTIF(Zoning!A:A,J238)=0,"taux inconnu",_xlfn.XLOOKUP(J238,Zoning!A:A,Zoning!C:C))</f>
        <v>0.2</v>
      </c>
      <c r="R238" t="str">
        <f>IF(TCD!K239="","",TCD!K239)</f>
        <v/>
      </c>
      <c r="S238" t="str">
        <f>IF(TCD!F239="","",TCD!F239)</f>
        <v/>
      </c>
      <c r="T238" t="str">
        <f>IF(TCD!E239="","",TCD!E239)</f>
        <v/>
      </c>
      <c r="U238">
        <f>SUM(TCD!H239:J239)</f>
        <v>5.4700000000000006</v>
      </c>
    </row>
    <row r="239" spans="1:21" x14ac:dyDescent="0.25">
      <c r="A239" s="1" t="str">
        <f>_xlfn.XLOOKUP(G239,'Facture GLS'!AB:AB,'Facture GLS'!O:O)</f>
        <v>BY FOUTAS</v>
      </c>
      <c r="B239" t="str">
        <f t="shared" si="9"/>
        <v>GLS</v>
      </c>
      <c r="C239" s="2">
        <f t="shared" si="10"/>
        <v>46174</v>
      </c>
      <c r="G239" t="str">
        <f>TCD!D240</f>
        <v>00L0NDWZ</v>
      </c>
      <c r="I239" t="s">
        <v>104</v>
      </c>
      <c r="J239" t="str">
        <f>_xlfn.XLOOKUP(G239,'Facture GLS'!AB:AB,'Facture GLS'!BB:BB)</f>
        <v>FR</v>
      </c>
      <c r="K239" t="str">
        <f>IF(COUNTIF(Zoning!A:A,J239)=0,"pays inconnu",LOOKUP(J239,Zoning!A:A,Zoning!B:B))</f>
        <v>France</v>
      </c>
      <c r="L239">
        <f t="shared" si="11"/>
        <v>1</v>
      </c>
      <c r="M239">
        <f>_xlfn.XLOOKUP(G239,Poids!A:A,Poids!C:C)</f>
        <v>1.2000000000000002</v>
      </c>
      <c r="N239" t="str">
        <f>IF(COUNTIF(Zoning!A:A,J239)=0,"zone inconnue","France")</f>
        <v>France</v>
      </c>
      <c r="O239">
        <f>IF(COUNTIF(Zoning!A:A,J239)=0,"taux inconnu",_xlfn.XLOOKUP(J239,Zoning!A:A,Zoning!C:C))</f>
        <v>0.2</v>
      </c>
      <c r="R239" t="str">
        <f>IF(TCD!K240="","",TCD!K240)</f>
        <v/>
      </c>
      <c r="S239" t="str">
        <f>IF(TCD!F240="","",TCD!F240)</f>
        <v/>
      </c>
      <c r="T239" t="str">
        <f>IF(TCD!E240="","",TCD!E240)</f>
        <v/>
      </c>
      <c r="U239">
        <f>SUM(TCD!H240:J240)</f>
        <v>5.4700000000000006</v>
      </c>
    </row>
    <row r="240" spans="1:21" x14ac:dyDescent="0.25">
      <c r="A240" s="1" t="str">
        <f>_xlfn.XLOOKUP(G240,'Facture GLS'!AB:AB,'Facture GLS'!O:O)</f>
        <v>BY FOUTAS</v>
      </c>
      <c r="B240" t="str">
        <f t="shared" si="9"/>
        <v>GLS</v>
      </c>
      <c r="C240" s="2">
        <f t="shared" si="10"/>
        <v>46174</v>
      </c>
      <c r="G240" t="str">
        <f>TCD!D241</f>
        <v>00L0NDX0</v>
      </c>
      <c r="I240" t="s">
        <v>104</v>
      </c>
      <c r="J240" t="str">
        <f>_xlfn.XLOOKUP(G240,'Facture GLS'!AB:AB,'Facture GLS'!BB:BB)</f>
        <v>FR</v>
      </c>
      <c r="K240" t="str">
        <f>IF(COUNTIF(Zoning!A:A,J240)=0,"pays inconnu",LOOKUP(J240,Zoning!A:A,Zoning!B:B))</f>
        <v>France</v>
      </c>
      <c r="L240">
        <f t="shared" si="11"/>
        <v>1</v>
      </c>
      <c r="M240">
        <f>_xlfn.XLOOKUP(G240,Poids!A:A,Poids!C:C)</f>
        <v>4.9000000000000004</v>
      </c>
      <c r="N240" t="str">
        <f>IF(COUNTIF(Zoning!A:A,J240)=0,"zone inconnue","France")</f>
        <v>France</v>
      </c>
      <c r="O240">
        <f>IF(COUNTIF(Zoning!A:A,J240)=0,"taux inconnu",_xlfn.XLOOKUP(J240,Zoning!A:A,Zoning!C:C))</f>
        <v>0.2</v>
      </c>
      <c r="R240" t="str">
        <f>IF(TCD!K241="","",TCD!K241)</f>
        <v/>
      </c>
      <c r="S240" t="str">
        <f>IF(TCD!F241="","",TCD!F241)</f>
        <v/>
      </c>
      <c r="T240" t="str">
        <f>IF(TCD!E241="","",TCD!E241)</f>
        <v/>
      </c>
      <c r="U240">
        <f>SUM(TCD!H241:J241)</f>
        <v>6.910000000000001</v>
      </c>
    </row>
    <row r="241" spans="1:21" x14ac:dyDescent="0.25">
      <c r="A241" s="1" t="str">
        <f>_xlfn.XLOOKUP(G241,'Facture GLS'!AB:AB,'Facture GLS'!O:O)</f>
        <v>BY FOUTAS</v>
      </c>
      <c r="B241" t="str">
        <f t="shared" si="9"/>
        <v>GLS</v>
      </c>
      <c r="C241" s="2">
        <f t="shared" si="10"/>
        <v>46174</v>
      </c>
      <c r="G241" t="str">
        <f>TCD!D242</f>
        <v>00L0NDX1</v>
      </c>
      <c r="I241" t="s">
        <v>104</v>
      </c>
      <c r="J241" t="str">
        <f>_xlfn.XLOOKUP(G241,'Facture GLS'!AB:AB,'Facture GLS'!BB:BB)</f>
        <v>FR</v>
      </c>
      <c r="K241" t="str">
        <f>IF(COUNTIF(Zoning!A:A,J241)=0,"pays inconnu",LOOKUP(J241,Zoning!A:A,Zoning!B:B))</f>
        <v>France</v>
      </c>
      <c r="L241">
        <f t="shared" si="11"/>
        <v>1</v>
      </c>
      <c r="M241">
        <f>_xlfn.XLOOKUP(G241,Poids!A:A,Poids!C:C)</f>
        <v>0.5</v>
      </c>
      <c r="N241" t="str">
        <f>IF(COUNTIF(Zoning!A:A,J241)=0,"zone inconnue","France")</f>
        <v>France</v>
      </c>
      <c r="O241">
        <f>IF(COUNTIF(Zoning!A:A,J241)=0,"taux inconnu",_xlfn.XLOOKUP(J241,Zoning!A:A,Zoning!C:C))</f>
        <v>0.2</v>
      </c>
      <c r="R241" t="str">
        <f>IF(TCD!K242="","",TCD!K242)</f>
        <v/>
      </c>
      <c r="S241" t="str">
        <f>IF(TCD!F242="","",TCD!F242)</f>
        <v/>
      </c>
      <c r="T241" t="str">
        <f>IF(TCD!E242="","",TCD!E242)</f>
        <v/>
      </c>
      <c r="U241">
        <f>SUM(TCD!H242:J242)</f>
        <v>4.82</v>
      </c>
    </row>
    <row r="242" spans="1:21" x14ac:dyDescent="0.25">
      <c r="A242" s="1" t="str">
        <f>_xlfn.XLOOKUP(G242,'Facture GLS'!AB:AB,'Facture GLS'!O:O)</f>
        <v>BY FOUTAS</v>
      </c>
      <c r="B242" t="str">
        <f t="shared" si="9"/>
        <v>GLS</v>
      </c>
      <c r="C242" s="2">
        <f t="shared" si="10"/>
        <v>46174</v>
      </c>
      <c r="G242" t="str">
        <f>TCD!D243</f>
        <v>00L0NDX2</v>
      </c>
      <c r="I242" t="s">
        <v>104</v>
      </c>
      <c r="J242" t="str">
        <f>_xlfn.XLOOKUP(G242,'Facture GLS'!AB:AB,'Facture GLS'!BB:BB)</f>
        <v>FR</v>
      </c>
      <c r="K242" t="str">
        <f>IF(COUNTIF(Zoning!A:A,J242)=0,"pays inconnu",LOOKUP(J242,Zoning!A:A,Zoning!B:B))</f>
        <v>France</v>
      </c>
      <c r="L242">
        <f t="shared" si="11"/>
        <v>1</v>
      </c>
      <c r="M242">
        <f>_xlfn.XLOOKUP(G242,Poids!A:A,Poids!C:C)</f>
        <v>0.9</v>
      </c>
      <c r="N242" t="str">
        <f>IF(COUNTIF(Zoning!A:A,J242)=0,"zone inconnue","France")</f>
        <v>France</v>
      </c>
      <c r="O242">
        <f>IF(COUNTIF(Zoning!A:A,J242)=0,"taux inconnu",_xlfn.XLOOKUP(J242,Zoning!A:A,Zoning!C:C))</f>
        <v>0.2</v>
      </c>
      <c r="R242" t="str">
        <f>IF(TCD!K243="","",TCD!K243)</f>
        <v/>
      </c>
      <c r="S242" t="str">
        <f>IF(TCD!F243="","",TCD!F243)</f>
        <v/>
      </c>
      <c r="T242" t="str">
        <f>IF(TCD!E243="","",TCD!E243)</f>
        <v/>
      </c>
      <c r="U242">
        <f>SUM(TCD!H243:J243)</f>
        <v>5.15</v>
      </c>
    </row>
    <row r="243" spans="1:21" x14ac:dyDescent="0.25">
      <c r="A243" s="1" t="str">
        <f>_xlfn.XLOOKUP(G243,'Facture GLS'!AB:AB,'Facture GLS'!O:O)</f>
        <v>BY FOUTAS</v>
      </c>
      <c r="B243" t="str">
        <f t="shared" si="9"/>
        <v>GLS</v>
      </c>
      <c r="C243" s="2">
        <f t="shared" si="10"/>
        <v>46174</v>
      </c>
      <c r="G243" t="str">
        <f>TCD!D244</f>
        <v>00L0NDX3</v>
      </c>
      <c r="I243" t="s">
        <v>104</v>
      </c>
      <c r="J243" t="str">
        <f>_xlfn.XLOOKUP(G243,'Facture GLS'!AB:AB,'Facture GLS'!BB:BB)</f>
        <v>FR</v>
      </c>
      <c r="K243" t="str">
        <f>IF(COUNTIF(Zoning!A:A,J243)=0,"pays inconnu",LOOKUP(J243,Zoning!A:A,Zoning!B:B))</f>
        <v>France</v>
      </c>
      <c r="L243">
        <f t="shared" si="11"/>
        <v>1</v>
      </c>
      <c r="M243">
        <f>_xlfn.XLOOKUP(G243,Poids!A:A,Poids!C:C)</f>
        <v>1.2000000000000002</v>
      </c>
      <c r="N243" t="str">
        <f>IF(COUNTIF(Zoning!A:A,J243)=0,"zone inconnue","France")</f>
        <v>France</v>
      </c>
      <c r="O243">
        <f>IF(COUNTIF(Zoning!A:A,J243)=0,"taux inconnu",_xlfn.XLOOKUP(J243,Zoning!A:A,Zoning!C:C))</f>
        <v>0.2</v>
      </c>
      <c r="R243" t="str">
        <f>IF(TCD!K244="","",TCD!K244)</f>
        <v/>
      </c>
      <c r="S243" t="str">
        <f>IF(TCD!F244="","",TCD!F244)</f>
        <v/>
      </c>
      <c r="T243" t="str">
        <f>IF(TCD!E244="","",TCD!E244)</f>
        <v/>
      </c>
      <c r="U243">
        <f>SUM(TCD!H244:J244)</f>
        <v>5.4700000000000006</v>
      </c>
    </row>
    <row r="244" spans="1:21" x14ac:dyDescent="0.25">
      <c r="A244" s="1" t="str">
        <f>_xlfn.XLOOKUP(G244,'Facture GLS'!AB:AB,'Facture GLS'!O:O)</f>
        <v>BY FOUTAS</v>
      </c>
      <c r="B244" t="str">
        <f t="shared" si="9"/>
        <v>GLS</v>
      </c>
      <c r="C244" s="2">
        <f t="shared" si="10"/>
        <v>46174</v>
      </c>
      <c r="G244" t="str">
        <f>TCD!D245</f>
        <v>00L0NDX4</v>
      </c>
      <c r="I244" t="s">
        <v>104</v>
      </c>
      <c r="J244" t="str">
        <f>_xlfn.XLOOKUP(G244,'Facture GLS'!AB:AB,'Facture GLS'!BB:BB)</f>
        <v>FR</v>
      </c>
      <c r="K244" t="str">
        <f>IF(COUNTIF(Zoning!A:A,J244)=0,"pays inconnu",LOOKUP(J244,Zoning!A:A,Zoning!B:B))</f>
        <v>France</v>
      </c>
      <c r="L244">
        <f t="shared" si="11"/>
        <v>1</v>
      </c>
      <c r="M244">
        <f>_xlfn.XLOOKUP(G244,Poids!A:A,Poids!C:C)</f>
        <v>0.9</v>
      </c>
      <c r="N244" t="str">
        <f>IF(COUNTIF(Zoning!A:A,J244)=0,"zone inconnue","France")</f>
        <v>France</v>
      </c>
      <c r="O244">
        <f>IF(COUNTIF(Zoning!A:A,J244)=0,"taux inconnu",_xlfn.XLOOKUP(J244,Zoning!A:A,Zoning!C:C))</f>
        <v>0.2</v>
      </c>
      <c r="R244" t="str">
        <f>IF(TCD!K245="","",TCD!K245)</f>
        <v/>
      </c>
      <c r="S244" t="str">
        <f>IF(TCD!F245="","",TCD!F245)</f>
        <v/>
      </c>
      <c r="T244" t="str">
        <f>IF(TCD!E245="","",TCD!E245)</f>
        <v/>
      </c>
      <c r="U244">
        <f>SUM(TCD!H245:J245)</f>
        <v>5.15</v>
      </c>
    </row>
    <row r="245" spans="1:21" x14ac:dyDescent="0.25">
      <c r="A245" s="1" t="str">
        <f>_xlfn.XLOOKUP(G245,'Facture GLS'!AB:AB,'Facture GLS'!O:O)</f>
        <v>BY FOUTAS</v>
      </c>
      <c r="B245" t="str">
        <f t="shared" si="9"/>
        <v>GLS</v>
      </c>
      <c r="C245" s="2">
        <f t="shared" si="10"/>
        <v>46174</v>
      </c>
      <c r="G245" t="str">
        <f>TCD!D246</f>
        <v>00L0NDX5</v>
      </c>
      <c r="I245" t="s">
        <v>104</v>
      </c>
      <c r="J245" t="str">
        <f>_xlfn.XLOOKUP(G245,'Facture GLS'!AB:AB,'Facture GLS'!BB:BB)</f>
        <v>FR</v>
      </c>
      <c r="K245" t="str">
        <f>IF(COUNTIF(Zoning!A:A,J245)=0,"pays inconnu",LOOKUP(J245,Zoning!A:A,Zoning!B:B))</f>
        <v>France</v>
      </c>
      <c r="L245">
        <f t="shared" si="11"/>
        <v>1</v>
      </c>
      <c r="M245">
        <f>_xlfn.XLOOKUP(G245,Poids!A:A,Poids!C:C)</f>
        <v>1.2000000000000002</v>
      </c>
      <c r="N245" t="str">
        <f>IF(COUNTIF(Zoning!A:A,J245)=0,"zone inconnue","France")</f>
        <v>France</v>
      </c>
      <c r="O245">
        <f>IF(COUNTIF(Zoning!A:A,J245)=0,"taux inconnu",_xlfn.XLOOKUP(J245,Zoning!A:A,Zoning!C:C))</f>
        <v>0.2</v>
      </c>
      <c r="R245" t="str">
        <f>IF(TCD!K246="","",TCD!K246)</f>
        <v/>
      </c>
      <c r="S245" t="str">
        <f>IF(TCD!F246="","",TCD!F246)</f>
        <v/>
      </c>
      <c r="T245" t="str">
        <f>IF(TCD!E246="","",TCD!E246)</f>
        <v/>
      </c>
      <c r="U245">
        <f>SUM(TCD!H246:J246)</f>
        <v>5.4700000000000006</v>
      </c>
    </row>
    <row r="246" spans="1:21" x14ac:dyDescent="0.25">
      <c r="A246" s="1" t="str">
        <f>_xlfn.XLOOKUP(G246,'Facture GLS'!AB:AB,'Facture GLS'!O:O)</f>
        <v>BY FOUTAS</v>
      </c>
      <c r="B246" t="str">
        <f t="shared" si="9"/>
        <v>GLS</v>
      </c>
      <c r="C246" s="2">
        <f t="shared" si="10"/>
        <v>46174</v>
      </c>
      <c r="G246" t="str">
        <f>TCD!D247</f>
        <v>00L0NDX6</v>
      </c>
      <c r="I246" t="s">
        <v>104</v>
      </c>
      <c r="J246" t="str">
        <f>_xlfn.XLOOKUP(G246,'Facture GLS'!AB:AB,'Facture GLS'!BB:BB)</f>
        <v>FR</v>
      </c>
      <c r="K246" t="str">
        <f>IF(COUNTIF(Zoning!A:A,J246)=0,"pays inconnu",LOOKUP(J246,Zoning!A:A,Zoning!B:B))</f>
        <v>France</v>
      </c>
      <c r="L246">
        <f t="shared" si="11"/>
        <v>1</v>
      </c>
      <c r="M246">
        <f>_xlfn.XLOOKUP(G246,Poids!A:A,Poids!C:C)</f>
        <v>1.2000000000000002</v>
      </c>
      <c r="N246" t="str">
        <f>IF(COUNTIF(Zoning!A:A,J246)=0,"zone inconnue","France")</f>
        <v>France</v>
      </c>
      <c r="O246">
        <f>IF(COUNTIF(Zoning!A:A,J246)=0,"taux inconnu",_xlfn.XLOOKUP(J246,Zoning!A:A,Zoning!C:C))</f>
        <v>0.2</v>
      </c>
      <c r="R246" t="str">
        <f>IF(TCD!K247="","",TCD!K247)</f>
        <v/>
      </c>
      <c r="S246" t="str">
        <f>IF(TCD!F247="","",TCD!F247)</f>
        <v/>
      </c>
      <c r="T246" t="str">
        <f>IF(TCD!E247="","",TCD!E247)</f>
        <v/>
      </c>
      <c r="U246">
        <f>SUM(TCD!H247:J247)</f>
        <v>5.4700000000000006</v>
      </c>
    </row>
    <row r="247" spans="1:21" x14ac:dyDescent="0.25">
      <c r="A247" s="1" t="str">
        <f>_xlfn.XLOOKUP(G247,'Facture GLS'!AB:AB,'Facture GLS'!O:O)</f>
        <v>BY FOUTAS</v>
      </c>
      <c r="B247" t="str">
        <f t="shared" si="9"/>
        <v>GLS</v>
      </c>
      <c r="C247" s="2">
        <f t="shared" si="10"/>
        <v>46174</v>
      </c>
      <c r="G247" t="str">
        <f>TCD!D248</f>
        <v>00L0NDX7</v>
      </c>
      <c r="I247" t="s">
        <v>104</v>
      </c>
      <c r="J247" t="str">
        <f>_xlfn.XLOOKUP(G247,'Facture GLS'!AB:AB,'Facture GLS'!BB:BB)</f>
        <v>FR</v>
      </c>
      <c r="K247" t="str">
        <f>IF(COUNTIF(Zoning!A:A,J247)=0,"pays inconnu",LOOKUP(J247,Zoning!A:A,Zoning!B:B))</f>
        <v>France</v>
      </c>
      <c r="L247">
        <f t="shared" si="11"/>
        <v>1</v>
      </c>
      <c r="M247">
        <f>_xlfn.XLOOKUP(G247,Poids!A:A,Poids!C:C)</f>
        <v>1.8</v>
      </c>
      <c r="N247" t="str">
        <f>IF(COUNTIF(Zoning!A:A,J247)=0,"zone inconnue","France")</f>
        <v>France</v>
      </c>
      <c r="O247">
        <f>IF(COUNTIF(Zoning!A:A,J247)=0,"taux inconnu",_xlfn.XLOOKUP(J247,Zoning!A:A,Zoning!C:C))</f>
        <v>0.2</v>
      </c>
      <c r="R247" t="str">
        <f>IF(TCD!K248="","",TCD!K248)</f>
        <v/>
      </c>
      <c r="S247" t="str">
        <f>IF(TCD!F248="","",TCD!F248)</f>
        <v/>
      </c>
      <c r="T247" t="str">
        <f>IF(TCD!E248="","",TCD!E248)</f>
        <v/>
      </c>
      <c r="U247">
        <f>SUM(TCD!H248:J248)</f>
        <v>5.4700000000000006</v>
      </c>
    </row>
    <row r="248" spans="1:21" x14ac:dyDescent="0.25">
      <c r="A248" s="1" t="str">
        <f>_xlfn.XLOOKUP(G248,'Facture GLS'!AB:AB,'Facture GLS'!O:O)</f>
        <v>BY FOUTAS</v>
      </c>
      <c r="B248" t="str">
        <f t="shared" si="9"/>
        <v>GLS</v>
      </c>
      <c r="C248" s="2">
        <f t="shared" si="10"/>
        <v>46174</v>
      </c>
      <c r="G248" t="str">
        <f>TCD!D249</f>
        <v>00L0NDX8</v>
      </c>
      <c r="I248" t="s">
        <v>104</v>
      </c>
      <c r="J248" t="str">
        <f>_xlfn.XLOOKUP(G248,'Facture GLS'!AB:AB,'Facture GLS'!BB:BB)</f>
        <v>FR</v>
      </c>
      <c r="K248" t="str">
        <f>IF(COUNTIF(Zoning!A:A,J248)=0,"pays inconnu",LOOKUP(J248,Zoning!A:A,Zoning!B:B))</f>
        <v>France</v>
      </c>
      <c r="L248">
        <f t="shared" si="11"/>
        <v>1</v>
      </c>
      <c r="M248">
        <f>_xlfn.XLOOKUP(G248,Poids!A:A,Poids!C:C)</f>
        <v>2.3000000000000003</v>
      </c>
      <c r="N248" t="str">
        <f>IF(COUNTIF(Zoning!A:A,J248)=0,"zone inconnue","France")</f>
        <v>France</v>
      </c>
      <c r="O248">
        <f>IF(COUNTIF(Zoning!A:A,J248)=0,"taux inconnu",_xlfn.XLOOKUP(J248,Zoning!A:A,Zoning!C:C))</f>
        <v>0.2</v>
      </c>
      <c r="R248" t="str">
        <f>IF(TCD!K249="","",TCD!K249)</f>
        <v/>
      </c>
      <c r="S248" t="str">
        <f>IF(TCD!F249="","",TCD!F249)</f>
        <v/>
      </c>
      <c r="T248" t="str">
        <f>IF(TCD!E249="","",TCD!E249)</f>
        <v/>
      </c>
      <c r="U248">
        <f>SUM(TCD!H249:J249)</f>
        <v>5.7900000000000009</v>
      </c>
    </row>
    <row r="249" spans="1:21" x14ac:dyDescent="0.25">
      <c r="A249" s="1" t="str">
        <f>_xlfn.XLOOKUP(G249,'Facture GLS'!AB:AB,'Facture GLS'!O:O)</f>
        <v>BY FOUTAS</v>
      </c>
      <c r="B249" t="str">
        <f t="shared" si="9"/>
        <v>GLS</v>
      </c>
      <c r="C249" s="2">
        <f t="shared" si="10"/>
        <v>46174</v>
      </c>
      <c r="G249" t="str">
        <f>TCD!D250</f>
        <v>00L0NDX9</v>
      </c>
      <c r="I249" t="s">
        <v>104</v>
      </c>
      <c r="J249" t="str">
        <f>_xlfn.XLOOKUP(G249,'Facture GLS'!AB:AB,'Facture GLS'!BB:BB)</f>
        <v>FR</v>
      </c>
      <c r="K249" t="str">
        <f>IF(COUNTIF(Zoning!A:A,J249)=0,"pays inconnu",LOOKUP(J249,Zoning!A:A,Zoning!B:B))</f>
        <v>France</v>
      </c>
      <c r="L249">
        <f t="shared" si="11"/>
        <v>1</v>
      </c>
      <c r="M249">
        <f>_xlfn.XLOOKUP(G249,Poids!A:A,Poids!C:C)</f>
        <v>0.5</v>
      </c>
      <c r="N249" t="str">
        <f>IF(COUNTIF(Zoning!A:A,J249)=0,"zone inconnue","France")</f>
        <v>France</v>
      </c>
      <c r="O249">
        <f>IF(COUNTIF(Zoning!A:A,J249)=0,"taux inconnu",_xlfn.XLOOKUP(J249,Zoning!A:A,Zoning!C:C))</f>
        <v>0.2</v>
      </c>
      <c r="R249" t="str">
        <f>IF(TCD!K250="","",TCD!K250)</f>
        <v/>
      </c>
      <c r="S249" t="str">
        <f>IF(TCD!F250="","",TCD!F250)</f>
        <v/>
      </c>
      <c r="T249" t="str">
        <f>IF(TCD!E250="","",TCD!E250)</f>
        <v/>
      </c>
      <c r="U249">
        <f>SUM(TCD!H250:J250)</f>
        <v>4.82</v>
      </c>
    </row>
    <row r="250" spans="1:21" x14ac:dyDescent="0.25">
      <c r="A250" s="1" t="str">
        <f>_xlfn.XLOOKUP(G250,'Facture GLS'!AB:AB,'Facture GLS'!O:O)</f>
        <v>BY FOUTAS</v>
      </c>
      <c r="B250" t="str">
        <f t="shared" si="9"/>
        <v>GLS</v>
      </c>
      <c r="C250" s="2">
        <f t="shared" si="10"/>
        <v>46174</v>
      </c>
      <c r="G250" t="str">
        <f>TCD!D251</f>
        <v>00L0NDXA</v>
      </c>
      <c r="I250" t="s">
        <v>104</v>
      </c>
      <c r="J250" t="str">
        <f>_xlfn.XLOOKUP(G250,'Facture GLS'!AB:AB,'Facture GLS'!BB:BB)</f>
        <v>FR</v>
      </c>
      <c r="K250" t="str">
        <f>IF(COUNTIF(Zoning!A:A,J250)=0,"pays inconnu",LOOKUP(J250,Zoning!A:A,Zoning!B:B))</f>
        <v>France</v>
      </c>
      <c r="L250">
        <f t="shared" si="11"/>
        <v>1</v>
      </c>
      <c r="M250">
        <f>_xlfn.XLOOKUP(G250,Poids!A:A,Poids!C:C)</f>
        <v>1.6</v>
      </c>
      <c r="N250" t="str">
        <f>IF(COUNTIF(Zoning!A:A,J250)=0,"zone inconnue","France")</f>
        <v>France</v>
      </c>
      <c r="O250">
        <f>IF(COUNTIF(Zoning!A:A,J250)=0,"taux inconnu",_xlfn.XLOOKUP(J250,Zoning!A:A,Zoning!C:C))</f>
        <v>0.2</v>
      </c>
      <c r="R250" t="str">
        <f>IF(TCD!K251="","",TCD!K251)</f>
        <v/>
      </c>
      <c r="S250" t="str">
        <f>IF(TCD!F251="","",TCD!F251)</f>
        <v/>
      </c>
      <c r="T250" t="str">
        <f>IF(TCD!E251="","",TCD!E251)</f>
        <v/>
      </c>
      <c r="U250">
        <f>SUM(TCD!H251:J251)</f>
        <v>5.4700000000000006</v>
      </c>
    </row>
    <row r="251" spans="1:21" x14ac:dyDescent="0.25">
      <c r="A251" s="1" t="str">
        <f>_xlfn.XLOOKUP(G251,'Facture GLS'!AB:AB,'Facture GLS'!O:O)</f>
        <v>BY FOUTAS</v>
      </c>
      <c r="B251" t="str">
        <f t="shared" si="9"/>
        <v>GLS</v>
      </c>
      <c r="C251" s="2">
        <f t="shared" si="10"/>
        <v>46174</v>
      </c>
      <c r="G251" t="str">
        <f>TCD!D252</f>
        <v>00L0NDXB</v>
      </c>
      <c r="I251" t="s">
        <v>104</v>
      </c>
      <c r="J251" t="str">
        <f>_xlfn.XLOOKUP(G251,'Facture GLS'!AB:AB,'Facture GLS'!BB:BB)</f>
        <v>FR</v>
      </c>
      <c r="K251" t="str">
        <f>IF(COUNTIF(Zoning!A:A,J251)=0,"pays inconnu",LOOKUP(J251,Zoning!A:A,Zoning!B:B))</f>
        <v>France</v>
      </c>
      <c r="L251">
        <f t="shared" si="11"/>
        <v>1</v>
      </c>
      <c r="M251">
        <f>_xlfn.XLOOKUP(G251,Poids!A:A,Poids!C:C)</f>
        <v>0.5</v>
      </c>
      <c r="N251" t="str">
        <f>IF(COUNTIF(Zoning!A:A,J251)=0,"zone inconnue","France")</f>
        <v>France</v>
      </c>
      <c r="O251">
        <f>IF(COUNTIF(Zoning!A:A,J251)=0,"taux inconnu",_xlfn.XLOOKUP(J251,Zoning!A:A,Zoning!C:C))</f>
        <v>0.2</v>
      </c>
      <c r="R251" t="str">
        <f>IF(TCD!K252="","",TCD!K252)</f>
        <v/>
      </c>
      <c r="S251" t="str">
        <f>IF(TCD!F252="","",TCD!F252)</f>
        <v/>
      </c>
      <c r="T251" t="str">
        <f>IF(TCD!E252="","",TCD!E252)</f>
        <v/>
      </c>
      <c r="U251">
        <f>SUM(TCD!H252:J252)</f>
        <v>4.82</v>
      </c>
    </row>
    <row r="252" spans="1:21" x14ac:dyDescent="0.25">
      <c r="A252" s="1" t="str">
        <f>_xlfn.XLOOKUP(G252,'Facture GLS'!AB:AB,'Facture GLS'!O:O)</f>
        <v>BY FOUTAS</v>
      </c>
      <c r="B252" t="str">
        <f t="shared" si="9"/>
        <v>GLS</v>
      </c>
      <c r="C252" s="2">
        <f t="shared" si="10"/>
        <v>46174</v>
      </c>
      <c r="G252" t="str">
        <f>TCD!D253</f>
        <v>00L0NDXC</v>
      </c>
      <c r="I252" t="s">
        <v>104</v>
      </c>
      <c r="J252" t="str">
        <f>_xlfn.XLOOKUP(G252,'Facture GLS'!AB:AB,'Facture GLS'!BB:BB)</f>
        <v>FR</v>
      </c>
      <c r="K252" t="str">
        <f>IF(COUNTIF(Zoning!A:A,J252)=0,"pays inconnu",LOOKUP(J252,Zoning!A:A,Zoning!B:B))</f>
        <v>France</v>
      </c>
      <c r="L252">
        <f t="shared" si="11"/>
        <v>1</v>
      </c>
      <c r="M252">
        <f>_xlfn.XLOOKUP(G252,Poids!A:A,Poids!C:C)</f>
        <v>0.5</v>
      </c>
      <c r="N252" t="str">
        <f>IF(COUNTIF(Zoning!A:A,J252)=0,"zone inconnue","France")</f>
        <v>France</v>
      </c>
      <c r="O252">
        <f>IF(COUNTIF(Zoning!A:A,J252)=0,"taux inconnu",_xlfn.XLOOKUP(J252,Zoning!A:A,Zoning!C:C))</f>
        <v>0.2</v>
      </c>
      <c r="R252" t="str">
        <f>IF(TCD!K253="","",TCD!K253)</f>
        <v/>
      </c>
      <c r="S252" t="str">
        <f>IF(TCD!F253="","",TCD!F253)</f>
        <v/>
      </c>
      <c r="T252" t="str">
        <f>IF(TCD!E253="","",TCD!E253)</f>
        <v/>
      </c>
      <c r="U252">
        <f>SUM(TCD!H253:J253)</f>
        <v>4.82</v>
      </c>
    </row>
    <row r="253" spans="1:21" x14ac:dyDescent="0.25">
      <c r="A253" s="1" t="str">
        <f>_xlfn.XLOOKUP(G253,'Facture GLS'!AB:AB,'Facture GLS'!O:O)</f>
        <v>BY FOUTAS</v>
      </c>
      <c r="B253" t="str">
        <f t="shared" si="9"/>
        <v>GLS</v>
      </c>
      <c r="C253" s="2">
        <f t="shared" si="10"/>
        <v>46174</v>
      </c>
      <c r="G253" t="str">
        <f>TCD!D254</f>
        <v>00L0NDXD</v>
      </c>
      <c r="I253" t="s">
        <v>104</v>
      </c>
      <c r="J253" t="str">
        <f>_xlfn.XLOOKUP(G253,'Facture GLS'!AB:AB,'Facture GLS'!BB:BB)</f>
        <v>FR</v>
      </c>
      <c r="K253" t="str">
        <f>IF(COUNTIF(Zoning!A:A,J253)=0,"pays inconnu",LOOKUP(J253,Zoning!A:A,Zoning!B:B))</f>
        <v>France</v>
      </c>
      <c r="L253">
        <f t="shared" si="11"/>
        <v>1</v>
      </c>
      <c r="M253">
        <f>_xlfn.XLOOKUP(G253,Poids!A:A,Poids!C:C)</f>
        <v>1.2000000000000002</v>
      </c>
      <c r="N253" t="str">
        <f>IF(COUNTIF(Zoning!A:A,J253)=0,"zone inconnue","France")</f>
        <v>France</v>
      </c>
      <c r="O253">
        <f>IF(COUNTIF(Zoning!A:A,J253)=0,"taux inconnu",_xlfn.XLOOKUP(J253,Zoning!A:A,Zoning!C:C))</f>
        <v>0.2</v>
      </c>
      <c r="R253" t="str">
        <f>IF(TCD!K254="","",TCD!K254)</f>
        <v/>
      </c>
      <c r="S253" t="str">
        <f>IF(TCD!F254="","",TCD!F254)</f>
        <v/>
      </c>
      <c r="T253" t="str">
        <f>IF(TCD!E254="","",TCD!E254)</f>
        <v/>
      </c>
      <c r="U253">
        <f>SUM(TCD!H254:J254)</f>
        <v>5.4700000000000006</v>
      </c>
    </row>
    <row r="254" spans="1:21" x14ac:dyDescent="0.25">
      <c r="A254" s="1" t="str">
        <f>_xlfn.XLOOKUP(G254,'Facture GLS'!AB:AB,'Facture GLS'!O:O)</f>
        <v>BY FOUTAS</v>
      </c>
      <c r="B254" t="str">
        <f t="shared" si="9"/>
        <v>GLS</v>
      </c>
      <c r="C254" s="2">
        <f t="shared" si="10"/>
        <v>46174</v>
      </c>
      <c r="G254" t="str">
        <f>TCD!D255</f>
        <v>00L0NDXE</v>
      </c>
      <c r="I254" t="s">
        <v>104</v>
      </c>
      <c r="J254" t="str">
        <f>_xlfn.XLOOKUP(G254,'Facture GLS'!AB:AB,'Facture GLS'!BB:BB)</f>
        <v>FR</v>
      </c>
      <c r="K254" t="str">
        <f>IF(COUNTIF(Zoning!A:A,J254)=0,"pays inconnu",LOOKUP(J254,Zoning!A:A,Zoning!B:B))</f>
        <v>France</v>
      </c>
      <c r="L254">
        <f t="shared" si="11"/>
        <v>1</v>
      </c>
      <c r="M254">
        <f>_xlfn.XLOOKUP(G254,Poids!A:A,Poids!C:C)</f>
        <v>0.9</v>
      </c>
      <c r="N254" t="str">
        <f>IF(COUNTIF(Zoning!A:A,J254)=0,"zone inconnue","France")</f>
        <v>France</v>
      </c>
      <c r="O254">
        <f>IF(COUNTIF(Zoning!A:A,J254)=0,"taux inconnu",_xlfn.XLOOKUP(J254,Zoning!A:A,Zoning!C:C))</f>
        <v>0.2</v>
      </c>
      <c r="R254" t="str">
        <f>IF(TCD!K255="","",TCD!K255)</f>
        <v/>
      </c>
      <c r="S254" t="str">
        <f>IF(TCD!F255="","",TCD!F255)</f>
        <v/>
      </c>
      <c r="T254" t="str">
        <f>IF(TCD!E255="","",TCD!E255)</f>
        <v/>
      </c>
      <c r="U254">
        <f>SUM(TCD!H255:J255)</f>
        <v>5.15</v>
      </c>
    </row>
    <row r="255" spans="1:21" x14ac:dyDescent="0.25">
      <c r="A255" s="1" t="str">
        <f>_xlfn.XLOOKUP(G255,'Facture GLS'!AB:AB,'Facture GLS'!O:O)</f>
        <v>BY FOUTAS</v>
      </c>
      <c r="B255" t="str">
        <f t="shared" si="9"/>
        <v>GLS</v>
      </c>
      <c r="C255" s="2">
        <f t="shared" si="10"/>
        <v>46174</v>
      </c>
      <c r="G255" t="str">
        <f>TCD!D256</f>
        <v>00L0NDXF</v>
      </c>
      <c r="I255" t="s">
        <v>104</v>
      </c>
      <c r="J255" t="str">
        <f>_xlfn.XLOOKUP(G255,'Facture GLS'!AB:AB,'Facture GLS'!BB:BB)</f>
        <v>FR</v>
      </c>
      <c r="K255" t="str">
        <f>IF(COUNTIF(Zoning!A:A,J255)=0,"pays inconnu",LOOKUP(J255,Zoning!A:A,Zoning!B:B))</f>
        <v>France</v>
      </c>
      <c r="L255">
        <f t="shared" si="11"/>
        <v>1</v>
      </c>
      <c r="M255">
        <f>_xlfn.XLOOKUP(G255,Poids!A:A,Poids!C:C)</f>
        <v>1.2000000000000002</v>
      </c>
      <c r="N255" t="str">
        <f>IF(COUNTIF(Zoning!A:A,J255)=0,"zone inconnue","France")</f>
        <v>France</v>
      </c>
      <c r="O255">
        <f>IF(COUNTIF(Zoning!A:A,J255)=0,"taux inconnu",_xlfn.XLOOKUP(J255,Zoning!A:A,Zoning!C:C))</f>
        <v>0.2</v>
      </c>
      <c r="R255" t="str">
        <f>IF(TCD!K256="","",TCD!K256)</f>
        <v/>
      </c>
      <c r="S255" t="str">
        <f>IF(TCD!F256="","",TCD!F256)</f>
        <v/>
      </c>
      <c r="T255" t="str">
        <f>IF(TCD!E256="","",TCD!E256)</f>
        <v/>
      </c>
      <c r="U255">
        <f>SUM(TCD!H256:J256)</f>
        <v>5.4700000000000006</v>
      </c>
    </row>
    <row r="256" spans="1:21" x14ac:dyDescent="0.25">
      <c r="A256" s="1" t="str">
        <f>_xlfn.XLOOKUP(G256,'Facture GLS'!AB:AB,'Facture GLS'!O:O)</f>
        <v>BY FOUTAS</v>
      </c>
      <c r="B256" t="str">
        <f t="shared" si="9"/>
        <v>GLS</v>
      </c>
      <c r="C256" s="2">
        <f t="shared" si="10"/>
        <v>46174</v>
      </c>
      <c r="G256" t="str">
        <f>TCD!D257</f>
        <v>00L0NDXG</v>
      </c>
      <c r="I256" t="s">
        <v>104</v>
      </c>
      <c r="J256" t="str">
        <f>_xlfn.XLOOKUP(G256,'Facture GLS'!AB:AB,'Facture GLS'!BB:BB)</f>
        <v>FR</v>
      </c>
      <c r="K256" t="str">
        <f>IF(COUNTIF(Zoning!A:A,J256)=0,"pays inconnu",LOOKUP(J256,Zoning!A:A,Zoning!B:B))</f>
        <v>France</v>
      </c>
      <c r="L256">
        <f t="shared" si="11"/>
        <v>1</v>
      </c>
      <c r="M256">
        <f>_xlfn.XLOOKUP(G256,Poids!A:A,Poids!C:C)</f>
        <v>1.3</v>
      </c>
      <c r="N256" t="str">
        <f>IF(COUNTIF(Zoning!A:A,J256)=0,"zone inconnue","France")</f>
        <v>France</v>
      </c>
      <c r="O256">
        <f>IF(COUNTIF(Zoning!A:A,J256)=0,"taux inconnu",_xlfn.XLOOKUP(J256,Zoning!A:A,Zoning!C:C))</f>
        <v>0.2</v>
      </c>
      <c r="R256" t="str">
        <f>IF(TCD!K257="","",TCD!K257)</f>
        <v/>
      </c>
      <c r="S256" t="str">
        <f>IF(TCD!F257="","",TCD!F257)</f>
        <v/>
      </c>
      <c r="T256" t="str">
        <f>IF(TCD!E257="","",TCD!E257)</f>
        <v/>
      </c>
      <c r="U256">
        <f>SUM(TCD!H257:J257)</f>
        <v>5.4700000000000006</v>
      </c>
    </row>
    <row r="257" spans="1:21" x14ac:dyDescent="0.25">
      <c r="A257" s="1" t="str">
        <f>_xlfn.XLOOKUP(G257,'Facture GLS'!AB:AB,'Facture GLS'!O:O)</f>
        <v>BY FOUTAS</v>
      </c>
      <c r="B257" t="str">
        <f t="shared" si="9"/>
        <v>GLS</v>
      </c>
      <c r="C257" s="2">
        <f t="shared" si="10"/>
        <v>46174</v>
      </c>
      <c r="G257" t="str">
        <f>TCD!D258</f>
        <v>00L0NDXH</v>
      </c>
      <c r="I257" t="s">
        <v>104</v>
      </c>
      <c r="J257" t="str">
        <f>_xlfn.XLOOKUP(G257,'Facture GLS'!AB:AB,'Facture GLS'!BB:BB)</f>
        <v>FR</v>
      </c>
      <c r="K257" t="str">
        <f>IF(COUNTIF(Zoning!A:A,J257)=0,"pays inconnu",LOOKUP(J257,Zoning!A:A,Zoning!B:B))</f>
        <v>France</v>
      </c>
      <c r="L257">
        <f t="shared" si="11"/>
        <v>1</v>
      </c>
      <c r="M257">
        <f>_xlfn.XLOOKUP(G257,Poids!A:A,Poids!C:C)</f>
        <v>1.2000000000000002</v>
      </c>
      <c r="N257" t="str">
        <f>IF(COUNTIF(Zoning!A:A,J257)=0,"zone inconnue","France")</f>
        <v>France</v>
      </c>
      <c r="O257">
        <f>IF(COUNTIF(Zoning!A:A,J257)=0,"taux inconnu",_xlfn.XLOOKUP(J257,Zoning!A:A,Zoning!C:C))</f>
        <v>0.2</v>
      </c>
      <c r="R257" t="str">
        <f>IF(TCD!K258="","",TCD!K258)</f>
        <v/>
      </c>
      <c r="S257" t="str">
        <f>IF(TCD!F258="","",TCD!F258)</f>
        <v/>
      </c>
      <c r="T257" t="str">
        <f>IF(TCD!E258="","",TCD!E258)</f>
        <v/>
      </c>
      <c r="U257">
        <f>SUM(TCD!H258:J258)</f>
        <v>5.4700000000000006</v>
      </c>
    </row>
    <row r="258" spans="1:21" x14ac:dyDescent="0.25">
      <c r="A258" s="1" t="str">
        <f>_xlfn.XLOOKUP(G258,'Facture GLS'!AB:AB,'Facture GLS'!O:O)</f>
        <v>BY FOUTAS</v>
      </c>
      <c r="B258" t="str">
        <f t="shared" si="9"/>
        <v>GLS</v>
      </c>
      <c r="C258" s="2">
        <f t="shared" si="10"/>
        <v>46174</v>
      </c>
      <c r="G258" t="str">
        <f>TCD!D259</f>
        <v>00L0NDXI</v>
      </c>
      <c r="I258" t="s">
        <v>104</v>
      </c>
      <c r="J258" t="str">
        <f>_xlfn.XLOOKUP(G258,'Facture GLS'!AB:AB,'Facture GLS'!BB:BB)</f>
        <v>FR</v>
      </c>
      <c r="K258" t="str">
        <f>IF(COUNTIF(Zoning!A:A,J258)=0,"pays inconnu",LOOKUP(J258,Zoning!A:A,Zoning!B:B))</f>
        <v>France</v>
      </c>
      <c r="L258">
        <f t="shared" si="11"/>
        <v>1</v>
      </c>
      <c r="M258">
        <f>_xlfn.XLOOKUP(G258,Poids!A:A,Poids!C:C)</f>
        <v>2.3000000000000003</v>
      </c>
      <c r="N258" t="str">
        <f>IF(COUNTIF(Zoning!A:A,J258)=0,"zone inconnue","France")</f>
        <v>France</v>
      </c>
      <c r="O258">
        <f>IF(COUNTIF(Zoning!A:A,J258)=0,"taux inconnu",_xlfn.XLOOKUP(J258,Zoning!A:A,Zoning!C:C))</f>
        <v>0.2</v>
      </c>
      <c r="R258" t="str">
        <f>IF(TCD!K259="","",TCD!K259)</f>
        <v/>
      </c>
      <c r="S258" t="str">
        <f>IF(TCD!F259="","",TCD!F259)</f>
        <v/>
      </c>
      <c r="T258" t="str">
        <f>IF(TCD!E259="","",TCD!E259)</f>
        <v/>
      </c>
      <c r="U258">
        <f>SUM(TCD!H259:J259)</f>
        <v>5.7900000000000009</v>
      </c>
    </row>
    <row r="259" spans="1:21" x14ac:dyDescent="0.25">
      <c r="A259" s="1" t="str">
        <f>_xlfn.XLOOKUP(G259,'Facture GLS'!AB:AB,'Facture GLS'!O:O)</f>
        <v>BY FOUTAS</v>
      </c>
      <c r="B259" t="str">
        <f t="shared" si="9"/>
        <v>GLS</v>
      </c>
      <c r="C259" s="2">
        <f t="shared" si="10"/>
        <v>46174</v>
      </c>
      <c r="G259" t="str">
        <f>TCD!D260</f>
        <v>00L0NDXJ</v>
      </c>
      <c r="I259" t="s">
        <v>104</v>
      </c>
      <c r="J259" t="str">
        <f>_xlfn.XLOOKUP(G259,'Facture GLS'!AB:AB,'Facture GLS'!BB:BB)</f>
        <v>FR</v>
      </c>
      <c r="K259" t="str">
        <f>IF(COUNTIF(Zoning!A:A,J259)=0,"pays inconnu",LOOKUP(J259,Zoning!A:A,Zoning!B:B))</f>
        <v>France</v>
      </c>
      <c r="L259">
        <f t="shared" si="11"/>
        <v>1</v>
      </c>
      <c r="M259">
        <f>_xlfn.XLOOKUP(G259,Poids!A:A,Poids!C:C)</f>
        <v>0.5</v>
      </c>
      <c r="N259" t="str">
        <f>IF(COUNTIF(Zoning!A:A,J259)=0,"zone inconnue","France")</f>
        <v>France</v>
      </c>
      <c r="O259">
        <f>IF(COUNTIF(Zoning!A:A,J259)=0,"taux inconnu",_xlfn.XLOOKUP(J259,Zoning!A:A,Zoning!C:C))</f>
        <v>0.2</v>
      </c>
      <c r="R259" t="str">
        <f>IF(TCD!K260="","",TCD!K260)</f>
        <v/>
      </c>
      <c r="S259" t="str">
        <f>IF(TCD!F260="","",TCD!F260)</f>
        <v/>
      </c>
      <c r="T259" t="str">
        <f>IF(TCD!E260="","",TCD!E260)</f>
        <v/>
      </c>
      <c r="U259">
        <f>SUM(TCD!H260:J260)</f>
        <v>4.82</v>
      </c>
    </row>
    <row r="260" spans="1:21" x14ac:dyDescent="0.25">
      <c r="A260" s="1" t="str">
        <f>_xlfn.XLOOKUP(G260,'Facture GLS'!AB:AB,'Facture GLS'!O:O)</f>
        <v>BY FOUTAS</v>
      </c>
      <c r="B260" t="str">
        <f t="shared" ref="B260:B323" si="12">B259</f>
        <v>GLS</v>
      </c>
      <c r="C260" s="2">
        <f t="shared" ref="C260:C323" si="13">C259</f>
        <v>46174</v>
      </c>
      <c r="G260" t="str">
        <f>TCD!D261</f>
        <v>00L0NDXK</v>
      </c>
      <c r="I260" t="s">
        <v>104</v>
      </c>
      <c r="J260" t="str">
        <f>_xlfn.XLOOKUP(G260,'Facture GLS'!AB:AB,'Facture GLS'!BB:BB)</f>
        <v>FR</v>
      </c>
      <c r="K260" t="str">
        <f>IF(COUNTIF(Zoning!A:A,J260)=0,"pays inconnu",LOOKUP(J260,Zoning!A:A,Zoning!B:B))</f>
        <v>France</v>
      </c>
      <c r="L260">
        <f t="shared" ref="L260:L323" si="14">L259</f>
        <v>1</v>
      </c>
      <c r="M260">
        <f>_xlfn.XLOOKUP(G260,Poids!A:A,Poids!C:C)</f>
        <v>0.6</v>
      </c>
      <c r="N260" t="str">
        <f>IF(COUNTIF(Zoning!A:A,J260)=0,"zone inconnue","France")</f>
        <v>France</v>
      </c>
      <c r="O260">
        <f>IF(COUNTIF(Zoning!A:A,J260)=0,"taux inconnu",_xlfn.XLOOKUP(J260,Zoning!A:A,Zoning!C:C))</f>
        <v>0.2</v>
      </c>
      <c r="R260" t="str">
        <f>IF(TCD!K261="","",TCD!K261)</f>
        <v/>
      </c>
      <c r="S260" t="str">
        <f>IF(TCD!F261="","",TCD!F261)</f>
        <v/>
      </c>
      <c r="T260">
        <f>IF(TCD!E261="","",TCD!E261)</f>
        <v>2.36</v>
      </c>
      <c r="U260">
        <f>SUM(TCD!H261:J261)</f>
        <v>5.15</v>
      </c>
    </row>
    <row r="261" spans="1:21" x14ac:dyDescent="0.25">
      <c r="A261" s="1" t="str">
        <f>_xlfn.XLOOKUP(G261,'Facture GLS'!AB:AB,'Facture GLS'!O:O)</f>
        <v>BY FOUTAS</v>
      </c>
      <c r="B261" t="str">
        <f t="shared" si="12"/>
        <v>GLS</v>
      </c>
      <c r="C261" s="2">
        <f t="shared" si="13"/>
        <v>46174</v>
      </c>
      <c r="G261" t="str">
        <f>TCD!D262</f>
        <v>00L0NDXL</v>
      </c>
      <c r="I261" t="s">
        <v>104</v>
      </c>
      <c r="J261" t="str">
        <f>_xlfn.XLOOKUP(G261,'Facture GLS'!AB:AB,'Facture GLS'!BB:BB)</f>
        <v>FR</v>
      </c>
      <c r="K261" t="str">
        <f>IF(COUNTIF(Zoning!A:A,J261)=0,"pays inconnu",LOOKUP(J261,Zoning!A:A,Zoning!B:B))</f>
        <v>France</v>
      </c>
      <c r="L261">
        <f t="shared" si="14"/>
        <v>1</v>
      </c>
      <c r="M261">
        <f>_xlfn.XLOOKUP(G261,Poids!A:A,Poids!C:C)</f>
        <v>1.2000000000000002</v>
      </c>
      <c r="N261" t="str">
        <f>IF(COUNTIF(Zoning!A:A,J261)=0,"zone inconnue","France")</f>
        <v>France</v>
      </c>
      <c r="O261">
        <f>IF(COUNTIF(Zoning!A:A,J261)=0,"taux inconnu",_xlfn.XLOOKUP(J261,Zoning!A:A,Zoning!C:C))</f>
        <v>0.2</v>
      </c>
      <c r="R261" t="str">
        <f>IF(TCD!K262="","",TCD!K262)</f>
        <v/>
      </c>
      <c r="S261" t="str">
        <f>IF(TCD!F262="","",TCD!F262)</f>
        <v/>
      </c>
      <c r="T261" t="str">
        <f>IF(TCD!E262="","",TCD!E262)</f>
        <v/>
      </c>
      <c r="U261">
        <f>SUM(TCD!H262:J262)</f>
        <v>5.4700000000000006</v>
      </c>
    </row>
    <row r="262" spans="1:21" x14ac:dyDescent="0.25">
      <c r="A262" s="1" t="str">
        <f>_xlfn.XLOOKUP(G262,'Facture GLS'!AB:AB,'Facture GLS'!O:O)</f>
        <v>BY FOUTAS</v>
      </c>
      <c r="B262" t="str">
        <f t="shared" si="12"/>
        <v>GLS</v>
      </c>
      <c r="C262" s="2">
        <f t="shared" si="13"/>
        <v>46174</v>
      </c>
      <c r="G262" t="str">
        <f>TCD!D263</f>
        <v>00L0NDXM</v>
      </c>
      <c r="I262" t="s">
        <v>104</v>
      </c>
      <c r="J262" t="str">
        <f>_xlfn.XLOOKUP(G262,'Facture GLS'!AB:AB,'Facture GLS'!BB:BB)</f>
        <v>FR</v>
      </c>
      <c r="K262" t="str">
        <f>IF(COUNTIF(Zoning!A:A,J262)=0,"pays inconnu",LOOKUP(J262,Zoning!A:A,Zoning!B:B))</f>
        <v>France</v>
      </c>
      <c r="L262">
        <f t="shared" si="14"/>
        <v>1</v>
      </c>
      <c r="M262">
        <f>_xlfn.XLOOKUP(G262,Poids!A:A,Poids!C:C)</f>
        <v>1.2000000000000002</v>
      </c>
      <c r="N262" t="str">
        <f>IF(COUNTIF(Zoning!A:A,J262)=0,"zone inconnue","France")</f>
        <v>France</v>
      </c>
      <c r="O262">
        <f>IF(COUNTIF(Zoning!A:A,J262)=0,"taux inconnu",_xlfn.XLOOKUP(J262,Zoning!A:A,Zoning!C:C))</f>
        <v>0.2</v>
      </c>
      <c r="R262" t="str">
        <f>IF(TCD!K263="","",TCD!K263)</f>
        <v/>
      </c>
      <c r="S262" t="str">
        <f>IF(TCD!F263="","",TCD!F263)</f>
        <v/>
      </c>
      <c r="T262" t="str">
        <f>IF(TCD!E263="","",TCD!E263)</f>
        <v/>
      </c>
      <c r="U262">
        <f>SUM(TCD!H263:J263)</f>
        <v>5.4700000000000006</v>
      </c>
    </row>
    <row r="263" spans="1:21" x14ac:dyDescent="0.25">
      <c r="A263" s="1" t="str">
        <f>_xlfn.XLOOKUP(G263,'Facture GLS'!AB:AB,'Facture GLS'!O:O)</f>
        <v>BY FOUTAS</v>
      </c>
      <c r="B263" t="str">
        <f t="shared" si="12"/>
        <v>GLS</v>
      </c>
      <c r="C263" s="2">
        <f t="shared" si="13"/>
        <v>46174</v>
      </c>
      <c r="G263" t="str">
        <f>TCD!D264</f>
        <v>00L0NDXN</v>
      </c>
      <c r="I263" t="s">
        <v>104</v>
      </c>
      <c r="J263" t="str">
        <f>_xlfn.XLOOKUP(G263,'Facture GLS'!AB:AB,'Facture GLS'!BB:BB)</f>
        <v>FR</v>
      </c>
      <c r="K263" t="str">
        <f>IF(COUNTIF(Zoning!A:A,J263)=0,"pays inconnu",LOOKUP(J263,Zoning!A:A,Zoning!B:B))</f>
        <v>France</v>
      </c>
      <c r="L263">
        <f t="shared" si="14"/>
        <v>1</v>
      </c>
      <c r="M263">
        <f>_xlfn.XLOOKUP(G263,Poids!A:A,Poids!C:C)</f>
        <v>0.5</v>
      </c>
      <c r="N263" t="str">
        <f>IF(COUNTIF(Zoning!A:A,J263)=0,"zone inconnue","France")</f>
        <v>France</v>
      </c>
      <c r="O263">
        <f>IF(COUNTIF(Zoning!A:A,J263)=0,"taux inconnu",_xlfn.XLOOKUP(J263,Zoning!A:A,Zoning!C:C))</f>
        <v>0.2</v>
      </c>
      <c r="R263" t="str">
        <f>IF(TCD!K264="","",TCD!K264)</f>
        <v/>
      </c>
      <c r="S263" t="str">
        <f>IF(TCD!F264="","",TCD!F264)</f>
        <v/>
      </c>
      <c r="T263" t="str">
        <f>IF(TCD!E264="","",TCD!E264)</f>
        <v/>
      </c>
      <c r="U263">
        <f>SUM(TCD!H264:J264)</f>
        <v>4.82</v>
      </c>
    </row>
    <row r="264" spans="1:21" x14ac:dyDescent="0.25">
      <c r="A264" s="1" t="str">
        <f>_xlfn.XLOOKUP(G264,'Facture GLS'!AB:AB,'Facture GLS'!O:O)</f>
        <v>BY FOUTAS</v>
      </c>
      <c r="B264" t="str">
        <f t="shared" si="12"/>
        <v>GLS</v>
      </c>
      <c r="C264" s="2">
        <f t="shared" si="13"/>
        <v>46174</v>
      </c>
      <c r="G264" t="str">
        <f>TCD!D265</f>
        <v>00L0NDXO</v>
      </c>
      <c r="I264" t="s">
        <v>104</v>
      </c>
      <c r="J264" t="str">
        <f>_xlfn.XLOOKUP(G264,'Facture GLS'!AB:AB,'Facture GLS'!BB:BB)</f>
        <v>FR</v>
      </c>
      <c r="K264" t="str">
        <f>IF(COUNTIF(Zoning!A:A,J264)=0,"pays inconnu",LOOKUP(J264,Zoning!A:A,Zoning!B:B))</f>
        <v>France</v>
      </c>
      <c r="L264">
        <f t="shared" si="14"/>
        <v>1</v>
      </c>
      <c r="M264">
        <f>_xlfn.XLOOKUP(G264,Poids!A:A,Poids!C:C)</f>
        <v>6.1</v>
      </c>
      <c r="N264" t="str">
        <f>IF(COUNTIF(Zoning!A:A,J264)=0,"zone inconnue","France")</f>
        <v>France</v>
      </c>
      <c r="O264">
        <f>IF(COUNTIF(Zoning!A:A,J264)=0,"taux inconnu",_xlfn.XLOOKUP(J264,Zoning!A:A,Zoning!C:C))</f>
        <v>0.2</v>
      </c>
      <c r="R264" t="str">
        <f>IF(TCD!K265="","",TCD!K265)</f>
        <v/>
      </c>
      <c r="S264" t="str">
        <f>IF(TCD!F265="","",TCD!F265)</f>
        <v/>
      </c>
      <c r="T264" t="str">
        <f>IF(TCD!E265="","",TCD!E265)</f>
        <v/>
      </c>
      <c r="U264">
        <f>SUM(TCD!H265:J265)</f>
        <v>8.0300000000000011</v>
      </c>
    </row>
    <row r="265" spans="1:21" x14ac:dyDescent="0.25">
      <c r="A265" s="1" t="str">
        <f>_xlfn.XLOOKUP(G265,'Facture GLS'!AB:AB,'Facture GLS'!O:O)</f>
        <v>BY FOUTAS</v>
      </c>
      <c r="B265" t="str">
        <f t="shared" si="12"/>
        <v>GLS</v>
      </c>
      <c r="C265" s="2">
        <f t="shared" si="13"/>
        <v>46174</v>
      </c>
      <c r="G265" t="str">
        <f>TCD!D266</f>
        <v>00L0NDXP</v>
      </c>
      <c r="I265" t="s">
        <v>104</v>
      </c>
      <c r="J265" t="str">
        <f>_xlfn.XLOOKUP(G265,'Facture GLS'!AB:AB,'Facture GLS'!BB:BB)</f>
        <v>FR</v>
      </c>
      <c r="K265" t="str">
        <f>IF(COUNTIF(Zoning!A:A,J265)=0,"pays inconnu",LOOKUP(J265,Zoning!A:A,Zoning!B:B))</f>
        <v>France</v>
      </c>
      <c r="L265">
        <f t="shared" si="14"/>
        <v>1</v>
      </c>
      <c r="M265">
        <f>_xlfn.XLOOKUP(G265,Poids!A:A,Poids!C:C)</f>
        <v>0.6</v>
      </c>
      <c r="N265" t="str">
        <f>IF(COUNTIF(Zoning!A:A,J265)=0,"zone inconnue","France")</f>
        <v>France</v>
      </c>
      <c r="O265">
        <f>IF(COUNTIF(Zoning!A:A,J265)=0,"taux inconnu",_xlfn.XLOOKUP(J265,Zoning!A:A,Zoning!C:C))</f>
        <v>0.2</v>
      </c>
      <c r="R265" t="str">
        <f>IF(TCD!K266="","",TCD!K266)</f>
        <v/>
      </c>
      <c r="S265" t="str">
        <f>IF(TCD!F266="","",TCD!F266)</f>
        <v/>
      </c>
      <c r="T265" t="str">
        <f>IF(TCD!E266="","",TCD!E266)</f>
        <v/>
      </c>
      <c r="U265">
        <f>SUM(TCD!H266:J266)</f>
        <v>5.15</v>
      </c>
    </row>
    <row r="266" spans="1:21" x14ac:dyDescent="0.25">
      <c r="A266" s="1" t="str">
        <f>_xlfn.XLOOKUP(G266,'Facture GLS'!AB:AB,'Facture GLS'!O:O)</f>
        <v>BY FOUTAS</v>
      </c>
      <c r="B266" t="str">
        <f t="shared" si="12"/>
        <v>GLS</v>
      </c>
      <c r="C266" s="2">
        <f t="shared" si="13"/>
        <v>46174</v>
      </c>
      <c r="G266" t="str">
        <f>TCD!D267</f>
        <v>00L0NDXQ</v>
      </c>
      <c r="I266" t="s">
        <v>104</v>
      </c>
      <c r="J266" t="str">
        <f>_xlfn.XLOOKUP(G266,'Facture GLS'!AB:AB,'Facture GLS'!BB:BB)</f>
        <v>FR</v>
      </c>
      <c r="K266" t="str">
        <f>IF(COUNTIF(Zoning!A:A,J266)=0,"pays inconnu",LOOKUP(J266,Zoning!A:A,Zoning!B:B))</f>
        <v>France</v>
      </c>
      <c r="L266">
        <f t="shared" si="14"/>
        <v>1</v>
      </c>
      <c r="M266">
        <f>_xlfn.XLOOKUP(G266,Poids!A:A,Poids!C:C)</f>
        <v>1.3</v>
      </c>
      <c r="N266" t="str">
        <f>IF(COUNTIF(Zoning!A:A,J266)=0,"zone inconnue","France")</f>
        <v>France</v>
      </c>
      <c r="O266">
        <f>IF(COUNTIF(Zoning!A:A,J266)=0,"taux inconnu",_xlfn.XLOOKUP(J266,Zoning!A:A,Zoning!C:C))</f>
        <v>0.2</v>
      </c>
      <c r="R266" t="str">
        <f>IF(TCD!K267="","",TCD!K267)</f>
        <v/>
      </c>
      <c r="S266" t="str">
        <f>IF(TCD!F267="","",TCD!F267)</f>
        <v/>
      </c>
      <c r="T266" t="str">
        <f>IF(TCD!E267="","",TCD!E267)</f>
        <v/>
      </c>
      <c r="U266">
        <f>SUM(TCD!H267:J267)</f>
        <v>5.4700000000000006</v>
      </c>
    </row>
    <row r="267" spans="1:21" x14ac:dyDescent="0.25">
      <c r="A267" s="1" t="str">
        <f>_xlfn.XLOOKUP(G267,'Facture GLS'!AB:AB,'Facture GLS'!O:O)</f>
        <v>BY FOUTAS</v>
      </c>
      <c r="B267" t="str">
        <f t="shared" si="12"/>
        <v>GLS</v>
      </c>
      <c r="C267" s="2">
        <f t="shared" si="13"/>
        <v>46174</v>
      </c>
      <c r="G267" t="str">
        <f>TCD!D268</f>
        <v>00L0NDXR</v>
      </c>
      <c r="I267" t="s">
        <v>104</v>
      </c>
      <c r="J267" t="str">
        <f>_xlfn.XLOOKUP(G267,'Facture GLS'!AB:AB,'Facture GLS'!BB:BB)</f>
        <v>FR</v>
      </c>
      <c r="K267" t="str">
        <f>IF(COUNTIF(Zoning!A:A,J267)=0,"pays inconnu",LOOKUP(J267,Zoning!A:A,Zoning!B:B))</f>
        <v>France</v>
      </c>
      <c r="L267">
        <f t="shared" si="14"/>
        <v>1</v>
      </c>
      <c r="M267">
        <f>_xlfn.XLOOKUP(G267,Poids!A:A,Poids!C:C)</f>
        <v>1.2000000000000002</v>
      </c>
      <c r="N267" t="str">
        <f>IF(COUNTIF(Zoning!A:A,J267)=0,"zone inconnue","France")</f>
        <v>France</v>
      </c>
      <c r="O267">
        <f>IF(COUNTIF(Zoning!A:A,J267)=0,"taux inconnu",_xlfn.XLOOKUP(J267,Zoning!A:A,Zoning!C:C))</f>
        <v>0.2</v>
      </c>
      <c r="R267" t="str">
        <f>IF(TCD!K268="","",TCD!K268)</f>
        <v/>
      </c>
      <c r="S267" t="str">
        <f>IF(TCD!F268="","",TCD!F268)</f>
        <v/>
      </c>
      <c r="T267" t="str">
        <f>IF(TCD!E268="","",TCD!E268)</f>
        <v/>
      </c>
      <c r="U267">
        <f>SUM(TCD!H268:J268)</f>
        <v>5.4700000000000006</v>
      </c>
    </row>
    <row r="268" spans="1:21" x14ac:dyDescent="0.25">
      <c r="A268" s="1" t="str">
        <f>_xlfn.XLOOKUP(G268,'Facture GLS'!AB:AB,'Facture GLS'!O:O)</f>
        <v>BY FOUTAS</v>
      </c>
      <c r="B268" t="str">
        <f t="shared" si="12"/>
        <v>GLS</v>
      </c>
      <c r="C268" s="2">
        <f t="shared" si="13"/>
        <v>46174</v>
      </c>
      <c r="G268" t="str">
        <f>TCD!D269</f>
        <v>00L0NDXS</v>
      </c>
      <c r="I268" t="s">
        <v>104</v>
      </c>
      <c r="J268" t="str">
        <f>_xlfn.XLOOKUP(G268,'Facture GLS'!AB:AB,'Facture GLS'!BB:BB)</f>
        <v>FR</v>
      </c>
      <c r="K268" t="str">
        <f>IF(COUNTIF(Zoning!A:A,J268)=0,"pays inconnu",LOOKUP(J268,Zoning!A:A,Zoning!B:B))</f>
        <v>France</v>
      </c>
      <c r="L268">
        <f t="shared" si="14"/>
        <v>1</v>
      </c>
      <c r="M268">
        <f>_xlfn.XLOOKUP(G268,Poids!A:A,Poids!C:C)</f>
        <v>0.9</v>
      </c>
      <c r="N268" t="str">
        <f>IF(COUNTIF(Zoning!A:A,J268)=0,"zone inconnue","France")</f>
        <v>France</v>
      </c>
      <c r="O268">
        <f>IF(COUNTIF(Zoning!A:A,J268)=0,"taux inconnu",_xlfn.XLOOKUP(J268,Zoning!A:A,Zoning!C:C))</f>
        <v>0.2</v>
      </c>
      <c r="R268" t="str">
        <f>IF(TCD!K269="","",TCD!K269)</f>
        <v/>
      </c>
      <c r="S268" t="str">
        <f>IF(TCD!F269="","",TCD!F269)</f>
        <v/>
      </c>
      <c r="T268" t="str">
        <f>IF(TCD!E269="","",TCD!E269)</f>
        <v/>
      </c>
      <c r="U268">
        <f>SUM(TCD!H269:J269)</f>
        <v>5.15</v>
      </c>
    </row>
    <row r="269" spans="1:21" x14ac:dyDescent="0.25">
      <c r="A269" s="1" t="str">
        <f>_xlfn.XLOOKUP(G269,'Facture GLS'!AB:AB,'Facture GLS'!O:O)</f>
        <v>BY FOUTAS</v>
      </c>
      <c r="B269" t="str">
        <f t="shared" si="12"/>
        <v>GLS</v>
      </c>
      <c r="C269" s="2">
        <f t="shared" si="13"/>
        <v>46174</v>
      </c>
      <c r="G269" t="str">
        <f>TCD!D270</f>
        <v>00L0NDXT</v>
      </c>
      <c r="I269" t="s">
        <v>104</v>
      </c>
      <c r="J269" t="str">
        <f>_xlfn.XLOOKUP(G269,'Facture GLS'!AB:AB,'Facture GLS'!BB:BB)</f>
        <v>FR</v>
      </c>
      <c r="K269" t="str">
        <f>IF(COUNTIF(Zoning!A:A,J269)=0,"pays inconnu",LOOKUP(J269,Zoning!A:A,Zoning!B:B))</f>
        <v>France</v>
      </c>
      <c r="L269">
        <f t="shared" si="14"/>
        <v>1</v>
      </c>
      <c r="M269">
        <f>_xlfn.XLOOKUP(G269,Poids!A:A,Poids!C:C)</f>
        <v>0.9</v>
      </c>
      <c r="N269" t="str">
        <f>IF(COUNTIF(Zoning!A:A,J269)=0,"zone inconnue","France")</f>
        <v>France</v>
      </c>
      <c r="O269">
        <f>IF(COUNTIF(Zoning!A:A,J269)=0,"taux inconnu",_xlfn.XLOOKUP(J269,Zoning!A:A,Zoning!C:C))</f>
        <v>0.2</v>
      </c>
      <c r="R269" t="str">
        <f>IF(TCD!K270="","",TCD!K270)</f>
        <v/>
      </c>
      <c r="S269" t="str">
        <f>IF(TCD!F270="","",TCD!F270)</f>
        <v/>
      </c>
      <c r="T269" t="str">
        <f>IF(TCD!E270="","",TCD!E270)</f>
        <v/>
      </c>
      <c r="U269">
        <f>SUM(TCD!H270:J270)</f>
        <v>5.15</v>
      </c>
    </row>
    <row r="270" spans="1:21" x14ac:dyDescent="0.25">
      <c r="A270" s="1" t="str">
        <f>_xlfn.XLOOKUP(G270,'Facture GLS'!AB:AB,'Facture GLS'!O:O)</f>
        <v>BY FOUTAS</v>
      </c>
      <c r="B270" t="str">
        <f t="shared" si="12"/>
        <v>GLS</v>
      </c>
      <c r="C270" s="2">
        <f t="shared" si="13"/>
        <v>46174</v>
      </c>
      <c r="G270" t="str">
        <f>TCD!D271</f>
        <v>00L0NDXU</v>
      </c>
      <c r="I270" t="s">
        <v>104</v>
      </c>
      <c r="J270" t="str">
        <f>_xlfn.XLOOKUP(G270,'Facture GLS'!AB:AB,'Facture GLS'!BB:BB)</f>
        <v>FR</v>
      </c>
      <c r="K270" t="str">
        <f>IF(COUNTIF(Zoning!A:A,J270)=0,"pays inconnu",LOOKUP(J270,Zoning!A:A,Zoning!B:B))</f>
        <v>France</v>
      </c>
      <c r="L270">
        <f t="shared" si="14"/>
        <v>1</v>
      </c>
      <c r="M270">
        <f>_xlfn.XLOOKUP(G270,Poids!A:A,Poids!C:C)</f>
        <v>0.9</v>
      </c>
      <c r="N270" t="str">
        <f>IF(COUNTIF(Zoning!A:A,J270)=0,"zone inconnue","France")</f>
        <v>France</v>
      </c>
      <c r="O270">
        <f>IF(COUNTIF(Zoning!A:A,J270)=0,"taux inconnu",_xlfn.XLOOKUP(J270,Zoning!A:A,Zoning!C:C))</f>
        <v>0.2</v>
      </c>
      <c r="R270" t="str">
        <f>IF(TCD!K271="","",TCD!K271)</f>
        <v/>
      </c>
      <c r="S270" t="str">
        <f>IF(TCD!F271="","",TCD!F271)</f>
        <v/>
      </c>
      <c r="T270" t="str">
        <f>IF(TCD!E271="","",TCD!E271)</f>
        <v/>
      </c>
      <c r="U270">
        <f>SUM(TCD!H271:J271)</f>
        <v>5.15</v>
      </c>
    </row>
    <row r="271" spans="1:21" x14ac:dyDescent="0.25">
      <c r="A271" s="1" t="str">
        <f>_xlfn.XLOOKUP(G271,'Facture GLS'!AB:AB,'Facture GLS'!O:O)</f>
        <v>BY FOUTAS</v>
      </c>
      <c r="B271" t="str">
        <f t="shared" si="12"/>
        <v>GLS</v>
      </c>
      <c r="C271" s="2">
        <f t="shared" si="13"/>
        <v>46174</v>
      </c>
      <c r="G271" t="str">
        <f>TCD!D272</f>
        <v>00L0NDXV</v>
      </c>
      <c r="I271" t="s">
        <v>104</v>
      </c>
      <c r="J271" t="str">
        <f>_xlfn.XLOOKUP(G271,'Facture GLS'!AB:AB,'Facture GLS'!BB:BB)</f>
        <v>FR</v>
      </c>
      <c r="K271" t="str">
        <f>IF(COUNTIF(Zoning!A:A,J271)=0,"pays inconnu",LOOKUP(J271,Zoning!A:A,Zoning!B:B))</f>
        <v>France</v>
      </c>
      <c r="L271">
        <f t="shared" si="14"/>
        <v>1</v>
      </c>
      <c r="M271">
        <f>_xlfn.XLOOKUP(G271,Poids!A:A,Poids!C:C)</f>
        <v>1.8</v>
      </c>
      <c r="N271" t="str">
        <f>IF(COUNTIF(Zoning!A:A,J271)=0,"zone inconnue","France")</f>
        <v>France</v>
      </c>
      <c r="O271">
        <f>IF(COUNTIF(Zoning!A:A,J271)=0,"taux inconnu",_xlfn.XLOOKUP(J271,Zoning!A:A,Zoning!C:C))</f>
        <v>0.2</v>
      </c>
      <c r="R271" t="str">
        <f>IF(TCD!K272="","",TCD!K272)</f>
        <v/>
      </c>
      <c r="S271" t="str">
        <f>IF(TCD!F272="","",TCD!F272)</f>
        <v/>
      </c>
      <c r="T271" t="str">
        <f>IF(TCD!E272="","",TCD!E272)</f>
        <v/>
      </c>
      <c r="U271">
        <f>SUM(TCD!H272:J272)</f>
        <v>5.4700000000000006</v>
      </c>
    </row>
    <row r="272" spans="1:21" x14ac:dyDescent="0.25">
      <c r="A272" s="1" t="str">
        <f>_xlfn.XLOOKUP(G272,'Facture GLS'!AB:AB,'Facture GLS'!O:O)</f>
        <v>BY FOUTAS</v>
      </c>
      <c r="B272" t="str">
        <f t="shared" si="12"/>
        <v>GLS</v>
      </c>
      <c r="C272" s="2">
        <f t="shared" si="13"/>
        <v>46174</v>
      </c>
      <c r="G272" t="str">
        <f>TCD!D273</f>
        <v>00L0NDXW</v>
      </c>
      <c r="I272" t="s">
        <v>104</v>
      </c>
      <c r="J272" t="str">
        <f>_xlfn.XLOOKUP(G272,'Facture GLS'!AB:AB,'Facture GLS'!BB:BB)</f>
        <v>FR</v>
      </c>
      <c r="K272" t="str">
        <f>IF(COUNTIF(Zoning!A:A,J272)=0,"pays inconnu",LOOKUP(J272,Zoning!A:A,Zoning!B:B))</f>
        <v>France</v>
      </c>
      <c r="L272">
        <f t="shared" si="14"/>
        <v>1</v>
      </c>
      <c r="M272">
        <f>_xlfn.XLOOKUP(G272,Poids!A:A,Poids!C:C)</f>
        <v>1.2000000000000002</v>
      </c>
      <c r="N272" t="str">
        <f>IF(COUNTIF(Zoning!A:A,J272)=0,"zone inconnue","France")</f>
        <v>France</v>
      </c>
      <c r="O272">
        <f>IF(COUNTIF(Zoning!A:A,J272)=0,"taux inconnu",_xlfn.XLOOKUP(J272,Zoning!A:A,Zoning!C:C))</f>
        <v>0.2</v>
      </c>
      <c r="R272" t="str">
        <f>IF(TCD!K273="","",TCD!K273)</f>
        <v/>
      </c>
      <c r="S272" t="str">
        <f>IF(TCD!F273="","",TCD!F273)</f>
        <v/>
      </c>
      <c r="T272" t="str">
        <f>IF(TCD!E273="","",TCD!E273)</f>
        <v/>
      </c>
      <c r="U272">
        <f>SUM(TCD!H273:J273)</f>
        <v>5.4700000000000006</v>
      </c>
    </row>
    <row r="273" spans="1:21" x14ac:dyDescent="0.25">
      <c r="A273" s="1" t="str">
        <f>_xlfn.XLOOKUP(G273,'Facture GLS'!AB:AB,'Facture GLS'!O:O)</f>
        <v>BY FOUTAS</v>
      </c>
      <c r="B273" t="str">
        <f t="shared" si="12"/>
        <v>GLS</v>
      </c>
      <c r="C273" s="2">
        <f t="shared" si="13"/>
        <v>46174</v>
      </c>
      <c r="G273" t="str">
        <f>TCD!D274</f>
        <v>00L0NDXX</v>
      </c>
      <c r="I273" t="s">
        <v>104</v>
      </c>
      <c r="J273" t="str">
        <f>_xlfn.XLOOKUP(G273,'Facture GLS'!AB:AB,'Facture GLS'!BB:BB)</f>
        <v>FR</v>
      </c>
      <c r="K273" t="str">
        <f>IF(COUNTIF(Zoning!A:A,J273)=0,"pays inconnu",LOOKUP(J273,Zoning!A:A,Zoning!B:B))</f>
        <v>France</v>
      </c>
      <c r="L273">
        <f t="shared" si="14"/>
        <v>1</v>
      </c>
      <c r="M273">
        <f>_xlfn.XLOOKUP(G273,Poids!A:A,Poids!C:C)</f>
        <v>0.5</v>
      </c>
      <c r="N273" t="str">
        <f>IF(COUNTIF(Zoning!A:A,J273)=0,"zone inconnue","France")</f>
        <v>France</v>
      </c>
      <c r="O273">
        <f>IF(COUNTIF(Zoning!A:A,J273)=0,"taux inconnu",_xlfn.XLOOKUP(J273,Zoning!A:A,Zoning!C:C))</f>
        <v>0.2</v>
      </c>
      <c r="R273" t="str">
        <f>IF(TCD!K274="","",TCD!K274)</f>
        <v/>
      </c>
      <c r="S273" t="str">
        <f>IF(TCD!F274="","",TCD!F274)</f>
        <v/>
      </c>
      <c r="T273" t="str">
        <f>IF(TCD!E274="","",TCD!E274)</f>
        <v/>
      </c>
      <c r="U273">
        <f>SUM(TCD!H274:J274)</f>
        <v>4.82</v>
      </c>
    </row>
    <row r="274" spans="1:21" x14ac:dyDescent="0.25">
      <c r="A274" s="1" t="str">
        <f>_xlfn.XLOOKUP(G274,'Facture GLS'!AB:AB,'Facture GLS'!O:O)</f>
        <v>BY FOUTAS</v>
      </c>
      <c r="B274" t="str">
        <f t="shared" si="12"/>
        <v>GLS</v>
      </c>
      <c r="C274" s="2">
        <f t="shared" si="13"/>
        <v>46174</v>
      </c>
      <c r="G274" t="str">
        <f>TCD!D275</f>
        <v>00L0NDXY</v>
      </c>
      <c r="I274" t="s">
        <v>104</v>
      </c>
      <c r="J274" t="str">
        <f>_xlfn.XLOOKUP(G274,'Facture GLS'!AB:AB,'Facture GLS'!BB:BB)</f>
        <v>FR</v>
      </c>
      <c r="K274" t="str">
        <f>IF(COUNTIF(Zoning!A:A,J274)=0,"pays inconnu",LOOKUP(J274,Zoning!A:A,Zoning!B:B))</f>
        <v>France</v>
      </c>
      <c r="L274">
        <f t="shared" si="14"/>
        <v>1</v>
      </c>
      <c r="M274">
        <f>_xlfn.XLOOKUP(G274,Poids!A:A,Poids!C:C)</f>
        <v>0.9</v>
      </c>
      <c r="N274" t="str">
        <f>IF(COUNTIF(Zoning!A:A,J274)=0,"zone inconnue","France")</f>
        <v>France</v>
      </c>
      <c r="O274">
        <f>IF(COUNTIF(Zoning!A:A,J274)=0,"taux inconnu",_xlfn.XLOOKUP(J274,Zoning!A:A,Zoning!C:C))</f>
        <v>0.2</v>
      </c>
      <c r="R274" t="str">
        <f>IF(TCD!K275="","",TCD!K275)</f>
        <v/>
      </c>
      <c r="S274" t="str">
        <f>IF(TCD!F275="","",TCD!F275)</f>
        <v/>
      </c>
      <c r="T274" t="str">
        <f>IF(TCD!E275="","",TCD!E275)</f>
        <v/>
      </c>
      <c r="U274">
        <f>SUM(TCD!H275:J275)</f>
        <v>5.15</v>
      </c>
    </row>
    <row r="275" spans="1:21" x14ac:dyDescent="0.25">
      <c r="A275" s="1" t="str">
        <f>_xlfn.XLOOKUP(G275,'Facture GLS'!AB:AB,'Facture GLS'!O:O)</f>
        <v>BY FOUTAS</v>
      </c>
      <c r="B275" t="str">
        <f t="shared" si="12"/>
        <v>GLS</v>
      </c>
      <c r="C275" s="2">
        <f t="shared" si="13"/>
        <v>46174</v>
      </c>
      <c r="G275" t="str">
        <f>TCD!D276</f>
        <v>00L0NDXZ</v>
      </c>
      <c r="I275" t="s">
        <v>104</v>
      </c>
      <c r="J275" t="str">
        <f>_xlfn.XLOOKUP(G275,'Facture GLS'!AB:AB,'Facture GLS'!BB:BB)</f>
        <v>FR</v>
      </c>
      <c r="K275" t="str">
        <f>IF(COUNTIF(Zoning!A:A,J275)=0,"pays inconnu",LOOKUP(J275,Zoning!A:A,Zoning!B:B))</f>
        <v>France</v>
      </c>
      <c r="L275">
        <f t="shared" si="14"/>
        <v>1</v>
      </c>
      <c r="M275">
        <f>_xlfn.XLOOKUP(G275,Poids!A:A,Poids!C:C)</f>
        <v>1.9</v>
      </c>
      <c r="N275" t="str">
        <f>IF(COUNTIF(Zoning!A:A,J275)=0,"zone inconnue","France")</f>
        <v>France</v>
      </c>
      <c r="O275">
        <f>IF(COUNTIF(Zoning!A:A,J275)=0,"taux inconnu",_xlfn.XLOOKUP(J275,Zoning!A:A,Zoning!C:C))</f>
        <v>0.2</v>
      </c>
      <c r="R275" t="str">
        <f>IF(TCD!K276="","",TCD!K276)</f>
        <v/>
      </c>
      <c r="S275" t="str">
        <f>IF(TCD!F276="","",TCD!F276)</f>
        <v/>
      </c>
      <c r="T275" t="str">
        <f>IF(TCD!E276="","",TCD!E276)</f>
        <v/>
      </c>
      <c r="U275">
        <f>SUM(TCD!H276:J276)</f>
        <v>5.4700000000000006</v>
      </c>
    </row>
    <row r="276" spans="1:21" x14ac:dyDescent="0.25">
      <c r="A276" s="1" t="str">
        <f>_xlfn.XLOOKUP(G276,'Facture GLS'!AB:AB,'Facture GLS'!O:O)</f>
        <v>BY FOUTAS</v>
      </c>
      <c r="B276" t="str">
        <f t="shared" si="12"/>
        <v>GLS</v>
      </c>
      <c r="C276" s="2">
        <f t="shared" si="13"/>
        <v>46174</v>
      </c>
      <c r="G276" t="str">
        <f>TCD!D277</f>
        <v>00L0NDY0</v>
      </c>
      <c r="I276" t="s">
        <v>104</v>
      </c>
      <c r="J276" t="str">
        <f>_xlfn.XLOOKUP(G276,'Facture GLS'!AB:AB,'Facture GLS'!BB:BB)</f>
        <v>FR</v>
      </c>
      <c r="K276" t="str">
        <f>IF(COUNTIF(Zoning!A:A,J276)=0,"pays inconnu",LOOKUP(J276,Zoning!A:A,Zoning!B:B))</f>
        <v>France</v>
      </c>
      <c r="L276">
        <f t="shared" si="14"/>
        <v>1</v>
      </c>
      <c r="M276">
        <f>_xlfn.XLOOKUP(G276,Poids!A:A,Poids!C:C)</f>
        <v>0.6</v>
      </c>
      <c r="N276" t="str">
        <f>IF(COUNTIF(Zoning!A:A,J276)=0,"zone inconnue","France")</f>
        <v>France</v>
      </c>
      <c r="O276">
        <f>IF(COUNTIF(Zoning!A:A,J276)=0,"taux inconnu",_xlfn.XLOOKUP(J276,Zoning!A:A,Zoning!C:C))</f>
        <v>0.2</v>
      </c>
      <c r="R276" t="str">
        <f>IF(TCD!K277="","",TCD!K277)</f>
        <v/>
      </c>
      <c r="S276" t="str">
        <f>IF(TCD!F277="","",TCD!F277)</f>
        <v/>
      </c>
      <c r="T276" t="str">
        <f>IF(TCD!E277="","",TCD!E277)</f>
        <v/>
      </c>
      <c r="U276">
        <f>SUM(TCD!H277:J277)</f>
        <v>5.15</v>
      </c>
    </row>
    <row r="277" spans="1:21" x14ac:dyDescent="0.25">
      <c r="A277" s="1" t="str">
        <f>_xlfn.XLOOKUP(G277,'Facture GLS'!AB:AB,'Facture GLS'!O:O)</f>
        <v>BY FOUTAS</v>
      </c>
      <c r="B277" t="str">
        <f t="shared" si="12"/>
        <v>GLS</v>
      </c>
      <c r="C277" s="2">
        <f t="shared" si="13"/>
        <v>46174</v>
      </c>
      <c r="G277" t="str">
        <f>TCD!D278</f>
        <v>00L0NDY1</v>
      </c>
      <c r="I277" t="s">
        <v>104</v>
      </c>
      <c r="J277" t="str">
        <f>_xlfn.XLOOKUP(G277,'Facture GLS'!AB:AB,'Facture GLS'!BB:BB)</f>
        <v>FR</v>
      </c>
      <c r="K277" t="str">
        <f>IF(COUNTIF(Zoning!A:A,J277)=0,"pays inconnu",LOOKUP(J277,Zoning!A:A,Zoning!B:B))</f>
        <v>France</v>
      </c>
      <c r="L277">
        <f t="shared" si="14"/>
        <v>1</v>
      </c>
      <c r="M277">
        <f>_xlfn.XLOOKUP(G277,Poids!A:A,Poids!C:C)</f>
        <v>3.1</v>
      </c>
      <c r="N277" t="str">
        <f>IF(COUNTIF(Zoning!A:A,J277)=0,"zone inconnue","France")</f>
        <v>France</v>
      </c>
      <c r="O277">
        <f>IF(COUNTIF(Zoning!A:A,J277)=0,"taux inconnu",_xlfn.XLOOKUP(J277,Zoning!A:A,Zoning!C:C))</f>
        <v>0.2</v>
      </c>
      <c r="R277" t="str">
        <f>IF(TCD!K278="","",TCD!K278)</f>
        <v/>
      </c>
      <c r="S277" t="str">
        <f>IF(TCD!F278="","",TCD!F278)</f>
        <v/>
      </c>
      <c r="T277" t="str">
        <f>IF(TCD!E278="","",TCD!E278)</f>
        <v/>
      </c>
      <c r="U277">
        <f>SUM(TCD!H278:J278)</f>
        <v>6.3500000000000005</v>
      </c>
    </row>
    <row r="278" spans="1:21" x14ac:dyDescent="0.25">
      <c r="A278" s="1" t="str">
        <f>_xlfn.XLOOKUP(G278,'Facture GLS'!AB:AB,'Facture GLS'!O:O)</f>
        <v>BY FOUTAS</v>
      </c>
      <c r="B278" t="str">
        <f t="shared" si="12"/>
        <v>GLS</v>
      </c>
      <c r="C278" s="2">
        <f t="shared" si="13"/>
        <v>46174</v>
      </c>
      <c r="G278" t="str">
        <f>TCD!D279</f>
        <v>00L0NDY2</v>
      </c>
      <c r="I278" t="s">
        <v>104</v>
      </c>
      <c r="J278" t="str">
        <f>_xlfn.XLOOKUP(G278,'Facture GLS'!AB:AB,'Facture GLS'!BB:BB)</f>
        <v>FR</v>
      </c>
      <c r="K278" t="str">
        <f>IF(COUNTIF(Zoning!A:A,J278)=0,"pays inconnu",LOOKUP(J278,Zoning!A:A,Zoning!B:B))</f>
        <v>France</v>
      </c>
      <c r="L278">
        <f t="shared" si="14"/>
        <v>1</v>
      </c>
      <c r="M278">
        <f>_xlfn.XLOOKUP(G278,Poids!A:A,Poids!C:C)</f>
        <v>0.9</v>
      </c>
      <c r="N278" t="str">
        <f>IF(COUNTIF(Zoning!A:A,J278)=0,"zone inconnue","France")</f>
        <v>France</v>
      </c>
      <c r="O278">
        <f>IF(COUNTIF(Zoning!A:A,J278)=0,"taux inconnu",_xlfn.XLOOKUP(J278,Zoning!A:A,Zoning!C:C))</f>
        <v>0.2</v>
      </c>
      <c r="R278" t="str">
        <f>IF(TCD!K279="","",TCD!K279)</f>
        <v/>
      </c>
      <c r="S278" t="str">
        <f>IF(TCD!F279="","",TCD!F279)</f>
        <v/>
      </c>
      <c r="T278" t="str">
        <f>IF(TCD!E279="","",TCD!E279)</f>
        <v/>
      </c>
      <c r="U278">
        <f>SUM(TCD!H279:J279)</f>
        <v>5.15</v>
      </c>
    </row>
    <row r="279" spans="1:21" x14ac:dyDescent="0.25">
      <c r="A279" s="1" t="str">
        <f>_xlfn.XLOOKUP(G279,'Facture GLS'!AB:AB,'Facture GLS'!O:O)</f>
        <v>BY FOUTAS</v>
      </c>
      <c r="B279" t="str">
        <f t="shared" si="12"/>
        <v>GLS</v>
      </c>
      <c r="C279" s="2">
        <f t="shared" si="13"/>
        <v>46174</v>
      </c>
      <c r="G279" t="str">
        <f>TCD!D280</f>
        <v>00L0NDY3</v>
      </c>
      <c r="I279" t="s">
        <v>104</v>
      </c>
      <c r="J279" t="str">
        <f>_xlfn.XLOOKUP(G279,'Facture GLS'!AB:AB,'Facture GLS'!BB:BB)</f>
        <v>FR</v>
      </c>
      <c r="K279" t="str">
        <f>IF(COUNTIF(Zoning!A:A,J279)=0,"pays inconnu",LOOKUP(J279,Zoning!A:A,Zoning!B:B))</f>
        <v>France</v>
      </c>
      <c r="L279">
        <f t="shared" si="14"/>
        <v>1</v>
      </c>
      <c r="M279">
        <f>_xlfn.XLOOKUP(G279,Poids!A:A,Poids!C:C)</f>
        <v>0.5</v>
      </c>
      <c r="N279" t="str">
        <f>IF(COUNTIF(Zoning!A:A,J279)=0,"zone inconnue","France")</f>
        <v>France</v>
      </c>
      <c r="O279">
        <f>IF(COUNTIF(Zoning!A:A,J279)=0,"taux inconnu",_xlfn.XLOOKUP(J279,Zoning!A:A,Zoning!C:C))</f>
        <v>0.2</v>
      </c>
      <c r="R279" t="str">
        <f>IF(TCD!K280="","",TCD!K280)</f>
        <v/>
      </c>
      <c r="S279" t="str">
        <f>IF(TCD!F280="","",TCD!F280)</f>
        <v/>
      </c>
      <c r="T279" t="str">
        <f>IF(TCD!E280="","",TCD!E280)</f>
        <v/>
      </c>
      <c r="U279">
        <f>SUM(TCD!H280:J280)</f>
        <v>4.82</v>
      </c>
    </row>
    <row r="280" spans="1:21" x14ac:dyDescent="0.25">
      <c r="A280" s="1" t="str">
        <f>_xlfn.XLOOKUP(G280,'Facture GLS'!AB:AB,'Facture GLS'!O:O)</f>
        <v>BY FOUTAS</v>
      </c>
      <c r="B280" t="str">
        <f t="shared" si="12"/>
        <v>GLS</v>
      </c>
      <c r="C280" s="2">
        <f t="shared" si="13"/>
        <v>46174</v>
      </c>
      <c r="G280" t="str">
        <f>TCD!D281</f>
        <v>00L0NDY4</v>
      </c>
      <c r="I280" t="s">
        <v>104</v>
      </c>
      <c r="J280" t="str">
        <f>_xlfn.XLOOKUP(G280,'Facture GLS'!AB:AB,'Facture GLS'!BB:BB)</f>
        <v>FR</v>
      </c>
      <c r="K280" t="str">
        <f>IF(COUNTIF(Zoning!A:A,J280)=0,"pays inconnu",LOOKUP(J280,Zoning!A:A,Zoning!B:B))</f>
        <v>France</v>
      </c>
      <c r="L280">
        <f t="shared" si="14"/>
        <v>1</v>
      </c>
      <c r="M280">
        <f>_xlfn.XLOOKUP(G280,Poids!A:A,Poids!C:C)</f>
        <v>0.6</v>
      </c>
      <c r="N280" t="str">
        <f>IF(COUNTIF(Zoning!A:A,J280)=0,"zone inconnue","France")</f>
        <v>France</v>
      </c>
      <c r="O280">
        <f>IF(COUNTIF(Zoning!A:A,J280)=0,"taux inconnu",_xlfn.XLOOKUP(J280,Zoning!A:A,Zoning!C:C))</f>
        <v>0.2</v>
      </c>
      <c r="R280" t="str">
        <f>IF(TCD!K281="","",TCD!K281)</f>
        <v/>
      </c>
      <c r="S280" t="str">
        <f>IF(TCD!F281="","",TCD!F281)</f>
        <v/>
      </c>
      <c r="T280" t="str">
        <f>IF(TCD!E281="","",TCD!E281)</f>
        <v/>
      </c>
      <c r="U280">
        <f>SUM(TCD!H281:J281)</f>
        <v>5.15</v>
      </c>
    </row>
    <row r="281" spans="1:21" x14ac:dyDescent="0.25">
      <c r="A281" s="1" t="str">
        <f>_xlfn.XLOOKUP(G281,'Facture GLS'!AB:AB,'Facture GLS'!O:O)</f>
        <v>BY FOUTAS</v>
      </c>
      <c r="B281" t="str">
        <f t="shared" si="12"/>
        <v>GLS</v>
      </c>
      <c r="C281" s="2">
        <f t="shared" si="13"/>
        <v>46174</v>
      </c>
      <c r="G281" t="str">
        <f>TCD!D282</f>
        <v>00L0NDY5</v>
      </c>
      <c r="I281" t="s">
        <v>104</v>
      </c>
      <c r="J281" t="str">
        <f>_xlfn.XLOOKUP(G281,'Facture GLS'!AB:AB,'Facture GLS'!BB:BB)</f>
        <v>FR</v>
      </c>
      <c r="K281" t="str">
        <f>IF(COUNTIF(Zoning!A:A,J281)=0,"pays inconnu",LOOKUP(J281,Zoning!A:A,Zoning!B:B))</f>
        <v>France</v>
      </c>
      <c r="L281">
        <f t="shared" si="14"/>
        <v>1</v>
      </c>
      <c r="M281">
        <f>_xlfn.XLOOKUP(G281,Poids!A:A,Poids!C:C)</f>
        <v>2.4</v>
      </c>
      <c r="N281" t="str">
        <f>IF(COUNTIF(Zoning!A:A,J281)=0,"zone inconnue","France")</f>
        <v>France</v>
      </c>
      <c r="O281">
        <f>IF(COUNTIF(Zoning!A:A,J281)=0,"taux inconnu",_xlfn.XLOOKUP(J281,Zoning!A:A,Zoning!C:C))</f>
        <v>0.2</v>
      </c>
      <c r="R281" t="str">
        <f>IF(TCD!K282="","",TCD!K282)</f>
        <v/>
      </c>
      <c r="S281" t="str">
        <f>IF(TCD!F282="","",TCD!F282)</f>
        <v/>
      </c>
      <c r="T281" t="str">
        <f>IF(TCD!E282="","",TCD!E282)</f>
        <v/>
      </c>
      <c r="U281">
        <f>SUM(TCD!H282:J282)</f>
        <v>5.7900000000000009</v>
      </c>
    </row>
    <row r="282" spans="1:21" x14ac:dyDescent="0.25">
      <c r="A282" s="1" t="str">
        <f>_xlfn.XLOOKUP(G282,'Facture GLS'!AB:AB,'Facture GLS'!O:O)</f>
        <v>BY FOUTAS</v>
      </c>
      <c r="B282" t="str">
        <f t="shared" si="12"/>
        <v>GLS</v>
      </c>
      <c r="C282" s="2">
        <f t="shared" si="13"/>
        <v>46174</v>
      </c>
      <c r="G282" t="str">
        <f>TCD!D283</f>
        <v>00L0NDY6</v>
      </c>
      <c r="I282" t="s">
        <v>104</v>
      </c>
      <c r="J282" t="str">
        <f>_xlfn.XLOOKUP(G282,'Facture GLS'!AB:AB,'Facture GLS'!BB:BB)</f>
        <v>FR</v>
      </c>
      <c r="K282" t="str">
        <f>IF(COUNTIF(Zoning!A:A,J282)=0,"pays inconnu",LOOKUP(J282,Zoning!A:A,Zoning!B:B))</f>
        <v>France</v>
      </c>
      <c r="L282">
        <f t="shared" si="14"/>
        <v>1</v>
      </c>
      <c r="M282">
        <f>_xlfn.XLOOKUP(G282,Poids!A:A,Poids!C:C)</f>
        <v>2.7</v>
      </c>
      <c r="N282" t="str">
        <f>IF(COUNTIF(Zoning!A:A,J282)=0,"zone inconnue","France")</f>
        <v>France</v>
      </c>
      <c r="O282">
        <f>IF(COUNTIF(Zoning!A:A,J282)=0,"taux inconnu",_xlfn.XLOOKUP(J282,Zoning!A:A,Zoning!C:C))</f>
        <v>0.2</v>
      </c>
      <c r="R282" t="str">
        <f>IF(TCD!K283="","",TCD!K283)</f>
        <v/>
      </c>
      <c r="S282" t="str">
        <f>IF(TCD!F283="","",TCD!F283)</f>
        <v/>
      </c>
      <c r="T282" t="str">
        <f>IF(TCD!E283="","",TCD!E283)</f>
        <v/>
      </c>
      <c r="U282">
        <f>SUM(TCD!H283:J283)</f>
        <v>5.7900000000000009</v>
      </c>
    </row>
    <row r="283" spans="1:21" x14ac:dyDescent="0.25">
      <c r="A283" s="1" t="str">
        <f>_xlfn.XLOOKUP(G283,'Facture GLS'!AB:AB,'Facture GLS'!O:O)</f>
        <v>BY FOUTAS</v>
      </c>
      <c r="B283" t="str">
        <f t="shared" si="12"/>
        <v>GLS</v>
      </c>
      <c r="C283" s="2">
        <f t="shared" si="13"/>
        <v>46174</v>
      </c>
      <c r="G283" t="str">
        <f>TCD!D284</f>
        <v>00L0NDY7</v>
      </c>
      <c r="I283" t="s">
        <v>104</v>
      </c>
      <c r="J283" t="str">
        <f>_xlfn.XLOOKUP(G283,'Facture GLS'!AB:AB,'Facture GLS'!BB:BB)</f>
        <v>FR</v>
      </c>
      <c r="K283" t="str">
        <f>IF(COUNTIF(Zoning!A:A,J283)=0,"pays inconnu",LOOKUP(J283,Zoning!A:A,Zoning!B:B))</f>
        <v>France</v>
      </c>
      <c r="L283">
        <f t="shared" si="14"/>
        <v>1</v>
      </c>
      <c r="M283">
        <f>_xlfn.XLOOKUP(G283,Poids!A:A,Poids!C:C)</f>
        <v>1.2000000000000002</v>
      </c>
      <c r="N283" t="str">
        <f>IF(COUNTIF(Zoning!A:A,J283)=0,"zone inconnue","France")</f>
        <v>France</v>
      </c>
      <c r="O283">
        <f>IF(COUNTIF(Zoning!A:A,J283)=0,"taux inconnu",_xlfn.XLOOKUP(J283,Zoning!A:A,Zoning!C:C))</f>
        <v>0.2</v>
      </c>
      <c r="R283" t="str">
        <f>IF(TCD!K284="","",TCD!K284)</f>
        <v/>
      </c>
      <c r="S283" t="str">
        <f>IF(TCD!F284="","",TCD!F284)</f>
        <v/>
      </c>
      <c r="T283" t="str">
        <f>IF(TCD!E284="","",TCD!E284)</f>
        <v/>
      </c>
      <c r="U283">
        <f>SUM(TCD!H284:J284)</f>
        <v>5.4700000000000006</v>
      </c>
    </row>
    <row r="284" spans="1:21" x14ac:dyDescent="0.25">
      <c r="A284" s="1" t="str">
        <f>_xlfn.XLOOKUP(G284,'Facture GLS'!AB:AB,'Facture GLS'!O:O)</f>
        <v>BY FOUTAS</v>
      </c>
      <c r="B284" t="str">
        <f t="shared" si="12"/>
        <v>GLS</v>
      </c>
      <c r="C284" s="2">
        <f t="shared" si="13"/>
        <v>46174</v>
      </c>
      <c r="G284" t="str">
        <f>TCD!D285</f>
        <v>00L0NDY8</v>
      </c>
      <c r="I284" t="s">
        <v>104</v>
      </c>
      <c r="J284" t="str">
        <f>_xlfn.XLOOKUP(G284,'Facture GLS'!AB:AB,'Facture GLS'!BB:BB)</f>
        <v>FR</v>
      </c>
      <c r="K284" t="str">
        <f>IF(COUNTIF(Zoning!A:A,J284)=0,"pays inconnu",LOOKUP(J284,Zoning!A:A,Zoning!B:B))</f>
        <v>France</v>
      </c>
      <c r="L284">
        <f t="shared" si="14"/>
        <v>1</v>
      </c>
      <c r="M284">
        <f>_xlfn.XLOOKUP(G284,Poids!A:A,Poids!C:C)</f>
        <v>1.2000000000000002</v>
      </c>
      <c r="N284" t="str">
        <f>IF(COUNTIF(Zoning!A:A,J284)=0,"zone inconnue","France")</f>
        <v>France</v>
      </c>
      <c r="O284">
        <f>IF(COUNTIF(Zoning!A:A,J284)=0,"taux inconnu",_xlfn.XLOOKUP(J284,Zoning!A:A,Zoning!C:C))</f>
        <v>0.2</v>
      </c>
      <c r="R284" t="str">
        <f>IF(TCD!K285="","",TCD!K285)</f>
        <v/>
      </c>
      <c r="S284" t="str">
        <f>IF(TCD!F285="","",TCD!F285)</f>
        <v/>
      </c>
      <c r="T284" t="str">
        <f>IF(TCD!E285="","",TCD!E285)</f>
        <v/>
      </c>
      <c r="U284">
        <f>SUM(TCD!H285:J285)</f>
        <v>5.4700000000000006</v>
      </c>
    </row>
    <row r="285" spans="1:21" x14ac:dyDescent="0.25">
      <c r="A285" s="1" t="str">
        <f>_xlfn.XLOOKUP(G285,'Facture GLS'!AB:AB,'Facture GLS'!O:O)</f>
        <v>BY FOUTAS</v>
      </c>
      <c r="B285" t="str">
        <f t="shared" si="12"/>
        <v>GLS</v>
      </c>
      <c r="C285" s="2">
        <f t="shared" si="13"/>
        <v>46174</v>
      </c>
      <c r="G285" t="str">
        <f>TCD!D286</f>
        <v>00L0NDY9</v>
      </c>
      <c r="I285" t="s">
        <v>104</v>
      </c>
      <c r="J285" t="str">
        <f>_xlfn.XLOOKUP(G285,'Facture GLS'!AB:AB,'Facture GLS'!BB:BB)</f>
        <v>FR</v>
      </c>
      <c r="K285" t="str">
        <f>IF(COUNTIF(Zoning!A:A,J285)=0,"pays inconnu",LOOKUP(J285,Zoning!A:A,Zoning!B:B))</f>
        <v>France</v>
      </c>
      <c r="L285">
        <f t="shared" si="14"/>
        <v>1</v>
      </c>
      <c r="M285">
        <f>_xlfn.XLOOKUP(G285,Poids!A:A,Poids!C:C)</f>
        <v>0.5</v>
      </c>
      <c r="N285" t="str">
        <f>IF(COUNTIF(Zoning!A:A,J285)=0,"zone inconnue","France")</f>
        <v>France</v>
      </c>
      <c r="O285">
        <f>IF(COUNTIF(Zoning!A:A,J285)=0,"taux inconnu",_xlfn.XLOOKUP(J285,Zoning!A:A,Zoning!C:C))</f>
        <v>0.2</v>
      </c>
      <c r="R285" t="str">
        <f>IF(TCD!K286="","",TCD!K286)</f>
        <v/>
      </c>
      <c r="S285" t="str">
        <f>IF(TCD!F286="","",TCD!F286)</f>
        <v/>
      </c>
      <c r="T285">
        <f>IF(TCD!E286="","",TCD!E286)</f>
        <v>2.36</v>
      </c>
      <c r="U285">
        <f>SUM(TCD!H286:J286)</f>
        <v>4.82</v>
      </c>
    </row>
    <row r="286" spans="1:21" x14ac:dyDescent="0.25">
      <c r="A286" s="1" t="str">
        <f>_xlfn.XLOOKUP(G286,'Facture GLS'!AB:AB,'Facture GLS'!O:O)</f>
        <v>BY FOUTAS</v>
      </c>
      <c r="B286" t="str">
        <f t="shared" si="12"/>
        <v>GLS</v>
      </c>
      <c r="C286" s="2">
        <f t="shared" si="13"/>
        <v>46174</v>
      </c>
      <c r="G286" t="str">
        <f>TCD!D287</f>
        <v>00L0NDYA</v>
      </c>
      <c r="I286" t="s">
        <v>104</v>
      </c>
      <c r="J286" t="str">
        <f>_xlfn.XLOOKUP(G286,'Facture GLS'!AB:AB,'Facture GLS'!BB:BB)</f>
        <v>FR</v>
      </c>
      <c r="K286" t="str">
        <f>IF(COUNTIF(Zoning!A:A,J286)=0,"pays inconnu",LOOKUP(J286,Zoning!A:A,Zoning!B:B))</f>
        <v>France</v>
      </c>
      <c r="L286">
        <f t="shared" si="14"/>
        <v>1</v>
      </c>
      <c r="M286">
        <f>_xlfn.XLOOKUP(G286,Poids!A:A,Poids!C:C)</f>
        <v>0.5</v>
      </c>
      <c r="N286" t="str">
        <f>IF(COUNTIF(Zoning!A:A,J286)=0,"zone inconnue","France")</f>
        <v>France</v>
      </c>
      <c r="O286">
        <f>IF(COUNTIF(Zoning!A:A,J286)=0,"taux inconnu",_xlfn.XLOOKUP(J286,Zoning!A:A,Zoning!C:C))</f>
        <v>0.2</v>
      </c>
      <c r="R286" t="str">
        <f>IF(TCD!K287="","",TCD!K287)</f>
        <v/>
      </c>
      <c r="S286" t="str">
        <f>IF(TCD!F287="","",TCD!F287)</f>
        <v/>
      </c>
      <c r="T286" t="str">
        <f>IF(TCD!E287="","",TCD!E287)</f>
        <v/>
      </c>
      <c r="U286">
        <f>SUM(TCD!H287:J287)</f>
        <v>4.82</v>
      </c>
    </row>
    <row r="287" spans="1:21" x14ac:dyDescent="0.25">
      <c r="A287" s="1" t="str">
        <f>_xlfn.XLOOKUP(G287,'Facture GLS'!AB:AB,'Facture GLS'!O:O)</f>
        <v>BY FOUTAS</v>
      </c>
      <c r="B287" t="str">
        <f t="shared" si="12"/>
        <v>GLS</v>
      </c>
      <c r="C287" s="2">
        <f t="shared" si="13"/>
        <v>46174</v>
      </c>
      <c r="G287" t="str">
        <f>TCD!D288</f>
        <v>00L0NDYB</v>
      </c>
      <c r="I287" t="s">
        <v>104</v>
      </c>
      <c r="J287" t="str">
        <f>_xlfn.XLOOKUP(G287,'Facture GLS'!AB:AB,'Facture GLS'!BB:BB)</f>
        <v>FR</v>
      </c>
      <c r="K287" t="str">
        <f>IF(COUNTIF(Zoning!A:A,J287)=0,"pays inconnu",LOOKUP(J287,Zoning!A:A,Zoning!B:B))</f>
        <v>France</v>
      </c>
      <c r="L287">
        <f t="shared" si="14"/>
        <v>1</v>
      </c>
      <c r="M287">
        <f>_xlfn.XLOOKUP(G287,Poids!A:A,Poids!C:C)</f>
        <v>2.4</v>
      </c>
      <c r="N287" t="str">
        <f>IF(COUNTIF(Zoning!A:A,J287)=0,"zone inconnue","France")</f>
        <v>France</v>
      </c>
      <c r="O287">
        <f>IF(COUNTIF(Zoning!A:A,J287)=0,"taux inconnu",_xlfn.XLOOKUP(J287,Zoning!A:A,Zoning!C:C))</f>
        <v>0.2</v>
      </c>
      <c r="R287" t="str">
        <f>IF(TCD!K288="","",TCD!K288)</f>
        <v/>
      </c>
      <c r="S287" t="str">
        <f>IF(TCD!F288="","",TCD!F288)</f>
        <v/>
      </c>
      <c r="T287" t="str">
        <f>IF(TCD!E288="","",TCD!E288)</f>
        <v/>
      </c>
      <c r="U287">
        <f>SUM(TCD!H288:J288)</f>
        <v>5.7900000000000009</v>
      </c>
    </row>
    <row r="288" spans="1:21" x14ac:dyDescent="0.25">
      <c r="A288" s="1" t="str">
        <f>_xlfn.XLOOKUP(G288,'Facture GLS'!AB:AB,'Facture GLS'!O:O)</f>
        <v>BY FOUTAS</v>
      </c>
      <c r="B288" t="str">
        <f t="shared" si="12"/>
        <v>GLS</v>
      </c>
      <c r="C288" s="2">
        <f t="shared" si="13"/>
        <v>46174</v>
      </c>
      <c r="G288" t="str">
        <f>TCD!D289</f>
        <v>00L0NDYC</v>
      </c>
      <c r="I288" t="s">
        <v>104</v>
      </c>
      <c r="J288" t="str">
        <f>_xlfn.XLOOKUP(G288,'Facture GLS'!AB:AB,'Facture GLS'!BB:BB)</f>
        <v>FR</v>
      </c>
      <c r="K288" t="str">
        <f>IF(COUNTIF(Zoning!A:A,J288)=0,"pays inconnu",LOOKUP(J288,Zoning!A:A,Zoning!B:B))</f>
        <v>France</v>
      </c>
      <c r="L288">
        <f t="shared" si="14"/>
        <v>1</v>
      </c>
      <c r="M288">
        <f>_xlfn.XLOOKUP(G288,Poids!A:A,Poids!C:C)</f>
        <v>2.2999999999999998</v>
      </c>
      <c r="N288" t="str">
        <f>IF(COUNTIF(Zoning!A:A,J288)=0,"zone inconnue","France")</f>
        <v>France</v>
      </c>
      <c r="O288">
        <f>IF(COUNTIF(Zoning!A:A,J288)=0,"taux inconnu",_xlfn.XLOOKUP(J288,Zoning!A:A,Zoning!C:C))</f>
        <v>0.2</v>
      </c>
      <c r="R288" t="str">
        <f>IF(TCD!K289="","",TCD!K289)</f>
        <v/>
      </c>
      <c r="S288" t="str">
        <f>IF(TCD!F289="","",TCD!F289)</f>
        <v/>
      </c>
      <c r="T288" t="str">
        <f>IF(TCD!E289="","",TCD!E289)</f>
        <v/>
      </c>
      <c r="U288">
        <f>SUM(TCD!H289:J289)</f>
        <v>5.7900000000000009</v>
      </c>
    </row>
    <row r="289" spans="1:21" x14ac:dyDescent="0.25">
      <c r="A289" s="1" t="str">
        <f>_xlfn.XLOOKUP(G289,'Facture GLS'!AB:AB,'Facture GLS'!O:O)</f>
        <v>BY FOUTAS</v>
      </c>
      <c r="B289" t="str">
        <f t="shared" si="12"/>
        <v>GLS</v>
      </c>
      <c r="C289" s="2">
        <f t="shared" si="13"/>
        <v>46174</v>
      </c>
      <c r="G289" t="str">
        <f>TCD!D290</f>
        <v>00L0NDYD</v>
      </c>
      <c r="I289" t="s">
        <v>104</v>
      </c>
      <c r="J289" t="str">
        <f>_xlfn.XLOOKUP(G289,'Facture GLS'!AB:AB,'Facture GLS'!BB:BB)</f>
        <v>FR</v>
      </c>
      <c r="K289" t="str">
        <f>IF(COUNTIF(Zoning!A:A,J289)=0,"pays inconnu",LOOKUP(J289,Zoning!A:A,Zoning!B:B))</f>
        <v>France</v>
      </c>
      <c r="L289">
        <f t="shared" si="14"/>
        <v>1</v>
      </c>
      <c r="M289">
        <f>_xlfn.XLOOKUP(G289,Poids!A:A,Poids!C:C)</f>
        <v>0.9</v>
      </c>
      <c r="N289" t="str">
        <f>IF(COUNTIF(Zoning!A:A,J289)=0,"zone inconnue","France")</f>
        <v>France</v>
      </c>
      <c r="O289">
        <f>IF(COUNTIF(Zoning!A:A,J289)=0,"taux inconnu",_xlfn.XLOOKUP(J289,Zoning!A:A,Zoning!C:C))</f>
        <v>0.2</v>
      </c>
      <c r="R289" t="str">
        <f>IF(TCD!K290="","",TCD!K290)</f>
        <v/>
      </c>
      <c r="S289" t="str">
        <f>IF(TCD!F290="","",TCD!F290)</f>
        <v/>
      </c>
      <c r="T289" t="str">
        <f>IF(TCD!E290="","",TCD!E290)</f>
        <v/>
      </c>
      <c r="U289">
        <f>SUM(TCD!H290:J290)</f>
        <v>5.15</v>
      </c>
    </row>
    <row r="290" spans="1:21" x14ac:dyDescent="0.25">
      <c r="A290" s="1" t="str">
        <f>_xlfn.XLOOKUP(G290,'Facture GLS'!AB:AB,'Facture GLS'!O:O)</f>
        <v>BY FOUTAS</v>
      </c>
      <c r="B290" t="str">
        <f t="shared" si="12"/>
        <v>GLS</v>
      </c>
      <c r="C290" s="2">
        <f t="shared" si="13"/>
        <v>46174</v>
      </c>
      <c r="G290" t="str">
        <f>TCD!D291</f>
        <v>00L0NDYE</v>
      </c>
      <c r="I290" t="s">
        <v>104</v>
      </c>
      <c r="J290" t="str">
        <f>_xlfn.XLOOKUP(G290,'Facture GLS'!AB:AB,'Facture GLS'!BB:BB)</f>
        <v>FR</v>
      </c>
      <c r="K290" t="str">
        <f>IF(COUNTIF(Zoning!A:A,J290)=0,"pays inconnu",LOOKUP(J290,Zoning!A:A,Zoning!B:B))</f>
        <v>France</v>
      </c>
      <c r="L290">
        <f t="shared" si="14"/>
        <v>1</v>
      </c>
      <c r="M290">
        <f>_xlfn.XLOOKUP(G290,Poids!A:A,Poids!C:C)</f>
        <v>2.7</v>
      </c>
      <c r="N290" t="str">
        <f>IF(COUNTIF(Zoning!A:A,J290)=0,"zone inconnue","France")</f>
        <v>France</v>
      </c>
      <c r="O290">
        <f>IF(COUNTIF(Zoning!A:A,J290)=0,"taux inconnu",_xlfn.XLOOKUP(J290,Zoning!A:A,Zoning!C:C))</f>
        <v>0.2</v>
      </c>
      <c r="R290" t="str">
        <f>IF(TCD!K291="","",TCD!K291)</f>
        <v/>
      </c>
      <c r="S290" t="str">
        <f>IF(TCD!F291="","",TCD!F291)</f>
        <v/>
      </c>
      <c r="T290" t="str">
        <f>IF(TCD!E291="","",TCD!E291)</f>
        <v/>
      </c>
      <c r="U290">
        <f>SUM(TCD!H291:J291)</f>
        <v>5.7900000000000009</v>
      </c>
    </row>
    <row r="291" spans="1:21" x14ac:dyDescent="0.25">
      <c r="A291" s="1" t="str">
        <f>_xlfn.XLOOKUP(G291,'Facture GLS'!AB:AB,'Facture GLS'!O:O)</f>
        <v>BY FOUTAS</v>
      </c>
      <c r="B291" t="str">
        <f t="shared" si="12"/>
        <v>GLS</v>
      </c>
      <c r="C291" s="2">
        <f t="shared" si="13"/>
        <v>46174</v>
      </c>
      <c r="G291" t="str">
        <f>TCD!D292</f>
        <v>00L0NDYF</v>
      </c>
      <c r="I291" t="s">
        <v>104</v>
      </c>
      <c r="J291" t="str">
        <f>_xlfn.XLOOKUP(G291,'Facture GLS'!AB:AB,'Facture GLS'!BB:BB)</f>
        <v>FR</v>
      </c>
      <c r="K291" t="str">
        <f>IF(COUNTIF(Zoning!A:A,J291)=0,"pays inconnu",LOOKUP(J291,Zoning!A:A,Zoning!B:B))</f>
        <v>France</v>
      </c>
      <c r="L291">
        <f t="shared" si="14"/>
        <v>1</v>
      </c>
      <c r="M291">
        <f>_xlfn.XLOOKUP(G291,Poids!A:A,Poids!C:C)</f>
        <v>0.9</v>
      </c>
      <c r="N291" t="str">
        <f>IF(COUNTIF(Zoning!A:A,J291)=0,"zone inconnue","France")</f>
        <v>France</v>
      </c>
      <c r="O291">
        <f>IF(COUNTIF(Zoning!A:A,J291)=0,"taux inconnu",_xlfn.XLOOKUP(J291,Zoning!A:A,Zoning!C:C))</f>
        <v>0.2</v>
      </c>
      <c r="R291" t="str">
        <f>IF(TCD!K292="","",TCD!K292)</f>
        <v/>
      </c>
      <c r="S291" t="str">
        <f>IF(TCD!F292="","",TCD!F292)</f>
        <v/>
      </c>
      <c r="T291" t="str">
        <f>IF(TCD!E292="","",TCD!E292)</f>
        <v/>
      </c>
      <c r="U291">
        <f>SUM(TCD!H292:J292)</f>
        <v>5.15</v>
      </c>
    </row>
    <row r="292" spans="1:21" x14ac:dyDescent="0.25">
      <c r="A292" s="1" t="str">
        <f>_xlfn.XLOOKUP(G292,'Facture GLS'!AB:AB,'Facture GLS'!O:O)</f>
        <v>BY FOUTAS</v>
      </c>
      <c r="B292" t="str">
        <f t="shared" si="12"/>
        <v>GLS</v>
      </c>
      <c r="C292" s="2">
        <f t="shared" si="13"/>
        <v>46174</v>
      </c>
      <c r="G292" t="str">
        <f>TCD!D293</f>
        <v>00L0NDYG</v>
      </c>
      <c r="I292" t="s">
        <v>104</v>
      </c>
      <c r="J292" t="str">
        <f>_xlfn.XLOOKUP(G292,'Facture GLS'!AB:AB,'Facture GLS'!BB:BB)</f>
        <v>FR</v>
      </c>
      <c r="K292" t="str">
        <f>IF(COUNTIF(Zoning!A:A,J292)=0,"pays inconnu",LOOKUP(J292,Zoning!A:A,Zoning!B:B))</f>
        <v>France</v>
      </c>
      <c r="L292">
        <f t="shared" si="14"/>
        <v>1</v>
      </c>
      <c r="M292">
        <f>_xlfn.XLOOKUP(G292,Poids!A:A,Poids!C:C)</f>
        <v>2.6</v>
      </c>
      <c r="N292" t="str">
        <f>IF(COUNTIF(Zoning!A:A,J292)=0,"zone inconnue","France")</f>
        <v>France</v>
      </c>
      <c r="O292">
        <f>IF(COUNTIF(Zoning!A:A,J292)=0,"taux inconnu",_xlfn.XLOOKUP(J292,Zoning!A:A,Zoning!C:C))</f>
        <v>0.2</v>
      </c>
      <c r="R292" t="str">
        <f>IF(TCD!K293="","",TCD!K293)</f>
        <v/>
      </c>
      <c r="S292" t="str">
        <f>IF(TCD!F293="","",TCD!F293)</f>
        <v/>
      </c>
      <c r="T292" t="str">
        <f>IF(TCD!E293="","",TCD!E293)</f>
        <v/>
      </c>
      <c r="U292">
        <f>SUM(TCD!H293:J293)</f>
        <v>5.7900000000000009</v>
      </c>
    </row>
    <row r="293" spans="1:21" x14ac:dyDescent="0.25">
      <c r="A293" s="1" t="str">
        <f>_xlfn.XLOOKUP(G293,'Facture GLS'!AB:AB,'Facture GLS'!O:O)</f>
        <v>BY FOUTAS</v>
      </c>
      <c r="B293" t="str">
        <f t="shared" si="12"/>
        <v>GLS</v>
      </c>
      <c r="C293" s="2">
        <f t="shared" si="13"/>
        <v>46174</v>
      </c>
      <c r="G293" t="str">
        <f>TCD!D294</f>
        <v>00L0NDYH</v>
      </c>
      <c r="I293" t="s">
        <v>104</v>
      </c>
      <c r="J293" t="str">
        <f>_xlfn.XLOOKUP(G293,'Facture GLS'!AB:AB,'Facture GLS'!BB:BB)</f>
        <v>FR</v>
      </c>
      <c r="K293" t="str">
        <f>IF(COUNTIF(Zoning!A:A,J293)=0,"pays inconnu",LOOKUP(J293,Zoning!A:A,Zoning!B:B))</f>
        <v>France</v>
      </c>
      <c r="L293">
        <f t="shared" si="14"/>
        <v>1</v>
      </c>
      <c r="M293">
        <f>_xlfn.XLOOKUP(G293,Poids!A:A,Poids!C:C)</f>
        <v>0.9</v>
      </c>
      <c r="N293" t="str">
        <f>IF(COUNTIF(Zoning!A:A,J293)=0,"zone inconnue","France")</f>
        <v>France</v>
      </c>
      <c r="O293">
        <f>IF(COUNTIF(Zoning!A:A,J293)=0,"taux inconnu",_xlfn.XLOOKUP(J293,Zoning!A:A,Zoning!C:C))</f>
        <v>0.2</v>
      </c>
      <c r="R293" t="str">
        <f>IF(TCD!K294="","",TCD!K294)</f>
        <v/>
      </c>
      <c r="S293" t="str">
        <f>IF(TCD!F294="","",TCD!F294)</f>
        <v/>
      </c>
      <c r="T293" t="str">
        <f>IF(TCD!E294="","",TCD!E294)</f>
        <v/>
      </c>
      <c r="U293">
        <f>SUM(TCD!H294:J294)</f>
        <v>5.15</v>
      </c>
    </row>
    <row r="294" spans="1:21" x14ac:dyDescent="0.25">
      <c r="A294" s="1" t="str">
        <f>_xlfn.XLOOKUP(G294,'Facture GLS'!AB:AB,'Facture GLS'!O:O)</f>
        <v>BY FOUTAS</v>
      </c>
      <c r="B294" t="str">
        <f t="shared" si="12"/>
        <v>GLS</v>
      </c>
      <c r="C294" s="2">
        <f t="shared" si="13"/>
        <v>46174</v>
      </c>
      <c r="G294" t="str">
        <f>TCD!D295</f>
        <v>00L0NDYI</v>
      </c>
      <c r="I294" t="s">
        <v>104</v>
      </c>
      <c r="J294" t="str">
        <f>_xlfn.XLOOKUP(G294,'Facture GLS'!AB:AB,'Facture GLS'!BB:BB)</f>
        <v>FR</v>
      </c>
      <c r="K294" t="str">
        <f>IF(COUNTIF(Zoning!A:A,J294)=0,"pays inconnu",LOOKUP(J294,Zoning!A:A,Zoning!B:B))</f>
        <v>France</v>
      </c>
      <c r="L294">
        <f t="shared" si="14"/>
        <v>1</v>
      </c>
      <c r="M294">
        <f>_xlfn.XLOOKUP(G294,Poids!A:A,Poids!C:C)</f>
        <v>1.2000000000000002</v>
      </c>
      <c r="N294" t="str">
        <f>IF(COUNTIF(Zoning!A:A,J294)=0,"zone inconnue","France")</f>
        <v>France</v>
      </c>
      <c r="O294">
        <f>IF(COUNTIF(Zoning!A:A,J294)=0,"taux inconnu",_xlfn.XLOOKUP(J294,Zoning!A:A,Zoning!C:C))</f>
        <v>0.2</v>
      </c>
      <c r="R294" t="str">
        <f>IF(TCD!K295="","",TCD!K295)</f>
        <v/>
      </c>
      <c r="S294" t="str">
        <f>IF(TCD!F295="","",TCD!F295)</f>
        <v/>
      </c>
      <c r="T294" t="str">
        <f>IF(TCD!E295="","",TCD!E295)</f>
        <v/>
      </c>
      <c r="U294">
        <f>SUM(TCD!H295:J295)</f>
        <v>5.4700000000000006</v>
      </c>
    </row>
    <row r="295" spans="1:21" x14ac:dyDescent="0.25">
      <c r="A295" s="1" t="str">
        <f>_xlfn.XLOOKUP(G295,'Facture GLS'!AB:AB,'Facture GLS'!O:O)</f>
        <v>BY FOUTAS</v>
      </c>
      <c r="B295" t="str">
        <f t="shared" si="12"/>
        <v>GLS</v>
      </c>
      <c r="C295" s="2">
        <f t="shared" si="13"/>
        <v>46174</v>
      </c>
      <c r="G295" t="str">
        <f>TCD!D296</f>
        <v>00L0NDYJ</v>
      </c>
      <c r="I295" t="s">
        <v>104</v>
      </c>
      <c r="J295" t="str">
        <f>_xlfn.XLOOKUP(G295,'Facture GLS'!AB:AB,'Facture GLS'!BB:BB)</f>
        <v>FR</v>
      </c>
      <c r="K295" t="str">
        <f>IF(COUNTIF(Zoning!A:A,J295)=0,"pays inconnu",LOOKUP(J295,Zoning!A:A,Zoning!B:B))</f>
        <v>France</v>
      </c>
      <c r="L295">
        <f t="shared" si="14"/>
        <v>1</v>
      </c>
      <c r="M295">
        <f>_xlfn.XLOOKUP(G295,Poids!A:A,Poids!C:C)</f>
        <v>2.6</v>
      </c>
      <c r="N295" t="str">
        <f>IF(COUNTIF(Zoning!A:A,J295)=0,"zone inconnue","France")</f>
        <v>France</v>
      </c>
      <c r="O295">
        <f>IF(COUNTIF(Zoning!A:A,J295)=0,"taux inconnu",_xlfn.XLOOKUP(J295,Zoning!A:A,Zoning!C:C))</f>
        <v>0.2</v>
      </c>
      <c r="R295" t="str">
        <f>IF(TCD!K296="","",TCD!K296)</f>
        <v/>
      </c>
      <c r="S295" t="str">
        <f>IF(TCD!F296="","",TCD!F296)</f>
        <v/>
      </c>
      <c r="T295" t="str">
        <f>IF(TCD!E296="","",TCD!E296)</f>
        <v/>
      </c>
      <c r="U295">
        <f>SUM(TCD!H296:J296)</f>
        <v>5.7900000000000009</v>
      </c>
    </row>
    <row r="296" spans="1:21" x14ac:dyDescent="0.25">
      <c r="A296" s="1" t="str">
        <f>_xlfn.XLOOKUP(G296,'Facture GLS'!AB:AB,'Facture GLS'!O:O)</f>
        <v>BY FOUTAS</v>
      </c>
      <c r="B296" t="str">
        <f t="shared" si="12"/>
        <v>GLS</v>
      </c>
      <c r="C296" s="2">
        <f t="shared" si="13"/>
        <v>46174</v>
      </c>
      <c r="G296" t="str">
        <f>TCD!D297</f>
        <v>00L0NDYK</v>
      </c>
      <c r="I296" t="s">
        <v>104</v>
      </c>
      <c r="J296" t="str">
        <f>_xlfn.XLOOKUP(G296,'Facture GLS'!AB:AB,'Facture GLS'!BB:BB)</f>
        <v>FR</v>
      </c>
      <c r="K296" t="str">
        <f>IF(COUNTIF(Zoning!A:A,J296)=0,"pays inconnu",LOOKUP(J296,Zoning!A:A,Zoning!B:B))</f>
        <v>France</v>
      </c>
      <c r="L296">
        <f t="shared" si="14"/>
        <v>1</v>
      </c>
      <c r="M296">
        <f>_xlfn.XLOOKUP(G296,Poids!A:A,Poids!C:C)</f>
        <v>1.3</v>
      </c>
      <c r="N296" t="str">
        <f>IF(COUNTIF(Zoning!A:A,J296)=0,"zone inconnue","France")</f>
        <v>France</v>
      </c>
      <c r="O296">
        <f>IF(COUNTIF(Zoning!A:A,J296)=0,"taux inconnu",_xlfn.XLOOKUP(J296,Zoning!A:A,Zoning!C:C))</f>
        <v>0.2</v>
      </c>
      <c r="R296" t="str">
        <f>IF(TCD!K297="","",TCD!K297)</f>
        <v/>
      </c>
      <c r="S296" t="str">
        <f>IF(TCD!F297="","",TCD!F297)</f>
        <v/>
      </c>
      <c r="T296">
        <f>IF(TCD!E297="","",TCD!E297)</f>
        <v>2.36</v>
      </c>
      <c r="U296">
        <f>SUM(TCD!H297:J297)</f>
        <v>5.4700000000000006</v>
      </c>
    </row>
    <row r="297" spans="1:21" x14ac:dyDescent="0.25">
      <c r="A297" s="1" t="str">
        <f>_xlfn.XLOOKUP(G297,'Facture GLS'!AB:AB,'Facture GLS'!O:O)</f>
        <v>BY FOUTAS</v>
      </c>
      <c r="B297" t="str">
        <f t="shared" si="12"/>
        <v>GLS</v>
      </c>
      <c r="C297" s="2">
        <f t="shared" si="13"/>
        <v>46174</v>
      </c>
      <c r="G297" t="str">
        <f>TCD!D298</f>
        <v>00L0NDYL</v>
      </c>
      <c r="I297" t="s">
        <v>104</v>
      </c>
      <c r="J297" t="str">
        <f>_xlfn.XLOOKUP(G297,'Facture GLS'!AB:AB,'Facture GLS'!BB:BB)</f>
        <v>FR</v>
      </c>
      <c r="K297" t="str">
        <f>IF(COUNTIF(Zoning!A:A,J297)=0,"pays inconnu",LOOKUP(J297,Zoning!A:A,Zoning!B:B))</f>
        <v>France</v>
      </c>
      <c r="L297">
        <f t="shared" si="14"/>
        <v>1</v>
      </c>
      <c r="M297">
        <f>_xlfn.XLOOKUP(G297,Poids!A:A,Poids!C:C)</f>
        <v>1.2000000000000002</v>
      </c>
      <c r="N297" t="str">
        <f>IF(COUNTIF(Zoning!A:A,J297)=0,"zone inconnue","France")</f>
        <v>France</v>
      </c>
      <c r="O297">
        <f>IF(COUNTIF(Zoning!A:A,J297)=0,"taux inconnu",_xlfn.XLOOKUP(J297,Zoning!A:A,Zoning!C:C))</f>
        <v>0.2</v>
      </c>
      <c r="R297" t="str">
        <f>IF(TCD!K298="","",TCD!K298)</f>
        <v/>
      </c>
      <c r="S297" t="str">
        <f>IF(TCD!F298="","",TCD!F298)</f>
        <v/>
      </c>
      <c r="T297" t="str">
        <f>IF(TCD!E298="","",TCD!E298)</f>
        <v/>
      </c>
      <c r="U297">
        <f>SUM(TCD!H298:J298)</f>
        <v>5.4700000000000006</v>
      </c>
    </row>
    <row r="298" spans="1:21" x14ac:dyDescent="0.25">
      <c r="A298" s="1" t="str">
        <f>_xlfn.XLOOKUP(G298,'Facture GLS'!AB:AB,'Facture GLS'!O:O)</f>
        <v>BY FOUTAS</v>
      </c>
      <c r="B298" t="str">
        <f t="shared" si="12"/>
        <v>GLS</v>
      </c>
      <c r="C298" s="2">
        <f t="shared" si="13"/>
        <v>46174</v>
      </c>
      <c r="G298" t="str">
        <f>TCD!D299</f>
        <v>00L0NDYM</v>
      </c>
      <c r="I298" t="s">
        <v>104</v>
      </c>
      <c r="J298" t="str">
        <f>_xlfn.XLOOKUP(G298,'Facture GLS'!AB:AB,'Facture GLS'!BB:BB)</f>
        <v>FR</v>
      </c>
      <c r="K298" t="str">
        <f>IF(COUNTIF(Zoning!A:A,J298)=0,"pays inconnu",LOOKUP(J298,Zoning!A:A,Zoning!B:B))</f>
        <v>France</v>
      </c>
      <c r="L298">
        <f t="shared" si="14"/>
        <v>1</v>
      </c>
      <c r="M298">
        <f>_xlfn.XLOOKUP(G298,Poids!A:A,Poids!C:C)</f>
        <v>1.6</v>
      </c>
      <c r="N298" t="str">
        <f>IF(COUNTIF(Zoning!A:A,J298)=0,"zone inconnue","France")</f>
        <v>France</v>
      </c>
      <c r="O298">
        <f>IF(COUNTIF(Zoning!A:A,J298)=0,"taux inconnu",_xlfn.XLOOKUP(J298,Zoning!A:A,Zoning!C:C))</f>
        <v>0.2</v>
      </c>
      <c r="R298" t="str">
        <f>IF(TCD!K299="","",TCD!K299)</f>
        <v/>
      </c>
      <c r="S298" t="str">
        <f>IF(TCD!F299="","",TCD!F299)</f>
        <v/>
      </c>
      <c r="T298" t="str">
        <f>IF(TCD!E299="","",TCD!E299)</f>
        <v/>
      </c>
      <c r="U298">
        <f>SUM(TCD!H299:J299)</f>
        <v>5.4700000000000006</v>
      </c>
    </row>
    <row r="299" spans="1:21" x14ac:dyDescent="0.25">
      <c r="A299" s="1" t="str">
        <f>_xlfn.XLOOKUP(G299,'Facture GLS'!AB:AB,'Facture GLS'!O:O)</f>
        <v>BY FOUTAS</v>
      </c>
      <c r="B299" t="str">
        <f t="shared" si="12"/>
        <v>GLS</v>
      </c>
      <c r="C299" s="2">
        <f t="shared" si="13"/>
        <v>46174</v>
      </c>
      <c r="G299" t="str">
        <f>TCD!D300</f>
        <v>00L0NDYN</v>
      </c>
      <c r="I299" t="s">
        <v>104</v>
      </c>
      <c r="J299" t="str">
        <f>_xlfn.XLOOKUP(G299,'Facture GLS'!AB:AB,'Facture GLS'!BB:BB)</f>
        <v>FR</v>
      </c>
      <c r="K299" t="str">
        <f>IF(COUNTIF(Zoning!A:A,J299)=0,"pays inconnu",LOOKUP(J299,Zoning!A:A,Zoning!B:B))</f>
        <v>France</v>
      </c>
      <c r="L299">
        <f t="shared" si="14"/>
        <v>1</v>
      </c>
      <c r="M299">
        <f>_xlfn.XLOOKUP(G299,Poids!A:A,Poids!C:C)</f>
        <v>2.8</v>
      </c>
      <c r="N299" t="str">
        <f>IF(COUNTIF(Zoning!A:A,J299)=0,"zone inconnue","France")</f>
        <v>France</v>
      </c>
      <c r="O299">
        <f>IF(COUNTIF(Zoning!A:A,J299)=0,"taux inconnu",_xlfn.XLOOKUP(J299,Zoning!A:A,Zoning!C:C))</f>
        <v>0.2</v>
      </c>
      <c r="R299" t="str">
        <f>IF(TCD!K300="","",TCD!K300)</f>
        <v/>
      </c>
      <c r="S299" t="str">
        <f>IF(TCD!F300="","",TCD!F300)</f>
        <v/>
      </c>
      <c r="T299" t="str">
        <f>IF(TCD!E300="","",TCD!E300)</f>
        <v/>
      </c>
      <c r="U299">
        <f>SUM(TCD!H300:J300)</f>
        <v>5.7900000000000009</v>
      </c>
    </row>
    <row r="300" spans="1:21" x14ac:dyDescent="0.25">
      <c r="A300" s="1" t="str">
        <f>_xlfn.XLOOKUP(G300,'Facture GLS'!AB:AB,'Facture GLS'!O:O)</f>
        <v>BY FOUTAS</v>
      </c>
      <c r="B300" t="str">
        <f t="shared" si="12"/>
        <v>GLS</v>
      </c>
      <c r="C300" s="2">
        <f t="shared" si="13"/>
        <v>46174</v>
      </c>
      <c r="G300" t="str">
        <f>TCD!D301</f>
        <v>00L0NDYO</v>
      </c>
      <c r="I300" t="s">
        <v>104</v>
      </c>
      <c r="J300" t="str">
        <f>_xlfn.XLOOKUP(G300,'Facture GLS'!AB:AB,'Facture GLS'!BB:BB)</f>
        <v>FR</v>
      </c>
      <c r="K300" t="str">
        <f>IF(COUNTIF(Zoning!A:A,J300)=0,"pays inconnu",LOOKUP(J300,Zoning!A:A,Zoning!B:B))</f>
        <v>France</v>
      </c>
      <c r="L300">
        <f t="shared" si="14"/>
        <v>1</v>
      </c>
      <c r="M300">
        <f>_xlfn.XLOOKUP(G300,Poids!A:A,Poids!C:C)</f>
        <v>2</v>
      </c>
      <c r="N300" t="str">
        <f>IF(COUNTIF(Zoning!A:A,J300)=0,"zone inconnue","France")</f>
        <v>France</v>
      </c>
      <c r="O300">
        <f>IF(COUNTIF(Zoning!A:A,J300)=0,"taux inconnu",_xlfn.XLOOKUP(J300,Zoning!A:A,Zoning!C:C))</f>
        <v>0.2</v>
      </c>
      <c r="R300" t="str">
        <f>IF(TCD!K301="","",TCD!K301)</f>
        <v/>
      </c>
      <c r="S300" t="str">
        <f>IF(TCD!F301="","",TCD!F301)</f>
        <v/>
      </c>
      <c r="T300" t="str">
        <f>IF(TCD!E301="","",TCD!E301)</f>
        <v/>
      </c>
      <c r="U300">
        <f>SUM(TCD!H301:J301)</f>
        <v>5.4700000000000006</v>
      </c>
    </row>
    <row r="301" spans="1:21" x14ac:dyDescent="0.25">
      <c r="A301" s="1" t="str">
        <f>_xlfn.XLOOKUP(G301,'Facture GLS'!AB:AB,'Facture GLS'!O:O)</f>
        <v>BY FOUTAS</v>
      </c>
      <c r="B301" t="str">
        <f t="shared" si="12"/>
        <v>GLS</v>
      </c>
      <c r="C301" s="2">
        <f t="shared" si="13"/>
        <v>46174</v>
      </c>
      <c r="G301" t="str">
        <f>TCD!D302</f>
        <v>00L0NDYP</v>
      </c>
      <c r="I301" t="s">
        <v>104</v>
      </c>
      <c r="J301" t="str">
        <f>_xlfn.XLOOKUP(G301,'Facture GLS'!AB:AB,'Facture GLS'!BB:BB)</f>
        <v>FR</v>
      </c>
      <c r="K301" t="str">
        <f>IF(COUNTIF(Zoning!A:A,J301)=0,"pays inconnu",LOOKUP(J301,Zoning!A:A,Zoning!B:B))</f>
        <v>France</v>
      </c>
      <c r="L301">
        <f t="shared" si="14"/>
        <v>1</v>
      </c>
      <c r="M301">
        <f>_xlfn.XLOOKUP(G301,Poids!A:A,Poids!C:C)</f>
        <v>1.8</v>
      </c>
      <c r="N301" t="str">
        <f>IF(COUNTIF(Zoning!A:A,J301)=0,"zone inconnue","France")</f>
        <v>France</v>
      </c>
      <c r="O301">
        <f>IF(COUNTIF(Zoning!A:A,J301)=0,"taux inconnu",_xlfn.XLOOKUP(J301,Zoning!A:A,Zoning!C:C))</f>
        <v>0.2</v>
      </c>
      <c r="R301" t="str">
        <f>IF(TCD!K302="","",TCD!K302)</f>
        <v/>
      </c>
      <c r="S301" t="str">
        <f>IF(TCD!F302="","",TCD!F302)</f>
        <v/>
      </c>
      <c r="T301" t="str">
        <f>IF(TCD!E302="","",TCD!E302)</f>
        <v/>
      </c>
      <c r="U301">
        <f>SUM(TCD!H302:J302)</f>
        <v>5.4700000000000006</v>
      </c>
    </row>
    <row r="302" spans="1:21" x14ac:dyDescent="0.25">
      <c r="A302" s="1" t="str">
        <f>_xlfn.XLOOKUP(G302,'Facture GLS'!AB:AB,'Facture GLS'!O:O)</f>
        <v>BY FOUTAS</v>
      </c>
      <c r="B302" t="str">
        <f t="shared" si="12"/>
        <v>GLS</v>
      </c>
      <c r="C302" s="2">
        <f t="shared" si="13"/>
        <v>46174</v>
      </c>
      <c r="G302" t="str">
        <f>TCD!D303</f>
        <v>00L0NDYQ</v>
      </c>
      <c r="I302" t="s">
        <v>104</v>
      </c>
      <c r="J302" t="str">
        <f>_xlfn.XLOOKUP(G302,'Facture GLS'!AB:AB,'Facture GLS'!BB:BB)</f>
        <v>FR</v>
      </c>
      <c r="K302" t="str">
        <f>IF(COUNTIF(Zoning!A:A,J302)=0,"pays inconnu",LOOKUP(J302,Zoning!A:A,Zoning!B:B))</f>
        <v>France</v>
      </c>
      <c r="L302">
        <f t="shared" si="14"/>
        <v>1</v>
      </c>
      <c r="M302">
        <f>_xlfn.XLOOKUP(G302,Poids!A:A,Poids!C:C)</f>
        <v>1.7000000000000002</v>
      </c>
      <c r="N302" t="str">
        <f>IF(COUNTIF(Zoning!A:A,J302)=0,"zone inconnue","France")</f>
        <v>France</v>
      </c>
      <c r="O302">
        <f>IF(COUNTIF(Zoning!A:A,J302)=0,"taux inconnu",_xlfn.XLOOKUP(J302,Zoning!A:A,Zoning!C:C))</f>
        <v>0.2</v>
      </c>
      <c r="R302" t="str">
        <f>IF(TCD!K303="","",TCD!K303)</f>
        <v/>
      </c>
      <c r="S302" t="str">
        <f>IF(TCD!F303="","",TCD!F303)</f>
        <v/>
      </c>
      <c r="T302" t="str">
        <f>IF(TCD!E303="","",TCD!E303)</f>
        <v/>
      </c>
      <c r="U302">
        <f>SUM(TCD!H303:J303)</f>
        <v>5.4700000000000006</v>
      </c>
    </row>
    <row r="303" spans="1:21" x14ac:dyDescent="0.25">
      <c r="A303" s="1" t="str">
        <f>_xlfn.XLOOKUP(G303,'Facture GLS'!AB:AB,'Facture GLS'!O:O)</f>
        <v>BY FOUTAS</v>
      </c>
      <c r="B303" t="str">
        <f t="shared" si="12"/>
        <v>GLS</v>
      </c>
      <c r="C303" s="2">
        <f t="shared" si="13"/>
        <v>46174</v>
      </c>
      <c r="G303" t="str">
        <f>TCD!D304</f>
        <v>00L0NDYR</v>
      </c>
      <c r="I303" t="s">
        <v>104</v>
      </c>
      <c r="J303" t="str">
        <f>_xlfn.XLOOKUP(G303,'Facture GLS'!AB:AB,'Facture GLS'!BB:BB)</f>
        <v>FR</v>
      </c>
      <c r="K303" t="str">
        <f>IF(COUNTIF(Zoning!A:A,J303)=0,"pays inconnu",LOOKUP(J303,Zoning!A:A,Zoning!B:B))</f>
        <v>France</v>
      </c>
      <c r="L303">
        <f t="shared" si="14"/>
        <v>1</v>
      </c>
      <c r="M303">
        <f>_xlfn.XLOOKUP(G303,Poids!A:A,Poids!C:C)</f>
        <v>2.1</v>
      </c>
      <c r="N303" t="str">
        <f>IF(COUNTIF(Zoning!A:A,J303)=0,"zone inconnue","France")</f>
        <v>France</v>
      </c>
      <c r="O303">
        <f>IF(COUNTIF(Zoning!A:A,J303)=0,"taux inconnu",_xlfn.XLOOKUP(J303,Zoning!A:A,Zoning!C:C))</f>
        <v>0.2</v>
      </c>
      <c r="R303" t="str">
        <f>IF(TCD!K304="","",TCD!K304)</f>
        <v/>
      </c>
      <c r="S303" t="str">
        <f>IF(TCD!F304="","",TCD!F304)</f>
        <v/>
      </c>
      <c r="T303" t="str">
        <f>IF(TCD!E304="","",TCD!E304)</f>
        <v/>
      </c>
      <c r="U303">
        <f>SUM(TCD!H304:J304)</f>
        <v>5.7900000000000009</v>
      </c>
    </row>
    <row r="304" spans="1:21" x14ac:dyDescent="0.25">
      <c r="A304" s="1" t="str">
        <f>_xlfn.XLOOKUP(G304,'Facture GLS'!AB:AB,'Facture GLS'!O:O)</f>
        <v>BY FOUTAS</v>
      </c>
      <c r="B304" t="str">
        <f t="shared" si="12"/>
        <v>GLS</v>
      </c>
      <c r="C304" s="2">
        <f t="shared" si="13"/>
        <v>46174</v>
      </c>
      <c r="G304" t="str">
        <f>TCD!D305</f>
        <v>00L0NDYS</v>
      </c>
      <c r="I304" t="s">
        <v>104</v>
      </c>
      <c r="J304" t="str">
        <f>_xlfn.XLOOKUP(G304,'Facture GLS'!AB:AB,'Facture GLS'!BB:BB)</f>
        <v>FR</v>
      </c>
      <c r="K304" t="str">
        <f>IF(COUNTIF(Zoning!A:A,J304)=0,"pays inconnu",LOOKUP(J304,Zoning!A:A,Zoning!B:B))</f>
        <v>France</v>
      </c>
      <c r="L304">
        <f t="shared" si="14"/>
        <v>1</v>
      </c>
      <c r="M304">
        <f>_xlfn.XLOOKUP(G304,Poids!A:A,Poids!C:C)</f>
        <v>0.9</v>
      </c>
      <c r="N304" t="str">
        <f>IF(COUNTIF(Zoning!A:A,J304)=0,"zone inconnue","France")</f>
        <v>France</v>
      </c>
      <c r="O304">
        <f>IF(COUNTIF(Zoning!A:A,J304)=0,"taux inconnu",_xlfn.XLOOKUP(J304,Zoning!A:A,Zoning!C:C))</f>
        <v>0.2</v>
      </c>
      <c r="R304" t="str">
        <f>IF(TCD!K305="","",TCD!K305)</f>
        <v/>
      </c>
      <c r="S304" t="str">
        <f>IF(TCD!F305="","",TCD!F305)</f>
        <v/>
      </c>
      <c r="T304" t="str">
        <f>IF(TCD!E305="","",TCD!E305)</f>
        <v/>
      </c>
      <c r="U304">
        <f>SUM(TCD!H305:J305)</f>
        <v>5.15</v>
      </c>
    </row>
    <row r="305" spans="1:21" x14ac:dyDescent="0.25">
      <c r="A305" s="1" t="str">
        <f>_xlfn.XLOOKUP(G305,'Facture GLS'!AB:AB,'Facture GLS'!O:O)</f>
        <v>BY FOUTAS</v>
      </c>
      <c r="B305" t="str">
        <f t="shared" si="12"/>
        <v>GLS</v>
      </c>
      <c r="C305" s="2">
        <f t="shared" si="13"/>
        <v>46174</v>
      </c>
      <c r="G305" t="str">
        <f>TCD!D306</f>
        <v>00L0NDYT</v>
      </c>
      <c r="I305" t="s">
        <v>104</v>
      </c>
      <c r="J305" t="str">
        <f>_xlfn.XLOOKUP(G305,'Facture GLS'!AB:AB,'Facture GLS'!BB:BB)</f>
        <v>FR</v>
      </c>
      <c r="K305" t="str">
        <f>IF(COUNTIF(Zoning!A:A,J305)=0,"pays inconnu",LOOKUP(J305,Zoning!A:A,Zoning!B:B))</f>
        <v>France</v>
      </c>
      <c r="L305">
        <f t="shared" si="14"/>
        <v>1</v>
      </c>
      <c r="M305">
        <f>_xlfn.XLOOKUP(G305,Poids!A:A,Poids!C:C)</f>
        <v>0.5</v>
      </c>
      <c r="N305" t="str">
        <f>IF(COUNTIF(Zoning!A:A,J305)=0,"zone inconnue","France")</f>
        <v>France</v>
      </c>
      <c r="O305">
        <f>IF(COUNTIF(Zoning!A:A,J305)=0,"taux inconnu",_xlfn.XLOOKUP(J305,Zoning!A:A,Zoning!C:C))</f>
        <v>0.2</v>
      </c>
      <c r="R305" t="str">
        <f>IF(TCD!K306="","",TCD!K306)</f>
        <v/>
      </c>
      <c r="S305" t="str">
        <f>IF(TCD!F306="","",TCD!F306)</f>
        <v/>
      </c>
      <c r="T305" t="str">
        <f>IF(TCD!E306="","",TCD!E306)</f>
        <v/>
      </c>
      <c r="U305">
        <f>SUM(TCD!H306:J306)</f>
        <v>4.82</v>
      </c>
    </row>
    <row r="306" spans="1:21" x14ac:dyDescent="0.25">
      <c r="A306" s="1" t="str">
        <f>_xlfn.XLOOKUP(G306,'Facture GLS'!AB:AB,'Facture GLS'!O:O)</f>
        <v>BY FOUTAS</v>
      </c>
      <c r="B306" t="str">
        <f t="shared" si="12"/>
        <v>GLS</v>
      </c>
      <c r="C306" s="2">
        <f t="shared" si="13"/>
        <v>46174</v>
      </c>
      <c r="G306" t="str">
        <f>TCD!D307</f>
        <v>00L0NDYU</v>
      </c>
      <c r="I306" t="s">
        <v>104</v>
      </c>
      <c r="J306" t="str">
        <f>_xlfn.XLOOKUP(G306,'Facture GLS'!AB:AB,'Facture GLS'!BB:BB)</f>
        <v>FR</v>
      </c>
      <c r="K306" t="str">
        <f>IF(COUNTIF(Zoning!A:A,J306)=0,"pays inconnu",LOOKUP(J306,Zoning!A:A,Zoning!B:B))</f>
        <v>France</v>
      </c>
      <c r="L306">
        <f t="shared" si="14"/>
        <v>1</v>
      </c>
      <c r="M306">
        <f>_xlfn.XLOOKUP(G306,Poids!A:A,Poids!C:C)</f>
        <v>1.8</v>
      </c>
      <c r="N306" t="str">
        <f>IF(COUNTIF(Zoning!A:A,J306)=0,"zone inconnue","France")</f>
        <v>France</v>
      </c>
      <c r="O306">
        <f>IF(COUNTIF(Zoning!A:A,J306)=0,"taux inconnu",_xlfn.XLOOKUP(J306,Zoning!A:A,Zoning!C:C))</f>
        <v>0.2</v>
      </c>
      <c r="R306" t="str">
        <f>IF(TCD!K307="","",TCD!K307)</f>
        <v/>
      </c>
      <c r="S306" t="str">
        <f>IF(TCD!F307="","",TCD!F307)</f>
        <v/>
      </c>
      <c r="T306" t="str">
        <f>IF(TCD!E307="","",TCD!E307)</f>
        <v/>
      </c>
      <c r="U306">
        <f>SUM(TCD!H307:J307)</f>
        <v>5.4700000000000006</v>
      </c>
    </row>
    <row r="307" spans="1:21" x14ac:dyDescent="0.25">
      <c r="A307" s="1" t="str">
        <f>_xlfn.XLOOKUP(G307,'Facture GLS'!AB:AB,'Facture GLS'!O:O)</f>
        <v>BY FOUTAS</v>
      </c>
      <c r="B307" t="str">
        <f t="shared" si="12"/>
        <v>GLS</v>
      </c>
      <c r="C307" s="2">
        <f t="shared" si="13"/>
        <v>46174</v>
      </c>
      <c r="G307" t="str">
        <f>TCD!D308</f>
        <v>00L0NDYV</v>
      </c>
      <c r="I307" t="s">
        <v>104</v>
      </c>
      <c r="J307" t="str">
        <f>_xlfn.XLOOKUP(G307,'Facture GLS'!AB:AB,'Facture GLS'!BB:BB)</f>
        <v>FR</v>
      </c>
      <c r="K307" t="str">
        <f>IF(COUNTIF(Zoning!A:A,J307)=0,"pays inconnu",LOOKUP(J307,Zoning!A:A,Zoning!B:B))</f>
        <v>France</v>
      </c>
      <c r="L307">
        <f t="shared" si="14"/>
        <v>1</v>
      </c>
      <c r="M307">
        <f>_xlfn.XLOOKUP(G307,Poids!A:A,Poids!C:C)</f>
        <v>6.1999999999999993</v>
      </c>
      <c r="N307" t="str">
        <f>IF(COUNTIF(Zoning!A:A,J307)=0,"zone inconnue","France")</f>
        <v>France</v>
      </c>
      <c r="O307">
        <f>IF(COUNTIF(Zoning!A:A,J307)=0,"taux inconnu",_xlfn.XLOOKUP(J307,Zoning!A:A,Zoning!C:C))</f>
        <v>0.2</v>
      </c>
      <c r="R307" t="str">
        <f>IF(TCD!K308="","",TCD!K308)</f>
        <v/>
      </c>
      <c r="S307" t="str">
        <f>IF(TCD!F308="","",TCD!F308)</f>
        <v/>
      </c>
      <c r="T307" t="str">
        <f>IF(TCD!E308="","",TCD!E308)</f>
        <v/>
      </c>
      <c r="U307">
        <f>SUM(TCD!H308:J308)</f>
        <v>8.0300000000000011</v>
      </c>
    </row>
    <row r="308" spans="1:21" x14ac:dyDescent="0.25">
      <c r="A308" s="1" t="str">
        <f>_xlfn.XLOOKUP(G308,'Facture GLS'!AB:AB,'Facture GLS'!O:O)</f>
        <v>BY FOUTAS</v>
      </c>
      <c r="B308" t="str">
        <f t="shared" si="12"/>
        <v>GLS</v>
      </c>
      <c r="C308" s="2">
        <f t="shared" si="13"/>
        <v>46174</v>
      </c>
      <c r="G308" t="str">
        <f>TCD!D309</f>
        <v>00L0NDYW</v>
      </c>
      <c r="I308" t="s">
        <v>104</v>
      </c>
      <c r="J308" t="str">
        <f>_xlfn.XLOOKUP(G308,'Facture GLS'!AB:AB,'Facture GLS'!BB:BB)</f>
        <v>FR</v>
      </c>
      <c r="K308" t="str">
        <f>IF(COUNTIF(Zoning!A:A,J308)=0,"pays inconnu",LOOKUP(J308,Zoning!A:A,Zoning!B:B))</f>
        <v>France</v>
      </c>
      <c r="L308">
        <f t="shared" si="14"/>
        <v>1</v>
      </c>
      <c r="M308">
        <f>_xlfn.XLOOKUP(G308,Poids!A:A,Poids!C:C)</f>
        <v>0.5</v>
      </c>
      <c r="N308" t="str">
        <f>IF(COUNTIF(Zoning!A:A,J308)=0,"zone inconnue","France")</f>
        <v>France</v>
      </c>
      <c r="O308">
        <f>IF(COUNTIF(Zoning!A:A,J308)=0,"taux inconnu",_xlfn.XLOOKUP(J308,Zoning!A:A,Zoning!C:C))</f>
        <v>0.2</v>
      </c>
      <c r="R308" t="str">
        <f>IF(TCD!K309="","",TCD!K309)</f>
        <v/>
      </c>
      <c r="S308" t="str">
        <f>IF(TCD!F309="","",TCD!F309)</f>
        <v/>
      </c>
      <c r="T308" t="str">
        <f>IF(TCD!E309="","",TCD!E309)</f>
        <v/>
      </c>
      <c r="U308">
        <f>SUM(TCD!H309:J309)</f>
        <v>4.82</v>
      </c>
    </row>
    <row r="309" spans="1:21" x14ac:dyDescent="0.25">
      <c r="A309" s="1" t="str">
        <f>_xlfn.XLOOKUP(G309,'Facture GLS'!AB:AB,'Facture GLS'!O:O)</f>
        <v>BY FOUTAS</v>
      </c>
      <c r="B309" t="str">
        <f t="shared" si="12"/>
        <v>GLS</v>
      </c>
      <c r="C309" s="2">
        <f t="shared" si="13"/>
        <v>46174</v>
      </c>
      <c r="G309" t="str">
        <f>TCD!D310</f>
        <v>00L0NDYX</v>
      </c>
      <c r="I309" t="s">
        <v>104</v>
      </c>
      <c r="J309" t="str">
        <f>_xlfn.XLOOKUP(G309,'Facture GLS'!AB:AB,'Facture GLS'!BB:BB)</f>
        <v>FR</v>
      </c>
      <c r="K309" t="str">
        <f>IF(COUNTIF(Zoning!A:A,J309)=0,"pays inconnu",LOOKUP(J309,Zoning!A:A,Zoning!B:B))</f>
        <v>France</v>
      </c>
      <c r="L309">
        <f t="shared" si="14"/>
        <v>1</v>
      </c>
      <c r="M309">
        <f>_xlfn.XLOOKUP(G309,Poids!A:A,Poids!C:C)</f>
        <v>0.5</v>
      </c>
      <c r="N309" t="str">
        <f>IF(COUNTIF(Zoning!A:A,J309)=0,"zone inconnue","France")</f>
        <v>France</v>
      </c>
      <c r="O309">
        <f>IF(COUNTIF(Zoning!A:A,J309)=0,"taux inconnu",_xlfn.XLOOKUP(J309,Zoning!A:A,Zoning!C:C))</f>
        <v>0.2</v>
      </c>
      <c r="R309" t="str">
        <f>IF(TCD!K310="","",TCD!K310)</f>
        <v/>
      </c>
      <c r="S309" t="str">
        <f>IF(TCD!F310="","",TCD!F310)</f>
        <v/>
      </c>
      <c r="T309" t="str">
        <f>IF(TCD!E310="","",TCD!E310)</f>
        <v/>
      </c>
      <c r="U309">
        <f>SUM(TCD!H310:J310)</f>
        <v>4.82</v>
      </c>
    </row>
    <row r="310" spans="1:21" x14ac:dyDescent="0.25">
      <c r="A310" s="1" t="str">
        <f>_xlfn.XLOOKUP(G310,'Facture GLS'!AB:AB,'Facture GLS'!O:O)</f>
        <v>BY FOUTAS</v>
      </c>
      <c r="B310" t="str">
        <f t="shared" si="12"/>
        <v>GLS</v>
      </c>
      <c r="C310" s="2">
        <f t="shared" si="13"/>
        <v>46174</v>
      </c>
      <c r="G310" t="str">
        <f>TCD!D311</f>
        <v>00L0NDYY</v>
      </c>
      <c r="I310" t="s">
        <v>104</v>
      </c>
      <c r="J310" t="str">
        <f>_xlfn.XLOOKUP(G310,'Facture GLS'!AB:AB,'Facture GLS'!BB:BB)</f>
        <v>FR</v>
      </c>
      <c r="K310" t="str">
        <f>IF(COUNTIF(Zoning!A:A,J310)=0,"pays inconnu",LOOKUP(J310,Zoning!A:A,Zoning!B:B))</f>
        <v>France</v>
      </c>
      <c r="L310">
        <f t="shared" si="14"/>
        <v>1</v>
      </c>
      <c r="M310">
        <f>_xlfn.XLOOKUP(G310,Poids!A:A,Poids!C:C)</f>
        <v>0.8</v>
      </c>
      <c r="N310" t="str">
        <f>IF(COUNTIF(Zoning!A:A,J310)=0,"zone inconnue","France")</f>
        <v>France</v>
      </c>
      <c r="O310">
        <f>IF(COUNTIF(Zoning!A:A,J310)=0,"taux inconnu",_xlfn.XLOOKUP(J310,Zoning!A:A,Zoning!C:C))</f>
        <v>0.2</v>
      </c>
      <c r="R310" t="str">
        <f>IF(TCD!K311="","",TCD!K311)</f>
        <v/>
      </c>
      <c r="S310" t="str">
        <f>IF(TCD!F311="","",TCD!F311)</f>
        <v/>
      </c>
      <c r="T310" t="str">
        <f>IF(TCD!E311="","",TCD!E311)</f>
        <v/>
      </c>
      <c r="U310">
        <f>SUM(TCD!H311:J311)</f>
        <v>5.15</v>
      </c>
    </row>
    <row r="311" spans="1:21" x14ac:dyDescent="0.25">
      <c r="A311" s="1" t="str">
        <f>_xlfn.XLOOKUP(G311,'Facture GLS'!AB:AB,'Facture GLS'!O:O)</f>
        <v>BY FOUTAS</v>
      </c>
      <c r="B311" t="str">
        <f t="shared" si="12"/>
        <v>GLS</v>
      </c>
      <c r="C311" s="2">
        <f t="shared" si="13"/>
        <v>46174</v>
      </c>
      <c r="G311" t="str">
        <f>TCD!D312</f>
        <v>00L0NDYZ</v>
      </c>
      <c r="I311" t="s">
        <v>104</v>
      </c>
      <c r="J311" t="str">
        <f>_xlfn.XLOOKUP(G311,'Facture GLS'!AB:AB,'Facture GLS'!BB:BB)</f>
        <v>FR</v>
      </c>
      <c r="K311" t="str">
        <f>IF(COUNTIF(Zoning!A:A,J311)=0,"pays inconnu",LOOKUP(J311,Zoning!A:A,Zoning!B:B))</f>
        <v>France</v>
      </c>
      <c r="L311">
        <f t="shared" si="14"/>
        <v>1</v>
      </c>
      <c r="M311">
        <f>_xlfn.XLOOKUP(G311,Poids!A:A,Poids!C:C)</f>
        <v>2.7</v>
      </c>
      <c r="N311" t="str">
        <f>IF(COUNTIF(Zoning!A:A,J311)=0,"zone inconnue","France")</f>
        <v>France</v>
      </c>
      <c r="O311">
        <f>IF(COUNTIF(Zoning!A:A,J311)=0,"taux inconnu",_xlfn.XLOOKUP(J311,Zoning!A:A,Zoning!C:C))</f>
        <v>0.2</v>
      </c>
      <c r="R311" t="str">
        <f>IF(TCD!K312="","",TCD!K312)</f>
        <v/>
      </c>
      <c r="S311" t="str">
        <f>IF(TCD!F312="","",TCD!F312)</f>
        <v/>
      </c>
      <c r="T311">
        <f>IF(TCD!E312="","",TCD!E312)</f>
        <v>2.36</v>
      </c>
      <c r="U311">
        <f>SUM(TCD!H312:J312)</f>
        <v>5.7900000000000009</v>
      </c>
    </row>
    <row r="312" spans="1:21" x14ac:dyDescent="0.25">
      <c r="A312" s="1" t="str">
        <f>_xlfn.XLOOKUP(G312,'Facture GLS'!AB:AB,'Facture GLS'!O:O)</f>
        <v>BY FOUTAS</v>
      </c>
      <c r="B312" t="str">
        <f t="shared" si="12"/>
        <v>GLS</v>
      </c>
      <c r="C312" s="2">
        <f t="shared" si="13"/>
        <v>46174</v>
      </c>
      <c r="G312" t="str">
        <f>TCD!D313</f>
        <v>00L0NDZ0</v>
      </c>
      <c r="I312" t="s">
        <v>104</v>
      </c>
      <c r="J312" t="str">
        <f>_xlfn.XLOOKUP(G312,'Facture GLS'!AB:AB,'Facture GLS'!BB:BB)</f>
        <v>FR</v>
      </c>
      <c r="K312" t="str">
        <f>IF(COUNTIF(Zoning!A:A,J312)=0,"pays inconnu",LOOKUP(J312,Zoning!A:A,Zoning!B:B))</f>
        <v>France</v>
      </c>
      <c r="L312">
        <f t="shared" si="14"/>
        <v>1</v>
      </c>
      <c r="M312">
        <f>_xlfn.XLOOKUP(G312,Poids!A:A,Poids!C:C)</f>
        <v>2</v>
      </c>
      <c r="N312" t="str">
        <f>IF(COUNTIF(Zoning!A:A,J312)=0,"zone inconnue","France")</f>
        <v>France</v>
      </c>
      <c r="O312">
        <f>IF(COUNTIF(Zoning!A:A,J312)=0,"taux inconnu",_xlfn.XLOOKUP(J312,Zoning!A:A,Zoning!C:C))</f>
        <v>0.2</v>
      </c>
      <c r="R312" t="str">
        <f>IF(TCD!K313="","",TCD!K313)</f>
        <v/>
      </c>
      <c r="S312" t="str">
        <f>IF(TCD!F313="","",TCD!F313)</f>
        <v/>
      </c>
      <c r="T312" t="str">
        <f>IF(TCD!E313="","",TCD!E313)</f>
        <v/>
      </c>
      <c r="U312">
        <f>SUM(TCD!H313:J313)</f>
        <v>5.4700000000000006</v>
      </c>
    </row>
    <row r="313" spans="1:21" x14ac:dyDescent="0.25">
      <c r="A313" s="1" t="str">
        <f>_xlfn.XLOOKUP(G313,'Facture GLS'!AB:AB,'Facture GLS'!O:O)</f>
        <v>BY FOUTAS</v>
      </c>
      <c r="B313" t="str">
        <f t="shared" si="12"/>
        <v>GLS</v>
      </c>
      <c r="C313" s="2">
        <f t="shared" si="13"/>
        <v>46174</v>
      </c>
      <c r="G313" t="str">
        <f>TCD!D314</f>
        <v>00L0NDZ1</v>
      </c>
      <c r="I313" t="s">
        <v>104</v>
      </c>
      <c r="J313" t="str">
        <f>_xlfn.XLOOKUP(G313,'Facture GLS'!AB:AB,'Facture GLS'!BB:BB)</f>
        <v>FR</v>
      </c>
      <c r="K313" t="str">
        <f>IF(COUNTIF(Zoning!A:A,J313)=0,"pays inconnu",LOOKUP(J313,Zoning!A:A,Zoning!B:B))</f>
        <v>France</v>
      </c>
      <c r="L313">
        <f t="shared" si="14"/>
        <v>1</v>
      </c>
      <c r="M313">
        <f>_xlfn.XLOOKUP(G313,Poids!A:A,Poids!C:C)</f>
        <v>1.2000000000000002</v>
      </c>
      <c r="N313" t="str">
        <f>IF(COUNTIF(Zoning!A:A,J313)=0,"zone inconnue","France")</f>
        <v>France</v>
      </c>
      <c r="O313">
        <f>IF(COUNTIF(Zoning!A:A,J313)=0,"taux inconnu",_xlfn.XLOOKUP(J313,Zoning!A:A,Zoning!C:C))</f>
        <v>0.2</v>
      </c>
      <c r="R313" t="str">
        <f>IF(TCD!K314="","",TCD!K314)</f>
        <v/>
      </c>
      <c r="S313" t="str">
        <f>IF(TCD!F314="","",TCD!F314)</f>
        <v/>
      </c>
      <c r="T313" t="str">
        <f>IF(TCD!E314="","",TCD!E314)</f>
        <v/>
      </c>
      <c r="U313">
        <f>SUM(TCD!H314:J314)</f>
        <v>5.4700000000000006</v>
      </c>
    </row>
    <row r="314" spans="1:21" x14ac:dyDescent="0.25">
      <c r="A314" s="1" t="str">
        <f>_xlfn.XLOOKUP(G314,'Facture GLS'!AB:AB,'Facture GLS'!O:O)</f>
        <v>BY FOUTAS</v>
      </c>
      <c r="B314" t="str">
        <f t="shared" si="12"/>
        <v>GLS</v>
      </c>
      <c r="C314" s="2">
        <f t="shared" si="13"/>
        <v>46174</v>
      </c>
      <c r="G314" t="str">
        <f>TCD!D315</f>
        <v>00L0NDZ2</v>
      </c>
      <c r="I314" t="s">
        <v>104</v>
      </c>
      <c r="J314" t="str">
        <f>_xlfn.XLOOKUP(G314,'Facture GLS'!AB:AB,'Facture GLS'!BB:BB)</f>
        <v>FR</v>
      </c>
      <c r="K314" t="str">
        <f>IF(COUNTIF(Zoning!A:A,J314)=0,"pays inconnu",LOOKUP(J314,Zoning!A:A,Zoning!B:B))</f>
        <v>France</v>
      </c>
      <c r="L314">
        <f t="shared" si="14"/>
        <v>1</v>
      </c>
      <c r="M314">
        <f>_xlfn.XLOOKUP(G314,Poids!A:A,Poids!C:C)</f>
        <v>1.2000000000000002</v>
      </c>
      <c r="N314" t="str">
        <f>IF(COUNTIF(Zoning!A:A,J314)=0,"zone inconnue","France")</f>
        <v>France</v>
      </c>
      <c r="O314">
        <f>IF(COUNTIF(Zoning!A:A,J314)=0,"taux inconnu",_xlfn.XLOOKUP(J314,Zoning!A:A,Zoning!C:C))</f>
        <v>0.2</v>
      </c>
      <c r="R314" t="str">
        <f>IF(TCD!K315="","",TCD!K315)</f>
        <v/>
      </c>
      <c r="S314" t="str">
        <f>IF(TCD!F315="","",TCD!F315)</f>
        <v/>
      </c>
      <c r="T314" t="str">
        <f>IF(TCD!E315="","",TCD!E315)</f>
        <v/>
      </c>
      <c r="U314">
        <f>SUM(TCD!H315:J315)</f>
        <v>5.4700000000000006</v>
      </c>
    </row>
    <row r="315" spans="1:21" x14ac:dyDescent="0.25">
      <c r="A315" s="1" t="str">
        <f>_xlfn.XLOOKUP(G315,'Facture GLS'!AB:AB,'Facture GLS'!O:O)</f>
        <v>BY FOUTAS</v>
      </c>
      <c r="B315" t="str">
        <f t="shared" si="12"/>
        <v>GLS</v>
      </c>
      <c r="C315" s="2">
        <f t="shared" si="13"/>
        <v>46174</v>
      </c>
      <c r="G315" t="str">
        <f>TCD!D316</f>
        <v>00L0NDZ3</v>
      </c>
      <c r="I315" t="s">
        <v>104</v>
      </c>
      <c r="J315" t="str">
        <f>_xlfn.XLOOKUP(G315,'Facture GLS'!AB:AB,'Facture GLS'!BB:BB)</f>
        <v>FR</v>
      </c>
      <c r="K315" t="str">
        <f>IF(COUNTIF(Zoning!A:A,J315)=0,"pays inconnu",LOOKUP(J315,Zoning!A:A,Zoning!B:B))</f>
        <v>France</v>
      </c>
      <c r="L315">
        <f t="shared" si="14"/>
        <v>1</v>
      </c>
      <c r="M315">
        <f>_xlfn.XLOOKUP(G315,Poids!A:A,Poids!C:C)</f>
        <v>0.9</v>
      </c>
      <c r="N315" t="str">
        <f>IF(COUNTIF(Zoning!A:A,J315)=0,"zone inconnue","France")</f>
        <v>France</v>
      </c>
      <c r="O315">
        <f>IF(COUNTIF(Zoning!A:A,J315)=0,"taux inconnu",_xlfn.XLOOKUP(J315,Zoning!A:A,Zoning!C:C))</f>
        <v>0.2</v>
      </c>
      <c r="R315" t="str">
        <f>IF(TCD!K316="","",TCD!K316)</f>
        <v/>
      </c>
      <c r="S315" t="str">
        <f>IF(TCD!F316="","",TCD!F316)</f>
        <v/>
      </c>
      <c r="T315" t="str">
        <f>IF(TCD!E316="","",TCD!E316)</f>
        <v/>
      </c>
      <c r="U315">
        <f>SUM(TCD!H316:J316)</f>
        <v>5.15</v>
      </c>
    </row>
    <row r="316" spans="1:21" x14ac:dyDescent="0.25">
      <c r="A316" s="1" t="str">
        <f>_xlfn.XLOOKUP(G316,'Facture GLS'!AB:AB,'Facture GLS'!O:O)</f>
        <v>BY FOUTAS</v>
      </c>
      <c r="B316" t="str">
        <f t="shared" si="12"/>
        <v>GLS</v>
      </c>
      <c r="C316" s="2">
        <f t="shared" si="13"/>
        <v>46174</v>
      </c>
      <c r="G316" t="str">
        <f>TCD!D317</f>
        <v>00L0NDZ4</v>
      </c>
      <c r="I316" t="s">
        <v>104</v>
      </c>
      <c r="J316" t="str">
        <f>_xlfn.XLOOKUP(G316,'Facture GLS'!AB:AB,'Facture GLS'!BB:BB)</f>
        <v>FR</v>
      </c>
      <c r="K316" t="str">
        <f>IF(COUNTIF(Zoning!A:A,J316)=0,"pays inconnu",LOOKUP(J316,Zoning!A:A,Zoning!B:B))</f>
        <v>France</v>
      </c>
      <c r="L316">
        <f t="shared" si="14"/>
        <v>1</v>
      </c>
      <c r="M316">
        <f>_xlfn.XLOOKUP(G316,Poids!A:A,Poids!C:C)</f>
        <v>1.2000000000000002</v>
      </c>
      <c r="N316" t="str">
        <f>IF(COUNTIF(Zoning!A:A,J316)=0,"zone inconnue","France")</f>
        <v>France</v>
      </c>
      <c r="O316">
        <f>IF(COUNTIF(Zoning!A:A,J316)=0,"taux inconnu",_xlfn.XLOOKUP(J316,Zoning!A:A,Zoning!C:C))</f>
        <v>0.2</v>
      </c>
      <c r="R316" t="str">
        <f>IF(TCD!K317="","",TCD!K317)</f>
        <v/>
      </c>
      <c r="S316" t="str">
        <f>IF(TCD!F317="","",TCD!F317)</f>
        <v/>
      </c>
      <c r="T316" t="str">
        <f>IF(TCD!E317="","",TCD!E317)</f>
        <v/>
      </c>
      <c r="U316">
        <f>SUM(TCD!H317:J317)</f>
        <v>5.4700000000000006</v>
      </c>
    </row>
    <row r="317" spans="1:21" x14ac:dyDescent="0.25">
      <c r="A317" s="1" t="str">
        <f>_xlfn.XLOOKUP(G317,'Facture GLS'!AB:AB,'Facture GLS'!O:O)</f>
        <v>BY FOUTAS</v>
      </c>
      <c r="B317" t="str">
        <f t="shared" si="12"/>
        <v>GLS</v>
      </c>
      <c r="C317" s="2">
        <f t="shared" si="13"/>
        <v>46174</v>
      </c>
      <c r="G317" t="str">
        <f>TCD!D318</f>
        <v>00L0NDZ5</v>
      </c>
      <c r="I317" t="s">
        <v>104</v>
      </c>
      <c r="J317" t="str">
        <f>_xlfn.XLOOKUP(G317,'Facture GLS'!AB:AB,'Facture GLS'!BB:BB)</f>
        <v>FR</v>
      </c>
      <c r="K317" t="str">
        <f>IF(COUNTIF(Zoning!A:A,J317)=0,"pays inconnu",LOOKUP(J317,Zoning!A:A,Zoning!B:B))</f>
        <v>France</v>
      </c>
      <c r="L317">
        <f t="shared" si="14"/>
        <v>1</v>
      </c>
      <c r="M317">
        <f>_xlfn.XLOOKUP(G317,Poids!A:A,Poids!C:C)</f>
        <v>0.9</v>
      </c>
      <c r="N317" t="str">
        <f>IF(COUNTIF(Zoning!A:A,J317)=0,"zone inconnue","France")</f>
        <v>France</v>
      </c>
      <c r="O317">
        <f>IF(COUNTIF(Zoning!A:A,J317)=0,"taux inconnu",_xlfn.XLOOKUP(J317,Zoning!A:A,Zoning!C:C))</f>
        <v>0.2</v>
      </c>
      <c r="R317" t="str">
        <f>IF(TCD!K318="","",TCD!K318)</f>
        <v/>
      </c>
      <c r="S317" t="str">
        <f>IF(TCD!F318="","",TCD!F318)</f>
        <v/>
      </c>
      <c r="T317" t="str">
        <f>IF(TCD!E318="","",TCD!E318)</f>
        <v/>
      </c>
      <c r="U317">
        <f>SUM(TCD!H318:J318)</f>
        <v>5.15</v>
      </c>
    </row>
    <row r="318" spans="1:21" x14ac:dyDescent="0.25">
      <c r="A318" s="1" t="str">
        <f>_xlfn.XLOOKUP(G318,'Facture GLS'!AB:AB,'Facture GLS'!O:O)</f>
        <v>BY FOUTAS</v>
      </c>
      <c r="B318" t="str">
        <f t="shared" si="12"/>
        <v>GLS</v>
      </c>
      <c r="C318" s="2">
        <f t="shared" si="13"/>
        <v>46174</v>
      </c>
      <c r="G318" t="str">
        <f>TCD!D319</f>
        <v>00L0NDZ6</v>
      </c>
      <c r="I318" t="s">
        <v>104</v>
      </c>
      <c r="J318" t="str">
        <f>_xlfn.XLOOKUP(G318,'Facture GLS'!AB:AB,'Facture GLS'!BB:BB)</f>
        <v>FR</v>
      </c>
      <c r="K318" t="str">
        <f>IF(COUNTIF(Zoning!A:A,J318)=0,"pays inconnu",LOOKUP(J318,Zoning!A:A,Zoning!B:B))</f>
        <v>France</v>
      </c>
      <c r="L318">
        <f t="shared" si="14"/>
        <v>1</v>
      </c>
      <c r="M318">
        <f>_xlfn.XLOOKUP(G318,Poids!A:A,Poids!C:C)</f>
        <v>1.7000000000000002</v>
      </c>
      <c r="N318" t="str">
        <f>IF(COUNTIF(Zoning!A:A,J318)=0,"zone inconnue","France")</f>
        <v>France</v>
      </c>
      <c r="O318">
        <f>IF(COUNTIF(Zoning!A:A,J318)=0,"taux inconnu",_xlfn.XLOOKUP(J318,Zoning!A:A,Zoning!C:C))</f>
        <v>0.2</v>
      </c>
      <c r="R318" t="str">
        <f>IF(TCD!K319="","",TCD!K319)</f>
        <v/>
      </c>
      <c r="S318" t="str">
        <f>IF(TCD!F319="","",TCD!F319)</f>
        <v/>
      </c>
      <c r="T318" t="str">
        <f>IF(TCD!E319="","",TCD!E319)</f>
        <v/>
      </c>
      <c r="U318">
        <f>SUM(TCD!H319:J319)</f>
        <v>5.4700000000000006</v>
      </c>
    </row>
    <row r="319" spans="1:21" x14ac:dyDescent="0.25">
      <c r="A319" s="1" t="str">
        <f>_xlfn.XLOOKUP(G319,'Facture GLS'!AB:AB,'Facture GLS'!O:O)</f>
        <v>BY FOUTAS</v>
      </c>
      <c r="B319" t="str">
        <f t="shared" si="12"/>
        <v>GLS</v>
      </c>
      <c r="C319" s="2">
        <f t="shared" si="13"/>
        <v>46174</v>
      </c>
      <c r="G319" t="str">
        <f>TCD!D320</f>
        <v>00L0NDZ7</v>
      </c>
      <c r="I319" t="s">
        <v>104</v>
      </c>
      <c r="J319" t="str">
        <f>_xlfn.XLOOKUP(G319,'Facture GLS'!AB:AB,'Facture GLS'!BB:BB)</f>
        <v>FR</v>
      </c>
      <c r="K319" t="str">
        <f>IF(COUNTIF(Zoning!A:A,J319)=0,"pays inconnu",LOOKUP(J319,Zoning!A:A,Zoning!B:B))</f>
        <v>France</v>
      </c>
      <c r="L319">
        <f t="shared" si="14"/>
        <v>1</v>
      </c>
      <c r="M319">
        <f>_xlfn.XLOOKUP(G319,Poids!A:A,Poids!C:C)</f>
        <v>0.9</v>
      </c>
      <c r="N319" t="str">
        <f>IF(COUNTIF(Zoning!A:A,J319)=0,"zone inconnue","France")</f>
        <v>France</v>
      </c>
      <c r="O319">
        <f>IF(COUNTIF(Zoning!A:A,J319)=0,"taux inconnu",_xlfn.XLOOKUP(J319,Zoning!A:A,Zoning!C:C))</f>
        <v>0.2</v>
      </c>
      <c r="R319" t="str">
        <f>IF(TCD!K320="","",TCD!K320)</f>
        <v/>
      </c>
      <c r="S319" t="str">
        <f>IF(TCD!F320="","",TCD!F320)</f>
        <v/>
      </c>
      <c r="T319" t="str">
        <f>IF(TCD!E320="","",TCD!E320)</f>
        <v/>
      </c>
      <c r="U319">
        <f>SUM(TCD!H320:J320)</f>
        <v>5.15</v>
      </c>
    </row>
    <row r="320" spans="1:21" x14ac:dyDescent="0.25">
      <c r="A320" s="1" t="str">
        <f>_xlfn.XLOOKUP(G320,'Facture GLS'!AB:AB,'Facture GLS'!O:O)</f>
        <v>BY FOUTAS</v>
      </c>
      <c r="B320" t="str">
        <f t="shared" si="12"/>
        <v>GLS</v>
      </c>
      <c r="C320" s="2">
        <f t="shared" si="13"/>
        <v>46174</v>
      </c>
      <c r="G320" t="str">
        <f>TCD!D321</f>
        <v>00L0NDZ8</v>
      </c>
      <c r="I320" t="s">
        <v>104</v>
      </c>
      <c r="J320" t="str">
        <f>_xlfn.XLOOKUP(G320,'Facture GLS'!AB:AB,'Facture GLS'!BB:BB)</f>
        <v>FR</v>
      </c>
      <c r="K320" t="str">
        <f>IF(COUNTIF(Zoning!A:A,J320)=0,"pays inconnu",LOOKUP(J320,Zoning!A:A,Zoning!B:B))</f>
        <v>France</v>
      </c>
      <c r="L320">
        <f t="shared" si="14"/>
        <v>1</v>
      </c>
      <c r="M320">
        <f>_xlfn.XLOOKUP(G320,Poids!A:A,Poids!C:C)</f>
        <v>1.7000000000000002</v>
      </c>
      <c r="N320" t="str">
        <f>IF(COUNTIF(Zoning!A:A,J320)=0,"zone inconnue","France")</f>
        <v>France</v>
      </c>
      <c r="O320">
        <f>IF(COUNTIF(Zoning!A:A,J320)=0,"taux inconnu",_xlfn.XLOOKUP(J320,Zoning!A:A,Zoning!C:C))</f>
        <v>0.2</v>
      </c>
      <c r="R320" t="str">
        <f>IF(TCD!K321="","",TCD!K321)</f>
        <v/>
      </c>
      <c r="S320" t="str">
        <f>IF(TCD!F321="","",TCD!F321)</f>
        <v/>
      </c>
      <c r="T320" t="str">
        <f>IF(TCD!E321="","",TCD!E321)</f>
        <v/>
      </c>
      <c r="U320">
        <f>SUM(TCD!H321:J321)</f>
        <v>5.4700000000000006</v>
      </c>
    </row>
    <row r="321" spans="1:21" x14ac:dyDescent="0.25">
      <c r="A321" s="1" t="str">
        <f>_xlfn.XLOOKUP(G321,'Facture GLS'!AB:AB,'Facture GLS'!O:O)</f>
        <v>BY FOUTAS</v>
      </c>
      <c r="B321" t="str">
        <f t="shared" si="12"/>
        <v>GLS</v>
      </c>
      <c r="C321" s="2">
        <f t="shared" si="13"/>
        <v>46174</v>
      </c>
      <c r="G321" t="str">
        <f>TCD!D322</f>
        <v>00L0NDZ9</v>
      </c>
      <c r="I321" t="s">
        <v>104</v>
      </c>
      <c r="J321" t="str">
        <f>_xlfn.XLOOKUP(G321,'Facture GLS'!AB:AB,'Facture GLS'!BB:BB)</f>
        <v>FR</v>
      </c>
      <c r="K321" t="str">
        <f>IF(COUNTIF(Zoning!A:A,J321)=0,"pays inconnu",LOOKUP(J321,Zoning!A:A,Zoning!B:B))</f>
        <v>France</v>
      </c>
      <c r="L321">
        <f t="shared" si="14"/>
        <v>1</v>
      </c>
      <c r="M321">
        <f>_xlfn.XLOOKUP(G321,Poids!A:A,Poids!C:C)</f>
        <v>1.2000000000000002</v>
      </c>
      <c r="N321" t="str">
        <f>IF(COUNTIF(Zoning!A:A,J321)=0,"zone inconnue","France")</f>
        <v>France</v>
      </c>
      <c r="O321">
        <f>IF(COUNTIF(Zoning!A:A,J321)=0,"taux inconnu",_xlfn.XLOOKUP(J321,Zoning!A:A,Zoning!C:C))</f>
        <v>0.2</v>
      </c>
      <c r="R321" t="str">
        <f>IF(TCD!K322="","",TCD!K322)</f>
        <v/>
      </c>
      <c r="S321" t="str">
        <f>IF(TCD!F322="","",TCD!F322)</f>
        <v/>
      </c>
      <c r="T321" t="str">
        <f>IF(TCD!E322="","",TCD!E322)</f>
        <v/>
      </c>
      <c r="U321">
        <f>SUM(TCD!H322:J322)</f>
        <v>5.4700000000000006</v>
      </c>
    </row>
    <row r="322" spans="1:21" x14ac:dyDescent="0.25">
      <c r="A322" s="1" t="str">
        <f>_xlfn.XLOOKUP(G322,'Facture GLS'!AB:AB,'Facture GLS'!O:O)</f>
        <v>BY FOUTAS</v>
      </c>
      <c r="B322" t="str">
        <f t="shared" si="12"/>
        <v>GLS</v>
      </c>
      <c r="C322" s="2">
        <f t="shared" si="13"/>
        <v>46174</v>
      </c>
      <c r="G322" t="str">
        <f>TCD!D323</f>
        <v>00L0NDZA</v>
      </c>
      <c r="I322" t="s">
        <v>104</v>
      </c>
      <c r="J322" t="str">
        <f>_xlfn.XLOOKUP(G322,'Facture GLS'!AB:AB,'Facture GLS'!BB:BB)</f>
        <v>FR</v>
      </c>
      <c r="K322" t="str">
        <f>IF(COUNTIF(Zoning!A:A,J322)=0,"pays inconnu",LOOKUP(J322,Zoning!A:A,Zoning!B:B))</f>
        <v>France</v>
      </c>
      <c r="L322">
        <f t="shared" si="14"/>
        <v>1</v>
      </c>
      <c r="M322">
        <f>_xlfn.XLOOKUP(G322,Poids!A:A,Poids!C:C)</f>
        <v>2.3000000000000003</v>
      </c>
      <c r="N322" t="str">
        <f>IF(COUNTIF(Zoning!A:A,J322)=0,"zone inconnue","France")</f>
        <v>France</v>
      </c>
      <c r="O322">
        <f>IF(COUNTIF(Zoning!A:A,J322)=0,"taux inconnu",_xlfn.XLOOKUP(J322,Zoning!A:A,Zoning!C:C))</f>
        <v>0.2</v>
      </c>
      <c r="R322" t="str">
        <f>IF(TCD!K323="","",TCD!K323)</f>
        <v/>
      </c>
      <c r="S322" t="str">
        <f>IF(TCD!F323="","",TCD!F323)</f>
        <v/>
      </c>
      <c r="T322" t="str">
        <f>IF(TCD!E323="","",TCD!E323)</f>
        <v/>
      </c>
      <c r="U322">
        <f>SUM(TCD!H323:J323)</f>
        <v>5.7900000000000009</v>
      </c>
    </row>
    <row r="323" spans="1:21" x14ac:dyDescent="0.25">
      <c r="A323" s="1" t="str">
        <f>_xlfn.XLOOKUP(G323,'Facture GLS'!AB:AB,'Facture GLS'!O:O)</f>
        <v>BY FOUTAS</v>
      </c>
      <c r="B323" t="str">
        <f t="shared" si="12"/>
        <v>GLS</v>
      </c>
      <c r="C323" s="2">
        <f t="shared" si="13"/>
        <v>46174</v>
      </c>
      <c r="G323" t="str">
        <f>TCD!D324</f>
        <v>00L0NDZB</v>
      </c>
      <c r="I323" t="s">
        <v>104</v>
      </c>
      <c r="J323" t="str">
        <f>_xlfn.XLOOKUP(G323,'Facture GLS'!AB:AB,'Facture GLS'!BB:BB)</f>
        <v>FR</v>
      </c>
      <c r="K323" t="str">
        <f>IF(COUNTIF(Zoning!A:A,J323)=0,"pays inconnu",LOOKUP(J323,Zoning!A:A,Zoning!B:B))</f>
        <v>France</v>
      </c>
      <c r="L323">
        <f t="shared" si="14"/>
        <v>1</v>
      </c>
      <c r="M323">
        <f>_xlfn.XLOOKUP(G323,Poids!A:A,Poids!C:C)</f>
        <v>3.6</v>
      </c>
      <c r="N323" t="str">
        <f>IF(COUNTIF(Zoning!A:A,J323)=0,"zone inconnue","France")</f>
        <v>France</v>
      </c>
      <c r="O323">
        <f>IF(COUNTIF(Zoning!A:A,J323)=0,"taux inconnu",_xlfn.XLOOKUP(J323,Zoning!A:A,Zoning!C:C))</f>
        <v>0.2</v>
      </c>
      <c r="R323" t="str">
        <f>IF(TCD!K324="","",TCD!K324)</f>
        <v/>
      </c>
      <c r="S323" t="str">
        <f>IF(TCD!F324="","",TCD!F324)</f>
        <v/>
      </c>
      <c r="T323" t="str">
        <f>IF(TCD!E324="","",TCD!E324)</f>
        <v/>
      </c>
      <c r="U323">
        <f>SUM(TCD!H324:J324)</f>
        <v>6.3500000000000005</v>
      </c>
    </row>
    <row r="324" spans="1:21" x14ac:dyDescent="0.25">
      <c r="A324" s="1" t="str">
        <f>_xlfn.XLOOKUP(G324,'Facture GLS'!AB:AB,'Facture GLS'!O:O)</f>
        <v>BY FOUTAS</v>
      </c>
      <c r="B324" t="str">
        <f t="shared" ref="B324:B387" si="15">B323</f>
        <v>GLS</v>
      </c>
      <c r="C324" s="2">
        <f t="shared" ref="C324:C387" si="16">C323</f>
        <v>46174</v>
      </c>
      <c r="G324" t="str">
        <f>TCD!D325</f>
        <v>00L0NDZC</v>
      </c>
      <c r="I324" t="s">
        <v>104</v>
      </c>
      <c r="J324" t="str">
        <f>_xlfn.XLOOKUP(G324,'Facture GLS'!AB:AB,'Facture GLS'!BB:BB)</f>
        <v>FR</v>
      </c>
      <c r="K324" t="str">
        <f>IF(COUNTIF(Zoning!A:A,J324)=0,"pays inconnu",LOOKUP(J324,Zoning!A:A,Zoning!B:B))</f>
        <v>France</v>
      </c>
      <c r="L324">
        <f t="shared" ref="L324:L387" si="17">L323</f>
        <v>1</v>
      </c>
      <c r="M324">
        <f>_xlfn.XLOOKUP(G324,Poids!A:A,Poids!C:C)</f>
        <v>1.2000000000000002</v>
      </c>
      <c r="N324" t="str">
        <f>IF(COUNTIF(Zoning!A:A,J324)=0,"zone inconnue","France")</f>
        <v>France</v>
      </c>
      <c r="O324">
        <f>IF(COUNTIF(Zoning!A:A,J324)=0,"taux inconnu",_xlfn.XLOOKUP(J324,Zoning!A:A,Zoning!C:C))</f>
        <v>0.2</v>
      </c>
      <c r="R324" t="str">
        <f>IF(TCD!K325="","",TCD!K325)</f>
        <v/>
      </c>
      <c r="S324" t="str">
        <f>IF(TCD!F325="","",TCD!F325)</f>
        <v/>
      </c>
      <c r="T324" t="str">
        <f>IF(TCD!E325="","",TCD!E325)</f>
        <v/>
      </c>
      <c r="U324">
        <f>SUM(TCD!H325:J325)</f>
        <v>5.4700000000000006</v>
      </c>
    </row>
    <row r="325" spans="1:21" x14ac:dyDescent="0.25">
      <c r="A325" s="1" t="str">
        <f>_xlfn.XLOOKUP(G325,'Facture GLS'!AB:AB,'Facture GLS'!O:O)</f>
        <v>BY FOUTAS</v>
      </c>
      <c r="B325" t="str">
        <f t="shared" si="15"/>
        <v>GLS</v>
      </c>
      <c r="C325" s="2">
        <f t="shared" si="16"/>
        <v>46174</v>
      </c>
      <c r="G325" t="str">
        <f>TCD!D326</f>
        <v>00L0NDZD</v>
      </c>
      <c r="I325" t="s">
        <v>104</v>
      </c>
      <c r="J325" t="str">
        <f>_xlfn.XLOOKUP(G325,'Facture GLS'!AB:AB,'Facture GLS'!BB:BB)</f>
        <v>FR</v>
      </c>
      <c r="K325" t="str">
        <f>IF(COUNTIF(Zoning!A:A,J325)=0,"pays inconnu",LOOKUP(J325,Zoning!A:A,Zoning!B:B))</f>
        <v>France</v>
      </c>
      <c r="L325">
        <f t="shared" si="17"/>
        <v>1</v>
      </c>
      <c r="M325">
        <f>_xlfn.XLOOKUP(G325,Poids!A:A,Poids!C:C)</f>
        <v>2.5</v>
      </c>
      <c r="N325" t="str">
        <f>IF(COUNTIF(Zoning!A:A,J325)=0,"zone inconnue","France")</f>
        <v>France</v>
      </c>
      <c r="O325">
        <f>IF(COUNTIF(Zoning!A:A,J325)=0,"taux inconnu",_xlfn.XLOOKUP(J325,Zoning!A:A,Zoning!C:C))</f>
        <v>0.2</v>
      </c>
      <c r="R325" t="str">
        <f>IF(TCD!K326="","",TCD!K326)</f>
        <v/>
      </c>
      <c r="S325" t="str">
        <f>IF(TCD!F326="","",TCD!F326)</f>
        <v/>
      </c>
      <c r="T325" t="str">
        <f>IF(TCD!E326="","",TCD!E326)</f>
        <v/>
      </c>
      <c r="U325">
        <f>SUM(TCD!H326:J326)</f>
        <v>5.7900000000000009</v>
      </c>
    </row>
    <row r="326" spans="1:21" x14ac:dyDescent="0.25">
      <c r="A326" s="1" t="str">
        <f>_xlfn.XLOOKUP(G326,'Facture GLS'!AB:AB,'Facture GLS'!O:O)</f>
        <v>BY FOUTAS</v>
      </c>
      <c r="B326" t="str">
        <f t="shared" si="15"/>
        <v>GLS</v>
      </c>
      <c r="C326" s="2">
        <f t="shared" si="16"/>
        <v>46174</v>
      </c>
      <c r="G326" t="str">
        <f>TCD!D327</f>
        <v>00L0NDZE</v>
      </c>
      <c r="I326" t="s">
        <v>104</v>
      </c>
      <c r="J326" t="str">
        <f>_xlfn.XLOOKUP(G326,'Facture GLS'!AB:AB,'Facture GLS'!BB:BB)</f>
        <v>FR</v>
      </c>
      <c r="K326" t="str">
        <f>IF(COUNTIF(Zoning!A:A,J326)=0,"pays inconnu",LOOKUP(J326,Zoning!A:A,Zoning!B:B))</f>
        <v>France</v>
      </c>
      <c r="L326">
        <f t="shared" si="17"/>
        <v>1</v>
      </c>
      <c r="M326">
        <f>_xlfn.XLOOKUP(G326,Poids!A:A,Poids!C:C)</f>
        <v>0.9</v>
      </c>
      <c r="N326" t="str">
        <f>IF(COUNTIF(Zoning!A:A,J326)=0,"zone inconnue","France")</f>
        <v>France</v>
      </c>
      <c r="O326">
        <f>IF(COUNTIF(Zoning!A:A,J326)=0,"taux inconnu",_xlfn.XLOOKUP(J326,Zoning!A:A,Zoning!C:C))</f>
        <v>0.2</v>
      </c>
      <c r="R326" t="str">
        <f>IF(TCD!K327="","",TCD!K327)</f>
        <v/>
      </c>
      <c r="S326" t="str">
        <f>IF(TCD!F327="","",TCD!F327)</f>
        <v/>
      </c>
      <c r="T326" t="str">
        <f>IF(TCD!E327="","",TCD!E327)</f>
        <v/>
      </c>
      <c r="U326">
        <f>SUM(TCD!H327:J327)</f>
        <v>5.15</v>
      </c>
    </row>
    <row r="327" spans="1:21" x14ac:dyDescent="0.25">
      <c r="A327" s="1" t="str">
        <f>_xlfn.XLOOKUP(G327,'Facture GLS'!AB:AB,'Facture GLS'!O:O)</f>
        <v>BY FOUTAS</v>
      </c>
      <c r="B327" t="str">
        <f t="shared" si="15"/>
        <v>GLS</v>
      </c>
      <c r="C327" s="2">
        <f t="shared" si="16"/>
        <v>46174</v>
      </c>
      <c r="G327" t="str">
        <f>TCD!D328</f>
        <v>00L0NDZF</v>
      </c>
      <c r="I327" t="s">
        <v>104</v>
      </c>
      <c r="J327" t="str">
        <f>_xlfn.XLOOKUP(G327,'Facture GLS'!AB:AB,'Facture GLS'!BB:BB)</f>
        <v>FR</v>
      </c>
      <c r="K327" t="str">
        <f>IF(COUNTIF(Zoning!A:A,J327)=0,"pays inconnu",LOOKUP(J327,Zoning!A:A,Zoning!B:B))</f>
        <v>France</v>
      </c>
      <c r="L327">
        <f t="shared" si="17"/>
        <v>1</v>
      </c>
      <c r="M327">
        <f>_xlfn.XLOOKUP(G327,Poids!A:A,Poids!C:C)</f>
        <v>0.6</v>
      </c>
      <c r="N327" t="str">
        <f>IF(COUNTIF(Zoning!A:A,J327)=0,"zone inconnue","France")</f>
        <v>France</v>
      </c>
      <c r="O327">
        <f>IF(COUNTIF(Zoning!A:A,J327)=0,"taux inconnu",_xlfn.XLOOKUP(J327,Zoning!A:A,Zoning!C:C))</f>
        <v>0.2</v>
      </c>
      <c r="R327" t="str">
        <f>IF(TCD!K328="","",TCD!K328)</f>
        <v/>
      </c>
      <c r="S327" t="str">
        <f>IF(TCD!F328="","",TCD!F328)</f>
        <v/>
      </c>
      <c r="T327" t="str">
        <f>IF(TCD!E328="","",TCD!E328)</f>
        <v/>
      </c>
      <c r="U327">
        <f>SUM(TCD!H328:J328)</f>
        <v>5.15</v>
      </c>
    </row>
    <row r="328" spans="1:21" x14ac:dyDescent="0.25">
      <c r="A328" s="1" t="str">
        <f>_xlfn.XLOOKUP(G328,'Facture GLS'!AB:AB,'Facture GLS'!O:O)</f>
        <v>BY FOUTAS</v>
      </c>
      <c r="B328" t="str">
        <f t="shared" si="15"/>
        <v>GLS</v>
      </c>
      <c r="C328" s="2">
        <f t="shared" si="16"/>
        <v>46174</v>
      </c>
      <c r="G328" t="str">
        <f>TCD!D329</f>
        <v>00L0NDZG</v>
      </c>
      <c r="I328" t="s">
        <v>104</v>
      </c>
      <c r="J328" t="str">
        <f>_xlfn.XLOOKUP(G328,'Facture GLS'!AB:AB,'Facture GLS'!BB:BB)</f>
        <v>FR</v>
      </c>
      <c r="K328" t="str">
        <f>IF(COUNTIF(Zoning!A:A,J328)=0,"pays inconnu",LOOKUP(J328,Zoning!A:A,Zoning!B:B))</f>
        <v>France</v>
      </c>
      <c r="L328">
        <f t="shared" si="17"/>
        <v>1</v>
      </c>
      <c r="M328">
        <f>_xlfn.XLOOKUP(G328,Poids!A:A,Poids!C:C)</f>
        <v>0.9</v>
      </c>
      <c r="N328" t="str">
        <f>IF(COUNTIF(Zoning!A:A,J328)=0,"zone inconnue","France")</f>
        <v>France</v>
      </c>
      <c r="O328">
        <f>IF(COUNTIF(Zoning!A:A,J328)=0,"taux inconnu",_xlfn.XLOOKUP(J328,Zoning!A:A,Zoning!C:C))</f>
        <v>0.2</v>
      </c>
      <c r="R328" t="str">
        <f>IF(TCD!K329="","",TCD!K329)</f>
        <v/>
      </c>
      <c r="S328" t="str">
        <f>IF(TCD!F329="","",TCD!F329)</f>
        <v/>
      </c>
      <c r="T328" t="str">
        <f>IF(TCD!E329="","",TCD!E329)</f>
        <v/>
      </c>
      <c r="U328">
        <f>SUM(TCD!H329:J329)</f>
        <v>5.15</v>
      </c>
    </row>
    <row r="329" spans="1:21" x14ac:dyDescent="0.25">
      <c r="A329" s="1" t="str">
        <f>_xlfn.XLOOKUP(G329,'Facture GLS'!AB:AB,'Facture GLS'!O:O)</f>
        <v>BY FOUTAS</v>
      </c>
      <c r="B329" t="str">
        <f t="shared" si="15"/>
        <v>GLS</v>
      </c>
      <c r="C329" s="2">
        <f t="shared" si="16"/>
        <v>46174</v>
      </c>
      <c r="G329" t="str">
        <f>TCD!D330</f>
        <v>00L0NDZH</v>
      </c>
      <c r="I329" t="s">
        <v>104</v>
      </c>
      <c r="J329" t="str">
        <f>_xlfn.XLOOKUP(G329,'Facture GLS'!AB:AB,'Facture GLS'!BB:BB)</f>
        <v>FR</v>
      </c>
      <c r="K329" t="str">
        <f>IF(COUNTIF(Zoning!A:A,J329)=0,"pays inconnu",LOOKUP(J329,Zoning!A:A,Zoning!B:B))</f>
        <v>France</v>
      </c>
      <c r="L329">
        <f t="shared" si="17"/>
        <v>1</v>
      </c>
      <c r="M329">
        <f>_xlfn.XLOOKUP(G329,Poids!A:A,Poids!C:C)</f>
        <v>0.6</v>
      </c>
      <c r="N329" t="str">
        <f>IF(COUNTIF(Zoning!A:A,J329)=0,"zone inconnue","France")</f>
        <v>France</v>
      </c>
      <c r="O329">
        <f>IF(COUNTIF(Zoning!A:A,J329)=0,"taux inconnu",_xlfn.XLOOKUP(J329,Zoning!A:A,Zoning!C:C))</f>
        <v>0.2</v>
      </c>
      <c r="R329" t="str">
        <f>IF(TCD!K330="","",TCD!K330)</f>
        <v/>
      </c>
      <c r="S329" t="str">
        <f>IF(TCD!F330="","",TCD!F330)</f>
        <v/>
      </c>
      <c r="T329" t="str">
        <f>IF(TCD!E330="","",TCD!E330)</f>
        <v/>
      </c>
      <c r="U329">
        <f>SUM(TCD!H330:J330)</f>
        <v>5.15</v>
      </c>
    </row>
    <row r="330" spans="1:21" x14ac:dyDescent="0.25">
      <c r="A330" s="1" t="str">
        <f>_xlfn.XLOOKUP(G330,'Facture GLS'!AB:AB,'Facture GLS'!O:O)</f>
        <v>BY FOUTAS</v>
      </c>
      <c r="B330" t="str">
        <f t="shared" si="15"/>
        <v>GLS</v>
      </c>
      <c r="C330" s="2">
        <f t="shared" si="16"/>
        <v>46174</v>
      </c>
      <c r="G330" t="str">
        <f>TCD!D331</f>
        <v>00L0NDZI</v>
      </c>
      <c r="I330" t="s">
        <v>104</v>
      </c>
      <c r="J330" t="str">
        <f>_xlfn.XLOOKUP(G330,'Facture GLS'!AB:AB,'Facture GLS'!BB:BB)</f>
        <v>FR</v>
      </c>
      <c r="K330" t="str">
        <f>IF(COUNTIF(Zoning!A:A,J330)=0,"pays inconnu",LOOKUP(J330,Zoning!A:A,Zoning!B:B))</f>
        <v>France</v>
      </c>
      <c r="L330">
        <f t="shared" si="17"/>
        <v>1</v>
      </c>
      <c r="M330">
        <f>_xlfn.XLOOKUP(G330,Poids!A:A,Poids!C:C)</f>
        <v>1.2000000000000002</v>
      </c>
      <c r="N330" t="str">
        <f>IF(COUNTIF(Zoning!A:A,J330)=0,"zone inconnue","France")</f>
        <v>France</v>
      </c>
      <c r="O330">
        <f>IF(COUNTIF(Zoning!A:A,J330)=0,"taux inconnu",_xlfn.XLOOKUP(J330,Zoning!A:A,Zoning!C:C))</f>
        <v>0.2</v>
      </c>
      <c r="R330" t="str">
        <f>IF(TCD!K331="","",TCD!K331)</f>
        <v/>
      </c>
      <c r="S330" t="str">
        <f>IF(TCD!F331="","",TCD!F331)</f>
        <v/>
      </c>
      <c r="T330" t="str">
        <f>IF(TCD!E331="","",TCD!E331)</f>
        <v/>
      </c>
      <c r="U330">
        <f>SUM(TCD!H331:J331)</f>
        <v>5.4700000000000006</v>
      </c>
    </row>
    <row r="331" spans="1:21" x14ac:dyDescent="0.25">
      <c r="A331" s="1" t="str">
        <f>_xlfn.XLOOKUP(G331,'Facture GLS'!AB:AB,'Facture GLS'!O:O)</f>
        <v>BY FOUTAS</v>
      </c>
      <c r="B331" t="str">
        <f t="shared" si="15"/>
        <v>GLS</v>
      </c>
      <c r="C331" s="2">
        <f t="shared" si="16"/>
        <v>46174</v>
      </c>
      <c r="G331" t="str">
        <f>TCD!D332</f>
        <v>00L0NDZJ</v>
      </c>
      <c r="I331" t="s">
        <v>104</v>
      </c>
      <c r="J331" t="str">
        <f>_xlfn.XLOOKUP(G331,'Facture GLS'!AB:AB,'Facture GLS'!BB:BB)</f>
        <v>FR</v>
      </c>
      <c r="K331" t="str">
        <f>IF(COUNTIF(Zoning!A:A,J331)=0,"pays inconnu",LOOKUP(J331,Zoning!A:A,Zoning!B:B))</f>
        <v>France</v>
      </c>
      <c r="L331">
        <f t="shared" si="17"/>
        <v>1</v>
      </c>
      <c r="M331">
        <f>_xlfn.XLOOKUP(G331,Poids!A:A,Poids!C:C)</f>
        <v>1.3</v>
      </c>
      <c r="N331" t="str">
        <f>IF(COUNTIF(Zoning!A:A,J331)=0,"zone inconnue","France")</f>
        <v>France</v>
      </c>
      <c r="O331">
        <f>IF(COUNTIF(Zoning!A:A,J331)=0,"taux inconnu",_xlfn.XLOOKUP(J331,Zoning!A:A,Zoning!C:C))</f>
        <v>0.2</v>
      </c>
      <c r="R331" t="str">
        <f>IF(TCD!K332="","",TCD!K332)</f>
        <v/>
      </c>
      <c r="S331" t="str">
        <f>IF(TCD!F332="","",TCD!F332)</f>
        <v/>
      </c>
      <c r="T331" t="str">
        <f>IF(TCD!E332="","",TCD!E332)</f>
        <v/>
      </c>
      <c r="U331">
        <f>SUM(TCD!H332:J332)</f>
        <v>5.4700000000000006</v>
      </c>
    </row>
    <row r="332" spans="1:21" x14ac:dyDescent="0.25">
      <c r="A332" s="1" t="str">
        <f>_xlfn.XLOOKUP(G332,'Facture GLS'!AB:AB,'Facture GLS'!O:O)</f>
        <v>BY FOUTAS</v>
      </c>
      <c r="B332" t="str">
        <f t="shared" si="15"/>
        <v>GLS</v>
      </c>
      <c r="C332" s="2">
        <f t="shared" si="16"/>
        <v>46174</v>
      </c>
      <c r="G332" t="str">
        <f>TCD!D333</f>
        <v>00L0NDZK</v>
      </c>
      <c r="I332" t="s">
        <v>104</v>
      </c>
      <c r="J332" t="str">
        <f>_xlfn.XLOOKUP(G332,'Facture GLS'!AB:AB,'Facture GLS'!BB:BB)</f>
        <v>FR</v>
      </c>
      <c r="K332" t="str">
        <f>IF(COUNTIF(Zoning!A:A,J332)=0,"pays inconnu",LOOKUP(J332,Zoning!A:A,Zoning!B:B))</f>
        <v>France</v>
      </c>
      <c r="L332">
        <f t="shared" si="17"/>
        <v>1</v>
      </c>
      <c r="M332">
        <f>_xlfn.XLOOKUP(G332,Poids!A:A,Poids!C:C)</f>
        <v>2.4</v>
      </c>
      <c r="N332" t="str">
        <f>IF(COUNTIF(Zoning!A:A,J332)=0,"zone inconnue","France")</f>
        <v>France</v>
      </c>
      <c r="O332">
        <f>IF(COUNTIF(Zoning!A:A,J332)=0,"taux inconnu",_xlfn.XLOOKUP(J332,Zoning!A:A,Zoning!C:C))</f>
        <v>0.2</v>
      </c>
      <c r="R332" t="str">
        <f>IF(TCD!K333="","",TCD!K333)</f>
        <v/>
      </c>
      <c r="S332" t="str">
        <f>IF(TCD!F333="","",TCD!F333)</f>
        <v/>
      </c>
      <c r="T332" t="str">
        <f>IF(TCD!E333="","",TCD!E333)</f>
        <v/>
      </c>
      <c r="U332">
        <f>SUM(TCD!H333:J333)</f>
        <v>5.7900000000000009</v>
      </c>
    </row>
    <row r="333" spans="1:21" x14ac:dyDescent="0.25">
      <c r="A333" s="1" t="str">
        <f>_xlfn.XLOOKUP(G333,'Facture GLS'!AB:AB,'Facture GLS'!O:O)</f>
        <v>BY FOUTAS</v>
      </c>
      <c r="B333" t="str">
        <f t="shared" si="15"/>
        <v>GLS</v>
      </c>
      <c r="C333" s="2">
        <f t="shared" si="16"/>
        <v>46174</v>
      </c>
      <c r="G333" t="str">
        <f>TCD!D334</f>
        <v>00L0NDZL</v>
      </c>
      <c r="I333" t="s">
        <v>104</v>
      </c>
      <c r="J333" t="str">
        <f>_xlfn.XLOOKUP(G333,'Facture GLS'!AB:AB,'Facture GLS'!BB:BB)</f>
        <v>FR</v>
      </c>
      <c r="K333" t="str">
        <f>IF(COUNTIF(Zoning!A:A,J333)=0,"pays inconnu",LOOKUP(J333,Zoning!A:A,Zoning!B:B))</f>
        <v>France</v>
      </c>
      <c r="L333">
        <f t="shared" si="17"/>
        <v>1</v>
      </c>
      <c r="M333">
        <f>_xlfn.XLOOKUP(G333,Poids!A:A,Poids!C:C)</f>
        <v>1.2000000000000002</v>
      </c>
      <c r="N333" t="str">
        <f>IF(COUNTIF(Zoning!A:A,J333)=0,"zone inconnue","France")</f>
        <v>France</v>
      </c>
      <c r="O333">
        <f>IF(COUNTIF(Zoning!A:A,J333)=0,"taux inconnu",_xlfn.XLOOKUP(J333,Zoning!A:A,Zoning!C:C))</f>
        <v>0.2</v>
      </c>
      <c r="R333" t="str">
        <f>IF(TCD!K334="","",TCD!K334)</f>
        <v/>
      </c>
      <c r="S333" t="str">
        <f>IF(TCD!F334="","",TCD!F334)</f>
        <v/>
      </c>
      <c r="T333" t="str">
        <f>IF(TCD!E334="","",TCD!E334)</f>
        <v/>
      </c>
      <c r="U333">
        <f>SUM(TCD!H334:J334)</f>
        <v>5.4700000000000006</v>
      </c>
    </row>
    <row r="334" spans="1:21" x14ac:dyDescent="0.25">
      <c r="A334" s="1" t="str">
        <f>_xlfn.XLOOKUP(G334,'Facture GLS'!AB:AB,'Facture GLS'!O:O)</f>
        <v>BY FOUTAS</v>
      </c>
      <c r="B334" t="str">
        <f t="shared" si="15"/>
        <v>GLS</v>
      </c>
      <c r="C334" s="2">
        <f t="shared" si="16"/>
        <v>46174</v>
      </c>
      <c r="G334" t="str">
        <f>TCD!D335</f>
        <v>00L0NDZM</v>
      </c>
      <c r="I334" t="s">
        <v>104</v>
      </c>
      <c r="J334" t="str">
        <f>_xlfn.XLOOKUP(G334,'Facture GLS'!AB:AB,'Facture GLS'!BB:BB)</f>
        <v>FR</v>
      </c>
      <c r="K334" t="str">
        <f>IF(COUNTIF(Zoning!A:A,J334)=0,"pays inconnu",LOOKUP(J334,Zoning!A:A,Zoning!B:B))</f>
        <v>France</v>
      </c>
      <c r="L334">
        <f t="shared" si="17"/>
        <v>1</v>
      </c>
      <c r="M334">
        <f>_xlfn.XLOOKUP(G334,Poids!A:A,Poids!C:C)</f>
        <v>1.3</v>
      </c>
      <c r="N334" t="str">
        <f>IF(COUNTIF(Zoning!A:A,J334)=0,"zone inconnue","France")</f>
        <v>France</v>
      </c>
      <c r="O334">
        <f>IF(COUNTIF(Zoning!A:A,J334)=0,"taux inconnu",_xlfn.XLOOKUP(J334,Zoning!A:A,Zoning!C:C))</f>
        <v>0.2</v>
      </c>
      <c r="R334" t="str">
        <f>IF(TCD!K335="","",TCD!K335)</f>
        <v/>
      </c>
      <c r="S334" t="str">
        <f>IF(TCD!F335="","",TCD!F335)</f>
        <v/>
      </c>
      <c r="T334" t="str">
        <f>IF(TCD!E335="","",TCD!E335)</f>
        <v/>
      </c>
      <c r="U334">
        <f>SUM(TCD!H335:J335)</f>
        <v>5.4700000000000006</v>
      </c>
    </row>
    <row r="335" spans="1:21" x14ac:dyDescent="0.25">
      <c r="A335" s="1" t="str">
        <f>_xlfn.XLOOKUP(G335,'Facture GLS'!AB:AB,'Facture GLS'!O:O)</f>
        <v>BY FOUTAS</v>
      </c>
      <c r="B335" t="str">
        <f t="shared" si="15"/>
        <v>GLS</v>
      </c>
      <c r="C335" s="2">
        <f t="shared" si="16"/>
        <v>46174</v>
      </c>
      <c r="G335" t="str">
        <f>TCD!D336</f>
        <v>00L0NDZN</v>
      </c>
      <c r="I335" t="s">
        <v>104</v>
      </c>
      <c r="J335" t="str">
        <f>_xlfn.XLOOKUP(G335,'Facture GLS'!AB:AB,'Facture GLS'!BB:BB)</f>
        <v>FR</v>
      </c>
      <c r="K335" t="str">
        <f>IF(COUNTIF(Zoning!A:A,J335)=0,"pays inconnu",LOOKUP(J335,Zoning!A:A,Zoning!B:B))</f>
        <v>France</v>
      </c>
      <c r="L335">
        <f t="shared" si="17"/>
        <v>1</v>
      </c>
      <c r="M335">
        <f>_xlfn.XLOOKUP(G335,Poids!A:A,Poids!C:C)</f>
        <v>1.3</v>
      </c>
      <c r="N335" t="str">
        <f>IF(COUNTIF(Zoning!A:A,J335)=0,"zone inconnue","France")</f>
        <v>France</v>
      </c>
      <c r="O335">
        <f>IF(COUNTIF(Zoning!A:A,J335)=0,"taux inconnu",_xlfn.XLOOKUP(J335,Zoning!A:A,Zoning!C:C))</f>
        <v>0.2</v>
      </c>
      <c r="R335" t="str">
        <f>IF(TCD!K336="","",TCD!K336)</f>
        <v/>
      </c>
      <c r="S335" t="str">
        <f>IF(TCD!F336="","",TCD!F336)</f>
        <v/>
      </c>
      <c r="T335" t="str">
        <f>IF(TCD!E336="","",TCD!E336)</f>
        <v/>
      </c>
      <c r="U335">
        <f>SUM(TCD!H336:J336)</f>
        <v>5.4700000000000006</v>
      </c>
    </row>
    <row r="336" spans="1:21" x14ac:dyDescent="0.25">
      <c r="A336" s="1" t="str">
        <f>_xlfn.XLOOKUP(G336,'Facture GLS'!AB:AB,'Facture GLS'!O:O)</f>
        <v>BY FOUTAS</v>
      </c>
      <c r="B336" t="str">
        <f t="shared" si="15"/>
        <v>GLS</v>
      </c>
      <c r="C336" s="2">
        <f t="shared" si="16"/>
        <v>46174</v>
      </c>
      <c r="G336" t="str">
        <f>TCD!D337</f>
        <v>00L0NDZO</v>
      </c>
      <c r="I336" t="s">
        <v>104</v>
      </c>
      <c r="J336" t="str">
        <f>_xlfn.XLOOKUP(G336,'Facture GLS'!AB:AB,'Facture GLS'!BB:BB)</f>
        <v>FR</v>
      </c>
      <c r="K336" t="str">
        <f>IF(COUNTIF(Zoning!A:A,J336)=0,"pays inconnu",LOOKUP(J336,Zoning!A:A,Zoning!B:B))</f>
        <v>France</v>
      </c>
      <c r="L336">
        <f t="shared" si="17"/>
        <v>1</v>
      </c>
      <c r="M336">
        <f>_xlfn.XLOOKUP(G336,Poids!A:A,Poids!C:C)</f>
        <v>1.8</v>
      </c>
      <c r="N336" t="str">
        <f>IF(COUNTIF(Zoning!A:A,J336)=0,"zone inconnue","France")</f>
        <v>France</v>
      </c>
      <c r="O336">
        <f>IF(COUNTIF(Zoning!A:A,J336)=0,"taux inconnu",_xlfn.XLOOKUP(J336,Zoning!A:A,Zoning!C:C))</f>
        <v>0.2</v>
      </c>
      <c r="R336" t="str">
        <f>IF(TCD!K337="","",TCD!K337)</f>
        <v/>
      </c>
      <c r="S336" t="str">
        <f>IF(TCD!F337="","",TCD!F337)</f>
        <v/>
      </c>
      <c r="T336" t="str">
        <f>IF(TCD!E337="","",TCD!E337)</f>
        <v/>
      </c>
      <c r="U336">
        <f>SUM(TCD!H337:J337)</f>
        <v>5.4700000000000006</v>
      </c>
    </row>
    <row r="337" spans="1:21" x14ac:dyDescent="0.25">
      <c r="A337" s="1" t="str">
        <f>_xlfn.XLOOKUP(G337,'Facture GLS'!AB:AB,'Facture GLS'!O:O)</f>
        <v>BY FOUTAS</v>
      </c>
      <c r="B337" t="str">
        <f t="shared" si="15"/>
        <v>GLS</v>
      </c>
      <c r="C337" s="2">
        <f t="shared" si="16"/>
        <v>46174</v>
      </c>
      <c r="G337" t="str">
        <f>TCD!D338</f>
        <v>00L0NDZP</v>
      </c>
      <c r="I337" t="s">
        <v>104</v>
      </c>
      <c r="J337" t="str">
        <f>_xlfn.XLOOKUP(G337,'Facture GLS'!AB:AB,'Facture GLS'!BB:BB)</f>
        <v>FR</v>
      </c>
      <c r="K337" t="str">
        <f>IF(COUNTIF(Zoning!A:A,J337)=0,"pays inconnu",LOOKUP(J337,Zoning!A:A,Zoning!B:B))</f>
        <v>France</v>
      </c>
      <c r="L337">
        <f t="shared" si="17"/>
        <v>1</v>
      </c>
      <c r="M337">
        <f>_xlfn.XLOOKUP(G337,Poids!A:A,Poids!C:C)</f>
        <v>1.3</v>
      </c>
      <c r="N337" t="str">
        <f>IF(COUNTIF(Zoning!A:A,J337)=0,"zone inconnue","France")</f>
        <v>France</v>
      </c>
      <c r="O337">
        <f>IF(COUNTIF(Zoning!A:A,J337)=0,"taux inconnu",_xlfn.XLOOKUP(J337,Zoning!A:A,Zoning!C:C))</f>
        <v>0.2</v>
      </c>
      <c r="R337" t="str">
        <f>IF(TCD!K338="","",TCD!K338)</f>
        <v/>
      </c>
      <c r="S337" t="str">
        <f>IF(TCD!F338="","",TCD!F338)</f>
        <v/>
      </c>
      <c r="T337" t="str">
        <f>IF(TCD!E338="","",TCD!E338)</f>
        <v/>
      </c>
      <c r="U337">
        <f>SUM(TCD!H338:J338)</f>
        <v>5.4700000000000006</v>
      </c>
    </row>
    <row r="338" spans="1:21" x14ac:dyDescent="0.25">
      <c r="A338" s="1" t="str">
        <f>_xlfn.XLOOKUP(G338,'Facture GLS'!AB:AB,'Facture GLS'!O:O)</f>
        <v>BY FOUTAS</v>
      </c>
      <c r="B338" t="str">
        <f t="shared" si="15"/>
        <v>GLS</v>
      </c>
      <c r="C338" s="2">
        <f t="shared" si="16"/>
        <v>46174</v>
      </c>
      <c r="G338" t="str">
        <f>TCD!D339</f>
        <v>00L0NDZQ</v>
      </c>
      <c r="I338" t="s">
        <v>104</v>
      </c>
      <c r="J338" t="str">
        <f>_xlfn.XLOOKUP(G338,'Facture GLS'!AB:AB,'Facture GLS'!BB:BB)</f>
        <v>FR</v>
      </c>
      <c r="K338" t="str">
        <f>IF(COUNTIF(Zoning!A:A,J338)=0,"pays inconnu",LOOKUP(J338,Zoning!A:A,Zoning!B:B))</f>
        <v>France</v>
      </c>
      <c r="L338">
        <f t="shared" si="17"/>
        <v>1</v>
      </c>
      <c r="M338">
        <f>_xlfn.XLOOKUP(G338,Poids!A:A,Poids!C:C)</f>
        <v>1.3</v>
      </c>
      <c r="N338" t="str">
        <f>IF(COUNTIF(Zoning!A:A,J338)=0,"zone inconnue","France")</f>
        <v>France</v>
      </c>
      <c r="O338">
        <f>IF(COUNTIF(Zoning!A:A,J338)=0,"taux inconnu",_xlfn.XLOOKUP(J338,Zoning!A:A,Zoning!C:C))</f>
        <v>0.2</v>
      </c>
      <c r="R338" t="str">
        <f>IF(TCD!K339="","",TCD!K339)</f>
        <v/>
      </c>
      <c r="S338" t="str">
        <f>IF(TCD!F339="","",TCD!F339)</f>
        <v/>
      </c>
      <c r="T338" t="str">
        <f>IF(TCD!E339="","",TCD!E339)</f>
        <v/>
      </c>
      <c r="U338">
        <f>SUM(TCD!H339:J339)</f>
        <v>5.4700000000000006</v>
      </c>
    </row>
    <row r="339" spans="1:21" x14ac:dyDescent="0.25">
      <c r="A339" s="1" t="str">
        <f>_xlfn.XLOOKUP(G339,'Facture GLS'!AB:AB,'Facture GLS'!O:O)</f>
        <v>BY FOUTAS</v>
      </c>
      <c r="B339" t="str">
        <f t="shared" si="15"/>
        <v>GLS</v>
      </c>
      <c r="C339" s="2">
        <f t="shared" si="16"/>
        <v>46174</v>
      </c>
      <c r="G339" t="str">
        <f>TCD!D340</f>
        <v>00L0NDZR</v>
      </c>
      <c r="I339" t="s">
        <v>104</v>
      </c>
      <c r="J339" t="str">
        <f>_xlfn.XLOOKUP(G339,'Facture GLS'!AB:AB,'Facture GLS'!BB:BB)</f>
        <v>FR</v>
      </c>
      <c r="K339" t="str">
        <f>IF(COUNTIF(Zoning!A:A,J339)=0,"pays inconnu",LOOKUP(J339,Zoning!A:A,Zoning!B:B))</f>
        <v>France</v>
      </c>
      <c r="L339">
        <f t="shared" si="17"/>
        <v>1</v>
      </c>
      <c r="M339">
        <f>_xlfn.XLOOKUP(G339,Poids!A:A,Poids!C:C)</f>
        <v>2.4</v>
      </c>
      <c r="N339" t="str">
        <f>IF(COUNTIF(Zoning!A:A,J339)=0,"zone inconnue","France")</f>
        <v>France</v>
      </c>
      <c r="O339">
        <f>IF(COUNTIF(Zoning!A:A,J339)=0,"taux inconnu",_xlfn.XLOOKUP(J339,Zoning!A:A,Zoning!C:C))</f>
        <v>0.2</v>
      </c>
      <c r="R339" t="str">
        <f>IF(TCD!K340="","",TCD!K340)</f>
        <v/>
      </c>
      <c r="S339" t="str">
        <f>IF(TCD!F340="","",TCD!F340)</f>
        <v/>
      </c>
      <c r="T339" t="str">
        <f>IF(TCD!E340="","",TCD!E340)</f>
        <v/>
      </c>
      <c r="U339">
        <f>SUM(TCD!H340:J340)</f>
        <v>5.7900000000000009</v>
      </c>
    </row>
    <row r="340" spans="1:21" x14ac:dyDescent="0.25">
      <c r="A340" s="1" t="str">
        <f>_xlfn.XLOOKUP(G340,'Facture GLS'!AB:AB,'Facture GLS'!O:O)</f>
        <v>BY FOUTAS</v>
      </c>
      <c r="B340" t="str">
        <f t="shared" si="15"/>
        <v>GLS</v>
      </c>
      <c r="C340" s="2">
        <f t="shared" si="16"/>
        <v>46174</v>
      </c>
      <c r="G340" t="str">
        <f>TCD!D341</f>
        <v>00L0NDZS</v>
      </c>
      <c r="I340" t="s">
        <v>104</v>
      </c>
      <c r="J340" t="str">
        <f>_xlfn.XLOOKUP(G340,'Facture GLS'!AB:AB,'Facture GLS'!BB:BB)</f>
        <v>FR</v>
      </c>
      <c r="K340" t="str">
        <f>IF(COUNTIF(Zoning!A:A,J340)=0,"pays inconnu",LOOKUP(J340,Zoning!A:A,Zoning!B:B))</f>
        <v>France</v>
      </c>
      <c r="L340">
        <f t="shared" si="17"/>
        <v>1</v>
      </c>
      <c r="M340">
        <f>_xlfn.XLOOKUP(G340,Poids!A:A,Poids!C:C)</f>
        <v>4.4000000000000004</v>
      </c>
      <c r="N340" t="str">
        <f>IF(COUNTIF(Zoning!A:A,J340)=0,"zone inconnue","France")</f>
        <v>France</v>
      </c>
      <c r="O340">
        <f>IF(COUNTIF(Zoning!A:A,J340)=0,"taux inconnu",_xlfn.XLOOKUP(J340,Zoning!A:A,Zoning!C:C))</f>
        <v>0.2</v>
      </c>
      <c r="R340" t="str">
        <f>IF(TCD!K341="","",TCD!K341)</f>
        <v/>
      </c>
      <c r="S340" t="str">
        <f>IF(TCD!F341="","",TCD!F341)</f>
        <v/>
      </c>
      <c r="T340" t="str">
        <f>IF(TCD!E341="","",TCD!E341)</f>
        <v/>
      </c>
      <c r="U340">
        <f>SUM(TCD!H341:J341)</f>
        <v>6.910000000000001</v>
      </c>
    </row>
    <row r="341" spans="1:21" x14ac:dyDescent="0.25">
      <c r="A341" s="1" t="str">
        <f>_xlfn.XLOOKUP(G341,'Facture GLS'!AB:AB,'Facture GLS'!O:O)</f>
        <v>BY FOUTAS</v>
      </c>
      <c r="B341" t="str">
        <f t="shared" si="15"/>
        <v>GLS</v>
      </c>
      <c r="C341" s="2">
        <f t="shared" si="16"/>
        <v>46174</v>
      </c>
      <c r="G341" t="str">
        <f>TCD!D342</f>
        <v>00L0NDZT</v>
      </c>
      <c r="I341" t="s">
        <v>104</v>
      </c>
      <c r="J341" t="str">
        <f>_xlfn.XLOOKUP(G341,'Facture GLS'!AB:AB,'Facture GLS'!BB:BB)</f>
        <v>FR</v>
      </c>
      <c r="K341" t="str">
        <f>IF(COUNTIF(Zoning!A:A,J341)=0,"pays inconnu",LOOKUP(J341,Zoning!A:A,Zoning!B:B))</f>
        <v>France</v>
      </c>
      <c r="L341">
        <f t="shared" si="17"/>
        <v>1</v>
      </c>
      <c r="M341">
        <f>_xlfn.XLOOKUP(G341,Poids!A:A,Poids!C:C)</f>
        <v>1.2000000000000002</v>
      </c>
      <c r="N341" t="str">
        <f>IF(COUNTIF(Zoning!A:A,J341)=0,"zone inconnue","France")</f>
        <v>France</v>
      </c>
      <c r="O341">
        <f>IF(COUNTIF(Zoning!A:A,J341)=0,"taux inconnu",_xlfn.XLOOKUP(J341,Zoning!A:A,Zoning!C:C))</f>
        <v>0.2</v>
      </c>
      <c r="R341" t="str">
        <f>IF(TCD!K342="","",TCD!K342)</f>
        <v/>
      </c>
      <c r="S341" t="str">
        <f>IF(TCD!F342="","",TCD!F342)</f>
        <v/>
      </c>
      <c r="T341">
        <f>IF(TCD!E342="","",TCD!E342)</f>
        <v>2.36</v>
      </c>
      <c r="U341">
        <f>SUM(TCD!H342:J342)</f>
        <v>5.4700000000000006</v>
      </c>
    </row>
    <row r="342" spans="1:21" x14ac:dyDescent="0.25">
      <c r="A342" s="1" t="str">
        <f>_xlfn.XLOOKUP(G342,'Facture GLS'!AB:AB,'Facture GLS'!O:O)</f>
        <v>BY FOUTAS</v>
      </c>
      <c r="B342" t="str">
        <f t="shared" si="15"/>
        <v>GLS</v>
      </c>
      <c r="C342" s="2">
        <f t="shared" si="16"/>
        <v>46174</v>
      </c>
      <c r="G342" t="str">
        <f>TCD!D343</f>
        <v>00L0NDZU</v>
      </c>
      <c r="I342" t="s">
        <v>104</v>
      </c>
      <c r="J342" t="str">
        <f>_xlfn.XLOOKUP(G342,'Facture GLS'!AB:AB,'Facture GLS'!BB:BB)</f>
        <v>FR</v>
      </c>
      <c r="K342" t="str">
        <f>IF(COUNTIF(Zoning!A:A,J342)=0,"pays inconnu",LOOKUP(J342,Zoning!A:A,Zoning!B:B))</f>
        <v>France</v>
      </c>
      <c r="L342">
        <f t="shared" si="17"/>
        <v>1</v>
      </c>
      <c r="M342">
        <f>_xlfn.XLOOKUP(G342,Poids!A:A,Poids!C:C)</f>
        <v>1.2000000000000002</v>
      </c>
      <c r="N342" t="str">
        <f>IF(COUNTIF(Zoning!A:A,J342)=0,"zone inconnue","France")</f>
        <v>France</v>
      </c>
      <c r="O342">
        <f>IF(COUNTIF(Zoning!A:A,J342)=0,"taux inconnu",_xlfn.XLOOKUP(J342,Zoning!A:A,Zoning!C:C))</f>
        <v>0.2</v>
      </c>
      <c r="R342" t="str">
        <f>IF(TCD!K343="","",TCD!K343)</f>
        <v/>
      </c>
      <c r="S342" t="str">
        <f>IF(TCD!F343="","",TCD!F343)</f>
        <v/>
      </c>
      <c r="T342" t="str">
        <f>IF(TCD!E343="","",TCD!E343)</f>
        <v/>
      </c>
      <c r="U342">
        <f>SUM(TCD!H343:J343)</f>
        <v>5.4700000000000006</v>
      </c>
    </row>
    <row r="343" spans="1:21" x14ac:dyDescent="0.25">
      <c r="A343" s="1" t="str">
        <f>_xlfn.XLOOKUP(G343,'Facture GLS'!AB:AB,'Facture GLS'!O:O)</f>
        <v>BY FOUTAS</v>
      </c>
      <c r="B343" t="str">
        <f t="shared" si="15"/>
        <v>GLS</v>
      </c>
      <c r="C343" s="2">
        <f t="shared" si="16"/>
        <v>46174</v>
      </c>
      <c r="G343" t="str">
        <f>TCD!D344</f>
        <v>00L0NDZV</v>
      </c>
      <c r="I343" t="s">
        <v>104</v>
      </c>
      <c r="J343" t="str">
        <f>_xlfn.XLOOKUP(G343,'Facture GLS'!AB:AB,'Facture GLS'!BB:BB)</f>
        <v>FR</v>
      </c>
      <c r="K343" t="str">
        <f>IF(COUNTIF(Zoning!A:A,J343)=0,"pays inconnu",LOOKUP(J343,Zoning!A:A,Zoning!B:B))</f>
        <v>France</v>
      </c>
      <c r="L343">
        <f t="shared" si="17"/>
        <v>1</v>
      </c>
      <c r="M343">
        <f>_xlfn.XLOOKUP(G343,Poids!A:A,Poids!C:C)</f>
        <v>1.2000000000000002</v>
      </c>
      <c r="N343" t="str">
        <f>IF(COUNTIF(Zoning!A:A,J343)=0,"zone inconnue","France")</f>
        <v>France</v>
      </c>
      <c r="O343">
        <f>IF(COUNTIF(Zoning!A:A,J343)=0,"taux inconnu",_xlfn.XLOOKUP(J343,Zoning!A:A,Zoning!C:C))</f>
        <v>0.2</v>
      </c>
      <c r="R343" t="str">
        <f>IF(TCD!K344="","",TCD!K344)</f>
        <v/>
      </c>
      <c r="S343" t="str">
        <f>IF(TCD!F344="","",TCD!F344)</f>
        <v/>
      </c>
      <c r="T343" t="str">
        <f>IF(TCD!E344="","",TCD!E344)</f>
        <v/>
      </c>
      <c r="U343">
        <f>SUM(TCD!H344:J344)</f>
        <v>5.4700000000000006</v>
      </c>
    </row>
    <row r="344" spans="1:21" x14ac:dyDescent="0.25">
      <c r="A344" s="1" t="str">
        <f>_xlfn.XLOOKUP(G344,'Facture GLS'!AB:AB,'Facture GLS'!O:O)</f>
        <v>BY FOUTAS</v>
      </c>
      <c r="B344" t="str">
        <f t="shared" si="15"/>
        <v>GLS</v>
      </c>
      <c r="C344" s="2">
        <f t="shared" si="16"/>
        <v>46174</v>
      </c>
      <c r="G344" t="str">
        <f>TCD!D345</f>
        <v>00L0NDZW</v>
      </c>
      <c r="I344" t="s">
        <v>104</v>
      </c>
      <c r="J344" t="str">
        <f>_xlfn.XLOOKUP(G344,'Facture GLS'!AB:AB,'Facture GLS'!BB:BB)</f>
        <v>FR</v>
      </c>
      <c r="K344" t="str">
        <f>IF(COUNTIF(Zoning!A:A,J344)=0,"pays inconnu",LOOKUP(J344,Zoning!A:A,Zoning!B:B))</f>
        <v>France</v>
      </c>
      <c r="L344">
        <f t="shared" si="17"/>
        <v>1</v>
      </c>
      <c r="M344">
        <f>_xlfn.XLOOKUP(G344,Poids!A:A,Poids!C:C)</f>
        <v>1.2</v>
      </c>
      <c r="N344" t="str">
        <f>IF(COUNTIF(Zoning!A:A,J344)=0,"zone inconnue","France")</f>
        <v>France</v>
      </c>
      <c r="O344">
        <f>IF(COUNTIF(Zoning!A:A,J344)=0,"taux inconnu",_xlfn.XLOOKUP(J344,Zoning!A:A,Zoning!C:C))</f>
        <v>0.2</v>
      </c>
      <c r="R344" t="str">
        <f>IF(TCD!K345="","",TCD!K345)</f>
        <v/>
      </c>
      <c r="S344" t="str">
        <f>IF(TCD!F345="","",TCD!F345)</f>
        <v/>
      </c>
      <c r="T344" t="str">
        <f>IF(TCD!E345="","",TCD!E345)</f>
        <v/>
      </c>
      <c r="U344">
        <f>SUM(TCD!H345:J345)</f>
        <v>5.4700000000000006</v>
      </c>
    </row>
    <row r="345" spans="1:21" x14ac:dyDescent="0.25">
      <c r="A345" s="1" t="str">
        <f>_xlfn.XLOOKUP(G345,'Facture GLS'!AB:AB,'Facture GLS'!O:O)</f>
        <v>BY FOUTAS</v>
      </c>
      <c r="B345" t="str">
        <f t="shared" si="15"/>
        <v>GLS</v>
      </c>
      <c r="C345" s="2">
        <f t="shared" si="16"/>
        <v>46174</v>
      </c>
      <c r="G345" t="str">
        <f>TCD!D346</f>
        <v>00L0NDZX</v>
      </c>
      <c r="I345" t="s">
        <v>104</v>
      </c>
      <c r="J345" t="str">
        <f>_xlfn.XLOOKUP(G345,'Facture GLS'!AB:AB,'Facture GLS'!BB:BB)</f>
        <v>FR</v>
      </c>
      <c r="K345" t="str">
        <f>IF(COUNTIF(Zoning!A:A,J345)=0,"pays inconnu",LOOKUP(J345,Zoning!A:A,Zoning!B:B))</f>
        <v>France</v>
      </c>
      <c r="L345">
        <f t="shared" si="17"/>
        <v>1</v>
      </c>
      <c r="M345">
        <f>_xlfn.XLOOKUP(G345,Poids!A:A,Poids!C:C)</f>
        <v>0.7</v>
      </c>
      <c r="N345" t="str">
        <f>IF(COUNTIF(Zoning!A:A,J345)=0,"zone inconnue","France")</f>
        <v>France</v>
      </c>
      <c r="O345">
        <f>IF(COUNTIF(Zoning!A:A,J345)=0,"taux inconnu",_xlfn.XLOOKUP(J345,Zoning!A:A,Zoning!C:C))</f>
        <v>0.2</v>
      </c>
      <c r="R345" t="str">
        <f>IF(TCD!K346="","",TCD!K346)</f>
        <v/>
      </c>
      <c r="S345" t="str">
        <f>IF(TCD!F346="","",TCD!F346)</f>
        <v/>
      </c>
      <c r="T345" t="str">
        <f>IF(TCD!E346="","",TCD!E346)</f>
        <v/>
      </c>
      <c r="U345">
        <f>SUM(TCD!H346:J346)</f>
        <v>5.15</v>
      </c>
    </row>
    <row r="346" spans="1:21" x14ac:dyDescent="0.25">
      <c r="A346" s="1" t="str">
        <f>_xlfn.XLOOKUP(G346,'Facture GLS'!AB:AB,'Facture GLS'!O:O)</f>
        <v>BY FOUTAS</v>
      </c>
      <c r="B346" t="str">
        <f t="shared" si="15"/>
        <v>GLS</v>
      </c>
      <c r="C346" s="2">
        <f t="shared" si="16"/>
        <v>46174</v>
      </c>
      <c r="G346" t="str">
        <f>TCD!D347</f>
        <v>00L0NDZY</v>
      </c>
      <c r="I346" t="s">
        <v>104</v>
      </c>
      <c r="J346" t="str">
        <f>_xlfn.XLOOKUP(G346,'Facture GLS'!AB:AB,'Facture GLS'!BB:BB)</f>
        <v>FR</v>
      </c>
      <c r="K346" t="str">
        <f>IF(COUNTIF(Zoning!A:A,J346)=0,"pays inconnu",LOOKUP(J346,Zoning!A:A,Zoning!B:B))</f>
        <v>France</v>
      </c>
      <c r="L346">
        <f t="shared" si="17"/>
        <v>1</v>
      </c>
      <c r="M346">
        <f>_xlfn.XLOOKUP(G346,Poids!A:A,Poids!C:C)</f>
        <v>2</v>
      </c>
      <c r="N346" t="str">
        <f>IF(COUNTIF(Zoning!A:A,J346)=0,"zone inconnue","France")</f>
        <v>France</v>
      </c>
      <c r="O346">
        <f>IF(COUNTIF(Zoning!A:A,J346)=0,"taux inconnu",_xlfn.XLOOKUP(J346,Zoning!A:A,Zoning!C:C))</f>
        <v>0.2</v>
      </c>
      <c r="R346" t="str">
        <f>IF(TCD!K347="","",TCD!K347)</f>
        <v/>
      </c>
      <c r="S346" t="str">
        <f>IF(TCD!F347="","",TCD!F347)</f>
        <v/>
      </c>
      <c r="T346" t="str">
        <f>IF(TCD!E347="","",TCD!E347)</f>
        <v/>
      </c>
      <c r="U346">
        <f>SUM(TCD!H347:J347)</f>
        <v>5.4700000000000006</v>
      </c>
    </row>
    <row r="347" spans="1:21" x14ac:dyDescent="0.25">
      <c r="A347" s="1" t="str">
        <f>_xlfn.XLOOKUP(G347,'Facture GLS'!AB:AB,'Facture GLS'!O:O)</f>
        <v>BY FOUTAS</v>
      </c>
      <c r="B347" t="str">
        <f t="shared" si="15"/>
        <v>GLS</v>
      </c>
      <c r="C347" s="2">
        <f t="shared" si="16"/>
        <v>46174</v>
      </c>
      <c r="G347" t="str">
        <f>TCD!D348</f>
        <v>00L0NDZZ</v>
      </c>
      <c r="I347" t="s">
        <v>104</v>
      </c>
      <c r="J347" t="str">
        <f>_xlfn.XLOOKUP(G347,'Facture GLS'!AB:AB,'Facture GLS'!BB:BB)</f>
        <v>FR</v>
      </c>
      <c r="K347" t="str">
        <f>IF(COUNTIF(Zoning!A:A,J347)=0,"pays inconnu",LOOKUP(J347,Zoning!A:A,Zoning!B:B))</f>
        <v>France</v>
      </c>
      <c r="L347">
        <f t="shared" si="17"/>
        <v>1</v>
      </c>
      <c r="M347">
        <f>_xlfn.XLOOKUP(G347,Poids!A:A,Poids!C:C)</f>
        <v>2.7</v>
      </c>
      <c r="N347" t="str">
        <f>IF(COUNTIF(Zoning!A:A,J347)=0,"zone inconnue","France")</f>
        <v>France</v>
      </c>
      <c r="O347">
        <f>IF(COUNTIF(Zoning!A:A,J347)=0,"taux inconnu",_xlfn.XLOOKUP(J347,Zoning!A:A,Zoning!C:C))</f>
        <v>0.2</v>
      </c>
      <c r="R347" t="str">
        <f>IF(TCD!K348="","",TCD!K348)</f>
        <v/>
      </c>
      <c r="S347" t="str">
        <f>IF(TCD!F348="","",TCD!F348)</f>
        <v/>
      </c>
      <c r="T347" t="str">
        <f>IF(TCD!E348="","",TCD!E348)</f>
        <v/>
      </c>
      <c r="U347">
        <f>SUM(TCD!H348:J348)</f>
        <v>5.7900000000000009</v>
      </c>
    </row>
    <row r="348" spans="1:21" x14ac:dyDescent="0.25">
      <c r="A348" s="1" t="str">
        <f>_xlfn.XLOOKUP(G348,'Facture GLS'!AB:AB,'Facture GLS'!O:O)</f>
        <v>BY FOUTAS</v>
      </c>
      <c r="B348" t="str">
        <f t="shared" si="15"/>
        <v>GLS</v>
      </c>
      <c r="C348" s="2">
        <f t="shared" si="16"/>
        <v>46174</v>
      </c>
      <c r="G348" t="str">
        <f>TCD!D349</f>
        <v>00L0NE00</v>
      </c>
      <c r="I348" t="s">
        <v>104</v>
      </c>
      <c r="J348" t="str">
        <f>_xlfn.XLOOKUP(G348,'Facture GLS'!AB:AB,'Facture GLS'!BB:BB)</f>
        <v>FR</v>
      </c>
      <c r="K348" t="str">
        <f>IF(COUNTIF(Zoning!A:A,J348)=0,"pays inconnu",LOOKUP(J348,Zoning!A:A,Zoning!B:B))</f>
        <v>France</v>
      </c>
      <c r="L348">
        <f t="shared" si="17"/>
        <v>1</v>
      </c>
      <c r="M348">
        <f>_xlfn.XLOOKUP(G348,Poids!A:A,Poids!C:C)</f>
        <v>5</v>
      </c>
      <c r="N348" t="str">
        <f>IF(COUNTIF(Zoning!A:A,J348)=0,"zone inconnue","France")</f>
        <v>France</v>
      </c>
      <c r="O348">
        <f>IF(COUNTIF(Zoning!A:A,J348)=0,"taux inconnu",_xlfn.XLOOKUP(J348,Zoning!A:A,Zoning!C:C))</f>
        <v>0.2</v>
      </c>
      <c r="R348" t="str">
        <f>IF(TCD!K349="","",TCD!K349)</f>
        <v/>
      </c>
      <c r="S348" t="str">
        <f>IF(TCD!F349="","",TCD!F349)</f>
        <v/>
      </c>
      <c r="T348" t="str">
        <f>IF(TCD!E349="","",TCD!E349)</f>
        <v/>
      </c>
      <c r="U348">
        <f>SUM(TCD!H349:J349)</f>
        <v>6.910000000000001</v>
      </c>
    </row>
    <row r="349" spans="1:21" x14ac:dyDescent="0.25">
      <c r="A349" s="1" t="str">
        <f>_xlfn.XLOOKUP(G349,'Facture GLS'!AB:AB,'Facture GLS'!O:O)</f>
        <v>BY FOUTAS</v>
      </c>
      <c r="B349" t="str">
        <f t="shared" si="15"/>
        <v>GLS</v>
      </c>
      <c r="C349" s="2">
        <f t="shared" si="16"/>
        <v>46174</v>
      </c>
      <c r="G349" t="str">
        <f>TCD!D350</f>
        <v>00L0NE01</v>
      </c>
      <c r="I349" t="s">
        <v>104</v>
      </c>
      <c r="J349" t="str">
        <f>_xlfn.XLOOKUP(G349,'Facture GLS'!AB:AB,'Facture GLS'!BB:BB)</f>
        <v>FR</v>
      </c>
      <c r="K349" t="str">
        <f>IF(COUNTIF(Zoning!A:A,J349)=0,"pays inconnu",LOOKUP(J349,Zoning!A:A,Zoning!B:B))</f>
        <v>France</v>
      </c>
      <c r="L349">
        <f t="shared" si="17"/>
        <v>1</v>
      </c>
      <c r="M349">
        <f>_xlfn.XLOOKUP(G349,Poids!A:A,Poids!C:C)</f>
        <v>2.5</v>
      </c>
      <c r="N349" t="str">
        <f>IF(COUNTIF(Zoning!A:A,J349)=0,"zone inconnue","France")</f>
        <v>France</v>
      </c>
      <c r="O349">
        <f>IF(COUNTIF(Zoning!A:A,J349)=0,"taux inconnu",_xlfn.XLOOKUP(J349,Zoning!A:A,Zoning!C:C))</f>
        <v>0.2</v>
      </c>
      <c r="R349" t="str">
        <f>IF(TCD!K350="","",TCD!K350)</f>
        <v/>
      </c>
      <c r="S349" t="str">
        <f>IF(TCD!F350="","",TCD!F350)</f>
        <v/>
      </c>
      <c r="T349" t="str">
        <f>IF(TCD!E350="","",TCD!E350)</f>
        <v/>
      </c>
      <c r="U349">
        <f>SUM(TCD!H350:J350)</f>
        <v>5.7900000000000009</v>
      </c>
    </row>
    <row r="350" spans="1:21" x14ac:dyDescent="0.25">
      <c r="A350" s="1" t="str">
        <f>_xlfn.XLOOKUP(G350,'Facture GLS'!AB:AB,'Facture GLS'!O:O)</f>
        <v>BY FOUTAS</v>
      </c>
      <c r="B350" t="str">
        <f t="shared" si="15"/>
        <v>GLS</v>
      </c>
      <c r="C350" s="2">
        <f t="shared" si="16"/>
        <v>46174</v>
      </c>
      <c r="G350" t="str">
        <f>TCD!D351</f>
        <v>00L0NE02</v>
      </c>
      <c r="I350" t="s">
        <v>104</v>
      </c>
      <c r="J350" t="str">
        <f>_xlfn.XLOOKUP(G350,'Facture GLS'!AB:AB,'Facture GLS'!BB:BB)</f>
        <v>FR</v>
      </c>
      <c r="K350" t="str">
        <f>IF(COUNTIF(Zoning!A:A,J350)=0,"pays inconnu",LOOKUP(J350,Zoning!A:A,Zoning!B:B))</f>
        <v>France</v>
      </c>
      <c r="L350">
        <f t="shared" si="17"/>
        <v>1</v>
      </c>
      <c r="M350">
        <f>_xlfn.XLOOKUP(G350,Poids!A:A,Poids!C:C)</f>
        <v>0.9</v>
      </c>
      <c r="N350" t="str">
        <f>IF(COUNTIF(Zoning!A:A,J350)=0,"zone inconnue","France")</f>
        <v>France</v>
      </c>
      <c r="O350">
        <f>IF(COUNTIF(Zoning!A:A,J350)=0,"taux inconnu",_xlfn.XLOOKUP(J350,Zoning!A:A,Zoning!C:C))</f>
        <v>0.2</v>
      </c>
      <c r="R350" t="str">
        <f>IF(TCD!K351="","",TCD!K351)</f>
        <v/>
      </c>
      <c r="S350" t="str">
        <f>IF(TCD!F351="","",TCD!F351)</f>
        <v/>
      </c>
      <c r="T350" t="str">
        <f>IF(TCD!E351="","",TCD!E351)</f>
        <v/>
      </c>
      <c r="U350">
        <f>SUM(TCD!H351:J351)</f>
        <v>5.15</v>
      </c>
    </row>
    <row r="351" spans="1:21" x14ac:dyDescent="0.25">
      <c r="A351" s="1" t="str">
        <f>_xlfn.XLOOKUP(G351,'Facture GLS'!AB:AB,'Facture GLS'!O:O)</f>
        <v>BY FOUTAS</v>
      </c>
      <c r="B351" t="str">
        <f t="shared" si="15"/>
        <v>GLS</v>
      </c>
      <c r="C351" s="2">
        <f t="shared" si="16"/>
        <v>46174</v>
      </c>
      <c r="G351" t="str">
        <f>TCD!D352</f>
        <v>00L0NE03</v>
      </c>
      <c r="I351" t="s">
        <v>104</v>
      </c>
      <c r="J351" t="str">
        <f>_xlfn.XLOOKUP(G351,'Facture GLS'!AB:AB,'Facture GLS'!BB:BB)</f>
        <v>FR</v>
      </c>
      <c r="K351" t="str">
        <f>IF(COUNTIF(Zoning!A:A,J351)=0,"pays inconnu",LOOKUP(J351,Zoning!A:A,Zoning!B:B))</f>
        <v>France</v>
      </c>
      <c r="L351">
        <f t="shared" si="17"/>
        <v>1</v>
      </c>
      <c r="M351">
        <f>_xlfn.XLOOKUP(G351,Poids!A:A,Poids!C:C)</f>
        <v>1.9000000000000001</v>
      </c>
      <c r="N351" t="str">
        <f>IF(COUNTIF(Zoning!A:A,J351)=0,"zone inconnue","France")</f>
        <v>France</v>
      </c>
      <c r="O351">
        <f>IF(COUNTIF(Zoning!A:A,J351)=0,"taux inconnu",_xlfn.XLOOKUP(J351,Zoning!A:A,Zoning!C:C))</f>
        <v>0.2</v>
      </c>
      <c r="R351" t="str">
        <f>IF(TCD!K352="","",TCD!K352)</f>
        <v/>
      </c>
      <c r="S351" t="str">
        <f>IF(TCD!F352="","",TCD!F352)</f>
        <v/>
      </c>
      <c r="T351" t="str">
        <f>IF(TCD!E352="","",TCD!E352)</f>
        <v/>
      </c>
      <c r="U351">
        <f>SUM(TCD!H352:J352)</f>
        <v>5.4700000000000006</v>
      </c>
    </row>
    <row r="352" spans="1:21" x14ac:dyDescent="0.25">
      <c r="A352" s="1" t="str">
        <f>_xlfn.XLOOKUP(G352,'Facture GLS'!AB:AB,'Facture GLS'!O:O)</f>
        <v>BY FOUTAS</v>
      </c>
      <c r="B352" t="str">
        <f t="shared" si="15"/>
        <v>GLS</v>
      </c>
      <c r="C352" s="2">
        <f t="shared" si="16"/>
        <v>46174</v>
      </c>
      <c r="G352" t="str">
        <f>TCD!D353</f>
        <v>00L0NE04</v>
      </c>
      <c r="I352" t="s">
        <v>104</v>
      </c>
      <c r="J352" t="str">
        <f>_xlfn.XLOOKUP(G352,'Facture GLS'!AB:AB,'Facture GLS'!BB:BB)</f>
        <v>FR</v>
      </c>
      <c r="K352" t="str">
        <f>IF(COUNTIF(Zoning!A:A,J352)=0,"pays inconnu",LOOKUP(J352,Zoning!A:A,Zoning!B:B))</f>
        <v>France</v>
      </c>
      <c r="L352">
        <f t="shared" si="17"/>
        <v>1</v>
      </c>
      <c r="M352">
        <f>_xlfn.XLOOKUP(G352,Poids!A:A,Poids!C:C)</f>
        <v>2.8000000000000003</v>
      </c>
      <c r="N352" t="str">
        <f>IF(COUNTIF(Zoning!A:A,J352)=0,"zone inconnue","France")</f>
        <v>France</v>
      </c>
      <c r="O352">
        <f>IF(COUNTIF(Zoning!A:A,J352)=0,"taux inconnu",_xlfn.XLOOKUP(J352,Zoning!A:A,Zoning!C:C))</f>
        <v>0.2</v>
      </c>
      <c r="R352" t="str">
        <f>IF(TCD!K353="","",TCD!K353)</f>
        <v/>
      </c>
      <c r="S352" t="str">
        <f>IF(TCD!F353="","",TCD!F353)</f>
        <v/>
      </c>
      <c r="T352" t="str">
        <f>IF(TCD!E353="","",TCD!E353)</f>
        <v/>
      </c>
      <c r="U352">
        <f>SUM(TCD!H353:J353)</f>
        <v>5.7900000000000009</v>
      </c>
    </row>
    <row r="353" spans="1:21" x14ac:dyDescent="0.25">
      <c r="A353" s="1" t="str">
        <f>_xlfn.XLOOKUP(G353,'Facture GLS'!AB:AB,'Facture GLS'!O:O)</f>
        <v>BY FOUTAS</v>
      </c>
      <c r="B353" t="str">
        <f t="shared" si="15"/>
        <v>GLS</v>
      </c>
      <c r="C353" s="2">
        <f t="shared" si="16"/>
        <v>46174</v>
      </c>
      <c r="G353" t="str">
        <f>TCD!D354</f>
        <v>00L0NE05</v>
      </c>
      <c r="I353" t="s">
        <v>104</v>
      </c>
      <c r="J353" t="str">
        <f>_xlfn.XLOOKUP(G353,'Facture GLS'!AB:AB,'Facture GLS'!BB:BB)</f>
        <v>FR</v>
      </c>
      <c r="K353" t="str">
        <f>IF(COUNTIF(Zoning!A:A,J353)=0,"pays inconnu",LOOKUP(J353,Zoning!A:A,Zoning!B:B))</f>
        <v>France</v>
      </c>
      <c r="L353">
        <f t="shared" si="17"/>
        <v>1</v>
      </c>
      <c r="M353">
        <f>_xlfn.XLOOKUP(G353,Poids!A:A,Poids!C:C)</f>
        <v>1.2000000000000002</v>
      </c>
      <c r="N353" t="str">
        <f>IF(COUNTIF(Zoning!A:A,J353)=0,"zone inconnue","France")</f>
        <v>France</v>
      </c>
      <c r="O353">
        <f>IF(COUNTIF(Zoning!A:A,J353)=0,"taux inconnu",_xlfn.XLOOKUP(J353,Zoning!A:A,Zoning!C:C))</f>
        <v>0.2</v>
      </c>
      <c r="R353" t="str">
        <f>IF(TCD!K354="","",TCD!K354)</f>
        <v/>
      </c>
      <c r="S353" t="str">
        <f>IF(TCD!F354="","",TCD!F354)</f>
        <v/>
      </c>
      <c r="T353" t="str">
        <f>IF(TCD!E354="","",TCD!E354)</f>
        <v/>
      </c>
      <c r="U353">
        <f>SUM(TCD!H354:J354)</f>
        <v>5.4700000000000006</v>
      </c>
    </row>
    <row r="354" spans="1:21" x14ac:dyDescent="0.25">
      <c r="A354" s="1" t="str">
        <f>_xlfn.XLOOKUP(G354,'Facture GLS'!AB:AB,'Facture GLS'!O:O)</f>
        <v>BY FOUTAS</v>
      </c>
      <c r="B354" t="str">
        <f t="shared" si="15"/>
        <v>GLS</v>
      </c>
      <c r="C354" s="2">
        <f t="shared" si="16"/>
        <v>46174</v>
      </c>
      <c r="G354" t="str">
        <f>TCD!D355</f>
        <v>00L0NE06</v>
      </c>
      <c r="I354" t="s">
        <v>104</v>
      </c>
      <c r="J354" t="str">
        <f>_xlfn.XLOOKUP(G354,'Facture GLS'!AB:AB,'Facture GLS'!BB:BB)</f>
        <v>FR</v>
      </c>
      <c r="K354" t="str">
        <f>IF(COUNTIF(Zoning!A:A,J354)=0,"pays inconnu",LOOKUP(J354,Zoning!A:A,Zoning!B:B))</f>
        <v>France</v>
      </c>
      <c r="L354">
        <f t="shared" si="17"/>
        <v>1</v>
      </c>
      <c r="M354">
        <f>_xlfn.XLOOKUP(G354,Poids!A:A,Poids!C:C)</f>
        <v>1.7000000000000002</v>
      </c>
      <c r="N354" t="str">
        <f>IF(COUNTIF(Zoning!A:A,J354)=0,"zone inconnue","France")</f>
        <v>France</v>
      </c>
      <c r="O354">
        <f>IF(COUNTIF(Zoning!A:A,J354)=0,"taux inconnu",_xlfn.XLOOKUP(J354,Zoning!A:A,Zoning!C:C))</f>
        <v>0.2</v>
      </c>
      <c r="R354" t="str">
        <f>IF(TCD!K355="","",TCD!K355)</f>
        <v/>
      </c>
      <c r="S354" t="str">
        <f>IF(TCD!F355="","",TCD!F355)</f>
        <v/>
      </c>
      <c r="T354" t="str">
        <f>IF(TCD!E355="","",TCD!E355)</f>
        <v/>
      </c>
      <c r="U354">
        <f>SUM(TCD!H355:J355)</f>
        <v>5.4700000000000006</v>
      </c>
    </row>
    <row r="355" spans="1:21" x14ac:dyDescent="0.25">
      <c r="A355" s="1" t="str">
        <f>_xlfn.XLOOKUP(G355,'Facture GLS'!AB:AB,'Facture GLS'!O:O)</f>
        <v>BY FOUTAS</v>
      </c>
      <c r="B355" t="str">
        <f t="shared" si="15"/>
        <v>GLS</v>
      </c>
      <c r="C355" s="2">
        <f t="shared" si="16"/>
        <v>46174</v>
      </c>
      <c r="G355" t="str">
        <f>TCD!D356</f>
        <v>00L0NE07</v>
      </c>
      <c r="I355" t="s">
        <v>104</v>
      </c>
      <c r="J355" t="str">
        <f>_xlfn.XLOOKUP(G355,'Facture GLS'!AB:AB,'Facture GLS'!BB:BB)</f>
        <v>FR</v>
      </c>
      <c r="K355" t="str">
        <f>IF(COUNTIF(Zoning!A:A,J355)=0,"pays inconnu",LOOKUP(J355,Zoning!A:A,Zoning!B:B))</f>
        <v>France</v>
      </c>
      <c r="L355">
        <f t="shared" si="17"/>
        <v>1</v>
      </c>
      <c r="M355">
        <f>_xlfn.XLOOKUP(G355,Poids!A:A,Poids!C:C)</f>
        <v>1.2000000000000002</v>
      </c>
      <c r="N355" t="str">
        <f>IF(COUNTIF(Zoning!A:A,J355)=0,"zone inconnue","France")</f>
        <v>France</v>
      </c>
      <c r="O355">
        <f>IF(COUNTIF(Zoning!A:A,J355)=0,"taux inconnu",_xlfn.XLOOKUP(J355,Zoning!A:A,Zoning!C:C))</f>
        <v>0.2</v>
      </c>
      <c r="R355" t="str">
        <f>IF(TCD!K356="","",TCD!K356)</f>
        <v/>
      </c>
      <c r="S355" t="str">
        <f>IF(TCD!F356="","",TCD!F356)</f>
        <v/>
      </c>
      <c r="T355">
        <f>IF(TCD!E356="","",TCD!E356)</f>
        <v>2.36</v>
      </c>
      <c r="U355">
        <f>SUM(TCD!H356:J356)</f>
        <v>5.4700000000000006</v>
      </c>
    </row>
    <row r="356" spans="1:21" x14ac:dyDescent="0.25">
      <c r="A356" s="1" t="str">
        <f>_xlfn.XLOOKUP(G356,'Facture GLS'!AB:AB,'Facture GLS'!O:O)</f>
        <v>BY FOUTAS</v>
      </c>
      <c r="B356" t="str">
        <f t="shared" si="15"/>
        <v>GLS</v>
      </c>
      <c r="C356" s="2">
        <f t="shared" si="16"/>
        <v>46174</v>
      </c>
      <c r="G356" t="str">
        <f>TCD!D357</f>
        <v>00L0NE08</v>
      </c>
      <c r="I356" t="s">
        <v>104</v>
      </c>
      <c r="J356" t="str">
        <f>_xlfn.XLOOKUP(G356,'Facture GLS'!AB:AB,'Facture GLS'!BB:BB)</f>
        <v>FR</v>
      </c>
      <c r="K356" t="str">
        <f>IF(COUNTIF(Zoning!A:A,J356)=0,"pays inconnu",LOOKUP(J356,Zoning!A:A,Zoning!B:B))</f>
        <v>France</v>
      </c>
      <c r="L356">
        <f t="shared" si="17"/>
        <v>1</v>
      </c>
      <c r="M356">
        <f>_xlfn.XLOOKUP(G356,Poids!A:A,Poids!C:C)</f>
        <v>1.2000000000000002</v>
      </c>
      <c r="N356" t="str">
        <f>IF(COUNTIF(Zoning!A:A,J356)=0,"zone inconnue","France")</f>
        <v>France</v>
      </c>
      <c r="O356">
        <f>IF(COUNTIF(Zoning!A:A,J356)=0,"taux inconnu",_xlfn.XLOOKUP(J356,Zoning!A:A,Zoning!C:C))</f>
        <v>0.2</v>
      </c>
      <c r="R356" t="str">
        <f>IF(TCD!K357="","",TCD!K357)</f>
        <v/>
      </c>
      <c r="S356" t="str">
        <f>IF(TCD!F357="","",TCD!F357)</f>
        <v/>
      </c>
      <c r="T356">
        <f>IF(TCD!E357="","",TCD!E357)</f>
        <v>2.36</v>
      </c>
      <c r="U356">
        <f>SUM(TCD!H357:J357)</f>
        <v>5.4700000000000006</v>
      </c>
    </row>
    <row r="357" spans="1:21" x14ac:dyDescent="0.25">
      <c r="A357" s="1" t="str">
        <f>_xlfn.XLOOKUP(G357,'Facture GLS'!AB:AB,'Facture GLS'!O:O)</f>
        <v>BY FOUTAS</v>
      </c>
      <c r="B357" t="str">
        <f t="shared" si="15"/>
        <v>GLS</v>
      </c>
      <c r="C357" s="2">
        <f t="shared" si="16"/>
        <v>46174</v>
      </c>
      <c r="G357" t="str">
        <f>TCD!D358</f>
        <v>00L0NE09</v>
      </c>
      <c r="I357" t="s">
        <v>104</v>
      </c>
      <c r="J357" t="str">
        <f>_xlfn.XLOOKUP(G357,'Facture GLS'!AB:AB,'Facture GLS'!BB:BB)</f>
        <v>FR</v>
      </c>
      <c r="K357" t="str">
        <f>IF(COUNTIF(Zoning!A:A,J357)=0,"pays inconnu",LOOKUP(J357,Zoning!A:A,Zoning!B:B))</f>
        <v>France</v>
      </c>
      <c r="L357">
        <f t="shared" si="17"/>
        <v>1</v>
      </c>
      <c r="M357">
        <f>_xlfn.XLOOKUP(G357,Poids!A:A,Poids!C:C)</f>
        <v>0.9</v>
      </c>
      <c r="N357" t="str">
        <f>IF(COUNTIF(Zoning!A:A,J357)=0,"zone inconnue","France")</f>
        <v>France</v>
      </c>
      <c r="O357">
        <f>IF(COUNTIF(Zoning!A:A,J357)=0,"taux inconnu",_xlfn.XLOOKUP(J357,Zoning!A:A,Zoning!C:C))</f>
        <v>0.2</v>
      </c>
      <c r="R357" t="str">
        <f>IF(TCD!K358="","",TCD!K358)</f>
        <v/>
      </c>
      <c r="S357" t="str">
        <f>IF(TCD!F358="","",TCD!F358)</f>
        <v/>
      </c>
      <c r="T357" t="str">
        <f>IF(TCD!E358="","",TCD!E358)</f>
        <v/>
      </c>
      <c r="U357">
        <f>SUM(TCD!H358:J358)</f>
        <v>5.15</v>
      </c>
    </row>
    <row r="358" spans="1:21" x14ac:dyDescent="0.25">
      <c r="A358" s="1" t="str">
        <f>_xlfn.XLOOKUP(G358,'Facture GLS'!AB:AB,'Facture GLS'!O:O)</f>
        <v>BY FOUTAS</v>
      </c>
      <c r="B358" t="str">
        <f t="shared" si="15"/>
        <v>GLS</v>
      </c>
      <c r="C358" s="2">
        <f t="shared" si="16"/>
        <v>46174</v>
      </c>
      <c r="G358" t="str">
        <f>TCD!D359</f>
        <v>00L0NE0A</v>
      </c>
      <c r="I358" t="s">
        <v>104</v>
      </c>
      <c r="J358" t="str">
        <f>_xlfn.XLOOKUP(G358,'Facture GLS'!AB:AB,'Facture GLS'!BB:BB)</f>
        <v>FR</v>
      </c>
      <c r="K358" t="str">
        <f>IF(COUNTIF(Zoning!A:A,J358)=0,"pays inconnu",LOOKUP(J358,Zoning!A:A,Zoning!B:B))</f>
        <v>France</v>
      </c>
      <c r="L358">
        <f t="shared" si="17"/>
        <v>1</v>
      </c>
      <c r="M358">
        <f>_xlfn.XLOOKUP(G358,Poids!A:A,Poids!C:C)</f>
        <v>1.2000000000000002</v>
      </c>
      <c r="N358" t="str">
        <f>IF(COUNTIF(Zoning!A:A,J358)=0,"zone inconnue","France")</f>
        <v>France</v>
      </c>
      <c r="O358">
        <f>IF(COUNTIF(Zoning!A:A,J358)=0,"taux inconnu",_xlfn.XLOOKUP(J358,Zoning!A:A,Zoning!C:C))</f>
        <v>0.2</v>
      </c>
      <c r="R358" t="str">
        <f>IF(TCD!K359="","",TCD!K359)</f>
        <v/>
      </c>
      <c r="S358" t="str">
        <f>IF(TCD!F359="","",TCD!F359)</f>
        <v/>
      </c>
      <c r="T358" t="str">
        <f>IF(TCD!E359="","",TCD!E359)</f>
        <v/>
      </c>
      <c r="U358">
        <f>SUM(TCD!H359:J359)</f>
        <v>5.4700000000000006</v>
      </c>
    </row>
    <row r="359" spans="1:21" x14ac:dyDescent="0.25">
      <c r="A359" s="1" t="str">
        <f>_xlfn.XLOOKUP(G359,'Facture GLS'!AB:AB,'Facture GLS'!O:O)</f>
        <v>BY FOUTAS</v>
      </c>
      <c r="B359" t="str">
        <f t="shared" si="15"/>
        <v>GLS</v>
      </c>
      <c r="C359" s="2">
        <f t="shared" si="16"/>
        <v>46174</v>
      </c>
      <c r="G359" t="str">
        <f>TCD!D360</f>
        <v>00L0NE0B</v>
      </c>
      <c r="I359" t="s">
        <v>104</v>
      </c>
      <c r="J359" t="str">
        <f>_xlfn.XLOOKUP(G359,'Facture GLS'!AB:AB,'Facture GLS'!BB:BB)</f>
        <v>FR</v>
      </c>
      <c r="K359" t="str">
        <f>IF(COUNTIF(Zoning!A:A,J359)=0,"pays inconnu",LOOKUP(J359,Zoning!A:A,Zoning!B:B))</f>
        <v>France</v>
      </c>
      <c r="L359">
        <f t="shared" si="17"/>
        <v>1</v>
      </c>
      <c r="M359">
        <f>_xlfn.XLOOKUP(G359,Poids!A:A,Poids!C:C)</f>
        <v>1.2000000000000002</v>
      </c>
      <c r="N359" t="str">
        <f>IF(COUNTIF(Zoning!A:A,J359)=0,"zone inconnue","France")</f>
        <v>France</v>
      </c>
      <c r="O359">
        <f>IF(COUNTIF(Zoning!A:A,J359)=0,"taux inconnu",_xlfn.XLOOKUP(J359,Zoning!A:A,Zoning!C:C))</f>
        <v>0.2</v>
      </c>
      <c r="R359" t="str">
        <f>IF(TCD!K360="","",TCD!K360)</f>
        <v/>
      </c>
      <c r="S359" t="str">
        <f>IF(TCD!F360="","",TCD!F360)</f>
        <v/>
      </c>
      <c r="T359" t="str">
        <f>IF(TCD!E360="","",TCD!E360)</f>
        <v/>
      </c>
      <c r="U359">
        <f>SUM(TCD!H360:J360)</f>
        <v>5.4700000000000006</v>
      </c>
    </row>
    <row r="360" spans="1:21" x14ac:dyDescent="0.25">
      <c r="A360" s="1" t="str">
        <f>_xlfn.XLOOKUP(G360,'Facture GLS'!AB:AB,'Facture GLS'!O:O)</f>
        <v>BY FOUTAS</v>
      </c>
      <c r="B360" t="str">
        <f t="shared" si="15"/>
        <v>GLS</v>
      </c>
      <c r="C360" s="2">
        <f t="shared" si="16"/>
        <v>46174</v>
      </c>
      <c r="G360" t="str">
        <f>TCD!D361</f>
        <v>00L0NE0C</v>
      </c>
      <c r="I360" t="s">
        <v>104</v>
      </c>
      <c r="J360" t="str">
        <f>_xlfn.XLOOKUP(G360,'Facture GLS'!AB:AB,'Facture GLS'!BB:BB)</f>
        <v>FR</v>
      </c>
      <c r="K360" t="str">
        <f>IF(COUNTIF(Zoning!A:A,J360)=0,"pays inconnu",LOOKUP(J360,Zoning!A:A,Zoning!B:B))</f>
        <v>France</v>
      </c>
      <c r="L360">
        <f t="shared" si="17"/>
        <v>1</v>
      </c>
      <c r="M360">
        <f>_xlfn.XLOOKUP(G360,Poids!A:A,Poids!C:C)</f>
        <v>1.1000000000000001</v>
      </c>
      <c r="N360" t="str">
        <f>IF(COUNTIF(Zoning!A:A,J360)=0,"zone inconnue","France")</f>
        <v>France</v>
      </c>
      <c r="O360">
        <f>IF(COUNTIF(Zoning!A:A,J360)=0,"taux inconnu",_xlfn.XLOOKUP(J360,Zoning!A:A,Zoning!C:C))</f>
        <v>0.2</v>
      </c>
      <c r="R360" t="str">
        <f>IF(TCD!K361="","",TCD!K361)</f>
        <v/>
      </c>
      <c r="S360" t="str">
        <f>IF(TCD!F361="","",TCD!F361)</f>
        <v/>
      </c>
      <c r="T360" t="str">
        <f>IF(TCD!E361="","",TCD!E361)</f>
        <v/>
      </c>
      <c r="U360">
        <f>SUM(TCD!H361:J361)</f>
        <v>5.4700000000000006</v>
      </c>
    </row>
    <row r="361" spans="1:21" x14ac:dyDescent="0.25">
      <c r="A361" s="1" t="str">
        <f>_xlfn.XLOOKUP(G361,'Facture GLS'!AB:AB,'Facture GLS'!O:O)</f>
        <v>BY FOUTAS</v>
      </c>
      <c r="B361" t="str">
        <f t="shared" si="15"/>
        <v>GLS</v>
      </c>
      <c r="C361" s="2">
        <f t="shared" si="16"/>
        <v>46174</v>
      </c>
      <c r="G361" t="str">
        <f>TCD!D362</f>
        <v>00L0NE0D</v>
      </c>
      <c r="I361" t="s">
        <v>104</v>
      </c>
      <c r="J361" t="str">
        <f>_xlfn.XLOOKUP(G361,'Facture GLS'!AB:AB,'Facture GLS'!BB:BB)</f>
        <v>FR</v>
      </c>
      <c r="K361" t="str">
        <f>IF(COUNTIF(Zoning!A:A,J361)=0,"pays inconnu",LOOKUP(J361,Zoning!A:A,Zoning!B:B))</f>
        <v>France</v>
      </c>
      <c r="L361">
        <f t="shared" si="17"/>
        <v>1</v>
      </c>
      <c r="M361">
        <f>_xlfn.XLOOKUP(G361,Poids!A:A,Poids!C:C)</f>
        <v>1.2000000000000002</v>
      </c>
      <c r="N361" t="str">
        <f>IF(COUNTIF(Zoning!A:A,J361)=0,"zone inconnue","France")</f>
        <v>France</v>
      </c>
      <c r="O361">
        <f>IF(COUNTIF(Zoning!A:A,J361)=0,"taux inconnu",_xlfn.XLOOKUP(J361,Zoning!A:A,Zoning!C:C))</f>
        <v>0.2</v>
      </c>
      <c r="R361" t="str">
        <f>IF(TCD!K362="","",TCD!K362)</f>
        <v/>
      </c>
      <c r="S361" t="str">
        <f>IF(TCD!F362="","",TCD!F362)</f>
        <v/>
      </c>
      <c r="T361" t="str">
        <f>IF(TCD!E362="","",TCD!E362)</f>
        <v/>
      </c>
      <c r="U361">
        <f>SUM(TCD!H362:J362)</f>
        <v>5.4700000000000006</v>
      </c>
    </row>
    <row r="362" spans="1:21" x14ac:dyDescent="0.25">
      <c r="A362" s="1" t="str">
        <f>_xlfn.XLOOKUP(G362,'Facture GLS'!AB:AB,'Facture GLS'!O:O)</f>
        <v>BY FOUTAS</v>
      </c>
      <c r="B362" t="str">
        <f t="shared" si="15"/>
        <v>GLS</v>
      </c>
      <c r="C362" s="2">
        <f t="shared" si="16"/>
        <v>46174</v>
      </c>
      <c r="G362" t="str">
        <f>TCD!D363</f>
        <v>00L0NE0E</v>
      </c>
      <c r="I362" t="s">
        <v>104</v>
      </c>
      <c r="J362" t="str">
        <f>_xlfn.XLOOKUP(G362,'Facture GLS'!AB:AB,'Facture GLS'!BB:BB)</f>
        <v>FR</v>
      </c>
      <c r="K362" t="str">
        <f>IF(COUNTIF(Zoning!A:A,J362)=0,"pays inconnu",LOOKUP(J362,Zoning!A:A,Zoning!B:B))</f>
        <v>France</v>
      </c>
      <c r="L362">
        <f t="shared" si="17"/>
        <v>1</v>
      </c>
      <c r="M362">
        <f>_xlfn.XLOOKUP(G362,Poids!A:A,Poids!C:C)</f>
        <v>0.9</v>
      </c>
      <c r="N362" t="str">
        <f>IF(COUNTIF(Zoning!A:A,J362)=0,"zone inconnue","France")</f>
        <v>France</v>
      </c>
      <c r="O362">
        <f>IF(COUNTIF(Zoning!A:A,J362)=0,"taux inconnu",_xlfn.XLOOKUP(J362,Zoning!A:A,Zoning!C:C))</f>
        <v>0.2</v>
      </c>
      <c r="R362" t="str">
        <f>IF(TCD!K363="","",TCD!K363)</f>
        <v/>
      </c>
      <c r="S362" t="str">
        <f>IF(TCD!F363="","",TCD!F363)</f>
        <v/>
      </c>
      <c r="T362" t="str">
        <f>IF(TCD!E363="","",TCD!E363)</f>
        <v/>
      </c>
      <c r="U362">
        <f>SUM(TCD!H363:J363)</f>
        <v>5.15</v>
      </c>
    </row>
    <row r="363" spans="1:21" x14ac:dyDescent="0.25">
      <c r="A363" s="1" t="str">
        <f>_xlfn.XLOOKUP(G363,'Facture GLS'!AB:AB,'Facture GLS'!O:O)</f>
        <v>BY FOUTAS</v>
      </c>
      <c r="B363" t="str">
        <f t="shared" si="15"/>
        <v>GLS</v>
      </c>
      <c r="C363" s="2">
        <f t="shared" si="16"/>
        <v>46174</v>
      </c>
      <c r="G363" t="str">
        <f>TCD!D364</f>
        <v>00L0NE0F</v>
      </c>
      <c r="I363" t="s">
        <v>104</v>
      </c>
      <c r="J363" t="str">
        <f>_xlfn.XLOOKUP(G363,'Facture GLS'!AB:AB,'Facture GLS'!BB:BB)</f>
        <v>FR</v>
      </c>
      <c r="K363" t="str">
        <f>IF(COUNTIF(Zoning!A:A,J363)=0,"pays inconnu",LOOKUP(J363,Zoning!A:A,Zoning!B:B))</f>
        <v>France</v>
      </c>
      <c r="L363">
        <f t="shared" si="17"/>
        <v>1</v>
      </c>
      <c r="M363">
        <f>_xlfn.XLOOKUP(G363,Poids!A:A,Poids!C:C)</f>
        <v>1.1000000000000001</v>
      </c>
      <c r="N363" t="str">
        <f>IF(COUNTIF(Zoning!A:A,J363)=0,"zone inconnue","France")</f>
        <v>France</v>
      </c>
      <c r="O363">
        <f>IF(COUNTIF(Zoning!A:A,J363)=0,"taux inconnu",_xlfn.XLOOKUP(J363,Zoning!A:A,Zoning!C:C))</f>
        <v>0.2</v>
      </c>
      <c r="R363" t="str">
        <f>IF(TCD!K364="","",TCD!K364)</f>
        <v/>
      </c>
      <c r="S363" t="str">
        <f>IF(TCD!F364="","",TCD!F364)</f>
        <v/>
      </c>
      <c r="T363" t="str">
        <f>IF(TCD!E364="","",TCD!E364)</f>
        <v/>
      </c>
      <c r="U363">
        <f>SUM(TCD!H364:J364)</f>
        <v>5.4700000000000006</v>
      </c>
    </row>
    <row r="364" spans="1:21" x14ac:dyDescent="0.25">
      <c r="A364" s="1" t="str">
        <f>_xlfn.XLOOKUP(G364,'Facture GLS'!AB:AB,'Facture GLS'!O:O)</f>
        <v>BY FOUTAS</v>
      </c>
      <c r="B364" t="str">
        <f t="shared" si="15"/>
        <v>GLS</v>
      </c>
      <c r="C364" s="2">
        <f t="shared" si="16"/>
        <v>46174</v>
      </c>
      <c r="G364" t="str">
        <f>TCD!D365</f>
        <v>00L0NE0G</v>
      </c>
      <c r="I364" t="s">
        <v>104</v>
      </c>
      <c r="J364" t="str">
        <f>_xlfn.XLOOKUP(G364,'Facture GLS'!AB:AB,'Facture GLS'!BB:BB)</f>
        <v>FR</v>
      </c>
      <c r="K364" t="str">
        <f>IF(COUNTIF(Zoning!A:A,J364)=0,"pays inconnu",LOOKUP(J364,Zoning!A:A,Zoning!B:B))</f>
        <v>France</v>
      </c>
      <c r="L364">
        <f t="shared" si="17"/>
        <v>1</v>
      </c>
      <c r="M364">
        <f>_xlfn.XLOOKUP(G364,Poids!A:A,Poids!C:C)</f>
        <v>1.1000000000000001</v>
      </c>
      <c r="N364" t="str">
        <f>IF(COUNTIF(Zoning!A:A,J364)=0,"zone inconnue","France")</f>
        <v>France</v>
      </c>
      <c r="O364">
        <f>IF(COUNTIF(Zoning!A:A,J364)=0,"taux inconnu",_xlfn.XLOOKUP(J364,Zoning!A:A,Zoning!C:C))</f>
        <v>0.2</v>
      </c>
      <c r="R364" t="str">
        <f>IF(TCD!K365="","",TCD!K365)</f>
        <v/>
      </c>
      <c r="S364" t="str">
        <f>IF(TCD!F365="","",TCD!F365)</f>
        <v/>
      </c>
      <c r="T364" t="str">
        <f>IF(TCD!E365="","",TCD!E365)</f>
        <v/>
      </c>
      <c r="U364">
        <f>SUM(TCD!H365:J365)</f>
        <v>5.4700000000000006</v>
      </c>
    </row>
    <row r="365" spans="1:21" x14ac:dyDescent="0.25">
      <c r="A365" s="1" t="str">
        <f>_xlfn.XLOOKUP(G365,'Facture GLS'!AB:AB,'Facture GLS'!O:O)</f>
        <v>BY FOUTAS</v>
      </c>
      <c r="B365" t="str">
        <f t="shared" si="15"/>
        <v>GLS</v>
      </c>
      <c r="C365" s="2">
        <f t="shared" si="16"/>
        <v>46174</v>
      </c>
      <c r="G365" t="str">
        <f>TCD!D366</f>
        <v>00L0NE0H</v>
      </c>
      <c r="I365" t="s">
        <v>104</v>
      </c>
      <c r="J365" t="str">
        <f>_xlfn.XLOOKUP(G365,'Facture GLS'!AB:AB,'Facture GLS'!BB:BB)</f>
        <v>FR</v>
      </c>
      <c r="K365" t="str">
        <f>IF(COUNTIF(Zoning!A:A,J365)=0,"pays inconnu",LOOKUP(J365,Zoning!A:A,Zoning!B:B))</f>
        <v>France</v>
      </c>
      <c r="L365">
        <f t="shared" si="17"/>
        <v>1</v>
      </c>
      <c r="M365">
        <f>_xlfn.XLOOKUP(G365,Poids!A:A,Poids!C:C)</f>
        <v>0.5</v>
      </c>
      <c r="N365" t="str">
        <f>IF(COUNTIF(Zoning!A:A,J365)=0,"zone inconnue","France")</f>
        <v>France</v>
      </c>
      <c r="O365">
        <f>IF(COUNTIF(Zoning!A:A,J365)=0,"taux inconnu",_xlfn.XLOOKUP(J365,Zoning!A:A,Zoning!C:C))</f>
        <v>0.2</v>
      </c>
      <c r="R365" t="str">
        <f>IF(TCD!K366="","",TCD!K366)</f>
        <v/>
      </c>
      <c r="S365" t="str">
        <f>IF(TCD!F366="","",TCD!F366)</f>
        <v/>
      </c>
      <c r="T365" t="str">
        <f>IF(TCD!E366="","",TCD!E366)</f>
        <v/>
      </c>
      <c r="U365">
        <f>SUM(TCD!H366:J366)</f>
        <v>4.82</v>
      </c>
    </row>
    <row r="366" spans="1:21" x14ac:dyDescent="0.25">
      <c r="A366" s="1" t="str">
        <f>_xlfn.XLOOKUP(G366,'Facture GLS'!AB:AB,'Facture GLS'!O:O)</f>
        <v>BY FOUTAS</v>
      </c>
      <c r="B366" t="str">
        <f t="shared" si="15"/>
        <v>GLS</v>
      </c>
      <c r="C366" s="2">
        <f t="shared" si="16"/>
        <v>46174</v>
      </c>
      <c r="G366" t="str">
        <f>TCD!D367</f>
        <v>00L0NE0I</v>
      </c>
      <c r="I366" t="s">
        <v>104</v>
      </c>
      <c r="J366" t="str">
        <f>_xlfn.XLOOKUP(G366,'Facture GLS'!AB:AB,'Facture GLS'!BB:BB)</f>
        <v>FR</v>
      </c>
      <c r="K366" t="str">
        <f>IF(COUNTIF(Zoning!A:A,J366)=0,"pays inconnu",LOOKUP(J366,Zoning!A:A,Zoning!B:B))</f>
        <v>France</v>
      </c>
      <c r="L366">
        <f t="shared" si="17"/>
        <v>1</v>
      </c>
      <c r="M366">
        <f>_xlfn.XLOOKUP(G366,Poids!A:A,Poids!C:C)</f>
        <v>2</v>
      </c>
      <c r="N366" t="str">
        <f>IF(COUNTIF(Zoning!A:A,J366)=0,"zone inconnue","France")</f>
        <v>France</v>
      </c>
      <c r="O366">
        <f>IF(COUNTIF(Zoning!A:A,J366)=0,"taux inconnu",_xlfn.XLOOKUP(J366,Zoning!A:A,Zoning!C:C))</f>
        <v>0.2</v>
      </c>
      <c r="R366" t="str">
        <f>IF(TCD!K367="","",TCD!K367)</f>
        <v/>
      </c>
      <c r="S366" t="str">
        <f>IF(TCD!F367="","",TCD!F367)</f>
        <v/>
      </c>
      <c r="T366" t="str">
        <f>IF(TCD!E367="","",TCD!E367)</f>
        <v/>
      </c>
      <c r="U366">
        <f>SUM(TCD!H367:J367)</f>
        <v>5.4700000000000006</v>
      </c>
    </row>
    <row r="367" spans="1:21" x14ac:dyDescent="0.25">
      <c r="A367" s="1" t="str">
        <f>_xlfn.XLOOKUP(G367,'Facture GLS'!AB:AB,'Facture GLS'!O:O)</f>
        <v>BY FOUTAS</v>
      </c>
      <c r="B367" t="str">
        <f t="shared" si="15"/>
        <v>GLS</v>
      </c>
      <c r="C367" s="2">
        <f t="shared" si="16"/>
        <v>46174</v>
      </c>
      <c r="G367" t="str">
        <f>TCD!D368</f>
        <v>00L0NE0J</v>
      </c>
      <c r="I367" t="s">
        <v>104</v>
      </c>
      <c r="J367" t="str">
        <f>_xlfn.XLOOKUP(G367,'Facture GLS'!AB:AB,'Facture GLS'!BB:BB)</f>
        <v>FR</v>
      </c>
      <c r="K367" t="str">
        <f>IF(COUNTIF(Zoning!A:A,J367)=0,"pays inconnu",LOOKUP(J367,Zoning!A:A,Zoning!B:B))</f>
        <v>France</v>
      </c>
      <c r="L367">
        <f t="shared" si="17"/>
        <v>1</v>
      </c>
      <c r="M367">
        <f>_xlfn.XLOOKUP(G367,Poids!A:A,Poids!C:C)</f>
        <v>0.5</v>
      </c>
      <c r="N367" t="str">
        <f>IF(COUNTIF(Zoning!A:A,J367)=0,"zone inconnue","France")</f>
        <v>France</v>
      </c>
      <c r="O367">
        <f>IF(COUNTIF(Zoning!A:A,J367)=0,"taux inconnu",_xlfn.XLOOKUP(J367,Zoning!A:A,Zoning!C:C))</f>
        <v>0.2</v>
      </c>
      <c r="R367" t="str">
        <f>IF(TCD!K368="","",TCD!K368)</f>
        <v/>
      </c>
      <c r="S367" t="str">
        <f>IF(TCD!F368="","",TCD!F368)</f>
        <v/>
      </c>
      <c r="T367" t="str">
        <f>IF(TCD!E368="","",TCD!E368)</f>
        <v/>
      </c>
      <c r="U367">
        <f>SUM(TCD!H368:J368)</f>
        <v>4.82</v>
      </c>
    </row>
    <row r="368" spans="1:21" x14ac:dyDescent="0.25">
      <c r="A368" s="1" t="str">
        <f>_xlfn.XLOOKUP(G368,'Facture GLS'!AB:AB,'Facture GLS'!O:O)</f>
        <v>BY FOUTAS</v>
      </c>
      <c r="B368" t="str">
        <f t="shared" si="15"/>
        <v>GLS</v>
      </c>
      <c r="C368" s="2">
        <f t="shared" si="16"/>
        <v>46174</v>
      </c>
      <c r="G368" t="str">
        <f>TCD!D369</f>
        <v>00L0NE0K</v>
      </c>
      <c r="I368" t="s">
        <v>104</v>
      </c>
      <c r="J368" t="str">
        <f>_xlfn.XLOOKUP(G368,'Facture GLS'!AB:AB,'Facture GLS'!BB:BB)</f>
        <v>FR</v>
      </c>
      <c r="K368" t="str">
        <f>IF(COUNTIF(Zoning!A:A,J368)=0,"pays inconnu",LOOKUP(J368,Zoning!A:A,Zoning!B:B))</f>
        <v>France</v>
      </c>
      <c r="L368">
        <f t="shared" si="17"/>
        <v>1</v>
      </c>
      <c r="M368">
        <f>_xlfn.XLOOKUP(G368,Poids!A:A,Poids!C:C)</f>
        <v>1.3</v>
      </c>
      <c r="N368" t="str">
        <f>IF(COUNTIF(Zoning!A:A,J368)=0,"zone inconnue","France")</f>
        <v>France</v>
      </c>
      <c r="O368">
        <f>IF(COUNTIF(Zoning!A:A,J368)=0,"taux inconnu",_xlfn.XLOOKUP(J368,Zoning!A:A,Zoning!C:C))</f>
        <v>0.2</v>
      </c>
      <c r="R368" t="str">
        <f>IF(TCD!K369="","",TCD!K369)</f>
        <v/>
      </c>
      <c r="S368" t="str">
        <f>IF(TCD!F369="","",TCD!F369)</f>
        <v/>
      </c>
      <c r="T368" t="str">
        <f>IF(TCD!E369="","",TCD!E369)</f>
        <v/>
      </c>
      <c r="U368">
        <f>SUM(TCD!H369:J369)</f>
        <v>5.4700000000000006</v>
      </c>
    </row>
    <row r="369" spans="1:24" x14ac:dyDescent="0.25">
      <c r="A369" s="1" t="str">
        <f>_xlfn.XLOOKUP(G369,'Facture GLS'!AB:AB,'Facture GLS'!O:O)</f>
        <v>BY FOUTAS</v>
      </c>
      <c r="B369" t="str">
        <f t="shared" si="15"/>
        <v>GLS</v>
      </c>
      <c r="C369" s="2">
        <f t="shared" si="16"/>
        <v>46174</v>
      </c>
      <c r="G369" t="str">
        <f>TCD!D370</f>
        <v>00L0NE0L</v>
      </c>
      <c r="I369" t="s">
        <v>104</v>
      </c>
      <c r="J369" t="str">
        <f>_xlfn.XLOOKUP(G369,'Facture GLS'!AB:AB,'Facture GLS'!BB:BB)</f>
        <v>FR</v>
      </c>
      <c r="K369" t="str">
        <f>IF(COUNTIF(Zoning!A:A,J369)=0,"pays inconnu",LOOKUP(J369,Zoning!A:A,Zoning!B:B))</f>
        <v>France</v>
      </c>
      <c r="L369">
        <f t="shared" si="17"/>
        <v>1</v>
      </c>
      <c r="M369">
        <f>_xlfn.XLOOKUP(G369,Poids!A:A,Poids!C:C)</f>
        <v>0.9</v>
      </c>
      <c r="N369" t="str">
        <f>IF(COUNTIF(Zoning!A:A,J369)=0,"zone inconnue","France")</f>
        <v>France</v>
      </c>
      <c r="O369">
        <f>IF(COUNTIF(Zoning!A:A,J369)=0,"taux inconnu",_xlfn.XLOOKUP(J369,Zoning!A:A,Zoning!C:C))</f>
        <v>0.2</v>
      </c>
      <c r="R369" t="str">
        <f>IF(TCD!K370="","",TCD!K370)</f>
        <v/>
      </c>
      <c r="S369" t="str">
        <f>IF(TCD!F370="","",TCD!F370)</f>
        <v/>
      </c>
      <c r="T369" t="str">
        <f>IF(TCD!E370="","",TCD!E370)</f>
        <v/>
      </c>
      <c r="U369">
        <f>SUM(TCD!H370:J370)</f>
        <v>5.15</v>
      </c>
    </row>
    <row r="370" spans="1:24" x14ac:dyDescent="0.25">
      <c r="A370" s="1" t="str">
        <f>_xlfn.XLOOKUP(G370,'Facture GLS'!AB:AB,'Facture GLS'!O:O)</f>
        <v>BY FOUTAS</v>
      </c>
      <c r="B370" t="str">
        <f t="shared" si="15"/>
        <v>GLS</v>
      </c>
      <c r="C370" s="2">
        <f t="shared" si="16"/>
        <v>46174</v>
      </c>
      <c r="G370" t="str">
        <f>TCD!D371</f>
        <v>00L0NE0M</v>
      </c>
      <c r="I370" t="s">
        <v>104</v>
      </c>
      <c r="J370" t="str">
        <f>_xlfn.XLOOKUP(G370,'Facture GLS'!AB:AB,'Facture GLS'!BB:BB)</f>
        <v>FR</v>
      </c>
      <c r="K370" t="str">
        <f>IF(COUNTIF(Zoning!A:A,J370)=0,"pays inconnu",LOOKUP(J370,Zoning!A:A,Zoning!B:B))</f>
        <v>France</v>
      </c>
      <c r="L370">
        <f t="shared" si="17"/>
        <v>1</v>
      </c>
      <c r="M370">
        <f>_xlfn.XLOOKUP(G370,Poids!A:A,Poids!C:C)</f>
        <v>0.4</v>
      </c>
      <c r="N370" t="str">
        <f>IF(COUNTIF(Zoning!A:A,J370)=0,"zone inconnue","France")</f>
        <v>France</v>
      </c>
      <c r="O370">
        <f>IF(COUNTIF(Zoning!A:A,J370)=0,"taux inconnu",_xlfn.XLOOKUP(J370,Zoning!A:A,Zoning!C:C))</f>
        <v>0.2</v>
      </c>
      <c r="R370" t="str">
        <f>IF(TCD!K371="","",TCD!K371)</f>
        <v/>
      </c>
      <c r="S370" t="str">
        <f>IF(TCD!F371="","",TCD!F371)</f>
        <v/>
      </c>
      <c r="T370" t="str">
        <f>IF(TCD!E371="","",TCD!E371)</f>
        <v/>
      </c>
      <c r="U370">
        <f>SUM(TCD!H371:J371)</f>
        <v>4.82</v>
      </c>
    </row>
    <row r="371" spans="1:24" x14ac:dyDescent="0.25">
      <c r="A371" s="1" t="str">
        <f>_xlfn.XLOOKUP(G371,'Facture GLS'!AB:AB,'Facture GLS'!O:O)</f>
        <v>BY FOUTAS</v>
      </c>
      <c r="B371" t="str">
        <f t="shared" si="15"/>
        <v>GLS</v>
      </c>
      <c r="C371" s="2">
        <f t="shared" si="16"/>
        <v>46174</v>
      </c>
      <c r="G371" t="str">
        <f>TCD!D372</f>
        <v>00L0NE0N</v>
      </c>
      <c r="I371" t="s">
        <v>104</v>
      </c>
      <c r="J371" t="str">
        <f>_xlfn.XLOOKUP(G371,'Facture GLS'!AB:AB,'Facture GLS'!BB:BB)</f>
        <v>FR</v>
      </c>
      <c r="K371" t="str">
        <f>IF(COUNTIF(Zoning!A:A,J371)=0,"pays inconnu",LOOKUP(J371,Zoning!A:A,Zoning!B:B))</f>
        <v>France</v>
      </c>
      <c r="L371">
        <f t="shared" si="17"/>
        <v>1</v>
      </c>
      <c r="M371">
        <f>_xlfn.XLOOKUP(G371,Poids!A:A,Poids!C:C)</f>
        <v>1.3</v>
      </c>
      <c r="N371" t="str">
        <f>IF(COUNTIF(Zoning!A:A,J371)=0,"zone inconnue","France")</f>
        <v>France</v>
      </c>
      <c r="O371">
        <f>IF(COUNTIF(Zoning!A:A,J371)=0,"taux inconnu",_xlfn.XLOOKUP(J371,Zoning!A:A,Zoning!C:C))</f>
        <v>0.2</v>
      </c>
      <c r="R371" t="str">
        <f>IF(TCD!K372="","",TCD!K372)</f>
        <v/>
      </c>
      <c r="S371" t="str">
        <f>IF(TCD!F372="","",TCD!F372)</f>
        <v/>
      </c>
      <c r="T371" t="str">
        <f>IF(TCD!E372="","",TCD!E372)</f>
        <v/>
      </c>
      <c r="U371">
        <f>SUM(TCD!H372:J372)</f>
        <v>5.4700000000000006</v>
      </c>
    </row>
    <row r="372" spans="1:24" x14ac:dyDescent="0.25">
      <c r="A372" s="1" t="str">
        <f>_xlfn.XLOOKUP(G372,'Facture GLS'!AB:AB,'Facture GLS'!O:O)</f>
        <v>BY FOUTAS</v>
      </c>
      <c r="B372" t="str">
        <f t="shared" si="15"/>
        <v>GLS</v>
      </c>
      <c r="C372" s="2">
        <f t="shared" si="16"/>
        <v>46174</v>
      </c>
      <c r="G372" t="str">
        <f>TCD!D373</f>
        <v>00L0NE0O</v>
      </c>
      <c r="I372" t="s">
        <v>104</v>
      </c>
      <c r="J372" t="str">
        <f>_xlfn.XLOOKUP(G372,'Facture GLS'!AB:AB,'Facture GLS'!BB:BB)</f>
        <v>FR</v>
      </c>
      <c r="K372" t="str">
        <f>IF(COUNTIF(Zoning!A:A,J372)=0,"pays inconnu",LOOKUP(J372,Zoning!A:A,Zoning!B:B))</f>
        <v>France</v>
      </c>
      <c r="L372">
        <f t="shared" si="17"/>
        <v>1</v>
      </c>
      <c r="M372">
        <f>_xlfn.XLOOKUP(G372,Poids!A:A,Poids!C:C)</f>
        <v>1.1000000000000001</v>
      </c>
      <c r="N372" t="str">
        <f>IF(COUNTIF(Zoning!A:A,J372)=0,"zone inconnue","France")</f>
        <v>France</v>
      </c>
      <c r="O372">
        <f>IF(COUNTIF(Zoning!A:A,J372)=0,"taux inconnu",_xlfn.XLOOKUP(J372,Zoning!A:A,Zoning!C:C))</f>
        <v>0.2</v>
      </c>
      <c r="R372" t="str">
        <f>IF(TCD!K373="","",TCD!K373)</f>
        <v/>
      </c>
      <c r="S372" t="str">
        <f>IF(TCD!F373="","",TCD!F373)</f>
        <v/>
      </c>
      <c r="T372" t="str">
        <f>IF(TCD!E373="","",TCD!E373)</f>
        <v/>
      </c>
      <c r="U372">
        <f>SUM(TCD!H373:J373)</f>
        <v>5.4700000000000006</v>
      </c>
    </row>
    <row r="373" spans="1:24" x14ac:dyDescent="0.25">
      <c r="A373" s="1" t="str">
        <f>_xlfn.XLOOKUP(G373,'Facture GLS'!AB:AB,'Facture GLS'!O:O)</f>
        <v>BY FOUTAS</v>
      </c>
      <c r="B373" t="str">
        <f t="shared" si="15"/>
        <v>GLS</v>
      </c>
      <c r="C373" s="2">
        <f t="shared" si="16"/>
        <v>46174</v>
      </c>
      <c r="G373" t="str">
        <f>TCD!D374</f>
        <v>00L0NE0P</v>
      </c>
      <c r="I373" t="s">
        <v>104</v>
      </c>
      <c r="J373" t="str">
        <f>_xlfn.XLOOKUP(G373,'Facture GLS'!AB:AB,'Facture GLS'!BB:BB)</f>
        <v>FR</v>
      </c>
      <c r="K373" t="str">
        <f>IF(COUNTIF(Zoning!A:A,J373)=0,"pays inconnu",LOOKUP(J373,Zoning!A:A,Zoning!B:B))</f>
        <v>France</v>
      </c>
      <c r="L373">
        <f t="shared" si="17"/>
        <v>1</v>
      </c>
      <c r="M373">
        <f>_xlfn.XLOOKUP(G373,Poids!A:A,Poids!C:C)</f>
        <v>1.1000000000000001</v>
      </c>
      <c r="N373" t="str">
        <f>IF(COUNTIF(Zoning!A:A,J373)=0,"zone inconnue","France")</f>
        <v>France</v>
      </c>
      <c r="O373">
        <f>IF(COUNTIF(Zoning!A:A,J373)=0,"taux inconnu",_xlfn.XLOOKUP(J373,Zoning!A:A,Zoning!C:C))</f>
        <v>0.2</v>
      </c>
      <c r="R373" t="str">
        <f>IF(TCD!K374="","",TCD!K374)</f>
        <v/>
      </c>
      <c r="S373" t="str">
        <f>IF(TCD!F374="","",TCD!F374)</f>
        <v/>
      </c>
      <c r="T373" t="str">
        <f>IF(TCD!E374="","",TCD!E374)</f>
        <v/>
      </c>
      <c r="U373">
        <f>SUM(TCD!H374:J374)</f>
        <v>5.4700000000000006</v>
      </c>
    </row>
    <row r="374" spans="1:24" x14ac:dyDescent="0.25">
      <c r="A374" s="1" t="str">
        <f>_xlfn.XLOOKUP(G374,'Facture GLS'!AB:AB,'Facture GLS'!O:O)</f>
        <v>BY FOUTAS</v>
      </c>
      <c r="B374" t="str">
        <f t="shared" si="15"/>
        <v>GLS</v>
      </c>
      <c r="C374" s="2">
        <f t="shared" si="16"/>
        <v>46174</v>
      </c>
      <c r="G374" t="str">
        <f>TCD!D375</f>
        <v>00L0NE0Q</v>
      </c>
      <c r="I374" t="s">
        <v>104</v>
      </c>
      <c r="J374" t="str">
        <f>_xlfn.XLOOKUP(G374,'Facture GLS'!AB:AB,'Facture GLS'!BB:BB)</f>
        <v>FR</v>
      </c>
      <c r="K374" t="str">
        <f>IF(COUNTIF(Zoning!A:A,J374)=0,"pays inconnu",LOOKUP(J374,Zoning!A:A,Zoning!B:B))</f>
        <v>France</v>
      </c>
      <c r="L374">
        <f t="shared" si="17"/>
        <v>1</v>
      </c>
      <c r="M374">
        <f>_xlfn.XLOOKUP(G374,Poids!A:A,Poids!C:C)</f>
        <v>1.6</v>
      </c>
      <c r="N374" t="str">
        <f>IF(COUNTIF(Zoning!A:A,J374)=0,"zone inconnue","France")</f>
        <v>France</v>
      </c>
      <c r="O374">
        <f>IF(COUNTIF(Zoning!A:A,J374)=0,"taux inconnu",_xlfn.XLOOKUP(J374,Zoning!A:A,Zoning!C:C))</f>
        <v>0.2</v>
      </c>
      <c r="R374" t="str">
        <f>IF(TCD!K375="","",TCD!K375)</f>
        <v/>
      </c>
      <c r="S374" t="str">
        <f>IF(TCD!F375="","",TCD!F375)</f>
        <v/>
      </c>
      <c r="T374" t="str">
        <f>IF(TCD!E375="","",TCD!E375)</f>
        <v/>
      </c>
      <c r="U374">
        <f>SUM(TCD!H375:J375)</f>
        <v>5.4700000000000006</v>
      </c>
    </row>
    <row r="375" spans="1:24" x14ac:dyDescent="0.25">
      <c r="A375" s="1" t="str">
        <f>_xlfn.XLOOKUP(G375,'Facture GLS'!AB:AB,'Facture GLS'!O:O)</f>
        <v>BY FOUTAS</v>
      </c>
      <c r="B375" t="str">
        <f t="shared" si="15"/>
        <v>GLS</v>
      </c>
      <c r="C375" s="2">
        <f t="shared" si="16"/>
        <v>46174</v>
      </c>
      <c r="G375" t="str">
        <f>TCD!D376</f>
        <v>00L0NE0R</v>
      </c>
      <c r="I375" t="s">
        <v>104</v>
      </c>
      <c r="J375" t="str">
        <f>_xlfn.XLOOKUP(G375,'Facture GLS'!AB:AB,'Facture GLS'!BB:BB)</f>
        <v>FR</v>
      </c>
      <c r="K375" t="str">
        <f>IF(COUNTIF(Zoning!A:A,J375)=0,"pays inconnu",LOOKUP(J375,Zoning!A:A,Zoning!B:B))</f>
        <v>France</v>
      </c>
      <c r="L375">
        <f t="shared" si="17"/>
        <v>1</v>
      </c>
      <c r="M375">
        <f>_xlfn.XLOOKUP(G375,Poids!A:A,Poids!C:C)</f>
        <v>1</v>
      </c>
      <c r="N375" t="str">
        <f>IF(COUNTIF(Zoning!A:A,J375)=0,"zone inconnue","France")</f>
        <v>France</v>
      </c>
      <c r="O375">
        <f>IF(COUNTIF(Zoning!A:A,J375)=0,"taux inconnu",_xlfn.XLOOKUP(J375,Zoning!A:A,Zoning!C:C))</f>
        <v>0.2</v>
      </c>
      <c r="R375" t="str">
        <f>IF(TCD!K376="","",TCD!K376)</f>
        <v/>
      </c>
      <c r="S375" t="str">
        <f>IF(TCD!F376="","",TCD!F376)</f>
        <v/>
      </c>
      <c r="T375" t="str">
        <f>IF(TCD!E376="","",TCD!E376)</f>
        <v/>
      </c>
      <c r="U375">
        <f>SUM(TCD!H376:J376)</f>
        <v>5.15</v>
      </c>
    </row>
    <row r="376" spans="1:24" x14ac:dyDescent="0.25">
      <c r="A376" s="1" t="str">
        <f>_xlfn.XLOOKUP(G376,'Facture GLS'!AB:AB,'Facture GLS'!O:O)</f>
        <v>BY FOUTAS</v>
      </c>
      <c r="B376" t="str">
        <f t="shared" si="15"/>
        <v>GLS</v>
      </c>
      <c r="C376" s="2">
        <f t="shared" si="16"/>
        <v>46174</v>
      </c>
      <c r="G376" t="str">
        <f>TCD!D377</f>
        <v>00L0NE0S</v>
      </c>
      <c r="I376" t="s">
        <v>104</v>
      </c>
      <c r="J376" t="str">
        <f>_xlfn.XLOOKUP(G376,'Facture GLS'!AB:AB,'Facture GLS'!BB:BB)</f>
        <v>FR</v>
      </c>
      <c r="K376" t="str">
        <f>IF(COUNTIF(Zoning!A:A,J376)=0,"pays inconnu",LOOKUP(J376,Zoning!A:A,Zoning!B:B))</f>
        <v>France</v>
      </c>
      <c r="L376">
        <f t="shared" si="17"/>
        <v>1</v>
      </c>
      <c r="M376">
        <f>_xlfn.XLOOKUP(G376,Poids!A:A,Poids!C:C)</f>
        <v>1.1000000000000001</v>
      </c>
      <c r="N376" t="str">
        <f>IF(COUNTIF(Zoning!A:A,J376)=0,"zone inconnue","France")</f>
        <v>France</v>
      </c>
      <c r="O376">
        <f>IF(COUNTIF(Zoning!A:A,J376)=0,"taux inconnu",_xlfn.XLOOKUP(J376,Zoning!A:A,Zoning!C:C))</f>
        <v>0.2</v>
      </c>
      <c r="R376" t="str">
        <f>IF(TCD!K377="","",TCD!K377)</f>
        <v/>
      </c>
      <c r="S376" t="str">
        <f>IF(TCD!F377="","",TCD!F377)</f>
        <v/>
      </c>
      <c r="T376" t="str">
        <f>IF(TCD!E377="","",TCD!E377)</f>
        <v/>
      </c>
      <c r="U376">
        <f>SUM(TCD!H377:J377)</f>
        <v>5.4700000000000006</v>
      </c>
    </row>
    <row r="377" spans="1:24" x14ac:dyDescent="0.25">
      <c r="A377" s="1" t="str">
        <f>_xlfn.XLOOKUP(G377,'Facture GLS'!AB:AB,'Facture GLS'!O:O)</f>
        <v>BY FOUTAS</v>
      </c>
      <c r="B377" t="str">
        <f t="shared" si="15"/>
        <v>GLS</v>
      </c>
      <c r="C377" s="2">
        <f t="shared" si="16"/>
        <v>46174</v>
      </c>
      <c r="G377" t="str">
        <f>TCD!D378</f>
        <v>00L0NE0T</v>
      </c>
      <c r="I377" t="s">
        <v>104</v>
      </c>
      <c r="J377" t="str">
        <f>_xlfn.XLOOKUP(G377,'Facture GLS'!AB:AB,'Facture GLS'!BB:BB)</f>
        <v>FR</v>
      </c>
      <c r="K377" t="str">
        <f>IF(COUNTIF(Zoning!A:A,J377)=0,"pays inconnu",LOOKUP(J377,Zoning!A:A,Zoning!B:B))</f>
        <v>France</v>
      </c>
      <c r="L377">
        <f t="shared" si="17"/>
        <v>1</v>
      </c>
      <c r="M377">
        <f>_xlfn.XLOOKUP(G377,Poids!A:A,Poids!C:C)</f>
        <v>0.5</v>
      </c>
      <c r="N377" t="str">
        <f>IF(COUNTIF(Zoning!A:A,J377)=0,"zone inconnue","France")</f>
        <v>France</v>
      </c>
      <c r="O377">
        <f>IF(COUNTIF(Zoning!A:A,J377)=0,"taux inconnu",_xlfn.XLOOKUP(J377,Zoning!A:A,Zoning!C:C))</f>
        <v>0.2</v>
      </c>
      <c r="R377" t="str">
        <f>IF(TCD!K378="","",TCD!K378)</f>
        <v/>
      </c>
      <c r="S377" t="str">
        <f>IF(TCD!F378="","",TCD!F378)</f>
        <v/>
      </c>
      <c r="T377" t="str">
        <f>IF(TCD!E378="","",TCD!E378)</f>
        <v/>
      </c>
      <c r="U377">
        <f>SUM(TCD!H378:J378)</f>
        <v>4.82</v>
      </c>
    </row>
    <row r="378" spans="1:24" x14ac:dyDescent="0.25">
      <c r="A378" s="1" t="str">
        <f>_xlfn.XLOOKUP(G378,'Facture GLS'!AB:AB,'Facture GLS'!O:O)</f>
        <v>BY FOUTAS</v>
      </c>
      <c r="B378" t="str">
        <f t="shared" si="15"/>
        <v>GLS</v>
      </c>
      <c r="C378" s="2">
        <f t="shared" si="16"/>
        <v>46174</v>
      </c>
      <c r="G378" t="str">
        <f>TCD!D379</f>
        <v>00L0NE0U</v>
      </c>
      <c r="I378" t="s">
        <v>104</v>
      </c>
      <c r="J378" t="str">
        <f>_xlfn.XLOOKUP(G378,'Facture GLS'!AB:AB,'Facture GLS'!BB:BB)</f>
        <v>FR</v>
      </c>
      <c r="K378" t="str">
        <f>IF(COUNTIF(Zoning!A:A,J378)=0,"pays inconnu",LOOKUP(J378,Zoning!A:A,Zoning!B:B))</f>
        <v>France</v>
      </c>
      <c r="L378">
        <f t="shared" si="17"/>
        <v>1</v>
      </c>
      <c r="M378">
        <f>_xlfn.XLOOKUP(G378,Poids!A:A,Poids!C:C)</f>
        <v>0.6</v>
      </c>
      <c r="N378" t="str">
        <f>IF(COUNTIF(Zoning!A:A,J378)=0,"zone inconnue","France")</f>
        <v>France</v>
      </c>
      <c r="O378">
        <f>IF(COUNTIF(Zoning!A:A,J378)=0,"taux inconnu",_xlfn.XLOOKUP(J378,Zoning!A:A,Zoning!C:C))</f>
        <v>0.2</v>
      </c>
      <c r="R378" t="str">
        <f>IF(TCD!K379="","",TCD!K379)</f>
        <v/>
      </c>
      <c r="S378" t="str">
        <f>IF(TCD!F379="","",TCD!F379)</f>
        <v/>
      </c>
      <c r="T378" t="str">
        <f>IF(TCD!E379="","",TCD!E379)</f>
        <v/>
      </c>
      <c r="U378">
        <f>SUM(TCD!H379:J379)</f>
        <v>5.15</v>
      </c>
    </row>
    <row r="379" spans="1:24" x14ac:dyDescent="0.25">
      <c r="A379" s="1" t="str">
        <f>_xlfn.XLOOKUP(G379,'Facture GLS'!AB:AB,'Facture GLS'!O:O)</f>
        <v>BY FOUTAS</v>
      </c>
      <c r="B379" t="str">
        <f t="shared" si="15"/>
        <v>GLS</v>
      </c>
      <c r="C379" s="2">
        <f t="shared" si="16"/>
        <v>46174</v>
      </c>
      <c r="G379" t="str">
        <f>TCD!D380</f>
        <v>00L0NE0V</v>
      </c>
      <c r="I379" t="s">
        <v>104</v>
      </c>
      <c r="J379" t="str">
        <f>_xlfn.XLOOKUP(G379,'Facture GLS'!AB:AB,'Facture GLS'!BB:BB)</f>
        <v>FR</v>
      </c>
      <c r="K379" t="str">
        <f>IF(COUNTIF(Zoning!A:A,J379)=0,"pays inconnu",LOOKUP(J379,Zoning!A:A,Zoning!B:B))</f>
        <v>France</v>
      </c>
      <c r="L379">
        <f t="shared" si="17"/>
        <v>1</v>
      </c>
      <c r="M379">
        <f>_xlfn.XLOOKUP(G379,Poids!A:A,Poids!C:C)</f>
        <v>0.5</v>
      </c>
      <c r="N379" t="str">
        <f>IF(COUNTIF(Zoning!A:A,J379)=0,"zone inconnue","France")</f>
        <v>France</v>
      </c>
      <c r="O379">
        <f>IF(COUNTIF(Zoning!A:A,J379)=0,"taux inconnu",_xlfn.XLOOKUP(J379,Zoning!A:A,Zoning!C:C))</f>
        <v>0.2</v>
      </c>
      <c r="R379" t="str">
        <f>IF(TCD!K380="","",TCD!K380)</f>
        <v/>
      </c>
      <c r="S379" t="str">
        <f>IF(TCD!F380="","",TCD!F380)</f>
        <v/>
      </c>
      <c r="T379" t="str">
        <f>IF(TCD!E380="","",TCD!E380)</f>
        <v/>
      </c>
      <c r="U379">
        <f>SUM(TCD!H380:J380)</f>
        <v>4.82</v>
      </c>
    </row>
    <row r="380" spans="1:24" x14ac:dyDescent="0.25">
      <c r="A380" s="1" t="str">
        <f>_xlfn.XLOOKUP(G380,'Facture GLS'!AB:AB,'Facture GLS'!O:O)</f>
        <v>BY FOUTAS</v>
      </c>
      <c r="B380" t="str">
        <f t="shared" si="15"/>
        <v>GLS</v>
      </c>
      <c r="C380" s="2">
        <f t="shared" si="16"/>
        <v>46174</v>
      </c>
      <c r="G380" t="str">
        <f>TCD!D381</f>
        <v>00L0NE0W</v>
      </c>
      <c r="I380" t="s">
        <v>104</v>
      </c>
      <c r="J380" t="str">
        <f>_xlfn.XLOOKUP(G380,'Facture GLS'!AB:AB,'Facture GLS'!BB:BB)</f>
        <v>FR</v>
      </c>
      <c r="K380" t="str">
        <f>IF(COUNTIF(Zoning!A:A,J380)=0,"pays inconnu",LOOKUP(J380,Zoning!A:A,Zoning!B:B))</f>
        <v>France</v>
      </c>
      <c r="L380">
        <f t="shared" si="17"/>
        <v>1</v>
      </c>
      <c r="M380">
        <f>_xlfn.XLOOKUP(G380,Poids!A:A,Poids!C:C)</f>
        <v>0.5</v>
      </c>
      <c r="N380" t="str">
        <f>IF(COUNTIF(Zoning!A:A,J380)=0,"zone inconnue","France")</f>
        <v>France</v>
      </c>
      <c r="O380">
        <f>IF(COUNTIF(Zoning!A:A,J380)=0,"taux inconnu",_xlfn.XLOOKUP(J380,Zoning!A:A,Zoning!C:C))</f>
        <v>0.2</v>
      </c>
      <c r="R380" t="str">
        <f>IF(TCD!K381="","",TCD!K381)</f>
        <v/>
      </c>
      <c r="S380" t="str">
        <f>IF(TCD!F381="","",TCD!F381)</f>
        <v/>
      </c>
      <c r="T380" t="str">
        <f>IF(TCD!E381="","",TCD!E381)</f>
        <v/>
      </c>
      <c r="U380">
        <f>SUM(TCD!H381:J381)</f>
        <v>4.82</v>
      </c>
    </row>
    <row r="381" spans="1:24" x14ac:dyDescent="0.25">
      <c r="A381" s="1" t="str">
        <f>_xlfn.XLOOKUP(G381,'Facture GLS'!AB:AB,'Facture GLS'!O:O)</f>
        <v>BY FOUTAS</v>
      </c>
      <c r="B381" t="str">
        <f t="shared" si="15"/>
        <v>GLS</v>
      </c>
      <c r="C381" s="2">
        <f t="shared" si="16"/>
        <v>46174</v>
      </c>
      <c r="G381" t="str">
        <f>TCD!D382</f>
        <v>00L0NE0X</v>
      </c>
      <c r="I381" t="s">
        <v>104</v>
      </c>
      <c r="J381" t="str">
        <f>_xlfn.XLOOKUP(G381,'Facture GLS'!AB:AB,'Facture GLS'!BB:BB)</f>
        <v>FR</v>
      </c>
      <c r="K381" t="str">
        <f>IF(COUNTIF(Zoning!A:A,J381)=0,"pays inconnu",LOOKUP(J381,Zoning!A:A,Zoning!B:B))</f>
        <v>France</v>
      </c>
      <c r="L381">
        <f t="shared" si="17"/>
        <v>1</v>
      </c>
      <c r="M381">
        <f>_xlfn.XLOOKUP(G381,Poids!A:A,Poids!C:C)</f>
        <v>0.9</v>
      </c>
      <c r="N381" t="str">
        <f>IF(COUNTIF(Zoning!A:A,J381)=0,"zone inconnue","France")</f>
        <v>France</v>
      </c>
      <c r="O381">
        <f>IF(COUNTIF(Zoning!A:A,J381)=0,"taux inconnu",_xlfn.XLOOKUP(J381,Zoning!A:A,Zoning!C:C))</f>
        <v>0.2</v>
      </c>
      <c r="R381" t="str">
        <f>IF(TCD!K382="","",TCD!K382)</f>
        <v/>
      </c>
      <c r="S381" t="str">
        <f>IF(TCD!F382="","",TCD!F382)</f>
        <v/>
      </c>
      <c r="T381" t="str">
        <f>IF(TCD!E382="","",TCD!E382)</f>
        <v/>
      </c>
      <c r="U381">
        <f>SUM(TCD!H382:J382)</f>
        <v>5.15</v>
      </c>
    </row>
    <row r="382" spans="1:24" x14ac:dyDescent="0.25">
      <c r="A382" s="1" t="str">
        <f>_xlfn.XLOOKUP(G382,'Facture GLS'!AB:AB,'Facture GLS'!O:O)</f>
        <v>BY FOUTAS</v>
      </c>
      <c r="B382" t="str">
        <f t="shared" si="15"/>
        <v>GLS</v>
      </c>
      <c r="C382" s="2">
        <f t="shared" si="16"/>
        <v>46174</v>
      </c>
      <c r="G382" t="str">
        <f>TCD!D383</f>
        <v>00L0NE0Y</v>
      </c>
      <c r="I382" t="s">
        <v>104</v>
      </c>
      <c r="J382" t="str">
        <f>_xlfn.XLOOKUP(G382,'Facture GLS'!AB:AB,'Facture GLS'!BB:BB)</f>
        <v>FR</v>
      </c>
      <c r="K382" t="str">
        <f>IF(COUNTIF(Zoning!A:A,J382)=0,"pays inconnu",LOOKUP(J382,Zoning!A:A,Zoning!B:B))</f>
        <v>France</v>
      </c>
      <c r="L382">
        <f t="shared" si="17"/>
        <v>1</v>
      </c>
      <c r="M382">
        <f>_xlfn.XLOOKUP(G382,Poids!A:A,Poids!C:C)</f>
        <v>1.2000000000000002</v>
      </c>
      <c r="N382" t="str">
        <f>IF(COUNTIF(Zoning!A:A,J382)=0,"zone inconnue","France")</f>
        <v>France</v>
      </c>
      <c r="O382">
        <f>IF(COUNTIF(Zoning!A:A,J382)=0,"taux inconnu",_xlfn.XLOOKUP(J382,Zoning!A:A,Zoning!C:C))</f>
        <v>0.2</v>
      </c>
      <c r="R382" t="str">
        <f>IF(TCD!K383="","",TCD!K383)</f>
        <v/>
      </c>
      <c r="S382" t="str">
        <f>IF(TCD!F383="","",TCD!F383)</f>
        <v/>
      </c>
      <c r="T382" t="str">
        <f>IF(TCD!E383="","",TCD!E383)</f>
        <v/>
      </c>
      <c r="U382">
        <f>SUM(TCD!H383:J383)</f>
        <v>5.4700000000000006</v>
      </c>
      <c r="X382" s="35"/>
    </row>
    <row r="383" spans="1:24" x14ac:dyDescent="0.25">
      <c r="A383" s="1" t="str">
        <f>_xlfn.XLOOKUP(G383,'Facture GLS'!AB:AB,'Facture GLS'!O:O)</f>
        <v>BY FOUTAS</v>
      </c>
      <c r="B383" t="str">
        <f t="shared" si="15"/>
        <v>GLS</v>
      </c>
      <c r="C383" s="2">
        <f t="shared" si="16"/>
        <v>46174</v>
      </c>
      <c r="G383" t="str">
        <f>TCD!D384</f>
        <v>00L0NE0Z</v>
      </c>
      <c r="I383" t="s">
        <v>104</v>
      </c>
      <c r="J383" t="str">
        <f>_xlfn.XLOOKUP(G383,'Facture GLS'!AB:AB,'Facture GLS'!BB:BB)</f>
        <v>FR</v>
      </c>
      <c r="K383" t="str">
        <f>IF(COUNTIF(Zoning!A:A,J383)=0,"pays inconnu",LOOKUP(J383,Zoning!A:A,Zoning!B:B))</f>
        <v>France</v>
      </c>
      <c r="L383">
        <f t="shared" si="17"/>
        <v>1</v>
      </c>
      <c r="M383">
        <f>_xlfn.XLOOKUP(G383,Poids!A:A,Poids!C:C)</f>
        <v>1.1000000000000001</v>
      </c>
      <c r="N383" t="str">
        <f>IF(COUNTIF(Zoning!A:A,J383)=0,"zone inconnue","France")</f>
        <v>France</v>
      </c>
      <c r="O383">
        <f>IF(COUNTIF(Zoning!A:A,J383)=0,"taux inconnu",_xlfn.XLOOKUP(J383,Zoning!A:A,Zoning!C:C))</f>
        <v>0.2</v>
      </c>
      <c r="R383" t="str">
        <f>IF(TCD!K384="","",TCD!K384)</f>
        <v/>
      </c>
      <c r="S383" t="str">
        <f>IF(TCD!F384="","",TCD!F384)</f>
        <v/>
      </c>
      <c r="T383" t="str">
        <f>IF(TCD!E384="","",TCD!E384)</f>
        <v/>
      </c>
      <c r="U383">
        <f>SUM(TCD!H384:J384)</f>
        <v>5.4700000000000006</v>
      </c>
    </row>
    <row r="384" spans="1:24" x14ac:dyDescent="0.25">
      <c r="A384" s="1" t="str">
        <f>_xlfn.XLOOKUP(G384,'Facture GLS'!AB:AB,'Facture GLS'!O:O)</f>
        <v>BY FOUTAS</v>
      </c>
      <c r="B384" t="str">
        <f t="shared" si="15"/>
        <v>GLS</v>
      </c>
      <c r="C384" s="2">
        <f t="shared" si="16"/>
        <v>46174</v>
      </c>
      <c r="G384" t="str">
        <f>TCD!D385</f>
        <v>00L0NE10</v>
      </c>
      <c r="I384" t="s">
        <v>104</v>
      </c>
      <c r="J384" t="str">
        <f>_xlfn.XLOOKUP(G384,'Facture GLS'!AB:AB,'Facture GLS'!BB:BB)</f>
        <v>FR</v>
      </c>
      <c r="K384" t="str">
        <f>IF(COUNTIF(Zoning!A:A,J384)=0,"pays inconnu",LOOKUP(J384,Zoning!A:A,Zoning!B:B))</f>
        <v>France</v>
      </c>
      <c r="L384">
        <f t="shared" si="17"/>
        <v>1</v>
      </c>
      <c r="M384">
        <f>_xlfn.XLOOKUP(G384,Poids!A:A,Poids!C:C)</f>
        <v>1.1000000000000001</v>
      </c>
      <c r="N384" t="str">
        <f>IF(COUNTIF(Zoning!A:A,J384)=0,"zone inconnue","France")</f>
        <v>France</v>
      </c>
      <c r="O384">
        <f>IF(COUNTIF(Zoning!A:A,J384)=0,"taux inconnu",_xlfn.XLOOKUP(J384,Zoning!A:A,Zoning!C:C))</f>
        <v>0.2</v>
      </c>
      <c r="R384" t="str">
        <f>IF(TCD!K385="","",TCD!K385)</f>
        <v/>
      </c>
      <c r="S384" t="str">
        <f>IF(TCD!F385="","",TCD!F385)</f>
        <v/>
      </c>
      <c r="T384" t="str">
        <f>IF(TCD!E385="","",TCD!E385)</f>
        <v/>
      </c>
      <c r="U384">
        <f>SUM(TCD!H385:J385)</f>
        <v>5.4700000000000006</v>
      </c>
    </row>
    <row r="385" spans="1:21" x14ac:dyDescent="0.25">
      <c r="A385" s="1" t="str">
        <f>_xlfn.XLOOKUP(G385,'Facture GLS'!AB:AB,'Facture GLS'!O:O)</f>
        <v>BY FOUTAS</v>
      </c>
      <c r="B385" t="str">
        <f t="shared" si="15"/>
        <v>GLS</v>
      </c>
      <c r="C385" s="2">
        <f t="shared" si="16"/>
        <v>46174</v>
      </c>
      <c r="G385" t="str">
        <f>TCD!D386</f>
        <v>00L0NE11</v>
      </c>
      <c r="I385" t="s">
        <v>104</v>
      </c>
      <c r="J385" t="str">
        <f>_xlfn.XLOOKUP(G385,'Facture GLS'!AB:AB,'Facture GLS'!BB:BB)</f>
        <v>FR</v>
      </c>
      <c r="K385" t="str">
        <f>IF(COUNTIF(Zoning!A:A,J385)=0,"pays inconnu",LOOKUP(J385,Zoning!A:A,Zoning!B:B))</f>
        <v>France</v>
      </c>
      <c r="L385">
        <f t="shared" si="17"/>
        <v>1</v>
      </c>
      <c r="M385">
        <f>_xlfn.XLOOKUP(G385,Poids!A:A,Poids!C:C)</f>
        <v>0.5</v>
      </c>
      <c r="N385" t="str">
        <f>IF(COUNTIF(Zoning!A:A,J385)=0,"zone inconnue","France")</f>
        <v>France</v>
      </c>
      <c r="O385">
        <f>IF(COUNTIF(Zoning!A:A,J385)=0,"taux inconnu",_xlfn.XLOOKUP(J385,Zoning!A:A,Zoning!C:C))</f>
        <v>0.2</v>
      </c>
      <c r="R385" t="str">
        <f>IF(TCD!K386="","",TCD!K386)</f>
        <v/>
      </c>
      <c r="S385" t="str">
        <f>IF(TCD!F386="","",TCD!F386)</f>
        <v/>
      </c>
      <c r="T385" t="str">
        <f>IF(TCD!E386="","",TCD!E386)</f>
        <v/>
      </c>
      <c r="U385">
        <f>SUM(TCD!H386:J386)</f>
        <v>4.82</v>
      </c>
    </row>
    <row r="386" spans="1:21" x14ac:dyDescent="0.25">
      <c r="A386" s="1" t="str">
        <f>_xlfn.XLOOKUP(G386,'Facture GLS'!AB:AB,'Facture GLS'!O:O)</f>
        <v>BY FOUTAS</v>
      </c>
      <c r="B386" t="str">
        <f t="shared" si="15"/>
        <v>GLS</v>
      </c>
      <c r="C386" s="2">
        <f t="shared" si="16"/>
        <v>46174</v>
      </c>
      <c r="G386" t="str">
        <f>TCD!D387</f>
        <v>00L0NE12</v>
      </c>
      <c r="I386" t="s">
        <v>104</v>
      </c>
      <c r="J386" t="str">
        <f>_xlfn.XLOOKUP(G386,'Facture GLS'!AB:AB,'Facture GLS'!BB:BB)</f>
        <v>FR</v>
      </c>
      <c r="K386" t="str">
        <f>IF(COUNTIF(Zoning!A:A,J386)=0,"pays inconnu",LOOKUP(J386,Zoning!A:A,Zoning!B:B))</f>
        <v>France</v>
      </c>
      <c r="L386">
        <f t="shared" si="17"/>
        <v>1</v>
      </c>
      <c r="M386">
        <f>_xlfn.XLOOKUP(G386,Poids!A:A,Poids!C:C)</f>
        <v>0.4</v>
      </c>
      <c r="N386" t="str">
        <f>IF(COUNTIF(Zoning!A:A,J386)=0,"zone inconnue","France")</f>
        <v>France</v>
      </c>
      <c r="O386">
        <f>IF(COUNTIF(Zoning!A:A,J386)=0,"taux inconnu",_xlfn.XLOOKUP(J386,Zoning!A:A,Zoning!C:C))</f>
        <v>0.2</v>
      </c>
      <c r="R386" t="str">
        <f>IF(TCD!K387="","",TCD!K387)</f>
        <v/>
      </c>
      <c r="S386" t="str">
        <f>IF(TCD!F387="","",TCD!F387)</f>
        <v/>
      </c>
      <c r="T386" t="str">
        <f>IF(TCD!E387="","",TCD!E387)</f>
        <v/>
      </c>
      <c r="U386">
        <f>SUM(TCD!H387:J387)</f>
        <v>4.82</v>
      </c>
    </row>
    <row r="387" spans="1:21" x14ac:dyDescent="0.25">
      <c r="A387" s="1" t="str">
        <f>_xlfn.XLOOKUP(G387,'Facture GLS'!AB:AB,'Facture GLS'!O:O)</f>
        <v>BY FOUTAS</v>
      </c>
      <c r="B387" t="str">
        <f t="shared" si="15"/>
        <v>GLS</v>
      </c>
      <c r="C387" s="2">
        <f t="shared" si="16"/>
        <v>46174</v>
      </c>
      <c r="G387" t="str">
        <f>TCD!D388</f>
        <v>00L0NE13</v>
      </c>
      <c r="I387" t="s">
        <v>104</v>
      </c>
      <c r="J387" t="str">
        <f>_xlfn.XLOOKUP(G387,'Facture GLS'!AB:AB,'Facture GLS'!BB:BB)</f>
        <v>FR</v>
      </c>
      <c r="K387" t="str">
        <f>IF(COUNTIF(Zoning!A:A,J387)=0,"pays inconnu",LOOKUP(J387,Zoning!A:A,Zoning!B:B))</f>
        <v>France</v>
      </c>
      <c r="L387">
        <f t="shared" si="17"/>
        <v>1</v>
      </c>
      <c r="M387">
        <f>_xlfn.XLOOKUP(G387,Poids!A:A,Poids!C:C)</f>
        <v>0.5</v>
      </c>
      <c r="N387" t="str">
        <f>IF(COUNTIF(Zoning!A:A,J387)=0,"zone inconnue","France")</f>
        <v>France</v>
      </c>
      <c r="O387">
        <f>IF(COUNTIF(Zoning!A:A,J387)=0,"taux inconnu",_xlfn.XLOOKUP(J387,Zoning!A:A,Zoning!C:C))</f>
        <v>0.2</v>
      </c>
      <c r="R387" t="str">
        <f>IF(TCD!K388="","",TCD!K388)</f>
        <v/>
      </c>
      <c r="S387" t="str">
        <f>IF(TCD!F388="","",TCD!F388)</f>
        <v/>
      </c>
      <c r="T387" t="str">
        <f>IF(TCD!E388="","",TCD!E388)</f>
        <v/>
      </c>
      <c r="U387">
        <f>SUM(TCD!H388:J388)</f>
        <v>4.82</v>
      </c>
    </row>
    <row r="388" spans="1:21" x14ac:dyDescent="0.25">
      <c r="A388" s="1" t="str">
        <f>_xlfn.XLOOKUP(G388,'Facture GLS'!AB:AB,'Facture GLS'!O:O)</f>
        <v>BY FOUTAS</v>
      </c>
      <c r="B388" t="str">
        <f t="shared" ref="B388:B429" si="18">B387</f>
        <v>GLS</v>
      </c>
      <c r="C388" s="2">
        <f t="shared" ref="C388:C429" si="19">C387</f>
        <v>46174</v>
      </c>
      <c r="G388" t="str">
        <f>TCD!D389</f>
        <v>00L0NE14</v>
      </c>
      <c r="I388" t="s">
        <v>104</v>
      </c>
      <c r="J388" t="str">
        <f>_xlfn.XLOOKUP(G388,'Facture GLS'!AB:AB,'Facture GLS'!BB:BB)</f>
        <v>FR</v>
      </c>
      <c r="K388" t="str">
        <f>IF(COUNTIF(Zoning!A:A,J388)=0,"pays inconnu",LOOKUP(J388,Zoning!A:A,Zoning!B:B))</f>
        <v>France</v>
      </c>
      <c r="L388">
        <f t="shared" ref="L388:L429" si="20">L387</f>
        <v>1</v>
      </c>
      <c r="M388">
        <f>_xlfn.XLOOKUP(G388,Poids!A:A,Poids!C:C)</f>
        <v>0.5</v>
      </c>
      <c r="N388" t="str">
        <f>IF(COUNTIF(Zoning!A:A,J388)=0,"zone inconnue","France")</f>
        <v>France</v>
      </c>
      <c r="O388">
        <f>IF(COUNTIF(Zoning!A:A,J388)=0,"taux inconnu",_xlfn.XLOOKUP(J388,Zoning!A:A,Zoning!C:C))</f>
        <v>0.2</v>
      </c>
      <c r="R388" t="str">
        <f>IF(TCD!K389="","",TCD!K389)</f>
        <v/>
      </c>
      <c r="S388" t="str">
        <f>IF(TCD!F389="","",TCD!F389)</f>
        <v/>
      </c>
      <c r="T388" t="str">
        <f>IF(TCD!E389="","",TCD!E389)</f>
        <v/>
      </c>
      <c r="U388">
        <f>SUM(TCD!H389:J389)</f>
        <v>4.82</v>
      </c>
    </row>
    <row r="389" spans="1:21" x14ac:dyDescent="0.25">
      <c r="A389" s="1" t="str">
        <f>_xlfn.XLOOKUP(G389,'Facture GLS'!AB:AB,'Facture GLS'!O:O)</f>
        <v>BY FOUTAS</v>
      </c>
      <c r="B389" t="str">
        <f t="shared" si="18"/>
        <v>GLS</v>
      </c>
      <c r="C389" s="2">
        <f t="shared" si="19"/>
        <v>46174</v>
      </c>
      <c r="G389" t="str">
        <f>TCD!D390</f>
        <v>00L0NE15</v>
      </c>
      <c r="I389" t="s">
        <v>104</v>
      </c>
      <c r="J389" t="str">
        <f>_xlfn.XLOOKUP(G389,'Facture GLS'!AB:AB,'Facture GLS'!BB:BB)</f>
        <v>FR</v>
      </c>
      <c r="K389" t="str">
        <f>IF(COUNTIF(Zoning!A:A,J389)=0,"pays inconnu",LOOKUP(J389,Zoning!A:A,Zoning!B:B))</f>
        <v>France</v>
      </c>
      <c r="L389">
        <f t="shared" si="20"/>
        <v>1</v>
      </c>
      <c r="M389">
        <f>_xlfn.XLOOKUP(G389,Poids!A:A,Poids!C:C)</f>
        <v>1.1000000000000001</v>
      </c>
      <c r="N389" t="str">
        <f>IF(COUNTIF(Zoning!A:A,J389)=0,"zone inconnue","France")</f>
        <v>France</v>
      </c>
      <c r="O389">
        <f>IF(COUNTIF(Zoning!A:A,J389)=0,"taux inconnu",_xlfn.XLOOKUP(J389,Zoning!A:A,Zoning!C:C))</f>
        <v>0.2</v>
      </c>
      <c r="R389" t="str">
        <f>IF(TCD!K390="","",TCD!K390)</f>
        <v/>
      </c>
      <c r="S389" t="str">
        <f>IF(TCD!F390="","",TCD!F390)</f>
        <v/>
      </c>
      <c r="T389" t="str">
        <f>IF(TCD!E390="","",TCD!E390)</f>
        <v/>
      </c>
      <c r="U389">
        <f>SUM(TCD!H390:J390)</f>
        <v>5.4700000000000006</v>
      </c>
    </row>
    <row r="390" spans="1:21" x14ac:dyDescent="0.25">
      <c r="A390" s="1" t="str">
        <f>_xlfn.XLOOKUP(G390,'Facture GLS'!AB:AB,'Facture GLS'!O:O)</f>
        <v>BY FOUTAS</v>
      </c>
      <c r="B390" t="str">
        <f t="shared" si="18"/>
        <v>GLS</v>
      </c>
      <c r="C390" s="2">
        <f t="shared" si="19"/>
        <v>46174</v>
      </c>
      <c r="G390" t="str">
        <f>TCD!D391</f>
        <v>00L0NE16</v>
      </c>
      <c r="I390" t="s">
        <v>104</v>
      </c>
      <c r="J390" t="str">
        <f>_xlfn.XLOOKUP(G390,'Facture GLS'!AB:AB,'Facture GLS'!BB:BB)</f>
        <v>FR</v>
      </c>
      <c r="K390" t="str">
        <f>IF(COUNTIF(Zoning!A:A,J390)=0,"pays inconnu",LOOKUP(J390,Zoning!A:A,Zoning!B:B))</f>
        <v>France</v>
      </c>
      <c r="L390">
        <f t="shared" si="20"/>
        <v>1</v>
      </c>
      <c r="M390">
        <f>_xlfn.XLOOKUP(G390,Poids!A:A,Poids!C:C)</f>
        <v>1.2000000000000002</v>
      </c>
      <c r="N390" t="str">
        <f>IF(COUNTIF(Zoning!A:A,J390)=0,"zone inconnue","France")</f>
        <v>France</v>
      </c>
      <c r="O390">
        <f>IF(COUNTIF(Zoning!A:A,J390)=0,"taux inconnu",_xlfn.XLOOKUP(J390,Zoning!A:A,Zoning!C:C))</f>
        <v>0.2</v>
      </c>
      <c r="R390" t="str">
        <f>IF(TCD!K391="","",TCD!K391)</f>
        <v/>
      </c>
      <c r="S390" t="str">
        <f>IF(TCD!F391="","",TCD!F391)</f>
        <v/>
      </c>
      <c r="T390" t="str">
        <f>IF(TCD!E391="","",TCD!E391)</f>
        <v/>
      </c>
      <c r="U390">
        <f>SUM(TCD!H391:J391)</f>
        <v>5.4700000000000006</v>
      </c>
    </row>
    <row r="391" spans="1:21" x14ac:dyDescent="0.25">
      <c r="A391" s="1" t="str">
        <f>_xlfn.XLOOKUP(G391,'Facture GLS'!AB:AB,'Facture GLS'!O:O)</f>
        <v>BY FOUTAS</v>
      </c>
      <c r="B391" t="str">
        <f t="shared" si="18"/>
        <v>GLS</v>
      </c>
      <c r="C391" s="2">
        <f t="shared" si="19"/>
        <v>46174</v>
      </c>
      <c r="G391" t="str">
        <f>TCD!D392</f>
        <v>00L0NE17</v>
      </c>
      <c r="I391" t="s">
        <v>104</v>
      </c>
      <c r="J391" t="str">
        <f>_xlfn.XLOOKUP(G391,'Facture GLS'!AB:AB,'Facture GLS'!BB:BB)</f>
        <v>FR</v>
      </c>
      <c r="K391" t="str">
        <f>IF(COUNTIF(Zoning!A:A,J391)=0,"pays inconnu",LOOKUP(J391,Zoning!A:A,Zoning!B:B))</f>
        <v>France</v>
      </c>
      <c r="L391">
        <f t="shared" si="20"/>
        <v>1</v>
      </c>
      <c r="M391">
        <f>_xlfn.XLOOKUP(G391,Poids!A:A,Poids!C:C)</f>
        <v>1.2000000000000002</v>
      </c>
      <c r="N391" t="str">
        <f>IF(COUNTIF(Zoning!A:A,J391)=0,"zone inconnue","France")</f>
        <v>France</v>
      </c>
      <c r="O391">
        <f>IF(COUNTIF(Zoning!A:A,J391)=0,"taux inconnu",_xlfn.XLOOKUP(J391,Zoning!A:A,Zoning!C:C))</f>
        <v>0.2</v>
      </c>
      <c r="R391" t="str">
        <f>IF(TCD!K392="","",TCD!K392)</f>
        <v/>
      </c>
      <c r="S391" t="str">
        <f>IF(TCD!F392="","",TCD!F392)</f>
        <v/>
      </c>
      <c r="T391" t="str">
        <f>IF(TCD!E392="","",TCD!E392)</f>
        <v/>
      </c>
      <c r="U391">
        <f>SUM(TCD!H392:J392)</f>
        <v>5.4700000000000006</v>
      </c>
    </row>
    <row r="392" spans="1:21" x14ac:dyDescent="0.25">
      <c r="A392" s="1" t="str">
        <f>_xlfn.XLOOKUP(G392,'Facture GLS'!AB:AB,'Facture GLS'!O:O)</f>
        <v>BY FOUTAS</v>
      </c>
      <c r="B392" t="str">
        <f t="shared" si="18"/>
        <v>GLS</v>
      </c>
      <c r="C392" s="2">
        <f t="shared" si="19"/>
        <v>46174</v>
      </c>
      <c r="G392" t="str">
        <f>TCD!D393</f>
        <v>00L0NE18</v>
      </c>
      <c r="I392" t="s">
        <v>104</v>
      </c>
      <c r="J392" t="str">
        <f>_xlfn.XLOOKUP(G392,'Facture GLS'!AB:AB,'Facture GLS'!BB:BB)</f>
        <v>FR</v>
      </c>
      <c r="K392" t="str">
        <f>IF(COUNTIF(Zoning!A:A,J392)=0,"pays inconnu",LOOKUP(J392,Zoning!A:A,Zoning!B:B))</f>
        <v>France</v>
      </c>
      <c r="L392">
        <f t="shared" si="20"/>
        <v>1</v>
      </c>
      <c r="M392">
        <f>_xlfn.XLOOKUP(G392,Poids!A:A,Poids!C:C)</f>
        <v>1.2000000000000002</v>
      </c>
      <c r="N392" t="str">
        <f>IF(COUNTIF(Zoning!A:A,J392)=0,"zone inconnue","France")</f>
        <v>France</v>
      </c>
      <c r="O392">
        <f>IF(COUNTIF(Zoning!A:A,J392)=0,"taux inconnu",_xlfn.XLOOKUP(J392,Zoning!A:A,Zoning!C:C))</f>
        <v>0.2</v>
      </c>
      <c r="R392" t="str">
        <f>IF(TCD!K393="","",TCD!K393)</f>
        <v/>
      </c>
      <c r="S392" t="str">
        <f>IF(TCD!F393="","",TCD!F393)</f>
        <v/>
      </c>
      <c r="T392" t="str">
        <f>IF(TCD!E393="","",TCD!E393)</f>
        <v/>
      </c>
      <c r="U392">
        <f>SUM(TCD!H393:J393)</f>
        <v>5.4700000000000006</v>
      </c>
    </row>
    <row r="393" spans="1:21" x14ac:dyDescent="0.25">
      <c r="A393" s="1" t="str">
        <f>_xlfn.XLOOKUP(G393,'Facture GLS'!AB:AB,'Facture GLS'!O:O)</f>
        <v>BY FOUTAS</v>
      </c>
      <c r="B393" t="str">
        <f t="shared" si="18"/>
        <v>GLS</v>
      </c>
      <c r="C393" s="2">
        <f t="shared" si="19"/>
        <v>46174</v>
      </c>
      <c r="G393" t="str">
        <f>TCD!D394</f>
        <v>00L0NE19</v>
      </c>
      <c r="I393" t="s">
        <v>104</v>
      </c>
      <c r="J393" t="str">
        <f>_xlfn.XLOOKUP(G393,'Facture GLS'!AB:AB,'Facture GLS'!BB:BB)</f>
        <v>FR</v>
      </c>
      <c r="K393" t="str">
        <f>IF(COUNTIF(Zoning!A:A,J393)=0,"pays inconnu",LOOKUP(J393,Zoning!A:A,Zoning!B:B))</f>
        <v>France</v>
      </c>
      <c r="L393">
        <f t="shared" si="20"/>
        <v>1</v>
      </c>
      <c r="M393">
        <f>_xlfn.XLOOKUP(G393,Poids!A:A,Poids!C:C)</f>
        <v>1.2000000000000002</v>
      </c>
      <c r="N393" t="str">
        <f>IF(COUNTIF(Zoning!A:A,J393)=0,"zone inconnue","France")</f>
        <v>France</v>
      </c>
      <c r="O393">
        <f>IF(COUNTIF(Zoning!A:A,J393)=0,"taux inconnu",_xlfn.XLOOKUP(J393,Zoning!A:A,Zoning!C:C))</f>
        <v>0.2</v>
      </c>
      <c r="R393" t="str">
        <f>IF(TCD!K394="","",TCD!K394)</f>
        <v/>
      </c>
      <c r="S393" t="str">
        <f>IF(TCD!F394="","",TCD!F394)</f>
        <v/>
      </c>
      <c r="T393" t="str">
        <f>IF(TCD!E394="","",TCD!E394)</f>
        <v/>
      </c>
      <c r="U393">
        <f>SUM(TCD!H394:J394)</f>
        <v>5.4700000000000006</v>
      </c>
    </row>
    <row r="394" spans="1:21" x14ac:dyDescent="0.25">
      <c r="A394" s="1" t="str">
        <f>_xlfn.XLOOKUP(G394,'Facture GLS'!AB:AB,'Facture GLS'!O:O)</f>
        <v>BY FOUTAS</v>
      </c>
      <c r="B394" t="str">
        <f t="shared" si="18"/>
        <v>GLS</v>
      </c>
      <c r="C394" s="2">
        <f t="shared" si="19"/>
        <v>46174</v>
      </c>
      <c r="G394" t="str">
        <f>TCD!D395</f>
        <v>00L0NE1A</v>
      </c>
      <c r="I394" t="s">
        <v>104</v>
      </c>
      <c r="J394" t="str">
        <f>_xlfn.XLOOKUP(G394,'Facture GLS'!AB:AB,'Facture GLS'!BB:BB)</f>
        <v>FR</v>
      </c>
      <c r="K394" t="str">
        <f>IF(COUNTIF(Zoning!A:A,J394)=0,"pays inconnu",LOOKUP(J394,Zoning!A:A,Zoning!B:B))</f>
        <v>France</v>
      </c>
      <c r="L394">
        <f t="shared" si="20"/>
        <v>1</v>
      </c>
      <c r="M394">
        <f>_xlfn.XLOOKUP(G394,Poids!A:A,Poids!C:C)</f>
        <v>1.2000000000000002</v>
      </c>
      <c r="N394" t="str">
        <f>IF(COUNTIF(Zoning!A:A,J394)=0,"zone inconnue","France")</f>
        <v>France</v>
      </c>
      <c r="O394">
        <f>IF(COUNTIF(Zoning!A:A,J394)=0,"taux inconnu",_xlfn.XLOOKUP(J394,Zoning!A:A,Zoning!C:C))</f>
        <v>0.2</v>
      </c>
      <c r="R394" t="str">
        <f>IF(TCD!K395="","",TCD!K395)</f>
        <v/>
      </c>
      <c r="S394" t="str">
        <f>IF(TCD!F395="","",TCD!F395)</f>
        <v/>
      </c>
      <c r="T394" t="str">
        <f>IF(TCD!E395="","",TCD!E395)</f>
        <v/>
      </c>
      <c r="U394">
        <f>SUM(TCD!H395:J395)</f>
        <v>5.4700000000000006</v>
      </c>
    </row>
    <row r="395" spans="1:21" x14ac:dyDescent="0.25">
      <c r="A395" s="1" t="str">
        <f>_xlfn.XLOOKUP(G395,'Facture GLS'!AB:AB,'Facture GLS'!O:O)</f>
        <v>BY FOUTAS</v>
      </c>
      <c r="B395" t="str">
        <f t="shared" si="18"/>
        <v>GLS</v>
      </c>
      <c r="C395" s="2">
        <f t="shared" si="19"/>
        <v>46174</v>
      </c>
      <c r="G395" t="str">
        <f>TCD!D396</f>
        <v>00L0NE1B</v>
      </c>
      <c r="I395" t="s">
        <v>104</v>
      </c>
      <c r="J395" t="str">
        <f>_xlfn.XLOOKUP(G395,'Facture GLS'!AB:AB,'Facture GLS'!BB:BB)</f>
        <v>FR</v>
      </c>
      <c r="K395" t="str">
        <f>IF(COUNTIF(Zoning!A:A,J395)=0,"pays inconnu",LOOKUP(J395,Zoning!A:A,Zoning!B:B))</f>
        <v>France</v>
      </c>
      <c r="L395">
        <f t="shared" si="20"/>
        <v>1</v>
      </c>
      <c r="M395">
        <f>_xlfn.XLOOKUP(G395,Poids!A:A,Poids!C:C)</f>
        <v>1.2000000000000002</v>
      </c>
      <c r="N395" t="str">
        <f>IF(COUNTIF(Zoning!A:A,J395)=0,"zone inconnue","France")</f>
        <v>France</v>
      </c>
      <c r="O395">
        <f>IF(COUNTIF(Zoning!A:A,J395)=0,"taux inconnu",_xlfn.XLOOKUP(J395,Zoning!A:A,Zoning!C:C))</f>
        <v>0.2</v>
      </c>
      <c r="R395" t="str">
        <f>IF(TCD!K396="","",TCD!K396)</f>
        <v/>
      </c>
      <c r="S395" t="str">
        <f>IF(TCD!F396="","",TCD!F396)</f>
        <v/>
      </c>
      <c r="T395" t="str">
        <f>IF(TCD!E396="","",TCD!E396)</f>
        <v/>
      </c>
      <c r="U395">
        <f>SUM(TCD!H396:J396)</f>
        <v>5.4700000000000006</v>
      </c>
    </row>
    <row r="396" spans="1:21" x14ac:dyDescent="0.25">
      <c r="A396" s="1" t="str">
        <f>_xlfn.XLOOKUP(G396,'Facture GLS'!AB:AB,'Facture GLS'!O:O)</f>
        <v>BY FOUTAS</v>
      </c>
      <c r="B396" t="str">
        <f t="shared" si="18"/>
        <v>GLS</v>
      </c>
      <c r="C396" s="2">
        <f t="shared" si="19"/>
        <v>46174</v>
      </c>
      <c r="G396" t="str">
        <f>TCD!D397</f>
        <v>00L0NE1C</v>
      </c>
      <c r="I396" t="s">
        <v>104</v>
      </c>
      <c r="J396" t="str">
        <f>_xlfn.XLOOKUP(G396,'Facture GLS'!AB:AB,'Facture GLS'!BB:BB)</f>
        <v>FR</v>
      </c>
      <c r="K396" t="str">
        <f>IF(COUNTIF(Zoning!A:A,J396)=0,"pays inconnu",LOOKUP(J396,Zoning!A:A,Zoning!B:B))</f>
        <v>France</v>
      </c>
      <c r="L396">
        <f t="shared" si="20"/>
        <v>1</v>
      </c>
      <c r="M396">
        <f>_xlfn.XLOOKUP(G396,Poids!A:A,Poids!C:C)</f>
        <v>1.1000000000000001</v>
      </c>
      <c r="N396" t="str">
        <f>IF(COUNTIF(Zoning!A:A,J396)=0,"zone inconnue","France")</f>
        <v>France</v>
      </c>
      <c r="O396">
        <f>IF(COUNTIF(Zoning!A:A,J396)=0,"taux inconnu",_xlfn.XLOOKUP(J396,Zoning!A:A,Zoning!C:C))</f>
        <v>0.2</v>
      </c>
      <c r="R396" t="str">
        <f>IF(TCD!K397="","",TCD!K397)</f>
        <v/>
      </c>
      <c r="S396" t="str">
        <f>IF(TCD!F397="","",TCD!F397)</f>
        <v/>
      </c>
      <c r="T396" t="str">
        <f>IF(TCD!E397="","",TCD!E397)</f>
        <v/>
      </c>
      <c r="U396">
        <f>SUM(TCD!H397:J397)</f>
        <v>5.4700000000000006</v>
      </c>
    </row>
    <row r="397" spans="1:21" x14ac:dyDescent="0.25">
      <c r="A397" s="1" t="str">
        <f>_xlfn.XLOOKUP(G397,'Facture GLS'!AB:AB,'Facture GLS'!O:O)</f>
        <v>BY FOUTAS</v>
      </c>
      <c r="B397" t="str">
        <f t="shared" si="18"/>
        <v>GLS</v>
      </c>
      <c r="C397" s="2">
        <f t="shared" si="19"/>
        <v>46174</v>
      </c>
      <c r="G397" t="str">
        <f>TCD!D398</f>
        <v>00L0NE1D</v>
      </c>
      <c r="I397" t="s">
        <v>104</v>
      </c>
      <c r="J397" t="str">
        <f>_xlfn.XLOOKUP(G397,'Facture GLS'!AB:AB,'Facture GLS'!BB:BB)</f>
        <v>FR</v>
      </c>
      <c r="K397" t="str">
        <f>IF(COUNTIF(Zoning!A:A,J397)=0,"pays inconnu",LOOKUP(J397,Zoning!A:A,Zoning!B:B))</f>
        <v>France</v>
      </c>
      <c r="L397">
        <f t="shared" si="20"/>
        <v>1</v>
      </c>
      <c r="M397">
        <f>_xlfn.XLOOKUP(G397,Poids!A:A,Poids!C:C)</f>
        <v>1.1000000000000001</v>
      </c>
      <c r="N397" t="str">
        <f>IF(COUNTIF(Zoning!A:A,J397)=0,"zone inconnue","France")</f>
        <v>France</v>
      </c>
      <c r="O397">
        <f>IF(COUNTIF(Zoning!A:A,J397)=0,"taux inconnu",_xlfn.XLOOKUP(J397,Zoning!A:A,Zoning!C:C))</f>
        <v>0.2</v>
      </c>
      <c r="R397" t="str">
        <f>IF(TCD!K398="","",TCD!K398)</f>
        <v/>
      </c>
      <c r="S397" t="str">
        <f>IF(TCD!F398="","",TCD!F398)</f>
        <v/>
      </c>
      <c r="T397" t="str">
        <f>IF(TCD!E398="","",TCD!E398)</f>
        <v/>
      </c>
      <c r="U397">
        <f>SUM(TCD!H398:J398)</f>
        <v>5.4700000000000006</v>
      </c>
    </row>
    <row r="398" spans="1:21" x14ac:dyDescent="0.25">
      <c r="A398" s="1" t="str">
        <f>_xlfn.XLOOKUP(G398,'Facture GLS'!AB:AB,'Facture GLS'!O:O)</f>
        <v>BY FOUTAS</v>
      </c>
      <c r="B398" t="str">
        <f t="shared" si="18"/>
        <v>GLS</v>
      </c>
      <c r="C398" s="2">
        <f t="shared" si="19"/>
        <v>46174</v>
      </c>
      <c r="G398" t="str">
        <f>TCD!D399</f>
        <v>00L0NE1E</v>
      </c>
      <c r="I398" t="s">
        <v>104</v>
      </c>
      <c r="J398" t="str">
        <f>_xlfn.XLOOKUP(G398,'Facture GLS'!AB:AB,'Facture GLS'!BB:BB)</f>
        <v>FR</v>
      </c>
      <c r="K398" t="str">
        <f>IF(COUNTIF(Zoning!A:A,J398)=0,"pays inconnu",LOOKUP(J398,Zoning!A:A,Zoning!B:B))</f>
        <v>France</v>
      </c>
      <c r="L398">
        <f t="shared" si="20"/>
        <v>1</v>
      </c>
      <c r="M398">
        <f>_xlfn.XLOOKUP(G398,Poids!A:A,Poids!C:C)</f>
        <v>1.6</v>
      </c>
      <c r="N398" t="str">
        <f>IF(COUNTIF(Zoning!A:A,J398)=0,"zone inconnue","France")</f>
        <v>France</v>
      </c>
      <c r="O398">
        <f>IF(COUNTIF(Zoning!A:A,J398)=0,"taux inconnu",_xlfn.XLOOKUP(J398,Zoning!A:A,Zoning!C:C))</f>
        <v>0.2</v>
      </c>
      <c r="R398" t="str">
        <f>IF(TCD!K399="","",TCD!K399)</f>
        <v/>
      </c>
      <c r="S398" t="str">
        <f>IF(TCD!F399="","",TCD!F399)</f>
        <v/>
      </c>
      <c r="T398" t="str">
        <f>IF(TCD!E399="","",TCD!E399)</f>
        <v/>
      </c>
      <c r="U398">
        <f>SUM(TCD!H399:J399)</f>
        <v>5.4700000000000006</v>
      </c>
    </row>
    <row r="399" spans="1:21" x14ac:dyDescent="0.25">
      <c r="A399" s="1" t="str">
        <f>_xlfn.XLOOKUP(G399,'Facture GLS'!AB:AB,'Facture GLS'!O:O)</f>
        <v>BY FOUTAS</v>
      </c>
      <c r="B399" t="str">
        <f t="shared" si="18"/>
        <v>GLS</v>
      </c>
      <c r="C399" s="2">
        <f t="shared" si="19"/>
        <v>46174</v>
      </c>
      <c r="G399" t="str">
        <f>TCD!D400</f>
        <v>00L0NE1F</v>
      </c>
      <c r="I399" t="s">
        <v>104</v>
      </c>
      <c r="J399" t="str">
        <f>_xlfn.XLOOKUP(G399,'Facture GLS'!AB:AB,'Facture GLS'!BB:BB)</f>
        <v>FR</v>
      </c>
      <c r="K399" t="str">
        <f>IF(COUNTIF(Zoning!A:A,J399)=0,"pays inconnu",LOOKUP(J399,Zoning!A:A,Zoning!B:B))</f>
        <v>France</v>
      </c>
      <c r="L399">
        <f t="shared" si="20"/>
        <v>1</v>
      </c>
      <c r="M399">
        <f>_xlfn.XLOOKUP(G399,Poids!A:A,Poids!C:C)</f>
        <v>0.4</v>
      </c>
      <c r="N399" t="str">
        <f>IF(COUNTIF(Zoning!A:A,J399)=0,"zone inconnue","France")</f>
        <v>France</v>
      </c>
      <c r="O399">
        <f>IF(COUNTIF(Zoning!A:A,J399)=0,"taux inconnu",_xlfn.XLOOKUP(J399,Zoning!A:A,Zoning!C:C))</f>
        <v>0.2</v>
      </c>
      <c r="R399" t="str">
        <f>IF(TCD!K400="","",TCD!K400)</f>
        <v/>
      </c>
      <c r="S399" t="str">
        <f>IF(TCD!F400="","",TCD!F400)</f>
        <v/>
      </c>
      <c r="T399" t="str">
        <f>IF(TCD!E400="","",TCD!E400)</f>
        <v/>
      </c>
      <c r="U399">
        <f>SUM(TCD!H400:J400)</f>
        <v>4.82</v>
      </c>
    </row>
    <row r="400" spans="1:21" x14ac:dyDescent="0.25">
      <c r="A400" s="1" t="str">
        <f>_xlfn.XLOOKUP(G400,'Facture GLS'!AB:AB,'Facture GLS'!O:O)</f>
        <v>BY FOUTAS</v>
      </c>
      <c r="B400" t="str">
        <f t="shared" si="18"/>
        <v>GLS</v>
      </c>
      <c r="C400" s="2">
        <f t="shared" si="19"/>
        <v>46174</v>
      </c>
      <c r="G400" t="str">
        <f>TCD!D401</f>
        <v>00L0NE1G</v>
      </c>
      <c r="I400" t="s">
        <v>104</v>
      </c>
      <c r="J400" t="str">
        <f>_xlfn.XLOOKUP(G400,'Facture GLS'!AB:AB,'Facture GLS'!BB:BB)</f>
        <v>FR</v>
      </c>
      <c r="K400" t="str">
        <f>IF(COUNTIF(Zoning!A:A,J400)=0,"pays inconnu",LOOKUP(J400,Zoning!A:A,Zoning!B:B))</f>
        <v>France</v>
      </c>
      <c r="L400">
        <f t="shared" si="20"/>
        <v>1</v>
      </c>
      <c r="M400">
        <f>_xlfn.XLOOKUP(G400,Poids!A:A,Poids!C:C)</f>
        <v>1.2000000000000002</v>
      </c>
      <c r="N400" t="str">
        <f>IF(COUNTIF(Zoning!A:A,J400)=0,"zone inconnue","France")</f>
        <v>France</v>
      </c>
      <c r="O400">
        <f>IF(COUNTIF(Zoning!A:A,J400)=0,"taux inconnu",_xlfn.XLOOKUP(J400,Zoning!A:A,Zoning!C:C))</f>
        <v>0.2</v>
      </c>
      <c r="R400" t="str">
        <f>IF(TCD!K401="","",TCD!K401)</f>
        <v/>
      </c>
      <c r="S400" t="str">
        <f>IF(TCD!F401="","",TCD!F401)</f>
        <v/>
      </c>
      <c r="T400" t="str">
        <f>IF(TCD!E401="","",TCD!E401)</f>
        <v/>
      </c>
      <c r="U400">
        <f>SUM(TCD!H401:J401)</f>
        <v>5.4700000000000006</v>
      </c>
    </row>
    <row r="401" spans="1:21" x14ac:dyDescent="0.25">
      <c r="A401" s="1" t="str">
        <f>_xlfn.XLOOKUP(G401,'Facture GLS'!AB:AB,'Facture GLS'!O:O)</f>
        <v>BY FOUTAS</v>
      </c>
      <c r="B401" t="str">
        <f t="shared" si="18"/>
        <v>GLS</v>
      </c>
      <c r="C401" s="2">
        <f t="shared" si="19"/>
        <v>46174</v>
      </c>
      <c r="G401" t="str">
        <f>TCD!D402</f>
        <v>00L0NE1H</v>
      </c>
      <c r="I401" t="s">
        <v>104</v>
      </c>
      <c r="J401" t="str">
        <f>_xlfn.XLOOKUP(G401,'Facture GLS'!AB:AB,'Facture GLS'!BB:BB)</f>
        <v>FR</v>
      </c>
      <c r="K401" t="str">
        <f>IF(COUNTIF(Zoning!A:A,J401)=0,"pays inconnu",LOOKUP(J401,Zoning!A:A,Zoning!B:B))</f>
        <v>France</v>
      </c>
      <c r="L401">
        <f t="shared" si="20"/>
        <v>1</v>
      </c>
      <c r="M401">
        <f>_xlfn.XLOOKUP(G401,Poids!A:A,Poids!C:C)</f>
        <v>1.9000000000000001</v>
      </c>
      <c r="N401" t="str">
        <f>IF(COUNTIF(Zoning!A:A,J401)=0,"zone inconnue","France")</f>
        <v>France</v>
      </c>
      <c r="O401">
        <f>IF(COUNTIF(Zoning!A:A,J401)=0,"taux inconnu",_xlfn.XLOOKUP(J401,Zoning!A:A,Zoning!C:C))</f>
        <v>0.2</v>
      </c>
      <c r="R401" t="str">
        <f>IF(TCD!K402="","",TCD!K402)</f>
        <v/>
      </c>
      <c r="S401" t="str">
        <f>IF(TCD!F402="","",TCD!F402)</f>
        <v/>
      </c>
      <c r="T401" t="str">
        <f>IF(TCD!E402="","",TCD!E402)</f>
        <v/>
      </c>
      <c r="U401">
        <f>SUM(TCD!H402:J402)</f>
        <v>5.4700000000000006</v>
      </c>
    </row>
    <row r="402" spans="1:21" x14ac:dyDescent="0.25">
      <c r="A402" s="1" t="str">
        <f>_xlfn.XLOOKUP(G402,'Facture GLS'!AB:AB,'Facture GLS'!O:O)</f>
        <v>BY FOUTAS</v>
      </c>
      <c r="B402" t="str">
        <f t="shared" si="18"/>
        <v>GLS</v>
      </c>
      <c r="C402" s="2">
        <f t="shared" si="19"/>
        <v>46174</v>
      </c>
      <c r="G402" t="str">
        <f>TCD!D403</f>
        <v>00L0NE1I</v>
      </c>
      <c r="I402" t="s">
        <v>104</v>
      </c>
      <c r="J402" t="str">
        <f>_xlfn.XLOOKUP(G402,'Facture GLS'!AB:AB,'Facture GLS'!BB:BB)</f>
        <v>FR</v>
      </c>
      <c r="K402" t="str">
        <f>IF(COUNTIF(Zoning!A:A,J402)=0,"pays inconnu",LOOKUP(J402,Zoning!A:A,Zoning!B:B))</f>
        <v>France</v>
      </c>
      <c r="L402">
        <f t="shared" si="20"/>
        <v>1</v>
      </c>
      <c r="M402">
        <f>_xlfn.XLOOKUP(G402,Poids!A:A,Poids!C:C)</f>
        <v>2.2000000000000002</v>
      </c>
      <c r="N402" t="str">
        <f>IF(COUNTIF(Zoning!A:A,J402)=0,"zone inconnue","France")</f>
        <v>France</v>
      </c>
      <c r="O402">
        <f>IF(COUNTIF(Zoning!A:A,J402)=0,"taux inconnu",_xlfn.XLOOKUP(J402,Zoning!A:A,Zoning!C:C))</f>
        <v>0.2</v>
      </c>
      <c r="R402" t="str">
        <f>IF(TCD!K403="","",TCD!K403)</f>
        <v/>
      </c>
      <c r="S402" t="str">
        <f>IF(TCD!F403="","",TCD!F403)</f>
        <v/>
      </c>
      <c r="T402" t="str">
        <f>IF(TCD!E403="","",TCD!E403)</f>
        <v/>
      </c>
      <c r="U402">
        <f>SUM(TCD!H403:J403)</f>
        <v>5.7900000000000009</v>
      </c>
    </row>
    <row r="403" spans="1:21" x14ac:dyDescent="0.25">
      <c r="A403" s="1" t="str">
        <f>_xlfn.XLOOKUP(G403,'Facture GLS'!AB:AB,'Facture GLS'!O:O)</f>
        <v>BY FOUTAS</v>
      </c>
      <c r="B403" t="str">
        <f t="shared" si="18"/>
        <v>GLS</v>
      </c>
      <c r="C403" s="2">
        <f t="shared" si="19"/>
        <v>46174</v>
      </c>
      <c r="G403" t="str">
        <f>TCD!D404</f>
        <v>00L0NE1J</v>
      </c>
      <c r="I403" t="s">
        <v>104</v>
      </c>
      <c r="J403" t="str">
        <f>_xlfn.XLOOKUP(G403,'Facture GLS'!AB:AB,'Facture GLS'!BB:BB)</f>
        <v>FR</v>
      </c>
      <c r="K403" t="str">
        <f>IF(COUNTIF(Zoning!A:A,J403)=0,"pays inconnu",LOOKUP(J403,Zoning!A:A,Zoning!B:B))</f>
        <v>France</v>
      </c>
      <c r="L403">
        <f t="shared" si="20"/>
        <v>1</v>
      </c>
      <c r="M403">
        <f>_xlfn.XLOOKUP(G403,Poids!A:A,Poids!C:C)</f>
        <v>2</v>
      </c>
      <c r="N403" t="str">
        <f>IF(COUNTIF(Zoning!A:A,J403)=0,"zone inconnue","France")</f>
        <v>France</v>
      </c>
      <c r="O403">
        <f>IF(COUNTIF(Zoning!A:A,J403)=0,"taux inconnu",_xlfn.XLOOKUP(J403,Zoning!A:A,Zoning!C:C))</f>
        <v>0.2</v>
      </c>
      <c r="R403" t="str">
        <f>IF(TCD!K404="","",TCD!K404)</f>
        <v/>
      </c>
      <c r="S403" t="str">
        <f>IF(TCD!F404="","",TCD!F404)</f>
        <v/>
      </c>
      <c r="T403" t="str">
        <f>IF(TCD!E404="","",TCD!E404)</f>
        <v/>
      </c>
      <c r="U403">
        <f>SUM(TCD!H404:J404)</f>
        <v>5.4700000000000006</v>
      </c>
    </row>
    <row r="404" spans="1:21" x14ac:dyDescent="0.25">
      <c r="A404" s="1" t="str">
        <f>_xlfn.XLOOKUP(G404,'Facture GLS'!AB:AB,'Facture GLS'!O:O)</f>
        <v>BY FOUTAS</v>
      </c>
      <c r="B404" t="str">
        <f t="shared" si="18"/>
        <v>GLS</v>
      </c>
      <c r="C404" s="2">
        <f t="shared" si="19"/>
        <v>46174</v>
      </c>
      <c r="G404" t="str">
        <f>TCD!D405</f>
        <v>00L0NE1K</v>
      </c>
      <c r="I404" t="s">
        <v>104</v>
      </c>
      <c r="J404" t="str">
        <f>_xlfn.XLOOKUP(G404,'Facture GLS'!AB:AB,'Facture GLS'!BB:BB)</f>
        <v>FR</v>
      </c>
      <c r="K404" t="str">
        <f>IF(COUNTIF(Zoning!A:A,J404)=0,"pays inconnu",LOOKUP(J404,Zoning!A:A,Zoning!B:B))</f>
        <v>France</v>
      </c>
      <c r="L404">
        <f t="shared" si="20"/>
        <v>1</v>
      </c>
      <c r="M404">
        <f>_xlfn.XLOOKUP(G404,Poids!A:A,Poids!C:C)</f>
        <v>1.7</v>
      </c>
      <c r="N404" t="str">
        <f>IF(COUNTIF(Zoning!A:A,J404)=0,"zone inconnue","France")</f>
        <v>France</v>
      </c>
      <c r="O404">
        <f>IF(COUNTIF(Zoning!A:A,J404)=0,"taux inconnu",_xlfn.XLOOKUP(J404,Zoning!A:A,Zoning!C:C))</f>
        <v>0.2</v>
      </c>
      <c r="R404" t="str">
        <f>IF(TCD!K405="","",TCD!K405)</f>
        <v/>
      </c>
      <c r="S404" t="str">
        <f>IF(TCD!F405="","",TCD!F405)</f>
        <v/>
      </c>
      <c r="T404" t="str">
        <f>IF(TCD!E405="","",TCD!E405)</f>
        <v/>
      </c>
      <c r="U404">
        <f>SUM(TCD!H405:J405)</f>
        <v>5.4700000000000006</v>
      </c>
    </row>
    <row r="405" spans="1:21" x14ac:dyDescent="0.25">
      <c r="A405" s="1" t="str">
        <f>_xlfn.XLOOKUP(G405,'Facture GLS'!AB:AB,'Facture GLS'!O:O)</f>
        <v>BY FOUTAS</v>
      </c>
      <c r="B405" t="str">
        <f t="shared" si="18"/>
        <v>GLS</v>
      </c>
      <c r="C405" s="2">
        <f t="shared" si="19"/>
        <v>46174</v>
      </c>
      <c r="G405" t="str">
        <f>TCD!D406</f>
        <v>00L0NE1L</v>
      </c>
      <c r="I405" t="s">
        <v>104</v>
      </c>
      <c r="J405" t="str">
        <f>_xlfn.XLOOKUP(G405,'Facture GLS'!AB:AB,'Facture GLS'!BB:BB)</f>
        <v>FR</v>
      </c>
      <c r="K405" t="str">
        <f>IF(COUNTIF(Zoning!A:A,J405)=0,"pays inconnu",LOOKUP(J405,Zoning!A:A,Zoning!B:B))</f>
        <v>France</v>
      </c>
      <c r="L405">
        <f t="shared" si="20"/>
        <v>1</v>
      </c>
      <c r="M405">
        <f>_xlfn.XLOOKUP(G405,Poids!A:A,Poids!C:C)</f>
        <v>1.3</v>
      </c>
      <c r="N405" t="str">
        <f>IF(COUNTIF(Zoning!A:A,J405)=0,"zone inconnue","France")</f>
        <v>France</v>
      </c>
      <c r="O405">
        <f>IF(COUNTIF(Zoning!A:A,J405)=0,"taux inconnu",_xlfn.XLOOKUP(J405,Zoning!A:A,Zoning!C:C))</f>
        <v>0.2</v>
      </c>
      <c r="R405" t="str">
        <f>IF(TCD!K406="","",TCD!K406)</f>
        <v/>
      </c>
      <c r="S405" t="str">
        <f>IF(TCD!F406="","",TCD!F406)</f>
        <v/>
      </c>
      <c r="T405" t="str">
        <f>IF(TCD!E406="","",TCD!E406)</f>
        <v/>
      </c>
      <c r="U405">
        <f>SUM(TCD!H406:J406)</f>
        <v>5.4700000000000006</v>
      </c>
    </row>
    <row r="406" spans="1:21" x14ac:dyDescent="0.25">
      <c r="A406" s="1" t="str">
        <f>_xlfn.XLOOKUP(G406,'Facture GLS'!AB:AB,'Facture GLS'!O:O)</f>
        <v>BY FOUTAS</v>
      </c>
      <c r="B406" t="str">
        <f t="shared" si="18"/>
        <v>GLS</v>
      </c>
      <c r="C406" s="2">
        <f t="shared" si="19"/>
        <v>46174</v>
      </c>
      <c r="G406" t="str">
        <f>TCD!D407</f>
        <v>00L0NE1M</v>
      </c>
      <c r="I406" t="s">
        <v>104</v>
      </c>
      <c r="J406" t="str">
        <f>_xlfn.XLOOKUP(G406,'Facture GLS'!AB:AB,'Facture GLS'!BB:BB)</f>
        <v>FR</v>
      </c>
      <c r="K406" t="str">
        <f>IF(COUNTIF(Zoning!A:A,J406)=0,"pays inconnu",LOOKUP(J406,Zoning!A:A,Zoning!B:B))</f>
        <v>France</v>
      </c>
      <c r="L406">
        <f t="shared" si="20"/>
        <v>1</v>
      </c>
      <c r="M406">
        <f>_xlfn.XLOOKUP(G406,Poids!A:A,Poids!C:C)</f>
        <v>2.4</v>
      </c>
      <c r="N406" t="str">
        <f>IF(COUNTIF(Zoning!A:A,J406)=0,"zone inconnue","France")</f>
        <v>France</v>
      </c>
      <c r="O406">
        <f>IF(COUNTIF(Zoning!A:A,J406)=0,"taux inconnu",_xlfn.XLOOKUP(J406,Zoning!A:A,Zoning!C:C))</f>
        <v>0.2</v>
      </c>
      <c r="R406" t="str">
        <f>IF(TCD!K407="","",TCD!K407)</f>
        <v/>
      </c>
      <c r="S406" t="str">
        <f>IF(TCD!F407="","",TCD!F407)</f>
        <v/>
      </c>
      <c r="T406" t="str">
        <f>IF(TCD!E407="","",TCD!E407)</f>
        <v/>
      </c>
      <c r="U406">
        <f>SUM(TCD!H407:J407)</f>
        <v>5.7900000000000009</v>
      </c>
    </row>
    <row r="407" spans="1:21" x14ac:dyDescent="0.25">
      <c r="A407" s="1" t="str">
        <f>_xlfn.XLOOKUP(G407,'Facture GLS'!AB:AB,'Facture GLS'!O:O)</f>
        <v>BY FOUTAS</v>
      </c>
      <c r="B407" t="str">
        <f t="shared" si="18"/>
        <v>GLS</v>
      </c>
      <c r="C407" s="2">
        <f t="shared" si="19"/>
        <v>46174</v>
      </c>
      <c r="G407" t="str">
        <f>TCD!D408</f>
        <v>00L0NE1N</v>
      </c>
      <c r="I407" t="s">
        <v>104</v>
      </c>
      <c r="J407" t="str">
        <f>_xlfn.XLOOKUP(G407,'Facture GLS'!AB:AB,'Facture GLS'!BB:BB)</f>
        <v>FR</v>
      </c>
      <c r="K407" t="str">
        <f>IF(COUNTIF(Zoning!A:A,J407)=0,"pays inconnu",LOOKUP(J407,Zoning!A:A,Zoning!B:B))</f>
        <v>France</v>
      </c>
      <c r="L407">
        <f t="shared" si="20"/>
        <v>1</v>
      </c>
      <c r="M407">
        <f>_xlfn.XLOOKUP(G407,Poids!A:A,Poids!C:C)</f>
        <v>2</v>
      </c>
      <c r="N407" t="str">
        <f>IF(COUNTIF(Zoning!A:A,J407)=0,"zone inconnue","France")</f>
        <v>France</v>
      </c>
      <c r="O407">
        <f>IF(COUNTIF(Zoning!A:A,J407)=0,"taux inconnu",_xlfn.XLOOKUP(J407,Zoning!A:A,Zoning!C:C))</f>
        <v>0.2</v>
      </c>
      <c r="R407" t="str">
        <f>IF(TCD!K408="","",TCD!K408)</f>
        <v/>
      </c>
      <c r="S407" t="str">
        <f>IF(TCD!F408="","",TCD!F408)</f>
        <v/>
      </c>
      <c r="T407" t="str">
        <f>IF(TCD!E408="","",TCD!E408)</f>
        <v/>
      </c>
      <c r="U407">
        <f>SUM(TCD!H408:J408)</f>
        <v>5.4700000000000006</v>
      </c>
    </row>
    <row r="408" spans="1:21" x14ac:dyDescent="0.25">
      <c r="A408" s="1" t="str">
        <f>_xlfn.XLOOKUP(G408,'Facture GLS'!AB:AB,'Facture GLS'!O:O)</f>
        <v>BY FOUTAS</v>
      </c>
      <c r="B408" t="str">
        <f t="shared" si="18"/>
        <v>GLS</v>
      </c>
      <c r="C408" s="2">
        <f t="shared" si="19"/>
        <v>46174</v>
      </c>
      <c r="G408" t="str">
        <f>TCD!D409</f>
        <v>00L0NE1O</v>
      </c>
      <c r="I408" t="s">
        <v>104</v>
      </c>
      <c r="J408" t="str">
        <f>_xlfn.XLOOKUP(G408,'Facture GLS'!AB:AB,'Facture GLS'!BB:BB)</f>
        <v>FR</v>
      </c>
      <c r="K408" t="str">
        <f>IF(COUNTIF(Zoning!A:A,J408)=0,"pays inconnu",LOOKUP(J408,Zoning!A:A,Zoning!B:B))</f>
        <v>France</v>
      </c>
      <c r="L408">
        <f t="shared" si="20"/>
        <v>1</v>
      </c>
      <c r="M408">
        <f>_xlfn.XLOOKUP(G408,Poids!A:A,Poids!C:C)</f>
        <v>6</v>
      </c>
      <c r="N408" t="str">
        <f>IF(COUNTIF(Zoning!A:A,J408)=0,"zone inconnue","France")</f>
        <v>France</v>
      </c>
      <c r="O408">
        <f>IF(COUNTIF(Zoning!A:A,J408)=0,"taux inconnu",_xlfn.XLOOKUP(J408,Zoning!A:A,Zoning!C:C))</f>
        <v>0.2</v>
      </c>
      <c r="R408" t="str">
        <f>IF(TCD!K409="","",TCD!K409)</f>
        <v/>
      </c>
      <c r="S408" t="str">
        <f>IF(TCD!F409="","",TCD!F409)</f>
        <v/>
      </c>
      <c r="T408" t="str">
        <f>IF(TCD!E409="","",TCD!E409)</f>
        <v/>
      </c>
      <c r="U408">
        <f>SUM(TCD!H409:J409)</f>
        <v>7.4700000000000015</v>
      </c>
    </row>
    <row r="409" spans="1:21" x14ac:dyDescent="0.25">
      <c r="A409" s="1" t="str">
        <f>_xlfn.XLOOKUP(G409,'Facture GLS'!AB:AB,'Facture GLS'!O:O)</f>
        <v>BY FOUTAS</v>
      </c>
      <c r="B409" t="str">
        <f t="shared" si="18"/>
        <v>GLS</v>
      </c>
      <c r="C409" s="2">
        <f t="shared" si="19"/>
        <v>46174</v>
      </c>
      <c r="G409" t="str">
        <f>TCD!D410</f>
        <v>00L0NE1P</v>
      </c>
      <c r="I409" t="s">
        <v>104</v>
      </c>
      <c r="J409" t="str">
        <f>_xlfn.XLOOKUP(G409,'Facture GLS'!AB:AB,'Facture GLS'!BB:BB)</f>
        <v>FR</v>
      </c>
      <c r="K409" t="str">
        <f>IF(COUNTIF(Zoning!A:A,J409)=0,"pays inconnu",LOOKUP(J409,Zoning!A:A,Zoning!B:B))</f>
        <v>France</v>
      </c>
      <c r="L409">
        <f t="shared" si="20"/>
        <v>1</v>
      </c>
      <c r="M409">
        <f>_xlfn.XLOOKUP(G409,Poids!A:A,Poids!C:C)</f>
        <v>3.4</v>
      </c>
      <c r="N409" t="str">
        <f>IF(COUNTIF(Zoning!A:A,J409)=0,"zone inconnue","France")</f>
        <v>France</v>
      </c>
      <c r="O409">
        <f>IF(COUNTIF(Zoning!A:A,J409)=0,"taux inconnu",_xlfn.XLOOKUP(J409,Zoning!A:A,Zoning!C:C))</f>
        <v>0.2</v>
      </c>
      <c r="R409" t="str">
        <f>IF(TCD!K410="","",TCD!K410)</f>
        <v/>
      </c>
      <c r="S409" t="str">
        <f>IF(TCD!F410="","",TCD!F410)</f>
        <v/>
      </c>
      <c r="T409" t="str">
        <f>IF(TCD!E410="","",TCD!E410)</f>
        <v/>
      </c>
      <c r="U409">
        <f>SUM(TCD!H410:J410)</f>
        <v>6.3500000000000005</v>
      </c>
    </row>
    <row r="410" spans="1:21" x14ac:dyDescent="0.25">
      <c r="A410" s="1" t="str">
        <f>_xlfn.XLOOKUP(G410,'Facture GLS'!AB:AB,'Facture GLS'!O:O)</f>
        <v>BY FOUTAS</v>
      </c>
      <c r="B410" t="str">
        <f t="shared" si="18"/>
        <v>GLS</v>
      </c>
      <c r="C410" s="2">
        <f t="shared" si="19"/>
        <v>46174</v>
      </c>
      <c r="G410" t="str">
        <f>TCD!D411</f>
        <v>00L0NE1Q</v>
      </c>
      <c r="I410" t="s">
        <v>104</v>
      </c>
      <c r="J410" t="str">
        <f>_xlfn.XLOOKUP(G410,'Facture GLS'!AB:AB,'Facture GLS'!BB:BB)</f>
        <v>FR</v>
      </c>
      <c r="K410" t="str">
        <f>IF(COUNTIF(Zoning!A:A,J410)=0,"pays inconnu",LOOKUP(J410,Zoning!A:A,Zoning!B:B))</f>
        <v>France</v>
      </c>
      <c r="L410">
        <f t="shared" si="20"/>
        <v>1</v>
      </c>
      <c r="M410">
        <f>_xlfn.XLOOKUP(G410,Poids!A:A,Poids!C:C)</f>
        <v>5.8999999999999995</v>
      </c>
      <c r="N410" t="str">
        <f>IF(COUNTIF(Zoning!A:A,J410)=0,"zone inconnue","France")</f>
        <v>France</v>
      </c>
      <c r="O410">
        <f>IF(COUNTIF(Zoning!A:A,J410)=0,"taux inconnu",_xlfn.XLOOKUP(J410,Zoning!A:A,Zoning!C:C))</f>
        <v>0.2</v>
      </c>
      <c r="R410" t="str">
        <f>IF(TCD!K411="","",TCD!K411)</f>
        <v/>
      </c>
      <c r="S410" t="str">
        <f>IF(TCD!F411="","",TCD!F411)</f>
        <v/>
      </c>
      <c r="T410" t="str">
        <f>IF(TCD!E411="","",TCD!E411)</f>
        <v/>
      </c>
      <c r="U410">
        <f>SUM(TCD!H411:J411)</f>
        <v>7.4700000000000015</v>
      </c>
    </row>
    <row r="411" spans="1:21" x14ac:dyDescent="0.25">
      <c r="A411" s="1" t="str">
        <f>_xlfn.XLOOKUP(G411,'Facture GLS'!AB:AB,'Facture GLS'!O:O)</f>
        <v>BY FOUTAS</v>
      </c>
      <c r="B411" t="str">
        <f t="shared" si="18"/>
        <v>GLS</v>
      </c>
      <c r="C411" s="2">
        <f t="shared" si="19"/>
        <v>46174</v>
      </c>
      <c r="G411" t="str">
        <f>TCD!D412</f>
        <v>00L0NE1R</v>
      </c>
      <c r="I411" t="s">
        <v>104</v>
      </c>
      <c r="J411" t="str">
        <f>_xlfn.XLOOKUP(G411,'Facture GLS'!AB:AB,'Facture GLS'!BB:BB)</f>
        <v>FR</v>
      </c>
      <c r="K411" t="str">
        <f>IF(COUNTIF(Zoning!A:A,J411)=0,"pays inconnu",LOOKUP(J411,Zoning!A:A,Zoning!B:B))</f>
        <v>France</v>
      </c>
      <c r="L411">
        <f t="shared" si="20"/>
        <v>1</v>
      </c>
      <c r="M411">
        <f>_xlfn.XLOOKUP(G411,Poids!A:A,Poids!C:C)</f>
        <v>2.7</v>
      </c>
      <c r="N411" t="str">
        <f>IF(COUNTIF(Zoning!A:A,J411)=0,"zone inconnue","France")</f>
        <v>France</v>
      </c>
      <c r="O411">
        <f>IF(COUNTIF(Zoning!A:A,J411)=0,"taux inconnu",_xlfn.XLOOKUP(J411,Zoning!A:A,Zoning!C:C))</f>
        <v>0.2</v>
      </c>
      <c r="R411" t="str">
        <f>IF(TCD!K412="","",TCD!K412)</f>
        <v/>
      </c>
      <c r="S411" t="str">
        <f>IF(TCD!F412="","",TCD!F412)</f>
        <v/>
      </c>
      <c r="T411" t="str">
        <f>IF(TCD!E412="","",TCD!E412)</f>
        <v/>
      </c>
      <c r="U411">
        <f>SUM(TCD!H412:J412)</f>
        <v>5.7900000000000009</v>
      </c>
    </row>
    <row r="412" spans="1:21" x14ac:dyDescent="0.25">
      <c r="A412" s="1" t="str">
        <f>_xlfn.XLOOKUP(G412,'Facture GLS'!AB:AB,'Facture GLS'!O:O)</f>
        <v>BY FOUTAS</v>
      </c>
      <c r="B412" t="str">
        <f t="shared" si="18"/>
        <v>GLS</v>
      </c>
      <c r="C412" s="2">
        <f t="shared" si="19"/>
        <v>46174</v>
      </c>
      <c r="G412" t="str">
        <f>TCD!D413</f>
        <v>00L0NE1S</v>
      </c>
      <c r="I412" t="s">
        <v>104</v>
      </c>
      <c r="J412" t="str">
        <f>_xlfn.XLOOKUP(G412,'Facture GLS'!AB:AB,'Facture GLS'!BB:BB)</f>
        <v>FR</v>
      </c>
      <c r="K412" t="str">
        <f>IF(COUNTIF(Zoning!A:A,J412)=0,"pays inconnu",LOOKUP(J412,Zoning!A:A,Zoning!B:B))</f>
        <v>France</v>
      </c>
      <c r="L412">
        <f t="shared" si="20"/>
        <v>1</v>
      </c>
      <c r="M412">
        <f>_xlfn.XLOOKUP(G412,Poids!A:A,Poids!C:C)</f>
        <v>1.7000000000000002</v>
      </c>
      <c r="N412" t="str">
        <f>IF(COUNTIF(Zoning!A:A,J412)=0,"zone inconnue","France")</f>
        <v>France</v>
      </c>
      <c r="O412">
        <f>IF(COUNTIF(Zoning!A:A,J412)=0,"taux inconnu",_xlfn.XLOOKUP(J412,Zoning!A:A,Zoning!C:C))</f>
        <v>0.2</v>
      </c>
      <c r="R412" t="str">
        <f>IF(TCD!K413="","",TCD!K413)</f>
        <v/>
      </c>
      <c r="S412" t="str">
        <f>IF(TCD!F413="","",TCD!F413)</f>
        <v/>
      </c>
      <c r="T412" t="str">
        <f>IF(TCD!E413="","",TCD!E413)</f>
        <v/>
      </c>
      <c r="U412">
        <f>SUM(TCD!H413:J413)</f>
        <v>5.4700000000000006</v>
      </c>
    </row>
    <row r="413" spans="1:21" x14ac:dyDescent="0.25">
      <c r="A413" s="1" t="str">
        <f>_xlfn.XLOOKUP(G413,'Facture GLS'!AB:AB,'Facture GLS'!O:O)</f>
        <v>HARMANDI</v>
      </c>
      <c r="B413" t="str">
        <f t="shared" si="18"/>
        <v>GLS</v>
      </c>
      <c r="C413" s="2">
        <f t="shared" si="19"/>
        <v>46174</v>
      </c>
      <c r="G413" t="str">
        <f>TCD!D414</f>
        <v>00L0SRL4</v>
      </c>
      <c r="I413" t="s">
        <v>104</v>
      </c>
      <c r="J413" t="str">
        <f>_xlfn.XLOOKUP(G413,'Facture GLS'!AB:AB,'Facture GLS'!BB:BB)</f>
        <v>FR</v>
      </c>
      <c r="K413" t="str">
        <f>IF(COUNTIF(Zoning!A:A,J413)=0,"pays inconnu",LOOKUP(J413,Zoning!A:A,Zoning!B:B))</f>
        <v>France</v>
      </c>
      <c r="L413">
        <f t="shared" si="20"/>
        <v>1</v>
      </c>
      <c r="M413">
        <f>_xlfn.XLOOKUP(G413,Poids!A:A,Poids!C:C)</f>
        <v>1.1000000000000001</v>
      </c>
      <c r="N413" t="str">
        <f>IF(COUNTIF(Zoning!A:A,J413)=0,"zone inconnue","France")</f>
        <v>France</v>
      </c>
      <c r="O413">
        <f>IF(COUNTIF(Zoning!A:A,J413)=0,"taux inconnu",_xlfn.XLOOKUP(J413,Zoning!A:A,Zoning!C:C))</f>
        <v>0.2</v>
      </c>
      <c r="R413" t="str">
        <f>IF(TCD!K414="","",TCD!K414)</f>
        <v/>
      </c>
      <c r="S413" t="str">
        <f>IF(TCD!F414="","",TCD!F414)</f>
        <v/>
      </c>
      <c r="T413" t="str">
        <f>IF(TCD!E414="","",TCD!E414)</f>
        <v/>
      </c>
      <c r="U413">
        <f>SUM(TCD!H414:J414)</f>
        <v>5.4700000000000006</v>
      </c>
    </row>
    <row r="414" spans="1:21" x14ac:dyDescent="0.25">
      <c r="A414" s="1" t="str">
        <f>_xlfn.XLOOKUP(G414,'Facture GLS'!AB:AB,'Facture GLS'!O:O)</f>
        <v>Laboratoires Christian Roche</v>
      </c>
      <c r="B414" t="str">
        <f t="shared" si="18"/>
        <v>GLS</v>
      </c>
      <c r="C414" s="2">
        <f t="shared" si="19"/>
        <v>46174</v>
      </c>
      <c r="G414" t="str">
        <f>TCD!D415</f>
        <v>00L29F9X</v>
      </c>
      <c r="I414" t="s">
        <v>104</v>
      </c>
      <c r="J414" t="str">
        <f>_xlfn.XLOOKUP(G414,'Facture GLS'!AB:AB,'Facture GLS'!BB:BB)</f>
        <v>FR</v>
      </c>
      <c r="K414" t="str">
        <f>IF(COUNTIF(Zoning!A:A,J414)=0,"pays inconnu",LOOKUP(J414,Zoning!A:A,Zoning!B:B))</f>
        <v>France</v>
      </c>
      <c r="L414">
        <f t="shared" si="20"/>
        <v>1</v>
      </c>
      <c r="M414">
        <f>_xlfn.XLOOKUP(G414,Poids!A:A,Poids!C:C)</f>
        <v>2.4</v>
      </c>
      <c r="N414" t="str">
        <f>IF(COUNTIF(Zoning!A:A,J414)=0,"zone inconnue","France")</f>
        <v>France</v>
      </c>
      <c r="O414">
        <f>IF(COUNTIF(Zoning!A:A,J414)=0,"taux inconnu",_xlfn.XLOOKUP(J414,Zoning!A:A,Zoning!C:C))</f>
        <v>0.2</v>
      </c>
      <c r="R414">
        <f>IF(TCD!K415="","",TCD!K415)</f>
        <v>5.0599999999999996</v>
      </c>
      <c r="S414" t="str">
        <f>IF(TCD!F415="","",TCD!F415)</f>
        <v/>
      </c>
      <c r="T414" t="str">
        <f>IF(TCD!E415="","",TCD!E415)</f>
        <v/>
      </c>
      <c r="U414">
        <f>SUM(TCD!H415:J415)</f>
        <v>5.7900000000000009</v>
      </c>
    </row>
    <row r="415" spans="1:21" x14ac:dyDescent="0.25">
      <c r="A415" s="1" t="str">
        <f>_xlfn.XLOOKUP(G415,'Facture GLS'!AB:AB,'Facture GLS'!O:O)</f>
        <v>Laboratoires Christian Roche</v>
      </c>
      <c r="B415" t="str">
        <f t="shared" si="18"/>
        <v>GLS</v>
      </c>
      <c r="C415" s="2">
        <f t="shared" si="19"/>
        <v>46174</v>
      </c>
      <c r="G415" t="str">
        <f>TCD!D416</f>
        <v>00L29FI2</v>
      </c>
      <c r="I415" t="s">
        <v>104</v>
      </c>
      <c r="J415" t="str">
        <f>_xlfn.XLOOKUP(G415,'Facture GLS'!AB:AB,'Facture GLS'!BB:BB)</f>
        <v>FR</v>
      </c>
      <c r="K415" t="str">
        <f>IF(COUNTIF(Zoning!A:A,J415)=0,"pays inconnu",LOOKUP(J415,Zoning!A:A,Zoning!B:B))</f>
        <v>France</v>
      </c>
      <c r="L415">
        <f t="shared" si="20"/>
        <v>1</v>
      </c>
      <c r="M415">
        <f>_xlfn.XLOOKUP(G415,Poids!A:A,Poids!C:C)</f>
        <v>3</v>
      </c>
      <c r="N415" t="str">
        <f>IF(COUNTIF(Zoning!A:A,J415)=0,"zone inconnue","France")</f>
        <v>France</v>
      </c>
      <c r="O415">
        <f>IF(COUNTIF(Zoning!A:A,J415)=0,"taux inconnu",_xlfn.XLOOKUP(J415,Zoning!A:A,Zoning!C:C))</f>
        <v>0.2</v>
      </c>
      <c r="R415" t="str">
        <f>IF(TCD!K416="","",TCD!K416)</f>
        <v/>
      </c>
      <c r="S415" t="str">
        <f>IF(TCD!F416="","",TCD!F416)</f>
        <v/>
      </c>
      <c r="T415" t="str">
        <f>IF(TCD!E416="","",TCD!E416)</f>
        <v/>
      </c>
      <c r="U415">
        <f>SUM(TCD!H416:J416)</f>
        <v>5.7900000000000009</v>
      </c>
    </row>
    <row r="416" spans="1:21" x14ac:dyDescent="0.25">
      <c r="A416" s="1" t="str">
        <f>_xlfn.XLOOKUP(G416,'Facture GLS'!AB:AB,'Facture GLS'!O:O)</f>
        <v>Laboratoires Christian Roche</v>
      </c>
      <c r="B416" t="str">
        <f t="shared" si="18"/>
        <v>GLS</v>
      </c>
      <c r="C416" s="2">
        <f t="shared" si="19"/>
        <v>46174</v>
      </c>
      <c r="G416" t="str">
        <f>TCD!D417</f>
        <v>00L2R9O3</v>
      </c>
      <c r="I416" t="s">
        <v>104</v>
      </c>
      <c r="J416" t="str">
        <f>_xlfn.XLOOKUP(G416,'Facture GLS'!AB:AB,'Facture GLS'!BB:BB)</f>
        <v>FR</v>
      </c>
      <c r="K416" t="str">
        <f>IF(COUNTIF(Zoning!A:A,J416)=0,"pays inconnu",LOOKUP(J416,Zoning!A:A,Zoning!B:B))</f>
        <v>France</v>
      </c>
      <c r="L416">
        <f t="shared" si="20"/>
        <v>1</v>
      </c>
      <c r="M416">
        <f>_xlfn.XLOOKUP(G416,Poids!A:A,Poids!C:C)</f>
        <v>2.4</v>
      </c>
      <c r="N416" t="str">
        <f>IF(COUNTIF(Zoning!A:A,J416)=0,"zone inconnue","France")</f>
        <v>France</v>
      </c>
      <c r="O416">
        <f>IF(COUNTIF(Zoning!A:A,J416)=0,"taux inconnu",_xlfn.XLOOKUP(J416,Zoning!A:A,Zoning!C:C))</f>
        <v>0.2</v>
      </c>
      <c r="R416" t="str">
        <f>IF(TCD!K417="","",TCD!K417)</f>
        <v/>
      </c>
      <c r="S416" t="str">
        <f>IF(TCD!F417="","",TCD!F417)</f>
        <v/>
      </c>
      <c r="T416" t="str">
        <f>IF(TCD!E417="","",TCD!E417)</f>
        <v/>
      </c>
      <c r="U416">
        <f>SUM(TCD!H417:J417)</f>
        <v>5.7900000000000009</v>
      </c>
    </row>
    <row r="417" spans="1:21" x14ac:dyDescent="0.25">
      <c r="A417" s="1" t="str">
        <f>_xlfn.XLOOKUP(G417,'Facture GLS'!AB:AB,'Facture GLS'!O:O)</f>
        <v>Laboratoires Christian Roche</v>
      </c>
      <c r="B417" t="str">
        <f t="shared" si="18"/>
        <v>GLS</v>
      </c>
      <c r="C417" s="2">
        <f t="shared" si="19"/>
        <v>46174</v>
      </c>
      <c r="G417" t="str">
        <f>TCD!D418</f>
        <v>00L2RVK3</v>
      </c>
      <c r="I417" t="s">
        <v>104</v>
      </c>
      <c r="J417" t="str">
        <f>_xlfn.XLOOKUP(G417,'Facture GLS'!AB:AB,'Facture GLS'!BB:BB)</f>
        <v>FR</v>
      </c>
      <c r="K417" t="str">
        <f>IF(COUNTIF(Zoning!A:A,J417)=0,"pays inconnu",LOOKUP(J417,Zoning!A:A,Zoning!B:B))</f>
        <v>France</v>
      </c>
      <c r="L417">
        <f t="shared" si="20"/>
        <v>1</v>
      </c>
      <c r="M417">
        <f>_xlfn.XLOOKUP(G417,Poids!A:A,Poids!C:C)</f>
        <v>4</v>
      </c>
      <c r="N417" t="str">
        <f>IF(COUNTIF(Zoning!A:A,J417)=0,"zone inconnue","France")</f>
        <v>France</v>
      </c>
      <c r="O417">
        <f>IF(COUNTIF(Zoning!A:A,J417)=0,"taux inconnu",_xlfn.XLOOKUP(J417,Zoning!A:A,Zoning!C:C))</f>
        <v>0.2</v>
      </c>
      <c r="R417" t="str">
        <f>IF(TCD!K418="","",TCD!K418)</f>
        <v/>
      </c>
      <c r="S417" t="str">
        <f>IF(TCD!F418="","",TCD!F418)</f>
        <v/>
      </c>
      <c r="T417" t="str">
        <f>IF(TCD!E418="","",TCD!E418)</f>
        <v/>
      </c>
      <c r="U417">
        <f>SUM(TCD!H418:J418)</f>
        <v>6.3500000000000005</v>
      </c>
    </row>
    <row r="418" spans="1:21" x14ac:dyDescent="0.25">
      <c r="A418" s="1" t="str">
        <f>_xlfn.XLOOKUP(G418,'Facture GLS'!AB:AB,'Facture GLS'!O:O)</f>
        <v>EDRA</v>
      </c>
      <c r="B418" t="str">
        <f t="shared" si="18"/>
        <v>GLS</v>
      </c>
      <c r="C418" s="2">
        <f t="shared" si="19"/>
        <v>46174</v>
      </c>
      <c r="G418" t="str">
        <f>TCD!D419</f>
        <v>00L2X6VJ</v>
      </c>
      <c r="I418" t="s">
        <v>104</v>
      </c>
      <c r="J418" t="str">
        <f>_xlfn.XLOOKUP(G418,'Facture GLS'!AB:AB,'Facture GLS'!BB:BB)</f>
        <v>FR</v>
      </c>
      <c r="K418" t="str">
        <f>IF(COUNTIF(Zoning!A:A,J418)=0,"pays inconnu",LOOKUP(J418,Zoning!A:A,Zoning!B:B))</f>
        <v>France</v>
      </c>
      <c r="L418">
        <f t="shared" si="20"/>
        <v>1</v>
      </c>
      <c r="M418">
        <f>_xlfn.XLOOKUP(G418,Poids!A:A,Poids!C:C)</f>
        <v>4.5999999999999996</v>
      </c>
      <c r="N418" t="str">
        <f>IF(COUNTIF(Zoning!A:A,J418)=0,"zone inconnue","France")</f>
        <v>France</v>
      </c>
      <c r="O418">
        <f>IF(COUNTIF(Zoning!A:A,J418)=0,"taux inconnu",_xlfn.XLOOKUP(J418,Zoning!A:A,Zoning!C:C))</f>
        <v>0.2</v>
      </c>
      <c r="R418" t="str">
        <f>IF(TCD!K419="","",TCD!K419)</f>
        <v/>
      </c>
      <c r="S418" t="str">
        <f>IF(TCD!F419="","",TCD!F419)</f>
        <v/>
      </c>
      <c r="T418" t="str">
        <f>IF(TCD!E419="","",TCD!E419)</f>
        <v/>
      </c>
      <c r="U418">
        <f>SUM(TCD!H419:J419)</f>
        <v>6.910000000000001</v>
      </c>
    </row>
    <row r="419" spans="1:21" x14ac:dyDescent="0.25">
      <c r="A419" s="1" t="str">
        <f>_xlfn.XLOOKUP(G419,'Facture GLS'!AB:AB,'Facture GLS'!O:O)</f>
        <v>Laboratoires Christian Roche</v>
      </c>
      <c r="B419" t="str">
        <f t="shared" si="18"/>
        <v>GLS</v>
      </c>
      <c r="C419" s="2">
        <f t="shared" si="19"/>
        <v>46174</v>
      </c>
      <c r="G419" t="str">
        <f>TCD!D420</f>
        <v>00L3602K</v>
      </c>
      <c r="I419" t="s">
        <v>104</v>
      </c>
      <c r="J419" t="str">
        <f>_xlfn.XLOOKUP(G419,'Facture GLS'!AB:AB,'Facture GLS'!BB:BB)</f>
        <v>FR</v>
      </c>
      <c r="K419" t="str">
        <f>IF(COUNTIF(Zoning!A:A,J419)=0,"pays inconnu",LOOKUP(J419,Zoning!A:A,Zoning!B:B))</f>
        <v>France</v>
      </c>
      <c r="L419">
        <f t="shared" si="20"/>
        <v>1</v>
      </c>
      <c r="M419">
        <f>_xlfn.XLOOKUP(G419,Poids!A:A,Poids!C:C)</f>
        <v>10.6</v>
      </c>
      <c r="N419" t="str">
        <f>IF(COUNTIF(Zoning!A:A,J419)=0,"zone inconnue","France")</f>
        <v>France</v>
      </c>
      <c r="O419">
        <f>IF(COUNTIF(Zoning!A:A,J419)=0,"taux inconnu",_xlfn.XLOOKUP(J419,Zoning!A:A,Zoning!C:C))</f>
        <v>0.2</v>
      </c>
      <c r="R419" t="str">
        <f>IF(TCD!K420="","",TCD!K420)</f>
        <v/>
      </c>
      <c r="S419" t="str">
        <f>IF(TCD!F420="","",TCD!F420)</f>
        <v/>
      </c>
      <c r="T419" t="str">
        <f>IF(TCD!E420="","",TCD!E420)</f>
        <v/>
      </c>
      <c r="U419">
        <f>SUM(TCD!H420:J420)</f>
        <v>10.58</v>
      </c>
    </row>
    <row r="420" spans="1:21" x14ac:dyDescent="0.25">
      <c r="A420" s="1" t="str">
        <f>_xlfn.XLOOKUP(G420,'Facture GLS'!AB:AB,'Facture GLS'!O:O)</f>
        <v>Laboratoires Christian Roche</v>
      </c>
      <c r="B420" t="str">
        <f t="shared" si="18"/>
        <v>GLS</v>
      </c>
      <c r="C420" s="2">
        <f t="shared" si="19"/>
        <v>46174</v>
      </c>
      <c r="G420" t="str">
        <f>TCD!D421</f>
        <v>00L3602L</v>
      </c>
      <c r="I420" t="s">
        <v>104</v>
      </c>
      <c r="J420" t="str">
        <f>_xlfn.XLOOKUP(G420,'Facture GLS'!AB:AB,'Facture GLS'!BB:BB)</f>
        <v>FR</v>
      </c>
      <c r="K420" t="str">
        <f>IF(COUNTIF(Zoning!A:A,J420)=0,"pays inconnu",LOOKUP(J420,Zoning!A:A,Zoning!B:B))</f>
        <v>France</v>
      </c>
      <c r="L420">
        <f t="shared" si="20"/>
        <v>1</v>
      </c>
      <c r="M420">
        <f>_xlfn.XLOOKUP(G420,Poids!A:A,Poids!C:C)</f>
        <v>11.9</v>
      </c>
      <c r="N420" t="str">
        <f>IF(COUNTIF(Zoning!A:A,J420)=0,"zone inconnue","France")</f>
        <v>France</v>
      </c>
      <c r="O420">
        <f>IF(COUNTIF(Zoning!A:A,J420)=0,"taux inconnu",_xlfn.XLOOKUP(J420,Zoning!A:A,Zoning!C:C))</f>
        <v>0.2</v>
      </c>
      <c r="R420" t="str">
        <f>IF(TCD!K421="","",TCD!K421)</f>
        <v/>
      </c>
      <c r="S420" t="str">
        <f>IF(TCD!F421="","",TCD!F421)</f>
        <v/>
      </c>
      <c r="T420" t="str">
        <f>IF(TCD!E421="","",TCD!E421)</f>
        <v/>
      </c>
      <c r="U420">
        <f>SUM(TCD!H421:J421)</f>
        <v>11.21</v>
      </c>
    </row>
    <row r="421" spans="1:21" x14ac:dyDescent="0.25">
      <c r="A421" s="1" t="str">
        <f>_xlfn.XLOOKUP(G421,'Facture GLS'!AB:AB,'Facture GLS'!O:O)</f>
        <v>Laboratoires Christian Roche</v>
      </c>
      <c r="B421" t="str">
        <f t="shared" si="18"/>
        <v>GLS</v>
      </c>
      <c r="C421" s="2">
        <f t="shared" si="19"/>
        <v>46174</v>
      </c>
      <c r="G421" t="str">
        <f>TCD!D422</f>
        <v>00L363N4</v>
      </c>
      <c r="I421" t="s">
        <v>104</v>
      </c>
      <c r="J421" t="str">
        <f>_xlfn.XLOOKUP(G421,'Facture GLS'!AB:AB,'Facture GLS'!BB:BB)</f>
        <v>FR</v>
      </c>
      <c r="K421" t="str">
        <f>IF(COUNTIF(Zoning!A:A,J421)=0,"pays inconnu",LOOKUP(J421,Zoning!A:A,Zoning!B:B))</f>
        <v>France</v>
      </c>
      <c r="L421">
        <f t="shared" si="20"/>
        <v>1</v>
      </c>
      <c r="M421">
        <f>_xlfn.XLOOKUP(G421,Poids!A:A,Poids!C:C)</f>
        <v>4.8999999999999995</v>
      </c>
      <c r="N421" t="str">
        <f>IF(COUNTIF(Zoning!A:A,J421)=0,"zone inconnue","France")</f>
        <v>France</v>
      </c>
      <c r="O421">
        <f>IF(COUNTIF(Zoning!A:A,J421)=0,"taux inconnu",_xlfn.XLOOKUP(J421,Zoning!A:A,Zoning!C:C))</f>
        <v>0.2</v>
      </c>
      <c r="R421" t="str">
        <f>IF(TCD!K422="","",TCD!K422)</f>
        <v/>
      </c>
      <c r="S421" t="str">
        <f>IF(TCD!F422="","",TCD!F422)</f>
        <v/>
      </c>
      <c r="T421" t="str">
        <f>IF(TCD!E422="","",TCD!E422)</f>
        <v/>
      </c>
      <c r="U421">
        <f>SUM(TCD!H422:J422)</f>
        <v>6.910000000000001</v>
      </c>
    </row>
    <row r="422" spans="1:21" x14ac:dyDescent="0.25">
      <c r="A422" s="1" t="str">
        <f>_xlfn.XLOOKUP(G422,'Facture GLS'!AB:AB,'Facture GLS'!O:O)</f>
        <v>Laboratoires Christian Roche</v>
      </c>
      <c r="B422" t="str">
        <f t="shared" si="18"/>
        <v>GLS</v>
      </c>
      <c r="C422" s="2">
        <f t="shared" si="19"/>
        <v>46174</v>
      </c>
      <c r="G422" t="str">
        <f>TCD!D423</f>
        <v>00L38JTQ</v>
      </c>
      <c r="I422" t="s">
        <v>104</v>
      </c>
      <c r="J422" t="str">
        <f>_xlfn.XLOOKUP(G422,'Facture GLS'!AB:AB,'Facture GLS'!BB:BB)</f>
        <v>FR</v>
      </c>
      <c r="K422" t="str">
        <f>IF(COUNTIF(Zoning!A:A,J422)=0,"pays inconnu",LOOKUP(J422,Zoning!A:A,Zoning!B:B))</f>
        <v>France</v>
      </c>
      <c r="L422">
        <f t="shared" si="20"/>
        <v>1</v>
      </c>
      <c r="M422">
        <f>_xlfn.XLOOKUP(G422,Poids!A:A,Poids!C:C)</f>
        <v>1.8</v>
      </c>
      <c r="N422" t="str">
        <f>IF(COUNTIF(Zoning!A:A,J422)=0,"zone inconnue","France")</f>
        <v>France</v>
      </c>
      <c r="O422">
        <f>IF(COUNTIF(Zoning!A:A,J422)=0,"taux inconnu",_xlfn.XLOOKUP(J422,Zoning!A:A,Zoning!C:C))</f>
        <v>0.2</v>
      </c>
      <c r="R422" t="str">
        <f>IF(TCD!K423="","",TCD!K423)</f>
        <v/>
      </c>
      <c r="S422" t="str">
        <f>IF(TCD!F423="","",TCD!F423)</f>
        <v/>
      </c>
      <c r="T422" t="str">
        <f>IF(TCD!E423="","",TCD!E423)</f>
        <v/>
      </c>
      <c r="U422">
        <f>SUM(TCD!H423:J423)</f>
        <v>5.4700000000000006</v>
      </c>
    </row>
    <row r="423" spans="1:21" x14ac:dyDescent="0.25">
      <c r="A423" s="1" t="str">
        <f>_xlfn.XLOOKUP(G423,'Facture GLS'!AB:AB,'Facture GLS'!O:O)</f>
        <v>ANOTHER WAY</v>
      </c>
      <c r="B423" t="str">
        <f t="shared" si="18"/>
        <v>GLS</v>
      </c>
      <c r="C423" s="2">
        <f t="shared" si="19"/>
        <v>46174</v>
      </c>
      <c r="G423" t="str">
        <f>TCD!D424</f>
        <v>00L3KSUN</v>
      </c>
      <c r="I423" t="s">
        <v>104</v>
      </c>
      <c r="J423" t="str">
        <f>_xlfn.XLOOKUP(G423,'Facture GLS'!AB:AB,'Facture GLS'!BB:BB)</f>
        <v>FR</v>
      </c>
      <c r="K423" t="str">
        <f>IF(COUNTIF(Zoning!A:A,J423)=0,"pays inconnu",LOOKUP(J423,Zoning!A:A,Zoning!B:B))</f>
        <v>France</v>
      </c>
      <c r="L423">
        <f t="shared" si="20"/>
        <v>1</v>
      </c>
      <c r="M423">
        <f>_xlfn.XLOOKUP(G423,Poids!A:A,Poids!C:C)</f>
        <v>0.2</v>
      </c>
      <c r="N423" t="str">
        <f>IF(COUNTIF(Zoning!A:A,J423)=0,"zone inconnue","France")</f>
        <v>France</v>
      </c>
      <c r="O423">
        <f>IF(COUNTIF(Zoning!A:A,J423)=0,"taux inconnu",_xlfn.XLOOKUP(J423,Zoning!A:A,Zoning!C:C))</f>
        <v>0.2</v>
      </c>
      <c r="R423" t="str">
        <f>IF(TCD!K424="","",TCD!K424)</f>
        <v/>
      </c>
      <c r="S423" t="str">
        <f>IF(TCD!F424="","",TCD!F424)</f>
        <v/>
      </c>
      <c r="T423" t="str">
        <f>IF(TCD!E424="","",TCD!E424)</f>
        <v/>
      </c>
      <c r="U423">
        <f>SUM(TCD!H424:J424)</f>
        <v>4.82</v>
      </c>
    </row>
    <row r="424" spans="1:21" x14ac:dyDescent="0.25">
      <c r="A424" s="1" t="str">
        <f>_xlfn.XLOOKUP(G424,'Facture GLS'!AB:AB,'Facture GLS'!O:O)</f>
        <v>Laboratoires Christian Roche</v>
      </c>
      <c r="B424" t="str">
        <f t="shared" si="18"/>
        <v>GLS</v>
      </c>
      <c r="C424" s="2">
        <f t="shared" si="19"/>
        <v>46174</v>
      </c>
      <c r="G424" t="str">
        <f>TCD!D425</f>
        <v>00L3KZME</v>
      </c>
      <c r="I424" t="s">
        <v>104</v>
      </c>
      <c r="J424" t="str">
        <f>_xlfn.XLOOKUP(G424,'Facture GLS'!AB:AB,'Facture GLS'!BB:BB)</f>
        <v>FR</v>
      </c>
      <c r="K424" t="str">
        <f>IF(COUNTIF(Zoning!A:A,J424)=0,"pays inconnu",LOOKUP(J424,Zoning!A:A,Zoning!B:B))</f>
        <v>France</v>
      </c>
      <c r="L424">
        <f t="shared" si="20"/>
        <v>1</v>
      </c>
      <c r="M424">
        <f>_xlfn.XLOOKUP(G424,Poids!A:A,Poids!C:C)</f>
        <v>3.2</v>
      </c>
      <c r="N424" t="str">
        <f>IF(COUNTIF(Zoning!A:A,J424)=0,"zone inconnue","France")</f>
        <v>France</v>
      </c>
      <c r="O424">
        <f>IF(COUNTIF(Zoning!A:A,J424)=0,"taux inconnu",_xlfn.XLOOKUP(J424,Zoning!A:A,Zoning!C:C))</f>
        <v>0.2</v>
      </c>
      <c r="R424" t="str">
        <f>IF(TCD!K425="","",TCD!K425)</f>
        <v/>
      </c>
      <c r="S424" t="str">
        <f>IF(TCD!F425="","",TCD!F425)</f>
        <v/>
      </c>
      <c r="T424" t="str">
        <f>IF(TCD!E425="","",TCD!E425)</f>
        <v/>
      </c>
      <c r="U424">
        <f>SUM(TCD!H425:J425)</f>
        <v>6.3500000000000005</v>
      </c>
    </row>
    <row r="425" spans="1:21" x14ac:dyDescent="0.25">
      <c r="A425" s="1" t="str">
        <f>_xlfn.XLOOKUP(G425,'Facture GLS'!AB:AB,'Facture GLS'!O:O)</f>
        <v>EDRA</v>
      </c>
      <c r="B425" t="str">
        <f t="shared" si="18"/>
        <v>GLS</v>
      </c>
      <c r="C425" s="2">
        <f t="shared" si="19"/>
        <v>46174</v>
      </c>
      <c r="G425" t="str">
        <f>TCD!D426</f>
        <v>00L3QE5G</v>
      </c>
      <c r="I425" t="s">
        <v>104</v>
      </c>
      <c r="J425" t="str">
        <f>_xlfn.XLOOKUP(G425,'Facture GLS'!AB:AB,'Facture GLS'!BB:BB)</f>
        <v>FR</v>
      </c>
      <c r="K425" t="str">
        <f>IF(COUNTIF(Zoning!A:A,J425)=0,"pays inconnu",LOOKUP(J425,Zoning!A:A,Zoning!B:B))</f>
        <v>France</v>
      </c>
      <c r="L425">
        <f t="shared" si="20"/>
        <v>1</v>
      </c>
      <c r="M425">
        <f>_xlfn.XLOOKUP(G425,Poids!A:A,Poids!C:C)</f>
        <v>1.2000000000000002</v>
      </c>
      <c r="N425" t="str">
        <f>IF(COUNTIF(Zoning!A:A,J425)=0,"zone inconnue","France")</f>
        <v>France</v>
      </c>
      <c r="O425">
        <f>IF(COUNTIF(Zoning!A:A,J425)=0,"taux inconnu",_xlfn.XLOOKUP(J425,Zoning!A:A,Zoning!C:C))</f>
        <v>0.2</v>
      </c>
      <c r="R425" t="str">
        <f>IF(TCD!K426="","",TCD!K426)</f>
        <v/>
      </c>
      <c r="S425" t="str">
        <f>IF(TCD!F426="","",TCD!F426)</f>
        <v/>
      </c>
      <c r="T425" t="str">
        <f>IF(TCD!E426="","",TCD!E426)</f>
        <v/>
      </c>
      <c r="U425">
        <f>SUM(TCD!H426:J426)</f>
        <v>5.4700000000000006</v>
      </c>
    </row>
    <row r="426" spans="1:21" x14ac:dyDescent="0.25">
      <c r="A426" s="1" t="str">
        <f>_xlfn.XLOOKUP(G426,'Facture GLS'!AB:AB,'Facture GLS'!O:O)</f>
        <v>Laboratoires Christian Roche</v>
      </c>
      <c r="B426" t="str">
        <f t="shared" si="18"/>
        <v>GLS</v>
      </c>
      <c r="C426" s="2">
        <f t="shared" si="19"/>
        <v>46174</v>
      </c>
      <c r="G426" t="str">
        <f>TCD!D427</f>
        <v>00L3Y32D</v>
      </c>
      <c r="I426" t="s">
        <v>104</v>
      </c>
      <c r="J426" t="str">
        <f>_xlfn.XLOOKUP(G426,'Facture GLS'!AB:AB,'Facture GLS'!BB:BB)</f>
        <v>FR</v>
      </c>
      <c r="K426" t="str">
        <f>IF(COUNTIF(Zoning!A:A,J426)=0,"pays inconnu",LOOKUP(J426,Zoning!A:A,Zoning!B:B))</f>
        <v>France</v>
      </c>
      <c r="L426">
        <f t="shared" si="20"/>
        <v>1</v>
      </c>
      <c r="M426">
        <f>_xlfn.XLOOKUP(G426,Poids!A:A,Poids!C:C)</f>
        <v>1.4</v>
      </c>
      <c r="N426" t="str">
        <f>IF(COUNTIF(Zoning!A:A,J426)=0,"zone inconnue","France")</f>
        <v>France</v>
      </c>
      <c r="O426">
        <f>IF(COUNTIF(Zoning!A:A,J426)=0,"taux inconnu",_xlfn.XLOOKUP(J426,Zoning!A:A,Zoning!C:C))</f>
        <v>0.2</v>
      </c>
      <c r="R426" t="str">
        <f>IF(TCD!K427="","",TCD!K427)</f>
        <v/>
      </c>
      <c r="S426" t="str">
        <f>IF(TCD!F427="","",TCD!F427)</f>
        <v/>
      </c>
      <c r="T426" t="str">
        <f>IF(TCD!E427="","",TCD!E427)</f>
        <v/>
      </c>
      <c r="U426">
        <f>SUM(TCD!H427:J427)</f>
        <v>5.4700000000000006</v>
      </c>
    </row>
    <row r="427" spans="1:21" x14ac:dyDescent="0.25">
      <c r="A427" s="1" t="str">
        <f>_xlfn.XLOOKUP(G427,'Facture GLS'!AB:AB,'Facture GLS'!O:O)</f>
        <v>BY FOUTAS</v>
      </c>
      <c r="B427" t="str">
        <f t="shared" si="18"/>
        <v>GLS</v>
      </c>
      <c r="C427" s="2">
        <f t="shared" si="19"/>
        <v>46174</v>
      </c>
      <c r="G427" t="str">
        <f>TCD!D428</f>
        <v>00L40S0N</v>
      </c>
      <c r="I427" t="s">
        <v>104</v>
      </c>
      <c r="J427" t="str">
        <f>_xlfn.XLOOKUP(G427,'Facture GLS'!AB:AB,'Facture GLS'!BB:BB)</f>
        <v>FR</v>
      </c>
      <c r="K427" t="str">
        <f>IF(COUNTIF(Zoning!A:A,J427)=0,"pays inconnu",LOOKUP(J427,Zoning!A:A,Zoning!B:B))</f>
        <v>France</v>
      </c>
      <c r="L427">
        <f t="shared" si="20"/>
        <v>1</v>
      </c>
      <c r="M427">
        <f>_xlfn.XLOOKUP(G427,Poids!A:A,Poids!C:C)</f>
        <v>0.9</v>
      </c>
      <c r="N427" t="str">
        <f>IF(COUNTIF(Zoning!A:A,J427)=0,"zone inconnue","France")</f>
        <v>France</v>
      </c>
      <c r="O427">
        <f>IF(COUNTIF(Zoning!A:A,J427)=0,"taux inconnu",_xlfn.XLOOKUP(J427,Zoning!A:A,Zoning!C:C))</f>
        <v>0.2</v>
      </c>
      <c r="R427" t="str">
        <f>IF(TCD!K428="","",TCD!K428)</f>
        <v/>
      </c>
      <c r="S427" t="str">
        <f>IF(TCD!F428="","",TCD!F428)</f>
        <v/>
      </c>
      <c r="T427" t="str">
        <f>IF(TCD!E428="","",TCD!E428)</f>
        <v/>
      </c>
      <c r="U427">
        <f>SUM(TCD!H428:J428)</f>
        <v>5.15</v>
      </c>
    </row>
    <row r="428" spans="1:21" x14ac:dyDescent="0.25">
      <c r="A428" s="1" t="str">
        <f>_xlfn.XLOOKUP(G428,'Facture GLS'!AB:AB,'Facture GLS'!O:O)</f>
        <v>LA RUCHE</v>
      </c>
      <c r="B428" t="str">
        <f t="shared" si="18"/>
        <v>GLS</v>
      </c>
      <c r="C428" s="2">
        <f t="shared" si="19"/>
        <v>46174</v>
      </c>
      <c r="G428" t="str">
        <f>TCD!D429</f>
        <v>ZWLMMM8V</v>
      </c>
      <c r="I428" t="s">
        <v>104</v>
      </c>
      <c r="J428" t="str">
        <f>_xlfn.XLOOKUP(G428,'Facture GLS'!AB:AB,'Facture GLS'!BB:BB)</f>
        <v>NL</v>
      </c>
      <c r="K428">
        <f>IF(COUNTIF(Zoning!A:A,J428)=0,"pays inconnu",LOOKUP(J428,Zoning!A:A,Zoning!B:B))</f>
        <v>1</v>
      </c>
      <c r="L428">
        <f t="shared" si="20"/>
        <v>1</v>
      </c>
      <c r="M428">
        <f>_xlfn.XLOOKUP(G428,Poids!A:A,Poids!C:C)</f>
        <v>2.9</v>
      </c>
      <c r="N428" t="str">
        <f>IF(COUNTIF(Zoning!A:A,J428)=0,"zone inconnue","France")</f>
        <v>France</v>
      </c>
      <c r="O428">
        <f>IF(COUNTIF(Zoning!A:A,J428)=0,"taux inconnu",_xlfn.XLOOKUP(J428,Zoning!A:A,Zoning!C:C))</f>
        <v>0.2</v>
      </c>
      <c r="R428" t="str">
        <f>IF(TCD!K429="","",TCD!K429)</f>
        <v/>
      </c>
      <c r="S428" t="str">
        <f>IF(TCD!F429="","",TCD!F429)</f>
        <v/>
      </c>
      <c r="T428" t="str">
        <f>IF(TCD!E429="","",TCD!E429)</f>
        <v/>
      </c>
      <c r="U428">
        <f>SUM(TCD!H429:J429)</f>
        <v>10.84</v>
      </c>
    </row>
    <row r="429" spans="1:21" x14ac:dyDescent="0.25">
      <c r="A429" s="1" t="str">
        <f>_xlfn.XLOOKUP(G429,'Facture GLS'!AB:AB,'Facture GLS'!O:O)</f>
        <v>LA RUCHE</v>
      </c>
      <c r="B429" t="str">
        <f t="shared" si="18"/>
        <v>GLS</v>
      </c>
      <c r="C429" s="2">
        <f t="shared" si="19"/>
        <v>46174</v>
      </c>
      <c r="G429" t="str">
        <f>TCD!D430</f>
        <v>ZWLMMM8W</v>
      </c>
      <c r="I429" t="s">
        <v>104</v>
      </c>
      <c r="J429" t="str">
        <f>_xlfn.XLOOKUP(G429,'Facture GLS'!AB:AB,'Facture GLS'!BB:BB)</f>
        <v>DE</v>
      </c>
      <c r="K429">
        <f>IF(COUNTIF(Zoning!A:A,J429)=0,"pays inconnu",LOOKUP(J429,Zoning!A:A,Zoning!B:B))</f>
        <v>1</v>
      </c>
      <c r="L429">
        <f t="shared" si="20"/>
        <v>1</v>
      </c>
      <c r="M429">
        <f>_xlfn.XLOOKUP(G429,Poids!A:A,Poids!C:C)</f>
        <v>19.600000000000001</v>
      </c>
      <c r="N429" t="str">
        <f>IF(COUNTIF(Zoning!A:A,J429)=0,"zone inconnue","France")</f>
        <v>France</v>
      </c>
      <c r="O429">
        <f>IF(COUNTIF(Zoning!A:A,J429)=0,"taux inconnu",_xlfn.XLOOKUP(J429,Zoning!A:A,Zoning!C:C))</f>
        <v>0.2</v>
      </c>
      <c r="R429" t="str">
        <f>IF(TCD!K430="","",TCD!K430)</f>
        <v/>
      </c>
      <c r="S429" t="str">
        <f>IF(TCD!F430="","",TCD!F430)</f>
        <v/>
      </c>
      <c r="T429" t="str">
        <f>IF(TCD!E430="","",TCD!E430)</f>
        <v/>
      </c>
      <c r="U429">
        <f>SUM(TCD!H430:J430)</f>
        <v>18.329999999999998</v>
      </c>
    </row>
  </sheetData>
  <autoFilter ref="A1:W382" xr:uid="{00000000-0001-0000-0400-000000000000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0178-752C-4932-827E-B66BBAC64F85}">
  <dimension ref="A3:D6"/>
  <sheetViews>
    <sheetView zoomScale="80" zoomScaleNormal="80" workbookViewId="0">
      <selection activeCell="C5" sqref="C5"/>
    </sheetView>
  </sheetViews>
  <sheetFormatPr baseColWidth="10" defaultRowHeight="15" x14ac:dyDescent="0.25"/>
  <cols>
    <col min="1" max="1" width="21.5703125" bestFit="1" customWidth="1"/>
    <col min="2" max="2" width="18.85546875" bestFit="1" customWidth="1"/>
  </cols>
  <sheetData>
    <row r="3" spans="1:4" x14ac:dyDescent="0.25">
      <c r="A3" s="3" t="s">
        <v>113</v>
      </c>
      <c r="B3" t="s">
        <v>216</v>
      </c>
      <c r="C3" t="s">
        <v>209</v>
      </c>
    </row>
    <row r="4" spans="1:4" x14ac:dyDescent="0.25">
      <c r="A4" s="4">
        <v>2501382993</v>
      </c>
      <c r="B4">
        <v>3069.2000000000121</v>
      </c>
      <c r="C4" s="32">
        <v>3069.2</v>
      </c>
      <c r="D4" t="s">
        <v>236</v>
      </c>
    </row>
    <row r="5" spans="1:4" x14ac:dyDescent="0.25">
      <c r="A5" s="4" t="s">
        <v>112</v>
      </c>
    </row>
    <row r="6" spans="1:4" x14ac:dyDescent="0.25">
      <c r="A6" s="4" t="s">
        <v>217</v>
      </c>
      <c r="B6">
        <v>3069.2000000000121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D9FCD-A295-45A3-92D5-79A24B1B1FD7}">
  <sheetPr codeName="Feuil8"/>
  <dimension ref="A1:G19"/>
  <sheetViews>
    <sheetView zoomScale="80" zoomScaleNormal="80" workbookViewId="0">
      <selection activeCell="C10" sqref="C10"/>
    </sheetView>
  </sheetViews>
  <sheetFormatPr baseColWidth="10" defaultRowHeight="15" x14ac:dyDescent="0.25"/>
  <cols>
    <col min="1" max="1" width="21.5703125" bestFit="1" customWidth="1"/>
    <col min="2" max="2" width="19.28515625" bestFit="1" customWidth="1"/>
    <col min="3" max="3" width="18.7109375" bestFit="1" customWidth="1"/>
    <col min="6" max="6" width="11.42578125" style="6"/>
  </cols>
  <sheetData>
    <row r="1" spans="1:7" x14ac:dyDescent="0.25">
      <c r="A1" s="3" t="s">
        <v>113</v>
      </c>
      <c r="B1" t="s">
        <v>148</v>
      </c>
      <c r="C1" t="s">
        <v>224</v>
      </c>
      <c r="E1" t="s">
        <v>158</v>
      </c>
      <c r="F1" s="6" t="s">
        <v>159</v>
      </c>
    </row>
    <row r="2" spans="1:7" x14ac:dyDescent="0.25">
      <c r="A2" s="4">
        <v>361</v>
      </c>
      <c r="B2" s="7">
        <v>498.23312846988256</v>
      </c>
      <c r="E2">
        <v>2500931230</v>
      </c>
      <c r="F2" s="6">
        <v>4443.8</v>
      </c>
    </row>
    <row r="3" spans="1:7" x14ac:dyDescent="0.25">
      <c r="A3" s="4">
        <v>3888</v>
      </c>
      <c r="B3" s="7">
        <v>1069.2257155229011</v>
      </c>
      <c r="E3">
        <v>2500931231</v>
      </c>
      <c r="F3" s="6">
        <v>17.73</v>
      </c>
    </row>
    <row r="4" spans="1:7" x14ac:dyDescent="0.25">
      <c r="A4" s="4">
        <v>4565</v>
      </c>
      <c r="B4" s="7">
        <v>49.037775132728832</v>
      </c>
    </row>
    <row r="5" spans="1:7" x14ac:dyDescent="0.25">
      <c r="A5" s="4">
        <v>4813</v>
      </c>
      <c r="B5" s="7">
        <v>651.17965471653008</v>
      </c>
    </row>
    <row r="6" spans="1:7" x14ac:dyDescent="0.25">
      <c r="A6" s="4">
        <v>6199</v>
      </c>
      <c r="B6" s="7">
        <v>184.082856108877</v>
      </c>
    </row>
    <row r="7" spans="1:7" x14ac:dyDescent="0.25">
      <c r="A7" s="4">
        <v>6685</v>
      </c>
      <c r="B7" s="7">
        <v>23.138363365561979</v>
      </c>
    </row>
    <row r="8" spans="1:7" x14ac:dyDescent="0.25">
      <c r="A8" s="4">
        <v>6739</v>
      </c>
      <c r="B8" s="7">
        <v>91.516439978077059</v>
      </c>
    </row>
    <row r="9" spans="1:7" x14ac:dyDescent="0.25">
      <c r="A9" s="4">
        <v>6813</v>
      </c>
      <c r="B9" s="7">
        <v>6.2480062421293407</v>
      </c>
    </row>
    <row r="10" spans="1:7" x14ac:dyDescent="0.25">
      <c r="A10" s="4">
        <v>6930</v>
      </c>
      <c r="B10" s="7">
        <v>20.014360244497308</v>
      </c>
    </row>
    <row r="11" spans="1:7" x14ac:dyDescent="0.25">
      <c r="A11" s="4">
        <v>7254</v>
      </c>
      <c r="B11" s="7">
        <v>51.669196848812355</v>
      </c>
    </row>
    <row r="12" spans="1:7" x14ac:dyDescent="0.25">
      <c r="A12" s="4">
        <v>7413</v>
      </c>
      <c r="B12" s="7">
        <v>24.992024968517363</v>
      </c>
    </row>
    <row r="13" spans="1:7" x14ac:dyDescent="0.25">
      <c r="A13" s="4">
        <v>7515</v>
      </c>
      <c r="B13" s="7">
        <v>6.6757743043498143</v>
      </c>
    </row>
    <row r="14" spans="1:7" x14ac:dyDescent="0.25">
      <c r="A14" s="4">
        <v>8041</v>
      </c>
      <c r="B14" s="7">
        <v>172.64978244589355</v>
      </c>
      <c r="F14" s="22"/>
    </row>
    <row r="15" spans="1:7" x14ac:dyDescent="0.25">
      <c r="A15" s="4">
        <v>8568</v>
      </c>
      <c r="B15" s="7">
        <v>82.079617272122377</v>
      </c>
      <c r="F15" s="6">
        <f>SUM(F2:F14)</f>
        <v>4461.53</v>
      </c>
      <c r="G15" t="s">
        <v>160</v>
      </c>
    </row>
    <row r="16" spans="1:7" x14ac:dyDescent="0.25">
      <c r="A16" s="4">
        <v>8656</v>
      </c>
      <c r="B16" s="7">
        <v>62.531913095501942</v>
      </c>
    </row>
    <row r="17" spans="1:2" x14ac:dyDescent="0.25">
      <c r="A17" s="4">
        <v>9351</v>
      </c>
      <c r="B17" s="7">
        <v>48.882223110103197</v>
      </c>
    </row>
    <row r="18" spans="1:2" x14ac:dyDescent="0.25">
      <c r="A18" s="4">
        <v>9512</v>
      </c>
      <c r="B18" s="7">
        <v>12.496012484258681</v>
      </c>
    </row>
    <row r="19" spans="1:2" x14ac:dyDescent="0.25">
      <c r="A19" s="4" t="s">
        <v>112</v>
      </c>
      <c r="B19" s="7">
        <v>43.69715568924898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30B2-8645-439D-A722-E72A010E5210}">
  <dimension ref="A1:C1"/>
  <sheetViews>
    <sheetView workbookViewId="0">
      <selection activeCell="A2" sqref="A2:C3"/>
    </sheetView>
  </sheetViews>
  <sheetFormatPr baseColWidth="10" defaultRowHeight="15" x14ac:dyDescent="0.25"/>
  <cols>
    <col min="1" max="1" width="11.42578125" style="33"/>
    <col min="2" max="2" width="35.7109375" bestFit="1" customWidth="1"/>
    <col min="3" max="3" width="11.42578125" style="36"/>
  </cols>
  <sheetData>
    <row r="1" spans="1:3" x14ac:dyDescent="0.25">
      <c r="A1" s="33" t="s">
        <v>291</v>
      </c>
      <c r="B1" t="s">
        <v>292</v>
      </c>
      <c r="C1" s="36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PA GLS</vt:lpstr>
      <vt:lpstr>Zoning</vt:lpstr>
      <vt:lpstr>Poids</vt:lpstr>
      <vt:lpstr>Comptes GLS</vt:lpstr>
      <vt:lpstr>Catégories</vt:lpstr>
      <vt:lpstr>Facture GLS</vt:lpstr>
      <vt:lpstr>TCD</vt:lpstr>
      <vt:lpstr>Import csv</vt:lpstr>
      <vt:lpstr>Bilan factures</vt:lpstr>
      <vt:lpstr>Bilan clients</vt:lpstr>
      <vt:lpstr>Avoir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Largeron</dc:creator>
  <cp:lastModifiedBy>Contact</cp:lastModifiedBy>
  <dcterms:created xsi:type="dcterms:W3CDTF">2022-06-11T06:50:37Z</dcterms:created>
  <dcterms:modified xsi:type="dcterms:W3CDTF">2026-07-06T13:14:04Z</dcterms:modified>
</cp:coreProperties>
</file>